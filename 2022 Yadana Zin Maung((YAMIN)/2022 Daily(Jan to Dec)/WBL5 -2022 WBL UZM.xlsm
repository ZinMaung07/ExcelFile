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imelineCaches/timelineCache2.xml" ContentType="application/vnd.ms-excel.timelineCache+xml"/>
  <Override PartName="/xl/timelineCaches/timelineCache3.xml" ContentType="application/vnd.ms-excel.timelineCache+xml"/>
  <Override PartName="/xl/timelineCaches/timelineCache4.xml" ContentType="application/vnd.ms-excel.timelineCache+xml"/>
  <Override PartName="/xl/timelineCaches/timelineCache5.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pivotTables/pivotTable1.xml" ContentType="application/vnd.openxmlformats-officedocument.spreadsheetml.pivotTable+xml"/>
  <Override PartName="/xl/drawings/drawing5.xml" ContentType="application/vnd.openxmlformats-officedocument.drawing+xml"/>
  <Override PartName="/xl/slicers/slicer1.xml" ContentType="application/vnd.ms-excel.slicer+xml"/>
  <Override PartName="/xl/timelines/timeline1.xml" ContentType="application/vnd.ms-excel.timeline+xml"/>
  <Override PartName="/xl/drawings/drawing6.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drawings/drawing7.xml" ContentType="application/vnd.openxmlformats-officedocument.drawing+xml"/>
  <Override PartName="/xl/pivotTables/pivotTable2.xml" ContentType="application/vnd.openxmlformats-officedocument.spreadsheetml.pivotTable+xml"/>
  <Override PartName="/xl/drawings/drawing8.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slicers/slicer2.xml" ContentType="application/vnd.ms-excel.slicer+xml"/>
  <Override PartName="/xl/tables/table5.xml" ContentType="application/vnd.openxmlformats-officedocument.spreadsheetml.table+xml"/>
  <Override PartName="/xl/pivotTables/pivotTable3.xml" ContentType="application/vnd.openxmlformats-officedocument.spreadsheetml.pivotTable+xml"/>
  <Override PartName="/xl/tables/table6.xml" ContentType="application/vnd.openxmlformats-officedocument.spreadsheetml.table+xml"/>
  <Override PartName="/xl/queryTables/queryTable1.xml" ContentType="application/vnd.openxmlformats-officedocument.spreadsheetml.queryTable+xml"/>
  <Override PartName="/xl/tables/table7.xml" ContentType="application/vnd.openxmlformats-officedocument.spreadsheetml.table+xml"/>
  <Override PartName="/xl/tables/table8.xml" ContentType="application/vnd.openxmlformats-officedocument.spreadsheetml.table+xml"/>
  <Override PartName="/xl/pivotTables/pivotTable4.xml" ContentType="application/vnd.openxmlformats-officedocument.spreadsheetml.pivotTable+xml"/>
  <Override PartName="/xl/tables/table9.xml" ContentType="application/vnd.openxmlformats-officedocument.spreadsheetml.table+xml"/>
  <Override PartName="/xl/pivotTables/pivotTable5.xml" ContentType="application/vnd.openxmlformats-officedocument.spreadsheetml.pivotTable+xml"/>
  <Override PartName="/xl/tables/table10.xml" ContentType="application/vnd.openxmlformats-officedocument.spreadsheetml.table+xml"/>
  <Override PartName="/xl/drawings/drawing9.xml" ContentType="application/vnd.openxmlformats-officedocument.drawing+xml"/>
  <Override PartName="/xl/tables/table11.xml" ContentType="application/vnd.openxmlformats-officedocument.spreadsheetml.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0.xml" ContentType="application/vnd.openxmlformats-officedocument.drawing+xml"/>
  <Override PartName="/xl/timelines/timeline2.xml" ContentType="application/vnd.ms-excel.timeline+xml"/>
  <Override PartName="/xl/comments2.xml" ContentType="application/vnd.openxmlformats-officedocument.spreadsheetml.comments+xml"/>
  <Override PartName="/xl/comments3.xml" ContentType="application/vnd.openxmlformats-officedocument.spreadsheetml.comments+xml"/>
  <Override PartName="/xl/tables/table12.xml" ContentType="application/vnd.openxmlformats-officedocument.spreadsheetml.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11.xml" ContentType="application/vnd.openxmlformats-officedocument.drawing+xml"/>
  <Override PartName="/xl/slicers/slicer3.xml" ContentType="application/vnd.ms-excel.slicer+xml"/>
  <Override PartName="/xl/comments4.xml" ContentType="application/vnd.openxmlformats-officedocument.spreadsheetml.comments+xml"/>
  <Override PartName="/xl/tables/table13.xml" ContentType="application/vnd.openxmlformats-officedocument.spreadsheetml.table+xml"/>
  <Override PartName="/xl/pivotTables/pivotTable10.xml" ContentType="application/vnd.openxmlformats-officedocument.spreadsheetml.pivotTable+xml"/>
  <Override PartName="/xl/drawings/drawing12.xml" ContentType="application/vnd.openxmlformats-officedocument.drawing+xml"/>
  <Override PartName="/xl/timelines/timeline3.xml" ContentType="application/vnd.ms-excel.timeline+xml"/>
  <Override PartName="/xl/drawings/drawing13.xml" ContentType="application/vnd.openxmlformats-officedocument.drawing+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pivotTables/pivotTable11.xml" ContentType="application/vnd.openxmlformats-officedocument.spreadsheetml.pivotTable+xml"/>
  <Override PartName="/xl/drawings/drawing14.xml" ContentType="application/vnd.openxmlformats-officedocument.drawing+xml"/>
  <Override PartName="/xl/tables/table23.xml" ContentType="application/vnd.openxmlformats-officedocument.spreadsheetml.table+xml"/>
  <Override PartName="/xl/tables/table2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Z:\2022 Yadana Zin Maung((YAMIN)\2022 Daily(Jan to Dec)\"/>
    </mc:Choice>
  </mc:AlternateContent>
  <bookViews>
    <workbookView xWindow="-120" yWindow="-120" windowWidth="20730" windowHeight="11160" firstSheet="11" activeTab="12"/>
  </bookViews>
  <sheets>
    <sheet name="Supplier (COA)" sheetId="116" r:id="rId1"/>
    <sheet name="Navigation" sheetId="156" r:id="rId2"/>
    <sheet name="P&amp;L Com " sheetId="66" r:id="rId3"/>
    <sheet name="Profit (or) Loss Statement" sheetId="118" r:id="rId4"/>
    <sheet name="COA" sheetId="23" r:id="rId5"/>
    <sheet name="2018+2019" sheetId="29" r:id="rId6"/>
    <sheet name="2018 Company Cash flow" sheetId="126" r:id="rId7"/>
    <sheet name="2019 Company Cash flow" sheetId="164" r:id="rId8"/>
    <sheet name="2020 Company Cash flow" sheetId="165" r:id="rId9"/>
    <sheet name="2021 Company Cash flow" sheetId="241" r:id="rId10"/>
    <sheet name="Ko Htwe" sheetId="79" r:id="rId11"/>
    <sheet name="Sheet2" sheetId="251" r:id="rId12"/>
    <sheet name="Daily Cash Book" sheetId="234" r:id="rId13"/>
    <sheet name="Statement of cash flow" sheetId="78" r:id="rId14"/>
    <sheet name="Spare Debitor(Receivabel)(1)" sheetId="243" r:id="rId15"/>
    <sheet name="spare debitor receiable(2)" sheetId="252" r:id="rId16"/>
    <sheet name="Fertilizer(2021)" sheetId="260" r:id="rId17"/>
    <sheet name="Sheet4" sheetId="255" r:id="rId18"/>
    <sheet name="Sheet6" sheetId="270" r:id="rId19"/>
    <sheet name="Sheet9" sheetId="272" r:id="rId20"/>
    <sheet name="Creditor Purchase &amp; Payment" sheetId="258" r:id="rId21"/>
    <sheet name="Cash Pur Voucher, No Paid" sheetId="262" r:id="rId22"/>
    <sheet name="Loan" sheetId="117" r:id="rId23"/>
    <sheet name="Stock Pivot" sheetId="217" r:id="rId24"/>
    <sheet name="Stock(30-4-2022)" sheetId="110" r:id="rId25"/>
    <sheet name="Profit Pivot" sheetId="195" r:id="rId26"/>
    <sheet name="Profit (1-4-22) to (30-4-22) " sheetId="112" r:id="rId27"/>
    <sheet name="Shop HPGBS 30% win shwe war" sheetId="191" r:id="rId28"/>
    <sheet name="Pivot" sheetId="247" r:id="rId29"/>
    <sheet name="GBS 40% 2020+2021" sheetId="225" r:id="rId30"/>
    <sheet name="Tri Hp Customer Of Cash Flow" sheetId="256" r:id="rId31"/>
    <sheet name="pivot(8)" sheetId="261" r:id="rId32"/>
    <sheet name="Tri Hp Bank Of Cash Flow " sheetId="257" r:id="rId33"/>
    <sheet name="GBS 30%(2020)" sheetId="227" r:id="rId34"/>
    <sheet name="Sheet3" sheetId="231" r:id="rId35"/>
    <sheet name="Co. HP GBS 40% (2020)" sheetId="123" r:id="rId36"/>
    <sheet name="Co. HP GBS 30%(2020)" sheetId="124" r:id="rId37"/>
    <sheet name="Liabilities" sheetId="125" r:id="rId38"/>
    <sheet name=" A yaung Tat" sheetId="129" r:id="rId39"/>
    <sheet name="Sheet8" sheetId="263" r:id="rId40"/>
    <sheet name="Profit (or) Loss 2022 of Year" sheetId="130" r:id="rId41"/>
    <sheet name="Purchase Adjustment" sheetId="267" r:id="rId42"/>
  </sheets>
  <externalReferences>
    <externalReference r:id="rId43"/>
    <externalReference r:id="rId44"/>
    <externalReference r:id="rId45"/>
    <externalReference r:id="rId46"/>
    <externalReference r:id="rId47"/>
  </externalReferences>
  <definedNames>
    <definedName name="_xlnm._FilterDatabase" localSheetId="4" hidden="1">COA!$B$1:$H$73</definedName>
    <definedName name="_xlnm._FilterDatabase" localSheetId="12" hidden="1">'Daily Cash Book'!$S$2:$Y$95</definedName>
    <definedName name="_xlnm._FilterDatabase" localSheetId="29" hidden="1">'GBS 40% 2020+2021'!$A$1:$AK$59</definedName>
    <definedName name="_xlnm._FilterDatabase" localSheetId="10" hidden="1">'Ko Htwe'!#REF!</definedName>
    <definedName name="_xlnm._FilterDatabase" localSheetId="26" hidden="1">'Profit (1-4-22) to (30-4-22) '!$A$1:$H$1026</definedName>
    <definedName name="_xlnm._FilterDatabase" localSheetId="40" hidden="1">'Profit (or) Loss 2022 of Year'!#REF!</definedName>
    <definedName name="_xlnm._FilterDatabase" localSheetId="27" hidden="1">'Shop HPGBS 30% win shwe war'!$A$1:$AJ$13</definedName>
    <definedName name="_xlnm._FilterDatabase" localSheetId="24" hidden="1">'Stock(30-4-2022)'!$A$1:$D$1</definedName>
    <definedName name="_xlnm._FilterDatabase" localSheetId="0" hidden="1">'Supplier (COA)'!$B$2:$C$2</definedName>
    <definedName name="Creditor_Purhase___Payment_12_လပိုင္း_2021" localSheetId="20" hidden="1">'Creditor Purchase &amp; Payment'!#REF!</definedName>
    <definedName name="Creditor_Purhase___Payment_4_လပိုင္း_2022" localSheetId="20" hidden="1">'Creditor Purchase &amp; Payment'!#REF!</definedName>
    <definedName name="Creditor_Purhase___Payment_5_လပိုင္း_2022" localSheetId="20" hidden="1">'Creditor Purchase &amp; Payment'!$A$1:$F$20</definedName>
    <definedName name="NativeTimeline_Date">#N/A</definedName>
    <definedName name="NativeTimeline_First_Date">#N/A</definedName>
    <definedName name="NativeTimeline_First_Date1">#N/A</definedName>
    <definedName name="NativeTimeline_Second__Date">#N/A</definedName>
    <definedName name="NativeTimeline_Second__Date1">#N/A</definedName>
    <definedName name="_xlnm.Print_Area" localSheetId="38">' A yaung Tat'!$B$1:$H$27</definedName>
    <definedName name="_xlnm.Print_Area" localSheetId="5">'2018+2019'!$A$1:$K$18</definedName>
    <definedName name="_xlnm.Print_Area" localSheetId="12">'Daily Cash Book'!$A$1:$I$207</definedName>
    <definedName name="_xlnm.Print_Area" localSheetId="16">'Fertilizer(2021)'!$A$1:$D$13</definedName>
    <definedName name="_xlnm.Print_Area" localSheetId="10">'Ko Htwe'!$A$1:$C$33</definedName>
    <definedName name="_xlnm.Print_Area" localSheetId="37">Liabilities!$A$1:$G$38</definedName>
    <definedName name="_xlnm.Print_Area" localSheetId="28">Pivot!$A$1:$H$19</definedName>
    <definedName name="_xlnm.Print_Area" localSheetId="40">'Profit (or) Loss 2022 of Year'!$A$1:$M$16</definedName>
    <definedName name="_xlnm.Print_Area" localSheetId="3">'Profit (or) Loss Statement'!$A$2:$D$42</definedName>
    <definedName name="_xlnm.Print_Area" localSheetId="11">Sheet2!$A$2:$E$15</definedName>
    <definedName name="_xlnm.Print_Area" localSheetId="34">Sheet3!$A$3:$L$8</definedName>
    <definedName name="_xlnm.Print_Area" localSheetId="15">'spare debitor receiable(2)'!$A$1:$D$53</definedName>
    <definedName name="_xlnm.Print_Area" localSheetId="13">'Statement of cash flow'!$A$1:$E$111</definedName>
    <definedName name="Query_from_Excel_Files" localSheetId="20" hidden="1">'Creditor Purchase &amp; Payment'!#REF!</definedName>
    <definedName name="Slicer_Folio">#N/A</definedName>
    <definedName name="Slicer_Folio1">#N/A</definedName>
    <definedName name="Slicer_Folio2">#N/A</definedName>
    <definedName name="Slicer_Folio3">#N/A</definedName>
  </definedNames>
  <calcPr calcId="152511"/>
  <pivotCaches>
    <pivotCache cacheId="0" r:id="rId48"/>
    <pivotCache cacheId="1" r:id="rId49"/>
    <pivotCache cacheId="2" r:id="rId50"/>
    <pivotCache cacheId="3" r:id="rId51"/>
    <pivotCache cacheId="4" r:id="rId52"/>
    <pivotCache cacheId="5" r:id="rId53"/>
    <pivotCache cacheId="6" r:id="rId54"/>
    <pivotCache cacheId="7" r:id="rId55"/>
    <pivotCache cacheId="8" r:id="rId56"/>
  </pivotCaches>
  <extLst>
    <ext xmlns:x14="http://schemas.microsoft.com/office/spreadsheetml/2009/9/main" uri="{BBE1A952-AA13-448e-AADC-164F8A28A991}">
      <x14:slicerCaches>
        <x14:slicerCache r:id="rId57"/>
        <x14:slicerCache r:id="rId58"/>
        <x14:slicerCache r:id="rId59"/>
        <x14:slicerCache r:id="rId60"/>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61"/>
        <x15:timelineCacheRef r:id="rId62"/>
        <x15:timelineCacheRef r:id="rId63"/>
        <x15:timelineCacheRef r:id="rId64"/>
        <x15:timelineCacheRef r:id="rId65"/>
      </x15:timelineCacheRefs>
    </ext>
  </extLst>
</workbook>
</file>

<file path=xl/calcChain.xml><?xml version="1.0" encoding="utf-8"?>
<calcChain xmlns="http://schemas.openxmlformats.org/spreadsheetml/2006/main">
  <c r="D103" i="78" l="1"/>
  <c r="I685" i="234"/>
  <c r="I686" i="234"/>
  <c r="I687" i="234"/>
  <c r="I688" i="234"/>
  <c r="I689" i="234"/>
  <c r="I690" i="234"/>
  <c r="I691" i="234"/>
  <c r="I635" i="234" l="1"/>
  <c r="I636" i="234"/>
  <c r="I637" i="234"/>
  <c r="I638" i="234"/>
  <c r="I633" i="234" l="1"/>
  <c r="I634" i="234"/>
  <c r="I639" i="234"/>
  <c r="I640" i="234"/>
  <c r="I641" i="234"/>
  <c r="I642" i="234"/>
  <c r="I643" i="234"/>
  <c r="I644" i="234"/>
  <c r="I624" i="234"/>
  <c r="I625" i="234"/>
  <c r="I626" i="234"/>
  <c r="I627" i="234"/>
  <c r="I628" i="234"/>
  <c r="I629" i="234"/>
  <c r="I630" i="234"/>
  <c r="I631" i="234"/>
  <c r="I632" i="234"/>
  <c r="I620" i="234"/>
  <c r="I621" i="234"/>
  <c r="I622" i="234"/>
  <c r="I623" i="234"/>
  <c r="I609" i="234"/>
  <c r="I610" i="234"/>
  <c r="I611" i="234"/>
  <c r="I612" i="234"/>
  <c r="I613" i="234"/>
  <c r="I614" i="234"/>
  <c r="I615" i="234"/>
  <c r="I616" i="234"/>
  <c r="I617" i="234"/>
  <c r="I618" i="234"/>
  <c r="I619" i="234"/>
  <c r="I603" i="234"/>
  <c r="I604" i="234"/>
  <c r="I605" i="234"/>
  <c r="I606" i="234"/>
  <c r="I607" i="234"/>
  <c r="I608" i="234"/>
  <c r="I595" i="234"/>
  <c r="I596" i="234"/>
  <c r="I597" i="234"/>
  <c r="I598" i="234"/>
  <c r="I599" i="234"/>
  <c r="I600" i="234"/>
  <c r="I601" i="234"/>
  <c r="I602" i="234"/>
  <c r="I585" i="234"/>
  <c r="I586" i="234"/>
  <c r="I587" i="234"/>
  <c r="I588" i="234"/>
  <c r="I589" i="234"/>
  <c r="I590" i="234"/>
  <c r="I591" i="234"/>
  <c r="I592" i="234"/>
  <c r="I593" i="234"/>
  <c r="I594" i="234"/>
  <c r="I579" i="234"/>
  <c r="I580" i="234"/>
  <c r="I581" i="234"/>
  <c r="I582" i="234"/>
  <c r="I583" i="234"/>
  <c r="I584" i="234"/>
  <c r="I568" i="234" l="1"/>
  <c r="I569" i="234"/>
  <c r="I570" i="234"/>
  <c r="I571" i="234"/>
  <c r="I572" i="234"/>
  <c r="I573" i="234"/>
  <c r="I574" i="234"/>
  <c r="I575" i="234"/>
  <c r="I576" i="234"/>
  <c r="I577" i="234"/>
  <c r="I578" i="234"/>
  <c r="I557" i="234" l="1"/>
  <c r="I558" i="234"/>
  <c r="I559" i="234"/>
  <c r="I560" i="234"/>
  <c r="I561" i="234"/>
  <c r="I562" i="234"/>
  <c r="I563" i="234"/>
  <c r="I564" i="234"/>
  <c r="I565" i="234"/>
  <c r="I566" i="234"/>
  <c r="I567" i="234"/>
  <c r="I547" i="234"/>
  <c r="I548" i="234"/>
  <c r="I549" i="234"/>
  <c r="I550" i="234"/>
  <c r="I551" i="234"/>
  <c r="I552" i="234"/>
  <c r="I553" i="234"/>
  <c r="I554" i="234"/>
  <c r="I555" i="234"/>
  <c r="I556" i="234"/>
  <c r="I533" i="234"/>
  <c r="I534" i="234"/>
  <c r="I535" i="234"/>
  <c r="I536" i="234"/>
  <c r="I537" i="234"/>
  <c r="I538" i="234"/>
  <c r="I539" i="234"/>
  <c r="I540" i="234"/>
  <c r="I541" i="234"/>
  <c r="I542" i="234"/>
  <c r="I543" i="234"/>
  <c r="I544" i="234"/>
  <c r="I545" i="234"/>
  <c r="I546" i="234"/>
  <c r="I521" i="234"/>
  <c r="I522" i="234"/>
  <c r="I523" i="234"/>
  <c r="I524" i="234"/>
  <c r="I525" i="234"/>
  <c r="I526" i="234"/>
  <c r="I527" i="234"/>
  <c r="I528" i="234"/>
  <c r="I529" i="234"/>
  <c r="I530" i="234"/>
  <c r="I531" i="234"/>
  <c r="I532" i="234"/>
  <c r="I511" i="234"/>
  <c r="I512" i="234"/>
  <c r="I513" i="234"/>
  <c r="I514" i="234"/>
  <c r="I515" i="234"/>
  <c r="I516" i="234"/>
  <c r="I517" i="234"/>
  <c r="I518" i="234"/>
  <c r="I519" i="234"/>
  <c r="I520" i="234"/>
  <c r="I493" i="234"/>
  <c r="I494" i="234"/>
  <c r="I495" i="234"/>
  <c r="I496" i="234"/>
  <c r="I497" i="234"/>
  <c r="I498" i="234"/>
  <c r="I499" i="234"/>
  <c r="I500" i="234"/>
  <c r="I501" i="234"/>
  <c r="I502" i="234"/>
  <c r="I503" i="234"/>
  <c r="I504" i="234"/>
  <c r="I505" i="234"/>
  <c r="I506" i="234"/>
  <c r="I507" i="234"/>
  <c r="I508" i="234"/>
  <c r="I509" i="234"/>
  <c r="I510" i="234"/>
  <c r="I489" i="234"/>
  <c r="I490" i="234"/>
  <c r="I491" i="234"/>
  <c r="I492" i="234"/>
  <c r="D29" i="267" l="1"/>
  <c r="C29" i="267"/>
  <c r="X27" i="234" l="1"/>
  <c r="C61" i="252" s="1"/>
  <c r="C64" i="252" s="1"/>
  <c r="W27" i="234"/>
  <c r="B62" i="252" s="1"/>
  <c r="B64" i="252" s="1"/>
  <c r="U27" i="234"/>
  <c r="Y27" i="234" l="1"/>
  <c r="D64" i="252"/>
  <c r="I217" i="234"/>
  <c r="I218" i="234"/>
  <c r="I219" i="234"/>
  <c r="I220" i="234"/>
  <c r="I221" i="234"/>
  <c r="I222" i="234"/>
  <c r="I223" i="234"/>
  <c r="I224" i="234"/>
  <c r="I225" i="234"/>
  <c r="O14" i="129" l="1"/>
  <c r="L21" i="129"/>
  <c r="B15" i="118" l="1"/>
  <c r="U20" i="234" l="1"/>
  <c r="X26" i="234" l="1"/>
  <c r="C57" i="252" l="1"/>
  <c r="C58" i="252" s="1"/>
  <c r="W26" i="234"/>
  <c r="B56" i="252" s="1"/>
  <c r="B58" i="252" s="1"/>
  <c r="U26" i="234"/>
  <c r="U25" i="234"/>
  <c r="D58" i="252" l="1"/>
  <c r="Y26" i="234"/>
  <c r="I190" i="234"/>
  <c r="X107" i="234" l="1"/>
  <c r="C86" i="78" s="1"/>
  <c r="W107" i="234"/>
  <c r="B86" i="78" s="1"/>
  <c r="U107" i="234"/>
  <c r="U106" i="234"/>
  <c r="Y107" i="234" l="1"/>
  <c r="F20" i="267"/>
  <c r="T11" i="267" l="1"/>
  <c r="O29" i="267"/>
  <c r="N29" i="267"/>
  <c r="M29" i="267"/>
  <c r="P28" i="267"/>
  <c r="P27" i="267"/>
  <c r="P26" i="267"/>
  <c r="P25" i="267"/>
  <c r="P24" i="267"/>
  <c r="P23" i="267"/>
  <c r="P22" i="267"/>
  <c r="P21" i="267"/>
  <c r="P20" i="267"/>
  <c r="P19" i="267"/>
  <c r="P18" i="267"/>
  <c r="P17" i="267"/>
  <c r="P16" i="267"/>
  <c r="P15" i="267"/>
  <c r="P14" i="267"/>
  <c r="P13" i="267"/>
  <c r="P12" i="267"/>
  <c r="P11" i="267"/>
  <c r="P10" i="267"/>
  <c r="P9" i="267"/>
  <c r="P8" i="267"/>
  <c r="P7" i="267"/>
  <c r="P6" i="267"/>
  <c r="P5" i="267"/>
  <c r="P4" i="267"/>
  <c r="P3" i="267"/>
  <c r="P29" i="267" l="1"/>
  <c r="E29" i="267"/>
  <c r="F17" i="267" l="1"/>
  <c r="F4" i="267" l="1"/>
  <c r="F5" i="267"/>
  <c r="F6" i="267"/>
  <c r="F7" i="267"/>
  <c r="F8" i="267"/>
  <c r="F9" i="267"/>
  <c r="F10" i="267"/>
  <c r="F11" i="267"/>
  <c r="F12" i="267"/>
  <c r="F13" i="267"/>
  <c r="F14" i="267"/>
  <c r="F15" i="267"/>
  <c r="F16" i="267"/>
  <c r="F18" i="267"/>
  <c r="F19" i="267"/>
  <c r="F21" i="267"/>
  <c r="F22" i="267"/>
  <c r="F23" i="267"/>
  <c r="F24" i="267"/>
  <c r="F25" i="267"/>
  <c r="F26" i="267"/>
  <c r="F27" i="267"/>
  <c r="F28" i="267"/>
  <c r="F3" i="267"/>
  <c r="F29" i="267" l="1"/>
  <c r="J13" i="267"/>
  <c r="E15" i="130" l="1"/>
  <c r="E14" i="130"/>
  <c r="E13" i="130"/>
  <c r="E12" i="130"/>
  <c r="E11" i="130"/>
  <c r="E10" i="130"/>
  <c r="E9" i="130"/>
  <c r="E8" i="130"/>
  <c r="E7" i="130"/>
  <c r="E6" i="130"/>
  <c r="E5" i="130"/>
  <c r="L4" i="130"/>
  <c r="E4" i="130"/>
  <c r="D21" i="129"/>
  <c r="D26" i="129" s="1"/>
  <c r="H15" i="129"/>
  <c r="D25" i="129" s="1"/>
  <c r="C22" i="125"/>
  <c r="G5" i="125" s="1"/>
  <c r="W29" i="124"/>
  <c r="N29" i="124"/>
  <c r="U29" i="124" s="1"/>
  <c r="T28" i="124"/>
  <c r="N28" i="124"/>
  <c r="Y28" i="124" s="1"/>
  <c r="T27" i="124"/>
  <c r="N27" i="124"/>
  <c r="Y27" i="124" s="1"/>
  <c r="T26" i="124"/>
  <c r="N26" i="124"/>
  <c r="Y26" i="124" s="1"/>
  <c r="T25" i="124"/>
  <c r="N25" i="124"/>
  <c r="Y25" i="124" s="1"/>
  <c r="T24" i="124"/>
  <c r="N24" i="124"/>
  <c r="Y24" i="124" s="1"/>
  <c r="T23" i="124"/>
  <c r="N23" i="124"/>
  <c r="Y23" i="124" s="1"/>
  <c r="T22" i="124"/>
  <c r="N22" i="124"/>
  <c r="Y22" i="124" s="1"/>
  <c r="T21" i="124"/>
  <c r="N21" i="124"/>
  <c r="Y21" i="124" s="1"/>
  <c r="T20" i="124"/>
  <c r="N20" i="124"/>
  <c r="Y20" i="124" s="1"/>
  <c r="Y19" i="124"/>
  <c r="V19" i="124"/>
  <c r="U19" i="124"/>
  <c r="T19" i="124"/>
  <c r="Y18" i="124"/>
  <c r="V18" i="124"/>
  <c r="U18" i="124"/>
  <c r="T18" i="124"/>
  <c r="Y17" i="124"/>
  <c r="V17" i="124"/>
  <c r="U17" i="124"/>
  <c r="T17" i="124"/>
  <c r="T16" i="124"/>
  <c r="T15" i="124"/>
  <c r="T14" i="124"/>
  <c r="N14" i="124"/>
  <c r="T13" i="124"/>
  <c r="N13" i="124"/>
  <c r="T12" i="124"/>
  <c r="N12" i="124"/>
  <c r="T11" i="124"/>
  <c r="N11" i="124"/>
  <c r="T10" i="124"/>
  <c r="N10" i="124"/>
  <c r="T9" i="124"/>
  <c r="N9" i="124"/>
  <c r="T8" i="124"/>
  <c r="N8" i="124"/>
  <c r="T7" i="124"/>
  <c r="N7" i="124"/>
  <c r="T6" i="124"/>
  <c r="N6" i="124"/>
  <c r="AE5" i="124"/>
  <c r="AD5" i="124"/>
  <c r="AB5" i="124"/>
  <c r="AA5" i="124"/>
  <c r="T5" i="124"/>
  <c r="N5" i="124"/>
  <c r="AF5" i="124" s="1"/>
  <c r="AE4" i="124"/>
  <c r="AD4" i="124"/>
  <c r="AB4" i="124"/>
  <c r="AA4" i="124"/>
  <c r="T4" i="124"/>
  <c r="N4" i="124"/>
  <c r="AC4" i="124" s="1"/>
  <c r="M2" i="124"/>
  <c r="AH59" i="123"/>
  <c r="AE59" i="123"/>
  <c r="AD59" i="123"/>
  <c r="W59" i="123"/>
  <c r="Q59" i="123"/>
  <c r="AB59" i="123" s="1"/>
  <c r="AH58" i="123"/>
  <c r="AE58" i="123"/>
  <c r="AD58" i="123"/>
  <c r="W58" i="123"/>
  <c r="Q58" i="123"/>
  <c r="AB58" i="123" s="1"/>
  <c r="AH57" i="123"/>
  <c r="AE57" i="123"/>
  <c r="AD57" i="123"/>
  <c r="W57" i="123"/>
  <c r="Q57" i="123"/>
  <c r="AB57" i="123" s="1"/>
  <c r="AH56" i="123"/>
  <c r="AE56" i="123"/>
  <c r="AD56" i="123"/>
  <c r="W56" i="123"/>
  <c r="Q56" i="123"/>
  <c r="AB56" i="123" s="1"/>
  <c r="AH55" i="123"/>
  <c r="AE55" i="123"/>
  <c r="AD55" i="123"/>
  <c r="W55" i="123"/>
  <c r="Q55" i="123"/>
  <c r="AB55" i="123" s="1"/>
  <c r="AH54" i="123"/>
  <c r="AE54" i="123"/>
  <c r="AD54" i="123"/>
  <c r="W54" i="123"/>
  <c r="Q54" i="123"/>
  <c r="AB54" i="123" s="1"/>
  <c r="AH53" i="123"/>
  <c r="AE53" i="123"/>
  <c r="AD53" i="123"/>
  <c r="W53" i="123"/>
  <c r="Q53" i="123"/>
  <c r="AB53" i="123" s="1"/>
  <c r="AH52" i="123"/>
  <c r="AE52" i="123"/>
  <c r="AD52" i="123"/>
  <c r="W52" i="123"/>
  <c r="Q52" i="123"/>
  <c r="AB52" i="123" s="1"/>
  <c r="AH51" i="123"/>
  <c r="AE51" i="123"/>
  <c r="AD51" i="123"/>
  <c r="W51" i="123"/>
  <c r="Q51" i="123"/>
  <c r="AB51" i="123" s="1"/>
  <c r="AH50" i="123"/>
  <c r="AE50" i="123"/>
  <c r="AD50" i="123"/>
  <c r="W50" i="123"/>
  <c r="Q50" i="123"/>
  <c r="AB50" i="123" s="1"/>
  <c r="AH49" i="123"/>
  <c r="AE49" i="123"/>
  <c r="AD49" i="123"/>
  <c r="W49" i="123"/>
  <c r="Q49" i="123"/>
  <c r="AB49" i="123" s="1"/>
  <c r="AH48" i="123"/>
  <c r="AE48" i="123"/>
  <c r="AD48" i="123"/>
  <c r="W48" i="123"/>
  <c r="Q48" i="123"/>
  <c r="AB48" i="123" s="1"/>
  <c r="AH47" i="123"/>
  <c r="AE47" i="123"/>
  <c r="AD47" i="123"/>
  <c r="W47" i="123"/>
  <c r="Q47" i="123"/>
  <c r="AB47" i="123" s="1"/>
  <c r="AH46" i="123"/>
  <c r="AE46" i="123"/>
  <c r="AD46" i="123"/>
  <c r="W46" i="123"/>
  <c r="Q46" i="123"/>
  <c r="AB46" i="123" s="1"/>
  <c r="AH45" i="123"/>
  <c r="AE45" i="123"/>
  <c r="AD45" i="123"/>
  <c r="W45" i="123"/>
  <c r="Q45" i="123"/>
  <c r="AB45" i="123" s="1"/>
  <c r="AH44" i="123"/>
  <c r="AE44" i="123"/>
  <c r="AD44" i="123"/>
  <c r="W44" i="123"/>
  <c r="Q44" i="123"/>
  <c r="AB44" i="123" s="1"/>
  <c r="AH43" i="123"/>
  <c r="AE43" i="123"/>
  <c r="AD43" i="123"/>
  <c r="W43" i="123"/>
  <c r="Q43" i="123"/>
  <c r="AB43" i="123" s="1"/>
  <c r="AH42" i="123"/>
  <c r="AE42" i="123"/>
  <c r="AD42" i="123"/>
  <c r="Z42" i="123"/>
  <c r="W42" i="123"/>
  <c r="Q42" i="123"/>
  <c r="AB42" i="123" s="1"/>
  <c r="AH41" i="123"/>
  <c r="AE41" i="123"/>
  <c r="AD41" i="123"/>
  <c r="W41" i="123"/>
  <c r="Q41" i="123"/>
  <c r="AB41" i="123" s="1"/>
  <c r="AH40" i="123"/>
  <c r="AE40" i="123"/>
  <c r="AD40" i="123"/>
  <c r="W40" i="123"/>
  <c r="Q40" i="123"/>
  <c r="AB40" i="123" s="1"/>
  <c r="AH39" i="123"/>
  <c r="AE39" i="123"/>
  <c r="AD39" i="123"/>
  <c r="W39" i="123"/>
  <c r="Q39" i="123"/>
  <c r="AB39" i="123" s="1"/>
  <c r="AH38" i="123"/>
  <c r="AE38" i="123"/>
  <c r="AD38" i="123"/>
  <c r="W38" i="123"/>
  <c r="Q38" i="123"/>
  <c r="AB38" i="123" s="1"/>
  <c r="AH37" i="123"/>
  <c r="AE37" i="123"/>
  <c r="AD37" i="123"/>
  <c r="W37" i="123"/>
  <c r="Q37" i="123"/>
  <c r="AB37" i="123" s="1"/>
  <c r="AI36" i="123"/>
  <c r="AH36" i="123"/>
  <c r="AF36" i="123"/>
  <c r="AE36" i="123"/>
  <c r="AD36" i="123"/>
  <c r="AB36" i="123"/>
  <c r="Y36" i="123"/>
  <c r="X36" i="123"/>
  <c r="W36" i="123"/>
  <c r="AI35" i="123"/>
  <c r="AH35" i="123"/>
  <c r="AF35" i="123"/>
  <c r="AE35" i="123"/>
  <c r="AD35" i="123"/>
  <c r="AB35" i="123"/>
  <c r="Y35" i="123"/>
  <c r="X35" i="123"/>
  <c r="W35" i="123"/>
  <c r="AI34" i="123"/>
  <c r="AH34" i="123"/>
  <c r="AF34" i="123"/>
  <c r="AE34" i="123"/>
  <c r="AD34" i="123"/>
  <c r="AB34" i="123"/>
  <c r="Y34" i="123"/>
  <c r="X34" i="123"/>
  <c r="W34" i="123"/>
  <c r="AI33" i="123"/>
  <c r="AH33" i="123"/>
  <c r="AF33" i="123"/>
  <c r="AE33" i="123"/>
  <c r="AD33" i="123"/>
  <c r="AB33" i="123"/>
  <c r="Y33" i="123"/>
  <c r="X33" i="123"/>
  <c r="W33" i="123"/>
  <c r="AI32" i="123"/>
  <c r="AH32" i="123"/>
  <c r="AF32" i="123"/>
  <c r="AE32" i="123"/>
  <c r="AD32" i="123"/>
  <c r="AB32" i="123"/>
  <c r="Y32" i="123"/>
  <c r="X32" i="123"/>
  <c r="W32" i="123"/>
  <c r="AI31" i="123"/>
  <c r="AH31" i="123"/>
  <c r="AF31" i="123"/>
  <c r="AE31" i="123"/>
  <c r="AD31" i="123"/>
  <c r="AB31" i="123"/>
  <c r="Y31" i="123"/>
  <c r="X31" i="123"/>
  <c r="W31" i="123"/>
  <c r="AI30" i="123"/>
  <c r="AH30" i="123"/>
  <c r="AF30" i="123"/>
  <c r="AE30" i="123"/>
  <c r="AD30" i="123"/>
  <c r="AB30" i="123"/>
  <c r="Y30" i="123"/>
  <c r="X30" i="123"/>
  <c r="W30" i="123"/>
  <c r="AI29" i="123"/>
  <c r="AH29" i="123"/>
  <c r="AF29" i="123"/>
  <c r="AE29" i="123"/>
  <c r="AD29" i="123"/>
  <c r="AB29" i="123"/>
  <c r="Y29" i="123"/>
  <c r="X29" i="123"/>
  <c r="W29" i="123"/>
  <c r="AI28" i="123"/>
  <c r="AH28" i="123"/>
  <c r="AF28" i="123"/>
  <c r="AE28" i="123"/>
  <c r="AD28" i="123"/>
  <c r="AB28" i="123"/>
  <c r="Y28" i="123"/>
  <c r="X28" i="123"/>
  <c r="W28" i="123"/>
  <c r="AI27" i="123"/>
  <c r="AH27" i="123"/>
  <c r="AF27" i="123"/>
  <c r="AE27" i="123"/>
  <c r="AD27" i="123"/>
  <c r="AB27" i="123"/>
  <c r="Y27" i="123"/>
  <c r="X27" i="123"/>
  <c r="W27" i="123"/>
  <c r="AI26" i="123"/>
  <c r="AH26" i="123"/>
  <c r="AF26" i="123"/>
  <c r="AE26" i="123"/>
  <c r="AD26" i="123"/>
  <c r="AB26" i="123"/>
  <c r="Y26" i="123"/>
  <c r="X26" i="123"/>
  <c r="W26" i="123"/>
  <c r="AI25" i="123"/>
  <c r="AH25" i="123"/>
  <c r="AF25" i="123"/>
  <c r="AE25" i="123"/>
  <c r="AD25" i="123"/>
  <c r="AB25" i="123"/>
  <c r="Y25" i="123"/>
  <c r="X25" i="123"/>
  <c r="W25" i="123"/>
  <c r="AI24" i="123"/>
  <c r="AH24" i="123"/>
  <c r="AF24" i="123"/>
  <c r="AE24" i="123"/>
  <c r="AD24" i="123"/>
  <c r="AB24" i="123"/>
  <c r="Y24" i="123"/>
  <c r="X24" i="123"/>
  <c r="W24" i="123"/>
  <c r="AI23" i="123"/>
  <c r="AH23" i="123"/>
  <c r="AF23" i="123"/>
  <c r="AE23" i="123"/>
  <c r="AD23" i="123"/>
  <c r="AB23" i="123"/>
  <c r="Y23" i="123"/>
  <c r="X23" i="123"/>
  <c r="W23" i="123"/>
  <c r="AI22" i="123"/>
  <c r="AH22" i="123"/>
  <c r="AF22" i="123"/>
  <c r="AE22" i="123"/>
  <c r="AD22" i="123"/>
  <c r="AB22" i="123"/>
  <c r="Y22" i="123"/>
  <c r="X22" i="123"/>
  <c r="W22" i="123"/>
  <c r="AI21" i="123"/>
  <c r="AH21" i="123"/>
  <c r="AF21" i="123"/>
  <c r="AE21" i="123"/>
  <c r="AB21" i="123"/>
  <c r="Y21" i="123"/>
  <c r="X21" i="123"/>
  <c r="W21" i="123"/>
  <c r="AI20" i="123"/>
  <c r="AH20" i="123"/>
  <c r="AF20" i="123"/>
  <c r="AE20" i="123"/>
  <c r="AB20" i="123"/>
  <c r="Y20" i="123"/>
  <c r="X20" i="123"/>
  <c r="W20" i="123"/>
  <c r="AI19" i="123"/>
  <c r="AH19" i="123"/>
  <c r="AF19" i="123"/>
  <c r="AE19" i="123"/>
  <c r="AB19" i="123"/>
  <c r="Y19" i="123"/>
  <c r="X19" i="123"/>
  <c r="W19" i="123"/>
  <c r="AI18" i="123"/>
  <c r="AH18" i="123"/>
  <c r="AF18" i="123"/>
  <c r="AE18" i="123"/>
  <c r="AB18" i="123"/>
  <c r="Y18" i="123"/>
  <c r="X18" i="123"/>
  <c r="W18" i="123"/>
  <c r="AI17" i="123"/>
  <c r="AH17" i="123"/>
  <c r="AF17" i="123"/>
  <c r="AE17" i="123"/>
  <c r="AB17" i="123"/>
  <c r="Y17" i="123"/>
  <c r="X17" i="123"/>
  <c r="W17" i="123"/>
  <c r="AI16" i="123"/>
  <c r="AH16" i="123"/>
  <c r="AF16" i="123"/>
  <c r="AE16" i="123"/>
  <c r="AB16" i="123"/>
  <c r="Y16" i="123"/>
  <c r="X16" i="123"/>
  <c r="W16" i="123"/>
  <c r="AI15" i="123"/>
  <c r="AH15" i="123"/>
  <c r="AF15" i="123"/>
  <c r="AE15" i="123"/>
  <c r="AB15" i="123"/>
  <c r="Y15" i="123"/>
  <c r="X15" i="123"/>
  <c r="W15" i="123"/>
  <c r="AG14" i="123"/>
  <c r="AF14" i="123"/>
  <c r="AA14" i="123"/>
  <c r="Y14" i="123"/>
  <c r="X14" i="123"/>
  <c r="W14" i="123"/>
  <c r="V14" i="123"/>
  <c r="AG13" i="123"/>
  <c r="AF13" i="123"/>
  <c r="AA13" i="123"/>
  <c r="Y13" i="123"/>
  <c r="X13" i="123"/>
  <c r="W13" i="123"/>
  <c r="V13" i="123"/>
  <c r="AG12" i="123"/>
  <c r="AF12" i="123"/>
  <c r="AA12" i="123"/>
  <c r="Y12" i="123"/>
  <c r="X12" i="123"/>
  <c r="W12" i="123"/>
  <c r="V12" i="123"/>
  <c r="AG11" i="123"/>
  <c r="AF11" i="123"/>
  <c r="AA11" i="123"/>
  <c r="Y11" i="123"/>
  <c r="X11" i="123"/>
  <c r="W11" i="123"/>
  <c r="V11" i="123"/>
  <c r="AG10" i="123"/>
  <c r="AF10" i="123"/>
  <c r="AC10" i="123"/>
  <c r="AA10" i="123"/>
  <c r="Y10" i="123"/>
  <c r="X10" i="123"/>
  <c r="W10" i="123"/>
  <c r="V10" i="123"/>
  <c r="AG9" i="123"/>
  <c r="AF9" i="123"/>
  <c r="AA9" i="123"/>
  <c r="Y9" i="123"/>
  <c r="X9" i="123"/>
  <c r="W9" i="123"/>
  <c r="V9" i="123"/>
  <c r="AG8" i="123"/>
  <c r="AF8" i="123"/>
  <c r="AA8" i="123"/>
  <c r="Y8" i="123"/>
  <c r="X8" i="123"/>
  <c r="W8" i="123"/>
  <c r="V8" i="123"/>
  <c r="AG7" i="123"/>
  <c r="AA7" i="123"/>
  <c r="Y7" i="123"/>
  <c r="X7" i="123"/>
  <c r="W7" i="123"/>
  <c r="V7" i="123"/>
  <c r="AG6" i="123"/>
  <c r="AF6" i="123"/>
  <c r="AA6" i="123"/>
  <c r="Y6" i="123"/>
  <c r="X6" i="123"/>
  <c r="W6" i="123"/>
  <c r="V6" i="123"/>
  <c r="AG5" i="123"/>
  <c r="AF5" i="123"/>
  <c r="AA5" i="123"/>
  <c r="Y5" i="123"/>
  <c r="X5" i="123"/>
  <c r="W5" i="123"/>
  <c r="V5" i="123"/>
  <c r="AG4" i="123"/>
  <c r="AA4" i="123"/>
  <c r="Y4" i="123"/>
  <c r="X4" i="123"/>
  <c r="W4" i="123"/>
  <c r="V4" i="123"/>
  <c r="AG3" i="123"/>
  <c r="AA3" i="123"/>
  <c r="Y3" i="123"/>
  <c r="X3" i="123"/>
  <c r="W3" i="123"/>
  <c r="V3" i="123"/>
  <c r="AG2" i="123"/>
  <c r="AA2" i="123"/>
  <c r="Y2" i="123"/>
  <c r="X2" i="123"/>
  <c r="W2" i="123"/>
  <c r="V2" i="123"/>
  <c r="W27" i="227"/>
  <c r="N27" i="227"/>
  <c r="U27" i="227" s="1"/>
  <c r="T26" i="227"/>
  <c r="N26" i="227"/>
  <c r="Y26" i="227" s="1"/>
  <c r="T25" i="227"/>
  <c r="N25" i="227"/>
  <c r="U25" i="227" s="1"/>
  <c r="V25" i="227" s="1"/>
  <c r="T24" i="227"/>
  <c r="N24" i="227"/>
  <c r="Y24" i="227" s="1"/>
  <c r="T23" i="227"/>
  <c r="N23" i="227"/>
  <c r="U23" i="227" s="1"/>
  <c r="V23" i="227" s="1"/>
  <c r="T22" i="227"/>
  <c r="N22" i="227"/>
  <c r="Y22" i="227" s="1"/>
  <c r="T21" i="227"/>
  <c r="N21" i="227"/>
  <c r="U21" i="227" s="1"/>
  <c r="V21" i="227" s="1"/>
  <c r="T20" i="227"/>
  <c r="N20" i="227"/>
  <c r="Y20" i="227" s="1"/>
  <c r="T19" i="227"/>
  <c r="N19" i="227"/>
  <c r="U19" i="227" s="1"/>
  <c r="V19" i="227" s="1"/>
  <c r="T18" i="227"/>
  <c r="N18" i="227"/>
  <c r="Y18" i="227" s="1"/>
  <c r="Y17" i="227"/>
  <c r="V17" i="227"/>
  <c r="U17" i="227"/>
  <c r="T17" i="227"/>
  <c r="Y16" i="227"/>
  <c r="V16" i="227"/>
  <c r="U16" i="227"/>
  <c r="T16" i="227"/>
  <c r="Y15" i="227"/>
  <c r="V15" i="227"/>
  <c r="U15" i="227"/>
  <c r="T15" i="227"/>
  <c r="T14" i="227"/>
  <c r="T13" i="227"/>
  <c r="T12" i="227"/>
  <c r="N12" i="227"/>
  <c r="T11" i="227"/>
  <c r="N11" i="227"/>
  <c r="T10" i="227"/>
  <c r="N10" i="227"/>
  <c r="T9" i="227"/>
  <c r="N9" i="227"/>
  <c r="T8" i="227"/>
  <c r="N8" i="227"/>
  <c r="T7" i="227"/>
  <c r="N7" i="227"/>
  <c r="T6" i="227"/>
  <c r="N6" i="227"/>
  <c r="T5" i="227"/>
  <c r="N5" i="227"/>
  <c r="T4" i="227"/>
  <c r="N4" i="227"/>
  <c r="AE3" i="227"/>
  <c r="AD3" i="227"/>
  <c r="AB3" i="227"/>
  <c r="AA3" i="227"/>
  <c r="T3" i="227"/>
  <c r="N3" i="227"/>
  <c r="AF3" i="227" s="1"/>
  <c r="AE2" i="227"/>
  <c r="AD2" i="227"/>
  <c r="AB2" i="227"/>
  <c r="AA2" i="227"/>
  <c r="T2" i="227"/>
  <c r="N2" i="227"/>
  <c r="Y2" i="227" s="1"/>
  <c r="C13" i="257"/>
  <c r="C9" i="257"/>
  <c r="C1" i="257"/>
  <c r="C14" i="256"/>
  <c r="C9" i="256"/>
  <c r="C1" i="256"/>
  <c r="AK69" i="225"/>
  <c r="AK66" i="225"/>
  <c r="AK65" i="225"/>
  <c r="AK62" i="225"/>
  <c r="AH62" i="225"/>
  <c r="AK61" i="225"/>
  <c r="AH61" i="225"/>
  <c r="AK59" i="225"/>
  <c r="AJ59" i="225"/>
  <c r="AH59" i="225"/>
  <c r="AG59" i="225"/>
  <c r="AF59" i="225"/>
  <c r="AD59" i="225"/>
  <c r="AA59" i="225"/>
  <c r="Z59" i="225"/>
  <c r="Y59" i="225"/>
  <c r="S59" i="225"/>
  <c r="AK58" i="225"/>
  <c r="AJ58" i="225"/>
  <c r="AG58" i="225"/>
  <c r="AF58" i="225"/>
  <c r="AD58" i="225"/>
  <c r="AA58" i="225"/>
  <c r="Z58" i="225"/>
  <c r="Y58" i="225"/>
  <c r="S58" i="225"/>
  <c r="AJ57" i="225"/>
  <c r="AG57" i="225"/>
  <c r="AF57" i="225"/>
  <c r="AD57" i="225"/>
  <c r="AA57" i="225"/>
  <c r="Z57" i="225"/>
  <c r="Y57" i="225"/>
  <c r="S57" i="225"/>
  <c r="AK56" i="225"/>
  <c r="AJ56" i="225"/>
  <c r="AH56" i="225"/>
  <c r="AG56" i="225"/>
  <c r="AF56" i="225"/>
  <c r="AD56" i="225"/>
  <c r="AA56" i="225"/>
  <c r="Z56" i="225"/>
  <c r="Y56" i="225"/>
  <c r="S56" i="225"/>
  <c r="AK55" i="225"/>
  <c r="AJ55" i="225"/>
  <c r="AH55" i="225"/>
  <c r="AG55" i="225"/>
  <c r="AF55" i="225"/>
  <c r="AD55" i="225"/>
  <c r="AA55" i="225"/>
  <c r="Z55" i="225"/>
  <c r="Y55" i="225"/>
  <c r="S55" i="225"/>
  <c r="AJ54" i="225"/>
  <c r="AG54" i="225"/>
  <c r="AF54" i="225"/>
  <c r="AD54" i="225"/>
  <c r="AA54" i="225"/>
  <c r="Z54" i="225"/>
  <c r="Y54" i="225"/>
  <c r="S54" i="225"/>
  <c r="AJ53" i="225"/>
  <c r="AG53" i="225"/>
  <c r="AF53" i="225"/>
  <c r="AD53" i="225"/>
  <c r="AA53" i="225"/>
  <c r="Z53" i="225"/>
  <c r="Y53" i="225"/>
  <c r="S53" i="225"/>
  <c r="AJ52" i="225"/>
  <c r="AG52" i="225"/>
  <c r="AF52" i="225"/>
  <c r="AD52" i="225"/>
  <c r="AA52" i="225"/>
  <c r="Z52" i="225"/>
  <c r="Y52" i="225"/>
  <c r="S52" i="225"/>
  <c r="AK51" i="225"/>
  <c r="AJ51" i="225"/>
  <c r="AH51" i="225"/>
  <c r="AG51" i="225"/>
  <c r="AF51" i="225"/>
  <c r="AD51" i="225"/>
  <c r="AA51" i="225"/>
  <c r="Z51" i="225"/>
  <c r="Y51" i="225"/>
  <c r="S51" i="225"/>
  <c r="AJ50" i="225"/>
  <c r="AG50" i="225"/>
  <c r="AF50" i="225"/>
  <c r="AD50" i="225"/>
  <c r="AA50" i="225"/>
  <c r="Z50" i="225"/>
  <c r="Y50" i="225"/>
  <c r="S50" i="225"/>
  <c r="AK49" i="225"/>
  <c r="AJ49" i="225"/>
  <c r="AG49" i="225"/>
  <c r="AF49" i="225"/>
  <c r="AD49" i="225"/>
  <c r="AA49" i="225"/>
  <c r="Z49" i="225"/>
  <c r="Y49" i="225"/>
  <c r="S49" i="225"/>
  <c r="AK48" i="225"/>
  <c r="AJ48" i="225"/>
  <c r="AH48" i="225"/>
  <c r="AG48" i="225"/>
  <c r="AF48" i="225"/>
  <c r="AD48" i="225"/>
  <c r="AA48" i="225"/>
  <c r="Z48" i="225"/>
  <c r="Y48" i="225"/>
  <c r="S48" i="225"/>
  <c r="AJ47" i="225"/>
  <c r="AG47" i="225"/>
  <c r="AF47" i="225"/>
  <c r="AD47" i="225"/>
  <c r="AA47" i="225"/>
  <c r="Z47" i="225"/>
  <c r="Y47" i="225"/>
  <c r="S47" i="225"/>
  <c r="W27" i="191"/>
  <c r="N27" i="191"/>
  <c r="Y27" i="191" s="1"/>
  <c r="T26" i="191"/>
  <c r="N26" i="191"/>
  <c r="Y26" i="191" s="1"/>
  <c r="T25" i="191"/>
  <c r="N25" i="191"/>
  <c r="Y25" i="191" s="1"/>
  <c r="T24" i="191"/>
  <c r="N24" i="191"/>
  <c r="Y24" i="191" s="1"/>
  <c r="T23" i="191"/>
  <c r="N23" i="191"/>
  <c r="Y23" i="191" s="1"/>
  <c r="T22" i="191"/>
  <c r="N22" i="191"/>
  <c r="Y22" i="191" s="1"/>
  <c r="T21" i="191"/>
  <c r="N21" i="191"/>
  <c r="Y21" i="191" s="1"/>
  <c r="T20" i="191"/>
  <c r="N20" i="191"/>
  <c r="Y20" i="191" s="1"/>
  <c r="T19" i="191"/>
  <c r="N19" i="191"/>
  <c r="Y19" i="191" s="1"/>
  <c r="T18" i="191"/>
  <c r="N18" i="191"/>
  <c r="Y18" i="191" s="1"/>
  <c r="Y17" i="191"/>
  <c r="V17" i="191"/>
  <c r="U17" i="191"/>
  <c r="T17" i="191"/>
  <c r="Y16" i="191"/>
  <c r="V16" i="191"/>
  <c r="U16" i="191"/>
  <c r="T16" i="191"/>
  <c r="Y15" i="191"/>
  <c r="V15" i="191"/>
  <c r="U15" i="191"/>
  <c r="T15" i="191"/>
  <c r="T14" i="191"/>
  <c r="T13" i="191"/>
  <c r="T12" i="191"/>
  <c r="N12" i="191"/>
  <c r="T11" i="191"/>
  <c r="N11" i="191"/>
  <c r="T10" i="191"/>
  <c r="N10" i="191"/>
  <c r="T9" i="191"/>
  <c r="N9" i="191"/>
  <c r="T8" i="191"/>
  <c r="N8" i="191"/>
  <c r="T7" i="191"/>
  <c r="N7" i="191"/>
  <c r="T6" i="191"/>
  <c r="N6" i="191"/>
  <c r="T5" i="191"/>
  <c r="N5" i="191"/>
  <c r="T4" i="191"/>
  <c r="N4" i="191"/>
  <c r="AF3" i="191"/>
  <c r="AE3" i="191"/>
  <c r="AD3" i="191"/>
  <c r="AC3" i="191"/>
  <c r="AB3" i="191"/>
  <c r="AA3" i="191"/>
  <c r="Y3" i="191"/>
  <c r="V3" i="191"/>
  <c r="U3" i="191"/>
  <c r="T3" i="191"/>
  <c r="AF2" i="191"/>
  <c r="AE2" i="191"/>
  <c r="AD2" i="191"/>
  <c r="AC2" i="191"/>
  <c r="AB2" i="191"/>
  <c r="AA2" i="191"/>
  <c r="Y2" i="191"/>
  <c r="V2" i="191"/>
  <c r="U2" i="191"/>
  <c r="T2" i="191"/>
  <c r="M16" i="117"/>
  <c r="M15" i="117"/>
  <c r="M14" i="117"/>
  <c r="M13" i="117"/>
  <c r="M12" i="117"/>
  <c r="K12" i="117"/>
  <c r="M11" i="117"/>
  <c r="K11" i="117"/>
  <c r="M10" i="117"/>
  <c r="K10" i="117"/>
  <c r="M9" i="117"/>
  <c r="M8" i="117"/>
  <c r="M7" i="117"/>
  <c r="M6" i="117"/>
  <c r="L6" i="117"/>
  <c r="K6" i="117"/>
  <c r="H6" i="117"/>
  <c r="L4" i="117"/>
  <c r="K4" i="117"/>
  <c r="L2" i="117"/>
  <c r="K2" i="117"/>
  <c r="I5" i="262"/>
  <c r="I4" i="262"/>
  <c r="I3" i="262"/>
  <c r="H1" i="262"/>
  <c r="Q16" i="260"/>
  <c r="Q15" i="260"/>
  <c r="Q14" i="260"/>
  <c r="M4" i="260"/>
  <c r="F4" i="260"/>
  <c r="M3" i="260"/>
  <c r="F3" i="260"/>
  <c r="C1" i="260"/>
  <c r="C1" i="252"/>
  <c r="C1" i="243"/>
  <c r="B79" i="78"/>
  <c r="B66" i="78"/>
  <c r="D66" i="78" s="1"/>
  <c r="G1" i="78"/>
  <c r="I1188" i="234"/>
  <c r="I1187" i="234"/>
  <c r="I1186" i="234"/>
  <c r="I1185" i="234"/>
  <c r="I1184" i="234"/>
  <c r="I1183" i="234"/>
  <c r="I1182" i="234"/>
  <c r="I1181" i="234"/>
  <c r="I1180" i="234"/>
  <c r="I1179" i="234"/>
  <c r="I1178" i="234"/>
  <c r="I1177" i="234"/>
  <c r="I1176" i="234"/>
  <c r="I1175" i="234"/>
  <c r="I1174" i="234"/>
  <c r="I1173" i="234"/>
  <c r="I1172" i="234"/>
  <c r="I1171" i="234"/>
  <c r="I1170" i="234"/>
  <c r="I1169" i="234"/>
  <c r="I1168" i="234"/>
  <c r="I1167" i="234"/>
  <c r="I1166" i="234"/>
  <c r="I1165" i="234"/>
  <c r="I1164" i="234"/>
  <c r="I1163" i="234"/>
  <c r="I1162" i="234"/>
  <c r="I1161" i="234"/>
  <c r="I1160" i="234"/>
  <c r="I1159" i="234"/>
  <c r="I1158" i="234"/>
  <c r="I1157" i="234"/>
  <c r="I1156" i="234"/>
  <c r="I1155" i="234"/>
  <c r="I1154" i="234"/>
  <c r="I1153" i="234"/>
  <c r="I1152" i="234"/>
  <c r="I1151" i="234"/>
  <c r="I1150" i="234"/>
  <c r="I1149" i="234"/>
  <c r="I1148" i="234"/>
  <c r="I1147" i="234"/>
  <c r="I1146" i="234"/>
  <c r="I1145" i="234"/>
  <c r="I1144" i="234"/>
  <c r="I1143" i="234"/>
  <c r="I1142" i="234"/>
  <c r="I1141" i="234"/>
  <c r="I1140" i="234"/>
  <c r="I1139" i="234"/>
  <c r="I1138" i="234"/>
  <c r="I1137" i="234"/>
  <c r="I1136" i="234"/>
  <c r="I1135" i="234"/>
  <c r="I1134" i="234"/>
  <c r="I1133" i="234"/>
  <c r="I1132" i="234"/>
  <c r="I1131" i="234"/>
  <c r="I1130" i="234"/>
  <c r="I1129" i="234"/>
  <c r="I1128" i="234"/>
  <c r="I1127" i="234"/>
  <c r="I1126" i="234"/>
  <c r="I1125" i="234"/>
  <c r="I1124" i="234"/>
  <c r="I1123" i="234"/>
  <c r="I1122" i="234"/>
  <c r="I1121" i="234"/>
  <c r="I1120" i="234"/>
  <c r="I1119" i="234"/>
  <c r="I1118" i="234"/>
  <c r="I1117" i="234"/>
  <c r="I1116" i="234"/>
  <c r="I1115" i="234"/>
  <c r="I1114" i="234"/>
  <c r="I1113" i="234"/>
  <c r="I1112" i="234"/>
  <c r="I1111" i="234"/>
  <c r="I1110" i="234"/>
  <c r="I1109" i="234"/>
  <c r="I1108" i="234"/>
  <c r="I1107" i="234"/>
  <c r="I1106" i="234"/>
  <c r="I1105" i="234"/>
  <c r="I1104" i="234"/>
  <c r="I1103" i="234"/>
  <c r="I1102" i="234"/>
  <c r="I1101" i="234"/>
  <c r="I1100" i="234"/>
  <c r="I1099" i="234"/>
  <c r="I1098" i="234"/>
  <c r="I1097" i="234"/>
  <c r="I1096" i="234"/>
  <c r="I1095" i="234"/>
  <c r="I1094" i="234"/>
  <c r="I1093" i="234"/>
  <c r="I1092" i="234"/>
  <c r="I1091" i="234"/>
  <c r="I1090" i="234"/>
  <c r="I1089" i="234"/>
  <c r="I1088" i="234"/>
  <c r="I1087" i="234"/>
  <c r="I1086" i="234"/>
  <c r="I1085" i="234"/>
  <c r="I1084" i="234"/>
  <c r="I1083" i="234"/>
  <c r="I1082" i="234"/>
  <c r="I1081" i="234"/>
  <c r="I1080" i="234"/>
  <c r="I1079" i="234"/>
  <c r="I1078" i="234"/>
  <c r="I1077" i="234"/>
  <c r="I1076" i="234"/>
  <c r="I1075" i="234"/>
  <c r="I1074" i="234"/>
  <c r="I1073" i="234"/>
  <c r="I1072" i="234"/>
  <c r="I1071" i="234"/>
  <c r="I1070" i="234"/>
  <c r="I1069" i="234"/>
  <c r="I1068" i="234"/>
  <c r="I1067" i="234"/>
  <c r="I1066" i="234"/>
  <c r="I1065" i="234"/>
  <c r="I1064" i="234"/>
  <c r="I1063" i="234"/>
  <c r="I1062" i="234"/>
  <c r="I1061" i="234"/>
  <c r="I1060" i="234"/>
  <c r="I1059" i="234"/>
  <c r="I1058" i="234"/>
  <c r="I1057" i="234"/>
  <c r="I1056" i="234"/>
  <c r="I1055" i="234"/>
  <c r="I1054" i="234"/>
  <c r="I1053" i="234"/>
  <c r="I1052" i="234"/>
  <c r="I1051" i="234"/>
  <c r="I1050" i="234"/>
  <c r="I1049" i="234"/>
  <c r="I1048" i="234"/>
  <c r="I1047" i="234"/>
  <c r="I1046" i="234"/>
  <c r="I1045" i="234"/>
  <c r="I1044" i="234"/>
  <c r="I1043" i="234"/>
  <c r="I1042" i="234"/>
  <c r="I1041" i="234"/>
  <c r="I1040" i="234"/>
  <c r="I1039" i="234"/>
  <c r="I1038" i="234"/>
  <c r="I1037" i="234"/>
  <c r="I1036" i="234"/>
  <c r="I1035" i="234"/>
  <c r="I1034" i="234"/>
  <c r="I1033" i="234"/>
  <c r="I1032" i="234"/>
  <c r="I1031" i="234"/>
  <c r="I1030" i="234"/>
  <c r="I1029" i="234"/>
  <c r="I1028" i="234"/>
  <c r="I1027" i="234"/>
  <c r="I1026" i="234"/>
  <c r="I1025" i="234"/>
  <c r="I1024" i="234"/>
  <c r="I1023" i="234"/>
  <c r="I1022" i="234"/>
  <c r="I1021" i="234"/>
  <c r="I1020" i="234"/>
  <c r="I1019" i="234"/>
  <c r="I1018" i="234"/>
  <c r="I1017" i="234"/>
  <c r="I1016" i="234"/>
  <c r="I1015" i="234"/>
  <c r="I1014" i="234"/>
  <c r="I1013" i="234"/>
  <c r="I1012" i="234"/>
  <c r="I1011" i="234"/>
  <c r="I1010" i="234"/>
  <c r="I1009" i="234"/>
  <c r="I1008" i="234"/>
  <c r="I1007" i="234"/>
  <c r="I1006" i="234"/>
  <c r="I1005" i="234"/>
  <c r="I1004" i="234"/>
  <c r="I1003" i="234"/>
  <c r="I1002" i="234"/>
  <c r="I1001" i="234"/>
  <c r="I1000" i="234"/>
  <c r="I999" i="234"/>
  <c r="I998" i="234"/>
  <c r="I997" i="234"/>
  <c r="I996" i="234"/>
  <c r="I995" i="234"/>
  <c r="I994" i="234"/>
  <c r="I993" i="234"/>
  <c r="I992" i="234"/>
  <c r="I991" i="234"/>
  <c r="I990" i="234"/>
  <c r="I989" i="234"/>
  <c r="I988" i="234"/>
  <c r="I987" i="234"/>
  <c r="I986" i="234"/>
  <c r="I985" i="234"/>
  <c r="I984" i="234"/>
  <c r="I983" i="234"/>
  <c r="I982" i="234"/>
  <c r="I981" i="234"/>
  <c r="I980" i="234"/>
  <c r="I979" i="234"/>
  <c r="I978" i="234"/>
  <c r="I977" i="234"/>
  <c r="I976" i="234"/>
  <c r="I975" i="234"/>
  <c r="I974" i="234"/>
  <c r="I973" i="234"/>
  <c r="I972" i="234"/>
  <c r="I971" i="234"/>
  <c r="I970" i="234"/>
  <c r="I969" i="234"/>
  <c r="I968" i="234"/>
  <c r="I967" i="234"/>
  <c r="I966" i="234"/>
  <c r="I965" i="234"/>
  <c r="I964" i="234"/>
  <c r="I963" i="234"/>
  <c r="I962" i="234"/>
  <c r="I961" i="234"/>
  <c r="I960" i="234"/>
  <c r="I959" i="234"/>
  <c r="I958" i="234"/>
  <c r="I957" i="234"/>
  <c r="I956" i="234"/>
  <c r="I955" i="234"/>
  <c r="I954" i="234"/>
  <c r="I953" i="234"/>
  <c r="I952" i="234"/>
  <c r="I951" i="234"/>
  <c r="I950" i="234"/>
  <c r="I949" i="234"/>
  <c r="I948" i="234"/>
  <c r="I947" i="234"/>
  <c r="I946" i="234"/>
  <c r="I945" i="234"/>
  <c r="I944" i="234"/>
  <c r="I943" i="234"/>
  <c r="I942" i="234"/>
  <c r="I941" i="234"/>
  <c r="I940" i="234"/>
  <c r="I939" i="234"/>
  <c r="I938" i="234"/>
  <c r="I937" i="234"/>
  <c r="I936" i="234"/>
  <c r="I935" i="234"/>
  <c r="I934" i="234"/>
  <c r="I933" i="234"/>
  <c r="I932" i="234"/>
  <c r="I931" i="234"/>
  <c r="I930" i="234"/>
  <c r="I929" i="234"/>
  <c r="I928" i="234"/>
  <c r="I927" i="234"/>
  <c r="I926" i="234"/>
  <c r="I925" i="234"/>
  <c r="I924" i="234"/>
  <c r="I923" i="234"/>
  <c r="I922" i="234"/>
  <c r="I921" i="234"/>
  <c r="I920" i="234"/>
  <c r="I919" i="234"/>
  <c r="I918" i="234"/>
  <c r="I917" i="234"/>
  <c r="I916" i="234"/>
  <c r="I915" i="234"/>
  <c r="I914" i="234"/>
  <c r="I913" i="234"/>
  <c r="I912" i="234"/>
  <c r="I911" i="234"/>
  <c r="I910" i="234"/>
  <c r="I909" i="234"/>
  <c r="I908" i="234"/>
  <c r="I907" i="234"/>
  <c r="I906" i="234"/>
  <c r="I905" i="234"/>
  <c r="I904" i="234"/>
  <c r="I903" i="234"/>
  <c r="I902" i="234"/>
  <c r="I901" i="234"/>
  <c r="I900" i="234"/>
  <c r="I899" i="234"/>
  <c r="I898" i="234"/>
  <c r="I897" i="234"/>
  <c r="I896" i="234"/>
  <c r="I895" i="234"/>
  <c r="I894" i="234"/>
  <c r="I893" i="234"/>
  <c r="I892" i="234"/>
  <c r="I891" i="234"/>
  <c r="I890" i="234"/>
  <c r="I889" i="234"/>
  <c r="I888" i="234"/>
  <c r="I887" i="234"/>
  <c r="I886" i="234"/>
  <c r="I885" i="234"/>
  <c r="I884" i="234"/>
  <c r="I883" i="234"/>
  <c r="I882" i="234"/>
  <c r="I881" i="234"/>
  <c r="I880" i="234"/>
  <c r="I879" i="234"/>
  <c r="I878" i="234"/>
  <c r="I877" i="234"/>
  <c r="I876" i="234"/>
  <c r="I875" i="234"/>
  <c r="I874" i="234"/>
  <c r="I873" i="234"/>
  <c r="I872" i="234"/>
  <c r="I871" i="234"/>
  <c r="I870" i="234"/>
  <c r="I869" i="234"/>
  <c r="I868" i="234"/>
  <c r="I867" i="234"/>
  <c r="I866" i="234"/>
  <c r="I865" i="234"/>
  <c r="I864" i="234"/>
  <c r="I863" i="234"/>
  <c r="I862" i="234"/>
  <c r="I861" i="234"/>
  <c r="I860" i="234"/>
  <c r="I859" i="234"/>
  <c r="I858" i="234"/>
  <c r="I857" i="234"/>
  <c r="I856" i="234"/>
  <c r="I855" i="234"/>
  <c r="I854" i="234"/>
  <c r="I853" i="234"/>
  <c r="I852" i="234"/>
  <c r="I851" i="234"/>
  <c r="I850" i="234"/>
  <c r="I849" i="234"/>
  <c r="I848" i="234"/>
  <c r="I847" i="234"/>
  <c r="I846" i="234"/>
  <c r="I845" i="234"/>
  <c r="I844" i="234"/>
  <c r="I843" i="234"/>
  <c r="I842" i="234"/>
  <c r="I841" i="234"/>
  <c r="I840" i="234"/>
  <c r="I839" i="234"/>
  <c r="I838" i="234"/>
  <c r="I837" i="234"/>
  <c r="I836" i="234"/>
  <c r="I835" i="234"/>
  <c r="I834" i="234"/>
  <c r="I833" i="234"/>
  <c r="I832" i="234"/>
  <c r="I831" i="234"/>
  <c r="I830" i="234"/>
  <c r="I829" i="234"/>
  <c r="I828" i="234"/>
  <c r="I827" i="234"/>
  <c r="I826" i="234"/>
  <c r="I825" i="234"/>
  <c r="I824" i="234"/>
  <c r="I823" i="234"/>
  <c r="I822" i="234"/>
  <c r="I821" i="234"/>
  <c r="I820" i="234"/>
  <c r="I819" i="234"/>
  <c r="I818" i="234"/>
  <c r="I817" i="234"/>
  <c r="I816" i="234"/>
  <c r="I815" i="234"/>
  <c r="I814" i="234"/>
  <c r="I813" i="234"/>
  <c r="I812" i="234"/>
  <c r="I811" i="234"/>
  <c r="I810" i="234"/>
  <c r="I809" i="234"/>
  <c r="I808" i="234"/>
  <c r="I807" i="234"/>
  <c r="I806" i="234"/>
  <c r="I805" i="234"/>
  <c r="I804" i="234"/>
  <c r="I803" i="234"/>
  <c r="I802" i="234"/>
  <c r="I801" i="234"/>
  <c r="I800" i="234"/>
  <c r="I799" i="234"/>
  <c r="I798" i="234"/>
  <c r="I797" i="234"/>
  <c r="I796" i="234"/>
  <c r="I795" i="234"/>
  <c r="I794" i="234"/>
  <c r="I793" i="234"/>
  <c r="I792" i="234"/>
  <c r="I791" i="234"/>
  <c r="I790" i="234"/>
  <c r="I789" i="234"/>
  <c r="I788" i="234"/>
  <c r="I787" i="234"/>
  <c r="I786" i="234"/>
  <c r="I785" i="234"/>
  <c r="I784" i="234"/>
  <c r="I783" i="234"/>
  <c r="I782" i="234"/>
  <c r="I781" i="234"/>
  <c r="I780" i="234"/>
  <c r="I779" i="234"/>
  <c r="I778" i="234"/>
  <c r="I777" i="234"/>
  <c r="I776" i="234"/>
  <c r="I775" i="234"/>
  <c r="I774" i="234"/>
  <c r="I773" i="234"/>
  <c r="I772" i="234"/>
  <c r="I771" i="234"/>
  <c r="I770" i="234"/>
  <c r="I769" i="234"/>
  <c r="I768" i="234"/>
  <c r="I767" i="234"/>
  <c r="I766" i="234"/>
  <c r="I765" i="234"/>
  <c r="I764" i="234"/>
  <c r="I763" i="234"/>
  <c r="I762" i="234"/>
  <c r="I761" i="234"/>
  <c r="I760" i="234"/>
  <c r="I759" i="234"/>
  <c r="I758" i="234"/>
  <c r="I757" i="234"/>
  <c r="I756" i="234"/>
  <c r="I755" i="234"/>
  <c r="I754" i="234"/>
  <c r="I753" i="234"/>
  <c r="I752" i="234"/>
  <c r="I751" i="234"/>
  <c r="I750" i="234"/>
  <c r="I749" i="234"/>
  <c r="I748" i="234"/>
  <c r="I747" i="234"/>
  <c r="I746" i="234"/>
  <c r="I745" i="234"/>
  <c r="I744" i="234"/>
  <c r="I743" i="234"/>
  <c r="I742" i="234"/>
  <c r="I741" i="234"/>
  <c r="I740" i="234"/>
  <c r="I739" i="234"/>
  <c r="I738" i="234"/>
  <c r="I737" i="234"/>
  <c r="I736" i="234"/>
  <c r="I735" i="234"/>
  <c r="I734" i="234"/>
  <c r="I733" i="234"/>
  <c r="I732" i="234"/>
  <c r="I731" i="234"/>
  <c r="I730" i="234"/>
  <c r="I729" i="234"/>
  <c r="I728" i="234"/>
  <c r="I727" i="234"/>
  <c r="I726" i="234"/>
  <c r="I725" i="234"/>
  <c r="I724" i="234"/>
  <c r="I723" i="234"/>
  <c r="I722" i="234"/>
  <c r="I721" i="234"/>
  <c r="I720" i="234"/>
  <c r="I719" i="234"/>
  <c r="I718" i="234"/>
  <c r="I717" i="234"/>
  <c r="I716" i="234"/>
  <c r="I715" i="234"/>
  <c r="I714" i="234"/>
  <c r="I713" i="234"/>
  <c r="I712" i="234"/>
  <c r="I711" i="234"/>
  <c r="I710" i="234"/>
  <c r="I709" i="234"/>
  <c r="I708" i="234"/>
  <c r="I707" i="234"/>
  <c r="I706" i="234"/>
  <c r="I705" i="234"/>
  <c r="I704" i="234"/>
  <c r="I703" i="234"/>
  <c r="I702" i="234"/>
  <c r="I701" i="234"/>
  <c r="I700" i="234"/>
  <c r="I699" i="234"/>
  <c r="I698" i="234"/>
  <c r="I697" i="234"/>
  <c r="I696" i="234"/>
  <c r="I695" i="234"/>
  <c r="I694" i="234"/>
  <c r="I693" i="234"/>
  <c r="I692" i="234"/>
  <c r="I684" i="234"/>
  <c r="I683" i="234"/>
  <c r="I682" i="234"/>
  <c r="I681" i="234"/>
  <c r="I680" i="234"/>
  <c r="I679" i="234"/>
  <c r="I678" i="234"/>
  <c r="I677" i="234"/>
  <c r="I676" i="234"/>
  <c r="I675" i="234"/>
  <c r="I674" i="234"/>
  <c r="I673" i="234"/>
  <c r="I672" i="234"/>
  <c r="I671" i="234"/>
  <c r="I670" i="234"/>
  <c r="I669" i="234"/>
  <c r="I668" i="234"/>
  <c r="I667" i="234"/>
  <c r="I666" i="234"/>
  <c r="I665" i="234"/>
  <c r="I664" i="234"/>
  <c r="I663" i="234"/>
  <c r="I662" i="234"/>
  <c r="I661" i="234"/>
  <c r="I660" i="234"/>
  <c r="I659" i="234"/>
  <c r="I658" i="234"/>
  <c r="I657" i="234"/>
  <c r="I656" i="234"/>
  <c r="I655" i="234"/>
  <c r="I654" i="234"/>
  <c r="I653" i="234"/>
  <c r="I652" i="234"/>
  <c r="I651" i="234"/>
  <c r="I650" i="234"/>
  <c r="I649" i="234"/>
  <c r="I648" i="234"/>
  <c r="I647" i="234"/>
  <c r="I646" i="234"/>
  <c r="I645" i="234"/>
  <c r="I488" i="234"/>
  <c r="I487" i="234"/>
  <c r="I486" i="234"/>
  <c r="I485" i="234"/>
  <c r="I484" i="234"/>
  <c r="I483" i="234"/>
  <c r="I482" i="234"/>
  <c r="I481" i="234"/>
  <c r="I480" i="234"/>
  <c r="I479" i="234"/>
  <c r="I478" i="234"/>
  <c r="I477" i="234"/>
  <c r="I476" i="234"/>
  <c r="I475" i="234"/>
  <c r="I474" i="234"/>
  <c r="I473" i="234"/>
  <c r="I472" i="234"/>
  <c r="I471" i="234"/>
  <c r="I470" i="234"/>
  <c r="I469" i="234"/>
  <c r="I468" i="234"/>
  <c r="I467" i="234"/>
  <c r="I466" i="234"/>
  <c r="I465" i="234"/>
  <c r="I464" i="234"/>
  <c r="I463" i="234"/>
  <c r="I462" i="234"/>
  <c r="I461" i="234"/>
  <c r="I460" i="234"/>
  <c r="I459" i="234"/>
  <c r="I458" i="234"/>
  <c r="I457" i="234"/>
  <c r="I456" i="234"/>
  <c r="I455" i="234"/>
  <c r="I454" i="234"/>
  <c r="I453" i="234"/>
  <c r="I452" i="234"/>
  <c r="I451" i="234"/>
  <c r="I450" i="234"/>
  <c r="I449" i="234"/>
  <c r="I448" i="234"/>
  <c r="I447" i="234"/>
  <c r="I446" i="234"/>
  <c r="I445" i="234"/>
  <c r="I444" i="234"/>
  <c r="I443" i="234"/>
  <c r="I442" i="234"/>
  <c r="I441" i="234"/>
  <c r="I440" i="234"/>
  <c r="I439" i="234"/>
  <c r="I438" i="234"/>
  <c r="I437" i="234"/>
  <c r="I436" i="234"/>
  <c r="I435" i="234"/>
  <c r="I434" i="234"/>
  <c r="I433" i="234"/>
  <c r="I432" i="234"/>
  <c r="I431" i="234"/>
  <c r="I430" i="234"/>
  <c r="I429" i="234"/>
  <c r="I428" i="234"/>
  <c r="I427" i="234"/>
  <c r="I426" i="234"/>
  <c r="I425" i="234"/>
  <c r="I424" i="234"/>
  <c r="I423" i="234"/>
  <c r="I422" i="234"/>
  <c r="I421" i="234"/>
  <c r="I420" i="234"/>
  <c r="I419" i="234"/>
  <c r="I418" i="234"/>
  <c r="I417" i="234"/>
  <c r="I416" i="234"/>
  <c r="I415" i="234"/>
  <c r="I414" i="234"/>
  <c r="I413" i="234"/>
  <c r="I412" i="234"/>
  <c r="I411" i="234"/>
  <c r="I410" i="234"/>
  <c r="I409" i="234"/>
  <c r="I408" i="234"/>
  <c r="I407" i="234"/>
  <c r="I406" i="234"/>
  <c r="I405" i="234"/>
  <c r="I404" i="234"/>
  <c r="I403" i="234"/>
  <c r="I402" i="234"/>
  <c r="I401" i="234"/>
  <c r="I400" i="234"/>
  <c r="I399" i="234"/>
  <c r="I398" i="234"/>
  <c r="I397" i="234"/>
  <c r="I396" i="234"/>
  <c r="I395" i="234"/>
  <c r="I394" i="234"/>
  <c r="I393" i="234"/>
  <c r="I392" i="234"/>
  <c r="I391" i="234"/>
  <c r="I390" i="234"/>
  <c r="I389" i="234"/>
  <c r="I388" i="234"/>
  <c r="I387" i="234"/>
  <c r="I386" i="234"/>
  <c r="I385" i="234"/>
  <c r="I384" i="234"/>
  <c r="I383" i="234"/>
  <c r="I382" i="234"/>
  <c r="I381" i="234"/>
  <c r="I380" i="234"/>
  <c r="I379" i="234"/>
  <c r="I378" i="234"/>
  <c r="I377" i="234"/>
  <c r="I376" i="234"/>
  <c r="I375" i="234"/>
  <c r="I374" i="234"/>
  <c r="I373" i="234"/>
  <c r="I372" i="234"/>
  <c r="I371" i="234"/>
  <c r="I370" i="234"/>
  <c r="I369" i="234"/>
  <c r="I368" i="234"/>
  <c r="I367" i="234"/>
  <c r="I366" i="234"/>
  <c r="I365" i="234"/>
  <c r="I364" i="234"/>
  <c r="I363" i="234"/>
  <c r="I362" i="234"/>
  <c r="I361" i="234"/>
  <c r="I360" i="234"/>
  <c r="I359" i="234"/>
  <c r="I358" i="234"/>
  <c r="I357" i="234"/>
  <c r="I356" i="234"/>
  <c r="I355" i="234"/>
  <c r="I354" i="234"/>
  <c r="I353" i="234"/>
  <c r="I352" i="234"/>
  <c r="I351" i="234"/>
  <c r="I350" i="234"/>
  <c r="I349" i="234"/>
  <c r="I348" i="234"/>
  <c r="I347" i="234"/>
  <c r="I346" i="234"/>
  <c r="I345" i="234"/>
  <c r="I344" i="234"/>
  <c r="I343" i="234"/>
  <c r="I342" i="234"/>
  <c r="I341" i="234"/>
  <c r="I340" i="234"/>
  <c r="I339" i="234"/>
  <c r="I338" i="234"/>
  <c r="I337" i="234"/>
  <c r="I336" i="234"/>
  <c r="I335" i="234"/>
  <c r="I334" i="234"/>
  <c r="I333" i="234"/>
  <c r="I332" i="234"/>
  <c r="I331" i="234"/>
  <c r="I330" i="234"/>
  <c r="I329" i="234"/>
  <c r="I328" i="234"/>
  <c r="I327" i="234"/>
  <c r="I326" i="234"/>
  <c r="I325" i="234"/>
  <c r="I324" i="234"/>
  <c r="I323" i="234"/>
  <c r="I322" i="234"/>
  <c r="I321" i="234"/>
  <c r="I320" i="234"/>
  <c r="I319" i="234"/>
  <c r="I318" i="234"/>
  <c r="I317" i="234"/>
  <c r="I316" i="234"/>
  <c r="I315" i="234"/>
  <c r="I314" i="234"/>
  <c r="I313" i="234"/>
  <c r="I312" i="234"/>
  <c r="I311" i="234"/>
  <c r="I310" i="234"/>
  <c r="I309" i="234"/>
  <c r="I308" i="234"/>
  <c r="I307" i="234"/>
  <c r="I306" i="234"/>
  <c r="I305" i="234"/>
  <c r="I304" i="234"/>
  <c r="I303" i="234"/>
  <c r="I302" i="234"/>
  <c r="I301" i="234"/>
  <c r="I300" i="234"/>
  <c r="I299" i="234"/>
  <c r="I298" i="234"/>
  <c r="I297" i="234"/>
  <c r="I296" i="234"/>
  <c r="I295" i="234"/>
  <c r="I294" i="234"/>
  <c r="I293" i="234"/>
  <c r="I292" i="234"/>
  <c r="I291" i="234"/>
  <c r="I290" i="234"/>
  <c r="I289" i="234"/>
  <c r="I288" i="234"/>
  <c r="I287" i="234"/>
  <c r="I286" i="234"/>
  <c r="I285" i="234"/>
  <c r="I284" i="234"/>
  <c r="I283" i="234"/>
  <c r="I282" i="234"/>
  <c r="I281" i="234"/>
  <c r="I280" i="234"/>
  <c r="I279" i="234"/>
  <c r="I278" i="234"/>
  <c r="I277" i="234"/>
  <c r="I276" i="234"/>
  <c r="I275" i="234"/>
  <c r="I274" i="234"/>
  <c r="I273" i="234"/>
  <c r="I272" i="234"/>
  <c r="I271" i="234"/>
  <c r="I270" i="234"/>
  <c r="I269" i="234"/>
  <c r="I268" i="234"/>
  <c r="I267" i="234"/>
  <c r="I266" i="234"/>
  <c r="I265" i="234"/>
  <c r="I264" i="234"/>
  <c r="I263" i="234"/>
  <c r="I262" i="234"/>
  <c r="I261" i="234"/>
  <c r="I260" i="234"/>
  <c r="I259" i="234"/>
  <c r="I258" i="234"/>
  <c r="I257" i="234"/>
  <c r="I256" i="234"/>
  <c r="I255" i="234"/>
  <c r="I254" i="234"/>
  <c r="I253" i="234"/>
  <c r="I252" i="234"/>
  <c r="I251" i="234"/>
  <c r="I250" i="234"/>
  <c r="I249" i="234"/>
  <c r="I248" i="234"/>
  <c r="I247" i="234"/>
  <c r="I246" i="234"/>
  <c r="I245" i="234"/>
  <c r="I244" i="234"/>
  <c r="I243" i="234"/>
  <c r="I242" i="234"/>
  <c r="I241" i="234"/>
  <c r="I240" i="234"/>
  <c r="I239" i="234"/>
  <c r="I238" i="234"/>
  <c r="I237" i="234"/>
  <c r="I236" i="234"/>
  <c r="I235" i="234"/>
  <c r="I234" i="234"/>
  <c r="I233" i="234"/>
  <c r="I232" i="234"/>
  <c r="I231" i="234"/>
  <c r="I230" i="234"/>
  <c r="I229" i="234"/>
  <c r="I228" i="234"/>
  <c r="I227" i="234"/>
  <c r="I226" i="234"/>
  <c r="I216" i="234"/>
  <c r="I215" i="234"/>
  <c r="I214" i="234"/>
  <c r="I213" i="234"/>
  <c r="I212" i="234"/>
  <c r="I211" i="234"/>
  <c r="I210" i="234"/>
  <c r="I209" i="234"/>
  <c r="I208" i="234"/>
  <c r="I207" i="234"/>
  <c r="I206" i="234"/>
  <c r="I205" i="234"/>
  <c r="I204" i="234"/>
  <c r="I203" i="234"/>
  <c r="I202" i="234"/>
  <c r="I201" i="234"/>
  <c r="I200" i="234"/>
  <c r="I199" i="234"/>
  <c r="I198" i="234"/>
  <c r="I197" i="234"/>
  <c r="I196" i="234"/>
  <c r="I195" i="234"/>
  <c r="I194" i="234"/>
  <c r="I193" i="234"/>
  <c r="I192" i="234"/>
  <c r="I191" i="234"/>
  <c r="I189" i="234"/>
  <c r="I188" i="234"/>
  <c r="I187" i="234"/>
  <c r="I186" i="234"/>
  <c r="I185" i="234"/>
  <c r="I184" i="234"/>
  <c r="I183" i="234"/>
  <c r="I182" i="234"/>
  <c r="I181" i="234"/>
  <c r="I180" i="234"/>
  <c r="I179" i="234"/>
  <c r="I178" i="234"/>
  <c r="I177" i="234"/>
  <c r="I176" i="234"/>
  <c r="I175" i="234"/>
  <c r="I174" i="234"/>
  <c r="I173" i="234"/>
  <c r="I172" i="234"/>
  <c r="I171" i="234"/>
  <c r="I170" i="234"/>
  <c r="I169" i="234"/>
  <c r="I168" i="234"/>
  <c r="I167" i="234"/>
  <c r="I166" i="234"/>
  <c r="I165" i="234"/>
  <c r="I164" i="234"/>
  <c r="I163" i="234"/>
  <c r="I162" i="234"/>
  <c r="I161" i="234"/>
  <c r="I160" i="234"/>
  <c r="I159" i="234"/>
  <c r="I158" i="234"/>
  <c r="I157" i="234"/>
  <c r="I156" i="234"/>
  <c r="I155" i="234"/>
  <c r="I154" i="234"/>
  <c r="I153" i="234"/>
  <c r="I152" i="234"/>
  <c r="I151" i="234"/>
  <c r="I150" i="234"/>
  <c r="I149" i="234"/>
  <c r="I148" i="234"/>
  <c r="I147" i="234"/>
  <c r="I146" i="234"/>
  <c r="I145" i="234"/>
  <c r="I144" i="234"/>
  <c r="I143" i="234"/>
  <c r="I142" i="234"/>
  <c r="I141" i="234"/>
  <c r="I140" i="234"/>
  <c r="I139" i="234"/>
  <c r="I138" i="234"/>
  <c r="I137" i="234"/>
  <c r="I136" i="234"/>
  <c r="I135" i="234"/>
  <c r="I134" i="234"/>
  <c r="I133" i="234"/>
  <c r="I132" i="234"/>
  <c r="I131" i="234"/>
  <c r="I130" i="234"/>
  <c r="I129" i="234"/>
  <c r="I128" i="234"/>
  <c r="I127" i="234"/>
  <c r="I126" i="234"/>
  <c r="I125" i="234"/>
  <c r="I124" i="234"/>
  <c r="I123" i="234"/>
  <c r="I122" i="234"/>
  <c r="I121" i="234"/>
  <c r="I120" i="234"/>
  <c r="I119" i="234"/>
  <c r="I118" i="234"/>
  <c r="I117" i="234"/>
  <c r="I116" i="234"/>
  <c r="I115" i="234"/>
  <c r="I114" i="234"/>
  <c r="I113" i="234"/>
  <c r="I112" i="234"/>
  <c r="I111" i="234"/>
  <c r="I110" i="234"/>
  <c r="I109" i="234"/>
  <c r="I108" i="234"/>
  <c r="X111" i="234"/>
  <c r="C78" i="78" s="1"/>
  <c r="C79" i="78" s="1"/>
  <c r="W111" i="234"/>
  <c r="U111" i="234"/>
  <c r="I107" i="234"/>
  <c r="X110" i="234"/>
  <c r="C100" i="78" s="1"/>
  <c r="C101" i="78" s="1"/>
  <c r="W110" i="234"/>
  <c r="B99" i="78" s="1"/>
  <c r="B101" i="78" s="1"/>
  <c r="U110" i="234"/>
  <c r="I106" i="234"/>
  <c r="X109" i="234"/>
  <c r="C89" i="78" s="1"/>
  <c r="W109" i="234"/>
  <c r="U109" i="234"/>
  <c r="I105" i="234"/>
  <c r="X108" i="234"/>
  <c r="W108" i="234"/>
  <c r="B85" i="78" s="1"/>
  <c r="U108" i="234"/>
  <c r="I104" i="234"/>
  <c r="X106" i="234"/>
  <c r="W106" i="234"/>
  <c r="I103" i="234"/>
  <c r="X105" i="234"/>
  <c r="W105" i="234"/>
  <c r="B49" i="78" s="1"/>
  <c r="U105" i="234"/>
  <c r="I102" i="234"/>
  <c r="X104" i="234"/>
  <c r="C11" i="78" s="1"/>
  <c r="W104" i="234"/>
  <c r="U104" i="234"/>
  <c r="I101" i="234"/>
  <c r="X103" i="234"/>
  <c r="C9" i="260" s="1"/>
  <c r="W103" i="234"/>
  <c r="U103" i="234"/>
  <c r="I100" i="234"/>
  <c r="X102" i="234"/>
  <c r="C10" i="243" s="1"/>
  <c r="C11" i="243" s="1"/>
  <c r="W102" i="234"/>
  <c r="U102" i="234"/>
  <c r="I99" i="234"/>
  <c r="X101" i="234"/>
  <c r="I98" i="234"/>
  <c r="X100" i="234"/>
  <c r="W100" i="234"/>
  <c r="U100" i="234"/>
  <c r="I97" i="234"/>
  <c r="X99" i="234"/>
  <c r="W99" i="234"/>
  <c r="U99" i="234"/>
  <c r="I96" i="234"/>
  <c r="X98" i="234"/>
  <c r="W98" i="234"/>
  <c r="U98" i="234"/>
  <c r="I95" i="234"/>
  <c r="X97" i="234"/>
  <c r="C57" i="78" s="1"/>
  <c r="W97" i="234"/>
  <c r="U97" i="234"/>
  <c r="I94" i="234"/>
  <c r="X96" i="234"/>
  <c r="C58" i="78" s="1"/>
  <c r="W96" i="234"/>
  <c r="B58" i="78" s="1"/>
  <c r="U96" i="234"/>
  <c r="I93" i="234"/>
  <c r="X95" i="234"/>
  <c r="C54" i="78" s="1"/>
  <c r="W95" i="234"/>
  <c r="U95" i="234"/>
  <c r="I92" i="234"/>
  <c r="X94" i="234"/>
  <c r="W94" i="234"/>
  <c r="U94" i="234"/>
  <c r="I91" i="234"/>
  <c r="X93" i="234"/>
  <c r="C60" i="78" s="1"/>
  <c r="W93" i="234"/>
  <c r="U93" i="234"/>
  <c r="I90" i="234"/>
  <c r="X92" i="234"/>
  <c r="W92" i="234"/>
  <c r="U92" i="234"/>
  <c r="I89" i="234"/>
  <c r="X91" i="234"/>
  <c r="W91" i="234"/>
  <c r="U91" i="234"/>
  <c r="I88" i="234"/>
  <c r="X90" i="234"/>
  <c r="W90" i="234"/>
  <c r="U90" i="234"/>
  <c r="I87" i="234"/>
  <c r="X89" i="234"/>
  <c r="C56" i="78" s="1"/>
  <c r="W89" i="234"/>
  <c r="U89" i="234"/>
  <c r="I86" i="234"/>
  <c r="X88" i="234"/>
  <c r="W88" i="234"/>
  <c r="U88" i="234"/>
  <c r="I85" i="234"/>
  <c r="X87" i="234"/>
  <c r="W87" i="234"/>
  <c r="U87" i="234"/>
  <c r="I84" i="234"/>
  <c r="X86" i="234"/>
  <c r="C55" i="78" s="1"/>
  <c r="W86" i="234"/>
  <c r="U86" i="234"/>
  <c r="I83" i="234"/>
  <c r="X85" i="234"/>
  <c r="W85" i="234"/>
  <c r="D40" i="118" s="1"/>
  <c r="U85" i="234"/>
  <c r="I82" i="234"/>
  <c r="X84" i="234"/>
  <c r="W84" i="234"/>
  <c r="U84" i="234"/>
  <c r="I81" i="234"/>
  <c r="X83" i="234"/>
  <c r="W83" i="234"/>
  <c r="B8" i="260" s="1"/>
  <c r="U83" i="234"/>
  <c r="I80" i="234"/>
  <c r="X82" i="234"/>
  <c r="W82" i="234"/>
  <c r="B7" i="260" s="1"/>
  <c r="U82" i="234"/>
  <c r="I79" i="234"/>
  <c r="X81" i="234"/>
  <c r="W81" i="234"/>
  <c r="U81" i="234"/>
  <c r="I78" i="234"/>
  <c r="X80" i="234"/>
  <c r="W80" i="234"/>
  <c r="U80" i="234"/>
  <c r="I77" i="234"/>
  <c r="X79" i="234"/>
  <c r="W79" i="234"/>
  <c r="U79" i="234"/>
  <c r="I76" i="234"/>
  <c r="X78" i="234"/>
  <c r="W78" i="234"/>
  <c r="U78" i="234"/>
  <c r="I75" i="234"/>
  <c r="X77" i="234"/>
  <c r="W77" i="234"/>
  <c r="B73" i="78" s="1"/>
  <c r="U77" i="234"/>
  <c r="I74" i="234"/>
  <c r="X76" i="234"/>
  <c r="W76" i="234"/>
  <c r="U76" i="234"/>
  <c r="I73" i="234"/>
  <c r="X75" i="234"/>
  <c r="W75" i="234"/>
  <c r="U75" i="234"/>
  <c r="I72" i="234"/>
  <c r="X74" i="234"/>
  <c r="W74" i="234"/>
  <c r="U74" i="234"/>
  <c r="I71" i="234"/>
  <c r="X73" i="234"/>
  <c r="W73" i="234"/>
  <c r="U73" i="234"/>
  <c r="I70" i="234"/>
  <c r="X72" i="234"/>
  <c r="C88" i="78" s="1"/>
  <c r="W72" i="234"/>
  <c r="U72" i="234"/>
  <c r="I69" i="234"/>
  <c r="X71" i="234"/>
  <c r="C20" i="78" s="1"/>
  <c r="C21" i="78" s="1"/>
  <c r="D21" i="78" s="1"/>
  <c r="W71" i="234"/>
  <c r="U71" i="234"/>
  <c r="I68" i="234"/>
  <c r="X70" i="234"/>
  <c r="W70" i="234"/>
  <c r="B87" i="78" s="1"/>
  <c r="U70" i="234"/>
  <c r="I67" i="234"/>
  <c r="X69" i="234"/>
  <c r="W69" i="234"/>
  <c r="B48" i="78" s="1"/>
  <c r="U69" i="234"/>
  <c r="I66" i="234"/>
  <c r="X68" i="234"/>
  <c r="W68" i="234"/>
  <c r="U68" i="234"/>
  <c r="I65" i="234"/>
  <c r="X67" i="234"/>
  <c r="W67" i="234"/>
  <c r="B50" i="78" s="1"/>
  <c r="U67" i="234"/>
  <c r="I64" i="234"/>
  <c r="X66" i="234"/>
  <c r="W66" i="234"/>
  <c r="B12" i="78" s="1"/>
  <c r="U66" i="234"/>
  <c r="I63" i="234"/>
  <c r="X65" i="234"/>
  <c r="C8" i="78" s="1"/>
  <c r="W65" i="234"/>
  <c r="B8" i="78" s="1"/>
  <c r="U65" i="234"/>
  <c r="I62" i="234"/>
  <c r="X64" i="234"/>
  <c r="W64" i="234"/>
  <c r="B9" i="78" s="1"/>
  <c r="U64" i="234"/>
  <c r="I61" i="234"/>
  <c r="X63" i="234"/>
  <c r="W63" i="234"/>
  <c r="U63" i="234"/>
  <c r="I60" i="234"/>
  <c r="X62" i="234"/>
  <c r="W62" i="234"/>
  <c r="B47" i="78" s="1"/>
  <c r="U62" i="234"/>
  <c r="I59" i="234"/>
  <c r="X61" i="234"/>
  <c r="W61" i="234"/>
  <c r="U61" i="234"/>
  <c r="I58" i="234"/>
  <c r="X60" i="234"/>
  <c r="W60" i="234"/>
  <c r="U60" i="234"/>
  <c r="I57" i="234"/>
  <c r="X59" i="234"/>
  <c r="W59" i="234"/>
  <c r="B52" i="78" s="1"/>
  <c r="U59" i="234"/>
  <c r="I56" i="234"/>
  <c r="X58" i="234"/>
  <c r="W58" i="234"/>
  <c r="U58" i="234"/>
  <c r="I55" i="234"/>
  <c r="X57" i="234"/>
  <c r="W57" i="234"/>
  <c r="U57" i="234"/>
  <c r="I54" i="234"/>
  <c r="X56" i="234"/>
  <c r="W56" i="234"/>
  <c r="U56" i="234"/>
  <c r="I53" i="234"/>
  <c r="X55" i="234"/>
  <c r="W55" i="234"/>
  <c r="U55" i="234"/>
  <c r="I52" i="234"/>
  <c r="X54" i="234"/>
  <c r="W54" i="234"/>
  <c r="U54" i="234"/>
  <c r="I51" i="234"/>
  <c r="X53" i="234"/>
  <c r="W53" i="234"/>
  <c r="U53" i="234"/>
  <c r="I50" i="234"/>
  <c r="X52" i="234"/>
  <c r="W52" i="234"/>
  <c r="B43" i="78" s="1"/>
  <c r="U52" i="234"/>
  <c r="I49" i="234"/>
  <c r="X51" i="234"/>
  <c r="W51" i="234"/>
  <c r="U51" i="234"/>
  <c r="I48" i="234"/>
  <c r="X50" i="234"/>
  <c r="W50" i="234"/>
  <c r="U50" i="234"/>
  <c r="I47" i="234"/>
  <c r="X49" i="234"/>
  <c r="W49" i="234"/>
  <c r="U49" i="234"/>
  <c r="I46" i="234"/>
  <c r="X48" i="234"/>
  <c r="W48" i="234"/>
  <c r="I45" i="234"/>
  <c r="X47" i="234"/>
  <c r="W47" i="234"/>
  <c r="U47" i="234"/>
  <c r="I44" i="234"/>
  <c r="X46" i="234"/>
  <c r="W46" i="234"/>
  <c r="U46" i="234"/>
  <c r="I43" i="234"/>
  <c r="X45" i="234"/>
  <c r="W45" i="234"/>
  <c r="U45" i="234"/>
  <c r="I42" i="234"/>
  <c r="X44" i="234"/>
  <c r="W44" i="234"/>
  <c r="U44" i="234"/>
  <c r="I41" i="234"/>
  <c r="X43" i="234"/>
  <c r="W43" i="234"/>
  <c r="U43" i="234"/>
  <c r="I40" i="234"/>
  <c r="X42" i="234"/>
  <c r="W42" i="234"/>
  <c r="U42" i="234"/>
  <c r="I39" i="234"/>
  <c r="X41" i="234"/>
  <c r="W41" i="234"/>
  <c r="B28" i="78" s="1"/>
  <c r="U41" i="234"/>
  <c r="I38" i="234"/>
  <c r="X40" i="234"/>
  <c r="W40" i="234"/>
  <c r="U40" i="234"/>
  <c r="I37" i="234"/>
  <c r="X39" i="234"/>
  <c r="W39" i="234"/>
  <c r="U39" i="234"/>
  <c r="I36" i="234"/>
  <c r="X38" i="234"/>
  <c r="W38" i="234"/>
  <c r="U38" i="234"/>
  <c r="I35" i="234"/>
  <c r="X37" i="234"/>
  <c r="W37" i="234"/>
  <c r="U37" i="234"/>
  <c r="I34" i="234"/>
  <c r="X36" i="234"/>
  <c r="W36" i="234"/>
  <c r="U36" i="234"/>
  <c r="P34" i="234"/>
  <c r="O34" i="234"/>
  <c r="I33" i="234"/>
  <c r="X35" i="234"/>
  <c r="W35" i="234"/>
  <c r="B8" i="256" s="1"/>
  <c r="B9" i="256" s="1"/>
  <c r="D9" i="256" s="1"/>
  <c r="U35" i="234"/>
  <c r="P33" i="234"/>
  <c r="O33" i="234"/>
  <c r="I32" i="234"/>
  <c r="X34" i="234"/>
  <c r="W34" i="234"/>
  <c r="U34" i="234"/>
  <c r="P32" i="234"/>
  <c r="O32" i="234"/>
  <c r="I31" i="234"/>
  <c r="X33" i="234"/>
  <c r="W33" i="234"/>
  <c r="U33" i="234"/>
  <c r="P31" i="234"/>
  <c r="O31" i="234"/>
  <c r="I30" i="234"/>
  <c r="X32" i="234"/>
  <c r="W32" i="234"/>
  <c r="B25" i="78" s="1"/>
  <c r="U32" i="234"/>
  <c r="P30" i="234"/>
  <c r="O30" i="234"/>
  <c r="I29" i="234"/>
  <c r="X31" i="234"/>
  <c r="W31" i="234"/>
  <c r="U31" i="234"/>
  <c r="P29" i="234"/>
  <c r="O29" i="234"/>
  <c r="I28" i="234"/>
  <c r="X30" i="234"/>
  <c r="W30" i="234"/>
  <c r="U30" i="234"/>
  <c r="P28" i="234"/>
  <c r="O28" i="234"/>
  <c r="I27" i="234"/>
  <c r="X29" i="234"/>
  <c r="W29" i="234"/>
  <c r="U29" i="234"/>
  <c r="P27" i="234"/>
  <c r="O27" i="234"/>
  <c r="I26" i="234"/>
  <c r="X28" i="234"/>
  <c r="W28" i="234"/>
  <c r="U28" i="234"/>
  <c r="P26" i="234"/>
  <c r="O26" i="234"/>
  <c r="I25" i="234"/>
  <c r="X25" i="234"/>
  <c r="W25" i="234"/>
  <c r="B50" i="252" s="1"/>
  <c r="B52" i="252" s="1"/>
  <c r="P25" i="234"/>
  <c r="O25" i="234"/>
  <c r="I24" i="234"/>
  <c r="X24" i="234"/>
  <c r="C45" i="252" s="1"/>
  <c r="C46" i="252" s="1"/>
  <c r="W24" i="234"/>
  <c r="B44" i="252" s="1"/>
  <c r="B46" i="252" s="1"/>
  <c r="U24" i="234"/>
  <c r="P24" i="234"/>
  <c r="O24" i="234"/>
  <c r="I23" i="234"/>
  <c r="X23" i="234"/>
  <c r="C39" i="252" s="1"/>
  <c r="C40" i="252" s="1"/>
  <c r="W23" i="234"/>
  <c r="U23" i="234"/>
  <c r="P23" i="234"/>
  <c r="O23" i="234"/>
  <c r="I22" i="234"/>
  <c r="X22" i="234"/>
  <c r="C33" i="252" s="1"/>
  <c r="C34" i="252" s="1"/>
  <c r="W22" i="234"/>
  <c r="B32" i="252" s="1"/>
  <c r="B34" i="252" s="1"/>
  <c r="U22" i="234"/>
  <c r="P22" i="234"/>
  <c r="O22" i="234"/>
  <c r="I21" i="234"/>
  <c r="X21" i="234"/>
  <c r="C27" i="252" s="1"/>
  <c r="C28" i="252" s="1"/>
  <c r="W21" i="234"/>
  <c r="B26" i="252" s="1"/>
  <c r="B28" i="252" s="1"/>
  <c r="U21" i="234"/>
  <c r="P21" i="234"/>
  <c r="O21" i="234"/>
  <c r="I20" i="234"/>
  <c r="X20" i="234"/>
  <c r="C21" i="252" s="1"/>
  <c r="C22" i="252" s="1"/>
  <c r="W20" i="234"/>
  <c r="B20" i="252" s="1"/>
  <c r="B22" i="252" s="1"/>
  <c r="P20" i="234"/>
  <c r="O20" i="234"/>
  <c r="I19" i="234"/>
  <c r="X19" i="234"/>
  <c r="C15" i="252" s="1"/>
  <c r="C16" i="252" s="1"/>
  <c r="W19" i="234"/>
  <c r="U19" i="234"/>
  <c r="P19" i="234"/>
  <c r="O19" i="234"/>
  <c r="I18" i="234"/>
  <c r="X18" i="234"/>
  <c r="W18" i="234"/>
  <c r="U18" i="234"/>
  <c r="P18" i="234"/>
  <c r="O18" i="234"/>
  <c r="I17" i="234"/>
  <c r="X17" i="234"/>
  <c r="C81" i="78" s="1"/>
  <c r="C82" i="78" s="1"/>
  <c r="D82" i="78" s="1"/>
  <c r="D107" i="78" s="1"/>
  <c r="W17" i="234"/>
  <c r="U17" i="234"/>
  <c r="P17" i="234"/>
  <c r="O17" i="234"/>
  <c r="I16" i="234"/>
  <c r="X16" i="234"/>
  <c r="C90" i="78" s="1"/>
  <c r="W16" i="234"/>
  <c r="U16" i="234"/>
  <c r="P16" i="234"/>
  <c r="O16" i="234"/>
  <c r="I15" i="234"/>
  <c r="X15" i="234"/>
  <c r="C38" i="78" s="1"/>
  <c r="W15" i="234"/>
  <c r="U15" i="234"/>
  <c r="P15" i="234"/>
  <c r="O15" i="234"/>
  <c r="I14" i="234"/>
  <c r="X14" i="234"/>
  <c r="C37" i="78" s="1"/>
  <c r="W14" i="234"/>
  <c r="U14" i="234"/>
  <c r="P14" i="234"/>
  <c r="O14" i="234"/>
  <c r="I13" i="234"/>
  <c r="X13" i="234"/>
  <c r="C36" i="78" s="1"/>
  <c r="W13" i="234"/>
  <c r="U13" i="234"/>
  <c r="P13" i="234"/>
  <c r="O13" i="234"/>
  <c r="I12" i="234"/>
  <c r="X12" i="234"/>
  <c r="W12" i="234"/>
  <c r="U12" i="234"/>
  <c r="P12" i="234"/>
  <c r="O12" i="234"/>
  <c r="I11" i="234"/>
  <c r="X11" i="234"/>
  <c r="B12" i="257" s="1"/>
  <c r="B13" i="257" s="1"/>
  <c r="D13" i="257" s="1"/>
  <c r="C34" i="125" s="1"/>
  <c r="C36" i="125" s="1"/>
  <c r="G4" i="125" s="1"/>
  <c r="W11" i="234"/>
  <c r="U11" i="234"/>
  <c r="P11" i="234"/>
  <c r="O11" i="234"/>
  <c r="I10" i="234"/>
  <c r="X10" i="234"/>
  <c r="C30" i="78" s="1"/>
  <c r="W10" i="234"/>
  <c r="U10" i="234"/>
  <c r="P10" i="234"/>
  <c r="O10" i="234"/>
  <c r="I9" i="234"/>
  <c r="X9" i="234"/>
  <c r="C29" i="78" s="1"/>
  <c r="W9" i="234"/>
  <c r="U9" i="234"/>
  <c r="P9" i="234"/>
  <c r="O9" i="234"/>
  <c r="X8" i="234"/>
  <c r="C61" i="78" s="1"/>
  <c r="W8" i="234"/>
  <c r="U8" i="234"/>
  <c r="P8" i="234"/>
  <c r="O8" i="234"/>
  <c r="I8" i="234"/>
  <c r="X7" i="234"/>
  <c r="C74" i="78" s="1"/>
  <c r="W7" i="234"/>
  <c r="U7" i="234"/>
  <c r="P7" i="234"/>
  <c r="O7" i="234"/>
  <c r="I7" i="234"/>
  <c r="X6" i="234"/>
  <c r="C75" i="78" s="1"/>
  <c r="W6" i="234"/>
  <c r="U6" i="234"/>
  <c r="P6" i="234"/>
  <c r="O6" i="234"/>
  <c r="I6" i="234"/>
  <c r="X5" i="234"/>
  <c r="C13" i="78" s="1"/>
  <c r="W5" i="234"/>
  <c r="U5" i="234"/>
  <c r="P5" i="234"/>
  <c r="O5" i="234"/>
  <c r="I5" i="234"/>
  <c r="P4" i="234"/>
  <c r="O4" i="234"/>
  <c r="I4" i="234"/>
  <c r="I3" i="234"/>
  <c r="I2" i="234"/>
  <c r="V4" i="234" s="1"/>
  <c r="Y4" i="234" s="1"/>
  <c r="C32" i="79"/>
  <c r="C30" i="79"/>
  <c r="C29" i="79"/>
  <c r="C26" i="79"/>
  <c r="C14" i="79"/>
  <c r="B22" i="241"/>
  <c r="C21" i="241"/>
  <c r="B21" i="241"/>
  <c r="I15" i="241"/>
  <c r="I14" i="241"/>
  <c r="I13" i="241"/>
  <c r="I11" i="241"/>
  <c r="I9" i="241"/>
  <c r="G9" i="241"/>
  <c r="I7" i="241"/>
  <c r="I6" i="241"/>
  <c r="I5" i="241"/>
  <c r="I4" i="241"/>
  <c r="I3" i="241"/>
  <c r="C27" i="165"/>
  <c r="D26" i="165"/>
  <c r="C26" i="165"/>
  <c r="J15" i="165"/>
  <c r="J14" i="165"/>
  <c r="J13" i="165"/>
  <c r="J11" i="165"/>
  <c r="J9" i="165"/>
  <c r="H9" i="165"/>
  <c r="J7" i="165"/>
  <c r="J6" i="165"/>
  <c r="J5" i="165"/>
  <c r="J4" i="165"/>
  <c r="J3" i="165"/>
  <c r="C32" i="164"/>
  <c r="D31" i="164"/>
  <c r="C31" i="164"/>
  <c r="J15" i="164"/>
  <c r="J14" i="164"/>
  <c r="J13" i="164"/>
  <c r="J11" i="164"/>
  <c r="J9" i="164"/>
  <c r="H9" i="164"/>
  <c r="J7" i="164"/>
  <c r="J6" i="164"/>
  <c r="J5" i="164"/>
  <c r="J4" i="164"/>
  <c r="C18" i="126"/>
  <c r="D17" i="126"/>
  <c r="C17" i="126"/>
  <c r="J14" i="126"/>
  <c r="J13" i="126"/>
  <c r="J12" i="126"/>
  <c r="J10" i="126"/>
  <c r="J8" i="126"/>
  <c r="I8" i="126"/>
  <c r="G8" i="126"/>
  <c r="J6" i="126"/>
  <c r="J5" i="126"/>
  <c r="J4" i="126"/>
  <c r="J3" i="126"/>
  <c r="J57" i="29"/>
  <c r="I57" i="29"/>
  <c r="H57" i="29"/>
  <c r="C57" i="29"/>
  <c r="D56" i="29"/>
  <c r="C56" i="29"/>
  <c r="K55" i="29"/>
  <c r="J55" i="29"/>
  <c r="K54" i="29"/>
  <c r="K53" i="29"/>
  <c r="K52" i="29"/>
  <c r="K51" i="29"/>
  <c r="K50" i="29"/>
  <c r="J50" i="29"/>
  <c r="K49" i="29"/>
  <c r="J49" i="29"/>
  <c r="K48" i="29"/>
  <c r="K57" i="29" s="1"/>
  <c r="K59" i="29" s="1"/>
  <c r="J48" i="29"/>
  <c r="K47" i="29"/>
  <c r="K46" i="29"/>
  <c r="K45" i="29"/>
  <c r="K44" i="29"/>
  <c r="K43" i="29"/>
  <c r="K42" i="29"/>
  <c r="K19" i="29"/>
  <c r="C18" i="29"/>
  <c r="K17" i="29"/>
  <c r="J17" i="29"/>
  <c r="H17" i="29"/>
  <c r="D17" i="29"/>
  <c r="C17" i="29"/>
  <c r="K15" i="29"/>
  <c r="K14" i="29"/>
  <c r="K13" i="29"/>
  <c r="K12" i="29"/>
  <c r="K11" i="29"/>
  <c r="K10" i="29"/>
  <c r="J10" i="29"/>
  <c r="K9" i="29"/>
  <c r="J9" i="29"/>
  <c r="K8" i="29"/>
  <c r="J8" i="29"/>
  <c r="K7" i="29"/>
  <c r="J7" i="29"/>
  <c r="K6" i="29"/>
  <c r="J6" i="29"/>
  <c r="G686" i="23"/>
  <c r="G684" i="23"/>
  <c r="G683" i="23"/>
  <c r="G682" i="23"/>
  <c r="G681" i="23"/>
  <c r="G680" i="23"/>
  <c r="G679" i="23"/>
  <c r="G678" i="23"/>
  <c r="G677" i="23"/>
  <c r="G676" i="23"/>
  <c r="G675" i="23"/>
  <c r="G674" i="23"/>
  <c r="G673" i="23"/>
  <c r="G672" i="23"/>
  <c r="G671" i="23"/>
  <c r="G670" i="23"/>
  <c r="G669" i="23"/>
  <c r="G668" i="23"/>
  <c r="G667" i="23"/>
  <c r="G666" i="23"/>
  <c r="G665" i="23"/>
  <c r="G664" i="23"/>
  <c r="G663" i="23"/>
  <c r="G662" i="23"/>
  <c r="G661" i="23"/>
  <c r="G660" i="23"/>
  <c r="G659" i="23"/>
  <c r="G658" i="23"/>
  <c r="G657" i="23"/>
  <c r="G656" i="23"/>
  <c r="G655" i="23"/>
  <c r="G654" i="23"/>
  <c r="G653" i="23"/>
  <c r="G652" i="23"/>
  <c r="G651" i="23"/>
  <c r="G650" i="23"/>
  <c r="G649" i="23"/>
  <c r="G648" i="23"/>
  <c r="G647" i="23"/>
  <c r="G646" i="23"/>
  <c r="G645" i="23"/>
  <c r="G644" i="23"/>
  <c r="G643" i="23"/>
  <c r="G642" i="23"/>
  <c r="G641" i="23"/>
  <c r="G640" i="23"/>
  <c r="G639" i="23"/>
  <c r="G638" i="23"/>
  <c r="G637" i="23"/>
  <c r="G636" i="23"/>
  <c r="G635" i="23"/>
  <c r="G634" i="23"/>
  <c r="G633" i="23"/>
  <c r="G632" i="23"/>
  <c r="G631" i="23"/>
  <c r="G630" i="23"/>
  <c r="G629" i="23"/>
  <c r="G628" i="23"/>
  <c r="G627" i="23"/>
  <c r="G626" i="23"/>
  <c r="G625" i="23"/>
  <c r="G624" i="23"/>
  <c r="G623" i="23"/>
  <c r="G622" i="23"/>
  <c r="G621" i="23"/>
  <c r="G620" i="23"/>
  <c r="G619" i="23"/>
  <c r="G618" i="23"/>
  <c r="G617" i="23"/>
  <c r="G616" i="23"/>
  <c r="G615" i="23"/>
  <c r="G614" i="23"/>
  <c r="G613" i="23"/>
  <c r="G612" i="23"/>
  <c r="G611" i="23"/>
  <c r="G610" i="23"/>
  <c r="G609" i="23"/>
  <c r="G608" i="23"/>
  <c r="G607" i="23"/>
  <c r="G606" i="23"/>
  <c r="G605" i="23"/>
  <c r="G604" i="23"/>
  <c r="G603" i="23"/>
  <c r="G602" i="23"/>
  <c r="G601" i="23"/>
  <c r="G600" i="23"/>
  <c r="G599" i="23"/>
  <c r="G598" i="23"/>
  <c r="G597" i="23"/>
  <c r="G596" i="23"/>
  <c r="G595" i="23"/>
  <c r="G594" i="23"/>
  <c r="G593" i="23"/>
  <c r="G592" i="23"/>
  <c r="G591" i="23"/>
  <c r="G590" i="23"/>
  <c r="G589" i="23"/>
  <c r="G588" i="23"/>
  <c r="G587" i="23"/>
  <c r="G586" i="23"/>
  <c r="G585" i="23"/>
  <c r="G583" i="23"/>
  <c r="G582" i="23"/>
  <c r="G581" i="23"/>
  <c r="G580" i="23"/>
  <c r="G579" i="23"/>
  <c r="G578" i="23"/>
  <c r="G577" i="23"/>
  <c r="G576" i="23"/>
  <c r="G575" i="23"/>
  <c r="G574" i="23"/>
  <c r="G573" i="23"/>
  <c r="G572" i="23"/>
  <c r="G571" i="23"/>
  <c r="G570" i="23"/>
  <c r="G569" i="23"/>
  <c r="G568" i="23"/>
  <c r="G567" i="23"/>
  <c r="G566" i="23"/>
  <c r="G565" i="23"/>
  <c r="G564" i="23"/>
  <c r="G563" i="23"/>
  <c r="G562" i="23"/>
  <c r="G561" i="23"/>
  <c r="G560" i="23"/>
  <c r="G559" i="23"/>
  <c r="G558" i="23"/>
  <c r="G557" i="23"/>
  <c r="G556" i="23"/>
  <c r="G555" i="23"/>
  <c r="G554" i="23"/>
  <c r="G553" i="23"/>
  <c r="G552" i="23"/>
  <c r="G551" i="23"/>
  <c r="G550" i="23"/>
  <c r="G549" i="23"/>
  <c r="G548" i="23"/>
  <c r="G547" i="23"/>
  <c r="G546" i="23"/>
  <c r="G545" i="23"/>
  <c r="G544" i="23"/>
  <c r="G543" i="23"/>
  <c r="G542" i="23"/>
  <c r="G541" i="23"/>
  <c r="G540" i="23"/>
  <c r="G539" i="23"/>
  <c r="G538" i="23"/>
  <c r="G537" i="23"/>
  <c r="G536" i="23"/>
  <c r="G535" i="23"/>
  <c r="G534" i="23"/>
  <c r="G533" i="23"/>
  <c r="G532" i="23"/>
  <c r="G531" i="23"/>
  <c r="G530" i="23"/>
  <c r="G529" i="23"/>
  <c r="G528" i="23"/>
  <c r="G527" i="23"/>
  <c r="G526" i="23"/>
  <c r="G525" i="23"/>
  <c r="G524" i="23"/>
  <c r="G523" i="23"/>
  <c r="G522" i="23"/>
  <c r="G521" i="23"/>
  <c r="G520" i="23"/>
  <c r="G519" i="23"/>
  <c r="G518" i="23"/>
  <c r="G517" i="23"/>
  <c r="G516" i="23"/>
  <c r="G515" i="23"/>
  <c r="G514" i="23"/>
  <c r="G513" i="23"/>
  <c r="G512" i="23"/>
  <c r="G511" i="23"/>
  <c r="G510" i="23"/>
  <c r="G509" i="23"/>
  <c r="G508" i="23"/>
  <c r="G507" i="23"/>
  <c r="G506" i="23"/>
  <c r="G505" i="23"/>
  <c r="G504" i="23"/>
  <c r="G503" i="23"/>
  <c r="G502" i="23"/>
  <c r="G501" i="23"/>
  <c r="G500" i="23"/>
  <c r="G499" i="23"/>
  <c r="G498" i="23"/>
  <c r="G497" i="23"/>
  <c r="G496" i="23"/>
  <c r="G495" i="23"/>
  <c r="G494" i="23"/>
  <c r="G493" i="23"/>
  <c r="G492" i="23"/>
  <c r="G491" i="23"/>
  <c r="G490" i="23"/>
  <c r="G489" i="23"/>
  <c r="G488" i="23"/>
  <c r="G487" i="23"/>
  <c r="G486" i="23"/>
  <c r="G485" i="23"/>
  <c r="G484" i="23"/>
  <c r="G481" i="23"/>
  <c r="G480" i="23"/>
  <c r="G479" i="23"/>
  <c r="G478" i="23"/>
  <c r="G477" i="23"/>
  <c r="G476" i="23"/>
  <c r="G475" i="23"/>
  <c r="G474" i="23"/>
  <c r="G473" i="23"/>
  <c r="G472" i="23"/>
  <c r="G471" i="23"/>
  <c r="G470" i="23"/>
  <c r="G469" i="23"/>
  <c r="G468" i="23"/>
  <c r="G467" i="23"/>
  <c r="G466" i="23"/>
  <c r="G465" i="23"/>
  <c r="G464" i="23"/>
  <c r="G463" i="23"/>
  <c r="G462" i="23"/>
  <c r="G461" i="23"/>
  <c r="G460" i="23"/>
  <c r="G459" i="23"/>
  <c r="G458" i="23"/>
  <c r="G457" i="23"/>
  <c r="G456" i="23"/>
  <c r="G455" i="23"/>
  <c r="G454" i="23"/>
  <c r="G453" i="23"/>
  <c r="G452" i="23"/>
  <c r="G451" i="23"/>
  <c r="G450" i="23"/>
  <c r="G449" i="23"/>
  <c r="G448" i="23"/>
  <c r="G447" i="23"/>
  <c r="G446" i="23"/>
  <c r="G445" i="23"/>
  <c r="G444" i="23"/>
  <c r="G443" i="23"/>
  <c r="G442" i="23"/>
  <c r="G441" i="23"/>
  <c r="G440" i="23"/>
  <c r="G439" i="23"/>
  <c r="G438" i="23"/>
  <c r="G437" i="23"/>
  <c r="G436" i="23"/>
  <c r="G435" i="23"/>
  <c r="G434" i="23"/>
  <c r="G433" i="23"/>
  <c r="G432" i="23"/>
  <c r="G431" i="23"/>
  <c r="G430" i="23"/>
  <c r="G429" i="23"/>
  <c r="G428" i="23"/>
  <c r="G427" i="23"/>
  <c r="G426" i="23"/>
  <c r="G425" i="23"/>
  <c r="G424" i="23"/>
  <c r="G423" i="23"/>
  <c r="G422" i="23"/>
  <c r="G421" i="23"/>
  <c r="G420" i="23"/>
  <c r="G419" i="23"/>
  <c r="G418" i="23"/>
  <c r="G417" i="23"/>
  <c r="G416" i="23"/>
  <c r="G415" i="23"/>
  <c r="G414" i="23"/>
  <c r="G413" i="23"/>
  <c r="G412" i="23"/>
  <c r="G411" i="23"/>
  <c r="G410" i="23"/>
  <c r="G409" i="23"/>
  <c r="G408" i="23"/>
  <c r="G407" i="23"/>
  <c r="G406" i="23"/>
  <c r="G405" i="23"/>
  <c r="G404" i="23"/>
  <c r="G403" i="23"/>
  <c r="G402" i="23"/>
  <c r="G401" i="23"/>
  <c r="G400" i="23"/>
  <c r="G399" i="23"/>
  <c r="G398" i="23"/>
  <c r="G397" i="23"/>
  <c r="G396" i="23"/>
  <c r="G395" i="23"/>
  <c r="G394" i="23"/>
  <c r="G393" i="23"/>
  <c r="G392" i="23"/>
  <c r="G391" i="23"/>
  <c r="G390" i="23"/>
  <c r="G389" i="23"/>
  <c r="G387" i="23"/>
  <c r="G386" i="23"/>
  <c r="G385" i="23"/>
  <c r="G384" i="23"/>
  <c r="G383" i="23"/>
  <c r="G382" i="23"/>
  <c r="G381" i="23"/>
  <c r="G337" i="23"/>
  <c r="G336" i="23"/>
  <c r="G335" i="23"/>
  <c r="G334" i="23"/>
  <c r="G333" i="23"/>
  <c r="G332" i="23"/>
  <c r="G331" i="23"/>
  <c r="G330" i="23"/>
  <c r="G329" i="23"/>
  <c r="G328" i="23"/>
  <c r="G327" i="23"/>
  <c r="G235" i="23"/>
  <c r="G234" i="23"/>
  <c r="G233" i="23"/>
  <c r="G232" i="23"/>
  <c r="G231" i="23"/>
  <c r="G230" i="23"/>
  <c r="G229" i="23"/>
  <c r="G228" i="23"/>
  <c r="G227" i="23"/>
  <c r="G226" i="23"/>
  <c r="G225" i="23"/>
  <c r="G224" i="23"/>
  <c r="G223" i="23"/>
  <c r="G222" i="23"/>
  <c r="G221" i="23"/>
  <c r="G220" i="23"/>
  <c r="G219" i="23"/>
  <c r="G218" i="23"/>
  <c r="G217" i="23"/>
  <c r="G216" i="23"/>
  <c r="G215" i="23"/>
  <c r="G214" i="23"/>
  <c r="G213" i="23"/>
  <c r="G212" i="23"/>
  <c r="G211" i="23"/>
  <c r="G210" i="23"/>
  <c r="G209" i="23"/>
  <c r="G208" i="23"/>
  <c r="G207" i="23"/>
  <c r="G205" i="23"/>
  <c r="G179" i="23"/>
  <c r="G178" i="23"/>
  <c r="G177" i="23"/>
  <c r="G176" i="23"/>
  <c r="G175" i="23"/>
  <c r="G174" i="23"/>
  <c r="G173" i="23"/>
  <c r="G172" i="23"/>
  <c r="G171" i="23"/>
  <c r="G170" i="23"/>
  <c r="G169" i="23"/>
  <c r="G168" i="23"/>
  <c r="G167" i="23"/>
  <c r="G166" i="23"/>
  <c r="G165" i="23"/>
  <c r="G164" i="23"/>
  <c r="G163" i="23"/>
  <c r="G162" i="23"/>
  <c r="G161" i="23"/>
  <c r="G160" i="23"/>
  <c r="G159" i="23"/>
  <c r="G158" i="23"/>
  <c r="G157" i="23"/>
  <c r="G156" i="23"/>
  <c r="G155" i="23"/>
  <c r="G154" i="23"/>
  <c r="G153" i="23"/>
  <c r="G152" i="23"/>
  <c r="G151" i="23"/>
  <c r="G150" i="23"/>
  <c r="G149" i="23"/>
  <c r="G148" i="23"/>
  <c r="G147" i="23"/>
  <c r="G146" i="23"/>
  <c r="G145" i="23"/>
  <c r="G144" i="23"/>
  <c r="G143" i="23"/>
  <c r="G142" i="23"/>
  <c r="G140" i="23"/>
  <c r="G139" i="23"/>
  <c r="G138" i="23"/>
  <c r="G137" i="23"/>
  <c r="G135" i="23"/>
  <c r="G134" i="23"/>
  <c r="G133" i="23"/>
  <c r="G132" i="23"/>
  <c r="G131" i="23"/>
  <c r="G130" i="23"/>
  <c r="G128" i="23"/>
  <c r="G122" i="23"/>
  <c r="G121" i="23"/>
  <c r="G120" i="23"/>
  <c r="G119" i="23"/>
  <c r="G118" i="23"/>
  <c r="G117" i="23"/>
  <c r="G116" i="23"/>
  <c r="G115" i="23"/>
  <c r="G114" i="23"/>
  <c r="G113" i="23"/>
  <c r="G112" i="23"/>
  <c r="G111" i="23"/>
  <c r="G110" i="23"/>
  <c r="G109" i="23"/>
  <c r="G108" i="23"/>
  <c r="G107" i="23"/>
  <c r="G106" i="23"/>
  <c r="G105" i="23"/>
  <c r="G104" i="23"/>
  <c r="G103" i="23"/>
  <c r="G102" i="23"/>
  <c r="G101" i="23"/>
  <c r="G100" i="23"/>
  <c r="G99" i="23"/>
  <c r="G98" i="23"/>
  <c r="G97" i="23"/>
  <c r="G96" i="23"/>
  <c r="G95" i="23"/>
  <c r="G94" i="23"/>
  <c r="G93" i="23"/>
  <c r="G92" i="23"/>
  <c r="G91" i="23"/>
  <c r="G90" i="23"/>
  <c r="G89" i="23"/>
  <c r="G88" i="23"/>
  <c r="G87" i="23"/>
  <c r="G86" i="23"/>
  <c r="G85" i="23"/>
  <c r="G84" i="23"/>
  <c r="G83" i="23"/>
  <c r="G82" i="23"/>
  <c r="G73" i="23"/>
  <c r="G72" i="23"/>
  <c r="G71" i="23"/>
  <c r="G70" i="23"/>
  <c r="G69" i="23"/>
  <c r="G68" i="23"/>
  <c r="G67" i="23"/>
  <c r="G66" i="23"/>
  <c r="G65" i="23"/>
  <c r="G64" i="23"/>
  <c r="G63" i="23"/>
  <c r="G62" i="23"/>
  <c r="G61" i="23"/>
  <c r="G60" i="23"/>
  <c r="F59" i="23"/>
  <c r="F58" i="23"/>
  <c r="F57" i="23"/>
  <c r="F56" i="23"/>
  <c r="F55" i="23"/>
  <c r="F54" i="23"/>
  <c r="G51" i="23"/>
  <c r="G50" i="23"/>
  <c r="G49" i="23"/>
  <c r="G48" i="23"/>
  <c r="G47" i="23"/>
  <c r="G46" i="23"/>
  <c r="G45" i="23"/>
  <c r="G44" i="23"/>
  <c r="G43" i="23"/>
  <c r="G42" i="23"/>
  <c r="G41" i="23"/>
  <c r="G40" i="23"/>
  <c r="G39" i="23"/>
  <c r="G38" i="23"/>
  <c r="G37" i="23"/>
  <c r="F37" i="23"/>
  <c r="G36" i="23"/>
  <c r="F36" i="23"/>
  <c r="G35" i="23"/>
  <c r="F35" i="23"/>
  <c r="G34" i="23"/>
  <c r="F34" i="23"/>
  <c r="G33" i="23"/>
  <c r="F33" i="23"/>
  <c r="G32" i="23"/>
  <c r="F32" i="23"/>
  <c r="D32" i="118"/>
  <c r="C32" i="118"/>
  <c r="B32" i="118"/>
  <c r="H15" i="118"/>
  <c r="D15" i="118"/>
  <c r="E53" i="66"/>
  <c r="E50" i="66"/>
  <c r="M32" i="66"/>
  <c r="L32" i="66"/>
  <c r="K32" i="66"/>
  <c r="J32" i="66"/>
  <c r="H32" i="66"/>
  <c r="F32" i="66"/>
  <c r="M31" i="66"/>
  <c r="K31" i="66"/>
  <c r="J31" i="66"/>
  <c r="H31" i="66"/>
  <c r="M27" i="66"/>
  <c r="L26" i="66"/>
  <c r="K26" i="66"/>
  <c r="J26" i="66"/>
  <c r="H26" i="66"/>
  <c r="F26" i="66"/>
  <c r="M25" i="66"/>
  <c r="K25" i="66"/>
  <c r="J25" i="66"/>
  <c r="H25" i="66"/>
  <c r="M24" i="66"/>
  <c r="K24" i="66"/>
  <c r="J24" i="66"/>
  <c r="H24" i="66"/>
  <c r="K18" i="66"/>
  <c r="J18" i="66"/>
  <c r="H18" i="66"/>
  <c r="F18" i="66"/>
  <c r="K17" i="66"/>
  <c r="J17" i="66"/>
  <c r="H17" i="66"/>
  <c r="K16" i="66"/>
  <c r="J16" i="66"/>
  <c r="H16" i="66"/>
  <c r="P12" i="66"/>
  <c r="O12" i="66"/>
  <c r="N12" i="66"/>
  <c r="M12" i="66"/>
  <c r="L12" i="66"/>
  <c r="J12" i="66"/>
  <c r="H12" i="66"/>
  <c r="F12" i="66"/>
  <c r="P11" i="66"/>
  <c r="M11" i="66"/>
  <c r="L11" i="66"/>
  <c r="J11" i="66"/>
  <c r="H11" i="66"/>
  <c r="P10" i="66"/>
  <c r="M10" i="66"/>
  <c r="L10" i="66"/>
  <c r="J10" i="66"/>
  <c r="H10" i="66"/>
  <c r="P9" i="66"/>
  <c r="M9" i="66"/>
  <c r="L9" i="66"/>
  <c r="J9" i="66"/>
  <c r="H9" i="66"/>
  <c r="P8" i="66"/>
  <c r="M8" i="66"/>
  <c r="L8" i="66"/>
  <c r="J8" i="66"/>
  <c r="H8" i="66"/>
  <c r="P7" i="66"/>
  <c r="M7" i="66"/>
  <c r="L7" i="66"/>
  <c r="J7" i="66"/>
  <c r="H7" i="66"/>
  <c r="P6" i="66"/>
  <c r="M6" i="66"/>
  <c r="L6" i="66"/>
  <c r="J6" i="66"/>
  <c r="H6" i="66"/>
  <c r="P5" i="66"/>
  <c r="M5" i="66"/>
  <c r="L5" i="66"/>
  <c r="J5" i="66"/>
  <c r="H5" i="66"/>
  <c r="P4" i="66"/>
  <c r="M4" i="66"/>
  <c r="L4" i="66"/>
  <c r="J4" i="66"/>
  <c r="H4" i="66"/>
  <c r="P3" i="66"/>
  <c r="M3" i="66"/>
  <c r="L3" i="66"/>
  <c r="J3" i="66"/>
  <c r="H3" i="66"/>
  <c r="M4" i="130"/>
  <c r="B51" i="78" l="1"/>
  <c r="C51" i="78"/>
  <c r="U27" i="191"/>
  <c r="Y23" i="227"/>
  <c r="AF43" i="123"/>
  <c r="AI43" i="123"/>
  <c r="AF45" i="123"/>
  <c r="AI45" i="123"/>
  <c r="AF47" i="123"/>
  <c r="AI47" i="123"/>
  <c r="AF49" i="123"/>
  <c r="AI49" i="123"/>
  <c r="AF51" i="123"/>
  <c r="AI51" i="123"/>
  <c r="AF53" i="123"/>
  <c r="AI53" i="123"/>
  <c r="AF55" i="123"/>
  <c r="AI55" i="123"/>
  <c r="AF57" i="123"/>
  <c r="AI57" i="123"/>
  <c r="AF59" i="123"/>
  <c r="AI59" i="123"/>
  <c r="Y4" i="124"/>
  <c r="Y19" i="227"/>
  <c r="Y27" i="227"/>
  <c r="AF44" i="123"/>
  <c r="AI44" i="123"/>
  <c r="AF46" i="123"/>
  <c r="AI46" i="123"/>
  <c r="AF48" i="123"/>
  <c r="AI48" i="123"/>
  <c r="AF50" i="123"/>
  <c r="AI50" i="123"/>
  <c r="AF52" i="123"/>
  <c r="AI52" i="123"/>
  <c r="AF54" i="123"/>
  <c r="AI54" i="123"/>
  <c r="AF56" i="123"/>
  <c r="AI56" i="123"/>
  <c r="AF58" i="123"/>
  <c r="AI58" i="123"/>
  <c r="AC5" i="124"/>
  <c r="B53" i="78"/>
  <c r="B18" i="118"/>
  <c r="C91" i="78"/>
  <c r="C16" i="78"/>
  <c r="C51" i="252"/>
  <c r="C52" i="252" s="1"/>
  <c r="D52" i="252" s="1"/>
  <c r="U20" i="191"/>
  <c r="V20" i="191" s="1"/>
  <c r="U24" i="191"/>
  <c r="V24" i="191" s="1"/>
  <c r="U18" i="227"/>
  <c r="V18" i="227" s="1"/>
  <c r="Y21" i="227"/>
  <c r="Y25" i="227"/>
  <c r="AI38" i="123"/>
  <c r="AF38" i="123"/>
  <c r="X38" i="123"/>
  <c r="Y38" i="123" s="1"/>
  <c r="AI40" i="123"/>
  <c r="AF40" i="123"/>
  <c r="X40" i="123"/>
  <c r="Y40" i="123" s="1"/>
  <c r="X42" i="123"/>
  <c r="Y42" i="123" s="1"/>
  <c r="AF42" i="123"/>
  <c r="AI42" i="123"/>
  <c r="U4" i="124"/>
  <c r="V4" i="124" s="1"/>
  <c r="AF4" i="124"/>
  <c r="U18" i="191"/>
  <c r="V18" i="191" s="1"/>
  <c r="U22" i="191"/>
  <c r="V22" i="191" s="1"/>
  <c r="U26" i="191"/>
  <c r="V26" i="191" s="1"/>
  <c r="U3" i="227"/>
  <c r="V3" i="227" s="1"/>
  <c r="Y3" i="227"/>
  <c r="U19" i="191"/>
  <c r="V19" i="191" s="1"/>
  <c r="U21" i="191"/>
  <c r="V21" i="191" s="1"/>
  <c r="U23" i="191"/>
  <c r="V23" i="191" s="1"/>
  <c r="U25" i="191"/>
  <c r="V25" i="191" s="1"/>
  <c r="U2" i="227"/>
  <c r="V2" i="227" s="1"/>
  <c r="AI37" i="123"/>
  <c r="AF37" i="123"/>
  <c r="X37" i="123"/>
  <c r="Y37" i="123" s="1"/>
  <c r="AI39" i="123"/>
  <c r="AF39" i="123"/>
  <c r="X39" i="123"/>
  <c r="Y39" i="123" s="1"/>
  <c r="AI41" i="123"/>
  <c r="AF41" i="123"/>
  <c r="X41" i="123"/>
  <c r="Y41" i="123" s="1"/>
  <c r="U20" i="227"/>
  <c r="V20" i="227" s="1"/>
  <c r="U22" i="227"/>
  <c r="V22" i="227" s="1"/>
  <c r="U24" i="227"/>
  <c r="V24" i="227" s="1"/>
  <c r="U26" i="227"/>
  <c r="V26" i="227" s="1"/>
  <c r="X43" i="123"/>
  <c r="Y43" i="123" s="1"/>
  <c r="X44" i="123"/>
  <c r="Y44" i="123" s="1"/>
  <c r="X45" i="123"/>
  <c r="Y45" i="123" s="1"/>
  <c r="X46" i="123"/>
  <c r="Y46" i="123" s="1"/>
  <c r="X47" i="123"/>
  <c r="Y47" i="123" s="1"/>
  <c r="X48" i="123"/>
  <c r="Y48" i="123" s="1"/>
  <c r="X49" i="123"/>
  <c r="Y49" i="123" s="1"/>
  <c r="X50" i="123"/>
  <c r="Y50" i="123" s="1"/>
  <c r="X51" i="123"/>
  <c r="Y51" i="123" s="1"/>
  <c r="X52" i="123"/>
  <c r="Y52" i="123" s="1"/>
  <c r="X53" i="123"/>
  <c r="Y53" i="123" s="1"/>
  <c r="X54" i="123"/>
  <c r="Y54" i="123" s="1"/>
  <c r="X55" i="123"/>
  <c r="Y55" i="123" s="1"/>
  <c r="X56" i="123"/>
  <c r="Y56" i="123" s="1"/>
  <c r="X57" i="123"/>
  <c r="Y57" i="123" s="1"/>
  <c r="X58" i="123"/>
  <c r="Y58" i="123" s="1"/>
  <c r="X59" i="123"/>
  <c r="Y59" i="123" s="1"/>
  <c r="U5" i="124"/>
  <c r="V5" i="124" s="1"/>
  <c r="Y5" i="124"/>
  <c r="U21" i="124"/>
  <c r="V21" i="124" s="1"/>
  <c r="U23" i="124"/>
  <c r="V23" i="124" s="1"/>
  <c r="U25" i="124"/>
  <c r="V25" i="124" s="1"/>
  <c r="U27" i="124"/>
  <c r="V27" i="124" s="1"/>
  <c r="Y29" i="124"/>
  <c r="U20" i="124"/>
  <c r="V20" i="124" s="1"/>
  <c r="U22" i="124"/>
  <c r="V22" i="124" s="1"/>
  <c r="U24" i="124"/>
  <c r="V24" i="124" s="1"/>
  <c r="U26" i="124"/>
  <c r="V26" i="124" s="1"/>
  <c r="U28" i="124"/>
  <c r="V28" i="124" s="1"/>
  <c r="D27" i="129"/>
  <c r="D79" i="78"/>
  <c r="V2" i="234"/>
  <c r="N3" i="234"/>
  <c r="B19" i="118"/>
  <c r="C35" i="118"/>
  <c r="C37" i="118"/>
  <c r="Y29" i="234"/>
  <c r="Y30" i="234"/>
  <c r="Y31" i="234"/>
  <c r="Y33" i="234"/>
  <c r="Y34" i="234"/>
  <c r="Y36" i="234"/>
  <c r="Y37" i="234"/>
  <c r="Y38" i="234"/>
  <c r="Y39" i="234"/>
  <c r="Y40" i="234"/>
  <c r="Y42" i="234"/>
  <c r="Y43" i="234"/>
  <c r="Y44" i="234"/>
  <c r="Y47" i="234"/>
  <c r="C36" i="118"/>
  <c r="X2" i="234"/>
  <c r="Y5" i="234"/>
  <c r="Y7" i="234"/>
  <c r="Y8" i="234"/>
  <c r="Y9" i="234"/>
  <c r="Y10" i="234"/>
  <c r="Y11" i="234"/>
  <c r="Y12" i="234"/>
  <c r="Y13" i="234"/>
  <c r="Y14" i="234"/>
  <c r="Y15" i="234"/>
  <c r="Y16" i="234"/>
  <c r="Y17" i="234"/>
  <c r="Y19" i="234"/>
  <c r="Y23" i="234"/>
  <c r="Y28" i="234"/>
  <c r="C39" i="78"/>
  <c r="D39" i="78" s="1"/>
  <c r="C24" i="118"/>
  <c r="C26" i="118"/>
  <c r="C23" i="118"/>
  <c r="C25" i="118"/>
  <c r="C27" i="118"/>
  <c r="C71" i="78"/>
  <c r="Y102" i="234"/>
  <c r="Y103" i="234"/>
  <c r="Y104" i="234"/>
  <c r="Y106" i="234"/>
  <c r="Y109" i="234"/>
  <c r="Y111" i="234"/>
  <c r="D28" i="252"/>
  <c r="C70" i="78"/>
  <c r="Y101" i="234"/>
  <c r="C10" i="260"/>
  <c r="C11" i="260" s="1"/>
  <c r="D22" i="252"/>
  <c r="D34" i="252"/>
  <c r="D46" i="252"/>
  <c r="Q6" i="234"/>
  <c r="Q8" i="234"/>
  <c r="Q10" i="234"/>
  <c r="Q12" i="234"/>
  <c r="Q14" i="234"/>
  <c r="Q16" i="234"/>
  <c r="Q18" i="234"/>
  <c r="Q20" i="234"/>
  <c r="Q22" i="234"/>
  <c r="Q24" i="234"/>
  <c r="Q26" i="234"/>
  <c r="Q28" i="234"/>
  <c r="Q30" i="234"/>
  <c r="D101" i="78"/>
  <c r="D106" i="78" s="1"/>
  <c r="C31" i="78"/>
  <c r="C32" i="78" s="1"/>
  <c r="C9" i="252"/>
  <c r="C10" i="252" s="1"/>
  <c r="B8" i="257"/>
  <c r="B9" i="257" s="1"/>
  <c r="D9" i="257" s="1"/>
  <c r="Q32" i="234"/>
  <c r="Q34" i="234"/>
  <c r="Y48" i="234"/>
  <c r="Y49" i="234"/>
  <c r="Y50" i="234"/>
  <c r="Y51" i="234"/>
  <c r="Y53" i="234"/>
  <c r="Y54" i="234"/>
  <c r="Y55" i="234"/>
  <c r="Y56" i="234"/>
  <c r="Y57" i="234"/>
  <c r="Y58" i="234"/>
  <c r="Y60" i="234"/>
  <c r="Y61" i="234"/>
  <c r="Y63" i="234"/>
  <c r="Y65" i="234"/>
  <c r="Y68" i="234"/>
  <c r="Y71" i="234"/>
  <c r="Y72" i="234"/>
  <c r="Y73" i="234"/>
  <c r="Y74" i="234"/>
  <c r="Y75" i="234"/>
  <c r="Y76" i="234"/>
  <c r="Y78" i="234"/>
  <c r="Y79" i="234"/>
  <c r="Y80" i="234"/>
  <c r="Y81" i="234"/>
  <c r="Y84" i="234"/>
  <c r="Y85" i="234"/>
  <c r="Y86" i="234"/>
  <c r="Y87" i="234"/>
  <c r="Y88" i="234"/>
  <c r="Y89" i="234"/>
  <c r="Y90" i="234"/>
  <c r="Y91" i="234"/>
  <c r="Y92" i="234"/>
  <c r="Y93" i="234"/>
  <c r="Y94" i="234"/>
  <c r="Y95" i="234"/>
  <c r="Y97" i="234"/>
  <c r="Y98" i="234"/>
  <c r="Y99" i="234"/>
  <c r="Y100" i="234"/>
  <c r="C59" i="78"/>
  <c r="B7" i="243"/>
  <c r="D41" i="118"/>
  <c r="B91" i="78"/>
  <c r="W2" i="234"/>
  <c r="B46" i="78"/>
  <c r="B8" i="252"/>
  <c r="B10" i="252" s="1"/>
  <c r="Y18" i="234"/>
  <c r="Y20" i="234"/>
  <c r="Y22" i="234"/>
  <c r="Y24" i="234"/>
  <c r="Y32" i="234"/>
  <c r="Y41" i="234"/>
  <c r="Y45" i="234"/>
  <c r="Y59" i="234"/>
  <c r="Y67" i="234"/>
  <c r="B11" i="260"/>
  <c r="Y83" i="234"/>
  <c r="Y108" i="234"/>
  <c r="B16" i="78"/>
  <c r="B72" i="78"/>
  <c r="B95" i="78"/>
  <c r="B96" i="78" s="1"/>
  <c r="D96" i="78" s="1"/>
  <c r="B9" i="243"/>
  <c r="B14" i="252"/>
  <c r="B16" i="252" s="1"/>
  <c r="D16" i="252" s="1"/>
  <c r="B38" i="252"/>
  <c r="B40" i="252" s="1"/>
  <c r="D40" i="252" s="1"/>
  <c r="Y6" i="234"/>
  <c r="Y21" i="234"/>
  <c r="Y25" i="234"/>
  <c r="Y35" i="234"/>
  <c r="B8" i="243"/>
  <c r="B45" i="78"/>
  <c r="Y46" i="234"/>
  <c r="Y69" i="234"/>
  <c r="Y77" i="234"/>
  <c r="Y105" i="234"/>
  <c r="Y110" i="234"/>
  <c r="B27" i="78"/>
  <c r="B32" i="78" s="1"/>
  <c r="B44" i="78"/>
  <c r="B13" i="256"/>
  <c r="B14" i="256" s="1"/>
  <c r="D14" i="256" s="1"/>
  <c r="D17" i="256" s="1"/>
  <c r="D22" i="257" s="1"/>
  <c r="Y52" i="234"/>
  <c r="Y62" i="234"/>
  <c r="Y64" i="234"/>
  <c r="Y66" i="234"/>
  <c r="Y70" i="234"/>
  <c r="Y82" i="234"/>
  <c r="Y96" i="234"/>
  <c r="B69" i="78"/>
  <c r="O1" i="234"/>
  <c r="P1" i="234"/>
  <c r="Q5" i="234"/>
  <c r="Q7" i="234"/>
  <c r="Q9" i="234"/>
  <c r="Q11" i="234"/>
  <c r="Q13" i="234"/>
  <c r="Q15" i="234"/>
  <c r="Q17" i="234"/>
  <c r="Q19" i="234"/>
  <c r="Q21" i="234"/>
  <c r="Q23" i="234"/>
  <c r="Q25" i="234"/>
  <c r="Q27" i="234"/>
  <c r="Q29" i="234"/>
  <c r="Q31" i="234"/>
  <c r="Q33" i="234"/>
  <c r="Q4" i="234"/>
  <c r="D10" i="252" l="1"/>
  <c r="D66" i="252" s="1"/>
  <c r="B62" i="78"/>
  <c r="XEZ43" i="234"/>
  <c r="C76" i="78"/>
  <c r="V27" i="227"/>
  <c r="V27" i="191"/>
  <c r="V29" i="124"/>
  <c r="D91" i="78"/>
  <c r="D105" i="78" s="1"/>
  <c r="B20" i="118"/>
  <c r="D20" i="118" s="1"/>
  <c r="Q3" i="234"/>
  <c r="N4" i="234" s="1"/>
  <c r="N5" i="234" s="1"/>
  <c r="N6" i="234" s="1"/>
  <c r="N7" i="234" s="1"/>
  <c r="N8" i="234" s="1"/>
  <c r="N9" i="234" s="1"/>
  <c r="N10" i="234" s="1"/>
  <c r="N11" i="234" s="1"/>
  <c r="N12" i="234" s="1"/>
  <c r="N13" i="234" s="1"/>
  <c r="N14" i="234" s="1"/>
  <c r="N15" i="234" s="1"/>
  <c r="N16" i="234" s="1"/>
  <c r="N17" i="234" s="1"/>
  <c r="N18" i="234" s="1"/>
  <c r="N19" i="234" s="1"/>
  <c r="N20" i="234" s="1"/>
  <c r="N21" i="234" s="1"/>
  <c r="N22" i="234" s="1"/>
  <c r="N23" i="234" s="1"/>
  <c r="N24" i="234" s="1"/>
  <c r="N25" i="234" s="1"/>
  <c r="N26" i="234" s="1"/>
  <c r="N27" i="234" s="1"/>
  <c r="N28" i="234" s="1"/>
  <c r="N29" i="234" s="1"/>
  <c r="N30" i="234" s="1"/>
  <c r="N31" i="234" s="1"/>
  <c r="N32" i="234" s="1"/>
  <c r="N33" i="234" s="1"/>
  <c r="N34" i="234" s="1"/>
  <c r="N1" i="234"/>
  <c r="C62" i="78"/>
  <c r="C38" i="118"/>
  <c r="D38" i="118" s="1"/>
  <c r="B76" i="78"/>
  <c r="C28" i="118"/>
  <c r="D28" i="118" s="1"/>
  <c r="D32" i="78"/>
  <c r="D11" i="260"/>
  <c r="D13" i="260" s="1"/>
  <c r="C28" i="125"/>
  <c r="C30" i="125" s="1"/>
  <c r="G3" i="125" s="1"/>
  <c r="G6" i="125" s="1"/>
  <c r="D16" i="257"/>
  <c r="D21" i="257" s="1"/>
  <c r="D23" i="257" s="1"/>
  <c r="B11" i="243"/>
  <c r="D11" i="243" s="1"/>
  <c r="D13" i="243" s="1"/>
  <c r="Y2" i="234"/>
  <c r="D62" i="78" l="1"/>
  <c r="D76" i="78"/>
  <c r="D42" i="118"/>
  <c r="Q1" i="234"/>
  <c r="D16" i="78"/>
  <c r="D109" i="78" l="1"/>
</calcChain>
</file>

<file path=xl/comments1.xml><?xml version="1.0" encoding="utf-8"?>
<comments xmlns="http://schemas.openxmlformats.org/spreadsheetml/2006/main">
  <authors>
    <author>acer</author>
  </authors>
  <commentList>
    <comment ref="U41" authorId="0" shapeId="0">
      <text>
        <r>
          <rPr>
            <sz val="8"/>
            <color indexed="81"/>
            <rFont val="Zawgyi-One"/>
            <family val="2"/>
          </rPr>
          <t>အသစ္ထည့္ထားေသာ
Code မ်ား(2021)</t>
        </r>
      </text>
    </comment>
  </commentList>
</comments>
</file>

<file path=xl/comments2.xml><?xml version="1.0" encoding="utf-8"?>
<comments xmlns="http://schemas.openxmlformats.org/spreadsheetml/2006/main">
  <authors>
    <author>Windows User</author>
    <author>User</author>
    <author>acer</author>
  </authors>
  <commentList>
    <comment ref="AK12" authorId="0" shapeId="0">
      <text>
        <r>
          <rPr>
            <b/>
            <sz val="8"/>
            <color indexed="81"/>
            <rFont val="Tahoma"/>
            <family val="2"/>
          </rPr>
          <t>Windows User:</t>
        </r>
        <r>
          <rPr>
            <sz val="8"/>
            <color indexed="81"/>
            <rFont val="Tahoma"/>
            <family val="2"/>
          </rPr>
          <t xml:space="preserve">
14/1/2022=744,000
BANK</t>
        </r>
      </text>
    </comment>
    <comment ref="AK14" authorId="0" shapeId="0">
      <text>
        <r>
          <rPr>
            <b/>
            <sz val="8"/>
            <color indexed="81"/>
            <rFont val="Tahoma"/>
            <family val="2"/>
          </rPr>
          <t>Windows User:</t>
        </r>
        <r>
          <rPr>
            <sz val="8"/>
            <color indexed="81"/>
            <rFont val="Tahoma"/>
            <family val="2"/>
          </rPr>
          <t xml:space="preserve">
22/12/2021=687,000
BANK </t>
        </r>
        <r>
          <rPr>
            <sz val="8"/>
            <color indexed="81"/>
            <rFont val="Zawgyi-One"/>
            <family val="2"/>
          </rPr>
          <t>တိုက္ရိုက္</t>
        </r>
      </text>
    </comment>
    <comment ref="AK16" authorId="1" shapeId="0">
      <text>
        <r>
          <rPr>
            <b/>
            <sz val="8"/>
            <color indexed="81"/>
            <rFont val="Tahoma"/>
            <family val="2"/>
          </rPr>
          <t>User:</t>
        </r>
        <r>
          <rPr>
            <sz val="8"/>
            <color indexed="81"/>
            <rFont val="Tahoma"/>
            <family val="2"/>
          </rPr>
          <t xml:space="preserve">
(20/9/2021) BANK </t>
        </r>
        <r>
          <rPr>
            <sz val="8"/>
            <color indexed="81"/>
            <rFont val="Zawgyi-One"/>
            <family val="2"/>
          </rPr>
          <t>တိုက္ရိုက္သြင္း=987000</t>
        </r>
      </text>
    </comment>
    <comment ref="AK18" authorId="1" shapeId="0">
      <text>
        <r>
          <rPr>
            <b/>
            <sz val="8"/>
            <color indexed="81"/>
            <rFont val="Tahoma"/>
            <family val="2"/>
          </rPr>
          <t>User:</t>
        </r>
        <r>
          <rPr>
            <sz val="8"/>
            <color indexed="81"/>
            <rFont val="Tahoma"/>
            <family val="2"/>
          </rPr>
          <t xml:space="preserve">
(16/9/2021) BANK </t>
        </r>
        <r>
          <rPr>
            <sz val="8"/>
            <color indexed="81"/>
            <rFont val="Zawgyi-One"/>
            <family val="2"/>
          </rPr>
          <t>တိုက္ရိုက္သြင္း=987000</t>
        </r>
      </text>
    </comment>
    <comment ref="AK20" authorId="0" shapeId="0">
      <text>
        <r>
          <rPr>
            <b/>
            <sz val="8"/>
            <color indexed="81"/>
            <rFont val="Tahoma"/>
            <family val="2"/>
          </rPr>
          <t>Windows User
687,000 BANK
1လပိုင်းအတွင်း</t>
        </r>
      </text>
    </comment>
    <comment ref="AK21" authorId="0" shapeId="0">
      <text>
        <r>
          <rPr>
            <b/>
            <sz val="8"/>
            <color indexed="81"/>
            <rFont val="Tahoma"/>
            <family val="2"/>
          </rPr>
          <t>Windows User:</t>
        </r>
        <r>
          <rPr>
            <sz val="8"/>
            <color indexed="81"/>
            <rFont val="Tahoma"/>
            <family val="2"/>
          </rPr>
          <t xml:space="preserve">
11/12/2021=963,000
BANK </t>
        </r>
        <r>
          <rPr>
            <sz val="8"/>
            <color indexed="81"/>
            <rFont val="Zawgyi-One"/>
            <family val="2"/>
          </rPr>
          <t>တိုက္ရိုက္</t>
        </r>
      </text>
    </comment>
    <comment ref="AK23" authorId="0" shapeId="0">
      <text>
        <r>
          <rPr>
            <b/>
            <sz val="8"/>
            <color indexed="81"/>
            <rFont val="Tahoma"/>
            <family val="2"/>
          </rPr>
          <t>Windows User:</t>
        </r>
        <r>
          <rPr>
            <sz val="8"/>
            <color indexed="81"/>
            <rFont val="Tahoma"/>
            <family val="2"/>
          </rPr>
          <t xml:space="preserve">
987,000-700,000 </t>
        </r>
        <r>
          <rPr>
            <sz val="8"/>
            <color indexed="81"/>
            <rFont val="Zawgyi-One"/>
            <family val="2"/>
          </rPr>
          <t>(17/11/2021) 287,000က်န္ေငြ(22/12/2021)ဆပ္</t>
        </r>
      </text>
    </comment>
    <comment ref="AK24" authorId="0" shapeId="0">
      <text>
        <r>
          <rPr>
            <b/>
            <sz val="8"/>
            <color indexed="81"/>
            <rFont val="Tahoma"/>
            <family val="2"/>
          </rPr>
          <t>Windows User:</t>
        </r>
        <r>
          <rPr>
            <sz val="8"/>
            <color indexed="81"/>
            <rFont val="Tahoma"/>
            <family val="2"/>
          </rPr>
          <t xml:space="preserve">
BANK </t>
        </r>
        <r>
          <rPr>
            <sz val="8"/>
            <color indexed="81"/>
            <rFont val="Zawgyi-One"/>
            <family val="2"/>
          </rPr>
          <t>တိုက္ရိုက္သြင္း</t>
        </r>
      </text>
    </comment>
    <comment ref="AK25" authorId="0" shapeId="0">
      <text>
        <r>
          <rPr>
            <b/>
            <sz val="8"/>
            <color indexed="81"/>
            <rFont val="Tahoma"/>
            <family val="2"/>
          </rPr>
          <t>Windows User:</t>
        </r>
        <r>
          <rPr>
            <sz val="8"/>
            <color indexed="81"/>
            <rFont val="Tahoma"/>
            <family val="2"/>
          </rPr>
          <t xml:space="preserve">
721,680(Jan)2022
bank</t>
        </r>
      </text>
    </comment>
    <comment ref="AK26" authorId="0" shapeId="0">
      <text>
        <r>
          <rPr>
            <b/>
            <sz val="8"/>
            <color indexed="81"/>
            <rFont val="Tahoma"/>
            <family val="2"/>
          </rPr>
          <t>Windows User:</t>
        </r>
        <r>
          <rPr>
            <sz val="8"/>
            <color indexed="81"/>
            <rFont val="Tahoma"/>
            <family val="2"/>
          </rPr>
          <t xml:space="preserve">
bank </t>
        </r>
        <r>
          <rPr>
            <sz val="8"/>
            <color indexed="81"/>
            <rFont val="Zawgyi-One"/>
            <family val="2"/>
          </rPr>
          <t>တိုက္ရိုက္သြင္း
(22/11/2021)=957,390</t>
        </r>
      </text>
    </comment>
    <comment ref="AK27" authorId="0" shapeId="0">
      <text>
        <r>
          <rPr>
            <b/>
            <sz val="8"/>
            <color indexed="81"/>
            <rFont val="Tahoma"/>
            <family val="2"/>
          </rPr>
          <t>Windows User:</t>
        </r>
        <r>
          <rPr>
            <sz val="8"/>
            <color indexed="81"/>
            <rFont val="Tahoma"/>
            <family val="2"/>
          </rPr>
          <t xml:space="preserve">
957,390=(8/1/2022)
တိုက်ရိုက်သွင်း</t>
        </r>
      </text>
    </comment>
    <comment ref="AK28" authorId="0" shapeId="0">
      <text>
        <r>
          <rPr>
            <b/>
            <sz val="8"/>
            <color indexed="81"/>
            <rFont val="Tahoma"/>
            <family val="2"/>
          </rPr>
          <t>Windows User:</t>
        </r>
        <r>
          <rPr>
            <sz val="8"/>
            <color indexed="81"/>
            <rFont val="Tahoma"/>
            <family val="2"/>
          </rPr>
          <t xml:space="preserve">
11/12/2021=721,680
BANK </t>
        </r>
        <r>
          <rPr>
            <sz val="8"/>
            <color indexed="81"/>
            <rFont val="Zawgyi-One"/>
            <family val="2"/>
          </rPr>
          <t>တိုက္ရိုက္</t>
        </r>
      </text>
    </comment>
    <comment ref="AK29" authorId="0" shapeId="0">
      <text>
        <r>
          <rPr>
            <b/>
            <sz val="8"/>
            <color indexed="81"/>
            <rFont val="Tahoma"/>
            <family val="2"/>
          </rPr>
          <t>Windows User:</t>
        </r>
        <r>
          <rPr>
            <sz val="8"/>
            <color indexed="81"/>
            <rFont val="Tahoma"/>
            <family val="2"/>
          </rPr>
          <t xml:space="preserve">
Bank </t>
        </r>
        <r>
          <rPr>
            <sz val="8"/>
            <color indexed="81"/>
            <rFont val="Zawgyi-One"/>
            <family val="2"/>
          </rPr>
          <t>တိုက္ရိုက္သြင္း
(22/11/2021)=957,390</t>
        </r>
      </text>
    </comment>
    <comment ref="AK30" authorId="0" shapeId="0">
      <text>
        <r>
          <rPr>
            <b/>
            <sz val="8"/>
            <color indexed="81"/>
            <rFont val="Tahoma"/>
            <family val="2"/>
          </rPr>
          <t>Windows User:</t>
        </r>
        <r>
          <rPr>
            <sz val="8"/>
            <color indexed="81"/>
            <rFont val="Tahoma"/>
            <family val="2"/>
          </rPr>
          <t xml:space="preserve">
11/12/2021=669,825
BANK </t>
        </r>
        <r>
          <rPr>
            <sz val="8"/>
            <color indexed="81"/>
            <rFont val="Zawgyi-One"/>
            <family val="2"/>
          </rPr>
          <t>တိုက္ရိုက္</t>
        </r>
      </text>
    </comment>
    <comment ref="AK31" authorId="0" shapeId="0">
      <text>
        <r>
          <rPr>
            <b/>
            <sz val="8"/>
            <color indexed="81"/>
            <rFont val="Tahoma"/>
            <family val="2"/>
          </rPr>
          <t>Windows User:</t>
        </r>
        <r>
          <rPr>
            <sz val="8"/>
            <color indexed="81"/>
            <rFont val="Tahoma"/>
            <family val="2"/>
          </rPr>
          <t xml:space="preserve">
23/12/2021=957,390
BANK</t>
        </r>
        <r>
          <rPr>
            <sz val="8"/>
            <color indexed="81"/>
            <rFont val="Zawgyi-One"/>
            <family val="2"/>
          </rPr>
          <t>တိုက္ရိုက္</t>
        </r>
      </text>
    </comment>
    <comment ref="AK32" authorId="0" shapeId="0">
      <text>
        <r>
          <rPr>
            <b/>
            <sz val="8"/>
            <color indexed="81"/>
            <rFont val="Tahoma"/>
            <family val="2"/>
          </rPr>
          <t>Windows User:</t>
        </r>
        <r>
          <rPr>
            <sz val="8"/>
            <color indexed="81"/>
            <rFont val="Tahoma"/>
            <family val="2"/>
          </rPr>
          <t xml:space="preserve">
669,825 BANK
1လပိုင်းအတွင်း</t>
        </r>
      </text>
    </comment>
    <comment ref="AK33" authorId="0" shapeId="0">
      <text>
        <r>
          <rPr>
            <b/>
            <sz val="8"/>
            <color indexed="81"/>
            <rFont val="Tahoma"/>
            <family val="2"/>
          </rPr>
          <t>Windows User:</t>
        </r>
        <r>
          <rPr>
            <sz val="8"/>
            <color indexed="81"/>
            <rFont val="Tahoma"/>
            <family val="2"/>
          </rPr>
          <t xml:space="preserve">
957,390(Jan)2022
bank</t>
        </r>
      </text>
    </comment>
    <comment ref="AK34" authorId="0" shapeId="0">
      <text>
        <r>
          <rPr>
            <b/>
            <sz val="8"/>
            <color indexed="81"/>
            <rFont val="Tahoma"/>
            <family val="2"/>
          </rPr>
          <t>Windows User:</t>
        </r>
        <r>
          <rPr>
            <sz val="8"/>
            <color indexed="81"/>
            <rFont val="Tahoma"/>
            <family val="2"/>
          </rPr>
          <t xml:space="preserve">
14/12/2021=957,390
bank</t>
        </r>
        <r>
          <rPr>
            <sz val="8"/>
            <color indexed="81"/>
            <rFont val="Zawgyi-One"/>
            <family val="2"/>
          </rPr>
          <t>တိုက္ရိုက္</t>
        </r>
      </text>
    </comment>
    <comment ref="AK35" authorId="0" shapeId="0">
      <text>
        <r>
          <rPr>
            <b/>
            <sz val="8"/>
            <color indexed="81"/>
            <rFont val="Tahoma"/>
            <family val="2"/>
          </rPr>
          <t>Windows User:</t>
        </r>
        <r>
          <rPr>
            <sz val="8"/>
            <color indexed="81"/>
            <rFont val="Tahoma"/>
            <family val="2"/>
          </rPr>
          <t xml:space="preserve">
15/12/2021=957,390
BANK </t>
        </r>
        <r>
          <rPr>
            <sz val="8"/>
            <color indexed="81"/>
            <rFont val="Zawgyi-One"/>
            <family val="2"/>
          </rPr>
          <t>တိုက္ရိုက္သြင္း</t>
        </r>
      </text>
    </comment>
    <comment ref="AK36" authorId="0" shapeId="0">
      <text>
        <r>
          <rPr>
            <b/>
            <sz val="8"/>
            <color indexed="81"/>
            <rFont val="Tahoma"/>
            <family val="2"/>
          </rPr>
          <t>Windows User:</t>
        </r>
        <r>
          <rPr>
            <sz val="8"/>
            <color indexed="81"/>
            <rFont val="Tahoma"/>
            <family val="2"/>
          </rPr>
          <t xml:space="preserve">
11/12/2021=669,825
BANK </t>
        </r>
        <r>
          <rPr>
            <sz val="8"/>
            <color indexed="81"/>
            <rFont val="Zawgyi-One"/>
            <family val="2"/>
          </rPr>
          <t>တိုက္ရိုက္</t>
        </r>
      </text>
    </comment>
    <comment ref="AK37" authorId="0" shapeId="0">
      <text>
        <r>
          <rPr>
            <b/>
            <sz val="8"/>
            <color indexed="81"/>
            <rFont val="Tahoma"/>
            <family val="2"/>
          </rPr>
          <t>Windows User:
957,390=(8/1/2022)
တိုက်ရိုက်သွင်း</t>
        </r>
      </text>
    </comment>
    <comment ref="AK38" authorId="0" shapeId="0">
      <text>
        <r>
          <rPr>
            <b/>
            <sz val="8"/>
            <color indexed="81"/>
            <rFont val="Tahoma"/>
            <family val="2"/>
          </rPr>
          <t>Windows User:</t>
        </r>
        <r>
          <rPr>
            <sz val="8"/>
            <color indexed="81"/>
            <rFont val="Tahoma"/>
            <family val="2"/>
          </rPr>
          <t xml:space="preserve">
1/2022=957390 BANK
(1လပိုင်းအတွင်း)</t>
        </r>
      </text>
    </comment>
    <comment ref="AK39" authorId="0" shapeId="0">
      <text>
        <r>
          <rPr>
            <b/>
            <sz val="8"/>
            <color indexed="81"/>
            <rFont val="Tahoma"/>
            <family val="2"/>
          </rPr>
          <t>Windows User:</t>
        </r>
        <r>
          <rPr>
            <sz val="8"/>
            <color indexed="81"/>
            <rFont val="Tahoma"/>
            <family val="2"/>
          </rPr>
          <t xml:space="preserve">
16/12/2021=957,390
BANK</t>
        </r>
        <r>
          <rPr>
            <sz val="8"/>
            <color indexed="81"/>
            <rFont val="Zawgyi-One"/>
            <family val="2"/>
          </rPr>
          <t>တိုက္ရိုက္</t>
        </r>
      </text>
    </comment>
    <comment ref="AK41" authorId="0" shapeId="0">
      <text>
        <r>
          <rPr>
            <b/>
            <sz val="8"/>
            <color indexed="81"/>
            <rFont val="Tahoma"/>
            <family val="2"/>
          </rPr>
          <t>Windows User:</t>
        </r>
        <r>
          <rPr>
            <sz val="8"/>
            <color indexed="81"/>
            <rFont val="Tahoma"/>
            <family val="2"/>
          </rPr>
          <t xml:space="preserve">
31/1/2022=957,390</t>
        </r>
      </text>
    </comment>
    <comment ref="AK42" authorId="1" shapeId="0">
      <text>
        <r>
          <rPr>
            <b/>
            <sz val="8"/>
            <color indexed="81"/>
            <rFont val="Tahoma"/>
            <family val="2"/>
          </rPr>
          <t>User:</t>
        </r>
        <r>
          <rPr>
            <sz val="8"/>
            <color indexed="81"/>
            <rFont val="Tahoma"/>
            <family val="2"/>
          </rPr>
          <t xml:space="preserve">
(28/9/2021) BANK</t>
        </r>
        <r>
          <rPr>
            <sz val="8"/>
            <color indexed="81"/>
            <rFont val="Zawgyi-One"/>
            <family val="2"/>
          </rPr>
          <t xml:space="preserve"> တိုက္ရိုက္သြင္း=957,390</t>
        </r>
      </text>
    </comment>
    <comment ref="AH43" authorId="1" shapeId="0">
      <text>
        <r>
          <rPr>
            <b/>
            <sz val="8"/>
            <color indexed="81"/>
            <rFont val="Tahoma"/>
            <family val="2"/>
          </rPr>
          <t>User:</t>
        </r>
        <r>
          <rPr>
            <sz val="8"/>
            <color indexed="81"/>
            <rFont val="Tahoma"/>
            <family val="2"/>
          </rPr>
          <t xml:space="preserve">
TOTAL =957,390
4/7/2021 =707,390
Diff =250,000</t>
        </r>
      </text>
    </comment>
    <comment ref="S44" authorId="2" shapeId="0">
      <text>
        <r>
          <rPr>
            <sz val="9"/>
            <color indexed="81"/>
            <rFont val="Zawgyi-One"/>
            <family val="2"/>
          </rPr>
          <t>ေငြက်ၿပီး
Co ေငြလႊဲ 2,977,670
Sp ေငြလႊဲ 213,630</t>
        </r>
      </text>
    </comment>
    <comment ref="AK45" authorId="0" shapeId="0">
      <text>
        <r>
          <rPr>
            <b/>
            <sz val="8"/>
            <color indexed="81"/>
            <rFont val="Tahoma"/>
            <family val="2"/>
          </rPr>
          <t>Windows User:</t>
        </r>
        <r>
          <rPr>
            <sz val="8"/>
            <color indexed="81"/>
            <rFont val="Tahoma"/>
            <family val="2"/>
          </rPr>
          <t xml:space="preserve">
29/12/2021=957,390
BANK</t>
        </r>
        <r>
          <rPr>
            <sz val="8"/>
            <color indexed="81"/>
            <rFont val="Zawgyi-One"/>
            <family val="2"/>
          </rPr>
          <t>တိုက္ရိုက္</t>
        </r>
      </text>
    </comment>
    <comment ref="AK46" authorId="0" shapeId="0">
      <text>
        <r>
          <rPr>
            <b/>
            <sz val="8"/>
            <color indexed="81"/>
            <rFont val="Tahoma"/>
            <family val="2"/>
          </rPr>
          <t>Windows User:</t>
        </r>
        <r>
          <rPr>
            <sz val="8"/>
            <color indexed="81"/>
            <rFont val="Tahoma"/>
            <family val="2"/>
          </rPr>
          <t xml:space="preserve">
957,390 BANK
1လပိုင်းအတွင်း</t>
        </r>
      </text>
    </comment>
    <comment ref="AK47" authorId="0" shapeId="0">
      <text>
        <r>
          <rPr>
            <b/>
            <sz val="8"/>
            <color indexed="81"/>
            <rFont val="Tahoma"/>
            <family val="2"/>
          </rPr>
          <t xml:space="preserve">Windows User:
</t>
        </r>
        <r>
          <rPr>
            <sz val="8"/>
            <color indexed="81"/>
            <rFont val="Tahoma"/>
            <family val="2"/>
          </rPr>
          <t>1/2022=987,000bank
(1လပိုင်းအတွင်း)</t>
        </r>
      </text>
    </comment>
    <comment ref="S48" authorId="2" shapeId="0">
      <text>
        <r>
          <rPr>
            <sz val="9"/>
            <color indexed="81"/>
            <rFont val="Zawgyi-One"/>
            <family val="2"/>
          </rPr>
          <t>ေငြမက်ေသး</t>
        </r>
      </text>
    </comment>
    <comment ref="AK50" authorId="0" shapeId="0">
      <text>
        <r>
          <rPr>
            <b/>
            <sz val="8"/>
            <color indexed="81"/>
            <rFont val="Tahoma"/>
            <family val="2"/>
          </rPr>
          <t>Windows User:</t>
        </r>
        <r>
          <rPr>
            <sz val="8"/>
            <color indexed="81"/>
            <rFont val="Tahoma"/>
            <family val="2"/>
          </rPr>
          <t xml:space="preserve">
672,300 BANK
1လပိုင်းအတွင်း</t>
        </r>
      </text>
    </comment>
    <comment ref="AK52" authorId="0" shapeId="0">
      <text>
        <r>
          <rPr>
            <b/>
            <sz val="8"/>
            <color indexed="81"/>
            <rFont val="Tahoma"/>
            <family val="2"/>
          </rPr>
          <t>Windows User:</t>
        </r>
        <r>
          <rPr>
            <sz val="8"/>
            <color indexed="81"/>
            <rFont val="Tahoma"/>
            <family val="2"/>
          </rPr>
          <t xml:space="preserve">
29/12/2021=987,000
BANK</t>
        </r>
        <r>
          <rPr>
            <sz val="8"/>
            <color indexed="81"/>
            <rFont val="Zawgyi-One"/>
            <family val="2"/>
          </rPr>
          <t>တိုက္ရိုက္</t>
        </r>
      </text>
    </comment>
    <comment ref="AK53" authorId="0" shapeId="0">
      <text>
        <r>
          <rPr>
            <b/>
            <sz val="8"/>
            <color indexed="81"/>
            <rFont val="Tahoma"/>
            <family val="2"/>
          </rPr>
          <t>Windows User:</t>
        </r>
        <r>
          <rPr>
            <sz val="8"/>
            <color indexed="81"/>
            <rFont val="Tahoma"/>
            <family val="2"/>
          </rPr>
          <t xml:space="preserve">
987,000 BANK
1လပိုင်းအတွင်း</t>
        </r>
      </text>
    </comment>
    <comment ref="AK54" authorId="0" shapeId="0">
      <text>
        <r>
          <rPr>
            <b/>
            <sz val="8"/>
            <color indexed="81"/>
            <rFont val="Tahoma"/>
            <family val="2"/>
          </rPr>
          <t>Windows User:</t>
        </r>
        <r>
          <rPr>
            <sz val="8"/>
            <color indexed="81"/>
            <rFont val="Tahoma"/>
            <family val="2"/>
          </rPr>
          <t xml:space="preserve">
744,000 BANK
1လပိုင်းအတွင်း</t>
        </r>
      </text>
    </comment>
    <comment ref="AK57" authorId="0" shapeId="0">
      <text>
        <r>
          <rPr>
            <b/>
            <sz val="8"/>
            <color indexed="81"/>
            <rFont val="Tahoma"/>
            <family val="2"/>
          </rPr>
          <t>Windows User:</t>
        </r>
        <r>
          <rPr>
            <sz val="8"/>
            <color indexed="81"/>
            <rFont val="Tahoma"/>
            <family val="2"/>
          </rPr>
          <t xml:space="preserve">
20/1/2022=744000</t>
        </r>
      </text>
    </comment>
    <comment ref="AK67" authorId="0" shapeId="0">
      <text>
        <r>
          <rPr>
            <b/>
            <sz val="8"/>
            <color indexed="81"/>
            <rFont val="Tahoma"/>
            <family val="2"/>
          </rPr>
          <t>Windows User:</t>
        </r>
        <r>
          <rPr>
            <sz val="8"/>
            <color indexed="81"/>
            <rFont val="Tahoma"/>
            <family val="2"/>
          </rPr>
          <t xml:space="preserve">
31/1/2022=1,116,955</t>
        </r>
      </text>
    </comment>
  </commentList>
</comments>
</file>

<file path=xl/comments3.xml><?xml version="1.0" encoding="utf-8"?>
<comments xmlns="http://schemas.openxmlformats.org/spreadsheetml/2006/main">
  <authors>
    <author>Windows User</author>
  </authors>
  <commentList>
    <comment ref="C6" authorId="0" shapeId="0">
      <text>
        <r>
          <rPr>
            <b/>
            <sz val="8"/>
            <color indexed="81"/>
            <rFont val="Tahoma"/>
            <family val="2"/>
          </rPr>
          <t>Windows User:</t>
        </r>
        <r>
          <rPr>
            <sz val="8"/>
            <color indexed="81"/>
            <rFont val="Tahoma"/>
            <family val="2"/>
          </rPr>
          <t xml:space="preserve">
bank(31,575,130)
Oo win kyi/ko thaw zin phyo
1,914,780(ဦးမင်းသူစိုး/ဦ္းအောင်သူ)
774,000(Ko Nay Win Tun)
957,390(Ko Chan Min Naing)</t>
        </r>
      </text>
    </comment>
  </commentList>
</comments>
</file>

<file path=xl/comments4.xml><?xml version="1.0" encoding="utf-8"?>
<comments xmlns="http://schemas.openxmlformats.org/spreadsheetml/2006/main">
  <authors>
    <author>Windows User</author>
  </authors>
  <commentList>
    <comment ref="C6" authorId="0" shapeId="0">
      <text>
        <r>
          <rPr>
            <b/>
            <sz val="8"/>
            <color indexed="81"/>
            <rFont val="Tahoma"/>
            <family val="2"/>
          </rPr>
          <t>Windows User:</t>
        </r>
        <r>
          <rPr>
            <sz val="8"/>
            <color indexed="81"/>
            <rFont val="Tahoma"/>
            <family val="2"/>
          </rPr>
          <t xml:space="preserve">
bank(31,575,130)
Oo win kyi/ko thaw zin phyo
1,914,780(ဦးမင်းသူစိုး/ဦ္းအောင်သူ)
744,000(Ko Nay Win Tun)
957,390(ဦးစံဦး)</t>
        </r>
      </text>
    </comment>
    <comment ref="C11" authorId="0" shapeId="0">
      <text>
        <r>
          <rPr>
            <b/>
            <sz val="8"/>
            <color indexed="81"/>
            <rFont val="Tahoma"/>
            <family val="2"/>
          </rPr>
          <t>Windows User:</t>
        </r>
        <r>
          <rPr>
            <sz val="8"/>
            <color indexed="81"/>
            <rFont val="Tahoma"/>
            <family val="2"/>
          </rPr>
          <t xml:space="preserve">
BANK</t>
        </r>
        <r>
          <rPr>
            <sz val="8"/>
            <color indexed="81"/>
            <rFont val="Zawgyi-One"/>
            <family val="2"/>
          </rPr>
          <t>တိုက္က္ရိုက္သြင္းေငြမ်ား =3,024,330နွူတ္ထား/
975,390 (ဦးခင္ေမာင္သန္း)
957,390 (ဦးတင္ဝင္း)
957,390 (ကိုမင္းေအာင္)
687,000(ကိုမ်ိဳးမင္းေအာင္)
287,000(ေဒၚဝင္းဝင္းေဌး)
957,390(ကိုရဲဝင္းထြန္း)
1,944,390(ကိုေဇာ္မ်ိဳးနိုင္/
ဦးေမာ္သိန္း)
 744,000(ဦးရီမိုး)
987000</t>
        </r>
        <r>
          <rPr>
            <sz val="8"/>
            <color indexed="81"/>
            <rFont val="Pyidaungsu"/>
            <family val="2"/>
          </rPr>
          <t>(ဦးခင်ဝင်း)</t>
        </r>
      </text>
    </comment>
  </commentList>
</comments>
</file>

<file path=xl/connections.xml><?xml version="1.0" encoding="utf-8"?>
<connections xmlns="http://schemas.openxmlformats.org/spreadsheetml/2006/main">
  <connection id="1" sourceFile="D:\2022 Yadana Zin Maung((YAMIN)\Purchase &amp; Payment(2022)\Creditor Purhase &amp; Payment(5 လပိုင္း 2022) .xlsm" keepAlive="1" name="Creditor Purhase &amp; Payment(5 လပိုင္း 2022)" type="5" refreshedVersion="5" background="1" saveData="1">
    <dbPr connection="Provider=Microsoft.ACE.OLEDB.12.0;User ID=Admin;Data Source=D:\2022 Yadana Zin Maung((YAMIN)\Purchase &amp; Payment(2022)\Creditor Purhase &amp; Payment(5 လပိုင္း 2022) .xlsm;Mode=Share Deny Write;Extended Properties=&quot;HDR=YES;&quot;;Jet OLEDB:System database=&quot;&quot;;Jet OLEDB:Registry Path=&quot;&quot;;Jet OLEDB:Engine Type=37;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Total Balance$'" commandType="3"/>
  </connection>
</connections>
</file>

<file path=xl/sharedStrings.xml><?xml version="1.0" encoding="utf-8"?>
<sst xmlns="http://schemas.openxmlformats.org/spreadsheetml/2006/main" count="17982" uniqueCount="9208">
  <si>
    <t>Account Code</t>
  </si>
  <si>
    <t>Account Name</t>
  </si>
  <si>
    <t>No.</t>
  </si>
  <si>
    <t>S ID</t>
  </si>
  <si>
    <t>Balance</t>
  </si>
  <si>
    <t>Amount</t>
  </si>
  <si>
    <t>Total</t>
  </si>
  <si>
    <t>CDC</t>
  </si>
  <si>
    <t>Cash Deposit From Customer</t>
  </si>
  <si>
    <t>No</t>
  </si>
  <si>
    <t>Opening</t>
  </si>
  <si>
    <t>Sale</t>
  </si>
  <si>
    <t>Date</t>
  </si>
  <si>
    <t>Particular</t>
  </si>
  <si>
    <t>CASC</t>
  </si>
  <si>
    <t>CRSC</t>
  </si>
  <si>
    <t>Debit</t>
  </si>
  <si>
    <t>Credit</t>
  </si>
  <si>
    <t>Code</t>
  </si>
  <si>
    <t>CB17</t>
  </si>
  <si>
    <t>Cash In Hand</t>
  </si>
  <si>
    <t>ေငြလက္က်န္</t>
  </si>
  <si>
    <t>Receivable</t>
  </si>
  <si>
    <t>ရရန္ရွိစာရင္း</t>
  </si>
  <si>
    <t>REC300</t>
  </si>
  <si>
    <t>PAY200</t>
  </si>
  <si>
    <t>Payable</t>
  </si>
  <si>
    <t>ေပးရန္ရွိစာရင္း</t>
  </si>
  <si>
    <t>CIH400</t>
  </si>
  <si>
    <t>FIX100</t>
  </si>
  <si>
    <t>Fixed Assets</t>
  </si>
  <si>
    <t>ပံုေသပိုင္ပစၥည္း</t>
  </si>
  <si>
    <t>CAP500</t>
  </si>
  <si>
    <t>Capital</t>
  </si>
  <si>
    <t>မတည္ရင္းႏွီးေငြ</t>
  </si>
  <si>
    <t>Expenses</t>
  </si>
  <si>
    <t>အသံုးစရိတ္မ်ား</t>
  </si>
  <si>
    <t>EXP800</t>
  </si>
  <si>
    <t>SAL600</t>
  </si>
  <si>
    <t>PUR700</t>
  </si>
  <si>
    <t>အေရာင္းစာရင္း</t>
  </si>
  <si>
    <t>FIX101</t>
  </si>
  <si>
    <t>FIX102</t>
  </si>
  <si>
    <t>FIX103</t>
  </si>
  <si>
    <t>B</t>
  </si>
  <si>
    <t>C</t>
  </si>
  <si>
    <t>Opening Amount</t>
  </si>
  <si>
    <t>PAY201</t>
  </si>
  <si>
    <t>ဦး-04</t>
  </si>
  <si>
    <t>ဦး-05</t>
  </si>
  <si>
    <t>ဦး-06</t>
  </si>
  <si>
    <t>ဦး-07</t>
  </si>
  <si>
    <t>ဦး-08</t>
  </si>
  <si>
    <t>ဦး-09</t>
  </si>
  <si>
    <t>ဦး-10</t>
  </si>
  <si>
    <t>Phone Contract</t>
  </si>
  <si>
    <t>Closing Amount</t>
  </si>
  <si>
    <t>STL</t>
  </si>
  <si>
    <t>စဥ္</t>
  </si>
  <si>
    <t>Total Amount</t>
  </si>
  <si>
    <t>Charges %</t>
  </si>
  <si>
    <t>Interest %</t>
  </si>
  <si>
    <t>D/ P %</t>
  </si>
  <si>
    <t>B/ L %</t>
  </si>
  <si>
    <t>Down Payment</t>
  </si>
  <si>
    <t>က်န္ေငြ စုစုေပါင္း</t>
  </si>
  <si>
    <t>ေပးဆပ္ရမည့္ အရစ္</t>
  </si>
  <si>
    <t>(1) Time %</t>
  </si>
  <si>
    <t>First Paid Date</t>
  </si>
  <si>
    <t>First Paid Amount</t>
  </si>
  <si>
    <t>(2) Time %</t>
  </si>
  <si>
    <t>Second Paid Date</t>
  </si>
  <si>
    <t>Second Paid Amount</t>
  </si>
  <si>
    <t xml:space="preserve"> </t>
  </si>
  <si>
    <t>TOTAL</t>
  </si>
  <si>
    <t>ဦး-HP02</t>
  </si>
  <si>
    <t>ဦး-HP03</t>
  </si>
  <si>
    <t>ဦး-HP04</t>
  </si>
  <si>
    <t>ဦး-HP05</t>
  </si>
  <si>
    <t>ဦး-HP06</t>
  </si>
  <si>
    <t>ဦး-HP07</t>
  </si>
  <si>
    <t>ဦး-HP08</t>
  </si>
  <si>
    <t>ဦး-HP09</t>
  </si>
  <si>
    <t>ဦး-HP10</t>
  </si>
  <si>
    <t>Folio</t>
  </si>
  <si>
    <t>WSW</t>
  </si>
  <si>
    <t>EXP801</t>
  </si>
  <si>
    <t>Workshop</t>
  </si>
  <si>
    <t>Shop</t>
  </si>
  <si>
    <t>EXP802</t>
  </si>
  <si>
    <t>စာရြက္စာတမ္းေၾကး</t>
  </si>
  <si>
    <t>ဦး-HP11</t>
  </si>
  <si>
    <t>ဦး-HP12</t>
  </si>
  <si>
    <t>ဦး-HP13</t>
  </si>
  <si>
    <t>ဦး-HP14</t>
  </si>
  <si>
    <t>ဦး-HP15</t>
  </si>
  <si>
    <t>ဦး-HP16</t>
  </si>
  <si>
    <t>ဦး-HP17</t>
  </si>
  <si>
    <t>ဦး-HP18</t>
  </si>
  <si>
    <t>ဦး-HP19</t>
  </si>
  <si>
    <t>ဦး-HP20</t>
  </si>
  <si>
    <t>ဦး-HP21</t>
  </si>
  <si>
    <t>ဦး-HP22</t>
  </si>
  <si>
    <t>ဦး-HP23</t>
  </si>
  <si>
    <t>ဦး-HP24</t>
  </si>
  <si>
    <t>ဦး-HP25</t>
  </si>
  <si>
    <t>ဦး-HP26</t>
  </si>
  <si>
    <t>ဦး-HP27</t>
  </si>
  <si>
    <t>ဦး-HP28</t>
  </si>
  <si>
    <t>ဦး-HP29</t>
  </si>
  <si>
    <t>ဦး-HP30</t>
  </si>
  <si>
    <t>ဦး-HP31</t>
  </si>
  <si>
    <t>ဦး-HP32</t>
  </si>
  <si>
    <t>ဦး-HP33</t>
  </si>
  <si>
    <t>ဦး-HP34</t>
  </si>
  <si>
    <t>ဦး-HP35</t>
  </si>
  <si>
    <t>ဦး-HP36</t>
  </si>
  <si>
    <t>ဦး-HP37</t>
  </si>
  <si>
    <t>ဦး-HP38</t>
  </si>
  <si>
    <t>ဦး-HP39</t>
  </si>
  <si>
    <t>ဦး-HP40</t>
  </si>
  <si>
    <t>ဦး-HP41</t>
  </si>
  <si>
    <t>ဦး-HP42</t>
  </si>
  <si>
    <t>ဦး-HP43</t>
  </si>
  <si>
    <t>ဦး-HP44</t>
  </si>
  <si>
    <t>ဦး-HP45</t>
  </si>
  <si>
    <t>ဦး-HP46</t>
  </si>
  <si>
    <t>ဦး-HP47</t>
  </si>
  <si>
    <t>ဦး-HP48</t>
  </si>
  <si>
    <t>ဦး-HP49</t>
  </si>
  <si>
    <t>ဦး-HP50</t>
  </si>
  <si>
    <t>ဦး-HP51</t>
  </si>
  <si>
    <t>ဦး-HP52</t>
  </si>
  <si>
    <t>ဦး-HP53</t>
  </si>
  <si>
    <t>ဦး-HP54</t>
  </si>
  <si>
    <t>ဦး-HP55</t>
  </si>
  <si>
    <t>ဦး-HP56</t>
  </si>
  <si>
    <t>ဦး-HP57</t>
  </si>
  <si>
    <t>ဦး-HP58</t>
  </si>
  <si>
    <t>ဦး-HP59</t>
  </si>
  <si>
    <t>ဦး-HP60</t>
  </si>
  <si>
    <t>ဦး-HP61</t>
  </si>
  <si>
    <t>ဦး-HP62</t>
  </si>
  <si>
    <t>ဦး-HP63</t>
  </si>
  <si>
    <t>ဦး-HP64</t>
  </si>
  <si>
    <t>ဦး-HP65</t>
  </si>
  <si>
    <t>ဦး-HP66</t>
  </si>
  <si>
    <t>ဦး-HP67</t>
  </si>
  <si>
    <t>ဦး-HP68</t>
  </si>
  <si>
    <t>ဦး-HP69</t>
  </si>
  <si>
    <t>ဦး-HP70</t>
  </si>
  <si>
    <t>ဦး-HP71</t>
  </si>
  <si>
    <t>ဦး-HP72</t>
  </si>
  <si>
    <t>ဦး-HP73</t>
  </si>
  <si>
    <t>ဦး-HP74</t>
  </si>
  <si>
    <t>ဦး-HP75</t>
  </si>
  <si>
    <t>ဦး-HP76</t>
  </si>
  <si>
    <t>ဦး-HP77</t>
  </si>
  <si>
    <t>ဦး-HP78</t>
  </si>
  <si>
    <t>ဦး-HP79</t>
  </si>
  <si>
    <t>ဦး-HP80</t>
  </si>
  <si>
    <t>ဦး-HP81</t>
  </si>
  <si>
    <t>ဦး-HP82</t>
  </si>
  <si>
    <t>ဦး-HP83</t>
  </si>
  <si>
    <t>ဦး-HP84</t>
  </si>
  <si>
    <t>ဦး-HP85</t>
  </si>
  <si>
    <t>ဦး-HP86</t>
  </si>
  <si>
    <t>ဦး-HP87</t>
  </si>
  <si>
    <t>ဦး-HP88</t>
  </si>
  <si>
    <t>ဦး-HP89</t>
  </si>
  <si>
    <t>ဦး-HP90</t>
  </si>
  <si>
    <t>ဦး-HP91</t>
  </si>
  <si>
    <t>ဦး-HP92</t>
  </si>
  <si>
    <t>ဦး-HP93</t>
  </si>
  <si>
    <t>ဦး-HP94</t>
  </si>
  <si>
    <t>ဦး-HP95</t>
  </si>
  <si>
    <t>ဦး-HP96</t>
  </si>
  <si>
    <t>ဦး-HP97</t>
  </si>
  <si>
    <t>ဦး-HP98</t>
  </si>
  <si>
    <t>ဦး-HP99</t>
  </si>
  <si>
    <t>ဦး-HP100</t>
  </si>
  <si>
    <t>HP170001</t>
  </si>
  <si>
    <t>HP170002</t>
  </si>
  <si>
    <t>HP170003</t>
  </si>
  <si>
    <t>HP170004</t>
  </si>
  <si>
    <t>HP170005</t>
  </si>
  <si>
    <t>HP170006</t>
  </si>
  <si>
    <t>HP170007</t>
  </si>
  <si>
    <t>HP170008</t>
  </si>
  <si>
    <t>HP170009</t>
  </si>
  <si>
    <t>HP170010</t>
  </si>
  <si>
    <t>HP170011</t>
  </si>
  <si>
    <t>HP170012</t>
  </si>
  <si>
    <t>HP170013</t>
  </si>
  <si>
    <t>HP170014</t>
  </si>
  <si>
    <t>ဦး-HP17001</t>
  </si>
  <si>
    <t>ဦး-HP17002</t>
  </si>
  <si>
    <t>ဦး-HP17003</t>
  </si>
  <si>
    <t>ဦး-HP17004</t>
  </si>
  <si>
    <t>ဦး-HP17005</t>
  </si>
  <si>
    <t>ဦး-HP17006</t>
  </si>
  <si>
    <t>ဦး-HP17007</t>
  </si>
  <si>
    <t>ဦး-HP17008</t>
  </si>
  <si>
    <t>ဦး-HP17009</t>
  </si>
  <si>
    <t>ဦး-HP17010</t>
  </si>
  <si>
    <t>ဦး-HP17011</t>
  </si>
  <si>
    <t>ဦး-HP17012</t>
  </si>
  <si>
    <t>ဦး-HP17013</t>
  </si>
  <si>
    <t>ဦး-HP17014</t>
  </si>
  <si>
    <t>HP170015</t>
  </si>
  <si>
    <t>ဦး-HP17015</t>
  </si>
  <si>
    <t>HP170016</t>
  </si>
  <si>
    <t>ဦး-HP17016</t>
  </si>
  <si>
    <t>HP170017</t>
  </si>
  <si>
    <t>ဦး-HP17017</t>
  </si>
  <si>
    <t>HP170018</t>
  </si>
  <si>
    <t>ဦး-HP17018</t>
  </si>
  <si>
    <t>HP170019</t>
  </si>
  <si>
    <t>ဦး-HP17019</t>
  </si>
  <si>
    <t>HP170020</t>
  </si>
  <si>
    <t>ဦး-HP17020</t>
  </si>
  <si>
    <t>HP170021</t>
  </si>
  <si>
    <t>ဦး-HP17021</t>
  </si>
  <si>
    <t>HP170022</t>
  </si>
  <si>
    <t>ဦး-HP17022</t>
  </si>
  <si>
    <t>HP170023</t>
  </si>
  <si>
    <t>ဦး-HP17023</t>
  </si>
  <si>
    <t>HP170024</t>
  </si>
  <si>
    <t>ဦး-HP17024</t>
  </si>
  <si>
    <t>HP170025</t>
  </si>
  <si>
    <t>ဦး-HP17025</t>
  </si>
  <si>
    <t>HP170026</t>
  </si>
  <si>
    <t>ဦး-HP17026</t>
  </si>
  <si>
    <t>HP170027</t>
  </si>
  <si>
    <t>ဦး-HP17027</t>
  </si>
  <si>
    <t>HP170028</t>
  </si>
  <si>
    <t>ဦး-HP17028</t>
  </si>
  <si>
    <t>HP170029</t>
  </si>
  <si>
    <t>ဦး-HP17029</t>
  </si>
  <si>
    <t>HP170030</t>
  </si>
  <si>
    <t>ဦး-HP17030</t>
  </si>
  <si>
    <t>HP170031</t>
  </si>
  <si>
    <t>ဦး-HP17031</t>
  </si>
  <si>
    <t>HP170032</t>
  </si>
  <si>
    <t>ဦး-HP17032</t>
  </si>
  <si>
    <t>HP170033</t>
  </si>
  <si>
    <t>ဦး-HP17033</t>
  </si>
  <si>
    <t>HP170034</t>
  </si>
  <si>
    <t>ဦး-HP17034</t>
  </si>
  <si>
    <t>HP170035</t>
  </si>
  <si>
    <t>ဦး-HP17035</t>
  </si>
  <si>
    <t>HP170036</t>
  </si>
  <si>
    <t>ဦး-HP17036</t>
  </si>
  <si>
    <t>HP170037</t>
  </si>
  <si>
    <t>ဦး-HP17037</t>
  </si>
  <si>
    <t>HP170038</t>
  </si>
  <si>
    <t>ဦး-HP17038</t>
  </si>
  <si>
    <t>HP170039</t>
  </si>
  <si>
    <t>ဦး-HP17039</t>
  </si>
  <si>
    <t>HP170040</t>
  </si>
  <si>
    <t>ဦး-HP17040</t>
  </si>
  <si>
    <t>HP170041</t>
  </si>
  <si>
    <t>ဦး-HP17041</t>
  </si>
  <si>
    <t>HP170042</t>
  </si>
  <si>
    <t>ဦး-HP17042</t>
  </si>
  <si>
    <t>HP170043</t>
  </si>
  <si>
    <t>ဦး-HP17043</t>
  </si>
  <si>
    <t>HP170044</t>
  </si>
  <si>
    <t>ဦး-HP17044</t>
  </si>
  <si>
    <t>HP170045</t>
  </si>
  <si>
    <t>ဦး-HP17045</t>
  </si>
  <si>
    <t>HP170046</t>
  </si>
  <si>
    <t>ဦး-HP17046</t>
  </si>
  <si>
    <t>HP170047</t>
  </si>
  <si>
    <t>ဦး-HP17047</t>
  </si>
  <si>
    <t>HP170048</t>
  </si>
  <si>
    <t>ဦး-HP17048</t>
  </si>
  <si>
    <t>HP170049</t>
  </si>
  <si>
    <t>ဦး-HP17049</t>
  </si>
  <si>
    <t>HP170050</t>
  </si>
  <si>
    <t>ဦး-HP17050</t>
  </si>
  <si>
    <t>HP170051</t>
  </si>
  <si>
    <t>ဦး-HP17051</t>
  </si>
  <si>
    <t>HP170052</t>
  </si>
  <si>
    <t>ဦး-HP17052</t>
  </si>
  <si>
    <t>HP170053</t>
  </si>
  <si>
    <t>ဦး-HP17053</t>
  </si>
  <si>
    <t>HP170054</t>
  </si>
  <si>
    <t>ဦး-HP17054</t>
  </si>
  <si>
    <t>HP170055</t>
  </si>
  <si>
    <t>ဦး-HP17055</t>
  </si>
  <si>
    <t>HP170056</t>
  </si>
  <si>
    <t>ဦး-HP17056</t>
  </si>
  <si>
    <t>HP170057</t>
  </si>
  <si>
    <t>ဦး-HP17057</t>
  </si>
  <si>
    <t>HP170058</t>
  </si>
  <si>
    <t>ဦး-HP17058</t>
  </si>
  <si>
    <t>HP170059</t>
  </si>
  <si>
    <t>ဦး-HP17059</t>
  </si>
  <si>
    <t>HP170060</t>
  </si>
  <si>
    <t>ဦး-HP17060</t>
  </si>
  <si>
    <t>HP170061</t>
  </si>
  <si>
    <t>ဦး-HP17061</t>
  </si>
  <si>
    <t>HP170062</t>
  </si>
  <si>
    <t>ဦး-HP17062</t>
  </si>
  <si>
    <t>HP170063</t>
  </si>
  <si>
    <t>ဦး-HP17063</t>
  </si>
  <si>
    <t>HP170064</t>
  </si>
  <si>
    <t>ဦး-HP17064</t>
  </si>
  <si>
    <t>HP170065</t>
  </si>
  <si>
    <t>ဦး-HP17065</t>
  </si>
  <si>
    <t>HP170066</t>
  </si>
  <si>
    <t>ဦး-HP17066</t>
  </si>
  <si>
    <t>HP170067</t>
  </si>
  <si>
    <t>ဦး-HP17067</t>
  </si>
  <si>
    <t>HP170068</t>
  </si>
  <si>
    <t>ဦး-HP17068</t>
  </si>
  <si>
    <t>HP170069</t>
  </si>
  <si>
    <t>ဦး-HP17069</t>
  </si>
  <si>
    <t>HP170070</t>
  </si>
  <si>
    <t>ဦး-HP17070</t>
  </si>
  <si>
    <t>HP170071</t>
  </si>
  <si>
    <t>ဦး-HP17071</t>
  </si>
  <si>
    <t>HP170072</t>
  </si>
  <si>
    <t>ဦး-HP17072</t>
  </si>
  <si>
    <t>HP170073</t>
  </si>
  <si>
    <t>ဦး-HP17073</t>
  </si>
  <si>
    <t>HP170074</t>
  </si>
  <si>
    <t>ဦး-HP17074</t>
  </si>
  <si>
    <t>HP170075</t>
  </si>
  <si>
    <t>ဦး-HP17075</t>
  </si>
  <si>
    <t>HP170076</t>
  </si>
  <si>
    <t>ဦး-HP17076</t>
  </si>
  <si>
    <t>HP170077</t>
  </si>
  <si>
    <t>ဦး-HP17077</t>
  </si>
  <si>
    <t>HP170078</t>
  </si>
  <si>
    <t>ဦး-HP17078</t>
  </si>
  <si>
    <t>HP170079</t>
  </si>
  <si>
    <t>ဦး-HP17079</t>
  </si>
  <si>
    <t>HP170080</t>
  </si>
  <si>
    <t>ဦး-HP17080</t>
  </si>
  <si>
    <t>HP170081</t>
  </si>
  <si>
    <t>ဦး-HP17081</t>
  </si>
  <si>
    <t>HP170082</t>
  </si>
  <si>
    <t>ဦး-HP17082</t>
  </si>
  <si>
    <t>HP170083</t>
  </si>
  <si>
    <t>ဦး-HP17083</t>
  </si>
  <si>
    <t>HP170084</t>
  </si>
  <si>
    <t>ဦး-HP17084</t>
  </si>
  <si>
    <t>HP170085</t>
  </si>
  <si>
    <t>ဦး-HP17085</t>
  </si>
  <si>
    <t>HP170086</t>
  </si>
  <si>
    <t>ဦး-HP17086</t>
  </si>
  <si>
    <t>HP170087</t>
  </si>
  <si>
    <t>ဦး-HP17087</t>
  </si>
  <si>
    <t>HP170088</t>
  </si>
  <si>
    <t>ဦး-HP17088</t>
  </si>
  <si>
    <t>HP170089</t>
  </si>
  <si>
    <t>ဦး-HP17089</t>
  </si>
  <si>
    <t>HP170090</t>
  </si>
  <si>
    <t>ဦး-HP17090</t>
  </si>
  <si>
    <t>HP170091</t>
  </si>
  <si>
    <t>ဦး-HP17091</t>
  </si>
  <si>
    <t>HP170092</t>
  </si>
  <si>
    <t>ဦး-HP17092</t>
  </si>
  <si>
    <t>HP170093</t>
  </si>
  <si>
    <t>ဦး-HP17093</t>
  </si>
  <si>
    <t>HP170094</t>
  </si>
  <si>
    <t>ဦး-HP17094</t>
  </si>
  <si>
    <t>HP170095</t>
  </si>
  <si>
    <t>ဦး-HP17095</t>
  </si>
  <si>
    <t>HP170096</t>
  </si>
  <si>
    <t>ဦး-HP17096</t>
  </si>
  <si>
    <t>HP170097</t>
  </si>
  <si>
    <t>ဦး-HP17097</t>
  </si>
  <si>
    <t>HP170098</t>
  </si>
  <si>
    <t>ဦး-HP17098</t>
  </si>
  <si>
    <t>HP170099</t>
  </si>
  <si>
    <t>ဦး-HP17099</t>
  </si>
  <si>
    <t>HP170100</t>
  </si>
  <si>
    <t>ဦး-HP17100</t>
  </si>
  <si>
    <t>Waehouse</t>
  </si>
  <si>
    <t>Agent</t>
  </si>
  <si>
    <t>HPW16001</t>
  </si>
  <si>
    <t>HPW16002</t>
  </si>
  <si>
    <t>HPW16003</t>
  </si>
  <si>
    <t>HPW16004</t>
  </si>
  <si>
    <t>HPW16005</t>
  </si>
  <si>
    <t>HPW16006</t>
  </si>
  <si>
    <t>HPW16007</t>
  </si>
  <si>
    <t>HPW16008</t>
  </si>
  <si>
    <t>HPW16009</t>
  </si>
  <si>
    <t>HPW16010</t>
  </si>
  <si>
    <t>HPW16011</t>
  </si>
  <si>
    <t>HPW16012</t>
  </si>
  <si>
    <t>HPW16013</t>
  </si>
  <si>
    <t>HPW16014</t>
  </si>
  <si>
    <t>HPW16015</t>
  </si>
  <si>
    <t>HPW16016</t>
  </si>
  <si>
    <t>HPW16017</t>
  </si>
  <si>
    <t>HPW16018</t>
  </si>
  <si>
    <t>HPW16019</t>
  </si>
  <si>
    <t>HPW16020</t>
  </si>
  <si>
    <t>HPW16021</t>
  </si>
  <si>
    <t>HPW16022</t>
  </si>
  <si>
    <t>HPW16023</t>
  </si>
  <si>
    <t>HPW16024</t>
  </si>
  <si>
    <t>HPW16025</t>
  </si>
  <si>
    <t>HPW16026</t>
  </si>
  <si>
    <t>HPW16027</t>
  </si>
  <si>
    <t>HPW16028</t>
  </si>
  <si>
    <t>HPW16029</t>
  </si>
  <si>
    <t>HPW16030</t>
  </si>
  <si>
    <t>HPW16031</t>
  </si>
  <si>
    <t>HPW16032</t>
  </si>
  <si>
    <t>HPW16033</t>
  </si>
  <si>
    <t>HPW16034</t>
  </si>
  <si>
    <t>HPW16035</t>
  </si>
  <si>
    <t>HPW16036</t>
  </si>
  <si>
    <t>HPW16037</t>
  </si>
  <si>
    <t>HPW16038</t>
  </si>
  <si>
    <t>HPW16039</t>
  </si>
  <si>
    <t>HPW16040</t>
  </si>
  <si>
    <t>HPW16041</t>
  </si>
  <si>
    <t>HPW16042</t>
  </si>
  <si>
    <t>HPW16043</t>
  </si>
  <si>
    <t>HPW16044</t>
  </si>
  <si>
    <t>HPW16045</t>
  </si>
  <si>
    <t>HPW16046</t>
  </si>
  <si>
    <t>HPW16047</t>
  </si>
  <si>
    <t>HPW16048</t>
  </si>
  <si>
    <t>HPW16049</t>
  </si>
  <si>
    <t>HPW16050</t>
  </si>
  <si>
    <t>HPW16051</t>
  </si>
  <si>
    <t>HPW16052</t>
  </si>
  <si>
    <t>HPW16053</t>
  </si>
  <si>
    <t>HPW16054</t>
  </si>
  <si>
    <t>HPW16055</t>
  </si>
  <si>
    <t>HPW16056</t>
  </si>
  <si>
    <t>HPW16057</t>
  </si>
  <si>
    <t>HPW16058</t>
  </si>
  <si>
    <t>HPW16059</t>
  </si>
  <si>
    <t>HPW16060</t>
  </si>
  <si>
    <t>HPW16061</t>
  </si>
  <si>
    <t>HPW16062</t>
  </si>
  <si>
    <t>HPW16063</t>
  </si>
  <si>
    <t>HPW16064</t>
  </si>
  <si>
    <t>HPW16065</t>
  </si>
  <si>
    <t>HPW16066</t>
  </si>
  <si>
    <t>HPW16067</t>
  </si>
  <si>
    <t>HPW16068</t>
  </si>
  <si>
    <t>HPW16069</t>
  </si>
  <si>
    <t>HPW16070</t>
  </si>
  <si>
    <t>HPW16071</t>
  </si>
  <si>
    <t>HPW16072</t>
  </si>
  <si>
    <t>HPW16073</t>
  </si>
  <si>
    <t>HPW16074</t>
  </si>
  <si>
    <t>HPW16075</t>
  </si>
  <si>
    <t>HPW16076</t>
  </si>
  <si>
    <t>HPW16077</t>
  </si>
  <si>
    <t>HPW16078</t>
  </si>
  <si>
    <t>HPW16079</t>
  </si>
  <si>
    <t>HPW16080</t>
  </si>
  <si>
    <t>HPW16081</t>
  </si>
  <si>
    <t>HPW16082</t>
  </si>
  <si>
    <t>HPW16083</t>
  </si>
  <si>
    <t>HPW16084</t>
  </si>
  <si>
    <t>HPW16085</t>
  </si>
  <si>
    <t>HPW16086</t>
  </si>
  <si>
    <t>HPW16087</t>
  </si>
  <si>
    <t>HPW16088</t>
  </si>
  <si>
    <t>HPW16089</t>
  </si>
  <si>
    <t>HPW16090</t>
  </si>
  <si>
    <t>HPW16091</t>
  </si>
  <si>
    <t>HPW16092</t>
  </si>
  <si>
    <t>HPW16093</t>
  </si>
  <si>
    <t>HPW16094</t>
  </si>
  <si>
    <t>HPW16095</t>
  </si>
  <si>
    <t>HPW16096</t>
  </si>
  <si>
    <t>HPW16097</t>
  </si>
  <si>
    <t>HPW16098</t>
  </si>
  <si>
    <t>HPW16099</t>
  </si>
  <si>
    <t>HPW16100</t>
  </si>
  <si>
    <t>ဦး-HP01</t>
  </si>
  <si>
    <t>RECHPW16</t>
  </si>
  <si>
    <t>Receivable for WBL HP - 2016</t>
  </si>
  <si>
    <t>FERW16001</t>
  </si>
  <si>
    <t>FERW16002</t>
  </si>
  <si>
    <t>FERW16003</t>
  </si>
  <si>
    <t>FERW16004</t>
  </si>
  <si>
    <t>FERW16005</t>
  </si>
  <si>
    <t>FERW16006</t>
  </si>
  <si>
    <t>FERW16007</t>
  </si>
  <si>
    <t>FERW16008</t>
  </si>
  <si>
    <t>FERW16009</t>
  </si>
  <si>
    <t>FERW16010</t>
  </si>
  <si>
    <t>FERW16011</t>
  </si>
  <si>
    <t>FERW16012</t>
  </si>
  <si>
    <t>FERW16013</t>
  </si>
  <si>
    <t>FERW16014</t>
  </si>
  <si>
    <t>FERW16015</t>
  </si>
  <si>
    <t>FERW16016</t>
  </si>
  <si>
    <t>FERW16017</t>
  </si>
  <si>
    <t>FERW16018</t>
  </si>
  <si>
    <t>FERW16019</t>
  </si>
  <si>
    <t>FERW16020</t>
  </si>
  <si>
    <t>FERW16021</t>
  </si>
  <si>
    <t>FERW16022</t>
  </si>
  <si>
    <t>FERW16023</t>
  </si>
  <si>
    <t>FERW16024</t>
  </si>
  <si>
    <t>FERW16025</t>
  </si>
  <si>
    <t>FERW16026</t>
  </si>
  <si>
    <t>FERW16027</t>
  </si>
  <si>
    <t>FERW16028</t>
  </si>
  <si>
    <t>FERW16029</t>
  </si>
  <si>
    <t>FERW16030</t>
  </si>
  <si>
    <t>FERW16031</t>
  </si>
  <si>
    <t>FERW16032</t>
  </si>
  <si>
    <t>FERW16033</t>
  </si>
  <si>
    <t>FERW16034</t>
  </si>
  <si>
    <t>FERW16035</t>
  </si>
  <si>
    <t>FERW16036</t>
  </si>
  <si>
    <t>FERW16037</t>
  </si>
  <si>
    <t>FERW16038</t>
  </si>
  <si>
    <t>FERW16039</t>
  </si>
  <si>
    <t>FERW16040</t>
  </si>
  <si>
    <t>FERW16041</t>
  </si>
  <si>
    <t>FERW16042</t>
  </si>
  <si>
    <t>FERW16043</t>
  </si>
  <si>
    <t>FERW16044</t>
  </si>
  <si>
    <t>FERW16045</t>
  </si>
  <si>
    <t>FERW16046</t>
  </si>
  <si>
    <t>FERW16047</t>
  </si>
  <si>
    <t>FERW16048</t>
  </si>
  <si>
    <t>FERW16049</t>
  </si>
  <si>
    <t>FERW16050</t>
  </si>
  <si>
    <t>FERW16051</t>
  </si>
  <si>
    <t>FERW16052</t>
  </si>
  <si>
    <t>FERW16053</t>
  </si>
  <si>
    <t>FERW16054</t>
  </si>
  <si>
    <t>FERW16055</t>
  </si>
  <si>
    <t>FERW16056</t>
  </si>
  <si>
    <t>FERW16057</t>
  </si>
  <si>
    <t>FERW16058</t>
  </si>
  <si>
    <t>FERW16059</t>
  </si>
  <si>
    <t>FERW16060</t>
  </si>
  <si>
    <t>FERW16061</t>
  </si>
  <si>
    <t>FERW16062</t>
  </si>
  <si>
    <t>FERW16063</t>
  </si>
  <si>
    <t>FERW16064</t>
  </si>
  <si>
    <t>FERW16065</t>
  </si>
  <si>
    <t>FERW16066</t>
  </si>
  <si>
    <t>FERW16067</t>
  </si>
  <si>
    <t>FERW16068</t>
  </si>
  <si>
    <t>FERW16069</t>
  </si>
  <si>
    <t>FERW16070</t>
  </si>
  <si>
    <t>FERW16071</t>
  </si>
  <si>
    <t>FERW16072</t>
  </si>
  <si>
    <t>FERW16073</t>
  </si>
  <si>
    <t>FERW16074</t>
  </si>
  <si>
    <t>FERW16075</t>
  </si>
  <si>
    <t>FERW16076</t>
  </si>
  <si>
    <t>FERW16077</t>
  </si>
  <si>
    <t>FERW16078</t>
  </si>
  <si>
    <t>FERW16079</t>
  </si>
  <si>
    <t>FERW16080</t>
  </si>
  <si>
    <t>FERW16081</t>
  </si>
  <si>
    <t>FERW16082</t>
  </si>
  <si>
    <t>FERW16083</t>
  </si>
  <si>
    <t>FERW16084</t>
  </si>
  <si>
    <t>FERW16085</t>
  </si>
  <si>
    <t>FERW16086</t>
  </si>
  <si>
    <t>FERW16087</t>
  </si>
  <si>
    <t>FERW16088</t>
  </si>
  <si>
    <t>FERW16089</t>
  </si>
  <si>
    <t>FERW16090</t>
  </si>
  <si>
    <t>FERW16091</t>
  </si>
  <si>
    <t>FERW16092</t>
  </si>
  <si>
    <t>FERW16093</t>
  </si>
  <si>
    <t>FERW16094</t>
  </si>
  <si>
    <t>FERW16095</t>
  </si>
  <si>
    <t>FERW16096</t>
  </si>
  <si>
    <t>FERW16097</t>
  </si>
  <si>
    <t>FERW16098</t>
  </si>
  <si>
    <t>FERW16099</t>
  </si>
  <si>
    <t>FERW16100</t>
  </si>
  <si>
    <t>RECFEW17</t>
  </si>
  <si>
    <t>FER170001</t>
  </si>
  <si>
    <t>FER170002</t>
  </si>
  <si>
    <t>FER170003</t>
  </si>
  <si>
    <t>FER170004</t>
  </si>
  <si>
    <t>FER170005</t>
  </si>
  <si>
    <t>FER170006</t>
  </si>
  <si>
    <t>FER170007</t>
  </si>
  <si>
    <t>FER170008</t>
  </si>
  <si>
    <t>FER170009</t>
  </si>
  <si>
    <t>FER170010</t>
  </si>
  <si>
    <t>FER170011</t>
  </si>
  <si>
    <t>FER170012</t>
  </si>
  <si>
    <t>FER170013</t>
  </si>
  <si>
    <t>FER170014</t>
  </si>
  <si>
    <t>FER170015</t>
  </si>
  <si>
    <t>FER170016</t>
  </si>
  <si>
    <t>FER170017</t>
  </si>
  <si>
    <t>FER170018</t>
  </si>
  <si>
    <t>FER170019</t>
  </si>
  <si>
    <t>FER170020</t>
  </si>
  <si>
    <t>FER170021</t>
  </si>
  <si>
    <t>FER170022</t>
  </si>
  <si>
    <t>FER170023</t>
  </si>
  <si>
    <t>FER170024</t>
  </si>
  <si>
    <t>FER170025</t>
  </si>
  <si>
    <t>FER170026</t>
  </si>
  <si>
    <t>FER170027</t>
  </si>
  <si>
    <t>FER170028</t>
  </si>
  <si>
    <t>FER170029</t>
  </si>
  <si>
    <t>FER170030</t>
  </si>
  <si>
    <t>FER170031</t>
  </si>
  <si>
    <t>FER170032</t>
  </si>
  <si>
    <t>FER170033</t>
  </si>
  <si>
    <t>FER170034</t>
  </si>
  <si>
    <t>FER170035</t>
  </si>
  <si>
    <t>FER170036</t>
  </si>
  <si>
    <t>FER170037</t>
  </si>
  <si>
    <t>FER170038</t>
  </si>
  <si>
    <t>FER170039</t>
  </si>
  <si>
    <t>FER170040</t>
  </si>
  <si>
    <t>FER170041</t>
  </si>
  <si>
    <t>FER170042</t>
  </si>
  <si>
    <t>FER170043</t>
  </si>
  <si>
    <t>FER170044</t>
  </si>
  <si>
    <t>FER170045</t>
  </si>
  <si>
    <t>FER170046</t>
  </si>
  <si>
    <t>FER170047</t>
  </si>
  <si>
    <t>FER170048</t>
  </si>
  <si>
    <t>FER170049</t>
  </si>
  <si>
    <t>FER170050</t>
  </si>
  <si>
    <t>FER170051</t>
  </si>
  <si>
    <t>FER170052</t>
  </si>
  <si>
    <t>FER170053</t>
  </si>
  <si>
    <t>FER170054</t>
  </si>
  <si>
    <t>FER170055</t>
  </si>
  <si>
    <t>FER170056</t>
  </si>
  <si>
    <t>FER170057</t>
  </si>
  <si>
    <t>FER170058</t>
  </si>
  <si>
    <t>FER170059</t>
  </si>
  <si>
    <t>FER170060</t>
  </si>
  <si>
    <t>FER170061</t>
  </si>
  <si>
    <t>FER170062</t>
  </si>
  <si>
    <t>FER170063</t>
  </si>
  <si>
    <t>FER170064</t>
  </si>
  <si>
    <t>FER170065</t>
  </si>
  <si>
    <t>FER170066</t>
  </si>
  <si>
    <t>FER170067</t>
  </si>
  <si>
    <t>FER170068</t>
  </si>
  <si>
    <t>FER170069</t>
  </si>
  <si>
    <t>FER170070</t>
  </si>
  <si>
    <t>FER170071</t>
  </si>
  <si>
    <t>FER170072</t>
  </si>
  <si>
    <t>FER170073</t>
  </si>
  <si>
    <t>FER170074</t>
  </si>
  <si>
    <t>FER170075</t>
  </si>
  <si>
    <t>FER170076</t>
  </si>
  <si>
    <t>FER170077</t>
  </si>
  <si>
    <t>FER170078</t>
  </si>
  <si>
    <t>FER170079</t>
  </si>
  <si>
    <t>FER170080</t>
  </si>
  <si>
    <t>FER170081</t>
  </si>
  <si>
    <t>FER170082</t>
  </si>
  <si>
    <t>FER170083</t>
  </si>
  <si>
    <t>FER170084</t>
  </si>
  <si>
    <t>FER170085</t>
  </si>
  <si>
    <t>FER170086</t>
  </si>
  <si>
    <t>FER170087</t>
  </si>
  <si>
    <t>FER170088</t>
  </si>
  <si>
    <t>FER170089</t>
  </si>
  <si>
    <t>FER170090</t>
  </si>
  <si>
    <t>FER170091</t>
  </si>
  <si>
    <t>FER170092</t>
  </si>
  <si>
    <t>Receivable for Fertilizer - 2017</t>
  </si>
  <si>
    <t>ဦး-11</t>
  </si>
  <si>
    <t>ဦး-12</t>
  </si>
  <si>
    <t>ဦး-13</t>
  </si>
  <si>
    <t>ဦး-14</t>
  </si>
  <si>
    <t>ဦး-15</t>
  </si>
  <si>
    <t>ဦး-16</t>
  </si>
  <si>
    <t>ဦး-17</t>
  </si>
  <si>
    <t>ဦး-18</t>
  </si>
  <si>
    <t>ဦး-19</t>
  </si>
  <si>
    <t>ဦး-20</t>
  </si>
  <si>
    <t>ဦး-21</t>
  </si>
  <si>
    <t>ဦး-22</t>
  </si>
  <si>
    <t>ဦး-23</t>
  </si>
  <si>
    <t>ဦး-24</t>
  </si>
  <si>
    <t>ဦး-25</t>
  </si>
  <si>
    <t>ဦး-26</t>
  </si>
  <si>
    <t>ဦး-27</t>
  </si>
  <si>
    <t>ဦး-28</t>
  </si>
  <si>
    <t>ဦး-29</t>
  </si>
  <si>
    <t>ဦး-30</t>
  </si>
  <si>
    <t>RECS001</t>
  </si>
  <si>
    <t>RECS002</t>
  </si>
  <si>
    <t>RECS003</t>
  </si>
  <si>
    <t>RECS004</t>
  </si>
  <si>
    <t>RECS005</t>
  </si>
  <si>
    <t>RECS006</t>
  </si>
  <si>
    <t>RECS007</t>
  </si>
  <si>
    <t>RECS008</t>
  </si>
  <si>
    <t>RECS009</t>
  </si>
  <si>
    <t>RECS010</t>
  </si>
  <si>
    <t>RECS011</t>
  </si>
  <si>
    <t>RECS012</t>
  </si>
  <si>
    <t>RECS013</t>
  </si>
  <si>
    <t>RECS014</t>
  </si>
  <si>
    <t>RECS015</t>
  </si>
  <si>
    <t>RECS016</t>
  </si>
  <si>
    <t>RECS017</t>
  </si>
  <si>
    <t>RECS018</t>
  </si>
  <si>
    <t>RECS019</t>
  </si>
  <si>
    <t>RECS020</t>
  </si>
  <si>
    <t>RECS021</t>
  </si>
  <si>
    <t>RECS022</t>
  </si>
  <si>
    <t>RECS023</t>
  </si>
  <si>
    <t>RECS024</t>
  </si>
  <si>
    <t>RECS025</t>
  </si>
  <si>
    <t>RECS026</t>
  </si>
  <si>
    <t>RECS027</t>
  </si>
  <si>
    <t>RECS028</t>
  </si>
  <si>
    <t>RECS029</t>
  </si>
  <si>
    <t>RECS030</t>
  </si>
  <si>
    <t>RECS031</t>
  </si>
  <si>
    <t>RECS032</t>
  </si>
  <si>
    <t>RECS033</t>
  </si>
  <si>
    <t>RECS034</t>
  </si>
  <si>
    <t>RECS035</t>
  </si>
  <si>
    <t>RECS036</t>
  </si>
  <si>
    <t>RECS037</t>
  </si>
  <si>
    <t>RECS038</t>
  </si>
  <si>
    <t>RECS039</t>
  </si>
  <si>
    <t>RECS040</t>
  </si>
  <si>
    <t>RECS041</t>
  </si>
  <si>
    <t>RECS042</t>
  </si>
  <si>
    <t>RECS043</t>
  </si>
  <si>
    <t>RECS044</t>
  </si>
  <si>
    <t>RECS045</t>
  </si>
  <si>
    <t>RECS046</t>
  </si>
  <si>
    <t>RECS047</t>
  </si>
  <si>
    <t>RECS048</t>
  </si>
  <si>
    <t>RECS049</t>
  </si>
  <si>
    <t>RECS050</t>
  </si>
  <si>
    <t>RECS051</t>
  </si>
  <si>
    <t>RECS052</t>
  </si>
  <si>
    <t>RECS053</t>
  </si>
  <si>
    <t>RECS054</t>
  </si>
  <si>
    <t>RECS055</t>
  </si>
  <si>
    <t>RECS056</t>
  </si>
  <si>
    <t>RECS057</t>
  </si>
  <si>
    <t>RECS058</t>
  </si>
  <si>
    <t>RECS059</t>
  </si>
  <si>
    <t>RECS060</t>
  </si>
  <si>
    <t>RECS061</t>
  </si>
  <si>
    <t>RECS062</t>
  </si>
  <si>
    <t>RECS063</t>
  </si>
  <si>
    <t>RECS064</t>
  </si>
  <si>
    <t>RECS065</t>
  </si>
  <si>
    <t>RECS066</t>
  </si>
  <si>
    <t>RECS067</t>
  </si>
  <si>
    <t>RECS068</t>
  </si>
  <si>
    <t>RECS069</t>
  </si>
  <si>
    <t>RECS070</t>
  </si>
  <si>
    <t>RECS071</t>
  </si>
  <si>
    <t>RECS072</t>
  </si>
  <si>
    <t>RECS073</t>
  </si>
  <si>
    <t>RECS074</t>
  </si>
  <si>
    <t>RECS075</t>
  </si>
  <si>
    <t>RECS076</t>
  </si>
  <si>
    <t>RECS077</t>
  </si>
  <si>
    <t>RECS078</t>
  </si>
  <si>
    <t>RECS079</t>
  </si>
  <si>
    <t>RECS080</t>
  </si>
  <si>
    <t>RECS081</t>
  </si>
  <si>
    <t>RECS082</t>
  </si>
  <si>
    <t>RECS083</t>
  </si>
  <si>
    <t>RECS084</t>
  </si>
  <si>
    <t>RECS085</t>
  </si>
  <si>
    <t>RECS086</t>
  </si>
  <si>
    <t>RECS087</t>
  </si>
  <si>
    <t>RECS088</t>
  </si>
  <si>
    <t>RECS089</t>
  </si>
  <si>
    <t>RECS090</t>
  </si>
  <si>
    <t>RECS091</t>
  </si>
  <si>
    <t>RECS092</t>
  </si>
  <si>
    <t>RECS093</t>
  </si>
  <si>
    <t>RECS094</t>
  </si>
  <si>
    <t>RECS095</t>
  </si>
  <si>
    <t>RECS096</t>
  </si>
  <si>
    <t>RECS097</t>
  </si>
  <si>
    <t>RECS098</t>
  </si>
  <si>
    <t>RECS099</t>
  </si>
  <si>
    <t>RECS100</t>
  </si>
  <si>
    <t>RECS</t>
  </si>
  <si>
    <t>Receivable for Sale</t>
  </si>
  <si>
    <t>RECL</t>
  </si>
  <si>
    <t>RECL001</t>
  </si>
  <si>
    <t>RECL002</t>
  </si>
  <si>
    <t>RECL003</t>
  </si>
  <si>
    <t>RECL004</t>
  </si>
  <si>
    <t>RECL005</t>
  </si>
  <si>
    <t>RECL006</t>
  </si>
  <si>
    <t>RECL007</t>
  </si>
  <si>
    <t>RECL008</t>
  </si>
  <si>
    <t>RECL009</t>
  </si>
  <si>
    <t>RECL010</t>
  </si>
  <si>
    <t>RECL011</t>
  </si>
  <si>
    <t>RECL012</t>
  </si>
  <si>
    <t>RECL013</t>
  </si>
  <si>
    <t>RECL014</t>
  </si>
  <si>
    <t>RECL015</t>
  </si>
  <si>
    <t>RECL016</t>
  </si>
  <si>
    <t>RECL017</t>
  </si>
  <si>
    <t>RECL018</t>
  </si>
  <si>
    <t>RECL019</t>
  </si>
  <si>
    <t>RECL020</t>
  </si>
  <si>
    <t>RECL021</t>
  </si>
  <si>
    <t>RECL022</t>
  </si>
  <si>
    <t>RECL023</t>
  </si>
  <si>
    <t>RECL024</t>
  </si>
  <si>
    <t>RECL025</t>
  </si>
  <si>
    <t>RECL026</t>
  </si>
  <si>
    <t>RECL027</t>
  </si>
  <si>
    <t>RECL028</t>
  </si>
  <si>
    <t>RECL029</t>
  </si>
  <si>
    <t>RECL030</t>
  </si>
  <si>
    <t>RECST</t>
  </si>
  <si>
    <t>Receivable for Staff</t>
  </si>
  <si>
    <t>RECST01</t>
  </si>
  <si>
    <t>RECST02</t>
  </si>
  <si>
    <t>RECST03</t>
  </si>
  <si>
    <t>RECST04</t>
  </si>
  <si>
    <t>RECST05</t>
  </si>
  <si>
    <t>RECST06</t>
  </si>
  <si>
    <t>RECST07</t>
  </si>
  <si>
    <t>RECST08</t>
  </si>
  <si>
    <t>RECST09</t>
  </si>
  <si>
    <t>RECST10</t>
  </si>
  <si>
    <t>RECST11</t>
  </si>
  <si>
    <t>RECST12</t>
  </si>
  <si>
    <t>RECST13</t>
  </si>
  <si>
    <t>RECST14</t>
  </si>
  <si>
    <t>RECST15</t>
  </si>
  <si>
    <t>RECST16</t>
  </si>
  <si>
    <t>RECST17</t>
  </si>
  <si>
    <t>RECST18</t>
  </si>
  <si>
    <t>RECST19</t>
  </si>
  <si>
    <t>RECST20</t>
  </si>
  <si>
    <t>Agriculture</t>
  </si>
  <si>
    <t>တဲ</t>
  </si>
  <si>
    <t>အေရာင္းဆိုင္</t>
  </si>
  <si>
    <t>ဝပ္ေရွာ့</t>
  </si>
  <si>
    <t>ဝန္ထမ္းၾကိဳထုတ္ေငြ</t>
  </si>
  <si>
    <t>လဆိုင္းအေရာင္း ရရန္ရွိ</t>
  </si>
  <si>
    <t>ေခ်းေငြ ရရန္ရွိ</t>
  </si>
  <si>
    <t>JC001</t>
  </si>
  <si>
    <t>JC002</t>
  </si>
  <si>
    <t>JC003</t>
  </si>
  <si>
    <t>RJC</t>
  </si>
  <si>
    <t>Receivable for Job Cost</t>
  </si>
  <si>
    <t>အိမ္အသံုးစရိတ္ ရရန္ရွိ</t>
  </si>
  <si>
    <t>INC100</t>
  </si>
  <si>
    <t>INCGBS</t>
  </si>
  <si>
    <t>INCWSW</t>
  </si>
  <si>
    <t>INCUSM</t>
  </si>
  <si>
    <t>INFER</t>
  </si>
  <si>
    <t>INHP</t>
  </si>
  <si>
    <t>Commission Income from GBS</t>
  </si>
  <si>
    <t>Commission Income from WSW</t>
  </si>
  <si>
    <t>Commission Income from USM</t>
  </si>
  <si>
    <t>Interest Income from HP</t>
  </si>
  <si>
    <t>Other Income</t>
  </si>
  <si>
    <t>Interest Exp for HP</t>
  </si>
  <si>
    <t>Interest Exp for Fertilizer</t>
  </si>
  <si>
    <t>EXP821</t>
  </si>
  <si>
    <t>EXP822</t>
  </si>
  <si>
    <t>ေျမဆီ အသံုးစရိတ္</t>
  </si>
  <si>
    <t>ေျမဆီ အတိုး္</t>
  </si>
  <si>
    <t>HP အတိုး</t>
  </si>
  <si>
    <t>CDH</t>
  </si>
  <si>
    <t>Cash Deposit to Home</t>
  </si>
  <si>
    <t>CASP</t>
  </si>
  <si>
    <t>CRSP</t>
  </si>
  <si>
    <t>Spare</t>
  </si>
  <si>
    <t>ရခိုင္ေခ်ာင္</t>
  </si>
  <si>
    <t>Khin Aye Maw</t>
  </si>
  <si>
    <t>Ko Se Thu</t>
  </si>
  <si>
    <t>ကိုသိန္းဦး</t>
  </si>
  <si>
    <t>HPSC</t>
  </si>
  <si>
    <t>Cash Sale for Fertilizer</t>
  </si>
  <si>
    <t>Cash Sale for  Spare</t>
  </si>
  <si>
    <t>Cash Sale  Agriculture</t>
  </si>
  <si>
    <t>Credit Sale for Agriculture</t>
  </si>
  <si>
    <t>Credit Sale for Spare</t>
  </si>
  <si>
    <t>CASF</t>
  </si>
  <si>
    <t>CRSF</t>
  </si>
  <si>
    <t>HP Sale for Agriculture</t>
  </si>
  <si>
    <t>INFCAR</t>
  </si>
  <si>
    <t>INWS</t>
  </si>
  <si>
    <t>Income From Workshop</t>
  </si>
  <si>
    <t>RECHPW17</t>
  </si>
  <si>
    <t>Receivable for HP WBL- 2017</t>
  </si>
  <si>
    <t>INFOC</t>
  </si>
  <si>
    <t>FOC Income from Co.,</t>
  </si>
  <si>
    <t>အျခားဝင္ေငြ</t>
  </si>
  <si>
    <t>GBS မွ ေကာ္မရွင္ရေငြ</t>
  </si>
  <si>
    <t>WSW မွ ေကာ္မရွင္ရေငြ</t>
  </si>
  <si>
    <t>USM မွ ေကာ္မရွင္ရေငြ</t>
  </si>
  <si>
    <t>WS မွ ဝင္ေငြ</t>
  </si>
  <si>
    <t>Company မွ FOC ရေငြ</t>
  </si>
  <si>
    <t>Qty</t>
  </si>
  <si>
    <t>Com.Price</t>
  </si>
  <si>
    <t>Profit</t>
  </si>
  <si>
    <t>Down Payment က်န္ေငြ Date</t>
  </si>
  <si>
    <t>Income From Home</t>
  </si>
  <si>
    <t>Home ၀င္ေငြ</t>
  </si>
  <si>
    <t>INHOME</t>
  </si>
  <si>
    <t>S - Price</t>
  </si>
  <si>
    <t>Total Amt</t>
  </si>
  <si>
    <t>Foli</t>
  </si>
  <si>
    <t>Contract</t>
  </si>
  <si>
    <t>T-Profit</t>
  </si>
  <si>
    <t>Checel No.</t>
  </si>
  <si>
    <t>Colour</t>
  </si>
  <si>
    <t>Customer Name</t>
  </si>
  <si>
    <t>Product Name</t>
  </si>
  <si>
    <t>GBS Spare</t>
  </si>
  <si>
    <t>Down Payment ေပးေငြ</t>
  </si>
  <si>
    <t>Q185 ပင္စတင္</t>
  </si>
  <si>
    <t>Q185 ေကာ္နတ္တင္း</t>
  </si>
  <si>
    <t>Q185 ေနာ္ဇယ္အံု</t>
  </si>
  <si>
    <t>Q185004</t>
  </si>
  <si>
    <t>Q185005</t>
  </si>
  <si>
    <t>Q185007</t>
  </si>
  <si>
    <t>Q185008</t>
  </si>
  <si>
    <t>Q185015</t>
  </si>
  <si>
    <t>Q185016</t>
  </si>
  <si>
    <t>Q185018</t>
  </si>
  <si>
    <t>Q185021</t>
  </si>
  <si>
    <t>ဇက္ပင္ (တစ္ဘီးေထာင္)</t>
  </si>
  <si>
    <t>ေလ်ွာတန္း (ခါးရွပ္တန္း)(တစ္ဘီးေထာင္)</t>
  </si>
  <si>
    <t>ေလ်ွာဗန္းေဒါက္(တစ္ဘီးေထာင္)</t>
  </si>
  <si>
    <t>တပ္မ (တစ္ဘီးေထာင္)</t>
  </si>
  <si>
    <t>တပ္မေဒါက္(တစ္ဘီးေထာင္)</t>
  </si>
  <si>
    <t>ဖင္ထိုင္ၿပား / ခံု(တစ္ဘီးေထာင္)</t>
  </si>
  <si>
    <t>Q185026</t>
  </si>
  <si>
    <t>Q185028</t>
  </si>
  <si>
    <t>ဦး-03</t>
  </si>
  <si>
    <t>ေရကာ (တစ္ဘီးေထာင္)</t>
  </si>
  <si>
    <t>ဘီးရွပ္ (တစ္ဘီးေထာင္)</t>
  </si>
  <si>
    <t>NT70009</t>
  </si>
  <si>
    <t>NT 70 ပလန္ခ်ာ</t>
  </si>
  <si>
    <t>IN Other</t>
  </si>
  <si>
    <t>Income from Other</t>
  </si>
  <si>
    <t>Other ဝင္ေငြ</t>
  </si>
  <si>
    <t>GBS HPSC</t>
  </si>
  <si>
    <t>GBS Cash</t>
  </si>
  <si>
    <t>Total Profit</t>
  </si>
  <si>
    <t xml:space="preserve">Down Payment က်န္ေငြ </t>
  </si>
  <si>
    <t>R180002</t>
  </si>
  <si>
    <t>Receivable for WBL HP - 2018</t>
  </si>
  <si>
    <t>RECFEW18</t>
  </si>
  <si>
    <t>Receivable for WBL Fertilizer - 2018</t>
  </si>
  <si>
    <t>HPW18001</t>
  </si>
  <si>
    <t>HPW18002</t>
  </si>
  <si>
    <t>HPW18003</t>
  </si>
  <si>
    <t>HPW18004</t>
  </si>
  <si>
    <t>HPW18005</t>
  </si>
  <si>
    <t>11%~10% ကြာျခားခ်က္</t>
  </si>
  <si>
    <t>RECFEW16</t>
  </si>
  <si>
    <t>ဇက္ဘြတ္ (တစ္ဘီးေထာင္)</t>
  </si>
  <si>
    <t>ဘားကရိုင္း ခြက္လတ္</t>
  </si>
  <si>
    <t>ဘားကရိုင္း ခြက္ေသး</t>
  </si>
  <si>
    <t>ကိုယ္ထည္ (တစ္ဘီးေထာင္)</t>
  </si>
  <si>
    <t>REWS</t>
  </si>
  <si>
    <t>WS ဝန္ထမ္းၾကိဳထုတ္ေငြ</t>
  </si>
  <si>
    <t xml:space="preserve">ဘိုဘိုႏိုင္ </t>
  </si>
  <si>
    <t>ဦးၾကည္လြင္</t>
  </si>
  <si>
    <t>REWS01</t>
  </si>
  <si>
    <t>REWS02</t>
  </si>
  <si>
    <t>REWS03</t>
  </si>
  <si>
    <t>REWS04</t>
  </si>
  <si>
    <t>REWS05</t>
  </si>
  <si>
    <t>REWS06</t>
  </si>
  <si>
    <t>REWS07</t>
  </si>
  <si>
    <t>REWS08</t>
  </si>
  <si>
    <t>REWS09</t>
  </si>
  <si>
    <t>REWS10</t>
  </si>
  <si>
    <t>REWS11</t>
  </si>
  <si>
    <t>REWS12</t>
  </si>
  <si>
    <t>REWS13</t>
  </si>
  <si>
    <t>REWS14</t>
  </si>
  <si>
    <t>REWS15</t>
  </si>
  <si>
    <t>REWS16</t>
  </si>
  <si>
    <t>REWS17</t>
  </si>
  <si>
    <t>REWS18</t>
  </si>
  <si>
    <t>REWS19</t>
  </si>
  <si>
    <t>REWS20</t>
  </si>
  <si>
    <t>ဦးသန္းစိုး</t>
  </si>
  <si>
    <t>93 စြယ္ 110</t>
  </si>
  <si>
    <t>R-175 ကီးစံု</t>
  </si>
  <si>
    <t>R-175 ေရတိုင္ကီ ေကာ္ဖံုး</t>
  </si>
  <si>
    <t>R-175 ဆီျပန္ပိုက္</t>
  </si>
  <si>
    <t>R-175 တိုက္ပစ္နပ္</t>
  </si>
  <si>
    <t>ေကာ္ရိုးေရာင္စံုသံ Brush</t>
  </si>
  <si>
    <t>ေရာင္စံုပါး ဆိုးျပား</t>
  </si>
  <si>
    <t>ABေကာ္ေသး Chai</t>
  </si>
  <si>
    <t>W 40 သံေၾကးခၽြတ္ေဆး</t>
  </si>
  <si>
    <t>မီးခံႀကိဳးထံုး</t>
  </si>
  <si>
    <t>ကင့္ရွပ္ပင္နယံ (ေသး /က်ယ္ ) R175 /180 (JN)</t>
  </si>
  <si>
    <t>ျဖတ္ဘားဝါရွာ S195 (JN)</t>
  </si>
  <si>
    <t>ဂါဂ်ီပင္ကလစ္ R175 (JN)</t>
  </si>
  <si>
    <t>ဂါဂ်ီပင္ R175 (JN) (0.16KG)</t>
  </si>
  <si>
    <t>ဂါဘနာ ဝိတ္သီး 175 (သံကၽြတ္)</t>
  </si>
  <si>
    <t>ဟန္ဒရယ္ရွပ္ 175</t>
  </si>
  <si>
    <t>ေဖာ္လိုခြက္(ခု) R175</t>
  </si>
  <si>
    <t>12" ဂြရွင္ (ဇီးေရာင္)</t>
  </si>
  <si>
    <t>R-175 ဟန္ဒယ္ေဂါက္ JW</t>
  </si>
  <si>
    <t>R-175 အိတ္ေဇာပါကင္ 3 ေပါက္</t>
  </si>
  <si>
    <t>R-175 အင္ဂ်င္ဝိုင္ တိုင္းတံ</t>
  </si>
  <si>
    <t>R-180 ကင့္ကာဘာ</t>
  </si>
  <si>
    <t>R180008</t>
  </si>
  <si>
    <t>R180016</t>
  </si>
  <si>
    <t>R180018</t>
  </si>
  <si>
    <t>Toyo ေလ်ွာဗန္း(တစ္ဘီးေထာင္)</t>
  </si>
  <si>
    <t>စပန္နာ 10/12/14 သံုးဘက္ခြ</t>
  </si>
  <si>
    <t>R-175 ပန္႔ဒလက္္အံု JW</t>
  </si>
  <si>
    <t>R-175 ဆီတိုင္ကီဖံုး (JW)</t>
  </si>
  <si>
    <t>R-175 4 x 3 ပူလီ</t>
  </si>
  <si>
    <t>ဟိုက္ဘြန္ေကာ္ / Hibond</t>
  </si>
  <si>
    <t>R180020</t>
  </si>
  <si>
    <t>R-175 အမ္းခံုစံု ဆီေပါက္ပါ (JW)</t>
  </si>
  <si>
    <t>S-195 ေနာ္ဇယ္ေအဂ်က္ (6 ေထာင့္) JW</t>
  </si>
  <si>
    <t>R-175 တိုက္ပစ္အမ္း</t>
  </si>
  <si>
    <t>R-175 ဆီေကာ့စံု (JW)</t>
  </si>
  <si>
    <t>R-175 စက္မကြင္း (JW)</t>
  </si>
  <si>
    <t>R-175 X အဲယားေဂါက္ (JW)</t>
  </si>
  <si>
    <t>DF 24 ဓားသြား</t>
  </si>
  <si>
    <t>R-175 စလစ္သေရကြင္း</t>
  </si>
  <si>
    <t>ဘိုျဖဴ</t>
  </si>
  <si>
    <t>INFContract</t>
  </si>
  <si>
    <t>Charges Income from Contract</t>
  </si>
  <si>
    <t>Charges Income from Car</t>
  </si>
  <si>
    <t>HP Sale for Fertilizer</t>
  </si>
  <si>
    <t>HPFER</t>
  </si>
  <si>
    <t>RECS101</t>
  </si>
  <si>
    <t>RECS102</t>
  </si>
  <si>
    <t>RECS103</t>
  </si>
  <si>
    <t>RECS104</t>
  </si>
  <si>
    <t>RECS105</t>
  </si>
  <si>
    <t>RECS106</t>
  </si>
  <si>
    <t>SYS</t>
  </si>
  <si>
    <t>Sale - Price</t>
  </si>
  <si>
    <t>Within 1 month credit</t>
  </si>
  <si>
    <t>EXP823</t>
  </si>
  <si>
    <t>2016 Fertilizer Expense</t>
  </si>
  <si>
    <t>Cash Credit Sale for Fertilizer</t>
  </si>
  <si>
    <t>CCSF</t>
  </si>
  <si>
    <t>ဝါယာရိန္းသမား</t>
  </si>
  <si>
    <t>RECS107</t>
  </si>
  <si>
    <t>RECS108</t>
  </si>
  <si>
    <t>RECS109</t>
  </si>
  <si>
    <t>RECS110</t>
  </si>
  <si>
    <t>RECS111</t>
  </si>
  <si>
    <t>RECS112</t>
  </si>
  <si>
    <t>RECS113</t>
  </si>
  <si>
    <t>RECS114</t>
  </si>
  <si>
    <t>RECS115</t>
  </si>
  <si>
    <t>RECS116</t>
  </si>
  <si>
    <t>RECS117</t>
  </si>
  <si>
    <t>ျပည့္ၿဖိဳးေအာင္</t>
  </si>
  <si>
    <t>DI</t>
  </si>
  <si>
    <t>Credit.Price</t>
  </si>
  <si>
    <t>Show.Price</t>
  </si>
  <si>
    <t>STL LEYIA</t>
  </si>
  <si>
    <t>Commission</t>
  </si>
  <si>
    <t>USM Cycle HP</t>
  </si>
  <si>
    <t>NASA</t>
  </si>
  <si>
    <t>MDY Spare</t>
  </si>
  <si>
    <t>EXP824</t>
  </si>
  <si>
    <t>lucky Draw (NASA)</t>
  </si>
  <si>
    <t>NASA ကံစမ္းမဲထုတ္ေပး</t>
  </si>
  <si>
    <t>စာခ်ဳပ္ဖိုးရေငြ</t>
  </si>
  <si>
    <t>USM WSW</t>
  </si>
  <si>
    <t>Layer</t>
  </si>
  <si>
    <t>Mya Htike</t>
  </si>
  <si>
    <t>Mg Mg Soe</t>
  </si>
  <si>
    <t>USM လယ္ယာသံုး  HP</t>
  </si>
  <si>
    <t>WBL GBS HP Sale Jan 2019</t>
  </si>
  <si>
    <t>Receivable for WBL Fertilizer - 2016</t>
  </si>
  <si>
    <t>INFHP</t>
  </si>
  <si>
    <t>ေျမဆီမွရက္ေက်ာ္ရေငြ</t>
  </si>
  <si>
    <t>Charges Income from Fertilizer</t>
  </si>
  <si>
    <t>Personal Loan</t>
  </si>
  <si>
    <t>ေခ်းေငြ</t>
  </si>
  <si>
    <t>LOAN</t>
  </si>
  <si>
    <t>EXP805</t>
  </si>
  <si>
    <t>EXP806</t>
  </si>
  <si>
    <t>Chit San Mg Expense</t>
  </si>
  <si>
    <t>ခ်စ္စန္းေမာင္အသံုးစရိတ္</t>
  </si>
  <si>
    <t>ေအာင္ထြန္းေက်ာ္အသံုးစရိတ္</t>
  </si>
  <si>
    <t>Aung Tun Kyaw Expense</t>
  </si>
  <si>
    <t>Chit San Mg</t>
  </si>
  <si>
    <t>RECHPW19STL</t>
  </si>
  <si>
    <t>RECHPW19USMC</t>
  </si>
  <si>
    <t>RECHPW19Spare</t>
  </si>
  <si>
    <t>RECHPW19GBS</t>
  </si>
  <si>
    <t>RECHPW19USM</t>
  </si>
  <si>
    <t>RECHPW19WSW</t>
  </si>
  <si>
    <t>RECHPW19LY</t>
  </si>
  <si>
    <t>RECHPW19SYS</t>
  </si>
  <si>
    <t>RECHPW19MH</t>
  </si>
  <si>
    <t>RECHPW19MMS</t>
  </si>
  <si>
    <t>ရရန္ရွိစာရင္း2019</t>
  </si>
  <si>
    <t>Receivable for WBL HP - 2019 GBS</t>
  </si>
  <si>
    <t>Receivable for WBL HP - 2019 USM</t>
  </si>
  <si>
    <t>Receivable for WBL HP - 2019 USMC</t>
  </si>
  <si>
    <t>Receivable for WBL HP - 2019 WSW</t>
  </si>
  <si>
    <t>GBS 2019</t>
  </si>
  <si>
    <t>Receivable for WBL HP - 2019 STL</t>
  </si>
  <si>
    <t>Receivable for WBL HP - 2019 LY</t>
  </si>
  <si>
    <t>Receivable for WBL HP - 2019 SYS</t>
  </si>
  <si>
    <t>Receivable for WBL HP - 2019 MH</t>
  </si>
  <si>
    <t>Receivable for WBL HP - 2019 MMS</t>
  </si>
  <si>
    <t>Receivable for WBL HP - 2019 Spare</t>
  </si>
  <si>
    <t>Receivable for WBL Fertilizer - 2019</t>
  </si>
  <si>
    <t>RECFEW19</t>
  </si>
  <si>
    <t>ကိုခ်စ္စန္းေမာင္ အေၾကြးရေငြ</t>
  </si>
  <si>
    <t>CSM2019</t>
  </si>
  <si>
    <t>EXP807</t>
  </si>
  <si>
    <t>EXP808</t>
  </si>
  <si>
    <t>Investment</t>
  </si>
  <si>
    <t>ရင္းႏွီးျမဳပ္ႏွံျခင္း</t>
  </si>
  <si>
    <t>Marketing Expense</t>
  </si>
  <si>
    <t>Marketing အသံုးစရိတ္</t>
  </si>
  <si>
    <t>ဦး-9</t>
  </si>
  <si>
    <t>EXP809</t>
  </si>
  <si>
    <t>Commission Expense</t>
  </si>
  <si>
    <t>UMG</t>
  </si>
  <si>
    <t>2018 Fertilizer Expense</t>
  </si>
  <si>
    <t>EXP825</t>
  </si>
  <si>
    <t>EXP810</t>
  </si>
  <si>
    <t>After Sale Service</t>
  </si>
  <si>
    <t>ဝယ္ယူျပီးေနာက္ဝန္ေဆာင္မွဳ</t>
  </si>
  <si>
    <t>Credit Sale for Fertilizer 30%</t>
  </si>
  <si>
    <t>RECS118</t>
  </si>
  <si>
    <t>RECS119</t>
  </si>
  <si>
    <t>RECS120</t>
  </si>
  <si>
    <t>ဦး-120</t>
  </si>
  <si>
    <t>ဦး-096</t>
  </si>
  <si>
    <t>ဦး-097</t>
  </si>
  <si>
    <t>ဦး-098</t>
  </si>
  <si>
    <t>ဦး-099</t>
  </si>
  <si>
    <t>ဦး-100</t>
  </si>
  <si>
    <t>ဦး-101</t>
  </si>
  <si>
    <t>ဦး-102</t>
  </si>
  <si>
    <t>ဦး-103</t>
  </si>
  <si>
    <t>ဦး-104</t>
  </si>
  <si>
    <t>ဦး-105</t>
  </si>
  <si>
    <t>ဦး-106</t>
  </si>
  <si>
    <t>ဦး-107</t>
  </si>
  <si>
    <t>ဦး-108</t>
  </si>
  <si>
    <t>ဦး-109</t>
  </si>
  <si>
    <t>ဦး-110</t>
  </si>
  <si>
    <t>ဦး-111</t>
  </si>
  <si>
    <t>ဦး-112</t>
  </si>
  <si>
    <t>ဦး-113</t>
  </si>
  <si>
    <t>ဦး-114</t>
  </si>
  <si>
    <t>ဦး-115</t>
  </si>
  <si>
    <t>ဦး-116</t>
  </si>
  <si>
    <t>ဦး-117</t>
  </si>
  <si>
    <t>ဦး-118</t>
  </si>
  <si>
    <t>ဦး-119</t>
  </si>
  <si>
    <t>EXP803</t>
  </si>
  <si>
    <t>Expenses For Damage</t>
  </si>
  <si>
    <t>ပ်က္စီးဆံုးရွံဳးမွဳအသံုးစရိတ္</t>
  </si>
  <si>
    <t>EXP804</t>
  </si>
  <si>
    <t>ပစၥည္းတင္/ေရႊ႕အသံုးစရိတ္</t>
  </si>
  <si>
    <t>Transport Charge</t>
  </si>
  <si>
    <t>RECHPW19UMG</t>
  </si>
  <si>
    <t>Receivable for WBL HP - 2019 UMG</t>
  </si>
  <si>
    <t>UMG(Matador)</t>
  </si>
  <si>
    <t>INCSP</t>
  </si>
  <si>
    <t>Commission Income from SP</t>
  </si>
  <si>
    <t>SP မွ ေကာ္မရွင္ရေငြ</t>
  </si>
  <si>
    <t>ဦး-066</t>
  </si>
  <si>
    <t>ဦး-067</t>
  </si>
  <si>
    <t>ဦး-068</t>
  </si>
  <si>
    <t>ဦး-069</t>
  </si>
  <si>
    <t>ဦး-070</t>
  </si>
  <si>
    <t>ဦး-071</t>
  </si>
  <si>
    <t>ဦး-072</t>
  </si>
  <si>
    <t>ဦး-073</t>
  </si>
  <si>
    <t>ဦး-074</t>
  </si>
  <si>
    <t>ဦး-075</t>
  </si>
  <si>
    <t>ဦး-076</t>
  </si>
  <si>
    <t>ဦး-077</t>
  </si>
  <si>
    <t>ဦး-078</t>
  </si>
  <si>
    <t>ဦး-079</t>
  </si>
  <si>
    <t>ဦး-080</t>
  </si>
  <si>
    <t>ဦး-081</t>
  </si>
  <si>
    <t>ဦး-082</t>
  </si>
  <si>
    <t>ဦး-083</t>
  </si>
  <si>
    <t>ဦး-084</t>
  </si>
  <si>
    <t>ဦး-085</t>
  </si>
  <si>
    <t>ဦး-086</t>
  </si>
  <si>
    <t>ဦး-087</t>
  </si>
  <si>
    <t>ဦး-088</t>
  </si>
  <si>
    <t>ဦး-089</t>
  </si>
  <si>
    <t>ဦး-090</t>
  </si>
  <si>
    <t>ဦး-091</t>
  </si>
  <si>
    <t>ဦး-092</t>
  </si>
  <si>
    <t>ဦး-093</t>
  </si>
  <si>
    <t>ဦး-094</t>
  </si>
  <si>
    <t>ဦး-095</t>
  </si>
  <si>
    <t>ကိုေထြးယူေငြ</t>
  </si>
  <si>
    <t>ေမာင္ေမာင္</t>
  </si>
  <si>
    <t>ဦး-051</t>
  </si>
  <si>
    <t>ဦး-052</t>
  </si>
  <si>
    <t>ဦး-053</t>
  </si>
  <si>
    <t>ဦး-054</t>
  </si>
  <si>
    <t>ဦး-055</t>
  </si>
  <si>
    <t>ဦး-056</t>
  </si>
  <si>
    <t>ဦး-057</t>
  </si>
  <si>
    <t>ဦး-058</t>
  </si>
  <si>
    <t>ဦး-059</t>
  </si>
  <si>
    <t>ဦး-060</t>
  </si>
  <si>
    <t>ဦး-061</t>
  </si>
  <si>
    <t>ဦး-062</t>
  </si>
  <si>
    <t>ဦး-063</t>
  </si>
  <si>
    <t>ဦး-064</t>
  </si>
  <si>
    <t>ဦး-065</t>
  </si>
  <si>
    <t>ေငြျပန္အမ္း</t>
  </si>
  <si>
    <t>EXP811</t>
  </si>
  <si>
    <t>Sale Return</t>
  </si>
  <si>
    <t>RECHPW18</t>
  </si>
  <si>
    <t>ဆိုင္အမည္</t>
  </si>
  <si>
    <t>လ</t>
  </si>
  <si>
    <t>Company အမည္</t>
  </si>
  <si>
    <t>ရရန္ေၾကြးက်န္</t>
  </si>
  <si>
    <t>ရရန္ေၾကြး</t>
  </si>
  <si>
    <t>ေၾကြးက်န္ (+)</t>
  </si>
  <si>
    <t>ေၾကြးဆပ္ (-)</t>
  </si>
  <si>
    <t xml:space="preserve">ရတနာ        </t>
  </si>
  <si>
    <t xml:space="preserve">1 လပိုင္း </t>
  </si>
  <si>
    <t>GBS (Bank)</t>
  </si>
  <si>
    <t>USM လယ္ယာသံုး(Bank)</t>
  </si>
  <si>
    <t xml:space="preserve">USM Cycle </t>
  </si>
  <si>
    <t>STL (LEIYA)</t>
  </si>
  <si>
    <t>SYS (Engine)</t>
  </si>
  <si>
    <t>Mya Htike (Engine)</t>
  </si>
  <si>
    <t>Mg Mg Soe (သံုးဘီး Spare)</t>
  </si>
  <si>
    <t>ရရန္ေၾကြးက်န္ေငြ</t>
  </si>
  <si>
    <t>2019 ရရန္ေၾကြး</t>
  </si>
  <si>
    <t>2019 ေၾကြးဝင္ေငြ</t>
  </si>
  <si>
    <t>U Chit Sann Mg</t>
  </si>
  <si>
    <t>ဦး-049</t>
  </si>
  <si>
    <t>ဦး-050</t>
  </si>
  <si>
    <t>ဦး-047</t>
  </si>
  <si>
    <t>ဦး-048</t>
  </si>
  <si>
    <t>IN NUT</t>
  </si>
  <si>
    <t xml:space="preserve"> Income from NUT</t>
  </si>
  <si>
    <t>နတ္ဝင္ေငြ</t>
  </si>
  <si>
    <t>Commission အသံုးစရိတ္+RK</t>
  </si>
  <si>
    <t>HP မွ ရက္ေက်ာ္ရေငြ(စက္ရက္ေက်ာ္)</t>
  </si>
  <si>
    <t>SLW</t>
  </si>
  <si>
    <t>ဦး-121</t>
  </si>
  <si>
    <t>ဦး-122</t>
  </si>
  <si>
    <t>GBS Cash Sale December 2019</t>
  </si>
  <si>
    <t>USM ဆိ္ုင္ကယ္ HP Sale December 2019</t>
  </si>
  <si>
    <t>USM လယ္ယာသံုး Cash Sale December 2019</t>
  </si>
  <si>
    <t>Main Spare</t>
  </si>
  <si>
    <t>CRR2020</t>
  </si>
  <si>
    <t>EXP826</t>
  </si>
  <si>
    <t>2020 Fertilizer Expense</t>
  </si>
  <si>
    <t>REC</t>
  </si>
  <si>
    <t>REC16</t>
  </si>
  <si>
    <t>REC17</t>
  </si>
  <si>
    <t>REC18</t>
  </si>
  <si>
    <t>REC19</t>
  </si>
  <si>
    <t xml:space="preserve">2 လပိုင္း </t>
  </si>
  <si>
    <t>ဦး-004</t>
  </si>
  <si>
    <t>ဦး-005</t>
  </si>
  <si>
    <t>ဦး-006</t>
  </si>
  <si>
    <t>ဦး-007</t>
  </si>
  <si>
    <t>ဦး-008</t>
  </si>
  <si>
    <t>ဦး-009</t>
  </si>
  <si>
    <t>ဦး-010</t>
  </si>
  <si>
    <t>ဦး-011</t>
  </si>
  <si>
    <t>ဦး-012</t>
  </si>
  <si>
    <t>ဦး-013</t>
  </si>
  <si>
    <t>ဦး-014</t>
  </si>
  <si>
    <t>ဦး-015</t>
  </si>
  <si>
    <t>ဦး-016</t>
  </si>
  <si>
    <t>ဦး-017</t>
  </si>
  <si>
    <t>ဦး-018</t>
  </si>
  <si>
    <t>ဦး-019</t>
  </si>
  <si>
    <t>ဦး-020</t>
  </si>
  <si>
    <t>ဦး-021</t>
  </si>
  <si>
    <t>ဦး-022</t>
  </si>
  <si>
    <t>ဦး-023</t>
  </si>
  <si>
    <t>ဦး-024</t>
  </si>
  <si>
    <t>ဦး-025</t>
  </si>
  <si>
    <t>ဦး-026</t>
  </si>
  <si>
    <t>ဦး-027</t>
  </si>
  <si>
    <t>ဦး-028</t>
  </si>
  <si>
    <t>ဦး-029</t>
  </si>
  <si>
    <t>ဦး-030</t>
  </si>
  <si>
    <t>ဦး-031</t>
  </si>
  <si>
    <t>ဦး-032</t>
  </si>
  <si>
    <t>ဦး-033</t>
  </si>
  <si>
    <t>ဦး-034</t>
  </si>
  <si>
    <t>ဦး-035</t>
  </si>
  <si>
    <t>ဦး-036</t>
  </si>
  <si>
    <t>ဦး-037</t>
  </si>
  <si>
    <t>ဦး-038</t>
  </si>
  <si>
    <t>ဦး-039</t>
  </si>
  <si>
    <t>ဦး-040</t>
  </si>
  <si>
    <t>ဦး-041</t>
  </si>
  <si>
    <t>ဦး-042</t>
  </si>
  <si>
    <t>ဦး-043</t>
  </si>
  <si>
    <t>ဦး-044</t>
  </si>
  <si>
    <t>ဦး-045</t>
  </si>
  <si>
    <t>ဦး-046</t>
  </si>
  <si>
    <t>ဦးမ်ိဳးေက်ာ္  ကၽြဲလူးအိုင္</t>
  </si>
  <si>
    <t>RECHPW20GBS</t>
  </si>
  <si>
    <t>Receivable for WBL HP - 2020 GBS</t>
  </si>
  <si>
    <t>RECHPW20USM</t>
  </si>
  <si>
    <t>Receivable for WBL HP - 2020 USM</t>
  </si>
  <si>
    <t>RECHPW20WSW</t>
  </si>
  <si>
    <t>Receivable for WBL HP - 2020 WSW</t>
  </si>
  <si>
    <t>RECHPW20STL</t>
  </si>
  <si>
    <t>Receivable for WBL HP - 2020 STL</t>
  </si>
  <si>
    <t>RECHPW20LY</t>
  </si>
  <si>
    <t>Receivable for WBL HP - 2020 LY</t>
  </si>
  <si>
    <t>RECHPW20SYS</t>
  </si>
  <si>
    <t>Receivable for WBL HP - 2020 SYS</t>
  </si>
  <si>
    <t>RECHPW20MH</t>
  </si>
  <si>
    <t>Receivable for WBL HP - 2020 MH</t>
  </si>
  <si>
    <t>RECHPW20MMS</t>
  </si>
  <si>
    <t>Receivable for WBL HP - 2020 MMS</t>
  </si>
  <si>
    <t>RECHPW20UMG</t>
  </si>
  <si>
    <t>Receivable for WBL HP - 2020 UMG</t>
  </si>
  <si>
    <t>RECHPW20Spare</t>
  </si>
  <si>
    <t>Receivable for WBL HP - 2020 Spare</t>
  </si>
  <si>
    <t>GBS 2020</t>
  </si>
  <si>
    <t>USM 2020</t>
  </si>
  <si>
    <t>USM Cycle 2020</t>
  </si>
  <si>
    <t>RECHPW20USMC</t>
  </si>
  <si>
    <t>Receivable for WBL HP - 2020 USMC</t>
  </si>
  <si>
    <t>REC20</t>
  </si>
  <si>
    <t>RECS121</t>
  </si>
  <si>
    <t>RECS122</t>
  </si>
  <si>
    <t>Receivable for WBL HP - 2017</t>
  </si>
  <si>
    <t xml:space="preserve">3 လပိုင္း </t>
  </si>
  <si>
    <t>2020 ရရန္ေၾကြး</t>
  </si>
  <si>
    <t>2020 ေၾကြးဝင္ေငြ</t>
  </si>
  <si>
    <t>ဝင္ေငြ</t>
  </si>
  <si>
    <t>ထြက္ေငြ</t>
  </si>
  <si>
    <t>လက္က်န္</t>
  </si>
  <si>
    <t>Co Name</t>
  </si>
  <si>
    <t>Work Shop ဝင္ေငြ ေဘစင္ လက္ခ</t>
  </si>
  <si>
    <t>(ဆိုင္) ေရသန္႔ဗူးခြံဝယ္</t>
  </si>
  <si>
    <t>Receivable for Ko Htwe</t>
  </si>
  <si>
    <t xml:space="preserve">4 လပိုင္း </t>
  </si>
  <si>
    <t>Super</t>
  </si>
  <si>
    <t>Tricycle Dong Ben 250CC (8 feet)</t>
  </si>
  <si>
    <t>L6HBN1COL0000054</t>
  </si>
  <si>
    <t>Orange</t>
  </si>
  <si>
    <t>ကိုထြန္းထြန္းႏိုင္</t>
  </si>
  <si>
    <t>မ်ိဳးေက်ာ္</t>
  </si>
  <si>
    <t>L6HBN1COL0000061</t>
  </si>
  <si>
    <t>ITEM ID</t>
  </si>
  <si>
    <t>GBS Fer</t>
  </si>
  <si>
    <t xml:space="preserve">5 လပိုင္း </t>
  </si>
  <si>
    <t>Name</t>
  </si>
  <si>
    <t>Expense</t>
  </si>
  <si>
    <t>L6HBN1COL0000141</t>
  </si>
  <si>
    <t>L6HBN1COL0000053</t>
  </si>
  <si>
    <t>ကညင္ကုန္း</t>
  </si>
  <si>
    <t>L6HBN1COL0000068</t>
  </si>
  <si>
    <t xml:space="preserve">6 လပိုင္း </t>
  </si>
  <si>
    <t>ရတနာဆိုင္ ရရန္ေၾကြးရွင္းတမ္း (June 2020)</t>
  </si>
  <si>
    <t>Tricycle Dong Ben 300CC (8 feet)</t>
  </si>
  <si>
    <t>L6XHBR1C8L0000326</t>
  </si>
  <si>
    <t>L6XHBR1C7L0000348</t>
  </si>
  <si>
    <t>သခြတ္ပင္</t>
  </si>
  <si>
    <t xml:space="preserve">Tricycle Xunling    150CC </t>
  </si>
  <si>
    <t>L6XHBK1CXK0000169</t>
  </si>
  <si>
    <t>Green</t>
  </si>
  <si>
    <t>Main Store</t>
  </si>
  <si>
    <t>22 ေကာင္ထပ္ရိန္း Z-1110</t>
  </si>
  <si>
    <t>S-1110 ဟက္ေရပိတ္</t>
  </si>
  <si>
    <t>1110 ျဖတ္ဘား</t>
  </si>
  <si>
    <t>S-1110 ဟတ္ဘားအစံု</t>
  </si>
  <si>
    <t>25 ေကာင္ ဂတ္စကက္</t>
  </si>
  <si>
    <t>25 ေကာင္ရိန္း</t>
  </si>
  <si>
    <t>195ဆီစစ္အမဲဝါရွာပါ</t>
  </si>
  <si>
    <t>S-195 ေနာ္ဇယ္ပင္ႀကီး (JW)</t>
  </si>
  <si>
    <t>195 ေနာ္ဇယ္အံု</t>
  </si>
  <si>
    <t>DF0002</t>
  </si>
  <si>
    <t>DF003</t>
  </si>
  <si>
    <t>400X8 တာယာ</t>
  </si>
  <si>
    <t>DF004</t>
  </si>
  <si>
    <t>လိုက္ဘီးရွပ္</t>
  </si>
  <si>
    <t>DF005</t>
  </si>
  <si>
    <t>လိုက္ဘီး ဘြတ္ပါး</t>
  </si>
  <si>
    <t>DF008</t>
  </si>
  <si>
    <t>DF ဘီး စတပ္နပ္</t>
  </si>
  <si>
    <t>DF009</t>
  </si>
  <si>
    <t>DF ထြန္ခံုဓါးခ်ိန္း</t>
  </si>
  <si>
    <t>DF010</t>
  </si>
  <si>
    <t>DF လီဘာခလုပ္</t>
  </si>
  <si>
    <t>Delta International Limited</t>
  </si>
  <si>
    <t>DTL002</t>
  </si>
  <si>
    <t>Mono (40)HD (5 Liters)</t>
  </si>
  <si>
    <t>DTL010</t>
  </si>
  <si>
    <t>4T (1.5L)</t>
  </si>
  <si>
    <t>EM185002</t>
  </si>
  <si>
    <t>Dynamo GBS Brand Model ST-7.5 KW 175mm</t>
  </si>
  <si>
    <t>Dynamo GBS Brand Model ST-5 KW 140mm</t>
  </si>
  <si>
    <t>ST-10KW (120MM)</t>
  </si>
  <si>
    <t>LEILA /STL CO</t>
  </si>
  <si>
    <t>MMS0008</t>
  </si>
  <si>
    <t>MMS0010</t>
  </si>
  <si>
    <t>ဘရိတ္ကိုင္း အထိုင္ပါ</t>
  </si>
  <si>
    <t>MMS0020</t>
  </si>
  <si>
    <t>12 ထုပ္ကိြဳင္(160W) ARE</t>
  </si>
  <si>
    <t>MMS0021</t>
  </si>
  <si>
    <t>ကစ္တံ ေရႊ (နတ္ 2)</t>
  </si>
  <si>
    <t>MMS0023</t>
  </si>
  <si>
    <t>150 မိုင္းလစ္ၾကီဳးXLF</t>
  </si>
  <si>
    <t>MMS0024</t>
  </si>
  <si>
    <t>ထရန္စဖာၾကိဳးတုတ္(1)ဖက္နက္ရစ္1.3m(JRC)S</t>
  </si>
  <si>
    <t>MMS0031</t>
  </si>
  <si>
    <t>ေရ Heat (150/300)</t>
  </si>
  <si>
    <t>MMS013</t>
  </si>
  <si>
    <t>250 ဘားတံ (စတီး)</t>
  </si>
  <si>
    <t>MMS024</t>
  </si>
  <si>
    <t>ဟန္းဘရိတ္ဆြဲသံျပားေသး(ဘယ္)180</t>
  </si>
  <si>
    <t>MMS028</t>
  </si>
  <si>
    <t>သံလိုက္အံုလျခမ္းကီး</t>
  </si>
  <si>
    <t>MMS036</t>
  </si>
  <si>
    <t>150/250 ေမာ္တာအဝိုင္းဖံုး (ျပင္ညီ)</t>
  </si>
  <si>
    <t>MMS055</t>
  </si>
  <si>
    <t>ဆီဘရိတ္ေၾကးပိုက္(လတ္)</t>
  </si>
  <si>
    <t>NT70021</t>
  </si>
  <si>
    <t>NT70စလစ္(O)</t>
  </si>
  <si>
    <t>NT70022</t>
  </si>
  <si>
    <t>NT70ပလန္ခ်ာအုံ</t>
  </si>
  <si>
    <t>NT70023</t>
  </si>
  <si>
    <t>NT70/80ဆီတိုင္ကီ</t>
  </si>
  <si>
    <t>NT70025</t>
  </si>
  <si>
    <t>NT70/80အင္းလဲ့ဗူး</t>
  </si>
  <si>
    <t>NT70026</t>
  </si>
  <si>
    <t>NT70အိတ္ေဇာဗူး(ေဂါက္ပါ)</t>
  </si>
  <si>
    <t>NT70034</t>
  </si>
  <si>
    <t>NT70040</t>
  </si>
  <si>
    <t>NT70/80 ဖစ္တာဗူး</t>
  </si>
  <si>
    <t>NT70045</t>
  </si>
  <si>
    <t>NT 70 ျဖတ္ဘား</t>
  </si>
  <si>
    <t>NT70046</t>
  </si>
  <si>
    <t>အင္ဂ်င္ဝိုင္ပန္႔ဆံ</t>
  </si>
  <si>
    <t>NT70047</t>
  </si>
  <si>
    <t>ျဖတ္ဘားစပုလိန္</t>
  </si>
  <si>
    <t>NT70048</t>
  </si>
  <si>
    <t>ေရတိုင္ကီ သံျပား</t>
  </si>
  <si>
    <t>NT7041</t>
  </si>
  <si>
    <t>ကင့္ရွပ္ပီနီယံအေသး</t>
  </si>
  <si>
    <t>NT7042</t>
  </si>
  <si>
    <t>ဟန္တယ္ပီီနီယံ</t>
  </si>
  <si>
    <t>NT7044</t>
  </si>
  <si>
    <t>NT80005</t>
  </si>
  <si>
    <t>NT80စလစ္</t>
  </si>
  <si>
    <t>NT80011</t>
  </si>
  <si>
    <t>NT80 ပစၥတင္</t>
  </si>
  <si>
    <t>NT80016</t>
  </si>
  <si>
    <t>NT80 ဟက္ဖုံး</t>
  </si>
  <si>
    <t>NT80017</t>
  </si>
  <si>
    <t>NT80 ပလန္ခ်ာစပုလိန္</t>
  </si>
  <si>
    <t>NT80023</t>
  </si>
  <si>
    <t>NT80 ကရိုင္း</t>
  </si>
  <si>
    <t>OW0007</t>
  </si>
  <si>
    <t>OW0008</t>
  </si>
  <si>
    <t>OW0009</t>
  </si>
  <si>
    <t>OW0010</t>
  </si>
  <si>
    <t>ေလ်ွာဗန္းသံႀကိဳးတံုး</t>
  </si>
  <si>
    <t>OW0011</t>
  </si>
  <si>
    <t>OW0014</t>
  </si>
  <si>
    <t>OW0015</t>
  </si>
  <si>
    <t>Toyo ဇက္ပင္</t>
  </si>
  <si>
    <t>OW0016</t>
  </si>
  <si>
    <t>OW0018</t>
  </si>
  <si>
    <t>OW0019</t>
  </si>
  <si>
    <t>OW0022</t>
  </si>
  <si>
    <t>OW0023</t>
  </si>
  <si>
    <t>6/8 အင္ဂ်င္အထိုင္</t>
  </si>
  <si>
    <t>OW0024</t>
  </si>
  <si>
    <t>ထိုးတံ(တစ္ဘီးေထာင္)</t>
  </si>
  <si>
    <t>OW0028</t>
  </si>
  <si>
    <t>207 UCP (က်ယ္)</t>
  </si>
  <si>
    <t>OW0036</t>
  </si>
  <si>
    <t>7x2 ပူလီ (တစ္ဘီးေထာင္)</t>
  </si>
  <si>
    <t>OW0037</t>
  </si>
  <si>
    <t>OW0038</t>
  </si>
  <si>
    <t>OW0039</t>
  </si>
  <si>
    <t>OW0040</t>
  </si>
  <si>
    <t>OW0041</t>
  </si>
  <si>
    <t>OW0043</t>
  </si>
  <si>
    <t>OW0045</t>
  </si>
  <si>
    <t>ဘီးရွပ္ေဘာပိတ္ အေပါက္ပါ (တစ္ဘီးေထာင္)</t>
  </si>
  <si>
    <t>OW0046</t>
  </si>
  <si>
    <t>OW0054</t>
  </si>
  <si>
    <t>OW0059</t>
  </si>
  <si>
    <t>B 56 ခ်ိန္း</t>
  </si>
  <si>
    <t>OW0063</t>
  </si>
  <si>
    <t>B 54 ေျပာင္</t>
  </si>
  <si>
    <t>OW0065</t>
  </si>
  <si>
    <t>အေပၚပူလီေဘာပိတ္ အေပါက္မပါ(တစ္ဘီးေထာင္)</t>
  </si>
  <si>
    <t>OW0071</t>
  </si>
  <si>
    <t>OW0074</t>
  </si>
  <si>
    <t>OW0076</t>
  </si>
  <si>
    <t>OW0078</t>
  </si>
  <si>
    <t>OW0080</t>
  </si>
  <si>
    <t>5/6 အင္ဂ်င္အထိုင္ (တစ္ဘီးေထာင္)</t>
  </si>
  <si>
    <t>OW0081</t>
  </si>
  <si>
    <t>14သြားရွပ္ရွည္ (ရွယ္)</t>
  </si>
  <si>
    <t>OW0082</t>
  </si>
  <si>
    <t>OW0083</t>
  </si>
  <si>
    <t>OW0085</t>
  </si>
  <si>
    <t>တစ္ဘီးထြန္ပင္လတ္</t>
  </si>
  <si>
    <t>OW0088</t>
  </si>
  <si>
    <t>တစ္ဘီးထြန္ေလဘာသီး</t>
  </si>
  <si>
    <t>OW0090</t>
  </si>
  <si>
    <t>306ေဘာ</t>
  </si>
  <si>
    <t>OW0098</t>
  </si>
  <si>
    <t>OW0099</t>
  </si>
  <si>
    <t>B 50ပူလီေျပာင္ၾကိဳး</t>
  </si>
  <si>
    <t>14 စြယ္ရွပ္ /တို (တစ္ဘီးေထာင္)</t>
  </si>
  <si>
    <t>OW0102</t>
  </si>
  <si>
    <t>OW0105</t>
  </si>
  <si>
    <t>B48 ခ်ိန္း</t>
  </si>
  <si>
    <t>OW0108</t>
  </si>
  <si>
    <t>110 သံဘီး</t>
  </si>
  <si>
    <t>OW0114</t>
  </si>
  <si>
    <t>B 54 ခ်ိန္း</t>
  </si>
  <si>
    <t>OW0116</t>
  </si>
  <si>
    <t>တစ္ဘီးထြန္ ပီနယံ 69 စြယ္ (JW)</t>
  </si>
  <si>
    <t>OW0122</t>
  </si>
  <si>
    <t>OW0123</t>
  </si>
  <si>
    <t>14 စြယ္ရွပ္ လတ္ (တစ္ဘီးထြန္)</t>
  </si>
  <si>
    <t>OW013</t>
  </si>
  <si>
    <t>OW0132</t>
  </si>
  <si>
    <t>ထယ္အတင္အခ် ေသနတ္</t>
  </si>
  <si>
    <t>OW0134</t>
  </si>
  <si>
    <t>OW0138</t>
  </si>
  <si>
    <t>56 ေျပာင္ ပူလီႀကိဳး</t>
  </si>
  <si>
    <t>OW0142</t>
  </si>
  <si>
    <t>7 x 2 ပူလီ(အျပာခံု)</t>
  </si>
  <si>
    <t>OW0143</t>
  </si>
  <si>
    <t>6 x 2 ပူလီ(အျပာခံု)</t>
  </si>
  <si>
    <t>OW0144</t>
  </si>
  <si>
    <t>74 ခ်ိန္း ပူလီႀကိဳး</t>
  </si>
  <si>
    <t>OW0145</t>
  </si>
  <si>
    <t>ဇက္ပင္ဖုံး</t>
  </si>
  <si>
    <t>OW0147</t>
  </si>
  <si>
    <t>63/22 DD</t>
  </si>
  <si>
    <t>OW0155</t>
  </si>
  <si>
    <t>6204(Japan)အစစ္</t>
  </si>
  <si>
    <t>Q185 ရိန္း</t>
  </si>
  <si>
    <t>Q-185 CC ဂါဂ်ီပင္ဘြတ္</t>
  </si>
  <si>
    <t>Q185 ဖလိႈင္းဝွီး</t>
  </si>
  <si>
    <t>Q185 ဂတ္စကက္(ရွယ္)</t>
  </si>
  <si>
    <t>Q185 ေနာ္ဇယ္ပိုက္</t>
  </si>
  <si>
    <t>Q185033</t>
  </si>
  <si>
    <t>Q185 (CC) စလစ္ကစ္ဆက္</t>
  </si>
  <si>
    <t>Q185034</t>
  </si>
  <si>
    <t>Q-185 ကင့္မရွပ္</t>
  </si>
  <si>
    <t>Q185035</t>
  </si>
  <si>
    <t>R1750002</t>
  </si>
  <si>
    <t>ဘားဆက္စံု R175(JN)</t>
  </si>
  <si>
    <t>R1750015</t>
  </si>
  <si>
    <t>R1750019</t>
  </si>
  <si>
    <t>ကီးစံုထုပ္ R175</t>
  </si>
  <si>
    <t>R1750024</t>
  </si>
  <si>
    <t>အမ္းဖံုး သတၳဳ</t>
  </si>
  <si>
    <t>R1750027</t>
  </si>
  <si>
    <t>ေရလည္ပူလီၾကီး R175(တစ္လိုင္းပူလီ)</t>
  </si>
  <si>
    <t>R175004</t>
  </si>
  <si>
    <t>R175005</t>
  </si>
  <si>
    <t>R175010</t>
  </si>
  <si>
    <t>R175015</t>
  </si>
  <si>
    <t>R175019</t>
  </si>
  <si>
    <t>ပလန္ခ်ာစပရိန္ႀကီး S1110/175</t>
  </si>
  <si>
    <t>R175023</t>
  </si>
  <si>
    <t>R175024</t>
  </si>
  <si>
    <t>R175025</t>
  </si>
  <si>
    <t>R175030</t>
  </si>
  <si>
    <t>R175031</t>
  </si>
  <si>
    <t>R175032</t>
  </si>
  <si>
    <t>R175033</t>
  </si>
  <si>
    <t>ဂါဘနာကိုင္း R175 (JN)</t>
  </si>
  <si>
    <t>R175037</t>
  </si>
  <si>
    <t>R175A ကင့္ကာဘာ</t>
  </si>
  <si>
    <t>R175047</t>
  </si>
  <si>
    <t>R175048</t>
  </si>
  <si>
    <t>R175049</t>
  </si>
  <si>
    <t>R175050</t>
  </si>
  <si>
    <t>R175053</t>
  </si>
  <si>
    <t>R175056</t>
  </si>
  <si>
    <t>R175057</t>
  </si>
  <si>
    <t>R175060</t>
  </si>
  <si>
    <t>R175063</t>
  </si>
  <si>
    <t>R175064</t>
  </si>
  <si>
    <t>R175066</t>
  </si>
  <si>
    <t>R175068</t>
  </si>
  <si>
    <t>R-175 ပလန္ခ်ာေခါင္း</t>
  </si>
  <si>
    <t>R175075</t>
  </si>
  <si>
    <t>R175 ဟက္ ေက်ာက္ေခါင္း(1စံု)</t>
  </si>
  <si>
    <t>R175076</t>
  </si>
  <si>
    <t>R-175 ေနာ္ဇယ္ပိုက္</t>
  </si>
  <si>
    <t>R175081</t>
  </si>
  <si>
    <t>R175082</t>
  </si>
  <si>
    <t>R175095</t>
  </si>
  <si>
    <t>R175097</t>
  </si>
  <si>
    <t>R175098</t>
  </si>
  <si>
    <t>R-175 ေနာ္ဇယ္နပ္တိုင္ ႀကီး(JW)</t>
  </si>
  <si>
    <t>R175099</t>
  </si>
  <si>
    <t>R-175 ေနာ္ဇယ္နပ္တိုင္ လတ္(JW)</t>
  </si>
  <si>
    <t>R175101</t>
  </si>
  <si>
    <t>R175102</t>
  </si>
  <si>
    <t>R175103</t>
  </si>
  <si>
    <t>R175106</t>
  </si>
  <si>
    <t>R175109</t>
  </si>
  <si>
    <t>R175112</t>
  </si>
  <si>
    <t>R-175 ကင္းမရွပ္ ေသး</t>
  </si>
  <si>
    <t>R175120</t>
  </si>
  <si>
    <t>175/180 ဆီမိန္းပိုက္ရွည္</t>
  </si>
  <si>
    <t>R175123</t>
  </si>
  <si>
    <t>ေလဘာသီး</t>
  </si>
  <si>
    <t>R175124</t>
  </si>
  <si>
    <t>ေနာ္ဇယ္နားကပ္စပရိန္</t>
  </si>
  <si>
    <t>R175127</t>
  </si>
  <si>
    <t>R175 ဒလီဘားစပရိန္ေသး</t>
  </si>
  <si>
    <t>R175130</t>
  </si>
  <si>
    <t>R175အင္ဂ်င္ဝိုင္စစ္စုံ(JW)</t>
  </si>
  <si>
    <t>R175132</t>
  </si>
  <si>
    <t>R175ေကာ္နတ္တင္းဝါရွာ(JW)</t>
  </si>
  <si>
    <t>R175141</t>
  </si>
  <si>
    <t>175/180 အဲယားစစ္</t>
  </si>
  <si>
    <t>R175144</t>
  </si>
  <si>
    <t>R175 ပါကင္စုံ</t>
  </si>
  <si>
    <t>R175150</t>
  </si>
  <si>
    <t>R-175ဘားေထာက္ (JW)</t>
  </si>
  <si>
    <t>R175151</t>
  </si>
  <si>
    <t>R175157</t>
  </si>
  <si>
    <t>R-175 ဖလိုင္းဝွီးဝါရွာ (JW)</t>
  </si>
  <si>
    <t>R175160</t>
  </si>
  <si>
    <t>R175161</t>
  </si>
  <si>
    <t>ဒီဇယ္ဖစ္တာစစ္ R-175</t>
  </si>
  <si>
    <t>R175163</t>
  </si>
  <si>
    <t>R175165</t>
  </si>
  <si>
    <t>R175166</t>
  </si>
  <si>
    <t>R175168</t>
  </si>
  <si>
    <t>ေနာ္ဇယ္ပင္ႀကီး(GBS SP)</t>
  </si>
  <si>
    <t>R175171</t>
  </si>
  <si>
    <t>ဂတ္စကက္က်ယ္</t>
  </si>
  <si>
    <t>ဂတ္စကက္ (က်ဥ္း) R-180A (JN)</t>
  </si>
  <si>
    <t>R-180 ပစၥတင္ ညီ</t>
  </si>
  <si>
    <t>R180 ပါကင္စံု</t>
  </si>
  <si>
    <t>R180036</t>
  </si>
  <si>
    <t>ဖလိုင္းဝီွး</t>
  </si>
  <si>
    <t>R180046</t>
  </si>
  <si>
    <t>R180 ဂါဂ်ီပင္</t>
  </si>
  <si>
    <t>R180050</t>
  </si>
  <si>
    <t>ဘားဆက္စံု R180 (JN)</t>
  </si>
  <si>
    <t>R180052</t>
  </si>
  <si>
    <t>R180060</t>
  </si>
  <si>
    <t>R180 ကင့္ရွပ္</t>
  </si>
  <si>
    <t>SP0050</t>
  </si>
  <si>
    <t>SP0058</t>
  </si>
  <si>
    <t>အမဲဆီ ဗူးေသး</t>
  </si>
  <si>
    <t>SP0062</t>
  </si>
  <si>
    <t>2လက္မ ေဆာ့ကဒ္</t>
  </si>
  <si>
    <t>SP0076</t>
  </si>
  <si>
    <t>SP0079</t>
  </si>
  <si>
    <t>SP0082</t>
  </si>
  <si>
    <t>175ေနာ္ဇယ္နားကပ္(တို)</t>
  </si>
  <si>
    <t>SP0083</t>
  </si>
  <si>
    <t>175ေနာ္ဇယ္နားကပ္(ရွည္)</t>
  </si>
  <si>
    <t>SP0088</t>
  </si>
  <si>
    <t>DF ေကာ္ပိတ္အဖံုး</t>
  </si>
  <si>
    <t>SP0090</t>
  </si>
  <si>
    <t>SP0092</t>
  </si>
  <si>
    <t>SP0096</t>
  </si>
  <si>
    <t>1မတ္ ကီး / တစ္ဘီးထြန္ကီး</t>
  </si>
  <si>
    <t>SP0098</t>
  </si>
  <si>
    <t>SP0103</t>
  </si>
  <si>
    <t>SP0109</t>
  </si>
  <si>
    <t>SP0114</t>
  </si>
  <si>
    <t>SP0115</t>
  </si>
  <si>
    <t>SP0119</t>
  </si>
  <si>
    <t>2 way ဝက္အူလွည့္ 8"</t>
  </si>
  <si>
    <t>SP0125</t>
  </si>
  <si>
    <t>SP0126</t>
  </si>
  <si>
    <t>SP0128</t>
  </si>
  <si>
    <t>SP0129</t>
  </si>
  <si>
    <t>SP0160</t>
  </si>
  <si>
    <t>Kawa 7 1/2 ပင္စတင္+ရိန္း STD</t>
  </si>
  <si>
    <t>SP0164</t>
  </si>
  <si>
    <t>SP0166</t>
  </si>
  <si>
    <t>SP0167</t>
  </si>
  <si>
    <t>SP0169</t>
  </si>
  <si>
    <t>SP0171</t>
  </si>
  <si>
    <t>SP0172</t>
  </si>
  <si>
    <t>SP0180</t>
  </si>
  <si>
    <t>Kawa ဆြဲအံု 7.5</t>
  </si>
  <si>
    <t>SP0189</t>
  </si>
  <si>
    <t>SP0216</t>
  </si>
  <si>
    <t>SP0217</t>
  </si>
  <si>
    <t>SP0218</t>
  </si>
  <si>
    <t>SP0222</t>
  </si>
  <si>
    <t>SP0236</t>
  </si>
  <si>
    <t>6 မူးကရိုင္းကစ္နတ္</t>
  </si>
  <si>
    <t>SP0258</t>
  </si>
  <si>
    <t>SP0263</t>
  </si>
  <si>
    <t>SP0284</t>
  </si>
  <si>
    <t>SP0285</t>
  </si>
  <si>
    <t>SP0291</t>
  </si>
  <si>
    <t>SP0310</t>
  </si>
  <si>
    <t>7 1/2 ဆီတိုင္ကီ</t>
  </si>
  <si>
    <t>SP0325</t>
  </si>
  <si>
    <t>6 1/2 ပါကင္စုံ</t>
  </si>
  <si>
    <t>SP0326</t>
  </si>
  <si>
    <t>6 1/2 ပစၥတင္+ ရိန္းSTD ဗူးျပာ</t>
  </si>
  <si>
    <t>SP0327</t>
  </si>
  <si>
    <t>6 1/2 ရိန္း STD</t>
  </si>
  <si>
    <t>SP0331</t>
  </si>
  <si>
    <t>SP0334</t>
  </si>
  <si>
    <t>SP0341</t>
  </si>
  <si>
    <t>SP0354</t>
  </si>
  <si>
    <t>4လက္မေက်ာက္ျပား ထူ</t>
  </si>
  <si>
    <t>SP0356</t>
  </si>
  <si>
    <t>ေက်ာက္စက္ကာပြန္</t>
  </si>
  <si>
    <t>SP0357</t>
  </si>
  <si>
    <t>SP0362</t>
  </si>
  <si>
    <t>မီးတိပ္</t>
  </si>
  <si>
    <t>SP0363</t>
  </si>
  <si>
    <t>20.40.7 အဝိုင္းစီး</t>
  </si>
  <si>
    <t>SP0365</t>
  </si>
  <si>
    <t>Blower ဆြဲအုံ</t>
  </si>
  <si>
    <t>SP0379</t>
  </si>
  <si>
    <t>SP0385</t>
  </si>
  <si>
    <t>ကစလခ်ည္ခင္ဖလန္း</t>
  </si>
  <si>
    <t>SP0387</t>
  </si>
  <si>
    <t>4လက္မကစလရွပ္</t>
  </si>
  <si>
    <t>SP0388</t>
  </si>
  <si>
    <t>4လက္မကစလဘယ္ေခါင္း</t>
  </si>
  <si>
    <t>SP0393</t>
  </si>
  <si>
    <t>4လက္မ Li Li ပန္႕ရွပ္</t>
  </si>
  <si>
    <t>SP0403</t>
  </si>
  <si>
    <t>Honda ဆြဲအုံ ျမတ္ရိတ္စက္</t>
  </si>
  <si>
    <t>SP0404</t>
  </si>
  <si>
    <t>SP0412</t>
  </si>
  <si>
    <t>13ေကာင္ဆီတိုင္ကီ</t>
  </si>
  <si>
    <t>SP0424</t>
  </si>
  <si>
    <t>SP0425</t>
  </si>
  <si>
    <t>တေကာင္ ေရေမာ္တာ အဝိုင္းစီး</t>
  </si>
  <si>
    <t>SP0428</t>
  </si>
  <si>
    <t>6203 ေဘာ</t>
  </si>
  <si>
    <t>SP0432</t>
  </si>
  <si>
    <t>14×15 ဂြဂြ</t>
  </si>
  <si>
    <t>SP0433</t>
  </si>
  <si>
    <t>16×17 ဂြဂြ</t>
  </si>
  <si>
    <t>SP0435</t>
  </si>
  <si>
    <t>608 DD (ေရျမဳပ္)</t>
  </si>
  <si>
    <t>SP0442</t>
  </si>
  <si>
    <t>SP0444</t>
  </si>
  <si>
    <t>7 1/2 ဘားတံ</t>
  </si>
  <si>
    <t>SP0453</t>
  </si>
  <si>
    <t>SP0462</t>
  </si>
  <si>
    <t>SP0464</t>
  </si>
  <si>
    <t>SP0476</t>
  </si>
  <si>
    <t>10 ဂြင္းဂြ</t>
  </si>
  <si>
    <t>SP0477</t>
  </si>
  <si>
    <t>12 ဂြင္းဂြ</t>
  </si>
  <si>
    <t>SP0478</t>
  </si>
  <si>
    <t>13 ဂြင္းဂြ</t>
  </si>
  <si>
    <t>SP0479</t>
  </si>
  <si>
    <t>16 ဂြင္းဂြ</t>
  </si>
  <si>
    <t>SP0480</t>
  </si>
  <si>
    <t>17 ဂြင္းဂြ</t>
  </si>
  <si>
    <t>SP0481</t>
  </si>
  <si>
    <t>19 ဂြင္းဂြ</t>
  </si>
  <si>
    <t>SP0484</t>
  </si>
  <si>
    <t>SP0485</t>
  </si>
  <si>
    <t>5 ပဲဆီလံုဝါရွာ (သံ) (JW)</t>
  </si>
  <si>
    <t>SP0487</t>
  </si>
  <si>
    <t>ငွက္လႊ</t>
  </si>
  <si>
    <t>SP0490</t>
  </si>
  <si>
    <t>50.72.12 အဝိုင္းစီး</t>
  </si>
  <si>
    <t>SP0492</t>
  </si>
  <si>
    <t>18 × 19 ဂြဂြ</t>
  </si>
  <si>
    <t>18 ဂြင္းဂြ</t>
  </si>
  <si>
    <t>SP0494</t>
  </si>
  <si>
    <t>10 T (CH)</t>
  </si>
  <si>
    <t>SP0495</t>
  </si>
  <si>
    <t>12 T (CH)</t>
  </si>
  <si>
    <t>SP0499</t>
  </si>
  <si>
    <t>SP0507</t>
  </si>
  <si>
    <t>SP0511</t>
  </si>
  <si>
    <t>ေကာ္နီ</t>
  </si>
  <si>
    <t>SP0512</t>
  </si>
  <si>
    <t>ခဲကြင္းၾကီး</t>
  </si>
  <si>
    <t>SP0513</t>
  </si>
  <si>
    <t>ခဲကြင္းေသး</t>
  </si>
  <si>
    <t>SP0521</t>
  </si>
  <si>
    <t>12 စပန္နာသီး</t>
  </si>
  <si>
    <t>SP0522</t>
  </si>
  <si>
    <t>13 စပန္နာသီး</t>
  </si>
  <si>
    <t>SP0523</t>
  </si>
  <si>
    <t>14 စပန္နာသီး</t>
  </si>
  <si>
    <t>SP0524</t>
  </si>
  <si>
    <t>17 စပန္နာသီး</t>
  </si>
  <si>
    <t>SP0525</t>
  </si>
  <si>
    <t>19 စပန္နာသီး</t>
  </si>
  <si>
    <t>SP0528</t>
  </si>
  <si>
    <t>စက္တံတို</t>
  </si>
  <si>
    <t>SP0534</t>
  </si>
  <si>
    <t>မီးစက္ကာဗြန္အိမ္ CH</t>
  </si>
  <si>
    <t>SP0546</t>
  </si>
  <si>
    <t>SP0551</t>
  </si>
  <si>
    <t>SP0553</t>
  </si>
  <si>
    <t>4လက္မဘီလူးေခါင္းသေရျပား</t>
  </si>
  <si>
    <t>SP0558</t>
  </si>
  <si>
    <t>3 လက္မ ပိုက္ကလစ္(၂ျခမ္း)</t>
  </si>
  <si>
    <t>SP0560</t>
  </si>
  <si>
    <t>Kawa 7 1/2 ဘေလာက္အိုး</t>
  </si>
  <si>
    <t>SP0562</t>
  </si>
  <si>
    <t>6 1/2 X 2ရြက္ပန္ကာ</t>
  </si>
  <si>
    <t>SP0563</t>
  </si>
  <si>
    <t>SP0566</t>
  </si>
  <si>
    <t>SP0574</t>
  </si>
  <si>
    <t>Kawa 7-5 ကိြဳင္</t>
  </si>
  <si>
    <t>SP0580</t>
  </si>
  <si>
    <t>SP0582</t>
  </si>
  <si>
    <t>3KW ဒိုင္နမို ကာပြန္</t>
  </si>
  <si>
    <t>SP0584</t>
  </si>
  <si>
    <t>ျမတ္ရိတ္စက္ ဘယ္ရစ္နတ္</t>
  </si>
  <si>
    <t>SP0600</t>
  </si>
  <si>
    <t>7 1/2 ရိန္း(STD) ဓါတ္ဆီ</t>
  </si>
  <si>
    <t>SP0604</t>
  </si>
  <si>
    <t>14 ဂြင္းဂြ</t>
  </si>
  <si>
    <t>SP0609</t>
  </si>
  <si>
    <t>N0- 4 စူးသြား</t>
  </si>
  <si>
    <t>SP0611</t>
  </si>
  <si>
    <t>SP0616</t>
  </si>
  <si>
    <t>3 ဝင္ 1 ထြက္ သတၳဳေဆာ့ကဒ္</t>
  </si>
  <si>
    <t>SP0622</t>
  </si>
  <si>
    <t>SP0632</t>
  </si>
  <si>
    <t>3KWကာပြန္အိမ္</t>
  </si>
  <si>
    <t>SP0638</t>
  </si>
  <si>
    <t>SP0651</t>
  </si>
  <si>
    <t>25 ေကာင္ စလစ္ကစ္ဆက္</t>
  </si>
  <si>
    <t>SP0656</t>
  </si>
  <si>
    <t>6006 ေဘာ</t>
  </si>
  <si>
    <t>SP0658</t>
  </si>
  <si>
    <t>3.5mm စူးသြား</t>
  </si>
  <si>
    <t>SP0685</t>
  </si>
  <si>
    <t>18 စပန္နာသီး</t>
  </si>
  <si>
    <t>ZM/MDY Spare</t>
  </si>
  <si>
    <t>SP0698</t>
  </si>
  <si>
    <t>AB ေကာ္ၾကီး</t>
  </si>
  <si>
    <t>SP0708</t>
  </si>
  <si>
    <t>ဝရိန္ မွန္ အမဲ</t>
  </si>
  <si>
    <t>SP0709</t>
  </si>
  <si>
    <t>4လက္မပန္႔ေရျပန္ေခါင္း</t>
  </si>
  <si>
    <t>SP0726</t>
  </si>
  <si>
    <t>SU 100 ေၾကြအဝိုင္းစီး</t>
  </si>
  <si>
    <t>SP0730</t>
  </si>
  <si>
    <t>180 ထပ္ရိန္း</t>
  </si>
  <si>
    <t>SP0731</t>
  </si>
  <si>
    <t>175 ထပ္ရိန္း</t>
  </si>
  <si>
    <t>SP0734</t>
  </si>
  <si>
    <t>Kawa 7-5 အင္းလက္ဗူး</t>
  </si>
  <si>
    <t>SP0736</t>
  </si>
  <si>
    <t>SP0744</t>
  </si>
  <si>
    <t>ဝိုက္စီး 27-37-7</t>
  </si>
  <si>
    <t>SP0779</t>
  </si>
  <si>
    <t>Malaysia အင္ဂ်င္ဝိုင္(1 L)</t>
  </si>
  <si>
    <t>SP0792</t>
  </si>
  <si>
    <t>sp0794</t>
  </si>
  <si>
    <t>20mm O Ring</t>
  </si>
  <si>
    <t>SP0797</t>
  </si>
  <si>
    <t>SP0807</t>
  </si>
  <si>
    <t>B55 ပူလီႀကီး (ေျပာင္)</t>
  </si>
  <si>
    <t>SP0811</t>
  </si>
  <si>
    <t>SP0812</t>
  </si>
  <si>
    <t>ကီးရွည္(တစ္ဘီး)</t>
  </si>
  <si>
    <t>SP0815</t>
  </si>
  <si>
    <t>မီးခံျပား အပါး</t>
  </si>
  <si>
    <t>SP0821</t>
  </si>
  <si>
    <t>400X8 ကၽြတ္</t>
  </si>
  <si>
    <t>DF ကလပ္ရွပ္</t>
  </si>
  <si>
    <t>SP0827</t>
  </si>
  <si>
    <t>DF ဂီယာေဘာက္ဖံုး</t>
  </si>
  <si>
    <t>SP0838</t>
  </si>
  <si>
    <t>SP0842</t>
  </si>
  <si>
    <t>ဆီညွစ္ဗူး(အၾကည္)</t>
  </si>
  <si>
    <t>SP0848</t>
  </si>
  <si>
    <t>ကြန္နဆာ 8uF</t>
  </si>
  <si>
    <t>SP0853</t>
  </si>
  <si>
    <t>ကြန္နဆာ 12uF</t>
  </si>
  <si>
    <t>SP0857</t>
  </si>
  <si>
    <t>7 စူးသြား</t>
  </si>
  <si>
    <t>SP0858</t>
  </si>
  <si>
    <t>10.5 စူးသြား</t>
  </si>
  <si>
    <t>SP0872</t>
  </si>
  <si>
    <t>M6 10 ေတာက္</t>
  </si>
  <si>
    <t>SP0884</t>
  </si>
  <si>
    <t>14 T</t>
  </si>
  <si>
    <t>SP0890</t>
  </si>
  <si>
    <t>6 1/2 ကိြဳင္ႀကိဳး</t>
  </si>
  <si>
    <t>SP0892</t>
  </si>
  <si>
    <t>SP0909</t>
  </si>
  <si>
    <t>SP0910</t>
  </si>
  <si>
    <t>22 စပန္နာသီးအရွည္</t>
  </si>
  <si>
    <t>SP0913</t>
  </si>
  <si>
    <t>52 B ခ်ိန္း</t>
  </si>
  <si>
    <t>SP0916</t>
  </si>
  <si>
    <t>7 1/2 ဂတ္စကက္</t>
  </si>
  <si>
    <t>SP0922</t>
  </si>
  <si>
    <t>SP0927</t>
  </si>
  <si>
    <t>13 ေကာင္ သံပတ္</t>
  </si>
  <si>
    <t>SP0935</t>
  </si>
  <si>
    <t>SP0943</t>
  </si>
  <si>
    <t>SP0947</t>
  </si>
  <si>
    <t>6 1/2 ဘားလိပ္ျပာ</t>
  </si>
  <si>
    <t>STL011</t>
  </si>
  <si>
    <t>3လက္မ Royal 20 (လည္ေခ်ာင္းပိုက္မာ)</t>
  </si>
  <si>
    <t>STL012</t>
  </si>
  <si>
    <t>SEIN WUT HMON CO.LTD</t>
  </si>
  <si>
    <t>SWH003</t>
  </si>
  <si>
    <t>4 T 1 liter</t>
  </si>
  <si>
    <t>ZMTMS003</t>
  </si>
  <si>
    <t>NNJ ေဘာ 6209</t>
  </si>
  <si>
    <t>ZMTMS012</t>
  </si>
  <si>
    <t>NNJ ဆီဘရိတ္ရွဴးစပရိန္ အစုံထုပ္ (ေသး)</t>
  </si>
  <si>
    <t>ZMTMS016</t>
  </si>
  <si>
    <t>သံလိုက္တုံး (12 ထုပ္၊ႀကီး၊ေဘာထိုင္မပါ)</t>
  </si>
  <si>
    <t>ZMTMS019</t>
  </si>
  <si>
    <t>ေသာ့လြတ္ေသး</t>
  </si>
  <si>
    <t>ZMTMS022</t>
  </si>
  <si>
    <t>LLL ဘေလာက္ set (250 D/C LF သံ</t>
  </si>
  <si>
    <t>ZMTMS023</t>
  </si>
  <si>
    <t>လီဗာႀကိဳး (1ပင္၊ ရွည္)</t>
  </si>
  <si>
    <t>ZMTMS026</t>
  </si>
  <si>
    <t>ကလပ္ႀကိဳး (126 cm)</t>
  </si>
  <si>
    <t>ZMTMS032</t>
  </si>
  <si>
    <t>ေရွ႕အခ်က္ျပမီး set (ဖိုက္တာေခါင္း)</t>
  </si>
  <si>
    <t>ZMTMS048</t>
  </si>
  <si>
    <t>ဝိုက္စီး 30×40 ×10.8</t>
  </si>
  <si>
    <t>ZMTMS051</t>
  </si>
  <si>
    <t>ဝိုက္စီး 20×35 ×7</t>
  </si>
  <si>
    <t>ZMTMS053</t>
  </si>
  <si>
    <t>NNJ 1/2set (250D/C LF ၊ သံ3 ခ်ပ္)</t>
  </si>
  <si>
    <t>ZMTMS074</t>
  </si>
  <si>
    <t>NNJ စတပ္ေဘာထို္င္ (9)လံုး</t>
  </si>
  <si>
    <t>ZMTMS085</t>
  </si>
  <si>
    <t>NNJ ဂၽြိဳင္းေဘာ 20 ×55</t>
  </si>
  <si>
    <t>ZMTMS096</t>
  </si>
  <si>
    <t>(3I) ဘက္ဂီယာမိန္းပင္နီယံ (13 သြား၊တို)</t>
  </si>
  <si>
    <t>ZMTMS098</t>
  </si>
  <si>
    <t>ေနာက္ဆီဘရိတ္ရွဴး (ေသး ၊ေကာင္း)</t>
  </si>
  <si>
    <t>ZMTMS114</t>
  </si>
  <si>
    <t>(3h) ဒစၥဝွီးနတ္ (L 5ေပါက္ ၊ 5 ဘီး)</t>
  </si>
  <si>
    <t>ZMTMS118</t>
  </si>
  <si>
    <t>(3h) ဒစၥဝွီးနတ္ (L 4ေပါက္ ၊ 150Cc)</t>
  </si>
  <si>
    <t>ZMTMS134</t>
  </si>
  <si>
    <t>(3s)LF.SH အင္ဂ်င္ဝိုင္ Fiter ဗူး အတြင္းဇကာပါ (300 D/C)</t>
  </si>
  <si>
    <t>ZMTMS138</t>
  </si>
  <si>
    <t>LF.SH 12ထုပ္ကြိဳင္(200W ၊ႀကီး)</t>
  </si>
  <si>
    <t>ZMTMS143</t>
  </si>
  <si>
    <t>LF.SH ဒိုင္အုပ္ (150 ၊ 5 ပင္ ၊ 1 ေခါင္း)</t>
  </si>
  <si>
    <t>ZMTMS144</t>
  </si>
  <si>
    <t>(3c) ဂီယာပိုဆက္ရွင္ႀကိဳး (ေပၚ)</t>
  </si>
  <si>
    <t>ZMTMS148</t>
  </si>
  <si>
    <t>(3q) ေသာ့ set (ဝိုင္း L ကီးနတ္ဆြဲ)</t>
  </si>
  <si>
    <t>ZMTMS166</t>
  </si>
  <si>
    <t>(3n) ေရပန္႕ (175/200 WLF)ေခါင္းႀကီး</t>
  </si>
  <si>
    <t>ZMTMS178</t>
  </si>
  <si>
    <t>(3d) CTI ေဆာ့ကဒ္ (ဝိုင္း)</t>
  </si>
  <si>
    <t>ZMTMS213</t>
  </si>
  <si>
    <t>(3p) ဝိုက္စီး 32 × 50 × 7</t>
  </si>
  <si>
    <t>ZMTMS300</t>
  </si>
  <si>
    <t>(3p) ဝိုက္စီး 28 × 47 ×8</t>
  </si>
  <si>
    <t>ZMTMS307</t>
  </si>
  <si>
    <t>(3l)NNJေဘာ6008</t>
  </si>
  <si>
    <t>ZMTMS337</t>
  </si>
  <si>
    <t>ZMTMS343</t>
  </si>
  <si>
    <t>ZMTMS360</t>
  </si>
  <si>
    <t>ဝိုက္စီး 30x42x10- 5</t>
  </si>
  <si>
    <t>ZMTMS366</t>
  </si>
  <si>
    <t>ZMTMS368</t>
  </si>
  <si>
    <t>ဘားခေမာက္</t>
  </si>
  <si>
    <t>ZMTMS370</t>
  </si>
  <si>
    <t>NNJဘားကိုက္</t>
  </si>
  <si>
    <t>ZMTMS382</t>
  </si>
  <si>
    <t>(3i)ဘားကြင္း ၊250</t>
  </si>
  <si>
    <t>ZMTMS385</t>
  </si>
  <si>
    <t>ZMTMS417</t>
  </si>
  <si>
    <t>(3F)တိုက္ပစ္ဖို႔စေတာ့တံ (150CC)</t>
  </si>
  <si>
    <t>ZMTMS433</t>
  </si>
  <si>
    <t>NNJ 1/2 Set (250 W LF၊ သံ 3 ခ်ပ္)</t>
  </si>
  <si>
    <t>ZMTMS462</t>
  </si>
  <si>
    <t>(3C) LF SH Full Set(300DC LF သံ 2ခ်ပ္)</t>
  </si>
  <si>
    <t>ZMTMS467</t>
  </si>
  <si>
    <t>(3n) ေရပန္႔ (150/200 လံုးစင္း)</t>
  </si>
  <si>
    <t>ZMTMS468</t>
  </si>
  <si>
    <t>(3n) ေရပန္႔ 300</t>
  </si>
  <si>
    <t>ZMTMS492</t>
  </si>
  <si>
    <t>ဂၽြိဳင္းပိုက္ရွည္ Set (150 Cm)</t>
  </si>
  <si>
    <t>ZMTMS499</t>
  </si>
  <si>
    <t>NNJေဘာ32909</t>
  </si>
  <si>
    <t>ZMTMS516</t>
  </si>
  <si>
    <t>LF SHဂီယာစေပါ့ကတ္ရွပ္ (300)</t>
  </si>
  <si>
    <t>ZMTMS530</t>
  </si>
  <si>
    <t>10:35 လင္ဗန္း ေဘာထိုင္ပါ</t>
  </si>
  <si>
    <t>ZMTMS540</t>
  </si>
  <si>
    <t>ဂၽြိဳင္းမစြပ္(စိပ္)</t>
  </si>
  <si>
    <t>ZMTMS542</t>
  </si>
  <si>
    <t>ZMTMS591</t>
  </si>
  <si>
    <t>(3d)LF SH စီတီအိုင္ (ဝိုင္း A)</t>
  </si>
  <si>
    <t>Sell Qty</t>
  </si>
  <si>
    <t>OW0107</t>
  </si>
  <si>
    <t>FM 38 ပူလီႀကိဳး</t>
  </si>
  <si>
    <t>SP0431</t>
  </si>
  <si>
    <t>12×13 ဂြဂြ</t>
  </si>
  <si>
    <t>OW0106</t>
  </si>
  <si>
    <t>FM 36 ပူလီႀကိဳး</t>
  </si>
  <si>
    <t>SP0510</t>
  </si>
  <si>
    <t>8 T (CH)</t>
  </si>
  <si>
    <t>Grand Total</t>
  </si>
  <si>
    <t>Store</t>
  </si>
  <si>
    <t>7လပိုင္း</t>
  </si>
  <si>
    <t>31 th July 2020</t>
  </si>
  <si>
    <t>30 th June 2020</t>
  </si>
  <si>
    <t xml:space="preserve">7 လပိုင္း </t>
  </si>
  <si>
    <t xml:space="preserve">Tricycle Dong Ben 175CC </t>
  </si>
  <si>
    <t>L6XHHBLICK0000033</t>
  </si>
  <si>
    <t>L6XHBR1C6L0000499</t>
  </si>
  <si>
    <t>Vr.No</t>
  </si>
  <si>
    <t>Receivable for Loan</t>
  </si>
  <si>
    <t>Supplier ေပးရန္ရွိစာရင္း</t>
  </si>
  <si>
    <t>Creditor Payable (Company)</t>
  </si>
  <si>
    <t>လက္ငင္းအဝယ္</t>
  </si>
  <si>
    <t>Cash Purchases</t>
  </si>
  <si>
    <t>Supplier Code</t>
  </si>
  <si>
    <t>Supplier Name</t>
  </si>
  <si>
    <t>Item Name</t>
  </si>
  <si>
    <t>GBS Co.Ltd</t>
  </si>
  <si>
    <t>Shwe Than Lwin</t>
  </si>
  <si>
    <t>MDL Tricycle Spare</t>
  </si>
  <si>
    <t>UMG Co,Ltd</t>
  </si>
  <si>
    <t xml:space="preserve">Ko Win Hlaing </t>
  </si>
  <si>
    <t>Hur Hong Co.Ltd</t>
  </si>
  <si>
    <t>Sein Wut Hmon Co.Ltd</t>
  </si>
  <si>
    <t>Ma Au Bin</t>
  </si>
  <si>
    <t>Zan (or) Mg Mg Soe</t>
  </si>
  <si>
    <t>Aung Myit Tar</t>
  </si>
  <si>
    <t>Shwe Yar Su</t>
  </si>
  <si>
    <t>Arr Thit</t>
  </si>
  <si>
    <t>Aspire Aim Machinery</t>
  </si>
  <si>
    <t>GBS Fertilizer</t>
  </si>
  <si>
    <t>Hope Flowers Fertilizer</t>
  </si>
  <si>
    <t>Kyaw Ball</t>
  </si>
  <si>
    <t>Tat Shwe La Win</t>
  </si>
  <si>
    <t>Pay202</t>
  </si>
  <si>
    <t>Pay203</t>
  </si>
  <si>
    <t>Pay204</t>
  </si>
  <si>
    <t>Pay205</t>
  </si>
  <si>
    <t>Pay206</t>
  </si>
  <si>
    <t>Pay207</t>
  </si>
  <si>
    <t>Pay208</t>
  </si>
  <si>
    <t>Pay209</t>
  </si>
  <si>
    <t>Pay210</t>
  </si>
  <si>
    <t>Pay211</t>
  </si>
  <si>
    <t>Pay212</t>
  </si>
  <si>
    <t>Pay213</t>
  </si>
  <si>
    <t>Pay214</t>
  </si>
  <si>
    <t>Pay215</t>
  </si>
  <si>
    <t>Pay216</t>
  </si>
  <si>
    <t>Pay217</t>
  </si>
  <si>
    <t>Pay218</t>
  </si>
  <si>
    <t>Pay219</t>
  </si>
  <si>
    <t>Pay220</t>
  </si>
  <si>
    <t>Sub Account Name</t>
  </si>
  <si>
    <t>Current Assets</t>
  </si>
  <si>
    <t>Non-Current Assets</t>
  </si>
  <si>
    <t>Current Liabilities</t>
  </si>
  <si>
    <t>Non-Current Liabilities</t>
  </si>
  <si>
    <t>Shereholder's and equity</t>
  </si>
  <si>
    <t>Sales</t>
  </si>
  <si>
    <t>Cost of good sold</t>
  </si>
  <si>
    <t>Other Expenses</t>
  </si>
  <si>
    <t xml:space="preserve">Account </t>
  </si>
  <si>
    <t>Company (or) Bank Name</t>
  </si>
  <si>
    <t>Loan Amt</t>
  </si>
  <si>
    <t>Loan</t>
  </si>
  <si>
    <t xml:space="preserve">LOAN </t>
  </si>
  <si>
    <t>Hope Flowers Co.Ltd အေၾကြးကာလ (6)လ</t>
  </si>
  <si>
    <t>(-)Expenes</t>
  </si>
  <si>
    <t>Net Profit</t>
  </si>
  <si>
    <t>Ma Lwin Lwin Than</t>
  </si>
  <si>
    <t>Ko Zin Thu Ko</t>
  </si>
  <si>
    <t xml:space="preserve">Total Income </t>
  </si>
  <si>
    <t>Total Expenes</t>
  </si>
  <si>
    <t>Total Salary</t>
  </si>
  <si>
    <t>ရရန္ရွိစာရင္း KGG2019</t>
  </si>
  <si>
    <t>RECHPK20GBS</t>
  </si>
  <si>
    <t>Receivable for KGG HP - 2020 GBS</t>
  </si>
  <si>
    <t>RECHPK19GBS</t>
  </si>
  <si>
    <t>Receivable for KGG HP - 2019 GBS</t>
  </si>
  <si>
    <t>ရရန္ရွိစာရင္း2020</t>
  </si>
  <si>
    <t>ရရန္ရွိစာရင္းKGG2020</t>
  </si>
  <si>
    <t>အေရာင္းတက္</t>
  </si>
  <si>
    <t>Purchase Price</t>
  </si>
  <si>
    <t>Column1</t>
  </si>
  <si>
    <t>ဝယ္သူအမည္</t>
  </si>
  <si>
    <t>အဘအမည္</t>
  </si>
  <si>
    <t>ေနရပ္</t>
  </si>
  <si>
    <t>ဖုန္းနံပါတ္</t>
  </si>
  <si>
    <t>ကိုယ္စားလွယ္အမည္</t>
  </si>
  <si>
    <t>ဦးတင္ေမာင္ေဆြ</t>
  </si>
  <si>
    <t>က်ံဳဒံုးတမန္</t>
  </si>
  <si>
    <t>ဦးဝင္းလိႈင္</t>
  </si>
  <si>
    <t>ဦးေဌး</t>
  </si>
  <si>
    <t>ဦးေသာင္းထိုက္</t>
  </si>
  <si>
    <t>ဇလုပ္ႀကီး</t>
  </si>
  <si>
    <t>L6XHBN1C5L0000133</t>
  </si>
  <si>
    <t>ဦးဝင္းသန္း</t>
  </si>
  <si>
    <t>ဦးသိန္း</t>
  </si>
  <si>
    <t>ဦးျမင့္ေသာင္း</t>
  </si>
  <si>
    <t>ပိႏၷဲကုန္း</t>
  </si>
  <si>
    <t>ဦးသန္းနိုင္</t>
  </si>
  <si>
    <t>ဦးေဌးျမင့္</t>
  </si>
  <si>
    <t>ၿမိဳ႕ကုန္း</t>
  </si>
  <si>
    <t>ိ</t>
  </si>
  <si>
    <t>ဦးေဇာ္လင္းဦး</t>
  </si>
  <si>
    <t>ဦးေမာင္နိုင္</t>
  </si>
  <si>
    <t>ဦးေမာင္အိ</t>
  </si>
  <si>
    <t>ကိုေအာင္မ်ိဳးနိုင္</t>
  </si>
  <si>
    <t>ဦးသန္းျမင့္</t>
  </si>
  <si>
    <t>ဦးဘဲလူး</t>
  </si>
  <si>
    <t>L6XHBR1C7L0000520</t>
  </si>
  <si>
    <t>ဦးေအးေက်ာ္</t>
  </si>
  <si>
    <t>L6XHBR1C1L0000619</t>
  </si>
  <si>
    <t>L6XHBK1C2L0000040</t>
  </si>
  <si>
    <t>ဦးျမင့္စိုး</t>
  </si>
  <si>
    <t>လိႈင္သာယာ</t>
  </si>
  <si>
    <t>Tricycle Dong Ben 150CC</t>
  </si>
  <si>
    <t>D Thinn Thinn Mar</t>
  </si>
  <si>
    <t>Dongben 175cc</t>
  </si>
  <si>
    <t>1001-6000-0008-362</t>
  </si>
  <si>
    <t>F-0229</t>
  </si>
  <si>
    <t>တိုက္ရိုက္</t>
  </si>
  <si>
    <t>Daw MarMar Khing</t>
  </si>
  <si>
    <t>Dongben 300cc 8'</t>
  </si>
  <si>
    <t>1001-6000-0008-389</t>
  </si>
  <si>
    <t>F-0764</t>
  </si>
  <si>
    <t>09-421001781</t>
  </si>
  <si>
    <t>ရခိုင္ေခ်ာင္(သိန္းသစ္ဆိုင္)</t>
  </si>
  <si>
    <t>Ko Soe Paing</t>
  </si>
  <si>
    <t>1001-6000-0008-408</t>
  </si>
  <si>
    <t>F-0864</t>
  </si>
  <si>
    <t>Ko Han Win Aung</t>
  </si>
  <si>
    <t>1001-6000-0008-354</t>
  </si>
  <si>
    <t>F-0865</t>
  </si>
  <si>
    <t>Ko Thein Win</t>
  </si>
  <si>
    <t>1001-6000-0008-427</t>
  </si>
  <si>
    <t>F-0867</t>
  </si>
  <si>
    <t>Daw Mi San Lwin</t>
  </si>
  <si>
    <t>1001-6000-0008-419</t>
  </si>
  <si>
    <t>F-0866</t>
  </si>
  <si>
    <t>Ko Soe Ko Ko Lwin</t>
  </si>
  <si>
    <t>Dongben 250cc 7'</t>
  </si>
  <si>
    <t>1001-6000-0008-397</t>
  </si>
  <si>
    <t>F-0631</t>
  </si>
  <si>
    <t>Daw Yi Yi Cho</t>
  </si>
  <si>
    <t>Xunling 200CC</t>
  </si>
  <si>
    <t>1001-6000-0008-378</t>
  </si>
  <si>
    <t>F-0873</t>
  </si>
  <si>
    <t>Daw Kyi Kyi Win</t>
  </si>
  <si>
    <t>U Win  Zaw</t>
  </si>
  <si>
    <t xml:space="preserve">U Aung Ko  Oo San </t>
  </si>
  <si>
    <t>U Than Zaw Oo</t>
  </si>
  <si>
    <t>Dongben  150CC</t>
  </si>
  <si>
    <t>Company Name</t>
  </si>
  <si>
    <t xml:space="preserve">GBS </t>
  </si>
  <si>
    <t xml:space="preserve">Bank ေၾကြးက်န္သြင္းရန္( 2020 ) </t>
  </si>
  <si>
    <t>4 လပိုင္း 2018 အထိ ရရန္ရွိ+ ေၾကြးဝင္ေငြ ရွင္းတမ္း (June 2020)</t>
  </si>
  <si>
    <t>4လပိုင္း 2018 အထိ ေပးရန္ ရွိ Bank ေၾကြးရွင္းတမ္း (June 2020)</t>
  </si>
  <si>
    <t>2018 ရရန္ေၾကြး</t>
  </si>
  <si>
    <t>2018 ေၾကြးဝင္ေငြ</t>
  </si>
  <si>
    <t>ကုမၸဏီအမည္</t>
  </si>
  <si>
    <t>2018ေပးရန္ေၾကြး</t>
  </si>
  <si>
    <t>2018ဆပ္ၿပီးေၾကြး</t>
  </si>
  <si>
    <t>2018ေပးရန္က်န္</t>
  </si>
  <si>
    <t>GBS(2018) သြင္းရန္က်န္ (60%)</t>
  </si>
  <si>
    <t>GBS Dec Hp2017 + Cash 70%</t>
  </si>
  <si>
    <t xml:space="preserve">မ်ိဳးဆက္သစ္ </t>
  </si>
  <si>
    <t>USM(2018) သြင္းရန္က်န္ (2ဘီး)</t>
  </si>
  <si>
    <t>(3164434 + 10022600)</t>
  </si>
  <si>
    <t>USM(2018) သြင္းရန္က်န္ (လယ္ယာသံုး+ 3ဘီး)</t>
  </si>
  <si>
    <t>ေျမဆီအတြက္ Cash ကို Hp ေျပာင္းထားေငြ  70%</t>
  </si>
  <si>
    <t>WSW 2018 သြင္းရန္က်န္</t>
  </si>
  <si>
    <t>အန္တီ Cash ကို Hp ေျပာင္းထားေငြ  70%</t>
  </si>
  <si>
    <t>စုစုေပါင္းသြင္း Bank သြင္းရန္က်န္ေငြ</t>
  </si>
  <si>
    <t>USM လယ္ယာသံုးကို Feb အေရာင္းကို 715000 ကို</t>
  </si>
  <si>
    <t>Personal ေခ်းေငြ  (-)</t>
  </si>
  <si>
    <t>March လအေရာင္းတက္တြင္ Hp လုပ္ထားသည္။</t>
  </si>
  <si>
    <t>USM လယ္ယာသံုးကို May အေရာင္းကို 3140000(70%) ကို</t>
  </si>
  <si>
    <t>June လအေရာင္းတက္တြင္ Hp လုပ္ထားသည္။</t>
  </si>
  <si>
    <t>Bank ေပးရန္က်န္ေငြ</t>
  </si>
  <si>
    <t>2018 ရရန္က်န္ေငြ</t>
  </si>
  <si>
    <t>ေျမဆီသံုး</t>
  </si>
  <si>
    <t>ျခားနားခ်က္</t>
  </si>
  <si>
    <t>အန္တီသံုး ေျမဆီ</t>
  </si>
  <si>
    <t>Feb GBS Cah ~ HPေျပာင္း</t>
  </si>
  <si>
    <t>Sale Profit</t>
  </si>
  <si>
    <t>ကိုျပည့္မ်ိဳးေအာင္</t>
  </si>
  <si>
    <t>ဦးေအာင္ေမာင္း</t>
  </si>
  <si>
    <t>REFER16/17</t>
  </si>
  <si>
    <t>REFER18</t>
  </si>
  <si>
    <t>REFER19</t>
  </si>
  <si>
    <t>Start Date</t>
  </si>
  <si>
    <t>End Daate</t>
  </si>
  <si>
    <t>GBS Co.Ltd  မွေခ်းေငြ အေၾကြးကာလ (6)လ</t>
  </si>
  <si>
    <t>RECHPK19USM</t>
  </si>
  <si>
    <t>Receivable for KGG HP - 2019 USM</t>
  </si>
  <si>
    <t>RECK20GBS</t>
  </si>
  <si>
    <t>RECK19GBS</t>
  </si>
  <si>
    <t>RECK19USM</t>
  </si>
  <si>
    <t>OW0156</t>
  </si>
  <si>
    <t>SP0955</t>
  </si>
  <si>
    <t>1 လက္မေရျဖန္းေခါင္း</t>
  </si>
  <si>
    <t>SP0981</t>
  </si>
  <si>
    <t>ZMTMS167</t>
  </si>
  <si>
    <t>(3a)ကစ္တံ (နတ္ 1 ၊ေရႊေရာင္ ၊S ေကြး)</t>
  </si>
  <si>
    <t>Item ID</t>
  </si>
  <si>
    <t>Sale Amount</t>
  </si>
  <si>
    <t>Gross Profit</t>
  </si>
  <si>
    <t>MMS058</t>
  </si>
  <si>
    <t>ရတနာဆိုင္ ရရန္ေၾကြးရွင္းတမ္း (Aug )-2019</t>
  </si>
  <si>
    <t xml:space="preserve">8 လပိုင္း </t>
  </si>
  <si>
    <t>DBR Spare</t>
  </si>
  <si>
    <t>Spare အေၾကြး ရရန္ရွိ</t>
  </si>
  <si>
    <t>DBR Fertilizer</t>
  </si>
  <si>
    <t>ေျမဆီေၾကြး ရရန္ရွိ</t>
  </si>
  <si>
    <t>Debitor Fertilizer</t>
  </si>
  <si>
    <t>IN DBR FER</t>
  </si>
  <si>
    <t>In Come Debitor Fertilizer For Cash</t>
  </si>
  <si>
    <t>ေျမဆီ လက္ငင္းမွ ေၾကြက်န္ ရေငြ</t>
  </si>
  <si>
    <t>Pay221</t>
  </si>
  <si>
    <t>Kyinn Loon Myanmar</t>
  </si>
  <si>
    <t>DBR HP TRI</t>
  </si>
  <si>
    <t>HP သံုးဘီးမွ ေၾကြးက်န္</t>
  </si>
  <si>
    <t xml:space="preserve">Debitor HP TRI </t>
  </si>
  <si>
    <t>IN INTEREST HP</t>
  </si>
  <si>
    <t>သံုးဘီးအေရာင္းမွ အတိုးရေငြ</t>
  </si>
  <si>
    <t>In Conme Interest HP(Tricycle)</t>
  </si>
  <si>
    <t>ေျမဆီအေရာင္းဝင္ေငြ</t>
  </si>
  <si>
    <t>ဘို႔ဒင္</t>
  </si>
  <si>
    <t>IN TRI</t>
  </si>
  <si>
    <t>သံုးဘီးအေရာင္းမွ လက္ငင္းရေငြ</t>
  </si>
  <si>
    <t>In Come Cash Tricycle</t>
  </si>
  <si>
    <t>Debitor Spare (1 Month)</t>
  </si>
  <si>
    <t>Difference</t>
  </si>
  <si>
    <t>ဦးစိန္ဝင္း</t>
  </si>
  <si>
    <t>မဝန္း</t>
  </si>
  <si>
    <t>L6XHBR1C1L0000443</t>
  </si>
  <si>
    <t>U  Linn Zaw Thu</t>
  </si>
  <si>
    <t>ဦးရွိန္</t>
  </si>
  <si>
    <t>ေတာ္ကူးအေရွ႕</t>
  </si>
  <si>
    <t>ဦးျမသိန္း</t>
  </si>
  <si>
    <t>ဦးေက်ာ္ျမင့္</t>
  </si>
  <si>
    <t>ဦးတင္ထြန္း</t>
  </si>
  <si>
    <t>ဦးျမင့္ေရႊ</t>
  </si>
  <si>
    <t>Pay GBS Bank 19</t>
  </si>
  <si>
    <t>Pay GBS Bank 20</t>
  </si>
  <si>
    <t>Payable GBS Bank (2019)</t>
  </si>
  <si>
    <t>Payable GBS Bank (2020)</t>
  </si>
  <si>
    <t>N        A        V        I        G        A        T        I        O        N</t>
  </si>
  <si>
    <t>ဦးထြန္းနိုင္</t>
  </si>
  <si>
    <t>ဦးတင္စိန္</t>
  </si>
  <si>
    <t>PayGBS206</t>
  </si>
  <si>
    <t>PayHF209</t>
  </si>
  <si>
    <t>IN DBR TRI</t>
  </si>
  <si>
    <t>In Come DebitorTricycle  For Cash</t>
  </si>
  <si>
    <t>သံုးဘီး(Cash+DPMက်န္ေငြမွ ရေငြ</t>
  </si>
  <si>
    <t>Tricycle</t>
  </si>
  <si>
    <t xml:space="preserve">Workshop </t>
  </si>
  <si>
    <t>SP0029</t>
  </si>
  <si>
    <t>SP00993</t>
  </si>
  <si>
    <t>Kawa 7 1/2 ဆီအိုးဖံုး</t>
  </si>
  <si>
    <t>SP0309</t>
  </si>
  <si>
    <t>6 1/2 ဆီတိုင္ကီ</t>
  </si>
  <si>
    <t>SP0994</t>
  </si>
  <si>
    <t>ေဒၚသက္သက္ဝင္း</t>
  </si>
  <si>
    <t>ထန္းမနိုင္</t>
  </si>
  <si>
    <t>SP01003</t>
  </si>
  <si>
    <t>SP01004</t>
  </si>
  <si>
    <t>SP01005</t>
  </si>
  <si>
    <t>2019ေပးရန္ေၾကြး</t>
  </si>
  <si>
    <t>2019ဆပ္ၿပီးေၾကြး</t>
  </si>
  <si>
    <t>2019 ေပးရန္က်န္</t>
  </si>
  <si>
    <t xml:space="preserve"> 1 လပိုင္း </t>
  </si>
  <si>
    <t>GBS(2019) သြင္းရန္က်န္ (60%)</t>
  </si>
  <si>
    <t>USM(2019) သြင္းရန္က်န္ (2ဘီး)</t>
  </si>
  <si>
    <t xml:space="preserve"> 2 လပိုင္း </t>
  </si>
  <si>
    <t>USM(2019) သြင္းရန္က်န္ (လယ္ယာသံုး+ 3ဘီး)</t>
  </si>
  <si>
    <t>WSW 2019 သြင္းရန္က်န္</t>
  </si>
  <si>
    <t>AGB Bank 2019 သြင္းရန္က်န္</t>
  </si>
  <si>
    <t>စုစုေပါင္းသြင္း Bank ရန္က်န္ေငြ</t>
  </si>
  <si>
    <t>2019 ရရန္က်န္ေငြ</t>
  </si>
  <si>
    <t xml:space="preserve">9 လပိုင္း </t>
  </si>
  <si>
    <t>2020ရရန္ေၾကြး</t>
  </si>
  <si>
    <t>2020ေၾကြးဝင္ေငြ</t>
  </si>
  <si>
    <t>2020ေပးရန္ေၾကြး</t>
  </si>
  <si>
    <t>2020ဆပ္ၿပီးေၾကြး</t>
  </si>
  <si>
    <t>2020 ေပးရန္က်န္</t>
  </si>
  <si>
    <t xml:space="preserve"> 3 လပိုင္း </t>
  </si>
  <si>
    <t xml:space="preserve">8လပိုင္း </t>
  </si>
  <si>
    <t xml:space="preserve">9လပိုင္း </t>
  </si>
  <si>
    <t>Description</t>
  </si>
  <si>
    <t>Hope Flowers Co.Ltd အေၾကြးကာလ (5)လ</t>
  </si>
  <si>
    <t>Balance b/d</t>
  </si>
  <si>
    <t>ေန႔စြဲ</t>
  </si>
  <si>
    <t>ကိုယ္စာလွယ္ဖုန္းနံပါတ္</t>
  </si>
  <si>
    <t>House Power</t>
  </si>
  <si>
    <t>ဝါးေသာက္</t>
  </si>
  <si>
    <t>175CC</t>
  </si>
  <si>
    <t>ဦးေထြးေအာင္</t>
  </si>
  <si>
    <t>ဦးဝင္ေဇာ္ေဌး</t>
  </si>
  <si>
    <t>150CC</t>
  </si>
  <si>
    <t>PURWS001</t>
  </si>
  <si>
    <t>Purchase for workshop</t>
  </si>
  <si>
    <t>ဝပ္ေရွာ့ အဝယ္</t>
  </si>
  <si>
    <t>Adds</t>
  </si>
  <si>
    <t>300CC</t>
  </si>
  <si>
    <t>250CC</t>
  </si>
  <si>
    <t>က်ံဳဒရယ္</t>
  </si>
  <si>
    <t>ဦးစည္သူ</t>
  </si>
  <si>
    <t>ငွက္ႀကီးေတာင္</t>
  </si>
  <si>
    <t>Net Balance</t>
  </si>
  <si>
    <t>REPAY</t>
  </si>
  <si>
    <t xml:space="preserve">REPAY </t>
  </si>
  <si>
    <t>ေငြျပန္ေပးသည္</t>
  </si>
  <si>
    <t>ဆပ္ျပာမႈန္႔ 500 တန္</t>
  </si>
  <si>
    <t>22 ေကာင္ ဒလီ ဝါရွာ</t>
  </si>
  <si>
    <t>SP0068</t>
  </si>
  <si>
    <t>8 X 9 ဂြင္းဂြင္း</t>
  </si>
  <si>
    <t>SP01013</t>
  </si>
  <si>
    <t>စီးတိပ္</t>
  </si>
  <si>
    <t>SP0155</t>
  </si>
  <si>
    <t>G x 35 ပလပ္</t>
  </si>
  <si>
    <t>SP0408</t>
  </si>
  <si>
    <t>ကိုရဲနိုင္</t>
  </si>
  <si>
    <t>ဦးဝင္းၿမိဳင္</t>
  </si>
  <si>
    <t>ကိုသစ္လြင္</t>
  </si>
  <si>
    <t>Xunling 175CC  Tricycle (Green) L6XBL1C5L0000166</t>
  </si>
  <si>
    <t>HP GBS  30%</t>
  </si>
  <si>
    <t>Dong Ben Tricycle : 250ZH-250CC(8Feet)  F No-L6XHBN1CXL0000059</t>
  </si>
  <si>
    <t xml:space="preserve">10လပိုင္း </t>
  </si>
  <si>
    <t xml:space="preserve">10 လပိုင္း </t>
  </si>
  <si>
    <t xml:space="preserve">11 လပိုင္း </t>
  </si>
  <si>
    <t xml:space="preserve">11လပိုင္း </t>
  </si>
  <si>
    <t>ဦးအုန္းဆိုင္</t>
  </si>
  <si>
    <t>ဦးသက္ညြန္႔</t>
  </si>
  <si>
    <t>ေဒၚသန္းခ်ိဳ</t>
  </si>
  <si>
    <t>Dong Ben Tricycle : 300ZH-300CC(8Feet)  F No-L6XHBR1C3L0000640</t>
  </si>
  <si>
    <t>Nut profit (20%)</t>
  </si>
  <si>
    <t>အိမ္ အသံုးစရိတ္</t>
  </si>
  <si>
    <t>Home expense</t>
  </si>
  <si>
    <t>(အိမ္)ဦးထိုက္ေဈးဝယ္</t>
  </si>
  <si>
    <t>(ဆိုင္)ဓါတ္ဆီ</t>
  </si>
  <si>
    <t>AC ေရျမဳပ္ ေငြျပန္အမ္း</t>
  </si>
  <si>
    <t>(WS) အေသးေလးယူေငြ</t>
  </si>
  <si>
    <t>(-)Employee for Salary</t>
  </si>
  <si>
    <t>ေဒၚဝင္းဝင္းေဌး</t>
  </si>
  <si>
    <t>ဦးလွဝင္း</t>
  </si>
  <si>
    <t>ဦးဖုိးခၽြန္း</t>
  </si>
  <si>
    <t>Dong Ben Tricycle : 300ZH-300CC(8Feet)  F No-L6XHBR1C9L0000416</t>
  </si>
  <si>
    <t xml:space="preserve">ကိုရဲလင္းေအာင္ </t>
  </si>
  <si>
    <t>ဦးေမာင္စံ</t>
  </si>
  <si>
    <t>ဦးေက်ာ္ဇင္</t>
  </si>
  <si>
    <t>Dong Ben Tricycle : 300ZH-300CC(8Feet)  F No-L6XHBR1C8L000424</t>
  </si>
  <si>
    <t>ကိုဝင္းၾကည္</t>
  </si>
  <si>
    <t>ဦးသန္းေထြး</t>
  </si>
  <si>
    <t>Dong Ben Tricycle : DB175ZH-175CC  F No- L6XHHBLIC0L0000205</t>
  </si>
  <si>
    <t>ေဒၚခင္ၿပံဳးမူ</t>
  </si>
  <si>
    <t>ကြမ္းၿခံကုန္း ေတာင္ပိုင္း</t>
  </si>
  <si>
    <t>ဦးလွသိန္း</t>
  </si>
  <si>
    <t>ဦးေအာင္ၿဖိဳးလိႈင္</t>
  </si>
  <si>
    <t>Dong Ben Tricycle : 300ZH-300CC(8Feet)  F No-L6XHBR1C5L000429</t>
  </si>
  <si>
    <t>Today</t>
  </si>
  <si>
    <t xml:space="preserve">ကိုမင္းသူစိုး </t>
  </si>
  <si>
    <t>မဝန္းရြာ</t>
  </si>
  <si>
    <t>ဦးစိုးေအာင္</t>
  </si>
  <si>
    <t>ကိုမင္းၾကဴ</t>
  </si>
  <si>
    <t>Dong Ben Tricycle : 300ZH-300CC(8Feet)  F No-L6XHBR1C5L000428</t>
  </si>
  <si>
    <t>ကိုေဇာ္ရဲေအာင္</t>
  </si>
  <si>
    <t>ရန္ကုန္ေပါက္</t>
  </si>
  <si>
    <t>ဦးတင္ဝင္း</t>
  </si>
  <si>
    <t>ကိုစိုးသန္း</t>
  </si>
  <si>
    <t>Dong Ben Tricycle : DB175ZH-175CC  F No- L6XHHBLIC6L0000225</t>
  </si>
  <si>
    <t>ဦးဝင္းျမင့္</t>
  </si>
  <si>
    <t>ကၽြဲလူးအိုင္</t>
  </si>
  <si>
    <t>ဦးစာနီ</t>
  </si>
  <si>
    <t>ဦးသန္းေဇာ္</t>
  </si>
  <si>
    <t>Dong Ben Tricycle : 300ZH-300CC(8Feet)  F No-L6XHBR1C5L000476</t>
  </si>
  <si>
    <t>ကိုသက္ေနာင္</t>
  </si>
  <si>
    <t>ကိုသန္းေဇာ္</t>
  </si>
  <si>
    <t>ကိုျပည့္စိုးေအာင္</t>
  </si>
  <si>
    <t>အလယ္ထိုင္(8'x4' )ပစၥည္းစံု</t>
  </si>
  <si>
    <t>အလယ္ထိုင္(8'x3' )ပစၥည္းစံု</t>
  </si>
  <si>
    <t>RECFEW20</t>
  </si>
  <si>
    <t>Receivable for WBL Fertilizer - 2020</t>
  </si>
  <si>
    <t>DTL014</t>
  </si>
  <si>
    <t>2T</t>
  </si>
  <si>
    <t>R175133</t>
  </si>
  <si>
    <t>175လီဘာဘြတ္သံ(3ရင္း)</t>
  </si>
  <si>
    <t>R180027</t>
  </si>
  <si>
    <t>SP01035</t>
  </si>
  <si>
    <t>SP01043</t>
  </si>
  <si>
    <t>9 ဂြင္းဂြ</t>
  </si>
  <si>
    <t>SP01045</t>
  </si>
  <si>
    <t>စီလီကြန္</t>
  </si>
  <si>
    <t>SP0199</t>
  </si>
  <si>
    <t>SP0713</t>
  </si>
  <si>
    <t>SP0965</t>
  </si>
  <si>
    <t>12 X 2ရြက္ ပန္ကာ</t>
  </si>
  <si>
    <t>STL023</t>
  </si>
  <si>
    <t>ပန္႕ 4 လက္မသံျပားကစလ</t>
  </si>
  <si>
    <t>ZMTMS045</t>
  </si>
  <si>
    <t>ႏႈတ္ခမ္းေမႊးတန္းဘြတ္</t>
  </si>
  <si>
    <t>(blank)</t>
  </si>
  <si>
    <t>Store Name</t>
  </si>
  <si>
    <t>Co, Name</t>
  </si>
  <si>
    <t>ကိုလွေဌး</t>
  </si>
  <si>
    <t>ဦးတင္လွ</t>
  </si>
  <si>
    <t>ဦးသိန္းတိုး</t>
  </si>
  <si>
    <t>Dong Ben 150CC (Orange) Tricycle  F-N0, L6XHBK1C2L0000099</t>
  </si>
  <si>
    <t>GBS</t>
  </si>
  <si>
    <t>Pay222</t>
  </si>
  <si>
    <t>Moe thauk Ayar</t>
  </si>
  <si>
    <t>IN Free Sale</t>
  </si>
  <si>
    <t>အလြတ္အေရာင္း ဝင္ေငြ</t>
  </si>
  <si>
    <t>ဆီဘရိတ္အိုး သတၳဳ</t>
  </si>
  <si>
    <t>IN F/SALE</t>
  </si>
  <si>
    <t>Tri Repay Interest</t>
  </si>
  <si>
    <t>သံုးဘီးအတိုးေငြမွ ျပန္ေပးေငြ</t>
  </si>
  <si>
    <t>22 ေကာင္ S ပိုက္</t>
  </si>
  <si>
    <t>2 Wheel</t>
  </si>
  <si>
    <t>BALL1</t>
  </si>
  <si>
    <t>BALL14</t>
  </si>
  <si>
    <t>6204 ဆီပိတ္</t>
  </si>
  <si>
    <t>DF018</t>
  </si>
  <si>
    <t>မ/ထ ကလပ္ႀကိဳး</t>
  </si>
  <si>
    <t>ဘရိတ္စပလိန္</t>
  </si>
  <si>
    <t>GBSP013</t>
  </si>
  <si>
    <t>5 မူးဆီပိုက္(1 ေပ)</t>
  </si>
  <si>
    <t>MMS0017</t>
  </si>
  <si>
    <t>ေဘးေဖာင္းမီး(Original)</t>
  </si>
  <si>
    <t>MMS074</t>
  </si>
  <si>
    <t>ဘထၳရီအိုး (အိုးေျခာက္) (32A)</t>
  </si>
  <si>
    <t>MMS076</t>
  </si>
  <si>
    <t>MMS077</t>
  </si>
  <si>
    <t>ခါးဆက္မီးခံကြင္း စကာပါ</t>
  </si>
  <si>
    <t>MMS078</t>
  </si>
  <si>
    <t>အိတ္ေဇာမီးခံကြင္း ျဖဴေကာင္း</t>
  </si>
  <si>
    <t>MMS081</t>
  </si>
  <si>
    <t>အိတ္ေဇာဘရိတ္ကစ္အေသး</t>
  </si>
  <si>
    <t>NT80006</t>
  </si>
  <si>
    <t>NT80ရိန္း</t>
  </si>
  <si>
    <t>Q185013</t>
  </si>
  <si>
    <t>R1750028</t>
  </si>
  <si>
    <t>R175 ဂါဂ်ီပင္ဘြတ္</t>
  </si>
  <si>
    <t>R175175</t>
  </si>
  <si>
    <t>175 ကင့္ပင္နီယံအၾကီး</t>
  </si>
  <si>
    <t>ေနာ္ဇယ္ ကစ္ဆက္</t>
  </si>
  <si>
    <t>SP0055</t>
  </si>
  <si>
    <t>6201DD</t>
  </si>
  <si>
    <t>SP0065</t>
  </si>
  <si>
    <t>2" သတၱဴေဆာ့ကဒ္ ဝါရွာ (Su 50)</t>
  </si>
  <si>
    <t>SP01042</t>
  </si>
  <si>
    <t>6 1/2 ဘားထိပ္အုပ္</t>
  </si>
  <si>
    <t>SP01056</t>
  </si>
  <si>
    <t>SP01081</t>
  </si>
  <si>
    <t>Kawa 7 1/2 စပလိန္</t>
  </si>
  <si>
    <t>SP01103</t>
  </si>
  <si>
    <t>16x17 ဂြင္းဂြင္း</t>
  </si>
  <si>
    <t>SP01104</t>
  </si>
  <si>
    <t>SP01114</t>
  </si>
  <si>
    <t>SP01115</t>
  </si>
  <si>
    <t>အင္းပက္ဆံရွည္(CH)</t>
  </si>
  <si>
    <t>SP01119</t>
  </si>
  <si>
    <t>ဆိုက္ကလစ္ပလာယာ</t>
  </si>
  <si>
    <t>ဆီလံုဝါရွာ အစံု F</t>
  </si>
  <si>
    <t>SP0219</t>
  </si>
  <si>
    <t>ေၾကးဆီဝါရွာ အစံု F</t>
  </si>
  <si>
    <t>SP0353</t>
  </si>
  <si>
    <t>1မီလီေက်ာက္ျပား(1ခ်ပ္ႏွဳန္း)</t>
  </si>
  <si>
    <t>J38 10 ဝရိန္ထုပ္</t>
  </si>
  <si>
    <t>6 1/2 သံပတ္</t>
  </si>
  <si>
    <t>J38 12 ဝရိန္ထုပ္</t>
  </si>
  <si>
    <t>SP0547</t>
  </si>
  <si>
    <t>4" ပိုက္ကလစ္ ပါး 2 ျခမ္း/ထူ</t>
  </si>
  <si>
    <t>SP0607</t>
  </si>
  <si>
    <t>4လက္မ(လည္ေခ်ာင္းပိုက္)</t>
  </si>
  <si>
    <t>SP0684</t>
  </si>
  <si>
    <t>16 စပန္နာသီး</t>
  </si>
  <si>
    <t>ZMTMS235</t>
  </si>
  <si>
    <t>သံလိုက္အံုပါကင္KSK</t>
  </si>
  <si>
    <t>ZMTMS594</t>
  </si>
  <si>
    <t>ေရွ႕ဝင္ရိုး(304၊32Cm၊ဘြတ္ပါ)</t>
  </si>
  <si>
    <t>22 ေကာင္ေနာ္ဇယ္ပိုက္</t>
  </si>
  <si>
    <t>DF029</t>
  </si>
  <si>
    <t>DF ဘီးကီး</t>
  </si>
  <si>
    <t>GBSP017</t>
  </si>
  <si>
    <t>R175 အင္ဂ်င္ဝိုင္ပန္႔အံု</t>
  </si>
  <si>
    <t>MMS0044</t>
  </si>
  <si>
    <t>ဆီစစ္</t>
  </si>
  <si>
    <t>MMS0048</t>
  </si>
  <si>
    <t>အသံဗူး (ဆစ္ဂနယ္ဗူး)</t>
  </si>
  <si>
    <t>MMS092</t>
  </si>
  <si>
    <t>MMS2071</t>
  </si>
  <si>
    <t>152712 အင္ဂ်င္ျခမ္းေဘာ</t>
  </si>
  <si>
    <t>MMS2079</t>
  </si>
  <si>
    <t>ဘရိတ္သံေခ်ာင္းတို14ရစ္</t>
  </si>
  <si>
    <t>R175176</t>
  </si>
  <si>
    <t>175 သတၳဳဝါရွာစံု</t>
  </si>
  <si>
    <t>R175177</t>
  </si>
  <si>
    <t>သတၱဳဝါရွာ (ေကာင္း)</t>
  </si>
  <si>
    <t>SP01143</t>
  </si>
  <si>
    <t>SP0588</t>
  </si>
  <si>
    <t>8လက္မ တံစဥ္း</t>
  </si>
  <si>
    <t>SP0978</t>
  </si>
  <si>
    <t>ေရႊ ခရာ (8 လက္မ ဓါတ္ဆီ)</t>
  </si>
  <si>
    <t>ZMTMS232</t>
  </si>
  <si>
    <t>ကလပ္အံုပါကင္KSK(300)</t>
  </si>
  <si>
    <t>ZMTMS239</t>
  </si>
  <si>
    <t>စတပ္ေဘာထိုင္(3 လံုး)</t>
  </si>
  <si>
    <t>Purchase Amt</t>
  </si>
  <si>
    <t xml:space="preserve">12 လပိုင္း </t>
  </si>
  <si>
    <t xml:space="preserve">12လပိုင္း </t>
  </si>
  <si>
    <t>2020 ရရန္ရွိ+ ေၾကြးဝင္ေငြ ရွင္းတမ္း (Dec 2020)</t>
  </si>
  <si>
    <t>2019 ေပးရန္ ရွိ Bank ေၾကြးရွင္းတမ္း (Dec 2020)</t>
  </si>
  <si>
    <t>2019 ရရန္ရွိ+ ေၾကြးဝင္ေငြ ရွင္းတမ္း ( Dec 2020)</t>
  </si>
  <si>
    <t>Address</t>
  </si>
  <si>
    <t>Customer NRC No.</t>
  </si>
  <si>
    <t>Birth of date</t>
  </si>
  <si>
    <t>Phone No.</t>
  </si>
  <si>
    <t>Father Name</t>
  </si>
  <si>
    <t>Power</t>
  </si>
  <si>
    <t>First Date</t>
  </si>
  <si>
    <t>First Amount</t>
  </si>
  <si>
    <t>Second  Date</t>
  </si>
  <si>
    <t>Second Amount</t>
  </si>
  <si>
    <t>ကိုေအာင္မိုးသူ</t>
  </si>
  <si>
    <t>ဆည္ေျမာင္း</t>
  </si>
  <si>
    <t>ဦးဝႀကီး</t>
  </si>
  <si>
    <t>ဦးေသာင္းစိန္</t>
  </si>
  <si>
    <t>ဦးသိန္းစိုး</t>
  </si>
  <si>
    <t>ေအာင္ေဇယ်(1)လမ္း ဒလ ၿမိဳ႕</t>
  </si>
  <si>
    <t>၁၄/ဘကလ(နိုင္)၂၆၈၉၉၃</t>
  </si>
  <si>
    <t>ဦးစိုးမိုးေထြး</t>
  </si>
  <si>
    <t>ဦးကိုင္ဇာေဌး</t>
  </si>
  <si>
    <t>ဦးမ်ိဳးေဇာ္ဦး</t>
  </si>
  <si>
    <t>၈/အလန(နုိင္)၁၅၀၁၃</t>
  </si>
  <si>
    <t>ေဒၚတင္ႏြယ္ဦး</t>
  </si>
  <si>
    <t>Tricycle Do+I8:N8ng Ben 250CC (8 feet)</t>
  </si>
  <si>
    <t>ဦးအံ့ၾသ</t>
  </si>
  <si>
    <t>ဦးခင္ေမာင္</t>
  </si>
  <si>
    <t>L6XHHBLICK0000104</t>
  </si>
  <si>
    <t>ေတာထဲကန္ (ခေနာင္)</t>
  </si>
  <si>
    <t>၁၂/ဒလန(နိုင္)၀၅၆၈၆၉</t>
  </si>
  <si>
    <t>ဦးသိန္းေအာင္</t>
  </si>
  <si>
    <t>ေဒၚလွလွဝင္း</t>
  </si>
  <si>
    <t>ေတာ္ခရမ္းႀကိီး</t>
  </si>
  <si>
    <t>၁၂/ကခက(နိုင္)၀၇၆၅၉၁</t>
  </si>
  <si>
    <t>ဦးေဇာ္ဝင္းထြန္း</t>
  </si>
  <si>
    <t>ဦးခ်န္ဒရာေဆးဂဲ</t>
  </si>
  <si>
    <t>ဦးေဇာ္နိုင္ဝင္း</t>
  </si>
  <si>
    <t>ဦးလွဦး</t>
  </si>
  <si>
    <t>ဆားပုဂံ</t>
  </si>
  <si>
    <t>ဦးေက်ာ္ေက်ာ္ဦး</t>
  </si>
  <si>
    <t>ဦးနိုင္ဝင္းထြန္း</t>
  </si>
  <si>
    <t>ဦးေက်ာ္နိုင္ဦး</t>
  </si>
  <si>
    <t>ဦးေက်ာ္စိုးဝင္း</t>
  </si>
  <si>
    <t>မရပ္ကုန္း</t>
  </si>
  <si>
    <t>၁၂/ကခက(နိုင္)၀၇၀၀၉၂</t>
  </si>
  <si>
    <t>ဦးမ်ိဳးဆက္နိုင္</t>
  </si>
  <si>
    <t>ဦးမ်ိဳးမင္းေအာင္</t>
  </si>
  <si>
    <t>၁၂/ကမန(နိုင္)၁၀၈၃၇၀၅</t>
  </si>
  <si>
    <t>ဦးေစာေအာင္</t>
  </si>
  <si>
    <t>ေျမနီကုန္းေက်းရြာ ကမာပါအုပ္စု</t>
  </si>
  <si>
    <t>ဦးမိုးေအာင္</t>
  </si>
  <si>
    <t>ေဒၚသဂီ ၤထြန္း</t>
  </si>
  <si>
    <t>ဦးသိန္းထြန္း</t>
  </si>
  <si>
    <t>ကိုရန္ေအာင္</t>
  </si>
  <si>
    <t>ဦ;ထြန္းနိုင္</t>
  </si>
  <si>
    <t>ဦးျမင့္သိန္း</t>
  </si>
  <si>
    <t>ကိုေက်ာ္စိုး</t>
  </si>
  <si>
    <t>ေအာင္ကိုသန္း</t>
  </si>
  <si>
    <t>Dong Ben Tricycle : DB175ZH-175CC  F No- L6XHBL1C4L0000174</t>
  </si>
  <si>
    <t>ဦးထြန္းတင္</t>
  </si>
  <si>
    <t>Dong Ben 150CC (Orange) Tricycle  F-N0, L6XHBK1C4L0000041</t>
  </si>
  <si>
    <t>ဦးစိုးဝင္း</t>
  </si>
  <si>
    <t>Dong Ben Tricycle : 250ZH-250CC(8Feet)  F No-L6XHBN1C7L0000181</t>
  </si>
  <si>
    <t>ဦးရဲဝင္းထြန္း</t>
  </si>
  <si>
    <t xml:space="preserve">ေကာ့ဒြန္း </t>
  </si>
  <si>
    <t>ဦးေသာင္းၾကည္</t>
  </si>
  <si>
    <t>ကိုခ်မ္းလင္းေအာင္</t>
  </si>
  <si>
    <t>Dong Ben Tricycle : 300ZH-300CC(8Feet)  F No-L6XHBR1C1L000100</t>
  </si>
  <si>
    <t>ဦးေဇာ္ဝိတ္</t>
  </si>
  <si>
    <t>လက္ခုတ္ကုန္း</t>
  </si>
  <si>
    <t>ဦးေအာင္ေဇာ္ဦး</t>
  </si>
  <si>
    <t>Dong Ben 150CC (Orange) Tricycle  F-N0, L6XHBK1C0L0000053</t>
  </si>
  <si>
    <t xml:space="preserve">ကိုေသာ္ဇင္ၿဖိဳး </t>
  </si>
  <si>
    <t>ဦးၾကည္ေဌး</t>
  </si>
  <si>
    <t>ကိုတင္လွ</t>
  </si>
  <si>
    <t>Dong Ben Tricycle : 300ZH-300CC(8Feet)  F No-L6XHBR1C8L001024</t>
  </si>
  <si>
    <t>ဦးခင္ေမာင္သန္း</t>
  </si>
  <si>
    <t>သရက္ေတာ</t>
  </si>
  <si>
    <t>ဦးအုန္းျမ</t>
  </si>
  <si>
    <t>ဦးေဇာ္ထြန္း</t>
  </si>
  <si>
    <t>Dong Ben Tricycle : 300ZH-300CC(8Feet)  F No-L6XHBR1C5L001109</t>
  </si>
  <si>
    <t>ဦးသင္းေမာင္</t>
  </si>
  <si>
    <t>ဦးဆန္းညြန္႔</t>
  </si>
  <si>
    <t>Dong Ben Tricycle : 300ZH-300CC(8Feet)  F No-L6XHBR1C5L001112</t>
  </si>
  <si>
    <t>ဦးခိုင္စြာဝင္း</t>
  </si>
  <si>
    <t>သမင္ၿခံ</t>
  </si>
  <si>
    <t>၁၂/ကမန(နိုင္)၁၀၂၀၅၈</t>
  </si>
  <si>
    <t>ဦးေက်ာ္ဝင္း</t>
  </si>
  <si>
    <t>ဦးေအာင္သူထိုက္</t>
  </si>
  <si>
    <t>Xunling 150CC  Tricycle (Red) L6XBK1C6L0000090</t>
  </si>
  <si>
    <t>Red</t>
  </si>
  <si>
    <t>ကိုေအာင္သူ</t>
  </si>
  <si>
    <t>ေမွာ္ဘီအုပ္စု အဒတ္ရြာ</t>
  </si>
  <si>
    <t>၁၂/ကခက(နိုင္)၀၈၃၀၅၂</t>
  </si>
  <si>
    <t>ဦးမ်ိဴးကို</t>
  </si>
  <si>
    <t>Dong Ben Tricycle : 300ZH-300CC(8Feet)  F No-L6XHBR1CXL001106</t>
  </si>
  <si>
    <t>ဦးစံဦး</t>
  </si>
  <si>
    <t>ေရျဖဴတြင္း</t>
  </si>
  <si>
    <t>၁၂/ကမန(နိုင္)၀၉၂၉၈၀</t>
  </si>
  <si>
    <t>ဦးသိန္းျမင့္</t>
  </si>
  <si>
    <t>ဦးတင္လင္း</t>
  </si>
  <si>
    <t>Dong Ben Tricycle : 300ZH-300CC(8Feet)  F No-L6XHBR1C0L001067</t>
  </si>
  <si>
    <t>ဦးမင္းေအာင္</t>
  </si>
  <si>
    <t>ေတာ္ေကးေက်းရြုာ</t>
  </si>
  <si>
    <t>၁၂/ကခက(နိုင္)၁၀၁၅၇၀</t>
  </si>
  <si>
    <t>ဦးေသာင္းအိ</t>
  </si>
  <si>
    <t>Dong Ben Tricycle : 300ZH-300CC(8Feet)  F No-L6XHBR1C0L001050</t>
  </si>
  <si>
    <t>ဦးေဇာ္ထိုက္</t>
  </si>
  <si>
    <t>စက္ကုန္းေက်းရြာ</t>
  </si>
  <si>
    <t>၁၂/ကမန(နိုင္)၀၇၅၁၄၂</t>
  </si>
  <si>
    <t>4.5.1341</t>
  </si>
  <si>
    <t>ဦးဝင္းေမာင္</t>
  </si>
  <si>
    <t>ဦးဝင္းေဇာ္</t>
  </si>
  <si>
    <t>Dong Ben Tricycle : 300ZH-300CC(8Feet)  F No-L6XHBR1C8L001119</t>
  </si>
  <si>
    <t>ကိုခ်မ္းမင္းနိုင္</t>
  </si>
  <si>
    <t>သခြတ္ပင္ ေက်းရြာ</t>
  </si>
  <si>
    <t>၁၂/ကမန(နိုင္)၀၈၉၀၆၇</t>
  </si>
  <si>
    <t>15.9.1991</t>
  </si>
  <si>
    <t>ဦးစိန္ညြန္႕</t>
  </si>
  <si>
    <t>Dong Ben Tricycle : 300ZH-300CC(8Feet)  F No-L6XHBR1C6L001121</t>
  </si>
  <si>
    <t>ေဒၚသီသီခိုင္</t>
  </si>
  <si>
    <t>ထန္းမနိုင္ ေက်းရြာ</t>
  </si>
  <si>
    <t>၁၂/ကမန(နိုင္)၁၀၃၀၈၁</t>
  </si>
  <si>
    <t>10.9.1345</t>
  </si>
  <si>
    <t>ဦးသန္းေရႊ</t>
  </si>
  <si>
    <t>ကိုရဲဝင္းေအာင္</t>
  </si>
  <si>
    <t>Dong Ben Tricycle : 300ZH-300CC(8Feet)  F No-L6XHBR1C1L001096</t>
  </si>
  <si>
    <t>ကိုဝင္းကိုနိုင္</t>
  </si>
  <si>
    <t>ထန္းမနိုင္ ေက်းရြာ(ေကာ့မွဴးၿမိဳ႕နယ္)</t>
  </si>
  <si>
    <t>၁၂/ကမန(နိုင္)၁ဝ၀၂၄၃</t>
  </si>
  <si>
    <t>8.4.1353</t>
  </si>
  <si>
    <t>ဦးခင္ေမာင္ေဌး</t>
  </si>
  <si>
    <t>ကိုမ်ိဳးလြင္</t>
  </si>
  <si>
    <t>Dong Ben Tricycle : 300ZH-300CC(8Feet)  F No-L6XHBR1C2L001097</t>
  </si>
  <si>
    <t>ကိုျမင့္သိန္း</t>
  </si>
  <si>
    <t>စက္ကုန္းေက်းရြာ(ေကာ့မွဴးၿမိဳ႕နယ္)</t>
  </si>
  <si>
    <t>၁၂/ကမန(နိုင္)၀၇၀၂၄၄</t>
  </si>
  <si>
    <t>7.12.1344</t>
  </si>
  <si>
    <t>ဦးေဌးေအာင္</t>
  </si>
  <si>
    <t>Dong Ben Tricycle : 300ZH-300CC(8Feet)  F No-L6XHBR1C1L001088</t>
  </si>
  <si>
    <t>ကိုေဇာ္မ်ိဳးနိုင္</t>
  </si>
  <si>
    <t>ေျမာက္ေခ်ာင္ေက်းရြာ(ေကာ့မွဴးၿမိဳ႕နယ္)</t>
  </si>
  <si>
    <t>၁၂/ကမန(နိုင္)၁၀၄၄၀၉</t>
  </si>
  <si>
    <t>10.11.1354</t>
  </si>
  <si>
    <t>ဦးျမင့္ရီ</t>
  </si>
  <si>
    <t>ကိုဝင္းနိုင္</t>
  </si>
  <si>
    <t>Dong Ben Tricycle : 300ZH-300CC(8Feet)  F No-L6XHBR1C5L001093</t>
  </si>
  <si>
    <t>ကိုျမင့္လြင္</t>
  </si>
  <si>
    <t>ခရိုကၡနီေက်းရြာ(ေကာ့မွဴးၿမိဳ႕နယ္)</t>
  </si>
  <si>
    <t>၁၂/ကမန(နိုင္)၀၉၃၅၇၉</t>
  </si>
  <si>
    <t>4.7.1985</t>
  </si>
  <si>
    <t>ဦးေသာင္းရီ</t>
  </si>
  <si>
    <t>ကိုမ်ိဳးမင္းလြင္</t>
  </si>
  <si>
    <t xml:space="preserve">Dong Ben Tricycle : 300ZH-300CC(8Feet)  F No-L6XHBR1C4L001098
</t>
  </si>
  <si>
    <t>10-Jun</t>
  </si>
  <si>
    <t>24-Jun</t>
  </si>
  <si>
    <t>Sum of First Date</t>
  </si>
  <si>
    <t>Sum of First Amount</t>
  </si>
  <si>
    <t>CRR2021</t>
  </si>
  <si>
    <t>RECHPW19</t>
  </si>
  <si>
    <t>Receivable for WBL HP - 2019</t>
  </si>
  <si>
    <t>Receivable for WBL HP - 2021 GBS</t>
  </si>
  <si>
    <t>Receivable for WBL HP - 2021 USM</t>
  </si>
  <si>
    <t>Receivable for WBL HP - 2021 USMC</t>
  </si>
  <si>
    <t>Receivable for WBL HP - 2021 WSW</t>
  </si>
  <si>
    <t>Receivable for WBL HP - 2021 Spare</t>
  </si>
  <si>
    <t>RECHPW21GBS</t>
  </si>
  <si>
    <t>RECHPW21USMC</t>
  </si>
  <si>
    <t>RECHPW21WSW</t>
  </si>
  <si>
    <t>RECHPW21Spare</t>
  </si>
  <si>
    <t>REC21</t>
  </si>
  <si>
    <t>RECHPW21USM</t>
  </si>
  <si>
    <t>ဦးခင္ဝင္း</t>
  </si>
  <si>
    <t>အဂၤလုံုး ေက်းရြာ (ကြမ္းၿခံကုန္းၿမိဳ႕နယ္)</t>
  </si>
  <si>
    <t>၁၂/ကခက(နုိင္)၀၅၅၃၆၂</t>
  </si>
  <si>
    <t>10.9.2012</t>
  </si>
  <si>
    <t>ဦးစိုးလိႈင္</t>
  </si>
  <si>
    <t>ဦးဝင္း</t>
  </si>
  <si>
    <t>Dong Ben Tricycle : 300ZH-300CC(8Feet)  F No-L6XHBR1C9L001131</t>
  </si>
  <si>
    <t>ကိုထြန္းထြန္းဝင္း</t>
  </si>
  <si>
    <t>ထန္းမနိုင္ ေက်းရြာ (ေကာ့မွဴးၿမိဳ႕နယ္)</t>
  </si>
  <si>
    <t>၁၂/ကမန(နိုင္)၀၆၁၂၄၉</t>
  </si>
  <si>
    <t>15.9.1342</t>
  </si>
  <si>
    <t>ဦးေဇာ္မင္း</t>
  </si>
  <si>
    <t>Dong Ben   Tricycle 175CC   L6XBL1C7L0000265</t>
  </si>
  <si>
    <t>ကိုေနစိုးဦး</t>
  </si>
  <si>
    <t>လက္ခုတ္ကုန္းေက်းရြာ (ကြမ္းၿခံကုန္းၿမိဳ႕နယ္)</t>
  </si>
  <si>
    <t>၁၂/ကခက(နိုင္)၀၆၅၉၀၇</t>
  </si>
  <si>
    <t>14.1.1342</t>
  </si>
  <si>
    <t>ဦးတင္စိုး</t>
  </si>
  <si>
    <t>ကိုထြန္းလင္းေက်ာ္</t>
  </si>
  <si>
    <t>Dong Ben   Tricycle 175CC   L6XBL1C6L0000287</t>
  </si>
  <si>
    <t>ကိုညီညီ</t>
  </si>
  <si>
    <t>ေကာ့ဒြန္း ေက်းရြာ (ကြမ္းၿခံကုန္းၿမိဳ႕နယ္)</t>
  </si>
  <si>
    <t>၁၂/ကမန(နိုင္)၀၇၆၇၇၃</t>
  </si>
  <si>
    <t>18.4.1986</t>
  </si>
  <si>
    <t>ကိုေအးမင္းနိုင္</t>
  </si>
  <si>
    <t>JN ကိုင္းအစံု Tube Type +ထြန္ခံု 18 သြား+အင္ဂ်င္ ZS1110CC</t>
  </si>
  <si>
    <t>Sum of Debit</t>
  </si>
  <si>
    <t>Statement of cash flow ended of the month</t>
  </si>
  <si>
    <t xml:space="preserve"> balance  b/d</t>
  </si>
  <si>
    <t>မခင္စႏၵာမင္းဦး</t>
  </si>
  <si>
    <t>Ma Khin Sanda Min Oo</t>
  </si>
  <si>
    <t>Credit period</t>
  </si>
  <si>
    <t>Interest</t>
  </si>
  <si>
    <t>interest Amt</t>
  </si>
  <si>
    <t>Interest+Loan</t>
  </si>
  <si>
    <t>Paid Amt</t>
  </si>
  <si>
    <t>Paid Date</t>
  </si>
  <si>
    <t>ေပးရန္စုစုေပါင္း</t>
  </si>
  <si>
    <t>ေပးၿပီး</t>
  </si>
  <si>
    <t>ေပးရန္က်န္</t>
  </si>
  <si>
    <t>Sum of Credit</t>
  </si>
  <si>
    <t>ဦးကိုမင္း</t>
  </si>
  <si>
    <t>ဝါးေကာက္ေတာ (ကြမ္းၿခံကုန္းၿမိဳ႕နယ္)</t>
  </si>
  <si>
    <t>၁၂/ကခက(နုိင္)၀၈၁၄၅၆</t>
  </si>
  <si>
    <t>10.3.1987</t>
  </si>
  <si>
    <t>ဦးသန္းခ်စ္</t>
  </si>
  <si>
    <t>ဦးေက်ာ္ေဌးလြင္</t>
  </si>
  <si>
    <t>Xunling 150CC  Tricycle (Red) L6XBK1CXL0000156</t>
  </si>
  <si>
    <t>ဦးေမာ္သိန္း</t>
  </si>
  <si>
    <t>သမၻာန္ေခ်ာင္းေက်းရြာ(ဒလၿမိဳ႕နယ္)</t>
  </si>
  <si>
    <t>၁၂/တတန(နိုင္)၀၃၂၇၄၂</t>
  </si>
  <si>
    <t>5.2.1331</t>
  </si>
  <si>
    <t>Dong Ben Tricycle : 300ZH-300CC(8Feet)  F No-L6XHBR1C8L001038</t>
  </si>
  <si>
    <t>ဦးျမင့္ေအာင္</t>
  </si>
  <si>
    <t>ဝါးဘေလာက္ေသာက္ရြာ (ေကာ့မွဴးၿမိဳ႕နယ္)</t>
  </si>
  <si>
    <t>၁၂/ကမန(နိုင္)၁၀၉၈၃၃</t>
  </si>
  <si>
    <t>12.12.1333</t>
  </si>
  <si>
    <t>ဦးၾကည္ေအး</t>
  </si>
  <si>
    <t>Dong Ben Tricycle : 300ZH-300CC(8Feet)  F No-L6XHBR1C2L001228</t>
  </si>
  <si>
    <t>ဦးတင္ေထြး</t>
  </si>
  <si>
    <t>ထန္းမနိုင္ေက်းရြား (ေကာ့မွဴးၿမိဳ႕နယ္)</t>
  </si>
  <si>
    <t>၁၂/ကမန(နိုင္)၁၀၃၀၀၃</t>
  </si>
  <si>
    <t>12.5.1978</t>
  </si>
  <si>
    <t>ဦးစိန္ထြန္း</t>
  </si>
  <si>
    <t>ေဒၚစုစုခိုင္</t>
  </si>
  <si>
    <t>Dong Ben Tricycle : DB175ZH-175CC  F No- L6XHHBLICXL0000275</t>
  </si>
  <si>
    <t>ေတာ္ကမယ္ေက်းရြာ (ေဒးဒရဲၿမိဳ႕နယ္)</t>
  </si>
  <si>
    <t>၁၂/ဒဒရ(နိုင္)၁၄၄၀၅၉</t>
  </si>
  <si>
    <t>10.9.1987</t>
  </si>
  <si>
    <t>ဦးတင္ေအး</t>
  </si>
  <si>
    <t>ဦးေက်ာ္လြင္</t>
  </si>
  <si>
    <t>Dong Ben Tricycle : 300ZH-300CC(8Feet)  F No-L6XHBR1C0L0001308</t>
  </si>
  <si>
    <t>ကိုဇင္မင္းထြန္း</t>
  </si>
  <si>
    <t>၁၂/ဒဒရ(နိုင္)၁၁၃၇၈၇</t>
  </si>
  <si>
    <t>8.7.1348</t>
  </si>
  <si>
    <t>ဦးၾကည္ေအာင္</t>
  </si>
  <si>
    <t>ဦးဇာနည္ေအာင္</t>
  </si>
  <si>
    <t>Xunling 250CC(8Feet)  Double (Red) L6XHBN1C6L0000351</t>
  </si>
  <si>
    <t xml:space="preserve"> First Amount</t>
  </si>
  <si>
    <t>KSL</t>
  </si>
  <si>
    <t>KSL Ph</t>
  </si>
  <si>
    <t>Ph</t>
  </si>
  <si>
    <t>father Name</t>
  </si>
  <si>
    <t>Custormer</t>
  </si>
  <si>
    <t>Father</t>
  </si>
  <si>
    <t>ဦးရီမိိိုး</t>
  </si>
  <si>
    <t>စပါယ္(2)လမ္း (ကြမ္းၿခံကုန္းၿမိဳ႕)ကြမ္းၿခံကုန္းၿမိဳ႕နယ္</t>
  </si>
  <si>
    <t>၁၂/ဒဒရ(နိုင္)၁၁၄၂၂၅</t>
  </si>
  <si>
    <t>3.10.1343</t>
  </si>
  <si>
    <t>ဦးဝင္းထြန္း</t>
  </si>
  <si>
    <t>Dong Ben Tricycle : DB175ZH-175CC  F No- L6XHHBLIC9L0000266</t>
  </si>
  <si>
    <t>2 ဘီလူးေခါင္း</t>
  </si>
  <si>
    <t>DF043</t>
  </si>
  <si>
    <t>DF065</t>
  </si>
  <si>
    <t>DF ကလစ္လံုး</t>
  </si>
  <si>
    <t>6310 ေဘာ</t>
  </si>
  <si>
    <t>MMS113</t>
  </si>
  <si>
    <t>ဖ်ဴးစ္</t>
  </si>
  <si>
    <t>R180059</t>
  </si>
  <si>
    <t>R180 ဂတ္စကက္ (က်ဥ္း)</t>
  </si>
  <si>
    <t>4 ဘီလူးေခါင္းArrman</t>
  </si>
  <si>
    <t>SP01148</t>
  </si>
  <si>
    <t>SP01170</t>
  </si>
  <si>
    <t>1/2 ခ်က္ေခါင္း Atpter</t>
  </si>
  <si>
    <t>SP0650</t>
  </si>
  <si>
    <t>ကားေရေဆးေခါင္း (အထစ္)</t>
  </si>
  <si>
    <t>2W6</t>
  </si>
  <si>
    <t>ဘက္မွန္(Thai) နီကယ္</t>
  </si>
  <si>
    <t>DF032</t>
  </si>
  <si>
    <t>H ကေတာ့</t>
  </si>
  <si>
    <t>DF040</t>
  </si>
  <si>
    <t>DF ဆိုက္ကလပ္ပင္နီယံႀကီး35</t>
  </si>
  <si>
    <t>DF041</t>
  </si>
  <si>
    <t>DF ဆိုက္ကလပ္ပင္နီယံေသး</t>
  </si>
  <si>
    <t>DF056</t>
  </si>
  <si>
    <t>DF NO-15 ပင္နီယံႀကီး</t>
  </si>
  <si>
    <t>DF067</t>
  </si>
  <si>
    <t>DF NO-16 ရွပ္တို ကလစ္</t>
  </si>
  <si>
    <t>DF079</t>
  </si>
  <si>
    <t>ကလပ္ဘြတ္ႀကီး</t>
  </si>
  <si>
    <t>DF081</t>
  </si>
  <si>
    <t>DF NO-3 ဖလမ္း</t>
  </si>
  <si>
    <t>DF086</t>
  </si>
  <si>
    <t>ဂီယာဂြ 2/2တက္ဂြ</t>
  </si>
  <si>
    <t>DF090</t>
  </si>
  <si>
    <t>DF ဂီယာရွပ္ေသး 2လိုင္း</t>
  </si>
  <si>
    <t>DF091</t>
  </si>
  <si>
    <t>ဂီယာဂြေဘာေစ႔</t>
  </si>
  <si>
    <t>DF092</t>
  </si>
  <si>
    <t>DF ဂီယာဂြ စပလိန္</t>
  </si>
  <si>
    <t>DF096</t>
  </si>
  <si>
    <t>DF ေပါင္ပင္နီယံေသး40</t>
  </si>
  <si>
    <t>DF105</t>
  </si>
  <si>
    <t>DF NO-52 ရွပ္ႀကီး</t>
  </si>
  <si>
    <t>DF33</t>
  </si>
  <si>
    <t>ဂီယာေဘာက္ 62ဘြတ္</t>
  </si>
  <si>
    <t>GBSP033</t>
  </si>
  <si>
    <t>MMS097</t>
  </si>
  <si>
    <t>မီးသီး2စ (ဆစ္ဂနယ္)</t>
  </si>
  <si>
    <t>MMS134</t>
  </si>
  <si>
    <t>ဒိုင္အုပ္ႀကီး (6 စ)</t>
  </si>
  <si>
    <t>MMS137</t>
  </si>
  <si>
    <t>ပလပ္ D8T/A</t>
  </si>
  <si>
    <t>MMS139</t>
  </si>
  <si>
    <t>ေလးပုခက္အရွည္</t>
  </si>
  <si>
    <t>MMS145</t>
  </si>
  <si>
    <t>R175183</t>
  </si>
  <si>
    <t>ကရိုင္းပင္နယံ</t>
  </si>
  <si>
    <t>SP0108</t>
  </si>
  <si>
    <t>12" ဂြရွင္ ဇီး</t>
  </si>
  <si>
    <t>SP01171</t>
  </si>
  <si>
    <t>Honda 3 1/2 ပူလီ</t>
  </si>
  <si>
    <t>SP01181</t>
  </si>
  <si>
    <t>24 ဂြင္းဂြ</t>
  </si>
  <si>
    <t>SP0264</t>
  </si>
  <si>
    <t>35.58.12အဝိုင္းစီး</t>
  </si>
  <si>
    <t>SP0306</t>
  </si>
  <si>
    <t>SP0445</t>
  </si>
  <si>
    <t>SP0468</t>
  </si>
  <si>
    <t>SP0509</t>
  </si>
  <si>
    <t>13 T (CH)</t>
  </si>
  <si>
    <t>22 စပန္နာသီး</t>
  </si>
  <si>
    <t>SP0901</t>
  </si>
  <si>
    <t>2020 ရရန္က်န္ေငြ</t>
  </si>
  <si>
    <t>2021ရရန္က်န္ေငြ</t>
  </si>
  <si>
    <t>2021ရရန္ေၾကြး</t>
  </si>
  <si>
    <t>2021ေၾကြးဝင္ေငြ</t>
  </si>
  <si>
    <t xml:space="preserve">Bank ေၾကြးက်န္သြင္းရန္( 2021 ) </t>
  </si>
  <si>
    <t>Year</t>
  </si>
  <si>
    <t>Amt</t>
  </si>
  <si>
    <t>Co,+ Spare</t>
  </si>
  <si>
    <t>In Free Sale (15%)</t>
  </si>
  <si>
    <t>Balance b / d</t>
  </si>
  <si>
    <t>အဝယ္ (ေငြမရွင္း)</t>
  </si>
  <si>
    <t>ေငြလႊဲ</t>
  </si>
  <si>
    <t>(SPR001)ကိုခ်စ္ေက်ာ္သူ</t>
  </si>
  <si>
    <t>(SPR002)ကိုမ်ိဳးသူ ဝါးေသာက္</t>
  </si>
  <si>
    <t>(SPR003)ကိုကိုင္ဇာေဌး ဝါးေသာက္</t>
  </si>
  <si>
    <t>(SPR005)ကိုသန္႔ဇင္ ဝါးေသာက္</t>
  </si>
  <si>
    <t>(SPR006)ကိုတင္လွ မဝန္း</t>
  </si>
  <si>
    <t>(SPR007)ေမာင္ျမင့္သူ ခရိုကၡနိ</t>
  </si>
  <si>
    <t>SPR001</t>
  </si>
  <si>
    <t>SPR003</t>
  </si>
  <si>
    <t>SPR005</t>
  </si>
  <si>
    <t>SPR007</t>
  </si>
  <si>
    <t>SPR004</t>
  </si>
  <si>
    <t>SPR002</t>
  </si>
  <si>
    <t>SPR006</t>
  </si>
  <si>
    <t>Pay223</t>
  </si>
  <si>
    <t>Armax အင္ဂ်င္ဝိုင္</t>
  </si>
  <si>
    <t>CB100</t>
  </si>
  <si>
    <t xml:space="preserve"> Opening</t>
  </si>
  <si>
    <t>Cash In Hand - 01</t>
  </si>
  <si>
    <t>Cash In Hand - 02</t>
  </si>
  <si>
    <t>Cash In Hand - 03</t>
  </si>
  <si>
    <t>Cash In Hand - 04</t>
  </si>
  <si>
    <t>Cash In Hand - 05</t>
  </si>
  <si>
    <t>Cash In Hand - 06</t>
  </si>
  <si>
    <t>Cash In Hand - 07</t>
  </si>
  <si>
    <t>Cash In Hand - 08</t>
  </si>
  <si>
    <t>Cash In Hand - 09</t>
  </si>
  <si>
    <t>Cash In Hand - 10</t>
  </si>
  <si>
    <t>Cash In Hand - 11</t>
  </si>
  <si>
    <t>Cash In Hand - 12</t>
  </si>
  <si>
    <t>Cash In Hand - 13</t>
  </si>
  <si>
    <t>Cash In Hand - 14</t>
  </si>
  <si>
    <t>Cash In Hand - 15</t>
  </si>
  <si>
    <t>Cash In Hand - 16</t>
  </si>
  <si>
    <t>Cash In Hand - 17</t>
  </si>
  <si>
    <t>Cash In Hand - 18</t>
  </si>
  <si>
    <t>Cash In Hand - 19</t>
  </si>
  <si>
    <t>Cash In Hand - 20</t>
  </si>
  <si>
    <t>Cash In Hand - 21</t>
  </si>
  <si>
    <t>Cash In Hand - 22</t>
  </si>
  <si>
    <t>Cash In Hand - 23</t>
  </si>
  <si>
    <t>Cash In Hand - 24</t>
  </si>
  <si>
    <t>Cash In Hand - 25</t>
  </si>
  <si>
    <t>Cash In Hand - 26</t>
  </si>
  <si>
    <t>Cash In Hand - 27</t>
  </si>
  <si>
    <t>Cash In Hand - 28</t>
  </si>
  <si>
    <t>REINWS</t>
  </si>
  <si>
    <t>WS-လုပ္အားချပန္သြင္းေငြ</t>
  </si>
  <si>
    <t>4-Jun</t>
  </si>
  <si>
    <t>9-Jun</t>
  </si>
  <si>
    <t>Pay224</t>
  </si>
  <si>
    <t>Pay225</t>
  </si>
  <si>
    <t>Pay226</t>
  </si>
  <si>
    <t xml:space="preserve">Ko Hla Ngwe </t>
  </si>
  <si>
    <t>ကိုေအာင္ကိုဆန္း</t>
  </si>
  <si>
    <t>၁၂/ဒလန(ႏိုင္)၀၉၈၉၄၃</t>
  </si>
  <si>
    <t>10.7.1994</t>
  </si>
  <si>
    <t>ဦးၾကည္စိုး</t>
  </si>
  <si>
    <t>ကိုစည္သူဟိန္း</t>
  </si>
  <si>
    <t>Dong Ben Tricycle : 300ZH-300CC(8Feet)  F No-L6XHBR1C2L0001360</t>
  </si>
  <si>
    <t>မေဒၚလာ</t>
  </si>
  <si>
    <t>ဘို႕ဒင္ေက်းရြာ (ေကာ့မွဴးၿမိဳ႕နယ္)</t>
  </si>
  <si>
    <t>၁၂/ကမန(နိုင္)၁၄၁၉၁၃</t>
  </si>
  <si>
    <t>14.6.1345</t>
  </si>
  <si>
    <t>ဦးေမာင္ေမာင္ၾကည္</t>
  </si>
  <si>
    <t>ဦးခ်စ္သဲ</t>
  </si>
  <si>
    <t>Dong Ben Tricycle : DB175ZH-175CC  F No- L6XHHBLICXL0000342</t>
  </si>
  <si>
    <t xml:space="preserve"> First Date</t>
  </si>
  <si>
    <t>Sum of Second  Date</t>
  </si>
  <si>
    <t xml:space="preserve"> Second Amount</t>
  </si>
  <si>
    <t>Mann Ayarwadi</t>
  </si>
  <si>
    <t>(SPR004)ကိုေက်ာ္စိုး ဝါးေသာက္</t>
  </si>
  <si>
    <t>GBSP047</t>
  </si>
  <si>
    <t>204 (JN)</t>
  </si>
  <si>
    <t>MMS155</t>
  </si>
  <si>
    <t>28-37-7</t>
  </si>
  <si>
    <t>MMS175</t>
  </si>
  <si>
    <t>ဘီးနတ္( L)</t>
  </si>
  <si>
    <t>OW0160</t>
  </si>
  <si>
    <t>55X75X10</t>
  </si>
  <si>
    <t>SP01184</t>
  </si>
  <si>
    <t>SP01185</t>
  </si>
  <si>
    <t>ပန္းေကာ္ပတ္ (ေကာင္း)</t>
  </si>
  <si>
    <t>SP0710</t>
  </si>
  <si>
    <t>22 ဆီဖစ္တာဗူး</t>
  </si>
  <si>
    <t>2W11</t>
  </si>
  <si>
    <t>ေလထိုးတံ စတီး</t>
  </si>
  <si>
    <t>DF35</t>
  </si>
  <si>
    <t>DF ဘီးဖလန္းအထူ</t>
  </si>
  <si>
    <t>6205 ေဘာ</t>
  </si>
  <si>
    <t>MMS166</t>
  </si>
  <si>
    <t>ေလးစပရိန္(8 လိမ္)</t>
  </si>
  <si>
    <t>MMS2080</t>
  </si>
  <si>
    <t>အဲယားေလစစ္အဝိုင္း</t>
  </si>
  <si>
    <t>MMS2083</t>
  </si>
  <si>
    <t>အင္ဂ်င္ဆြဲနတ္</t>
  </si>
  <si>
    <t>OW0161</t>
  </si>
  <si>
    <t>20X35X7</t>
  </si>
  <si>
    <t>R175018</t>
  </si>
  <si>
    <t>R175 အမ္းခံု ဆီေပါက္မပါ</t>
  </si>
  <si>
    <t>SP0054</t>
  </si>
  <si>
    <t>SP01198</t>
  </si>
  <si>
    <t>9.5 စူးသြား</t>
  </si>
  <si>
    <t>SP01208</t>
  </si>
  <si>
    <t>3 ကလစ္ကြင္း(ေကာင္း)</t>
  </si>
  <si>
    <t>STL043</t>
  </si>
  <si>
    <t>TB40ေခါင္းျပား</t>
  </si>
  <si>
    <t>ျခားနားခ်က္ (Difference)</t>
  </si>
  <si>
    <t>2 လပိုင္း</t>
  </si>
  <si>
    <t>Delita International Limied</t>
  </si>
  <si>
    <t>Ko Win Hlaing</t>
  </si>
  <si>
    <t>Mann Ayawadi</t>
  </si>
  <si>
    <t>Moe Thauk Ayar</t>
  </si>
  <si>
    <t>Sein Wut Hmon Co, LTD</t>
  </si>
  <si>
    <t xml:space="preserve">Tat Shwe La Win </t>
  </si>
  <si>
    <t>25-02-2021 ေငြလႊဲ -  Mobile</t>
  </si>
  <si>
    <t>Cash In Hand - 29</t>
  </si>
  <si>
    <t>Cash In Hand - 30</t>
  </si>
  <si>
    <t>GBSP053</t>
  </si>
  <si>
    <t>MMS0064</t>
  </si>
  <si>
    <t>ဘီးနတ္(R)</t>
  </si>
  <si>
    <t>MMS0073</t>
  </si>
  <si>
    <t>MMS0077</t>
  </si>
  <si>
    <t>0-5 ဘရိတ္ဆီဗူး</t>
  </si>
  <si>
    <t>MMS0080</t>
  </si>
  <si>
    <t>28-37-7 ဝိုင္းစီး</t>
  </si>
  <si>
    <t>MMS043</t>
  </si>
  <si>
    <t>အိတ္ေဇာ မီးခံကြင္း</t>
  </si>
  <si>
    <t>MMS167</t>
  </si>
  <si>
    <t>အိတ္ေဇာခါးဆက္နတ္+စပလိန္</t>
  </si>
  <si>
    <t>5 မူးဆီနတ္</t>
  </si>
  <si>
    <t>R180039</t>
  </si>
  <si>
    <t>စလစ္ကစ္ဆက္R180(JW)</t>
  </si>
  <si>
    <t>SP01220</t>
  </si>
  <si>
    <t>SP01231</t>
  </si>
  <si>
    <t>ေတာက္+ဒိုင္အစံု</t>
  </si>
  <si>
    <t>SP0758</t>
  </si>
  <si>
    <t>22ပလန္ခ်ာအံုေထာက္နတ္</t>
  </si>
  <si>
    <t>BALL24</t>
  </si>
  <si>
    <t>30205 ေဘာ</t>
  </si>
  <si>
    <t>GBSP055</t>
  </si>
  <si>
    <t>အဲယာဗူးေဂါက္ပါ(175)</t>
  </si>
  <si>
    <t>GBSP068</t>
  </si>
  <si>
    <t>Q185 ေနာ္ဇယ္</t>
  </si>
  <si>
    <t>GBSP069</t>
  </si>
  <si>
    <t>ဘားစပလိန္(175/180)</t>
  </si>
  <si>
    <t>MMS0067</t>
  </si>
  <si>
    <t>ကလပ္ျပား(6)ခ်ပ္ေလ(150)</t>
  </si>
  <si>
    <t>ေရပိုက္(1 ေပ)</t>
  </si>
  <si>
    <t>Q185025</t>
  </si>
  <si>
    <t>R175061</t>
  </si>
  <si>
    <t>R-175 ဟန္ဒယ္ေဂါက္ ရိုးရိုး</t>
  </si>
  <si>
    <t>SP0049</t>
  </si>
  <si>
    <t>*999 ( 1pack x 6) Gear Oil</t>
  </si>
  <si>
    <t>SP01218</t>
  </si>
  <si>
    <t>ေမာ္တာေလပန္ကာ</t>
  </si>
  <si>
    <t>SP01219</t>
  </si>
  <si>
    <t>ေရေဆး ပိုက္ဆက္(စံု)</t>
  </si>
  <si>
    <t>SP01244</t>
  </si>
  <si>
    <t>သုတ္ေဆး (လတ္)</t>
  </si>
  <si>
    <t>SP01257</t>
  </si>
  <si>
    <t>Toyo တစ္ဘီးထြန္ (လက္ေဟာင္း)</t>
  </si>
  <si>
    <t>SP0514</t>
  </si>
  <si>
    <t>အမိုးကိုင္းဘက္မွန္အေသး</t>
  </si>
  <si>
    <t>SP0644</t>
  </si>
  <si>
    <t>အမဲဆီေသး (ဇီး)</t>
  </si>
  <si>
    <t>SP0645</t>
  </si>
  <si>
    <t>4X2 ကစလပန္႔ပူလီ</t>
  </si>
  <si>
    <t>SP0717</t>
  </si>
  <si>
    <t>UCP 207 (က်ဥ္း)</t>
  </si>
  <si>
    <t>Pay GBS Bank 21</t>
  </si>
  <si>
    <t>Payable GBS Bank (2021)</t>
  </si>
  <si>
    <t xml:space="preserve">Profit (or) Loss for the Month ended </t>
  </si>
  <si>
    <t>အဝယ္ (ေငြမရွင္း) (DBR SPARE)</t>
  </si>
  <si>
    <t>ေၾကြးက်န္(ရရန္ရွိ)</t>
  </si>
  <si>
    <t>ေၾကြး ဝင္ေငြ</t>
  </si>
  <si>
    <t>SPR008</t>
  </si>
  <si>
    <t>(SPR008)ဦးေဇာ္ေထြး သဲကုန္းတန္း</t>
  </si>
  <si>
    <t>(8) ဦးေၾကြးက်န္စာရင္း</t>
  </si>
  <si>
    <t>22 ေကာင္ဂါဂ်ီပင္</t>
  </si>
  <si>
    <t>DF ကလပ္စပလိန္</t>
  </si>
  <si>
    <t>22 ဂါဘနာေဘာျခင္း</t>
  </si>
  <si>
    <t>22 ဘယ္ရင္(0-25)</t>
  </si>
  <si>
    <t>22 ဆီျပန္ပိုက္</t>
  </si>
  <si>
    <t>BALL8</t>
  </si>
  <si>
    <t>DF0022</t>
  </si>
  <si>
    <t>DF ဆိုက္ကလစ္ကြ</t>
  </si>
  <si>
    <t>DF0024</t>
  </si>
  <si>
    <t>DF ဆိုက္ကလပ္ ႏႈပ္ခမ္းေမႊး</t>
  </si>
  <si>
    <t>DF0025</t>
  </si>
  <si>
    <t>DF ဆိုက္ကလပ္သတ္ပင္</t>
  </si>
  <si>
    <t>DF111</t>
  </si>
  <si>
    <t>လိုက္ဘီးေဘာဖံုး</t>
  </si>
  <si>
    <t>EM185003</t>
  </si>
  <si>
    <t>GBSP057</t>
  </si>
  <si>
    <t>မ/ထ လီဘာႀကိဳး</t>
  </si>
  <si>
    <t>GBSP058</t>
  </si>
  <si>
    <t>DF ေပါင္အဝိုင္းစိး (1စံု)</t>
  </si>
  <si>
    <t>MMS0007</t>
  </si>
  <si>
    <t>ေနာက္တံခါးခ်ိတ္</t>
  </si>
  <si>
    <t>MMS0055</t>
  </si>
  <si>
    <t>ခရုဟြန္း (အစိမ္း)</t>
  </si>
  <si>
    <t>MMS0092</t>
  </si>
  <si>
    <t>MMS0099</t>
  </si>
  <si>
    <t>ေအာက္ေမာင္းရွပ္ပါႀကီး</t>
  </si>
  <si>
    <t>MMS0107</t>
  </si>
  <si>
    <t>7 ကြင္း ဝိုင္းစိးစံု</t>
  </si>
  <si>
    <t>MMS0112</t>
  </si>
  <si>
    <t>ဘရိတ္ဆီဗူုး (1)ေပါက္</t>
  </si>
  <si>
    <t>MMS0118</t>
  </si>
  <si>
    <t>ဂီယာရွပ္တံတို250</t>
  </si>
  <si>
    <t>MMS178</t>
  </si>
  <si>
    <t>စီဒီအိုင္ 200-250</t>
  </si>
  <si>
    <t>MMS180</t>
  </si>
  <si>
    <t>ရိန္း 300 STD</t>
  </si>
  <si>
    <t>MMS2084</t>
  </si>
  <si>
    <t>NT700</t>
  </si>
  <si>
    <t>NT70029</t>
  </si>
  <si>
    <t>NT70ရိန္း (N)</t>
  </si>
  <si>
    <t>NT70033</t>
  </si>
  <si>
    <t>NT 70 ပစၥတင္</t>
  </si>
  <si>
    <t>OW0004</t>
  </si>
  <si>
    <t>OW0005</t>
  </si>
  <si>
    <t>Toyo ေအာက္ ပင္နယံ 69 စြယ္</t>
  </si>
  <si>
    <t>OW0012</t>
  </si>
  <si>
    <t>သံဘီး ခြာ(တစ္ဘီးေထာင္)</t>
  </si>
  <si>
    <t>6305 ေဘာ</t>
  </si>
  <si>
    <t>14 စြယ္ရွပ္ /ရွည္ (တစ္ဘီးေထာင္)</t>
  </si>
  <si>
    <t>Q185038</t>
  </si>
  <si>
    <t>ပလန္ခ်ာ (Q185)</t>
  </si>
  <si>
    <t>5 ပဲ ဆီနတ္</t>
  </si>
  <si>
    <t>R175067</t>
  </si>
  <si>
    <t>R-175 3R အမ္းဖံုး သတၱဴ</t>
  </si>
  <si>
    <t>R175110</t>
  </si>
  <si>
    <t>ဟန္တယ္ဘြတ္ (175)</t>
  </si>
  <si>
    <t>R175154</t>
  </si>
  <si>
    <t>ဆီစစ္ရွည္(အင္ဂ်င္ဝိုင္စစ္)</t>
  </si>
  <si>
    <t>R175187</t>
  </si>
  <si>
    <t>ျဖတ္ဘား(ဒလီဘား)</t>
  </si>
  <si>
    <t>R175188</t>
  </si>
  <si>
    <t>R175 ပန္႔ဒလက္အံု</t>
  </si>
  <si>
    <t>R180019</t>
  </si>
  <si>
    <t>R-180 ဆီတိုင္ကီ</t>
  </si>
  <si>
    <t>ဆီစစ္ရွည္ (ဒီဇယ္)</t>
  </si>
  <si>
    <t>R180037</t>
  </si>
  <si>
    <t>R180/175အိတ္ေဇားဗူးမဲ(ဝိုင္း)</t>
  </si>
  <si>
    <t>SP0014</t>
  </si>
  <si>
    <t>SP0080</t>
  </si>
  <si>
    <t>ဝရိန္ပံုးအဖိုေခါင္းေသး</t>
  </si>
  <si>
    <t>SP0102</t>
  </si>
  <si>
    <t>10" ဂြရွင္(ဇီးေရာင္)</t>
  </si>
  <si>
    <t>SP01261</t>
  </si>
  <si>
    <t>ဂၽြိဳင္း Set 20x50</t>
  </si>
  <si>
    <t>SP01262</t>
  </si>
  <si>
    <t>SP01271</t>
  </si>
  <si>
    <t>6 -ဝက္အူလွည့္ (လတ္)</t>
  </si>
  <si>
    <t>SP01278</t>
  </si>
  <si>
    <t>ဆီလီကြန္ေကာ္(ပ်ံလႊား)</t>
  </si>
  <si>
    <t>SP01284</t>
  </si>
  <si>
    <t>8ေခ်ာင္း ဂြင္းဂြင္းကဒ္</t>
  </si>
  <si>
    <t>SP01291</t>
  </si>
  <si>
    <t>အဝတ္စ</t>
  </si>
  <si>
    <t>SP0147</t>
  </si>
  <si>
    <t>ဝရိန္ပံုအဖိုေခါင္းႀကီး</t>
  </si>
  <si>
    <t>SP0665</t>
  </si>
  <si>
    <t>M12 ေတာက္</t>
  </si>
  <si>
    <t>SP0824</t>
  </si>
  <si>
    <t>DF ကလပ္ျပား(ေကာင္း)</t>
  </si>
  <si>
    <t>SP0832</t>
  </si>
  <si>
    <t>209 ေဘာ</t>
  </si>
  <si>
    <t>ဝက္အူလွည့္ (နန္းေသး)</t>
  </si>
  <si>
    <t>ပါကင္စံု ZS1110/1115 (JN)</t>
  </si>
  <si>
    <t>R175055</t>
  </si>
  <si>
    <t>R-175 အမ္းခံုနပ္တိုင္</t>
  </si>
  <si>
    <t>R180055</t>
  </si>
  <si>
    <t>SP01030</t>
  </si>
  <si>
    <t>စကူဂန္း ခ်က္ေခါင္း</t>
  </si>
  <si>
    <t>SP0454</t>
  </si>
  <si>
    <t>5/16 ပြန္က်ဴငါးပဲ</t>
  </si>
  <si>
    <t>SP053</t>
  </si>
  <si>
    <t>SP0767</t>
  </si>
  <si>
    <t>JD R180 Engine</t>
  </si>
  <si>
    <t>SP0823</t>
  </si>
  <si>
    <t>DF 24သြား ဂဲကာသံျပား</t>
  </si>
  <si>
    <t>လက္ေဆာင္+ေကာ္မရွင္ေပးေငြ</t>
  </si>
  <si>
    <t>Stock</t>
  </si>
  <si>
    <t>Creditor</t>
  </si>
  <si>
    <t>သံုးဘီးေၾကြးက်န္ (5) လပိုင္း 2021</t>
  </si>
  <si>
    <t>Cash In Hand - 31</t>
  </si>
  <si>
    <t>အျမတ္ေငြထဲသို႔တိုက္ရုိက္</t>
  </si>
  <si>
    <t>DIRECT PROFIT</t>
  </si>
  <si>
    <t>(+) Direct Profit</t>
  </si>
  <si>
    <t>တိုက္ရိုက္ အျမတ္</t>
  </si>
  <si>
    <t>Home Income</t>
  </si>
  <si>
    <t>Home</t>
  </si>
  <si>
    <t>½</t>
  </si>
  <si>
    <t>18 ေကာင္ရိန္း</t>
  </si>
  <si>
    <t>18 ေကာင္ပလန္ခ်ာ</t>
  </si>
  <si>
    <t>18 ပါကင္စံု(JD)</t>
  </si>
  <si>
    <t>22 ေကာင္စလစ္ကစ္ဆက္</t>
  </si>
  <si>
    <t>22 အင္ဂ်င္ဝိုင္ပိုက္</t>
  </si>
  <si>
    <t>BALL18</t>
  </si>
  <si>
    <t>DF017</t>
  </si>
  <si>
    <t>မွန္ေထာင္ လီဘာႀကိဳး</t>
  </si>
  <si>
    <t>DF115</t>
  </si>
  <si>
    <t>DF ေနာက္ဘီးဆံု</t>
  </si>
  <si>
    <t>DF121</t>
  </si>
  <si>
    <t>DF မ်က္မွန္ဝိုင္းစီး(16-30-10)</t>
  </si>
  <si>
    <t>DF122</t>
  </si>
  <si>
    <t>ဆိုက္ကလပ္စပလိန္(စံု)</t>
  </si>
  <si>
    <t>DF129</t>
  </si>
  <si>
    <t>DF141</t>
  </si>
  <si>
    <t>DF လိုက္ဘီးဝိုင္းစီး 25-47-5</t>
  </si>
  <si>
    <t>DF144</t>
  </si>
  <si>
    <t>DF ဖင္ထိုင္ခံုUဘိုးႀကီး(1စံု)</t>
  </si>
  <si>
    <t>GBSP060</t>
  </si>
  <si>
    <t>NT/Q185 ျဖတ္ဘား</t>
  </si>
  <si>
    <t>MMS0049</t>
  </si>
  <si>
    <t>20X50 ဂၽြိဳင္းေဘာ</t>
  </si>
  <si>
    <t>MMS0125</t>
  </si>
  <si>
    <t>12T ဘက္အံုပင္နယံ6205</t>
  </si>
  <si>
    <t>MMS0132</t>
  </si>
  <si>
    <t>MMS0133</t>
  </si>
  <si>
    <t>ဒိုင္အုပ္ႀကီး (5 စ)</t>
  </si>
  <si>
    <t>MMS0147</t>
  </si>
  <si>
    <t>ပစၥတင္ 250 (STD)</t>
  </si>
  <si>
    <t>MMS123</t>
  </si>
  <si>
    <t>စတပ္ေဘာထိုင္နတ္ပါ(20လံုး)</t>
  </si>
  <si>
    <t>MMS183</t>
  </si>
  <si>
    <t>ဂီယာတံ(2)ဆင့္ေလာ့(ေရထမ္း)</t>
  </si>
  <si>
    <t>NT70035</t>
  </si>
  <si>
    <t>NT-70 ပလန္ခ်ာ</t>
  </si>
  <si>
    <t>OW0055</t>
  </si>
  <si>
    <t>B54 (ယိုး)</t>
  </si>
  <si>
    <t>OW0064</t>
  </si>
  <si>
    <t>အေပၚပူလီေဘာပိတ္ အေပါက္ပါ(တစ္ဘီးေထာင္)</t>
  </si>
  <si>
    <t>45 ခ်ိန္း ပူလီႀကိဳး</t>
  </si>
  <si>
    <t>OW0149</t>
  </si>
  <si>
    <t>76 (ေျပာင္)</t>
  </si>
  <si>
    <t>OW0173</t>
  </si>
  <si>
    <t>OW0175</t>
  </si>
  <si>
    <t>ပါကင္စံုတစ္ဘီးထြန္(ပါး)</t>
  </si>
  <si>
    <t>OW0177</t>
  </si>
  <si>
    <t>Q185006</t>
  </si>
  <si>
    <t>Q185 ဂါဂ်ီပင္ဘြတ္</t>
  </si>
  <si>
    <t>Q185အင္းလက္ဗူး(ေဂါက္ပါ)</t>
  </si>
  <si>
    <t>Q185039</t>
  </si>
  <si>
    <t>Q185 ဘားကီးဘားဖုံုး</t>
  </si>
  <si>
    <t>ေဖာ္လိုတံ (1 စံု) R175</t>
  </si>
  <si>
    <t>R175039</t>
  </si>
  <si>
    <t>R175 အိတ္ေဇာေဂါက္ပါ</t>
  </si>
  <si>
    <t>R175077</t>
  </si>
  <si>
    <t>R175080</t>
  </si>
  <si>
    <t>R-175 ေနာ္ဇယ္အံု JW</t>
  </si>
  <si>
    <t>R175083</t>
  </si>
  <si>
    <t>R-175 4 1/2x 3 ပူလီ</t>
  </si>
  <si>
    <t>R175096</t>
  </si>
  <si>
    <t>R-175 အဲယားဗူး</t>
  </si>
  <si>
    <t>R180003</t>
  </si>
  <si>
    <t>R180061</t>
  </si>
  <si>
    <t>အဲယားပူလီအစံု</t>
  </si>
  <si>
    <t>SP0053</t>
  </si>
  <si>
    <t>SP01012</t>
  </si>
  <si>
    <t>22 ဂြင္းဂြ</t>
  </si>
  <si>
    <t>SP0104</t>
  </si>
  <si>
    <t>12" ဂြရွင္ နီကယ္</t>
  </si>
  <si>
    <t>SP01084</t>
  </si>
  <si>
    <t>6 လက္မ 2 ငုတ္ပူလာ</t>
  </si>
  <si>
    <t>1ပဲ မီးခံျပား(သံစကာပါ)</t>
  </si>
  <si>
    <t>SP0118</t>
  </si>
  <si>
    <t>SP01325</t>
  </si>
  <si>
    <t>SP01326</t>
  </si>
  <si>
    <t>SP01347</t>
  </si>
  <si>
    <t>6" သံုးေျမွာင့္တံစဥ္း</t>
  </si>
  <si>
    <t>SP01349</t>
  </si>
  <si>
    <t>SP01355</t>
  </si>
  <si>
    <t>SP01357</t>
  </si>
  <si>
    <t>4" 2 Wayဝက္အူလွည့္</t>
  </si>
  <si>
    <t>SP01364</t>
  </si>
  <si>
    <t>6304 Japan</t>
  </si>
  <si>
    <t>SP01365</t>
  </si>
  <si>
    <t>6210 Japan</t>
  </si>
  <si>
    <t>SP01378</t>
  </si>
  <si>
    <t>ဆီျပန္ပိုက္(1 ေပ)</t>
  </si>
  <si>
    <t>7 1/2 ရိန္း STD KAWA</t>
  </si>
  <si>
    <t>SP0374</t>
  </si>
  <si>
    <t>SP0503</t>
  </si>
  <si>
    <t>DF ခရင္းဂြ</t>
  </si>
  <si>
    <t>လက္ကိုင္ သံဗရပ္</t>
  </si>
  <si>
    <t>DF ကလပ္စပုလိမ္ႀကီး</t>
  </si>
  <si>
    <t>40.60.10</t>
  </si>
  <si>
    <t>SP0907</t>
  </si>
  <si>
    <t>28x47x10</t>
  </si>
  <si>
    <t>ZMGBS02</t>
  </si>
  <si>
    <t>ZMGBS05</t>
  </si>
  <si>
    <t>1110 လီဘာကိုင္းစံု</t>
  </si>
  <si>
    <t>22 ေကာင္ဟန္တယ္ဘြတ္</t>
  </si>
  <si>
    <t>22 ကင္းရွပ္ဘြတ္</t>
  </si>
  <si>
    <t>22 ဟန္တယ္ဘြတ္ေသး</t>
  </si>
  <si>
    <t>22 အင္ဂ်င္ဝိုင္တိုင္းတံ</t>
  </si>
  <si>
    <t>DF0007</t>
  </si>
  <si>
    <t>DF စက္ဖနပ္(1စံု)</t>
  </si>
  <si>
    <t>DF125</t>
  </si>
  <si>
    <t>DF ဖင္ထိုင္Uဘိုးေသး</t>
  </si>
  <si>
    <t>DF132</t>
  </si>
  <si>
    <t>DF ဘီးဖလန္း ရွပ္ႀကီး(1ခု)</t>
  </si>
  <si>
    <t>DF139</t>
  </si>
  <si>
    <t>DF NO-50 ပင္နယံ 12 Y</t>
  </si>
  <si>
    <t>DF153</t>
  </si>
  <si>
    <t>DF ကလပ္မားကက္</t>
  </si>
  <si>
    <t>DF38</t>
  </si>
  <si>
    <t>DF ထရန္စဖာပင္နယံ28</t>
  </si>
  <si>
    <t>MMS0131</t>
  </si>
  <si>
    <t>MMS0141</t>
  </si>
  <si>
    <t>CDI 150/175</t>
  </si>
  <si>
    <t>MMS0142</t>
  </si>
  <si>
    <t>U ဘိုး အဝိုင္းတုပ္ 8"</t>
  </si>
  <si>
    <t>MMS0145</t>
  </si>
  <si>
    <t>U ဘိုး အဝိုင္းတုပ္ 7 "</t>
  </si>
  <si>
    <t>MMS0150</t>
  </si>
  <si>
    <t>20X50 ဂၽြိဳင္းဂြလြတ္</t>
  </si>
  <si>
    <t>MMS182</t>
  </si>
  <si>
    <t>NT70050</t>
  </si>
  <si>
    <t>NT70/80 မိန္းဖလန္း</t>
  </si>
  <si>
    <t>OW0174</t>
  </si>
  <si>
    <t>B 74 ေျပာင္</t>
  </si>
  <si>
    <t>R1750004</t>
  </si>
  <si>
    <t>စလစ္+(စီးကြင္းပါ)(က်ယ္)R175(JN)</t>
  </si>
  <si>
    <t>R175074</t>
  </si>
  <si>
    <t>R-175 ေနာ္ဇယ္ ပင္ေသး</t>
  </si>
  <si>
    <t>R175156</t>
  </si>
  <si>
    <t>R-175 ပလန္ခ်ာအံုအတြင္း Kitset (JW)</t>
  </si>
  <si>
    <t>R175164</t>
  </si>
  <si>
    <t>R175 ဘယ္ရင္0.10</t>
  </si>
  <si>
    <t>R175192</t>
  </si>
  <si>
    <t>175 ကင့္ရွပ္ဘြတ္</t>
  </si>
  <si>
    <t>SLW0019</t>
  </si>
  <si>
    <t>DC 12V 380W CEM</t>
  </si>
  <si>
    <t>SP0023</t>
  </si>
  <si>
    <t>22 ေကာင္ 6×2 ပူလိ</t>
  </si>
  <si>
    <t>SP0024</t>
  </si>
  <si>
    <t>ကားဆြဲႀကီဳး</t>
  </si>
  <si>
    <t>SP01342</t>
  </si>
  <si>
    <t>200uf ကြန္နဆာ</t>
  </si>
  <si>
    <t>SP01350</t>
  </si>
  <si>
    <t>ဒရိုက္ဘာ</t>
  </si>
  <si>
    <t>SP01366</t>
  </si>
  <si>
    <t>SP01368</t>
  </si>
  <si>
    <t>SP01379</t>
  </si>
  <si>
    <t>51X3 စက္ေလွပင္နယံ</t>
  </si>
  <si>
    <t>SP01381</t>
  </si>
  <si>
    <t>10 Pcs စပန္နာဗူး</t>
  </si>
  <si>
    <t>SP01383</t>
  </si>
  <si>
    <t>8" က်င္တြယ္</t>
  </si>
  <si>
    <t>SP01386</t>
  </si>
  <si>
    <t>SP0249</t>
  </si>
  <si>
    <t>210ေဘာ(Roller)</t>
  </si>
  <si>
    <t>SP0383</t>
  </si>
  <si>
    <t>2 လက္မကပ္ပန္႕အင္ပါယ္ယာ</t>
  </si>
  <si>
    <t>SP0926</t>
  </si>
  <si>
    <t>2020 ေပးရန္ ရွိ Bank ေၾကြးရွင္းတမ္း (May- 2021)</t>
  </si>
  <si>
    <t>2021 ေပးရန္ ရွိ Bank ေၾကြးရွင္းတမ္း May 2021)</t>
  </si>
  <si>
    <t>Creditor   (ေငြလႊဲ - YGN)</t>
  </si>
  <si>
    <t>Transction Type</t>
  </si>
  <si>
    <t>2020 ဒုအရစ္က်န္ေငြ</t>
  </si>
  <si>
    <t>2020 ပ/ဒု က်န္ေငြေပါင္း</t>
  </si>
  <si>
    <t>2021 ပ/ဒု က်န္ေငြေပါင္း</t>
  </si>
  <si>
    <t>ဦးအံုးဆိုင္</t>
  </si>
  <si>
    <t>2021 ဒုအရစ္က်န္ေငြ</t>
  </si>
  <si>
    <t>2020 ပအရစ္က်န္ေငြ</t>
  </si>
  <si>
    <t>2021 ပအရစ္က်န္ေငြ</t>
  </si>
  <si>
    <t>စုစုေပါင္းက်န္ေငြ</t>
  </si>
  <si>
    <t>ေၾကြးဝင္ေငြ</t>
  </si>
  <si>
    <t>2020 ေၾကြးက်န္</t>
  </si>
  <si>
    <t>2021 ေၾကြးက်န္</t>
  </si>
  <si>
    <t>2020+2021 စုစုေပါင္းေၾကြးက်န္ Costomer</t>
  </si>
  <si>
    <t>GBS သံုးဘီးအရစ္က်အေရာင္း (Costomer) ေငြေၾကးစီးဆင္းမႈ</t>
  </si>
  <si>
    <t>2021 သံုးဘီး အရစ္က်အေရာင္းမွ ေၾကြးက်န္(Opening)</t>
  </si>
  <si>
    <t>GBS သံုးဘီးအရစ္က်အေရာင္း (Bank) ေငြေၾကးစီးဆင္းမႈ</t>
  </si>
  <si>
    <t>2020 သံုးဘီး အရစ္က်အေရာင္းမွ ေၾကြးက်န္(Opening)</t>
  </si>
  <si>
    <t>2020 သံုးဘီး  အရစ္က်အေရာင္း30%မွ ေၾကြးက်န္(Open)</t>
  </si>
  <si>
    <t>BALL15</t>
  </si>
  <si>
    <t>2 ေပါက္ဓားသြား(တို)</t>
  </si>
  <si>
    <t>DF0030</t>
  </si>
  <si>
    <t>DF NO-23 ပင္နယံတိုက္ (37225)</t>
  </si>
  <si>
    <t>DF0035</t>
  </si>
  <si>
    <t>DF 47 ကလစ္အတြင္းကုပ္</t>
  </si>
  <si>
    <t>DF0036</t>
  </si>
  <si>
    <t>DF ထရန္စဖာ (18စြယ္)</t>
  </si>
  <si>
    <t>DF0037</t>
  </si>
  <si>
    <t>DF ထရန္စဖာ (25စြယ္)</t>
  </si>
  <si>
    <t>DF0038</t>
  </si>
  <si>
    <t>DF ထရန္စဖာ (28စြယ္)</t>
  </si>
  <si>
    <t>DF0039</t>
  </si>
  <si>
    <t>DFခ်ိန္းဖံုးသံျပား</t>
  </si>
  <si>
    <t>DF0101</t>
  </si>
  <si>
    <t>DF155</t>
  </si>
  <si>
    <t>DF NO-55 ေဘာစံေတာင့္</t>
  </si>
  <si>
    <t>DF156</t>
  </si>
  <si>
    <t>DF ေရႊကၽြဲဓါးခ်ိန္း 50 က်ဲ</t>
  </si>
  <si>
    <t>DF159</t>
  </si>
  <si>
    <t>400X8 တာယာ (Solid)</t>
  </si>
  <si>
    <t>DF160</t>
  </si>
  <si>
    <t>DF161</t>
  </si>
  <si>
    <t>DF ခ်ိန္းကာ သားေရပါကင္</t>
  </si>
  <si>
    <t>DF162</t>
  </si>
  <si>
    <t>DF ရွပ္ႀကီးဖလန္း(စိမ္း)</t>
  </si>
  <si>
    <t>DF163</t>
  </si>
  <si>
    <t>DF ရွပ္ေသး ဖလန္း(စိမ္း)</t>
  </si>
  <si>
    <t>DF164</t>
  </si>
  <si>
    <t>DF ထရန္စဖာအံု အတက္</t>
  </si>
  <si>
    <t>DF165</t>
  </si>
  <si>
    <t>DF ဂီယာေပါက္ပါကင္စံု</t>
  </si>
  <si>
    <t>DF168</t>
  </si>
  <si>
    <t>DF NO-2 38စြယ္ထြန္ခံု</t>
  </si>
  <si>
    <t>EM185004</t>
  </si>
  <si>
    <t>MMS0062</t>
  </si>
  <si>
    <t>MMS0154</t>
  </si>
  <si>
    <t>12T ဘက္အံုပင္နယံ ကလစ္ပါ 6206</t>
  </si>
  <si>
    <t>500x12 ေဂြ (Double)</t>
  </si>
  <si>
    <t>MMS0162</t>
  </si>
  <si>
    <t>ေလွ်ာဗန္း (110)</t>
  </si>
  <si>
    <t>OW0179</t>
  </si>
  <si>
    <t>B57 ခ်ိန္း (ယိုး)</t>
  </si>
  <si>
    <t>OW0180</t>
  </si>
  <si>
    <t>Toyo 14 စြယ္ အရွည္ဆံုး</t>
  </si>
  <si>
    <t>OW0182</t>
  </si>
  <si>
    <t>R175193</t>
  </si>
  <si>
    <t>175 အိတ္ေဇာေျပာင္း</t>
  </si>
  <si>
    <t>SP0063</t>
  </si>
  <si>
    <t>3 အဝင္ 3 အထြက္ ေဆာ့ကဒ္</t>
  </si>
  <si>
    <t>SP01017</t>
  </si>
  <si>
    <t>မီးစက္တြဲ 5500W (လက္ကိုင္းပါ)</t>
  </si>
  <si>
    <t>SP01023</t>
  </si>
  <si>
    <t>SP01039</t>
  </si>
  <si>
    <t>KAWA အင္ဂ်င္ဝိုင္(0.75 )</t>
  </si>
  <si>
    <t>SP01387</t>
  </si>
  <si>
    <t>22.40.10 ခံုျပာေပၚဝိုင္းစီး</t>
  </si>
  <si>
    <t>SP01390</t>
  </si>
  <si>
    <t>110 ဇက္ပင္ ရိုးရိုး</t>
  </si>
  <si>
    <t>SP01391</t>
  </si>
  <si>
    <t>110 ဇက္ဘြတ္</t>
  </si>
  <si>
    <t>SP01401</t>
  </si>
  <si>
    <t>ေရာင္စံုဆိုးျပား ထူ</t>
  </si>
  <si>
    <t>SP01402</t>
  </si>
  <si>
    <t>B75 (ယိုး)</t>
  </si>
  <si>
    <t>SP01403</t>
  </si>
  <si>
    <t>ေဆးျဖန္းပံုး</t>
  </si>
  <si>
    <t>SP01414</t>
  </si>
  <si>
    <t>13 ေကာင္ေနာ္ဇယ္နားကပ္</t>
  </si>
  <si>
    <t>SP0142</t>
  </si>
  <si>
    <t>7 1/2 ပလပ္စြပ္</t>
  </si>
  <si>
    <t>SP0312</t>
  </si>
  <si>
    <t>KW220 ဆြဲၾကိဳး KAWA</t>
  </si>
  <si>
    <t>SP0533</t>
  </si>
  <si>
    <t>အင္ဂ်င္ပူလီ 185 . 4x 3</t>
  </si>
  <si>
    <t>SP0618</t>
  </si>
  <si>
    <t>SU 80 အဝိုင္းစီး ေၾကြ</t>
  </si>
  <si>
    <t>ဝက္အူလွည့္ 8လက္မ</t>
  </si>
  <si>
    <t>SP0895</t>
  </si>
  <si>
    <t>Kawa ျမက္ရိတ္စက္</t>
  </si>
  <si>
    <t>တံစဥ္းျပား 12လက္မ</t>
  </si>
  <si>
    <t>STL022</t>
  </si>
  <si>
    <t>STL074</t>
  </si>
  <si>
    <t>4လက္မ ကစလ ကလစ္</t>
  </si>
  <si>
    <t>STL120</t>
  </si>
  <si>
    <t>4လက္မ3X ဘီလူးေခါင္း</t>
  </si>
  <si>
    <t>TRI013</t>
  </si>
  <si>
    <t>ထရန္စဖာေဘာထိုင္</t>
  </si>
  <si>
    <t>18 ေကာင္ဂါဂ်ီပင္ဘြတ္</t>
  </si>
  <si>
    <t>18 ေကာင္ဘားဆက္စံု</t>
  </si>
  <si>
    <t>18 ေကာင္ ဟက္</t>
  </si>
  <si>
    <t>18 ေကာင္ ေကာ္နတင္း</t>
  </si>
  <si>
    <t>18 ေကာင္ ပန္႕ဒလက္အံု</t>
  </si>
  <si>
    <t>18 ေကာင္ ေဖာ္လိုခြက္</t>
  </si>
  <si>
    <t>ZL-18ေကာင္စလစ္ကစ္ဆက္</t>
  </si>
  <si>
    <t>18 ေကာင္အမ္းဖံုး</t>
  </si>
  <si>
    <t>ZL 18 ေကာင္ပစၥတင္</t>
  </si>
  <si>
    <t>18 အင္ဂ်င္ဝိုင္ပန္႔အံု</t>
  </si>
  <si>
    <t>18 ဂါဂ်ီပင္ဘြတ္</t>
  </si>
  <si>
    <t>16/18 ေရတိုင္ကီ</t>
  </si>
  <si>
    <t>22 ေကာင္ ဂတ္စကက္</t>
  </si>
  <si>
    <t>22 ေကာင္ ဖူးစေတာ့တံ(စံု)</t>
  </si>
  <si>
    <t>ဆီတိုင္ကီေသး အိုးေသး ခါးပတ္ရွင္ ပံုသစ္ ZS1110 CC</t>
  </si>
  <si>
    <t>S-1110 ဂံဂ်ီပင္(JW)</t>
  </si>
  <si>
    <t>S-1110 ဟန္ဒယ္ေဂါက္</t>
  </si>
  <si>
    <t>22 အိတ္ေဇာပါကင္</t>
  </si>
  <si>
    <t>22 ေကာင္ ကရိုင္း အလြတ္</t>
  </si>
  <si>
    <t>22 ေကာင္ ေကာ္နတင္း</t>
  </si>
  <si>
    <t>22 ေကာင္ ေနာ္ဇယ္အံု</t>
  </si>
  <si>
    <t>22 ေကာင္အင္ဂ်င္ဝိုင္ပန္႔အံု</t>
  </si>
  <si>
    <t>22 ေကာင္ ကီးစံုထုတ္</t>
  </si>
  <si>
    <t>ေနာ္ဇယ္ပိုက္</t>
  </si>
  <si>
    <t>ဆီမိန္းပိုက္</t>
  </si>
  <si>
    <t>22 ေကာင္ေဘာေဂါက္</t>
  </si>
  <si>
    <t>22 ေကာင္တာဝိတ္ ေပၚ</t>
  </si>
  <si>
    <t>22 ေကာင္တာဝိတ္ ေအာက္</t>
  </si>
  <si>
    <t>ZL 18 ပစၥတင္ CC</t>
  </si>
  <si>
    <t>22 ဂါဗနာစေလာင္း</t>
  </si>
  <si>
    <t>22 ဂါဗနာ ေဘာေစ့</t>
  </si>
  <si>
    <t>စေလာင္းေဘာ</t>
  </si>
  <si>
    <t>22 ဂါဘနာဘြတ္</t>
  </si>
  <si>
    <t>22 အမ္းဖံုး</t>
  </si>
  <si>
    <t>22 ေနာ္ဇယ္နားကပ္</t>
  </si>
  <si>
    <t>22 ပလန္ခ်ာဆြဲနတ္</t>
  </si>
  <si>
    <t>22 ေကာင္ စလစ္စီးကြင္း</t>
  </si>
  <si>
    <t>22 ေကာင္ 7×4 ပူလီ</t>
  </si>
  <si>
    <t>22 ေကာင္ 6×3 ပူလီ</t>
  </si>
  <si>
    <t>22 ေရလည္ပူလီ</t>
  </si>
  <si>
    <t>22 JD ဘားဆက္စံု</t>
  </si>
  <si>
    <t>22ေကာ္ေရေကာ္ဖံုး</t>
  </si>
  <si>
    <t>22 ဒီဇယ္ဖစ္တာ</t>
  </si>
  <si>
    <t>22 ဂါဗနာ ပင္နယံ</t>
  </si>
  <si>
    <t>22 ေကာ္နတင္း</t>
  </si>
  <si>
    <t>22 ပလန္ခ်ာေခါင္း</t>
  </si>
  <si>
    <t>22 အင္ဂ်င္ဝိုင္ၾကာခြက္</t>
  </si>
  <si>
    <t>22 CF အဲယားဗူး လည္ရွည္</t>
  </si>
  <si>
    <t>22 ေကာင္တာဝိတ္ပင္နယံ</t>
  </si>
  <si>
    <t>25 JD ဆီလည္ကြင္း</t>
  </si>
  <si>
    <t>22 ေကာ္နတင္နတ္(1စံု)</t>
  </si>
  <si>
    <t>22 ေနာ္ဇယ္ေအဂ်က္</t>
  </si>
  <si>
    <t>22 ပလန္ခ်ာစပလိန္</t>
  </si>
  <si>
    <t>22 ပလန္ခ်ာအတြင္းSet</t>
  </si>
  <si>
    <t>22 ေကာင္ 5X3 ပူလီ</t>
  </si>
  <si>
    <t>22 ေကာင္ ကရိုုင္းကစ္ခြက္</t>
  </si>
  <si>
    <t>22 ေနာ္ဇယ္အံုသံဘြတ္စိတ္</t>
  </si>
  <si>
    <t>22 ဟက္နတ္တိုင္ (1)</t>
  </si>
  <si>
    <t>22 ေကာင္တာဝိတ္အဖံုး</t>
  </si>
  <si>
    <t>1115 ကင့္ရွပ္အဖံုး</t>
  </si>
  <si>
    <t>ZH-1115 ဆီတိုင္ကီဖံုး (ေကာ္) JW</t>
  </si>
  <si>
    <t>25 ေကာင္ ဂါဂ်ီပင္ဘြတ္(ေစာင္း)</t>
  </si>
  <si>
    <t>25 ေကာင္ ကရိူင္း</t>
  </si>
  <si>
    <t>25 ေကာင္ ထပ္ရိန္း</t>
  </si>
  <si>
    <t>25 ေကာင္ ဟက္ဘားစံု</t>
  </si>
  <si>
    <t>EM 185 အင္ဂ်င္ဝိုင္ဖုံးေကာ္</t>
  </si>
  <si>
    <t>13 ေကာင္ ပစၥတင္</t>
  </si>
  <si>
    <t>2W</t>
  </si>
  <si>
    <t>7 Colors အလွမီးတန္း</t>
  </si>
  <si>
    <t>2W1</t>
  </si>
  <si>
    <t>ဆိုင္ကယ္ ပလပ္ (ယိုး)</t>
  </si>
  <si>
    <t>2W10</t>
  </si>
  <si>
    <t>ကူရွင္စံုလည္သာ</t>
  </si>
  <si>
    <t>2W13</t>
  </si>
  <si>
    <t>LED မီးတန္းတို</t>
  </si>
  <si>
    <t>2W15</t>
  </si>
  <si>
    <t>ဆီစစ္(2W)</t>
  </si>
  <si>
    <t>2W2</t>
  </si>
  <si>
    <t>ဆိုင္ကယ္ပလပ္ (China)</t>
  </si>
  <si>
    <t>2W3</t>
  </si>
  <si>
    <t>PMLဦးထုပ္</t>
  </si>
  <si>
    <t>2W4</t>
  </si>
  <si>
    <t>လူႀကီး လည္သာ</t>
  </si>
  <si>
    <t>2W7</t>
  </si>
  <si>
    <t>ဘက္မွန္(Thai) အညိဳ</t>
  </si>
  <si>
    <t>2W8</t>
  </si>
  <si>
    <t>ကူရွင္ေပ်ာက္က်ား</t>
  </si>
  <si>
    <t>ဆပ္ျပာမႈန္႔ 100 တန္</t>
  </si>
  <si>
    <t>ဆပ္ျပာမႈန္႔ 50 တန္</t>
  </si>
  <si>
    <t>BALL10</t>
  </si>
  <si>
    <t>6005 CM</t>
  </si>
  <si>
    <t>BALL12</t>
  </si>
  <si>
    <t>6300 CM</t>
  </si>
  <si>
    <t>BALL13</t>
  </si>
  <si>
    <t>1205 SKF</t>
  </si>
  <si>
    <t>BALL19</t>
  </si>
  <si>
    <t>30205 Japan</t>
  </si>
  <si>
    <t>BALL21</t>
  </si>
  <si>
    <t>6003DD</t>
  </si>
  <si>
    <t>BALL22.</t>
  </si>
  <si>
    <t>32009 NSK</t>
  </si>
  <si>
    <t>BALL23</t>
  </si>
  <si>
    <t>209 ( Rolar)</t>
  </si>
  <si>
    <t>BALL3</t>
  </si>
  <si>
    <t>6001 2RS</t>
  </si>
  <si>
    <t>BALL5</t>
  </si>
  <si>
    <t>6203 CM</t>
  </si>
  <si>
    <t>BALL6</t>
  </si>
  <si>
    <t>6302 CM</t>
  </si>
  <si>
    <t>BALL7</t>
  </si>
  <si>
    <t>6308 CM</t>
  </si>
  <si>
    <t>DF0004</t>
  </si>
  <si>
    <t>2 ေပါက္ဓာ။သြား(ရွည္)</t>
  </si>
  <si>
    <t>DF0009</t>
  </si>
  <si>
    <t>DF ခရင္းဂြစံု</t>
  </si>
  <si>
    <t>DF001</t>
  </si>
  <si>
    <t>4 ေပါက္သံျပားဝိုင္း</t>
  </si>
  <si>
    <t>DF0011</t>
  </si>
  <si>
    <t>DF0013</t>
  </si>
  <si>
    <t>DF ကလပ္စပလိန္ႀကီး</t>
  </si>
  <si>
    <t>DF0014</t>
  </si>
  <si>
    <t>DF ေပါင္ေဘာပိတ္(ထူ)</t>
  </si>
  <si>
    <t>DF0015</t>
  </si>
  <si>
    <t>DF 24 ဓါးတန္း အပြ</t>
  </si>
  <si>
    <t>DF0017</t>
  </si>
  <si>
    <t>DF ဘေလာက္အိုးခြံ</t>
  </si>
  <si>
    <t>DF0019</t>
  </si>
  <si>
    <t>DF ထြန္ခ်ိန္းအံု</t>
  </si>
  <si>
    <t>DF0023</t>
  </si>
  <si>
    <t>ကလပ္ခ်ိန္းအံု(3P)</t>
  </si>
  <si>
    <t>DF0026</t>
  </si>
  <si>
    <t>DF ဖင္ထိုင္ စပလိန္</t>
  </si>
  <si>
    <t>DF0027</t>
  </si>
  <si>
    <t>DF နီကယ္ဖံုး+လိုင္းရွင္း</t>
  </si>
  <si>
    <t>DF0028</t>
  </si>
  <si>
    <t>ကလပ္အံုဆီလည္ကလစ္</t>
  </si>
  <si>
    <t>DF0029</t>
  </si>
  <si>
    <t>DF ဂီယာေပါက္ဆီလယ္ကြင္း</t>
  </si>
  <si>
    <t>DF0031</t>
  </si>
  <si>
    <t>DF NO-26 ပင္နယံတိုက္ရွပ္တို</t>
  </si>
  <si>
    <t>DF0032</t>
  </si>
  <si>
    <t>DF0033</t>
  </si>
  <si>
    <t>DF NO-17 ပင္နယံတိုက္ (37228)</t>
  </si>
  <si>
    <t>DF0040</t>
  </si>
  <si>
    <t>DFေပါင္ပင္နယံ (ရွပ္ႀကီး)</t>
  </si>
  <si>
    <t>DF007</t>
  </si>
  <si>
    <t>DF ကလပ္စပလိန္ေသး</t>
  </si>
  <si>
    <t>DF0100</t>
  </si>
  <si>
    <t>DFဖင္ထိုင္ ေလး(1စံု)</t>
  </si>
  <si>
    <t>DF011</t>
  </si>
  <si>
    <t>DF ဆိုက္ကလပ္ႀကိဳး</t>
  </si>
  <si>
    <t>DF014</t>
  </si>
  <si>
    <t>DF လက္ေမာင္း(1 စံု)</t>
  </si>
  <si>
    <t>DF015</t>
  </si>
  <si>
    <t>DF နီကယ္ကိုင္း</t>
  </si>
  <si>
    <t>DF016</t>
  </si>
  <si>
    <t>600X16 ပန္းႀကီး တာယာ+ကၽြတ္</t>
  </si>
  <si>
    <t>DF020</t>
  </si>
  <si>
    <t>ကလပ္ေမာင္း</t>
  </si>
  <si>
    <t>DF024</t>
  </si>
  <si>
    <t>DF025</t>
  </si>
  <si>
    <t>လီဘာစပလိန္</t>
  </si>
  <si>
    <t>DF027</t>
  </si>
  <si>
    <t>DF ကလပ္ေဘာ (ေကာင္း)</t>
  </si>
  <si>
    <t>DF028</t>
  </si>
  <si>
    <t>DF ကလပ္သံျပားအေပါက္ပါ</t>
  </si>
  <si>
    <t>DF030</t>
  </si>
  <si>
    <t>600X14 ကၽြတ္</t>
  </si>
  <si>
    <t>DF031</t>
  </si>
  <si>
    <t>DF033</t>
  </si>
  <si>
    <t>ဆိုက္ကလစ္ ေဘာဖံုး(3)ေပါက္</t>
  </si>
  <si>
    <t>DF034</t>
  </si>
  <si>
    <t>လထ ဂီယာတံေနာက္ဆက္</t>
  </si>
  <si>
    <t>DF035</t>
  </si>
  <si>
    <t>DF038</t>
  </si>
  <si>
    <t>DF ဆိုက္ကလပ္ပင္နီယံႀကီး27</t>
  </si>
  <si>
    <t>DF039</t>
  </si>
  <si>
    <t>DF ဆိုက္ကလပ္ပင္နီယံႀကီး29</t>
  </si>
  <si>
    <t>DF042</t>
  </si>
  <si>
    <t>DF044</t>
  </si>
  <si>
    <t>DF NO-56 ပင္နီယံ 16</t>
  </si>
  <si>
    <t>DF045</t>
  </si>
  <si>
    <t>DF NO-56 ပင္နီယံ 18</t>
  </si>
  <si>
    <t>DF046</t>
  </si>
  <si>
    <t>DF NO-56 ပင္နီယံ 20</t>
  </si>
  <si>
    <t>DF047</t>
  </si>
  <si>
    <t>DF048</t>
  </si>
  <si>
    <t>DF049</t>
  </si>
  <si>
    <t>DF050</t>
  </si>
  <si>
    <t>DF051</t>
  </si>
  <si>
    <t>DF NO-48 ပင္နီယံေသး</t>
  </si>
  <si>
    <t>DF052</t>
  </si>
  <si>
    <t>DF NO-48 ပင္နီယံႀကီး</t>
  </si>
  <si>
    <t>DF053</t>
  </si>
  <si>
    <t>DF NO-20 ပင္နီယံေသး</t>
  </si>
  <si>
    <t>DF054</t>
  </si>
  <si>
    <t>DF NO-20 ပင္နီယံႀကီး</t>
  </si>
  <si>
    <t>DF058</t>
  </si>
  <si>
    <t>DF059</t>
  </si>
  <si>
    <t>DF ကလပ္ခ်ိန္းအံုး 8 ေပါက္</t>
  </si>
  <si>
    <t>DF060</t>
  </si>
  <si>
    <t>DF 3လံုးတိုက္ရွပ္ပိတ္2ေပါက္</t>
  </si>
  <si>
    <t>DF062</t>
  </si>
  <si>
    <t>DF ေပါင္အံုေအာက္ပိတ္</t>
  </si>
  <si>
    <t>DF063</t>
  </si>
  <si>
    <t>DF ကလပ္ရွပ္ဝါရွာ</t>
  </si>
  <si>
    <t>DF064</t>
  </si>
  <si>
    <t>DF NO-58 ဘြတ္က်ဥ္း</t>
  </si>
  <si>
    <t>DF066</t>
  </si>
  <si>
    <t>DF 5လံုးတိုက္ ရွပ္တို</t>
  </si>
  <si>
    <t>DF068</t>
  </si>
  <si>
    <t>DF ေပါင္ ဖလမ္းထူ</t>
  </si>
  <si>
    <t>DF070</t>
  </si>
  <si>
    <t>DF 209 ေဘာထိုင္ဖလမ္း</t>
  </si>
  <si>
    <t>DF071</t>
  </si>
  <si>
    <t>DF 5လံုး 22 စြယ္ပင္နီယံ</t>
  </si>
  <si>
    <t>DF072</t>
  </si>
  <si>
    <t>DF ပင္နီယံတိုက္ 25 စြယ္</t>
  </si>
  <si>
    <t>DF073</t>
  </si>
  <si>
    <t>ကလပ္ခ်ိန္းပင္နီယံ 14</t>
  </si>
  <si>
    <t>DF074</t>
  </si>
  <si>
    <t>DF075</t>
  </si>
  <si>
    <t>DF076</t>
  </si>
  <si>
    <t>ေပါင္ရွပ္</t>
  </si>
  <si>
    <t>DF077</t>
  </si>
  <si>
    <t>DF078</t>
  </si>
  <si>
    <t>DF080</t>
  </si>
  <si>
    <t>DF082</t>
  </si>
  <si>
    <t>DF သံုးလံုးတိုက္ လိပ္ပံုဖလမ္း</t>
  </si>
  <si>
    <t>DF083</t>
  </si>
  <si>
    <t>DF ခ်ိန္းတိုက္ လိပ္ပံုဖလမ္း</t>
  </si>
  <si>
    <t>DF084</t>
  </si>
  <si>
    <t>DF 5 လံုးတိုက္ လိပ္ပံုဖလမ္း</t>
  </si>
  <si>
    <t>DF087</t>
  </si>
  <si>
    <t>DF အေႏွးအျမန္ ဂီယာဂြ</t>
  </si>
  <si>
    <t>DF088</t>
  </si>
  <si>
    <t>DF ဂီယာရွပ္ေသး 3 လိုင္းစိတ္</t>
  </si>
  <si>
    <t>DF093</t>
  </si>
  <si>
    <t>DF095</t>
  </si>
  <si>
    <t>DF ေပါင္ပင္နီယံႀကီး49စြယ္</t>
  </si>
  <si>
    <t>DF097</t>
  </si>
  <si>
    <t>DF ေပါင္ပင္နီယံေသး32</t>
  </si>
  <si>
    <t>DF098</t>
  </si>
  <si>
    <t>DF ေပါင္ပင္နီယံေသး31</t>
  </si>
  <si>
    <t>DF099</t>
  </si>
  <si>
    <t>DF NO-61 ဘက္ပင္နီယံံ</t>
  </si>
  <si>
    <t>DF100</t>
  </si>
  <si>
    <t>DF ဘက္ဘြတ္ ရွည္</t>
  </si>
  <si>
    <t>DF101</t>
  </si>
  <si>
    <t>DF ဘက္ဘြတ္ တို</t>
  </si>
  <si>
    <t>DF102</t>
  </si>
  <si>
    <t>DF ဘက္ရွပ္</t>
  </si>
  <si>
    <t>DF103</t>
  </si>
  <si>
    <t>DF ဘက္ရွပ္ ဝါရွာ</t>
  </si>
  <si>
    <t>DF104</t>
  </si>
  <si>
    <t>DF ဆိုက္ကလပ္ရွပ္</t>
  </si>
  <si>
    <t>DF106</t>
  </si>
  <si>
    <t>DF NO-52 ရွပ္ေသး</t>
  </si>
  <si>
    <t>DF107</t>
  </si>
  <si>
    <t>DF 20t ဖင္ျပတ္</t>
  </si>
  <si>
    <t>DF108</t>
  </si>
  <si>
    <t>DF ထယ္တင္ခ်နတ္(စံု)</t>
  </si>
  <si>
    <t>DF109</t>
  </si>
  <si>
    <t>DF ဓါး ဂီယာအံု</t>
  </si>
  <si>
    <t>DF114</t>
  </si>
  <si>
    <t>DF ဆိုက္ စပလိန္ဖံုး</t>
  </si>
  <si>
    <t>DF116</t>
  </si>
  <si>
    <t>DF 24 ဂဲကာအဟိုက္ေသး</t>
  </si>
  <si>
    <t>DF117</t>
  </si>
  <si>
    <t>DF လိုက္ဘီးနားရြက္ျပား(စံု)</t>
  </si>
  <si>
    <t>DF118</t>
  </si>
  <si>
    <t>ထရန္စဖာဂီယာတံ</t>
  </si>
  <si>
    <t>ိDF119</t>
  </si>
  <si>
    <t>DF ရႊံ႕ကာသံျပား</t>
  </si>
  <si>
    <t>DF120</t>
  </si>
  <si>
    <t>အေႏွးအျမန္ဘြတ္</t>
  </si>
  <si>
    <t>DF123</t>
  </si>
  <si>
    <t>DF124</t>
  </si>
  <si>
    <t>DF ကလပ္ဆြဲတံေမာင္း</t>
  </si>
  <si>
    <t>DF126</t>
  </si>
  <si>
    <t>DF ကလပ္ဆြြဲတံစံု</t>
  </si>
  <si>
    <t>DF127</t>
  </si>
  <si>
    <t>5 ပဲဂြ</t>
  </si>
  <si>
    <t>DF128</t>
  </si>
  <si>
    <t>DF ဓါးဘြတ္</t>
  </si>
  <si>
    <t>DF130</t>
  </si>
  <si>
    <t>DF လက္ကိုစြပ္</t>
  </si>
  <si>
    <t>DF131</t>
  </si>
  <si>
    <t>DF ထြန္ေဒါက္သံေခ်ာင္း</t>
  </si>
  <si>
    <t>DF133</t>
  </si>
  <si>
    <t>DF ဂီယာထိုးတံကြဲ</t>
  </si>
  <si>
    <t>DF134</t>
  </si>
  <si>
    <t>DF ဂီယာတံပိတ္4ေပါက္ျပား</t>
  </si>
  <si>
    <t>DF136</t>
  </si>
  <si>
    <t>DF ခ်ိန္းပင္နယံ 13T</t>
  </si>
  <si>
    <t>DF140</t>
  </si>
  <si>
    <t>DF NO-50 ပင္နယံ 18 Y</t>
  </si>
  <si>
    <t>DF142</t>
  </si>
  <si>
    <t>DF ခရင္းဂြအရစ္တံ</t>
  </si>
  <si>
    <t>DF143</t>
  </si>
  <si>
    <t>DF ခရင္းဂြ အရစ္ဘြတ္</t>
  </si>
  <si>
    <t>DF145</t>
  </si>
  <si>
    <t>DF ရင္အံု</t>
  </si>
  <si>
    <t>DF146</t>
  </si>
  <si>
    <t>DF ဓါးခ်ိန္းေဒါက္(သံၾကြပ္)</t>
  </si>
  <si>
    <t>DF147</t>
  </si>
  <si>
    <t>DF ေရယက္ခြာလြတ္</t>
  </si>
  <si>
    <t>DF149</t>
  </si>
  <si>
    <t>DF ဆိုက္ကလပ္သံေခ်ာင္း</t>
  </si>
  <si>
    <t>DF151</t>
  </si>
  <si>
    <t>DF ေလဘာႀကိဳး</t>
  </si>
  <si>
    <t>DF152</t>
  </si>
  <si>
    <t>DF ဆိုက္ကလပ္ပင္နယံစံု</t>
  </si>
  <si>
    <t>DF157</t>
  </si>
  <si>
    <t>DF အလယ္ဆြဲဓါးခ်ိန္း</t>
  </si>
  <si>
    <t>DF158</t>
  </si>
  <si>
    <t>DF အလယ္ဆြဲခ်ိန္းဆက္</t>
  </si>
  <si>
    <t>DF166</t>
  </si>
  <si>
    <t>DF167</t>
  </si>
  <si>
    <t>DF NO-2 37စြယ္ထြန္ခံု</t>
  </si>
  <si>
    <t>DF169</t>
  </si>
  <si>
    <t>DF170</t>
  </si>
  <si>
    <t>DF 5ေပါက္ ေပါင္ရွပ္</t>
  </si>
  <si>
    <t>DF171</t>
  </si>
  <si>
    <t>2 ေပါက္ဓါးသြားတို</t>
  </si>
  <si>
    <t>DF174</t>
  </si>
  <si>
    <t>DF NO-51 ပင္နယံ</t>
  </si>
  <si>
    <t>DF18</t>
  </si>
  <si>
    <t>တိုက္ေရာ့သီး လ/ထ</t>
  </si>
  <si>
    <t>DF32</t>
  </si>
  <si>
    <t>လ/ထ ဂီယာတံအရစ္ပါ</t>
  </si>
  <si>
    <t>DF34</t>
  </si>
  <si>
    <t>ဂီယာေဘာက္63ဘြတ္</t>
  </si>
  <si>
    <t>DF36</t>
  </si>
  <si>
    <t>DF ထရန္စဖာပင္နယံ 18</t>
  </si>
  <si>
    <t>DF37</t>
  </si>
  <si>
    <t>DF ထရန္စဖာပင္နယံ 25</t>
  </si>
  <si>
    <t>DF39</t>
  </si>
  <si>
    <t>DF ဓါးခ်ိန္းပင္နယံ 12စြယ္</t>
  </si>
  <si>
    <t>DTL009</t>
  </si>
  <si>
    <t>DTL015</t>
  </si>
  <si>
    <t>20W/50(5 L)</t>
  </si>
  <si>
    <t>EH002</t>
  </si>
  <si>
    <t>ေနာ္ဇယ္ EH-36M</t>
  </si>
  <si>
    <t>EH003</t>
  </si>
  <si>
    <t>ပလန္ခ်ာ X105(Y) EH-36M (CC)</t>
  </si>
  <si>
    <t>EH004</t>
  </si>
  <si>
    <t>ဂတ္စကက္ HS-400 (CC)</t>
  </si>
  <si>
    <t>EH005</t>
  </si>
  <si>
    <t>ေနာ္ဇယ္ /Nozzle Pair HS400</t>
  </si>
  <si>
    <t>EH006</t>
  </si>
  <si>
    <t>ပလန္ခ်ာ/ Plunger (145A) HS400(CC)</t>
  </si>
  <si>
    <t>EM185005</t>
  </si>
  <si>
    <t>EM185 ဟန္တယ္ေဂါက္</t>
  </si>
  <si>
    <t>EM185006</t>
  </si>
  <si>
    <t>EM185 ဂတ္စကက္</t>
  </si>
  <si>
    <t>EM185007</t>
  </si>
  <si>
    <t>EM185 စလစ္ကစ္ဆက္</t>
  </si>
  <si>
    <t>EM185008</t>
  </si>
  <si>
    <t>EM190 ဂတ္စကက္</t>
  </si>
  <si>
    <t>EM185009</t>
  </si>
  <si>
    <t>EM185010</t>
  </si>
  <si>
    <t>EM185011</t>
  </si>
  <si>
    <t>EM185 မိန္းဖလန္း</t>
  </si>
  <si>
    <t>EM185012</t>
  </si>
  <si>
    <t>EM185 ေနာက္ပိတ္သံျပား</t>
  </si>
  <si>
    <t>EM185013</t>
  </si>
  <si>
    <t>EM185 အမ္းဖံုး</t>
  </si>
  <si>
    <t>EM185014</t>
  </si>
  <si>
    <t>EM185 ကရိုင္း</t>
  </si>
  <si>
    <t>EM185015</t>
  </si>
  <si>
    <t>EM185 ေကာ္နတင္း</t>
  </si>
  <si>
    <t>EM185016</t>
  </si>
  <si>
    <t>EM185 ဖလိုင္းဝွီး</t>
  </si>
  <si>
    <t>GBS0027</t>
  </si>
  <si>
    <t>အဲယားစစ္ 175</t>
  </si>
  <si>
    <t>GBSP0028</t>
  </si>
  <si>
    <t>ေရႊကၽြဲစက္ဖိနပ္</t>
  </si>
  <si>
    <t>GBSP014</t>
  </si>
  <si>
    <t>EM185 ပလန္ခ်ာ</t>
  </si>
  <si>
    <t>GBSP018</t>
  </si>
  <si>
    <t>22 မိန္းဖလန္း</t>
  </si>
  <si>
    <t>GBSP023</t>
  </si>
  <si>
    <t>GBSP030</t>
  </si>
  <si>
    <t>22 ေကာင္ အင္ဂ်င္ဝိုင္ပိုက္</t>
  </si>
  <si>
    <t>GBSP031</t>
  </si>
  <si>
    <t>25 ေကာင္ကရိုင္း</t>
  </si>
  <si>
    <t>GBSP032</t>
  </si>
  <si>
    <t>22 ေကာင္ ဟန္တယ္ရွပ္</t>
  </si>
  <si>
    <t>GBSP035</t>
  </si>
  <si>
    <t>2 ေကာ္ၾကည္ပိုက္</t>
  </si>
  <si>
    <t>GBSP036</t>
  </si>
  <si>
    <t>2 လည္ေခ်ာင္းပိုက္(20 ေပ)</t>
  </si>
  <si>
    <t>GBSP040</t>
  </si>
  <si>
    <t>စပန္နာဗူး (46pcs)</t>
  </si>
  <si>
    <t>GBSP041</t>
  </si>
  <si>
    <t>GBSP042</t>
  </si>
  <si>
    <t>GBSP045</t>
  </si>
  <si>
    <t>24 စပန္နာသီး</t>
  </si>
  <si>
    <t>GBSP046</t>
  </si>
  <si>
    <t>21 စပန္နာသီး</t>
  </si>
  <si>
    <t>GBSP050</t>
  </si>
  <si>
    <t>ကလပ္ခ်ိန္းဘိ</t>
  </si>
  <si>
    <t>GBSP052</t>
  </si>
  <si>
    <t>GBSP056</t>
  </si>
  <si>
    <t>22 ဂါဘနာေဘာေစ့</t>
  </si>
  <si>
    <t>GBSP061</t>
  </si>
  <si>
    <t>ေရတိုင္ကီ 28/32/1115</t>
  </si>
  <si>
    <t>GBSP067</t>
  </si>
  <si>
    <t>22 အင္ဂ်င္ဝိုင္စကာ</t>
  </si>
  <si>
    <t>GBSP071</t>
  </si>
  <si>
    <t>RT140 ဟန္တယ္ေဂါက္</t>
  </si>
  <si>
    <t>GFer009</t>
  </si>
  <si>
    <t>Potash (ဓါတ္ဆား)</t>
  </si>
  <si>
    <t>LY0001</t>
  </si>
  <si>
    <t>LY- 3P Compressor</t>
  </si>
  <si>
    <t>LY0005</t>
  </si>
  <si>
    <t>LY-235-1 လက္မ Wood Cutter 9လက္မ</t>
  </si>
  <si>
    <t>LY0007</t>
  </si>
  <si>
    <t>LY0008</t>
  </si>
  <si>
    <t>LY-350-1(2600) 14လက္မ Iron Cutter</t>
  </si>
  <si>
    <t>LY0012</t>
  </si>
  <si>
    <t>LY-10-5</t>
  </si>
  <si>
    <t>LY0020</t>
  </si>
  <si>
    <t>LY0022</t>
  </si>
  <si>
    <t>LY0025</t>
  </si>
  <si>
    <t>LY0027</t>
  </si>
  <si>
    <t>LY-4510-1 4လက္မ Sand Paper Vibrat</t>
  </si>
  <si>
    <t>LY0028</t>
  </si>
  <si>
    <t>LY0039</t>
  </si>
  <si>
    <t>LY-110-14လက္မ Ceramic Cutter</t>
  </si>
  <si>
    <t>LY0041</t>
  </si>
  <si>
    <t>LY-100B Angle Grinder</t>
  </si>
  <si>
    <t>LY0042</t>
  </si>
  <si>
    <t>LY-2.8 Blower</t>
  </si>
  <si>
    <t>LY0044</t>
  </si>
  <si>
    <t>LY-185-1-7လက္မသစ္သားျဖတ္စက္</t>
  </si>
  <si>
    <t>LY0048</t>
  </si>
  <si>
    <t>12 လက္မ လႊဝိုင္း</t>
  </si>
  <si>
    <t>LY0049</t>
  </si>
  <si>
    <t>14 လက္မ လႊဝိုင္း</t>
  </si>
  <si>
    <t>LY0050</t>
  </si>
  <si>
    <t>LY ျမတ္ရိတ္စက္ဆြဲအုံ</t>
  </si>
  <si>
    <t>LY0051</t>
  </si>
  <si>
    <t>LY-16-1 16mm ေဖာက္စက္</t>
  </si>
  <si>
    <t>MMS0004</t>
  </si>
  <si>
    <t>ဘက္ရွပ္ 72 cm 23သြား 6009</t>
  </si>
  <si>
    <t>MMS0006</t>
  </si>
  <si>
    <t>လီဗာႀကိဳး(1 1/2) (1ပင္)</t>
  </si>
  <si>
    <t>MMS0013</t>
  </si>
  <si>
    <t>250 ေဖာက္ေကြး + မ႑ိဳင္ပါ(Set)(ႀကီး 30206)</t>
  </si>
  <si>
    <t>MMS0014</t>
  </si>
  <si>
    <t>ဘရိတ္သံေခ်ာင္းလတ္(14 ရစ္)</t>
  </si>
  <si>
    <t>MMS0015</t>
  </si>
  <si>
    <t>ဘရိတ္သံေခ်ာင္း(12ရစ္)</t>
  </si>
  <si>
    <t>MMS0027</t>
  </si>
  <si>
    <t>14T/17Tဘက္ပင္နယံ(စိပ္၊က်ယ္)</t>
  </si>
  <si>
    <t>MMS0028</t>
  </si>
  <si>
    <t>14T/17Tဘက္ပင္နယံ(စိပ္၊က်ဥ္း)</t>
  </si>
  <si>
    <t>MMS0030</t>
  </si>
  <si>
    <t>အင္ဂ်င္ဝိုင္ပန္႔ ရိုးရိုး</t>
  </si>
  <si>
    <t>MMS0032</t>
  </si>
  <si>
    <t>လင္ဗန္းထိုင္ ဘုပါ</t>
  </si>
  <si>
    <t>MMS0033</t>
  </si>
  <si>
    <t>အေပၚဂီယာပိုဆက္ရွင္A</t>
  </si>
  <si>
    <t>MMS0037</t>
  </si>
  <si>
    <t>ဆီကေတာ့အႀကီး</t>
  </si>
  <si>
    <t>MMS0038</t>
  </si>
  <si>
    <t>တိုက္ပစ္ဖူးစေတာ့ (250)</t>
  </si>
  <si>
    <t>MMS0040</t>
  </si>
  <si>
    <t>စပယ္ဖူးနတ္ေခါင္း ႀကီး</t>
  </si>
  <si>
    <t>MMS0041</t>
  </si>
  <si>
    <t>ေရွ႕ဝင္ရိုး 31T (204)</t>
  </si>
  <si>
    <t>MMS0042</t>
  </si>
  <si>
    <t>ေရလည္အံုပန္႔ဝိုင္းစီး</t>
  </si>
  <si>
    <t>MMS0043</t>
  </si>
  <si>
    <t>MMS0045</t>
  </si>
  <si>
    <t>အင္ဂ်င္ေဖာင္းဘြတ္စံု (250)</t>
  </si>
  <si>
    <t>MMS0046</t>
  </si>
  <si>
    <t>အင္ဂ်င္ေဖာင္းဘြတ္စံု (150)</t>
  </si>
  <si>
    <t>MMS0052</t>
  </si>
  <si>
    <t>22x55 ဂၽြိဳင္းေဘာ</t>
  </si>
  <si>
    <t>MMS0056</t>
  </si>
  <si>
    <t>ကလပ္အံု ရိုက္ၾကတ္နတ္</t>
  </si>
  <si>
    <t>MMS0057</t>
  </si>
  <si>
    <t>ထရန္စဖာထိုးတံရွပ္လြတ္</t>
  </si>
  <si>
    <t>MMS0058</t>
  </si>
  <si>
    <t>ထရန္စဖာဂြပင္နယံ16T(4)</t>
  </si>
  <si>
    <t>MMS0060</t>
  </si>
  <si>
    <t>MMS0063</t>
  </si>
  <si>
    <t>CDI 200-250</t>
  </si>
  <si>
    <t>MMS0066</t>
  </si>
  <si>
    <t>ေနာက္ဟက္အံု(6009) R</t>
  </si>
  <si>
    <t>MMS0068</t>
  </si>
  <si>
    <t>ကလပ္သံျပား (150) ေလ</t>
  </si>
  <si>
    <t>MMS0069</t>
  </si>
  <si>
    <t>MMS0070</t>
  </si>
  <si>
    <t>MMS0071</t>
  </si>
  <si>
    <t>4ေပါက္အမစြပ္ပါ100cm</t>
  </si>
  <si>
    <t>MMS0072</t>
  </si>
  <si>
    <t>4ေပါက္အမစြပ္ပါ60cm</t>
  </si>
  <si>
    <t>MMS0075</t>
  </si>
  <si>
    <t>ေရွ႕ဝင္ရိုးနတ္ေခါင္းလြတ္</t>
  </si>
  <si>
    <t>MMS0079</t>
  </si>
  <si>
    <t>20-34-7 မိန္းရွပ္ဝိုင္စီး</t>
  </si>
  <si>
    <t>MMS0082</t>
  </si>
  <si>
    <t>22×55 ဂၽြိဳင္းဂြလြတ္</t>
  </si>
  <si>
    <t>MMS0083</t>
  </si>
  <si>
    <t>ဘရိတ္ဆြိ စပလိန္ပါ</t>
  </si>
  <si>
    <t>MMS0085</t>
  </si>
  <si>
    <t>ကလပ္အံုဝါရွာ+ကလစ္</t>
  </si>
  <si>
    <t>MMS0086</t>
  </si>
  <si>
    <t>ကလပ္အံုေဘာေထာက္(Set)</t>
  </si>
  <si>
    <t>MMS0089</t>
  </si>
  <si>
    <t>ကရိုင္းနတ္ေခါင္း (300)</t>
  </si>
  <si>
    <t>MMS0091</t>
  </si>
  <si>
    <t>က်ဴပင္ပန္းဝါရွာ(6009)</t>
  </si>
  <si>
    <t>MMS0094</t>
  </si>
  <si>
    <t>ဖူးစေတာ့တံ (125/150)</t>
  </si>
  <si>
    <t>MMS0097</t>
  </si>
  <si>
    <t>MMS0101</t>
  </si>
  <si>
    <t>ရိုးရိ္ုး ဆီဘရိတ္စပလိန္</t>
  </si>
  <si>
    <t>MMS0102</t>
  </si>
  <si>
    <t>မိုင္းလစ္ခြက္(ရႊင္လန္း)</t>
  </si>
  <si>
    <t>MMS0103</t>
  </si>
  <si>
    <t>မိုင္းလစ္အထိုင္(ရႊင္လန္း)</t>
  </si>
  <si>
    <t>MMS0105</t>
  </si>
  <si>
    <t>ထရန္စဖာ စပလိန္</t>
  </si>
  <si>
    <t>MMS0106</t>
  </si>
  <si>
    <t>MMS0113</t>
  </si>
  <si>
    <t>ဘရိတ္ဆီဗူး (2)ေပါက္</t>
  </si>
  <si>
    <t>MMS0114</t>
  </si>
  <si>
    <t>LED 6 ပြင့္ မွန္ဘီလူး</t>
  </si>
  <si>
    <t>MMS0115</t>
  </si>
  <si>
    <t>LED 18 ပြင့္ ရွာပါ</t>
  </si>
  <si>
    <t>MMS0116</t>
  </si>
  <si>
    <t>MMS0117</t>
  </si>
  <si>
    <t>MMS0119</t>
  </si>
  <si>
    <t>ဂီယာရွပ္တံရွည္150</t>
  </si>
  <si>
    <t>MMS012</t>
  </si>
  <si>
    <t>MMS0122</t>
  </si>
  <si>
    <t>ေရွစပလိန္ေဖာက္ဘြတ္(4ခု1စံု)</t>
  </si>
  <si>
    <t>MMS0123</t>
  </si>
  <si>
    <t>ေရွစပလိန္ေဖာက္ဘြတ္(ေကာ္)</t>
  </si>
  <si>
    <t>MMS0124</t>
  </si>
  <si>
    <t>ကလပ္ၾကားခံသံျပား(250)</t>
  </si>
  <si>
    <t>MMS0128</t>
  </si>
  <si>
    <t>အိတ္ေဇာထိန္းကလစ္ထူ</t>
  </si>
  <si>
    <t>MMS0134</t>
  </si>
  <si>
    <t>ရိုးရိုးဘရိတ္ရွဴးျခမ္း150</t>
  </si>
  <si>
    <t>MMS0135</t>
  </si>
  <si>
    <t>20X55(4P)ဂၽြိဳင္းဂြတြဲ6T</t>
  </si>
  <si>
    <t>MMS0138</t>
  </si>
  <si>
    <t>ေသာ့အဖံုးေကာ္ျပား</t>
  </si>
  <si>
    <t>MMS0139</t>
  </si>
  <si>
    <t>ဟက္( Set)300</t>
  </si>
  <si>
    <t>MMS0140</t>
  </si>
  <si>
    <t>ကလပ္ေမာင္း Set</t>
  </si>
  <si>
    <t>MMS0143</t>
  </si>
  <si>
    <t>ေကာ္ေရတိုင္ကီဖံုးျဖဴ/မဲ</t>
  </si>
  <si>
    <t>MMS0151</t>
  </si>
  <si>
    <t>စတပ္ပင္နယံလြတ္ထူ200</t>
  </si>
  <si>
    <t>MMS0152</t>
  </si>
  <si>
    <t>စတပ္ပင္နယံလြတ္ပါး200</t>
  </si>
  <si>
    <t>MMS0153</t>
  </si>
  <si>
    <t>MMS0155</t>
  </si>
  <si>
    <t>ေမာ္တာအဖံုး(အခံုး)3ေပါက္</t>
  </si>
  <si>
    <t>MMS0157</t>
  </si>
  <si>
    <t>12 ထုပ္ကိြဳင္(160W)</t>
  </si>
  <si>
    <t>MMS0159</t>
  </si>
  <si>
    <t>30205 ( ေစာင္း)</t>
  </si>
  <si>
    <t>MMS0166</t>
  </si>
  <si>
    <t>ေရလည္တိုင္ကီ(လြတ္)(ေရ Heat ပါ)</t>
  </si>
  <si>
    <t>MMS017</t>
  </si>
  <si>
    <t>MMS018</t>
  </si>
  <si>
    <t>MMS019</t>
  </si>
  <si>
    <t>ဘား ဝိုင္းစီး (1 စံု)</t>
  </si>
  <si>
    <t>MMS0200</t>
  </si>
  <si>
    <t>အိတ္ေဇာခါးပတ္ထူ</t>
  </si>
  <si>
    <t>MMS0201</t>
  </si>
  <si>
    <t>MMS021</t>
  </si>
  <si>
    <t>ရိုးရိုး ဒရမ္အဖုံုး (set) ႀကီး T</t>
  </si>
  <si>
    <t>MMS022</t>
  </si>
  <si>
    <t>ဘရိတ္နင္းတံစပုလိန္(1ဖက္)ေကာက္</t>
  </si>
  <si>
    <t>MMS023</t>
  </si>
  <si>
    <t>(6304)ေရွ႕ဟက္ဖံုး ေသးရွဴးပါ</t>
  </si>
  <si>
    <t>MMS025</t>
  </si>
  <si>
    <t>ဟန္းဘရိတ္ဆြဲသံျပားေသး(ညာ) 180</t>
  </si>
  <si>
    <t>MMS026</t>
  </si>
  <si>
    <t>ဟန္းဘရိတ္ဆြဲသံျပားႀကီး(ဘယ္)NNJ220</t>
  </si>
  <si>
    <t>MMS027</t>
  </si>
  <si>
    <t>ဟန္းဘရိတ္ဆြဲသံျပားႀကီး(ညာ)NNJ220</t>
  </si>
  <si>
    <t>MMS032</t>
  </si>
  <si>
    <t>ေလးဘြတ္သံ(2-8)</t>
  </si>
  <si>
    <t>MMS037</t>
  </si>
  <si>
    <t>အင္ဂ်င္ျခမ္း 175/200 ( R )</t>
  </si>
  <si>
    <t>MMS038</t>
  </si>
  <si>
    <t>အင္ဂ်င္ျခမ္း 175/200 ( L )</t>
  </si>
  <si>
    <t>MMS039</t>
  </si>
  <si>
    <t>550X13 ကၽြတ္</t>
  </si>
  <si>
    <t>MMS050</t>
  </si>
  <si>
    <t>တံခါးပတၱာပင္</t>
  </si>
  <si>
    <t>MMS052</t>
  </si>
  <si>
    <t>ဘရိတ္ဆီခြဲေၾကးေခါင္း</t>
  </si>
  <si>
    <t>MMS054</t>
  </si>
  <si>
    <t>ဆီဘရိတ္ေၾကးပိုက္တို</t>
  </si>
  <si>
    <t>MMS059</t>
  </si>
  <si>
    <t>ဂၽြိဳင္းတန္း (290mm)</t>
  </si>
  <si>
    <t>MMS061</t>
  </si>
  <si>
    <t>MMS062</t>
  </si>
  <si>
    <t>LF ပလပ္</t>
  </si>
  <si>
    <t>MMS065</t>
  </si>
  <si>
    <t>5 ေပါက္ေနာက္ဒြမ္း(175/150)</t>
  </si>
  <si>
    <t>MMS069</t>
  </si>
  <si>
    <t>MMS079</t>
  </si>
  <si>
    <t>အင္ဂ်င္အထိုင္ဘြတ္ဒဲ့</t>
  </si>
  <si>
    <t>MMS083</t>
  </si>
  <si>
    <t>25-52-8.6 ဝိုင္းစီး</t>
  </si>
  <si>
    <t>MMS087</t>
  </si>
  <si>
    <t>ဆီဘရိတ္အိ္ုးသံ ဝိုင္းစီး</t>
  </si>
  <si>
    <t>MMS088</t>
  </si>
  <si>
    <t>မာစတာပန္႔ ဝိုင္းစီး</t>
  </si>
  <si>
    <t>MMS089</t>
  </si>
  <si>
    <t>ဆီဘရိတ္အိုး (သတ​ၳဳ) ဝါရွာစံု</t>
  </si>
  <si>
    <t>MMS090</t>
  </si>
  <si>
    <t>ေရလည္အံုကာဘာ 250</t>
  </si>
  <si>
    <t>MMS094</t>
  </si>
  <si>
    <t>MMS103</t>
  </si>
  <si>
    <t>တိုက္ပစ္ဖံုး အဖံုး/နီကယ္</t>
  </si>
  <si>
    <t>MMS104</t>
  </si>
  <si>
    <t>ထရန္စဖာႀကိဳးတုတ္(1)ဖက္ရစ္(1.3m)</t>
  </si>
  <si>
    <t>MMS106</t>
  </si>
  <si>
    <t>ေတာရွင္းတန္းေျဖာင့္တုိ 8"</t>
  </si>
  <si>
    <t>MMS107</t>
  </si>
  <si>
    <t>ေတာရွင္းတန္းေျဖာင့္တုိ 9"</t>
  </si>
  <si>
    <t>MMS108</t>
  </si>
  <si>
    <t>ေတာရွင္းတန္း U ေကြး 27"</t>
  </si>
  <si>
    <t>MMS109</t>
  </si>
  <si>
    <t>MMS111</t>
  </si>
  <si>
    <t>ေတာရွင္းတန္း ေျဖာင့္ 46"</t>
  </si>
  <si>
    <t>MMS112</t>
  </si>
  <si>
    <t>ေတာရွင္းတန္း ေျဖာင့္ 31"</t>
  </si>
  <si>
    <t>MMS114</t>
  </si>
  <si>
    <t>ဘရိတ္ပိုက္ေပ်ာ့တို</t>
  </si>
  <si>
    <t>MMS116</t>
  </si>
  <si>
    <t>ဘရိတ္ပိုက္ေပ်ာ့ရွည္</t>
  </si>
  <si>
    <t>MMS119</t>
  </si>
  <si>
    <t>MMS121</t>
  </si>
  <si>
    <t>ေလျခဴေခါင္း</t>
  </si>
  <si>
    <t>MMS122</t>
  </si>
  <si>
    <t>7Cm 6ခ်ပ္ ေလးထုပ္</t>
  </si>
  <si>
    <t>MMS124</t>
  </si>
  <si>
    <t>ကလပ္ကိုင္းအထိုင္ပါ L</t>
  </si>
  <si>
    <t>9:35 စပါယ္ဖူး</t>
  </si>
  <si>
    <t>MMS128</t>
  </si>
  <si>
    <t>ေတာရွင္းနတ္ (ေရႊေရာင္)</t>
  </si>
  <si>
    <t>MMS130</t>
  </si>
  <si>
    <t>စတပ္ပင္နယံ(18လံုး)(6 ေပါက္)</t>
  </si>
  <si>
    <t>MMS135</t>
  </si>
  <si>
    <t>MMS138</t>
  </si>
  <si>
    <t>ေလးပုခက္အတို</t>
  </si>
  <si>
    <t>MMS140</t>
  </si>
  <si>
    <t>MMS141</t>
  </si>
  <si>
    <t>MMS142</t>
  </si>
  <si>
    <t>MMS143</t>
  </si>
  <si>
    <t>MMS147</t>
  </si>
  <si>
    <t>ဂၽြိဳင္းရွပ္ (အစြပ္မပါ)100cm</t>
  </si>
  <si>
    <t>MMS148</t>
  </si>
  <si>
    <t>ဂၽြိဳင္းရွပ္ (အစြပ္မပါ)60cm</t>
  </si>
  <si>
    <t>MMS149</t>
  </si>
  <si>
    <t>ဂၽြိဳင္းရွပ္ (L 690mm)</t>
  </si>
  <si>
    <t>MMS150</t>
  </si>
  <si>
    <t>ဘက္ရွပ္ 49 cm ဝိုင္း</t>
  </si>
  <si>
    <t>MMS153</t>
  </si>
  <si>
    <t>ဂီယာတံဘြတ္ျဖဴ200T</t>
  </si>
  <si>
    <t>MMS157</t>
  </si>
  <si>
    <t>ပစၥတင္(150)(25)</t>
  </si>
  <si>
    <t>MMS158</t>
  </si>
  <si>
    <t>ပစၥတင္(150)(50)</t>
  </si>
  <si>
    <t>MMS159</t>
  </si>
  <si>
    <t>MMS160</t>
  </si>
  <si>
    <t>MMS161</t>
  </si>
  <si>
    <t>ကင္းရွပ္Set စပလိန္ပါ</t>
  </si>
  <si>
    <t>MMS163</t>
  </si>
  <si>
    <t>စပိုက္တာရွပ္</t>
  </si>
  <si>
    <t>MMS164</t>
  </si>
  <si>
    <t>အင္ဂ်င္ဝိုင္ပန္႔ ပံုသစ္</t>
  </si>
  <si>
    <t>MMS165</t>
  </si>
  <si>
    <t>အင္ဂ်င္ထိန္း စပလိန္ရွည္</t>
  </si>
  <si>
    <t>MMS168</t>
  </si>
  <si>
    <t>ဘက္အံုပင္နယံ လိုင္းပါ</t>
  </si>
  <si>
    <t>MMS170</t>
  </si>
  <si>
    <t>MMS171</t>
  </si>
  <si>
    <t>ေရလည္အံုပန္႔300သစ္တို</t>
  </si>
  <si>
    <t>MMS173</t>
  </si>
  <si>
    <t>ေရလည္အံုပန္႔250/175</t>
  </si>
  <si>
    <t>MMS176</t>
  </si>
  <si>
    <t>ရိုးရိုးဘရိတ္ရွဴးျခမ္း(220A)</t>
  </si>
  <si>
    <t>MMS181</t>
  </si>
  <si>
    <t>ကလပ္ကိုင္းအထိုင္ပါ( L )</t>
  </si>
  <si>
    <t>MMS185</t>
  </si>
  <si>
    <t>30X40X7 ဝိုင္းစီး</t>
  </si>
  <si>
    <t>MMS190</t>
  </si>
  <si>
    <t>မိုင္းလစ္ႀကိဳး (150)</t>
  </si>
  <si>
    <t>MMS200</t>
  </si>
  <si>
    <t>ေနာက္ဟက္ဒြမ္220 (6206/175)</t>
  </si>
  <si>
    <t>MMS201</t>
  </si>
  <si>
    <t>ကလပ္ အထိုင္အလြတ္7 ခ်ပ္</t>
  </si>
  <si>
    <t>MMS202080</t>
  </si>
  <si>
    <t>2110 အင္ဂ်င္ျခမ္းေဘာ</t>
  </si>
  <si>
    <t>MMS203</t>
  </si>
  <si>
    <t>အင္ဂ်င္ေမာင္ထိန္း ဝါ(ခု)</t>
  </si>
  <si>
    <t>MMS204</t>
  </si>
  <si>
    <t>ဘရိတ္ရွဳး ကလစ္+စပလိန္ထုပ္</t>
  </si>
  <si>
    <t>MMS2068</t>
  </si>
  <si>
    <t>16001ကလပ္ေဘာ BER</t>
  </si>
  <si>
    <t>MMS2069</t>
  </si>
  <si>
    <t>212810အင္ဂ်င္ျခမ္းေဘာ</t>
  </si>
  <si>
    <t>MMS2070</t>
  </si>
  <si>
    <t>6900 ေဘာ</t>
  </si>
  <si>
    <t>MMS2072</t>
  </si>
  <si>
    <t>6901 ေဘာ</t>
  </si>
  <si>
    <t>MMS2074</t>
  </si>
  <si>
    <t>152312 ေဘာ</t>
  </si>
  <si>
    <t>MMS2075</t>
  </si>
  <si>
    <t>1512အင္ဂ်င္ျခမ္းေဘာ</t>
  </si>
  <si>
    <t>MMS2076</t>
  </si>
  <si>
    <t>ဘရိတ္သံေခ်ာင္းတို12ရစ္</t>
  </si>
  <si>
    <t>MMS2077</t>
  </si>
  <si>
    <t>ဘရိတ္သံေခ်ာင္းရွည္ 12ရစ္</t>
  </si>
  <si>
    <t>MMS2078</t>
  </si>
  <si>
    <t>ဘရိတ္သံေခ်ာင္းရွည္14ရစ္</t>
  </si>
  <si>
    <t>MMS2081</t>
  </si>
  <si>
    <t>6200 ေဘာ</t>
  </si>
  <si>
    <t>NT70002</t>
  </si>
  <si>
    <t>NT 70 ဘားတံ</t>
  </si>
  <si>
    <t>NT70003</t>
  </si>
  <si>
    <t>NT70005</t>
  </si>
  <si>
    <t>NT 70 ဟတ္ဖံုး</t>
  </si>
  <si>
    <t>NT70012</t>
  </si>
  <si>
    <t>NT 70 ရိန္း</t>
  </si>
  <si>
    <t>NT70030</t>
  </si>
  <si>
    <t>NT 70 စလစ္</t>
  </si>
  <si>
    <t>NT70032</t>
  </si>
  <si>
    <t>NT 70 မိန္းဖလန္းထူ/ပါး</t>
  </si>
  <si>
    <t>NT70036</t>
  </si>
  <si>
    <t>NT 70/80 ဟက္ဖံုး</t>
  </si>
  <si>
    <t>NT70038</t>
  </si>
  <si>
    <t>NT70/80 ဖလိုင္းဝွီး</t>
  </si>
  <si>
    <t>NT70043</t>
  </si>
  <si>
    <t>NT 70 ဘားဖံုး</t>
  </si>
  <si>
    <t>NT70049</t>
  </si>
  <si>
    <t>ကရိုင္းပီနီယံ</t>
  </si>
  <si>
    <t>NT7040</t>
  </si>
  <si>
    <t>NT80002</t>
  </si>
  <si>
    <t>NT 80 ဂတ္စကက္</t>
  </si>
  <si>
    <t>NT80003</t>
  </si>
  <si>
    <t>NT 80 ရိန္း</t>
  </si>
  <si>
    <t>NT80008</t>
  </si>
  <si>
    <t>NT-80 အိတ္ေဇာ</t>
  </si>
  <si>
    <t>NT80009</t>
  </si>
  <si>
    <t>NT-70/80 အမ္းဖံုး</t>
  </si>
  <si>
    <t>NT80012</t>
  </si>
  <si>
    <t>NT80015</t>
  </si>
  <si>
    <t>NT80 ဂါဗနာဂြ</t>
  </si>
  <si>
    <t>NT80021</t>
  </si>
  <si>
    <t>NT80 အင္ဂ်င္ဝိုင္စစ္စံု</t>
  </si>
  <si>
    <t>NT80024</t>
  </si>
  <si>
    <t>NT80 အင္းလက္ေဂါက္</t>
  </si>
  <si>
    <t>NT80025</t>
  </si>
  <si>
    <t>NT80 ဟက္</t>
  </si>
  <si>
    <t>NT80026</t>
  </si>
  <si>
    <t>NT80 အမ္းခံု</t>
  </si>
  <si>
    <t>NT80028</t>
  </si>
  <si>
    <t>NT80 အင္းလက္ဗူးလြတ္</t>
  </si>
  <si>
    <t>NT80029</t>
  </si>
  <si>
    <t>OKBT0003</t>
  </si>
  <si>
    <t>OKBT0004</t>
  </si>
  <si>
    <t>5T050-4651-3 လည္ ခ်ိန္းဆက္</t>
  </si>
  <si>
    <t>OKBT0005</t>
  </si>
  <si>
    <t>အစိမ္းစ</t>
  </si>
  <si>
    <t>OKBT0007</t>
  </si>
  <si>
    <t>T1061-32270 ဆင္ဆာ</t>
  </si>
  <si>
    <t>OKBT0012</t>
  </si>
  <si>
    <t>OKBT0017</t>
  </si>
  <si>
    <t>YARMARခေရာ္လာေဒါက္</t>
  </si>
  <si>
    <t>OW0006</t>
  </si>
  <si>
    <t>ေလ်ွာဗန္း(တစ္ဘီးေထာင္) Orginal အထူ</t>
  </si>
  <si>
    <t>OW0013</t>
  </si>
  <si>
    <t>နတ္စံုထုပ္ (တစ္ဘီးေထာင္)</t>
  </si>
  <si>
    <t>OW0025</t>
  </si>
  <si>
    <t>Toyo ဆြဲတံ(တစ္ဘီးေထာင္)</t>
  </si>
  <si>
    <t>OW0026</t>
  </si>
  <si>
    <t>OW0030</t>
  </si>
  <si>
    <t>205 ဆီပိတ္</t>
  </si>
  <si>
    <t>OW0033</t>
  </si>
  <si>
    <t>209 NJ</t>
  </si>
  <si>
    <t>OW0034</t>
  </si>
  <si>
    <t>210 (တစ္ဘီးေထာင္)</t>
  </si>
  <si>
    <t>OW0047</t>
  </si>
  <si>
    <t>OW0048</t>
  </si>
  <si>
    <t>လက္ကိုင္း (တစ္ဘီးေထာင္)</t>
  </si>
  <si>
    <t>OW0049</t>
  </si>
  <si>
    <t>လက္ကိုင္းအဖံုး (တစ္ဘီးေထာင္)</t>
  </si>
  <si>
    <t>OW0050</t>
  </si>
  <si>
    <t>ဘီးနပ္(တစ္ဘီးေထာင္)</t>
  </si>
  <si>
    <t>OW0051</t>
  </si>
  <si>
    <t>ဂီယာေဘာက္(တစ္ဘီးရိုးရိုး)</t>
  </si>
  <si>
    <t>OW0053</t>
  </si>
  <si>
    <t>ထယ္္အတင္အခ် (တစ္ဘီးေထာင္)</t>
  </si>
  <si>
    <t>OW0057</t>
  </si>
  <si>
    <t>B 62 ေျပာင္</t>
  </si>
  <si>
    <t>OW0066</t>
  </si>
  <si>
    <t>ေအာက္ရွပ္ႀကီး ေဘာပိတ္ အေပါက္မပါ(တစ္ဘီးေထာင္)</t>
  </si>
  <si>
    <t>OW0067</t>
  </si>
  <si>
    <t>အလယ္ေဘာပိတ္ (တစ္ဘီးေထာင္)</t>
  </si>
  <si>
    <t>OW0068</t>
  </si>
  <si>
    <t>ကလစ္ပင္ႀကီး (တစ္ဘီးေထာင္)</t>
  </si>
  <si>
    <t>OW0069</t>
  </si>
  <si>
    <t>ကလစ္ပင္လတ္ (တစ္ဘီးေထာင္)</t>
  </si>
  <si>
    <t>OW0070</t>
  </si>
  <si>
    <t>ကလစ္ပင္ေသး (တစ္ဘီးေထာင္)</t>
  </si>
  <si>
    <t>OW0073</t>
  </si>
  <si>
    <t>OW0075</t>
  </si>
  <si>
    <t>69 စြယ္ 110</t>
  </si>
  <si>
    <t>OW0079</t>
  </si>
  <si>
    <t>14 သြား ပင္နယံအရွည္ 110</t>
  </si>
  <si>
    <t>OW0086</t>
  </si>
  <si>
    <t>တစ္ဘီးထြန္ပင္တို</t>
  </si>
  <si>
    <t>OW0087</t>
  </si>
  <si>
    <t>တစ္ဘီးထြန္ပင္ရွည္</t>
  </si>
  <si>
    <t>OW0089</t>
  </si>
  <si>
    <t>ထြန္ခုံပီနီယံ</t>
  </si>
  <si>
    <t>OW0091</t>
  </si>
  <si>
    <t>ေလဘာႀကိဳး</t>
  </si>
  <si>
    <t>OW0092</t>
  </si>
  <si>
    <t>တစ္ဘီးေထာင္ေဘးကဒ္</t>
  </si>
  <si>
    <t>OW0093</t>
  </si>
  <si>
    <t>ဖင္ထိုင္ရွပ္တန္းမွဂ်က္တန္း</t>
  </si>
  <si>
    <t>OW0095</t>
  </si>
  <si>
    <t>ကိုင္းမွဖင္ထိုင္ျပား</t>
  </si>
  <si>
    <t>OW0097</t>
  </si>
  <si>
    <t>တစ္ဘီထြန္းေလဘာသီးအထိုင္္ ပရုိက္ကစ္</t>
  </si>
  <si>
    <t>OW0100</t>
  </si>
  <si>
    <t>OW0101</t>
  </si>
  <si>
    <t>OW0103</t>
  </si>
  <si>
    <t>OW0110</t>
  </si>
  <si>
    <t>တစ္ဘီးထြန္ေလ်ာတန္း</t>
  </si>
  <si>
    <t>OW0111</t>
  </si>
  <si>
    <t>205 HCH ေဘာ</t>
  </si>
  <si>
    <t>OW012</t>
  </si>
  <si>
    <t>B 76 ခ်ိန္း</t>
  </si>
  <si>
    <t>OW0120</t>
  </si>
  <si>
    <t>B 68 ခ်ိန္း</t>
  </si>
  <si>
    <t>OW0124</t>
  </si>
  <si>
    <t>ေလွ်ာတန္း နတ္ပင္ CH (တစ္ဘီးထြန္)</t>
  </si>
  <si>
    <t>OW0126</t>
  </si>
  <si>
    <t>OW0128</t>
  </si>
  <si>
    <t>လက္ကိုင္း OR</t>
  </si>
  <si>
    <t>OW0129</t>
  </si>
  <si>
    <t>B46 ခ်ိန္း</t>
  </si>
  <si>
    <t>OW0137</t>
  </si>
  <si>
    <t>6205 (ကလစ္လိုင္းပါ)</t>
  </si>
  <si>
    <t>OW0139</t>
  </si>
  <si>
    <t>Toyo ပူလီ 4x2</t>
  </si>
  <si>
    <t>OW0141</t>
  </si>
  <si>
    <t>B 40 ခ်ိန္း</t>
  </si>
  <si>
    <t>OW0148</t>
  </si>
  <si>
    <t>တစ္ဘီး လီဘာ</t>
  </si>
  <si>
    <t>OW0151</t>
  </si>
  <si>
    <t>6200DD</t>
  </si>
  <si>
    <t>OW0152</t>
  </si>
  <si>
    <t>30210(Japan)အစစ္</t>
  </si>
  <si>
    <t>OW0157</t>
  </si>
  <si>
    <t>B50 ေျပာင္(ယိုး)</t>
  </si>
  <si>
    <t>OW0159</t>
  </si>
  <si>
    <t>B 78</t>
  </si>
  <si>
    <t>OW0163</t>
  </si>
  <si>
    <t>42X55X7</t>
  </si>
  <si>
    <t>OW0164</t>
  </si>
  <si>
    <t>B64 ေျပာင္</t>
  </si>
  <si>
    <t>OW0165</t>
  </si>
  <si>
    <t>B68 ေျပာင္</t>
  </si>
  <si>
    <t>OW0169</t>
  </si>
  <si>
    <t>F207 ေဘာျပား</t>
  </si>
  <si>
    <t>OW0170</t>
  </si>
  <si>
    <t>OW0176</t>
  </si>
  <si>
    <t>လက္ကိုင္တင္ခ် (တစ္ဘီး)</t>
  </si>
  <si>
    <t>OW0178</t>
  </si>
  <si>
    <t>A46 ေျပာင္</t>
  </si>
  <si>
    <t>OW0181</t>
  </si>
  <si>
    <t>B55 ခ်ိန္း ပူလီႀကိဳး</t>
  </si>
  <si>
    <t>OW0183</t>
  </si>
  <si>
    <t>58 ေျပာင္ ပူလီႀကိဳး</t>
  </si>
  <si>
    <t>OW0184</t>
  </si>
  <si>
    <t>Toyo 14 သြားရွပ္တို (ရွားပါး)</t>
  </si>
  <si>
    <t>Q185017</t>
  </si>
  <si>
    <t>Q185ဂက္စကတ္</t>
  </si>
  <si>
    <t>Q185019</t>
  </si>
  <si>
    <t>Q185 ဘေလာက္အိုး</t>
  </si>
  <si>
    <t>Q185020</t>
  </si>
  <si>
    <t>Q185 ဟက္</t>
  </si>
  <si>
    <t>Q185029</t>
  </si>
  <si>
    <t>Q185 ျဖတ္ဘား</t>
  </si>
  <si>
    <t>Q185031</t>
  </si>
  <si>
    <t>R1750005</t>
  </si>
  <si>
    <t>ပစၥတင္(ခြက္)R175(JN)</t>
  </si>
  <si>
    <t>R1750016</t>
  </si>
  <si>
    <t>R175ကင္းရွပ္ပင္နယံ(ေသး၊က်ဥ္း)</t>
  </si>
  <si>
    <t>R175002</t>
  </si>
  <si>
    <t>ေနာ္ဇယ္ဘိ 195 , 175</t>
  </si>
  <si>
    <t>R1750021</t>
  </si>
  <si>
    <t>ဘားကိုက္ (2 ခု 1)စံု5</t>
  </si>
  <si>
    <t>R175003</t>
  </si>
  <si>
    <t>ဖလိုင္းဝွီးဂ်မ္းကြင္း 175</t>
  </si>
  <si>
    <t>R175014</t>
  </si>
  <si>
    <t>ေလရႈိက္ဘား R-175</t>
  </si>
  <si>
    <t>R175017</t>
  </si>
  <si>
    <t>လီဗာကိုင္း R-175 (0.12KG)</t>
  </si>
  <si>
    <t>R175020</t>
  </si>
  <si>
    <t>အမ္းခံုနတ္တိုင္ 175</t>
  </si>
  <si>
    <t>R175021</t>
  </si>
  <si>
    <t>ေနာ္ဇယ္နတ္တိုင္ (70mm) 195/1110</t>
  </si>
  <si>
    <t>R175027</t>
  </si>
  <si>
    <t>R175 (အခၽြန္) (JN)</t>
  </si>
  <si>
    <t>R175038</t>
  </si>
  <si>
    <t>ဂတ္စကက္ (က်ဥ္း) R-175 (JN)</t>
  </si>
  <si>
    <t>R175051</t>
  </si>
  <si>
    <t>R-175 ပလန္ခ်ာေထာက္ နပ္</t>
  </si>
  <si>
    <t>R175054</t>
  </si>
  <si>
    <t>R175 ေဘာထိန္းသံျပား</t>
  </si>
  <si>
    <t>R175059</t>
  </si>
  <si>
    <t>R-175 ဆီစစ္</t>
  </si>
  <si>
    <t>R175065</t>
  </si>
  <si>
    <t>ကရိုင္းကစ္နတ္ေသး</t>
  </si>
  <si>
    <t>R175069</t>
  </si>
  <si>
    <t>R-175 ပလန္ခ်ာ</t>
  </si>
  <si>
    <t>R175072</t>
  </si>
  <si>
    <t>R-175 ပစၥတင္ ခ်ိဳင့္</t>
  </si>
  <si>
    <t>R175084</t>
  </si>
  <si>
    <t>R-175 ဘားကိုက္</t>
  </si>
  <si>
    <t>R175085</t>
  </si>
  <si>
    <t>R-175 ဘားကိုက္ရိုးရိုး</t>
  </si>
  <si>
    <t>R175086</t>
  </si>
  <si>
    <t>R-175 ဘားကြင္း</t>
  </si>
  <si>
    <t>R175089</t>
  </si>
  <si>
    <t>R-175 ဟက္ေက်ာက္ေခါင္းစံု</t>
  </si>
  <si>
    <t>R175090</t>
  </si>
  <si>
    <t>R-175 ဟက္ေက်ာက္ေခါင္းညီ</t>
  </si>
  <si>
    <t>R175091</t>
  </si>
  <si>
    <t>R175094</t>
  </si>
  <si>
    <t>R-175 X ေဇာေဂါက္ (JW)</t>
  </si>
  <si>
    <t>R175100</t>
  </si>
  <si>
    <t>R-175 ေနာ္ဇယ္နပ္တိုင္ ေသး(JW)</t>
  </si>
  <si>
    <t>R175113</t>
  </si>
  <si>
    <t>R-175 ဂတ္စကက္က်ယ္</t>
  </si>
  <si>
    <t>R175114</t>
  </si>
  <si>
    <t>R-175 ဂါဘနာစပရိန္</t>
  </si>
  <si>
    <t>R175115</t>
  </si>
  <si>
    <t>R175122</t>
  </si>
  <si>
    <t>R175 စလစ္သေရကြင္း / ဝါ</t>
  </si>
  <si>
    <t>R175125</t>
  </si>
  <si>
    <t>R175129</t>
  </si>
  <si>
    <t>R175131</t>
  </si>
  <si>
    <t>R175ေကာ္နတ္တင္းနတ္</t>
  </si>
  <si>
    <t>R175134</t>
  </si>
  <si>
    <t>ဆီေကာ့</t>
  </si>
  <si>
    <t>R175135</t>
  </si>
  <si>
    <t>ဘေလာက္အိုးခ်က္နတ္</t>
  </si>
  <si>
    <t>R175136</t>
  </si>
  <si>
    <t>R175 တိုက္ပစ္ဘြတ္</t>
  </si>
  <si>
    <t>R175138</t>
  </si>
  <si>
    <t>175ေရလည္တိုင္ဂီကာဗာ</t>
  </si>
  <si>
    <t>R175139</t>
  </si>
  <si>
    <t>175ပစၥတင္(ဘားရာပါ)CF</t>
  </si>
  <si>
    <t>R175147</t>
  </si>
  <si>
    <t>175 ပစၥတင္</t>
  </si>
  <si>
    <t>R175148</t>
  </si>
  <si>
    <t>4 လက္မ ေနာ္ဇယ္နတ္တိုင္</t>
  </si>
  <si>
    <t>R175149</t>
  </si>
  <si>
    <t>R175 မိန္းပိုက္ (ျဖဴ)(တို) (JW)</t>
  </si>
  <si>
    <t>R175155</t>
  </si>
  <si>
    <t>R175158</t>
  </si>
  <si>
    <t>R-175 Aircool ေလပန္ကာ (JW)</t>
  </si>
  <si>
    <t>R175159</t>
  </si>
  <si>
    <t>R-175 ဖလိုင္းဝွီးကီး (JW)</t>
  </si>
  <si>
    <t>R17516</t>
  </si>
  <si>
    <t>R175N ကင့္ကာဘာ</t>
  </si>
  <si>
    <t>R175167</t>
  </si>
  <si>
    <t>R175 ဟက္(အဝိုင္း) ဘားပစၥည္းစံု</t>
  </si>
  <si>
    <t>R175169</t>
  </si>
  <si>
    <t>175 အင္ဂ်င္ဝိုင္စစ္စံု</t>
  </si>
  <si>
    <t>R175170</t>
  </si>
  <si>
    <t>R175 လီဘာဆြဲသံျပား</t>
  </si>
  <si>
    <t>R175172</t>
  </si>
  <si>
    <t>ကရိုင္း (3 ေပါက္)</t>
  </si>
  <si>
    <t>R175174</t>
  </si>
  <si>
    <t>ဘယ္ရင္ျခမ္း</t>
  </si>
  <si>
    <t>R175178</t>
  </si>
  <si>
    <t>R175 ကင္းရွပ္ေဘာထိန္းနတ္</t>
  </si>
  <si>
    <t>R175179</t>
  </si>
  <si>
    <t>R175 3X3 ပူလီ</t>
  </si>
  <si>
    <t>R175180</t>
  </si>
  <si>
    <t>R175 3 1/2 X3 ပူလီ</t>
  </si>
  <si>
    <t>R175181</t>
  </si>
  <si>
    <t>R175182</t>
  </si>
  <si>
    <t>R175 ဂိတ္ျပ</t>
  </si>
  <si>
    <t>R175184</t>
  </si>
  <si>
    <t>ဒီဇယ္ဖစ္တာစစ္ R175</t>
  </si>
  <si>
    <t>R175185</t>
  </si>
  <si>
    <t>ဖလိုင္းဝွီး စပန္နာကြင္း</t>
  </si>
  <si>
    <t>R175191</t>
  </si>
  <si>
    <t>R175 ဟန္တယ္ဖလန္း</t>
  </si>
  <si>
    <t>R175194</t>
  </si>
  <si>
    <t>R175 ပင္နယံစံု(1ကဒ္)</t>
  </si>
  <si>
    <t>R175200</t>
  </si>
  <si>
    <t>175 5X3 ပူလီ</t>
  </si>
  <si>
    <t>R175202</t>
  </si>
  <si>
    <t>R175A003</t>
  </si>
  <si>
    <t>175 ATR ေရတိုင္ကီ သတၱဳ</t>
  </si>
  <si>
    <t>R180001</t>
  </si>
  <si>
    <t>ဂတ္စကက္ (က်ယ္) R-180A</t>
  </si>
  <si>
    <t>R1800061</t>
  </si>
  <si>
    <t>R180 ရိန္း (JN)</t>
  </si>
  <si>
    <t>R180007</t>
  </si>
  <si>
    <t>R-180 ဟက္</t>
  </si>
  <si>
    <t>R180013</t>
  </si>
  <si>
    <t>R180014</t>
  </si>
  <si>
    <t>R-180 စလစ္</t>
  </si>
  <si>
    <t>R180015</t>
  </si>
  <si>
    <t>R-180 ပစၥတင္ ခ်ိဳင့္</t>
  </si>
  <si>
    <t>R180017</t>
  </si>
  <si>
    <t>R180033</t>
  </si>
  <si>
    <t>R180ဘေလာက္အိုးရုိးရုိး</t>
  </si>
  <si>
    <t>R180034</t>
  </si>
  <si>
    <t>R180ဖလႈိင္းဝွီးဝါရွာ</t>
  </si>
  <si>
    <t>R180043</t>
  </si>
  <si>
    <t>ကရိုင္း(3ေပါက္)(ကီးလိုင္းမပါ)(လြတ္)R180 (JN)</t>
  </si>
  <si>
    <t>R180045</t>
  </si>
  <si>
    <t>တစ္ဘီးထြန္ 14စြယ္ ရွပ္ (180) ရွည္ (ကီးတို) (JW)</t>
  </si>
  <si>
    <t>R180057</t>
  </si>
  <si>
    <t>R180 ဘားကိုက္</t>
  </si>
  <si>
    <t>R180A001</t>
  </si>
  <si>
    <t>ဘေလာက္ R-180 (ATR)</t>
  </si>
  <si>
    <t>R180A002</t>
  </si>
  <si>
    <t>R180Aပင္စၥတင္(JW)</t>
  </si>
  <si>
    <t>R180A004</t>
  </si>
  <si>
    <t>R-180A စလစ္ (JW)</t>
  </si>
  <si>
    <t>S111001</t>
  </si>
  <si>
    <t>18ေကာင္ စလစ္ကစ္ဆက္</t>
  </si>
  <si>
    <t>SF1</t>
  </si>
  <si>
    <t>SF NO.62 ရွပ္</t>
  </si>
  <si>
    <t>SF2</t>
  </si>
  <si>
    <t>SF NO.68 ပင္နယံ</t>
  </si>
  <si>
    <t>SF3</t>
  </si>
  <si>
    <t>SF NO-30 ဂြရွပ္(စံု)</t>
  </si>
  <si>
    <t>SLW0020</t>
  </si>
  <si>
    <t>DC အဝုိင္းစီး (ေရျမဳပ္ပန္႔)</t>
  </si>
  <si>
    <t>SLW0021</t>
  </si>
  <si>
    <t>DC ကာပြန္ (ေရျမဳပ္)</t>
  </si>
  <si>
    <t>SLW0027</t>
  </si>
  <si>
    <t>DCV ဆီတင္ပန္႔</t>
  </si>
  <si>
    <t>SLW0029</t>
  </si>
  <si>
    <t>YC90S4 1HP</t>
  </si>
  <si>
    <t>SP0010</t>
  </si>
  <si>
    <t>SP0011</t>
  </si>
  <si>
    <t>သံလိုက္တံုး 4တံုး(ေသး)</t>
  </si>
  <si>
    <t>10 စူးသြား</t>
  </si>
  <si>
    <t>SP0020</t>
  </si>
  <si>
    <t>ဒူးဆစ္ 6" သံစိမ္း ( Set)</t>
  </si>
  <si>
    <t>SP0025</t>
  </si>
  <si>
    <t>8 X 10 ဂြင္းဂြင္း</t>
  </si>
  <si>
    <t>SP0026</t>
  </si>
  <si>
    <t>SP0040</t>
  </si>
  <si>
    <t>လိုက္တာယာ</t>
  </si>
  <si>
    <t>SP0047</t>
  </si>
  <si>
    <t>သံျဖတ္စို႔</t>
  </si>
  <si>
    <t>SP0048</t>
  </si>
  <si>
    <t>2" ပန္႔ သေရကြင္းအေသး</t>
  </si>
  <si>
    <t>SP0059</t>
  </si>
  <si>
    <t>SP0061</t>
  </si>
  <si>
    <t>2"အဝင္1"အထြက္</t>
  </si>
  <si>
    <t>SP0073</t>
  </si>
  <si>
    <t>သံလိုက္တံုး 1 တံုး (ႀကီး)</t>
  </si>
  <si>
    <t>SP0074</t>
  </si>
  <si>
    <t>SP0077</t>
  </si>
  <si>
    <t>စပန္နာ 12/14/17 သံုးဘက္ခြ</t>
  </si>
  <si>
    <t>SP0081</t>
  </si>
  <si>
    <t>3 ton ဂ်ိဳင့္</t>
  </si>
  <si>
    <t>SP0084</t>
  </si>
  <si>
    <t>5 ton ဂ်ိဳင့္</t>
  </si>
  <si>
    <t>SP0086</t>
  </si>
  <si>
    <t>7 1/2 ဆြဲအံု</t>
  </si>
  <si>
    <t>SP0091</t>
  </si>
  <si>
    <t>8 ေခ်ာင္းဂြင္းဂြ</t>
  </si>
  <si>
    <t>SP0093</t>
  </si>
  <si>
    <t>SP0094</t>
  </si>
  <si>
    <t>ATM Bonsy မႈတ္ေဆး</t>
  </si>
  <si>
    <t>SP01000</t>
  </si>
  <si>
    <t>9ေကာင္ ပစၥတင္+ ရိန္း</t>
  </si>
  <si>
    <t>SP01007</t>
  </si>
  <si>
    <t>22 စလစ္ သားေရကြင္း</t>
  </si>
  <si>
    <t>SP01008</t>
  </si>
  <si>
    <t>ဂက္(စ္) ဂန္း</t>
  </si>
  <si>
    <t>SP01009</t>
  </si>
  <si>
    <t>SP01010</t>
  </si>
  <si>
    <t>6 1/2 ေကာ္နတင္း (STD)</t>
  </si>
  <si>
    <t>SP01011</t>
  </si>
  <si>
    <t>KAWA 7 1/2 ဟက္ဖံုး</t>
  </si>
  <si>
    <t>SP01015</t>
  </si>
  <si>
    <t>17 X 3 ပီနီယံ</t>
  </si>
  <si>
    <t>SP01018</t>
  </si>
  <si>
    <t>13 ေလဘာကိုင္း</t>
  </si>
  <si>
    <t>SP01021</t>
  </si>
  <si>
    <t>SP01024</t>
  </si>
  <si>
    <t>ႀကိဳးစိမ္းပိုက္ (Clover)</t>
  </si>
  <si>
    <t>SP01025</t>
  </si>
  <si>
    <t>SP01032</t>
  </si>
  <si>
    <t>M10 ေတာက္</t>
  </si>
  <si>
    <t>SP01036</t>
  </si>
  <si>
    <t>3 ပင္ အထိုင္</t>
  </si>
  <si>
    <t>SP01037</t>
  </si>
  <si>
    <t>SU 80 ေရတံခါး</t>
  </si>
  <si>
    <t>SP01038</t>
  </si>
  <si>
    <t>SU80 အဝင္ဖလန္း</t>
  </si>
  <si>
    <t>SP01040</t>
  </si>
  <si>
    <t>SP01044</t>
  </si>
  <si>
    <t>8×9 ဂြဂြ</t>
  </si>
  <si>
    <t>SP01048</t>
  </si>
  <si>
    <t>2 လက္မ ေရႊဘီလူး ဝါရွာ</t>
  </si>
  <si>
    <t>SP01052</t>
  </si>
  <si>
    <t>40-90-10 ဝိုင္းစီး</t>
  </si>
  <si>
    <t>SP01053</t>
  </si>
  <si>
    <t>SP01054</t>
  </si>
  <si>
    <t>9 ေကာင္ တိုက္ပစ္ေမာင္း</t>
  </si>
  <si>
    <t>SP01057</t>
  </si>
  <si>
    <t>6 1/2 ဘားစပလိန္</t>
  </si>
  <si>
    <t>SP01058</t>
  </si>
  <si>
    <t>27 စပန္နာသီး</t>
  </si>
  <si>
    <t>SP01061</t>
  </si>
  <si>
    <t>9 စူးသြား</t>
  </si>
  <si>
    <t>SP01062</t>
  </si>
  <si>
    <t>SP01063</t>
  </si>
  <si>
    <t>4 လက္မပန္႔တြဲ Kemage</t>
  </si>
  <si>
    <t>SP01065</t>
  </si>
  <si>
    <t>ကြန္ပရဆာေၾကးပိုက္2</t>
  </si>
  <si>
    <t>SP01066</t>
  </si>
  <si>
    <t>SP01067</t>
  </si>
  <si>
    <t>အင္းပက္ဗူး</t>
  </si>
  <si>
    <t>SP01069</t>
  </si>
  <si>
    <t>ဆိုက္ကယ္ေဂြ (ေရလွည္း)</t>
  </si>
  <si>
    <t>SP01070</t>
  </si>
  <si>
    <t>ေနာက္ရွပ္ (ေရလွည္း)</t>
  </si>
  <si>
    <t>SP01072</t>
  </si>
  <si>
    <t>22 စက္မတိုင္</t>
  </si>
  <si>
    <t>SP01073</t>
  </si>
  <si>
    <t>ေရွ႕ရွပ္ (ေရလွည္း)</t>
  </si>
  <si>
    <t>SP01075</t>
  </si>
  <si>
    <t>SP01077</t>
  </si>
  <si>
    <t>ေက်ာက္ျပားအထိုင္</t>
  </si>
  <si>
    <t>SP01082</t>
  </si>
  <si>
    <t>Kawa 9 ေကာင္ရိန္း (STD)</t>
  </si>
  <si>
    <t>SP01083</t>
  </si>
  <si>
    <t>12လက္မ စို႔</t>
  </si>
  <si>
    <t>SP01087</t>
  </si>
  <si>
    <t>2Way ဘုတို</t>
  </si>
  <si>
    <t>SP01088</t>
  </si>
  <si>
    <t>32 စပန္နာသီး</t>
  </si>
  <si>
    <t>SP01089</t>
  </si>
  <si>
    <t>SP01093</t>
  </si>
  <si>
    <t>စက္ဘရတ္</t>
  </si>
  <si>
    <t>SP01096</t>
  </si>
  <si>
    <t>11 စပန္နာသီး</t>
  </si>
  <si>
    <t>SP01097</t>
  </si>
  <si>
    <t>11 ဂြင္းဂြ</t>
  </si>
  <si>
    <t>SP01098</t>
  </si>
  <si>
    <t>10x11 ဂြဂြ</t>
  </si>
  <si>
    <t>SP01099</t>
  </si>
  <si>
    <t>8x10 ဂြင္းဂြင္း</t>
  </si>
  <si>
    <t>SP0110</t>
  </si>
  <si>
    <t>သြားပြတ္ Brush ေသး</t>
  </si>
  <si>
    <t>SP01100</t>
  </si>
  <si>
    <t>10x11 ဂြင္းဂြင္း</t>
  </si>
  <si>
    <t>SP01101</t>
  </si>
  <si>
    <t>12x13 ဂြင္းဂြင္း</t>
  </si>
  <si>
    <t>SP01102</t>
  </si>
  <si>
    <t>14x15 ဂြင္းဂြင္း</t>
  </si>
  <si>
    <t>SP01105</t>
  </si>
  <si>
    <t>Kawa 7 1/2 ဘားတံ</t>
  </si>
  <si>
    <t>SP01106</t>
  </si>
  <si>
    <t>6 1/2 မိန္းကပ္ျခမ္း</t>
  </si>
  <si>
    <t>SP01107</t>
  </si>
  <si>
    <t>6 1/2 ေလကာဘာ</t>
  </si>
  <si>
    <t>SP01108</t>
  </si>
  <si>
    <t>Blower ဆြဲအံု ကလပ္ခြက္</t>
  </si>
  <si>
    <t>SP01111</t>
  </si>
  <si>
    <t>750x16 ကၽြတ္</t>
  </si>
  <si>
    <t>SP01112</t>
  </si>
  <si>
    <t>ဘက္မွန္ေဂၚလီသီး</t>
  </si>
  <si>
    <t>SP01116</t>
  </si>
  <si>
    <t>အင္းပက္ဆံရွည္ (JAPAN)</t>
  </si>
  <si>
    <t>SP01117</t>
  </si>
  <si>
    <t>4"(ကစလ) ေဘာပိတ္</t>
  </si>
  <si>
    <t>SP01120</t>
  </si>
  <si>
    <t>SP01121</t>
  </si>
  <si>
    <t>SP01123</t>
  </si>
  <si>
    <t>SU 50 ေရတံခါးဝါရွာ</t>
  </si>
  <si>
    <t>SP01130</t>
  </si>
  <si>
    <t>17 ရက္ခ်က္ ေခါင္းရွင္</t>
  </si>
  <si>
    <t>SP01133</t>
  </si>
  <si>
    <t>SP01135</t>
  </si>
  <si>
    <t>SP01136</t>
  </si>
  <si>
    <t>35/139 ဘားဆက္စံု</t>
  </si>
  <si>
    <t>SP01139</t>
  </si>
  <si>
    <t>သုတ္ေဆး (1/4 ဘူး)</t>
  </si>
  <si>
    <t>SP01141</t>
  </si>
  <si>
    <t>စုတ္တံ ( 1 လက္မ)</t>
  </si>
  <si>
    <t>SP01142</t>
  </si>
  <si>
    <t>SP01144</t>
  </si>
  <si>
    <t>မေဆးစို႔</t>
  </si>
  <si>
    <t>SP01146</t>
  </si>
  <si>
    <t>ကစလရွပ္ သားေရလံုး</t>
  </si>
  <si>
    <t>SP01149</t>
  </si>
  <si>
    <t>4 လက္မ LiLi ပန္႔ ေဘာပိတ္</t>
  </si>
  <si>
    <t>SP01151</t>
  </si>
  <si>
    <t>12V မီးဆံ</t>
  </si>
  <si>
    <t>SP01153</t>
  </si>
  <si>
    <t>4 ေရႊဘီလူးေခါင္းဝါရွာ</t>
  </si>
  <si>
    <t>SP01156</t>
  </si>
  <si>
    <t>SP01157</t>
  </si>
  <si>
    <t>SP01158</t>
  </si>
  <si>
    <t>SP01159</t>
  </si>
  <si>
    <t>13 ေကာင္ P+R STD</t>
  </si>
  <si>
    <t>SP0116</t>
  </si>
  <si>
    <t>NT70/80 ကင့္ကာဘာ</t>
  </si>
  <si>
    <t>SP01160</t>
  </si>
  <si>
    <t>13 ေကာင္ ေကာ္နတင္းနတ္</t>
  </si>
  <si>
    <t>SP01161</t>
  </si>
  <si>
    <t>13 ေကာင္မီးခံဂတ္စကက္</t>
  </si>
  <si>
    <t>SP01162</t>
  </si>
  <si>
    <t>SP01163</t>
  </si>
  <si>
    <t>ေက်ာက္စက္ ကာပြန္အဖံုး</t>
  </si>
  <si>
    <t>SP01164</t>
  </si>
  <si>
    <t>ေက်ာက္စက္ ခလုပ္</t>
  </si>
  <si>
    <t>SP01168</t>
  </si>
  <si>
    <t>လႊေကာက္</t>
  </si>
  <si>
    <t>SP01172</t>
  </si>
  <si>
    <t>6 မူး စာပါးစပ္ ဂလန္႔</t>
  </si>
  <si>
    <t>SP01174</t>
  </si>
  <si>
    <t>စေပါ့ကဒ္ (ခ်ိန္းေစာ)</t>
  </si>
  <si>
    <t>SP01175</t>
  </si>
  <si>
    <t>SP01177</t>
  </si>
  <si>
    <t>ေရေဆးပန္႔ ဝါရွာစံုထုပ္</t>
  </si>
  <si>
    <t>SP01179</t>
  </si>
  <si>
    <t>SP01182</t>
  </si>
  <si>
    <t>ကံကူစံ(ဗူး)</t>
  </si>
  <si>
    <t>SP01186</t>
  </si>
  <si>
    <t>SP01187</t>
  </si>
  <si>
    <t>4 ေကာ္ပတ္ကပ္ခြာ</t>
  </si>
  <si>
    <t>SP01192</t>
  </si>
  <si>
    <t>ႀကိဳးထိုးသြား 4027</t>
  </si>
  <si>
    <t>SP01193</t>
  </si>
  <si>
    <t>ႀကိဳးထိုးသြား 1016</t>
  </si>
  <si>
    <t>SP01194</t>
  </si>
  <si>
    <t>ဟိုက္စပိ ေခ်ာင္း 5ပဲ</t>
  </si>
  <si>
    <t>SP01195</t>
  </si>
  <si>
    <t>SP01196</t>
  </si>
  <si>
    <t>7.5 စူးသြား</t>
  </si>
  <si>
    <t>SP01199</t>
  </si>
  <si>
    <t>SP01200</t>
  </si>
  <si>
    <t>11 စူးသြား</t>
  </si>
  <si>
    <t>SP01203</t>
  </si>
  <si>
    <t>13 စူးသြား</t>
  </si>
  <si>
    <t>SP01204</t>
  </si>
  <si>
    <t>ဟိုက္စပိ (1 မတ္)</t>
  </si>
  <si>
    <t>SP01205</t>
  </si>
  <si>
    <t>7 1/2 ရိန္း (0-10)</t>
  </si>
  <si>
    <t>SP01210</t>
  </si>
  <si>
    <t>700x16 ကၽြတ္</t>
  </si>
  <si>
    <t>SP01211</t>
  </si>
  <si>
    <t>သြပ္ညပ္ကပ္ေၾကး</t>
  </si>
  <si>
    <t>SP01212</t>
  </si>
  <si>
    <t>SP01213</t>
  </si>
  <si>
    <t>ေတာက္ ကာတာ</t>
  </si>
  <si>
    <t>SP01216</t>
  </si>
  <si>
    <t>3 1/2 စက္ေရေပၚသြား</t>
  </si>
  <si>
    <t>SP01217</t>
  </si>
  <si>
    <t>SP01227</t>
  </si>
  <si>
    <t>28-47-10</t>
  </si>
  <si>
    <t>SP01228</t>
  </si>
  <si>
    <t>18-28-7</t>
  </si>
  <si>
    <t>SP0123</t>
  </si>
  <si>
    <t>ကြင္းကတ္ေၾကး</t>
  </si>
  <si>
    <t>SP01230</t>
  </si>
  <si>
    <t>SP01234</t>
  </si>
  <si>
    <t>8မ်ိဳးသံုး စပန္နာ</t>
  </si>
  <si>
    <t>SP01235</t>
  </si>
  <si>
    <t>SP01236</t>
  </si>
  <si>
    <t>ေကာ္ေခ်ာင္း</t>
  </si>
  <si>
    <t>SP01240</t>
  </si>
  <si>
    <t>6000 DD ေဘာ</t>
  </si>
  <si>
    <t>SP01249</t>
  </si>
  <si>
    <t>1/2 12 ႀကိဳးထိုးသြား</t>
  </si>
  <si>
    <t>SP01251</t>
  </si>
  <si>
    <t>ေရေပၚစက္ဝိတ္တံုး</t>
  </si>
  <si>
    <t>SP01255</t>
  </si>
  <si>
    <t>ေရေပၚစက္ ဝိတ္တံုး ေဘးဖံုး</t>
  </si>
  <si>
    <t>SP01256</t>
  </si>
  <si>
    <t>စပလိန္ေလပိုက္</t>
  </si>
  <si>
    <t>SP01259</t>
  </si>
  <si>
    <t>ကရိုင္းနတ္ေခါင္း(300CC)</t>
  </si>
  <si>
    <t>SP01263</t>
  </si>
  <si>
    <t>SP01265</t>
  </si>
  <si>
    <t>6 မူးလြန္</t>
  </si>
  <si>
    <t>SP01268</t>
  </si>
  <si>
    <t>4 လက္မေဆာ့ကဒ္</t>
  </si>
  <si>
    <t>SP01269</t>
  </si>
  <si>
    <t>6 လက္မပလာယာခၽြန္</t>
  </si>
  <si>
    <t>SP01276</t>
  </si>
  <si>
    <t>1/4 စကူဂန္း</t>
  </si>
  <si>
    <t>SP01277</t>
  </si>
  <si>
    <t>စတာပလာပင္</t>
  </si>
  <si>
    <t>SP01279</t>
  </si>
  <si>
    <t>စကူပစ္တို</t>
  </si>
  <si>
    <t>SP01280</t>
  </si>
  <si>
    <t>ပြန္က်ဴ Set(အိတ္ျပာ)</t>
  </si>
  <si>
    <t>SP01281</t>
  </si>
  <si>
    <t>SP01283</t>
  </si>
  <si>
    <t>ကာပြန္(ႀကိဳးထိုးစက္)</t>
  </si>
  <si>
    <t>SP01286</t>
  </si>
  <si>
    <t>SP01287</t>
  </si>
  <si>
    <t>SP01289</t>
  </si>
  <si>
    <t>SP01290</t>
  </si>
  <si>
    <t>SP01292</t>
  </si>
  <si>
    <t>300 uf ကြန္နဆာ</t>
  </si>
  <si>
    <t>SP01294</t>
  </si>
  <si>
    <t>6 လက္မ ႀကိတ္ျပား(1စံု)</t>
  </si>
  <si>
    <t>SP01296</t>
  </si>
  <si>
    <t>13ေကာင္ဆြဲႀကိဳး</t>
  </si>
  <si>
    <t>SP01297</t>
  </si>
  <si>
    <t>မီတာခြက္ ေသး</t>
  </si>
  <si>
    <t>SP0130</t>
  </si>
  <si>
    <t>8 ေခ်ာင္းဂြကဒ္</t>
  </si>
  <si>
    <t>SP01303</t>
  </si>
  <si>
    <t>တံစဥ္လံုးႀကီး</t>
  </si>
  <si>
    <t>SP01304</t>
  </si>
  <si>
    <t>13 ေကာင္ ေကာ္နတင္း</t>
  </si>
  <si>
    <t>SP01307</t>
  </si>
  <si>
    <t>9လက္မသစ္ျဖတ္လႊဝိုင္း</t>
  </si>
  <si>
    <t>SP01308</t>
  </si>
  <si>
    <t>1-5 HP ေမာ္တာ</t>
  </si>
  <si>
    <t>SP01309</t>
  </si>
  <si>
    <t>ဂ်ာမနီခ်ိန္း (Special)</t>
  </si>
  <si>
    <t>SP01310</t>
  </si>
  <si>
    <t>13 ေကာင္ ဘားတံ</t>
  </si>
  <si>
    <t>SP01311</t>
  </si>
  <si>
    <t>34 G-V စပန္နာသီး</t>
  </si>
  <si>
    <t>SP01312</t>
  </si>
  <si>
    <t>SP01314</t>
  </si>
  <si>
    <t>9 ေကာင္စပလိန္အမာ</t>
  </si>
  <si>
    <t>SP01315</t>
  </si>
  <si>
    <t>9 ေကာင္အူတိုင္စပလိန္</t>
  </si>
  <si>
    <t>SP01316</t>
  </si>
  <si>
    <t>9 ေကာင္ P+ R Std</t>
  </si>
  <si>
    <t>SP01318</t>
  </si>
  <si>
    <t>ႀကိဳးစက္ (ေကာင္း)</t>
  </si>
  <si>
    <t>SP01319</t>
  </si>
  <si>
    <t>SP01320</t>
  </si>
  <si>
    <t>SP01321</t>
  </si>
  <si>
    <t>Multi Meter</t>
  </si>
  <si>
    <t>SP01322</t>
  </si>
  <si>
    <t>ဘက္ထရီ AA</t>
  </si>
  <si>
    <t>SP01323</t>
  </si>
  <si>
    <t>ဘက္ထရီ 9V</t>
  </si>
  <si>
    <t>SP01327</t>
  </si>
  <si>
    <t>6" CLAPPER သစ္ဗူး</t>
  </si>
  <si>
    <t>SP01329</t>
  </si>
  <si>
    <t>CLAMP METER</t>
  </si>
  <si>
    <t>SP01332</t>
  </si>
  <si>
    <t>ထင္းရွဴးဆီ</t>
  </si>
  <si>
    <t>SP01333</t>
  </si>
  <si>
    <t>SP01334</t>
  </si>
  <si>
    <t>AC ခဲေဂါက္</t>
  </si>
  <si>
    <t>SP01337</t>
  </si>
  <si>
    <t>1" ေဆာက္ခံုး</t>
  </si>
  <si>
    <t>SP01338</t>
  </si>
  <si>
    <t>5 မူး ေဆာက္ခံုး</t>
  </si>
  <si>
    <t>SP01339</t>
  </si>
  <si>
    <t>3မတ္ ေဆာက္ခံုး</t>
  </si>
  <si>
    <t>SP01341</t>
  </si>
  <si>
    <t>100uf ကြန္နဆာ</t>
  </si>
  <si>
    <t>SP01343</t>
  </si>
  <si>
    <t>250uf ကြန္နဆာ</t>
  </si>
  <si>
    <t>SP01344</t>
  </si>
  <si>
    <t>SP01345</t>
  </si>
  <si>
    <t>12" ေရခ်ိန္ အျဖဴ</t>
  </si>
  <si>
    <t>SP01346</t>
  </si>
  <si>
    <t>24" ေရခ်ိန္ အျဖဴ</t>
  </si>
  <si>
    <t>SP01348</t>
  </si>
  <si>
    <t>18" ေရခ်ိန္ အျဖဴ</t>
  </si>
  <si>
    <t>SP01351</t>
  </si>
  <si>
    <t>ဘီးဖာစေတကာ+ ေကာ္ဗူး</t>
  </si>
  <si>
    <t>SP01352</t>
  </si>
  <si>
    <t>13 ေကာင္ ကာ/တာ</t>
  </si>
  <si>
    <t>SP01353</t>
  </si>
  <si>
    <t>တြန္ဓါး</t>
  </si>
  <si>
    <t>SP01354</t>
  </si>
  <si>
    <t>တြန္းဓါးအပို(1ဗူး)</t>
  </si>
  <si>
    <t>SP01356</t>
  </si>
  <si>
    <t>20-22 ဂြဂြ</t>
  </si>
  <si>
    <t>SP01358</t>
  </si>
  <si>
    <t>အင္ဆိုဒ္/ေအာက္ဆိုဒ္</t>
  </si>
  <si>
    <t>SP01359</t>
  </si>
  <si>
    <t>12" G ဂိုက္</t>
  </si>
  <si>
    <t>SP01360</t>
  </si>
  <si>
    <t>10" G ဂိုက္</t>
  </si>
  <si>
    <t>SP01361</t>
  </si>
  <si>
    <t>8" G ဂိုက္</t>
  </si>
  <si>
    <t>SP01362</t>
  </si>
  <si>
    <t>6" G ဂိုက္</t>
  </si>
  <si>
    <t>SP01363</t>
  </si>
  <si>
    <t>15" စပန္နာဟန္တယ္</t>
  </si>
  <si>
    <t>SP01367</t>
  </si>
  <si>
    <t>SP01369</t>
  </si>
  <si>
    <t>SP01370</t>
  </si>
  <si>
    <t>4" HV စက္တံတို</t>
  </si>
  <si>
    <t>SP01371</t>
  </si>
  <si>
    <t>17 စပန္နာ အရွည္</t>
  </si>
  <si>
    <t>SP01372</t>
  </si>
  <si>
    <t>18 စပန္နာ အရွည္</t>
  </si>
  <si>
    <t>SP01373</t>
  </si>
  <si>
    <t>19 စပန္နာ အရွည္</t>
  </si>
  <si>
    <t>SP01374</t>
  </si>
  <si>
    <t>27 စပန္နာသီး အရွည္</t>
  </si>
  <si>
    <t>SP01375</t>
  </si>
  <si>
    <t>24 HV စပန္နာသီး အရွည္</t>
  </si>
  <si>
    <t>SP01377</t>
  </si>
  <si>
    <t>32 HV စပန္နာသီး အရွည္</t>
  </si>
  <si>
    <t>SP01380</t>
  </si>
  <si>
    <t>SP01384</t>
  </si>
  <si>
    <t>10"က်င္တြယ္</t>
  </si>
  <si>
    <t>SP01385</t>
  </si>
  <si>
    <t>12"က်င္တြယ္</t>
  </si>
  <si>
    <t>SP01389</t>
  </si>
  <si>
    <t>ေရေဆးပန္႔ တင္ခ်ဘား</t>
  </si>
  <si>
    <t>SP01393</t>
  </si>
  <si>
    <t>SP01395</t>
  </si>
  <si>
    <t>5 Lကီးရွည္</t>
  </si>
  <si>
    <t>SP01397</t>
  </si>
  <si>
    <t>SU80 ေနာက္ျခမ္း</t>
  </si>
  <si>
    <t>SP01398</t>
  </si>
  <si>
    <t>12X3ရြက္ စက္ေလွပန္ကာ</t>
  </si>
  <si>
    <t>SP01399</t>
  </si>
  <si>
    <t>9 ေကာင္ ဘေလာက္အိုး</t>
  </si>
  <si>
    <t>SP01404</t>
  </si>
  <si>
    <t>ေဆးျဖန္းပံုး ေလျပြန္</t>
  </si>
  <si>
    <t>SP01405</t>
  </si>
  <si>
    <t>ေဆးပံုးလက္ညွစ္</t>
  </si>
  <si>
    <t>SP01406</t>
  </si>
  <si>
    <t>ေဆးျဖန္းပိုက္မဲ</t>
  </si>
  <si>
    <t>SP01407</t>
  </si>
  <si>
    <t>139 P+R (ျမက္ရိတ္စက္)</t>
  </si>
  <si>
    <t>SP01408</t>
  </si>
  <si>
    <t>13 ေကာင္အထိုင္ (စက္ေလွ)</t>
  </si>
  <si>
    <t>SP01410</t>
  </si>
  <si>
    <t>139 ဘေလာက္ (ျမက္ရိတ္)</t>
  </si>
  <si>
    <t>SP01412</t>
  </si>
  <si>
    <t>သုတ္ေဆးဗူး (ေသး)</t>
  </si>
  <si>
    <t>SP01415</t>
  </si>
  <si>
    <t>R180 ကရိုင္း</t>
  </si>
  <si>
    <t>SP0146</t>
  </si>
  <si>
    <t>DF သဲကာ</t>
  </si>
  <si>
    <t>SP0148</t>
  </si>
  <si>
    <t>3 1/2 မီးကိြဳင္</t>
  </si>
  <si>
    <t>SP0150</t>
  </si>
  <si>
    <t>SP0152</t>
  </si>
  <si>
    <t>ကားေရေဆးလက္ညွစ္ Gun</t>
  </si>
  <si>
    <t>SP0161</t>
  </si>
  <si>
    <t>SP0165</t>
  </si>
  <si>
    <t>SP0170</t>
  </si>
  <si>
    <t>SP0178</t>
  </si>
  <si>
    <t>Kawa 7-5 အိတ္ေဇာဗူး</t>
  </si>
  <si>
    <t>SP0179</t>
  </si>
  <si>
    <t>Kawa 7.5 ဟက္</t>
  </si>
  <si>
    <t>SP0182</t>
  </si>
  <si>
    <t>SP0186</t>
  </si>
  <si>
    <t>SP0194</t>
  </si>
  <si>
    <t>4လက္မ Li Li အင္ပါယ္လာ</t>
  </si>
  <si>
    <t>SP0196</t>
  </si>
  <si>
    <t>SP0198</t>
  </si>
  <si>
    <t>Su 50 ပူလီ အလြတ္ /2" ပန္႔ ပူလီ</t>
  </si>
  <si>
    <t>SP0201</t>
  </si>
  <si>
    <t>L-32 ဆီပို႕ကြင္း</t>
  </si>
  <si>
    <t>SP0213</t>
  </si>
  <si>
    <t>ထြန္ေဒါက္တို</t>
  </si>
  <si>
    <t>SP0214</t>
  </si>
  <si>
    <t>ကိုင္းမွကၽြဲေခါင္းသီး</t>
  </si>
  <si>
    <t>SP0215</t>
  </si>
  <si>
    <t>ဘားကရိုင္း ခြက္ႀကီး</t>
  </si>
  <si>
    <t>SP0223</t>
  </si>
  <si>
    <t>6.5 HP Gasoline Engine honda ဆီတိုင္ကီ</t>
  </si>
  <si>
    <t>SP0224</t>
  </si>
  <si>
    <t>6 1/2 ဆြဲအံု</t>
  </si>
  <si>
    <t>SP0226</t>
  </si>
  <si>
    <t>SP0227</t>
  </si>
  <si>
    <t>DF ေရႊကၽြဲ ဂီယာ နီကယ္</t>
  </si>
  <si>
    <t>SP0230</t>
  </si>
  <si>
    <t>ဓားအဝိုင္း</t>
  </si>
  <si>
    <t>SP0234</t>
  </si>
  <si>
    <t>SP0235</t>
  </si>
  <si>
    <t>3" ေဆာ့ကဒ္ ဝါရွာ</t>
  </si>
  <si>
    <t>SP0244</t>
  </si>
  <si>
    <t>65.90.10အဝိုင္းစီး</t>
  </si>
  <si>
    <t>SP0246</t>
  </si>
  <si>
    <t>45.70.12အဝိုင္းစီး (1 စံု)</t>
  </si>
  <si>
    <t>SP0248</t>
  </si>
  <si>
    <t>208ေဇာင္းေဘာ</t>
  </si>
  <si>
    <t>SP0250</t>
  </si>
  <si>
    <t>စက္မကြင္းအရွည္ႀကီး</t>
  </si>
  <si>
    <t>SP0251</t>
  </si>
  <si>
    <t>DFကလပ္ခ်ိန္း</t>
  </si>
  <si>
    <t>SP0253</t>
  </si>
  <si>
    <t>DFကလပ္ထိုင္ေအာက္ပင္နီယံႀကီး</t>
  </si>
  <si>
    <t>SP0254</t>
  </si>
  <si>
    <t>ဓါတ္ဆီဆီတိုင္ဂီအဖုံး</t>
  </si>
  <si>
    <t>SP0255</t>
  </si>
  <si>
    <t>စက္ေလွခ်ိန္း2လိုင္းဆြဲ</t>
  </si>
  <si>
    <t>SP0257</t>
  </si>
  <si>
    <t>ပဲ့ေထာင္အမဲဆီရစ္</t>
  </si>
  <si>
    <t>SP0261</t>
  </si>
  <si>
    <t>DFဂီယာပီနီယံ</t>
  </si>
  <si>
    <t>SP0268</t>
  </si>
  <si>
    <t>Honda7.5အရစ္ပါဆီအိုးဖုံး</t>
  </si>
  <si>
    <t>SP0269</t>
  </si>
  <si>
    <t>ေထြလာဂ်ီဘရိတ္အမ္း</t>
  </si>
  <si>
    <t>SP0272</t>
  </si>
  <si>
    <t>2"ပူလီ2လိုင္းဆြဲ</t>
  </si>
  <si>
    <t>SP0279</t>
  </si>
  <si>
    <t>ေရေဆးပန္႔(အဝိုင္းစီး+ဝါရွာစုံ)</t>
  </si>
  <si>
    <t>SP0280</t>
  </si>
  <si>
    <t>13×3 ရြက္(စက္ေလွပန္ကာ)</t>
  </si>
  <si>
    <t>SP0282</t>
  </si>
  <si>
    <t>ဓါးအုံသံခြက္</t>
  </si>
  <si>
    <t>SP0289</t>
  </si>
  <si>
    <t>1P-G×270 ေကာ္နတ္တင္း STD Kawa</t>
  </si>
  <si>
    <t>SP0294</t>
  </si>
  <si>
    <t>ကားဒိုင္နမို</t>
  </si>
  <si>
    <t>SP0296</t>
  </si>
  <si>
    <t>KW 390 ဆြဲႀကိဳး KAWA</t>
  </si>
  <si>
    <t>SP0299</t>
  </si>
  <si>
    <t>G× 390 လီဗာကိုင္းစုံ</t>
  </si>
  <si>
    <t>SP0301</t>
  </si>
  <si>
    <t>KW220 ဆီတိုင္ကီ KAWA</t>
  </si>
  <si>
    <t>SP0305</t>
  </si>
  <si>
    <t>6 1/2 ေကာ္နတ္တင္း (YY)</t>
  </si>
  <si>
    <t>SP0307</t>
  </si>
  <si>
    <t>SP0314</t>
  </si>
  <si>
    <t>Su 50 အထြက္ေဂါက္</t>
  </si>
  <si>
    <t>SP0316</t>
  </si>
  <si>
    <t>Su 50 ဝါရွာစုံ</t>
  </si>
  <si>
    <t>SP0321</t>
  </si>
  <si>
    <t>6 1/2 ဘားတံ</t>
  </si>
  <si>
    <t>SP0322</t>
  </si>
  <si>
    <t>SP0324</t>
  </si>
  <si>
    <t>ဖလိုင္းဝွီးနတ္</t>
  </si>
  <si>
    <t>SP0329</t>
  </si>
  <si>
    <t>စပါးေလွ႕ပန္ကာ(အထူ)</t>
  </si>
  <si>
    <t>SP0332</t>
  </si>
  <si>
    <t>L-32 ဟက္ဘားစုံ (JW)</t>
  </si>
  <si>
    <t>SP0340</t>
  </si>
  <si>
    <t>2 လက္မပန္႕ဒလတ္ (ကပ္ပန္႔)</t>
  </si>
  <si>
    <t>SP0343</t>
  </si>
  <si>
    <t>ကိုင္းမွ ရွပ္</t>
  </si>
  <si>
    <t>Blower ပလပ္</t>
  </si>
  <si>
    <t>SP0347</t>
  </si>
  <si>
    <t>SP0350</t>
  </si>
  <si>
    <t>SP0352</t>
  </si>
  <si>
    <t>SF 600 × 12 ေဂြ</t>
  </si>
  <si>
    <t>SP0355</t>
  </si>
  <si>
    <t>SP0358</t>
  </si>
  <si>
    <t>SP0361</t>
  </si>
  <si>
    <t>SP0364</t>
  </si>
  <si>
    <t>139 ျမက္ရိတ္စက္ပလပ္</t>
  </si>
  <si>
    <t>SP0366</t>
  </si>
  <si>
    <t>SP0368</t>
  </si>
  <si>
    <t>SP0372</t>
  </si>
  <si>
    <t>ေလေခါင္း (ႏွစ္ခုတစ္စုံ)20 SIZE</t>
  </si>
  <si>
    <t>SP0377</t>
  </si>
  <si>
    <t>ကာ/တာ ၿဂိဳလ္တု</t>
  </si>
  <si>
    <t>SP0378</t>
  </si>
  <si>
    <t>SU 50အဝင္ဖလန္း</t>
  </si>
  <si>
    <t>SP0380</t>
  </si>
  <si>
    <t>SU 50 ေရအုပ္</t>
  </si>
  <si>
    <t>SP0382</t>
  </si>
  <si>
    <t>2 လက္မကပ္ပန္႕ေရအုပ္</t>
  </si>
  <si>
    <t>SP0386</t>
  </si>
  <si>
    <t>4လက္မLi Li ပန္႕ ေၾကြးစီး</t>
  </si>
  <si>
    <t>SP0389</t>
  </si>
  <si>
    <t>SP0390</t>
  </si>
  <si>
    <t>6 1/2 ဂတ္စကတ္မီးခံ</t>
  </si>
  <si>
    <t>SP0394</t>
  </si>
  <si>
    <t>25.60.10 အဝိုက္းစီး</t>
  </si>
  <si>
    <t>SP0397</t>
  </si>
  <si>
    <t>3M AC မီးႀကိဳး</t>
  </si>
  <si>
    <t>SP0398</t>
  </si>
  <si>
    <t>စကူပစ္အေကာင္း (OSAKA)</t>
  </si>
  <si>
    <t>SP0399</t>
  </si>
  <si>
    <t>SP0406</t>
  </si>
  <si>
    <t>SP0409</t>
  </si>
  <si>
    <t>6 1/2 ေအာက္စစ္(သံ)/ဆီတိုင္ဂီဆီေခါင္း</t>
  </si>
  <si>
    <t>SP0410</t>
  </si>
  <si>
    <t>SP0411</t>
  </si>
  <si>
    <t>8ဆိုဒ္္သံပိတ္အဝိုင္းစီး</t>
  </si>
  <si>
    <t>SP0413</t>
  </si>
  <si>
    <t>SP0417</t>
  </si>
  <si>
    <t>185 ပင္စတင္ 10ေကာင္</t>
  </si>
  <si>
    <t>SP0419</t>
  </si>
  <si>
    <t>ႏွစ္ဖက္ပိုက္ဆက္</t>
  </si>
  <si>
    <t>SP0420</t>
  </si>
  <si>
    <t>Su-80 အထြက္ေဂါက္</t>
  </si>
  <si>
    <t>SP0421</t>
  </si>
  <si>
    <t>ေရခ်ဴေခါင္း</t>
  </si>
  <si>
    <t>SP0430</t>
  </si>
  <si>
    <t>Lကီး Set (အေသး)</t>
  </si>
  <si>
    <t>SP0434</t>
  </si>
  <si>
    <t>8×10 ဂြဂြ</t>
  </si>
  <si>
    <t>SP0437</t>
  </si>
  <si>
    <t>8 လက္မ ပူလာ</t>
  </si>
  <si>
    <t>SP0439</t>
  </si>
  <si>
    <t>8×10×12 သံုးဘက္စပန္နာ</t>
  </si>
  <si>
    <t>SP0440</t>
  </si>
  <si>
    <t>12×14×17 သံုးဘက္စပန္နာ</t>
  </si>
  <si>
    <t>SP0443</t>
  </si>
  <si>
    <t>SP0446</t>
  </si>
  <si>
    <t>SP0448</t>
  </si>
  <si>
    <t>4 လက္မ ရိန္းကလစ္</t>
  </si>
  <si>
    <t>SP0455</t>
  </si>
  <si>
    <t>ခ်ိန္းေစာ တံစဥ္း</t>
  </si>
  <si>
    <t>SP0456</t>
  </si>
  <si>
    <t>10 PCS ေက်ာက္တိုင္ (ေက်ာက္လံုးကဒ္)</t>
  </si>
  <si>
    <t>SP0458</t>
  </si>
  <si>
    <t>6PC တံစဥ္းကတ္ / စိန္ကတ္</t>
  </si>
  <si>
    <t>SP0459</t>
  </si>
  <si>
    <t>500×12 ေဂြ+တာယာစံု</t>
  </si>
  <si>
    <t>SP0465</t>
  </si>
  <si>
    <t>3 မတ္ ပိုက္ကလစ္</t>
  </si>
  <si>
    <t>SP0469</t>
  </si>
  <si>
    <t>SP0473</t>
  </si>
  <si>
    <t>DF-24သြား ဂဲကာသံျပား</t>
  </si>
  <si>
    <t>SP0486</t>
  </si>
  <si>
    <t>SP0491</t>
  </si>
  <si>
    <t>SP0496</t>
  </si>
  <si>
    <t>နီ 5/6 ကင္းမရွပ္နတ္</t>
  </si>
  <si>
    <t>SP0497</t>
  </si>
  <si>
    <t>DF စီယာတိုင္ေဂြ (JW)</t>
  </si>
  <si>
    <t>SP0498</t>
  </si>
  <si>
    <t>7 1/2 ဘားကိုက္</t>
  </si>
  <si>
    <t>SP0502</t>
  </si>
  <si>
    <t>SP0505</t>
  </si>
  <si>
    <t>DF လိုက္သံဘီး</t>
  </si>
  <si>
    <t>SP0506</t>
  </si>
  <si>
    <t>သြားတိုက္ သံဗရပ္</t>
  </si>
  <si>
    <t>SP0508</t>
  </si>
  <si>
    <t>တစ္ဖက္ထီးရိုး ဗရပ္</t>
  </si>
  <si>
    <t>SP0515</t>
  </si>
  <si>
    <t>အမိုးကိုင္းဘက္မွန္ အႀကီး</t>
  </si>
  <si>
    <t>SP0516</t>
  </si>
  <si>
    <t>DF 24 သြားထြန္ခံုဖုံး</t>
  </si>
  <si>
    <t>SP0517</t>
  </si>
  <si>
    <t>DF သဲကာသားေရျပား</t>
  </si>
  <si>
    <t>SP0518</t>
  </si>
  <si>
    <t>ဝက္အူလွည့္ အျပား</t>
  </si>
  <si>
    <t>SP0520</t>
  </si>
  <si>
    <t>SP0526</t>
  </si>
  <si>
    <t>SP0527</t>
  </si>
  <si>
    <t>10 စပန္နာသီး</t>
  </si>
  <si>
    <t>SP0532</t>
  </si>
  <si>
    <t>22 ×24 ဂြဂြ</t>
  </si>
  <si>
    <t>SP0535</t>
  </si>
  <si>
    <t>3KW ကာဗြန္အိမ္ ကလစ္</t>
  </si>
  <si>
    <t>SP0536</t>
  </si>
  <si>
    <t>14-ဘတ္ၾကိဳး</t>
  </si>
  <si>
    <t>SP0538</t>
  </si>
  <si>
    <t>ေရေပၚပန့္ဒလတ္ (Pump Impeller)</t>
  </si>
  <si>
    <t>SP0540</t>
  </si>
  <si>
    <t>SP0541</t>
  </si>
  <si>
    <t>6"CLAPPER သစ္သားဘူး</t>
  </si>
  <si>
    <t>SP0552</t>
  </si>
  <si>
    <t>4"အဝင္ 2" အထြက္ ေဆာ့ကက္</t>
  </si>
  <si>
    <t>SP0554</t>
  </si>
  <si>
    <t>SU 50 ရွပ္ ဘယ္ရစ္ေခါင္း</t>
  </si>
  <si>
    <t>SP0555</t>
  </si>
  <si>
    <t>3 1/2 ကလစ္</t>
  </si>
  <si>
    <t>SP0556</t>
  </si>
  <si>
    <t>SP0568</t>
  </si>
  <si>
    <t>9ေကာင္ ဘားတံ</t>
  </si>
  <si>
    <t>SP0569</t>
  </si>
  <si>
    <t>SP0576</t>
  </si>
  <si>
    <t>1 လက္မကလစ္ (၁၅၀)</t>
  </si>
  <si>
    <t>SP0577</t>
  </si>
  <si>
    <t>8.10.12 (သံုးဘက္)</t>
  </si>
  <si>
    <t>SP0578</t>
  </si>
  <si>
    <t>SP0579</t>
  </si>
  <si>
    <t>ျမတ္ရိတ္စက္ လြယ္ၾကိဳး (အေသး)</t>
  </si>
  <si>
    <t>SP0581</t>
  </si>
  <si>
    <t>SP0583</t>
  </si>
  <si>
    <t>SP0585</t>
  </si>
  <si>
    <t>6 1/2 ကာပရိုက္တာ ဖလန္း</t>
  </si>
  <si>
    <t>SP0587</t>
  </si>
  <si>
    <t>ျမတ္ရိတ္စက္ ဖလွိဳင္းဝွီး</t>
  </si>
  <si>
    <t>SP0589</t>
  </si>
  <si>
    <t>UCP 207 ေဘာ</t>
  </si>
  <si>
    <t>SP0590</t>
  </si>
  <si>
    <t>ျမက္ရိတ္စက္ ေဘာ</t>
  </si>
  <si>
    <t>SP0591</t>
  </si>
  <si>
    <t>3 Kw ေၾကးကြင္းႀကီး</t>
  </si>
  <si>
    <t>SP0592</t>
  </si>
  <si>
    <t>3Kw ဖိုက္ဗာတန္းတို</t>
  </si>
  <si>
    <t>SP0593</t>
  </si>
  <si>
    <t>ျမက္ရိတ္စက္ ေဘာ(6002)</t>
  </si>
  <si>
    <t>SP0595</t>
  </si>
  <si>
    <t>ျမတ္ ။လီဘာကိုင္း အထိုင္ (ေရာ္ဘာပါ)</t>
  </si>
  <si>
    <t>SP0596</t>
  </si>
  <si>
    <t>L ကီးနတ္ 1လက္မ (ျမတ္ရိတ္စက္)</t>
  </si>
  <si>
    <t>SP0598</t>
  </si>
  <si>
    <t>ျမတ္ရိတ္စက္ ဆီပိုက္တို</t>
  </si>
  <si>
    <t>SP0601</t>
  </si>
  <si>
    <t>4ဘီလူးဝါရွာ ေရႊေရာင္</t>
  </si>
  <si>
    <t>SP0603</t>
  </si>
  <si>
    <t>ျမက္ရိတ္စက္္(ကလပ္ခြက္)</t>
  </si>
  <si>
    <t>SP0610</t>
  </si>
  <si>
    <t>No- 5 စူးသြား</t>
  </si>
  <si>
    <t>SP0612</t>
  </si>
  <si>
    <t>No- 8 စူးသြား</t>
  </si>
  <si>
    <t>SP0614</t>
  </si>
  <si>
    <t>2လက္ကပ္ပန္႔ေနာက္ျခမ္း</t>
  </si>
  <si>
    <t>SP0615</t>
  </si>
  <si>
    <t>4 လက္မ ေဆာ့ကဒ္ဝါရွာ</t>
  </si>
  <si>
    <t>SP0619</t>
  </si>
  <si>
    <t>3 လက္မ ဘီလူးေခါင္းဝါရွာ</t>
  </si>
  <si>
    <t>SP0621</t>
  </si>
  <si>
    <t>SP0623</t>
  </si>
  <si>
    <t>SP0625</t>
  </si>
  <si>
    <t>SU 100 ( 4 )လက္မပန္႔</t>
  </si>
  <si>
    <t>SP0629</t>
  </si>
  <si>
    <t>SP0630</t>
  </si>
  <si>
    <t>9ေကာင္ ပစၥတင္+ရိန္း (0-10)</t>
  </si>
  <si>
    <t>SP0631</t>
  </si>
  <si>
    <t>SP0643</t>
  </si>
  <si>
    <t>4လက္မ သစ္ျဖတ္(သိန္းငွက္)</t>
  </si>
  <si>
    <t>SP0652</t>
  </si>
  <si>
    <t>Kawa ပံုသစ္ (မက္ဂနစ္ကိြဳင္)</t>
  </si>
  <si>
    <t>SP0657</t>
  </si>
  <si>
    <t>S 80 ပန္႔ရွပ္</t>
  </si>
  <si>
    <t>SP0659</t>
  </si>
  <si>
    <t>SP0660</t>
  </si>
  <si>
    <t>SP0661</t>
  </si>
  <si>
    <t>SP0662</t>
  </si>
  <si>
    <t>SP0663</t>
  </si>
  <si>
    <t>M8 ေတာက္</t>
  </si>
  <si>
    <t>SP0664</t>
  </si>
  <si>
    <t>SP0667</t>
  </si>
  <si>
    <t>SP0668</t>
  </si>
  <si>
    <t>SP0671</t>
  </si>
  <si>
    <t>SP0672</t>
  </si>
  <si>
    <t>6306 ဆီပိတ္ေဘာ</t>
  </si>
  <si>
    <t>SP0679</t>
  </si>
  <si>
    <t>SP0680</t>
  </si>
  <si>
    <t>SP0681</t>
  </si>
  <si>
    <t>SP0682</t>
  </si>
  <si>
    <t>ေရျမဳပ္ေဖာ့</t>
  </si>
  <si>
    <t>SP0683</t>
  </si>
  <si>
    <t>5/6 စပုလိန္ေပ်ာ့</t>
  </si>
  <si>
    <t>SP0687</t>
  </si>
  <si>
    <t>SP0688</t>
  </si>
  <si>
    <t>34X50X7</t>
  </si>
  <si>
    <t>SP0690</t>
  </si>
  <si>
    <t>ကာပြန္ အေသး</t>
  </si>
  <si>
    <t>SP0691</t>
  </si>
  <si>
    <t>10 အသီးဂြ</t>
  </si>
  <si>
    <t>SP0692</t>
  </si>
  <si>
    <t>ေရထြက္ေကာ္</t>
  </si>
  <si>
    <t>SP0694</t>
  </si>
  <si>
    <t>ေရေဆးစက္ ဝိုင္းစိး</t>
  </si>
  <si>
    <t>SP0695</t>
  </si>
  <si>
    <t>2လက္မပိုက္ေပ်ာ့ (ဝါ)</t>
  </si>
  <si>
    <t>SP0696</t>
  </si>
  <si>
    <t>တစ္ဘီးဖလန္း(နတ္မပါ)</t>
  </si>
  <si>
    <t>SP0697</t>
  </si>
  <si>
    <t>R175 ေရေကာ့(ေၾကး)</t>
  </si>
  <si>
    <t>SP0702</t>
  </si>
  <si>
    <t>UCP 206 ေဘာ</t>
  </si>
  <si>
    <t>SP0705</t>
  </si>
  <si>
    <t>ဆပ္ျပာမႈန္႔ (70kg)</t>
  </si>
  <si>
    <t>SP0712</t>
  </si>
  <si>
    <t>21 စပန္နာသီး (အရွည္)</t>
  </si>
  <si>
    <t>SP0721</t>
  </si>
  <si>
    <t>6ကီးဆူးအတို(Bosch)</t>
  </si>
  <si>
    <t>SP0722</t>
  </si>
  <si>
    <t>7ကီးဆူးအတို(Bosch)</t>
  </si>
  <si>
    <t>SP0727</t>
  </si>
  <si>
    <t>SU 100 ေရတံခါး ဝါရွာအစံု</t>
  </si>
  <si>
    <t>SP0728</t>
  </si>
  <si>
    <t>SU 100 ရွပ္</t>
  </si>
  <si>
    <t>SP0729</t>
  </si>
  <si>
    <t>SU 100 အင္ပယ္လာ</t>
  </si>
  <si>
    <t>SP0733</t>
  </si>
  <si>
    <t>4"ေက်ာက္စက္(TOTAL)</t>
  </si>
  <si>
    <t>SP0735</t>
  </si>
  <si>
    <t>ဝိုင္းစီး 40-54-7</t>
  </si>
  <si>
    <t>SP0739</t>
  </si>
  <si>
    <t>Kawa 7-5 ကရိုင္း</t>
  </si>
  <si>
    <t>SP0743</t>
  </si>
  <si>
    <t>24 စပန္နာသီးအရွည္</t>
  </si>
  <si>
    <t>SP0746</t>
  </si>
  <si>
    <t>ဝိုက္စီး 30/40-5/10-5</t>
  </si>
  <si>
    <t>SP0747</t>
  </si>
  <si>
    <t>SP0749</t>
  </si>
  <si>
    <t>SP0750</t>
  </si>
  <si>
    <t>SP0751</t>
  </si>
  <si>
    <t>ဒိုင္နမို W-6000</t>
  </si>
  <si>
    <t>SP0753</t>
  </si>
  <si>
    <t>ျမက္ရိတ္စက္ ဘားတံ(1စံု)</t>
  </si>
  <si>
    <t>SP0755</t>
  </si>
  <si>
    <t>ျမက္ရိတ္စက္ ( ကိြဳင္)</t>
  </si>
  <si>
    <t>SP0756</t>
  </si>
  <si>
    <t>ျမက္ရိတ္စက္( ပါကင္စံု )</t>
  </si>
  <si>
    <t>SP0757</t>
  </si>
  <si>
    <t>5 မတ္ ပိုက္ကလစ္</t>
  </si>
  <si>
    <t>SP0759</t>
  </si>
  <si>
    <t>SP0760</t>
  </si>
  <si>
    <t>8 OK ပလာယာ (အက်ား)</t>
  </si>
  <si>
    <t>SP0761</t>
  </si>
  <si>
    <t>ေတာက္ဟန္တယ္</t>
  </si>
  <si>
    <t>SP0763</t>
  </si>
  <si>
    <t>SP0765</t>
  </si>
  <si>
    <t>9 ေကာင္ ကိြဳင္</t>
  </si>
  <si>
    <t>SP0766</t>
  </si>
  <si>
    <t>13 ေကာင္ပါကင္စံု</t>
  </si>
  <si>
    <t>SP0768</t>
  </si>
  <si>
    <t>3x2 3KW ဒိုင္နမိုပူလီ</t>
  </si>
  <si>
    <t>SP0769</t>
  </si>
  <si>
    <t>4x2 10KW ဒိုင္နမိုပူလီ</t>
  </si>
  <si>
    <t>SP0770</t>
  </si>
  <si>
    <t>7 ရစ္ပလပ္</t>
  </si>
  <si>
    <t>SP0771</t>
  </si>
  <si>
    <t>SU50 သားေရကြင္းအက်ယ္</t>
  </si>
  <si>
    <t>SP0772</t>
  </si>
  <si>
    <t>SU80 သားေရကြင္းအက်ယ္</t>
  </si>
  <si>
    <t>SP0773</t>
  </si>
  <si>
    <t>SU100 သားေရကြင္းအက်ယ္</t>
  </si>
  <si>
    <t>SP0774</t>
  </si>
  <si>
    <t>GX35 ကရိုင္း Set</t>
  </si>
  <si>
    <t>SP0775</t>
  </si>
  <si>
    <t>3M ေပဗူး (EAGE)</t>
  </si>
  <si>
    <t>SP0778</t>
  </si>
  <si>
    <t>R175 ေနာ္ဇယ္ေအဂ်က္ ေခါင္းဝိုင္း</t>
  </si>
  <si>
    <t>SP0780</t>
  </si>
  <si>
    <t>Malaysia ဂီယာဝိုင္ (1 L)</t>
  </si>
  <si>
    <t>SP0781</t>
  </si>
  <si>
    <t>6 1/2 ဆီတိုင္ကီေအာက္ဆီစစ္</t>
  </si>
  <si>
    <t>SP0782</t>
  </si>
  <si>
    <t>110 ဂီယာေပါက္ပါကင္စံု</t>
  </si>
  <si>
    <t>SP0783</t>
  </si>
  <si>
    <t>3 1/2 ဆြဲအံု</t>
  </si>
  <si>
    <t>SP0784</t>
  </si>
  <si>
    <t>3 1/2 ပစၥတင္+ရိန္း (154)</t>
  </si>
  <si>
    <t>SP0786</t>
  </si>
  <si>
    <t>သံလိုက္ေခ်ာင္း</t>
  </si>
  <si>
    <t>SP0787</t>
  </si>
  <si>
    <t>အမဲဆီပိုက္ေပ်ာ့</t>
  </si>
  <si>
    <t>SP0788</t>
  </si>
  <si>
    <t>Q185 ပလန္ခ်ာ(အႀကီး)</t>
  </si>
  <si>
    <t>SP0789</t>
  </si>
  <si>
    <t>SP0796</t>
  </si>
  <si>
    <t>11.5 ခ်ိန္းေစာ ခ်ိန္း</t>
  </si>
  <si>
    <t>SP0800</t>
  </si>
  <si>
    <t>22ေကာင္ ဂါဗနာပင္နယံ</t>
  </si>
  <si>
    <t>SP0802</t>
  </si>
  <si>
    <t>SP0803</t>
  </si>
  <si>
    <t>22 ေကာင္ဂါဗနာျခင္း</t>
  </si>
  <si>
    <t>SP0804</t>
  </si>
  <si>
    <t>DF 24ထြန္ခံု အတြင္းခဲကာ</t>
  </si>
  <si>
    <t>SP0806</t>
  </si>
  <si>
    <t>SP0810</t>
  </si>
  <si>
    <t>အမိုးစကူေခါင္းအတို</t>
  </si>
  <si>
    <t>SP0813</t>
  </si>
  <si>
    <t>R175 ဆီတုိင္ကီပံုေဟာင္း</t>
  </si>
  <si>
    <t>SP0814</t>
  </si>
  <si>
    <t>R175 မိန္းဖလန္း</t>
  </si>
  <si>
    <t>SP0818</t>
  </si>
  <si>
    <t>26 FM ပူလီႀကိဳး</t>
  </si>
  <si>
    <t>SP0819</t>
  </si>
  <si>
    <t>3 မူး ပြန္က်ဴ</t>
  </si>
  <si>
    <t>SP0820</t>
  </si>
  <si>
    <t>5 မူး ပြန္က်ဴ</t>
  </si>
  <si>
    <t>SP0826</t>
  </si>
  <si>
    <t>DF ေျခနင္းျပား</t>
  </si>
  <si>
    <t>SP0829</t>
  </si>
  <si>
    <t>SP0830</t>
  </si>
  <si>
    <t>DF ေႏွးျမန္ဘြတ္က်ယ္</t>
  </si>
  <si>
    <t>SP0833</t>
  </si>
  <si>
    <t>6 1/2 သံပူလီ</t>
  </si>
  <si>
    <t>SP0835</t>
  </si>
  <si>
    <t>DF ကလပ္မွန္ျပင္</t>
  </si>
  <si>
    <t>SP0836</t>
  </si>
  <si>
    <t>DF ကလပ္နတ္(1 ေခ်ာင္း)</t>
  </si>
  <si>
    <t>SP0839</t>
  </si>
  <si>
    <t>DF ဂီယာထိုးတံ</t>
  </si>
  <si>
    <t>SP0840</t>
  </si>
  <si>
    <t>ဘားကာတာ(5)မ်ိဳး</t>
  </si>
  <si>
    <t>SP0843</t>
  </si>
  <si>
    <t>တိတ္ (ႏွစ္ဖက္)</t>
  </si>
  <si>
    <t>SP0846</t>
  </si>
  <si>
    <t>3KW ဖို္က္ဗာတန္းရွည္</t>
  </si>
  <si>
    <t>SP0847</t>
  </si>
  <si>
    <t>ကြန္နဆာ 10uF</t>
  </si>
  <si>
    <t>SP0850</t>
  </si>
  <si>
    <t>ကြန္နဆာ 16uF</t>
  </si>
  <si>
    <t>SP0851</t>
  </si>
  <si>
    <t>ကြန္နဆာ 20uF</t>
  </si>
  <si>
    <t>SP0855</t>
  </si>
  <si>
    <t>4.5 စူးသြား</t>
  </si>
  <si>
    <t>SP0856</t>
  </si>
  <si>
    <t>5.5 စူးသြား</t>
  </si>
  <si>
    <t>SP0859</t>
  </si>
  <si>
    <t>1 စူးသြား</t>
  </si>
  <si>
    <t>SP0860</t>
  </si>
  <si>
    <t>1.5 စူးသြား</t>
  </si>
  <si>
    <t>SP0861</t>
  </si>
  <si>
    <t>3 စူးသြား</t>
  </si>
  <si>
    <t>SP0865</t>
  </si>
  <si>
    <t>DF ဆိုက္ကလစ္ဂြ</t>
  </si>
  <si>
    <t>SP0867</t>
  </si>
  <si>
    <t>DF ထရန္စဖာအံု</t>
  </si>
  <si>
    <t>SP0869</t>
  </si>
  <si>
    <t>18 ဂိတ္ျပပစၥတင္</t>
  </si>
  <si>
    <t>SP0870</t>
  </si>
  <si>
    <t>DF 2 ေပါက္ ဓားအိမ္လြတ္</t>
  </si>
  <si>
    <t>SP0874</t>
  </si>
  <si>
    <t>DF ဂီယာ ေဘးပိတ္</t>
  </si>
  <si>
    <t>SP0875</t>
  </si>
  <si>
    <t>DF ေပါင္ေအာက္ပိတ္</t>
  </si>
  <si>
    <t>SP0876</t>
  </si>
  <si>
    <t>DF ဆိုက္ကလပ္လက္ညွစ္</t>
  </si>
  <si>
    <t>SP0878</t>
  </si>
  <si>
    <t>205 သံပိတ္</t>
  </si>
  <si>
    <t>SP0880</t>
  </si>
  <si>
    <t>SP0883</t>
  </si>
  <si>
    <t>9 ေကာင္သံပါတ္</t>
  </si>
  <si>
    <t>SP0886</t>
  </si>
  <si>
    <t>SP0888</t>
  </si>
  <si>
    <t>SU80 အင္ပယ္လာ</t>
  </si>
  <si>
    <t>SP0889</t>
  </si>
  <si>
    <t>13 လက္မ 2 ရြက္ပန္ကာ</t>
  </si>
  <si>
    <t>SP0897</t>
  </si>
  <si>
    <t>6 1/2 ဟက္</t>
  </si>
  <si>
    <t>SP0898</t>
  </si>
  <si>
    <t>7 1/2 ဟက္</t>
  </si>
  <si>
    <t>SP0900</t>
  </si>
  <si>
    <t>626 DD ေဘာ</t>
  </si>
  <si>
    <t>SP0903</t>
  </si>
  <si>
    <t>ဗို႔ မီီတာ</t>
  </si>
  <si>
    <t>SP0908</t>
  </si>
  <si>
    <t>SP0911</t>
  </si>
  <si>
    <t>3 1/2 ေကာ္နတင္း</t>
  </si>
  <si>
    <t>SP0912</t>
  </si>
  <si>
    <t>9 ေကာင္း အဲယားဗူး</t>
  </si>
  <si>
    <t>SP0914</t>
  </si>
  <si>
    <t>9 ေကာင္အဝိုင္းစီး</t>
  </si>
  <si>
    <t>SP0917</t>
  </si>
  <si>
    <t>16 ေကာင္ ကိြဳင္</t>
  </si>
  <si>
    <t>SP0920</t>
  </si>
  <si>
    <t>SU 100 ဘီလူး ေရတံခါး</t>
  </si>
  <si>
    <t>SP0921</t>
  </si>
  <si>
    <t>4 လက္မ ကစလ ဖလန္း</t>
  </si>
  <si>
    <t>SP0923</t>
  </si>
  <si>
    <t>KW ဆီတိုင္ကီ ေဒါက္</t>
  </si>
  <si>
    <t>SP0924</t>
  </si>
  <si>
    <t>KW စတီးေျပာင္း</t>
  </si>
  <si>
    <t>SP0925</t>
  </si>
  <si>
    <t>6 1/2 ဂါဗနာသီး</t>
  </si>
  <si>
    <t>SP0931</t>
  </si>
  <si>
    <t>LS-30 ေလအိုး</t>
  </si>
  <si>
    <t>SP0932</t>
  </si>
  <si>
    <t>ျမက္ရိတ္စက္ ရိန္း</t>
  </si>
  <si>
    <t>SP0933</t>
  </si>
  <si>
    <t>LS-30 ဘားစပလိန္</t>
  </si>
  <si>
    <t>SP0934</t>
  </si>
  <si>
    <t>13/16 ေကာင္ ေျပာင္း</t>
  </si>
  <si>
    <t>SP0940</t>
  </si>
  <si>
    <t>DC ေရျမႈပ္ပန္႔ (180W)</t>
  </si>
  <si>
    <t>SP0941</t>
  </si>
  <si>
    <t>ကာပရိုက္တာ ဆီညွစ္ဗူး</t>
  </si>
  <si>
    <t>SP0942</t>
  </si>
  <si>
    <t>139 အဝိုင္းစီး</t>
  </si>
  <si>
    <t>SP0944</t>
  </si>
  <si>
    <t>SP0946</t>
  </si>
  <si>
    <t>12 ဓါး (စတီး)</t>
  </si>
  <si>
    <t>SP0948</t>
  </si>
  <si>
    <t>13 Hp ဘားလိပ္ျပာ</t>
  </si>
  <si>
    <t>SP0949</t>
  </si>
  <si>
    <t>6 1/2 ဖူးစေတာ့တံ</t>
  </si>
  <si>
    <t>SP0950</t>
  </si>
  <si>
    <t>50 uf ကြန္ဒင္ဆာ</t>
  </si>
  <si>
    <t>SP0951</t>
  </si>
  <si>
    <t>ဘကၳရီ ေခါင္း</t>
  </si>
  <si>
    <t>SP0952</t>
  </si>
  <si>
    <t>28 ရွပ္ပိုက္</t>
  </si>
  <si>
    <t>SP0953</t>
  </si>
  <si>
    <t>1ေခ်ာင္းဆြဲဘရိတ္ရွဴး</t>
  </si>
  <si>
    <t>SP0954</t>
  </si>
  <si>
    <t>ဘရိတ္ရွဴးစပလိန္</t>
  </si>
  <si>
    <t>SP0956</t>
  </si>
  <si>
    <t>SP0957</t>
  </si>
  <si>
    <t>35 တိုက္ပစ္ေမာင္း</t>
  </si>
  <si>
    <t>SP0958</t>
  </si>
  <si>
    <t>SP0959</t>
  </si>
  <si>
    <t>53 ပလပ္စြတ္</t>
  </si>
  <si>
    <t>SP0961</t>
  </si>
  <si>
    <t>ျမက္ရိတ္စက္ ေရပန္႔</t>
  </si>
  <si>
    <t>SP0963</t>
  </si>
  <si>
    <t>SP0964</t>
  </si>
  <si>
    <t>35 ဘားဖံုး</t>
  </si>
  <si>
    <t>SP0966</t>
  </si>
  <si>
    <t>35 ဆီတိုင္ကီ</t>
  </si>
  <si>
    <t>SP0967</t>
  </si>
  <si>
    <t>950 ပလပ္ကိြဳင္</t>
  </si>
  <si>
    <t>SP0968</t>
  </si>
  <si>
    <t>28 ရွဴးအံု (အစံု)</t>
  </si>
  <si>
    <t>SP0969</t>
  </si>
  <si>
    <t>24 uf ကြန္ဒင္ဆာ</t>
  </si>
  <si>
    <t>SP0970</t>
  </si>
  <si>
    <t>Kawa 9 ေကာင္ အိတ္ေဇာဗူး</t>
  </si>
  <si>
    <t>SP0972</t>
  </si>
  <si>
    <t>Kawa 16 ေကာင္ အိတ္ေဇာဗူး</t>
  </si>
  <si>
    <t>SP0974</t>
  </si>
  <si>
    <t>Kawa 9ေကာင္ဆီအိုး</t>
  </si>
  <si>
    <t>SP0976</t>
  </si>
  <si>
    <t>SP0979</t>
  </si>
  <si>
    <t>SP0980</t>
  </si>
  <si>
    <t>9ေကာင္ဆြဲအံု</t>
  </si>
  <si>
    <t>SP0983</t>
  </si>
  <si>
    <t>6 1/2 နတ္စံု</t>
  </si>
  <si>
    <t>SP0986</t>
  </si>
  <si>
    <t>35 ဝိုင္းစီး(စံု)</t>
  </si>
  <si>
    <t>SP0989</t>
  </si>
  <si>
    <t>4 လက္မသားေရျပား</t>
  </si>
  <si>
    <t>SP0990</t>
  </si>
  <si>
    <t>လြယ္ႀကိဳးခ်ိတ္ကြင္း</t>
  </si>
  <si>
    <t>SP0993</t>
  </si>
  <si>
    <t>Kawa 9 ေကာင္ေကာ္နတင္း</t>
  </si>
  <si>
    <t>SP0995</t>
  </si>
  <si>
    <t>SP0999</t>
  </si>
  <si>
    <t>6 1/2 ဟက္ဖံုး</t>
  </si>
  <si>
    <t>STL019</t>
  </si>
  <si>
    <t>ဒိုင္နမို W-4000</t>
  </si>
  <si>
    <t>STL021</t>
  </si>
  <si>
    <t>ပန္႕ အထိုင္ (ကားေရေဆးပန္႔)</t>
  </si>
  <si>
    <t>STL045</t>
  </si>
  <si>
    <t>STL049</t>
  </si>
  <si>
    <t>0.5 Prato Auto ပန္႔</t>
  </si>
  <si>
    <t>STL059</t>
  </si>
  <si>
    <t>STL076</t>
  </si>
  <si>
    <t>STL078</t>
  </si>
  <si>
    <t>NT80 ဂတ္စကတ္</t>
  </si>
  <si>
    <t>STL096</t>
  </si>
  <si>
    <t>Daewoo 1800W ကားေရေဆးပန္႕</t>
  </si>
  <si>
    <t>STL110</t>
  </si>
  <si>
    <t>CC1110(Old)A2 Diesel Engine</t>
  </si>
  <si>
    <t>STL123</t>
  </si>
  <si>
    <t>4" ေၾကးဘီလူးေခါင္း</t>
  </si>
  <si>
    <t>STL133</t>
  </si>
  <si>
    <t>STL137</t>
  </si>
  <si>
    <t>BOSCH ကားေရဆးပန္႔</t>
  </si>
  <si>
    <t>STL144</t>
  </si>
  <si>
    <t>0.5 HP ေမာ္တာလြတ္ SG</t>
  </si>
  <si>
    <t>STL149</t>
  </si>
  <si>
    <t>3 လက္မ ကပ္ပန္႔</t>
  </si>
  <si>
    <t>STL152</t>
  </si>
  <si>
    <t>4 လက္မကလစ္ (ပါး)</t>
  </si>
  <si>
    <t>SYS002</t>
  </si>
  <si>
    <t>TRI0003</t>
  </si>
  <si>
    <t>သုံးဘီးခေရာ့ေဘာ(လတ္)250CC 44</t>
  </si>
  <si>
    <t>TRI0004</t>
  </si>
  <si>
    <t>သုံးဘီးဆိုင္ကယ္္ပါကင္စုံ 250CC</t>
  </si>
  <si>
    <t>TRI003</t>
  </si>
  <si>
    <t>22X55 ဂၽြိဳင္းေဘာ</t>
  </si>
  <si>
    <t>TRI007</t>
  </si>
  <si>
    <t>TRI009</t>
  </si>
  <si>
    <t>18လံုးေဘာစံတိုင္</t>
  </si>
  <si>
    <t>WTRI002</t>
  </si>
  <si>
    <t>သံုးဘီးကရိုင္းSet ေရ 150CC</t>
  </si>
  <si>
    <t>WTRI004</t>
  </si>
  <si>
    <t>WTRI011</t>
  </si>
  <si>
    <t>ေရွ႕မီးသီး ကာဘာလြတ္</t>
  </si>
  <si>
    <t>ZMGBS04</t>
  </si>
  <si>
    <t>ZMTMS001</t>
  </si>
  <si>
    <t>LF.SH လက္ကိုင္ခလုတ္ (R.A)</t>
  </si>
  <si>
    <t>ZMTMS002</t>
  </si>
  <si>
    <t>LF.SH ကရုိင္း Set (300 D/Cတြင္းရစ္)</t>
  </si>
  <si>
    <t>ZMTMS006</t>
  </si>
  <si>
    <t>LF.SH ပစၥတင္ STD (250 D/C)</t>
  </si>
  <si>
    <t>ZMTMS009</t>
  </si>
  <si>
    <t>LF.SH ပစၥတင္ 0.25 (150/175)</t>
  </si>
  <si>
    <t>ZMTMS011</t>
  </si>
  <si>
    <t>NNJ ဆီဘရိတ္ရွဴးစပရိန္ အစုံထုပ္ (ႀကီး)</t>
  </si>
  <si>
    <t>ZMTMS017</t>
  </si>
  <si>
    <t>အိတ္ေဇာပိုက္ (ထူ၊ ရွည္)</t>
  </si>
  <si>
    <t>ZMTMS018</t>
  </si>
  <si>
    <t>အိတ္ေဇာပိုက္ (ထူ၊ တို)</t>
  </si>
  <si>
    <t>ZMTMS028</t>
  </si>
  <si>
    <t>NNJ ဘထၳရီ (12 × 32)</t>
  </si>
  <si>
    <t>ZMTMS030</t>
  </si>
  <si>
    <t>ေနာက္တံခါး ပတ္တာ</t>
  </si>
  <si>
    <t>ZMTMS035</t>
  </si>
  <si>
    <t>NNJ Full Set (250 W LF၊ သံ 3 ခ်ပ္)</t>
  </si>
  <si>
    <t>ZMTMS037</t>
  </si>
  <si>
    <t>ေဘာ 698909 ၊ ေစာင္း</t>
  </si>
  <si>
    <t>ZMTMS039</t>
  </si>
  <si>
    <t>ေနာက္တံခါးဂ်က္</t>
  </si>
  <si>
    <t>ZMTMS041</t>
  </si>
  <si>
    <t>ဆီ Master ပန္႔(2 ပိုက္ သတၱဴ)</t>
  </si>
  <si>
    <t>ZMTMS043</t>
  </si>
  <si>
    <t>လက္ကိုင္းကိုင္း (နိမ့္ ၊150)</t>
  </si>
  <si>
    <t>ZMTMS044</t>
  </si>
  <si>
    <t>လက္ကိုင္းကိုင္း (ျမင့္ ၊ 200)</t>
  </si>
  <si>
    <t>ZMTMS046</t>
  </si>
  <si>
    <t>ဝိုက္စီး 27×38 ×7</t>
  </si>
  <si>
    <t>ZMTMS047</t>
  </si>
  <si>
    <t>ဝိုက္စီး 28×38 ×7</t>
  </si>
  <si>
    <t>ZMTMS049</t>
  </si>
  <si>
    <t>ဝိုက္စီး 16×28 ×7</t>
  </si>
  <si>
    <t>ZMTMS052</t>
  </si>
  <si>
    <t>ဝိုက္စီး 30×40.5 ×10.5</t>
  </si>
  <si>
    <t>ZMTMS054</t>
  </si>
  <si>
    <t>U ဘိုး (ဝိုင္း 22 cm၊ တုတ္)</t>
  </si>
  <si>
    <t>ZMTMS055</t>
  </si>
  <si>
    <t>U ဘိုး (ဝိုင္း 20 cm၊ တုတ္)</t>
  </si>
  <si>
    <t>ZMTMS057</t>
  </si>
  <si>
    <t>စတပ္ေမာ္တာပင္နီယံ set (14/49)</t>
  </si>
  <si>
    <t>ZMTMS060</t>
  </si>
  <si>
    <t>ဘက္ဂီယာေပါက္ အဖုံးရွပ္ပါ(တုံးပ)</t>
  </si>
  <si>
    <t>ZMTMS061</t>
  </si>
  <si>
    <t>ZMTMS065</t>
  </si>
  <si>
    <t>သံလိုက္အုံဖုံး (ဝိုင္း ထူ စာပါ)</t>
  </si>
  <si>
    <t>ZMTMS066</t>
  </si>
  <si>
    <t>LF.SH အင္ဂ်င္ ဟက္ set (300 D/C)</t>
  </si>
  <si>
    <t>ZMTMS067</t>
  </si>
  <si>
    <t>Hand ဘရိတ္ဆြဲႀကိဳး (40 cm)</t>
  </si>
  <si>
    <t>ZMTMS068</t>
  </si>
  <si>
    <t>Hand ဘရိတ္ဆြဲႀကိဳး (114 cm)</t>
  </si>
  <si>
    <t>ZMTMS070</t>
  </si>
  <si>
    <t>ZMTMS073</t>
  </si>
  <si>
    <t>LF.SH ကင္းရွပ္ပင္ႏိယံ set (ဂါဘနာပါ)</t>
  </si>
  <si>
    <t>ZMTMS075</t>
  </si>
  <si>
    <t>NNJ ေဘာထိုင္ 6 လုံး</t>
  </si>
  <si>
    <t>ZMTMS077</t>
  </si>
  <si>
    <t>ခါးဆက္မီးခံကြင္း ရုိးရုိး</t>
  </si>
  <si>
    <t>ZMTMS082</t>
  </si>
  <si>
    <t>ထရန္စဖာႀကိဳး (140 cm ၊ကြင္း +ဂြ)</t>
  </si>
  <si>
    <t>ZMTMS087</t>
  </si>
  <si>
    <t>NNJ စတပ္ပင္နီယံဝိုင္းႀကီး(250CC)</t>
  </si>
  <si>
    <t>ZMTMS091</t>
  </si>
  <si>
    <t>LF.SH စတပ္ေမာ္တာ(11 သြား၊ျမင့္၊ခဲျဖဴ)</t>
  </si>
  <si>
    <t>ZMTMS092</t>
  </si>
  <si>
    <t>(3a) ကစ္တံ(နတ္ 2 ၊ေရႊေရာင္၊S ေကြး)</t>
  </si>
  <si>
    <t>ZMTMS094</t>
  </si>
  <si>
    <t>စပိုက္တာပင္နီယံ Set (11 × 16 က်ဲ ၊ကေရာင္း၊မျပည့္)</t>
  </si>
  <si>
    <t>ZMTMS097</t>
  </si>
  <si>
    <t>(3I) ဘက္ဂီယာမိန္းပင္နီယံ (13 သြား၊ရွည္)</t>
  </si>
  <si>
    <t>ZMTMS099</t>
  </si>
  <si>
    <t>NNJ ဘက္ဂီယာေပါက္ (ေကာင္း ၊ 110 Cc)</t>
  </si>
  <si>
    <t>ZMTMS103</t>
  </si>
  <si>
    <t>NNJ ကရုိင္း set (250 D/C LF)</t>
  </si>
  <si>
    <t>ZMTMS105</t>
  </si>
  <si>
    <t>LF.SH ဘေလာက္ set (150 D/C LF)</t>
  </si>
  <si>
    <t>ZMTMS109</t>
  </si>
  <si>
    <t>NNJ အင္ဂ်င္ဟက္ set (250 D/C LF)</t>
  </si>
  <si>
    <t>ZMTMS112</t>
  </si>
  <si>
    <t>ZMTMS121</t>
  </si>
  <si>
    <t>(3s)အိတ္ေဇာအထိန္း (ရာဘာ)</t>
  </si>
  <si>
    <t>ZMTMS124</t>
  </si>
  <si>
    <t>(3i) ဘက္ရွပ္ 72 cm (23 သြား၊ 6009)</t>
  </si>
  <si>
    <t>ZMTMS125</t>
  </si>
  <si>
    <t>(3i) ဘက္ရွပ္ 71 cm (23 သြား၊ 6209)</t>
  </si>
  <si>
    <t>ZMTMS129</t>
  </si>
  <si>
    <t>(3f) NNJတိုက္ပစ္အေပၚေမာင္း(200၊250၊ SR/ZS)</t>
  </si>
  <si>
    <t>ZMTMS130</t>
  </si>
  <si>
    <t>(3p) ဝိုက္စီး 27× 37 × 7</t>
  </si>
  <si>
    <t>ZMTMS132</t>
  </si>
  <si>
    <t>(3i) NNJ ဂၽြိဳင္းေဘာ 22 × 55</t>
  </si>
  <si>
    <t>ZMTMS133</t>
  </si>
  <si>
    <t>(3h) LF.SH ဒိုင္အုပ္ (250 ၊ 5 ပင္ ၊ 2 ေခါင္း)</t>
  </si>
  <si>
    <t>ZMTMS135</t>
  </si>
  <si>
    <t>(3d)LF.SH စတပ္ပင္နီယံဝိုင္ႀကီး (250 Cc)</t>
  </si>
  <si>
    <t>ZMTMS140</t>
  </si>
  <si>
    <t>(3n) ေရွ႕ဘရိတ္ရွဴး (304 ၊ ႀကီး)</t>
  </si>
  <si>
    <t>ZMTMS141</t>
  </si>
  <si>
    <t>(3l) ဘက္ဂီယာေပါက္ ေျခနင္းတံ</t>
  </si>
  <si>
    <t>ZMTMS142</t>
  </si>
  <si>
    <t>(3i) ေနာက္က်ဴပင္နတ္ (ဘယ္ ၊ထူ)</t>
  </si>
  <si>
    <t>ZMTMS147</t>
  </si>
  <si>
    <t>(3s) အင္ဂ်င္ထိုင္ စပရိန္ (က်ဲ)</t>
  </si>
  <si>
    <t>ZMTMS151</t>
  </si>
  <si>
    <t>(3s) အိတ္ေဇာ နတ္တုိင္(14 ဆိုဒ္)ေခါင္းပါ</t>
  </si>
  <si>
    <t>ZMTMS153</t>
  </si>
  <si>
    <t>(3a) ကလပ္ကိုင္း(ထိုင္ပါ ၊ပါး)</t>
  </si>
  <si>
    <t>ZMTMS154</t>
  </si>
  <si>
    <t>(3l) ဘရိတ္ကိုင္း (ထိုင္ပါ ၊ ပါး)</t>
  </si>
  <si>
    <t>ZMTMS155</t>
  </si>
  <si>
    <t>(3o) လီဗာႀကိဳး (2 ပင္၊ရွည္၊ 120 cm)</t>
  </si>
  <si>
    <t>ZMTMS156</t>
  </si>
  <si>
    <t>(3o) လီဗာႀကိဳး (2 ပင္တို္၊ 120 cm)</t>
  </si>
  <si>
    <t>ZMTMS158</t>
  </si>
  <si>
    <t>(3s) အင္ဂ်င္ဝိုင္ဂိတ္မွန္</t>
  </si>
  <si>
    <t>ZMTMS159</t>
  </si>
  <si>
    <t>(3s) အင္ဂ်င္ဝိုင္ဆီဂိတ္တံ</t>
  </si>
  <si>
    <t>ZMTMS160</t>
  </si>
  <si>
    <t>(3l) ဘက္ဂီယာေပါက္ ဆီဂိတ္တံ</t>
  </si>
  <si>
    <t>ZMTMS161</t>
  </si>
  <si>
    <t>(3c) ဂၽြိဳင္းဂြ ဖလန္းပါ ေသး(က်ဲ)</t>
  </si>
  <si>
    <t>ZMTMS164</t>
  </si>
  <si>
    <t>(3n) ေရွ႕ဝင္ရုိး (304 ၊34cm ဘြတ္ပါ)</t>
  </si>
  <si>
    <t>ZMTMS168</t>
  </si>
  <si>
    <t>(3i) ေနာက္ေရွာ့ဘား ဘြတ္(ႀကီး၊ေသး)</t>
  </si>
  <si>
    <t>ZMTMS169</t>
  </si>
  <si>
    <t>(3l) NNJ ေဘာ 6003</t>
  </si>
  <si>
    <t>ZMTMS171</t>
  </si>
  <si>
    <t>(3e) ဆီဘရိတ္ရွဴးအိတ္ဂ်က္(ဒုံးဂ်ီပုံ)</t>
  </si>
  <si>
    <t>ZMTMS173</t>
  </si>
  <si>
    <t>(3p) ဝိုက္စီး 28×37×7</t>
  </si>
  <si>
    <t>ZMTMS174</t>
  </si>
  <si>
    <t>ZMTMS175</t>
  </si>
  <si>
    <t>(3l) ေဘာ 32008</t>
  </si>
  <si>
    <t>ZMTMS176</t>
  </si>
  <si>
    <t>(3c) 5 ေပါက္ေဂြ (500 ×12 ၊5ဘီး၊ ပါး)</t>
  </si>
  <si>
    <t>ZMTMS179</t>
  </si>
  <si>
    <t>(3d) CTI ေဆာ့ကဒ္ (ေလးေဒါင့္)</t>
  </si>
  <si>
    <t>ZMTMS180</t>
  </si>
  <si>
    <t>(3S) အင္ဂ်င္ ဆီကေတာ့ (150)</t>
  </si>
  <si>
    <t>ZMTMS181</t>
  </si>
  <si>
    <t>(3S) အင္ဂ်င္ ဆီကေတာ့ (200)</t>
  </si>
  <si>
    <t>ZMTMS183</t>
  </si>
  <si>
    <t>(3l) NNJ ေဘာ 6205</t>
  </si>
  <si>
    <t>ZMTMS185</t>
  </si>
  <si>
    <t>(3C) ဂၽြိဳင္းဂြ Set (20 × 50၊ ႀကီး ၊စိပ္၊ဖလန္းမပါ)</t>
  </si>
  <si>
    <t>ZMTMS187</t>
  </si>
  <si>
    <t>(3f) တာယာ 500 × 12 (တရုတ္)</t>
  </si>
  <si>
    <t>ZMTMS189</t>
  </si>
  <si>
    <t>ZMTMS193</t>
  </si>
  <si>
    <t>အိတ္ေဇာနတ္ေခါင္း 12 ဆိုဒ္</t>
  </si>
  <si>
    <t>ZMTMS194</t>
  </si>
  <si>
    <t>ေနာက္ဘရိတ္ရူးျခမ္းႀကီး ရုိးရုိးေဟာင္း</t>
  </si>
  <si>
    <t>ZMTMS195</t>
  </si>
  <si>
    <t>(3s)Air ကလင္ဒါ Set (250 ဝိုင္း)</t>
  </si>
  <si>
    <t>ZMTMS196</t>
  </si>
  <si>
    <t>(3s)Air ကလင္ဒါ Set (210 ဝိုင္း)</t>
  </si>
  <si>
    <t>ZMTMS200</t>
  </si>
  <si>
    <t>(3l)LF.SHဘားတံ(250၊ရွည္၊2ေခ်ာင္းစတီး)</t>
  </si>
  <si>
    <t>ZMTMS202</t>
  </si>
  <si>
    <t>(3l) NNJ ေဘာ 30305</t>
  </si>
  <si>
    <t>ZMTMS205</t>
  </si>
  <si>
    <t>(3l0ဘက္ဂီယာေရွ႕ပင္နီယံ(ျပင္၊14၊တြင္း17၊က်ယ္)</t>
  </si>
  <si>
    <t>ZMTMS206</t>
  </si>
  <si>
    <t>(3l)ဘက္ဂီယာမိန္းပင္နီယံ(13သြား၊ကလစ္လိုင္းပါ၊လတ္)</t>
  </si>
  <si>
    <t>ZMTMS207</t>
  </si>
  <si>
    <t>(3l)ဘက္ဂီယာမိန္းပင္နီယံ(13သြား၊ကလစ္လိုင္းပါ၊ထူ)</t>
  </si>
  <si>
    <t>ZMTMS208</t>
  </si>
  <si>
    <t>(3c)ဂၽြိဳင္းဂြဖလန္းပါေသး(စိပ္)</t>
  </si>
  <si>
    <t>ZMTMS209</t>
  </si>
  <si>
    <t>(3l) ေဘာ 16003</t>
  </si>
  <si>
    <t>ZMTMS212</t>
  </si>
  <si>
    <t>(3p) ဝိုက္စီး 28 × 55 × 10</t>
  </si>
  <si>
    <t>ZMTMS214</t>
  </si>
  <si>
    <t>ZMTMS216</t>
  </si>
  <si>
    <t>(3n) ေရွ႕ဟပ္အုံ (4ေပါက္)</t>
  </si>
  <si>
    <t>ZMTMS220</t>
  </si>
  <si>
    <t>(3p) NNJ ဝါယာရိန္း Set (150/175A)</t>
  </si>
  <si>
    <t>ZMTMS226</t>
  </si>
  <si>
    <t>ထရန္စဖာ စပလိန္(က်ဥ္း)</t>
  </si>
  <si>
    <t>ZMTMS227</t>
  </si>
  <si>
    <t>ထရန္စဖာ စပလိန္(က်ယ္)</t>
  </si>
  <si>
    <t>ZMTMS229</t>
  </si>
  <si>
    <t>ေလး Set (7cm)</t>
  </si>
  <si>
    <t>ZMTMS230</t>
  </si>
  <si>
    <t>ေလး Set (8cm/1ဖက္လိပ္)</t>
  </si>
  <si>
    <t>ZMTMS231</t>
  </si>
  <si>
    <t>ဂၽြိဳင္းဂြ Set (က်ဲ၊ ဖလန္းပါ၊ တုတ္)</t>
  </si>
  <si>
    <t>ZMTMS234</t>
  </si>
  <si>
    <t>ကလပ္အံုပါကင္KSK(W)</t>
  </si>
  <si>
    <t>ZMTMS236</t>
  </si>
  <si>
    <t>ကေရာင္းအံုပါကင္(8 ေပါက္)</t>
  </si>
  <si>
    <t>ZMTMS237</t>
  </si>
  <si>
    <t>ကေရာင္းအံုပါကင္(10 ေပါက္)</t>
  </si>
  <si>
    <t>ZMTMS238</t>
  </si>
  <si>
    <t>ကေရာင္းအံုပါကင္(4ေပါက္)</t>
  </si>
  <si>
    <t>ZMTMS241</t>
  </si>
  <si>
    <t>LF ပလပ္ကိြဳင္</t>
  </si>
  <si>
    <t>ZMTMS242</t>
  </si>
  <si>
    <t>ဘက္ဂီယာ ေနာက္ပင္နီယံ(ျပင္14၊တြင္း17၊က်ယ္)</t>
  </si>
  <si>
    <t>ZMTMS243</t>
  </si>
  <si>
    <t>NNJ ေဘာ 32009</t>
  </si>
  <si>
    <t>ZMTMS244</t>
  </si>
  <si>
    <t>(3e) ဆီတိုင္ကီခံ ရာဘာ</t>
  </si>
  <si>
    <t>ZMTMS301</t>
  </si>
  <si>
    <t>ZMTMS303</t>
  </si>
  <si>
    <t>(3O)LF.SHလက္ကိုင္ခလုတ္(R၊A)</t>
  </si>
  <si>
    <t>ZMTMS304</t>
  </si>
  <si>
    <t>(3L)NNJေဘာ6328အပါးေဘာ</t>
  </si>
  <si>
    <t>ZMTMS305</t>
  </si>
  <si>
    <t>(3d)LF.SHစတပ္ပင္နီယံဝိုင္းၾကီး(200)</t>
  </si>
  <si>
    <t>ZMTMS306</t>
  </si>
  <si>
    <t>(3l)NNJေဘာ6328R</t>
  </si>
  <si>
    <t>ZMTMS309</t>
  </si>
  <si>
    <t>ZMTMS310</t>
  </si>
  <si>
    <t>(3d) စတပ္ေမာ္တာပင္နီယံ Set(16/49)</t>
  </si>
  <si>
    <t>ZMTMS311</t>
  </si>
  <si>
    <t>(3p) ဝိုက္စီး 42.55.7</t>
  </si>
  <si>
    <t>ZMTMS312</t>
  </si>
  <si>
    <t>(3p) ဝိုက္စီး 20.42.7</t>
  </si>
  <si>
    <t>ZMTMS318</t>
  </si>
  <si>
    <t>(3a)LF.SH ကလပ္အံု Set (5ေပါက္၊ W 6 ခ်ပ္ စပရိန္ပါ)</t>
  </si>
  <si>
    <t>ZMTMS320</t>
  </si>
  <si>
    <t>(3a) LF.SH ကာဗရိုက္တာ(2ပင္၊ 200)</t>
  </si>
  <si>
    <t>ZMTMS321</t>
  </si>
  <si>
    <t>(3g) ထရန္စဗာၾကိဳး (154cm ၊ကြင္း+ဂြ)</t>
  </si>
  <si>
    <t>ZMTMS323</t>
  </si>
  <si>
    <t>(3n)ေရပန့္ (150 ၊ 200လံုးစင္း)</t>
  </si>
  <si>
    <t>ZMTMS325</t>
  </si>
  <si>
    <t>(3i)ေနာက္ေရွာ့ဘား(မဲ၊တုတ္)</t>
  </si>
  <si>
    <t>ZMTMS328</t>
  </si>
  <si>
    <t>ZMTMS329</t>
  </si>
  <si>
    <t>ZMTMS331</t>
  </si>
  <si>
    <t>NNJေအာက္တိုက္ပစ္ေမာင္း(ရိုးရိုး)</t>
  </si>
  <si>
    <t>ZMTMS333</t>
  </si>
  <si>
    <t>NNJ ေဘာ 6228</t>
  </si>
  <si>
    <t>ZMTMS336</t>
  </si>
  <si>
    <t>ZMTMS340</t>
  </si>
  <si>
    <t>(3p) ဝိုက္စီး 55×75×8</t>
  </si>
  <si>
    <t>ZMTMS346</t>
  </si>
  <si>
    <t>(3p) ဝိုက္စီး 20.34.7</t>
  </si>
  <si>
    <t>ZMTMS347</t>
  </si>
  <si>
    <t>Air ကလင္ဒါ တြင္း ေလစစ္(250၊ဝိုင္း)</t>
  </si>
  <si>
    <t>ZMTMS348</t>
  </si>
  <si>
    <t>(3d) NNJ စတပ္ေမာ္တာ(11သြား၊ျမင့္)</t>
  </si>
  <si>
    <t>ZMTMS351</t>
  </si>
  <si>
    <t>NNJ ဝါယာရိန္းဆက္(175/200W)</t>
  </si>
  <si>
    <t>ZMTMS353</t>
  </si>
  <si>
    <t>ZMTMS356</t>
  </si>
  <si>
    <t>NNJ 1/2 Set( 250 W LF GSK သား)</t>
  </si>
  <si>
    <t>ZMTMS357</t>
  </si>
  <si>
    <t>(3n)ေရွ႕ body ေဘးတြဲမီးလံုး</t>
  </si>
  <si>
    <t>ZMTMS362</t>
  </si>
  <si>
    <t>(3a)ကလပ္ဖို့စေတာ့တံ (200W)</t>
  </si>
  <si>
    <t>ZMTMS363</t>
  </si>
  <si>
    <t>(3a)ကလပ္ဖို့စေတာ့တံ (250W)</t>
  </si>
  <si>
    <t>ZMTMS364</t>
  </si>
  <si>
    <t>(3I)ဘက္ရွပ္74cm(23သြား/6009)</t>
  </si>
  <si>
    <t>ZMTMS365</t>
  </si>
  <si>
    <t>ဂီယာတံဂၽြိဳင္းေရထမ္းပံုး</t>
  </si>
  <si>
    <t>ZMTMS367</t>
  </si>
  <si>
    <t>ဘားစိ(လည္ရွည္)</t>
  </si>
  <si>
    <t>ZMTMS369</t>
  </si>
  <si>
    <t>ဘားကြင္း(150)</t>
  </si>
  <si>
    <t>ZMTMS371</t>
  </si>
  <si>
    <t>ဘက္ဂီယာလို္င္း ပီနီယံ(ျပင္17၊တြင္း6၊က်ယ္)</t>
  </si>
  <si>
    <t>ZMTMS372</t>
  </si>
  <si>
    <t>ကစ္တံ(နတ္2၊နီကယ္)</t>
  </si>
  <si>
    <t>ZMTMS373</t>
  </si>
  <si>
    <t>(3I)JJN ဘေလာက္Set(175W LF)</t>
  </si>
  <si>
    <t>ZMTMS374</t>
  </si>
  <si>
    <t>(3a)ကလပ္ဖိျပား(5ေပါက္-က်ဲ)</t>
  </si>
  <si>
    <t>ZMTMS375</t>
  </si>
  <si>
    <t>ဂီယာတံ(2)ဆင့္ေလာ့</t>
  </si>
  <si>
    <t>ZMTMS376</t>
  </si>
  <si>
    <t>(3q) သံလိုက္တုံး 8 ထုပ္</t>
  </si>
  <si>
    <t>ZMTMS378</t>
  </si>
  <si>
    <t>ဘက္ရွပ္ေဘာေထာက္</t>
  </si>
  <si>
    <t>ZMTMS379</t>
  </si>
  <si>
    <t>စတပ္ေဘာကပ္ (ေဘာ 6လုံး)</t>
  </si>
  <si>
    <t>ZMTMS380</t>
  </si>
  <si>
    <t>(3q) B သံလိုက္အုံး ဘဲဥဖုံး(ေသး)</t>
  </si>
  <si>
    <t>ZMTMS381</t>
  </si>
  <si>
    <t>(3i)ဘားကြင္း ၊200</t>
  </si>
  <si>
    <t>ZMTMS383</t>
  </si>
  <si>
    <t>(3f) တိုက္ပစ္ဖို့စေတာ့တံ(250CC၊ZS၊မဲ)</t>
  </si>
  <si>
    <t>ZMTMS387</t>
  </si>
  <si>
    <t>ZMTMS389</t>
  </si>
  <si>
    <t>ZMTMS391</t>
  </si>
  <si>
    <t>ကလပ္အံု Set ( 5 ေပါက္၊ W 6 ခ်ပ္ စပလိန္ပါ)</t>
  </si>
  <si>
    <t>ZMTMS392</t>
  </si>
  <si>
    <t>Full Set (150/175 LF GSK သား)</t>
  </si>
  <si>
    <t>ZMTMS399</t>
  </si>
  <si>
    <t>ကလပ္ျပားအထိုင္ပင္နီယံပါ(7ခ်ပ္စပရိန္ထိုင္)</t>
  </si>
  <si>
    <t>ZMTMS400</t>
  </si>
  <si>
    <t>ကလပ္ျပားအထိုင္သံပါ(5ေပါက္7ခ်ပ္)</t>
  </si>
  <si>
    <t>ZMTMS408</t>
  </si>
  <si>
    <t>ဂီယာတံ(2)ဆင့္ဘြြတ္</t>
  </si>
  <si>
    <t>ZMTMS410</t>
  </si>
  <si>
    <t>ဆီမာစတာပန္႔ဝါရွာ(သံ၊2အိုး)</t>
  </si>
  <si>
    <t>ZMTMS411</t>
  </si>
  <si>
    <t>ေနာက္ဘရိတ္ဆြိ စပလိန္</t>
  </si>
  <si>
    <t>ZMTMS413</t>
  </si>
  <si>
    <t>ေနာက္ဟက္အံု Set ( L 6009 အထိုင္)</t>
  </si>
  <si>
    <t>ZMTMS414</t>
  </si>
  <si>
    <t>ေနာက္ဟက္အံု Set ( R 6009 အထိုင္)</t>
  </si>
  <si>
    <t>ZMTMS416</t>
  </si>
  <si>
    <t>(3F)တိုက္ပစ္ဖို႔စေတာ့တံ (175CC)</t>
  </si>
  <si>
    <t>ZMTMS418</t>
  </si>
  <si>
    <t>(3S)အင္ဂ်င္ဝိုင္ပန္႔ (39သြား၊အိမ္ပါ)</t>
  </si>
  <si>
    <t>ZMTMS419</t>
  </si>
  <si>
    <t>(3n) ေရွ႕ဝင္ရိုး (304 36cm ဘြတ္ပါ )</t>
  </si>
  <si>
    <t>ZMTMS420</t>
  </si>
  <si>
    <t>ေနာက္ဘရိတ္ဆြဲႀကိဳး</t>
  </si>
  <si>
    <t>ZMTMS421</t>
  </si>
  <si>
    <t>(3a) ကလပ္ႀကိဳး (140cm)</t>
  </si>
  <si>
    <t>ZMTMS423</t>
  </si>
  <si>
    <t>(3i) ေနာက္က်ဴပင္နတ္(ညာ၊ပါး)</t>
  </si>
  <si>
    <t>ZMTMS425</t>
  </si>
  <si>
    <t>(3a)LF SH ကလပ္ျပား(6 ခ်ပ္၊W၊ဆီစိမ္)</t>
  </si>
  <si>
    <t>ZMTMS428</t>
  </si>
  <si>
    <t>(3I) NNJ ေဘာ 30206</t>
  </si>
  <si>
    <t>ZMTMS429</t>
  </si>
  <si>
    <t>(3a) ကရိုင္းနတ္ေခါင္း(14M)</t>
  </si>
  <si>
    <t>ZMTMS430</t>
  </si>
  <si>
    <t>(3a)ကာပြန္အထိုင္</t>
  </si>
  <si>
    <t>ZMTMS431</t>
  </si>
  <si>
    <t>(3n)ေရဗူးေကာ္ အဖံုး</t>
  </si>
  <si>
    <t>ZMTMS432</t>
  </si>
  <si>
    <t>(3N)ေရွ႕ဘရိတ္ရွဳး(304 ၊ ႀကီး)</t>
  </si>
  <si>
    <t>ZMTMS435</t>
  </si>
  <si>
    <t>အင္ဂ်င္ဟက္နတ္တိုင္(12ဆိုဒ္၊17၊17-5cm၊အရွည္</t>
  </si>
  <si>
    <t>ZMTMS436</t>
  </si>
  <si>
    <t>ZMTMS437</t>
  </si>
  <si>
    <t>အင္ဂ်င္ဟက္နတ္တိုင္(12ဆိုဒ္၊13၊150)</t>
  </si>
  <si>
    <t>ZMTMS438</t>
  </si>
  <si>
    <t>အင္ဂ်င္ဟက္နတ္တိုင္(14ဆိုဒ္၊18-5cm၊ မဲ ရွည္ 250</t>
  </si>
  <si>
    <t>ZMTMS440</t>
  </si>
  <si>
    <t>ZMTMS441</t>
  </si>
  <si>
    <t>ZMTMS442</t>
  </si>
  <si>
    <t>ZMTMS443</t>
  </si>
  <si>
    <t>(3n) ေရွ႕မီးသီ အထိုင္(ဝိုင္း)</t>
  </si>
  <si>
    <t>ZMTMS444</t>
  </si>
  <si>
    <t>ZMTMS445</t>
  </si>
  <si>
    <t>ZMTMS447</t>
  </si>
  <si>
    <t>(3C) ဂၽြိဳင္းဂြ Set (19x44 ေသး ၊က်ဲ)</t>
  </si>
  <si>
    <t>ZMTMS449</t>
  </si>
  <si>
    <t>ေလးဘြတ္(သံ)</t>
  </si>
  <si>
    <t>ZMTMS451</t>
  </si>
  <si>
    <t>LF B စတပ္ေမာ္တာ(9သြား ေသး)</t>
  </si>
  <si>
    <t>ZMTMS455</t>
  </si>
  <si>
    <t>(3I)ေနာက္ဟက္အံု Set ( L 6209 အထိုင္)</t>
  </si>
  <si>
    <t>ZMTMS456</t>
  </si>
  <si>
    <t>ZMTMS457</t>
  </si>
  <si>
    <t>ေရွ႕မီးSet(ဝိုင္း နဂါးႀကီး ရိုးရိုး)</t>
  </si>
  <si>
    <t>ZMTMS461</t>
  </si>
  <si>
    <t>ZMTMS463</t>
  </si>
  <si>
    <t>(3n)ေရွ႕ဘရိတ္ႀကိဳး</t>
  </si>
  <si>
    <t>ZMTMS470</t>
  </si>
  <si>
    <t>(3C) NNJ ဂီယာ စေပါ့ကက္ရွပ္(150)</t>
  </si>
  <si>
    <t>ZMTMS471</t>
  </si>
  <si>
    <t>(3I) NNJ ေဘာ 698909 ေစာင္း</t>
  </si>
  <si>
    <t>ZMTMS472</t>
  </si>
  <si>
    <t>(3c) 4ေပါက္ေဂြ(400X12 သစ္၊မဲ)</t>
  </si>
  <si>
    <t>ZMTMS473</t>
  </si>
  <si>
    <t>ZMTMS476</t>
  </si>
  <si>
    <t>ZMTMS477</t>
  </si>
  <si>
    <t>ႏွစ္ဖက္လိပ္ေလး(7 Cm)</t>
  </si>
  <si>
    <t>ZMTMS479</t>
  </si>
  <si>
    <t>မာန္တိုင္ အရွည္ (698909 ေဘာ)</t>
  </si>
  <si>
    <t>ZMTMS480</t>
  </si>
  <si>
    <t>မာန္တိုင္ အတို (698909ေဘာ)</t>
  </si>
  <si>
    <t>ZMTMS481</t>
  </si>
  <si>
    <t>(3I) ဘက္ရွပ္ 48cm(6 သြား ၊ 6009)</t>
  </si>
  <si>
    <t>ZMTMS483</t>
  </si>
  <si>
    <t>ေရွ႕ေဖာက္လြတ္(4 ေခ်ာင္းပတ္လည္ ၃၀ဆိုဒ္ေကာင္း)</t>
  </si>
  <si>
    <t>ZMTMS484</t>
  </si>
  <si>
    <t>ဘရိတ္ေၾကးပိုက္</t>
  </si>
  <si>
    <t>ZMTMS486</t>
  </si>
  <si>
    <t>ဘက္ရွပ္ 60 Cm</t>
  </si>
  <si>
    <t>ZMTMS489</t>
  </si>
  <si>
    <t>ZMTMS490</t>
  </si>
  <si>
    <t>ZMTMS491</t>
  </si>
  <si>
    <t>ZMTMS494</t>
  </si>
  <si>
    <t>NNJ ကရိုင္း Set (200 W / F)</t>
  </si>
  <si>
    <t>ZMTMS501</t>
  </si>
  <si>
    <t>ဘက္ဂီယာမိန္းပင္နယံ(11သြားတို)</t>
  </si>
  <si>
    <t>ZMTMS502</t>
  </si>
  <si>
    <t>(3l)ဘက္ဂီယာမိန္းပင္နီယံ(13သြား၊ကလစ္လိုင္းမပါ)</t>
  </si>
  <si>
    <t>ZMTMS503</t>
  </si>
  <si>
    <t>ဂၽြိဳင္းေဘာ 20x45</t>
  </si>
  <si>
    <t>ZMTMS506</t>
  </si>
  <si>
    <t>စတပ္ေဘာ ( 16 လံုး)</t>
  </si>
  <si>
    <t>ZMTMS507</t>
  </si>
  <si>
    <t>အင္ဂ်င္ဝိုင္ပန္႕37တန္း</t>
  </si>
  <si>
    <t>ZMTMS508</t>
  </si>
  <si>
    <t>ဘားတံ(250 CCတိုစတီး)</t>
  </si>
  <si>
    <t>ZMTMS509</t>
  </si>
  <si>
    <t>စပိုက္တာပင္နယံset (10x44 စိပ္)</t>
  </si>
  <si>
    <t>ZMTMS512</t>
  </si>
  <si>
    <t>LF SH ရိန္း 0-25(250W)</t>
  </si>
  <si>
    <t>ZMTMS513</t>
  </si>
  <si>
    <t>(3n)LF SH ရိန္း 0-25 (300 D/C)</t>
  </si>
  <si>
    <t>ZMTMS514</t>
  </si>
  <si>
    <t>ရိန္း 0-25 (150/175)</t>
  </si>
  <si>
    <t>ZMTMS517</t>
  </si>
  <si>
    <t>NNJကစ္စတပ္ရွပ္ (ေစာင္း/150)</t>
  </si>
  <si>
    <t>ZMTMS518</t>
  </si>
  <si>
    <t>(3j)LF SH ပစၥတင္0-25 (300 D/C)</t>
  </si>
  <si>
    <t>ZMTMS519</t>
  </si>
  <si>
    <t>ZMTMS520</t>
  </si>
  <si>
    <t>ပစၥတင္ 0-25 (150/175)</t>
  </si>
  <si>
    <t>ZMTMS521</t>
  </si>
  <si>
    <t>ဂီယာစေပါ့ကပ္ရွပ္(150CC)</t>
  </si>
  <si>
    <t>ZMTMS522</t>
  </si>
  <si>
    <t>LF SH ရိန္း STD (200CC)</t>
  </si>
  <si>
    <t>ZMTMS523</t>
  </si>
  <si>
    <t>LF SH ရိန္း 0-25 (200CC)</t>
  </si>
  <si>
    <t>ZMTMS524</t>
  </si>
  <si>
    <t>ပစၥတင္ 0-25( 200 CC)</t>
  </si>
  <si>
    <t>ZMTMS525</t>
  </si>
  <si>
    <t>ပစၥတင္ STD (200 CC)</t>
  </si>
  <si>
    <t>ZMTMS527</t>
  </si>
  <si>
    <t>NNJ ကစ္စတပ္ရွပ္ ( ဒဲ့) 250 CC</t>
  </si>
  <si>
    <t>ZMTMS528</t>
  </si>
  <si>
    <t>NNJ ကစ္စတပ္ရွပ္ ( ဒဲ့) 150 CC</t>
  </si>
  <si>
    <t>ZMTMS529</t>
  </si>
  <si>
    <t>ဂီယာေပါက္ရွပ္ ( 175 / 200W)</t>
  </si>
  <si>
    <t>ZMTMS531</t>
  </si>
  <si>
    <t>စပယ္ဖူးလင္ဗန္း( 10:35 T)</t>
  </si>
  <si>
    <t>ZMTMS532</t>
  </si>
  <si>
    <t>လင္ဗန္းနတ္ဆြဲပါ ေဘာထိုင္မပါ</t>
  </si>
  <si>
    <t>ZMTMS533</t>
  </si>
  <si>
    <t>12:38 လင္ဗန္းေဘာထိုင္ပါ</t>
  </si>
  <si>
    <t>ZMTMS535</t>
  </si>
  <si>
    <t>ဂၽြိဳင္းဂြ (22X55 အလယ္လိုင္း)</t>
  </si>
  <si>
    <t>ZMTMS536</t>
  </si>
  <si>
    <t>ဂၽြိဳင္းဂြ ဖလန္းႀကီး (20x55 အလယ္လိုင္း)</t>
  </si>
  <si>
    <t>ZMTMS537</t>
  </si>
  <si>
    <t>ဂၽြိဳင္းဂြ (22×55)</t>
  </si>
  <si>
    <t>ZMTMS541</t>
  </si>
  <si>
    <t>ေရွ႕ဝင္ရိုး (304 ၊ 28cm ဘြတ္ပါ)</t>
  </si>
  <si>
    <t>ZMTMS543</t>
  </si>
  <si>
    <t>10:35 စပယ္ဖူးတို နတ္အရစ္မပါ</t>
  </si>
  <si>
    <t>ZMTMS545</t>
  </si>
  <si>
    <t>စပယ္ဖူးရွပ္( 10/35 T)</t>
  </si>
  <si>
    <t>ZMTMS548</t>
  </si>
  <si>
    <t>ေနာက္ကေရာင္း Set (6206)ေဘာ (4) ေပါက္တန္း</t>
  </si>
  <si>
    <t>ZMTMS552</t>
  </si>
  <si>
    <t>Engine အျခမ္းေသး 150 က်ယ္</t>
  </si>
  <si>
    <t>ZMTMS553</t>
  </si>
  <si>
    <t>Engine အျခမ္းႀကီး 150 (နတ္ 2)</t>
  </si>
  <si>
    <t>ZMTMS556</t>
  </si>
  <si>
    <t>ထရန္စဖာႀကိဳး (181Cm ၊ 2ကြင္း)</t>
  </si>
  <si>
    <t>ZMTMS557</t>
  </si>
  <si>
    <t>ထရန္စဖာႀကိဳး 140Cm ကြင္း ဂြ</t>
  </si>
  <si>
    <t>ZMTMS560</t>
  </si>
  <si>
    <t>ေရွ႕ဟက္အံု (4 ေပါက္)</t>
  </si>
  <si>
    <t>ZMTMS567</t>
  </si>
  <si>
    <t>NNJ Engine ဟက္ Set(150/175)</t>
  </si>
  <si>
    <t>ZMTMS568</t>
  </si>
  <si>
    <t>ဘေလာက္ Set (150cc)</t>
  </si>
  <si>
    <t>ZMTMS570</t>
  </si>
  <si>
    <t>ဘေလာက္ Set (250cc ကစ္ Set စံု)</t>
  </si>
  <si>
    <t>ZMTMS571</t>
  </si>
  <si>
    <t>လီဗာႀကိဳး (2 ပင္ တို 110cm)</t>
  </si>
  <si>
    <t>ZMTMS572</t>
  </si>
  <si>
    <t>ZMTMS573</t>
  </si>
  <si>
    <t>25×52×8.6</t>
  </si>
  <si>
    <t>ZMTMS574</t>
  </si>
  <si>
    <t>28×45/58×10</t>
  </si>
  <si>
    <t>ZMTMS575</t>
  </si>
  <si>
    <t>20×42×7</t>
  </si>
  <si>
    <t>ZMTMS576</t>
  </si>
  <si>
    <t>32×50×7</t>
  </si>
  <si>
    <t>ZMTMS577</t>
  </si>
  <si>
    <t>30×45/62×10</t>
  </si>
  <si>
    <t>ZMTMS578</t>
  </si>
  <si>
    <t>20×34×7</t>
  </si>
  <si>
    <t>ZMTMS579</t>
  </si>
  <si>
    <t>42×55×7</t>
  </si>
  <si>
    <t>ZMTMS580</t>
  </si>
  <si>
    <t>25×55×7</t>
  </si>
  <si>
    <t>ZMTMS581</t>
  </si>
  <si>
    <t>ဂီယာေဘာက္ ပါကင္(GSK တံုးပိတ္)</t>
  </si>
  <si>
    <t>ZMTMS582</t>
  </si>
  <si>
    <t>ဒစၥဝွီးနတ္ (5 ေပါက္ 3 ဘီး)</t>
  </si>
  <si>
    <t>ZMTMS583</t>
  </si>
  <si>
    <t>လီဘာပိုက္</t>
  </si>
  <si>
    <t>ZMTMS584</t>
  </si>
  <si>
    <t>ေလးပင္ နတ္ 8.5Cm(တို)</t>
  </si>
  <si>
    <t>ZMTMS589</t>
  </si>
  <si>
    <t>ZMTMS590</t>
  </si>
  <si>
    <t>(3n) ေရွ႕ဝင္ရိုးနတ္ေခါင္း</t>
  </si>
  <si>
    <t>ZMTMS596</t>
  </si>
  <si>
    <t>အင္ဂ်င္ျခမ္း(250 ႀကီး)</t>
  </si>
  <si>
    <t>ZMTMS597</t>
  </si>
  <si>
    <t>ဘက္ရွပ္ 42 cm (6သြား32009 4ေပါက္)</t>
  </si>
  <si>
    <t>ZMTMS598</t>
  </si>
  <si>
    <t>အင္ဂ်င္နတ္စံုထုပ္</t>
  </si>
  <si>
    <t>ZMTMS599</t>
  </si>
  <si>
    <t>တိုက္ပစ္အေပၚေမာင္း(200၊250)</t>
  </si>
  <si>
    <t>ZMTMS600</t>
  </si>
  <si>
    <t>တိုက္ပစ္နတ္</t>
  </si>
  <si>
    <t>ZMTMS602</t>
  </si>
  <si>
    <t>စတပ္ေမာ္တာ 11 သြားျမင့္</t>
  </si>
  <si>
    <t>ZMTMS603</t>
  </si>
  <si>
    <t>ထရမ္စဖာႀကိဳး(130cm2ဖက္ကြင္းေခါင္းႀကီး)</t>
  </si>
  <si>
    <t>ZMTMS604</t>
  </si>
  <si>
    <t>ေဘာ္ဒီ ပင္</t>
  </si>
  <si>
    <t>ZMTMS605</t>
  </si>
  <si>
    <t>ဘရိတ္ဆီ ေသး</t>
  </si>
  <si>
    <t>ZMTMS610</t>
  </si>
  <si>
    <t>Airကလင္ဒါ Set(150 ရွည္)</t>
  </si>
  <si>
    <t>ZMTMS611</t>
  </si>
  <si>
    <t>အင္ဂ်င္ျခမ္း 250 ေသး</t>
  </si>
  <si>
    <t>ZMTMS612</t>
  </si>
  <si>
    <t>အိတ္ေဇာပရိုက္ကစ္ေသး</t>
  </si>
  <si>
    <t>ZMTMS613</t>
  </si>
  <si>
    <t>ေရေအးတိုင္ကီအဖုံုး</t>
  </si>
  <si>
    <t>5/6 ဂါဘနာဂြ ဘြတ္သံ</t>
  </si>
  <si>
    <t>Total Debitor (Receivable)(2)</t>
  </si>
  <si>
    <t>Total Debitor (Receivable)(1)</t>
  </si>
  <si>
    <t>ကိုေအာင္သူ သံုးဘီးေၾကြးဆပ္</t>
  </si>
  <si>
    <t>ကိုျမင့္လြင္ သံုးဘီးေၾကြးဆပ္</t>
  </si>
  <si>
    <t>ကိုကိုင္ဇာေဌး သံုးဘီးေၾကြးဆပ္</t>
  </si>
  <si>
    <t>ေျမဆီမွကားခရေငြ</t>
  </si>
  <si>
    <t xml:space="preserve"> Income  Fertilizer</t>
  </si>
  <si>
    <t>အေၾကြးဝင္ေငြ</t>
  </si>
  <si>
    <t>ေၾကြးက်န္</t>
  </si>
  <si>
    <t>အဝယ္ေငြလႊဲမ်ား</t>
  </si>
  <si>
    <t>ေၾကြးက်န္(ရရန္ရိွ)</t>
  </si>
  <si>
    <t>Total Debitor (Receivable)</t>
  </si>
  <si>
    <t>ေႏြအင္ၾကင္း</t>
  </si>
  <si>
    <t>2021 Fertilizer Expense</t>
  </si>
  <si>
    <t>Fer Name</t>
  </si>
  <si>
    <t>Rate</t>
  </si>
  <si>
    <t>Fertilizer Purchase List</t>
  </si>
  <si>
    <t>Supplier Payment</t>
  </si>
  <si>
    <t>ေငြဇင္ေယာ္</t>
  </si>
  <si>
    <t>Hope Flower</t>
  </si>
  <si>
    <t>ေရႊနဂါးေပါင္းသတ္</t>
  </si>
  <si>
    <t>ျမင္းပ်ံ</t>
  </si>
  <si>
    <t>Vr No</t>
  </si>
  <si>
    <t>ေကာ့မတ္64%</t>
  </si>
  <si>
    <t>DAP64%</t>
  </si>
  <si>
    <t>မိုးသီး</t>
  </si>
  <si>
    <t>Potash k60%</t>
  </si>
  <si>
    <t>အဝယ္စုစုေပါင္း</t>
  </si>
  <si>
    <t>ေငြလႊဲစုစုေပါင္း</t>
  </si>
  <si>
    <t>လႊဲရန္က်န္ေငြ</t>
  </si>
  <si>
    <t>သံုးဘီး Bank ေငြလႊဲ(2021 - 2021)</t>
  </si>
  <si>
    <t>သံုးဘီး ေၾကြးဝင္ေငြ(2020 - 2021)</t>
  </si>
  <si>
    <t>Fertilizer</t>
  </si>
  <si>
    <t>Nail</t>
  </si>
  <si>
    <t>18ေကာင္ မိန္းဖလန္း</t>
  </si>
  <si>
    <t>50.80.12 (22 ေကာင္မိန္းဝိုင္းစီး)</t>
  </si>
  <si>
    <t>HF Fer</t>
  </si>
  <si>
    <t>HFer012</t>
  </si>
  <si>
    <t>R175 ပါကင္စံု</t>
  </si>
  <si>
    <t>SP01147</t>
  </si>
  <si>
    <t>SP01273</t>
  </si>
  <si>
    <t>SP01418</t>
  </si>
  <si>
    <t>28.37.7အဝိုင္းစီး</t>
  </si>
  <si>
    <t>SP01422</t>
  </si>
  <si>
    <t>ေဆးဖ်န္းပန္႔ဖရိန္</t>
  </si>
  <si>
    <t>SP01430</t>
  </si>
  <si>
    <t>9ေကာင္ ေလကာဘာ</t>
  </si>
  <si>
    <t>SP0868</t>
  </si>
  <si>
    <t>18 ေကာင္မိန္းဘြတ္ STD (ခု)</t>
  </si>
  <si>
    <t>STL061</t>
  </si>
  <si>
    <t>4 လက္မ ပိုက္ကလစ္</t>
  </si>
  <si>
    <t>TRI021</t>
  </si>
  <si>
    <t>ဆီဘရိတ္ရွဴးျခမ္း</t>
  </si>
  <si>
    <t>18 ေကာင္ပလန္ခ်ာအံု</t>
  </si>
  <si>
    <t>18 ေကာင္ ေကာင္တာဝိတ္ ေအာက္</t>
  </si>
  <si>
    <t>BALL4</t>
  </si>
  <si>
    <t>6209 CM</t>
  </si>
  <si>
    <t>GBSP022</t>
  </si>
  <si>
    <t>MMS0005</t>
  </si>
  <si>
    <t>ကရိုင္းSet 250(သံ)</t>
  </si>
  <si>
    <t>MMS0130</t>
  </si>
  <si>
    <t>ဆီေဂါက္</t>
  </si>
  <si>
    <t>MMS0167</t>
  </si>
  <si>
    <t>လင္ဗန္းထိုင္ ဘုမပါ</t>
  </si>
  <si>
    <t>MMS044</t>
  </si>
  <si>
    <t>MMS131</t>
  </si>
  <si>
    <t>စတပ္ေဘာထိုင္(18လံုး)(6ေပါက္)</t>
  </si>
  <si>
    <t>MMS2073</t>
  </si>
  <si>
    <t>1010ေဘာ</t>
  </si>
  <si>
    <t>OW0146</t>
  </si>
  <si>
    <t>6202 (ယိုးဒယားအထိုင္)</t>
  </si>
  <si>
    <t>R175152</t>
  </si>
  <si>
    <t>175 ဘားစပရိန္(1 စံု)</t>
  </si>
  <si>
    <t>SP01071</t>
  </si>
  <si>
    <t>13/9 ေကာင္ဆြဲအံု</t>
  </si>
  <si>
    <t>SP01150</t>
  </si>
  <si>
    <t>သြားတိုက္ ေကာ္ဗရပ္</t>
  </si>
  <si>
    <t>SP01416</t>
  </si>
  <si>
    <t>ေျမမႊေခါင္း(ျမက္ရိတ္စက္)</t>
  </si>
  <si>
    <t>SP01417</t>
  </si>
  <si>
    <t>Hondaပူလီ2x2</t>
  </si>
  <si>
    <t>SP01420</t>
  </si>
  <si>
    <t>ေဆးျဖန္းဂန္း(ေျဖာင့္)</t>
  </si>
  <si>
    <t>SP01421</t>
  </si>
  <si>
    <t>ေဆးဖ်န္းဂန္း(ေကာက္)</t>
  </si>
  <si>
    <t>SP01424</t>
  </si>
  <si>
    <t>ကြန္နဆာ 5uf</t>
  </si>
  <si>
    <t>SP01425</t>
  </si>
  <si>
    <t>ကြန္နဆာ 6uf</t>
  </si>
  <si>
    <t>SP01426</t>
  </si>
  <si>
    <t>4ငုတ္ဒိုင္အုပ္</t>
  </si>
  <si>
    <t>sp01427</t>
  </si>
  <si>
    <t>လီဗာၾကိဳး(ျမက္ရိတ္စက္)</t>
  </si>
  <si>
    <t>sp01428</t>
  </si>
  <si>
    <t>ခ်ိန္းေစာ(လွ်ပ္စစ္)</t>
  </si>
  <si>
    <t>SP01432</t>
  </si>
  <si>
    <t>SP01433</t>
  </si>
  <si>
    <t>18ဟက္နတ္</t>
  </si>
  <si>
    <t>SP01434</t>
  </si>
  <si>
    <t>12V DC/AC ကားေဆးပန္႔</t>
  </si>
  <si>
    <t>SP01435</t>
  </si>
  <si>
    <t>(Hot Air Gun)ေလပူဂန္း</t>
  </si>
  <si>
    <t>SP0187</t>
  </si>
  <si>
    <t>SP0550</t>
  </si>
  <si>
    <t>SP0613</t>
  </si>
  <si>
    <t>18လက္မ ပိုက္ကိုက္</t>
  </si>
  <si>
    <t>SP0714</t>
  </si>
  <si>
    <t>3လက္မပိုက္ေပ်ာ့(100ေပ)</t>
  </si>
  <si>
    <t>SP0915</t>
  </si>
  <si>
    <t>6 1/2 ကီးရွည္</t>
  </si>
  <si>
    <t>SP0960</t>
  </si>
  <si>
    <t>ခ်ိန္းေစာ(ျမက္ရိတ္စက္)</t>
  </si>
  <si>
    <t>STL062</t>
  </si>
  <si>
    <t>0.5 Daewoo Auto ပန္႔</t>
  </si>
  <si>
    <t>TRI020</t>
  </si>
  <si>
    <t>ဆိုလိုနိုက္</t>
  </si>
  <si>
    <t>ဆိုင္မွ က်ခံစိုက္ေပးေငြ</t>
  </si>
  <si>
    <t>သံုးဘီးရက္ေက်ာ္ OD ဒဏ္ေၾကးမ်ား</t>
  </si>
  <si>
    <t>Section</t>
  </si>
  <si>
    <t>Payment  Date</t>
  </si>
  <si>
    <t>Payment Amt</t>
  </si>
  <si>
    <t>Balance Amt</t>
  </si>
  <si>
    <t>အားသစ္</t>
  </si>
  <si>
    <t>ဆိုင္</t>
  </si>
  <si>
    <t>စက္ေလွအထိုင္</t>
  </si>
  <si>
    <t>WS</t>
  </si>
  <si>
    <t>ေရတင္လြန္</t>
  </si>
  <si>
    <t xml:space="preserve">Cash Pur Vr No Paid,Total </t>
  </si>
  <si>
    <t>MMS049</t>
  </si>
  <si>
    <t>ေနာက္တံခါးပတ္တာ</t>
  </si>
  <si>
    <t>SP01437</t>
  </si>
  <si>
    <t>8လက္မ ပီနံပိုက္(1)ေပ</t>
  </si>
  <si>
    <t>SP0157</t>
  </si>
  <si>
    <t>139 ကာ/တာ (ျမက္ရိတ္)</t>
  </si>
  <si>
    <t>SP0559</t>
  </si>
  <si>
    <t>6 1/2 စက္သတ္ခလုတ္</t>
  </si>
  <si>
    <t>SP0881</t>
  </si>
  <si>
    <t>STL027</t>
  </si>
  <si>
    <t>10 လက္မ ပီနံပိုက္ (1ေပ)</t>
  </si>
  <si>
    <t>STL037</t>
  </si>
  <si>
    <t>18ေကာင္ ဘယ္ဒင္</t>
  </si>
  <si>
    <t>MMS0011</t>
  </si>
  <si>
    <t>ခါးထရန္စဖာၾကိဳး (နီ) ဂြင္း+ဂြင္း</t>
  </si>
  <si>
    <t>MMS0169</t>
  </si>
  <si>
    <t>ဆီဒရမ္ဖံုး(ေသး)</t>
  </si>
  <si>
    <t>MMS0170</t>
  </si>
  <si>
    <t>ဂီယာပိုဆက္ရွင္(အေပၚ)(1)</t>
  </si>
  <si>
    <t>MMS0171</t>
  </si>
  <si>
    <t>ဂီယာပိုဆက္ရွင္(ေအာက္)(2)</t>
  </si>
  <si>
    <t>MMS0172</t>
  </si>
  <si>
    <t>ဂီယာပိုဆက္ရွင္(အေပၚ)(2)</t>
  </si>
  <si>
    <t>MMS0173</t>
  </si>
  <si>
    <t>ဂီယာပိုဆက္ရွင္(သံငုတ္)</t>
  </si>
  <si>
    <t>MMS0175</t>
  </si>
  <si>
    <t>ပစၥတင္(CG-250)STD</t>
  </si>
  <si>
    <t>MMS020</t>
  </si>
  <si>
    <t>ဆီဒရမ္ဖံုး (set) ႀကီး T</t>
  </si>
  <si>
    <t>MMS029</t>
  </si>
  <si>
    <t>MMS051</t>
  </si>
  <si>
    <t>ဘက္မွန္(နီကယ္)(စံု)</t>
  </si>
  <si>
    <t>MMS177</t>
  </si>
  <si>
    <t>NT70024</t>
  </si>
  <si>
    <t>NT70/80ေရတိုင္ကီ</t>
  </si>
  <si>
    <t>NT80010</t>
  </si>
  <si>
    <t>NT-80 ေဂါက္</t>
  </si>
  <si>
    <t>NT80022</t>
  </si>
  <si>
    <t>NT80 ဘေလာက္အိုး</t>
  </si>
  <si>
    <t>Q185003</t>
  </si>
  <si>
    <t>Q185 ကရိုင္း</t>
  </si>
  <si>
    <t>ပဲ့ေထာင္ဘြတ္ ေကာ္လံ(6မူး)</t>
  </si>
  <si>
    <t>SP01419</t>
  </si>
  <si>
    <t>QF-30Aေရေဆးပန္႔(လြတ္)</t>
  </si>
  <si>
    <t>SP01423</t>
  </si>
  <si>
    <t>ေဆးဖ်န္းပိုက္(ေကာင္း)</t>
  </si>
  <si>
    <t>SP0283</t>
  </si>
  <si>
    <t>SP0489</t>
  </si>
  <si>
    <t>KKK ပဲ့ေထာင္ဘြတ္(3မတ္)</t>
  </si>
  <si>
    <t>STL006</t>
  </si>
  <si>
    <t>MBT 6.5 အထိုင္ x 10ေပ</t>
  </si>
  <si>
    <t>STL163</t>
  </si>
  <si>
    <t>3လက္မေရပန္႔တြဲ JN(7.5)Hp</t>
  </si>
  <si>
    <t>STL165</t>
  </si>
  <si>
    <t>SU100ပူလီပန္႔</t>
  </si>
  <si>
    <t>ြSP0521</t>
  </si>
  <si>
    <t>ဦးအံုးဆိုင္ ေၾကြးဆပ္ရန္(ဒုအရစ္)</t>
  </si>
  <si>
    <t>End of Month</t>
  </si>
  <si>
    <t>Row Labels</t>
  </si>
  <si>
    <t>Sum of Net Profit</t>
  </si>
  <si>
    <t>Bar Net Profit</t>
  </si>
  <si>
    <t>% Net Profit</t>
  </si>
  <si>
    <t>AR 15R</t>
  </si>
  <si>
    <t>ေဒၚဝင္းသဂီ ၤထြန္း</t>
  </si>
  <si>
    <t>22 ေကာင္ အဲယားေဂါက္</t>
  </si>
  <si>
    <t>MMS0100</t>
  </si>
  <si>
    <t>ဆီဘရိတ္စပလိန္ွSet</t>
  </si>
  <si>
    <t>MMS0181</t>
  </si>
  <si>
    <t>ေကာ္ေရပံုးျဖဴ</t>
  </si>
  <si>
    <t>ကလပ္ျပား(6)ခ်ပ္ေရ (150)</t>
  </si>
  <si>
    <t>MMS105</t>
  </si>
  <si>
    <t>ဆီဘရိတ္ရွဴးျခမ္း220A</t>
  </si>
  <si>
    <t>ကာ/တာ ကစ္ဆက္ (200)</t>
  </si>
  <si>
    <t>12 ရစ္ပလပ္ KGV</t>
  </si>
  <si>
    <t>12 ရစ္ပလပ္ 3k</t>
  </si>
  <si>
    <t>SP01441</t>
  </si>
  <si>
    <t>139 ဆြဲအံု (ပံုသစ္)</t>
  </si>
  <si>
    <t>တိုင္ပင္ႀကိဳး (35)</t>
  </si>
  <si>
    <t>139 ဆြဲအုံ (ပံုေဟာင္း)</t>
  </si>
  <si>
    <t>SP0982</t>
  </si>
  <si>
    <t>3လက္မကပ္ပန္႔အင္ပယ္လာ</t>
  </si>
  <si>
    <t>Honda 4st(ျမတ္ရိတ္စက္)</t>
  </si>
  <si>
    <t>ေရာင္းေစ်း (လက္လီ)</t>
  </si>
  <si>
    <t>ေရာင္းေစ်း (လက္ကား)</t>
  </si>
  <si>
    <t>22/25 ေကာင္ ပလန္ခ်ာ</t>
  </si>
  <si>
    <t>22 ေကာင္ ပလန္ခ်ာေထာက္နတ္</t>
  </si>
  <si>
    <t>22 ေကာင္ ဂိတ္ျပ</t>
  </si>
  <si>
    <t>22 ေကာင္ေရတိုင္ကီ(N)အဖုံး</t>
  </si>
  <si>
    <t>22 ေကာင္ဘားကြင္း</t>
  </si>
  <si>
    <t>22 ေကာင္ဘားကြင္းေသး</t>
  </si>
  <si>
    <t>22 ေကာင္ ဆီလည္ကြင္း</t>
  </si>
  <si>
    <t>BALL17</t>
  </si>
  <si>
    <t>6004DD</t>
  </si>
  <si>
    <t>EM185001</t>
  </si>
  <si>
    <t>MMS0022</t>
  </si>
  <si>
    <t>ကစ္တံ မဲ (နတ္ 1 )</t>
  </si>
  <si>
    <t>MMS0137</t>
  </si>
  <si>
    <t>20X50(4P)ဂၽြိဳင္းဂြတြဲ6T</t>
  </si>
  <si>
    <t>MMS0184</t>
  </si>
  <si>
    <t>ေနာက္ဟက္ဒြမ္(6008)(220)</t>
  </si>
  <si>
    <t>MMS0185</t>
  </si>
  <si>
    <t>ပစၥတင္ (250)0.25</t>
  </si>
  <si>
    <t>MMS0186</t>
  </si>
  <si>
    <t>ပစၥတင္ (300)0.25</t>
  </si>
  <si>
    <t>MMS067</t>
  </si>
  <si>
    <t>အိတ္ေဇာစလင္ဒါ(တို)ခ်ိတ္ပါ</t>
  </si>
  <si>
    <t>MMS071</t>
  </si>
  <si>
    <t>11 ထုပ္ကိြဳင္</t>
  </si>
  <si>
    <t>ကာ/တာ ကစ္ဆက္ (150)</t>
  </si>
  <si>
    <t>MMS169</t>
  </si>
  <si>
    <t>OW0127</t>
  </si>
  <si>
    <t>6205 NC ေဘာ</t>
  </si>
  <si>
    <t>OW0133</t>
  </si>
  <si>
    <t>(တစ္ဘီးထြန္) ခံုျပာေဘာ 63/22 J</t>
  </si>
  <si>
    <t>R1750023</t>
  </si>
  <si>
    <t>အိပ္ေဇာေဂါက္</t>
  </si>
  <si>
    <t>R175A001</t>
  </si>
  <si>
    <t>SP0035</t>
  </si>
  <si>
    <t>ျမက္/ဓါးဝိုင္း ကာဗိုက္ပါ</t>
  </si>
  <si>
    <t>SP01201</t>
  </si>
  <si>
    <t>12 စူးသြား</t>
  </si>
  <si>
    <t>SP01411</t>
  </si>
  <si>
    <t>ခံေဆးဗူး (1/4)Red Oxide</t>
  </si>
  <si>
    <t>SP01439</t>
  </si>
  <si>
    <t>ကလပ္ခြက္ (အစံု)</t>
  </si>
  <si>
    <t>SP01444</t>
  </si>
  <si>
    <t>139 ကရိုင္း</t>
  </si>
  <si>
    <t>SP0281</t>
  </si>
  <si>
    <t>14×2ရြက္(စက္ေလွပန္ကာ)</t>
  </si>
  <si>
    <t>SP0381</t>
  </si>
  <si>
    <t>SP0586</t>
  </si>
  <si>
    <t>51 x 3 ပင္နယံ</t>
  </si>
  <si>
    <t>ZMTMS005</t>
  </si>
  <si>
    <t>LF.SH ရိန္း STD (250 D/C)</t>
  </si>
  <si>
    <t>ZMTMS056</t>
  </si>
  <si>
    <t>U ဘိုး (ေလးေထာင့္ 22cm)</t>
  </si>
  <si>
    <t>ZMTMS128</t>
  </si>
  <si>
    <t>(3f) NNJတိုက္ပစ္ေမာင္း(ေပၚ ၊150 Cc)</t>
  </si>
  <si>
    <t>ZMTMS198</t>
  </si>
  <si>
    <t>(3c) ဂၽြိဳင္းဂြဖလန္းပါႀကီး(အလယ္လိုင္း၊22×55)</t>
  </si>
  <si>
    <t>ZMTMS219</t>
  </si>
  <si>
    <t>(3o) NNJ လက္ကိုင္ခလုတ္ (L ၊ Air)</t>
  </si>
  <si>
    <t>ZMTMS493</t>
  </si>
  <si>
    <t>ဂီယာပင္နီယံ Set (200CC)</t>
  </si>
  <si>
    <t>ZMTMS546</t>
  </si>
  <si>
    <t>စပယ္ဖူးရွပ္ (9:35 T)250CC</t>
  </si>
  <si>
    <t>Power Tool Expense</t>
  </si>
  <si>
    <t>Power Tool အသံုးစရိတ္</t>
  </si>
  <si>
    <t>Ended Of The monthly</t>
  </si>
  <si>
    <t>DF026</t>
  </si>
  <si>
    <t>DF173</t>
  </si>
  <si>
    <t>6မူးခါးဆက္ယူဘိုး</t>
  </si>
  <si>
    <t>MBY0001</t>
  </si>
  <si>
    <t>အဝိုင္းစီး(8)ကြင္း</t>
  </si>
  <si>
    <t>ေရွ႕မီးေခါင္းစံုလြတ္ (ရႊင္လန္း)</t>
  </si>
  <si>
    <t>MMS0192</t>
  </si>
  <si>
    <t>ဆီတိုင္ကီ အဖံုးလြတ္(ဝိုင္း)</t>
  </si>
  <si>
    <t>MMS144</t>
  </si>
  <si>
    <t>ရိန္း (150/175)(STD)LF</t>
  </si>
  <si>
    <t>MMS152</t>
  </si>
  <si>
    <t>ေရွ႕မီးေခါင္းကာဗာ (လိေမၼာ္)</t>
  </si>
  <si>
    <t>Jet pump Dayuan(550W)3မတ္</t>
  </si>
  <si>
    <t>6 1/2 ဟက္နတ္</t>
  </si>
  <si>
    <t>SP01454</t>
  </si>
  <si>
    <t>ေထြလာပင္ ဂြင္းပါ</t>
  </si>
  <si>
    <t>SP01455</t>
  </si>
  <si>
    <t>6မူး 2ေပါက္ျပား အမဲ</t>
  </si>
  <si>
    <t>SP01456</t>
  </si>
  <si>
    <t>ေလး 5ေပါက္သံျပား</t>
  </si>
  <si>
    <t>SP01458</t>
  </si>
  <si>
    <t>6မူး Uဘိုး 8"</t>
  </si>
  <si>
    <t>SP0203</t>
  </si>
  <si>
    <t>SP0204</t>
  </si>
  <si>
    <t>9T ရွပ္တန္း(ျမတ္ရိတ္စက္ရွပ္လိုင္း)</t>
  </si>
  <si>
    <t>6 1/2 ကာပရုိက္တာ</t>
  </si>
  <si>
    <t>SP0297</t>
  </si>
  <si>
    <t>KW220အဝိုင္းဆီးလ္ KAWA</t>
  </si>
  <si>
    <t>6 1/2 /(7 1/2) အိတ္ေဇာမီးခံကြင္း</t>
  </si>
  <si>
    <t>6 1/2 ဆီပိုက္( 1 )ေပ</t>
  </si>
  <si>
    <t>6 1/2 လီဘာကိုင္း</t>
  </si>
  <si>
    <t>6 1/2 မိန္းဝိုက္စီး</t>
  </si>
  <si>
    <t>6 1/2 ဆြဲသီး</t>
  </si>
  <si>
    <t>BALL16</t>
  </si>
  <si>
    <t>6304 ဆီပိတ္</t>
  </si>
  <si>
    <t>DF177</t>
  </si>
  <si>
    <t>3မတ္ ဘူးသီးပံုယူဘိုး</t>
  </si>
  <si>
    <t>MBY0002</t>
  </si>
  <si>
    <t>300 ကင့္မရွပ္(SET)</t>
  </si>
  <si>
    <t>MBY0003</t>
  </si>
  <si>
    <t>150 ကင့္မရွပ္(SET)</t>
  </si>
  <si>
    <t>MMS0187</t>
  </si>
  <si>
    <t>ပစၥတင္(250)(50)</t>
  </si>
  <si>
    <t>MMS0188</t>
  </si>
  <si>
    <t>ရိန္း(300/70)(50)</t>
  </si>
  <si>
    <t>MMS0189</t>
  </si>
  <si>
    <t>ေလး စပရိန္(10)လိမ္အျမင့္A</t>
  </si>
  <si>
    <t>MMS0190</t>
  </si>
  <si>
    <t>ရိန္း (200) STD</t>
  </si>
  <si>
    <t>MMS0191</t>
  </si>
  <si>
    <t>Full Set (200)(ပါကင္စံု)ေရ</t>
  </si>
  <si>
    <t>MMS0194</t>
  </si>
  <si>
    <t>ရိန္း(150/175)(75)</t>
  </si>
  <si>
    <t>MMS0196</t>
  </si>
  <si>
    <t>ေသာ့အဖံုးကာဗာမဲ</t>
  </si>
  <si>
    <t>MMS0197</t>
  </si>
  <si>
    <t>ေသာ့အထိုင္ သံျပား</t>
  </si>
  <si>
    <t>MMS0198</t>
  </si>
  <si>
    <t>ေခါင္းရွပ္အထိုင္သံေခ်ာင္း</t>
  </si>
  <si>
    <t>MMS0203</t>
  </si>
  <si>
    <t>ေလးပင္နတ္(တို)</t>
  </si>
  <si>
    <t>MMS0204</t>
  </si>
  <si>
    <t>ေလးပင္နတ္(ရွည္)</t>
  </si>
  <si>
    <t>MMS0205</t>
  </si>
  <si>
    <t>ေလးပင္နတ္(လတ္)</t>
  </si>
  <si>
    <t>MMS0206</t>
  </si>
  <si>
    <t>MMS064</t>
  </si>
  <si>
    <t>ႏႈတ္ခမ္းေမႊးဘြတ္</t>
  </si>
  <si>
    <t>MMS098</t>
  </si>
  <si>
    <t>ရိန္း (150/175)((25)</t>
  </si>
  <si>
    <t>ရိန္း (150/175)(50)</t>
  </si>
  <si>
    <t>OKBT0014</t>
  </si>
  <si>
    <t>Coolant</t>
  </si>
  <si>
    <t>OKBT0015</t>
  </si>
  <si>
    <t>OW0121</t>
  </si>
  <si>
    <t>6304 ဆီပိတ္ Japan</t>
  </si>
  <si>
    <t>SP01028</t>
  </si>
  <si>
    <t>ေလထိုးေခါင္း/မီတာပါ</t>
  </si>
  <si>
    <t>SP01029</t>
  </si>
  <si>
    <t>ေလထိုးဂိတ္</t>
  </si>
  <si>
    <t>SP01059</t>
  </si>
  <si>
    <t>10 TON ဂ်ိဳင့္</t>
  </si>
  <si>
    <t>SP01126</t>
  </si>
  <si>
    <t>10 ရက္ခ်က္ ေခါင္းရွင္</t>
  </si>
  <si>
    <t>SP01127</t>
  </si>
  <si>
    <t>13 ရက္ခ်က္ ေခါင္းရွင္</t>
  </si>
  <si>
    <t>SP01128</t>
  </si>
  <si>
    <t>14 ရက္ခ်က္ ေခါင္းရွင္</t>
  </si>
  <si>
    <t>SP01129</t>
  </si>
  <si>
    <t>16 ရက္ခ်က္ ေခါင္းရွင္</t>
  </si>
  <si>
    <t>6 1/2 စူးသြား</t>
  </si>
  <si>
    <t>SP01267</t>
  </si>
  <si>
    <t>2 ေပ စေပါ့ကဒ္ကြင္း</t>
  </si>
  <si>
    <t>6 1/2 2 ရြက္အထိုင္ရွပ္လြတ္</t>
  </si>
  <si>
    <t>SP01448</t>
  </si>
  <si>
    <t>Jet pump Dayuan(370W)5မူး</t>
  </si>
  <si>
    <t>SP01449</t>
  </si>
  <si>
    <t>SP01451</t>
  </si>
  <si>
    <t>SP014512</t>
  </si>
  <si>
    <t>SP01453</t>
  </si>
  <si>
    <t>ပုဇြန္ထုပ္ေကြး (သံကၽြတ္)</t>
  </si>
  <si>
    <t>SP01457</t>
  </si>
  <si>
    <t>6မူး Uဘိုး 10"</t>
  </si>
  <si>
    <t>SP01460</t>
  </si>
  <si>
    <t>စီလီကြန္ (အၾကည္)</t>
  </si>
  <si>
    <t>SP01461</t>
  </si>
  <si>
    <t>DC Taster</t>
  </si>
  <si>
    <t>SP01462</t>
  </si>
  <si>
    <t>ေလးပင္</t>
  </si>
  <si>
    <t>SP01463</t>
  </si>
  <si>
    <t>24V DC ပန္႔ကာ</t>
  </si>
  <si>
    <t>SP01464</t>
  </si>
  <si>
    <t>Auto ပန္႕ကတ္ေတာက္</t>
  </si>
  <si>
    <t>SP01465</t>
  </si>
  <si>
    <t>UPG (မဲ)</t>
  </si>
  <si>
    <t>SP01466</t>
  </si>
  <si>
    <t>DC ကားေလထိုးစက္</t>
  </si>
  <si>
    <t>SP01467</t>
  </si>
  <si>
    <t>12V မီးလံုးအခြံ</t>
  </si>
  <si>
    <t>SP01468</t>
  </si>
  <si>
    <t>12V မီးလံုးစံု</t>
  </si>
  <si>
    <t>SP01470</t>
  </si>
  <si>
    <t>SP01472</t>
  </si>
  <si>
    <t>SP01473</t>
  </si>
  <si>
    <t>လႊဝိုင္းေသး (6မ်ိဳး)</t>
  </si>
  <si>
    <t>SP01474</t>
  </si>
  <si>
    <t>ဘရိတ္ဆီ</t>
  </si>
  <si>
    <t>7 1/2 12 ရစ္ပလပ္</t>
  </si>
  <si>
    <t>SP0313</t>
  </si>
  <si>
    <t>6 1/2 အိတ္ေဇာေျပာင္းေဂါက္စတီး</t>
  </si>
  <si>
    <t>SP0405</t>
  </si>
  <si>
    <t>7 ရစ္ပလပ္ GL</t>
  </si>
  <si>
    <t>SP0488</t>
  </si>
  <si>
    <t>1 မီလီ ေက်ာက္ျပား</t>
  </si>
  <si>
    <t>SP0572</t>
  </si>
  <si>
    <t>61/2 /(71/2) ဖလိုင္းဝီွး</t>
  </si>
  <si>
    <t>6 1/2 ဘေလာက္အိုး</t>
  </si>
  <si>
    <t>6 1/2 အင္ဂ်င္ဝိုင္တိုင္းတံ</t>
  </si>
  <si>
    <t>6 1/2 ဆီဖုံး ေကာ္</t>
  </si>
  <si>
    <t>SP0975</t>
  </si>
  <si>
    <t>Kawa 9ေကာင္ပါကင္စံု</t>
  </si>
  <si>
    <t>ZMTMS384</t>
  </si>
  <si>
    <t>(3p)ဝါယာရိန္းset(250CC)</t>
  </si>
  <si>
    <t>ဦးေနဝင္းထြန္း</t>
  </si>
  <si>
    <r>
      <rPr>
        <i/>
        <sz val="11"/>
        <color rgb="FFFF0000"/>
        <rFont val="Zawgyi-One"/>
        <family val="2"/>
      </rPr>
      <t>Customer</t>
    </r>
    <r>
      <rPr>
        <sz val="11"/>
        <color rgb="FFFF0000"/>
        <rFont val="Zawgyi-One"/>
        <family val="2"/>
      </rPr>
      <t xml:space="preserve"> ေၾကြးက်န္</t>
    </r>
  </si>
  <si>
    <r>
      <rPr>
        <i/>
        <sz val="11"/>
        <color rgb="FFFF0000"/>
        <rFont val="Zawgyi-One"/>
        <family val="2"/>
      </rPr>
      <t xml:space="preserve">Bank </t>
    </r>
    <r>
      <rPr>
        <sz val="11"/>
        <color rgb="FFFF0000"/>
        <rFont val="Zawgyi-One"/>
        <family val="2"/>
      </rPr>
      <t>ေၾကြးက်န္</t>
    </r>
  </si>
  <si>
    <r>
      <rPr>
        <b/>
        <i/>
        <sz val="12"/>
        <color theme="0"/>
        <rFont val="Zawgyi-One"/>
        <family val="2"/>
      </rPr>
      <t>2020+2021</t>
    </r>
    <r>
      <rPr>
        <b/>
        <sz val="12"/>
        <color theme="0"/>
        <rFont val="Zawgyi-One"/>
        <family val="2"/>
      </rPr>
      <t xml:space="preserve"> စုစုေပါင္းေၾကြးက်န္ Bank</t>
    </r>
  </si>
  <si>
    <r>
      <t xml:space="preserve"> </t>
    </r>
    <r>
      <rPr>
        <b/>
        <i/>
        <sz val="12"/>
        <color theme="0"/>
        <rFont val="Zawgyi-One"/>
        <family val="2"/>
      </rPr>
      <t xml:space="preserve"> 2021</t>
    </r>
    <r>
      <rPr>
        <b/>
        <sz val="12"/>
        <color theme="0"/>
        <rFont val="Zawgyi-One"/>
        <family val="2"/>
      </rPr>
      <t xml:space="preserve"> သံုးဘီး Bank ေၾကြးက်န္(Opening)            </t>
    </r>
  </si>
  <si>
    <r>
      <rPr>
        <b/>
        <i/>
        <sz val="12"/>
        <color theme="0"/>
        <rFont val="Zawgyi-One"/>
        <family val="2"/>
      </rPr>
      <t xml:space="preserve"> 2020</t>
    </r>
    <r>
      <rPr>
        <b/>
        <sz val="12"/>
        <color theme="0"/>
        <rFont val="Zawgyi-One"/>
        <family val="2"/>
      </rPr>
      <t xml:space="preserve"> သံုးဘီး Bank ေၾကြးက်န္(Opening)                              </t>
    </r>
  </si>
  <si>
    <r>
      <t xml:space="preserve"> </t>
    </r>
    <r>
      <rPr>
        <b/>
        <i/>
        <sz val="12"/>
        <color theme="0"/>
        <rFont val="Zawgyi-One"/>
        <family val="2"/>
      </rPr>
      <t>2020</t>
    </r>
    <r>
      <rPr>
        <b/>
        <sz val="12"/>
        <color theme="0"/>
        <rFont val="Zawgyi-One"/>
        <family val="2"/>
      </rPr>
      <t xml:space="preserve"> သံုးဘီး Bank30%မွ ေၾကြးက်န္(Opening)                     </t>
    </r>
  </si>
  <si>
    <r>
      <t xml:space="preserve"> </t>
    </r>
    <r>
      <rPr>
        <b/>
        <i/>
        <sz val="12"/>
        <color theme="0"/>
        <rFont val="Zawgyi-One"/>
        <family val="2"/>
      </rPr>
      <t>OD</t>
    </r>
    <r>
      <rPr>
        <b/>
        <sz val="12"/>
        <color theme="0"/>
        <rFont val="Zawgyi-One"/>
        <family val="2"/>
      </rPr>
      <t xml:space="preserve"> ေၾကးျပန္ေပါင္းရန္                                                 </t>
    </r>
  </si>
  <si>
    <t>Charges Income from Bank</t>
  </si>
  <si>
    <t>INBank</t>
  </si>
  <si>
    <t>bank charges ရေငြ</t>
  </si>
  <si>
    <t xml:space="preserve">    Bank သို႔ေငြလႊဲ                                                               </t>
  </si>
  <si>
    <r>
      <t xml:space="preserve">   </t>
    </r>
    <r>
      <rPr>
        <b/>
        <i/>
        <sz val="12"/>
        <color theme="0"/>
        <rFont val="Zawgyi-One"/>
        <family val="2"/>
      </rPr>
      <t xml:space="preserve"> Bank</t>
    </r>
    <r>
      <rPr>
        <b/>
        <sz val="12"/>
        <color theme="0"/>
        <rFont val="Zawgyi-One"/>
        <family val="2"/>
      </rPr>
      <t xml:space="preserve"> သို႔ေငြလႊဲ                                                               </t>
    </r>
  </si>
  <si>
    <t>JC004</t>
  </si>
  <si>
    <t>Drawing</t>
  </si>
  <si>
    <t>အျမတ္ေငြမွထုတ္ယူေငြ</t>
  </si>
  <si>
    <t>25 ေကာင္ ဂတ္စကက္(S1115)</t>
  </si>
  <si>
    <t>25 ေကာင္ဘယ္ဒင္(STD)</t>
  </si>
  <si>
    <t>BALL25</t>
  </si>
  <si>
    <t>6305ဆီပိတ္ (J)</t>
  </si>
  <si>
    <t>BALL26</t>
  </si>
  <si>
    <t>BALL28</t>
  </si>
  <si>
    <t>6208 DD(HCH)</t>
  </si>
  <si>
    <t>GBSP072</t>
  </si>
  <si>
    <t>4" ဘီလူးေခါင္း</t>
  </si>
  <si>
    <t>GBSP073</t>
  </si>
  <si>
    <t>ဆီတိုင္ကီ (TRI)</t>
  </si>
  <si>
    <t>MBY0008</t>
  </si>
  <si>
    <t>ကာပရိုက္တာ အဆက္(150)</t>
  </si>
  <si>
    <t>MBY0010</t>
  </si>
  <si>
    <t>5ရြက္ပန္ကာ</t>
  </si>
  <si>
    <t>MBY0022</t>
  </si>
  <si>
    <t>MMS0050</t>
  </si>
  <si>
    <t>Full Set (150)ေရ</t>
  </si>
  <si>
    <t>MMS0209</t>
  </si>
  <si>
    <t>14T/17T ဘက္အံုပင္နယံ(စိပ္ထူ က်ယ္)</t>
  </si>
  <si>
    <t>MMS0215</t>
  </si>
  <si>
    <t>ေသာ့လြတ္ရွည္ (ေကာင္း)</t>
  </si>
  <si>
    <t>MMS030</t>
  </si>
  <si>
    <t>MMS179</t>
  </si>
  <si>
    <t>ပစၥတင္300 STD</t>
  </si>
  <si>
    <t>OW0027</t>
  </si>
  <si>
    <t>OW0185</t>
  </si>
  <si>
    <t>6207 DD</t>
  </si>
  <si>
    <t>SLW0018</t>
  </si>
  <si>
    <t>DC 12V 280W CEM</t>
  </si>
  <si>
    <t>ဆီဖစ္တာျဖဳတ္ခါးပတ္</t>
  </si>
  <si>
    <t>SP01131</t>
  </si>
  <si>
    <t>600X16 ကၽြတ္</t>
  </si>
  <si>
    <t>4"ေက်ာက္စက္ (BODA)G-10</t>
  </si>
  <si>
    <t>SP01167</t>
  </si>
  <si>
    <t>4 ေကာ္ပတ္ခံျပား(စုတ္ခြက္)</t>
  </si>
  <si>
    <t>SP01247</t>
  </si>
  <si>
    <t>အင္ဂ်င္ဝိုင္(Trane)15W(40 6L)</t>
  </si>
  <si>
    <t>SP01475</t>
  </si>
  <si>
    <t>ဘတၳရီဂန္း (12V)</t>
  </si>
  <si>
    <t>SP01476</t>
  </si>
  <si>
    <t>SP01477</t>
  </si>
  <si>
    <t>MMA 300ဝရိန္ပံုး</t>
  </si>
  <si>
    <t>SP01488</t>
  </si>
  <si>
    <t>သံေၾကးခၽြတ္ေဆး (ၾကီး)</t>
  </si>
  <si>
    <t>SP01489</t>
  </si>
  <si>
    <t>အင္ဂ်င္ဝိုင္(Trane)20/50 Gold(1L)</t>
  </si>
  <si>
    <t>SP01490</t>
  </si>
  <si>
    <t>SP01495</t>
  </si>
  <si>
    <t>SP01504</t>
  </si>
  <si>
    <t>Su 50ေရတံခါးစံု</t>
  </si>
  <si>
    <t>SP01505</t>
  </si>
  <si>
    <t>6လက္မ သံျဖတ္လႊကိုင္းကဒ္</t>
  </si>
  <si>
    <t>SP01509</t>
  </si>
  <si>
    <t>4လက္မ(လည္ေခ်ာင္းပိုက္မာ)</t>
  </si>
  <si>
    <t>SP01517</t>
  </si>
  <si>
    <t>ဂီယာဝိုင္ (1Li)</t>
  </si>
  <si>
    <t>SP01518</t>
  </si>
  <si>
    <t>SU80 ေရအုပ္</t>
  </si>
  <si>
    <t>SP01523</t>
  </si>
  <si>
    <t>SP01524</t>
  </si>
  <si>
    <t>SP01527</t>
  </si>
  <si>
    <t>ဘာဂ်ာဂ်ိဳင့္</t>
  </si>
  <si>
    <t>SP01535</t>
  </si>
  <si>
    <t>2T (1 Li)</t>
  </si>
  <si>
    <t>SP01538</t>
  </si>
  <si>
    <t>ဆီဖစ္တာခ်ိန္း</t>
  </si>
  <si>
    <t>Kawa 220 ပါကင္စံု</t>
  </si>
  <si>
    <t>9ေကာင္ ကာပရုိက္တာ</t>
  </si>
  <si>
    <t>SP0338</t>
  </si>
  <si>
    <t>KW 220 ဟတ္ဘား KAWA</t>
  </si>
  <si>
    <t>Kw220 စက္သတ္ခလုတ္</t>
  </si>
  <si>
    <t>SP0565</t>
  </si>
  <si>
    <t>62ဆစ္X 3လိုင္းခ်ိန္း</t>
  </si>
  <si>
    <t>SP0567</t>
  </si>
  <si>
    <t>SP0573</t>
  </si>
  <si>
    <t>390 (13ေကာင္ ပါကင္စံု) NGN</t>
  </si>
  <si>
    <t>အမဲဆီဂန္း (450CC)</t>
  </si>
  <si>
    <t>M10×1.25ေတာက္(စိပ္)</t>
  </si>
  <si>
    <t>SP0716</t>
  </si>
  <si>
    <t>UCP205 ေဘာ</t>
  </si>
  <si>
    <t>SP0793</t>
  </si>
  <si>
    <t>Kawa 7 1/2 လီဘာကိုင္း</t>
  </si>
  <si>
    <t>STL108</t>
  </si>
  <si>
    <t>ZMTMS088</t>
  </si>
  <si>
    <t>ေနာက္ဘရိတ္ရွဴး (ေသး၊ေကာင္း)ရုိးရုိး</t>
  </si>
  <si>
    <t>ZMTMS454</t>
  </si>
  <si>
    <t>(3d)စတပ္ေဘာထိုင္ Lကီးနတ္</t>
  </si>
  <si>
    <t>TotaL Amount</t>
  </si>
  <si>
    <t>BALL2</t>
  </si>
  <si>
    <t>BALL27</t>
  </si>
  <si>
    <t>6302 DD</t>
  </si>
  <si>
    <t>DF0102</t>
  </si>
  <si>
    <t>DF ကလပ္ရွပ္ေဘာပိတ္ (အေပါက္ပါ)</t>
  </si>
  <si>
    <t>DF0103</t>
  </si>
  <si>
    <t>ကလပ္ဆြဲတံ(ေမာင္း)</t>
  </si>
  <si>
    <t>မ/ထ တိုက္ေရာ့အစံု</t>
  </si>
  <si>
    <t>MBY0009</t>
  </si>
  <si>
    <t>ကာပရိုက္တာ အဆက္(250)</t>
  </si>
  <si>
    <t>MBY0011</t>
  </si>
  <si>
    <t>MBY0012</t>
  </si>
  <si>
    <t>သံလိုက္အံု အဖံုး</t>
  </si>
  <si>
    <t>MBY0014</t>
  </si>
  <si>
    <t>ဂ်ိဳင္းကေရာ့တြဲ</t>
  </si>
  <si>
    <t>MBY0018</t>
  </si>
  <si>
    <t>300 ရိန္း(0.25)</t>
  </si>
  <si>
    <t>MBY0020</t>
  </si>
  <si>
    <t>ဂီယာတံ</t>
  </si>
  <si>
    <t>MBY0021</t>
  </si>
  <si>
    <t>စတပ္ေမာ္တာဖံုး</t>
  </si>
  <si>
    <t>MBY0023</t>
  </si>
  <si>
    <t>ဆီဘရိတ္အိုး သံ</t>
  </si>
  <si>
    <t>MBY0024</t>
  </si>
  <si>
    <t>MMS0039</t>
  </si>
  <si>
    <t>တိုက္ပစ္ဖူးစေတာ့ (300)</t>
  </si>
  <si>
    <t>MMS0074</t>
  </si>
  <si>
    <t>MMS0088</t>
  </si>
  <si>
    <t>အဲယားကလင္နာပိုက္ရွည္</t>
  </si>
  <si>
    <t>MMS0210</t>
  </si>
  <si>
    <t>14T/17T ဘက္အံုပင္နယံ(စိပ္ထူ က်ဥ္း)</t>
  </si>
  <si>
    <t>MMS0211</t>
  </si>
  <si>
    <t>14T/17T ဘက္အံုပင္နယံ(စိပ္ပါး က်ယ္)</t>
  </si>
  <si>
    <t>MMS0212</t>
  </si>
  <si>
    <t>14T/17T ဘက္အံုင္နယံ(စိပ္ပါး က်ဥ္း)</t>
  </si>
  <si>
    <t>MMS0213</t>
  </si>
  <si>
    <t>20×55(4P)ဂၽြိဳင္းဂြလြတ္</t>
  </si>
  <si>
    <t>MMS0214</t>
  </si>
  <si>
    <t>ဖူးစေတာ့တံ မဲအလံုးေသး (250)</t>
  </si>
  <si>
    <t>MMS0218</t>
  </si>
  <si>
    <t>ဘေလာက္ (SET)(150)ေရ</t>
  </si>
  <si>
    <t>MMS0219</t>
  </si>
  <si>
    <t>MMS0221</t>
  </si>
  <si>
    <t>ဆီဂိတ္ျပစံု</t>
  </si>
  <si>
    <t>MMS0222</t>
  </si>
  <si>
    <t>မ႑ိဳင္ရိုက္ၾကပ္နတ္(အရစ္စိပ္)(150)</t>
  </si>
  <si>
    <t>MMS0223</t>
  </si>
  <si>
    <t>အိတ္ေဇာထိန္းရာဘာ</t>
  </si>
  <si>
    <t>MMS0224</t>
  </si>
  <si>
    <t>သံုးဘီး ေဘးကာ (လိေမၼာ္)</t>
  </si>
  <si>
    <t>MMS0225</t>
  </si>
  <si>
    <t>20.35.7ဝိုက္စီး</t>
  </si>
  <si>
    <t>MMS0226</t>
  </si>
  <si>
    <t>(5P)ကလပ္ဖိျပား က်ဥ္းA</t>
  </si>
  <si>
    <t>MMS0227</t>
  </si>
  <si>
    <t>(6P)ကလပ္ဖိျပား က်ဥ္းA</t>
  </si>
  <si>
    <t>ကစ္တံအျဖဴ (150)အတို</t>
  </si>
  <si>
    <t>OW0072</t>
  </si>
  <si>
    <t>DF ေပါင္ (ညာ)</t>
  </si>
  <si>
    <t>DF ေပါင္ (ဘယ္)</t>
  </si>
  <si>
    <t>R175190</t>
  </si>
  <si>
    <t>ဘယ္ရင္ R175 (JN)</t>
  </si>
  <si>
    <t>SP01086</t>
  </si>
  <si>
    <t>8 ဝက္အူလွည့္ (Haiboshi)</t>
  </si>
  <si>
    <t>3 မူးလြန္ 1/2(NO.8)</t>
  </si>
  <si>
    <t>SP01264</t>
  </si>
  <si>
    <t>5 မူးလြန္ 3/8)NO.6</t>
  </si>
  <si>
    <t>SP01478</t>
  </si>
  <si>
    <t>12လက္မ လႊကိုင္း</t>
  </si>
  <si>
    <t>SP01480</t>
  </si>
  <si>
    <t>12" ဓါးေစာင္း(မဲ)</t>
  </si>
  <si>
    <t>SP01481</t>
  </si>
  <si>
    <t>6 1/2 ဂတ္စကတ္</t>
  </si>
  <si>
    <t>SP01482</t>
  </si>
  <si>
    <t>ဖလိုင္းဝွီး</t>
  </si>
  <si>
    <t>SP01483</t>
  </si>
  <si>
    <t>GX220/KAWA220 သံပတ္</t>
  </si>
  <si>
    <t>SP01493</t>
  </si>
  <si>
    <t>3K ဖိုင္ဗာကြင္း</t>
  </si>
  <si>
    <t>SP01496</t>
  </si>
  <si>
    <t>5မူး ေရျမွဳပ္ပန္႔ သေရကြင္း</t>
  </si>
  <si>
    <t>SP01497</t>
  </si>
  <si>
    <t>ေလေခါင္း(ေသး)</t>
  </si>
  <si>
    <t>SP01498</t>
  </si>
  <si>
    <t>3K ကာဗြန္အျပား (1စံု)</t>
  </si>
  <si>
    <t>SP01499</t>
  </si>
  <si>
    <t>6900 DD</t>
  </si>
  <si>
    <t>SP01500</t>
  </si>
  <si>
    <t>ဒိုင္နမို အထိုင္ရွည္</t>
  </si>
  <si>
    <t>SP01506</t>
  </si>
  <si>
    <t>4PCS ခ်က္ေခါင္းကီး</t>
  </si>
  <si>
    <t>SP01508</t>
  </si>
  <si>
    <t>စကူဂန္းခ်က္ေခါင္း</t>
  </si>
  <si>
    <t>SP01511</t>
  </si>
  <si>
    <t>SP01512</t>
  </si>
  <si>
    <t>13ေကာင္ အဝိုင္းစီး</t>
  </si>
  <si>
    <t>SP01513</t>
  </si>
  <si>
    <t>9ေကာင္ အဝိုင္းစီး</t>
  </si>
  <si>
    <t>SP01514</t>
  </si>
  <si>
    <t>16ေကာင္ P+R (STD)</t>
  </si>
  <si>
    <t>SP01515</t>
  </si>
  <si>
    <t>SP01519</t>
  </si>
  <si>
    <t>16 လိုင္နာ</t>
  </si>
  <si>
    <t>SP01525</t>
  </si>
  <si>
    <t>အင္ဂ်င္ဝိုင္ (Trane)40 (1l)</t>
  </si>
  <si>
    <t>SP01528</t>
  </si>
  <si>
    <t>10လက္မ လႊဝိုင္း(ျမက္ျဖတ္)</t>
  </si>
  <si>
    <t>SP01529</t>
  </si>
  <si>
    <t>Kawa220 ဖလိုင္းဝွီး</t>
  </si>
  <si>
    <t>SP01530</t>
  </si>
  <si>
    <t>SU80 အိုးခြံ</t>
  </si>
  <si>
    <t>SP01531</t>
  </si>
  <si>
    <t>SU80 ရွပ္(ေခါင္းပါ)</t>
  </si>
  <si>
    <t>SP01532</t>
  </si>
  <si>
    <t>6303 DD(J)</t>
  </si>
  <si>
    <t>SP01536</t>
  </si>
  <si>
    <t>8" ဂြရွင္ နီကယ္</t>
  </si>
  <si>
    <t>SP01537</t>
  </si>
  <si>
    <t>SP01539</t>
  </si>
  <si>
    <t>1.5စူးသြား(ေကာင္း)</t>
  </si>
  <si>
    <t>SP01543</t>
  </si>
  <si>
    <t>4"ေက်ာက္စက္(BS-100)</t>
  </si>
  <si>
    <t>SP01544</t>
  </si>
  <si>
    <t>ပုလင္းေက်ာက္စက္(ေသးေကာ္)</t>
  </si>
  <si>
    <t>SP0177</t>
  </si>
  <si>
    <t>12ရစ္ပလပ္Kawa ဓာတ္ဆီစက္</t>
  </si>
  <si>
    <t>SP0220</t>
  </si>
  <si>
    <t>ေပါင္းရွင္းေခါင္း</t>
  </si>
  <si>
    <t>SP0359</t>
  </si>
  <si>
    <t>SP0360</t>
  </si>
  <si>
    <t>SP0438</t>
  </si>
  <si>
    <t>8လက္မ ပလာယာ</t>
  </si>
  <si>
    <t>SP0530</t>
  </si>
  <si>
    <t>SP0570</t>
  </si>
  <si>
    <t>SP0597</t>
  </si>
  <si>
    <t>KW 390 ပါကင္စံု KAWA</t>
  </si>
  <si>
    <t>SP0602</t>
  </si>
  <si>
    <t>139ျမက္ရိတ္စက္(ဘရိတ္ရွဴး)</t>
  </si>
  <si>
    <t>SP0647</t>
  </si>
  <si>
    <t>12V DC ေရေပၚပန္႔(Peacock)</t>
  </si>
  <si>
    <t>SP0699</t>
  </si>
  <si>
    <t>4လက္မ LiLi ပန္</t>
  </si>
  <si>
    <t>SP0706</t>
  </si>
  <si>
    <t>10M ေပဗူး(အၾကည္)KST</t>
  </si>
  <si>
    <t>SP0720</t>
  </si>
  <si>
    <t>20အုတ္ေဖာက္စက္ (Zhongtai)</t>
  </si>
  <si>
    <t>SP0776</t>
  </si>
  <si>
    <t>5M ေပဗူး(USA)ရာဘာအျပာ</t>
  </si>
  <si>
    <t>(154)3 1/2 ပါကင္စံု</t>
  </si>
  <si>
    <t>Sum of TotaL Amount</t>
  </si>
  <si>
    <t>Power Winner</t>
  </si>
  <si>
    <t>U SAN THU(JJ Family)</t>
  </si>
  <si>
    <t>BTY0002</t>
  </si>
  <si>
    <t>အက္စစ္ (4ပုလင္း)GR</t>
  </si>
  <si>
    <t>BTY0004</t>
  </si>
  <si>
    <t>အက္စစ္ (9ပုလင္း)GR</t>
  </si>
  <si>
    <t>BTY0005</t>
  </si>
  <si>
    <t>မိုးေရ (1L)</t>
  </si>
  <si>
    <t>BTY0014</t>
  </si>
  <si>
    <t>RP NS40</t>
  </si>
  <si>
    <t>DF0044</t>
  </si>
  <si>
    <t>GBSP0476</t>
  </si>
  <si>
    <t>ထရန္စဖာၾကိဳး(ခု) 250CC</t>
  </si>
  <si>
    <t>300 ဘေလာက္set</t>
  </si>
  <si>
    <t>ကာပရိုက္တာ(1ပင္)(250)</t>
  </si>
  <si>
    <t>MBY0026</t>
  </si>
  <si>
    <t>ေနာက္မီးတန္း set (LED)</t>
  </si>
  <si>
    <t>MBY0029</t>
  </si>
  <si>
    <t>150 ရိန္း(STD)</t>
  </si>
  <si>
    <t>MBY0030</t>
  </si>
  <si>
    <t>20×50 ဂၽြိဳင္းေဘာ</t>
  </si>
  <si>
    <t>MBY0037</t>
  </si>
  <si>
    <t>MBY0038</t>
  </si>
  <si>
    <t>ဆီဘရိတ္ရွဴးၾကီး(250CC)</t>
  </si>
  <si>
    <t>MBY0040</t>
  </si>
  <si>
    <t>ဆီမာစတာပန္႔ (1 ပိုက္သံ)</t>
  </si>
  <si>
    <t>MBY0047</t>
  </si>
  <si>
    <t>MBY0052</t>
  </si>
  <si>
    <t>ထရန္စဖာၾကိဳး ဂြ+ဂြင္း</t>
  </si>
  <si>
    <t>MBY0056</t>
  </si>
  <si>
    <t>စပါယ္ဖူး</t>
  </si>
  <si>
    <t>500X12 ကၽြတ္</t>
  </si>
  <si>
    <t>MMS00237</t>
  </si>
  <si>
    <t>12T ဘက္အံုပင္နယံ ကလစ္လိုင္းပါ(62/28)</t>
  </si>
  <si>
    <t>MMS0025</t>
  </si>
  <si>
    <t>39Tအင္ဂ်င္ဝိုင္ပန္႔တန္းပါ</t>
  </si>
  <si>
    <t>MMS0054</t>
  </si>
  <si>
    <t>ခရုဟြန္း (1ခု)(အမဲ)</t>
  </si>
  <si>
    <t>31-43-10.5 ေရွာ့ဘားဝိုင္းစိး</t>
  </si>
  <si>
    <t>MMS0129</t>
  </si>
  <si>
    <t>ဘတၳရီ ေၾကးကလစ္(ခု)</t>
  </si>
  <si>
    <t>MMS0230</t>
  </si>
  <si>
    <t>ဘက္ဂီယာအံု (150-300)</t>
  </si>
  <si>
    <t>MMS0231</t>
  </si>
  <si>
    <t>တံခါးခ်ိတ္(လြတ္)A</t>
  </si>
  <si>
    <t>MMS0232</t>
  </si>
  <si>
    <t>ဘက္ဟြန္း(2ပင္)</t>
  </si>
  <si>
    <t>MMS0239</t>
  </si>
  <si>
    <t>ေနာက္ဟက္ဒြမ္(5p)6206/150A</t>
  </si>
  <si>
    <t>MMS0243</t>
  </si>
  <si>
    <t>MMS0247</t>
  </si>
  <si>
    <t>ဟိုက္ဘာေလး 6cm</t>
  </si>
  <si>
    <t>MMS0249</t>
  </si>
  <si>
    <t>အခ်က္ျပမီး (သရက္သီး)</t>
  </si>
  <si>
    <t>MMS0252</t>
  </si>
  <si>
    <t>ဆီမာစတာပန္႔(1ပိုက္)သတၱဳ</t>
  </si>
  <si>
    <t>MMS0260</t>
  </si>
  <si>
    <t>ထရန္စဖာၾကိဳး (1.3)(မဲ)ကေရာင္း</t>
  </si>
  <si>
    <t>MMS0263</t>
  </si>
  <si>
    <t>39T အင္ဂ်င္ဝိုင္ပန္႔ရိုးရိုး</t>
  </si>
  <si>
    <t>MMS0268</t>
  </si>
  <si>
    <t>ပစၥတင္(250)(STD)</t>
  </si>
  <si>
    <t>စပယ္ဖူးခြဲနတ္ေခါင္း</t>
  </si>
  <si>
    <t>MMS085</t>
  </si>
  <si>
    <t>ပစၥတင္ (150/175)(STD)0.03A</t>
  </si>
  <si>
    <t>3×2ပူလီ (တစ္ဘီးေထာင္)</t>
  </si>
  <si>
    <t>3×2ပူလီ (ၾကား/ေဘာပူလီ)</t>
  </si>
  <si>
    <t>OW078</t>
  </si>
  <si>
    <t>B50ခ်ိန္း</t>
  </si>
  <si>
    <t>R1750001</t>
  </si>
  <si>
    <t>SP01027</t>
  </si>
  <si>
    <t>13/16 အိတ္ေဇာေျပာင္းေဂါက္</t>
  </si>
  <si>
    <t>3x2ပူလီ အတြင္း(20mm)</t>
  </si>
  <si>
    <t>SP01125</t>
  </si>
  <si>
    <t>မီးသတ္ေနာ္ဇယ္ 2လက္မ</t>
  </si>
  <si>
    <t>SP01221</t>
  </si>
  <si>
    <t>ဘကၳရီကလစ္ႀကီး(စံု)</t>
  </si>
  <si>
    <t>SP01233</t>
  </si>
  <si>
    <t>ေလထိုးပိုက္ေလအိုးပါ</t>
  </si>
  <si>
    <t>SP01275</t>
  </si>
  <si>
    <t>SP01302</t>
  </si>
  <si>
    <t>တံစဥ္းျပားႀကီး 10လက္မ</t>
  </si>
  <si>
    <t>8 ဂြင္းဂြ</t>
  </si>
  <si>
    <t>2T(Trane) (0.5L)</t>
  </si>
  <si>
    <t>အင္ဂ်င္ဝိုင္(Trane)15W40 (1L)</t>
  </si>
  <si>
    <t>ပါဝါဆီ (Trane) 32 (1l)</t>
  </si>
  <si>
    <t>SP01546</t>
  </si>
  <si>
    <t>SB58 ခ်ိန္း</t>
  </si>
  <si>
    <t>SP01549</t>
  </si>
  <si>
    <t>50 UF</t>
  </si>
  <si>
    <t>SP01555</t>
  </si>
  <si>
    <t>Blower ကာပရိုက္တာ</t>
  </si>
  <si>
    <t>SP01559</t>
  </si>
  <si>
    <t>SP01562</t>
  </si>
  <si>
    <t>တိတ္(ၾကီး)</t>
  </si>
  <si>
    <t>SP01565</t>
  </si>
  <si>
    <t>18 ေကာင္ဂတ္စကတ္</t>
  </si>
  <si>
    <t>SP01566</t>
  </si>
  <si>
    <t>ဂီယာဝိုင္(Trane)90(1L)</t>
  </si>
  <si>
    <t>SP01570</t>
  </si>
  <si>
    <t>13ေကာင္ ဆီတိုင္ကီ KAWA</t>
  </si>
  <si>
    <t>SP01572</t>
  </si>
  <si>
    <t>9 Pcs Lကီး SET</t>
  </si>
  <si>
    <t>SP01573</t>
  </si>
  <si>
    <t>6 1/2 ေျပာင္းေျဖာင့္</t>
  </si>
  <si>
    <t>SP01575</t>
  </si>
  <si>
    <t>ဘရိတ္ဆီ (Trane)(0.5 L)</t>
  </si>
  <si>
    <t>SP01595</t>
  </si>
  <si>
    <t>ဓါးေခါင္း (28)</t>
  </si>
  <si>
    <t>ကလပ္ခြက္စံု (26)</t>
  </si>
  <si>
    <t>2/3လက္မ ကပ္ပန္႕အဝိုင္းစီး တို</t>
  </si>
  <si>
    <t>ဘတၳရီ ညွပ္ကလစ္(စံု)</t>
  </si>
  <si>
    <t>SU 50 အင္ပယ္လာ</t>
  </si>
  <si>
    <t>6" ပလပ္စပန္နာ(ယိုး)</t>
  </si>
  <si>
    <t>SP0414</t>
  </si>
  <si>
    <t>ေၾကးကလစ္ၾကီး</t>
  </si>
  <si>
    <t>3ပင္ေခါင္းၾကီး</t>
  </si>
  <si>
    <t>AC ေရျမဳပ္(0.5HP)Arrman</t>
  </si>
  <si>
    <t>SP0805</t>
  </si>
  <si>
    <t>SP0828</t>
  </si>
  <si>
    <t>DF ကလပ္ေဘာထိုင္</t>
  </si>
  <si>
    <t>STL040</t>
  </si>
  <si>
    <t>DC Battery Blower</t>
  </si>
  <si>
    <t>STL171</t>
  </si>
  <si>
    <t>SU50 အိုးခြံ</t>
  </si>
  <si>
    <t>STL172</t>
  </si>
  <si>
    <t>2အဝင္ 2အထြက္ေဆာ့ကဒ္</t>
  </si>
  <si>
    <t>18 ေကာင္အိတ္ေဇာဗူး</t>
  </si>
  <si>
    <t>18 ရိန္း (ထပ္)</t>
  </si>
  <si>
    <t>22 ေကာင္အမ္းဖုံး</t>
  </si>
  <si>
    <t>22 ေကာင္ ပစၥတင္</t>
  </si>
  <si>
    <t>22 ေကာင္အဲယားဗူး</t>
  </si>
  <si>
    <t>22 ေကာင္စလစ္ကစ္ဆက္စံု</t>
  </si>
  <si>
    <t>22 ေကာင္ 8×3ပူလီ</t>
  </si>
  <si>
    <t>BTY0001</t>
  </si>
  <si>
    <t>အက္စစ္ (1ပုလင္း)GR</t>
  </si>
  <si>
    <t>BTY0003</t>
  </si>
  <si>
    <t>အက္စစ္ (7ပုလင္း)GR</t>
  </si>
  <si>
    <t>BTY0006</t>
  </si>
  <si>
    <t>ခဲေခါင္းၾကီး</t>
  </si>
  <si>
    <t>BTY0007</t>
  </si>
  <si>
    <t>GS 40ZL</t>
  </si>
  <si>
    <t>BTY0008</t>
  </si>
  <si>
    <t>GS 45L</t>
  </si>
  <si>
    <t>BTY0009</t>
  </si>
  <si>
    <t>GS 50Z</t>
  </si>
  <si>
    <t>BTY0010</t>
  </si>
  <si>
    <t>GS 70</t>
  </si>
  <si>
    <t>BTY0011</t>
  </si>
  <si>
    <t>GS 100(တို)</t>
  </si>
  <si>
    <t>BTY0012</t>
  </si>
  <si>
    <t>GS 100(ရွည္)</t>
  </si>
  <si>
    <t>BTY0013</t>
  </si>
  <si>
    <t>GS 120</t>
  </si>
  <si>
    <t>BTY0015</t>
  </si>
  <si>
    <t>RP NS40ZL</t>
  </si>
  <si>
    <t>BTY0016</t>
  </si>
  <si>
    <t>BTY0019</t>
  </si>
  <si>
    <t>HRX N-35</t>
  </si>
  <si>
    <t>DF0041</t>
  </si>
  <si>
    <t>DF0042</t>
  </si>
  <si>
    <t>DF ဆိုက္ကလပ္ႏႈတ္ခမ္းေမႊး</t>
  </si>
  <si>
    <t>DF0043</t>
  </si>
  <si>
    <t>DF ကလပ္နပ္သေရ</t>
  </si>
  <si>
    <t>DF0045</t>
  </si>
  <si>
    <t>DFကလပ္အံု စပလိန္</t>
  </si>
  <si>
    <t>600X14 တာယာ+ကၽြတ္(YGN)</t>
  </si>
  <si>
    <t>EM185017</t>
  </si>
  <si>
    <t>EM185 ရိန္း</t>
  </si>
  <si>
    <t>EM185018</t>
  </si>
  <si>
    <t>EM185 ဘယ္ရင္ျခမ္း (STD)</t>
  </si>
  <si>
    <t>GBSP074</t>
  </si>
  <si>
    <t>ေနာ္ဇယ္ကစ္ဆက္R-175/180</t>
  </si>
  <si>
    <t>GBSP075</t>
  </si>
  <si>
    <t>GBSP076</t>
  </si>
  <si>
    <t>GBSP077</t>
  </si>
  <si>
    <t>အမ္းဖံုး Q-185</t>
  </si>
  <si>
    <t>GBSP078</t>
  </si>
  <si>
    <t>22ေကာင္ ပင္နယံစံု S-195/28/32(JN)</t>
  </si>
  <si>
    <t>GBSP081</t>
  </si>
  <si>
    <t>GBSP082</t>
  </si>
  <si>
    <t>GBSP083</t>
  </si>
  <si>
    <t>22 ေကာင္စလစ္+(စီးကြင္းပါ)(JN)</t>
  </si>
  <si>
    <t>GBSP085</t>
  </si>
  <si>
    <t>25 ေကာင္ပစၥတင္(JN)</t>
  </si>
  <si>
    <t>GBSP086</t>
  </si>
  <si>
    <t>R180 ကရိုင္း(3ေပါက္)ကလစ္လိုင္းပါ(လြတ္)JN</t>
  </si>
  <si>
    <t>150 ဘေလာက္set(ေရ)</t>
  </si>
  <si>
    <t>MBY0035</t>
  </si>
  <si>
    <t>MBY0036</t>
  </si>
  <si>
    <t>37 အင္ဂ်င္ဝိုင္ပန္႔ရိုးရိုး</t>
  </si>
  <si>
    <t>MBY0042</t>
  </si>
  <si>
    <t>ကာပရိုက္တာ (150)</t>
  </si>
  <si>
    <t>MBY0044</t>
  </si>
  <si>
    <t>4ေပါက္ေဂြ(500×12)</t>
  </si>
  <si>
    <t>MBY0051</t>
  </si>
  <si>
    <t>ဆီဘရိတ္အိုး သတၱဳ</t>
  </si>
  <si>
    <t>MBY0055</t>
  </si>
  <si>
    <t>ကလပ္အံုဖံုး</t>
  </si>
  <si>
    <t>MMS0065</t>
  </si>
  <si>
    <t>22X55(4P)ဂၽြိဳင္းဂြလြတ္</t>
  </si>
  <si>
    <t>ကာပရိုက္တာ (2 ပင္)(200/250)</t>
  </si>
  <si>
    <t>MMS0195</t>
  </si>
  <si>
    <t>အခ်က္ျပမီး(set)ဖိုက္တာေခါင္း</t>
  </si>
  <si>
    <t>MMS0228</t>
  </si>
  <si>
    <t>ရိုးရိုးဘရိတ္ရွဴးျခမ္း 180A</t>
  </si>
  <si>
    <t>MMS0233</t>
  </si>
  <si>
    <t>ဘက္ဟြန္း(ေကာင္း)</t>
  </si>
  <si>
    <t>MMS0234</t>
  </si>
  <si>
    <t>ဘက္ရွပ္တို ေဘာထိုင္မပါ( 35cm)</t>
  </si>
  <si>
    <t>MMS0236</t>
  </si>
  <si>
    <t>MMS0238</t>
  </si>
  <si>
    <t>ေနာက္ဟက္ဒြမ္(5p)6008/150A</t>
  </si>
  <si>
    <t>MMS0241</t>
  </si>
  <si>
    <t>တူးေဘာက္ကူရွင္ ေလးေထာင့္/ဝိုင္း</t>
  </si>
  <si>
    <t>MMS0244</t>
  </si>
  <si>
    <t>ထရန္စဖာထိုးတံအဝိုင္း(ခါး)ထိုင္ပါ</t>
  </si>
  <si>
    <t>MMS0245</t>
  </si>
  <si>
    <t>ထရန္စဖာထိုးတံအခၽြန္(ခါး)ထုိုင္ပါ</t>
  </si>
  <si>
    <t>MMS0248</t>
  </si>
  <si>
    <t>အဲကလင္နာ (set)ပိုက္ေကာက္</t>
  </si>
  <si>
    <t>MMS0250</t>
  </si>
  <si>
    <t>အခ်က္ျပမီး (set)ဝိုင္းခၽြန္</t>
  </si>
  <si>
    <t>MMS0251</t>
  </si>
  <si>
    <t>အခ်က္ျပမီး (set)ေဒါင့္ရွည္</t>
  </si>
  <si>
    <t>MMS0253</t>
  </si>
  <si>
    <t>မီးခလုပ္(L)</t>
  </si>
  <si>
    <t>MMS0254</t>
  </si>
  <si>
    <t>ပန္ကာခလုပ္လြတ္A</t>
  </si>
  <si>
    <t>MMS0255</t>
  </si>
  <si>
    <t>ဘက္ရွပ္(ရွည္)23T/76cmပန္း/ဝိုင္း(6009/6209)</t>
  </si>
  <si>
    <t>MMS0256</t>
  </si>
  <si>
    <t>ဒိုင္အုပ္လတ္ (6ဆ)</t>
  </si>
  <si>
    <t>MMS0257</t>
  </si>
  <si>
    <t>63/28 မိန္းေဘာ</t>
  </si>
  <si>
    <t>MMS0258</t>
  </si>
  <si>
    <t>ပလပ္ကြိဳင္A</t>
  </si>
  <si>
    <t>MMS0259</t>
  </si>
  <si>
    <t>MMS0261</t>
  </si>
  <si>
    <t>ထရန္စဖာၾကိဳး (1.4)(မဲ)ကေရာင္း</t>
  </si>
  <si>
    <t>MMS0262</t>
  </si>
  <si>
    <t>ကလပ္အံု (set)(150/6ခ်ပ္)(ေလ)ရပစ္</t>
  </si>
  <si>
    <t>MMS0264</t>
  </si>
  <si>
    <t>ရိန္း(250-70)(std)နွစ္ထပ္</t>
  </si>
  <si>
    <t>MMS0265</t>
  </si>
  <si>
    <t>ရိန္း(250-70)(25)နွစ္ထပ္</t>
  </si>
  <si>
    <t>MMS0266</t>
  </si>
  <si>
    <t>ရိန္း(250-70)(50)နွစ္ထပ္</t>
  </si>
  <si>
    <t>MMS0267</t>
  </si>
  <si>
    <t>ရိန္း(250-70)(75)နွစ္ထပ္</t>
  </si>
  <si>
    <t>MMS0269</t>
  </si>
  <si>
    <t>ပစၥတင္(250)(25)</t>
  </si>
  <si>
    <t>MMS0270</t>
  </si>
  <si>
    <t>ပစၥတင္(250)(75)</t>
  </si>
  <si>
    <t>MMS0271</t>
  </si>
  <si>
    <t>စပါယ္ဖူးအထိုင္က်ယ္(6204)</t>
  </si>
  <si>
    <t>MMS0272</t>
  </si>
  <si>
    <t>စပါယ္ဖူးအထိုင္က်ဥ္း(6004)</t>
  </si>
  <si>
    <t>MMS0273</t>
  </si>
  <si>
    <t>32609 ေဇာင္းေဘာ (Koyo)</t>
  </si>
  <si>
    <t>MMS0274</t>
  </si>
  <si>
    <t>အိတ္ေဇာစလင္ဒါ(ရွည္)ခ်ိတ္ပါ</t>
  </si>
  <si>
    <t>MMS0275</t>
  </si>
  <si>
    <t>ေနာက္မားကဒ္(သံ) L+R</t>
  </si>
  <si>
    <t>MMS0276</t>
  </si>
  <si>
    <t>စီဒီအိုင္ ေဆာ့ကဒ္</t>
  </si>
  <si>
    <t>MMS0277</t>
  </si>
  <si>
    <t>ဝင္ရိုး 30cm(304A)</t>
  </si>
  <si>
    <t>MMS0278</t>
  </si>
  <si>
    <t>ဝင္ရိုး 32cm(304A)</t>
  </si>
  <si>
    <t>MMS0280</t>
  </si>
  <si>
    <t>16003 ကလပ္ေဘာ BER</t>
  </si>
  <si>
    <t>MMS0281</t>
  </si>
  <si>
    <t>ေရွ႔ေဖာက္ေဘးကာဗာ</t>
  </si>
  <si>
    <t>MMS0282</t>
  </si>
  <si>
    <t>ေလးပုခက္ (SET)ေသး</t>
  </si>
  <si>
    <t>MMS0283</t>
  </si>
  <si>
    <t>ေရွ႔ဘရိတ္ၾကိဳး(150/250)(1.5)</t>
  </si>
  <si>
    <t>MMS040</t>
  </si>
  <si>
    <t>ဘတၳရီ ေၾကးကလစ္ေသး</t>
  </si>
  <si>
    <t>MMS146</t>
  </si>
  <si>
    <t>ကာပရိုက္တာ(2 ပင္)(150)</t>
  </si>
  <si>
    <t>NT70 ဘားကိုက္</t>
  </si>
  <si>
    <t>NT70007</t>
  </si>
  <si>
    <t>NT70 ဂတ္စကတ္</t>
  </si>
  <si>
    <t>NT70010</t>
  </si>
  <si>
    <t>NT 70 ကြန္နတ္တင္း</t>
  </si>
  <si>
    <t>NT70 ဂါဂ်ီပင္</t>
  </si>
  <si>
    <t>NT70041</t>
  </si>
  <si>
    <t>NT70 ေနာ္ဇယ္အံု</t>
  </si>
  <si>
    <t>NT70042</t>
  </si>
  <si>
    <t>NT70 ဘားကြင္း</t>
  </si>
  <si>
    <t>NT70051</t>
  </si>
  <si>
    <t>NT 70ဘားေစ့</t>
  </si>
  <si>
    <t>NT70052</t>
  </si>
  <si>
    <t>NT 70အင္ဂ်င္ဝိုင္ပိတ္အဖံုး</t>
  </si>
  <si>
    <t>NT70053</t>
  </si>
  <si>
    <t>NT 70ဖူးစေတာ့တံ</t>
  </si>
  <si>
    <t>NT70054</t>
  </si>
  <si>
    <t>NT 70ေလရႈိက္ဘား</t>
  </si>
  <si>
    <t>NT80019</t>
  </si>
  <si>
    <t>NT80 ဂါဂ်ီပင္</t>
  </si>
  <si>
    <t>NT80027</t>
  </si>
  <si>
    <t>NT80 ဂတ္စကက္</t>
  </si>
  <si>
    <t>OKBT0009</t>
  </si>
  <si>
    <t>A40 (ယိုး)</t>
  </si>
  <si>
    <t>OKBT0011</t>
  </si>
  <si>
    <t>B66 ပူလီႀကိဳး</t>
  </si>
  <si>
    <t>OW0096</t>
  </si>
  <si>
    <t>B 35ခ်ိန္း</t>
  </si>
  <si>
    <t>R1750008</t>
  </si>
  <si>
    <t>ေကာ္နတင္း Q-175(JN)</t>
  </si>
  <si>
    <t>R180065</t>
  </si>
  <si>
    <t>R180 ဟက္စံုခၽြန္ (JN)</t>
  </si>
  <si>
    <t>SP0105</t>
  </si>
  <si>
    <t>နွစ္ထပ္ တိပ္(ေကာင္း)</t>
  </si>
  <si>
    <t>SP0106</t>
  </si>
  <si>
    <t>M 1/4×20 ေတာက္</t>
  </si>
  <si>
    <t>SP0107</t>
  </si>
  <si>
    <t>ဘတၳရီအားသြင္းစက္(Charger)</t>
  </si>
  <si>
    <t>SP01202</t>
  </si>
  <si>
    <t>12.5 စူးသြား</t>
  </si>
  <si>
    <t>ဘတၳရီကလစ္ေသး(စံု)</t>
  </si>
  <si>
    <t>SP01445</t>
  </si>
  <si>
    <t>ေလးဘြတ္</t>
  </si>
  <si>
    <t>SP0151</t>
  </si>
  <si>
    <t>ကားေရေဆးေခါင္း</t>
  </si>
  <si>
    <t>SP01547</t>
  </si>
  <si>
    <t>ေလထိုးတံ ပိုက္+ေခါင္း</t>
  </si>
  <si>
    <t>SP01548</t>
  </si>
  <si>
    <t>12ရက္ခ်က္ဂြ</t>
  </si>
  <si>
    <t>SP01550</t>
  </si>
  <si>
    <t>နွစ္ဆင့္ခလုပ္</t>
  </si>
  <si>
    <t>SP01551</t>
  </si>
  <si>
    <t>4ဆ ေသာ့အံု</t>
  </si>
  <si>
    <t>SP01554</t>
  </si>
  <si>
    <t>Blower ကြိဳင္</t>
  </si>
  <si>
    <t>SP01558</t>
  </si>
  <si>
    <t>6 1/2 အိတ္ေဇာနတ္</t>
  </si>
  <si>
    <t>SP01560</t>
  </si>
  <si>
    <t>6009DD</t>
  </si>
  <si>
    <t>SP01561</t>
  </si>
  <si>
    <t>တိတ္(ေသး)</t>
  </si>
  <si>
    <t>SP01563</t>
  </si>
  <si>
    <t>7 1/2×2 ရြက္ပန္ကာ</t>
  </si>
  <si>
    <t>SP01568</t>
  </si>
  <si>
    <t>ဘတၳရီ Charger(7-12v/Auto)</t>
  </si>
  <si>
    <t>SP01569</t>
  </si>
  <si>
    <t>SP01571</t>
  </si>
  <si>
    <t>သံေၾကးခၽြတ္ေဆး (လတ္)</t>
  </si>
  <si>
    <t>SP01574</t>
  </si>
  <si>
    <t>30.40.7ဝိုက္စီး</t>
  </si>
  <si>
    <t>SP01576</t>
  </si>
  <si>
    <t>35 ရိန္း</t>
  </si>
  <si>
    <t>SP01578</t>
  </si>
  <si>
    <t>SP01579</t>
  </si>
  <si>
    <t>32.50.8</t>
  </si>
  <si>
    <t>SP01581</t>
  </si>
  <si>
    <t>ကားေရေဆးပိုက္</t>
  </si>
  <si>
    <t>SP01582</t>
  </si>
  <si>
    <t>ကစလပန္႔ 5×2</t>
  </si>
  <si>
    <t>SP01583</t>
  </si>
  <si>
    <t>ဓါးေခါင္း (26)</t>
  </si>
  <si>
    <t>SP01584</t>
  </si>
  <si>
    <t>6 1/2 ေကာ္ဘီးဝိုင္း</t>
  </si>
  <si>
    <t>SP01586</t>
  </si>
  <si>
    <t>30206ေဘာ</t>
  </si>
  <si>
    <t>SP01587</t>
  </si>
  <si>
    <t>SP01588</t>
  </si>
  <si>
    <t>12" ဟက္ဒရမ္ 7×8</t>
  </si>
  <si>
    <t>SP01589</t>
  </si>
  <si>
    <t>မီးသတ္ေနာ္ဇယ္ 3လက္မ</t>
  </si>
  <si>
    <t>SP01590</t>
  </si>
  <si>
    <t>ေမာ္တာ(1/4)အုန္းျခစ္</t>
  </si>
  <si>
    <t>SP01591</t>
  </si>
  <si>
    <t>အုန္းျခစ္ဆူးလံုး</t>
  </si>
  <si>
    <t>SP01592</t>
  </si>
  <si>
    <t>မီးစက္တြဲ ဆီေကာ့</t>
  </si>
  <si>
    <t>SP01593</t>
  </si>
  <si>
    <t>ေလပစ္ဂန္း နွစ္ဖက္ညွပ္</t>
  </si>
  <si>
    <t>SP01594</t>
  </si>
  <si>
    <t>ေလဗစ္ဆံ 4.4(ယိုး)</t>
  </si>
  <si>
    <t>SP01596</t>
  </si>
  <si>
    <t>SP01597</t>
  </si>
  <si>
    <t>မီးေဆာ့ကဒ္ ေၾကြ</t>
  </si>
  <si>
    <t>SP01598</t>
  </si>
  <si>
    <t>စပိုက္တာေဘာဖံုး(ေပါက္ပါ)</t>
  </si>
  <si>
    <t>SP01599</t>
  </si>
  <si>
    <t>H ကေတာ့ (ရိုးရိုး)</t>
  </si>
  <si>
    <t>SP01600</t>
  </si>
  <si>
    <t>SP01601</t>
  </si>
  <si>
    <t>SP01603</t>
  </si>
  <si>
    <t>30207ေဘာ</t>
  </si>
  <si>
    <t>SP01604</t>
  </si>
  <si>
    <t>30208ေဘာ</t>
  </si>
  <si>
    <t>SP01605</t>
  </si>
  <si>
    <t>30209ေဘာ</t>
  </si>
  <si>
    <t>SP01606</t>
  </si>
  <si>
    <t>6202DD</t>
  </si>
  <si>
    <t>SP01607</t>
  </si>
  <si>
    <t>12" ဟက္ဒရမ္ 8×9</t>
  </si>
  <si>
    <t>SP01608</t>
  </si>
  <si>
    <t>4လက္မ(ကစလ)ပန္႔အင္ပါယ္လာ(4)</t>
  </si>
  <si>
    <t>10လက္မ ဂစ္ပလာယာ(ေကာင္း)</t>
  </si>
  <si>
    <t>SP0336</t>
  </si>
  <si>
    <t>3လက္မ × 2လိုင္းဟြန္ဒါပူလီ</t>
  </si>
  <si>
    <t>SP0370</t>
  </si>
  <si>
    <t>ခ်ိန္းပူလာ(ခ်ိန္းျဖတ္)</t>
  </si>
  <si>
    <t>SU50 အဖုံးမဲ</t>
  </si>
  <si>
    <t>DC ေရျမဳပ္ကာဗြန္</t>
  </si>
  <si>
    <t>4လက္မ(ကစလ)ပန္႔အင္ပါယ္လာ(8)</t>
  </si>
  <si>
    <t>SP0594</t>
  </si>
  <si>
    <t>DC 12V 500W ဒိုင္နမုိ</t>
  </si>
  <si>
    <t>SP0605</t>
  </si>
  <si>
    <t>SP0686</t>
  </si>
  <si>
    <t>3×2ပူလီ အတြင္း(20mm)တစ္ဘီး(ခံုျပာ)</t>
  </si>
  <si>
    <t>SP0764</t>
  </si>
  <si>
    <t>ေဟာ္လန္စကၠဴ(ထူ)</t>
  </si>
  <si>
    <t>STL170</t>
  </si>
  <si>
    <t>SNB 80(3လက္မကပ္ပန္႔)</t>
  </si>
  <si>
    <t>STL173</t>
  </si>
  <si>
    <t>2အဝင္ 1ခြဲအထြက္ေဆာ့ကဒ္</t>
  </si>
  <si>
    <t>STL174</t>
  </si>
  <si>
    <t>3အဝင္ 1ခြဲသတၱဳေဆာ့ကဒ္</t>
  </si>
  <si>
    <t>ZMTMS170</t>
  </si>
  <si>
    <t>(3a) ကလပ္ျပားဖိ (5 ေပါက္ ၊ က်ယ္)</t>
  </si>
  <si>
    <t>ZMTMS223</t>
  </si>
  <si>
    <t>(3l) NNJ ဘက္ဂီယာေပါက္ (ရိုးရိုး၊A)-ဂၽြိဳင္းပါ</t>
  </si>
  <si>
    <t>Sum of Profit</t>
  </si>
  <si>
    <t>ဝင်ငွေ</t>
  </si>
  <si>
    <t>ထွက်ငွေ</t>
  </si>
  <si>
    <t>လက်ကျန်</t>
  </si>
  <si>
    <t>နတ်အရောင်း</t>
  </si>
  <si>
    <t>နတ်အရောင်းဝင်ငွေ</t>
  </si>
  <si>
    <t xml:space="preserve">သုံးဘီးအရောင်းဝင်ငွေHP+Cash </t>
  </si>
  <si>
    <t>(+)သုံးဘီးအတိုးဝင်ငွေ</t>
  </si>
  <si>
    <t>(-) သုံးဘီးအတိုးငွေမှ ပြန်ပေးငွေ</t>
  </si>
  <si>
    <t>(-) သုံးဘီးကြွေးကျန်ပေါင်း</t>
  </si>
  <si>
    <t>သုံးဘီးCash+DPMကြွေးကျန်မှရငွေ</t>
  </si>
  <si>
    <t>(-) သုံးဘီးလွှဲငွေများ</t>
  </si>
  <si>
    <t>Customer သို့ပြန်ပေးငွေ</t>
  </si>
  <si>
    <t>(-) Cash 300cc (1)စီးအတွက် ကော်မရှင်ရငွေ</t>
  </si>
  <si>
    <t>လက်ငင်းအဝယ်</t>
  </si>
  <si>
    <t>ကြွေးဝင်ငွေ/ဘဏ်ကြွေးဆပ်</t>
  </si>
  <si>
    <t>ကြွေးဝင်ငွေ(2019) GBS</t>
  </si>
  <si>
    <t>ကြွေးဝင်ငွေ(2019) USM</t>
  </si>
  <si>
    <t>ကြွေးဝင်ငွေ(2020) GBS</t>
  </si>
  <si>
    <t>ကြွေးဝင်ငွေ(2021) GBS</t>
  </si>
  <si>
    <t>(-)ကြွေးဆပ်(2020) GBS</t>
  </si>
  <si>
    <t>(-)ကြွေးဆပ်(2021) GBS</t>
  </si>
  <si>
    <t>လက်ကျန် Balance</t>
  </si>
  <si>
    <t>(-)ကြွေးဆပ်(2019) GBS</t>
  </si>
  <si>
    <t>မလွင်လွင်သန်း(RECST01)</t>
  </si>
  <si>
    <t>ကိုဇင်ကို     (RECST02)</t>
  </si>
  <si>
    <t>မခင်စန္ဒာမင်းဦး (RECST03)</t>
  </si>
  <si>
    <t>ဝန်ထမ်းလစာ ယူပြီးငွေ</t>
  </si>
  <si>
    <t>စုစုပေါင်း ယူထားငွေ</t>
  </si>
  <si>
    <t>Spare စက်ပစ္ဏည်းအားလုံး (သုံးဘီး+မြေဆီမပါ)</t>
  </si>
  <si>
    <t>စက်ပစ္စည်း+spare  အရောင်းဝင်ငွေ</t>
  </si>
  <si>
    <t>In Other (အခြားဝင်ငွေ)</t>
  </si>
  <si>
    <t>ဆိုင်Wave money/အဝယ်ပစ္စည်းမှရငွေ(REPAY)</t>
  </si>
  <si>
    <t>တိုက်ရိုက်အမြတ်ဝင်ငွေ</t>
  </si>
  <si>
    <t>ပစ္စည်းအလွတ်ရောင်းဝင်ငွေ</t>
  </si>
  <si>
    <t>Bank Charges မှဝင်ငွေ</t>
  </si>
  <si>
    <t>(-)Sale Return (ငွေပြန်အမ်း)</t>
  </si>
  <si>
    <t>(-)Expenes ဆိုင်အသုံးစရိတ်</t>
  </si>
  <si>
    <t>(-)Expenes သယ်ယူစရိတ်</t>
  </si>
  <si>
    <t>(-)Expenes Power Tool အသုံးစရိတ်</t>
  </si>
  <si>
    <t>Nasa မဲ ဝင်ငွေ / Nasa မဲထုတ်ပေး</t>
  </si>
  <si>
    <t>(-)(Spare ကြွေးကျန်</t>
  </si>
  <si>
    <t>စက်ဆရာကော်မရှင်ပေးငွေ+လက်ဆောင်+ဆိုင်ပြုပြင်</t>
  </si>
  <si>
    <t>(-)Co;လွှဲငွေများ(သုံးဘီး+မြေဆီမပါ)</t>
  </si>
  <si>
    <t>Loan (ချေးငွေ)</t>
  </si>
  <si>
    <t>Hope Flowers မှချေးငွေ</t>
  </si>
  <si>
    <t>Fertilizer (မြေဆီ)</t>
  </si>
  <si>
    <t>မြေဆီအရောင်းဝင်ငွေ</t>
  </si>
  <si>
    <t>(-)အသုံးစရိတ်(ကားခ+အသုံးစရိတ်)</t>
  </si>
  <si>
    <t>(-)မြေဆီကြွေးကျန်</t>
  </si>
  <si>
    <t>(+)မြေဆီကြွေးကျန် Cashမှ ကြွေးဝင်ငွေ</t>
  </si>
  <si>
    <t>2020 မိုးမြေဆီကြွေးဝင်ငွေ</t>
  </si>
  <si>
    <t>(-) မြေဆီ လွှဲငွေ(Hope Flower)</t>
  </si>
  <si>
    <t>(-) မြေဆီ လွှဲငွေ (GBS)</t>
  </si>
  <si>
    <t>Drawing( အမြတ်ငွေမှထုတ်သုံးငွေ)</t>
  </si>
  <si>
    <t>ကိုထွေး ယူငွေ (REWS01)</t>
  </si>
  <si>
    <t>Workshop Opening (စာရင်းဖွင့်)</t>
  </si>
  <si>
    <t>Workshop ဝင်ငွေ(INWS)</t>
  </si>
  <si>
    <t>WS- လုပ်အားခ ပိုထုတ်ငွေများပြန်သွင်း(REINWS)</t>
  </si>
  <si>
    <t>Purchase for workshop (ဝပ်ရှော့ အဝယ်)</t>
  </si>
  <si>
    <t>Workshop Expenes (ဝပ်ရှော့အသုံးစရိတ်)</t>
  </si>
  <si>
    <t>Receivable for Staff (ဝပ်ရှော့ ဝန်ထမ်းလုပ်ခပေး)</t>
  </si>
  <si>
    <t>အိမ် အသုံးစရိတ် ပြန်ပေါင်းထည့်သည်</t>
  </si>
  <si>
    <t>ကိုထွေးယူငွေ ပြန်ပေါင်းထည့်သည်</t>
  </si>
  <si>
    <t>WS (+ &amp; -)သတိပြုရန်</t>
  </si>
  <si>
    <t>Sale Return (ငွေပြန်အမ်း)</t>
  </si>
  <si>
    <t>Cash       (ငွေလွှဲ - အိမ် )</t>
  </si>
  <si>
    <t>Cash       (ငွေလွှဲ - ဆိုင် )</t>
  </si>
  <si>
    <t>Cash       (ငွေလွှဲ - YGN)</t>
  </si>
  <si>
    <t>Creditor   (ငွေလွှဲ - Bank)</t>
  </si>
  <si>
    <t>Creditor   (ငွေလွှဲ - YGN)</t>
  </si>
  <si>
    <t>Cash      (ငွေလွှဲ - Bank )</t>
  </si>
  <si>
    <t>Cash      (ငွေလွှဲ - Wave)</t>
  </si>
  <si>
    <t>Cash      (ငွေလွှဲ - Mobile)</t>
  </si>
  <si>
    <t>Cash       (ငွေလွှဲ - ပြန်ပို့)</t>
  </si>
  <si>
    <t>Creditor  (ငွေလွှဲ -  ပြန်ပို့)</t>
  </si>
  <si>
    <t>CRR2022</t>
  </si>
  <si>
    <t>RECHPW22Spare</t>
  </si>
  <si>
    <t>Receivable for WBL HP - 2022 Spare</t>
  </si>
  <si>
    <t>REC22</t>
  </si>
  <si>
    <t>Ko Myo Thu (Wabalaukthauk)</t>
  </si>
  <si>
    <t>Ko Kaing Zar Htay (Wabalaukthauk)</t>
  </si>
  <si>
    <t>Ko Kyaw  Soe (Wabalaukthauk)</t>
  </si>
  <si>
    <t>Ko Thant Zin (Wabalaukthauk)</t>
  </si>
  <si>
    <t>Mg Myint Thu (KayiteKanie)</t>
  </si>
  <si>
    <t>Ko Chit Kyaw Thu (Wabalaukthauk)</t>
  </si>
  <si>
    <t>Ko Tin Hla (MaWin)</t>
  </si>
  <si>
    <t>WS + အိမ် အသုံးစရိတ် ပြန်ပေါင်းထည့်ထားသည့် လက်ကျန်</t>
  </si>
  <si>
    <t>Profit (or) Loss 2022 of Year</t>
  </si>
  <si>
    <t>ေငြလႊဲ ႏွစ္ေက်ာ္ (RECHPW21SPARE)</t>
  </si>
  <si>
    <t>ေငြလႊဲ လေက်ာ္  (RECHPW22SPARE)</t>
  </si>
  <si>
    <t>ေငြလႊဲ လတြင္း   (CRR2022)</t>
  </si>
  <si>
    <t>Spare  ကြွေးလကျော်ဝင်ငွေ(2022)</t>
  </si>
  <si>
    <t>Spare ကြွေးလတွင်းဝင်ငွေ(CRR2022)</t>
  </si>
  <si>
    <t>Spare ကြွေးနှစ်ကျော်ဝင်ငွေ(2021)</t>
  </si>
  <si>
    <t>22 ေကာင္ဂတ္စကတ္</t>
  </si>
  <si>
    <t>ေနာ္ဇယ္(4)ေပါက္ZS-1110/1115</t>
  </si>
  <si>
    <t>22 ေကာင္ ကင့္မရွပ္</t>
  </si>
  <si>
    <t xml:space="preserve">22 ဂတ္စကက္က်ယ္ </t>
  </si>
  <si>
    <t>22ေကာင္ ေရလည္ေရတိုင္ကီ</t>
  </si>
  <si>
    <t>BALL29</t>
  </si>
  <si>
    <t>6205 Japan</t>
  </si>
  <si>
    <t>BALL31</t>
  </si>
  <si>
    <t>32008 ေဘာ</t>
  </si>
  <si>
    <t>DF ကလပ္အံုပူလီ 4လိုင္း</t>
  </si>
  <si>
    <t>DF0046</t>
  </si>
  <si>
    <t>DF ကလပ္ရွပ္နတ္ေခါင္း</t>
  </si>
  <si>
    <t>DF ကလပ္ရွပ္ဘြတ္ေသး</t>
  </si>
  <si>
    <t>ရိန္း  R-180(JN)</t>
  </si>
  <si>
    <t xml:space="preserve">အမ္းဖံုး R-175/180 </t>
  </si>
  <si>
    <t>MBY0058</t>
  </si>
  <si>
    <t>12ထုပ္ ကြိဳင္ၾကီး(200W)</t>
  </si>
  <si>
    <t>MBY0059</t>
  </si>
  <si>
    <t>250 Full (set)သံ</t>
  </si>
  <si>
    <t>MBY0061</t>
  </si>
  <si>
    <t>လက္ကိုင္ခလုပ္</t>
  </si>
  <si>
    <t>MBY0064</t>
  </si>
  <si>
    <t>20×50 ဂၽြိဳင္းဂြ(set)ဖလန္းပါ</t>
  </si>
  <si>
    <t>MBY0065</t>
  </si>
  <si>
    <t>MBY0066</t>
  </si>
  <si>
    <t>ခြဲေခါင္းနတ္(ေသး)</t>
  </si>
  <si>
    <t>MBY0069</t>
  </si>
  <si>
    <t>ဆီေဂါက္(စိပ္)</t>
  </si>
  <si>
    <t>MBY0072</t>
  </si>
  <si>
    <t>နႈတ္ခမ္းေမႊးတန္းဘြတ္</t>
  </si>
  <si>
    <t xml:space="preserve">500X12 ကၽြတ္ </t>
  </si>
  <si>
    <t xml:space="preserve">မာန္တိုင္ေဘာ 698909 </t>
  </si>
  <si>
    <t>8ကြင္းဝိုက္စီးစံု</t>
  </si>
  <si>
    <t>LED 8 ပြင့္  မွန္ဘီလူး</t>
  </si>
  <si>
    <t xml:space="preserve">ေလးဘြတ္္ ေကာ္လံပါ/ရာဘာတို_x000D_
</t>
  </si>
  <si>
    <t>Full Set (150)ေလ</t>
  </si>
  <si>
    <t>28-45-58-  10-5 ဝိုင္းစီး</t>
  </si>
  <si>
    <t>MMS0301</t>
  </si>
  <si>
    <t>ထရန္စဖာထိုးတံအထိုင္ပါ</t>
  </si>
  <si>
    <t>MMS0302</t>
  </si>
  <si>
    <t>ဂီယာနင္းတံရွည္</t>
  </si>
  <si>
    <t>MMS0312</t>
  </si>
  <si>
    <t>ေနာက္ဟက္ဒြမ္(5P)220(6209)</t>
  </si>
  <si>
    <t xml:space="preserve">ဘားတံရွည္ 250 _x000D_
</t>
  </si>
  <si>
    <t xml:space="preserve"> ကာဗာလြတ္ထူ_x000D_
</t>
  </si>
  <si>
    <t xml:space="preserve">အင္ဂ်င္ဝိုင္ (1.5 Ll) JC </t>
  </si>
  <si>
    <t>MMS132</t>
  </si>
  <si>
    <t>500×12 Doubleေဂြ(ေကာင္း)</t>
  </si>
  <si>
    <t>ဲ 6X2  ပူလီ (တစ္ဘီးေထာင္)</t>
  </si>
  <si>
    <t>OW0056</t>
  </si>
  <si>
    <t>B 58 ခ်ိန္း</t>
  </si>
  <si>
    <t>B 51  ခ်ိန္း</t>
  </si>
  <si>
    <t>OW0186</t>
  </si>
  <si>
    <t>B50 ၾကိဳး</t>
  </si>
  <si>
    <t>R-175 အိတ္ေဇာပါကင္  2 ေပါက္</t>
  </si>
  <si>
    <t>R-175 ပန္႔ဒလက္္အံု  အဝိုင္းစီးသေရကြင္း</t>
  </si>
  <si>
    <t xml:space="preserve">175ဘားကီး+ဘားဖံုး </t>
  </si>
  <si>
    <t xml:space="preserve">R175 ကင္႔ပင္နယံေသးက်ဥ္း_x000D_
</t>
  </si>
  <si>
    <t xml:space="preserve">ဟက္ R-180 </t>
  </si>
  <si>
    <t xml:space="preserve">R180 ဂတ္စကက္(က်ယ္)   </t>
  </si>
  <si>
    <t>SLW0009</t>
  </si>
  <si>
    <t>SU50 2လက္မပန္႔</t>
  </si>
  <si>
    <t xml:space="preserve"> 600x12 ကၽြတ္</t>
  </si>
  <si>
    <t xml:space="preserve">2 ဘီလူးေခါင္း Arrman_x000D_
</t>
  </si>
  <si>
    <t xml:space="preserve">အမဲဆီဘူး0.5 kg _x000D_
</t>
  </si>
  <si>
    <t xml:space="preserve"> Mollar 5 Liter</t>
  </si>
  <si>
    <t xml:space="preserve">7 1/2 ပါကင္စံု </t>
  </si>
  <si>
    <t>Super Glue (ႀကီး)502</t>
  </si>
  <si>
    <t xml:space="preserve"> Bonsy မႈတ္ေဆး</t>
  </si>
  <si>
    <t xml:space="preserve">ကိုရီးယား ေကာ္ပတ္ </t>
  </si>
  <si>
    <t>ပူလီဆြဲပန္႔ SU80</t>
  </si>
  <si>
    <t>2ေပ ခ်ိန္းေစာစလစ္စံု</t>
  </si>
  <si>
    <t>6 1/2  အမ္းလက္</t>
  </si>
  <si>
    <t xml:space="preserve">3 ဝင္2 ထြက္ ေဆာ့ကဒ္_x000D_
</t>
  </si>
  <si>
    <t>2ေပ ခ်ိန္းေစာဘား</t>
  </si>
  <si>
    <t>စတီးဝရိန္ေခ်ာင္း (12)</t>
  </si>
  <si>
    <t>2 ပိုက္ေပ်ာ့  NPH အဝါ</t>
  </si>
  <si>
    <t xml:space="preserve">2 way ဝက္အူလွည့္ 6" </t>
  </si>
  <si>
    <t>SP01189</t>
  </si>
  <si>
    <t>ႀကိဳးထိုးသြား 9006</t>
  </si>
  <si>
    <t>SP01232</t>
  </si>
  <si>
    <t>1 လက္မ လိုင္းပိုက္</t>
  </si>
  <si>
    <t>SP01299</t>
  </si>
  <si>
    <t>AC ဆီစုပ္ပန္႔</t>
  </si>
  <si>
    <t>3ေပခြဲ စေပါ့ကဒ္ကြင္း</t>
  </si>
  <si>
    <t>3ေပခ်ိန္းေစာ စလစ္စံု</t>
  </si>
  <si>
    <t>SP013400</t>
  </si>
  <si>
    <t>2ေပ ခ်ိန္းေစာကာဘိုက္ဘား</t>
  </si>
  <si>
    <t>25X52X10  ဝိုင္းစီး</t>
  </si>
  <si>
    <t xml:space="preserve">ကလပ္ကိုင္း Tri </t>
  </si>
  <si>
    <t>370(16/13ေကာင္)ဆီတိုင္ကီ</t>
  </si>
  <si>
    <t>3မတ္ ၾကိဳးပိုက္</t>
  </si>
  <si>
    <t>အင္ဂ်င္ထိုင္ ဖရိန္</t>
  </si>
  <si>
    <t>DF ေဂြစြပ္(R)Type42</t>
  </si>
  <si>
    <t>SP01610</t>
  </si>
  <si>
    <t>SP01611</t>
  </si>
  <si>
    <t>BLower ပလပ္</t>
  </si>
  <si>
    <t>SP01612</t>
  </si>
  <si>
    <t>SP01614</t>
  </si>
  <si>
    <t>SP01623</t>
  </si>
  <si>
    <t>3ေပခြဲခ်ိန္း စလစ္စံု</t>
  </si>
  <si>
    <t>SP01624</t>
  </si>
  <si>
    <t>4"ေက်ာက္စက္ (BODA)G-21</t>
  </si>
  <si>
    <t>SP01630</t>
  </si>
  <si>
    <t>ခ်ိန္းေစာ ေစာင္းဘြတ္</t>
  </si>
  <si>
    <t>SP01635</t>
  </si>
  <si>
    <t>1" ပိုက္ဆက္</t>
  </si>
  <si>
    <t>SP01642</t>
  </si>
  <si>
    <t>SP01643</t>
  </si>
  <si>
    <t>2လက္မကပ္ပန္႔ သေရကြင္း</t>
  </si>
  <si>
    <t>SP01647</t>
  </si>
  <si>
    <t>ဝက္အူလွည့္ 6"(Haiboshi)</t>
  </si>
  <si>
    <t>SP01651</t>
  </si>
  <si>
    <t>SP01652</t>
  </si>
  <si>
    <t>SP01654</t>
  </si>
  <si>
    <t>SP01655</t>
  </si>
  <si>
    <t>2ေပခ်ိန္ေစာ ဆြဲအံု</t>
  </si>
  <si>
    <t>SP01659</t>
  </si>
  <si>
    <t>SP01660</t>
  </si>
  <si>
    <t>အမိုးကိုင္း ဘက္မွန္(ေသး)</t>
  </si>
  <si>
    <t>SP01678</t>
  </si>
  <si>
    <t>3ေပခြဲ ဆြဲအံု(Hundai)</t>
  </si>
  <si>
    <t>SP01687</t>
  </si>
  <si>
    <t xml:space="preserve">35.60.12 အဝိုင္းစီး </t>
  </si>
  <si>
    <t>SP01692</t>
  </si>
  <si>
    <t xml:space="preserve">45.62.12 မိန္းအဝိုင္းစီး </t>
  </si>
  <si>
    <t xml:space="preserve">30.52.10 အဝိုင္းစီး </t>
  </si>
  <si>
    <t>ဒိုင္နမို  4" ပူလီ 3KW</t>
  </si>
  <si>
    <t>6 1/2  ဆီဖံုး (သံ)</t>
  </si>
  <si>
    <t>2ေပ ခ်ိန္းေစာကာပရုိက္တာ(5800)</t>
  </si>
  <si>
    <t xml:space="preserve">ဝရိန္ႀကိဳး </t>
  </si>
  <si>
    <t>အမိုးစကူေခါင္း  8</t>
  </si>
  <si>
    <t>7 1/2  Xေဇာဘူး</t>
  </si>
  <si>
    <t xml:space="preserve">3မက္ ေရေမာ္တာ အဝိုင္းစီး </t>
  </si>
  <si>
    <t>7 1/2  ပစၥတင္+ရိန္း</t>
  </si>
  <si>
    <t>10 ပြန္က်ဴတမတ္ 6MM</t>
  </si>
  <si>
    <t xml:space="preserve">ကရိုင္ေပါင္ဒါ </t>
  </si>
  <si>
    <t>ဆီလံုဝါရွာ 5မူး</t>
  </si>
  <si>
    <t>6 1/2  ကိြဳင္</t>
  </si>
  <si>
    <t>45x3  6.5 အထိုင္ပီနီယံ</t>
  </si>
  <si>
    <t>SP0564</t>
  </si>
  <si>
    <t>ဘားတံ 250</t>
  </si>
  <si>
    <t>7 1/2  အဲယားဘူး (မဲ)</t>
  </si>
  <si>
    <t xml:space="preserve"> 35 ကာ/တာ (ျမက္ရိတ္)</t>
  </si>
  <si>
    <t xml:space="preserve">6 -7 ဂြဂြ_x000D_
_x000D_
</t>
  </si>
  <si>
    <t>4"သံုးေျမွာင့္ တံစဥ္း</t>
  </si>
  <si>
    <t>4  1/2    တံစီးခံုး</t>
  </si>
  <si>
    <t>B40 ေျပာင္</t>
  </si>
  <si>
    <t xml:space="preserve">ဆြဲသီး Kawa </t>
  </si>
  <si>
    <t>6 1/2  စပလိန္စံု</t>
  </si>
  <si>
    <t xml:space="preserve">ကီးတို (တစ္ဘီး)_x000D_
</t>
  </si>
  <si>
    <t xml:space="preserve">Kawa 7 1/2  ေကာ္နတင္း </t>
  </si>
  <si>
    <t>SP0893</t>
  </si>
  <si>
    <t xml:space="preserve">629 DD </t>
  </si>
  <si>
    <t xml:space="preserve">6 1/2 ဆြဲႀကိဳးမဲ_x000D_
 </t>
  </si>
  <si>
    <t xml:space="preserve">35 ပလပ္ </t>
  </si>
  <si>
    <t>4လက္မ Royal  (လည္ေခ်ာင္းပိုက္မာ)</t>
  </si>
  <si>
    <t>2လက္မကဒ္ပန္႕(SNB) W50</t>
  </si>
  <si>
    <t>STL105</t>
  </si>
  <si>
    <t>2" ေရပန္႔တြဲ(WP50) Power One</t>
  </si>
  <si>
    <t xml:space="preserve">One Wheel Tractor 1LB-4_x000D_
</t>
  </si>
  <si>
    <t>(3o) Second ေလး (7  cm)</t>
  </si>
  <si>
    <t>ZMTMS190</t>
  </si>
  <si>
    <t>(3p) ဝိုက္စီး 30 × 45/ 62 × 10</t>
  </si>
  <si>
    <t xml:space="preserve">ဘားစိ(လည္တို)_x000D_
</t>
  </si>
  <si>
    <t xml:space="preserve">ဂီယာပင္နယံ Set (200CC)_x000D_
</t>
  </si>
  <si>
    <t xml:space="preserve">NNJ 1/2 Set(300 D/C LF၊ သံ 3 ခ်ပ္)_x000D_
</t>
  </si>
  <si>
    <t xml:space="preserve">18 ေကာင္စလစ္ကစ္ဆက္ </t>
  </si>
  <si>
    <t xml:space="preserve">18 ေကာင္ အဲယားဗူး </t>
  </si>
  <si>
    <t xml:space="preserve">22 ေကာင္ အိတ္ေဇာေဂါက္ (အနီ) </t>
  </si>
  <si>
    <t xml:space="preserve">ေရတိုင္ကီအိုးေသး </t>
  </si>
  <si>
    <t xml:space="preserve">22 ေကာင္ အိတ္ေဇာဗူး </t>
  </si>
  <si>
    <t>22 CC  ဘေလာက္အိုး</t>
  </si>
  <si>
    <t>25ေကာင္ ကင့္မရွပ္</t>
  </si>
  <si>
    <t>BALL11</t>
  </si>
  <si>
    <t>6204 CM</t>
  </si>
  <si>
    <t>BALL30</t>
  </si>
  <si>
    <t>6203 ဆီပိတ္</t>
  </si>
  <si>
    <t>20-1 ကလပ္ျပား  DF</t>
  </si>
  <si>
    <t>DF  ပင္နယံတိုက္ရွပ္</t>
  </si>
  <si>
    <t>DF0047</t>
  </si>
  <si>
    <t>ေနာ္ဇယ္ေအဂ်က္ 6ေထာင့္</t>
  </si>
  <si>
    <t>DF0048</t>
  </si>
  <si>
    <t>DF အရစ္တံအမဘြတ္</t>
  </si>
  <si>
    <t xml:space="preserve">600X14 ေဂြ_x000D_
_x000D_
</t>
  </si>
  <si>
    <t xml:space="preserve">ဂီယာသီး </t>
  </si>
  <si>
    <t xml:space="preserve">DF NO-56 ပင္နီယံ 35_x000D_
</t>
  </si>
  <si>
    <t xml:space="preserve">DF NO-56 ပင္နီယံ 33_x000D_
</t>
  </si>
  <si>
    <t xml:space="preserve">DF NO-56 ပင္နီယံ 28_x000D_
</t>
  </si>
  <si>
    <t xml:space="preserve">DF NO-21 ပင္နီယံ 22_x000D_
</t>
  </si>
  <si>
    <t xml:space="preserve">DF NO-21 ပင္နီယံ 28_x000D_
</t>
  </si>
  <si>
    <t xml:space="preserve">DF NO-21 ပင္နီယံ 30_x000D_
_x000D_
</t>
  </si>
  <si>
    <t xml:space="preserve">ကလပ္ခ်ိန္းပင္နီယံ 16_x000D_
</t>
  </si>
  <si>
    <t xml:space="preserve">ကလပ္ခ်ိန္းပင္နီယံ 18_x000D_
</t>
  </si>
  <si>
    <t xml:space="preserve">DF ဆိုက္ကလပ္မ်က္မွန္ဝိုင္းစိထိုင္ပါ_x000D_
_x000D_
</t>
  </si>
  <si>
    <t xml:space="preserve">DF ဓါးဝိုင္းစီး 50-72-12/5 </t>
  </si>
  <si>
    <t>20 W 50  (5+ 1L)</t>
  </si>
  <si>
    <t xml:space="preserve">EM185 ပလန္ခ်ာ </t>
  </si>
  <si>
    <t>GBSP087</t>
  </si>
  <si>
    <t>ဘားခြက္စံု(S-195/1110/1115)(JN)</t>
  </si>
  <si>
    <t>GBSP088</t>
  </si>
  <si>
    <t>250CC ဝါယာရိန္း(set)</t>
  </si>
  <si>
    <t>GBSP089</t>
  </si>
  <si>
    <t>300CC ဝါယာရိန္း(Set)</t>
  </si>
  <si>
    <t>GBSP090</t>
  </si>
  <si>
    <t>အင္ဂ်င္ဝိုင္ဂိတ္ျပစံု</t>
  </si>
  <si>
    <t>သံကြင္းUrea  မိုးသီး</t>
  </si>
  <si>
    <t>LY-255-1  10  လက္မ  Cutter</t>
  </si>
  <si>
    <t>LY-190-1 Car  Polisher</t>
  </si>
  <si>
    <t>LY-DD0212 Battery  Gun</t>
  </si>
  <si>
    <t>LY-38-1  Drill</t>
  </si>
  <si>
    <t>LY-9035-1  Sand Paper Vibrator</t>
  </si>
  <si>
    <t>MBY0060</t>
  </si>
  <si>
    <t>250 Full (set)သတၱဳ</t>
  </si>
  <si>
    <t>MBY0062</t>
  </si>
  <si>
    <t>150 ေရွ႔ေဖါက္</t>
  </si>
  <si>
    <t>MBY0063</t>
  </si>
  <si>
    <t>150 ေရွ႔ေဖာက္(43)</t>
  </si>
  <si>
    <t>MBY0070</t>
  </si>
  <si>
    <t>200 Full (set)</t>
  </si>
  <si>
    <t>MBY0071</t>
  </si>
  <si>
    <t>ဘက္ရွပ္ 6009</t>
  </si>
  <si>
    <t>MBY0073</t>
  </si>
  <si>
    <t>ဟိုက္ဘာေလး 8cm</t>
  </si>
  <si>
    <t>MBY0074</t>
  </si>
  <si>
    <t>19×44 ဂၽြိဳင္းေဘာ</t>
  </si>
  <si>
    <t>MBY0076</t>
  </si>
  <si>
    <t>ကလပ္အံု(SET) 5/6</t>
  </si>
  <si>
    <t>MBY0077</t>
  </si>
  <si>
    <t>ေနာက္ဟက္ဒြမ္(160)က်ဥ္း</t>
  </si>
  <si>
    <t xml:space="preserve">ဂီယာနင္းတံရွည္ (ႏွစ္ဆင့္) </t>
  </si>
  <si>
    <t>Full Set (250/70) သံ</t>
  </si>
  <si>
    <t>MMS0087</t>
  </si>
  <si>
    <t>Full Set (300)ပါကင္စံု</t>
  </si>
  <si>
    <t>MMS0168</t>
  </si>
  <si>
    <t>စတပ္ကက္ေတာက္ဝိုင္း</t>
  </si>
  <si>
    <t xml:space="preserve">250CC အဂၤ်င္ျခမ္းႀကီး( L )G_x000D_
</t>
  </si>
  <si>
    <t xml:space="preserve">250CC အဂၤ်င္ျခမ္းႀကီး(  R )G_x000D_
</t>
  </si>
  <si>
    <t>16t/10t ဘက္အံုပင္နယံ(စိတ္ထူက်ယ္)</t>
  </si>
  <si>
    <t>MMS0207</t>
  </si>
  <si>
    <t>ကလပ္အံု (Set)(200/6ခ်ပ္)စပရိန္</t>
  </si>
  <si>
    <t>17Tဘက္အံုဂြပင္နယံ က်ယ္</t>
  </si>
  <si>
    <t>MMS0284</t>
  </si>
  <si>
    <t>175CC ဘေလာက္(SET)ေလ</t>
  </si>
  <si>
    <t>MMS0285</t>
  </si>
  <si>
    <t>ကလပ္ၾကိဳး စပရိန္ပါ(1.27cm)</t>
  </si>
  <si>
    <t>MMS0286</t>
  </si>
  <si>
    <t>ပစၥတင္(CG-250)(67)(STD)</t>
  </si>
  <si>
    <t>MMS0287</t>
  </si>
  <si>
    <t>MMS0288</t>
  </si>
  <si>
    <t>ေနာက္ဟက္ဒြမ္ (5p)(220)6009</t>
  </si>
  <si>
    <t>MMS0289</t>
  </si>
  <si>
    <t>30206 ေစာင္းေဘာ</t>
  </si>
  <si>
    <t>MMS0290</t>
  </si>
  <si>
    <t>ဂၽြိဳင္းအမစြပ္ 17T A</t>
  </si>
  <si>
    <t>MMS0291</t>
  </si>
  <si>
    <t>ဂၽြိဳင္းအမစြပ္ 18T S/A</t>
  </si>
  <si>
    <t>MMS0292</t>
  </si>
  <si>
    <t>ဂၽြိဳင္းအမစြပ္ 18T ၾကီးA</t>
  </si>
  <si>
    <t>MMS0293</t>
  </si>
  <si>
    <t>ဂၽြိဳင္းအမစြပ္ 21T A</t>
  </si>
  <si>
    <t>MMS0294</t>
  </si>
  <si>
    <t>ပစၥတင္ (300)(50)</t>
  </si>
  <si>
    <t>MMS0295</t>
  </si>
  <si>
    <t>ပစၥတင္ (300)(75)</t>
  </si>
  <si>
    <t>MMS0296</t>
  </si>
  <si>
    <t>U ဘိုး(ေဒါင့္တုပ္)220/9"</t>
  </si>
  <si>
    <t>MMS0297</t>
  </si>
  <si>
    <t>ဒိုင္အုပ္ 4ဆ(125)S</t>
  </si>
  <si>
    <t>MMS0298</t>
  </si>
  <si>
    <t>4ေခ်ာင္းမဏၰဳိင္ နတ္စံုထုပ္</t>
  </si>
  <si>
    <t>MMS0299</t>
  </si>
  <si>
    <t>ကလပ္အံု အဖံုး</t>
  </si>
  <si>
    <t>MMS0303</t>
  </si>
  <si>
    <t>အင္ဂ်င္ဝိုင္တိုင္းတံ</t>
  </si>
  <si>
    <t>MMS0304</t>
  </si>
  <si>
    <t>16t/10t ဘက္အံုပင္နယံ(စိပ္ထူက်ဥ္း)</t>
  </si>
  <si>
    <t>MMS0305</t>
  </si>
  <si>
    <t>16t/10t ဘက္အံုပင္နယံ(စိပ္ပါးက်ဥ္း)</t>
  </si>
  <si>
    <t>MMS0306</t>
  </si>
  <si>
    <t>ေနာက္ေရွာ့ဘားၾကီး(မဲတုတ္)</t>
  </si>
  <si>
    <t>MMS0307</t>
  </si>
  <si>
    <t>ေရHeat ေရေခါင္းၾကိဳးပါ</t>
  </si>
  <si>
    <t>MMS0308</t>
  </si>
  <si>
    <t>ကြန္ထိုလာ(SET)250A</t>
  </si>
  <si>
    <t>MMS0309</t>
  </si>
  <si>
    <t>ကြန္ထိုလာ(SET)250</t>
  </si>
  <si>
    <t>MMS0310</t>
  </si>
  <si>
    <t>ကြန္ထိုလာ(SET)150/200A</t>
  </si>
  <si>
    <t>MMS0311</t>
  </si>
  <si>
    <t>MMS0314</t>
  </si>
  <si>
    <t>11t ဘက္အံုပင္နယံကလစ္လိုင္းပါ 6206</t>
  </si>
  <si>
    <t>MMS0315</t>
  </si>
  <si>
    <t>11t ဘက္အံုပင္နယံကလစ္လိုင္းပါ 62/28</t>
  </si>
  <si>
    <t xml:space="preserve"> Second ေလး (7  cm)</t>
  </si>
  <si>
    <t>MMS096</t>
  </si>
  <si>
    <t>ကာပရိုက္တာ (1 ပင္)(150)</t>
  </si>
  <si>
    <t>MMS102</t>
  </si>
  <si>
    <t>(4)ေခ်ာင္းေဖာက္လြတ္မဲ(30)A</t>
  </si>
  <si>
    <t xml:space="preserve">ေတာရွင္းတန္း Uေကြး 35"_x000D_
</t>
  </si>
  <si>
    <t>15T(10T)ဘက္အံုပင္နယံ(စိတ္ထူက်ယ္)</t>
  </si>
  <si>
    <t xml:space="preserve">16Tဘက္အံုပင္နယံ (စိတ္ထူက်ယ္)_x000D_
</t>
  </si>
  <si>
    <t>ပစၥတင္(150/175)+0-06A</t>
  </si>
  <si>
    <t xml:space="preserve">ေသာ့လြတ္ေသး_x000D_
</t>
  </si>
  <si>
    <t>MMS268</t>
  </si>
  <si>
    <t>15T(10t) ဘက္အံုပင္နယံ(စိပ္ထူက်ဥ္း)</t>
  </si>
  <si>
    <t>MMS269</t>
  </si>
  <si>
    <t>15T(10t) ဘက္အံုပင္နယံ(စိပ္ပါးက်ယ္)</t>
  </si>
  <si>
    <t xml:space="preserve">ကင္းရွပ္ပီနီယံ_x000D_
_x000D_
</t>
  </si>
  <si>
    <t xml:space="preserve">ေနာ္ဇယ္ပိုက္_x000D_
</t>
  </si>
  <si>
    <t>NT70  ကင္းရွပ္</t>
  </si>
  <si>
    <t xml:space="preserve">B 104 ပူလီႀကိဳး_x000D_
</t>
  </si>
  <si>
    <t xml:space="preserve">B107 ပူလီႀကိဳး_x000D_
</t>
  </si>
  <si>
    <t>BOB  အမဲဆီ</t>
  </si>
  <si>
    <t xml:space="preserve">Toyo ဘီးရွပ္ </t>
  </si>
  <si>
    <t xml:space="preserve">607 ေက်ာက္စက္ေဘာ_x000D_
</t>
  </si>
  <si>
    <t xml:space="preserve"> 14 စြယ္ရွပ္ (အျပာခံု)</t>
  </si>
  <si>
    <t>ဆြဲတံအသီး  (တစ္ဘီးေထာင္)</t>
  </si>
  <si>
    <t>ပါကင္စံု  (တစ္ဘီးေထာင္)</t>
  </si>
  <si>
    <t>B 50  ခ်ိန္း</t>
  </si>
  <si>
    <t xml:space="preserve"> 56 ခ်ိန္း(ယိုးဒယား)</t>
  </si>
  <si>
    <t xml:space="preserve">B 72 ခ်ိန္း </t>
  </si>
  <si>
    <t>30204  ေစာင္းေဘာ</t>
  </si>
  <si>
    <t xml:space="preserve">ထယ္အတင္အခ်ေဒါက္ </t>
  </si>
  <si>
    <t>57  ေျပာင္ ပူလီႀကိဳး</t>
  </si>
  <si>
    <t>PZG0001</t>
  </si>
  <si>
    <t>PZG ကလပ္ျပားေကာင္း(BJ)</t>
  </si>
  <si>
    <t>PZG0002</t>
  </si>
  <si>
    <t>PZG ေနာက္ဆီဘရိတ္အိုး(BJ)</t>
  </si>
  <si>
    <t>PZG0003</t>
  </si>
  <si>
    <t>PZG ကလပ္မာစတာပန္႔</t>
  </si>
  <si>
    <t>PZG0004</t>
  </si>
  <si>
    <t>PZG မာစတာပန္႔</t>
  </si>
  <si>
    <t xml:space="preserve">Q185 စလစ္ </t>
  </si>
  <si>
    <t xml:space="preserve">Q185 (CC) ဘားဆက္စုံ </t>
  </si>
  <si>
    <t>Q-185  ဂါဂ်ီပင္ ZR185K</t>
  </si>
  <si>
    <t>R1750007</t>
  </si>
  <si>
    <t>ကရိုင္း(3ေပါက္)R175(ATR)(JN)6310/6209</t>
  </si>
  <si>
    <t>R1750014</t>
  </si>
  <si>
    <t>ေရလည္တိုင္ကီ အထိုင္သံျပား</t>
  </si>
  <si>
    <t>R175  အိတ္ေဇာ (ေဂါက္ပါ)</t>
  </si>
  <si>
    <t>R1750029</t>
  </si>
  <si>
    <t>R175ဝိတ္တံုး(3)ေပါက္</t>
  </si>
  <si>
    <t xml:space="preserve">ဟက္ မာစီတီး 175_x000D_
</t>
  </si>
  <si>
    <t xml:space="preserve">R175 ဟက္နပ္တိုင္ </t>
  </si>
  <si>
    <t>R175  ျဖတ္ဘား (ဒလိဘား)</t>
  </si>
  <si>
    <t xml:space="preserve">R180 ဘေလာက္အိုး သရီးကြင္း_x000D_
_x000D_
</t>
  </si>
  <si>
    <t xml:space="preserve">5/6 အဲယားေဂါက္ (အနီ) </t>
  </si>
  <si>
    <t xml:space="preserve">R-175 ကင့္ဘုက်ယ္ </t>
  </si>
  <si>
    <t>ဟန္ဒရယ္ပင္နယံ  175</t>
  </si>
  <si>
    <t xml:space="preserve">ေကာင္တာဝိတ္နတ္ </t>
  </si>
  <si>
    <t>R175ဝိတ္တံုး (1) ေပါက္(စံု)</t>
  </si>
  <si>
    <t xml:space="preserve">R-180 Filter ဖန္ဘူး </t>
  </si>
  <si>
    <t xml:space="preserve">R-180 ပစၥတင္ </t>
  </si>
  <si>
    <t>R180040</t>
  </si>
  <si>
    <t>စလစ္+(စီးကြင္း)က်ယ္ R180(JN)</t>
  </si>
  <si>
    <t>R180041</t>
  </si>
  <si>
    <t>ပစၥတင္(ခြက္) R180(JN)</t>
  </si>
  <si>
    <t>R180066</t>
  </si>
  <si>
    <t>R180စလစ္ကစ္ဆက္(က်ယ္) CC</t>
  </si>
  <si>
    <t>4လက္မ ခ်ိန္းေစာ(ဝိုင္း)</t>
  </si>
  <si>
    <t xml:space="preserve"> MTL Bonsy မႈတ္ေဆး</t>
  </si>
  <si>
    <t>5 1/2  P/ R ( STD)</t>
  </si>
  <si>
    <t xml:space="preserve">အမဲဆီဂန္း 2 ေျပာင္း_x000D_
</t>
  </si>
  <si>
    <t xml:space="preserve">18x19 ဂြင္းဂြင္း_x000D_
</t>
  </si>
  <si>
    <t>1/2  ခလုပ္ အမဲ(ဘယ္/ညာ)</t>
  </si>
  <si>
    <t>SP01132</t>
  </si>
  <si>
    <t>လက္ထိုးလႊ (ေကာင္း)</t>
  </si>
  <si>
    <t>စုတ္တံ ( 1 1/2  လက္မ)</t>
  </si>
  <si>
    <t>စုတ္တံ ( 2  လက္မ)</t>
  </si>
  <si>
    <t>ခ်ိန္းေစာရိုက္ဘားနတ္စံု(78)</t>
  </si>
  <si>
    <t>SP01191</t>
  </si>
  <si>
    <t>ႀကိဳးထိုးသြား 4020</t>
  </si>
  <si>
    <t xml:space="preserve">ေကာ္ဂန္း </t>
  </si>
  <si>
    <t xml:space="preserve">စတာပလာဂန္း(Dove)_x000D_
</t>
  </si>
  <si>
    <t>5M AC မီးႀကိဳး</t>
  </si>
  <si>
    <t>500g  ခ်ိန္သီး</t>
  </si>
  <si>
    <t>SP0139</t>
  </si>
  <si>
    <t>တူးေဘာက္(ေသး)</t>
  </si>
  <si>
    <t>SP014659</t>
  </si>
  <si>
    <t>35ေကာင္ ဘယ္ရင္</t>
  </si>
  <si>
    <t xml:space="preserve">မ.ထ အင္ဂ်င္ထိုင္ </t>
  </si>
  <si>
    <t xml:space="preserve"> ေဆးျဖန္းပံုး(စက္)battery</t>
  </si>
  <si>
    <t>SP01520</t>
  </si>
  <si>
    <t>ဆီစုတ္ပန္႕(ၾကီး)</t>
  </si>
  <si>
    <t xml:space="preserve">Jet Pump (1hp)_x000D_
</t>
  </si>
  <si>
    <t>ကက္ေတာက္ 12V</t>
  </si>
  <si>
    <t>SP01609</t>
  </si>
  <si>
    <t>CF R180 Engine</t>
  </si>
  <si>
    <t>SP01613</t>
  </si>
  <si>
    <t>3 ေပခ်ိန္းေစာကရိုင္း</t>
  </si>
  <si>
    <t>SP01615</t>
  </si>
  <si>
    <t>5/8 ခ်က္ေခါင္း</t>
  </si>
  <si>
    <t>SP01617</t>
  </si>
  <si>
    <t>3" ပိုက္ဆက္</t>
  </si>
  <si>
    <t>SP01618</t>
  </si>
  <si>
    <t>2" ပိုက္ဆက္</t>
  </si>
  <si>
    <t>SP01619</t>
  </si>
  <si>
    <t>4" ပိုက္ဆက္</t>
  </si>
  <si>
    <t>SP01620</t>
  </si>
  <si>
    <t>ကက္ေတာက္ 24V</t>
  </si>
  <si>
    <t>SP01621</t>
  </si>
  <si>
    <t>ဆီလံုဝါရွာ 5မူး1ပဲ</t>
  </si>
  <si>
    <t>SP01622</t>
  </si>
  <si>
    <t>ဆီလံုဝါရွာ 6မူး</t>
  </si>
  <si>
    <t>SP01625</t>
  </si>
  <si>
    <t>UPC 211ေဘာ</t>
  </si>
  <si>
    <t>SP01626</t>
  </si>
  <si>
    <t>22ေကာင္ 7×4လိုင္းပူလီ</t>
  </si>
  <si>
    <t>SP01627</t>
  </si>
  <si>
    <t>6 1/2 ေကာ္နတင္း နတ္</t>
  </si>
  <si>
    <t>SP01628</t>
  </si>
  <si>
    <t>Hydrometer</t>
  </si>
  <si>
    <t>SP01631</t>
  </si>
  <si>
    <t>2ေပ ခ်ိန္းေစာဆြဲအံု(ပါး)</t>
  </si>
  <si>
    <t>SP01632</t>
  </si>
  <si>
    <t>2ေပ ခ်ိန္းေစာဆြဲအံု(ထူ)</t>
  </si>
  <si>
    <t>SP01633</t>
  </si>
  <si>
    <t>2ေပ ခ်ိန္းေစာဆြဲအံု(စိမ္း)</t>
  </si>
  <si>
    <t>SP01634</t>
  </si>
  <si>
    <t>2ေပ ခ်ိန္းေစာပစၥတင္(5800)</t>
  </si>
  <si>
    <t>SP01636</t>
  </si>
  <si>
    <t>စတီးဝရိန္ေခ်ာင္း(10)</t>
  </si>
  <si>
    <t>SP01638</t>
  </si>
  <si>
    <t>10သစ္သားေဖာက္လြန္</t>
  </si>
  <si>
    <t>SP01639</t>
  </si>
  <si>
    <t>12သစ္သားေဖာက္လြန္</t>
  </si>
  <si>
    <t>SP01640</t>
  </si>
  <si>
    <t>ၾကိဳးထိုးသြား 5011</t>
  </si>
  <si>
    <t>SP01641</t>
  </si>
  <si>
    <t>ေလပိုက္အဝါ1(ေပ)</t>
  </si>
  <si>
    <t>SP01645</t>
  </si>
  <si>
    <t>SU 80ေရတံခါးဝါရွာစံု</t>
  </si>
  <si>
    <t>SP01646</t>
  </si>
  <si>
    <t>Double Tape 5မူး</t>
  </si>
  <si>
    <t>SP01648</t>
  </si>
  <si>
    <t>ဝက္အူလွည့္ 8" (Haiboshi)</t>
  </si>
  <si>
    <t>SP01649</t>
  </si>
  <si>
    <t xml:space="preserve">35.62.12 အဝိုင္းစီး </t>
  </si>
  <si>
    <t>SP01650</t>
  </si>
  <si>
    <t>2ေပ ခ်ိန္းေကာင္း(5800)</t>
  </si>
  <si>
    <t>SP01653</t>
  </si>
  <si>
    <t>6 1/2 ဂါဗနာသံျပား</t>
  </si>
  <si>
    <t>SP01656</t>
  </si>
  <si>
    <t>SP01657</t>
  </si>
  <si>
    <t>SP01658</t>
  </si>
  <si>
    <t>အမိုးကိုင္းဘက္မွန္(ၾကီး)</t>
  </si>
  <si>
    <t xml:space="preserve">20.40.10 အဝိုင္းစီး </t>
  </si>
  <si>
    <t>SP01661</t>
  </si>
  <si>
    <t>SP01662</t>
  </si>
  <si>
    <t>5ေပါက္ ေနာ္ဇယ္</t>
  </si>
  <si>
    <t>SP01663</t>
  </si>
  <si>
    <t>အရစ္တိုင္းဂိတ္</t>
  </si>
  <si>
    <t>SP01665</t>
  </si>
  <si>
    <t>L32 ကစ္ဆက္</t>
  </si>
  <si>
    <t>SP01666</t>
  </si>
  <si>
    <t>L32 ရိန္း</t>
  </si>
  <si>
    <t>SP01667</t>
  </si>
  <si>
    <t>L32 ဂါဂ်ီပင္ဘြတ္</t>
  </si>
  <si>
    <t>SP01668</t>
  </si>
  <si>
    <t>25ေကာင္ ဂါဂ်ီပင္ဘြတ္(JD)</t>
  </si>
  <si>
    <t>SP01669</t>
  </si>
  <si>
    <t>L32 ပါကင္စံု</t>
  </si>
  <si>
    <t xml:space="preserve">35.55.10/7 အဝိုင္းစီး </t>
  </si>
  <si>
    <t>SP01670</t>
  </si>
  <si>
    <t>L32 ပစၥတင္(JW)</t>
  </si>
  <si>
    <t>SP01671</t>
  </si>
  <si>
    <t>L32 ဂါဂ်ီပင္(JW)</t>
  </si>
  <si>
    <t>SP01672</t>
  </si>
  <si>
    <t>3ေပခြဲ ပစၥတင္</t>
  </si>
  <si>
    <t>SP01673</t>
  </si>
  <si>
    <t>3ေပ ကာပရိုက္တာ</t>
  </si>
  <si>
    <t>SP01675</t>
  </si>
  <si>
    <t>3ေပခြဲ စလစ္</t>
  </si>
  <si>
    <t>3ေပခြဲ ခ်ိန္း</t>
  </si>
  <si>
    <t>SP01680</t>
  </si>
  <si>
    <t>3ေပခြဲ ဘား</t>
  </si>
  <si>
    <t>SP01681</t>
  </si>
  <si>
    <t>SP01682</t>
  </si>
  <si>
    <t>SP01683</t>
  </si>
  <si>
    <t>SP01685</t>
  </si>
  <si>
    <t>3ေပခြဲ သံပတ္အံု</t>
  </si>
  <si>
    <t>SP01686</t>
  </si>
  <si>
    <t>SP01688</t>
  </si>
  <si>
    <t>22ေကာင္ ေဘာထိန္းသံျပားဝိုင္း</t>
  </si>
  <si>
    <t>SP01689</t>
  </si>
  <si>
    <t>22ေကာင္ ေဘာၾကားခံဝါရွာက်ဥ္း</t>
  </si>
  <si>
    <t>SP01690</t>
  </si>
  <si>
    <t>22ေကာင္ ေဘာၾကားခံဝါရွာက်ယ္</t>
  </si>
  <si>
    <t>SP01691</t>
  </si>
  <si>
    <t>6p ဟက္ဒြမ္ေဘာဖံုး</t>
  </si>
  <si>
    <t>SP01693</t>
  </si>
  <si>
    <t>L32 ဂတ္စကတ္(CC)</t>
  </si>
  <si>
    <t xml:space="preserve">35.62.10 အဝိုင္းစီး </t>
  </si>
  <si>
    <t xml:space="preserve">DT ဆိုင္ကယ္ ေရွ့ကၽြတ္ </t>
  </si>
  <si>
    <t xml:space="preserve">DF ေရႊကၽြဲ ရင္အံု အေပၚအုပ္ </t>
  </si>
  <si>
    <t>SP0304</t>
  </si>
  <si>
    <t>6 1/2 ကရုိင္း</t>
  </si>
  <si>
    <t>139  အဝိုက္စီး</t>
  </si>
  <si>
    <t xml:space="preserve">ဆူးသြား  </t>
  </si>
  <si>
    <t>အုတ္ေဖာက္   6mm</t>
  </si>
  <si>
    <t>အုတ္ေဖာက္   8mm</t>
  </si>
  <si>
    <t>အုတ္ေဖာက္   10mm</t>
  </si>
  <si>
    <t>အုတ္ေဖာက္   12mm</t>
  </si>
  <si>
    <t xml:space="preserve">R175 ကရုိင္း </t>
  </si>
  <si>
    <t xml:space="preserve"> 5/6 ေရေကာ္  MSD</t>
  </si>
  <si>
    <t xml:space="preserve"> 13 ေရေကာ္  MSD</t>
  </si>
  <si>
    <t>1 HP  AC ေရျမဳပ္ပန့္္</t>
  </si>
  <si>
    <t xml:space="preserve">35.60.10 အဝိုင္းစီး </t>
  </si>
  <si>
    <t xml:space="preserve">ေတာက္_x000D_
</t>
  </si>
  <si>
    <t>DF ဖင္ထိုင္ရွပ္တန္း_x000D_
ွ</t>
  </si>
  <si>
    <t xml:space="preserve">ပလန္ခ်ာ ေခြးသြားစိတ္_x000D_
</t>
  </si>
  <si>
    <t>6210  HCH ေဘာ</t>
  </si>
  <si>
    <t xml:space="preserve">ရစ္ခ်က္ </t>
  </si>
  <si>
    <t>တူးေဘာက္ (အၾကီး)</t>
  </si>
  <si>
    <t>SP0544</t>
  </si>
  <si>
    <t xml:space="preserve">ခ်က္ေခါင္းကီး (ေသး)_x000D_
</t>
  </si>
  <si>
    <t xml:space="preserve">9ေကာင္ပါကင္စံု_x000D_
</t>
  </si>
  <si>
    <t xml:space="preserve">9ေကာင္ _x000D_
ဘားကိုက္ </t>
  </si>
  <si>
    <t xml:space="preserve">GX390 13/16ကာဗရိုက္တာ_x000D_
</t>
  </si>
  <si>
    <t xml:space="preserve">139 လီဘာကိုင္း ညာ </t>
  </si>
  <si>
    <t xml:space="preserve">Kawa7-5 ေလကာဘာ </t>
  </si>
  <si>
    <t>No- 6  စူးသြား</t>
  </si>
  <si>
    <t xml:space="preserve">24 စပန္နာသီး_x000D_
</t>
  </si>
  <si>
    <t xml:space="preserve">4လက္မ ကလစ္ကြင္း(ေၾကး)_x000D_
</t>
  </si>
  <si>
    <t xml:space="preserve">3လက္မ ကလစ္ကြင္း(ေၾကး)_x000D_
</t>
  </si>
  <si>
    <t xml:space="preserve">2လက္မ ကလစ္ကြင္း(ေၾကး)_x000D_
</t>
  </si>
  <si>
    <t xml:space="preserve">3×2ပူလီ 3KW </t>
  </si>
  <si>
    <t xml:space="preserve">22 ေကာင္ ဂါဗနာဘြတ္_x000D_
</t>
  </si>
  <si>
    <t>SP0873</t>
  </si>
  <si>
    <t>M 9/16×12 ေတာက္</t>
  </si>
  <si>
    <t>6009  HCH</t>
  </si>
  <si>
    <t>35    P+R</t>
  </si>
  <si>
    <t>10   Lကီးနတ္ (1 1/2)</t>
  </si>
  <si>
    <t xml:space="preserve">139 ဘားဖုံး_x000D_
</t>
  </si>
  <si>
    <t xml:space="preserve">Kawa 7 1/2 ဆြဲအံု( ပံုသစ္)_x000D_
</t>
  </si>
  <si>
    <t xml:space="preserve">139 တိုက္ပစ္ဖံုး </t>
  </si>
  <si>
    <t>STL016</t>
  </si>
  <si>
    <t>Engine 7.5hp(NiSun)</t>
  </si>
  <si>
    <t xml:space="preserve">4လက္မ Li Li ပန္႔ </t>
  </si>
  <si>
    <t>ဒိုင္နမို  W3000</t>
  </si>
  <si>
    <t>PK DC 12V  ေရေပၚ</t>
  </si>
  <si>
    <t>8mm Royal  330ေပ</t>
  </si>
  <si>
    <t>Romon  SU 80 ပန္႕တြဲ</t>
  </si>
  <si>
    <t xml:space="preserve">မီးခြက္စံု ZS1110 (JN) </t>
  </si>
  <si>
    <t>ဘေလာက္  Set (130 CC)</t>
  </si>
  <si>
    <t xml:space="preserve">Diesel Engine Changchai Brand Model Q-185_x000D_
</t>
  </si>
  <si>
    <t xml:space="preserve">Wheel Mountaing Adapter Local Made Model 6 inches (Pairs) MildSteel_x000D_
</t>
  </si>
  <si>
    <t>အဝိုက္စီး  28× 47 × 10</t>
  </si>
  <si>
    <t>တန္းေဘာ   1010</t>
  </si>
  <si>
    <t>(3a)  SR 6 ထုပ္ကြိဳင္ (ဝါ 2 ပင္)</t>
  </si>
  <si>
    <t>(3d) LF.SH စီတီအိုင္ (ေလးေဒါင့္ ၊W၊ ဘထၳရီ  SH)</t>
  </si>
  <si>
    <t>(3e)  ဆီေဂါက္ (က်ဲ)</t>
  </si>
  <si>
    <t xml:space="preserve">(3P)ဝိုက္စီး 16×28×7 </t>
  </si>
  <si>
    <t xml:space="preserve">(3p)ဝိုက္စီး 25×34×7_x000D_
</t>
  </si>
  <si>
    <t xml:space="preserve">စတပ္ေမာ္တာပင္နီယံ SET(16/60ထူ)_x000D_
_x000D_
</t>
  </si>
  <si>
    <t xml:space="preserve">LF.SH ဘားတံ(150၊2ေခ်ာင္း စတီး)_x000D_
_x000D_
</t>
  </si>
  <si>
    <t xml:space="preserve">(3c)ဂ်ိဳင္းမစြတ္(က်ဥ္း)_x000D_
</t>
  </si>
  <si>
    <t xml:space="preserve">(3c)ဂ်ိဳင္းမစြတ္(က်ယ္)_x000D_
</t>
  </si>
  <si>
    <t xml:space="preserve">(3d) စပယ္ဖူးနတ္ေခါင္း </t>
  </si>
  <si>
    <t xml:space="preserve">(3I)ဘားစပုလိန္_x000D_
</t>
  </si>
  <si>
    <t>1/2  Set (175 W LF သံ 3ခ်ပ္)</t>
  </si>
  <si>
    <t xml:space="preserve">ဂီယာပင္နယံ Set (250CC)_x000D_
</t>
  </si>
  <si>
    <t xml:space="preserve">အိတ္ေဇာ စလင္ဒါအထိန္း_x000D_
</t>
  </si>
  <si>
    <t xml:space="preserve">(3n) ေရွ႕မီးသီးလြတ္(Ta Ta)_x000D_
</t>
  </si>
  <si>
    <t xml:space="preserve">(3n) ေရွ႕မီးသီ အထိုင္(Ta Taအထိုင္)_x000D_
</t>
  </si>
  <si>
    <t xml:space="preserve">(3n) ေရွ႕မီးသီးလြတ္( LED)_x000D_
</t>
  </si>
  <si>
    <t xml:space="preserve">(3n) ေရွ႕မီးသီးလြတ္( 2စ  ဝိုင္း)_x000D_
</t>
  </si>
  <si>
    <t>(3I)ေနာက္ဟက္အံု Set ( R  6209 အထိုင္)</t>
  </si>
  <si>
    <t xml:space="preserve">(3O)လက္ကိုင္စြပ္(သိန္းငွက္ပံု)_x000D_
</t>
  </si>
  <si>
    <t xml:space="preserve">(3I)ေနာက္ဟက္ဒရမ္(250 ဆိုဒ္ ေသး ရွပ္_x000D_
တန္း110)_x000D_
</t>
  </si>
  <si>
    <t xml:space="preserve">စလင္ဒါ (ထူ ရွည္)_x000D_
</t>
  </si>
  <si>
    <t xml:space="preserve">ဘက္ရွပ္ 65 Cm_x000D_
</t>
  </si>
  <si>
    <t xml:space="preserve">ဘက္ရွပ္ 50 Cm_x000D_
</t>
  </si>
  <si>
    <t xml:space="preserve">ဘက္ရွပ္ 40 Cm_x000D_
</t>
  </si>
  <si>
    <t xml:space="preserve">LF SHပစၥတင္ 0-25 (250 D/C)_x000D_
</t>
  </si>
  <si>
    <t>ဝင္ရိုး (304 ၊ 23cm)ဘြတ္မပါ_x000D_
့</t>
  </si>
  <si>
    <t xml:space="preserve"> ကလပ္ႀကီဳး 117 Cm_x000D_
</t>
  </si>
  <si>
    <t xml:space="preserve">(3o) ေလးပင္နတ္(13Cm ၊ရွည္)_x000D_
</t>
  </si>
  <si>
    <t>WS- ကိုထွေး ယူငွေ</t>
  </si>
  <si>
    <t>ကျော်စိုး</t>
  </si>
  <si>
    <t>ဆိုင္ Stock လက္က်န္ပစၥည္းတန္ဖိုး</t>
  </si>
  <si>
    <t>WS- ကိုထွေးယူငွေ</t>
  </si>
  <si>
    <t>WS- ကိုထွေးယူငွေ (ချဲထိုး)</t>
  </si>
  <si>
    <t>WS- ကိုထွေးယူငွေ (လက်ဖွဲ့ငွေ)</t>
  </si>
  <si>
    <t>WS- ကိုထွေးယူငွေ (မီတာခ+စာရွက်ခ)</t>
  </si>
  <si>
    <t>ပါကင္စံု(1110/1115)(JD)</t>
  </si>
  <si>
    <t>BALL34</t>
  </si>
  <si>
    <t>6205 DD</t>
  </si>
  <si>
    <t>BALL36</t>
  </si>
  <si>
    <t>6206 DD(J)</t>
  </si>
  <si>
    <t>ိDF19</t>
  </si>
  <si>
    <t>တိုက္ေရာ့သီး မ/ထ</t>
  </si>
  <si>
    <t>MBY0027</t>
  </si>
  <si>
    <t>ဒစ္စဝွီးနတ္</t>
  </si>
  <si>
    <t>20×50 ဂၽြိဳင္းဂြ(set)ရိုးရိုး(က်ဲ)</t>
  </si>
  <si>
    <t>MBY0084</t>
  </si>
  <si>
    <t>စတပ္ေဘာထိုင္ 20လံုး</t>
  </si>
  <si>
    <t>MMS0317</t>
  </si>
  <si>
    <t>ေကာ္ေရတိုင္ကီ+ကာဗာ</t>
  </si>
  <si>
    <t>MMS0332</t>
  </si>
  <si>
    <t>ဂတ္စကတ္(150)ေလ(Half Set)</t>
  </si>
  <si>
    <t>MMS0333</t>
  </si>
  <si>
    <t>ဘက္ရွပ္(တို)23T/18"(6206)တစ္ျခမ္းပဲ့A</t>
  </si>
  <si>
    <t>MMS0339</t>
  </si>
  <si>
    <t>သံလိုက္အံုပါကင္</t>
  </si>
  <si>
    <t>MMS034</t>
  </si>
  <si>
    <t>ဒစၥဝွီးနတ္(R 5ေပါက္)</t>
  </si>
  <si>
    <t>MMS047</t>
  </si>
  <si>
    <t>ပလပ္စြပ္ ေဆးတံေဂါက္(ေကာ္)</t>
  </si>
  <si>
    <t>MMS184</t>
  </si>
  <si>
    <t>ဘားတံရွည္ 150/175</t>
  </si>
  <si>
    <t>OW0187</t>
  </si>
  <si>
    <t>27.38.7</t>
  </si>
  <si>
    <t>R175/R180 ေရတိုင္ကီ(ATR)သတၱဳ(ျပာ)</t>
  </si>
  <si>
    <t>SP01014</t>
  </si>
  <si>
    <t>ေတာက္ဟန္တယ္အေသး</t>
  </si>
  <si>
    <t>SP01034</t>
  </si>
  <si>
    <t>ဝရိန္ပံုး250MMA(YAMA)</t>
  </si>
  <si>
    <t>SP01051</t>
  </si>
  <si>
    <t>30 စပန္နာသီး</t>
  </si>
  <si>
    <t>SP01076</t>
  </si>
  <si>
    <t>Blower(ေလမႈတ္စက္)EP260</t>
  </si>
  <si>
    <t>SP01118</t>
  </si>
  <si>
    <t>ကြန္ပရဆာ ရိန္း 2065</t>
  </si>
  <si>
    <t>SP0117</t>
  </si>
  <si>
    <t>ဂ်ပန္ စကၠဴ</t>
  </si>
  <si>
    <t>ေဆးမႈတ္ဂန္း(ၾကီး)</t>
  </si>
  <si>
    <t>SP01248</t>
  </si>
  <si>
    <t>ေလဂန္း</t>
  </si>
  <si>
    <t>SP01324</t>
  </si>
  <si>
    <t>Digital  Multimeter</t>
  </si>
  <si>
    <t xml:space="preserve"> 7 1/2(Tango) Engine</t>
  </si>
  <si>
    <t>SP01471</t>
  </si>
  <si>
    <t>ပါဝါဆီ(ေပပါဆီ)(2ဂါလံ)</t>
  </si>
  <si>
    <t>12PCS ဂြင္းဂြကဒ္(ၾကီး)</t>
  </si>
  <si>
    <t>2ေပ ခ်ိန္းေစာပါကင္(5800)</t>
  </si>
  <si>
    <t>Su 50/80ပန္႔ အဝိုင္းစီးရွည္</t>
  </si>
  <si>
    <t>ေဖာက္စက္ခလုပ္(ဘယ္၊ညာ)</t>
  </si>
  <si>
    <t>SP01694</t>
  </si>
  <si>
    <t>Blowerပါကင္စံု</t>
  </si>
  <si>
    <t>SP01696</t>
  </si>
  <si>
    <t>SP01701</t>
  </si>
  <si>
    <t>SP01703</t>
  </si>
  <si>
    <t>9ေကာင္ဆီေဒါက္(KW270)</t>
  </si>
  <si>
    <t>SP01704</t>
  </si>
  <si>
    <t>16ေကာင္ဆီတိုင္ကီေထာက္(တြင္း+ျပင္)(KW420)</t>
  </si>
  <si>
    <t>SP01707</t>
  </si>
  <si>
    <t>400စကၠဴေကာ္ပတ္</t>
  </si>
  <si>
    <t>SP01708</t>
  </si>
  <si>
    <t>1 Lb ထိပ္လံုးတူ</t>
  </si>
  <si>
    <t>SP01726</t>
  </si>
  <si>
    <t>ေကာ္ပတ္စက္ပူလီၾကိဳး(BODA)</t>
  </si>
  <si>
    <t>SP01729</t>
  </si>
  <si>
    <t>3ေပခ်ိန္းေစာ ပါကင္စံု</t>
  </si>
  <si>
    <t>SP01732</t>
  </si>
  <si>
    <t>3ေပခ်ိန္းေစာ ပစၥတင္(50)</t>
  </si>
  <si>
    <t>SP01739</t>
  </si>
  <si>
    <t>Blower 34 စလစ္</t>
  </si>
  <si>
    <t>SP01740</t>
  </si>
  <si>
    <t>Blower 34 ပင္စတင္+ရိန္း</t>
  </si>
  <si>
    <t>SP01745</t>
  </si>
  <si>
    <t>ေကာ္ပတ္ No.800</t>
  </si>
  <si>
    <t>Su50 ရွပ္</t>
  </si>
  <si>
    <t>SP0228</t>
  </si>
  <si>
    <t>3Lb တူ</t>
  </si>
  <si>
    <t>SP0276</t>
  </si>
  <si>
    <t>10Pcs စပန္နာဗူး (KT)</t>
  </si>
  <si>
    <t>SP0470</t>
  </si>
  <si>
    <t>Super Glue(အလတ္)</t>
  </si>
  <si>
    <t>SP0543</t>
  </si>
  <si>
    <t>22 ေကာင္စလစ္(CC)ZS-1110</t>
  </si>
  <si>
    <t>22ေကာင္ ဆီတိုင္ကီ</t>
  </si>
  <si>
    <t>22 ေကာင္ ဟက္</t>
  </si>
  <si>
    <t>22ေကာင္ဆီတိုင္ကီ</t>
  </si>
  <si>
    <t>22ေကာင္ ကရိုင္းေဘာ NJ(312)</t>
  </si>
  <si>
    <t>22ေကာင္ ဟက္JD</t>
  </si>
  <si>
    <t>22ေကာင္ အိတ္ေဇာဘူး(ေဒါက္ပါ)</t>
  </si>
  <si>
    <t>BALL35</t>
  </si>
  <si>
    <t>6305 DD</t>
  </si>
  <si>
    <t>BALL9</t>
  </si>
  <si>
    <t>6206 DD</t>
  </si>
  <si>
    <t>DF 24သြားပုေလြရိုး</t>
  </si>
  <si>
    <t>DF0104</t>
  </si>
  <si>
    <t>DFဂီယာဆက္တံ(နီကယ္ရွည္)</t>
  </si>
  <si>
    <t>DF022</t>
  </si>
  <si>
    <t>DF036</t>
  </si>
  <si>
    <t>DF NO-14 ရွပ္</t>
  </si>
  <si>
    <t>DF037</t>
  </si>
  <si>
    <t>DF ခ်ိန္းဖံုးသံျပား</t>
  </si>
  <si>
    <t>DF055</t>
  </si>
  <si>
    <t>DF NO-16 ပင္နီယံႀကီး</t>
  </si>
  <si>
    <t>DF057</t>
  </si>
  <si>
    <t>DF NO-49ပင္နီယံႀကီး</t>
  </si>
  <si>
    <t>DF NO-16 ရွပ္တိုပင္နီယံ(ေပါင္အံု)</t>
  </si>
  <si>
    <t>DF061</t>
  </si>
  <si>
    <t>DF NO-11 ေဘာပိတ္</t>
  </si>
  <si>
    <t>DF ကလပ္ခ်ိန္းဘီး</t>
  </si>
  <si>
    <t>DF112</t>
  </si>
  <si>
    <t>18လက္ သံဘီး(1စံု)</t>
  </si>
  <si>
    <t>DF ဖလိန္Uဘိုး (ေလးေဒါင့္)</t>
  </si>
  <si>
    <t>EM185 ပလန္ခ်ာအံု</t>
  </si>
  <si>
    <t xml:space="preserve">EM185 ဘားဆက္စံု </t>
  </si>
  <si>
    <t>EM185 အင္ဂ်င္ဝိုင္တိုင္းတံ</t>
  </si>
  <si>
    <t>EM185 ဘားစပလိန္(1စံု)</t>
  </si>
  <si>
    <t>EM185019</t>
  </si>
  <si>
    <t>EM185 အန္းခံုစံု</t>
  </si>
  <si>
    <t>EM185020</t>
  </si>
  <si>
    <t>EM185 ဂါဂ်ီပင္ဘြတ္</t>
  </si>
  <si>
    <t>GBSP001</t>
  </si>
  <si>
    <t>JN 7-5  Engine</t>
  </si>
  <si>
    <t>GBSP092</t>
  </si>
  <si>
    <t>25 ေကာင္ဘယ္ရင္</t>
  </si>
  <si>
    <t>GBSP093</t>
  </si>
  <si>
    <t>22 ေကာင္ကင့္ကာဘာ(ပံုသစ္)</t>
  </si>
  <si>
    <t>GBSP094</t>
  </si>
  <si>
    <t xml:space="preserve">22 ေကာင္ကင့္ကာဘာ (ပံုေဟာင္း)_x000D_
</t>
  </si>
  <si>
    <t>GBSP095</t>
  </si>
  <si>
    <t>သံုးဘီးေရပန္႔ 250CC</t>
  </si>
  <si>
    <t>GBSP096</t>
  </si>
  <si>
    <t>သံုးဘီးေရပန္႕ 300CC</t>
  </si>
  <si>
    <t>GBSP097</t>
  </si>
  <si>
    <t>ဝရိန္ေခ်ာင္း J421 (No-10)</t>
  </si>
  <si>
    <t>GBSP098</t>
  </si>
  <si>
    <t xml:space="preserve">ဝရိန္ေခ်ာင္း J421 (No-12)_x000D_
</t>
  </si>
  <si>
    <t>MBY0082</t>
  </si>
  <si>
    <t>ဘက္အံု 1200CC</t>
  </si>
  <si>
    <t>MBY0083</t>
  </si>
  <si>
    <t>ဘက္အံု 600CC</t>
  </si>
  <si>
    <t>MBY0085</t>
  </si>
  <si>
    <t>ေလးဘြတ္ (ေကာ္လံပါ)</t>
  </si>
  <si>
    <t>MBY0086</t>
  </si>
  <si>
    <t>ဒိုင္အုပ္လတ္ (5စ)</t>
  </si>
  <si>
    <t>MBY0087</t>
  </si>
  <si>
    <t>250CC ဟက္ဘားစံု (သံ)</t>
  </si>
  <si>
    <t>ဘက္ရွပ္23T/71cm(6209)</t>
  </si>
  <si>
    <t>MMS0318</t>
  </si>
  <si>
    <t>ဘတၳရီ (အိုးေျခာက္)(9N)</t>
  </si>
  <si>
    <t>MMS0319</t>
  </si>
  <si>
    <t>2110 အင္ဂ်င္ျခမ္းေဘာA</t>
  </si>
  <si>
    <t>MMS0320</t>
  </si>
  <si>
    <t>ေရွ့ဟက္အံုအေသး(5P)(6304)</t>
  </si>
  <si>
    <t>MMS0329</t>
  </si>
  <si>
    <t>ဘက္အံုအေပၚဖံုး(4p)ရွပ္ပါေသး</t>
  </si>
  <si>
    <t>MMS0330</t>
  </si>
  <si>
    <t>ဘက္အံုအေပၚဖံုး(4p)ရွပ္ပါလတ္</t>
  </si>
  <si>
    <t>MMS0331</t>
  </si>
  <si>
    <t>ဘီးနတ္ေသး(4P) R</t>
  </si>
  <si>
    <t>MMS0334</t>
  </si>
  <si>
    <t>အင္ဂ်င္ဟက္ထိပ္ဖံုး(ေရ)250/300</t>
  </si>
  <si>
    <t>MMS0335</t>
  </si>
  <si>
    <t>လီဘာၾကိဳး (1ပင္)1.3cm</t>
  </si>
  <si>
    <t>MMS0336</t>
  </si>
  <si>
    <t>ပလပ္စြပ္ ေဆးတံေဂါက္(စတီး)</t>
  </si>
  <si>
    <t>MMS0337</t>
  </si>
  <si>
    <t>ဘက္ရွပ္(ရွည္)23T/75cm(6009)A</t>
  </si>
  <si>
    <t>MMS0338</t>
  </si>
  <si>
    <t>ရိန္း(150)(50)</t>
  </si>
  <si>
    <t>MMS0340</t>
  </si>
  <si>
    <t>အဲယားကလင္နာပိုက္ေကာက္လြတ္</t>
  </si>
  <si>
    <t>ဘက္ဂီယာအံု(အမဲ)(ခဲ)150CC</t>
  </si>
  <si>
    <t>ပစ္စတင္(150/175)+0-03A</t>
  </si>
  <si>
    <t>Toyo 14သြား(တို)</t>
  </si>
  <si>
    <t>Toyo တပ္မ</t>
  </si>
  <si>
    <t>Toyo အင္ဂ်င္ထိုင္</t>
  </si>
  <si>
    <t xml:space="preserve">Toyo 14စြယ္(ရွည္)_x000D_
_x000D_
</t>
  </si>
  <si>
    <t>OW0140</t>
  </si>
  <si>
    <t>B 42 ခ်ိန္း</t>
  </si>
  <si>
    <t>OW0153</t>
  </si>
  <si>
    <t>6204(ဆီပိတ္ Japan)</t>
  </si>
  <si>
    <t>PPC0001</t>
  </si>
  <si>
    <t>3မတ္ပိုက္(ေပ20)</t>
  </si>
  <si>
    <t>R175145</t>
  </si>
  <si>
    <t>R175 ေရတိုင္ကီ အထူ</t>
  </si>
  <si>
    <t>R180029</t>
  </si>
  <si>
    <t xml:space="preserve">R-180/R-175 အေအးတိုင္ေရတိုင္ကီ </t>
  </si>
  <si>
    <t>R180056</t>
  </si>
  <si>
    <t xml:space="preserve">R180 စလစ္ကစ္ဆက္JN </t>
  </si>
  <si>
    <t>R180067</t>
  </si>
  <si>
    <t>SP0028</t>
  </si>
  <si>
    <t>3"ဘီလူးေခါင္း Arrman</t>
  </si>
  <si>
    <t>SP01317</t>
  </si>
  <si>
    <t>NT80 Engine</t>
  </si>
  <si>
    <t>SP01567</t>
  </si>
  <si>
    <t>ဘတၳရီ Charger(6-12v/Auto)</t>
  </si>
  <si>
    <t>9ေကာင္ လီဘာကိုင္း(KW270)</t>
  </si>
  <si>
    <t>20UF ကြန္နဆာ(4ငုတ္)</t>
  </si>
  <si>
    <t>16UF ကြန္နဆာ(4ငုတ္)</t>
  </si>
  <si>
    <t>10UF ကြန္နဆာ(4ငုတ္)</t>
  </si>
  <si>
    <t>SP01695</t>
  </si>
  <si>
    <t>30စပန္နာသီး(အရွည္)</t>
  </si>
  <si>
    <t>SP01697</t>
  </si>
  <si>
    <t>3KW ဒိုင္အုပ္ၾကီး</t>
  </si>
  <si>
    <t>SP01698</t>
  </si>
  <si>
    <t>22 ေကာင္စပန္နာ</t>
  </si>
  <si>
    <t>SP01700</t>
  </si>
  <si>
    <t>SP01702</t>
  </si>
  <si>
    <t>2ေပခ်ိန္းေစာ ရိုက္ဘားနတ္</t>
  </si>
  <si>
    <t>SP01705</t>
  </si>
  <si>
    <t>ေက်ာက္စက္ခလုပ္</t>
  </si>
  <si>
    <t>SP01706</t>
  </si>
  <si>
    <t>ျဖတ္စက္ခလုပ္</t>
  </si>
  <si>
    <t>SP01709</t>
  </si>
  <si>
    <t>1 1/2  Lbတူ</t>
  </si>
  <si>
    <t>SP01720</t>
  </si>
  <si>
    <t>ေဖာက္စက္ခလုပ္ျဖဴ</t>
  </si>
  <si>
    <t>SP01721</t>
  </si>
  <si>
    <t>20 စပန္နာသီး</t>
  </si>
  <si>
    <t>SP01722</t>
  </si>
  <si>
    <t>25 စပန္နာသီး</t>
  </si>
  <si>
    <t>SP01723</t>
  </si>
  <si>
    <t>26 စပန္နာသီး</t>
  </si>
  <si>
    <t>SP01724</t>
  </si>
  <si>
    <t>SP01725</t>
  </si>
  <si>
    <t>63/29 DD</t>
  </si>
  <si>
    <t>SP01727</t>
  </si>
  <si>
    <t>42.55.7</t>
  </si>
  <si>
    <t>SP01731</t>
  </si>
  <si>
    <t>SP01733</t>
  </si>
  <si>
    <t>2ေပ ဘား</t>
  </si>
  <si>
    <t>SP01734</t>
  </si>
  <si>
    <t>24လက္မ ပိုက္ကိုက္</t>
  </si>
  <si>
    <t>SP01735</t>
  </si>
  <si>
    <t>ကြန္ပရဆာ ေခါင္း Y</t>
  </si>
  <si>
    <t>SP01736</t>
  </si>
  <si>
    <t>ကြန္ပရဆာ ေခါင္း  L</t>
  </si>
  <si>
    <t>SP01737</t>
  </si>
  <si>
    <t xml:space="preserve">ကြန္ပရဆာ ေခါင္း T_x000D_
</t>
  </si>
  <si>
    <t>SP01738</t>
  </si>
  <si>
    <t>ေရေဆးစက္ အဝင္ေခါင္း</t>
  </si>
  <si>
    <t>SP01744</t>
  </si>
  <si>
    <t>ကားေပၚလစ္ ( Rubbing )</t>
  </si>
  <si>
    <t>SP01746</t>
  </si>
  <si>
    <t>6 1/2 ကင္းရွပ္</t>
  </si>
  <si>
    <t>SP01747</t>
  </si>
  <si>
    <t>ပုလင္းေက်ာက္စက္(ေသး)</t>
  </si>
  <si>
    <t>SP01748</t>
  </si>
  <si>
    <t>ေပၚလစ္တိုက္ ဘရွတ္ရွ္ ( 7 " )</t>
  </si>
  <si>
    <t>SP01749</t>
  </si>
  <si>
    <t>ေက်ာက္လံုးကဒ္ (အေခ်ာ)</t>
  </si>
  <si>
    <t>SP01750</t>
  </si>
  <si>
    <t>KW 13 ေကာင္ရိန္း</t>
  </si>
  <si>
    <t>SP01751</t>
  </si>
  <si>
    <t>KW 16 ေကာင္ရိန္း</t>
  </si>
  <si>
    <t>SP01752</t>
  </si>
  <si>
    <t>4" ခြက္ကာဗိုက္</t>
  </si>
  <si>
    <t>SP01753</t>
  </si>
  <si>
    <t>SP01754</t>
  </si>
  <si>
    <t>မီးစမ္းတတ္စတာ</t>
  </si>
  <si>
    <t>SP01755</t>
  </si>
  <si>
    <t>3 1/2ခ်ိန္းေစာ ဆီပိုက္</t>
  </si>
  <si>
    <t>SP01756</t>
  </si>
  <si>
    <t>3ေပခ်ိန္းေစာ ဆီပိုက္</t>
  </si>
  <si>
    <t>SP01758</t>
  </si>
  <si>
    <t>SP01759</t>
  </si>
  <si>
    <t>2ေပ ခ်ိန္းေစာဆီပိုက္</t>
  </si>
  <si>
    <t>SP01760</t>
  </si>
  <si>
    <t>3ေပခ်ိန္းေစာ ဘရိတ္ရွူး</t>
  </si>
  <si>
    <t>SP01761</t>
  </si>
  <si>
    <t>3ေပခ်ိန္းေစာ သံပတ္</t>
  </si>
  <si>
    <t>SP01762</t>
  </si>
  <si>
    <t>2ေပ ခ်ိန္းေစာသံပတ္ေသး</t>
  </si>
  <si>
    <t>SP01763</t>
  </si>
  <si>
    <t>SP01764</t>
  </si>
  <si>
    <t>9ေကာင္ ေလကာဘာ(KW270)</t>
  </si>
  <si>
    <t>9ေကာင္ဆြဲအုံစုံ(KW270)</t>
  </si>
  <si>
    <t>SP0400</t>
  </si>
  <si>
    <t>အမိုးစကူေခါင္း 10</t>
  </si>
  <si>
    <t>SP0653</t>
  </si>
  <si>
    <t>SU 80 ပူလီဆြဲပန္႔</t>
  </si>
  <si>
    <t>SP0654</t>
  </si>
  <si>
    <t>SU 50 ပူလီဆြဲပန္႔</t>
  </si>
  <si>
    <t>SP0799</t>
  </si>
  <si>
    <t>DF ေပါင္အံု (ဘယ္)</t>
  </si>
  <si>
    <t>DF ႏႈတ္သီး</t>
  </si>
  <si>
    <t xml:space="preserve">DF လက္လွည့္သီး_x000D_
</t>
  </si>
  <si>
    <t>SP0929</t>
  </si>
  <si>
    <t>ပန္းေကာ္ပတ္</t>
  </si>
  <si>
    <t>GX 35 Engine</t>
  </si>
  <si>
    <t>Sum of Balance</t>
  </si>
  <si>
    <t xml:space="preserve"> ကုမၸဏီမ်ား ေၾကြးက်န္ေပးရန္တန္ဖိုး</t>
  </si>
  <si>
    <t>ကိုထွေး ယူငွေစာရင်း</t>
  </si>
  <si>
    <t>နေ့စွဲ</t>
  </si>
  <si>
    <t>အကြောင်းအရာ</t>
  </si>
  <si>
    <t>ယူငွေ</t>
  </si>
  <si>
    <t>အိမ်မှ ယူငွေ</t>
  </si>
  <si>
    <t>(2)လပိုင်း ကိုထွေးအိမ်မှ ယူငွေစုစုပေါင်း</t>
  </si>
  <si>
    <t>ဆိုင်မှ ယူငွေ</t>
  </si>
  <si>
    <t>(2)လပိုင်း ကိုထွေးဆိုင်မှ ယူငွေစုစုပေါင်း</t>
  </si>
  <si>
    <t>(31-12-2021)  စုစုပေါင်းယူငွေ</t>
  </si>
  <si>
    <t>ကိုထွေးယူငွေ</t>
  </si>
  <si>
    <t>ငါး+မုန့်ဖက်+ဘိန်းမုန့်</t>
  </si>
  <si>
    <t>ကိုထွေးယူငွေ(ဓါတ်ဆီဝယ်)</t>
  </si>
  <si>
    <t>Workshop လက်ကျန် ပြန်ပေါင်းထည့်သည်</t>
  </si>
  <si>
    <t>မိုးသောက်ဧရာ</t>
  </si>
  <si>
    <t>အေးမေတ္တာ</t>
  </si>
  <si>
    <t>ထွန်း</t>
  </si>
  <si>
    <t>အောင်မေတ္တာ</t>
  </si>
  <si>
    <t>ထူး</t>
  </si>
  <si>
    <t>မိဘရိပ်</t>
  </si>
  <si>
    <t>တတ်ရွှေလဝန်း</t>
  </si>
  <si>
    <t>ရီရှင်း</t>
  </si>
  <si>
    <t>ရွှေဝါမြေထွန်းလင်း</t>
  </si>
  <si>
    <t>Other</t>
  </si>
  <si>
    <t>ပြည်တော်စိုး</t>
  </si>
  <si>
    <t>SUPER</t>
  </si>
  <si>
    <t>ဦးဘိုကြီး</t>
  </si>
  <si>
    <t>မောင်မောင်လေး</t>
  </si>
  <si>
    <t>မအူပင်</t>
  </si>
  <si>
    <t>မန်းဧရာဝတီ</t>
  </si>
  <si>
    <t>Co,Name</t>
  </si>
  <si>
    <t>ကျင်းလုံမြန်မာ</t>
  </si>
  <si>
    <t>ကိုကောက်</t>
  </si>
  <si>
    <t>ဦးခင်မောင်+ဒေါ်ကြင်မြိုင်</t>
  </si>
  <si>
    <t>Han Asia</t>
  </si>
  <si>
    <t>amt</t>
  </si>
  <si>
    <t>ကိုဝင်းလှိုင်</t>
  </si>
  <si>
    <t>AAM</t>
  </si>
  <si>
    <t>GBS spare</t>
  </si>
  <si>
    <t>JJ FAMILY</t>
  </si>
  <si>
    <t>GBS CO</t>
  </si>
  <si>
    <t>DTL</t>
  </si>
  <si>
    <t>ZAN</t>
  </si>
  <si>
    <t>22ေကာင္ ဘားဆက္စံု</t>
  </si>
  <si>
    <t>ဂါဂ်ီပင္ဘြတ္(ေၾကး)</t>
  </si>
  <si>
    <t>22ေကာင္ ဆီမိန္းပိုက္</t>
  </si>
  <si>
    <t>22ေကာင္ ကရိုင္းပင္နယံ</t>
  </si>
  <si>
    <t>22ေကာင္ အဲယားပန္ကာအံု</t>
  </si>
  <si>
    <t>22 ေကာင္ဘယ္ရင္ (0.00)(CC)</t>
  </si>
  <si>
    <t>22 ေကာင္ဂါဗနာရွပ္ S-195(JN)</t>
  </si>
  <si>
    <t>25 ေကာင္ အင္ဂ်င္ဝိုင္စစ္(JD)</t>
  </si>
  <si>
    <t xml:space="preserve">6205 ဆီပိတ္(J)_x000D_
</t>
  </si>
  <si>
    <t xml:space="preserve">6306 ဆီပိတ္ (J)_x000D_
</t>
  </si>
  <si>
    <t>RP N50ZL</t>
  </si>
  <si>
    <t>လ/ထ တိုက္ေရာ့အစံု</t>
  </si>
  <si>
    <t>DF NO-55 ဘြတ္(37137)</t>
  </si>
  <si>
    <t>GBSP0029</t>
  </si>
  <si>
    <t>ရိန္း R-175(JN)</t>
  </si>
  <si>
    <t>MBY0054</t>
  </si>
  <si>
    <t>စတပ္ေမာ္တာ 9သြားျမင့္(ရွပ္တုပ္)</t>
  </si>
  <si>
    <t>MBY0088</t>
  </si>
  <si>
    <t>ဂီယာပင္နယံ(Set) 150CC</t>
  </si>
  <si>
    <t>MBY0089</t>
  </si>
  <si>
    <t>ကစ္တံ (နတ္ 2)</t>
  </si>
  <si>
    <t>MBY0090</t>
  </si>
  <si>
    <t>ကစ္တံ (နတ္ 1)</t>
  </si>
  <si>
    <t>MMS0018</t>
  </si>
  <si>
    <t>ကာပရိုက္တာဆက္ (200)</t>
  </si>
  <si>
    <t>MMS0078</t>
  </si>
  <si>
    <t>9:35 လင္ဗန္း</t>
  </si>
  <si>
    <t>U ဘိုး(ေဒါင့္ေသး)200/8"</t>
  </si>
  <si>
    <t>MMS0160</t>
  </si>
  <si>
    <t>12ထုပ္သံလိုက္တံုးလြတ္ျပင္ရစ္/ျမင့္ 300CC</t>
  </si>
  <si>
    <t>(6304)ေရွ႕ဟက္ဖံုးႀကီးရွဴးပါ T</t>
  </si>
  <si>
    <t>MMS0341</t>
  </si>
  <si>
    <t>12ထုပ္သံလိုက္တံုးလြတ္/တြင္းရစ္မဲ(11/150)200W</t>
  </si>
  <si>
    <t>MMS0342</t>
  </si>
  <si>
    <t>ေအာက္ေမာင္းရွပ္ပါ(set)ၾကီး A</t>
  </si>
  <si>
    <t>MMS0343</t>
  </si>
  <si>
    <t>ေအာက္ေမာင္းရွပ္ပါေသး(ေကာင္း)</t>
  </si>
  <si>
    <t>MMS0350</t>
  </si>
  <si>
    <t>ေရွ႕ဟက္အံုၾကီး (5P)(6304)S/A</t>
  </si>
  <si>
    <t>ဘက္ဂီယာနင္းတံ(က်ဥ္း/က်ယ္)</t>
  </si>
  <si>
    <t>MMS1775</t>
  </si>
  <si>
    <t>175/150CC(ေရ)Half set(ဂတ္စကက္)</t>
  </si>
  <si>
    <t xml:space="preserve">R-175 ပလန္ခ်ာအံု </t>
  </si>
  <si>
    <t>TB40 ေၾကးအင္ပယ္လာ(35)</t>
  </si>
  <si>
    <t>JD 22ေကာင္Engine(1110)</t>
  </si>
  <si>
    <t>3ေပ/3ေပခြဲ ခ်ိန္းေစာခ်ိန္းဆက္</t>
  </si>
  <si>
    <t>2ေပ ခ်ိန္းေစာခ်ိန္း</t>
  </si>
  <si>
    <t>ခ်ိန္းေစာတံစဥ္း (4.0)</t>
  </si>
  <si>
    <t>ခ်ိန္းေစာတံစဥ္း(4.8)</t>
  </si>
  <si>
    <t>90B ေရေပၚစက္</t>
  </si>
  <si>
    <t>2ေပ ခ်ိန္းေစာ ရိန္း</t>
  </si>
  <si>
    <t>SP01266</t>
  </si>
  <si>
    <t>2ေပ ခ်ိန္းေစာစေပါ့ကဒ္ရွင္(ကြင္းပါ)</t>
  </si>
  <si>
    <t xml:space="preserve">2ေပ ခ်ိန္းေစာ ဘရိတ္ရွဴး </t>
  </si>
  <si>
    <t>SP01300</t>
  </si>
  <si>
    <t>ဘားကာတာ (12)မ်ိဳး</t>
  </si>
  <si>
    <t>18လက္မ HV Lေဂါက္</t>
  </si>
  <si>
    <t>3Pcs သစ္ေဖာက္(ကဒ္)hole saw set</t>
  </si>
  <si>
    <t>55.75.8/12 အဝိုင္းစီး</t>
  </si>
  <si>
    <t>SP01577</t>
  </si>
  <si>
    <t>Jet pump (1.5 hp)</t>
  </si>
  <si>
    <t>2ေပ ခ်ိန္းေစာခ်ိန္းဆက္</t>
  </si>
  <si>
    <t>2ေပ ခ်ိန္းေစာသေရဘြတ္စံု</t>
  </si>
  <si>
    <t>2ေပ ခ်ိန္းေစာရာဘာစံုထုပ္</t>
  </si>
  <si>
    <t>L32 ဘယ္ရင္</t>
  </si>
  <si>
    <t>2ေပ ခ်ိန္းေစာ(Forpark)(5800)</t>
  </si>
  <si>
    <t>2ေပ ခ်ိန္းေစာဆြဲၾကိဳး</t>
  </si>
  <si>
    <t>SP01767</t>
  </si>
  <si>
    <t>L32 ေကာ္နတင္း</t>
  </si>
  <si>
    <t>SP01769</t>
  </si>
  <si>
    <t>အင္ဂ်င္ဝိုင္ 10/40(1 L)Trane</t>
  </si>
  <si>
    <t>SP01771</t>
  </si>
  <si>
    <t>2ေပ ခ်ိန္းေစာ စက္မကိုင္း</t>
  </si>
  <si>
    <t>SP01775</t>
  </si>
  <si>
    <t>9 ေကာင္ စပလိန္စံု</t>
  </si>
  <si>
    <t>SP01782</t>
  </si>
  <si>
    <t>SP01785</t>
  </si>
  <si>
    <t>3ေပ ခ်ိန္းေစာစလစ္စံု(51)</t>
  </si>
  <si>
    <t>SP01786</t>
  </si>
  <si>
    <t>2ေပ ခ်ိန္းေစာမီးကြိဳင္</t>
  </si>
  <si>
    <t>SP01788</t>
  </si>
  <si>
    <t>3ေပ ခ်ိန္းေစာေၾကးပိုက္(တို+ရွည္)</t>
  </si>
  <si>
    <t>SP01790</t>
  </si>
  <si>
    <t>3ေပ ခ်ိန္းေစာ ပစၥတင္(51)</t>
  </si>
  <si>
    <t>SP01792</t>
  </si>
  <si>
    <t>2ေပ ခ်ိန္းေစာဂါဂ်ီပင္ေဘာ</t>
  </si>
  <si>
    <t>SP01793</t>
  </si>
  <si>
    <t>TB40 ေၾကးအင္ပါယ္လာ(70၀</t>
  </si>
  <si>
    <t>SP01794</t>
  </si>
  <si>
    <t>UPC 208</t>
  </si>
  <si>
    <t>SP01795</t>
  </si>
  <si>
    <t>10.25.7အဝိုင္းစီး</t>
  </si>
  <si>
    <t>SP01799</t>
  </si>
  <si>
    <t>3ေပ ဘားစပရိန္</t>
  </si>
  <si>
    <t>SP01801</t>
  </si>
  <si>
    <t>SP01802</t>
  </si>
  <si>
    <t>3ေပ ခ်ိန္းေစာမီးကြိဳင္</t>
  </si>
  <si>
    <t>SP01803</t>
  </si>
  <si>
    <t>လံုးျဖဴေရေဆးပန့္ပူလီဘီး(L-30)</t>
  </si>
  <si>
    <t>SP01806</t>
  </si>
  <si>
    <t>SP01807</t>
  </si>
  <si>
    <t>3ေပ ခ်ိန္းေစာဘားထိပ္ဝိုင္း</t>
  </si>
  <si>
    <t>SP01811</t>
  </si>
  <si>
    <t>TOYO ကလပ္ရွပ္(ပီနယံ)</t>
  </si>
  <si>
    <t>SP01814</t>
  </si>
  <si>
    <t xml:space="preserve"> Honda ပူလီ3 x 2 လိုင္း</t>
  </si>
  <si>
    <t>7 1/2ကာဗရိုက္တာ(ဆီေဂါက္ပါ)KAWA220</t>
  </si>
  <si>
    <t>SP0243</t>
  </si>
  <si>
    <t>50.80.12အဝိုင္းစိး</t>
  </si>
  <si>
    <t>ဒိုင္နမိုဒိုင္အုပ္(3K)</t>
  </si>
  <si>
    <t>10"စပန္နာဟန္တယ္(1/2)</t>
  </si>
  <si>
    <t>13/16 ေကာင္ကာဗရိုက္တာ(KAWA)</t>
  </si>
  <si>
    <t>Kawa 7 1/2 (လက္ေဟာင္း)</t>
  </si>
  <si>
    <t>မီးစက္တြဲ 1500W</t>
  </si>
  <si>
    <t>15x3 6.5အထိုင္ပီနီယံ(စက္ေလွ)</t>
  </si>
  <si>
    <t>4လက္မ ဘီလူးေခါင္း(သံကၽြတ္)</t>
  </si>
  <si>
    <t>8.5mm စူးသြား</t>
  </si>
  <si>
    <t>25.35.7</t>
  </si>
  <si>
    <t>12" စပန္နာဟန္တယ္(1/2)</t>
  </si>
  <si>
    <t>SP0871</t>
  </si>
  <si>
    <t>TB 40ခရုပန္႔(ေခါင္းဝိုင္း)</t>
  </si>
  <si>
    <t>STL038</t>
  </si>
  <si>
    <t>1လက္မႀကိဳးစိမ္း (Clover)</t>
  </si>
  <si>
    <t>22 ေကာင္စလစ္ကစ္ဆက္(JN)</t>
  </si>
  <si>
    <t>22 ေကာင္ဘယ္ရင္(0.00)(JN)ZS-1110</t>
  </si>
  <si>
    <t xml:space="preserve">22 ေကာင္း ဘားကီး+ဘားဖံုး_x000D_
</t>
  </si>
  <si>
    <t>22ေကာင္ ဟန္တယ္ဘြတ္</t>
  </si>
  <si>
    <t>22ေကာင္ ဝိုင္ပိုက္</t>
  </si>
  <si>
    <t>22ေကာင္ ဂါဗနာဂြ</t>
  </si>
  <si>
    <t>1110 JD အမ္းခံုစုံ</t>
  </si>
  <si>
    <t>22ေကာင္ ဂါဗနာဘြတ္ရွည္</t>
  </si>
  <si>
    <t xml:space="preserve">22 ေကာင္မိန္းေဘာ(6314)_x000D_
</t>
  </si>
  <si>
    <t>22ေကာင္ဘားစပလိန္</t>
  </si>
  <si>
    <t>22ေကာင္ အမ္းခံုနတ္တိုင္</t>
  </si>
  <si>
    <t>22ေကာင္ ဘားေထာက္</t>
  </si>
  <si>
    <t>22ေကာင္ ဟန္တယ္ဘြတ္(တြင္း)</t>
  </si>
  <si>
    <t>22/25 ေကာင္ပလန္ခ်ာ</t>
  </si>
  <si>
    <t>25ေကာင္ ကြန္နတင္း ဝါ(JD)</t>
  </si>
  <si>
    <t>22ေကာင္ ကစ္ဆက္(JD)</t>
  </si>
  <si>
    <t>22 ေကာင္စလစ္ကစ္ဆက္(CC)</t>
  </si>
  <si>
    <t xml:space="preserve">6208 CM_x000D_
</t>
  </si>
  <si>
    <t>DF0034</t>
  </si>
  <si>
    <t>DF NO-36 ပင္နယံတိုက္ (37224)</t>
  </si>
  <si>
    <t>DF0049</t>
  </si>
  <si>
    <t>DF 18သြားဂဲကာသံျပား(ေနာက္ပိတ္)</t>
  </si>
  <si>
    <t>DF0050</t>
  </si>
  <si>
    <t>DF 18သြားဂဲကာသေရျပား</t>
  </si>
  <si>
    <t>DF0051</t>
  </si>
  <si>
    <t>DF 18သြားဂဲကာအဟိုက္ၾကီး</t>
  </si>
  <si>
    <t>DF0105</t>
  </si>
  <si>
    <t>DF ကလပ္ခ်ိန္းအံု</t>
  </si>
  <si>
    <t>DF023</t>
  </si>
  <si>
    <t>EM185021</t>
  </si>
  <si>
    <t>EM185 ပါကင္စံု</t>
  </si>
  <si>
    <t>GBSP0031</t>
  </si>
  <si>
    <t>L32/28 အမ္းခံုစံု(ပံုေဟာင္း)JN</t>
  </si>
  <si>
    <t>L32 အဲယားေဂါက္</t>
  </si>
  <si>
    <t>GBSP062</t>
  </si>
  <si>
    <t>DF 2ေပါက္ဓါးသြား(တို)</t>
  </si>
  <si>
    <t>GBSP30</t>
  </si>
  <si>
    <t>ဘေလာက္အိုး R-175(JN)</t>
  </si>
  <si>
    <t>9း13 စပိုက္တာပင္နယံ</t>
  </si>
  <si>
    <t>MBY0043</t>
  </si>
  <si>
    <t>10ရြက္ပန္ကာ</t>
  </si>
  <si>
    <t>MBY0068</t>
  </si>
  <si>
    <t>ဂီယာပင္နယံ(set) 250CC</t>
  </si>
  <si>
    <t>MBY0092</t>
  </si>
  <si>
    <t>ကရိုင္း အျပင္ရစ္ 300CC</t>
  </si>
  <si>
    <t>MBY0093</t>
  </si>
  <si>
    <t>ဂီယာပင္နယံ (SET)300CC</t>
  </si>
  <si>
    <t>MBY0095</t>
  </si>
  <si>
    <t>8ရြက္ ပန္ကာ</t>
  </si>
  <si>
    <t>MBY0096</t>
  </si>
  <si>
    <t>22×55ဂၽြိဳင္းဂြ(Set)</t>
  </si>
  <si>
    <t>MMS0163</t>
  </si>
  <si>
    <t>ေရလည္တိုင္ကီ အလြတ္</t>
  </si>
  <si>
    <t>MMS0176</t>
  </si>
  <si>
    <t>18ထုပ္ကြိဳင္</t>
  </si>
  <si>
    <t>ေနာက္ဟက္ဒြမ္(180)က်ယ္ နတ္ပါ(JRC110-130)</t>
  </si>
  <si>
    <t>ကင့္မရွပ္ (SET)150/300CC</t>
  </si>
  <si>
    <t>MMS0344</t>
  </si>
  <si>
    <t>မီးသီး(3)တတ္</t>
  </si>
  <si>
    <t>MMS0345</t>
  </si>
  <si>
    <t>မီးသီး LED (3)တတ္</t>
  </si>
  <si>
    <t>MMS0346</t>
  </si>
  <si>
    <t>မိန္းရွပ္ (250)A</t>
  </si>
  <si>
    <t>MMS0347</t>
  </si>
  <si>
    <t>ရိန္း (CG250/67) (Std)နွစ္ထပ္</t>
  </si>
  <si>
    <t>MMS0348</t>
  </si>
  <si>
    <t>11T ဘက္အံုပင္နယံ 6205(ရွည္)</t>
  </si>
  <si>
    <t>MMS0349</t>
  </si>
  <si>
    <t>ရိုးရိုးဘရိတ္ရွဴးျခမ္း 160A</t>
  </si>
  <si>
    <t>MMS046</t>
  </si>
  <si>
    <t>200 တိုက္ပစ္ေမာင္း(ထူ)</t>
  </si>
  <si>
    <t>ဆီမာစတာပန့္ (1ပိုက္)သံA</t>
  </si>
  <si>
    <t>MMS2349</t>
  </si>
  <si>
    <t>18ထုပ္သံလိုက္တံုးလြတ္ျပင္ရစ္/ျမင့္ 300CC</t>
  </si>
  <si>
    <t>B 51ေျပာင္</t>
  </si>
  <si>
    <t>B 57ခ်ိန္း</t>
  </si>
  <si>
    <t>SP01041</t>
  </si>
  <si>
    <t xml:space="preserve">6 1/2 အိတ္ေဇာ </t>
  </si>
  <si>
    <t>4 လက္မ ပိုက္ေပ်ာ့(ဝါ)</t>
  </si>
  <si>
    <t>4-20 ပိရမစ္ စူးသြား</t>
  </si>
  <si>
    <t>31/4 စက္ေရေပၚသြား</t>
  </si>
  <si>
    <t>8.0 စူးသြား</t>
  </si>
  <si>
    <t>SP01486</t>
  </si>
  <si>
    <t>6"နန္းေသး ဝက္အူလွည့္(CH)</t>
  </si>
  <si>
    <t>2ေပ ခ်ိန္းေစာကရိုင္း</t>
  </si>
  <si>
    <t>2ေပ ခ်ိန္းေစာ ဆြဲအံု(GS6000)</t>
  </si>
  <si>
    <t>3ေပ ခ်ိန္းေစာစေပါ့ကဒ္(51)</t>
  </si>
  <si>
    <t>2ေပ ခ်ိန္းေစာဖလိုင္းဝွီး</t>
  </si>
  <si>
    <t>SP01765</t>
  </si>
  <si>
    <t>Coolant (2 l)</t>
  </si>
  <si>
    <t>SP01766</t>
  </si>
  <si>
    <t>ေတာက္ စံုဘူးၾကီး</t>
  </si>
  <si>
    <t>SP01768</t>
  </si>
  <si>
    <t>22ေကာင္ ကရိုင္းကစ္နတ္</t>
  </si>
  <si>
    <t>SP01772</t>
  </si>
  <si>
    <t>3ေပခ်ိန္းေစာ ခ်ိန္း(ဗူးနီ)</t>
  </si>
  <si>
    <t>SP01773</t>
  </si>
  <si>
    <t>ဆိုက္ကလစ္ ပလာယာၾကီး</t>
  </si>
  <si>
    <t>SP01774</t>
  </si>
  <si>
    <t>1/2 ခ်က္ေခါင္းကဒ္ (1.5 13 MM)</t>
  </si>
  <si>
    <t>SP01776</t>
  </si>
  <si>
    <t>6 1/2 ေဖာ္လိုခြက္</t>
  </si>
  <si>
    <t>SP01777</t>
  </si>
  <si>
    <t>SP01779</t>
  </si>
  <si>
    <t>3ေပ ခ်ိန္းေစာ စက္မကိုင္း</t>
  </si>
  <si>
    <t>SP01780</t>
  </si>
  <si>
    <t>SP01783</t>
  </si>
  <si>
    <t>3ေပ ခ်ိန္းေစာ ရိန္း(51)</t>
  </si>
  <si>
    <t>SP01784</t>
  </si>
  <si>
    <t>MMA400 ဝရိန္ပံုး(YAMA)</t>
  </si>
  <si>
    <t>SP01791</t>
  </si>
  <si>
    <t>ဝက္အူလွည့္ (ေသး)ဆိုဒ္စံု</t>
  </si>
  <si>
    <t>SP01796</t>
  </si>
  <si>
    <t>အပ္ၾကိဳး(ကားၾကီး)</t>
  </si>
  <si>
    <t>SP01798</t>
  </si>
  <si>
    <t>2ေပ ခ်ိန္းေစာအဝိုင္းစီး</t>
  </si>
  <si>
    <t>SP01800</t>
  </si>
  <si>
    <t>3ေပ ခ်ိန္းေစာအဝိုင္းစီး</t>
  </si>
  <si>
    <t>SP01804</t>
  </si>
  <si>
    <t>30လက္မ HVစပန္နာသီး</t>
  </si>
  <si>
    <t>SP01805</t>
  </si>
  <si>
    <t>SP01808</t>
  </si>
  <si>
    <t>2ေပ ခ်ိန္းေစာေကာ္ပင္နီယံ</t>
  </si>
  <si>
    <t>SP01809</t>
  </si>
  <si>
    <t>SP01810</t>
  </si>
  <si>
    <t>FD 30ကလပ္အံုအစံု</t>
  </si>
  <si>
    <t>SP01812</t>
  </si>
  <si>
    <t>ဘတၳရီ ညွပ္ကလစ္ ၾကီး</t>
  </si>
  <si>
    <t>SP01813</t>
  </si>
  <si>
    <t>12V ဇီးသီးမီးလံုး(1စ)</t>
  </si>
  <si>
    <t>SP01815</t>
  </si>
  <si>
    <t>5KW 4×2ပူလီ</t>
  </si>
  <si>
    <t>SP01816</t>
  </si>
  <si>
    <t>SP0245</t>
  </si>
  <si>
    <t>60.80.12အဝိုင္းစီး</t>
  </si>
  <si>
    <t>SP0641</t>
  </si>
  <si>
    <t>4လက္မေၾကြျပားျဖတ္</t>
  </si>
  <si>
    <t xml:space="preserve">6.5mm စူးသြား_x000D_
_x000D_
</t>
  </si>
  <si>
    <t>10.5mm စူးသြား</t>
  </si>
  <si>
    <t>11.5mm စူးသြား</t>
  </si>
  <si>
    <t>Honda ပူလီ4x2</t>
  </si>
  <si>
    <t>၁ လ ပျမ်းမျှအမြတ်</t>
  </si>
  <si>
    <t>Purchase</t>
  </si>
  <si>
    <t>Payment</t>
  </si>
  <si>
    <t>စုထက္ဟိန္း</t>
  </si>
  <si>
    <t>DBRWS</t>
  </si>
  <si>
    <t>Debitor Workshop</t>
  </si>
  <si>
    <t>ဝပ္ေရွာ့ ေၾကြးက်န္</t>
  </si>
  <si>
    <t>(SPR009)မမိုးမိုး ဝါးေသာက္</t>
  </si>
  <si>
    <t>SPR009</t>
  </si>
  <si>
    <t>Ma Moe Moe (Wabalaukthauk)</t>
  </si>
  <si>
    <t>Debitor Workshop ဝပ်ရှော့ ကြွေးကျန်(DBRWS)</t>
  </si>
  <si>
    <t>စိုးကမ္ဘာ</t>
  </si>
  <si>
    <t>ကိုအောင်ဝင်း</t>
  </si>
  <si>
    <t>အလွတ်ရောင်း(11 To 30)</t>
  </si>
  <si>
    <t>Other(11 To 30)</t>
  </si>
  <si>
    <t>4 လပိုင်း</t>
  </si>
  <si>
    <t>Creditor (ငွေလွှဲ - အိမ်)</t>
  </si>
  <si>
    <t>Creditor   (ငွေလွှဲ - ဆိုင်)</t>
  </si>
  <si>
    <t>18ေကာင္ ျဖတ္ဘား</t>
  </si>
  <si>
    <t>22 ေကာင္ အိတ္ေဇာေဂါက္</t>
  </si>
  <si>
    <t>22 ေကာင္ အင္ဂ်င္ဝိုင္ဘား(ရႈိက္ဘား)</t>
  </si>
  <si>
    <t>22 ေကာင္ကင့္မရွပ္ပီနယံ</t>
  </si>
  <si>
    <t>25ေကာင္ ဆီတိုင္ကီဖံုး(သံ)(JD)</t>
  </si>
  <si>
    <t>6210 ေဘာ</t>
  </si>
  <si>
    <t>BTY0018</t>
  </si>
  <si>
    <t>RP N100</t>
  </si>
  <si>
    <t>BTY0020</t>
  </si>
  <si>
    <t>12V 6Ah ဘတၱရီ</t>
  </si>
  <si>
    <t>DF0001</t>
  </si>
  <si>
    <t>28-42 ဂီယာေဘာက္ဘေလာက္(18-Y)DF</t>
  </si>
  <si>
    <t>DFကလပ္အံုဖံုး (3ေပါက္)ေကာ္</t>
  </si>
  <si>
    <t>DF ေႏွးျမန္ေမာင္းတက္စံု(ေရႊကၽြဲ)</t>
  </si>
  <si>
    <t>DF 18/20Y စပိုက္တာစံု</t>
  </si>
  <si>
    <t>EM185022</t>
  </si>
  <si>
    <t>EM185 ပန္႕အံု</t>
  </si>
  <si>
    <t>FD30005</t>
  </si>
  <si>
    <t>FD-30 သံဘီး</t>
  </si>
  <si>
    <t>FD30007</t>
  </si>
  <si>
    <t>FD-30 တပ္မ</t>
  </si>
  <si>
    <t>175/180 ပလန္ခ်ာ(JN)</t>
  </si>
  <si>
    <t>MBY0015</t>
  </si>
  <si>
    <t>300 Full (set)</t>
  </si>
  <si>
    <t>MBY0097</t>
  </si>
  <si>
    <t>300 Half Set</t>
  </si>
  <si>
    <t>MBY0100</t>
  </si>
  <si>
    <t>ဘက္ရွပ္ 29T/28cm</t>
  </si>
  <si>
    <t>MMS0012</t>
  </si>
  <si>
    <t>ကလပ္ျပား 7ခ်ပ္(ေရ)</t>
  </si>
  <si>
    <t>ကာပရိုက္တာ(1 ပင္)(200/250)</t>
  </si>
  <si>
    <t>MMS0148</t>
  </si>
  <si>
    <t>ရိန္း 250 (STD)</t>
  </si>
  <si>
    <t>စတပ္ေမာ္တာပင္နယံ(16/49)</t>
  </si>
  <si>
    <t>MMS0199</t>
  </si>
  <si>
    <t>12ထုပ္ကိြဳင္(200W)</t>
  </si>
  <si>
    <t>MMS0242</t>
  </si>
  <si>
    <t>ကလပ္ျပား(250-7ခ်ပ္)JCေကာင္း</t>
  </si>
  <si>
    <t>MMS0354</t>
  </si>
  <si>
    <t>ကလပ္အံု Set(250-5p/7ခ်ပ္)ရပစ္</t>
  </si>
  <si>
    <t>MMS0359</t>
  </si>
  <si>
    <t>ဘားေစ့ ေအာက္ရစ္(ရွည္)</t>
  </si>
  <si>
    <t>MMS057</t>
  </si>
  <si>
    <t>ဆီတိုင္ကီဘြတ္</t>
  </si>
  <si>
    <t>MMS2082</t>
  </si>
  <si>
    <t>အိတ္ေဇာနတ္တိုင္ေခါင္းပါ(12)ရစ္</t>
  </si>
  <si>
    <t>အိတ္ေဇာနတ္တိုင္ေခါင္းပါ(14)ရစ္</t>
  </si>
  <si>
    <t>NT70055</t>
  </si>
  <si>
    <t>NT70/80 ကင့္ဘု</t>
  </si>
  <si>
    <t>DF ကလပ္ေဘာ(688808)</t>
  </si>
  <si>
    <t>OW0154</t>
  </si>
  <si>
    <t>6310(Japan) အစစ္</t>
  </si>
  <si>
    <t>OW0168</t>
  </si>
  <si>
    <t>OW0172</t>
  </si>
  <si>
    <t>5K ဒိုင္နမို ဖလမ္း</t>
  </si>
  <si>
    <t>OW0189</t>
  </si>
  <si>
    <t>32214 ေဘာ</t>
  </si>
  <si>
    <t>OW0191</t>
  </si>
  <si>
    <t>ဘ/ထ Toyoေဘာဖံုး(ေသး)</t>
  </si>
  <si>
    <t>Q185 မိန္းဖလန္း(R175/R180)</t>
  </si>
  <si>
    <t>Q185 အင္ဂ်င္ဝိုင္ပိုက္</t>
  </si>
  <si>
    <t>Q185040</t>
  </si>
  <si>
    <t>Q185 ဂါဂ်ီပင္(CC)</t>
  </si>
  <si>
    <t>R175စလစ္ကစ္ဆက္(က်ယ္ခြက္)</t>
  </si>
  <si>
    <t>R1750009</t>
  </si>
  <si>
    <t>R175 ပါကင္စံု(JN)</t>
  </si>
  <si>
    <t>R1750018</t>
  </si>
  <si>
    <t>အဲယာဗူး ေဂါက္ပါ</t>
  </si>
  <si>
    <t>R1750030</t>
  </si>
  <si>
    <t>R-175/180 ဂိတ္ျပပစၥတင္(JN)</t>
  </si>
  <si>
    <t>R1750032</t>
  </si>
  <si>
    <t>R175 အဲယားစစ္</t>
  </si>
  <si>
    <t>R-175/180 ဂိတ္ျပပင္စတင္</t>
  </si>
  <si>
    <t xml:space="preserve">R175ဂါဂ်ီပင္ဘြတ္(ေၾကး)_x000D_
</t>
  </si>
  <si>
    <t>R175203</t>
  </si>
  <si>
    <t>R-175 ဂါဂ်ီပင္ဘြတ္(ေၾကး)(JN)</t>
  </si>
  <si>
    <t xml:space="preserve">R180 ပါကင္စံု </t>
  </si>
  <si>
    <t>R1800062</t>
  </si>
  <si>
    <t>R-180 ရိန္း (CC)</t>
  </si>
  <si>
    <t>R180051</t>
  </si>
  <si>
    <t>R-180 ပါကင္စံု(JN)</t>
  </si>
  <si>
    <t>R180 စလစ္ကစ္ဆက္(JD)</t>
  </si>
  <si>
    <t>မီးစက္တြဲ 3800W(Jelist)</t>
  </si>
  <si>
    <t>Water pump(370W)5မူး</t>
  </si>
  <si>
    <t>Water pump(အင္ပယ္လာႀကီး)(370W)5မူး</t>
  </si>
  <si>
    <t>SP01225</t>
  </si>
  <si>
    <t>1 HP ဂ်က္ပန္႔ ေရေမာ္တာ</t>
  </si>
  <si>
    <t>2ေပခ်ိန္ေစာ သံပါတ္(ၾကီး)</t>
  </si>
  <si>
    <t>6မူး ေဖာက္စက္(BOSHENG)</t>
  </si>
  <si>
    <t>SP01330</t>
  </si>
  <si>
    <t>ဆိတ္ခ်ိဳတူ သံရိုးဝါ</t>
  </si>
  <si>
    <t>SP01331</t>
  </si>
  <si>
    <t>ခဲေခြ</t>
  </si>
  <si>
    <t>Jet pump(1hp)Dayuan</t>
  </si>
  <si>
    <t>SP01522</t>
  </si>
  <si>
    <t>ေက်ာက္ပတ္တီး</t>
  </si>
  <si>
    <t>အင္ဂ်င္ဝိုင္ (Falcon) 20/50 (1l)</t>
  </si>
  <si>
    <t>5/8 စကူဂန္း(BOSHENG)(ေဖာက္စက္အေသး)</t>
  </si>
  <si>
    <t>3ေပခြဲ ခ်ိန္းေစာ မီးကြိဳင္စံု</t>
  </si>
  <si>
    <t>SP0168</t>
  </si>
  <si>
    <t xml:space="preserve">60.90.10 အဝိုင္းစီး </t>
  </si>
  <si>
    <t>ၾကိဳးစက္</t>
  </si>
  <si>
    <t xml:space="preserve">2KV အေကြး </t>
  </si>
  <si>
    <t>2ေပ ခ်ိန္းေစာEngine(5800)</t>
  </si>
  <si>
    <t xml:space="preserve">FD30 တစ္ဘီးထြန္ </t>
  </si>
  <si>
    <t>SP01822</t>
  </si>
  <si>
    <t>550×13 ကၽြတ္</t>
  </si>
  <si>
    <t>SP01824</t>
  </si>
  <si>
    <t>ဂ်ဴဂိုပတ္တီး</t>
  </si>
  <si>
    <t>SP01826</t>
  </si>
  <si>
    <t>မီးစက္ (154)ဘားတံ</t>
  </si>
  <si>
    <t>SP01827</t>
  </si>
  <si>
    <t>3ေပခြဲ ခ်ိန္းေစာကြိဳင္(CDI)</t>
  </si>
  <si>
    <t>SP01832</t>
  </si>
  <si>
    <t>DC ေရျမဳပ္ (220W)</t>
  </si>
  <si>
    <t>SP01834</t>
  </si>
  <si>
    <t>5" ဒိုင္နမို သေရျပား</t>
  </si>
  <si>
    <t>SP01836</t>
  </si>
  <si>
    <t>DC ေရေဆးပန္႔</t>
  </si>
  <si>
    <t>600 × 12 တာယာ+က်ြတ္</t>
  </si>
  <si>
    <t>SP0423</t>
  </si>
  <si>
    <t>R175 ကီးစံု(56)</t>
  </si>
  <si>
    <t>11.5ခ်ိန္းေစာ(4"ေက်ာက္စက္)</t>
  </si>
  <si>
    <t>SP0575</t>
  </si>
  <si>
    <t>9ေကာင္ အင္ဂ်င္(KAWA270)</t>
  </si>
  <si>
    <t>SP0703</t>
  </si>
  <si>
    <t>ေလပိုက္ဝါ (ေရေဆးပန္႔)</t>
  </si>
  <si>
    <t>SP0809</t>
  </si>
  <si>
    <t>ေဘာထိုင္ႀကီးအေပါက္ပါ(တစ္ဘီး)</t>
  </si>
  <si>
    <t>500 X 12တာယာ+ကၽြတ္(YGN)</t>
  </si>
  <si>
    <t>ZMGBS10</t>
  </si>
  <si>
    <t>Diesel Engine Changchai Brand Model  ZS - 1110 Old/A2</t>
  </si>
  <si>
    <t>ZMGBS11</t>
  </si>
  <si>
    <t>Dongben Brand Tricycle : DB300ZH-300CC(8 Feet) F No -L6XHBR1C6M0000102</t>
  </si>
  <si>
    <t>ZMTMS137</t>
  </si>
  <si>
    <t>(3s) အိတ္ေဇာ စလင္ဒါ (ထူ ၊တို)</t>
  </si>
  <si>
    <t>ZMTMS412</t>
  </si>
  <si>
    <t>ဆီဘရိတ္ဗူး( 1 ပိုက္ထြက္)</t>
  </si>
  <si>
    <t>18 ေကာင္ဂတ္စကက္</t>
  </si>
  <si>
    <t>ကင့္မရွပ္(ဘုၾကီး)ZS-1100/S-195</t>
  </si>
  <si>
    <t>18ေကာင္ ပလန္ခ်ာအံု(CC)</t>
  </si>
  <si>
    <t>18y စပိုက္တာေဘာဖံုးစံု</t>
  </si>
  <si>
    <t>22 ေကာင္ေရတိုင္ဂီ</t>
  </si>
  <si>
    <t>22ေကာင္ အင္းလက္ေဂါက္(JD)</t>
  </si>
  <si>
    <t>22/25ေကာင္ ေနာ္ဇယ္အံု</t>
  </si>
  <si>
    <t>22ေကာင္ ဆီတိုင္ကီ(ပံုသစ္)</t>
  </si>
  <si>
    <t>190 ကစ္ဆက္(10ေကာင္)</t>
  </si>
  <si>
    <t>190 ဂတ္စကတ္(10ေကာင္)</t>
  </si>
  <si>
    <t>BTY0017</t>
  </si>
  <si>
    <t>RP N70</t>
  </si>
  <si>
    <t>BTY0021</t>
  </si>
  <si>
    <t>PR N70L</t>
  </si>
  <si>
    <t>DF178</t>
  </si>
  <si>
    <t>Toyo ဆိုက္ကလပ္ဂြ(အေသး)</t>
  </si>
  <si>
    <t>DF179</t>
  </si>
  <si>
    <t>DFထယ္ကိုင္္းထိုးတန္းပါ</t>
  </si>
  <si>
    <t>EM185023</t>
  </si>
  <si>
    <t>EM185 ဘားကီးဘားဖံုး(10ေကာင္)</t>
  </si>
  <si>
    <t>FD30001</t>
  </si>
  <si>
    <t>FD-30 ကိုယ္ထည္</t>
  </si>
  <si>
    <t>FD30002</t>
  </si>
  <si>
    <t>FD-30 ဂီယာေဘာက္</t>
  </si>
  <si>
    <t>FD30003</t>
  </si>
  <si>
    <t>FD-30 အင္ဂ်င္ထိုင္ခံု</t>
  </si>
  <si>
    <t>FD30004</t>
  </si>
  <si>
    <t>FD-30 လက္ကိုင္း</t>
  </si>
  <si>
    <t>FD30006</t>
  </si>
  <si>
    <t>FD-30 ဖင္ထိုင္ျပား</t>
  </si>
  <si>
    <t>FD30008</t>
  </si>
  <si>
    <t>FD-30 ေလွ်ာဗန္း+သံၾကိဳးတံုး+ေဒါက္</t>
  </si>
  <si>
    <t>FD30009</t>
  </si>
  <si>
    <t>FD-30 ေလွ်ာတန္း(ခါးရွပ္တန္း)</t>
  </si>
  <si>
    <t>FD30010</t>
  </si>
  <si>
    <t>FD-30 နတ္စံုထုပ္</t>
  </si>
  <si>
    <t>GBSP0032</t>
  </si>
  <si>
    <t>L-28/32 အိတ္ေဇာေဂါက္</t>
  </si>
  <si>
    <t>GBSP099</t>
  </si>
  <si>
    <t>DF ကေရာင္းအံု(ညာ)</t>
  </si>
  <si>
    <t>GBSP100</t>
  </si>
  <si>
    <t>28-42 ဂီယာေပါက္ဘေလာက္(6ေပါက္)</t>
  </si>
  <si>
    <t>GBSP101</t>
  </si>
  <si>
    <t>DF ေပါင္အံု(ညာ)</t>
  </si>
  <si>
    <t>GBSP102</t>
  </si>
  <si>
    <t>R175 ကင့္ဘု(JN)</t>
  </si>
  <si>
    <t>MBY0019</t>
  </si>
  <si>
    <t>300 ရိန္း STD</t>
  </si>
  <si>
    <t>MBY0045</t>
  </si>
  <si>
    <t>4ေပါက္ဂၽြိဳင္းဂြတြဲ(စိပ္)</t>
  </si>
  <si>
    <t>MBY0098</t>
  </si>
  <si>
    <t>150 ဟက္ဖံုး</t>
  </si>
  <si>
    <t>MBY0099</t>
  </si>
  <si>
    <t>500×12 (Double)ေဂြ</t>
  </si>
  <si>
    <t>MMS0019</t>
  </si>
  <si>
    <t>ဘေလာက္ Set(250-70)(သံ)(DC)</t>
  </si>
  <si>
    <t>စတပ္ေမာ္တာပင္နယံထူ(16/60)</t>
  </si>
  <si>
    <t>စတပ္ေမာ္တာပင္နယံပါး(16/60)</t>
  </si>
  <si>
    <t>MMS0095</t>
  </si>
  <si>
    <t>11:35 စပါယ္ဖူး</t>
  </si>
  <si>
    <t>MMS0096</t>
  </si>
  <si>
    <t>11;35 လင္ဗန္း</t>
  </si>
  <si>
    <t>MMS0121</t>
  </si>
  <si>
    <t xml:space="preserve">ဆီတိုင္ကီ လိေမၼာ္ </t>
  </si>
  <si>
    <t>MMS0174</t>
  </si>
  <si>
    <t>ဒိုင္အုပ္လတ္(5ဆ)</t>
  </si>
  <si>
    <t>MMS0182</t>
  </si>
  <si>
    <t>ကလပ္အံု (set)(200/6ခ်ပ္)ရပစ္</t>
  </si>
  <si>
    <t>MMS0183</t>
  </si>
  <si>
    <t>ကလပ္အံု(set)(250/7ခ်ပ္)စပရိန္</t>
  </si>
  <si>
    <t>ထိုင္ခံု(ZB)A</t>
  </si>
  <si>
    <t>MMS0351</t>
  </si>
  <si>
    <t>ဖူးစေတာ့တံ အလံုးၾကီး 150A</t>
  </si>
  <si>
    <t>MMS0352</t>
  </si>
  <si>
    <t>(4)ေခ်ာင္းေဖာက္လြတ္မဲ(31)S/A</t>
  </si>
  <si>
    <t>MMS0353</t>
  </si>
  <si>
    <t>ဘက္အံုဂြပင္နယံ 10Tက်ယ္</t>
  </si>
  <si>
    <t>MMS0355</t>
  </si>
  <si>
    <t>Half Set(250-70)ဂတ္စကက္(သံ)</t>
  </si>
  <si>
    <t>MMS0356</t>
  </si>
  <si>
    <t>10း14 စပိုက္တာပင္နယံ(က်ဲ) 6TA</t>
  </si>
  <si>
    <t>MMS0357</t>
  </si>
  <si>
    <t>10း16 စပိုက္တာပင္နယံ+ရွပ္ပါ (26T)ၾကီး</t>
  </si>
  <si>
    <t>MMS0358</t>
  </si>
  <si>
    <t>မိုင္းလစ္ၾကိဳး(300)A</t>
  </si>
  <si>
    <t>MMS0360</t>
  </si>
  <si>
    <t>တူးေဘာက္ ကူရွင္(ေလးေထာင့္)</t>
  </si>
  <si>
    <t>MMS0361</t>
  </si>
  <si>
    <t>ေနာက္ေက်ာမီွ/ကူရွင္</t>
  </si>
  <si>
    <t>MMS0362</t>
  </si>
  <si>
    <t>ထိုင္ခံုၾကီး (CL)</t>
  </si>
  <si>
    <t>MMS0363</t>
  </si>
  <si>
    <t>ေကာ္နတင္း(150)ေရ</t>
  </si>
  <si>
    <t>MMS0364</t>
  </si>
  <si>
    <t>ေကာ္နတင္း(200)ေရ</t>
  </si>
  <si>
    <t>MMS0365</t>
  </si>
  <si>
    <t>ေကာ္နတင္း(300)</t>
  </si>
  <si>
    <t>MMS0366</t>
  </si>
  <si>
    <t>ေကာ္နတင္း(CB-250-2/70)ပါး</t>
  </si>
  <si>
    <t>MMS0367</t>
  </si>
  <si>
    <t>ေကာ္နတင္း(CG-250/67)</t>
  </si>
  <si>
    <t>MMS0368</t>
  </si>
  <si>
    <t>ဂီယာတံ(SET)နွစ္ဆင့္</t>
  </si>
  <si>
    <t>MMS0369</t>
  </si>
  <si>
    <t>ဘက္ရွပ္(ရွည္)6T/72' ၾကက္ေၿခဖလန္း</t>
  </si>
  <si>
    <t>MMS0370</t>
  </si>
  <si>
    <t>ကင့္မရွပ္(Set) စပရိန္/အဖံုးပါ</t>
  </si>
  <si>
    <t>MMS0371</t>
  </si>
  <si>
    <t>ကင့္မရွပ္(Set) စပရိန္ပါ 200/250</t>
  </si>
  <si>
    <t>MMS0372</t>
  </si>
  <si>
    <t>ေနာက္ဟက္ဒြမ္ (5P)180Aနတ္ပါ/ဘုပါ</t>
  </si>
  <si>
    <t>MMS0373</t>
  </si>
  <si>
    <t>ေရလည္အံုပန္႔တို ကလစ္ထိုင္/ဒလတ္မပါ 200A(ေၿပာင္းျပန္)</t>
  </si>
  <si>
    <t>MMS068</t>
  </si>
  <si>
    <t>ဘေလာက္Set 300ေရ(JC)</t>
  </si>
  <si>
    <t>MMS186</t>
  </si>
  <si>
    <t>ဘေလာက္Set(250-67)သတၱဳ</t>
  </si>
  <si>
    <t>MMS187</t>
  </si>
  <si>
    <t>ဘေလာက္ Set 175 ေရ</t>
  </si>
  <si>
    <t>NT70056</t>
  </si>
  <si>
    <t>NT70/80 ပင္နယံ(စံု)</t>
  </si>
  <si>
    <t>NT70057</t>
  </si>
  <si>
    <t>NT70/80 ကရိုင္းပင္နယံ</t>
  </si>
  <si>
    <t>NT80018</t>
  </si>
  <si>
    <t>NT80 ဆီေဒါက္</t>
  </si>
  <si>
    <t>OW0188</t>
  </si>
  <si>
    <t>30210 (Japan)</t>
  </si>
  <si>
    <t>OW0190</t>
  </si>
  <si>
    <t>5KW ဖလန္း</t>
  </si>
  <si>
    <t>R1750031</t>
  </si>
  <si>
    <t>R175/180 ပလန္ခ်ာရွိန္းျပား(ေၾကး)</t>
  </si>
  <si>
    <t>R1800063</t>
  </si>
  <si>
    <t>R180 ေနာ္ဇယ္ကစ္ဆက္(JD)</t>
  </si>
  <si>
    <t>R1800064</t>
  </si>
  <si>
    <t>R180 ဘားတံ(JD)</t>
  </si>
  <si>
    <t>R1800065</t>
  </si>
  <si>
    <t>R180 ေနာ္ဇယ္(JD)</t>
  </si>
  <si>
    <t>R1800066</t>
  </si>
  <si>
    <t>R180 ပလန္ခ်ာ(JD)</t>
  </si>
  <si>
    <t>R1800067</t>
  </si>
  <si>
    <t>R180 ရိန္း(JD)</t>
  </si>
  <si>
    <t>SP01068</t>
  </si>
  <si>
    <t>6 မူးေတာက္</t>
  </si>
  <si>
    <t xml:space="preserve">3ေပခြဲ ခ်ိန္းေစာHero </t>
  </si>
  <si>
    <t>SP01078</t>
  </si>
  <si>
    <t>2ေပ ခ်ိန္းေစာ(5800)Rhino</t>
  </si>
  <si>
    <t>SP01080</t>
  </si>
  <si>
    <t xml:space="preserve">4 ေက်ာက္စက္ </t>
  </si>
  <si>
    <t>SP01090</t>
  </si>
  <si>
    <t>ေဆးမႈတ္စက္(လွ်ပ္စစ္)</t>
  </si>
  <si>
    <t>3ေပခြဲ ခ်ိန္းေစာကာပရိုက္တာ</t>
  </si>
  <si>
    <t>3ေပခြဲ ခ်ိန္းေစာ ဘရိတ္ရွဴး</t>
  </si>
  <si>
    <t>SP01459</t>
  </si>
  <si>
    <t>25ေကာင္ ဂတ္စကတ္(S1115)</t>
  </si>
  <si>
    <t>3ေပခြဲ ခ်ိန္းေစာ ရိန္း</t>
  </si>
  <si>
    <t>3ေပခြဲ ခ်ိန္းေစာပါကင္စံု</t>
  </si>
  <si>
    <t>3ေပခြဲ ခ်ိန္းေစာကရိုင္း</t>
  </si>
  <si>
    <t>3ေပခြဲ ခ်ိန္းေစာစေပါ့ကဒ္ကြင္း</t>
  </si>
  <si>
    <t>3ေပခြဲ ခ်ိန္းေစာကရိုင္းေဘာ</t>
  </si>
  <si>
    <t>SP01676</t>
  </si>
  <si>
    <t>3ေပခြဲ ခ်ိန္း(ဂ်ာမနီ)</t>
  </si>
  <si>
    <t>3ေပခြဲ ခ်ိန္းေစာလီဘာကိုင္း</t>
  </si>
  <si>
    <t>SP01741</t>
  </si>
  <si>
    <t>ကြန္ပရဆာ 2065</t>
  </si>
  <si>
    <t>3ေပခြဲ ခ်ိန္းေစာဆြဲၾကိဳး</t>
  </si>
  <si>
    <t>3ေပခြဲ ခ်ိန္းေစာ စက္မကိုင္း</t>
  </si>
  <si>
    <t>မီးစက္ 2KV/3KV KVR(ေျဖာင့္)</t>
  </si>
  <si>
    <t>3ေပခြဲ ခ်ိန္းေစာအဝိုင္းစီး</t>
  </si>
  <si>
    <t>3ေပခြဲ ခ်ိန္းေစာဘားနတ္</t>
  </si>
  <si>
    <t>အင္ဂ်င္ဝိုင္(Trane)10W 40(5L)</t>
  </si>
  <si>
    <t>3ေပခြဲ ခ်ိန္းေစာပြိဳင့္</t>
  </si>
  <si>
    <t>SP01817</t>
  </si>
  <si>
    <t>3ေပခြဲ ခ်ိန္းေစာ ဂါဂ်ီပင္ေဘာ</t>
  </si>
  <si>
    <t>SP01818</t>
  </si>
  <si>
    <t>61/2 ကာတာ(မီးစက္)</t>
  </si>
  <si>
    <t>SP01819</t>
  </si>
  <si>
    <t>6မူး စာပါးစပ္(ပင္နယံ)</t>
  </si>
  <si>
    <t>SP01820</t>
  </si>
  <si>
    <t>UPG(1702)လိေမၼာ္</t>
  </si>
  <si>
    <t>SP01821</t>
  </si>
  <si>
    <t>UPG(1401)အစိမ္း</t>
  </si>
  <si>
    <t>SP01823</t>
  </si>
  <si>
    <t>NJ 312(NC)</t>
  </si>
  <si>
    <t>SP01825</t>
  </si>
  <si>
    <t>မီးစက္ 2KV(ေကြး)</t>
  </si>
  <si>
    <t>SP01828</t>
  </si>
  <si>
    <t>27 HV စပန္နာသီး</t>
  </si>
  <si>
    <t>SP01829</t>
  </si>
  <si>
    <t>အမဲဆီေခါင္း အတို</t>
  </si>
  <si>
    <t>SP01830</t>
  </si>
  <si>
    <t>3ေပခြဲ ခ်ိန္းေစာသံပတ္</t>
  </si>
  <si>
    <t>SP01831</t>
  </si>
  <si>
    <t>30.50.8</t>
  </si>
  <si>
    <t>SP01833</t>
  </si>
  <si>
    <t>10" ဘက္ၾကိဳး</t>
  </si>
  <si>
    <t>SP01835</t>
  </si>
  <si>
    <t>8လက္မ ၾကိတ္စက္</t>
  </si>
  <si>
    <t>SP01837</t>
  </si>
  <si>
    <t>ဘ/ထ Toyo ပါကင္စံု</t>
  </si>
  <si>
    <t>SP01838</t>
  </si>
  <si>
    <t>BJ ဂ်မ္းနတ္</t>
  </si>
  <si>
    <t>SP01839</t>
  </si>
  <si>
    <t>တင္နာ</t>
  </si>
  <si>
    <t>SP01840</t>
  </si>
  <si>
    <t>ဖ်ဴးျပားၾကီး 30A</t>
  </si>
  <si>
    <t>SP01841</t>
  </si>
  <si>
    <t>စကၠဴ (အနီ)</t>
  </si>
  <si>
    <t>SP01842</t>
  </si>
  <si>
    <t>စကၠဴ (အဝါ)</t>
  </si>
  <si>
    <t>SP01843</t>
  </si>
  <si>
    <t>180W ေရးေဆးပိုက္(ေခါင္းၾကီးနွစ္ဖက္)</t>
  </si>
  <si>
    <t>SP01844</t>
  </si>
  <si>
    <t>AC/ DCကားေဆးပန္႔</t>
  </si>
  <si>
    <t>SP01848</t>
  </si>
  <si>
    <t>ဘားနတ္(ေသး)</t>
  </si>
  <si>
    <t>SP0319</t>
  </si>
  <si>
    <t>500 × 12 တာယာ YGN</t>
  </si>
  <si>
    <t>SP0539</t>
  </si>
  <si>
    <t>QF-30A1 ကားေရေဆးပန္႔(ေဘာ္ဒီအလြတ္)</t>
  </si>
  <si>
    <t>မီးစက္တြဲ (154)ကာဗရိုက္တာ</t>
  </si>
  <si>
    <t>6 1/2 ဘားဖံုး(စံု)</t>
  </si>
  <si>
    <t>STL007</t>
  </si>
  <si>
    <t>6.5 အထိုင္(စက္ေလွ) SPS</t>
  </si>
  <si>
    <t>STL017</t>
  </si>
  <si>
    <t>FD 30 တစ္ဘီးထြန္</t>
  </si>
  <si>
    <t>STL128</t>
  </si>
  <si>
    <t>2 ပိုက္ေပ်ာ့(100ေပ)</t>
  </si>
  <si>
    <t>Profit (1-4-2022) to (30-4-2022)</t>
  </si>
  <si>
    <t>STOCK(1-4-2022) To (30-4-2022)</t>
  </si>
  <si>
    <t xml:space="preserve">Company မ်ား  ေၾကြးက်န္ ေပးရန္(4 လပိုင္း 2022) </t>
  </si>
  <si>
    <t>Stock လက္က်န္ (4လပိုင္း 2022)</t>
  </si>
  <si>
    <t>Stock လက်ကျန်အတွက် အမြတ်စာရင်း</t>
  </si>
  <si>
    <t xml:space="preserve">Company(Spare)‌ ေၾကြးက်န္ (4 လပို္င္း2022 ) </t>
  </si>
  <si>
    <t>4 လပိုင္း 2022 က်န္ေငြမ်ား</t>
  </si>
  <si>
    <t>ငွေကြေးစီးဆင်းမှုပြဇယား (1-5-2022)မှ (31-5-2022) အထိ</t>
  </si>
  <si>
    <t>(1-5-2022)စာရင္းဖြင္႔ (ေၾကြးက်န္)</t>
  </si>
  <si>
    <t>SP ကြွေးဆပ် ဘုန်းကြီးကျောင်း</t>
  </si>
  <si>
    <t>WS- ဝင်ငွေ</t>
  </si>
  <si>
    <t>SP အရောင်းဝင်ငွေ</t>
  </si>
  <si>
    <t>အိမ်- အင်ဗာတာဝယ်</t>
  </si>
  <si>
    <t>ဆိုင်- ရေဘူးလဲ</t>
  </si>
  <si>
    <t>ဆိုင်- 13ကောင်ကာ/တာ</t>
  </si>
  <si>
    <t>ဆိုင်- ကျွတ်+ရိန်း</t>
  </si>
  <si>
    <t>စုထက်ဟိန်း</t>
  </si>
  <si>
    <t>ဆိုင်- အလွတ်ရောင်း</t>
  </si>
  <si>
    <t>WS- ကိုထွေးယူငွေ(သာသနာ့အားမာန်)</t>
  </si>
  <si>
    <t>ဆိုင်- ခုံခင်းဝယ်+စက္ကူ</t>
  </si>
  <si>
    <t>ဆိုင်- မီးခံကြိုး+အိတ်ဇောမီးခံကွင်း</t>
  </si>
  <si>
    <t>ဆိုင်- ဘားဆက်စုံ+အမ်းခုံနတ်တိုင်</t>
  </si>
  <si>
    <t>ဆိုင်- အင်ဂျင်ဝိုင်+CDI</t>
  </si>
  <si>
    <t>ဆိုင်- ကစ်ဆက်+အင်ဂျင်ဝိုင်</t>
  </si>
  <si>
    <t>ဆိုင်- ကိုမျိုးမြင့် ပစ္စည်းတင်ကားခ</t>
  </si>
  <si>
    <t>SP ကြွေးဆပ် မောင်မြင့်သူ ခရိုက္ခနိ</t>
  </si>
  <si>
    <t>ဆိုင်- သံဝယ်+ဝါး</t>
  </si>
  <si>
    <t>WS- ဒီဇယ်+ဓါတ်ဆီ</t>
  </si>
  <si>
    <t>ဆိုင်- ဦးအေးနိုင် နေ့စားခ</t>
  </si>
  <si>
    <t>ဆိုင်- ဓါးဝယ်</t>
  </si>
  <si>
    <t>WS- သုတ်ဆေး+သံခွာ+ကော်ပတ်+ကျောက်ပြား</t>
  </si>
  <si>
    <t>SP ကြွေးကျန် မောင်မြင့်သူ ခရိုက္ခနိ</t>
  </si>
  <si>
    <t>ဆိုင်- ဆီလီကွန်</t>
  </si>
  <si>
    <t>ဆိုင်- ဘားကီး+ဘားဖုံး</t>
  </si>
  <si>
    <t>ဆိုင်- ကော်ရေပုံး</t>
  </si>
  <si>
    <t>ဆိုင်- ဘိုဘိုနိုင် နေ့စားခ</t>
  </si>
  <si>
    <t>WS- 12ဝရိန်ထုပ်</t>
  </si>
  <si>
    <t>ရွှေနယား</t>
  </si>
  <si>
    <t>HAN ASIA</t>
  </si>
  <si>
    <t>SP ကြွေးဆပ် ကိုဘိုဘို ကျုံဒရယ်</t>
  </si>
  <si>
    <t>ဆိုင်- ဝင်ငွေ</t>
  </si>
  <si>
    <t>ဆိုင်- ရေသန့်ကဒ်</t>
  </si>
  <si>
    <t>ဆိုင်- အိမ်ကားလေး+ကားကြီးကားခ</t>
  </si>
  <si>
    <t>ဆိုင်- လက်ကိုင်းလက်ဆောင်ပေး</t>
  </si>
  <si>
    <t>SP ကြွေးကျန် ချစ်ကျော်သူ ဝါးသောက်</t>
  </si>
  <si>
    <t>ဆိုင်- 306ဘော+မီးခံကွင်း</t>
  </si>
  <si>
    <t>အိမ်- သုတ်ဆေး+စုတ်တံ</t>
  </si>
  <si>
    <t>WS- ဝရိန်မှန်</t>
  </si>
  <si>
    <t>GBS EG</t>
  </si>
  <si>
    <t>PW ဘတ္ထရီ</t>
  </si>
  <si>
    <t>IN OTHER</t>
  </si>
  <si>
    <t>ဆိုင်- ဘဏ်ငွေလွှဲခ</t>
  </si>
  <si>
    <t>ဆိုင်- ဖလိုင်းဝှီးကျမ်းကွင်း+20 *50ဂျွိုင်း</t>
  </si>
  <si>
    <t>ဆိုင်- ဆီပိုက်+ကရိုင်း</t>
  </si>
  <si>
    <t>ဆိုင်- ထရန်စဖာအုံ+ဂီယာတံ</t>
  </si>
  <si>
    <t>ဆိုင်-  32ပစ္စတင်+ကရိုင်း</t>
  </si>
  <si>
    <t>ဆိုင်-   22သီး</t>
  </si>
  <si>
    <t>ဆိုင်- ဖုန်းဘေ</t>
  </si>
  <si>
    <t>ဆိုင်- မိဘရိပ်ကားခ</t>
  </si>
  <si>
    <t>ဆိုင်- ရေဗူးလဲ</t>
  </si>
  <si>
    <t>WS- ဘိုဘိုနိုင် နေ့စားခ</t>
  </si>
  <si>
    <t>ဆိုင်- ဘိုဘိုနိုင် အင်ဂျင်ဖောက်ခပေး</t>
  </si>
  <si>
    <t>ဆိုင်- ဖင်ထိုင်စပလိန်+နားကပ်</t>
  </si>
  <si>
    <t>ဆိုင်- ဂါဂျီပင်ဘွတ်</t>
  </si>
  <si>
    <t>အိမ်- ဒေါ်လေးမိုး ယူငွေ</t>
  </si>
  <si>
    <t>ဆိုင်- Monitor+Keyboard+Mouse</t>
  </si>
  <si>
    <t>SP ကြွေးကျန် ကမာကနီး</t>
  </si>
  <si>
    <t>DBR SPARE</t>
  </si>
  <si>
    <t>ဆိုင်- ဘုရားပန်း</t>
  </si>
  <si>
    <t>ဆိုင်- အိမ်ကားကြီးကားခ</t>
  </si>
  <si>
    <t>ဆိုင်- တိတ်</t>
  </si>
  <si>
    <t>ဆိုင်- ကိုဇင်ကို လစာယူငွေ</t>
  </si>
  <si>
    <t>ဆိုင်- မလွင်လွင်သန်း လစာယူငွေ</t>
  </si>
  <si>
    <t>SP ကြွေးကျန် ကိုချက်ကြီး ဝါးသောက်</t>
  </si>
  <si>
    <t>WS- သုတ်ဆေး</t>
  </si>
  <si>
    <t>WS- ဓါတ်ဆီ</t>
  </si>
  <si>
    <t>WS- LA1700(2)</t>
  </si>
  <si>
    <t>ဆိုင်- ရှူးခြမ်း+ဘီးနတ်</t>
  </si>
  <si>
    <t>ဆိုင်- ပါကင်စုံ</t>
  </si>
  <si>
    <t>SP ကြွေးဆပ် ကမာကနီး</t>
  </si>
  <si>
    <t>SP ကြွေးဆပ် ကိုချက်ကြီး ဝါးသောက်</t>
  </si>
  <si>
    <t>SP ကြွေးဆပ် ကိုလေး ဝါးသောက်</t>
  </si>
  <si>
    <t>WS- ကိုထွေး ဖုန်းဘေ</t>
  </si>
  <si>
    <t>SP ကြွေးကျန် ကိုစိုးကို ဝါးသောက်</t>
  </si>
  <si>
    <t>WS- ကျောက်ပြား</t>
  </si>
  <si>
    <t>ဆိုင်- မီးစက်ဓါတ်ဆီ+ဆိုင်ကယ်ဓါတ်ဆီ</t>
  </si>
  <si>
    <t>ဆိုင်- ဆေးဗူးဝယ်</t>
  </si>
  <si>
    <t>ဆိုင်- NT80ရန်း</t>
  </si>
  <si>
    <t>ဆိုင်- တစ်ရှူး+အလှူခံ</t>
  </si>
  <si>
    <t>WS- 205 ဘော</t>
  </si>
  <si>
    <t>SP ကြွေးဆပ် ကိုစိုးကို ဝါးသောက်</t>
  </si>
  <si>
    <t>ဆိုင်- ဘောပင်+ကပ်ကြေး</t>
  </si>
  <si>
    <t>အိမ်- ဦးဦးဖုန်းဘေ</t>
  </si>
  <si>
    <t>အိမ်- အဝတ်လျှော်ခ</t>
  </si>
  <si>
    <t>အိမ်- နာရီပြင်</t>
  </si>
  <si>
    <t>SP ကြွေးကျန် မမို့မို့ ဝါးသောက်</t>
  </si>
  <si>
    <t>WS-  ကြွေးကျန် မမို့မို့ ဝါးသောက်</t>
  </si>
  <si>
    <t>WS- ဟန်ဂလန်</t>
  </si>
  <si>
    <t>ဆိုင်- အဝိုင်းစီး+ဟန်တယ်ဘွတ်</t>
  </si>
  <si>
    <t>သုံးဘီး ဝယ်</t>
  </si>
  <si>
    <t>အားသစ်</t>
  </si>
  <si>
    <t>မော်</t>
  </si>
  <si>
    <t>မြ</t>
  </si>
  <si>
    <t>ဆိုင်- toyo ပါကင်+56ယိုး</t>
  </si>
  <si>
    <t>ဆိုင်- ဘလောက်set+ထရန်စဖာ</t>
  </si>
  <si>
    <t>ဆိုင်- ဖြတ်ဘား+ဘားဆက်စုံ</t>
  </si>
  <si>
    <t>ဆိုင်- ဘားဆက်စုံ+half set</t>
  </si>
  <si>
    <t>WS- မာစီးတီး ဆီတိုင်ကီ</t>
  </si>
  <si>
    <t>WS- ဝရိန်မှန်+ကျောက်ပြား</t>
  </si>
  <si>
    <t>ဆိုင်- -အလွတ်ရောင်း</t>
  </si>
  <si>
    <t>ဆိုင်- ရေဘူးလဲ+မုန့်</t>
  </si>
  <si>
    <t>WS- တံမြတ်စည်း+ဂေါ်ြပား</t>
  </si>
  <si>
    <t>ဆိုင်- ဒေါ်ခင်မာချို  မီတာစာရွက်</t>
  </si>
  <si>
    <t>WS- ဦးဇင်မောင်  မီတာစာရွက်</t>
  </si>
  <si>
    <t>အိမ်- မရတနာ  မီတာစာရွက်</t>
  </si>
  <si>
    <t>WS-  ကိုထွေး ယူငွေ(မီတာစာရွက်)</t>
  </si>
  <si>
    <t>ဆိုင်- စာအုပ်</t>
  </si>
  <si>
    <t>ဆိုင်- ဘောင်းဘီဖိုးပေး</t>
  </si>
  <si>
    <t>WS- သုတ်ဆေးဘူး</t>
  </si>
  <si>
    <t>ဆိုင်- အမ်းခုံ+အဝိုင်းစီး</t>
  </si>
  <si>
    <t>GBS HARFWARE MART</t>
  </si>
  <si>
    <t>SP ကြွေးဆပ် ကိုဇော်နိုင်ဝင်း ဝါးသောက်</t>
  </si>
  <si>
    <t>ဆိုင်- သုတ်ဆေး</t>
  </si>
  <si>
    <t>အိမ်- ဘဲသားဝယ်</t>
  </si>
  <si>
    <t>အိမ်- ကားဓါတ်ဆီ</t>
  </si>
  <si>
    <t>WS- ဝရိန်ချောင်း+တင်နာ+ပန်းကော်ပတ်</t>
  </si>
  <si>
    <t>ဆိုင်- စက်ဖိနပ်+ပစ္စတင်</t>
  </si>
  <si>
    <t>ဆိုင်- မော်တာ+ပင်နယံ</t>
  </si>
  <si>
    <t>ဆိုင်- 204+စတပ်မော်တာ</t>
  </si>
  <si>
    <t>ဆိုင်- စတပ်ဘောထိုင်</t>
  </si>
  <si>
    <t>ဆိုင်- ဘိုဘိုနိုင်နေ့စားခ</t>
  </si>
  <si>
    <t>ဆိုင်- မီးခလုပ်ဝယ်</t>
  </si>
  <si>
    <t>ဆိုင်- မော်တာ+ 205</t>
  </si>
  <si>
    <t>GBS (HWM)</t>
  </si>
  <si>
    <t>ဦးဝင်းလှိုင်</t>
  </si>
  <si>
    <t>SP ကြွေးဆပ် မမို့မို့ ဝါးသောက်</t>
  </si>
  <si>
    <t>ဆိုင်- EM185စလစ် ခုတ်ခပေး</t>
  </si>
  <si>
    <t>အိမ်- ကားပစ္စည်းဝယ်</t>
  </si>
  <si>
    <t>အိမ်- ဆပ်ပြာမှုန့်</t>
  </si>
  <si>
    <t>ဆိုင်- ပါဆယ်အိတ်</t>
  </si>
  <si>
    <t>ဆိုင်- ဖိုင်+ခြင်း</t>
  </si>
  <si>
    <t>WS- စက်တုံး(၄)ခုဝယ်</t>
  </si>
  <si>
    <t>WS- စက်တုံးယူ ကယ်လီခ</t>
  </si>
  <si>
    <t>ဆိုင်- TOYO ပါကင်</t>
  </si>
  <si>
    <t>WS- ဆွဲသီး+ဆီပိုက်</t>
  </si>
  <si>
    <t>ဆိုင်- ဘက်ရှပ်+ဆီဘရိတ်အိုး</t>
  </si>
  <si>
    <t>ဆိုင်- ကော်နတ်တင်း+ဘားကရိုင်းခွက်</t>
  </si>
  <si>
    <t>ဆိုင်- အေဂျက်+ဆီမာစတာဝါရှာ</t>
  </si>
  <si>
    <t>ဆိုင်- ဂီယာပေါက် (၂)လုံးပြင်ခပေး</t>
  </si>
  <si>
    <t>ဆိုင်- နော်ဇယ်+ပလန်ချာအစုံ</t>
  </si>
  <si>
    <t>WS- သံကြေးချွတ်ဆေး</t>
  </si>
  <si>
    <t>WS-  မီးပြင်ပစ္စည်း+လက်ခ</t>
  </si>
  <si>
    <t>အိမ်-  မီးပြင်ပစ္စည်း+လက်ခ</t>
  </si>
  <si>
    <t>SP ကြွေးကျန် ကိုဇော်နိုင်ဝင်း ဝါးသောက်</t>
  </si>
  <si>
    <t>ဆိုင်- ဘိုဘိုနိုင် ဖုန်းဘေ</t>
  </si>
  <si>
    <t>ဆိုင်- EM185စလစ် ခုတ်ခ+ကယ်လီခ</t>
  </si>
  <si>
    <t>ဆိုင်- ဆိုင်ကယ်ပြင်ခပေး</t>
  </si>
  <si>
    <t>ဆိုင်- Corbonless paper</t>
  </si>
  <si>
    <t>ဆိုင်-  ဆေးဗူးဝယ်</t>
  </si>
  <si>
    <t>အိမ်-  bonsy</t>
  </si>
  <si>
    <t>WS- သံဘီးဖိုး ငွေပြန်အမ်း</t>
  </si>
  <si>
    <t>ဆိုင်- WSအင်းလဲ့ဘူး(၁၀)ပြုပြင်ခ</t>
  </si>
  <si>
    <t>WS- မီးပြင်+လက်ခ</t>
  </si>
  <si>
    <t>ဆိုင်- အအေး</t>
  </si>
  <si>
    <t>ဆိုင်- ကီး+ကော်ပတ်+ပူလီ</t>
  </si>
  <si>
    <t>WS- ကော်ပတ်</t>
  </si>
  <si>
    <t>ဆိုင်- အိမ်ကားလေးကားခ</t>
  </si>
  <si>
    <t>ဆိုင်- ဖြတ်ဘား+နော်ဇယ်+ရေHEAT</t>
  </si>
  <si>
    <t>ကျင်းလုံ</t>
  </si>
  <si>
    <t>ဟွာဟုန်</t>
  </si>
  <si>
    <t>PURCHASE ADJUSTMENT(1 To 12)</t>
  </si>
  <si>
    <t>Other(1 To 12)</t>
  </si>
  <si>
    <t>PURCHASE ADJUSTMENT(13 To 30)</t>
  </si>
  <si>
    <t>အလွတ်ရောင်း(1 To 12)</t>
  </si>
  <si>
    <t>Invoice(1 To 12)</t>
  </si>
  <si>
    <t>POS Pur(1 To 12)</t>
  </si>
  <si>
    <t>POS Pur(13 To 30)</t>
  </si>
  <si>
    <t>Invoice(12 To 30)</t>
  </si>
  <si>
    <t>ဆိုင်- မီးပြင်လက်ခ</t>
  </si>
  <si>
    <t>အိမ်- ဖောင်ဒေးရှင်း အလှူငွေ</t>
  </si>
  <si>
    <t>အိမ်- နာရေး အလှူငွေ</t>
  </si>
  <si>
    <t>ဆိုင်- မီးချောင်း+စာအုပ်</t>
  </si>
  <si>
    <t>WS- မှဝယ်</t>
  </si>
  <si>
    <t>ဦးစန်းသူ (JJ FAMILY)</t>
  </si>
  <si>
    <t>ဆိုင်- JJ FAMILY  ကားခ</t>
  </si>
  <si>
    <t>WS-  ကိုထွေး ယူငွေ</t>
  </si>
  <si>
    <t>WS- ကျောက်ပြား+ကော်ပတ်+ဘရိတ်ရှူး</t>
  </si>
  <si>
    <t>WS- ပူလီ+ဘော</t>
  </si>
  <si>
    <t>ဆိုင်- မီးတိပ်+ဒလိဘား</t>
  </si>
  <si>
    <t>ဆိုင်- ဘားဆက်စုံ+ဆီစစ်</t>
  </si>
  <si>
    <t>ဆိုင်- ဆိုက်ကလပ်နှုတ်ခမ်းမွှေး+စတပ်ဘော</t>
  </si>
  <si>
    <t>ဆိုင်- 304ဘော+ဆိုင်ကလပ်နှုတ်ခမ်းမွှေး</t>
  </si>
  <si>
    <t>SP ကြွေးကျန် ဦးသန်းဦး လက်ခုပ်ကုန်း</t>
  </si>
  <si>
    <t>SP ကြွေးကျန် မထက်ထက် ဝါးသောက်</t>
  </si>
  <si>
    <t>ဆိုင်- SU80 ပန့်</t>
  </si>
  <si>
    <t>ဆိုင်- တစ်ရှူး+အအေး</t>
  </si>
  <si>
    <t>SP ကြွေးကျန် ဘုန်းကြီးကျောင်း ဝါးသောက်</t>
  </si>
  <si>
    <t>WS- ဆွဲတံသီး</t>
  </si>
  <si>
    <t>ဆိုင်- ကိုမိုးမိုးကျော် တော်ကလိပ် လက်ဆောင်</t>
  </si>
  <si>
    <t>WS-  ပါကင်စုံ+ဆွဲသီး</t>
  </si>
  <si>
    <t>ဆိုင်- ပစ္စတင်</t>
  </si>
  <si>
    <t>SPR010</t>
  </si>
  <si>
    <t>U Than Oo (Lat Koat Khone)</t>
  </si>
  <si>
    <t>U Zaw Htwe (Thae Khone Tan)</t>
  </si>
  <si>
    <t>(SPR010) ဦးသန်းဦး လက်ခုပ်ကုန်း</t>
  </si>
  <si>
    <t>Spare Recevable(10)</t>
  </si>
  <si>
    <t>(10)ဦးမပါ Spare ေၾကြးက်န္စာရင္း</t>
  </si>
  <si>
    <t>SP ကြွေးကျန် ကျော်စိုး ဝါးသောက်</t>
  </si>
  <si>
    <t>ဆိုင်- အင်ဗာတာ ပြင်ခ</t>
  </si>
  <si>
    <t>ဆိုင်- ပန်းကော်ပတ်+ဆေးဗူး</t>
  </si>
  <si>
    <t>ဆိုင်- ဟန်တယ်ဘွတ်</t>
  </si>
  <si>
    <t>ဆိုင်- ဦးမြင့်အေး(ကညင်ကုန်းချောင်းဝ)လက်ဆောင်</t>
  </si>
  <si>
    <t>ဆိုင်- အင်ဂျင်ဝိုင်+ဘရိတ်ကိုင်း</t>
  </si>
  <si>
    <t>ဆိုင်- ပစ္စတင်+ရိန်း</t>
  </si>
  <si>
    <t>ဆိုင်- 56ကြိုး+NT80 ရိန်း</t>
  </si>
  <si>
    <t>ဆိုင်- ဂတ်စကက်+54ကြိုး</t>
  </si>
  <si>
    <t>ဈာန်</t>
  </si>
  <si>
    <t>မိုးသောက်</t>
  </si>
  <si>
    <t>အလင်းရောင်</t>
  </si>
  <si>
    <t>GBSP</t>
  </si>
  <si>
    <t>ဆိုင်- ကိုငယ်လေး(ဘို့ဒင်)လက်ဆောင်</t>
  </si>
  <si>
    <t>ဆိုင်- ဘိုဘိုနိုင် (110CC ဆင်ခပေး)</t>
  </si>
  <si>
    <t>အိမ်- ရေခဲသုတ်</t>
  </si>
  <si>
    <t>SP ကြွေးကျန် မမိလဲ့ ဝါးသောက်</t>
  </si>
  <si>
    <t>ဆိုင်- အင်ဂျင်ဝိုင်+ကစ်ဆက်</t>
  </si>
  <si>
    <t>ဆိုင်- ပူလီ+54ကြိုး</t>
  </si>
  <si>
    <t>WS- ကော်ပတ်+ 10T</t>
  </si>
  <si>
    <t>ဆိုင်- မီးစက်ပြင် ပစ္စည်းဝယ်</t>
  </si>
  <si>
    <t>ဆိုင်- အင်ဂျင်ဝိုင်</t>
  </si>
  <si>
    <t>ဆိုင်- ကိုနိုင်ဦး (ရခိုင်ချောင်)လက်ဆောင်</t>
  </si>
  <si>
    <t>SP ကြွေးဆပ် မမိလဲ့ ဝါးသောက်</t>
  </si>
  <si>
    <t>ဆိုင်- ဘောပြာ+204 ဘော</t>
  </si>
  <si>
    <t>ဆိုင်- 204+50 ချိန်း</t>
  </si>
  <si>
    <t>ဆိုင်- ဘောစ်ပင်ဝယ်</t>
  </si>
  <si>
    <t>ရွှေရာစု</t>
  </si>
  <si>
    <t>BULLET</t>
  </si>
  <si>
    <t>အောင်မေတ္တာ(၂)</t>
  </si>
  <si>
    <t>SP ကြွေးကျန် ကိုလေး ဝါးသောက်</t>
  </si>
  <si>
    <t>SP ကြွေးကျန် ကိုငွေသန်း ဝါးသောက်</t>
  </si>
  <si>
    <t>အိမ်- အင်ဂျင်ဝိုင်</t>
  </si>
  <si>
    <t>WS- ပူလီ+ကာဗွန်+စပန်နာ+စက္ကူ</t>
  </si>
  <si>
    <t>ဆိုင်- AD(30)+ဘားဆက်စုံ</t>
  </si>
  <si>
    <t>ဆိုင်- ပါကင်+မီးခံပြား</t>
  </si>
  <si>
    <t>ဆိုင်- ကလပ်ဆွဲ+အင်ဂျင်ဝိုင်</t>
  </si>
  <si>
    <t>ဆိုင်- 205+304+12PCS</t>
  </si>
  <si>
    <t>ဆိုင်- 54ချိန်း</t>
  </si>
  <si>
    <t>ဆိုင်- 54ပြောင်+32သီး</t>
  </si>
  <si>
    <t>ဆိုင်- ကာဗွန်+အင်ဂျင်ဝိုင်+တိုက်ပစ်မောင်း</t>
  </si>
  <si>
    <t>ဆိုင်- ထန်းသီး လက်ဆောင်ပေး</t>
  </si>
  <si>
    <t>ဆိုင်- ကိုမင်းဇော်ဦး ကမာကနီး</t>
  </si>
  <si>
    <t>ဆိုင်- 110CC ဇက်ပင်ပြုပြင်ခ</t>
  </si>
  <si>
    <t>ဆိုင်- ဆီစစ်+ရိန်းကလစ်</t>
  </si>
  <si>
    <t>ဆိုင်- လျောတန်း+အထိုင်</t>
  </si>
  <si>
    <t>ဆိုင်- ဝရိန်ထုပ်+ဘားကွင်း</t>
  </si>
  <si>
    <t>ဆိုင်- မိန်းဖလန်း+56ချိန်း</t>
  </si>
  <si>
    <t>ဆိုင်- ပါကင်+ဇက်ပင်</t>
  </si>
  <si>
    <t>ဆိုင်- 502ကောင်+205</t>
  </si>
  <si>
    <t>ဆိုင်- ပူလီကြိုး</t>
  </si>
  <si>
    <t>WS- ပူလီ+207+ဆွဲသီး</t>
  </si>
  <si>
    <t>ဆိုင်- မီးခံပြား+ပူလီ+ကီးရှည်</t>
  </si>
  <si>
    <t>GBS Hardware Mart</t>
  </si>
  <si>
    <t>SP ကြွေးဆပ် မထက်ထက် ဝါးသောက်</t>
  </si>
  <si>
    <t>PWဘတ္ထရီ</t>
  </si>
  <si>
    <t>ဆိုင်- ဘဏ်သွင်းကယ်လီခ+ဘဏ်ငွေလွှဲခ</t>
  </si>
  <si>
    <t>ဆိုင်-  FD-30 ပြုပြင်ပစ္စည်းယူ</t>
  </si>
  <si>
    <t>WS- တိတ်ခွေ+မီးတိပ်</t>
  </si>
  <si>
    <t>ဆိုင်- ဘားဆက်စုံ+ဓါးချိန်း</t>
  </si>
  <si>
    <t>ဆိုင်- အင်ဂျင်ဝိုင်ပန့်အုံ+ဂီယာဝိုင်</t>
  </si>
  <si>
    <t>ဆိုင်-  54ကြိုး+ 55ချိန်း</t>
  </si>
  <si>
    <t>ဆိုင်- နားကပ်+TOYO 14သွား</t>
  </si>
  <si>
    <t>SP ကြွေးဆပ် ကိုဝင်းစိုးဦး ထန်းတပင်</t>
  </si>
  <si>
    <t>ဆိုင်- ရေဘူး+ဘုရားပန်း+သရေကွင်း</t>
  </si>
  <si>
    <t>ဆိုင်- ကော်လရှင်+ကလစ်ဘူး</t>
  </si>
  <si>
    <t>ဆိုင်- WS FD-30(2)စီးပြုပြင်ခ</t>
  </si>
  <si>
    <t>အိမ်- ဒေါ်လေးမိုးဖိနပ်ဖိုးပေး</t>
  </si>
  <si>
    <t>WS- ကိုထွေးယူငွေ (ပစ္စည်းဝယ်)</t>
  </si>
  <si>
    <t>ဆိုင်- တပ်မ+56ချိန်း</t>
  </si>
  <si>
    <t>ဆိုင်- DFချိန်း+နော်ဇယ်အုံ</t>
  </si>
  <si>
    <t>ဆိုင်- နော်ဇယ်+DFချိန်း</t>
  </si>
  <si>
    <t>ဆိုင်- ဂီယာပေါက်ပြင် ပစ္စည်းယူ</t>
  </si>
  <si>
    <t>SP  ကြွေးကျန် မမို့မို့ခိုင် ဝါးသောက်</t>
  </si>
  <si>
    <t>WS- ကော်ပတ်+ ဝရိန်ထုပ်+ပန်းကော်ပတ်</t>
  </si>
  <si>
    <t>အိမ်- ဓါတ်ဆီ ဝယ်</t>
  </si>
  <si>
    <t>WS- ကိုထွေး ယူငွေဖုန်းဘေ</t>
  </si>
  <si>
    <t>WS- ဆေးဘူးဝယ်</t>
  </si>
  <si>
    <t>JJ FAMILY (ဦးစန်းသူ)</t>
  </si>
  <si>
    <t>ဆိုင်- ဦးစန်းသူ (ဒလ)ကားခ</t>
  </si>
  <si>
    <t>WS- ပူလီ+ကံ့ကူဆံ+ကော်ပတ်</t>
  </si>
  <si>
    <t>SP ကြေးကျန် ဒေါ်နု ဝါးသောက်</t>
  </si>
  <si>
    <t>ဆိုင်- ရိန်း+14T+17T+ပင်နယံ</t>
  </si>
  <si>
    <t>ဆိုင်- အိတ်ဇောဘူး+ဒိုင်အုပ်</t>
  </si>
  <si>
    <t>ဆိုင်- အင်ဂျင်ဝိုင်+50ချိန်း</t>
  </si>
  <si>
    <t>ဆိုင်- အိတ်ဇောပြောင်း+DF ပေါင်</t>
  </si>
  <si>
    <t>ဆိုင်- နော်ဇယ်အုံ+210ဘော</t>
  </si>
  <si>
    <t>အိမ်- ဇင်ကိုမုန့်ဝယ်+ပါဝါဆီ</t>
  </si>
  <si>
    <t>WS- ဒီဇယ်(၃)ဂါလံ</t>
  </si>
  <si>
    <t>ဆိုင်- မီးစက်+ဆိုင်ကယ်+ဓါတ်ဆီ</t>
  </si>
  <si>
    <t>ဆိုင်- WSသံဘီးပြုပြင်ခပေး</t>
  </si>
  <si>
    <t>ဆိုင်- ပါဆယ်အိတ်+ကော်လရှင်+တစ်ရှူး</t>
  </si>
  <si>
    <t>WS- ဒလ သံဝယ်</t>
  </si>
  <si>
    <t>WS- စက်တုံး တန်ဆာခ</t>
  </si>
  <si>
    <t>ဆိုင်- ဒေါ်သန်းစော (ခရိုက္ခနိ)ပစ္စည်းလဲပေး</t>
  </si>
  <si>
    <t>WS- ပေကြိုး</t>
  </si>
  <si>
    <t>SP ကြေးကျန် ကိုသက်နိုင် ဝါးသောက်</t>
  </si>
  <si>
    <t>ဆိုင်- မမိလဲ့ ဝါးသောက် လက်ဆောင်</t>
  </si>
  <si>
    <t>ဆိုင်- စက္ကူ+စလစ်</t>
  </si>
  <si>
    <t>ဆိုင်- 50ကြိုး+ပလန်ချာရှိန်းပြား</t>
  </si>
  <si>
    <t>ဆိုင်- အဝိုင်းစီး+အမ်းဖုံး</t>
  </si>
  <si>
    <t>ဆိုင်- Xဇောပါကင်+ဟိုက်ဘာလေး</t>
  </si>
  <si>
    <t>ဆိုင်- 52ချိန်း+လေဘာသီး</t>
  </si>
  <si>
    <t>မြသောင်းထွန်း</t>
  </si>
  <si>
    <t>အိမ်- ကလေးဒိုက်ဘာ (၁)ထုပ်</t>
  </si>
  <si>
    <t>ဆိုင်- 30206+698909</t>
  </si>
  <si>
    <t>WS- မီးပြင်+လက်ခ ပစ္စည်းဝယ်</t>
  </si>
  <si>
    <t>WS- မှပစ္စည်းဝယ်</t>
  </si>
  <si>
    <t>ဆိုင်- ရေကဒ်+ရေဘူး</t>
  </si>
  <si>
    <t>အိမ်- ဒေါ်လေးမာကြည် အလုပ်သမားနေ့စားခ</t>
  </si>
  <si>
    <t>အိမ်- ဒေါ်လေးမိုး အချိုရည် အလှုငွေ</t>
  </si>
  <si>
    <t>WS- မှုတ်ဆေး+ကော်ပတ်</t>
  </si>
  <si>
    <t>ဆိုင်- စုတ်တံ</t>
  </si>
  <si>
    <t>ဆိုင်- ပေါင်ရှပ်+ဂတ်စကတ်</t>
  </si>
  <si>
    <t>ဆိုင်- ပလန်ချာ+ဖြတ်ဘား</t>
  </si>
  <si>
    <t>ဆိုင်- ဆွဲသီး+DFပေါင်</t>
  </si>
  <si>
    <t>SP ကြွေးဆပ် ဒေါ်နု ဝါးသောက်</t>
  </si>
  <si>
    <t>ဆိုင်- ဆော့ပင်ဝယ်</t>
  </si>
  <si>
    <t>ဆိုင်- ပိုက်ဆံအတုပြန်လဲပေး</t>
  </si>
  <si>
    <t>WS- ကျောက်စက်+အဲယားဘူး</t>
  </si>
  <si>
    <t>GBS(HWM)</t>
  </si>
  <si>
    <t>ဦးမြကြိုင်</t>
  </si>
  <si>
    <t>SP ကြွေးဆပ် ကိုချစ်ကျော်သူ ဝါးသောက်</t>
  </si>
  <si>
    <t>SP ကြွေးဆပ် ကိုငွေသန်း ဝါးသောက်</t>
  </si>
  <si>
    <t>ဆိုင်- PAPERစတစ်လိပ်+4T စလစ်</t>
  </si>
  <si>
    <t>ဆိုင်- ဆွဲအိတ်+ကြီး+လတ်</t>
  </si>
  <si>
    <t>ဆိုင်- POWER TOOLမဲဖေါက်ပေး+မုန့်</t>
  </si>
  <si>
    <t>ဆိုင်- ဆီဖုံး+ဘရိတ်ဆွဲကြိုး</t>
  </si>
  <si>
    <t>ဆိုင်- ဂျွိုင်းဂွတွဲ+310</t>
  </si>
  <si>
    <t>ဆိုင်- ကစ်ဆက်+ကွန်နတင်း</t>
  </si>
  <si>
    <t>WS- 1''ပိုက်+1'' EL 90''</t>
  </si>
  <si>
    <t>ဆိုင်- ပူလီ+ဘော</t>
  </si>
</sst>
</file>

<file path=xl/styles.xml><?xml version="1.0" encoding="utf-8"?>
<styleSheet xmlns="http://schemas.openxmlformats.org/spreadsheetml/2006/main" xmlns:mc="http://schemas.openxmlformats.org/markup-compatibility/2006" xmlns:x14ac="http://schemas.microsoft.com/office/spreadsheetml/2009/9/ac" mc:Ignorable="x14ac">
  <numFmts count="24">
    <numFmt numFmtId="43" formatCode="_(* #,##0.00_);_(* \(#,##0.00\);_(* &quot;-&quot;??_);_(@_)"/>
    <numFmt numFmtId="164" formatCode="_(* #,##0_);_(* \(#,##0\);_(* &quot;-&quot;??_);_(@_)"/>
    <numFmt numFmtId="165" formatCode="dd\/mm\/yyyy"/>
    <numFmt numFmtId="166" formatCode="_-* #,##0_-;\-* #,##0_-;_-* &quot;-&quot;??_-;_-@_-"/>
    <numFmt numFmtId="167" formatCode="&quot;CB&quot;00"/>
    <numFmt numFmtId="168" formatCode="dd\-mmm\-yyyy"/>
    <numFmt numFmtId="169" formatCode="#,###;[Red]\(#,###\);"/>
    <numFmt numFmtId="170" formatCode="\F\-0000"/>
    <numFmt numFmtId="171" formatCode="0000\-0000\-0000\-000"/>
    <numFmt numFmtId="172" formatCode="dd\-mmmm\-yyyy"/>
    <numFmt numFmtId="173" formatCode="dd\-mmmm\-yy"/>
    <numFmt numFmtId="174" formatCode="0\9\-000000000"/>
    <numFmt numFmtId="175" formatCode="[$-F800]dddd\,\ mmmm\ dd\,\ yyyy"/>
    <numFmt numFmtId="176" formatCode="dd/mm/yyyy"/>
    <numFmt numFmtId="177" formatCode="dd\-mm\-yyyy"/>
    <numFmt numFmtId="178" formatCode="0.0%"/>
    <numFmt numFmtId="179" formatCode="[$-409]d/mmm/yyyy;@"/>
    <numFmt numFmtId="180" formatCode="0_);[Red]\(0\)"/>
    <numFmt numFmtId="181" formatCode="_(* #,##0_);[Red]_(* \(#,##0\);_(* &quot;-&quot;??_)"/>
    <numFmt numFmtId="182" formatCode="dd/mmm/yyyy"/>
    <numFmt numFmtId="183" formatCode="[$-10000455]0"/>
    <numFmt numFmtId="184" formatCode="\V\r\-00000"/>
    <numFmt numFmtId="185" formatCode="\V\-00000"/>
    <numFmt numFmtId="186" formatCode="[$-409]d/mmm/yy;@"/>
  </numFmts>
  <fonts count="104" x14ac:knownFonts="1">
    <font>
      <sz val="11"/>
      <color theme="1"/>
      <name val="Calibri"/>
      <family val="2"/>
      <scheme val="minor"/>
    </font>
    <font>
      <sz val="11"/>
      <color theme="1"/>
      <name val="Zawgyi-One"/>
      <family val="2"/>
    </font>
    <font>
      <sz val="11"/>
      <color theme="1"/>
      <name val="Zawgyi-One"/>
      <family val="2"/>
      <charset val="1"/>
    </font>
    <font>
      <sz val="11"/>
      <name val="Zawgyi-One"/>
      <family val="2"/>
    </font>
    <font>
      <sz val="11"/>
      <color theme="1"/>
      <name val="Calibri"/>
      <family val="2"/>
      <scheme val="minor"/>
    </font>
    <font>
      <sz val="10"/>
      <name val="Arial"/>
      <family val="2"/>
    </font>
    <font>
      <sz val="8"/>
      <color rgb="FF002060"/>
      <name val="Zawgyi-One"/>
      <family val="2"/>
    </font>
    <font>
      <sz val="10"/>
      <color rgb="FF002060"/>
      <name val="Calibri"/>
      <family val="2"/>
      <scheme val="minor"/>
    </font>
    <font>
      <sz val="8"/>
      <color theme="1"/>
      <name val="Zawgyi-One"/>
      <family val="2"/>
    </font>
    <font>
      <sz val="8"/>
      <color theme="1"/>
      <name val="Calibri"/>
      <family val="2"/>
      <scheme val="minor"/>
    </font>
    <font>
      <sz val="10"/>
      <color rgb="FF002060"/>
      <name val="Zawgyi-One"/>
      <family val="2"/>
    </font>
    <font>
      <sz val="9"/>
      <color rgb="FF002060"/>
      <name val="Zawgyi-One"/>
      <family val="2"/>
    </font>
    <font>
      <sz val="9"/>
      <color theme="1"/>
      <name val="Zawgyi-One"/>
      <family val="2"/>
    </font>
    <font>
      <sz val="9"/>
      <color rgb="FF002060"/>
      <name val="Calibri"/>
      <family val="2"/>
      <scheme val="minor"/>
    </font>
    <font>
      <sz val="10"/>
      <color theme="1"/>
      <name val="Calibri"/>
      <family val="2"/>
      <scheme val="minor"/>
    </font>
    <font>
      <sz val="10"/>
      <color theme="1"/>
      <name val="Zawgyi-One"/>
      <family val="2"/>
    </font>
    <font>
      <sz val="10"/>
      <name val="Zawgyi-One"/>
      <family val="2"/>
    </font>
    <font>
      <sz val="11"/>
      <color rgb="FF002060"/>
      <name val="Zawgyi-One"/>
      <family val="2"/>
    </font>
    <font>
      <sz val="11"/>
      <color theme="1"/>
      <name val="Zawgyi-One"/>
      <family val="2"/>
    </font>
    <font>
      <b/>
      <sz val="10"/>
      <color theme="0"/>
      <name val="Zawgyi-One"/>
      <family val="2"/>
    </font>
    <font>
      <sz val="12"/>
      <color theme="1"/>
      <name val="Zawgyi-One"/>
      <family val="2"/>
    </font>
    <font>
      <sz val="14"/>
      <color theme="1"/>
      <name val="Zawgyi-One"/>
      <family val="2"/>
    </font>
    <font>
      <u/>
      <sz val="14"/>
      <color theme="1"/>
      <name val="Zawgyi-One"/>
      <family val="2"/>
    </font>
    <font>
      <b/>
      <u/>
      <sz val="11"/>
      <color theme="1"/>
      <name val="Zawgyi-One"/>
      <family val="2"/>
    </font>
    <font>
      <b/>
      <sz val="11"/>
      <color rgb="FF002060"/>
      <name val="Zawgyi-One"/>
      <family val="2"/>
    </font>
    <font>
      <b/>
      <sz val="10"/>
      <color theme="1"/>
      <name val="Zawgyi-One"/>
      <family val="2"/>
    </font>
    <font>
      <sz val="9"/>
      <color theme="1"/>
      <name val="Calibri"/>
      <family val="2"/>
      <scheme val="minor"/>
    </font>
    <font>
      <b/>
      <sz val="11"/>
      <color theme="1"/>
      <name val="Zawgyi-One"/>
      <family val="2"/>
    </font>
    <font>
      <b/>
      <sz val="11"/>
      <color theme="1"/>
      <name val="Calibri"/>
      <family val="2"/>
      <scheme val="minor"/>
    </font>
    <font>
      <sz val="11"/>
      <color theme="0"/>
      <name val="Zawgyi-One"/>
      <family val="2"/>
    </font>
    <font>
      <b/>
      <sz val="11"/>
      <color theme="0"/>
      <name val="Zawgyi-One"/>
      <family val="2"/>
    </font>
    <font>
      <b/>
      <i/>
      <sz val="11"/>
      <color theme="1"/>
      <name val="Zawgyi-One"/>
      <family val="2"/>
    </font>
    <font>
      <b/>
      <sz val="11"/>
      <name val="Zawgyi-One"/>
      <family val="2"/>
    </font>
    <font>
      <sz val="11"/>
      <color rgb="FFFF0000"/>
      <name val="Zawgyi-One"/>
      <family val="2"/>
    </font>
    <font>
      <b/>
      <sz val="10"/>
      <color rgb="FF000000"/>
      <name val="ZawGyi-One"/>
      <family val="2"/>
    </font>
    <font>
      <b/>
      <u/>
      <sz val="11"/>
      <color theme="0"/>
      <name val="Zawgyi-One"/>
      <family val="2"/>
    </font>
    <font>
      <sz val="12"/>
      <color theme="0"/>
      <name val="Zawgyi-One"/>
      <family val="2"/>
    </font>
    <font>
      <b/>
      <sz val="10"/>
      <color rgb="FF002060"/>
      <name val="Zawgyi-One"/>
      <family val="2"/>
    </font>
    <font>
      <u val="singleAccounting"/>
      <sz val="10"/>
      <color theme="1"/>
      <name val="Zawgyi-One"/>
      <family val="2"/>
    </font>
    <font>
      <b/>
      <sz val="14"/>
      <color rgb="FFC00000"/>
      <name val="Zawgyi-One"/>
      <family val="2"/>
    </font>
    <font>
      <b/>
      <sz val="14"/>
      <color theme="1"/>
      <name val="Zawgyi-One"/>
      <family val="2"/>
    </font>
    <font>
      <b/>
      <sz val="12"/>
      <color theme="0"/>
      <name val="Zawgyi-One"/>
      <family val="2"/>
    </font>
    <font>
      <sz val="11"/>
      <color rgb="FFFF0000"/>
      <name val="Zawgyi-One"/>
      <family val="2"/>
      <charset val="1"/>
    </font>
    <font>
      <b/>
      <u val="double"/>
      <sz val="12"/>
      <color theme="0"/>
      <name val="Zawgyi-One"/>
      <family val="2"/>
    </font>
    <font>
      <b/>
      <u val="double"/>
      <sz val="11"/>
      <color theme="0"/>
      <name val="Zawgyi-One"/>
      <family val="2"/>
    </font>
    <font>
      <sz val="8"/>
      <name val="Calibri"/>
      <family val="2"/>
      <scheme val="minor"/>
    </font>
    <font>
      <b/>
      <u/>
      <sz val="11"/>
      <color rgb="FF002060"/>
      <name val="Zawgyi-One"/>
      <family val="2"/>
    </font>
    <font>
      <sz val="8"/>
      <color indexed="81"/>
      <name val="Zawgyi-One"/>
      <family val="2"/>
    </font>
    <font>
      <sz val="9"/>
      <color indexed="81"/>
      <name val="Zawgyi-One"/>
      <family val="2"/>
    </font>
    <font>
      <b/>
      <sz val="11"/>
      <color rgb="FFFF0000"/>
      <name val="Zawgyi-One"/>
      <family val="2"/>
    </font>
    <font>
      <sz val="8"/>
      <color indexed="81"/>
      <name val="Tahoma"/>
      <family val="2"/>
    </font>
    <font>
      <b/>
      <sz val="8"/>
      <color indexed="81"/>
      <name val="Tahoma"/>
      <family val="2"/>
    </font>
    <font>
      <i/>
      <sz val="11"/>
      <color theme="1"/>
      <name val="Zawgyi-One"/>
      <family val="2"/>
    </font>
    <font>
      <b/>
      <i/>
      <sz val="12"/>
      <color theme="1"/>
      <name val="Zawgyi-One"/>
      <family val="2"/>
    </font>
    <font>
      <i/>
      <sz val="10"/>
      <color theme="1"/>
      <name val="Zawgyi-One"/>
      <family val="2"/>
    </font>
    <font>
      <b/>
      <i/>
      <sz val="14"/>
      <color theme="0"/>
      <name val="Zawgyi-One"/>
      <family val="2"/>
    </font>
    <font>
      <b/>
      <i/>
      <sz val="12"/>
      <color theme="3"/>
      <name val="Zawgyi-One"/>
      <family val="2"/>
    </font>
    <font>
      <i/>
      <sz val="11"/>
      <color rgb="FFFF0000"/>
      <name val="Zawgyi-One"/>
      <family val="2"/>
    </font>
    <font>
      <b/>
      <i/>
      <sz val="12"/>
      <color theme="0"/>
      <name val="Zawgyi-One"/>
      <family val="2"/>
    </font>
    <font>
      <sz val="11"/>
      <name val="Calibri"/>
      <family val="2"/>
      <scheme val="minor"/>
    </font>
    <font>
      <sz val="12"/>
      <color theme="1"/>
      <name val="Pyidaungsu"/>
      <family val="2"/>
    </font>
    <font>
      <sz val="11"/>
      <color theme="1"/>
      <name val="Pyidaungsu"/>
      <family val="2"/>
    </font>
    <font>
      <b/>
      <sz val="11"/>
      <color theme="1"/>
      <name val="Pyidaungsu"/>
      <family val="2"/>
    </font>
    <font>
      <b/>
      <sz val="11"/>
      <color theme="0"/>
      <name val="Pyidaungsu"/>
      <family val="2"/>
    </font>
    <font>
      <sz val="11"/>
      <color rgb="FF002060"/>
      <name val="Pyidaungsu"/>
      <family val="2"/>
    </font>
    <font>
      <b/>
      <sz val="12"/>
      <color theme="0"/>
      <name val="Pyidaungsu"/>
      <family val="2"/>
    </font>
    <font>
      <b/>
      <sz val="12"/>
      <color theme="1"/>
      <name val="Pyidaungsu"/>
      <family val="2"/>
    </font>
    <font>
      <sz val="12"/>
      <color rgb="FFFF0000"/>
      <name val="Pyidaungsu"/>
      <family val="2"/>
    </font>
    <font>
      <b/>
      <sz val="11"/>
      <color theme="3" tint="0.59999389629810485"/>
      <name val="Pyidaungsu"/>
      <family val="2"/>
    </font>
    <font>
      <sz val="12"/>
      <color theme="0" tint="-0.34998626667073579"/>
      <name val="Pyidaungsu"/>
      <family val="2"/>
    </font>
    <font>
      <b/>
      <sz val="12"/>
      <color rgb="FFFF0000"/>
      <name val="Pyidaungsu"/>
      <family val="2"/>
    </font>
    <font>
      <sz val="12"/>
      <name val="Pyidaungsu"/>
      <family val="2"/>
    </font>
    <font>
      <b/>
      <sz val="12"/>
      <name val="Pyidaungsu"/>
      <family val="2"/>
    </font>
    <font>
      <sz val="12"/>
      <color rgb="FF002060"/>
      <name val="Pyidaungsu"/>
      <family val="2"/>
    </font>
    <font>
      <b/>
      <i/>
      <sz val="12"/>
      <color theme="1"/>
      <name val="Pyidaungsu"/>
      <family val="2"/>
    </font>
    <font>
      <sz val="10"/>
      <color theme="3" tint="-0.249977111117893"/>
      <name val="Zawgyi-One"/>
      <family val="2"/>
    </font>
    <font>
      <sz val="8"/>
      <color indexed="81"/>
      <name val="Pyidaungsu"/>
      <family val="2"/>
    </font>
    <font>
      <sz val="11"/>
      <color theme="1"/>
      <name val="Pyidaungsu"/>
      <family val="2"/>
    </font>
    <font>
      <sz val="10"/>
      <color theme="1"/>
      <name val="Pyidaungsu"/>
      <family val="2"/>
    </font>
    <font>
      <b/>
      <u val="double"/>
      <sz val="11"/>
      <color theme="1"/>
      <name val="Pyidaungsu"/>
      <family val="2"/>
    </font>
    <font>
      <sz val="11"/>
      <name val="Pyidaungsu"/>
      <family val="2"/>
    </font>
    <font>
      <u val="double"/>
      <sz val="12"/>
      <name val="Pyidaungsu"/>
      <family val="2"/>
    </font>
    <font>
      <b/>
      <i/>
      <sz val="11"/>
      <color theme="1"/>
      <name val="Pyidaungsu"/>
      <family val="2"/>
    </font>
    <font>
      <i/>
      <sz val="11"/>
      <color theme="1"/>
      <name val="Pyidaungsu"/>
      <family val="2"/>
    </font>
    <font>
      <b/>
      <sz val="11"/>
      <color rgb="FF002060"/>
      <name val="Pyidaungsu"/>
      <family val="2"/>
    </font>
    <font>
      <b/>
      <i/>
      <sz val="11"/>
      <color rgb="FF002060"/>
      <name val="Pyidaungsu"/>
      <family val="2"/>
    </font>
    <font>
      <b/>
      <sz val="11"/>
      <color rgb="FF000000"/>
      <name val="Calibri"/>
      <family val="2"/>
    </font>
    <font>
      <b/>
      <sz val="12"/>
      <color rgb="FFBDDBFB"/>
      <name val="Pyidaungsu"/>
      <family val="2"/>
    </font>
    <font>
      <sz val="12"/>
      <color rgb="FFBDDBFB"/>
      <name val="Pyidaungsu"/>
      <family val="2"/>
    </font>
    <font>
      <b/>
      <sz val="14"/>
      <color theme="0"/>
      <name val="Pyidaungsu"/>
      <family val="2"/>
    </font>
    <font>
      <b/>
      <u val="double"/>
      <sz val="14"/>
      <color theme="0"/>
      <name val="Pyidaungsu"/>
      <family val="2"/>
    </font>
    <font>
      <sz val="14"/>
      <color theme="0"/>
      <name val="Pyidaungsu"/>
      <family val="2"/>
    </font>
    <font>
      <b/>
      <sz val="14"/>
      <name val="Pyidaungsu"/>
      <family val="2"/>
    </font>
    <font>
      <b/>
      <sz val="14"/>
      <name val="Zawgyi-One"/>
      <family val="2"/>
    </font>
    <font>
      <b/>
      <sz val="14"/>
      <color theme="1"/>
      <name val="Pyidaungsu"/>
      <family val="2"/>
    </font>
    <font>
      <sz val="14"/>
      <color theme="1"/>
      <name val="Pyidaungsu"/>
      <family val="2"/>
    </font>
    <font>
      <b/>
      <sz val="14"/>
      <color rgb="FF00B050"/>
      <name val="Pyidaungsu"/>
      <family val="2"/>
    </font>
    <font>
      <b/>
      <sz val="16"/>
      <color theme="0"/>
      <name val="Pyidaungsu"/>
      <family val="2"/>
    </font>
    <font>
      <sz val="14"/>
      <color rgb="FFFF0000"/>
      <name val="Pyidaungsu"/>
      <family val="2"/>
    </font>
    <font>
      <b/>
      <i/>
      <sz val="14"/>
      <color theme="1"/>
      <name val="Pyidaungsu"/>
      <family val="2"/>
    </font>
    <font>
      <b/>
      <sz val="12"/>
      <color theme="1"/>
      <name val="Zawgyi-One"/>
      <family val="2"/>
    </font>
    <font>
      <sz val="12"/>
      <color theme="1" tint="4.9989318521683403E-2"/>
      <name val="Pyidaungsu"/>
      <family val="2"/>
    </font>
    <font>
      <b/>
      <i/>
      <sz val="12"/>
      <color theme="1" tint="4.9989318521683403E-2"/>
      <name val="Pyidaungsu"/>
      <family val="2"/>
    </font>
    <font>
      <b/>
      <u val="double"/>
      <sz val="12"/>
      <color theme="0"/>
      <name val="Pyidaungsu"/>
      <family val="2"/>
    </font>
  </fonts>
  <fills count="57">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theme="0"/>
        <bgColor indexed="64"/>
      </patternFill>
    </fill>
    <fill>
      <patternFill patternType="solid">
        <fgColor theme="8" tint="0.39997558519241921"/>
        <bgColor indexed="64"/>
      </patternFill>
    </fill>
    <fill>
      <patternFill patternType="solid">
        <fgColor rgb="FFFF0000"/>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8" tint="-0.249977111117893"/>
        <bgColor indexed="64"/>
      </patternFill>
    </fill>
    <fill>
      <patternFill patternType="solid">
        <fgColor theme="5" tint="0.59999389629810485"/>
        <bgColor indexed="64"/>
      </patternFill>
    </fill>
    <fill>
      <patternFill patternType="solid">
        <fgColor rgb="FF59BB9B"/>
        <bgColor indexed="64"/>
      </patternFill>
    </fill>
    <fill>
      <patternFill patternType="solid">
        <fgColor theme="4" tint="-0.249977111117893"/>
        <bgColor indexed="64"/>
      </patternFill>
    </fill>
    <fill>
      <patternFill patternType="solid">
        <fgColor rgb="FF0070C0"/>
        <bgColor indexed="64"/>
      </patternFill>
    </fill>
    <fill>
      <patternFill patternType="solid">
        <fgColor theme="8" tint="0.79998168889431442"/>
        <bgColor indexed="64"/>
      </patternFill>
    </fill>
    <fill>
      <patternFill patternType="solid">
        <fgColor rgb="FF00B0F0"/>
        <bgColor indexed="64"/>
      </patternFill>
    </fill>
    <fill>
      <patternFill patternType="solid">
        <fgColor rgb="FF7030A0"/>
        <bgColor indexed="64"/>
      </patternFill>
    </fill>
    <fill>
      <patternFill patternType="solid">
        <fgColor rgb="FF00B050"/>
        <bgColor indexed="64"/>
      </patternFill>
    </fill>
    <fill>
      <patternFill patternType="solid">
        <fgColor theme="3" tint="0.79998168889431442"/>
        <bgColor indexed="64"/>
      </patternFill>
    </fill>
    <fill>
      <patternFill patternType="solid">
        <fgColor theme="4" tint="0.79998168889431442"/>
        <bgColor indexed="64"/>
      </patternFill>
    </fill>
    <fill>
      <patternFill patternType="solid">
        <fgColor rgb="FF00CC99"/>
        <bgColor indexed="64"/>
      </patternFill>
    </fill>
    <fill>
      <patternFill patternType="solid">
        <fgColor theme="4" tint="0.79998168889431442"/>
        <bgColor indexed="65"/>
      </patternFill>
    </fill>
    <fill>
      <patternFill patternType="solid">
        <fgColor rgb="FFF6F9FC"/>
        <bgColor indexed="64"/>
      </patternFill>
    </fill>
    <fill>
      <patternFill patternType="solid">
        <fgColor theme="3"/>
        <bgColor indexed="64"/>
      </patternFill>
    </fill>
    <fill>
      <patternFill patternType="solid">
        <fgColor rgb="FF99FFCC"/>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4" tint="0.79998168889431442"/>
        <bgColor theme="4" tint="0.79998168889431442"/>
      </patternFill>
    </fill>
    <fill>
      <patternFill patternType="solid">
        <fgColor theme="3" tint="-0.249977111117893"/>
        <bgColor indexed="64"/>
      </patternFill>
    </fill>
    <fill>
      <patternFill patternType="solid">
        <fgColor rgb="FF00FF00"/>
        <bgColor indexed="64"/>
      </patternFill>
    </fill>
    <fill>
      <patternFill patternType="solid">
        <fgColor theme="4" tint="0.59999389629810485"/>
        <bgColor theme="4" tint="0.59999389629810485"/>
      </patternFill>
    </fill>
    <fill>
      <patternFill patternType="solid">
        <fgColor theme="6" tint="0.59999389629810485"/>
        <bgColor indexed="64"/>
      </patternFill>
    </fill>
    <fill>
      <patternFill patternType="solid">
        <fgColor theme="7" tint="0.79998168889431442"/>
        <bgColor indexed="64"/>
      </patternFill>
    </fill>
    <fill>
      <patternFill patternType="solid">
        <fgColor rgb="FFB9F7FF"/>
        <bgColor indexed="64"/>
      </patternFill>
    </fill>
    <fill>
      <patternFill patternType="solid">
        <fgColor theme="6" tint="-0.499984740745262"/>
        <bgColor indexed="64"/>
      </patternFill>
    </fill>
    <fill>
      <patternFill patternType="solid">
        <fgColor theme="5" tint="-0.249977111117893"/>
        <bgColor indexed="64"/>
      </patternFill>
    </fill>
    <fill>
      <patternFill patternType="solid">
        <fgColor theme="0"/>
        <bgColor theme="7" tint="0.79998168889431442"/>
      </patternFill>
    </fill>
    <fill>
      <patternFill patternType="solid">
        <fgColor theme="6"/>
        <bgColor indexed="64"/>
      </patternFill>
    </fill>
    <fill>
      <patternFill patternType="solid">
        <fgColor theme="2" tint="-0.499984740745262"/>
        <bgColor indexed="64"/>
      </patternFill>
    </fill>
    <fill>
      <patternFill patternType="solid">
        <fgColor theme="1" tint="0.499984740745262"/>
        <bgColor indexed="64"/>
      </patternFill>
    </fill>
    <fill>
      <patternFill patternType="solid">
        <fgColor rgb="FFFF0000"/>
        <bgColor theme="1"/>
      </patternFill>
    </fill>
    <fill>
      <patternFill patternType="solid">
        <fgColor theme="4"/>
        <bgColor theme="4"/>
      </patternFill>
    </fill>
    <fill>
      <patternFill patternType="solid">
        <fgColor rgb="FFFF33CC"/>
        <bgColor indexed="64"/>
      </patternFill>
    </fill>
    <fill>
      <patternFill patternType="solid">
        <fgColor theme="6" tint="0.39997558519241921"/>
        <bgColor indexed="64"/>
      </patternFill>
    </fill>
    <fill>
      <patternFill patternType="solid">
        <fgColor theme="4" tint="0.39997558519241921"/>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rgb="FFFF99CC"/>
        <bgColor indexed="64"/>
      </patternFill>
    </fill>
    <fill>
      <patternFill patternType="solid">
        <fgColor theme="0" tint="-0.499984740745262"/>
        <bgColor indexed="64"/>
      </patternFill>
    </fill>
    <fill>
      <patternFill patternType="solid">
        <fgColor rgb="FF53E602"/>
        <bgColor indexed="64"/>
      </patternFill>
    </fill>
    <fill>
      <patternFill patternType="solid">
        <fgColor rgb="FF002060"/>
        <bgColor indexed="64"/>
      </patternFill>
    </fill>
    <fill>
      <patternFill patternType="solid">
        <fgColor theme="8" tint="0.59999389629810485"/>
        <bgColor indexed="64"/>
      </patternFill>
    </fill>
    <fill>
      <patternFill patternType="solid">
        <fgColor theme="0" tint="-0.14999847407452621"/>
        <bgColor theme="0" tint="-0.14999847407452621"/>
      </patternFill>
    </fill>
    <fill>
      <patternFill patternType="solid">
        <fgColor rgb="FF03E569"/>
        <bgColor indexed="64"/>
      </patternFill>
    </fill>
    <fill>
      <patternFill patternType="solid">
        <fgColor rgb="FFBDDBFB"/>
        <bgColor indexed="64"/>
      </patternFill>
    </fill>
  </fills>
  <borders count="80">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double">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style="double">
        <color indexed="64"/>
      </bottom>
      <diagonal/>
    </border>
    <border>
      <left/>
      <right style="thin">
        <color indexed="64"/>
      </right>
      <top/>
      <bottom style="thin">
        <color indexed="64"/>
      </bottom>
      <diagonal/>
    </border>
    <border>
      <left/>
      <right/>
      <top style="thin">
        <color indexed="64"/>
      </top>
      <bottom/>
      <diagonal/>
    </border>
    <border>
      <left style="thick">
        <color rgb="FFFF0000"/>
      </left>
      <right/>
      <top style="thick">
        <color rgb="FFFF0000"/>
      </top>
      <bottom/>
      <diagonal/>
    </border>
    <border>
      <left/>
      <right/>
      <top style="thick">
        <color rgb="FFFF0000"/>
      </top>
      <bottom/>
      <diagonal/>
    </border>
    <border>
      <left/>
      <right style="thick">
        <color rgb="FFFF0000"/>
      </right>
      <top style="thick">
        <color rgb="FFFF0000"/>
      </top>
      <bottom/>
      <diagonal/>
    </border>
    <border>
      <left style="thick">
        <color rgb="FFFF0000"/>
      </left>
      <right/>
      <top/>
      <bottom/>
      <diagonal/>
    </border>
    <border>
      <left/>
      <right style="thick">
        <color rgb="FFFF0000"/>
      </right>
      <top/>
      <bottom/>
      <diagonal/>
    </border>
    <border>
      <left style="thick">
        <color rgb="FFFF0000"/>
      </left>
      <right/>
      <top/>
      <bottom style="thick">
        <color rgb="FFFF0000"/>
      </bottom>
      <diagonal/>
    </border>
    <border>
      <left/>
      <right/>
      <top/>
      <bottom style="thick">
        <color rgb="FFFF0000"/>
      </bottom>
      <diagonal/>
    </border>
    <border>
      <left/>
      <right style="thick">
        <color rgb="FFFF0000"/>
      </right>
      <top/>
      <bottom style="thick">
        <color rgb="FFFF0000"/>
      </bottom>
      <diagonal/>
    </border>
    <border>
      <left style="medium">
        <color theme="0"/>
      </left>
      <right style="medium">
        <color theme="0"/>
      </right>
      <top style="medium">
        <color theme="0"/>
      </top>
      <bottom style="medium">
        <color theme="0"/>
      </bottom>
      <diagonal/>
    </border>
    <border>
      <left/>
      <right style="medium">
        <color theme="0"/>
      </right>
      <top/>
      <bottom/>
      <diagonal/>
    </border>
    <border>
      <left/>
      <right style="medium">
        <color theme="0"/>
      </right>
      <top style="medium">
        <color theme="0"/>
      </top>
      <bottom style="medium">
        <color theme="0"/>
      </bottom>
      <diagonal/>
    </border>
    <border>
      <left style="medium">
        <color theme="0"/>
      </left>
      <right style="medium">
        <color theme="0"/>
      </right>
      <top/>
      <bottom/>
      <diagonal/>
    </border>
    <border>
      <left style="medium">
        <color theme="0"/>
      </left>
      <right style="medium">
        <color theme="0"/>
      </right>
      <top style="thin">
        <color indexed="64"/>
      </top>
      <bottom style="double">
        <color indexed="64"/>
      </bottom>
      <diagonal/>
    </border>
    <border>
      <left/>
      <right style="medium">
        <color theme="0"/>
      </right>
      <top/>
      <bottom style="medium">
        <color theme="0"/>
      </bottom>
      <diagonal/>
    </border>
    <border>
      <left style="medium">
        <color theme="0"/>
      </left>
      <right style="medium">
        <color theme="0"/>
      </right>
      <top/>
      <bottom style="medium">
        <color theme="0"/>
      </bottom>
      <diagonal/>
    </border>
    <border>
      <left/>
      <right/>
      <top style="medium">
        <color theme="0"/>
      </top>
      <bottom style="medium">
        <color theme="0"/>
      </bottom>
      <diagonal/>
    </border>
    <border>
      <left style="medium">
        <color theme="0"/>
      </left>
      <right/>
      <top style="medium">
        <color theme="0"/>
      </top>
      <bottom style="medium">
        <color theme="0"/>
      </bottom>
      <diagonal/>
    </border>
    <border>
      <left style="medium">
        <color theme="0"/>
      </left>
      <right/>
      <top/>
      <bottom style="medium">
        <color theme="0"/>
      </bottom>
      <diagonal/>
    </border>
    <border>
      <left style="medium">
        <color theme="0"/>
      </left>
      <right/>
      <top style="medium">
        <color theme="0"/>
      </top>
      <bottom/>
      <diagonal/>
    </border>
    <border>
      <left/>
      <right style="medium">
        <color theme="0"/>
      </right>
      <top style="medium">
        <color theme="0"/>
      </top>
      <bottom style="medium">
        <color indexed="64"/>
      </bottom>
      <diagonal/>
    </border>
    <border>
      <left style="medium">
        <color theme="0"/>
      </left>
      <right/>
      <top style="medium">
        <color theme="0"/>
      </top>
      <bottom style="medium">
        <color indexed="64"/>
      </bottom>
      <diagonal/>
    </border>
    <border>
      <left style="medium">
        <color theme="0"/>
      </left>
      <right style="medium">
        <color theme="0"/>
      </right>
      <top style="medium">
        <color theme="0"/>
      </top>
      <bottom style="medium">
        <color indexed="64"/>
      </bottom>
      <diagonal/>
    </border>
    <border>
      <left/>
      <right style="medium">
        <color theme="0"/>
      </right>
      <top style="medium">
        <color theme="0"/>
      </top>
      <bottom/>
      <diagonal/>
    </border>
    <border>
      <left/>
      <right/>
      <top style="medium">
        <color theme="0"/>
      </top>
      <bottom/>
      <diagonal/>
    </border>
    <border>
      <left/>
      <right/>
      <top/>
      <bottom style="medium">
        <color theme="0"/>
      </bottom>
      <diagonal/>
    </border>
    <border>
      <left/>
      <right/>
      <top style="medium">
        <color theme="0"/>
      </top>
      <bottom style="medium">
        <color indexed="64"/>
      </bottom>
      <diagonal/>
    </border>
    <border>
      <left style="thin">
        <color theme="0"/>
      </left>
      <right style="thin">
        <color theme="0"/>
      </right>
      <top/>
      <bottom style="thin">
        <color indexed="64"/>
      </bottom>
      <diagonal/>
    </border>
    <border>
      <left style="medium">
        <color theme="0"/>
      </left>
      <right style="medium">
        <color theme="0"/>
      </right>
      <top style="medium">
        <color theme="0"/>
      </top>
      <bottom/>
      <diagonal/>
    </border>
    <border>
      <left/>
      <right/>
      <top style="thin">
        <color theme="4"/>
      </top>
      <bottom/>
      <diagonal/>
    </border>
    <border>
      <left style="medium">
        <color theme="0"/>
      </left>
      <right/>
      <top style="thin">
        <color indexed="64"/>
      </top>
      <bottom style="double">
        <color indexed="64"/>
      </bottom>
      <diagonal/>
    </border>
    <border>
      <left style="medium">
        <color theme="0"/>
      </left>
      <right/>
      <top/>
      <bottom/>
      <diagonal/>
    </border>
    <border>
      <left/>
      <right/>
      <top/>
      <bottom style="medium">
        <color indexed="64"/>
      </bottom>
      <diagonal/>
    </border>
    <border>
      <left/>
      <right style="medium">
        <color indexed="64"/>
      </right>
      <top/>
      <bottom style="medium">
        <color indexed="64"/>
      </bottom>
      <diagonal/>
    </border>
    <border>
      <left/>
      <right style="medium">
        <color theme="0"/>
      </right>
      <top style="medium">
        <color theme="0"/>
      </top>
      <bottom style="thick">
        <color rgb="FF51220F"/>
      </bottom>
      <diagonal/>
    </border>
    <border>
      <left style="medium">
        <color theme="0"/>
      </left>
      <right style="medium">
        <color theme="0"/>
      </right>
      <top style="medium">
        <color theme="0"/>
      </top>
      <bottom style="thick">
        <color rgb="FF51220F"/>
      </bottom>
      <diagonal/>
    </border>
    <border>
      <left style="thin">
        <color indexed="64"/>
      </left>
      <right style="thin">
        <color indexed="64"/>
      </right>
      <top style="thin">
        <color indexed="64"/>
      </top>
      <bottom style="thick">
        <color indexed="64"/>
      </bottom>
      <diagonal/>
    </border>
    <border>
      <left style="thin">
        <color theme="7"/>
      </left>
      <right style="thin">
        <color theme="1"/>
      </right>
      <top style="thin">
        <color theme="7"/>
      </top>
      <bottom style="thin">
        <color theme="1"/>
      </bottom>
      <diagonal/>
    </border>
    <border>
      <left/>
      <right style="medium">
        <color theme="0"/>
      </right>
      <top style="medium">
        <color theme="0"/>
      </top>
      <bottom style="thick">
        <color theme="1"/>
      </bottom>
      <diagonal/>
    </border>
    <border>
      <left style="medium">
        <color theme="0"/>
      </left>
      <right style="medium">
        <color theme="0"/>
      </right>
      <top style="medium">
        <color theme="0"/>
      </top>
      <bottom style="thick">
        <color theme="1"/>
      </bottom>
      <diagonal/>
    </border>
    <border>
      <left/>
      <right style="medium">
        <color theme="0"/>
      </right>
      <top style="medium">
        <color theme="0"/>
      </top>
      <bottom style="thick">
        <color auto="1"/>
      </bottom>
      <diagonal/>
    </border>
    <border>
      <left style="medium">
        <color theme="0"/>
      </left>
      <right style="medium">
        <color theme="0"/>
      </right>
      <top style="medium">
        <color theme="0"/>
      </top>
      <bottom style="thick">
        <color auto="1"/>
      </bottom>
      <diagonal/>
    </border>
    <border>
      <left style="medium">
        <color indexed="64"/>
      </left>
      <right style="medium">
        <color indexed="64"/>
      </right>
      <top style="medium">
        <color indexed="64"/>
      </top>
      <bottom style="medium">
        <color indexed="64"/>
      </bottom>
      <diagonal/>
    </border>
    <border>
      <left/>
      <right style="medium">
        <color theme="0"/>
      </right>
      <top/>
      <bottom style="thick">
        <color theme="1" tint="4.9989318521683403E-2"/>
      </bottom>
      <diagonal/>
    </border>
    <border>
      <left style="medium">
        <color theme="0"/>
      </left>
      <right style="medium">
        <color theme="0"/>
      </right>
      <top/>
      <bottom style="thick">
        <color theme="1" tint="4.9989318521683403E-2"/>
      </bottom>
      <diagonal/>
    </border>
    <border>
      <left/>
      <right style="medium">
        <color theme="0"/>
      </right>
      <top style="medium">
        <color theme="0"/>
      </top>
      <bottom style="medium">
        <color theme="1"/>
      </bottom>
      <diagonal/>
    </border>
    <border>
      <left style="thin">
        <color indexed="64"/>
      </left>
      <right style="thin">
        <color indexed="64"/>
      </right>
      <top/>
      <bottom/>
      <diagonal/>
    </border>
    <border>
      <left/>
      <right/>
      <top/>
      <bottom style="thick">
        <color theme="1"/>
      </bottom>
      <diagonal/>
    </border>
    <border>
      <left style="thin">
        <color indexed="64"/>
      </left>
      <right style="thin">
        <color indexed="64"/>
      </right>
      <top/>
      <bottom style="thin">
        <color theme="1"/>
      </bottom>
      <diagonal/>
    </border>
    <border>
      <left style="thick">
        <color rgb="FFFFFF00"/>
      </left>
      <right/>
      <top style="thick">
        <color rgb="FFFFFF00"/>
      </top>
      <bottom style="thick">
        <color rgb="FFFFFF00"/>
      </bottom>
      <diagonal/>
    </border>
    <border>
      <left/>
      <right style="thick">
        <color rgb="FFFFFF00"/>
      </right>
      <top style="thick">
        <color rgb="FFFFFF00"/>
      </top>
      <bottom style="thick">
        <color rgb="FFFFFF00"/>
      </bottom>
      <diagonal/>
    </border>
    <border>
      <left/>
      <right/>
      <top/>
      <bottom style="thick">
        <color auto="1"/>
      </bottom>
      <diagonal/>
    </border>
    <border>
      <left style="thin">
        <color indexed="64"/>
      </left>
      <right/>
      <top/>
      <bottom style="double">
        <color indexed="64"/>
      </bottom>
      <diagonal/>
    </border>
    <border>
      <left style="thin">
        <color theme="7"/>
      </left>
      <right style="thin">
        <color theme="1"/>
      </right>
      <top/>
      <bottom style="thin">
        <color theme="1"/>
      </bottom>
      <diagonal/>
    </border>
    <border>
      <left style="medium">
        <color theme="0"/>
      </left>
      <right/>
      <top style="medium">
        <color theme="0"/>
      </top>
      <bottom style="medium">
        <color theme="1"/>
      </bottom>
      <diagonal/>
    </border>
    <border>
      <left/>
      <right/>
      <top style="medium">
        <color theme="0"/>
      </top>
      <bottom style="medium">
        <color theme="1"/>
      </bottom>
      <diagonal/>
    </border>
    <border>
      <left style="thin">
        <color theme="7"/>
      </left>
      <right style="thin">
        <color indexed="64"/>
      </right>
      <top/>
      <bottom style="thin">
        <color indexed="64"/>
      </bottom>
      <diagonal/>
    </border>
    <border>
      <left style="thin">
        <color indexed="64"/>
      </left>
      <right style="thin">
        <color indexed="64"/>
      </right>
      <top style="thin">
        <color indexed="64"/>
      </top>
      <bottom style="thin">
        <color theme="7"/>
      </bottom>
      <diagonal/>
    </border>
    <border>
      <left style="thin">
        <color theme="7"/>
      </left>
      <right style="thin">
        <color indexed="64"/>
      </right>
      <top/>
      <bottom style="thin">
        <color theme="7"/>
      </bottom>
      <diagonal/>
    </border>
    <border>
      <left style="thin">
        <color indexed="64"/>
      </left>
      <right style="thin">
        <color indexed="64"/>
      </right>
      <top/>
      <bottom style="double">
        <color indexed="64"/>
      </bottom>
      <diagonal/>
    </border>
    <border>
      <left style="thin">
        <color theme="7"/>
      </left>
      <right style="thin">
        <color theme="1"/>
      </right>
      <top/>
      <bottom style="double">
        <color indexed="64"/>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bottom/>
      <diagonal/>
    </border>
    <border>
      <left/>
      <right style="thin">
        <color indexed="64"/>
      </right>
      <top style="thin">
        <color indexed="64"/>
      </top>
      <bottom style="double">
        <color indexed="64"/>
      </bottom>
      <diagonal/>
    </border>
  </borders>
  <cellStyleXfs count="12">
    <xf numFmtId="0" fontId="0" fillId="0" borderId="0"/>
    <xf numFmtId="43" fontId="4" fillId="0" borderId="0" applyFont="0" applyFill="0" applyBorder="0" applyAlignment="0" applyProtection="0"/>
    <xf numFmtId="0" fontId="5" fillId="0" borderId="0"/>
    <xf numFmtId="0" fontId="5" fillId="0" borderId="0"/>
    <xf numFmtId="43" fontId="5" fillId="0" borderId="0" applyFont="0" applyFill="0" applyBorder="0" applyAlignment="0" applyProtection="0"/>
    <xf numFmtId="43" fontId="5" fillId="0" borderId="0" applyFont="0" applyFill="0" applyBorder="0" applyAlignment="0" applyProtection="0"/>
    <xf numFmtId="0" fontId="4" fillId="0" borderId="0"/>
    <xf numFmtId="0" fontId="5" fillId="0" borderId="0"/>
    <xf numFmtId="0" fontId="34" fillId="11" borderId="0">
      <alignment horizontal="center"/>
    </xf>
    <xf numFmtId="0" fontId="20" fillId="0" borderId="0"/>
    <xf numFmtId="9" fontId="4" fillId="0" borderId="0" applyFont="0" applyFill="0" applyBorder="0" applyAlignment="0" applyProtection="0"/>
    <xf numFmtId="43" fontId="4" fillId="0" borderId="0" applyFont="0" applyFill="0" applyBorder="0" applyAlignment="0" applyProtection="0"/>
  </cellStyleXfs>
  <cellXfs count="1334">
    <xf numFmtId="0" fontId="0" fillId="0" borderId="0" xfId="0"/>
    <xf numFmtId="0" fontId="10" fillId="0" borderId="1" xfId="0" applyFont="1" applyBorder="1" applyAlignment="1">
      <alignment vertical="center"/>
    </xf>
    <xf numFmtId="0" fontId="11" fillId="4" borderId="1" xfId="0" applyFont="1" applyFill="1" applyBorder="1" applyAlignment="1">
      <alignment horizontal="left" vertical="center"/>
    </xf>
    <xf numFmtId="0" fontId="10" fillId="0" borderId="1" xfId="0" applyFont="1" applyFill="1" applyBorder="1" applyAlignment="1">
      <alignment vertical="center"/>
    </xf>
    <xf numFmtId="0" fontId="10" fillId="4" borderId="1" xfId="0" applyFont="1" applyFill="1" applyBorder="1" applyAlignment="1">
      <alignment horizontal="left" vertical="center"/>
    </xf>
    <xf numFmtId="0" fontId="10" fillId="4" borderId="1" xfId="0" applyFont="1" applyFill="1" applyBorder="1" applyAlignment="1">
      <alignment vertical="center"/>
    </xf>
    <xf numFmtId="0" fontId="11" fillId="0" borderId="1" xfId="0" applyFont="1" applyFill="1" applyBorder="1" applyAlignment="1">
      <alignment vertical="center"/>
    </xf>
    <xf numFmtId="0" fontId="11" fillId="4" borderId="1" xfId="0" applyFont="1" applyFill="1" applyBorder="1" applyAlignment="1">
      <alignment vertical="center"/>
    </xf>
    <xf numFmtId="0" fontId="15" fillId="4" borderId="1" xfId="0" applyFont="1" applyFill="1" applyBorder="1"/>
    <xf numFmtId="164" fontId="10" fillId="4" borderId="1" xfId="1" applyNumberFormat="1" applyFont="1" applyFill="1" applyBorder="1" applyAlignment="1">
      <alignment horizontal="center" vertical="center"/>
    </xf>
    <xf numFmtId="0" fontId="15" fillId="0" borderId="1" xfId="0" applyFont="1" applyBorder="1"/>
    <xf numFmtId="0" fontId="10" fillId="0" borderId="0" xfId="0" applyFont="1" applyAlignment="1">
      <alignment vertical="center"/>
    </xf>
    <xf numFmtId="0" fontId="17" fillId="0" borderId="1" xfId="0" applyFont="1" applyFill="1" applyBorder="1" applyAlignment="1">
      <alignment horizontal="left" vertical="center"/>
    </xf>
    <xf numFmtId="0" fontId="17" fillId="4" borderId="1" xfId="0" applyFont="1" applyFill="1" applyBorder="1" applyAlignment="1">
      <alignment horizontal="left" vertical="center"/>
    </xf>
    <xf numFmtId="164" fontId="14" fillId="4" borderId="1" xfId="0" applyNumberFormat="1" applyFont="1" applyFill="1" applyBorder="1" applyAlignment="1">
      <alignment vertical="center"/>
    </xf>
    <xf numFmtId="0" fontId="18" fillId="4" borderId="1" xfId="0" applyFont="1" applyFill="1" applyBorder="1"/>
    <xf numFmtId="164" fontId="18" fillId="4" borderId="1" xfId="1" applyNumberFormat="1" applyFont="1" applyFill="1" applyBorder="1"/>
    <xf numFmtId="0" fontId="15" fillId="4" borderId="1" xfId="0" applyFont="1" applyFill="1" applyBorder="1" applyAlignment="1">
      <alignment horizontal="center"/>
    </xf>
    <xf numFmtId="14" fontId="10" fillId="0" borderId="1" xfId="0" applyNumberFormat="1" applyFont="1" applyFill="1" applyBorder="1" applyAlignment="1">
      <alignment horizontal="left" vertical="center"/>
    </xf>
    <xf numFmtId="0" fontId="20" fillId="0" borderId="0" xfId="0" applyFont="1"/>
    <xf numFmtId="0" fontId="21" fillId="0" borderId="0" xfId="0" applyFont="1"/>
    <xf numFmtId="0" fontId="18" fillId="0" borderId="1" xfId="0" applyFont="1" applyBorder="1" applyAlignment="1">
      <alignment horizontal="center"/>
    </xf>
    <xf numFmtId="0" fontId="15" fillId="0" borderId="1" xfId="0" applyFont="1" applyBorder="1" applyAlignment="1">
      <alignment horizontal="center"/>
    </xf>
    <xf numFmtId="0" fontId="18" fillId="0" borderId="0" xfId="0" applyFont="1"/>
    <xf numFmtId="0" fontId="0" fillId="0" borderId="1" xfId="0" applyBorder="1" applyAlignment="1">
      <alignment horizontal="center"/>
    </xf>
    <xf numFmtId="164" fontId="15" fillId="0" borderId="1" xfId="0" applyNumberFormat="1" applyFont="1" applyBorder="1"/>
    <xf numFmtId="164" fontId="15" fillId="0" borderId="1" xfId="0" applyNumberFormat="1" applyFont="1" applyFill="1" applyBorder="1" applyAlignment="1">
      <alignment horizontal="right" vertical="center"/>
    </xf>
    <xf numFmtId="164" fontId="15" fillId="0" borderId="1" xfId="0" applyNumberFormat="1" applyFont="1" applyBorder="1" applyAlignment="1">
      <alignment horizontal="center"/>
    </xf>
    <xf numFmtId="14" fontId="6" fillId="4" borderId="1" xfId="0" applyNumberFormat="1" applyFont="1" applyFill="1" applyBorder="1" applyAlignment="1">
      <alignment horizontal="center" vertical="center"/>
    </xf>
    <xf numFmtId="164" fontId="9" fillId="4" borderId="1" xfId="1" applyNumberFormat="1" applyFont="1" applyFill="1" applyBorder="1" applyAlignment="1">
      <alignment vertical="center"/>
    </xf>
    <xf numFmtId="164" fontId="25" fillId="0" borderId="1" xfId="0" applyNumberFormat="1" applyFont="1" applyBorder="1"/>
    <xf numFmtId="164" fontId="14" fillId="0" borderId="1" xfId="0" applyNumberFormat="1" applyFont="1" applyBorder="1"/>
    <xf numFmtId="0" fontId="12" fillId="4" borderId="1" xfId="0" applyFont="1" applyFill="1" applyBorder="1" applyAlignment="1">
      <alignment vertical="center"/>
    </xf>
    <xf numFmtId="0" fontId="13" fillId="4" borderId="1" xfId="0" applyFont="1" applyFill="1" applyBorder="1" applyAlignment="1">
      <alignment horizontal="center" vertical="center"/>
    </xf>
    <xf numFmtId="164" fontId="18" fillId="0" borderId="1" xfId="1" applyNumberFormat="1" applyFont="1" applyBorder="1"/>
    <xf numFmtId="0" fontId="18" fillId="4" borderId="1" xfId="0" applyFont="1" applyFill="1" applyBorder="1" applyAlignment="1">
      <alignment horizontal="center"/>
    </xf>
    <xf numFmtId="164" fontId="15" fillId="4" borderId="1" xfId="0" applyNumberFormat="1" applyFont="1" applyFill="1" applyBorder="1"/>
    <xf numFmtId="164" fontId="14" fillId="4" borderId="1" xfId="1" applyNumberFormat="1" applyFont="1" applyFill="1" applyBorder="1"/>
    <xf numFmtId="164" fontId="25" fillId="2" borderId="1" xfId="0" applyNumberFormat="1" applyFont="1" applyFill="1" applyBorder="1"/>
    <xf numFmtId="164" fontId="6" fillId="4" borderId="1" xfId="0" applyNumberFormat="1" applyFont="1" applyFill="1" applyBorder="1" applyAlignment="1">
      <alignment vertical="center"/>
    </xf>
    <xf numFmtId="0" fontId="18" fillId="0" borderId="1" xfId="0" applyFont="1" applyBorder="1"/>
    <xf numFmtId="0" fontId="6" fillId="4" borderId="1" xfId="0" applyFont="1" applyFill="1" applyBorder="1" applyAlignment="1">
      <alignment horizontal="center" vertical="center" wrapText="1"/>
    </xf>
    <xf numFmtId="164" fontId="10" fillId="4" borderId="1" xfId="1" applyNumberFormat="1" applyFont="1" applyFill="1" applyBorder="1" applyAlignment="1">
      <alignment vertical="center"/>
    </xf>
    <xf numFmtId="3" fontId="0" fillId="0" borderId="0" xfId="0" applyNumberFormat="1" applyAlignment="1">
      <alignment horizontal="right"/>
    </xf>
    <xf numFmtId="3" fontId="0" fillId="0" borderId="14" xfId="0" applyNumberFormat="1" applyBorder="1" applyAlignment="1">
      <alignment horizontal="right"/>
    </xf>
    <xf numFmtId="3" fontId="0" fillId="4" borderId="0" xfId="0" applyNumberFormat="1" applyFill="1" applyAlignment="1">
      <alignment horizontal="right"/>
    </xf>
    <xf numFmtId="164" fontId="0" fillId="0" borderId="0" xfId="0" applyNumberFormat="1"/>
    <xf numFmtId="14" fontId="11" fillId="4" borderId="1" xfId="0" applyNumberFormat="1" applyFont="1" applyFill="1" applyBorder="1" applyAlignment="1">
      <alignment horizontal="center" vertical="center"/>
    </xf>
    <xf numFmtId="0" fontId="0" fillId="0" borderId="0" xfId="0" applyBorder="1" applyAlignment="1">
      <alignment horizontal="center"/>
    </xf>
    <xf numFmtId="0" fontId="10" fillId="0" borderId="0" xfId="0" applyFont="1" applyFill="1" applyBorder="1" applyAlignment="1">
      <alignment vertical="center"/>
    </xf>
    <xf numFmtId="14" fontId="10" fillId="0" borderId="0" xfId="0" applyNumberFormat="1" applyFont="1" applyFill="1" applyBorder="1" applyAlignment="1">
      <alignment horizontal="left" vertical="center"/>
    </xf>
    <xf numFmtId="0" fontId="10" fillId="0" borderId="0" xfId="0" applyFont="1" applyFill="1" applyBorder="1" applyAlignment="1">
      <alignment horizontal="left" vertical="center"/>
    </xf>
    <xf numFmtId="164" fontId="15" fillId="0" borderId="0" xfId="0" applyNumberFormat="1" applyFont="1" applyBorder="1" applyAlignment="1">
      <alignment horizontal="center"/>
    </xf>
    <xf numFmtId="164" fontId="15" fillId="0" borderId="0" xfId="0" applyNumberFormat="1" applyFont="1" applyFill="1" applyBorder="1" applyAlignment="1">
      <alignment horizontal="right" vertical="center"/>
    </xf>
    <xf numFmtId="164" fontId="15" fillId="0" borderId="0" xfId="0" applyNumberFormat="1" applyFont="1" applyBorder="1"/>
    <xf numFmtId="164" fontId="25" fillId="4" borderId="0" xfId="0" applyNumberFormat="1" applyFont="1" applyFill="1" applyBorder="1"/>
    <xf numFmtId="164" fontId="25" fillId="4" borderId="1" xfId="0" applyNumberFormat="1" applyFont="1" applyFill="1" applyBorder="1"/>
    <xf numFmtId="164" fontId="14" fillId="4" borderId="1" xfId="0" applyNumberFormat="1" applyFont="1" applyFill="1" applyBorder="1"/>
    <xf numFmtId="164" fontId="25" fillId="0" borderId="1" xfId="0" applyNumberFormat="1" applyFont="1" applyBorder="1" applyAlignment="1">
      <alignment horizontal="center"/>
    </xf>
    <xf numFmtId="164" fontId="14" fillId="4" borderId="1" xfId="1" applyNumberFormat="1" applyFont="1" applyFill="1" applyBorder="1" applyAlignment="1">
      <alignment vertical="center"/>
    </xf>
    <xf numFmtId="0" fontId="26" fillId="4" borderId="1" xfId="0" applyFont="1" applyFill="1" applyBorder="1" applyAlignment="1">
      <alignment horizontal="center" vertical="center"/>
    </xf>
    <xf numFmtId="14" fontId="8" fillId="4" borderId="1" xfId="0" applyNumberFormat="1" applyFont="1" applyFill="1" applyBorder="1" applyAlignment="1">
      <alignment horizontal="center" vertical="center"/>
    </xf>
    <xf numFmtId="164" fontId="27" fillId="0" borderId="1" xfId="1" applyNumberFormat="1" applyFont="1" applyBorder="1"/>
    <xf numFmtId="164" fontId="28" fillId="0" borderId="14" xfId="0" applyNumberFormat="1" applyFont="1" applyBorder="1"/>
    <xf numFmtId="0" fontId="22" fillId="0" borderId="10" xfId="0" applyFont="1" applyBorder="1" applyAlignment="1"/>
    <xf numFmtId="0" fontId="0" fillId="0" borderId="0" xfId="0" applyBorder="1"/>
    <xf numFmtId="0" fontId="22" fillId="0" borderId="0" xfId="0" applyFont="1" applyBorder="1" applyAlignment="1"/>
    <xf numFmtId="0" fontId="18" fillId="0" borderId="0" xfId="0" applyFont="1" applyBorder="1" applyAlignment="1">
      <alignment horizontal="center"/>
    </xf>
    <xf numFmtId="164" fontId="15" fillId="4" borderId="0" xfId="1" applyNumberFormat="1" applyFont="1" applyFill="1" applyBorder="1"/>
    <xf numFmtId="0" fontId="15" fillId="4" borderId="0" xfId="0" applyFont="1" applyFill="1" applyBorder="1"/>
    <xf numFmtId="0" fontId="15" fillId="0" borderId="0" xfId="0" applyFont="1" applyBorder="1"/>
    <xf numFmtId="0" fontId="18" fillId="4" borderId="0" xfId="0" applyFont="1" applyFill="1" applyBorder="1" applyAlignment="1">
      <alignment horizontal="center"/>
    </xf>
    <xf numFmtId="164" fontId="15" fillId="4" borderId="0" xfId="0" applyNumberFormat="1" applyFont="1" applyFill="1" applyBorder="1"/>
    <xf numFmtId="0" fontId="22" fillId="0" borderId="9" xfId="0" applyFont="1" applyBorder="1" applyAlignment="1"/>
    <xf numFmtId="0" fontId="0" fillId="0" borderId="1" xfId="0" applyBorder="1"/>
    <xf numFmtId="164" fontId="15" fillId="4" borderId="5" xfId="0" applyNumberFormat="1" applyFont="1" applyFill="1" applyBorder="1"/>
    <xf numFmtId="0" fontId="15" fillId="4" borderId="5" xfId="0" applyFont="1" applyFill="1" applyBorder="1"/>
    <xf numFmtId="0" fontId="22" fillId="0" borderId="2" xfId="0" applyFont="1" applyBorder="1" applyAlignment="1">
      <alignment horizontal="center"/>
    </xf>
    <xf numFmtId="0" fontId="22" fillId="0" borderId="0" xfId="0" applyFont="1" applyBorder="1" applyAlignment="1">
      <alignment horizontal="center"/>
    </xf>
    <xf numFmtId="0" fontId="0" fillId="0" borderId="0" xfId="0" applyAlignment="1">
      <alignment horizontal="center" vertical="center"/>
    </xf>
    <xf numFmtId="0" fontId="0" fillId="0" borderId="0" xfId="0" applyFont="1" applyAlignment="1">
      <alignment horizontal="center" vertical="center"/>
    </xf>
    <xf numFmtId="164" fontId="15" fillId="2" borderId="1" xfId="0" applyNumberFormat="1" applyFont="1" applyFill="1" applyBorder="1"/>
    <xf numFmtId="0" fontId="0" fillId="0" borderId="0" xfId="0" applyAlignment="1">
      <alignment horizontal="center"/>
    </xf>
    <xf numFmtId="0" fontId="14" fillId="0" borderId="0" xfId="0" applyFont="1" applyAlignment="1">
      <alignment horizontal="center"/>
    </xf>
    <xf numFmtId="164" fontId="18" fillId="0" borderId="0" xfId="1" applyNumberFormat="1" applyFont="1"/>
    <xf numFmtId="0" fontId="29" fillId="9" borderId="1" xfId="0" applyFont="1" applyFill="1" applyBorder="1" applyAlignment="1">
      <alignment horizontal="center"/>
    </xf>
    <xf numFmtId="0" fontId="29" fillId="9" borderId="1" xfId="0" applyFont="1" applyFill="1" applyBorder="1"/>
    <xf numFmtId="164" fontId="27" fillId="0" borderId="0" xfId="1" applyNumberFormat="1" applyFont="1"/>
    <xf numFmtId="0" fontId="27" fillId="0" borderId="1" xfId="0" applyFont="1" applyBorder="1" applyAlignment="1">
      <alignment horizontal="center"/>
    </xf>
    <xf numFmtId="0" fontId="18" fillId="4" borderId="0" xfId="0" applyFont="1" applyFill="1" applyAlignment="1">
      <alignment horizontal="center"/>
    </xf>
    <xf numFmtId="0" fontId="18" fillId="4" borderId="0" xfId="0" applyFont="1" applyFill="1"/>
    <xf numFmtId="14" fontId="18" fillId="0" borderId="1" xfId="0" applyNumberFormat="1" applyFont="1" applyBorder="1" applyAlignment="1">
      <alignment horizontal="center"/>
    </xf>
    <xf numFmtId="164" fontId="3" fillId="4" borderId="1" xfId="1" applyNumberFormat="1" applyFont="1" applyFill="1" applyBorder="1" applyAlignment="1">
      <alignment vertical="center"/>
    </xf>
    <xf numFmtId="0" fontId="18" fillId="0" borderId="1" xfId="0" applyFont="1" applyBorder="1" applyAlignment="1">
      <alignment horizontal="center"/>
    </xf>
    <xf numFmtId="0" fontId="18" fillId="0" borderId="0" xfId="0" applyFont="1" applyAlignment="1">
      <alignment horizontal="center"/>
    </xf>
    <xf numFmtId="0" fontId="0" fillId="2" borderId="0" xfId="0" applyFill="1"/>
    <xf numFmtId="0" fontId="18" fillId="0" borderId="1" xfId="0" applyFont="1" applyBorder="1" applyAlignment="1">
      <alignment horizontal="center"/>
    </xf>
    <xf numFmtId="164" fontId="18" fillId="4" borderId="5" xfId="1" applyNumberFormat="1" applyFont="1" applyFill="1" applyBorder="1"/>
    <xf numFmtId="165" fontId="18" fillId="0" borderId="0" xfId="0" applyNumberFormat="1" applyFont="1"/>
    <xf numFmtId="164" fontId="18" fillId="4" borderId="0" xfId="1" applyNumberFormat="1" applyFont="1" applyFill="1" applyBorder="1"/>
    <xf numFmtId="0" fontId="0" fillId="0" borderId="0" xfId="0" applyAlignment="1">
      <alignment horizontal="center"/>
    </xf>
    <xf numFmtId="14" fontId="0" fillId="0" borderId="0" xfId="0" applyNumberFormat="1"/>
    <xf numFmtId="14" fontId="0" fillId="2" borderId="0" xfId="0" applyNumberFormat="1" applyFill="1"/>
    <xf numFmtId="164" fontId="18" fillId="0" borderId="3" xfId="1" applyNumberFormat="1" applyFont="1" applyBorder="1"/>
    <xf numFmtId="164" fontId="18" fillId="4" borderId="1" xfId="1" applyNumberFormat="1" applyFont="1" applyFill="1" applyBorder="1" applyAlignment="1">
      <alignment vertical="center"/>
    </xf>
    <xf numFmtId="164" fontId="18" fillId="0" borderId="1" xfId="1" applyNumberFormat="1" applyFont="1" applyBorder="1" applyAlignment="1">
      <alignment vertical="center"/>
    </xf>
    <xf numFmtId="0" fontId="18" fillId="0" borderId="1" xfId="0" applyFont="1" applyBorder="1" applyAlignment="1">
      <alignment horizontal="center"/>
    </xf>
    <xf numFmtId="0" fontId="18" fillId="0" borderId="1" xfId="0" applyFont="1" applyBorder="1" applyAlignment="1">
      <alignment horizontal="center"/>
    </xf>
    <xf numFmtId="164" fontId="18" fillId="0" borderId="0" xfId="0" applyNumberFormat="1" applyFont="1"/>
    <xf numFmtId="166" fontId="18" fillId="0" borderId="0" xfId="1" applyNumberFormat="1" applyFont="1"/>
    <xf numFmtId="0" fontId="18" fillId="0" borderId="1" xfId="0" applyFont="1" applyBorder="1" applyAlignment="1">
      <alignment horizontal="center"/>
    </xf>
    <xf numFmtId="0" fontId="18" fillId="0" borderId="1" xfId="0" applyFont="1" applyBorder="1" applyAlignment="1">
      <alignment horizontal="center"/>
    </xf>
    <xf numFmtId="166" fontId="0" fillId="0" borderId="0" xfId="1" applyNumberFormat="1" applyFont="1"/>
    <xf numFmtId="0" fontId="27" fillId="2" borderId="1" xfId="0" applyFont="1" applyFill="1" applyBorder="1" applyAlignment="1">
      <alignment horizontal="center"/>
    </xf>
    <xf numFmtId="0" fontId="18" fillId="0" borderId="1" xfId="0" applyFont="1" applyBorder="1" applyAlignment="1">
      <alignment horizontal="center"/>
    </xf>
    <xf numFmtId="0" fontId="18" fillId="0" borderId="0" xfId="0" applyFont="1" applyAlignment="1">
      <alignment horizontal="center"/>
    </xf>
    <xf numFmtId="166" fontId="18" fillId="0" borderId="1" xfId="1" applyNumberFormat="1" applyFont="1" applyBorder="1"/>
    <xf numFmtId="0" fontId="3" fillId="0" borderId="0" xfId="0" applyFont="1"/>
    <xf numFmtId="14" fontId="18" fillId="0" borderId="0" xfId="0" applyNumberFormat="1" applyFont="1"/>
    <xf numFmtId="0" fontId="10" fillId="0" borderId="1" xfId="0" applyFont="1" applyBorder="1" applyAlignment="1">
      <alignment horizontal="center" vertical="center"/>
    </xf>
    <xf numFmtId="0" fontId="10" fillId="0" borderId="0" xfId="0" applyFont="1" applyAlignment="1">
      <alignment horizontal="center" vertical="center"/>
    </xf>
    <xf numFmtId="0" fontId="10" fillId="14" borderId="1" xfId="0" applyFont="1" applyFill="1" applyBorder="1" applyAlignment="1">
      <alignment horizontal="center" vertical="center"/>
    </xf>
    <xf numFmtId="0" fontId="7" fillId="14" borderId="1" xfId="0" applyFont="1" applyFill="1" applyBorder="1" applyAlignment="1">
      <alignment horizontal="left" vertical="center"/>
    </xf>
    <xf numFmtId="0" fontId="15" fillId="14" borderId="1" xfId="0" applyFont="1" applyFill="1" applyBorder="1"/>
    <xf numFmtId="171" fontId="10" fillId="14" borderId="1" xfId="0" applyNumberFormat="1" applyFont="1" applyFill="1" applyBorder="1" applyAlignment="1">
      <alignment horizontal="left" vertical="center"/>
    </xf>
    <xf numFmtId="0" fontId="10" fillId="14" borderId="1" xfId="0" applyFont="1" applyFill="1" applyBorder="1" applyAlignment="1">
      <alignment vertical="center"/>
    </xf>
    <xf numFmtId="170" fontId="11" fillId="14" borderId="1" xfId="0" applyNumberFormat="1" applyFont="1" applyFill="1" applyBorder="1" applyAlignment="1">
      <alignment horizontal="center" vertical="center"/>
    </xf>
    <xf numFmtId="9" fontId="10" fillId="14" borderId="1" xfId="0" applyNumberFormat="1" applyFont="1" applyFill="1" applyBorder="1" applyAlignment="1">
      <alignment horizontal="center" vertical="center"/>
    </xf>
    <xf numFmtId="164" fontId="10" fillId="14" borderId="1" xfId="0" applyNumberFormat="1" applyFont="1" applyFill="1" applyBorder="1" applyAlignment="1">
      <alignment vertical="center"/>
    </xf>
    <xf numFmtId="43" fontId="10" fillId="3" borderId="1" xfId="1" applyNumberFormat="1" applyFont="1" applyFill="1" applyBorder="1" applyAlignment="1">
      <alignment vertical="center"/>
    </xf>
    <xf numFmtId="14" fontId="6" fillId="15" borderId="1" xfId="0" applyNumberFormat="1" applyFont="1" applyFill="1" applyBorder="1" applyAlignment="1">
      <alignment vertical="center"/>
    </xf>
    <xf numFmtId="164" fontId="10" fillId="6" borderId="1" xfId="0" applyNumberFormat="1" applyFont="1" applyFill="1" applyBorder="1" applyAlignment="1">
      <alignment vertical="center"/>
    </xf>
    <xf numFmtId="164" fontId="10" fillId="15" borderId="1" xfId="0" applyNumberFormat="1" applyFont="1" applyFill="1" applyBorder="1" applyAlignment="1">
      <alignment vertical="center"/>
    </xf>
    <xf numFmtId="164" fontId="10" fillId="15" borderId="1" xfId="1" applyNumberFormat="1" applyFont="1" applyFill="1" applyBorder="1" applyAlignment="1">
      <alignment vertical="center"/>
    </xf>
    <xf numFmtId="14" fontId="10" fillId="0" borderId="1" xfId="0" applyNumberFormat="1" applyFont="1" applyBorder="1" applyAlignment="1">
      <alignment vertical="center"/>
    </xf>
    <xf numFmtId="164" fontId="10" fillId="0" borderId="1" xfId="0" applyNumberFormat="1" applyFont="1" applyBorder="1" applyAlignment="1">
      <alignment vertical="center"/>
    </xf>
    <xf numFmtId="164" fontId="10" fillId="3" borderId="1" xfId="1" applyNumberFormat="1" applyFont="1" applyFill="1" applyBorder="1" applyAlignment="1">
      <alignment vertical="center"/>
    </xf>
    <xf numFmtId="14" fontId="6" fillId="3" borderId="1" xfId="0" applyNumberFormat="1" applyFont="1" applyFill="1" applyBorder="1" applyAlignment="1">
      <alignment vertical="center"/>
    </xf>
    <xf numFmtId="164" fontId="10" fillId="3" borderId="1" xfId="0" applyNumberFormat="1" applyFont="1" applyFill="1" applyBorder="1" applyAlignment="1">
      <alignment vertical="center"/>
    </xf>
    <xf numFmtId="0" fontId="10" fillId="14" borderId="1" xfId="0" applyFont="1" applyFill="1" applyBorder="1" applyAlignment="1">
      <alignment horizontal="left" vertical="center"/>
    </xf>
    <xf numFmtId="14" fontId="6" fillId="14" borderId="1" xfId="0" applyNumberFormat="1" applyFont="1" applyFill="1" applyBorder="1" applyAlignment="1">
      <alignment vertical="center"/>
    </xf>
    <xf numFmtId="0" fontId="10" fillId="3" borderId="1" xfId="0" applyFont="1" applyFill="1" applyBorder="1" applyAlignment="1">
      <alignment vertical="center"/>
    </xf>
    <xf numFmtId="0" fontId="11" fillId="14" borderId="1" xfId="0" applyFont="1" applyFill="1" applyBorder="1" applyAlignment="1">
      <alignment vertical="center"/>
    </xf>
    <xf numFmtId="0" fontId="10" fillId="7" borderId="1" xfId="0" applyFont="1" applyFill="1" applyBorder="1" applyAlignment="1">
      <alignment horizontal="center" vertical="center"/>
    </xf>
    <xf numFmtId="0" fontId="10" fillId="7" borderId="1" xfId="0" applyFont="1" applyFill="1" applyBorder="1" applyAlignment="1">
      <alignment horizontal="left" vertical="center"/>
    </xf>
    <xf numFmtId="0" fontId="10" fillId="7" borderId="1" xfId="0" applyFont="1" applyFill="1" applyBorder="1" applyAlignment="1">
      <alignment vertical="center"/>
    </xf>
    <xf numFmtId="171" fontId="10" fillId="2" borderId="1" xfId="0" applyNumberFormat="1" applyFont="1" applyFill="1" applyBorder="1" applyAlignment="1">
      <alignment horizontal="left" vertical="center"/>
    </xf>
    <xf numFmtId="170" fontId="6" fillId="7" borderId="1" xfId="0" applyNumberFormat="1" applyFont="1" applyFill="1" applyBorder="1" applyAlignment="1">
      <alignment horizontal="center" vertical="center"/>
    </xf>
    <xf numFmtId="9" fontId="10" fillId="7" borderId="1" xfId="0" applyNumberFormat="1" applyFont="1" applyFill="1" applyBorder="1" applyAlignment="1">
      <alignment horizontal="center" vertical="center"/>
    </xf>
    <xf numFmtId="164" fontId="10" fillId="7" borderId="1" xfId="0" applyNumberFormat="1" applyFont="1" applyFill="1" applyBorder="1" applyAlignment="1">
      <alignment vertical="center"/>
    </xf>
    <xf numFmtId="164" fontId="10" fillId="7" borderId="1" xfId="1" applyNumberFormat="1" applyFont="1" applyFill="1" applyBorder="1" applyAlignment="1">
      <alignment vertical="center"/>
    </xf>
    <xf numFmtId="14" fontId="6" fillId="7" borderId="1" xfId="0" applyNumberFormat="1" applyFont="1" applyFill="1" applyBorder="1" applyAlignment="1">
      <alignment vertical="center"/>
    </xf>
    <xf numFmtId="170" fontId="11" fillId="7" borderId="1" xfId="0" applyNumberFormat="1" applyFont="1" applyFill="1" applyBorder="1" applyAlignment="1">
      <alignment horizontal="center" vertical="center"/>
    </xf>
    <xf numFmtId="43" fontId="10" fillId="7" borderId="1" xfId="1" applyNumberFormat="1" applyFont="1" applyFill="1" applyBorder="1" applyAlignment="1">
      <alignment vertical="center"/>
    </xf>
    <xf numFmtId="0" fontId="10" fillId="4" borderId="1" xfId="0" applyFont="1" applyFill="1" applyBorder="1" applyAlignment="1">
      <alignment horizontal="center" vertical="center"/>
    </xf>
    <xf numFmtId="9" fontId="10" fillId="0" borderId="1" xfId="0" applyNumberFormat="1" applyFont="1" applyBorder="1" applyAlignment="1">
      <alignment horizontal="center" vertical="center"/>
    </xf>
    <xf numFmtId="164" fontId="10" fillId="4" borderId="1" xfId="0" applyNumberFormat="1" applyFont="1" applyFill="1" applyBorder="1" applyAlignment="1">
      <alignment vertical="center"/>
    </xf>
    <xf numFmtId="164" fontId="10" fillId="0" borderId="1" xfId="0" applyNumberFormat="1" applyFont="1" applyBorder="1" applyAlignment="1">
      <alignment horizontal="center" vertical="center"/>
    </xf>
    <xf numFmtId="0" fontId="10" fillId="0" borderId="4" xfId="0" applyFont="1" applyBorder="1" applyAlignment="1">
      <alignment horizontal="center" vertical="center"/>
    </xf>
    <xf numFmtId="164" fontId="10" fillId="0" borderId="4" xfId="0" applyNumberFormat="1" applyFont="1" applyBorder="1" applyAlignment="1">
      <alignment vertical="center"/>
    </xf>
    <xf numFmtId="0" fontId="10" fillId="0" borderId="0" xfId="0" applyFont="1" applyAlignment="1">
      <alignment horizontal="left" vertical="center"/>
    </xf>
    <xf numFmtId="171" fontId="10" fillId="0" borderId="0" xfId="0" applyNumberFormat="1" applyFont="1" applyAlignment="1">
      <alignment horizontal="left" vertical="center"/>
    </xf>
    <xf numFmtId="170" fontId="11" fillId="0" borderId="0" xfId="0" applyNumberFormat="1" applyFont="1" applyAlignment="1">
      <alignment horizontal="center" vertical="center"/>
    </xf>
    <xf numFmtId="0" fontId="10" fillId="4" borderId="0" xfId="0" applyFont="1" applyFill="1" applyAlignment="1">
      <alignment vertical="center"/>
    </xf>
    <xf numFmtId="164" fontId="10" fillId="3" borderId="0" xfId="1" applyNumberFormat="1" applyFont="1" applyFill="1" applyAlignment="1">
      <alignment vertical="center"/>
    </xf>
    <xf numFmtId="14" fontId="6" fillId="0" borderId="0" xfId="0" applyNumberFormat="1" applyFont="1" applyAlignment="1">
      <alignment horizontal="right" vertical="center"/>
    </xf>
    <xf numFmtId="0" fontId="10" fillId="4" borderId="0" xfId="0" applyFont="1" applyFill="1" applyAlignment="1">
      <alignment horizontal="center" vertical="center"/>
    </xf>
    <xf numFmtId="0" fontId="10" fillId="4" borderId="0" xfId="0" applyFont="1" applyFill="1" applyAlignment="1">
      <alignment horizontal="left" vertical="center"/>
    </xf>
    <xf numFmtId="165" fontId="10" fillId="0" borderId="0" xfId="0" applyNumberFormat="1" applyFont="1" applyAlignment="1">
      <alignment vertical="center"/>
    </xf>
    <xf numFmtId="164" fontId="10" fillId="0" borderId="0" xfId="1" applyNumberFormat="1" applyFont="1" applyAlignment="1">
      <alignment vertical="center"/>
    </xf>
    <xf numFmtId="14" fontId="6" fillId="0" borderId="0" xfId="0" applyNumberFormat="1" applyFont="1" applyAlignment="1">
      <alignment vertical="center"/>
    </xf>
    <xf numFmtId="0" fontId="37" fillId="0" borderId="0" xfId="0" applyFont="1" applyAlignment="1">
      <alignment horizontal="center" vertical="center"/>
    </xf>
    <xf numFmtId="0" fontId="18" fillId="0" borderId="0" xfId="0" applyFont="1" applyAlignment="1">
      <alignment horizontal="center"/>
    </xf>
    <xf numFmtId="164" fontId="18" fillId="0" borderId="0" xfId="0" applyNumberFormat="1" applyFont="1" applyBorder="1"/>
    <xf numFmtId="0" fontId="18" fillId="0" borderId="0" xfId="0" applyFont="1" applyBorder="1"/>
    <xf numFmtId="164" fontId="27" fillId="0" borderId="0" xfId="1" applyNumberFormat="1" applyFont="1" applyBorder="1"/>
    <xf numFmtId="0" fontId="18" fillId="0" borderId="0" xfId="0" applyFont="1" applyAlignment="1">
      <alignment vertical="center"/>
    </xf>
    <xf numFmtId="0" fontId="3" fillId="5" borderId="1" xfId="0" applyFont="1" applyFill="1" applyBorder="1" applyAlignment="1">
      <alignment horizontal="center" vertical="center" wrapText="1"/>
    </xf>
    <xf numFmtId="0" fontId="3" fillId="5" borderId="1" xfId="0" applyFont="1" applyFill="1" applyBorder="1" applyAlignment="1">
      <alignment horizontal="center" vertical="center"/>
    </xf>
    <xf numFmtId="0" fontId="3" fillId="4" borderId="0" xfId="0" applyFont="1" applyFill="1" applyBorder="1" applyAlignment="1">
      <alignment horizontal="center" vertical="center"/>
    </xf>
    <xf numFmtId="0" fontId="18" fillId="0" borderId="1" xfId="0" applyFont="1" applyBorder="1" applyAlignment="1">
      <alignment horizontal="left" vertical="center"/>
    </xf>
    <xf numFmtId="0" fontId="18" fillId="0" borderId="1" xfId="0" applyFont="1" applyBorder="1" applyAlignment="1">
      <alignment horizontal="center" vertical="center"/>
    </xf>
    <xf numFmtId="0" fontId="15" fillId="0" borderId="0" xfId="0" applyFont="1" applyBorder="1" applyAlignment="1"/>
    <xf numFmtId="3" fontId="15" fillId="0" borderId="0" xfId="0" applyNumberFormat="1" applyFont="1" applyBorder="1"/>
    <xf numFmtId="0" fontId="15" fillId="0" borderId="0" xfId="0" applyFont="1"/>
    <xf numFmtId="0" fontId="18" fillId="0" borderId="3" xfId="0" applyFont="1" applyBorder="1"/>
    <xf numFmtId="164" fontId="18" fillId="0" borderId="3" xfId="1" applyNumberFormat="1" applyFont="1" applyBorder="1" applyAlignment="1">
      <alignment vertical="center"/>
    </xf>
    <xf numFmtId="3" fontId="15" fillId="0" borderId="0" xfId="0" applyNumberFormat="1" applyFont="1" applyBorder="1" applyAlignment="1">
      <alignment horizontal="center"/>
    </xf>
    <xf numFmtId="164" fontId="15" fillId="0" borderId="0" xfId="1" applyNumberFormat="1" applyFont="1" applyBorder="1"/>
    <xf numFmtId="0" fontId="3" fillId="4" borderId="4" xfId="0" applyFont="1" applyFill="1" applyBorder="1" applyAlignment="1">
      <alignment horizontal="center" vertical="center"/>
    </xf>
    <xf numFmtId="164" fontId="3" fillId="4" borderId="4" xfId="0" applyNumberFormat="1" applyFont="1" applyFill="1" applyBorder="1" applyAlignment="1">
      <alignment horizontal="center" vertical="center"/>
    </xf>
    <xf numFmtId="164" fontId="18" fillId="4" borderId="4" xfId="1" applyNumberFormat="1" applyFont="1" applyFill="1" applyBorder="1"/>
    <xf numFmtId="164" fontId="38" fillId="4" borderId="0" xfId="1" applyNumberFormat="1" applyFont="1" applyFill="1" applyBorder="1" applyAlignment="1"/>
    <xf numFmtId="0" fontId="18" fillId="0" borderId="3" xfId="0" applyFont="1" applyBorder="1" applyAlignment="1">
      <alignment horizontal="center" vertical="center"/>
    </xf>
    <xf numFmtId="164" fontId="18" fillId="4" borderId="3" xfId="0" applyNumberFormat="1" applyFont="1" applyFill="1" applyBorder="1"/>
    <xf numFmtId="164" fontId="18" fillId="0" borderId="1" xfId="0" applyNumberFormat="1" applyFont="1" applyBorder="1"/>
    <xf numFmtId="164" fontId="18" fillId="0" borderId="5" xfId="1" applyNumberFormat="1" applyFont="1" applyBorder="1"/>
    <xf numFmtId="0" fontId="20" fillId="0" borderId="1" xfId="0" applyFont="1" applyBorder="1" applyAlignment="1">
      <alignment horizontal="center" vertical="center"/>
    </xf>
    <xf numFmtId="164" fontId="15" fillId="0" borderId="0" xfId="1" applyNumberFormat="1" applyFont="1"/>
    <xf numFmtId="0" fontId="18" fillId="0" borderId="4" xfId="0" applyFont="1" applyBorder="1" applyAlignment="1">
      <alignment horizontal="center" vertical="center"/>
    </xf>
    <xf numFmtId="164" fontId="18" fillId="2" borderId="4" xfId="0" applyNumberFormat="1" applyFont="1" applyFill="1" applyBorder="1"/>
    <xf numFmtId="164" fontId="18" fillId="4" borderId="4" xfId="0" applyNumberFormat="1" applyFont="1" applyFill="1" applyBorder="1"/>
    <xf numFmtId="0" fontId="27" fillId="0" borderId="0" xfId="0" applyFont="1"/>
    <xf numFmtId="14" fontId="10" fillId="0" borderId="0" xfId="0" applyNumberFormat="1" applyFont="1" applyAlignment="1">
      <alignment vertical="center"/>
    </xf>
    <xf numFmtId="0" fontId="10" fillId="6" borderId="1" xfId="0" applyFont="1" applyFill="1" applyBorder="1" applyAlignment="1">
      <alignment vertical="center"/>
    </xf>
    <xf numFmtId="14" fontId="27" fillId="2" borderId="1" xfId="0" applyNumberFormat="1" applyFont="1" applyFill="1" applyBorder="1" applyAlignment="1">
      <alignment horizontal="center"/>
    </xf>
    <xf numFmtId="0" fontId="18" fillId="0" borderId="1" xfId="0" applyFont="1" applyBorder="1" applyAlignment="1">
      <alignment horizontal="center"/>
    </xf>
    <xf numFmtId="15" fontId="29" fillId="9" borderId="1" xfId="0" applyNumberFormat="1" applyFont="1" applyFill="1" applyBorder="1" applyAlignment="1">
      <alignment horizontal="center"/>
    </xf>
    <xf numFmtId="0" fontId="18" fillId="0" borderId="1" xfId="0" applyFont="1" applyBorder="1" applyAlignment="1">
      <alignment horizontal="center"/>
    </xf>
    <xf numFmtId="0" fontId="10" fillId="3" borderId="0" xfId="0" applyFont="1" applyFill="1" applyAlignment="1">
      <alignment vertical="center"/>
    </xf>
    <xf numFmtId="164" fontId="10" fillId="14" borderId="1" xfId="1" applyNumberFormat="1" applyFont="1" applyFill="1" applyBorder="1" applyAlignment="1">
      <alignment vertical="center"/>
    </xf>
    <xf numFmtId="9" fontId="10" fillId="2" borderId="1" xfId="0" applyNumberFormat="1" applyFont="1" applyFill="1" applyBorder="1" applyAlignment="1">
      <alignment horizontal="center" vertical="center"/>
    </xf>
    <xf numFmtId="164" fontId="10" fillId="2" borderId="1" xfId="0" applyNumberFormat="1" applyFont="1" applyFill="1" applyBorder="1" applyAlignment="1">
      <alignment vertical="center"/>
    </xf>
    <xf numFmtId="164" fontId="10" fillId="0" borderId="0" xfId="0" applyNumberFormat="1" applyFont="1" applyAlignment="1">
      <alignment vertical="center"/>
    </xf>
    <xf numFmtId="0" fontId="18" fillId="20" borderId="17" xfId="0" applyFont="1" applyFill="1" applyBorder="1"/>
    <xf numFmtId="0" fontId="18" fillId="20" borderId="18" xfId="0" applyFont="1" applyFill="1" applyBorder="1"/>
    <xf numFmtId="0" fontId="18" fillId="20" borderId="19" xfId="0" applyFont="1" applyFill="1" applyBorder="1"/>
    <xf numFmtId="0" fontId="18" fillId="20" borderId="20" xfId="0" applyFont="1" applyFill="1" applyBorder="1"/>
    <xf numFmtId="0" fontId="18" fillId="20" borderId="0" xfId="0" applyFont="1" applyFill="1" applyBorder="1"/>
    <xf numFmtId="0" fontId="18" fillId="20" borderId="21" xfId="0" applyFont="1" applyFill="1" applyBorder="1"/>
    <xf numFmtId="0" fontId="18" fillId="20" borderId="22" xfId="0" applyFont="1" applyFill="1" applyBorder="1"/>
    <xf numFmtId="0" fontId="18" fillId="20" borderId="23" xfId="0" applyFont="1" applyFill="1" applyBorder="1"/>
    <xf numFmtId="0" fontId="18" fillId="20" borderId="24" xfId="0" applyFont="1" applyFill="1" applyBorder="1"/>
    <xf numFmtId="0" fontId="41" fillId="16" borderId="32" xfId="0" applyFont="1" applyFill="1" applyBorder="1"/>
    <xf numFmtId="0" fontId="35" fillId="16" borderId="32" xfId="0" applyFont="1" applyFill="1" applyBorder="1"/>
    <xf numFmtId="0" fontId="35" fillId="16" borderId="32" xfId="0" applyFont="1" applyFill="1" applyBorder="1" applyAlignment="1">
      <alignment horizontal="left"/>
    </xf>
    <xf numFmtId="0" fontId="30" fillId="16" borderId="32" xfId="0" applyFont="1" applyFill="1" applyBorder="1"/>
    <xf numFmtId="0" fontId="44" fillId="16" borderId="32" xfId="0" applyFont="1" applyFill="1" applyBorder="1"/>
    <xf numFmtId="0" fontId="29" fillId="16" borderId="32" xfId="0" applyFont="1" applyFill="1" applyBorder="1"/>
    <xf numFmtId="0" fontId="29" fillId="16" borderId="32" xfId="0" applyFont="1" applyFill="1" applyBorder="1" applyAlignment="1">
      <alignment vertical="center"/>
    </xf>
    <xf numFmtId="166" fontId="2" fillId="21" borderId="33" xfId="4" applyNumberFormat="1" applyFont="1" applyFill="1" applyBorder="1"/>
    <xf numFmtId="166" fontId="2" fillId="22" borderId="35" xfId="4" applyNumberFormat="1" applyFont="1" applyFill="1" applyBorder="1" applyAlignment="1">
      <alignment horizontal="center"/>
    </xf>
    <xf numFmtId="166" fontId="2" fillId="21" borderId="32" xfId="4" applyNumberFormat="1" applyFont="1" applyFill="1" applyBorder="1"/>
    <xf numFmtId="166" fontId="2" fillId="22" borderId="32" xfId="4" applyNumberFormat="1" applyFont="1" applyFill="1" applyBorder="1" applyAlignment="1">
      <alignment horizontal="center"/>
    </xf>
    <xf numFmtId="166" fontId="2" fillId="22" borderId="42" xfId="4" applyNumberFormat="1" applyFont="1" applyFill="1" applyBorder="1" applyAlignment="1">
      <alignment horizontal="center"/>
    </xf>
    <xf numFmtId="166" fontId="2" fillId="21" borderId="41" xfId="4" applyNumberFormat="1" applyFont="1" applyFill="1" applyBorder="1"/>
    <xf numFmtId="166" fontId="42" fillId="22" borderId="27" xfId="4" applyNumberFormat="1" applyFont="1" applyFill="1" applyBorder="1" applyAlignment="1">
      <alignment horizontal="center"/>
    </xf>
    <xf numFmtId="166" fontId="42" fillId="21" borderId="27" xfId="4" applyNumberFormat="1" applyFont="1" applyFill="1" applyBorder="1"/>
    <xf numFmtId="166" fontId="42" fillId="22" borderId="42" xfId="4" applyNumberFormat="1" applyFont="1" applyFill="1" applyBorder="1" applyAlignment="1">
      <alignment horizontal="center"/>
    </xf>
    <xf numFmtId="166" fontId="42" fillId="21" borderId="41" xfId="4" applyNumberFormat="1" applyFont="1" applyFill="1" applyBorder="1"/>
    <xf numFmtId="166" fontId="2" fillId="22" borderId="40" xfId="4" applyNumberFormat="1" applyFont="1" applyFill="1" applyBorder="1" applyAlignment="1">
      <alignment horizontal="center"/>
    </xf>
    <xf numFmtId="166" fontId="2" fillId="21" borderId="0" xfId="4" applyNumberFormat="1" applyFont="1" applyFill="1" applyBorder="1"/>
    <xf numFmtId="0" fontId="18" fillId="0" borderId="0" xfId="0" applyFont="1" applyAlignment="1">
      <alignment horizontal="center"/>
    </xf>
    <xf numFmtId="164" fontId="3" fillId="5" borderId="1" xfId="1" applyNumberFormat="1" applyFont="1" applyFill="1" applyBorder="1" applyAlignment="1">
      <alignment horizontal="center" vertical="center"/>
    </xf>
    <xf numFmtId="164" fontId="3" fillId="5" borderId="1" xfId="1" applyNumberFormat="1" applyFont="1" applyFill="1" applyBorder="1" applyAlignment="1">
      <alignment horizontal="center" vertical="center" wrapText="1"/>
    </xf>
    <xf numFmtId="164" fontId="18" fillId="0" borderId="1" xfId="1" applyNumberFormat="1" applyFont="1" applyBorder="1" applyAlignment="1">
      <alignment vertical="center" wrapText="1"/>
    </xf>
    <xf numFmtId="164" fontId="3" fillId="4" borderId="4" xfId="1" applyNumberFormat="1" applyFont="1" applyFill="1" applyBorder="1" applyAlignment="1">
      <alignment horizontal="center" vertical="center"/>
    </xf>
    <xf numFmtId="164" fontId="18" fillId="0" borderId="1" xfId="1" applyNumberFormat="1" applyFont="1" applyBorder="1" applyAlignment="1">
      <alignment horizontal="center" vertical="center"/>
    </xf>
    <xf numFmtId="164" fontId="20" fillId="0" borderId="1" xfId="1" applyNumberFormat="1" applyFont="1" applyBorder="1" applyAlignment="1">
      <alignment horizontal="center" vertical="center"/>
    </xf>
    <xf numFmtId="164" fontId="18" fillId="0" borderId="4" xfId="1" applyNumberFormat="1" applyFont="1" applyBorder="1" applyAlignment="1">
      <alignment horizontal="center" vertical="center"/>
    </xf>
    <xf numFmtId="164" fontId="18" fillId="0" borderId="3" xfId="1" applyNumberFormat="1" applyFont="1" applyBorder="1" applyAlignment="1">
      <alignment vertical="center" wrapText="1"/>
    </xf>
    <xf numFmtId="164" fontId="18" fillId="0" borderId="0" xfId="1" applyNumberFormat="1" applyFont="1" applyAlignment="1">
      <alignment wrapText="1"/>
    </xf>
    <xf numFmtId="164" fontId="20" fillId="0" borderId="1" xfId="1" applyNumberFormat="1" applyFont="1" applyFill="1" applyBorder="1"/>
    <xf numFmtId="172" fontId="18" fillId="0" borderId="0" xfId="0" applyNumberFormat="1" applyFont="1"/>
    <xf numFmtId="166" fontId="18" fillId="4" borderId="1" xfId="1" applyNumberFormat="1" applyFont="1" applyFill="1" applyBorder="1"/>
    <xf numFmtId="174" fontId="18" fillId="0" borderId="0" xfId="0" applyNumberFormat="1" applyFont="1" applyAlignment="1">
      <alignment horizontal="center"/>
    </xf>
    <xf numFmtId="174" fontId="18" fillId="0" borderId="0" xfId="1" applyNumberFormat="1" applyFont="1" applyAlignment="1">
      <alignment horizontal="center"/>
    </xf>
    <xf numFmtId="164" fontId="2" fillId="21" borderId="27" xfId="4" applyNumberFormat="1" applyFont="1" applyFill="1" applyBorder="1"/>
    <xf numFmtId="164" fontId="2" fillId="22" borderId="27" xfId="4" applyNumberFormat="1" applyFont="1" applyFill="1" applyBorder="1" applyAlignment="1">
      <alignment horizontal="center"/>
    </xf>
    <xf numFmtId="164" fontId="2" fillId="22" borderId="36" xfId="4" applyNumberFormat="1" applyFont="1" applyFill="1" applyBorder="1" applyAlignment="1">
      <alignment horizontal="center"/>
    </xf>
    <xf numFmtId="164" fontId="2" fillId="21" borderId="30" xfId="4" applyNumberFormat="1" applyFont="1" applyFill="1" applyBorder="1"/>
    <xf numFmtId="164" fontId="0" fillId="0" borderId="0" xfId="1" applyNumberFormat="1" applyFont="1"/>
    <xf numFmtId="164" fontId="34" fillId="11" borderId="1" xfId="1" applyNumberFormat="1" applyFont="1" applyFill="1" applyBorder="1" applyAlignment="1">
      <alignment horizontal="center"/>
    </xf>
    <xf numFmtId="0" fontId="37" fillId="0" borderId="0" xfId="0" applyFont="1" applyAlignment="1">
      <alignment vertical="center"/>
    </xf>
    <xf numFmtId="0" fontId="37" fillId="0" borderId="0" xfId="0" applyFont="1" applyAlignment="1">
      <alignment horizontal="right"/>
    </xf>
    <xf numFmtId="168" fontId="37" fillId="0" borderId="0" xfId="0" applyNumberFormat="1" applyFont="1" applyAlignment="1">
      <alignment vertical="center"/>
    </xf>
    <xf numFmtId="168" fontId="10" fillId="0" borderId="0" xfId="0" applyNumberFormat="1" applyFont="1" applyAlignment="1">
      <alignment horizontal="left" vertical="center"/>
    </xf>
    <xf numFmtId="0" fontId="37" fillId="0" borderId="2" xfId="0" applyFont="1" applyBorder="1" applyAlignment="1">
      <alignment horizontal="center" vertical="center"/>
    </xf>
    <xf numFmtId="174" fontId="37" fillId="0" borderId="2" xfId="0" applyNumberFormat="1" applyFont="1" applyBorder="1" applyAlignment="1">
      <alignment horizontal="center" vertical="center"/>
    </xf>
    <xf numFmtId="0" fontId="37" fillId="0" borderId="2" xfId="0" applyFont="1" applyBorder="1" applyAlignment="1">
      <alignment vertical="center"/>
    </xf>
    <xf numFmtId="0" fontId="37" fillId="0" borderId="2" xfId="0" applyFont="1" applyBorder="1" applyAlignment="1">
      <alignment horizontal="right"/>
    </xf>
    <xf numFmtId="168" fontId="37" fillId="0" borderId="2" xfId="0" applyNumberFormat="1" applyFont="1" applyBorder="1" applyAlignment="1">
      <alignment vertical="center"/>
    </xf>
    <xf numFmtId="0" fontId="19" fillId="4" borderId="0" xfId="0" applyFont="1" applyFill="1" applyAlignment="1">
      <alignment horizontal="center" vertical="center"/>
    </xf>
    <xf numFmtId="0" fontId="19" fillId="12" borderId="43" xfId="0" applyFont="1" applyFill="1" applyBorder="1" applyAlignment="1">
      <alignment horizontal="center" vertical="center"/>
    </xf>
    <xf numFmtId="168" fontId="19" fillId="12" borderId="43" xfId="0" applyNumberFormat="1" applyFont="1" applyFill="1" applyBorder="1" applyAlignment="1">
      <alignment horizontal="center" vertical="center" wrapText="1"/>
    </xf>
    <xf numFmtId="174" fontId="19" fillId="12" borderId="43" xfId="0" applyNumberFormat="1" applyFont="1" applyFill="1" applyBorder="1" applyAlignment="1">
      <alignment horizontal="center" vertical="center"/>
    </xf>
    <xf numFmtId="0" fontId="19" fillId="12" borderId="43" xfId="0" applyFont="1" applyFill="1" applyBorder="1" applyAlignment="1">
      <alignment horizontal="center" vertical="center" wrapText="1"/>
    </xf>
    <xf numFmtId="0" fontId="19" fillId="12" borderId="43" xfId="0" applyFont="1" applyFill="1" applyBorder="1" applyAlignment="1">
      <alignment horizontal="right" wrapText="1"/>
    </xf>
    <xf numFmtId="168" fontId="10" fillId="4" borderId="11" xfId="0" applyNumberFormat="1" applyFont="1" applyFill="1" applyBorder="1" applyAlignment="1">
      <alignment horizontal="center" vertical="center"/>
    </xf>
    <xf numFmtId="0" fontId="10" fillId="4" borderId="11" xfId="0" applyFont="1" applyFill="1" applyBorder="1" applyAlignment="1">
      <alignment horizontal="center" vertical="center"/>
    </xf>
    <xf numFmtId="174" fontId="15" fillId="19" borderId="1" xfId="0" applyNumberFormat="1" applyFont="1" applyFill="1" applyBorder="1" applyAlignment="1">
      <alignment horizontal="center"/>
    </xf>
    <xf numFmtId="0" fontId="15" fillId="19" borderId="1" xfId="0" applyFont="1" applyFill="1" applyBorder="1" applyAlignment="1">
      <alignment horizontal="center"/>
    </xf>
    <xf numFmtId="0" fontId="15" fillId="25" borderId="1" xfId="0" applyFont="1" applyFill="1" applyBorder="1"/>
    <xf numFmtId="0" fontId="10" fillId="25" borderId="1" xfId="0" applyFont="1" applyFill="1" applyBorder="1" applyAlignment="1">
      <alignment vertical="center"/>
    </xf>
    <xf numFmtId="0" fontId="10" fillId="25" borderId="1" xfId="0" applyFont="1" applyFill="1" applyBorder="1" applyAlignment="1">
      <alignment horizontal="center" vertical="center"/>
    </xf>
    <xf numFmtId="9" fontId="10" fillId="10" borderId="1" xfId="0" applyNumberFormat="1" applyFont="1" applyFill="1" applyBorder="1" applyAlignment="1">
      <alignment horizontal="center" vertical="center"/>
    </xf>
    <xf numFmtId="164" fontId="10" fillId="10" borderId="1" xfId="1" applyNumberFormat="1" applyFont="1" applyFill="1" applyBorder="1" applyAlignment="1">
      <alignment vertical="center"/>
    </xf>
    <xf numFmtId="164" fontId="10" fillId="26" borderId="1" xfId="0" applyNumberFormat="1" applyFont="1" applyFill="1" applyBorder="1" applyAlignment="1">
      <alignment vertical="center"/>
    </xf>
    <xf numFmtId="14" fontId="10" fillId="26" borderId="1" xfId="0" applyNumberFormat="1" applyFont="1" applyFill="1" applyBorder="1" applyAlignment="1">
      <alignment vertical="center"/>
    </xf>
    <xf numFmtId="0" fontId="10" fillId="26" borderId="1" xfId="0" applyFont="1" applyFill="1" applyBorder="1" applyAlignment="1">
      <alignment horizontal="center" vertical="center"/>
    </xf>
    <xf numFmtId="168" fontId="10" fillId="2" borderId="1" xfId="0" applyNumberFormat="1" applyFont="1" applyFill="1" applyBorder="1" applyAlignment="1">
      <alignment horizontal="center" vertical="center"/>
    </xf>
    <xf numFmtId="168" fontId="10" fillId="19" borderId="1" xfId="0" applyNumberFormat="1" applyFont="1" applyFill="1" applyBorder="1" applyAlignment="1">
      <alignment horizontal="center" vertical="center"/>
    </xf>
    <xf numFmtId="14" fontId="10" fillId="26" borderId="9" xfId="0" applyNumberFormat="1" applyFont="1" applyFill="1" applyBorder="1" applyAlignment="1">
      <alignment vertical="center"/>
    </xf>
    <xf numFmtId="0" fontId="10" fillId="19" borderId="1" xfId="0" applyFont="1" applyFill="1" applyBorder="1" applyAlignment="1">
      <alignment horizontal="center" vertical="center"/>
    </xf>
    <xf numFmtId="174" fontId="10" fillId="19" borderId="1" xfId="0" applyNumberFormat="1" applyFont="1" applyFill="1" applyBorder="1" applyAlignment="1">
      <alignment horizontal="center" vertical="center"/>
    </xf>
    <xf numFmtId="14" fontId="10" fillId="26" borderId="1" xfId="0" applyNumberFormat="1" applyFont="1" applyFill="1" applyBorder="1" applyAlignment="1">
      <alignment horizontal="center" vertical="center"/>
    </xf>
    <xf numFmtId="164" fontId="37" fillId="26" borderId="1" xfId="0" applyNumberFormat="1" applyFont="1" applyFill="1" applyBorder="1" applyAlignment="1">
      <alignment vertical="center"/>
    </xf>
    <xf numFmtId="14" fontId="37" fillId="26" borderId="1" xfId="0" applyNumberFormat="1" applyFont="1" applyFill="1" applyBorder="1" applyAlignment="1">
      <alignment vertical="center"/>
    </xf>
    <xf numFmtId="164" fontId="10" fillId="25" borderId="1" xfId="1" applyNumberFormat="1" applyFont="1" applyFill="1" applyBorder="1" applyAlignment="1">
      <alignment horizontal="right"/>
    </xf>
    <xf numFmtId="164" fontId="10" fillId="26" borderId="1" xfId="0" applyNumberFormat="1" applyFont="1" applyFill="1" applyBorder="1" applyAlignment="1">
      <alignment horizontal="center" vertical="center"/>
    </xf>
    <xf numFmtId="164" fontId="10" fillId="2" borderId="1" xfId="0" applyNumberFormat="1" applyFont="1" applyFill="1" applyBorder="1" applyAlignment="1">
      <alignment horizontal="center" vertical="center"/>
    </xf>
    <xf numFmtId="0" fontId="10" fillId="25" borderId="1" xfId="0" applyFont="1" applyFill="1" applyBorder="1" applyAlignment="1">
      <alignment horizontal="right"/>
    </xf>
    <xf numFmtId="164" fontId="10" fillId="0" borderId="1" xfId="1" applyNumberFormat="1" applyFont="1" applyBorder="1" applyAlignment="1">
      <alignment horizontal="right"/>
    </xf>
    <xf numFmtId="164" fontId="10" fillId="4" borderId="1" xfId="0" applyNumberFormat="1" applyFont="1" applyFill="1" applyBorder="1" applyAlignment="1">
      <alignment horizontal="center" vertical="center"/>
    </xf>
    <xf numFmtId="168" fontId="10" fillId="0" borderId="1" xfId="0" applyNumberFormat="1" applyFont="1" applyBorder="1" applyAlignment="1">
      <alignment horizontal="left" vertical="center"/>
    </xf>
    <xf numFmtId="174" fontId="10" fillId="0" borderId="1" xfId="0" applyNumberFormat="1" applyFont="1" applyBorder="1" applyAlignment="1">
      <alignment horizontal="center" vertical="center"/>
    </xf>
    <xf numFmtId="168" fontId="10" fillId="4" borderId="1" xfId="0" applyNumberFormat="1" applyFont="1" applyFill="1" applyBorder="1" applyAlignment="1">
      <alignment horizontal="center" vertical="center"/>
    </xf>
    <xf numFmtId="168" fontId="10" fillId="4" borderId="1" xfId="0" applyNumberFormat="1" applyFont="1" applyFill="1" applyBorder="1" applyAlignment="1">
      <alignment vertical="center"/>
    </xf>
    <xf numFmtId="168" fontId="10" fillId="0" borderId="4" xfId="0" applyNumberFormat="1" applyFont="1" applyBorder="1" applyAlignment="1">
      <alignment horizontal="left" vertical="center"/>
    </xf>
    <xf numFmtId="174" fontId="10" fillId="0" borderId="4" xfId="0" applyNumberFormat="1" applyFont="1" applyBorder="1" applyAlignment="1">
      <alignment horizontal="center" vertical="center"/>
    </xf>
    <xf numFmtId="0" fontId="37" fillId="0" borderId="4" xfId="0" applyFont="1" applyBorder="1" applyAlignment="1">
      <alignment horizontal="center" vertical="center"/>
    </xf>
    <xf numFmtId="0" fontId="37" fillId="0" borderId="4" xfId="0" applyFont="1" applyBorder="1" applyAlignment="1">
      <alignment horizontal="right"/>
    </xf>
    <xf numFmtId="9" fontId="10" fillId="10" borderId="4" xfId="0" applyNumberFormat="1" applyFont="1" applyFill="1" applyBorder="1" applyAlignment="1">
      <alignment horizontal="center" vertical="center"/>
    </xf>
    <xf numFmtId="164" fontId="10" fillId="3" borderId="4" xfId="0" applyNumberFormat="1" applyFont="1" applyFill="1" applyBorder="1" applyAlignment="1">
      <alignment horizontal="center" vertical="center"/>
    </xf>
    <xf numFmtId="164" fontId="37" fillId="6" borderId="4" xfId="0" applyNumberFormat="1" applyFont="1" applyFill="1" applyBorder="1" applyAlignment="1">
      <alignment vertical="center"/>
    </xf>
    <xf numFmtId="168" fontId="10" fillId="0" borderId="4" xfId="0" applyNumberFormat="1" applyFont="1" applyBorder="1" applyAlignment="1">
      <alignment vertical="center"/>
    </xf>
    <xf numFmtId="164" fontId="10" fillId="0" borderId="4" xfId="0" applyNumberFormat="1" applyFont="1" applyBorder="1" applyAlignment="1">
      <alignment horizontal="center" vertical="center"/>
    </xf>
    <xf numFmtId="174" fontId="10" fillId="0" borderId="0" xfId="0" applyNumberFormat="1" applyFont="1" applyAlignment="1">
      <alignment horizontal="center" vertical="center"/>
    </xf>
    <xf numFmtId="0" fontId="10" fillId="0" borderId="0" xfId="0" applyFont="1" applyAlignment="1">
      <alignment horizontal="right"/>
    </xf>
    <xf numFmtId="168" fontId="10" fillId="0" borderId="0" xfId="0" applyNumberFormat="1" applyFont="1" applyAlignment="1">
      <alignment vertical="center"/>
    </xf>
    <xf numFmtId="0" fontId="18" fillId="0" borderId="3" xfId="0" applyFont="1" applyBorder="1" applyAlignment="1">
      <alignment horizontal="left" vertical="center"/>
    </xf>
    <xf numFmtId="0" fontId="32" fillId="2" borderId="13" xfId="0" applyFont="1" applyFill="1" applyBorder="1" applyAlignment="1">
      <alignment horizontal="center"/>
    </xf>
    <xf numFmtId="166" fontId="32" fillId="2" borderId="13" xfId="1" applyNumberFormat="1" applyFont="1" applyFill="1" applyBorder="1" applyAlignment="1">
      <alignment horizontal="center"/>
    </xf>
    <xf numFmtId="0" fontId="18" fillId="0" borderId="3" xfId="0" applyFont="1" applyBorder="1" applyAlignment="1">
      <alignment horizontal="center"/>
    </xf>
    <xf numFmtId="166" fontId="18" fillId="0" borderId="3" xfId="1" applyNumberFormat="1" applyFont="1" applyBorder="1"/>
    <xf numFmtId="166" fontId="42" fillId="21" borderId="0" xfId="4" applyNumberFormat="1" applyFont="1" applyFill="1" applyBorder="1"/>
    <xf numFmtId="0" fontId="18" fillId="0" borderId="0" xfId="0" applyFont="1" applyAlignment="1">
      <alignment horizontal="left"/>
    </xf>
    <xf numFmtId="0" fontId="18" fillId="4" borderId="1" xfId="0" applyFont="1" applyFill="1" applyBorder="1" applyAlignment="1">
      <alignment horizontal="left"/>
    </xf>
    <xf numFmtId="16" fontId="18" fillId="4" borderId="1" xfId="0" applyNumberFormat="1" applyFont="1" applyFill="1" applyBorder="1"/>
    <xf numFmtId="0" fontId="46" fillId="2" borderId="0" xfId="0" applyFont="1" applyFill="1" applyAlignment="1">
      <alignment horizontal="left" vertical="center"/>
    </xf>
    <xf numFmtId="0" fontId="46" fillId="2" borderId="0" xfId="0" applyFont="1" applyFill="1" applyBorder="1" applyAlignment="1">
      <alignment horizontal="center" vertical="center"/>
    </xf>
    <xf numFmtId="0" fontId="24" fillId="0" borderId="0" xfId="0" applyFont="1" applyAlignment="1">
      <alignment vertical="center"/>
    </xf>
    <xf numFmtId="0" fontId="24" fillId="0" borderId="0" xfId="0" applyFont="1" applyAlignment="1">
      <alignment horizontal="center" vertical="center"/>
    </xf>
    <xf numFmtId="0" fontId="17" fillId="0" borderId="0" xfId="0" applyFont="1" applyAlignment="1">
      <alignment vertical="center"/>
    </xf>
    <xf numFmtId="0" fontId="33" fillId="0" borderId="0" xfId="0" applyFont="1" applyAlignment="1">
      <alignment horizontal="left" vertical="center"/>
    </xf>
    <xf numFmtId="0" fontId="33" fillId="0" borderId="0" xfId="0" applyFont="1" applyAlignment="1">
      <alignment vertical="center"/>
    </xf>
    <xf numFmtId="164" fontId="17" fillId="0" borderId="0" xfId="1" applyNumberFormat="1" applyFont="1" applyAlignment="1">
      <alignment vertical="center"/>
    </xf>
    <xf numFmtId="0" fontId="17" fillId="0" borderId="0" xfId="0" applyFont="1" applyAlignment="1">
      <alignment horizontal="center" vertical="center"/>
    </xf>
    <xf numFmtId="0" fontId="17" fillId="0" borderId="0" xfId="0" applyFont="1" applyAlignment="1">
      <alignment horizontal="left" vertical="center"/>
    </xf>
    <xf numFmtId="164" fontId="33" fillId="0" borderId="0" xfId="1" applyNumberFormat="1" applyFont="1" applyAlignment="1">
      <alignment vertical="center"/>
    </xf>
    <xf numFmtId="0" fontId="17" fillId="0" borderId="1" xfId="0" applyFont="1" applyBorder="1" applyAlignment="1">
      <alignment horizontal="left" vertical="center"/>
    </xf>
    <xf numFmtId="0" fontId="17" fillId="0" borderId="1" xfId="0" applyFont="1" applyBorder="1" applyAlignment="1">
      <alignment vertical="center"/>
    </xf>
    <xf numFmtId="0" fontId="33" fillId="0" borderId="1" xfId="0" applyFont="1" applyBorder="1" applyAlignment="1">
      <alignment vertical="center"/>
    </xf>
    <xf numFmtId="164" fontId="33" fillId="0" borderId="1" xfId="1" applyNumberFormat="1" applyFont="1" applyBorder="1" applyAlignment="1">
      <alignment vertical="center"/>
    </xf>
    <xf numFmtId="164" fontId="17" fillId="0" borderId="1" xfId="1" applyNumberFormat="1" applyFont="1" applyBorder="1" applyAlignment="1">
      <alignment vertical="center"/>
    </xf>
    <xf numFmtId="0" fontId="17" fillId="0" borderId="0" xfId="0" applyFont="1" applyBorder="1" applyAlignment="1">
      <alignment horizontal="left" vertical="center"/>
    </xf>
    <xf numFmtId="0" fontId="17" fillId="0" borderId="0" xfId="0" applyFont="1" applyBorder="1" applyAlignment="1">
      <alignment vertical="center"/>
    </xf>
    <xf numFmtId="0" fontId="33" fillId="0" borderId="0" xfId="0" applyFont="1" applyBorder="1" applyAlignment="1">
      <alignment vertical="center"/>
    </xf>
    <xf numFmtId="164" fontId="17" fillId="0" borderId="0" xfId="1" applyNumberFormat="1" applyFont="1" applyBorder="1" applyAlignment="1">
      <alignment vertical="center"/>
    </xf>
    <xf numFmtId="164" fontId="33" fillId="0" borderId="0" xfId="1" applyNumberFormat="1" applyFont="1" applyBorder="1" applyAlignment="1">
      <alignment vertical="center"/>
    </xf>
    <xf numFmtId="0" fontId="33" fillId="0" borderId="1" xfId="0" applyFont="1" applyBorder="1" applyAlignment="1">
      <alignment horizontal="left" vertical="center"/>
    </xf>
    <xf numFmtId="0" fontId="17" fillId="2" borderId="1" xfId="0" applyFont="1" applyFill="1" applyBorder="1" applyAlignment="1">
      <alignment horizontal="left" vertical="center"/>
    </xf>
    <xf numFmtId="0" fontId="17" fillId="2" borderId="1" xfId="0" applyFont="1" applyFill="1" applyBorder="1" applyAlignment="1">
      <alignment vertical="center"/>
    </xf>
    <xf numFmtId="0" fontId="17" fillId="4" borderId="1" xfId="0" applyFont="1" applyFill="1" applyBorder="1" applyAlignment="1">
      <alignment vertical="center"/>
    </xf>
    <xf numFmtId="164" fontId="33" fillId="0" borderId="9" xfId="1" applyNumberFormat="1" applyFont="1" applyBorder="1" applyAlignment="1">
      <alignment vertical="center"/>
    </xf>
    <xf numFmtId="0" fontId="17" fillId="0" borderId="13" xfId="0" applyFont="1" applyBorder="1" applyAlignment="1">
      <alignment horizontal="left" vertical="center"/>
    </xf>
    <xf numFmtId="0" fontId="17" fillId="0" borderId="13" xfId="0" applyFont="1" applyBorder="1" applyAlignment="1">
      <alignment vertical="center"/>
    </xf>
    <xf numFmtId="0" fontId="30" fillId="4" borderId="1" xfId="0" applyFont="1" applyFill="1" applyBorder="1" applyAlignment="1">
      <alignment horizontal="center"/>
    </xf>
    <xf numFmtId="0" fontId="18" fillId="4" borderId="1" xfId="0" applyFont="1" applyFill="1" applyBorder="1" applyAlignment="1"/>
    <xf numFmtId="0" fontId="17" fillId="2" borderId="0" xfId="0" applyFont="1" applyFill="1" applyAlignment="1">
      <alignment horizontal="left" vertical="center"/>
    </xf>
    <xf numFmtId="0" fontId="17" fillId="8" borderId="0" xfId="0" applyFont="1" applyFill="1" applyAlignment="1">
      <alignment horizontal="left" vertical="center"/>
    </xf>
    <xf numFmtId="0" fontId="17" fillId="18" borderId="0" xfId="0" applyFont="1" applyFill="1" applyAlignment="1">
      <alignment horizontal="left" vertical="center"/>
    </xf>
    <xf numFmtId="0" fontId="17" fillId="18" borderId="0" xfId="0" applyFont="1" applyFill="1" applyAlignment="1">
      <alignment vertical="center"/>
    </xf>
    <xf numFmtId="0" fontId="18" fillId="0" borderId="0" xfId="0" pivotButton="1" applyFont="1" applyAlignment="1">
      <alignment horizontal="center"/>
    </xf>
    <xf numFmtId="164" fontId="19" fillId="12" borderId="43" xfId="1" applyNumberFormat="1" applyFont="1" applyFill="1" applyBorder="1" applyAlignment="1">
      <alignment horizontal="right" wrapText="1"/>
    </xf>
    <xf numFmtId="164" fontId="10" fillId="25" borderId="1" xfId="1" applyNumberFormat="1" applyFont="1" applyFill="1" applyBorder="1" applyAlignment="1">
      <alignment horizontal="center" vertical="center"/>
    </xf>
    <xf numFmtId="164" fontId="37" fillId="0" borderId="4" xfId="1" applyNumberFormat="1" applyFont="1" applyBorder="1" applyAlignment="1">
      <alignment horizontal="right"/>
    </xf>
    <xf numFmtId="164" fontId="10" fillId="0" borderId="0" xfId="1" applyNumberFormat="1" applyFont="1" applyAlignment="1">
      <alignment horizontal="right"/>
    </xf>
    <xf numFmtId="0" fontId="18" fillId="0" borderId="0" xfId="0" pivotButton="1" applyFont="1"/>
    <xf numFmtId="0" fontId="34" fillId="11" borderId="1" xfId="8" applyFont="1" applyBorder="1">
      <alignment horizontal="center"/>
    </xf>
    <xf numFmtId="0" fontId="34" fillId="11" borderId="1" xfId="8" applyFont="1" applyBorder="1" applyAlignment="1">
      <alignment horizontal="center"/>
    </xf>
    <xf numFmtId="175" fontId="18" fillId="0" borderId="0" xfId="0" applyNumberFormat="1" applyFont="1"/>
    <xf numFmtId="164" fontId="2" fillId="21" borderId="39" xfId="4" applyNumberFormat="1" applyFont="1" applyFill="1" applyBorder="1"/>
    <xf numFmtId="166" fontId="42" fillId="21" borderId="40" xfId="4" applyNumberFormat="1" applyFont="1" applyFill="1" applyBorder="1"/>
    <xf numFmtId="0" fontId="18" fillId="0" borderId="1" xfId="0" applyFont="1" applyBorder="1" applyAlignment="1">
      <alignment horizontal="center"/>
    </xf>
    <xf numFmtId="174" fontId="18" fillId="0" borderId="0" xfId="0" applyNumberFormat="1" applyFont="1" applyAlignment="1">
      <alignment horizontal="right"/>
    </xf>
    <xf numFmtId="176" fontId="18" fillId="0" borderId="0" xfId="0" applyNumberFormat="1" applyFont="1"/>
    <xf numFmtId="174" fontId="18" fillId="0" borderId="0" xfId="0" pivotButton="1" applyNumberFormat="1" applyFont="1" applyAlignment="1">
      <alignment horizontal="right"/>
    </xf>
    <xf numFmtId="177" fontId="10" fillId="4" borderId="1" xfId="0" applyNumberFormat="1" applyFont="1" applyFill="1" applyBorder="1" applyAlignment="1">
      <alignment horizontal="center" vertical="center"/>
    </xf>
    <xf numFmtId="0" fontId="15" fillId="4" borderId="1" xfId="0" applyFont="1" applyFill="1" applyBorder="1" applyAlignment="1">
      <alignment horizontal="left"/>
    </xf>
    <xf numFmtId="174" fontId="15" fillId="4" borderId="1" xfId="0" applyNumberFormat="1" applyFont="1" applyFill="1" applyBorder="1" applyAlignment="1">
      <alignment horizontal="center"/>
    </xf>
    <xf numFmtId="14" fontId="10" fillId="2" borderId="1" xfId="0" applyNumberFormat="1" applyFont="1" applyFill="1" applyBorder="1" applyAlignment="1">
      <alignment horizontal="center" vertical="center"/>
    </xf>
    <xf numFmtId="174" fontId="10" fillId="4" borderId="1" xfId="0" applyNumberFormat="1" applyFont="1" applyFill="1" applyBorder="1" applyAlignment="1">
      <alignment horizontal="center" vertical="center"/>
    </xf>
    <xf numFmtId="0" fontId="10" fillId="25" borderId="1" xfId="0" applyFont="1" applyFill="1" applyBorder="1" applyAlignment="1">
      <alignment horizontal="center" vertical="center" wrapText="1"/>
    </xf>
    <xf numFmtId="14" fontId="10" fillId="0" borderId="1" xfId="0" applyNumberFormat="1" applyFont="1" applyBorder="1" applyAlignment="1">
      <alignment vertical="center"/>
    </xf>
    <xf numFmtId="0" fontId="19" fillId="13" borderId="43" xfId="0" applyFont="1" applyFill="1" applyBorder="1" applyAlignment="1">
      <alignment horizontal="center" vertical="center"/>
    </xf>
    <xf numFmtId="177" fontId="19" fillId="13" borderId="43" xfId="0" applyNumberFormat="1" applyFont="1" applyFill="1" applyBorder="1" applyAlignment="1">
      <alignment horizontal="center" vertical="center" wrapText="1"/>
    </xf>
    <xf numFmtId="0" fontId="19" fillId="13" borderId="43" xfId="0" applyFont="1" applyFill="1" applyBorder="1" applyAlignment="1">
      <alignment horizontal="left" vertical="center"/>
    </xf>
    <xf numFmtId="174" fontId="19" fillId="13" borderId="43" xfId="0" applyNumberFormat="1" applyFont="1" applyFill="1" applyBorder="1" applyAlignment="1">
      <alignment horizontal="center" vertical="center"/>
    </xf>
    <xf numFmtId="14" fontId="19" fillId="12" borderId="43" xfId="0" applyNumberFormat="1" applyFont="1" applyFill="1" applyBorder="1" applyAlignment="1">
      <alignment horizontal="center" vertical="center" wrapText="1"/>
    </xf>
    <xf numFmtId="9" fontId="10" fillId="10" borderId="13" xfId="0" applyNumberFormat="1" applyFont="1" applyFill="1" applyBorder="1" applyAlignment="1">
      <alignment horizontal="center" vertical="center"/>
    </xf>
    <xf numFmtId="164" fontId="10" fillId="10" borderId="13" xfId="1" applyNumberFormat="1" applyFont="1" applyFill="1" applyBorder="1" applyAlignment="1">
      <alignment vertical="center"/>
    </xf>
    <xf numFmtId="0" fontId="18" fillId="0" borderId="0" xfId="0" applyFont="1" applyAlignment="1">
      <alignment vertical="center" wrapText="1"/>
    </xf>
    <xf numFmtId="177" fontId="10" fillId="4" borderId="0" xfId="0" applyNumberFormat="1" applyFont="1" applyFill="1" applyAlignment="1">
      <alignment horizontal="center" vertical="center"/>
    </xf>
    <xf numFmtId="174" fontId="10" fillId="4" borderId="0" xfId="0" applyNumberFormat="1" applyFont="1" applyFill="1" applyAlignment="1">
      <alignment horizontal="center" vertical="center"/>
    </xf>
    <xf numFmtId="14" fontId="10" fillId="4" borderId="1" xfId="0" applyNumberFormat="1" applyFont="1" applyFill="1" applyBorder="1" applyAlignment="1">
      <alignment horizontal="center" vertical="center"/>
    </xf>
    <xf numFmtId="14" fontId="11" fillId="14" borderId="1" xfId="0" applyNumberFormat="1" applyFont="1" applyFill="1" applyBorder="1" applyAlignment="1">
      <alignment horizontal="center" vertical="center"/>
    </xf>
    <xf numFmtId="14" fontId="11" fillId="7" borderId="1" xfId="0" applyNumberFormat="1" applyFont="1" applyFill="1" applyBorder="1" applyAlignment="1">
      <alignment horizontal="center" vertical="center"/>
    </xf>
    <xf numFmtId="14" fontId="11" fillId="0" borderId="0" xfId="0" applyNumberFormat="1" applyFont="1" applyAlignment="1">
      <alignment horizontal="center" vertical="center"/>
    </xf>
    <xf numFmtId="14" fontId="18" fillId="0" borderId="0" xfId="0" applyNumberFormat="1" applyFont="1"/>
    <xf numFmtId="164" fontId="10" fillId="25" borderId="1" xfId="1" applyNumberFormat="1" applyFont="1" applyFill="1" applyBorder="1" applyAlignment="1">
      <alignment horizontal="left" indent="6"/>
    </xf>
    <xf numFmtId="164" fontId="10" fillId="25" borderId="1" xfId="1" applyNumberFormat="1" applyFont="1" applyFill="1" applyBorder="1" applyAlignment="1">
      <alignment horizontal="left" vertical="center" indent="6"/>
    </xf>
    <xf numFmtId="164" fontId="10" fillId="0" borderId="0" xfId="1" applyNumberFormat="1" applyFont="1" applyAlignment="1">
      <alignment horizontal="center" vertical="center"/>
    </xf>
    <xf numFmtId="14" fontId="19" fillId="2" borderId="43" xfId="0" applyNumberFormat="1" applyFont="1" applyFill="1" applyBorder="1" applyAlignment="1">
      <alignment horizontal="center" vertical="center" wrapText="1"/>
    </xf>
    <xf numFmtId="14" fontId="10" fillId="2" borderId="1" xfId="0" applyNumberFormat="1" applyFont="1" applyFill="1" applyBorder="1" applyAlignment="1">
      <alignment vertical="center"/>
    </xf>
    <xf numFmtId="14" fontId="10" fillId="2" borderId="0" xfId="0" applyNumberFormat="1" applyFont="1" applyFill="1" applyAlignment="1">
      <alignment vertical="center"/>
    </xf>
    <xf numFmtId="14" fontId="19" fillId="13" borderId="43" xfId="0" applyNumberFormat="1" applyFont="1" applyFill="1" applyBorder="1" applyAlignment="1">
      <alignment horizontal="center" vertical="center" wrapText="1"/>
    </xf>
    <xf numFmtId="14" fontId="0" fillId="0" borderId="0" xfId="0" applyNumberFormat="1"/>
    <xf numFmtId="9" fontId="10" fillId="4" borderId="1" xfId="0" applyNumberFormat="1" applyFont="1" applyFill="1" applyBorder="1" applyAlignment="1">
      <alignment horizontal="center" vertical="center"/>
    </xf>
    <xf numFmtId="178" fontId="18" fillId="0" borderId="0" xfId="1" applyNumberFormat="1" applyFont="1"/>
    <xf numFmtId="172" fontId="32" fillId="2" borderId="15" xfId="0" applyNumberFormat="1" applyFont="1" applyFill="1" applyBorder="1" applyAlignment="1">
      <alignment horizontal="center"/>
    </xf>
    <xf numFmtId="178" fontId="32" fillId="2" borderId="13" xfId="1" applyNumberFormat="1" applyFont="1" applyFill="1" applyBorder="1" applyAlignment="1">
      <alignment horizontal="center"/>
    </xf>
    <xf numFmtId="166" fontId="32" fillId="2" borderId="6" xfId="1" applyNumberFormat="1" applyFont="1" applyFill="1" applyBorder="1" applyAlignment="1">
      <alignment horizontal="center"/>
    </xf>
    <xf numFmtId="179" fontId="32" fillId="2" borderId="13" xfId="1" applyNumberFormat="1" applyFont="1" applyFill="1" applyBorder="1" applyAlignment="1">
      <alignment horizontal="center"/>
    </xf>
    <xf numFmtId="179" fontId="18" fillId="0" borderId="0" xfId="0" applyNumberFormat="1" applyFont="1"/>
    <xf numFmtId="0" fontId="18" fillId="17" borderId="1" xfId="0" applyFont="1" applyFill="1" applyBorder="1"/>
    <xf numFmtId="166" fontId="18" fillId="17" borderId="1" xfId="1" applyNumberFormat="1" applyFont="1" applyFill="1" applyBorder="1"/>
    <xf numFmtId="178" fontId="18" fillId="17" borderId="1" xfId="10" applyNumberFormat="1" applyFont="1" applyFill="1" applyBorder="1"/>
    <xf numFmtId="166" fontId="18" fillId="17" borderId="8" xfId="0" applyNumberFormat="1" applyFont="1" applyFill="1" applyBorder="1"/>
    <xf numFmtId="179" fontId="18" fillId="17" borderId="1" xfId="1" applyNumberFormat="1" applyFont="1" applyFill="1" applyBorder="1"/>
    <xf numFmtId="0" fontId="18" fillId="17" borderId="1" xfId="0" applyFont="1" applyFill="1" applyBorder="1" applyAlignment="1">
      <alignment horizontal="center"/>
    </xf>
    <xf numFmtId="172" fontId="18" fillId="17" borderId="1" xfId="0" applyNumberFormat="1" applyFont="1" applyFill="1" applyBorder="1"/>
    <xf numFmtId="172" fontId="18" fillId="17" borderId="9" xfId="0" applyNumberFormat="1" applyFont="1" applyFill="1" applyBorder="1"/>
    <xf numFmtId="0" fontId="18" fillId="17" borderId="0" xfId="0" applyFont="1" applyFill="1"/>
    <xf numFmtId="172" fontId="18" fillId="4" borderId="1" xfId="0" applyNumberFormat="1" applyFont="1" applyFill="1" applyBorder="1"/>
    <xf numFmtId="172" fontId="18" fillId="4" borderId="9" xfId="0" applyNumberFormat="1" applyFont="1" applyFill="1" applyBorder="1"/>
    <xf numFmtId="178" fontId="18" fillId="4" borderId="1" xfId="10" applyNumberFormat="1" applyFont="1" applyFill="1" applyBorder="1"/>
    <xf numFmtId="166" fontId="18" fillId="4" borderId="8" xfId="0" applyNumberFormat="1" applyFont="1" applyFill="1" applyBorder="1"/>
    <xf numFmtId="166" fontId="18" fillId="4" borderId="13" xfId="1" applyNumberFormat="1" applyFont="1" applyFill="1" applyBorder="1"/>
    <xf numFmtId="179" fontId="18" fillId="4" borderId="13" xfId="1" applyNumberFormat="1" applyFont="1" applyFill="1" applyBorder="1"/>
    <xf numFmtId="179" fontId="18" fillId="4" borderId="1" xfId="1" applyNumberFormat="1" applyFont="1" applyFill="1" applyBorder="1"/>
    <xf numFmtId="173" fontId="18" fillId="4" borderId="1" xfId="0" applyNumberFormat="1" applyFont="1" applyFill="1" applyBorder="1"/>
    <xf numFmtId="178" fontId="18" fillId="4" borderId="1" xfId="1" applyNumberFormat="1" applyFont="1" applyFill="1" applyBorder="1"/>
    <xf numFmtId="0" fontId="18" fillId="4" borderId="8" xfId="0" applyFont="1" applyFill="1" applyBorder="1"/>
    <xf numFmtId="14" fontId="18" fillId="4" borderId="1" xfId="0" applyNumberFormat="1" applyFont="1" applyFill="1" applyBorder="1"/>
    <xf numFmtId="172" fontId="18" fillId="4" borderId="12" xfId="0" applyNumberFormat="1" applyFont="1" applyFill="1" applyBorder="1"/>
    <xf numFmtId="0" fontId="18" fillId="4" borderId="3" xfId="0" applyFont="1" applyFill="1" applyBorder="1"/>
    <xf numFmtId="166" fontId="27" fillId="4" borderId="3" xfId="1" applyNumberFormat="1" applyFont="1" applyFill="1" applyBorder="1"/>
    <xf numFmtId="178" fontId="27" fillId="4" borderId="3" xfId="1" applyNumberFormat="1" applyFont="1" applyFill="1" applyBorder="1"/>
    <xf numFmtId="166" fontId="27" fillId="4" borderId="11" xfId="1" applyNumberFormat="1" applyFont="1" applyFill="1" applyBorder="1"/>
    <xf numFmtId="179" fontId="18" fillId="4" borderId="3" xfId="1" applyNumberFormat="1" applyFont="1" applyFill="1" applyBorder="1"/>
    <xf numFmtId="3" fontId="19" fillId="12" borderId="43" xfId="0" applyNumberFormat="1" applyFont="1" applyFill="1" applyBorder="1" applyAlignment="1">
      <alignment horizontal="right" wrapText="1"/>
    </xf>
    <xf numFmtId="0" fontId="19" fillId="12" borderId="43" xfId="0" applyFont="1" applyFill="1" applyBorder="1" applyAlignment="1">
      <alignment horizontal="center" wrapText="1"/>
    </xf>
    <xf numFmtId="164" fontId="10" fillId="4" borderId="1" xfId="1" applyNumberFormat="1" applyFont="1" applyFill="1" applyBorder="1" applyAlignment="1">
      <alignment horizontal="center"/>
    </xf>
    <xf numFmtId="0" fontId="10" fillId="6" borderId="1" xfId="0" applyFont="1" applyFill="1" applyBorder="1" applyAlignment="1">
      <alignment horizontal="center" vertical="center"/>
    </xf>
    <xf numFmtId="177" fontId="10" fillId="6" borderId="1" xfId="0" applyNumberFormat="1" applyFont="1" applyFill="1" applyBorder="1" applyAlignment="1">
      <alignment horizontal="center" vertical="center"/>
    </xf>
    <xf numFmtId="174" fontId="10" fillId="6" borderId="1" xfId="0" applyNumberFormat="1" applyFont="1" applyFill="1" applyBorder="1" applyAlignment="1">
      <alignment horizontal="center" vertical="center"/>
    </xf>
    <xf numFmtId="0" fontId="15" fillId="6" borderId="1" xfId="0" applyFont="1" applyFill="1" applyBorder="1"/>
    <xf numFmtId="9" fontId="10" fillId="6" borderId="1" xfId="0" applyNumberFormat="1" applyFont="1" applyFill="1" applyBorder="1" applyAlignment="1">
      <alignment horizontal="center" vertical="center"/>
    </xf>
    <xf numFmtId="164" fontId="10" fillId="6" borderId="1" xfId="1" applyNumberFormat="1" applyFont="1" applyFill="1" applyBorder="1" applyAlignment="1">
      <alignment vertical="center"/>
    </xf>
    <xf numFmtId="164" fontId="10" fillId="6" borderId="1" xfId="0" applyNumberFormat="1" applyFont="1" applyFill="1" applyBorder="1" applyAlignment="1">
      <alignment horizontal="center" vertical="center"/>
    </xf>
    <xf numFmtId="14" fontId="10" fillId="6" borderId="1" xfId="0" applyNumberFormat="1" applyFont="1" applyFill="1" applyBorder="1" applyAlignment="1">
      <alignment horizontal="center" vertical="center"/>
    </xf>
    <xf numFmtId="0" fontId="10" fillId="6" borderId="0" xfId="0" applyFont="1" applyFill="1" applyAlignment="1">
      <alignment vertical="center"/>
    </xf>
    <xf numFmtId="3" fontId="10" fillId="6" borderId="1" xfId="1" applyNumberFormat="1" applyFont="1" applyFill="1" applyBorder="1" applyAlignment="1">
      <alignment horizontal="right"/>
    </xf>
    <xf numFmtId="164" fontId="10" fillId="6" borderId="1" xfId="1" applyNumberFormat="1" applyFont="1" applyFill="1" applyBorder="1" applyAlignment="1">
      <alignment horizontal="center"/>
    </xf>
    <xf numFmtId="14" fontId="10" fillId="6" borderId="1" xfId="0" applyNumberFormat="1" applyFont="1" applyFill="1" applyBorder="1" applyAlignment="1">
      <alignment vertical="center"/>
    </xf>
    <xf numFmtId="14" fontId="10" fillId="4" borderId="1" xfId="0" applyNumberFormat="1" applyFont="1" applyFill="1" applyBorder="1" applyAlignment="1">
      <alignment horizontal="center" vertical="center"/>
    </xf>
    <xf numFmtId="14" fontId="10" fillId="4" borderId="1" xfId="0" applyNumberFormat="1" applyFont="1" applyFill="1" applyBorder="1" applyAlignment="1">
      <alignment vertical="center"/>
    </xf>
    <xf numFmtId="3" fontId="10" fillId="0" borderId="0" xfId="0" applyNumberFormat="1" applyFont="1" applyAlignment="1">
      <alignment horizontal="right"/>
    </xf>
    <xf numFmtId="0" fontId="10" fillId="0" borderId="0" xfId="0" applyFont="1" applyAlignment="1">
      <alignment horizontal="center"/>
    </xf>
    <xf numFmtId="177" fontId="18" fillId="0" borderId="0" xfId="0" applyNumberFormat="1" applyFont="1"/>
    <xf numFmtId="0" fontId="18" fillId="0" borderId="1" xfId="0" applyFont="1" applyBorder="1" applyAlignment="1">
      <alignment horizontal="center"/>
    </xf>
    <xf numFmtId="172" fontId="18" fillId="0" borderId="9" xfId="0" applyNumberFormat="1" applyFont="1" applyBorder="1"/>
    <xf numFmtId="178" fontId="18" fillId="0" borderId="1" xfId="1" applyNumberFormat="1" applyFont="1" applyBorder="1"/>
    <xf numFmtId="166" fontId="18" fillId="0" borderId="8" xfId="0" applyNumberFormat="1" applyFont="1" applyBorder="1"/>
    <xf numFmtId="179" fontId="18" fillId="0" borderId="1" xfId="1" applyNumberFormat="1" applyFont="1" applyBorder="1"/>
    <xf numFmtId="172" fontId="18" fillId="0" borderId="12" xfId="0" applyNumberFormat="1" applyFont="1" applyBorder="1"/>
    <xf numFmtId="178" fontId="18" fillId="0" borderId="3" xfId="1" applyNumberFormat="1" applyFont="1" applyBorder="1"/>
    <xf numFmtId="166" fontId="18" fillId="0" borderId="11" xfId="0" applyNumberFormat="1" applyFont="1" applyBorder="1"/>
    <xf numFmtId="179" fontId="18" fillId="0" borderId="3" xfId="1" applyNumberFormat="1" applyFont="1" applyBorder="1"/>
    <xf numFmtId="0" fontId="18" fillId="0" borderId="0" xfId="0" applyFont="1" applyAlignment="1">
      <alignment horizontal="center"/>
    </xf>
    <xf numFmtId="166" fontId="18" fillId="18" borderId="27" xfId="1" applyNumberFormat="1" applyFont="1" applyFill="1" applyBorder="1" applyAlignment="1">
      <alignment horizontal="center"/>
    </xf>
    <xf numFmtId="166" fontId="33" fillId="31" borderId="25" xfId="1" applyNumberFormat="1" applyFont="1" applyFill="1" applyBorder="1" applyAlignment="1">
      <alignment horizontal="center"/>
    </xf>
    <xf numFmtId="169" fontId="18" fillId="32" borderId="27" xfId="1" applyNumberFormat="1" applyFont="1" applyFill="1" applyBorder="1" applyAlignment="1">
      <alignment horizontal="center"/>
    </xf>
    <xf numFmtId="166" fontId="18" fillId="18" borderId="27" xfId="1" applyNumberFormat="1" applyFont="1" applyFill="1" applyBorder="1"/>
    <xf numFmtId="166" fontId="33" fillId="31" borderId="25" xfId="1" applyNumberFormat="1" applyFont="1" applyFill="1" applyBorder="1"/>
    <xf numFmtId="169" fontId="18" fillId="32" borderId="27" xfId="1" applyNumberFormat="1" applyFont="1" applyFill="1" applyBorder="1"/>
    <xf numFmtId="166" fontId="18" fillId="18" borderId="39" xfId="1" applyNumberFormat="1" applyFont="1" applyFill="1" applyBorder="1" applyAlignment="1">
      <alignment horizontal="center"/>
    </xf>
    <xf numFmtId="166" fontId="18" fillId="18" borderId="30" xfId="1" applyNumberFormat="1" applyFont="1" applyFill="1" applyBorder="1" applyAlignment="1">
      <alignment horizontal="center"/>
    </xf>
    <xf numFmtId="166" fontId="33" fillId="31" borderId="31" xfId="1" applyNumberFormat="1" applyFont="1" applyFill="1" applyBorder="1" applyAlignment="1">
      <alignment horizontal="center"/>
    </xf>
    <xf numFmtId="169" fontId="18" fillId="32" borderId="30" xfId="1" quotePrefix="1" applyNumberFormat="1" applyFont="1" applyFill="1" applyBorder="1" applyAlignment="1">
      <alignment horizontal="right"/>
    </xf>
    <xf numFmtId="166" fontId="18" fillId="18" borderId="26" xfId="1" applyNumberFormat="1" applyFont="1" applyFill="1" applyBorder="1" applyAlignment="1">
      <alignment horizontal="center"/>
    </xf>
    <xf numFmtId="166" fontId="33" fillId="31" borderId="28" xfId="1" applyNumberFormat="1" applyFont="1" applyFill="1" applyBorder="1" applyAlignment="1">
      <alignment horizontal="center"/>
    </xf>
    <xf numFmtId="166" fontId="18" fillId="18" borderId="30" xfId="1" applyNumberFormat="1" applyFont="1" applyFill="1" applyBorder="1"/>
    <xf numFmtId="166" fontId="33" fillId="31" borderId="31" xfId="1" applyNumberFormat="1" applyFont="1" applyFill="1" applyBorder="1"/>
    <xf numFmtId="169" fontId="18" fillId="32" borderId="30" xfId="1" applyNumberFormat="1" applyFont="1" applyFill="1" applyBorder="1"/>
    <xf numFmtId="169" fontId="18" fillId="32" borderId="30" xfId="1" applyNumberFormat="1" applyFont="1" applyFill="1" applyBorder="1" applyAlignment="1">
      <alignment horizontal="center"/>
    </xf>
    <xf numFmtId="166" fontId="18" fillId="18" borderId="39" xfId="1" applyNumberFormat="1" applyFont="1" applyFill="1" applyBorder="1"/>
    <xf numFmtId="166" fontId="33" fillId="31" borderId="44" xfId="1" applyNumberFormat="1" applyFont="1" applyFill="1" applyBorder="1"/>
    <xf numFmtId="169" fontId="18" fillId="32" borderId="39" xfId="1" applyNumberFormat="1" applyFont="1" applyFill="1" applyBorder="1"/>
    <xf numFmtId="166" fontId="18" fillId="18" borderId="50" xfId="1" applyNumberFormat="1" applyFont="1" applyFill="1" applyBorder="1" applyAlignment="1">
      <alignment horizontal="center"/>
    </xf>
    <xf numFmtId="166" fontId="33" fillId="31" borderId="51" xfId="1" applyNumberFormat="1" applyFont="1" applyFill="1" applyBorder="1" applyAlignment="1">
      <alignment horizontal="center"/>
    </xf>
    <xf numFmtId="169" fontId="18" fillId="32" borderId="50" xfId="1" applyNumberFormat="1" applyFont="1" applyFill="1" applyBorder="1" applyAlignment="1">
      <alignment horizontal="center"/>
    </xf>
    <xf numFmtId="169" fontId="18" fillId="32" borderId="26" xfId="1" quotePrefix="1" applyNumberFormat="1" applyFont="1" applyFill="1" applyBorder="1" applyAlignment="1">
      <alignment horizontal="right"/>
    </xf>
    <xf numFmtId="0" fontId="18" fillId="0" borderId="1" xfId="0" applyFont="1" applyBorder="1" applyAlignment="1">
      <alignment horizontal="center"/>
    </xf>
    <xf numFmtId="174" fontId="18" fillId="0" borderId="0" xfId="0" pivotButton="1" applyNumberFormat="1" applyFont="1" applyAlignment="1">
      <alignment horizontal="center"/>
    </xf>
    <xf numFmtId="0" fontId="18" fillId="0" borderId="1" xfId="0" applyFont="1" applyBorder="1" applyAlignment="1">
      <alignment horizontal="center"/>
    </xf>
    <xf numFmtId="176" fontId="41" fillId="34" borderId="32" xfId="1" applyNumberFormat="1" applyFont="1" applyFill="1" applyBorder="1" applyAlignment="1"/>
    <xf numFmtId="168" fontId="41" fillId="34" borderId="32" xfId="0" applyNumberFormat="1" applyFont="1" applyFill="1" applyBorder="1" applyAlignment="1"/>
    <xf numFmtId="0" fontId="41" fillId="34" borderId="32" xfId="0" applyFont="1" applyFill="1" applyBorder="1"/>
    <xf numFmtId="0" fontId="43" fillId="34" borderId="32" xfId="0" applyFont="1" applyFill="1" applyBorder="1"/>
    <xf numFmtId="0" fontId="36" fillId="34" borderId="32" xfId="0" applyFont="1" applyFill="1" applyBorder="1"/>
    <xf numFmtId="0" fontId="29" fillId="34" borderId="32" xfId="0" applyFont="1" applyFill="1" applyBorder="1"/>
    <xf numFmtId="0" fontId="35" fillId="34" borderId="32" xfId="0" applyFont="1" applyFill="1" applyBorder="1"/>
    <xf numFmtId="0" fontId="18" fillId="0" borderId="1" xfId="0" applyFont="1" applyBorder="1" applyAlignment="1">
      <alignment horizontal="center"/>
    </xf>
    <xf numFmtId="3" fontId="10" fillId="4" borderId="3" xfId="1" applyNumberFormat="1" applyFont="1" applyFill="1" applyBorder="1" applyAlignment="1">
      <alignment horizontal="right"/>
    </xf>
    <xf numFmtId="164" fontId="10" fillId="4" borderId="3" xfId="1" applyNumberFormat="1" applyFont="1" applyFill="1" applyBorder="1" applyAlignment="1">
      <alignment horizontal="center"/>
    </xf>
    <xf numFmtId="9" fontId="10" fillId="4" borderId="3" xfId="0" applyNumberFormat="1" applyFont="1" applyFill="1" applyBorder="1" applyAlignment="1">
      <alignment horizontal="center" vertical="center"/>
    </xf>
    <xf numFmtId="0" fontId="0" fillId="4" borderId="45" xfId="0" applyFont="1" applyFill="1" applyBorder="1" applyAlignment="1">
      <alignment vertical="center" wrapText="1"/>
    </xf>
    <xf numFmtId="174" fontId="0" fillId="0" borderId="0" xfId="0" applyNumberFormat="1"/>
    <xf numFmtId="176" fontId="0" fillId="0" borderId="0" xfId="0" applyNumberFormat="1"/>
    <xf numFmtId="0" fontId="41" fillId="16" borderId="32" xfId="0" applyFont="1" applyFill="1" applyBorder="1" applyAlignment="1">
      <alignment horizontal="center"/>
    </xf>
    <xf numFmtId="0" fontId="18" fillId="0" borderId="1" xfId="0" applyFont="1" applyBorder="1" applyAlignment="1">
      <alignment horizontal="center"/>
    </xf>
    <xf numFmtId="166" fontId="18" fillId="0" borderId="13" xfId="1" applyNumberFormat="1" applyFont="1" applyBorder="1"/>
    <xf numFmtId="166" fontId="18" fillId="0" borderId="52" xfId="1" applyNumberFormat="1" applyFont="1" applyBorder="1"/>
    <xf numFmtId="14" fontId="18" fillId="0" borderId="3" xfId="0" applyNumberFormat="1" applyFont="1" applyBorder="1"/>
    <xf numFmtId="166" fontId="18" fillId="0" borderId="4" xfId="1" applyNumberFormat="1" applyFont="1" applyBorder="1"/>
    <xf numFmtId="164" fontId="27" fillId="0" borderId="7" xfId="1" applyNumberFormat="1" applyFont="1" applyBorder="1"/>
    <xf numFmtId="182" fontId="30" fillId="16" borderId="0" xfId="0" applyNumberFormat="1" applyFont="1" applyFill="1" applyAlignment="1"/>
    <xf numFmtId="0" fontId="41" fillId="35" borderId="32" xfId="0" applyFont="1" applyFill="1" applyBorder="1"/>
    <xf numFmtId="0" fontId="36" fillId="35" borderId="32" xfId="0" applyFont="1" applyFill="1" applyBorder="1"/>
    <xf numFmtId="0" fontId="43" fillId="35" borderId="32" xfId="0" applyFont="1" applyFill="1" applyBorder="1"/>
    <xf numFmtId="0" fontId="29" fillId="35" borderId="32" xfId="0" applyFont="1" applyFill="1" applyBorder="1"/>
    <xf numFmtId="0" fontId="35" fillId="35" borderId="32" xfId="0" applyFont="1" applyFill="1" applyBorder="1"/>
    <xf numFmtId="0" fontId="30" fillId="35" borderId="32" xfId="0" applyFont="1" applyFill="1" applyBorder="1"/>
    <xf numFmtId="176" fontId="41" fillId="35" borderId="32" xfId="1" applyNumberFormat="1" applyFont="1" applyFill="1" applyBorder="1" applyAlignment="1"/>
    <xf numFmtId="168" fontId="41" fillId="35" borderId="32" xfId="0" applyNumberFormat="1" applyFont="1" applyFill="1" applyBorder="1" applyAlignment="1"/>
    <xf numFmtId="166" fontId="33" fillId="31" borderId="57" xfId="1" applyNumberFormat="1" applyFont="1" applyFill="1" applyBorder="1" applyAlignment="1">
      <alignment horizontal="center"/>
    </xf>
    <xf numFmtId="166" fontId="27" fillId="18" borderId="27" xfId="1" applyNumberFormat="1" applyFont="1" applyFill="1" applyBorder="1" applyAlignment="1">
      <alignment horizontal="center"/>
    </xf>
    <xf numFmtId="166" fontId="49" fillId="31" borderId="25" xfId="1" applyNumberFormat="1" applyFont="1" applyFill="1" applyBorder="1" applyAlignment="1">
      <alignment horizontal="center"/>
    </xf>
    <xf numFmtId="169" fontId="18" fillId="32" borderId="26" xfId="1" applyNumberFormat="1" applyFont="1" applyFill="1" applyBorder="1" applyAlignment="1">
      <alignment horizontal="center"/>
    </xf>
    <xf numFmtId="174" fontId="18" fillId="0" borderId="0" xfId="0" applyNumberFormat="1" applyFont="1"/>
    <xf numFmtId="0" fontId="30" fillId="16" borderId="0" xfId="0" applyFont="1" applyFill="1" applyAlignment="1">
      <alignment horizontal="right"/>
    </xf>
    <xf numFmtId="0" fontId="41" fillId="16" borderId="32" xfId="0" applyFont="1" applyFill="1" applyBorder="1" applyAlignment="1">
      <alignment horizontal="right"/>
    </xf>
    <xf numFmtId="166" fontId="2" fillId="21" borderId="33" xfId="4" applyNumberFormat="1" applyFont="1" applyFill="1" applyBorder="1" applyAlignment="1">
      <alignment horizontal="right"/>
    </xf>
    <xf numFmtId="166" fontId="2" fillId="22" borderId="33" xfId="4" applyNumberFormat="1" applyFont="1" applyFill="1" applyBorder="1" applyAlignment="1">
      <alignment horizontal="right"/>
    </xf>
    <xf numFmtId="166" fontId="2" fillId="22" borderId="37" xfId="4" applyNumberFormat="1" applyFont="1" applyFill="1" applyBorder="1" applyAlignment="1">
      <alignment horizontal="right"/>
    </xf>
    <xf numFmtId="166" fontId="2" fillId="21" borderId="34" xfId="4" applyNumberFormat="1" applyFont="1" applyFill="1" applyBorder="1" applyAlignment="1">
      <alignment horizontal="right"/>
    </xf>
    <xf numFmtId="166" fontId="2" fillId="21" borderId="35" xfId="4" applyNumberFormat="1" applyFont="1" applyFill="1" applyBorder="1" applyAlignment="1">
      <alignment horizontal="right"/>
    </xf>
    <xf numFmtId="169" fontId="2" fillId="21" borderId="34" xfId="4" applyNumberFormat="1" applyFont="1" applyFill="1" applyBorder="1" applyAlignment="1">
      <alignment horizontal="right"/>
    </xf>
    <xf numFmtId="169" fontId="2" fillId="21" borderId="47" xfId="4" applyNumberFormat="1" applyFont="1" applyFill="1" applyBorder="1" applyAlignment="1">
      <alignment horizontal="right"/>
    </xf>
    <xf numFmtId="166" fontId="0" fillId="0" borderId="0" xfId="0" applyNumberFormat="1" applyAlignment="1">
      <alignment horizontal="right"/>
    </xf>
    <xf numFmtId="166" fontId="18" fillId="0" borderId="0" xfId="0" applyNumberFormat="1" applyFont="1" applyAlignment="1">
      <alignment horizontal="right"/>
    </xf>
    <xf numFmtId="0" fontId="10" fillId="17" borderId="1" xfId="0" applyFont="1" applyFill="1" applyBorder="1" applyAlignment="1">
      <alignment horizontal="center" vertical="center"/>
    </xf>
    <xf numFmtId="177" fontId="10" fillId="17" borderId="1" xfId="0" applyNumberFormat="1" applyFont="1" applyFill="1" applyBorder="1" applyAlignment="1">
      <alignment horizontal="center" vertical="center"/>
    </xf>
    <xf numFmtId="0" fontId="15" fillId="17" borderId="1" xfId="0" applyFont="1" applyFill="1" applyBorder="1" applyAlignment="1">
      <alignment horizontal="center"/>
    </xf>
    <xf numFmtId="174" fontId="15" fillId="17" borderId="1" xfId="0" applyNumberFormat="1" applyFont="1" applyFill="1" applyBorder="1" applyAlignment="1">
      <alignment horizontal="center"/>
    </xf>
    <xf numFmtId="174" fontId="10" fillId="17" borderId="1" xfId="0" applyNumberFormat="1" applyFont="1" applyFill="1" applyBorder="1" applyAlignment="1">
      <alignment horizontal="center" vertical="center"/>
    </xf>
    <xf numFmtId="0" fontId="15" fillId="17" borderId="1" xfId="0" applyFont="1" applyFill="1" applyBorder="1"/>
    <xf numFmtId="0" fontId="10" fillId="17" borderId="1" xfId="0" applyFont="1" applyFill="1" applyBorder="1" applyAlignment="1">
      <alignment vertical="center"/>
    </xf>
    <xf numFmtId="3" fontId="10" fillId="17" borderId="1" xfId="1" applyNumberFormat="1" applyFont="1" applyFill="1" applyBorder="1" applyAlignment="1">
      <alignment horizontal="right"/>
    </xf>
    <xf numFmtId="164" fontId="10" fillId="17" borderId="1" xfId="1" applyNumberFormat="1" applyFont="1" applyFill="1" applyBorder="1" applyAlignment="1">
      <alignment horizontal="center"/>
    </xf>
    <xf numFmtId="9" fontId="10" fillId="17" borderId="1" xfId="0" applyNumberFormat="1" applyFont="1" applyFill="1" applyBorder="1" applyAlignment="1">
      <alignment horizontal="center" vertical="center"/>
    </xf>
    <xf numFmtId="164" fontId="10" fillId="17" borderId="1" xfId="1" applyNumberFormat="1" applyFont="1" applyFill="1" applyBorder="1" applyAlignment="1">
      <alignment vertical="center"/>
    </xf>
    <xf numFmtId="164" fontId="10" fillId="17" borderId="1" xfId="0" applyNumberFormat="1" applyFont="1" applyFill="1" applyBorder="1" applyAlignment="1">
      <alignment vertical="center"/>
    </xf>
    <xf numFmtId="14" fontId="10" fillId="17" borderId="1" xfId="0" applyNumberFormat="1" applyFont="1" applyFill="1" applyBorder="1" applyAlignment="1">
      <alignment vertical="center"/>
    </xf>
    <xf numFmtId="14" fontId="10" fillId="17" borderId="1" xfId="0" applyNumberFormat="1" applyFont="1" applyFill="1" applyBorder="1" applyAlignment="1">
      <alignment horizontal="center" vertical="center"/>
    </xf>
    <xf numFmtId="0" fontId="10" fillId="17" borderId="0" xfId="0" applyFont="1" applyFill="1" applyAlignment="1">
      <alignment vertical="center"/>
    </xf>
    <xf numFmtId="164" fontId="37" fillId="6" borderId="1" xfId="0" applyNumberFormat="1" applyFont="1" applyFill="1" applyBorder="1" applyAlignment="1">
      <alignment vertical="center"/>
    </xf>
    <xf numFmtId="14" fontId="37" fillId="6" borderId="1" xfId="0" applyNumberFormat="1" applyFont="1" applyFill="1" applyBorder="1" applyAlignment="1">
      <alignment vertical="center"/>
    </xf>
    <xf numFmtId="164" fontId="10" fillId="17" borderId="1" xfId="0" applyNumberFormat="1" applyFont="1" applyFill="1" applyBorder="1" applyAlignment="1">
      <alignment horizontal="center" vertical="center"/>
    </xf>
    <xf numFmtId="14" fontId="10" fillId="0" borderId="0" xfId="0" applyNumberFormat="1" applyFont="1" applyBorder="1" applyAlignment="1">
      <alignment vertical="center"/>
    </xf>
    <xf numFmtId="14" fontId="10" fillId="0" borderId="58" xfId="0" applyNumberFormat="1" applyFont="1" applyBorder="1" applyAlignment="1">
      <alignment vertical="center"/>
    </xf>
    <xf numFmtId="0" fontId="10" fillId="0" borderId="0" xfId="0" applyFont="1" applyBorder="1" applyAlignment="1">
      <alignment vertical="center"/>
    </xf>
    <xf numFmtId="14" fontId="10" fillId="17" borderId="9" xfId="0" applyNumberFormat="1" applyFont="1" applyFill="1" applyBorder="1" applyAlignment="1">
      <alignment vertical="center"/>
    </xf>
    <xf numFmtId="164" fontId="10" fillId="0" borderId="58" xfId="0" applyNumberFormat="1" applyFont="1" applyBorder="1" applyAlignment="1">
      <alignment vertical="center"/>
    </xf>
    <xf numFmtId="164" fontId="10" fillId="0" borderId="49" xfId="0" applyNumberFormat="1" applyFont="1" applyBorder="1" applyAlignment="1">
      <alignment vertical="center"/>
    </xf>
    <xf numFmtId="168" fontId="10" fillId="17" borderId="11" xfId="0" applyNumberFormat="1" applyFont="1" applyFill="1" applyBorder="1" applyAlignment="1">
      <alignment horizontal="center" vertical="center"/>
    </xf>
    <xf numFmtId="0" fontId="10" fillId="17" borderId="11" xfId="0" applyFont="1" applyFill="1" applyBorder="1" applyAlignment="1">
      <alignment horizontal="center" vertical="center"/>
    </xf>
    <xf numFmtId="168" fontId="10" fillId="17" borderId="1" xfId="0" applyNumberFormat="1" applyFont="1" applyFill="1" applyBorder="1" applyAlignment="1">
      <alignment horizontal="center" vertical="center"/>
    </xf>
    <xf numFmtId="0" fontId="0" fillId="17" borderId="0" xfId="0" applyFill="1"/>
    <xf numFmtId="166" fontId="18" fillId="18" borderId="59" xfId="1" applyNumberFormat="1" applyFont="1" applyFill="1" applyBorder="1" applyAlignment="1">
      <alignment horizontal="center"/>
    </xf>
    <xf numFmtId="166" fontId="33" fillId="31" borderId="60" xfId="1" applyNumberFormat="1" applyFont="1" applyFill="1" applyBorder="1" applyAlignment="1">
      <alignment horizontal="center"/>
    </xf>
    <xf numFmtId="169" fontId="18" fillId="32" borderId="59" xfId="1" quotePrefix="1" applyNumberFormat="1" applyFont="1" applyFill="1" applyBorder="1" applyAlignment="1">
      <alignment horizontal="right"/>
    </xf>
    <xf numFmtId="176" fontId="41" fillId="20" borderId="32" xfId="1" applyNumberFormat="1" applyFont="1" applyFill="1" applyBorder="1" applyAlignment="1"/>
    <xf numFmtId="168" fontId="41" fillId="20" borderId="32" xfId="0" applyNumberFormat="1" applyFont="1" applyFill="1" applyBorder="1" applyAlignment="1"/>
    <xf numFmtId="0" fontId="41" fillId="20" borderId="32" xfId="0" applyFont="1" applyFill="1" applyBorder="1"/>
    <xf numFmtId="0" fontId="36" fillId="20" borderId="32" xfId="0" applyFont="1" applyFill="1" applyBorder="1"/>
    <xf numFmtId="0" fontId="43" fillId="20" borderId="32" xfId="0" applyFont="1" applyFill="1" applyBorder="1"/>
    <xf numFmtId="0" fontId="35" fillId="20" borderId="32" xfId="0" applyFont="1" applyFill="1" applyBorder="1"/>
    <xf numFmtId="0" fontId="30" fillId="20" borderId="32" xfId="0" applyFont="1" applyFill="1" applyBorder="1"/>
    <xf numFmtId="0" fontId="29" fillId="20" borderId="32" xfId="0" applyFont="1" applyFill="1" applyBorder="1"/>
    <xf numFmtId="176" fontId="41" fillId="37" borderId="32" xfId="1" applyNumberFormat="1" applyFont="1" applyFill="1" applyBorder="1" applyAlignment="1"/>
    <xf numFmtId="168" fontId="41" fillId="37" borderId="32" xfId="0" applyNumberFormat="1" applyFont="1" applyFill="1" applyBorder="1" applyAlignment="1"/>
    <xf numFmtId="0" fontId="41" fillId="37" borderId="32" xfId="0" applyFont="1" applyFill="1" applyBorder="1" applyAlignment="1">
      <alignment horizontal="center"/>
    </xf>
    <xf numFmtId="0" fontId="41" fillId="37" borderId="32" xfId="0" applyFont="1" applyFill="1" applyBorder="1" applyAlignment="1">
      <alignment horizontal="left"/>
    </xf>
    <xf numFmtId="0" fontId="41" fillId="37" borderId="32" xfId="0" applyFont="1" applyFill="1" applyBorder="1" applyAlignment="1"/>
    <xf numFmtId="0" fontId="41" fillId="37" borderId="32" xfId="0" applyFont="1" applyFill="1" applyBorder="1" applyAlignment="1">
      <alignment horizontal="left" vertical="top"/>
    </xf>
    <xf numFmtId="164" fontId="10" fillId="0" borderId="4" xfId="0" applyNumberFormat="1" applyFont="1" applyBorder="1" applyAlignment="1">
      <alignment horizontal="right" vertical="center"/>
    </xf>
    <xf numFmtId="0" fontId="1" fillId="0" borderId="0" xfId="0" pivotButton="1" applyFont="1"/>
    <xf numFmtId="164" fontId="1" fillId="0" borderId="0" xfId="0" applyNumberFormat="1" applyFont="1"/>
    <xf numFmtId="14" fontId="1" fillId="0" borderId="0" xfId="0" applyNumberFormat="1" applyFont="1"/>
    <xf numFmtId="0" fontId="1" fillId="0" borderId="0" xfId="0" applyFont="1"/>
    <xf numFmtId="0" fontId="1" fillId="0" borderId="0" xfId="0" pivotButton="1" applyFont="1" applyAlignment="1">
      <alignment horizontal="center"/>
    </xf>
    <xf numFmtId="164" fontId="1" fillId="0" borderId="0" xfId="0" applyNumberFormat="1" applyFont="1" applyAlignment="1">
      <alignment horizontal="center"/>
    </xf>
    <xf numFmtId="0" fontId="1" fillId="0" borderId="0" xfId="0" applyFont="1" applyAlignment="1">
      <alignment horizontal="left"/>
    </xf>
    <xf numFmtId="0" fontId="1" fillId="0" borderId="0" xfId="0" applyFont="1" applyAlignment="1">
      <alignment horizontal="center"/>
    </xf>
    <xf numFmtId="164" fontId="1" fillId="0" borderId="0" xfId="1" applyNumberFormat="1" applyFont="1"/>
    <xf numFmtId="164" fontId="2" fillId="21" borderId="61" xfId="4" applyNumberFormat="1" applyFont="1" applyFill="1" applyBorder="1"/>
    <xf numFmtId="169" fontId="2" fillId="21" borderId="30" xfId="4" applyNumberFormat="1" applyFont="1" applyFill="1" applyBorder="1"/>
    <xf numFmtId="0" fontId="18" fillId="0" borderId="47" xfId="0" applyFont="1" applyBorder="1"/>
    <xf numFmtId="169" fontId="18" fillId="32" borderId="44" xfId="1" applyNumberFormat="1" applyFont="1" applyFill="1" applyBorder="1"/>
    <xf numFmtId="169" fontId="1" fillId="32" borderId="30" xfId="1" applyNumberFormat="1" applyFont="1" applyFill="1" applyBorder="1"/>
    <xf numFmtId="166" fontId="1" fillId="18" borderId="27" xfId="1" applyNumberFormat="1" applyFont="1" applyFill="1" applyBorder="1" applyAlignment="1">
      <alignment horizontal="center"/>
    </xf>
    <xf numFmtId="169" fontId="1" fillId="32" borderId="26" xfId="1" applyNumberFormat="1" applyFont="1" applyFill="1" applyBorder="1"/>
    <xf numFmtId="169" fontId="18" fillId="32" borderId="26" xfId="1" applyNumberFormat="1" applyFont="1" applyFill="1" applyBorder="1"/>
    <xf numFmtId="176" fontId="41" fillId="38" borderId="32" xfId="1" applyNumberFormat="1" applyFont="1" applyFill="1" applyBorder="1" applyAlignment="1"/>
    <xf numFmtId="168" fontId="41" fillId="38" borderId="32" xfId="0" applyNumberFormat="1" applyFont="1" applyFill="1" applyBorder="1" applyAlignment="1"/>
    <xf numFmtId="0" fontId="41" fillId="38" borderId="32" xfId="0" applyFont="1" applyFill="1" applyBorder="1"/>
    <xf numFmtId="0" fontId="36" fillId="38" borderId="32" xfId="0" applyFont="1" applyFill="1" applyBorder="1"/>
    <xf numFmtId="0" fontId="29" fillId="38" borderId="32" xfId="0" applyFont="1" applyFill="1" applyBorder="1"/>
    <xf numFmtId="0" fontId="35" fillId="38" borderId="32" xfId="0" applyFont="1" applyFill="1" applyBorder="1"/>
    <xf numFmtId="0" fontId="18" fillId="23" borderId="0" xfId="0" applyFont="1" applyFill="1"/>
    <xf numFmtId="0" fontId="31" fillId="23" borderId="0" xfId="0" applyFont="1" applyFill="1"/>
    <xf numFmtId="0" fontId="1" fillId="0" borderId="0" xfId="0" applyNumberFormat="1" applyFont="1"/>
    <xf numFmtId="0" fontId="52" fillId="0" borderId="0" xfId="0" applyFont="1" applyAlignment="1">
      <alignment horizontal="center"/>
    </xf>
    <xf numFmtId="0" fontId="52" fillId="0" borderId="0" xfId="0" pivotButton="1" applyFont="1" applyAlignment="1">
      <alignment horizontal="center"/>
    </xf>
    <xf numFmtId="178" fontId="18" fillId="23" borderId="0" xfId="0" applyNumberFormat="1" applyFont="1" applyFill="1"/>
    <xf numFmtId="178" fontId="52" fillId="0" borderId="0" xfId="0" applyNumberFormat="1" applyFont="1" applyAlignment="1">
      <alignment horizontal="center"/>
    </xf>
    <xf numFmtId="178" fontId="18" fillId="0" borderId="0" xfId="0" applyNumberFormat="1" applyFont="1"/>
    <xf numFmtId="184" fontId="1" fillId="0" borderId="0" xfId="0" applyNumberFormat="1" applyFont="1"/>
    <xf numFmtId="184" fontId="18" fillId="0" borderId="0" xfId="0" applyNumberFormat="1" applyFont="1"/>
    <xf numFmtId="164" fontId="52" fillId="0" borderId="0" xfId="0" applyNumberFormat="1" applyFont="1" applyAlignment="1">
      <alignment horizontal="center"/>
    </xf>
    <xf numFmtId="164" fontId="0" fillId="0" borderId="0" xfId="1" applyNumberFormat="1" applyFont="1" applyBorder="1"/>
    <xf numFmtId="0" fontId="1" fillId="0" borderId="0" xfId="0" applyFont="1" applyBorder="1"/>
    <xf numFmtId="0" fontId="31" fillId="0" borderId="0" xfId="0" pivotButton="1" applyFont="1" applyAlignment="1">
      <alignment horizontal="center"/>
    </xf>
    <xf numFmtId="164" fontId="1" fillId="0" borderId="0" xfId="1" applyNumberFormat="1" applyFont="1" applyBorder="1"/>
    <xf numFmtId="164" fontId="1" fillId="0" borderId="63" xfId="1" applyNumberFormat="1" applyFont="1" applyBorder="1"/>
    <xf numFmtId="0" fontId="18" fillId="0" borderId="0" xfId="0" applyFont="1" applyAlignment="1">
      <alignment textRotation="135" wrapText="1"/>
    </xf>
    <xf numFmtId="38" fontId="1" fillId="0" borderId="0" xfId="0" applyNumberFormat="1" applyFont="1"/>
    <xf numFmtId="0" fontId="54" fillId="0" borderId="0" xfId="0" pivotButton="1" applyFont="1"/>
    <xf numFmtId="169" fontId="33" fillId="24" borderId="0" xfId="0" applyNumberFormat="1" applyFont="1" applyFill="1"/>
    <xf numFmtId="169" fontId="33" fillId="37" borderId="0" xfId="0" applyNumberFormat="1" applyFont="1" applyFill="1"/>
    <xf numFmtId="164" fontId="21" fillId="0" borderId="0" xfId="1" applyNumberFormat="1" applyFont="1" applyBorder="1"/>
    <xf numFmtId="169" fontId="31" fillId="32" borderId="29" xfId="1" applyNumberFormat="1" applyFont="1" applyFill="1" applyBorder="1"/>
    <xf numFmtId="169" fontId="53" fillId="32" borderId="29" xfId="1" applyNumberFormat="1" applyFont="1" applyFill="1" applyBorder="1" applyAlignment="1">
      <alignment horizontal="right"/>
    </xf>
    <xf numFmtId="169" fontId="53" fillId="32" borderId="29" xfId="1" applyNumberFormat="1" applyFont="1" applyFill="1" applyBorder="1"/>
    <xf numFmtId="164" fontId="54" fillId="0" borderId="0" xfId="0" applyNumberFormat="1" applyFont="1"/>
    <xf numFmtId="164" fontId="31" fillId="0" borderId="0" xfId="0" applyNumberFormat="1" applyFont="1"/>
    <xf numFmtId="178" fontId="1" fillId="0" borderId="1" xfId="1" applyNumberFormat="1" applyFont="1" applyBorder="1"/>
    <xf numFmtId="43" fontId="21" fillId="39" borderId="14" xfId="1" applyFont="1" applyFill="1" applyBorder="1"/>
    <xf numFmtId="164" fontId="30" fillId="40" borderId="66" xfId="1" applyNumberFormat="1" applyFont="1" applyFill="1" applyBorder="1" applyAlignment="1">
      <alignment horizontal="center"/>
    </xf>
    <xf numFmtId="182" fontId="1" fillId="0" borderId="0" xfId="0" applyNumberFormat="1" applyFont="1" applyAlignment="1">
      <alignment horizontal="center"/>
    </xf>
    <xf numFmtId="185" fontId="1" fillId="0" borderId="0" xfId="0" applyNumberFormat="1" applyFont="1" applyAlignment="1">
      <alignment horizontal="center"/>
    </xf>
    <xf numFmtId="164" fontId="1" fillId="0" borderId="0" xfId="1" applyNumberFormat="1" applyFont="1" applyAlignment="1">
      <alignment horizontal="center"/>
    </xf>
    <xf numFmtId="164" fontId="1" fillId="0" borderId="0" xfId="1" applyNumberFormat="1" applyFont="1" applyAlignment="1"/>
    <xf numFmtId="186" fontId="30" fillId="40" borderId="65" xfId="1" applyNumberFormat="1" applyFont="1" applyFill="1" applyBorder="1" applyAlignment="1">
      <alignment horizontal="center"/>
    </xf>
    <xf numFmtId="186" fontId="1" fillId="0" borderId="0" xfId="1" applyNumberFormat="1" applyFont="1" applyAlignment="1">
      <alignment horizontal="center"/>
    </xf>
    <xf numFmtId="186" fontId="1" fillId="0" borderId="0" xfId="0" applyNumberFormat="1" applyFont="1"/>
    <xf numFmtId="169" fontId="56" fillId="32" borderId="29" xfId="1" applyNumberFormat="1" applyFont="1" applyFill="1" applyBorder="1" applyAlignment="1">
      <alignment horizontal="right"/>
    </xf>
    <xf numFmtId="0" fontId="10" fillId="17" borderId="1" xfId="0" applyFont="1" applyFill="1" applyBorder="1" applyAlignment="1">
      <alignment horizontal="center" vertical="center" wrapText="1"/>
    </xf>
    <xf numFmtId="0" fontId="10" fillId="2" borderId="1" xfId="0" applyFont="1" applyFill="1" applyBorder="1" applyAlignment="1">
      <alignment horizontal="center" vertical="center"/>
    </xf>
    <xf numFmtId="177" fontId="10" fillId="2" borderId="1" xfId="0" applyNumberFormat="1" applyFont="1" applyFill="1" applyBorder="1" applyAlignment="1">
      <alignment horizontal="center" vertical="center"/>
    </xf>
    <xf numFmtId="174" fontId="10" fillId="2" borderId="1" xfId="0" applyNumberFormat="1" applyFont="1" applyFill="1" applyBorder="1" applyAlignment="1">
      <alignment horizontal="center" vertical="center"/>
    </xf>
    <xf numFmtId="0" fontId="10" fillId="2" borderId="1" xfId="0" applyFont="1" applyFill="1" applyBorder="1" applyAlignment="1">
      <alignment vertical="center"/>
    </xf>
    <xf numFmtId="3" fontId="10" fillId="2" borderId="1" xfId="1" applyNumberFormat="1" applyFont="1" applyFill="1" applyBorder="1" applyAlignment="1">
      <alignment horizontal="right"/>
    </xf>
    <xf numFmtId="164" fontId="10" fillId="2" borderId="1" xfId="1" applyNumberFormat="1" applyFont="1" applyFill="1" applyBorder="1" applyAlignment="1">
      <alignment horizontal="center"/>
    </xf>
    <xf numFmtId="164" fontId="10" fillId="2" borderId="1" xfId="1" applyNumberFormat="1" applyFont="1" applyFill="1" applyBorder="1" applyAlignment="1">
      <alignment vertical="center"/>
    </xf>
    <xf numFmtId="14" fontId="18" fillId="6" borderId="0" xfId="0" applyNumberFormat="1" applyFont="1" applyFill="1"/>
    <xf numFmtId="0" fontId="1" fillId="6" borderId="0" xfId="0" applyFont="1" applyFill="1"/>
    <xf numFmtId="14" fontId="33" fillId="0" borderId="0" xfId="0" applyNumberFormat="1" applyFont="1"/>
    <xf numFmtId="175" fontId="33" fillId="0" borderId="0" xfId="0" applyNumberFormat="1" applyFont="1" applyAlignment="1">
      <alignment horizontal="center"/>
    </xf>
    <xf numFmtId="164" fontId="33" fillId="0" borderId="0" xfId="1" applyNumberFormat="1" applyFont="1"/>
    <xf numFmtId="166" fontId="2" fillId="21" borderId="40" xfId="4" applyNumberFormat="1" applyFont="1" applyFill="1" applyBorder="1"/>
    <xf numFmtId="9" fontId="16" fillId="4" borderId="1" xfId="0" applyNumberFormat="1" applyFont="1" applyFill="1" applyBorder="1" applyAlignment="1">
      <alignment horizontal="center" vertical="center"/>
    </xf>
    <xf numFmtId="164" fontId="16" fillId="4" borderId="1" xfId="0" applyNumberFormat="1" applyFont="1" applyFill="1" applyBorder="1" applyAlignment="1">
      <alignment horizontal="center" vertical="center"/>
    </xf>
    <xf numFmtId="14" fontId="16" fillId="4" borderId="1" xfId="0" applyNumberFormat="1" applyFont="1" applyFill="1" applyBorder="1" applyAlignment="1">
      <alignment horizontal="center" vertical="center"/>
    </xf>
    <xf numFmtId="0" fontId="16" fillId="6" borderId="1" xfId="0" applyFont="1" applyFill="1" applyBorder="1" applyAlignment="1">
      <alignment horizontal="center" vertical="center"/>
    </xf>
    <xf numFmtId="177" fontId="16" fillId="6" borderId="1" xfId="0" applyNumberFormat="1" applyFont="1" applyFill="1" applyBorder="1" applyAlignment="1">
      <alignment horizontal="center" vertical="center"/>
    </xf>
    <xf numFmtId="0" fontId="16" fillId="6" borderId="3" xfId="0" applyFont="1" applyFill="1" applyBorder="1" applyAlignment="1">
      <alignment horizontal="center" vertical="center"/>
    </xf>
    <xf numFmtId="174" fontId="16" fillId="6" borderId="3" xfId="0" applyNumberFormat="1" applyFont="1" applyFill="1" applyBorder="1" applyAlignment="1">
      <alignment horizontal="center" vertical="center"/>
    </xf>
    <xf numFmtId="174" fontId="16" fillId="6" borderId="1" xfId="0" applyNumberFormat="1" applyFont="1" applyFill="1" applyBorder="1" applyAlignment="1">
      <alignment horizontal="center" vertical="center"/>
    </xf>
    <xf numFmtId="0" fontId="16" fillId="6" borderId="3" xfId="0" applyFont="1" applyFill="1" applyBorder="1" applyAlignment="1">
      <alignment vertical="center"/>
    </xf>
    <xf numFmtId="0" fontId="16" fillId="6" borderId="1" xfId="0" applyFont="1" applyFill="1" applyBorder="1" applyAlignment="1">
      <alignment vertical="center"/>
    </xf>
    <xf numFmtId="3" fontId="16" fillId="6" borderId="3" xfId="1" applyNumberFormat="1" applyFont="1" applyFill="1" applyBorder="1" applyAlignment="1">
      <alignment horizontal="right"/>
    </xf>
    <xf numFmtId="164" fontId="16" fillId="6" borderId="3" xfId="1" applyNumberFormat="1" applyFont="1" applyFill="1" applyBorder="1" applyAlignment="1">
      <alignment horizontal="center"/>
    </xf>
    <xf numFmtId="164" fontId="16" fillId="6" borderId="1" xfId="1" applyNumberFormat="1" applyFont="1" applyFill="1" applyBorder="1" applyAlignment="1">
      <alignment horizontal="center"/>
    </xf>
    <xf numFmtId="9" fontId="16" fillId="6" borderId="1" xfId="0" applyNumberFormat="1" applyFont="1" applyFill="1" applyBorder="1" applyAlignment="1">
      <alignment horizontal="center" vertical="center"/>
    </xf>
    <xf numFmtId="9" fontId="16" fillId="6" borderId="3" xfId="0" applyNumberFormat="1" applyFont="1" applyFill="1" applyBorder="1" applyAlignment="1">
      <alignment horizontal="center" vertical="center"/>
    </xf>
    <xf numFmtId="164" fontId="16" fillId="6" borderId="3" xfId="1" applyNumberFormat="1" applyFont="1" applyFill="1" applyBorder="1" applyAlignment="1">
      <alignment vertical="center"/>
    </xf>
    <xf numFmtId="164" fontId="16" fillId="6" borderId="3" xfId="0" applyNumberFormat="1" applyFont="1" applyFill="1" applyBorder="1" applyAlignment="1">
      <alignment horizontal="center" vertical="center"/>
    </xf>
    <xf numFmtId="164" fontId="16" fillId="6" borderId="1" xfId="0" applyNumberFormat="1" applyFont="1" applyFill="1" applyBorder="1" applyAlignment="1">
      <alignment horizontal="center" vertical="center"/>
    </xf>
    <xf numFmtId="164" fontId="16" fillId="6" borderId="3" xfId="0" applyNumberFormat="1" applyFont="1" applyFill="1" applyBorder="1" applyAlignment="1">
      <alignment vertical="center"/>
    </xf>
    <xf numFmtId="14" fontId="16" fillId="6" borderId="3" xfId="0" applyNumberFormat="1" applyFont="1" applyFill="1" applyBorder="1" applyAlignment="1">
      <alignment vertical="center"/>
    </xf>
    <xf numFmtId="14" fontId="16" fillId="6" borderId="1" xfId="0" applyNumberFormat="1" applyFont="1" applyFill="1" applyBorder="1" applyAlignment="1">
      <alignment horizontal="center" vertical="center"/>
    </xf>
    <xf numFmtId="0" fontId="16" fillId="6" borderId="0" xfId="0" applyFont="1" applyFill="1" applyAlignment="1">
      <alignment vertical="center"/>
    </xf>
    <xf numFmtId="0" fontId="0" fillId="6" borderId="45" xfId="0" applyFont="1" applyFill="1" applyBorder="1" applyAlignment="1">
      <alignment vertical="center" wrapText="1"/>
    </xf>
    <xf numFmtId="3" fontId="10" fillId="6" borderId="3" xfId="1" applyNumberFormat="1" applyFont="1" applyFill="1" applyBorder="1" applyAlignment="1">
      <alignment horizontal="right"/>
    </xf>
    <xf numFmtId="164" fontId="10" fillId="6" borderId="3" xfId="1" applyNumberFormat="1" applyFont="1" applyFill="1" applyBorder="1" applyAlignment="1">
      <alignment horizontal="center"/>
    </xf>
    <xf numFmtId="0" fontId="1" fillId="0" borderId="1" xfId="9" applyFont="1" applyFill="1" applyBorder="1"/>
    <xf numFmtId="0" fontId="1" fillId="0" borderId="1" xfId="9" applyFont="1" applyFill="1" applyBorder="1" applyAlignment="1">
      <alignment horizontal="center"/>
    </xf>
    <xf numFmtId="0" fontId="44" fillId="16" borderId="40" xfId="0" applyFont="1" applyFill="1" applyBorder="1"/>
    <xf numFmtId="0" fontId="1" fillId="0" borderId="1" xfId="0" applyFont="1" applyBorder="1" applyAlignment="1">
      <alignment horizontal="left"/>
    </xf>
    <xf numFmtId="0" fontId="1" fillId="4" borderId="1" xfId="0" applyFont="1" applyFill="1" applyBorder="1"/>
    <xf numFmtId="164" fontId="1" fillId="4" borderId="1" xfId="1" applyNumberFormat="1" applyFont="1" applyFill="1" applyBorder="1"/>
    <xf numFmtId="0" fontId="0" fillId="6" borderId="0" xfId="0" applyFill="1" applyBorder="1" applyAlignment="1">
      <alignment vertical="center" wrapText="1"/>
    </xf>
    <xf numFmtId="0" fontId="0" fillId="17" borderId="0" xfId="0" applyFill="1" applyBorder="1" applyAlignment="1">
      <alignment vertical="center" wrapText="1"/>
    </xf>
    <xf numFmtId="3" fontId="10" fillId="17" borderId="1" xfId="0" applyNumberFormat="1" applyFont="1" applyFill="1" applyBorder="1" applyAlignment="1">
      <alignment horizontal="right" vertical="center"/>
    </xf>
    <xf numFmtId="3" fontId="10" fillId="17" borderId="1" xfId="0" applyNumberFormat="1" applyFont="1" applyFill="1" applyBorder="1" applyAlignment="1">
      <alignment horizontal="center" vertical="center"/>
    </xf>
    <xf numFmtId="0" fontId="16" fillId="17" borderId="1" xfId="0" applyFont="1" applyFill="1" applyBorder="1" applyAlignment="1">
      <alignment horizontal="center" vertical="center"/>
    </xf>
    <xf numFmtId="164" fontId="16" fillId="17" borderId="1" xfId="0" applyNumberFormat="1" applyFont="1" applyFill="1" applyBorder="1" applyAlignment="1">
      <alignment horizontal="center" vertical="center"/>
    </xf>
    <xf numFmtId="0" fontId="27" fillId="0" borderId="0" xfId="0" applyFont="1" applyBorder="1" applyAlignment="1">
      <alignment horizontal="center"/>
    </xf>
    <xf numFmtId="164" fontId="1" fillId="0" borderId="1" xfId="0" applyNumberFormat="1" applyFont="1" applyBorder="1"/>
    <xf numFmtId="0" fontId="1" fillId="0" borderId="9" xfId="0" applyFont="1" applyBorder="1" applyAlignment="1">
      <alignment horizontal="center"/>
    </xf>
    <xf numFmtId="0" fontId="1" fillId="0" borderId="1" xfId="0" applyFont="1" applyBorder="1"/>
    <xf numFmtId="164" fontId="1" fillId="0" borderId="8" xfId="1" applyNumberFormat="1" applyFont="1" applyBorder="1"/>
    <xf numFmtId="0" fontId="1" fillId="0" borderId="1" xfId="0" applyFont="1" applyBorder="1" applyAlignment="1">
      <alignment horizontal="center"/>
    </xf>
    <xf numFmtId="0" fontId="27" fillId="0" borderId="1" xfId="0" applyFont="1" applyBorder="1"/>
    <xf numFmtId="0" fontId="27" fillId="0" borderId="15" xfId="0" applyFont="1" applyBorder="1" applyAlignment="1">
      <alignment horizontal="center"/>
    </xf>
    <xf numFmtId="0" fontId="27" fillId="0" borderId="13" xfId="0" applyFont="1" applyBorder="1" applyAlignment="1">
      <alignment horizontal="center"/>
    </xf>
    <xf numFmtId="164" fontId="27" fillId="0" borderId="6" xfId="1" applyNumberFormat="1" applyFont="1" applyBorder="1" applyAlignment="1">
      <alignment horizontal="center"/>
    </xf>
    <xf numFmtId="0" fontId="27" fillId="0" borderId="6" xfId="0" applyFont="1" applyBorder="1" applyAlignment="1">
      <alignment horizontal="center"/>
    </xf>
    <xf numFmtId="1" fontId="1" fillId="0" borderId="9" xfId="0" applyNumberFormat="1" applyFont="1" applyBorder="1" applyAlignment="1">
      <alignment horizontal="center"/>
    </xf>
    <xf numFmtId="164" fontId="1" fillId="0" borderId="8" xfId="1" applyNumberFormat="1" applyFont="1" applyBorder="1" applyAlignment="1">
      <alignment horizontal="center"/>
    </xf>
    <xf numFmtId="164" fontId="1" fillId="4" borderId="8" xfId="1" applyNumberFormat="1" applyFont="1" applyFill="1" applyBorder="1"/>
    <xf numFmtId="1" fontId="1" fillId="0" borderId="12" xfId="0" applyNumberFormat="1" applyFont="1" applyBorder="1" applyAlignment="1">
      <alignment horizontal="center"/>
    </xf>
    <xf numFmtId="0" fontId="1" fillId="0" borderId="3" xfId="0" applyFont="1" applyBorder="1" applyAlignment="1">
      <alignment horizontal="center"/>
    </xf>
    <xf numFmtId="164" fontId="1" fillId="0" borderId="11" xfId="1" applyNumberFormat="1" applyFont="1" applyBorder="1" applyAlignment="1">
      <alignment horizontal="center"/>
    </xf>
    <xf numFmtId="1" fontId="27" fillId="0" borderId="9" xfId="0" applyNumberFormat="1" applyFont="1" applyBorder="1" applyAlignment="1">
      <alignment horizontal="center"/>
    </xf>
    <xf numFmtId="164" fontId="27" fillId="0" borderId="7" xfId="1" applyNumberFormat="1" applyFont="1" applyBorder="1" applyAlignment="1">
      <alignment horizontal="center"/>
    </xf>
    <xf numFmtId="0" fontId="27" fillId="0" borderId="2" xfId="0" applyFont="1" applyBorder="1" applyAlignment="1"/>
    <xf numFmtId="0" fontId="1" fillId="0" borderId="9" xfId="0" applyFont="1" applyBorder="1"/>
    <xf numFmtId="164" fontId="42" fillId="21" borderId="61" xfId="4" applyNumberFormat="1" applyFont="1" applyFill="1" applyBorder="1"/>
    <xf numFmtId="164" fontId="42" fillId="21" borderId="30" xfId="4" applyNumberFormat="1" applyFont="1" applyFill="1" applyBorder="1"/>
    <xf numFmtId="14" fontId="33" fillId="0" borderId="0" xfId="0" applyNumberFormat="1" applyFont="1" applyBorder="1"/>
    <xf numFmtId="14" fontId="18" fillId="0" borderId="0" xfId="0" applyNumberFormat="1" applyFont="1" applyBorder="1"/>
    <xf numFmtId="9" fontId="10" fillId="17" borderId="13" xfId="0" applyNumberFormat="1" applyFont="1" applyFill="1" applyBorder="1" applyAlignment="1">
      <alignment horizontal="center" vertical="center"/>
    </xf>
    <xf numFmtId="164" fontId="10" fillId="17" borderId="13" xfId="1" applyNumberFormat="1" applyFont="1" applyFill="1" applyBorder="1" applyAlignment="1">
      <alignment vertical="center"/>
    </xf>
    <xf numFmtId="14" fontId="37" fillId="0" borderId="0" xfId="0" applyNumberFormat="1" applyFont="1" applyAlignment="1">
      <alignment horizontal="center" vertical="center"/>
    </xf>
    <xf numFmtId="0" fontId="0" fillId="17" borderId="45" xfId="0" applyFont="1" applyFill="1" applyBorder="1" applyAlignment="1">
      <alignment vertical="center" wrapText="1"/>
    </xf>
    <xf numFmtId="3" fontId="10" fillId="17" borderId="3" xfId="1" applyNumberFormat="1" applyFont="1" applyFill="1" applyBorder="1" applyAlignment="1">
      <alignment horizontal="right"/>
    </xf>
    <xf numFmtId="164" fontId="10" fillId="17" borderId="3" xfId="1" applyNumberFormat="1" applyFont="1" applyFill="1" applyBorder="1" applyAlignment="1">
      <alignment horizontal="center"/>
    </xf>
    <xf numFmtId="0" fontId="27" fillId="0" borderId="0" xfId="0" applyFont="1" applyAlignment="1">
      <alignment horizontal="center"/>
    </xf>
    <xf numFmtId="0" fontId="1" fillId="0" borderId="12" xfId="0" applyFont="1" applyBorder="1" applyAlignment="1">
      <alignment horizontal="center"/>
    </xf>
    <xf numFmtId="0" fontId="1" fillId="0" borderId="15" xfId="0" applyFont="1" applyBorder="1" applyAlignment="1">
      <alignment horizontal="center"/>
    </xf>
    <xf numFmtId="164" fontId="27" fillId="0" borderId="68" xfId="1" applyNumberFormat="1" applyFont="1" applyBorder="1"/>
    <xf numFmtId="0" fontId="1" fillId="0" borderId="48" xfId="0" applyFont="1" applyBorder="1" applyAlignment="1">
      <alignment horizontal="center"/>
    </xf>
    <xf numFmtId="164" fontId="1" fillId="4" borderId="48" xfId="1" applyNumberFormat="1" applyFont="1" applyFill="1" applyBorder="1"/>
    <xf numFmtId="166" fontId="60" fillId="0" borderId="0" xfId="1" applyNumberFormat="1" applyFont="1"/>
    <xf numFmtId="0" fontId="61" fillId="0" borderId="0" xfId="0" applyFont="1"/>
    <xf numFmtId="0" fontId="64" fillId="0" borderId="0" xfId="0" applyFont="1" applyAlignment="1">
      <alignment horizontal="left" vertical="center"/>
    </xf>
    <xf numFmtId="0" fontId="60" fillId="0" borderId="0" xfId="0" applyFont="1"/>
    <xf numFmtId="0" fontId="66" fillId="0" borderId="1" xfId="0" applyFont="1" applyBorder="1" applyAlignment="1">
      <alignment horizontal="center"/>
    </xf>
    <xf numFmtId="175" fontId="66" fillId="0" borderId="1" xfId="1" applyNumberFormat="1" applyFont="1" applyBorder="1"/>
    <xf numFmtId="164" fontId="60" fillId="0" borderId="0" xfId="1" applyNumberFormat="1" applyFont="1"/>
    <xf numFmtId="38" fontId="60" fillId="0" borderId="0" xfId="1" applyNumberFormat="1" applyFont="1"/>
    <xf numFmtId="166" fontId="60" fillId="0" borderId="14" xfId="1" applyNumberFormat="1" applyFont="1" applyBorder="1"/>
    <xf numFmtId="14" fontId="60" fillId="0" borderId="0" xfId="1" applyNumberFormat="1" applyFont="1"/>
    <xf numFmtId="169" fontId="60" fillId="0" borderId="0" xfId="0" applyNumberFormat="1" applyFont="1"/>
    <xf numFmtId="166" fontId="60" fillId="0" borderId="0" xfId="1" applyNumberFormat="1" applyFont="1" applyAlignment="1">
      <alignment horizontal="center"/>
    </xf>
    <xf numFmtId="164" fontId="60" fillId="0" borderId="0" xfId="0" applyNumberFormat="1" applyFont="1"/>
    <xf numFmtId="0" fontId="60" fillId="0" borderId="0" xfId="0" applyFont="1" applyBorder="1"/>
    <xf numFmtId="166" fontId="60" fillId="0" borderId="0" xfId="1" applyNumberFormat="1" applyFont="1" applyBorder="1"/>
    <xf numFmtId="164" fontId="68" fillId="0" borderId="0" xfId="1" applyNumberFormat="1" applyFont="1" applyBorder="1" applyAlignment="1">
      <alignment vertical="top"/>
    </xf>
    <xf numFmtId="169" fontId="69" fillId="0" borderId="0" xfId="0" applyNumberFormat="1" applyFont="1" applyBorder="1" applyAlignment="1">
      <alignment horizontal="center"/>
    </xf>
    <xf numFmtId="0" fontId="67" fillId="0" borderId="0" xfId="0" applyFont="1" applyAlignment="1">
      <alignment horizontal="center"/>
    </xf>
    <xf numFmtId="38" fontId="67" fillId="0" borderId="0" xfId="0" applyNumberFormat="1" applyFont="1" applyAlignment="1">
      <alignment horizontal="center"/>
    </xf>
    <xf numFmtId="166" fontId="67" fillId="0" borderId="0" xfId="1" applyNumberFormat="1" applyFont="1" applyAlignment="1">
      <alignment horizontal="center"/>
    </xf>
    <xf numFmtId="0" fontId="70" fillId="0" borderId="0" xfId="0" applyFont="1"/>
    <xf numFmtId="166" fontId="60" fillId="0" borderId="0" xfId="1" applyNumberFormat="1" applyFont="1" applyAlignment="1">
      <alignment horizontal="right"/>
    </xf>
    <xf numFmtId="169" fontId="60" fillId="4" borderId="0" xfId="0" applyNumberFormat="1" applyFont="1" applyFill="1"/>
    <xf numFmtId="169" fontId="60" fillId="0" borderId="0" xfId="1" applyNumberFormat="1" applyFont="1"/>
    <xf numFmtId="169" fontId="60" fillId="0" borderId="0" xfId="1" applyNumberFormat="1" applyFont="1" applyBorder="1"/>
    <xf numFmtId="166" fontId="33" fillId="2" borderId="25" xfId="1" applyNumberFormat="1" applyFont="1" applyFill="1" applyBorder="1" applyAlignment="1">
      <alignment horizontal="center"/>
    </xf>
    <xf numFmtId="169" fontId="18" fillId="2" borderId="30" xfId="1" applyNumberFormat="1" applyFont="1" applyFill="1" applyBorder="1"/>
    <xf numFmtId="169" fontId="33" fillId="2" borderId="30" xfId="1" applyNumberFormat="1" applyFont="1" applyFill="1" applyBorder="1"/>
    <xf numFmtId="169" fontId="18" fillId="2" borderId="30" xfId="1" quotePrefix="1" applyNumberFormat="1" applyFont="1" applyFill="1" applyBorder="1" applyAlignment="1">
      <alignment horizontal="right"/>
    </xf>
    <xf numFmtId="166" fontId="33" fillId="2" borderId="25" xfId="1" applyNumberFormat="1" applyFont="1" applyFill="1" applyBorder="1"/>
    <xf numFmtId="166" fontId="1" fillId="18" borderId="27" xfId="1" applyNumberFormat="1" applyFont="1" applyFill="1" applyBorder="1"/>
    <xf numFmtId="169" fontId="1" fillId="32" borderId="27" xfId="1" applyNumberFormat="1" applyFont="1" applyFill="1" applyBorder="1"/>
    <xf numFmtId="169" fontId="1" fillId="32" borderId="27" xfId="1" applyNumberFormat="1" applyFont="1" applyFill="1" applyBorder="1" applyAlignment="1">
      <alignment horizontal="center"/>
    </xf>
    <xf numFmtId="169" fontId="1" fillId="32" borderId="30" xfId="1" quotePrefix="1" applyNumberFormat="1" applyFont="1" applyFill="1" applyBorder="1" applyAlignment="1">
      <alignment horizontal="right"/>
    </xf>
    <xf numFmtId="166" fontId="1" fillId="18" borderId="56" xfId="1" applyNumberFormat="1" applyFont="1" applyFill="1" applyBorder="1" applyAlignment="1">
      <alignment horizontal="center"/>
    </xf>
    <xf numFmtId="169" fontId="1" fillId="32" borderId="56" xfId="1" applyNumberFormat="1" applyFont="1" applyFill="1" applyBorder="1" applyAlignment="1">
      <alignment horizontal="center"/>
    </xf>
    <xf numFmtId="166" fontId="1" fillId="18" borderId="30" xfId="1" applyNumberFormat="1" applyFont="1" applyFill="1" applyBorder="1" applyAlignment="1">
      <alignment horizontal="center"/>
    </xf>
    <xf numFmtId="169" fontId="1" fillId="32" borderId="39" xfId="1" applyNumberFormat="1" applyFont="1" applyFill="1" applyBorder="1"/>
    <xf numFmtId="169" fontId="1" fillId="32" borderId="30" xfId="1" applyNumberFormat="1" applyFont="1" applyFill="1" applyBorder="1" applyAlignment="1">
      <alignment horizontal="center"/>
    </xf>
    <xf numFmtId="164" fontId="61" fillId="0" borderId="0" xfId="1" applyNumberFormat="1" applyFont="1"/>
    <xf numFmtId="15" fontId="71" fillId="4" borderId="13" xfId="0" applyNumberFormat="1" applyFont="1" applyFill="1" applyBorder="1"/>
    <xf numFmtId="15" fontId="66" fillId="0" borderId="1" xfId="0" applyNumberFormat="1" applyFont="1" applyBorder="1" applyAlignment="1">
      <alignment horizontal="center"/>
    </xf>
    <xf numFmtId="167" fontId="66" fillId="0" borderId="1" xfId="0" applyNumberFormat="1" applyFont="1" applyBorder="1" applyAlignment="1">
      <alignment horizontal="center"/>
    </xf>
    <xf numFmtId="164" fontId="66" fillId="0" borderId="1" xfId="1" applyNumberFormat="1" applyFont="1" applyBorder="1" applyAlignment="1">
      <alignment horizontal="center"/>
    </xf>
    <xf numFmtId="181" fontId="66" fillId="0" borderId="1" xfId="1" applyNumberFormat="1" applyFont="1" applyBorder="1" applyAlignment="1">
      <alignment horizontal="center"/>
    </xf>
    <xf numFmtId="181" fontId="65" fillId="0" borderId="1" xfId="1" applyNumberFormat="1" applyFont="1" applyBorder="1" applyAlignment="1">
      <alignment horizontal="center"/>
    </xf>
    <xf numFmtId="180" fontId="66" fillId="0" borderId="1" xfId="1" applyNumberFormat="1" applyFont="1" applyBorder="1" applyAlignment="1">
      <alignment horizontal="center"/>
    </xf>
    <xf numFmtId="0" fontId="71" fillId="4" borderId="1" xfId="0" applyFont="1" applyFill="1" applyBorder="1" applyAlignment="1">
      <alignment vertical="center"/>
    </xf>
    <xf numFmtId="14" fontId="71" fillId="4" borderId="1" xfId="0" applyNumberFormat="1" applyFont="1" applyFill="1" applyBorder="1" applyAlignment="1">
      <alignment vertical="center"/>
    </xf>
    <xf numFmtId="164" fontId="72" fillId="4" borderId="1" xfId="1" applyNumberFormat="1" applyFont="1" applyFill="1" applyBorder="1" applyAlignment="1">
      <alignment vertical="center"/>
    </xf>
    <xf numFmtId="169" fontId="72" fillId="4" borderId="1" xfId="1" applyNumberFormat="1" applyFont="1" applyFill="1" applyBorder="1" applyAlignment="1">
      <alignment vertical="center"/>
    </xf>
    <xf numFmtId="0" fontId="71" fillId="4" borderId="0" xfId="0" applyFont="1" applyFill="1" applyAlignment="1">
      <alignment vertical="center"/>
    </xf>
    <xf numFmtId="169" fontId="71" fillId="4" borderId="0" xfId="1" applyNumberFormat="1" applyFont="1" applyFill="1" applyAlignment="1">
      <alignment horizontal="center" vertical="center"/>
    </xf>
    <xf numFmtId="0" fontId="71" fillId="4" borderId="0" xfId="0" applyFont="1" applyFill="1"/>
    <xf numFmtId="164" fontId="71" fillId="4" borderId="0" xfId="1" applyNumberFormat="1" applyFont="1" applyFill="1"/>
    <xf numFmtId="15" fontId="60" fillId="4" borderId="1" xfId="0" applyNumberFormat="1" applyFont="1" applyFill="1" applyBorder="1"/>
    <xf numFmtId="167" fontId="60" fillId="4" borderId="1" xfId="0" applyNumberFormat="1" applyFont="1" applyFill="1" applyBorder="1" applyAlignment="1">
      <alignment horizontal="center"/>
    </xf>
    <xf numFmtId="0" fontId="60" fillId="4" borderId="1" xfId="0" applyFont="1" applyFill="1" applyBorder="1"/>
    <xf numFmtId="164" fontId="60" fillId="4" borderId="1" xfId="1" applyNumberFormat="1" applyFont="1" applyFill="1" applyBorder="1"/>
    <xf numFmtId="181" fontId="60" fillId="4" borderId="1" xfId="1" applyNumberFormat="1" applyFont="1" applyFill="1" applyBorder="1"/>
    <xf numFmtId="181" fontId="67" fillId="4" borderId="1" xfId="1" applyNumberFormat="1" applyFont="1" applyFill="1" applyBorder="1"/>
    <xf numFmtId="181" fontId="60" fillId="36" borderId="1" xfId="1" applyNumberFormat="1" applyFont="1" applyFill="1" applyBorder="1"/>
    <xf numFmtId="0" fontId="72" fillId="4" borderId="1" xfId="0" applyFont="1" applyFill="1" applyBorder="1" applyAlignment="1">
      <alignment horizontal="center" vertical="center"/>
    </xf>
    <xf numFmtId="14" fontId="72" fillId="4" borderId="1" xfId="0" applyNumberFormat="1" applyFont="1" applyFill="1" applyBorder="1" applyAlignment="1">
      <alignment horizontal="center" vertical="center"/>
    </xf>
    <xf numFmtId="164" fontId="72" fillId="4" borderId="1" xfId="1" applyNumberFormat="1" applyFont="1" applyFill="1" applyBorder="1" applyAlignment="1">
      <alignment horizontal="center" vertical="center"/>
    </xf>
    <xf numFmtId="164" fontId="71" fillId="4" borderId="1" xfId="1" applyNumberFormat="1" applyFont="1" applyFill="1" applyBorder="1" applyAlignment="1">
      <alignment vertical="center"/>
    </xf>
    <xf numFmtId="169" fontId="71" fillId="4" borderId="1" xfId="1" applyNumberFormat="1" applyFont="1" applyFill="1" applyBorder="1" applyAlignment="1">
      <alignment vertical="center"/>
    </xf>
    <xf numFmtId="0" fontId="71" fillId="4" borderId="3" xfId="0" applyFont="1" applyFill="1" applyBorder="1" applyAlignment="1">
      <alignment vertical="center"/>
    </xf>
    <xf numFmtId="0" fontId="72" fillId="4" borderId="7" xfId="0" applyFont="1" applyFill="1" applyBorder="1" applyAlignment="1">
      <alignment horizontal="center" vertical="center"/>
    </xf>
    <xf numFmtId="0" fontId="60" fillId="36" borderId="1" xfId="0" applyFont="1" applyFill="1" applyBorder="1"/>
    <xf numFmtId="164" fontId="60" fillId="36" borderId="1" xfId="1" applyNumberFormat="1" applyFont="1" applyFill="1" applyBorder="1"/>
    <xf numFmtId="181" fontId="67" fillId="36" borderId="1" xfId="1" applyNumberFormat="1" applyFont="1" applyFill="1" applyBorder="1"/>
    <xf numFmtId="14" fontId="70" fillId="7" borderId="1" xfId="0" applyNumberFormat="1" applyFont="1" applyFill="1" applyBorder="1" applyAlignment="1">
      <alignment horizontal="left" vertical="center"/>
    </xf>
    <xf numFmtId="0" fontId="70" fillId="7" borderId="1" xfId="0" applyFont="1" applyFill="1" applyBorder="1" applyAlignment="1">
      <alignment horizontal="left" vertical="center"/>
    </xf>
    <xf numFmtId="164" fontId="72" fillId="7" borderId="1" xfId="1" applyNumberFormat="1" applyFont="1" applyFill="1" applyBorder="1" applyAlignment="1">
      <alignment horizontal="center" vertical="center"/>
    </xf>
    <xf numFmtId="0" fontId="65" fillId="17" borderId="15" xfId="0" applyFont="1" applyFill="1" applyBorder="1" applyAlignment="1">
      <alignment horizontal="center" vertical="center"/>
    </xf>
    <xf numFmtId="0" fontId="65" fillId="17" borderId="13" xfId="0" applyFont="1" applyFill="1" applyBorder="1" applyAlignment="1">
      <alignment horizontal="center" vertical="center"/>
    </xf>
    <xf numFmtId="0" fontId="65" fillId="17" borderId="6" xfId="0" applyFont="1" applyFill="1" applyBorder="1" applyAlignment="1">
      <alignment horizontal="center" vertical="center"/>
    </xf>
    <xf numFmtId="43" fontId="65" fillId="17" borderId="13" xfId="1" applyFont="1" applyFill="1" applyBorder="1" applyAlignment="1">
      <alignment horizontal="center" vertical="center"/>
    </xf>
    <xf numFmtId="164" fontId="65" fillId="17" borderId="13" xfId="1" applyNumberFormat="1" applyFont="1" applyFill="1" applyBorder="1" applyAlignment="1">
      <alignment horizontal="center" vertical="center"/>
    </xf>
    <xf numFmtId="14" fontId="71" fillId="4" borderId="1" xfId="0" applyNumberFormat="1" applyFont="1" applyFill="1" applyBorder="1" applyAlignment="1">
      <alignment horizontal="left" vertical="center"/>
    </xf>
    <xf numFmtId="167" fontId="60" fillId="0" borderId="53" xfId="0" applyNumberFormat="1" applyFont="1" applyBorder="1" applyAlignment="1">
      <alignment horizontal="center"/>
    </xf>
    <xf numFmtId="0" fontId="67" fillId="4" borderId="0" xfId="0" applyFont="1" applyFill="1"/>
    <xf numFmtId="0" fontId="65" fillId="7" borderId="9" xfId="0" applyFont="1" applyFill="1" applyBorder="1" applyAlignment="1">
      <alignment horizontal="center" vertical="center"/>
    </xf>
    <xf numFmtId="0" fontId="65" fillId="7" borderId="1" xfId="0" applyFont="1" applyFill="1" applyBorder="1" applyAlignment="1">
      <alignment horizontal="center" vertical="center"/>
    </xf>
    <xf numFmtId="0" fontId="67" fillId="7" borderId="8" xfId="0" applyFont="1" applyFill="1" applyBorder="1" applyAlignment="1">
      <alignment horizontal="left" vertical="center"/>
    </xf>
    <xf numFmtId="169" fontId="60" fillId="7" borderId="8" xfId="0" applyNumberFormat="1" applyFont="1" applyFill="1" applyBorder="1"/>
    <xf numFmtId="166" fontId="60" fillId="7" borderId="1" xfId="1" applyNumberFormat="1" applyFont="1" applyFill="1" applyBorder="1" applyAlignment="1">
      <alignment horizontal="center" vertical="center"/>
    </xf>
    <xf numFmtId="164" fontId="60" fillId="7" borderId="1" xfId="1" applyNumberFormat="1" applyFont="1" applyFill="1" applyBorder="1"/>
    <xf numFmtId="0" fontId="65" fillId="4" borderId="1" xfId="0" applyFont="1" applyFill="1" applyBorder="1" applyAlignment="1">
      <alignment horizontal="center" vertical="center"/>
    </xf>
    <xf numFmtId="0" fontId="60" fillId="4" borderId="8" xfId="0" applyFont="1" applyFill="1" applyBorder="1" applyAlignment="1">
      <alignment vertical="center"/>
    </xf>
    <xf numFmtId="169" fontId="71" fillId="4" borderId="1" xfId="0" applyNumberFormat="1" applyFont="1" applyFill="1" applyBorder="1" applyAlignment="1">
      <alignment vertical="center"/>
    </xf>
    <xf numFmtId="164" fontId="67" fillId="4" borderId="1" xfId="1" applyNumberFormat="1" applyFont="1" applyFill="1" applyBorder="1" applyAlignment="1">
      <alignment vertical="center"/>
    </xf>
    <xf numFmtId="164" fontId="60" fillId="2" borderId="1" xfId="1" applyNumberFormat="1" applyFont="1" applyFill="1" applyBorder="1" applyAlignment="1">
      <alignment vertical="center"/>
    </xf>
    <xf numFmtId="0" fontId="60" fillId="4" borderId="1" xfId="0" applyFont="1" applyFill="1" applyBorder="1" applyAlignment="1">
      <alignment vertical="center"/>
    </xf>
    <xf numFmtId="0" fontId="60" fillId="4" borderId="13" xfId="0" applyFont="1" applyFill="1" applyBorder="1"/>
    <xf numFmtId="0" fontId="60" fillId="36" borderId="13" xfId="0" applyFont="1" applyFill="1" applyBorder="1"/>
    <xf numFmtId="164" fontId="60" fillId="4" borderId="13" xfId="1" applyNumberFormat="1" applyFont="1" applyFill="1" applyBorder="1"/>
    <xf numFmtId="181" fontId="67" fillId="4" borderId="13" xfId="1" applyNumberFormat="1" applyFont="1" applyFill="1" applyBorder="1"/>
    <xf numFmtId="181" fontId="60" fillId="36" borderId="13" xfId="1" applyNumberFormat="1" applyFont="1" applyFill="1" applyBorder="1"/>
    <xf numFmtId="164" fontId="60" fillId="36" borderId="13" xfId="1" applyNumberFormat="1" applyFont="1" applyFill="1" applyBorder="1"/>
    <xf numFmtId="181" fontId="67" fillId="36" borderId="13" xfId="1" applyNumberFormat="1" applyFont="1" applyFill="1" applyBorder="1"/>
    <xf numFmtId="0" fontId="71" fillId="4" borderId="9" xfId="0" applyFont="1" applyFill="1" applyBorder="1" applyAlignment="1">
      <alignment vertical="center"/>
    </xf>
    <xf numFmtId="0" fontId="71" fillId="4" borderId="9" xfId="0" applyFont="1" applyFill="1" applyBorder="1" applyAlignment="1">
      <alignment horizontal="left" vertical="center"/>
    </xf>
    <xf numFmtId="0" fontId="71" fillId="4" borderId="1" xfId="0" applyFont="1" applyFill="1" applyBorder="1"/>
    <xf numFmtId="164" fontId="71" fillId="36" borderId="1" xfId="1" applyNumberFormat="1" applyFont="1" applyFill="1" applyBorder="1"/>
    <xf numFmtId="181" fontId="71" fillId="36" borderId="1" xfId="1" applyNumberFormat="1" applyFont="1" applyFill="1" applyBorder="1"/>
    <xf numFmtId="0" fontId="71" fillId="2" borderId="1" xfId="0" applyFont="1" applyFill="1" applyBorder="1" applyAlignment="1">
      <alignment horizontal="left" vertical="center"/>
    </xf>
    <xf numFmtId="0" fontId="71" fillId="4" borderId="4" xfId="0" applyFont="1" applyFill="1" applyBorder="1"/>
    <xf numFmtId="0" fontId="71" fillId="24" borderId="9" xfId="0" applyFont="1" applyFill="1" applyBorder="1" applyAlignment="1">
      <alignment horizontal="left" vertical="center"/>
    </xf>
    <xf numFmtId="0" fontId="71" fillId="24" borderId="1" xfId="0" applyFont="1" applyFill="1" applyBorder="1" applyAlignment="1">
      <alignment horizontal="left" vertical="center"/>
    </xf>
    <xf numFmtId="0" fontId="60" fillId="24" borderId="8" xfId="0" applyFont="1" applyFill="1" applyBorder="1" applyAlignment="1">
      <alignment vertical="center"/>
    </xf>
    <xf numFmtId="167" fontId="71" fillId="4" borderId="13" xfId="0" applyNumberFormat="1" applyFont="1" applyFill="1" applyBorder="1" applyAlignment="1">
      <alignment horizontal="center"/>
    </xf>
    <xf numFmtId="0" fontId="71" fillId="4" borderId="13" xfId="0" applyFont="1" applyFill="1" applyBorder="1"/>
    <xf numFmtId="0" fontId="71" fillId="36" borderId="13" xfId="0" applyFont="1" applyFill="1" applyBorder="1"/>
    <xf numFmtId="164" fontId="71" fillId="36" borderId="13" xfId="1" applyNumberFormat="1" applyFont="1" applyFill="1" applyBorder="1"/>
    <xf numFmtId="181" fontId="71" fillId="36" borderId="13" xfId="1" applyNumberFormat="1" applyFont="1" applyFill="1" applyBorder="1"/>
    <xf numFmtId="0" fontId="71" fillId="36" borderId="1" xfId="0" applyFont="1" applyFill="1" applyBorder="1"/>
    <xf numFmtId="164" fontId="71" fillId="4" borderId="1" xfId="1" applyNumberFormat="1" applyFont="1" applyFill="1" applyBorder="1"/>
    <xf numFmtId="181" fontId="71" fillId="4" borderId="1" xfId="1" applyNumberFormat="1" applyFont="1" applyFill="1" applyBorder="1"/>
    <xf numFmtId="181" fontId="60" fillId="36" borderId="3" xfId="1" applyNumberFormat="1" applyFont="1" applyFill="1" applyBorder="1"/>
    <xf numFmtId="164" fontId="71" fillId="4" borderId="13" xfId="1" applyNumberFormat="1" applyFont="1" applyFill="1" applyBorder="1"/>
    <xf numFmtId="181" fontId="71" fillId="4" borderId="13" xfId="1" applyNumberFormat="1" applyFont="1" applyFill="1" applyBorder="1"/>
    <xf numFmtId="181" fontId="71" fillId="36" borderId="13" xfId="0" applyNumberFormat="1" applyFont="1" applyFill="1" applyBorder="1"/>
    <xf numFmtId="0" fontId="71" fillId="29" borderId="9" xfId="0" applyFont="1" applyFill="1" applyBorder="1" applyAlignment="1">
      <alignment vertical="center"/>
    </xf>
    <xf numFmtId="0" fontId="71" fillId="29" borderId="1" xfId="0" applyFont="1" applyFill="1" applyBorder="1" applyAlignment="1">
      <alignment vertical="center"/>
    </xf>
    <xf numFmtId="0" fontId="71" fillId="29" borderId="8" xfId="0" applyFont="1" applyFill="1" applyBorder="1" applyAlignment="1">
      <alignment vertical="center"/>
    </xf>
    <xf numFmtId="0" fontId="71" fillId="2" borderId="9" xfId="0" applyFont="1" applyFill="1" applyBorder="1" applyAlignment="1">
      <alignment vertical="center"/>
    </xf>
    <xf numFmtId="0" fontId="71" fillId="2" borderId="1" xfId="0" applyFont="1" applyFill="1" applyBorder="1" applyAlignment="1">
      <alignment vertical="center"/>
    </xf>
    <xf numFmtId="0" fontId="71" fillId="2" borderId="8" xfId="0" applyFont="1" applyFill="1" applyBorder="1" applyAlignment="1">
      <alignment vertical="center"/>
    </xf>
    <xf numFmtId="15" fontId="71" fillId="4" borderId="4" xfId="0" applyNumberFormat="1" applyFont="1" applyFill="1" applyBorder="1"/>
    <xf numFmtId="167" fontId="71" fillId="4" borderId="4" xfId="0" applyNumberFormat="1" applyFont="1" applyFill="1" applyBorder="1" applyAlignment="1">
      <alignment horizontal="center"/>
    </xf>
    <xf numFmtId="0" fontId="71" fillId="36" borderId="4" xfId="0" applyFont="1" applyFill="1" applyBorder="1"/>
    <xf numFmtId="181" fontId="71" fillId="36" borderId="4" xfId="1" applyNumberFormat="1" applyFont="1" applyFill="1" applyBorder="1"/>
    <xf numFmtId="181" fontId="67" fillId="36" borderId="4" xfId="1" applyNumberFormat="1" applyFont="1" applyFill="1" applyBorder="1"/>
    <xf numFmtId="164" fontId="72" fillId="4" borderId="3" xfId="1" applyNumberFormat="1" applyFont="1" applyFill="1" applyBorder="1" applyAlignment="1">
      <alignment horizontal="center" vertical="center"/>
    </xf>
    <xf numFmtId="164" fontId="71" fillId="4" borderId="3" xfId="1" applyNumberFormat="1" applyFont="1" applyFill="1" applyBorder="1" applyAlignment="1">
      <alignment vertical="center"/>
    </xf>
    <xf numFmtId="0" fontId="71" fillId="10" borderId="9" xfId="0" applyFont="1" applyFill="1" applyBorder="1" applyAlignment="1">
      <alignment vertical="center"/>
    </xf>
    <xf numFmtId="0" fontId="71" fillId="10" borderId="1" xfId="0" applyFont="1" applyFill="1" applyBorder="1" applyAlignment="1">
      <alignment vertical="center"/>
    </xf>
    <xf numFmtId="0" fontId="71" fillId="10" borderId="8" xfId="0" applyFont="1" applyFill="1" applyBorder="1" applyAlignment="1">
      <alignment vertical="center"/>
    </xf>
    <xf numFmtId="0" fontId="67" fillId="4" borderId="1" xfId="0" applyFont="1" applyFill="1" applyBorder="1"/>
    <xf numFmtId="181" fontId="60" fillId="36" borderId="0" xfId="1" applyNumberFormat="1" applyFont="1" applyFill="1" applyBorder="1"/>
    <xf numFmtId="164" fontId="71" fillId="4" borderId="0" xfId="1" applyNumberFormat="1" applyFont="1" applyFill="1" applyBorder="1" applyAlignment="1">
      <alignment vertical="center"/>
    </xf>
    <xf numFmtId="169" fontId="71" fillId="4" borderId="0" xfId="1" applyNumberFormat="1" applyFont="1" applyFill="1" applyBorder="1" applyAlignment="1">
      <alignment vertical="center"/>
    </xf>
    <xf numFmtId="0" fontId="71" fillId="29" borderId="9" xfId="0" applyFont="1" applyFill="1" applyBorder="1" applyAlignment="1">
      <alignment horizontal="left" vertical="center"/>
    </xf>
    <xf numFmtId="0" fontId="71" fillId="4" borderId="8" xfId="0" applyFont="1" applyFill="1" applyBorder="1" applyAlignment="1">
      <alignment vertical="center"/>
    </xf>
    <xf numFmtId="15" fontId="67" fillId="4" borderId="4" xfId="0" applyNumberFormat="1" applyFont="1" applyFill="1" applyBorder="1"/>
    <xf numFmtId="167" fontId="67" fillId="4" borderId="4" xfId="0" applyNumberFormat="1" applyFont="1" applyFill="1" applyBorder="1" applyAlignment="1">
      <alignment horizontal="center"/>
    </xf>
    <xf numFmtId="0" fontId="67" fillId="4" borderId="4" xfId="0" applyFont="1" applyFill="1" applyBorder="1"/>
    <xf numFmtId="164" fontId="67" fillId="36" borderId="4" xfId="1" applyNumberFormat="1" applyFont="1" applyFill="1" applyBorder="1"/>
    <xf numFmtId="0" fontId="71" fillId="4" borderId="1" xfId="0" applyFont="1" applyFill="1" applyBorder="1" applyAlignment="1">
      <alignment horizontal="left" vertical="center"/>
    </xf>
    <xf numFmtId="0" fontId="73" fillId="2" borderId="0" xfId="0" applyFont="1" applyFill="1" applyAlignment="1">
      <alignment horizontal="left" vertical="center"/>
    </xf>
    <xf numFmtId="169" fontId="71" fillId="2" borderId="1" xfId="0" applyNumberFormat="1" applyFont="1" applyFill="1" applyBorder="1" applyAlignment="1">
      <alignment vertical="center"/>
    </xf>
    <xf numFmtId="15" fontId="71" fillId="4" borderId="6" xfId="0" applyNumberFormat="1" applyFont="1" applyFill="1" applyBorder="1"/>
    <xf numFmtId="0" fontId="60" fillId="4" borderId="4" xfId="0" applyFont="1" applyFill="1" applyBorder="1"/>
    <xf numFmtId="0" fontId="67" fillId="4" borderId="13" xfId="0" applyFont="1" applyFill="1" applyBorder="1"/>
    <xf numFmtId="164" fontId="67" fillId="36" borderId="13" xfId="1" applyNumberFormat="1" applyFont="1" applyFill="1" applyBorder="1"/>
    <xf numFmtId="164" fontId="67" fillId="4" borderId="1" xfId="1" applyNumberFormat="1" applyFont="1" applyFill="1" applyBorder="1"/>
    <xf numFmtId="164" fontId="67" fillId="36" borderId="1" xfId="1" applyNumberFormat="1" applyFont="1" applyFill="1" applyBorder="1"/>
    <xf numFmtId="0" fontId="71" fillId="4" borderId="0" xfId="0" applyFont="1" applyFill="1" applyBorder="1"/>
    <xf numFmtId="164" fontId="71" fillId="4" borderId="64" xfId="1" applyNumberFormat="1" applyFont="1" applyFill="1" applyBorder="1"/>
    <xf numFmtId="181" fontId="71" fillId="4" borderId="64" xfId="1" applyNumberFormat="1" applyFont="1" applyFill="1" applyBorder="1"/>
    <xf numFmtId="181" fontId="67" fillId="4" borderId="64" xfId="1" applyNumberFormat="1" applyFont="1" applyFill="1" applyBorder="1"/>
    <xf numFmtId="167" fontId="67" fillId="4" borderId="1" xfId="0" applyNumberFormat="1" applyFont="1" applyFill="1" applyBorder="1" applyAlignment="1">
      <alignment horizontal="center"/>
    </xf>
    <xf numFmtId="0" fontId="67" fillId="36" borderId="1" xfId="0" applyFont="1" applyFill="1" applyBorder="1"/>
    <xf numFmtId="164" fontId="67" fillId="4" borderId="13" xfId="1" applyNumberFormat="1" applyFont="1" applyFill="1" applyBorder="1"/>
    <xf numFmtId="0" fontId="67" fillId="36" borderId="13" xfId="0" applyFont="1" applyFill="1" applyBorder="1"/>
    <xf numFmtId="181" fontId="66" fillId="36" borderId="0" xfId="1" applyNumberFormat="1" applyFont="1" applyFill="1" applyBorder="1"/>
    <xf numFmtId="0" fontId="72" fillId="2" borderId="9" xfId="0" applyFont="1" applyFill="1" applyBorder="1" applyAlignment="1">
      <alignment vertical="center"/>
    </xf>
    <xf numFmtId="0" fontId="73" fillId="2" borderId="1" xfId="0" applyFont="1" applyFill="1" applyBorder="1" applyAlignment="1">
      <alignment horizontal="left" vertical="center"/>
    </xf>
    <xf numFmtId="0" fontId="60" fillId="4" borderId="0" xfId="0" applyFont="1" applyFill="1"/>
    <xf numFmtId="0" fontId="73" fillId="17" borderId="0" xfId="0" applyFont="1" applyFill="1" applyAlignment="1">
      <alignment horizontal="left" vertical="center"/>
    </xf>
    <xf numFmtId="0" fontId="73" fillId="17" borderId="1" xfId="0" applyFont="1" applyFill="1" applyBorder="1" applyAlignment="1">
      <alignment horizontal="left" vertical="center"/>
    </xf>
    <xf numFmtId="0" fontId="71" fillId="17" borderId="8" xfId="0" applyFont="1" applyFill="1" applyBorder="1" applyAlignment="1">
      <alignment vertical="center"/>
    </xf>
    <xf numFmtId="169" fontId="71" fillId="17" borderId="1" xfId="0" applyNumberFormat="1" applyFont="1" applyFill="1" applyBorder="1" applyAlignment="1">
      <alignment vertical="center"/>
    </xf>
    <xf numFmtId="164" fontId="67" fillId="17" borderId="1" xfId="1" applyNumberFormat="1" applyFont="1" applyFill="1" applyBorder="1" applyAlignment="1">
      <alignment vertical="center"/>
    </xf>
    <xf numFmtId="164" fontId="60" fillId="17" borderId="1" xfId="1" applyNumberFormat="1" applyFont="1" applyFill="1" applyBorder="1" applyAlignment="1">
      <alignment vertical="center"/>
    </xf>
    <xf numFmtId="164" fontId="60" fillId="17" borderId="1" xfId="1" applyNumberFormat="1" applyFont="1" applyFill="1" applyBorder="1"/>
    <xf numFmtId="0" fontId="71" fillId="4" borderId="11" xfId="0" applyFont="1" applyFill="1" applyBorder="1" applyAlignment="1">
      <alignment vertical="center"/>
    </xf>
    <xf numFmtId="169" fontId="71" fillId="4" borderId="3" xfId="0" applyNumberFormat="1" applyFont="1" applyFill="1" applyBorder="1" applyAlignment="1">
      <alignment vertical="center"/>
    </xf>
    <xf numFmtId="169" fontId="71" fillId="4" borderId="3" xfId="1" applyNumberFormat="1" applyFont="1" applyFill="1" applyBorder="1" applyAlignment="1">
      <alignment vertical="center"/>
    </xf>
    <xf numFmtId="181" fontId="71" fillId="4" borderId="13" xfId="0" applyNumberFormat="1" applyFont="1" applyFill="1" applyBorder="1"/>
    <xf numFmtId="169" fontId="71" fillId="4" borderId="0" xfId="1" applyNumberFormat="1" applyFont="1" applyFill="1" applyAlignment="1">
      <alignment horizontal="center"/>
    </xf>
    <xf numFmtId="164" fontId="60" fillId="4" borderId="0" xfId="1" applyNumberFormat="1" applyFont="1" applyFill="1"/>
    <xf numFmtId="15" fontId="67" fillId="4" borderId="13" xfId="0" applyNumberFormat="1" applyFont="1" applyFill="1" applyBorder="1"/>
    <xf numFmtId="164" fontId="60" fillId="36" borderId="62" xfId="1" applyNumberFormat="1" applyFont="1" applyFill="1" applyBorder="1"/>
    <xf numFmtId="15" fontId="60" fillId="4" borderId="13" xfId="0" applyNumberFormat="1" applyFont="1" applyFill="1" applyBorder="1"/>
    <xf numFmtId="167" fontId="60" fillId="4" borderId="13" xfId="0" applyNumberFormat="1" applyFont="1" applyFill="1" applyBorder="1" applyAlignment="1">
      <alignment horizontal="center"/>
    </xf>
    <xf numFmtId="164" fontId="71" fillId="4" borderId="0" xfId="1" applyNumberFormat="1" applyFont="1" applyFill="1" applyAlignment="1">
      <alignment vertical="center"/>
    </xf>
    <xf numFmtId="164" fontId="60" fillId="4" borderId="0" xfId="1" applyNumberFormat="1" applyFont="1" applyFill="1" applyBorder="1" applyAlignment="1">
      <alignment vertical="center"/>
    </xf>
    <xf numFmtId="169" fontId="60" fillId="4" borderId="0" xfId="1" applyNumberFormat="1" applyFont="1" applyFill="1" applyBorder="1" applyAlignment="1">
      <alignment vertical="center"/>
    </xf>
    <xf numFmtId="0" fontId="60" fillId="4" borderId="0" xfId="0" applyFont="1" applyFill="1" applyAlignment="1">
      <alignment vertical="center"/>
    </xf>
    <xf numFmtId="169" fontId="60" fillId="4" borderId="0" xfId="1" applyNumberFormat="1" applyFont="1" applyFill="1" applyAlignment="1">
      <alignment horizontal="center" vertical="center"/>
    </xf>
    <xf numFmtId="164" fontId="60" fillId="4" borderId="0" xfId="1" applyNumberFormat="1" applyFont="1" applyFill="1" applyAlignment="1">
      <alignment vertical="center"/>
    </xf>
    <xf numFmtId="169" fontId="60" fillId="4" borderId="0" xfId="1" applyNumberFormat="1" applyFont="1" applyFill="1" applyAlignment="1">
      <alignment horizontal="center"/>
    </xf>
    <xf numFmtId="167" fontId="67" fillId="4" borderId="13" xfId="0" applyNumberFormat="1" applyFont="1" applyFill="1" applyBorder="1" applyAlignment="1">
      <alignment horizontal="center"/>
    </xf>
    <xf numFmtId="15" fontId="60" fillId="36" borderId="13" xfId="0" applyNumberFormat="1" applyFont="1" applyFill="1" applyBorder="1"/>
    <xf numFmtId="167" fontId="60" fillId="36" borderId="13" xfId="0" applyNumberFormat="1" applyFont="1" applyFill="1" applyBorder="1" applyAlignment="1">
      <alignment horizontal="center"/>
    </xf>
    <xf numFmtId="15" fontId="60" fillId="36" borderId="1" xfId="0" applyNumberFormat="1" applyFont="1" applyFill="1" applyBorder="1"/>
    <xf numFmtId="167" fontId="60" fillId="36" borderId="1" xfId="0" applyNumberFormat="1" applyFont="1" applyFill="1" applyBorder="1" applyAlignment="1">
      <alignment horizontal="center"/>
    </xf>
    <xf numFmtId="38" fontId="60" fillId="4" borderId="0" xfId="1" applyNumberFormat="1" applyFont="1" applyFill="1" applyBorder="1"/>
    <xf numFmtId="38" fontId="60" fillId="36" borderId="0" xfId="1" applyNumberFormat="1" applyFont="1" applyFill="1" applyBorder="1"/>
    <xf numFmtId="15" fontId="60" fillId="36" borderId="9" xfId="0" applyNumberFormat="1" applyFont="1" applyFill="1" applyBorder="1"/>
    <xf numFmtId="15" fontId="60" fillId="36" borderId="12" xfId="0" applyNumberFormat="1" applyFont="1" applyFill="1" applyBorder="1"/>
    <xf numFmtId="167" fontId="60" fillId="36" borderId="3" xfId="0" applyNumberFormat="1" applyFont="1" applyFill="1" applyBorder="1" applyAlignment="1">
      <alignment horizontal="center"/>
    </xf>
    <xf numFmtId="0" fontId="60" fillId="36" borderId="3" xfId="0" applyFont="1" applyFill="1" applyBorder="1"/>
    <xf numFmtId="164" fontId="60" fillId="36" borderId="3" xfId="1" applyNumberFormat="1" applyFont="1" applyFill="1" applyBorder="1"/>
    <xf numFmtId="181" fontId="67" fillId="36" borderId="3" xfId="1" applyNumberFormat="1" applyFont="1" applyFill="1" applyBorder="1"/>
    <xf numFmtId="15" fontId="60" fillId="4" borderId="12" xfId="0" applyNumberFormat="1" applyFont="1" applyFill="1" applyBorder="1"/>
    <xf numFmtId="167" fontId="60" fillId="4" borderId="3" xfId="0" applyNumberFormat="1" applyFont="1" applyFill="1" applyBorder="1" applyAlignment="1">
      <alignment horizontal="center"/>
    </xf>
    <xf numFmtId="0" fontId="60" fillId="4" borderId="3" xfId="0" applyFont="1" applyFill="1" applyBorder="1"/>
    <xf numFmtId="164" fontId="60" fillId="4" borderId="3" xfId="1" applyNumberFormat="1" applyFont="1" applyFill="1" applyBorder="1"/>
    <xf numFmtId="181" fontId="67" fillId="4" borderId="3" xfId="1" applyNumberFormat="1" applyFont="1" applyFill="1" applyBorder="1"/>
    <xf numFmtId="15" fontId="60" fillId="4" borderId="9" xfId="0" applyNumberFormat="1" applyFont="1" applyFill="1" applyBorder="1"/>
    <xf numFmtId="167" fontId="60" fillId="4" borderId="1" xfId="0" applyNumberFormat="1" applyFont="1" applyFill="1" applyBorder="1"/>
    <xf numFmtId="169" fontId="66" fillId="0" borderId="1" xfId="1" applyNumberFormat="1" applyFont="1" applyBorder="1" applyAlignment="1">
      <alignment horizontal="center"/>
    </xf>
    <xf numFmtId="169" fontId="60" fillId="36" borderId="1" xfId="1" applyNumberFormat="1" applyFont="1" applyFill="1" applyBorder="1"/>
    <xf numFmtId="169" fontId="60" fillId="36" borderId="13" xfId="1" applyNumberFormat="1" applyFont="1" applyFill="1" applyBorder="1"/>
    <xf numFmtId="169" fontId="60" fillId="36" borderId="4" xfId="1" applyNumberFormat="1" applyFont="1" applyFill="1" applyBorder="1"/>
    <xf numFmtId="169" fontId="67" fillId="36" borderId="13" xfId="1" applyNumberFormat="1" applyFont="1" applyFill="1" applyBorder="1"/>
    <xf numFmtId="169" fontId="67" fillId="36" borderId="1" xfId="1" applyNumberFormat="1" applyFont="1" applyFill="1" applyBorder="1"/>
    <xf numFmtId="169" fontId="67" fillId="36" borderId="4" xfId="1" applyNumberFormat="1" applyFont="1" applyFill="1" applyBorder="1"/>
    <xf numFmtId="169" fontId="71" fillId="36" borderId="13" xfId="1" applyNumberFormat="1" applyFont="1" applyFill="1" applyBorder="1"/>
    <xf numFmtId="169" fontId="71" fillId="36" borderId="1" xfId="1" applyNumberFormat="1" applyFont="1" applyFill="1" applyBorder="1"/>
    <xf numFmtId="169" fontId="71" fillId="36" borderId="64" xfId="1" applyNumberFormat="1" applyFont="1" applyFill="1" applyBorder="1"/>
    <xf numFmtId="169" fontId="71" fillId="4" borderId="13" xfId="1" applyNumberFormat="1" applyFont="1" applyFill="1" applyBorder="1"/>
    <xf numFmtId="169" fontId="60" fillId="36" borderId="8" xfId="1" applyNumberFormat="1" applyFont="1" applyFill="1" applyBorder="1"/>
    <xf numFmtId="169" fontId="60" fillId="36" borderId="11" xfId="1" applyNumberFormat="1" applyFont="1" applyFill="1" applyBorder="1"/>
    <xf numFmtId="169" fontId="71" fillId="4" borderId="1" xfId="1" applyNumberFormat="1" applyFont="1" applyFill="1" applyBorder="1"/>
    <xf numFmtId="169" fontId="60" fillId="4" borderId="1" xfId="1" applyNumberFormat="1" applyFont="1" applyFill="1" applyBorder="1"/>
    <xf numFmtId="0" fontId="71" fillId="29" borderId="1" xfId="0" applyFont="1" applyFill="1" applyBorder="1" applyAlignment="1">
      <alignment horizontal="left" vertical="center"/>
    </xf>
    <xf numFmtId="0" fontId="71" fillId="45" borderId="1" xfId="0" applyFont="1" applyFill="1" applyBorder="1" applyAlignment="1">
      <alignment vertical="center"/>
    </xf>
    <xf numFmtId="0" fontId="71" fillId="45" borderId="1" xfId="0" applyFont="1" applyFill="1" applyBorder="1" applyAlignment="1">
      <alignment horizontal="left" vertical="center"/>
    </xf>
    <xf numFmtId="0" fontId="71" fillId="46" borderId="9" xfId="0" applyFont="1" applyFill="1" applyBorder="1" applyAlignment="1">
      <alignment horizontal="left" vertical="center"/>
    </xf>
    <xf numFmtId="0" fontId="71" fillId="46" borderId="1" xfId="0" applyFont="1" applyFill="1" applyBorder="1" applyAlignment="1">
      <alignment vertical="center"/>
    </xf>
    <xf numFmtId="0" fontId="71" fillId="46" borderId="1" xfId="0" applyFont="1" applyFill="1" applyBorder="1" applyAlignment="1">
      <alignment horizontal="left" vertical="center"/>
    </xf>
    <xf numFmtId="0" fontId="71" fillId="8" borderId="9" xfId="0" applyFont="1" applyFill="1" applyBorder="1" applyAlignment="1">
      <alignment vertical="center"/>
    </xf>
    <xf numFmtId="0" fontId="73" fillId="8" borderId="1" xfId="0" applyFont="1" applyFill="1" applyBorder="1" applyAlignment="1">
      <alignment horizontal="left" vertical="center"/>
    </xf>
    <xf numFmtId="0" fontId="60" fillId="48" borderId="9" xfId="0" applyFont="1" applyFill="1" applyBorder="1" applyAlignment="1">
      <alignment horizontal="left"/>
    </xf>
    <xf numFmtId="0" fontId="60" fillId="48" borderId="0" xfId="0" applyFont="1" applyFill="1" applyAlignment="1">
      <alignment horizontal="left"/>
    </xf>
    <xf numFmtId="0" fontId="60" fillId="48" borderId="9" xfId="0" applyFont="1" applyFill="1" applyBorder="1" applyAlignment="1">
      <alignment vertical="center"/>
    </xf>
    <xf numFmtId="0" fontId="73" fillId="48" borderId="9" xfId="0" applyFont="1" applyFill="1" applyBorder="1" applyAlignment="1">
      <alignment horizontal="left" vertical="center"/>
    </xf>
    <xf numFmtId="0" fontId="71" fillId="47" borderId="9" xfId="0" applyFont="1" applyFill="1" applyBorder="1" applyAlignment="1">
      <alignment vertical="center"/>
    </xf>
    <xf numFmtId="0" fontId="71" fillId="47" borderId="1" xfId="0" applyFont="1" applyFill="1" applyBorder="1" applyAlignment="1">
      <alignment vertical="center"/>
    </xf>
    <xf numFmtId="0" fontId="60" fillId="47" borderId="8" xfId="0" applyFont="1" applyFill="1" applyBorder="1" applyAlignment="1">
      <alignment vertical="center"/>
    </xf>
    <xf numFmtId="0" fontId="71" fillId="47" borderId="8" xfId="0" applyFont="1" applyFill="1" applyBorder="1" applyAlignment="1">
      <alignment vertical="center"/>
    </xf>
    <xf numFmtId="0" fontId="71" fillId="15" borderId="9" xfId="0" applyFont="1" applyFill="1" applyBorder="1" applyAlignment="1">
      <alignment vertical="center"/>
    </xf>
    <xf numFmtId="0" fontId="71" fillId="15" borderId="9" xfId="0" applyFont="1" applyFill="1" applyBorder="1" applyAlignment="1">
      <alignment horizontal="left" vertical="center"/>
    </xf>
    <xf numFmtId="0" fontId="73" fillId="4" borderId="1" xfId="0" applyFont="1" applyFill="1" applyBorder="1" applyAlignment="1">
      <alignment horizontal="left" vertical="center"/>
    </xf>
    <xf numFmtId="0" fontId="73" fillId="45" borderId="1" xfId="0" applyFont="1" applyFill="1" applyBorder="1" applyAlignment="1">
      <alignment horizontal="left" vertical="center"/>
    </xf>
    <xf numFmtId="169" fontId="71" fillId="45" borderId="1" xfId="0" applyNumberFormat="1" applyFont="1" applyFill="1" applyBorder="1" applyAlignment="1">
      <alignment vertical="center"/>
    </xf>
    <xf numFmtId="0" fontId="71" fillId="44" borderId="9" xfId="0" applyFont="1" applyFill="1" applyBorder="1" applyAlignment="1">
      <alignment horizontal="left" vertical="center"/>
    </xf>
    <xf numFmtId="0" fontId="71" fillId="44" borderId="1" xfId="0" applyFont="1" applyFill="1" applyBorder="1" applyAlignment="1">
      <alignment horizontal="left" vertical="center"/>
    </xf>
    <xf numFmtId="0" fontId="71" fillId="44" borderId="8" xfId="0" applyFont="1" applyFill="1" applyBorder="1" applyAlignment="1">
      <alignment vertical="center"/>
    </xf>
    <xf numFmtId="0" fontId="71" fillId="49" borderId="9" xfId="0" applyFont="1" applyFill="1" applyBorder="1" applyAlignment="1">
      <alignment vertical="center"/>
    </xf>
    <xf numFmtId="0" fontId="71" fillId="49" borderId="1" xfId="0" applyFont="1" applyFill="1" applyBorder="1" applyAlignment="1">
      <alignment vertical="center"/>
    </xf>
    <xf numFmtId="0" fontId="71" fillId="49" borderId="8" xfId="0" applyFont="1" applyFill="1" applyBorder="1" applyAlignment="1">
      <alignment vertical="center"/>
    </xf>
    <xf numFmtId="0" fontId="71" fillId="49" borderId="3" xfId="0" applyFont="1" applyFill="1" applyBorder="1" applyAlignment="1">
      <alignment vertical="center"/>
    </xf>
    <xf numFmtId="169" fontId="60" fillId="2" borderId="1" xfId="0" applyNumberFormat="1" applyFont="1" applyFill="1" applyBorder="1"/>
    <xf numFmtId="3" fontId="10" fillId="17" borderId="1" xfId="0" applyNumberFormat="1" applyFont="1" applyFill="1" applyBorder="1" applyAlignment="1">
      <alignment horizontal="right"/>
    </xf>
    <xf numFmtId="3" fontId="10" fillId="17" borderId="1" xfId="0" applyNumberFormat="1" applyFont="1" applyFill="1" applyBorder="1" applyAlignment="1">
      <alignment horizontal="center"/>
    </xf>
    <xf numFmtId="0" fontId="31" fillId="50" borderId="0" xfId="0" applyFont="1" applyFill="1" applyAlignment="1">
      <alignment horizontal="center"/>
    </xf>
    <xf numFmtId="181" fontId="71" fillId="36" borderId="3" xfId="1" applyNumberFormat="1" applyFont="1" applyFill="1" applyBorder="1"/>
    <xf numFmtId="181" fontId="71" fillId="4" borderId="3" xfId="1" applyNumberFormat="1" applyFont="1" applyFill="1" applyBorder="1"/>
    <xf numFmtId="177" fontId="16" fillId="17" borderId="1" xfId="0" applyNumberFormat="1" applyFont="1" applyFill="1" applyBorder="1" applyAlignment="1">
      <alignment horizontal="center" vertical="center"/>
    </xf>
    <xf numFmtId="174" fontId="16" fillId="17" borderId="1" xfId="0" applyNumberFormat="1" applyFont="1" applyFill="1" applyBorder="1" applyAlignment="1">
      <alignment horizontal="center" vertical="center"/>
    </xf>
    <xf numFmtId="0" fontId="59" fillId="17" borderId="45" xfId="0" applyFont="1" applyFill="1" applyBorder="1" applyAlignment="1">
      <alignment vertical="center" wrapText="1"/>
    </xf>
    <xf numFmtId="0" fontId="16" fillId="17" borderId="1" xfId="0" applyFont="1" applyFill="1" applyBorder="1" applyAlignment="1">
      <alignment vertical="center"/>
    </xf>
    <xf numFmtId="3" fontId="16" fillId="17" borderId="3" xfId="1" applyNumberFormat="1" applyFont="1" applyFill="1" applyBorder="1" applyAlignment="1">
      <alignment horizontal="right"/>
    </xf>
    <xf numFmtId="164" fontId="16" fillId="17" borderId="3" xfId="1" applyNumberFormat="1" applyFont="1" applyFill="1" applyBorder="1" applyAlignment="1">
      <alignment horizontal="center"/>
    </xf>
    <xf numFmtId="164" fontId="16" fillId="17" borderId="1" xfId="1" applyNumberFormat="1" applyFont="1" applyFill="1" applyBorder="1" applyAlignment="1">
      <alignment horizontal="center"/>
    </xf>
    <xf numFmtId="9" fontId="16" fillId="17" borderId="1" xfId="0" applyNumberFormat="1" applyFont="1" applyFill="1" applyBorder="1" applyAlignment="1">
      <alignment horizontal="center" vertical="center"/>
    </xf>
    <xf numFmtId="164" fontId="16" fillId="17" borderId="1" xfId="1" applyNumberFormat="1" applyFont="1" applyFill="1" applyBorder="1" applyAlignment="1">
      <alignment vertical="center"/>
    </xf>
    <xf numFmtId="164" fontId="16" fillId="17" borderId="1" xfId="0" applyNumberFormat="1" applyFont="1" applyFill="1" applyBorder="1" applyAlignment="1">
      <alignment vertical="center"/>
    </xf>
    <xf numFmtId="14" fontId="16" fillId="17" borderId="1" xfId="0" applyNumberFormat="1" applyFont="1" applyFill="1" applyBorder="1" applyAlignment="1">
      <alignment vertical="center"/>
    </xf>
    <xf numFmtId="14" fontId="16" fillId="17" borderId="1" xfId="0" applyNumberFormat="1" applyFont="1" applyFill="1" applyBorder="1" applyAlignment="1">
      <alignment horizontal="center" vertical="center"/>
    </xf>
    <xf numFmtId="0" fontId="16" fillId="17" borderId="0" xfId="0" applyFont="1" applyFill="1" applyAlignment="1">
      <alignment vertical="center"/>
    </xf>
    <xf numFmtId="183" fontId="71" fillId="36" borderId="13" xfId="0" applyNumberFormat="1" applyFont="1" applyFill="1" applyBorder="1"/>
    <xf numFmtId="0" fontId="75" fillId="17" borderId="1" xfId="0" applyFont="1" applyFill="1" applyBorder="1" applyAlignment="1">
      <alignment horizontal="center"/>
    </xf>
    <xf numFmtId="0" fontId="75" fillId="17" borderId="1" xfId="0" applyFont="1" applyFill="1" applyBorder="1" applyAlignment="1">
      <alignment horizontal="center" vertical="center"/>
    </xf>
    <xf numFmtId="167" fontId="71" fillId="4" borderId="1" xfId="0" applyNumberFormat="1" applyFont="1" applyFill="1" applyBorder="1" applyAlignment="1">
      <alignment horizontal="center"/>
    </xf>
    <xf numFmtId="14" fontId="10" fillId="17" borderId="58" xfId="0" applyNumberFormat="1" applyFont="1" applyFill="1" applyBorder="1" applyAlignment="1">
      <alignment horizontal="center" vertical="center"/>
    </xf>
    <xf numFmtId="0" fontId="10" fillId="17" borderId="58" xfId="0" applyFont="1" applyFill="1" applyBorder="1" applyAlignment="1">
      <alignment vertical="center"/>
    </xf>
    <xf numFmtId="164" fontId="27" fillId="14" borderId="30" xfId="4" applyNumberFormat="1" applyFont="1" applyFill="1" applyBorder="1" applyAlignment="1">
      <alignment horizontal="center"/>
    </xf>
    <xf numFmtId="0" fontId="27" fillId="14" borderId="0" xfId="0" applyFont="1" applyFill="1"/>
    <xf numFmtId="169" fontId="27" fillId="14" borderId="46" xfId="4" applyNumberFormat="1" applyFont="1" applyFill="1" applyBorder="1" applyAlignment="1">
      <alignment horizontal="right"/>
    </xf>
    <xf numFmtId="164" fontId="67" fillId="49" borderId="1" xfId="1" applyNumberFormat="1" applyFont="1" applyFill="1" applyBorder="1" applyAlignment="1">
      <alignment vertical="center"/>
    </xf>
    <xf numFmtId="181" fontId="67" fillId="4" borderId="13" xfId="0" applyNumberFormat="1" applyFont="1" applyFill="1" applyBorder="1"/>
    <xf numFmtId="169" fontId="67" fillId="4" borderId="13" xfId="1" applyNumberFormat="1" applyFont="1" applyFill="1" applyBorder="1"/>
    <xf numFmtId="181" fontId="60" fillId="4" borderId="13" xfId="1" applyNumberFormat="1" applyFont="1" applyFill="1" applyBorder="1"/>
    <xf numFmtId="0" fontId="1" fillId="51" borderId="0" xfId="0" applyFont="1" applyFill="1" applyAlignment="1">
      <alignment horizontal="center"/>
    </xf>
    <xf numFmtId="164" fontId="18" fillId="51" borderId="0" xfId="1" applyNumberFormat="1" applyFont="1" applyFill="1"/>
    <xf numFmtId="0" fontId="18" fillId="51" borderId="0" xfId="0" applyFont="1" applyFill="1" applyAlignment="1">
      <alignment horizontal="center"/>
    </xf>
    <xf numFmtId="164" fontId="18" fillId="51" borderId="0" xfId="1" applyNumberFormat="1" applyFont="1" applyFill="1" applyAlignment="1">
      <alignment horizontal="center"/>
    </xf>
    <xf numFmtId="166" fontId="2" fillId="22" borderId="70" xfId="4" applyNumberFormat="1" applyFont="1" applyFill="1" applyBorder="1" applyAlignment="1">
      <alignment horizontal="center"/>
    </xf>
    <xf numFmtId="166" fontId="2" fillId="22" borderId="71" xfId="4" applyNumberFormat="1" applyFont="1" applyFill="1" applyBorder="1" applyAlignment="1">
      <alignment horizontal="center"/>
    </xf>
    <xf numFmtId="166" fontId="2" fillId="22" borderId="70" xfId="4" applyNumberFormat="1" applyFont="1" applyFill="1" applyBorder="1" applyAlignment="1">
      <alignment horizontal="right"/>
    </xf>
    <xf numFmtId="164" fontId="61" fillId="0" borderId="0" xfId="1" applyNumberFormat="1" applyFont="1" applyAlignment="1">
      <alignment horizontal="center"/>
    </xf>
    <xf numFmtId="0" fontId="77" fillId="0" borderId="0" xfId="0" pivotButton="1" applyFont="1"/>
    <xf numFmtId="164" fontId="77" fillId="0" borderId="0" xfId="0" applyNumberFormat="1" applyFont="1" applyAlignment="1">
      <alignment horizontal="left"/>
    </xf>
    <xf numFmtId="164" fontId="77" fillId="0" borderId="0" xfId="0" applyNumberFormat="1" applyFont="1"/>
    <xf numFmtId="14" fontId="77" fillId="0" borderId="0" xfId="0" applyNumberFormat="1" applyFont="1"/>
    <xf numFmtId="0" fontId="77" fillId="0" borderId="0" xfId="0" applyFont="1"/>
    <xf numFmtId="0" fontId="78" fillId="0" borderId="0" xfId="0" applyFont="1"/>
    <xf numFmtId="15" fontId="61" fillId="0" borderId="0" xfId="0" applyNumberFormat="1" applyFont="1"/>
    <xf numFmtId="0" fontId="62" fillId="0" borderId="0" xfId="0" applyFont="1" applyAlignment="1">
      <alignment horizontal="center"/>
    </xf>
    <xf numFmtId="15" fontId="61" fillId="0" borderId="1" xfId="0" applyNumberFormat="1" applyFont="1" applyBorder="1"/>
    <xf numFmtId="0" fontId="79" fillId="4" borderId="1" xfId="0" applyFont="1" applyFill="1" applyBorder="1" applyAlignment="1">
      <alignment horizontal="center"/>
    </xf>
    <xf numFmtId="0" fontId="61" fillId="0" borderId="1" xfId="0" applyFont="1" applyBorder="1"/>
    <xf numFmtId="15" fontId="62" fillId="4" borderId="1" xfId="0" applyNumberFormat="1" applyFont="1" applyFill="1" applyBorder="1" applyAlignment="1">
      <alignment horizontal="center"/>
    </xf>
    <xf numFmtId="0" fontId="62" fillId="4" borderId="1" xfId="0" applyFont="1" applyFill="1" applyBorder="1" applyAlignment="1">
      <alignment horizontal="center"/>
    </xf>
    <xf numFmtId="15" fontId="80" fillId="0" borderId="1" xfId="0" applyNumberFormat="1" applyFont="1" applyBorder="1"/>
    <xf numFmtId="0" fontId="71" fillId="0" borderId="1" xfId="0" applyFont="1" applyBorder="1"/>
    <xf numFmtId="0" fontId="80" fillId="0" borderId="0" xfId="0" applyFont="1"/>
    <xf numFmtId="0" fontId="80" fillId="0" borderId="1" xfId="0" applyFont="1" applyBorder="1"/>
    <xf numFmtId="164" fontId="80" fillId="4" borderId="1" xfId="1" applyNumberFormat="1" applyFont="1" applyFill="1" applyBorder="1"/>
    <xf numFmtId="164" fontId="72" fillId="4" borderId="4" xfId="1" applyNumberFormat="1" applyFont="1" applyFill="1" applyBorder="1"/>
    <xf numFmtId="0" fontId="81" fillId="0" borderId="1" xfId="0" applyFont="1" applyBorder="1" applyAlignment="1">
      <alignment horizontal="center"/>
    </xf>
    <xf numFmtId="164" fontId="61" fillId="0" borderId="0" xfId="0" applyNumberFormat="1" applyFont="1"/>
    <xf numFmtId="15" fontId="61" fillId="4" borderId="1" xfId="0" applyNumberFormat="1" applyFont="1" applyFill="1" applyBorder="1" applyAlignment="1">
      <alignment horizontal="center"/>
    </xf>
    <xf numFmtId="0" fontId="61" fillId="4" borderId="1" xfId="0" applyFont="1" applyFill="1" applyBorder="1"/>
    <xf numFmtId="164" fontId="61" fillId="4" borderId="1" xfId="1" applyNumberFormat="1" applyFont="1" applyFill="1" applyBorder="1"/>
    <xf numFmtId="164" fontId="66" fillId="4" borderId="4" xfId="1" applyNumberFormat="1" applyFont="1" applyFill="1" applyBorder="1"/>
    <xf numFmtId="15" fontId="61" fillId="0" borderId="0" xfId="0" applyNumberFormat="1" applyFont="1" applyAlignment="1">
      <alignment horizontal="center"/>
    </xf>
    <xf numFmtId="164" fontId="83" fillId="4" borderId="1" xfId="1" applyNumberFormat="1" applyFont="1" applyFill="1" applyBorder="1"/>
    <xf numFmtId="164" fontId="74" fillId="4" borderId="4" xfId="1" applyNumberFormat="1" applyFont="1" applyFill="1" applyBorder="1"/>
    <xf numFmtId="15" fontId="61" fillId="0" borderId="0" xfId="0" applyNumberFormat="1" applyFont="1" applyBorder="1" applyAlignment="1">
      <alignment horizontal="center"/>
    </xf>
    <xf numFmtId="0" fontId="61" fillId="0" borderId="0" xfId="0" applyFont="1" applyBorder="1"/>
    <xf numFmtId="164" fontId="61" fillId="0" borderId="0" xfId="1" applyNumberFormat="1" applyFont="1" applyBorder="1"/>
    <xf numFmtId="166" fontId="61" fillId="0" borderId="0" xfId="1" applyNumberFormat="1" applyFont="1" applyBorder="1" applyAlignment="1">
      <alignment horizontal="center" vertical="center"/>
    </xf>
    <xf numFmtId="0" fontId="60" fillId="4" borderId="73" xfId="0" applyFont="1" applyFill="1" applyBorder="1"/>
    <xf numFmtId="181" fontId="71" fillId="4" borderId="73" xfId="1" applyNumberFormat="1" applyFont="1" applyFill="1" applyBorder="1"/>
    <xf numFmtId="15" fontId="60" fillId="4" borderId="72" xfId="0" applyNumberFormat="1" applyFont="1" applyFill="1" applyBorder="1"/>
    <xf numFmtId="15" fontId="71" fillId="4" borderId="72" xfId="0" applyNumberFormat="1" applyFont="1" applyFill="1" applyBorder="1"/>
    <xf numFmtId="15" fontId="60" fillId="4" borderId="74" xfId="0" applyNumberFormat="1" applyFont="1" applyFill="1" applyBorder="1"/>
    <xf numFmtId="15" fontId="67" fillId="4" borderId="6" xfId="0" applyNumberFormat="1" applyFont="1" applyFill="1" applyBorder="1"/>
    <xf numFmtId="164" fontId="71" fillId="36" borderId="2" xfId="1" applyNumberFormat="1" applyFont="1" applyFill="1" applyBorder="1" applyAlignment="1">
      <alignment horizontal="left"/>
    </xf>
    <xf numFmtId="167" fontId="71" fillId="0" borderId="69" xfId="0" applyNumberFormat="1" applyFont="1" applyBorder="1" applyAlignment="1">
      <alignment horizontal="center"/>
    </xf>
    <xf numFmtId="0" fontId="33" fillId="37" borderId="0" xfId="0" applyFont="1" applyFill="1" applyAlignment="1">
      <alignment horizontal="left"/>
    </xf>
    <xf numFmtId="0" fontId="33" fillId="24" borderId="0" xfId="0" applyFont="1" applyFill="1" applyAlignment="1">
      <alignment horizontal="left"/>
    </xf>
    <xf numFmtId="0" fontId="20" fillId="0" borderId="1" xfId="9" applyFill="1" applyBorder="1"/>
    <xf numFmtId="0" fontId="20" fillId="0" borderId="1" xfId="9" applyFill="1" applyBorder="1" applyAlignment="1">
      <alignment wrapText="1"/>
    </xf>
    <xf numFmtId="164" fontId="61" fillId="0" borderId="0" xfId="1" applyNumberFormat="1" applyFont="1" applyAlignment="1">
      <alignment horizontal="center"/>
    </xf>
    <xf numFmtId="0" fontId="61" fillId="0" borderId="0" xfId="0" applyFont="1" applyAlignment="1">
      <alignment horizontal="center"/>
    </xf>
    <xf numFmtId="182" fontId="61" fillId="0" borderId="0" xfId="0" applyNumberFormat="1" applyFont="1" applyAlignment="1">
      <alignment horizontal="right"/>
    </xf>
    <xf numFmtId="182" fontId="63" fillId="41" borderId="0" xfId="0" applyNumberFormat="1" applyFont="1" applyFill="1" applyBorder="1" applyAlignment="1">
      <alignment horizontal="right"/>
    </xf>
    <xf numFmtId="0" fontId="63" fillId="41" borderId="0" xfId="0" applyFont="1" applyFill="1" applyBorder="1" applyAlignment="1">
      <alignment horizontal="center"/>
    </xf>
    <xf numFmtId="164" fontId="63" fillId="41" borderId="0" xfId="1" applyNumberFormat="1" applyFont="1" applyFill="1" applyBorder="1" applyAlignment="1">
      <alignment horizontal="center"/>
    </xf>
    <xf numFmtId="0" fontId="61" fillId="0" borderId="0" xfId="0" pivotButton="1" applyFont="1"/>
    <xf numFmtId="182" fontId="61" fillId="0" borderId="0" xfId="0" applyNumberFormat="1" applyFont="1" applyBorder="1" applyAlignment="1">
      <alignment horizontal="right"/>
    </xf>
    <xf numFmtId="164" fontId="61" fillId="30" borderId="0" xfId="1" applyNumberFormat="1" applyFont="1" applyFill="1" applyBorder="1" applyAlignment="1">
      <alignment horizontal="center"/>
    </xf>
    <xf numFmtId="164" fontId="61" fillId="30" borderId="0" xfId="1" applyNumberFormat="1" applyFont="1" applyFill="1" applyBorder="1"/>
    <xf numFmtId="164" fontId="61" fillId="0" borderId="0" xfId="0" applyNumberFormat="1" applyFont="1" applyBorder="1" applyAlignment="1">
      <alignment horizontal="center"/>
    </xf>
    <xf numFmtId="182" fontId="61" fillId="0" borderId="0" xfId="0" applyNumberFormat="1" applyFont="1" applyAlignment="1">
      <alignment horizontal="left"/>
    </xf>
    <xf numFmtId="0" fontId="61" fillId="0" borderId="0" xfId="0" applyNumberFormat="1" applyFont="1"/>
    <xf numFmtId="9" fontId="61" fillId="0" borderId="0" xfId="0" applyNumberFormat="1" applyFont="1"/>
    <xf numFmtId="164" fontId="61" fillId="27" borderId="0" xfId="1" applyNumberFormat="1" applyFont="1" applyFill="1" applyBorder="1" applyAlignment="1">
      <alignment horizontal="center"/>
    </xf>
    <xf numFmtId="164" fontId="61" fillId="27" borderId="0" xfId="1" applyNumberFormat="1" applyFont="1" applyFill="1" applyBorder="1"/>
    <xf numFmtId="164" fontId="61" fillId="0" borderId="0" xfId="0" applyNumberFormat="1" applyFont="1" applyBorder="1"/>
    <xf numFmtId="10" fontId="61" fillId="0" borderId="0" xfId="0" applyNumberFormat="1" applyFont="1"/>
    <xf numFmtId="164" fontId="62" fillId="0" borderId="0" xfId="1" applyNumberFormat="1" applyFont="1" applyAlignment="1">
      <alignment horizontal="center"/>
    </xf>
    <xf numFmtId="2" fontId="66" fillId="0" borderId="1" xfId="1" applyNumberFormat="1" applyFont="1" applyBorder="1"/>
    <xf numFmtId="0" fontId="87" fillId="28" borderId="0" xfId="0" applyFont="1" applyFill="1" applyAlignment="1">
      <alignment horizontal="center"/>
    </xf>
    <xf numFmtId="0" fontId="87" fillId="52" borderId="1" xfId="0" applyFont="1" applyFill="1" applyBorder="1" applyAlignment="1">
      <alignment horizontal="center"/>
    </xf>
    <xf numFmtId="164" fontId="87" fillId="52" borderId="1" xfId="1" applyNumberFormat="1" applyFont="1" applyFill="1" applyBorder="1" applyAlignment="1">
      <alignment horizontal="center"/>
    </xf>
    <xf numFmtId="164" fontId="88" fillId="52" borderId="1" xfId="1" applyNumberFormat="1" applyFont="1" applyFill="1" applyBorder="1" applyAlignment="1">
      <alignment horizontal="center"/>
    </xf>
    <xf numFmtId="164" fontId="60" fillId="0" borderId="0" xfId="1" applyNumberFormat="1" applyFont="1" applyBorder="1"/>
    <xf numFmtId="0" fontId="88" fillId="28" borderId="0" xfId="0" applyFont="1" applyFill="1" applyAlignment="1">
      <alignment horizontal="center"/>
    </xf>
    <xf numFmtId="2" fontId="87" fillId="52" borderId="3" xfId="1" applyNumberFormat="1" applyFont="1" applyFill="1" applyBorder="1" applyAlignment="1">
      <alignment horizontal="center"/>
    </xf>
    <xf numFmtId="0" fontId="60" fillId="0" borderId="1" xfId="0" applyFont="1" applyBorder="1"/>
    <xf numFmtId="0" fontId="66" fillId="0" borderId="1" xfId="0" applyFont="1" applyBorder="1"/>
    <xf numFmtId="164" fontId="60" fillId="0" borderId="1" xfId="1" applyNumberFormat="1" applyFont="1" applyBorder="1"/>
    <xf numFmtId="2" fontId="66" fillId="4" borderId="1" xfId="1" applyNumberFormat="1" applyFont="1" applyFill="1" applyBorder="1"/>
    <xf numFmtId="2" fontId="60" fillId="0" borderId="0" xfId="1" applyNumberFormat="1" applyFont="1"/>
    <xf numFmtId="0" fontId="66" fillId="0" borderId="0" xfId="0" applyFont="1"/>
    <xf numFmtId="164" fontId="60" fillId="5" borderId="1" xfId="1" applyNumberFormat="1" applyFont="1" applyFill="1" applyBorder="1"/>
    <xf numFmtId="2" fontId="66" fillId="5" borderId="1" xfId="1" applyNumberFormat="1" applyFont="1" applyFill="1" applyBorder="1" applyAlignment="1">
      <alignment horizontal="center"/>
    </xf>
    <xf numFmtId="164" fontId="72" fillId="5" borderId="1" xfId="0" applyNumberFormat="1" applyFont="1" applyFill="1" applyBorder="1"/>
    <xf numFmtId="0" fontId="95" fillId="0" borderId="0" xfId="0" applyFont="1"/>
    <xf numFmtId="0" fontId="96" fillId="0" borderId="0" xfId="0" applyFont="1"/>
    <xf numFmtId="166" fontId="95" fillId="18" borderId="27" xfId="1" applyNumberFormat="1" applyFont="1" applyFill="1" applyBorder="1" applyAlignment="1">
      <alignment horizontal="center"/>
    </xf>
    <xf numFmtId="166" fontId="95" fillId="0" borderId="0" xfId="1" applyNumberFormat="1" applyFont="1" applyBorder="1"/>
    <xf numFmtId="0" fontId="92" fillId="4" borderId="32" xfId="0" applyFont="1" applyFill="1" applyBorder="1"/>
    <xf numFmtId="0" fontId="93" fillId="4" borderId="41" xfId="0" applyFont="1" applyFill="1" applyBorder="1"/>
    <xf numFmtId="166" fontId="98" fillId="31" borderId="25" xfId="1" applyNumberFormat="1" applyFont="1" applyFill="1" applyBorder="1" applyAlignment="1">
      <alignment horizontal="center"/>
    </xf>
    <xf numFmtId="169" fontId="95" fillId="32" borderId="27" xfId="1" applyNumberFormat="1" applyFont="1" applyFill="1" applyBorder="1" applyAlignment="1">
      <alignment horizontal="center"/>
    </xf>
    <xf numFmtId="166" fontId="95" fillId="18" borderId="27" xfId="1" applyNumberFormat="1" applyFont="1" applyFill="1" applyBorder="1"/>
    <xf numFmtId="166" fontId="98" fillId="31" borderId="25" xfId="1" applyNumberFormat="1" applyFont="1" applyFill="1" applyBorder="1"/>
    <xf numFmtId="169" fontId="95" fillId="32" borderId="27" xfId="1" applyNumberFormat="1" applyFont="1" applyFill="1" applyBorder="1"/>
    <xf numFmtId="166" fontId="98" fillId="33" borderId="25" xfId="1" applyNumberFormat="1" applyFont="1" applyFill="1" applyBorder="1" applyAlignment="1">
      <alignment horizontal="center"/>
    </xf>
    <xf numFmtId="166" fontId="95" fillId="18" borderId="39" xfId="1" applyNumberFormat="1" applyFont="1" applyFill="1" applyBorder="1" applyAlignment="1">
      <alignment horizontal="center"/>
    </xf>
    <xf numFmtId="166" fontId="98" fillId="31" borderId="44" xfId="1" applyNumberFormat="1" applyFont="1" applyFill="1" applyBorder="1" applyAlignment="1">
      <alignment horizontal="center"/>
    </xf>
    <xf numFmtId="169" fontId="95" fillId="32" borderId="39" xfId="1" applyNumberFormat="1" applyFont="1" applyFill="1" applyBorder="1" applyAlignment="1">
      <alignment horizontal="center"/>
    </xf>
    <xf numFmtId="166" fontId="95" fillId="18" borderId="36" xfId="1" applyNumberFormat="1" applyFont="1" applyFill="1" applyBorder="1"/>
    <xf numFmtId="166" fontId="98" fillId="31" borderId="38" xfId="1" applyNumberFormat="1" applyFont="1" applyFill="1" applyBorder="1"/>
    <xf numFmtId="169" fontId="95" fillId="32" borderId="36" xfId="1" applyNumberFormat="1" applyFont="1" applyFill="1" applyBorder="1"/>
    <xf numFmtId="166" fontId="95" fillId="18" borderId="30" xfId="1" applyNumberFormat="1" applyFont="1" applyFill="1" applyBorder="1" applyAlignment="1">
      <alignment horizontal="center"/>
    </xf>
    <xf numFmtId="166" fontId="98" fillId="31" borderId="31" xfId="1" applyNumberFormat="1" applyFont="1" applyFill="1" applyBorder="1" applyAlignment="1">
      <alignment horizontal="center"/>
    </xf>
    <xf numFmtId="169" fontId="95" fillId="32" borderId="30" xfId="1" quotePrefix="1" applyNumberFormat="1" applyFont="1" applyFill="1" applyBorder="1" applyAlignment="1">
      <alignment horizontal="right"/>
    </xf>
    <xf numFmtId="166" fontId="98" fillId="33" borderId="38" xfId="1" applyNumberFormat="1" applyFont="1" applyFill="1" applyBorder="1"/>
    <xf numFmtId="166" fontId="95" fillId="18" borderId="26" xfId="1" applyNumberFormat="1" applyFont="1" applyFill="1" applyBorder="1" applyAlignment="1">
      <alignment horizontal="center"/>
    </xf>
    <xf numFmtId="166" fontId="98" fillId="31" borderId="28" xfId="1" applyNumberFormat="1" applyFont="1" applyFill="1" applyBorder="1" applyAlignment="1">
      <alignment horizontal="center"/>
    </xf>
    <xf numFmtId="169" fontId="95" fillId="32" borderId="26" xfId="1" applyNumberFormat="1" applyFont="1" applyFill="1" applyBorder="1" applyAlignment="1">
      <alignment horizontal="center"/>
    </xf>
    <xf numFmtId="166" fontId="95" fillId="18" borderId="30" xfId="1" applyNumberFormat="1" applyFont="1" applyFill="1" applyBorder="1"/>
    <xf numFmtId="166" fontId="98" fillId="31" borderId="31" xfId="1" applyNumberFormat="1" applyFont="1" applyFill="1" applyBorder="1"/>
    <xf numFmtId="169" fontId="95" fillId="32" borderId="30" xfId="1" applyNumberFormat="1" applyFont="1" applyFill="1" applyBorder="1"/>
    <xf numFmtId="169" fontId="95" fillId="32" borderId="30" xfId="1" applyNumberFormat="1" applyFont="1" applyFill="1" applyBorder="1" applyAlignment="1">
      <alignment horizontal="center"/>
    </xf>
    <xf numFmtId="166" fontId="98" fillId="33" borderId="31" xfId="1" applyNumberFormat="1" applyFont="1" applyFill="1" applyBorder="1"/>
    <xf numFmtId="166" fontId="95" fillId="18" borderId="54" xfId="1" applyNumberFormat="1" applyFont="1" applyFill="1" applyBorder="1" applyAlignment="1">
      <alignment horizontal="center"/>
    </xf>
    <xf numFmtId="166" fontId="98" fillId="31" borderId="55" xfId="1" applyNumberFormat="1" applyFont="1" applyFill="1" applyBorder="1" applyAlignment="1">
      <alignment horizontal="center"/>
    </xf>
    <xf numFmtId="169" fontId="95" fillId="32" borderId="54" xfId="1" applyNumberFormat="1" applyFont="1" applyFill="1" applyBorder="1"/>
    <xf numFmtId="166" fontId="95" fillId="18" borderId="26" xfId="1" applyNumberFormat="1" applyFont="1" applyFill="1" applyBorder="1"/>
    <xf numFmtId="166" fontId="98" fillId="31" borderId="28" xfId="1" applyNumberFormat="1" applyFont="1" applyFill="1" applyBorder="1"/>
    <xf numFmtId="169" fontId="95" fillId="32" borderId="26" xfId="1" applyNumberFormat="1" applyFont="1" applyFill="1" applyBorder="1"/>
    <xf numFmtId="166" fontId="95" fillId="18" borderId="39" xfId="1" applyNumberFormat="1" applyFont="1" applyFill="1" applyBorder="1"/>
    <xf numFmtId="166" fontId="98" fillId="31" borderId="44" xfId="1" applyNumberFormat="1" applyFont="1" applyFill="1" applyBorder="1"/>
    <xf numFmtId="169" fontId="95" fillId="32" borderId="39" xfId="1" applyNumberFormat="1" applyFont="1" applyFill="1" applyBorder="1"/>
    <xf numFmtId="166" fontId="98" fillId="31" borderId="67" xfId="1" applyNumberFormat="1" applyFont="1" applyFill="1" applyBorder="1"/>
    <xf numFmtId="169" fontId="95" fillId="32" borderId="30" xfId="1" applyNumberFormat="1" applyFont="1" applyFill="1" applyBorder="1" applyAlignment="1">
      <alignment horizontal="right"/>
    </xf>
    <xf numFmtId="166" fontId="98" fillId="33" borderId="25" xfId="1" applyNumberFormat="1" applyFont="1" applyFill="1" applyBorder="1"/>
    <xf numFmtId="169" fontId="95" fillId="32" borderId="39" xfId="1" applyNumberFormat="1" applyFont="1" applyFill="1" applyBorder="1" applyAlignment="1">
      <alignment horizontal="right"/>
    </xf>
    <xf numFmtId="169" fontId="94" fillId="19" borderId="29" xfId="1" applyNumberFormat="1" applyFont="1" applyFill="1" applyBorder="1"/>
    <xf numFmtId="166" fontId="98" fillId="31" borderId="33" xfId="1" applyNumberFormat="1" applyFont="1" applyFill="1" applyBorder="1"/>
    <xf numFmtId="169" fontId="99" fillId="19" borderId="14" xfId="1" applyNumberFormat="1" applyFont="1" applyFill="1" applyBorder="1"/>
    <xf numFmtId="169" fontId="94" fillId="4" borderId="39" xfId="1" applyNumberFormat="1" applyFont="1" applyFill="1" applyBorder="1"/>
    <xf numFmtId="164" fontId="31" fillId="0" borderId="0" xfId="1" applyNumberFormat="1" applyFont="1"/>
    <xf numFmtId="0" fontId="30" fillId="17" borderId="15" xfId="0" applyFont="1" applyFill="1" applyBorder="1" applyAlignment="1">
      <alignment horizontal="center"/>
    </xf>
    <xf numFmtId="0" fontId="30" fillId="17" borderId="13" xfId="0" applyFont="1" applyFill="1" applyBorder="1" applyAlignment="1">
      <alignment horizontal="center"/>
    </xf>
    <xf numFmtId="164" fontId="30" fillId="17" borderId="6" xfId="1" applyNumberFormat="1" applyFont="1" applyFill="1" applyBorder="1" applyAlignment="1">
      <alignment horizontal="center"/>
    </xf>
    <xf numFmtId="0" fontId="1" fillId="0" borderId="0" xfId="0" applyFont="1" applyBorder="1" applyAlignment="1">
      <alignment horizontal="center"/>
    </xf>
    <xf numFmtId="0" fontId="30" fillId="17" borderId="1" xfId="0" applyFont="1" applyFill="1" applyBorder="1" applyAlignment="1">
      <alignment horizontal="center"/>
    </xf>
    <xf numFmtId="164" fontId="30" fillId="17" borderId="1" xfId="1" applyNumberFormat="1" applyFont="1" applyFill="1" applyBorder="1" applyAlignment="1">
      <alignment horizontal="center"/>
    </xf>
    <xf numFmtId="0" fontId="27" fillId="0" borderId="0" xfId="0" pivotButton="1" applyFont="1" applyBorder="1" applyAlignment="1"/>
    <xf numFmtId="164" fontId="27" fillId="15" borderId="0" xfId="1" applyNumberFormat="1" applyFont="1" applyFill="1"/>
    <xf numFmtId="164" fontId="1" fillId="15" borderId="0" xfId="1" applyNumberFormat="1" applyFont="1" applyFill="1"/>
    <xf numFmtId="164" fontId="27" fillId="15" borderId="0" xfId="1" applyNumberFormat="1" applyFont="1" applyFill="1" applyAlignment="1">
      <alignment horizontal="center"/>
    </xf>
    <xf numFmtId="1" fontId="1" fillId="0" borderId="1" xfId="0" applyNumberFormat="1" applyFont="1" applyBorder="1" applyAlignment="1">
      <alignment horizontal="center"/>
    </xf>
    <xf numFmtId="0" fontId="1" fillId="4" borderId="1" xfId="0" applyFont="1" applyFill="1" applyBorder="1" applyAlignment="1">
      <alignment horizontal="center"/>
    </xf>
    <xf numFmtId="164" fontId="1" fillId="0" borderId="0" xfId="0" applyNumberFormat="1" applyFont="1" applyBorder="1"/>
    <xf numFmtId="1" fontId="1" fillId="31" borderId="1" xfId="0" applyNumberFormat="1" applyFont="1" applyFill="1" applyBorder="1" applyAlignment="1">
      <alignment horizontal="center"/>
    </xf>
    <xf numFmtId="0" fontId="1" fillId="31" borderId="1" xfId="0" applyFont="1" applyFill="1" applyBorder="1" applyAlignment="1">
      <alignment horizontal="left"/>
    </xf>
    <xf numFmtId="164" fontId="1" fillId="31" borderId="1" xfId="0" applyNumberFormat="1" applyFont="1" applyFill="1" applyBorder="1"/>
    <xf numFmtId="164" fontId="1" fillId="0" borderId="1" xfId="1" applyNumberFormat="1" applyFont="1" applyBorder="1" applyAlignment="1">
      <alignment horizontal="left"/>
    </xf>
    <xf numFmtId="164" fontId="27" fillId="0" borderId="0" xfId="0" applyNumberFormat="1" applyFont="1" applyBorder="1"/>
    <xf numFmtId="0" fontId="27" fillId="0" borderId="0" xfId="0" applyFont="1" applyBorder="1" applyAlignment="1"/>
    <xf numFmtId="164" fontId="27" fillId="4" borderId="1" xfId="1" applyNumberFormat="1" applyFont="1" applyFill="1" applyBorder="1"/>
    <xf numFmtId="164" fontId="27" fillId="43" borderId="1" xfId="1" applyNumberFormat="1" applyFont="1" applyFill="1" applyBorder="1"/>
    <xf numFmtId="0" fontId="23" fillId="0" borderId="0" xfId="0" applyFont="1" applyBorder="1" applyAlignment="1"/>
    <xf numFmtId="1" fontId="1" fillId="0" borderId="3" xfId="0" applyNumberFormat="1" applyFont="1" applyBorder="1" applyAlignment="1">
      <alignment horizontal="center"/>
    </xf>
    <xf numFmtId="164" fontId="1" fillId="0" borderId="3" xfId="1" applyNumberFormat="1" applyFont="1" applyBorder="1"/>
    <xf numFmtId="1" fontId="1" fillId="0" borderId="0" xfId="0" applyNumberFormat="1" applyFont="1" applyBorder="1" applyAlignment="1">
      <alignment horizontal="center"/>
    </xf>
    <xf numFmtId="0" fontId="1" fillId="4" borderId="0" xfId="0" applyFont="1" applyFill="1" applyBorder="1"/>
    <xf numFmtId="166" fontId="1" fillId="0" borderId="0" xfId="1" applyNumberFormat="1" applyFont="1" applyBorder="1"/>
    <xf numFmtId="0" fontId="20" fillId="0" borderId="15" xfId="0" applyFont="1" applyBorder="1" applyAlignment="1">
      <alignment horizontal="center"/>
    </xf>
    <xf numFmtId="166" fontId="27" fillId="0" borderId="0" xfId="1" applyNumberFormat="1" applyFont="1" applyBorder="1"/>
    <xf numFmtId="14" fontId="1" fillId="0" borderId="1" xfId="0" applyNumberFormat="1" applyFont="1" applyBorder="1" applyAlignment="1">
      <alignment horizontal="center" vertical="center"/>
    </xf>
    <xf numFmtId="0" fontId="27" fillId="0" borderId="9" xfId="0" applyFont="1" applyBorder="1"/>
    <xf numFmtId="14" fontId="1" fillId="0" borderId="1" xfId="0" applyNumberFormat="1" applyFont="1" applyBorder="1"/>
    <xf numFmtId="164" fontId="1" fillId="0" borderId="1" xfId="1" applyNumberFormat="1" applyFont="1" applyBorder="1"/>
    <xf numFmtId="164" fontId="1" fillId="4" borderId="0" xfId="1" applyNumberFormat="1" applyFont="1" applyFill="1" applyBorder="1"/>
    <xf numFmtId="164" fontId="20" fillId="0" borderId="0" xfId="1" applyNumberFormat="1" applyFont="1"/>
    <xf numFmtId="0" fontId="23" fillId="0" borderId="0" xfId="0" applyFont="1" applyBorder="1" applyAlignment="1">
      <alignment horizontal="center"/>
    </xf>
    <xf numFmtId="0" fontId="66" fillId="4" borderId="1" xfId="0" applyFont="1" applyFill="1" applyBorder="1"/>
    <xf numFmtId="0" fontId="100" fillId="0" borderId="1" xfId="9" applyFont="1" applyFill="1" applyBorder="1"/>
    <xf numFmtId="0" fontId="71" fillId="12" borderId="9" xfId="0" applyFont="1" applyFill="1" applyBorder="1" applyAlignment="1">
      <alignment horizontal="left" vertical="center"/>
    </xf>
    <xf numFmtId="0" fontId="71" fillId="12" borderId="1" xfId="0" applyFont="1" applyFill="1" applyBorder="1" applyAlignment="1">
      <alignment horizontal="left" vertical="center"/>
    </xf>
    <xf numFmtId="0" fontId="71" fillId="12" borderId="8" xfId="0" applyFont="1" applyFill="1" applyBorder="1" applyAlignment="1">
      <alignment vertical="center"/>
    </xf>
    <xf numFmtId="169" fontId="27" fillId="32" borderId="29" xfId="1" applyNumberFormat="1" applyFont="1" applyFill="1" applyBorder="1" applyAlignment="1">
      <alignment horizontal="center"/>
    </xf>
    <xf numFmtId="164" fontId="71" fillId="4" borderId="62" xfId="1" applyNumberFormat="1" applyFont="1" applyFill="1" applyBorder="1"/>
    <xf numFmtId="15" fontId="71" fillId="4" borderId="75" xfId="0" applyNumberFormat="1" applyFont="1" applyFill="1" applyBorder="1"/>
    <xf numFmtId="167" fontId="71" fillId="0" borderId="76" xfId="0" applyNumberFormat="1" applyFont="1" applyBorder="1" applyAlignment="1">
      <alignment horizontal="center"/>
    </xf>
    <xf numFmtId="181" fontId="71" fillId="36" borderId="75" xfId="1" applyNumberFormat="1" applyFont="1" applyFill="1" applyBorder="1"/>
    <xf numFmtId="181" fontId="67" fillId="36" borderId="75" xfId="1" applyNumberFormat="1" applyFont="1" applyFill="1" applyBorder="1"/>
    <xf numFmtId="183" fontId="60" fillId="0" borderId="0" xfId="0" applyNumberFormat="1" applyFont="1"/>
    <xf numFmtId="0" fontId="71" fillId="4" borderId="0" xfId="0" applyFont="1" applyFill="1" applyBorder="1" applyAlignment="1">
      <alignment vertical="center"/>
    </xf>
    <xf numFmtId="169" fontId="71" fillId="4" borderId="0" xfId="1" applyNumberFormat="1" applyFont="1" applyFill="1" applyBorder="1" applyAlignment="1">
      <alignment horizontal="center" vertical="center"/>
    </xf>
    <xf numFmtId="164" fontId="71" fillId="4" borderId="0" xfId="1" applyNumberFormat="1" applyFont="1" applyFill="1" applyBorder="1"/>
    <xf numFmtId="0" fontId="32" fillId="53" borderId="41" xfId="0" applyFont="1" applyFill="1" applyBorder="1"/>
    <xf numFmtId="164" fontId="2" fillId="53" borderId="39" xfId="4" applyNumberFormat="1" applyFont="1" applyFill="1" applyBorder="1"/>
    <xf numFmtId="0" fontId="1" fillId="54" borderId="77" xfId="0" applyFont="1" applyFill="1" applyBorder="1" applyAlignment="1">
      <alignment horizontal="left"/>
    </xf>
    <xf numFmtId="164" fontId="1" fillId="54" borderId="77" xfId="0" applyNumberFormat="1" applyFont="1" applyFill="1" applyBorder="1"/>
    <xf numFmtId="0" fontId="1" fillId="0" borderId="78" xfId="0" applyFont="1" applyBorder="1" applyAlignment="1">
      <alignment horizontal="left"/>
    </xf>
    <xf numFmtId="164" fontId="1" fillId="0" borderId="78" xfId="0" applyNumberFormat="1" applyFont="1" applyBorder="1"/>
    <xf numFmtId="0" fontId="61" fillId="4" borderId="1" xfId="0" applyFont="1" applyFill="1" applyBorder="1" applyAlignment="1">
      <alignment horizontal="left"/>
    </xf>
    <xf numFmtId="0" fontId="61" fillId="31" borderId="1" xfId="0" applyFont="1" applyFill="1" applyBorder="1" applyAlignment="1">
      <alignment horizontal="left"/>
    </xf>
    <xf numFmtId="0" fontId="61" fillId="18" borderId="1" xfId="0" applyFont="1" applyFill="1" applyBorder="1" applyAlignment="1">
      <alignment horizontal="center"/>
    </xf>
    <xf numFmtId="183" fontId="18" fillId="0" borderId="0" xfId="0" applyNumberFormat="1" applyFont="1"/>
    <xf numFmtId="164" fontId="95" fillId="30" borderId="0" xfId="1" applyNumberFormat="1" applyFont="1" applyFill="1" applyBorder="1" applyAlignment="1">
      <alignment horizontal="center"/>
    </xf>
    <xf numFmtId="2" fontId="89" fillId="12" borderId="32" xfId="0" applyNumberFormat="1" applyFont="1" applyFill="1" applyBorder="1"/>
    <xf numFmtId="0" fontId="89" fillId="12" borderId="32" xfId="0" applyFont="1" applyFill="1" applyBorder="1"/>
    <xf numFmtId="0" fontId="90" fillId="12" borderId="32" xfId="0" applyFont="1" applyFill="1" applyBorder="1"/>
    <xf numFmtId="0" fontId="91" fillId="12" borderId="32" xfId="0" applyFont="1" applyFill="1" applyBorder="1"/>
    <xf numFmtId="168" fontId="97" fillId="12" borderId="32" xfId="0" applyNumberFormat="1" applyFont="1" applyFill="1" applyBorder="1" applyAlignment="1"/>
    <xf numFmtId="168" fontId="89" fillId="12" borderId="32" xfId="0" applyNumberFormat="1" applyFont="1" applyFill="1" applyBorder="1" applyAlignment="1">
      <alignment horizontal="left"/>
    </xf>
    <xf numFmtId="166" fontId="95" fillId="12" borderId="27" xfId="1" applyNumberFormat="1" applyFont="1" applyFill="1" applyBorder="1" applyAlignment="1">
      <alignment horizontal="center"/>
    </xf>
    <xf numFmtId="169" fontId="60" fillId="36" borderId="15" xfId="1" applyNumberFormat="1" applyFont="1" applyFill="1" applyBorder="1"/>
    <xf numFmtId="15" fontId="60" fillId="4" borderId="4" xfId="0" applyNumberFormat="1" applyFont="1" applyFill="1" applyBorder="1"/>
    <xf numFmtId="167" fontId="60" fillId="4" borderId="4" xfId="0" applyNumberFormat="1" applyFont="1" applyFill="1" applyBorder="1" applyAlignment="1">
      <alignment horizontal="center"/>
    </xf>
    <xf numFmtId="164" fontId="71" fillId="4" borderId="4" xfId="1" applyNumberFormat="1" applyFont="1" applyFill="1" applyBorder="1"/>
    <xf numFmtId="181" fontId="71" fillId="4" borderId="4" xfId="1" applyNumberFormat="1" applyFont="1" applyFill="1" applyBorder="1"/>
    <xf numFmtId="181" fontId="67" fillId="4" borderId="4" xfId="1" applyNumberFormat="1" applyFont="1" applyFill="1" applyBorder="1"/>
    <xf numFmtId="169" fontId="60" fillId="36" borderId="79" xfId="1" applyNumberFormat="1" applyFont="1" applyFill="1" applyBorder="1"/>
    <xf numFmtId="0" fontId="67" fillId="36" borderId="4" xfId="0" applyFont="1" applyFill="1" applyBorder="1"/>
    <xf numFmtId="164" fontId="67" fillId="4" borderId="4" xfId="1" applyNumberFormat="1" applyFont="1" applyFill="1" applyBorder="1"/>
    <xf numFmtId="169" fontId="71" fillId="36" borderId="4" xfId="1" applyNumberFormat="1" applyFont="1" applyFill="1" applyBorder="1"/>
    <xf numFmtId="167" fontId="71" fillId="4" borderId="75" xfId="0" applyNumberFormat="1" applyFont="1" applyFill="1" applyBorder="1" applyAlignment="1">
      <alignment horizontal="center"/>
    </xf>
    <xf numFmtId="0" fontId="71" fillId="36" borderId="75" xfId="0" applyFont="1" applyFill="1" applyBorder="1"/>
    <xf numFmtId="0" fontId="71" fillId="4" borderId="75" xfId="0" applyFont="1" applyFill="1" applyBorder="1"/>
    <xf numFmtId="164" fontId="71" fillId="36" borderId="75" xfId="1" applyNumberFormat="1" applyFont="1" applyFill="1" applyBorder="1"/>
    <xf numFmtId="169" fontId="71" fillId="36" borderId="75" xfId="1" applyNumberFormat="1" applyFont="1" applyFill="1" applyBorder="1"/>
    <xf numFmtId="164" fontId="71" fillId="36" borderId="4" xfId="1" applyNumberFormat="1" applyFont="1" applyFill="1" applyBorder="1"/>
    <xf numFmtId="15" fontId="71" fillId="4" borderId="7" xfId="0" applyNumberFormat="1" applyFont="1" applyFill="1" applyBorder="1"/>
    <xf numFmtId="0" fontId="102" fillId="49" borderId="0" xfId="0" applyFont="1" applyFill="1" applyAlignment="1">
      <alignment horizontal="center"/>
    </xf>
    <xf numFmtId="15" fontId="67" fillId="4" borderId="7" xfId="0" applyNumberFormat="1" applyFont="1" applyFill="1" applyBorder="1"/>
    <xf numFmtId="164" fontId="60" fillId="4" borderId="4" xfId="1" applyNumberFormat="1" applyFont="1" applyFill="1" applyBorder="1"/>
    <xf numFmtId="181" fontId="60" fillId="4" borderId="4" xfId="1" applyNumberFormat="1" applyFont="1" applyFill="1" applyBorder="1"/>
    <xf numFmtId="15" fontId="71" fillId="4" borderId="8" xfId="0" applyNumberFormat="1" applyFont="1" applyFill="1" applyBorder="1"/>
    <xf numFmtId="15" fontId="67" fillId="4" borderId="8" xfId="0" applyNumberFormat="1" applyFont="1" applyFill="1" applyBorder="1"/>
    <xf numFmtId="164" fontId="71" fillId="4" borderId="75" xfId="1" applyNumberFormat="1" applyFont="1" applyFill="1" applyBorder="1"/>
    <xf numFmtId="181" fontId="71" fillId="4" borderId="75" xfId="1" applyNumberFormat="1" applyFont="1" applyFill="1" applyBorder="1"/>
    <xf numFmtId="181" fontId="67" fillId="4" borderId="75" xfId="1" applyNumberFormat="1" applyFont="1" applyFill="1" applyBorder="1"/>
    <xf numFmtId="169" fontId="67" fillId="36" borderId="75" xfId="1" applyNumberFormat="1" applyFont="1" applyFill="1" applyBorder="1"/>
    <xf numFmtId="164" fontId="71" fillId="55" borderId="1" xfId="1" applyNumberFormat="1" applyFont="1" applyFill="1" applyBorder="1"/>
    <xf numFmtId="164" fontId="20" fillId="55" borderId="1" xfId="1" applyNumberFormat="1" applyFont="1" applyFill="1" applyBorder="1"/>
    <xf numFmtId="164" fontId="60" fillId="55" borderId="1" xfId="1" applyNumberFormat="1" applyFont="1" applyFill="1" applyBorder="1"/>
    <xf numFmtId="164" fontId="60" fillId="36" borderId="4" xfId="1" applyNumberFormat="1" applyFont="1" applyFill="1" applyBorder="1"/>
    <xf numFmtId="167" fontId="67" fillId="0" borderId="69" xfId="0" applyNumberFormat="1" applyFont="1" applyBorder="1" applyAlignment="1">
      <alignment horizontal="center"/>
    </xf>
    <xf numFmtId="15" fontId="67" fillId="4" borderId="75" xfId="0" applyNumberFormat="1" applyFont="1" applyFill="1" applyBorder="1"/>
    <xf numFmtId="167" fontId="67" fillId="0" borderId="76" xfId="0" applyNumberFormat="1" applyFont="1" applyBorder="1" applyAlignment="1">
      <alignment horizontal="center"/>
    </xf>
    <xf numFmtId="0" fontId="67" fillId="4" borderId="75" xfId="0" applyFont="1" applyFill="1" applyBorder="1"/>
    <xf numFmtId="0" fontId="103" fillId="34" borderId="32" xfId="0" applyFont="1" applyFill="1" applyBorder="1"/>
    <xf numFmtId="166" fontId="33" fillId="31" borderId="33" xfId="1" applyNumberFormat="1" applyFont="1" applyFill="1" applyBorder="1" applyAlignment="1">
      <alignment horizontal="center"/>
    </xf>
    <xf numFmtId="0" fontId="66" fillId="56" borderId="1" xfId="0" applyFont="1" applyFill="1" applyBorder="1" applyAlignment="1">
      <alignment horizontal="center"/>
    </xf>
    <xf numFmtId="164" fontId="60" fillId="2" borderId="1" xfId="1" applyNumberFormat="1" applyFont="1" applyFill="1" applyBorder="1"/>
    <xf numFmtId="43" fontId="60" fillId="0" borderId="0" xfId="1" applyFont="1"/>
    <xf numFmtId="43" fontId="60" fillId="6" borderId="0" xfId="1" applyFont="1" applyFill="1" applyAlignment="1">
      <alignment horizontal="right"/>
    </xf>
    <xf numFmtId="15" fontId="60" fillId="36" borderId="4" xfId="0" applyNumberFormat="1" applyFont="1" applyFill="1" applyBorder="1"/>
    <xf numFmtId="167" fontId="60" fillId="36" borderId="4" xfId="0" applyNumberFormat="1" applyFont="1" applyFill="1" applyBorder="1" applyAlignment="1">
      <alignment horizontal="center"/>
    </xf>
    <xf numFmtId="0" fontId="60" fillId="36" borderId="4" xfId="0" applyFont="1" applyFill="1" applyBorder="1"/>
    <xf numFmtId="0" fontId="39" fillId="0" borderId="0" xfId="0" applyFont="1" applyAlignment="1">
      <alignment horizontal="center"/>
    </xf>
    <xf numFmtId="0" fontId="40" fillId="0" borderId="0" xfId="0" applyFont="1" applyAlignment="1">
      <alignment horizontal="center"/>
    </xf>
    <xf numFmtId="0" fontId="28" fillId="0" borderId="0" xfId="0" applyFont="1" applyAlignment="1">
      <alignment horizontal="center"/>
    </xf>
    <xf numFmtId="0" fontId="0" fillId="0" borderId="0" xfId="0" applyAlignment="1">
      <alignment horizontal="center"/>
    </xf>
    <xf numFmtId="0" fontId="23" fillId="0" borderId="10" xfId="0" applyFont="1" applyBorder="1" applyAlignment="1">
      <alignment horizontal="center"/>
    </xf>
    <xf numFmtId="0" fontId="22" fillId="0" borderId="10" xfId="0" applyFont="1" applyBorder="1" applyAlignment="1">
      <alignment horizontal="left"/>
    </xf>
    <xf numFmtId="0" fontId="22" fillId="0" borderId="2" xfId="0" applyFont="1" applyBorder="1" applyAlignment="1">
      <alignment horizontal="center"/>
    </xf>
    <xf numFmtId="14" fontId="0" fillId="0" borderId="0" xfId="0" applyNumberFormat="1" applyAlignment="1">
      <alignment horizontal="center"/>
    </xf>
    <xf numFmtId="0" fontId="15" fillId="0" borderId="0" xfId="0" applyFont="1" applyAlignment="1">
      <alignment horizontal="center"/>
    </xf>
    <xf numFmtId="0" fontId="30" fillId="16" borderId="41" xfId="0" applyFont="1" applyFill="1" applyBorder="1" applyAlignment="1">
      <alignment horizontal="right"/>
    </xf>
    <xf numFmtId="0" fontId="18" fillId="0" borderId="1" xfId="0" applyFont="1" applyBorder="1" applyAlignment="1">
      <alignment horizontal="center"/>
    </xf>
    <xf numFmtId="0" fontId="18" fillId="0" borderId="0" xfId="0" applyFont="1" applyAlignment="1">
      <alignment horizontal="center"/>
    </xf>
    <xf numFmtId="0" fontId="21" fillId="0" borderId="6" xfId="0" applyFont="1" applyBorder="1" applyAlignment="1">
      <alignment horizontal="center" vertical="center"/>
    </xf>
    <xf numFmtId="0" fontId="21" fillId="0" borderId="2" xfId="0" applyFont="1" applyBorder="1" applyAlignment="1">
      <alignment horizontal="center" vertical="center"/>
    </xf>
    <xf numFmtId="0" fontId="15" fillId="0" borderId="0" xfId="0" applyFont="1" applyBorder="1" applyAlignment="1">
      <alignment horizontal="center"/>
    </xf>
    <xf numFmtId="3" fontId="15" fillId="0" borderId="5" xfId="0" applyNumberFormat="1" applyFont="1" applyBorder="1" applyAlignment="1">
      <alignment horizontal="center"/>
    </xf>
    <xf numFmtId="3" fontId="15" fillId="0" borderId="0" xfId="0" applyNumberFormat="1" applyFont="1" applyBorder="1" applyAlignment="1">
      <alignment horizontal="center"/>
    </xf>
    <xf numFmtId="164" fontId="27" fillId="0" borderId="8" xfId="0" applyNumberFormat="1" applyFont="1" applyBorder="1" applyAlignment="1">
      <alignment horizontal="center" vertical="center"/>
    </xf>
    <xf numFmtId="164" fontId="27" fillId="0" borderId="9" xfId="0" applyNumberFormat="1" applyFont="1" applyBorder="1" applyAlignment="1">
      <alignment horizontal="center" vertical="center"/>
    </xf>
    <xf numFmtId="0" fontId="18" fillId="0" borderId="16" xfId="0" applyFont="1" applyBorder="1" applyAlignment="1">
      <alignment horizontal="left" vertical="center"/>
    </xf>
    <xf numFmtId="0" fontId="18" fillId="0" borderId="0" xfId="0" applyFont="1" applyBorder="1" applyAlignment="1">
      <alignment horizontal="left" vertical="center"/>
    </xf>
    <xf numFmtId="0" fontId="27" fillId="0" borderId="0" xfId="0" applyFont="1" applyAlignment="1">
      <alignment vertical="center"/>
    </xf>
    <xf numFmtId="0" fontId="21" fillId="0" borderId="8" xfId="0" applyFont="1" applyBorder="1" applyAlignment="1">
      <alignment horizontal="center" vertical="center" wrapText="1"/>
    </xf>
    <xf numFmtId="0" fontId="21" fillId="0" borderId="10" xfId="0" applyFont="1" applyBorder="1" applyAlignment="1">
      <alignment horizontal="center" vertical="center" wrapText="1"/>
    </xf>
    <xf numFmtId="164" fontId="18" fillId="0" borderId="16" xfId="1" applyNumberFormat="1" applyFont="1" applyBorder="1" applyAlignment="1">
      <alignment horizontal="left" vertical="center"/>
    </xf>
    <xf numFmtId="164" fontId="27" fillId="0" borderId="0" xfId="1" applyNumberFormat="1" applyFont="1" applyAlignment="1">
      <alignment vertical="center"/>
    </xf>
    <xf numFmtId="0" fontId="21" fillId="0" borderId="8" xfId="0" applyFont="1" applyBorder="1" applyAlignment="1">
      <alignment horizontal="center" vertical="center"/>
    </xf>
    <xf numFmtId="0" fontId="21" fillId="0" borderId="10" xfId="0" applyFont="1" applyBorder="1" applyAlignment="1">
      <alignment horizontal="center" vertical="center"/>
    </xf>
    <xf numFmtId="164" fontId="21" fillId="0" borderId="10" xfId="1" applyNumberFormat="1" applyFont="1" applyBorder="1" applyAlignment="1">
      <alignment horizontal="center" vertical="center"/>
    </xf>
    <xf numFmtId="164" fontId="18" fillId="0" borderId="8" xfId="0" applyNumberFormat="1" applyFont="1" applyBorder="1" applyAlignment="1">
      <alignment horizontal="center" vertical="center"/>
    </xf>
    <xf numFmtId="164" fontId="18" fillId="0" borderId="9" xfId="0" applyNumberFormat="1" applyFont="1" applyBorder="1" applyAlignment="1">
      <alignment horizontal="center" vertical="center"/>
    </xf>
    <xf numFmtId="164" fontId="18" fillId="0" borderId="0" xfId="1" applyNumberFormat="1" applyFont="1" applyBorder="1" applyAlignment="1">
      <alignment horizontal="left" vertical="center"/>
    </xf>
    <xf numFmtId="15" fontId="84" fillId="4" borderId="8" xfId="0" applyNumberFormat="1" applyFont="1" applyFill="1" applyBorder="1" applyAlignment="1">
      <alignment horizontal="center"/>
    </xf>
    <xf numFmtId="15" fontId="84" fillId="4" borderId="9" xfId="0" applyNumberFormat="1" applyFont="1" applyFill="1" applyBorder="1" applyAlignment="1">
      <alignment horizontal="center"/>
    </xf>
    <xf numFmtId="0" fontId="85" fillId="0" borderId="1" xfId="0" applyFont="1" applyBorder="1" applyAlignment="1">
      <alignment horizontal="center"/>
    </xf>
    <xf numFmtId="15" fontId="82" fillId="0" borderId="8" xfId="0" applyNumberFormat="1" applyFont="1" applyBorder="1" applyAlignment="1">
      <alignment horizontal="center"/>
    </xf>
    <xf numFmtId="15" fontId="82" fillId="0" borderId="9" xfId="0" applyNumberFormat="1" applyFont="1" applyBorder="1" applyAlignment="1">
      <alignment horizontal="center"/>
    </xf>
    <xf numFmtId="0" fontId="97" fillId="12" borderId="32" xfId="0" applyFont="1" applyFill="1" applyBorder="1" applyAlignment="1">
      <alignment horizontal="right"/>
    </xf>
    <xf numFmtId="0" fontId="97" fillId="12" borderId="32" xfId="0" applyFont="1" applyFill="1" applyBorder="1" applyAlignment="1">
      <alignment horizontal="center"/>
    </xf>
    <xf numFmtId="166" fontId="101" fillId="0" borderId="0" xfId="1" applyNumberFormat="1" applyFont="1" applyAlignment="1">
      <alignment horizontal="center"/>
    </xf>
    <xf numFmtId="0" fontId="41" fillId="35" borderId="32" xfId="0" applyFont="1" applyFill="1" applyBorder="1" applyAlignment="1">
      <alignment horizontal="center"/>
    </xf>
    <xf numFmtId="0" fontId="41" fillId="34" borderId="32" xfId="0" applyFont="1" applyFill="1" applyBorder="1" applyAlignment="1">
      <alignment horizontal="center"/>
    </xf>
    <xf numFmtId="0" fontId="55" fillId="38" borderId="32" xfId="0" applyFont="1" applyFill="1" applyBorder="1" applyAlignment="1">
      <alignment horizontal="center"/>
    </xf>
    <xf numFmtId="0" fontId="41" fillId="38" borderId="32" xfId="0" applyFont="1" applyFill="1" applyBorder="1" applyAlignment="1">
      <alignment horizontal="center"/>
    </xf>
    <xf numFmtId="0" fontId="31" fillId="23" borderId="0" xfId="0" applyFont="1" applyFill="1" applyAlignment="1">
      <alignment horizontal="center"/>
    </xf>
    <xf numFmtId="0" fontId="27" fillId="2" borderId="0" xfId="0" applyFont="1" applyFill="1" applyAlignment="1">
      <alignment horizontal="center"/>
    </xf>
    <xf numFmtId="0" fontId="41" fillId="20" borderId="32" xfId="0" applyFont="1" applyFill="1" applyBorder="1" applyAlignment="1">
      <alignment horizontal="center"/>
    </xf>
    <xf numFmtId="0" fontId="41" fillId="37" borderId="32" xfId="0" applyFont="1" applyFill="1" applyBorder="1" applyAlignment="1">
      <alignment horizontal="center"/>
    </xf>
    <xf numFmtId="0" fontId="31" fillId="24" borderId="0" xfId="0" applyFont="1" applyFill="1" applyAlignment="1">
      <alignment horizontal="center"/>
    </xf>
    <xf numFmtId="0" fontId="31" fillId="3" borderId="0" xfId="0" applyFont="1" applyFill="1" applyAlignment="1">
      <alignment horizontal="center"/>
    </xf>
    <xf numFmtId="0" fontId="19" fillId="28" borderId="2" xfId="0" applyFont="1" applyFill="1" applyBorder="1" applyAlignment="1">
      <alignment horizontal="center" vertical="center"/>
    </xf>
    <xf numFmtId="0" fontId="27" fillId="0" borderId="2" xfId="0" applyFont="1" applyBorder="1" applyAlignment="1">
      <alignment horizontal="center"/>
    </xf>
    <xf numFmtId="0" fontId="27" fillId="0" borderId="0" xfId="0" applyFont="1" applyBorder="1" applyAlignment="1">
      <alignment horizontal="center"/>
    </xf>
    <xf numFmtId="164" fontId="65" fillId="42" borderId="0" xfId="1" applyNumberFormat="1" applyFont="1" applyFill="1" applyAlignment="1">
      <alignment horizontal="center"/>
    </xf>
    <xf numFmtId="0" fontId="62" fillId="0" borderId="0" xfId="0" applyFont="1" applyAlignment="1">
      <alignment horizontal="center"/>
    </xf>
    <xf numFmtId="0" fontId="60" fillId="5" borderId="2" xfId="0" applyFont="1" applyFill="1" applyBorder="1" applyAlignment="1">
      <alignment horizontal="center"/>
    </xf>
    <xf numFmtId="164" fontId="60" fillId="5" borderId="0" xfId="1" applyNumberFormat="1" applyFont="1" applyFill="1" applyAlignment="1">
      <alignment horizontal="center"/>
    </xf>
  </cellXfs>
  <cellStyles count="12">
    <cellStyle name="Comma" xfId="1" builtinId="3"/>
    <cellStyle name="Comma 2" xfId="11"/>
    <cellStyle name="Comma 3" xfId="5"/>
    <cellStyle name="Comma 4" xfId="4"/>
    <cellStyle name="Normal" xfId="0" builtinId="0"/>
    <cellStyle name="Normal 2" xfId="3"/>
    <cellStyle name="Normal 3" xfId="2"/>
    <cellStyle name="Normal 3 2" xfId="6"/>
    <cellStyle name="Normal 7" xfId="7"/>
    <cellStyle name="Percent" xfId="10" builtinId="5"/>
    <cellStyle name="styleColumnHeadings" xfId="8"/>
    <cellStyle name="styleRows" xfId="9"/>
  </cellStyles>
  <dxfs count="994">
    <dxf>
      <font>
        <b val="0"/>
        <i val="0"/>
        <strike val="0"/>
        <condense val="0"/>
        <extend val="0"/>
        <outline val="0"/>
        <shadow val="0"/>
        <u val="none"/>
        <vertAlign val="baseline"/>
        <sz val="11"/>
        <color theme="1"/>
        <name val="Pyidaungsu"/>
        <scheme val="none"/>
      </font>
      <numFmt numFmtId="164" formatCode="_(* #,##0_);_(* \(#,##0\);_(*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Pyidaungsu"/>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Pyidaungsu"/>
        <scheme val="none"/>
      </font>
      <alignment horizontal="center" vertical="bottom" textRotation="0" wrapText="0" indent="0" justifyLastLine="0" shrinkToFit="0" readingOrder="0"/>
    </dxf>
    <dxf>
      <font>
        <strike val="0"/>
        <outline val="0"/>
        <shadow val="0"/>
        <u val="none"/>
        <vertAlign val="baseline"/>
        <sz val="11"/>
        <name val="Pyidaungsu"/>
        <scheme val="none"/>
      </font>
    </dxf>
    <dxf>
      <font>
        <b val="0"/>
        <i val="0"/>
        <strike val="0"/>
        <condense val="0"/>
        <extend val="0"/>
        <outline val="0"/>
        <shadow val="0"/>
        <u val="none"/>
        <vertAlign val="baseline"/>
        <sz val="11"/>
        <color theme="1"/>
        <name val="Pyidaungsu"/>
        <scheme val="none"/>
      </font>
      <numFmt numFmtId="164" formatCode="_(* #,##0_);_(* \(#,##0\);_(* &quot;-&quot;??_);_(@_)"/>
    </dxf>
    <dxf>
      <font>
        <b val="0"/>
        <i val="0"/>
        <strike val="0"/>
        <condense val="0"/>
        <extend val="0"/>
        <outline val="0"/>
        <shadow val="0"/>
        <u val="none"/>
        <vertAlign val="baseline"/>
        <sz val="11"/>
        <color theme="1"/>
        <name val="Pyidaungsu"/>
        <scheme val="none"/>
      </font>
    </dxf>
    <dxf>
      <font>
        <b val="0"/>
        <i val="0"/>
        <strike val="0"/>
        <condense val="0"/>
        <extend val="0"/>
        <outline val="0"/>
        <shadow val="0"/>
        <u val="none"/>
        <vertAlign val="baseline"/>
        <sz val="11"/>
        <color theme="1"/>
        <name val="Pyidaungsu"/>
        <scheme val="none"/>
      </font>
    </dxf>
    <dxf>
      <font>
        <b val="0"/>
        <i val="0"/>
        <strike val="0"/>
        <condense val="0"/>
        <extend val="0"/>
        <outline val="0"/>
        <shadow val="0"/>
        <u val="none"/>
        <vertAlign val="baseline"/>
        <sz val="11"/>
        <color theme="1"/>
        <name val="Pyidaungsu"/>
        <scheme val="none"/>
      </font>
      <numFmt numFmtId="182" formatCode="dd/mmm/yyyy"/>
      <alignment horizontal="right" vertical="bottom" textRotation="0" wrapText="0" indent="0" justifyLastLine="0" shrinkToFit="0" readingOrder="0"/>
    </dxf>
    <dxf>
      <font>
        <b val="0"/>
        <i val="0"/>
        <strike val="0"/>
        <condense val="0"/>
        <extend val="0"/>
        <outline val="0"/>
        <shadow val="0"/>
        <u val="none"/>
        <vertAlign val="baseline"/>
        <sz val="11"/>
        <color theme="1"/>
        <name val="Pyidaungsu"/>
        <scheme val="none"/>
      </font>
    </dxf>
    <dxf>
      <font>
        <strike val="0"/>
        <outline val="0"/>
        <shadow val="0"/>
        <u val="none"/>
        <vertAlign val="baseline"/>
        <sz val="11"/>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numFmt numFmtId="164" formatCode="_(* #,##0_);_(* \(#,##0\);_(* &quot;-&quot;??_);_(@_)"/>
    </dxf>
    <dxf>
      <numFmt numFmtId="187" formatCode="_(* #,##0.0_);_(* \(#,##0.0\);_(* &quot;-&quot;??_);_(@_)"/>
    </dxf>
    <dxf>
      <numFmt numFmtId="35" formatCode="_(* #,##0.00_);_(* \(#,##0.00\);_(* &quot;-&quot;??_);_(@_)"/>
    </dxf>
    <dxf>
      <numFmt numFmtId="164" formatCode="_(* #,##0_);_(* \(#,##0\);_(* &quot;-&quot;??_);_(@_)"/>
    </dxf>
    <dxf>
      <numFmt numFmtId="164" formatCode="_(* #,##0_);_(* \(#,##0\);_(* &quot;-&quot;??_);_(@_)"/>
    </dxf>
    <dxf>
      <numFmt numFmtId="187" formatCode="_(* #,##0.0_);_(* \(#,##0.0\);_(* &quot;-&quot;??_);_(@_)"/>
    </dxf>
    <dxf>
      <numFmt numFmtId="187" formatCode="_(* #,##0.0_);_(* \(#,##0.0\);_(* &quot;-&quot;??_);_(@_)"/>
    </dxf>
    <dxf>
      <numFmt numFmtId="13" formatCode="0%"/>
    </dxf>
    <dxf>
      <numFmt numFmtId="13" formatCode="0%"/>
    </dxf>
    <dxf>
      <numFmt numFmtId="188" formatCode="m/d/yyyy"/>
    </dxf>
    <dxf>
      <font>
        <b val="0"/>
        <i val="0"/>
        <strike val="0"/>
        <condense val="0"/>
        <extend val="0"/>
        <outline val="0"/>
        <shadow val="0"/>
        <u val="none"/>
        <vertAlign val="baseline"/>
        <sz val="11"/>
        <color theme="1"/>
        <name val="Zawgyi-One"/>
        <scheme val="none"/>
      </font>
      <numFmt numFmtId="164" formatCode="_(* #,##0_);_(* \(#,##0\);_(* &quot;-&quot;??_);_(@_)"/>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dxf>
    <dxf>
      <font>
        <strike val="0"/>
        <outline val="0"/>
        <shadow val="0"/>
        <vertAlign val="baseline"/>
        <name val="Zawgyi-One"/>
        <scheme val="none"/>
      </font>
    </dxf>
    <dxf>
      <font>
        <strike val="0"/>
        <outline val="0"/>
        <shadow val="0"/>
        <vertAlign val="baseline"/>
        <name val="Zawgyi-One"/>
        <scheme val="none"/>
      </font>
    </dxf>
    <dxf>
      <font>
        <strike val="0"/>
        <outline val="0"/>
        <shadow val="0"/>
        <vertAlign val="baseline"/>
        <name val="Zawgyi-One"/>
        <scheme val="none"/>
      </font>
    </dxf>
    <dxf>
      <border outline="0">
        <top style="thin">
          <color indexed="64"/>
        </top>
      </border>
    </dxf>
    <dxf>
      <border outline="0">
        <left style="thin">
          <color indexed="64"/>
        </left>
        <right style="thin">
          <color indexed="64"/>
        </right>
        <top style="thin">
          <color indexed="64"/>
        </top>
      </border>
    </dxf>
    <dxf>
      <font>
        <strike val="0"/>
        <outline val="0"/>
        <shadow val="0"/>
        <vertAlign val="baseline"/>
        <name val="Zawgyi-One"/>
        <scheme val="none"/>
      </font>
    </dxf>
    <dxf>
      <border outline="0">
        <bottom style="thin">
          <color indexed="64"/>
        </bottom>
      </border>
    </dxf>
    <dxf>
      <font>
        <strike val="0"/>
        <outline val="0"/>
        <shadow val="0"/>
        <vertAlign val="baseline"/>
        <name val="Zawgyi-One"/>
        <scheme val="none"/>
      </font>
    </dxf>
    <dxf>
      <font>
        <b val="0"/>
        <i val="0"/>
        <strike val="0"/>
        <condense val="0"/>
        <extend val="0"/>
        <outline val="0"/>
        <shadow val="0"/>
        <u val="none"/>
        <vertAlign val="baseline"/>
        <sz val="11"/>
        <color theme="1"/>
        <name val="Zawgyi-One"/>
        <scheme val="none"/>
      </font>
      <numFmt numFmtId="164" formatCode="_(* #,##0_);_(* \(#,##0\);_(* &quot;-&quot;??_);_(@_)"/>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numFmt numFmtId="1" formatCode="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vertAlign val="baseline"/>
        <sz val="11"/>
        <name val="Zawgyi-One"/>
        <scheme val="none"/>
      </font>
    </dxf>
    <dxf>
      <border>
        <bottom style="thin">
          <color indexed="64"/>
        </bottom>
      </border>
    </dxf>
    <dxf>
      <font>
        <b/>
        <i val="0"/>
        <strike val="0"/>
        <condense val="0"/>
        <extend val="0"/>
        <outline val="0"/>
        <shadow val="0"/>
        <u val="none"/>
        <vertAlign val="baseline"/>
        <sz val="11"/>
        <color theme="0"/>
        <name val="Zawgyi-One"/>
        <scheme val="none"/>
      </font>
      <fill>
        <patternFill patternType="solid">
          <fgColor indexed="64"/>
          <bgColor rgb="FF00B05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color theme="1"/>
        <name val="Zawgyi-One"/>
        <scheme val="none"/>
      </font>
    </dxf>
    <dxf>
      <font>
        <strike val="0"/>
        <outline val="0"/>
        <shadow val="0"/>
        <u val="none"/>
        <vertAlign val="baseline"/>
        <color theme="1"/>
        <name val="Zawgyi-One"/>
        <scheme val="none"/>
      </font>
    </dxf>
    <dxf>
      <font>
        <strike val="0"/>
        <outline val="0"/>
        <shadow val="0"/>
        <u val="none"/>
        <vertAlign val="baseline"/>
        <color theme="1"/>
        <name val="Zawgyi-One"/>
        <scheme val="none"/>
      </font>
    </dxf>
    <dxf>
      <border outline="0">
        <top style="thin">
          <color indexed="64"/>
        </top>
      </border>
    </dxf>
    <dxf>
      <border outline="0">
        <left style="thin">
          <color indexed="64"/>
        </left>
        <right style="thin">
          <color indexed="64"/>
        </right>
        <top style="thin">
          <color indexed="64"/>
        </top>
      </border>
    </dxf>
    <dxf>
      <font>
        <strike val="0"/>
        <outline val="0"/>
        <shadow val="0"/>
        <u val="none"/>
        <vertAlign val="baseline"/>
        <color theme="1"/>
        <name val="Zawgyi-One"/>
        <scheme val="none"/>
      </font>
    </dxf>
    <dxf>
      <border outline="0">
        <bottom style="thin">
          <color indexed="64"/>
        </bottom>
      </border>
    </dxf>
    <dxf>
      <font>
        <strike val="0"/>
        <outline val="0"/>
        <shadow val="0"/>
        <u val="none"/>
        <vertAlign val="baseline"/>
        <color theme="1"/>
        <name val="Zawgyi-One"/>
        <scheme val="none"/>
      </font>
    </dxf>
    <dxf>
      <font>
        <strike val="0"/>
        <outline val="0"/>
        <shadow val="0"/>
        <u val="none"/>
        <vertAlign val="baseline"/>
        <color theme="1"/>
        <name val="Zawgyi-One"/>
        <scheme val="none"/>
      </font>
    </dxf>
    <dxf>
      <font>
        <strike val="0"/>
        <outline val="0"/>
        <shadow val="0"/>
        <u val="none"/>
        <vertAlign val="baseline"/>
        <color theme="1"/>
        <name val="Zawgyi-One"/>
        <scheme val="none"/>
      </font>
    </dxf>
    <dxf>
      <font>
        <strike val="0"/>
        <outline val="0"/>
        <shadow val="0"/>
        <u val="none"/>
        <vertAlign val="baseline"/>
        <color theme="1"/>
        <name val="Zawgyi-One"/>
        <scheme val="none"/>
      </font>
    </dxf>
    <dxf>
      <border outline="0">
        <top style="thin">
          <color indexed="64"/>
        </top>
      </border>
    </dxf>
    <dxf>
      <border outline="0">
        <left style="thin">
          <color indexed="64"/>
        </left>
        <right style="thin">
          <color indexed="64"/>
        </right>
        <top style="thin">
          <color indexed="64"/>
        </top>
      </border>
    </dxf>
    <dxf>
      <font>
        <strike val="0"/>
        <outline val="0"/>
        <shadow val="0"/>
        <u val="none"/>
        <vertAlign val="baseline"/>
        <color theme="1"/>
        <name val="Zawgyi-One"/>
        <scheme val="none"/>
      </font>
    </dxf>
    <dxf>
      <border outline="0">
        <bottom style="thin">
          <color indexed="64"/>
        </bottom>
      </border>
    </dxf>
    <dxf>
      <font>
        <strike val="0"/>
        <outline val="0"/>
        <shadow val="0"/>
        <u val="none"/>
        <vertAlign val="baseline"/>
        <color theme="1"/>
        <name val="Zawgyi-One"/>
        <scheme val="none"/>
      </font>
    </dxf>
    <dxf>
      <font>
        <b val="0"/>
        <i val="0"/>
        <strike val="0"/>
        <condense val="0"/>
        <extend val="0"/>
        <outline val="0"/>
        <shadow val="0"/>
        <u val="none"/>
        <vertAlign val="baseline"/>
        <sz val="11"/>
        <color theme="1"/>
        <name val="Zawgyi-One"/>
        <scheme val="none"/>
      </font>
      <numFmt numFmtId="164" formatCode="_(* #,##0_);_(* \(#,##0\);_(* &quot;-&quot;??_);_(@_)"/>
      <fill>
        <patternFill patternType="solid">
          <fgColor indexed="64"/>
          <bgColor theme="0"/>
        </patternFill>
      </fill>
      <border diagonalUp="0" diagonalDown="0" outline="0">
        <left style="thin">
          <color indexed="64"/>
        </left>
        <right/>
        <top style="thin">
          <color indexed="64"/>
        </top>
        <bottom style="thin">
          <color indexed="64"/>
        </bottom>
      </border>
    </dxf>
    <dxf>
      <font>
        <strike val="0"/>
        <outline val="0"/>
        <shadow val="0"/>
        <u val="none"/>
        <vertAlign val="baseline"/>
        <color theme="1"/>
        <name val="Zawgyi-One"/>
        <scheme val="none"/>
      </font>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rder>
    </dxf>
    <dxf>
      <font>
        <strike val="0"/>
        <outline val="0"/>
        <shadow val="0"/>
        <u val="none"/>
        <vertAlign val="baseline"/>
        <color theme="1"/>
        <name val="Zawgyi-One"/>
        <scheme val="none"/>
      </font>
    </dxf>
    <dxf>
      <border outline="0">
        <bottom style="thin">
          <color indexed="64"/>
        </bottom>
      </border>
    </dxf>
    <dxf>
      <font>
        <b/>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Zawgyi-One"/>
        <scheme val="none"/>
      </font>
      <numFmt numFmtId="164" formatCode="_(* #,##0_);_(* \(#,##0\);_(* &quot;-&quot;??_);_(@_)"/>
      <alignment horizontal="center" vertical="bottom" textRotation="0" wrapText="0" indent="0" justifyLastLine="0" shrinkToFit="0" readingOrder="0"/>
      <border diagonalUp="0" diagonalDown="0" outline="0">
        <left style="thin">
          <color indexed="64"/>
        </left>
        <right/>
        <top style="thin">
          <color indexed="64"/>
        </top>
        <bottom/>
      </border>
    </dxf>
    <dxf>
      <font>
        <b/>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outline="0">
        <left/>
        <right style="thin">
          <color indexed="64"/>
        </right>
        <top style="thin">
          <color indexed="64"/>
        </top>
        <bottom/>
      </border>
    </dxf>
    <dxf>
      <border outline="0">
        <top style="thin">
          <color indexed="64"/>
        </top>
      </border>
    </dxf>
    <dxf>
      <border outline="0">
        <left style="thin">
          <color indexed="64"/>
        </left>
        <right style="thin">
          <color indexed="64"/>
        </right>
        <top style="thin">
          <color indexed="64"/>
        </top>
        <bottom style="thin">
          <color indexed="64"/>
        </bottom>
      </border>
    </dxf>
    <dxf>
      <font>
        <strike val="0"/>
        <outline val="0"/>
        <shadow val="0"/>
        <u val="none"/>
        <vertAlign val="baseline"/>
        <color theme="1"/>
        <name val="Zawgyi-One"/>
        <scheme val="none"/>
      </font>
    </dxf>
    <dxf>
      <border outline="0">
        <bottom style="thin">
          <color indexed="64"/>
        </bottom>
      </border>
    </dxf>
    <dxf>
      <font>
        <strike val="0"/>
        <outline val="0"/>
        <shadow val="0"/>
        <u val="none"/>
        <vertAlign val="baseline"/>
        <color theme="1"/>
        <name val="Zawgyi-One"/>
        <scheme val="none"/>
      </font>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88" formatCode="m/d/yyyy"/>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5"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4"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4"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name val="Zawgyi-One"/>
        <scheme val="none"/>
      </font>
      <numFmt numFmtId="168" formatCode="dd\-mmm\-yyyy"/>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indexed="64"/>
        </top>
      </border>
    </dxf>
    <dxf>
      <font>
        <strike val="0"/>
        <outline val="0"/>
        <shadow val="0"/>
        <u val="none"/>
        <vertAlign val="baseline"/>
        <sz val="10"/>
        <name val="Zawgyi-One"/>
        <scheme val="none"/>
      </font>
    </dxf>
    <dxf>
      <border outline="0">
        <bottom style="thin">
          <color indexed="64"/>
        </bottom>
      </border>
    </dxf>
    <dxf>
      <font>
        <b/>
        <i val="0"/>
        <strike val="0"/>
        <condense val="0"/>
        <extend val="0"/>
        <outline val="0"/>
        <shadow val="0"/>
        <u val="none"/>
        <vertAlign val="baseline"/>
        <sz val="10"/>
        <color theme="0"/>
        <name val="Zawgyi-One"/>
        <scheme val="none"/>
      </font>
      <fill>
        <patternFill patternType="solid">
          <fgColor indexed="64"/>
          <bgColor theme="4" tint="-0.249977111117893"/>
        </patternFill>
      </fill>
      <alignment horizontal="center" vertical="center" textRotation="0" wrapText="1" indent="0" justifyLastLine="0" shrinkToFit="0" readingOrder="0"/>
      <border diagonalUp="0" diagonalDown="0" outline="0">
        <left style="thin">
          <color theme="0"/>
        </left>
        <right style="thin">
          <color theme="0"/>
        </right>
        <top/>
        <bottom/>
      </border>
    </dxf>
    <dxf>
      <numFmt numFmtId="188" formatCode="m/d/yyyy"/>
    </dxf>
    <dxf>
      <numFmt numFmtId="188" formatCode="m/d/yyyy"/>
    </dxf>
    <dxf>
      <numFmt numFmtId="164" formatCode="_(* #,##0_);_(* \(#,##0\);_(* &quot;-&quot;??_);_(@_)"/>
    </dxf>
    <dxf>
      <numFmt numFmtId="164" formatCode="_(* #,##0_);_(* \(#,##0\);_(* &quot;-&quot;??_);_(@_)"/>
    </dxf>
    <dxf>
      <numFmt numFmtId="174" formatCode="0\9\-000000000"/>
      <alignment horizontal="center"/>
    </dxf>
    <dxf>
      <numFmt numFmtId="174" formatCode="0\9\-000000000"/>
      <alignment horizontal="center"/>
    </dxf>
    <dxf>
      <alignment horizontal="center"/>
    </dxf>
    <dxf>
      <numFmt numFmtId="174" formatCode="0\9\-000000000"/>
    </dxf>
    <dxf>
      <font>
        <name val="Zawgyi-One"/>
        <scheme val="none"/>
      </font>
    </dxf>
    <dxf>
      <font>
        <name val="Zawgyi-One"/>
        <scheme val="none"/>
      </font>
    </dxf>
    <dxf>
      <font>
        <name val="Zawgyi-One"/>
        <scheme val="none"/>
      </font>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88" formatCode="m/d/yyyy"/>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5"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4"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4"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name val="Zawgyi-One"/>
        <scheme val="none"/>
      </font>
      <numFmt numFmtId="168" formatCode="dd\-mmm\-yyyy"/>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indexed="64"/>
        </top>
      </border>
    </dxf>
    <dxf>
      <font>
        <strike val="0"/>
        <outline val="0"/>
        <shadow val="0"/>
        <u val="none"/>
        <vertAlign val="baseline"/>
        <sz val="10"/>
        <name val="Zawgyi-One"/>
        <scheme val="none"/>
      </font>
    </dxf>
    <dxf>
      <border outline="0">
        <bottom style="thin">
          <color indexed="64"/>
        </bottom>
      </border>
    </dxf>
    <dxf>
      <font>
        <b/>
        <i val="0"/>
        <strike val="0"/>
        <condense val="0"/>
        <extend val="0"/>
        <outline val="0"/>
        <shadow val="0"/>
        <u val="none"/>
        <vertAlign val="baseline"/>
        <sz val="10"/>
        <color theme="0"/>
        <name val="Zawgyi-One"/>
        <scheme val="none"/>
      </font>
      <fill>
        <patternFill patternType="solid">
          <fgColor indexed="64"/>
          <bgColor theme="4" tint="-0.249977111117893"/>
        </patternFill>
      </fill>
      <alignment horizontal="center" vertical="center" textRotation="0" wrapText="1" indent="0" justifyLastLine="0" shrinkToFit="0" readingOrder="0"/>
      <border diagonalUp="0" diagonalDown="0" outline="0">
        <left style="thin">
          <color theme="0"/>
        </left>
        <right style="thin">
          <color theme="0"/>
        </right>
        <top/>
        <bottom/>
      </border>
    </dxf>
    <dxf>
      <font>
        <sz val="10"/>
      </font>
    </dxf>
    <dxf>
      <font>
        <sz val="10"/>
      </font>
    </dxf>
    <dxf>
      <font>
        <sz val="10"/>
      </font>
    </dxf>
    <dxf>
      <font>
        <sz val="10"/>
      </font>
    </dxf>
    <dxf>
      <font>
        <sz val="10"/>
      </font>
    </dxf>
    <dxf>
      <font>
        <sz val="12"/>
      </font>
    </dxf>
    <dxf>
      <font>
        <sz val="12"/>
      </font>
    </dxf>
    <dxf>
      <font>
        <sz val="12"/>
      </font>
    </dxf>
    <dxf>
      <font>
        <sz val="12"/>
      </font>
    </dxf>
    <dxf>
      <font>
        <sz val="12"/>
      </font>
    </dxf>
    <dxf>
      <font>
        <i/>
      </font>
    </dxf>
    <dxf>
      <font>
        <i/>
      </font>
    </dxf>
    <dxf>
      <font>
        <i/>
      </font>
    </dxf>
    <dxf>
      <font>
        <i/>
      </font>
    </dxf>
    <dxf>
      <font>
        <i/>
      </font>
    </dxf>
    <dxf>
      <numFmt numFmtId="164" formatCode="_(* #,##0_);_(* \(#,##0\);_(* &quot;-&quot;??_);_(@_)"/>
    </dxf>
    <dxf>
      <numFmt numFmtId="164" formatCode="_(* #,##0_);_(* \(#,##0\);_(* &quot;-&quot;??_);_(@_)"/>
    </dxf>
    <dxf>
      <numFmt numFmtId="164" formatCode="_(* #,##0_);_(* \(#,##0\);_(* &quot;-&quot;??_);_(@_)"/>
    </dxf>
    <dxf>
      <numFmt numFmtId="187" formatCode="_(* #,##0.0_);_(* \(#,##0.0\);_(* &quot;-&quot;??_);_(@_)"/>
    </dxf>
    <dxf>
      <numFmt numFmtId="187" formatCode="_(* #,##0.0_);_(* \(#,##0.0\);_(* &quot;-&quot;??_);_(@_)"/>
    </dxf>
    <dxf>
      <numFmt numFmtId="187" formatCode="_(* #,##0.0_);_(* \(#,##0.0\);_(* &quot;-&quot;??_);_(@_)"/>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numFmt numFmtId="164" formatCode="_(* #,##0_);_(* \(#,##0\);_(* &quot;-&quot;??_);_(@_)"/>
    </dxf>
    <dxf>
      <numFmt numFmtId="164" formatCode="_(* #,##0_);_(* \(#,##0\);_(* &quot;-&quot;??_);_(@_)"/>
    </dxf>
    <dxf>
      <numFmt numFmtId="164" formatCode="_(* #,##0_);_(* \(#,##0\);_(* &quot;-&quot;??_);_(@_)"/>
    </dxf>
    <dxf>
      <numFmt numFmtId="187" formatCode="_(* #,##0.0_);_(* \(#,##0.0\);_(* &quot;-&quot;??_);_(@_)"/>
    </dxf>
    <dxf>
      <numFmt numFmtId="187" formatCode="_(* #,##0.0_);_(* \(#,##0.0\);_(* &quot;-&quot;??_);_(@_)"/>
    </dxf>
    <dxf>
      <numFmt numFmtId="187" formatCode="_(* #,##0.0_);_(* \(#,##0.0\);_(* &quot;-&quot;??_);_(@_)"/>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i/>
      </font>
    </dxf>
    <dxf>
      <font>
        <i/>
      </font>
    </dxf>
    <dxf>
      <font>
        <b/>
      </font>
    </dxf>
    <dxf>
      <font>
        <b/>
      </font>
    </dxf>
    <dxf>
      <alignment horizontal="center" readingOrder="0"/>
    </dxf>
    <dxf>
      <font>
        <i/>
      </font>
    </dxf>
    <dxf>
      <font>
        <b/>
      </font>
    </dxf>
    <dxf>
      <alignment horizontal="center" readingOrder="0"/>
    </dxf>
    <dxf>
      <font>
        <i/>
      </font>
    </dxf>
    <dxf>
      <font>
        <b/>
      </font>
    </dxf>
    <dxf>
      <alignment horizontal="center" readingOrder="0"/>
    </dxf>
    <dxf>
      <font>
        <i/>
      </font>
    </dxf>
    <dxf>
      <font>
        <b/>
      </font>
    </dxf>
    <dxf>
      <numFmt numFmtId="164" formatCode="_(* #,##0_);_(* \(#,##0\);_(* &quot;-&quot;??_);_(@_)"/>
    </dxf>
    <dxf>
      <numFmt numFmtId="164" formatCode="_(* #,##0_);_(* \(#,##0\);_(* &quot;-&quot;??_);_(@_)"/>
    </dxf>
    <dxf>
      <numFmt numFmtId="164" formatCode="_(* #,##0_);_(* \(#,##0\);_(* &quot;-&quot;??_);_(@_)"/>
    </dxf>
    <dxf>
      <numFmt numFmtId="187" formatCode="_(* #,##0.0_);_(* \(#,##0.0\);_(* &quot;-&quot;??_);_(@_)"/>
    </dxf>
    <dxf>
      <numFmt numFmtId="187" formatCode="_(* #,##0.0_);_(* \(#,##0.0\);_(* &quot;-&quot;??_);_(@_)"/>
    </dxf>
    <dxf>
      <numFmt numFmtId="187" formatCode="_(* #,##0.0_);_(* \(#,##0.0\);_(* &quot;-&quot;??_);_(@_)"/>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strike val="0"/>
        <outline val="0"/>
        <shadow val="0"/>
        <u val="none"/>
        <vertAlign val="baseline"/>
        <sz val="11"/>
        <color theme="1"/>
        <name val="Zawgyi-One"/>
        <scheme val="none"/>
      </font>
      <numFmt numFmtId="6" formatCode="#,##0_);[Red]\(#,##0\)"/>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numFmt numFmtId="188" formatCode="m/d/yyyy"/>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numFmt numFmtId="176" formatCode="dd/mm/yyyy"/>
    </dxf>
    <dxf>
      <numFmt numFmtId="176" formatCode="dd/mm/yyyy"/>
    </dxf>
    <dxf>
      <numFmt numFmtId="174" formatCode="0\9\-000000000"/>
    </dxf>
    <dxf>
      <numFmt numFmtId="174" formatCode="0\9\-000000000"/>
    </dxf>
    <dxf>
      <numFmt numFmtId="164" formatCode="_(* #,##0_);_(* \(#,##0\);_(* &quot;-&quot;??_);_(@_)"/>
    </dxf>
    <dxf>
      <numFmt numFmtId="164" formatCode="_(* #,##0_);_(* \(#,##0\);_(* &quot;-&quot;??_);_(@_)"/>
    </dxf>
    <dxf>
      <numFmt numFmtId="187" formatCode="_(* #,##0.0_);_(* \(#,##0.0\);_(* &quot;-&quot;??_);_(@_)"/>
    </dxf>
    <dxf>
      <numFmt numFmtId="187" formatCode="_(* #,##0.0_);_(* \(#,##0.0\);_(* &quot;-&quot;??_);_(@_)"/>
    </dxf>
    <dxf>
      <alignment horizontal="center" readingOrder="0"/>
    </dxf>
    <dxf>
      <alignment horizontal="right" readingOrder="0"/>
    </dxf>
    <dxf>
      <numFmt numFmtId="164" formatCode="_(* #,##0_);_(* \(#,##0\);_(* &quot;-&quot;??_);_(@_)"/>
    </dxf>
    <dxf>
      <numFmt numFmtId="164" formatCode="_(* #,##0_);_(* \(#,##0\);_(* &quot;-&quot;??_);_(@_)"/>
    </dxf>
    <dxf>
      <numFmt numFmtId="187" formatCode="_(* #,##0.0_);_(* \(#,##0.0\);_(* &quot;-&quot;??_);_(@_)"/>
    </dxf>
    <dxf>
      <numFmt numFmtId="187" formatCode="_(* #,##0.0_);_(* \(#,##0.0\);_(* &quot;-&quot;??_);_(@_)"/>
    </dxf>
    <dxf>
      <numFmt numFmtId="188" formatCode="m/d/yyyy"/>
    </dxf>
    <dxf>
      <numFmt numFmtId="188" formatCode="m/d/yyyy"/>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numFmt numFmtId="174" formatCode="0\9\-000000000"/>
    </dxf>
    <dxf>
      <numFmt numFmtId="174" formatCode="0\9\-000000000"/>
    </dxf>
    <dxf>
      <numFmt numFmtId="176" formatCode="dd/mm/yyyy"/>
    </dxf>
    <dxf>
      <numFmt numFmtId="176" formatCode="dd/mm/yyyy"/>
    </dxf>
    <dxf>
      <numFmt numFmtId="174" formatCode="0\9\-000000000"/>
    </dxf>
    <dxf>
      <numFmt numFmtId="174" formatCode="0\9\-000000000"/>
    </dxf>
    <dxf>
      <numFmt numFmtId="164" formatCode="_(* #,##0_);_(* \(#,##0\);_(* &quot;-&quot;??_);_(@_)"/>
    </dxf>
    <dxf>
      <numFmt numFmtId="164" formatCode="_(* #,##0_);_(* \(#,##0\);_(* &quot;-&quot;??_);_(@_)"/>
    </dxf>
    <dxf>
      <numFmt numFmtId="187" formatCode="_(* #,##0.0_);_(* \(#,##0.0\);_(* &quot;-&quot;??_);_(@_)"/>
    </dxf>
    <dxf>
      <numFmt numFmtId="187" formatCode="_(* #,##0.0_);_(* \(#,##0.0\);_(* &quot;-&quot;??_);_(@_)"/>
    </dxf>
    <dxf>
      <numFmt numFmtId="188" formatCode="m/d/yyyy"/>
    </dxf>
    <dxf>
      <numFmt numFmtId="188" formatCode="m/d/yyyy"/>
    </dxf>
    <dxf>
      <alignment horizontal="center" readingOrder="0"/>
    </dxf>
    <dxf>
      <alignment horizontal="right" readingOrder="0"/>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88" formatCode="m/d/yyyy"/>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5"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4"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4"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name val="Zawgyi-One"/>
        <scheme val="none"/>
      </font>
      <numFmt numFmtId="168" formatCode="dd\-mmm\-yyyy"/>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rgb="FF000000"/>
        </top>
      </border>
    </dxf>
    <dxf>
      <font>
        <strike val="0"/>
        <outline val="0"/>
        <shadow val="0"/>
        <u val="none"/>
        <vertAlign val="baseline"/>
        <sz val="10"/>
        <name val="Zawgyi-One"/>
        <scheme val="none"/>
      </font>
    </dxf>
    <dxf>
      <border outline="0">
        <bottom style="thin">
          <color indexed="64"/>
        </bottom>
      </border>
    </dxf>
    <dxf>
      <font>
        <b/>
        <i val="0"/>
        <strike val="0"/>
        <condense val="0"/>
        <extend val="0"/>
        <outline val="0"/>
        <shadow val="0"/>
        <u val="none"/>
        <vertAlign val="baseline"/>
        <sz val="10"/>
        <color theme="0"/>
        <name val="Zawgyi-One"/>
        <scheme val="none"/>
      </font>
      <fill>
        <patternFill patternType="solid">
          <fgColor indexed="64"/>
          <bgColor theme="4" tint="-0.249977111117893"/>
        </patternFill>
      </fill>
      <alignment horizontal="center" vertical="center" textRotation="0" wrapText="1"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Zawgyi-One"/>
        <scheme val="none"/>
      </font>
      <numFmt numFmtId="164" formatCode="_(* #,##0_);_(* \(#,##0\);_(* &quot;-&quot;??_);_(@_)"/>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Zawgyi-One"/>
        <scheme val="none"/>
      </font>
      <numFmt numFmtId="164" formatCode="_(* #,##0_);_(* \(#,##0\);_(* &quot;-&quot;??_);_(@_)"/>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Zawgyi-One"/>
        <scheme val="none"/>
      </font>
      <numFmt numFmtId="164" formatCode="_(* #,##0_);_(* \(#,##0\);_(* &quot;-&quot;??_);_(@_)"/>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Zawgyi-One"/>
        <scheme val="none"/>
      </font>
      <numFmt numFmtId="164" formatCode="_(* #,##0_);_(* \(#,##0\);_(* &quot;-&quot;??_);_(@_)"/>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Zawgyi-One"/>
        <scheme val="none"/>
      </font>
      <fill>
        <patternFill patternType="none">
          <fgColor indexed="64"/>
          <bgColor indexed="65"/>
        </patternFill>
      </fill>
    </dxf>
    <dxf>
      <font>
        <b val="0"/>
        <i val="0"/>
        <strike val="0"/>
        <condense val="0"/>
        <extend val="0"/>
        <outline val="0"/>
        <shadow val="0"/>
        <u val="none"/>
        <vertAlign val="baseline"/>
        <sz val="11"/>
        <color theme="1"/>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alignment horizontal="center"/>
    </dxf>
    <dxf>
      <alignment horizontal="center"/>
    </dxf>
    <dxf>
      <font>
        <sz val="11"/>
      </font>
    </dxf>
    <dxf>
      <font>
        <sz val="11"/>
      </font>
    </dxf>
    <dxf>
      <font>
        <sz val="11"/>
      </font>
    </dxf>
    <dxf>
      <font>
        <sz val="11"/>
      </font>
    </dxf>
    <dxf>
      <font>
        <sz val="11"/>
      </font>
    </dxf>
    <dxf>
      <font>
        <sz val="11"/>
      </font>
    </dxf>
    <dxf>
      <numFmt numFmtId="164" formatCode="_(* #,##0_);_(* \(#,##0\);_(* &quot;-&quot;??_);_(@_)"/>
    </dxf>
    <dxf>
      <numFmt numFmtId="164" formatCode="_(* #,##0_);_(* \(#,##0\);_(* &quot;-&quot;??_);_(@_)"/>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strike val="0"/>
        <outline val="0"/>
        <shadow val="0"/>
        <u val="none"/>
        <vertAlign val="baseline"/>
        <sz val="11"/>
        <color theme="1"/>
        <name val="Zawgyi-One"/>
        <scheme val="none"/>
      </font>
    </dxf>
    <dxf>
      <numFmt numFmtId="164" formatCode="_(* #,##0_);_(* \(#,##0\);_(* &quot;-&quot;??_);_(@_)"/>
    </dxf>
    <dxf>
      <numFmt numFmtId="164" formatCode="_(* #,##0_);_(* \(#,##0\);_(* &quot;-&quot;??_);_(@_)"/>
    </dxf>
    <dxf>
      <font>
        <name val="Zawgyi-One"/>
        <scheme val="none"/>
      </font>
    </dxf>
    <dxf>
      <font>
        <name val="Zawgyi-One"/>
        <scheme val="none"/>
      </font>
    </dxf>
    <dxf>
      <font>
        <b val="0"/>
        <i val="0"/>
        <strike val="0"/>
        <condense val="0"/>
        <extend val="0"/>
        <outline val="0"/>
        <shadow val="0"/>
        <u val="none"/>
        <vertAlign val="baseline"/>
        <sz val="11"/>
        <color theme="1"/>
        <name val="Zawgyi-One"/>
        <scheme val="none"/>
      </font>
      <numFmt numFmtId="179" formatCode="[$-409]d/mmm/yyyy;@"/>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numFmt numFmtId="166" formatCode="_-* #,##0_-;\-* #,##0_-;_-*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6" formatCode="_-* #,##0_-;\-* #,##0_-;_-* &quot;-&quot;??_-;_-@_-"/>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6" formatCode="_-* #,##0_-;\-* #,##0_-;_-*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78" formatCode="0.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6" formatCode="_-* #,##0_-;\-* #,##0_-;_-*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6" formatCode="_-* #,##0_-;\-* #,##0_-;_-*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72" formatCode="dd\-mmmm\-yyyy"/>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dxf>
    <dxf>
      <border outline="0">
        <bottom style="thin">
          <color indexed="64"/>
        </bottom>
      </border>
    </dxf>
    <dxf>
      <font>
        <b/>
        <i val="0"/>
        <strike val="0"/>
        <condense val="0"/>
        <extend val="0"/>
        <outline val="0"/>
        <shadow val="0"/>
        <u val="none"/>
        <vertAlign val="baseline"/>
        <sz val="11"/>
        <color auto="1"/>
        <name val="Zawgyi-One"/>
        <scheme val="none"/>
      </font>
      <numFmt numFmtId="166" formatCode="_-* #,##0_-;\-* #,##0_-;_-* &quot;-&quot;??_-;_-@_-"/>
      <fill>
        <patternFill patternType="solid">
          <fgColor indexed="64"/>
          <bgColor rgb="FFFFFF0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Zawgyi-One"/>
        <scheme val="none"/>
      </font>
      <numFmt numFmtId="164" formatCode="_(* #,##0_);_(* \(#,##0\);_(* &quot;-&quot;??_);_(@_)"/>
      <alignment horizontal="general"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alignment horizontal="general"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86" formatCode="[$-409]d/mmm/yy;@"/>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85" formatCode="\V\-00000"/>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85" formatCode="\V\-00000"/>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85" formatCode="\V\-00000"/>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82" formatCode="dd/mmm/yyyy"/>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Pyidaungsu"/>
        <scheme val="none"/>
      </font>
      <numFmt numFmtId="164" formatCode="_(* #,##0_);_(* \(#,##0\);_(* &quot;-&quot;??_);_(@_)"/>
    </dxf>
    <dxf>
      <font>
        <b val="0"/>
        <i val="0"/>
        <strike val="0"/>
        <condense val="0"/>
        <extend val="0"/>
        <outline val="0"/>
        <shadow val="0"/>
        <u val="none"/>
        <vertAlign val="baseline"/>
        <sz val="11"/>
        <color theme="1"/>
        <name val="Pyidaungsu"/>
        <scheme val="none"/>
      </font>
      <numFmt numFmtId="164" formatCode="_(* #,##0_);_(* \(#,##0\);_(* &quot;-&quot;??_);_(@_)"/>
    </dxf>
    <dxf>
      <font>
        <b val="0"/>
        <i val="0"/>
        <strike val="0"/>
        <condense val="0"/>
        <extend val="0"/>
        <outline val="0"/>
        <shadow val="0"/>
        <u val="none"/>
        <vertAlign val="baseline"/>
        <sz val="11"/>
        <color theme="1"/>
        <name val="Pyidaungsu"/>
        <scheme val="none"/>
      </font>
      <numFmt numFmtId="164" formatCode="_(* #,##0_);_(* \(#,##0\);_(* &quot;-&quot;??_);_(@_)"/>
    </dxf>
    <dxf>
      <font>
        <b val="0"/>
        <i val="0"/>
        <strike val="0"/>
        <condense val="0"/>
        <extend val="0"/>
        <outline val="0"/>
        <shadow val="0"/>
        <u val="none"/>
        <vertAlign val="baseline"/>
        <sz val="11"/>
        <color theme="1"/>
        <name val="Pyidaungsu"/>
        <scheme val="none"/>
      </font>
      <numFmt numFmtId="164" formatCode="_(* #,##0_);_(* \(#,##0\);_(* &quot;-&quot;??_);_(@_)"/>
    </dxf>
    <dxf>
      <font>
        <b val="0"/>
        <i val="0"/>
        <strike val="0"/>
        <condense val="0"/>
        <extend val="0"/>
        <outline val="0"/>
        <shadow val="0"/>
        <u val="none"/>
        <vertAlign val="baseline"/>
        <sz val="11"/>
        <color theme="1"/>
        <name val="Pyidaungsu"/>
        <scheme val="none"/>
      </font>
    </dxf>
    <dxf>
      <font>
        <b val="0"/>
        <i val="0"/>
        <strike val="0"/>
        <condense val="0"/>
        <extend val="0"/>
        <outline val="0"/>
        <shadow val="0"/>
        <u val="none"/>
        <vertAlign val="baseline"/>
        <sz val="11"/>
        <color theme="1"/>
        <name val="Pyidaungsu"/>
        <scheme val="none"/>
      </font>
    </dxf>
    <dxf>
      <font>
        <b val="0"/>
        <i val="0"/>
        <strike val="0"/>
        <condense val="0"/>
        <extend val="0"/>
        <outline val="0"/>
        <shadow val="0"/>
        <u val="none"/>
        <vertAlign val="baseline"/>
        <sz val="11"/>
        <color theme="1"/>
        <name val="Pyidaungsu"/>
        <scheme val="none"/>
      </font>
    </dxf>
    <dxf>
      <font>
        <b val="0"/>
        <i val="0"/>
        <strike val="0"/>
        <condense val="0"/>
        <extend val="0"/>
        <outline val="0"/>
        <shadow val="0"/>
        <u val="none"/>
        <vertAlign val="baseline"/>
        <sz val="11"/>
        <color theme="1"/>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numFmt numFmtId="164" formatCode="_(* #,##0_);_(* \(#,##0\);_(* &quot;-&quot;??_);_(@_)"/>
    </dxf>
    <dxf>
      <numFmt numFmtId="164" formatCode="_(* #,##0_);_(* \(#,##0\);_(* &quot;-&quot;??_);_(@_)"/>
    </dxf>
    <dxf>
      <font>
        <strike val="0"/>
        <outline val="0"/>
        <shadow val="0"/>
        <u val="none"/>
        <vertAlign val="baseline"/>
        <sz val="11"/>
        <color theme="1"/>
        <name val="Zawgyi-One"/>
        <scheme val="none"/>
      </font>
      <numFmt numFmtId="164" formatCode="_(* #,##0_);_(* \(#,##0\);_(* &quot;-&quot;??_);_(@_)"/>
    </dxf>
    <dxf>
      <font>
        <strike val="0"/>
        <outline val="0"/>
        <shadow val="0"/>
        <u val="none"/>
        <vertAlign val="baseline"/>
        <sz val="11"/>
        <color theme="1"/>
        <name val="Zawgyi-One"/>
        <scheme val="none"/>
      </font>
    </dxf>
    <dxf>
      <border diagonalUp="0" diagonalDown="0">
        <left style="thick">
          <color theme="1"/>
        </left>
        <right style="thick">
          <color theme="1"/>
        </right>
        <top style="thick">
          <color theme="1"/>
        </top>
        <bottom style="thick">
          <color theme="1"/>
        </bottom>
      </border>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numFmt numFmtId="184" formatCode="\V\r\-00000"/>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numFmt numFmtId="0" formatCode="General"/>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numFmt numFmtId="164" formatCode="_(* #,##0_);_(* \(#,##0\);_(* &quot;-&quot;??_);_(@_)"/>
    </dxf>
    <dxf>
      <numFmt numFmtId="164" formatCode="_(* #,##0_);_(* \(#,##0\);_(* &quot;-&quot;??_);_(@_)"/>
    </dxf>
    <dxf>
      <numFmt numFmtId="164" formatCode="_(* #,##0_);_(* \(#,##0\);_(* &quot;-&quot;??_);_(@_)"/>
    </dxf>
    <dxf>
      <numFmt numFmtId="187" formatCode="_(* #,##0.0_);_(* \(#,##0.0\);_(* &quot;-&quot;??_);_(@_)"/>
    </dxf>
    <dxf>
      <numFmt numFmtId="187" formatCode="_(* #,##0.0_);_(* \(#,##0.0\);_(* &quot;-&quot;??_);_(@_)"/>
    </dxf>
    <dxf>
      <numFmt numFmtId="187" formatCode="_(* #,##0.0_);_(* \(#,##0.0\);_(* &quot;-&quot;??_);_(@_)"/>
    </dxf>
    <dxf>
      <alignment horizontal="center" readingOrder="0"/>
    </dxf>
    <dxf>
      <alignment horizontal="center" readingOrder="0"/>
    </dxf>
    <dxf>
      <alignment horizontal="center" readingOrder="0"/>
    </dxf>
    <dxf>
      <alignment horizontal="center" readingOrder="0"/>
    </dxf>
    <dxf>
      <alignment horizontal="center" readingOrder="0"/>
    </dxf>
    <dxf>
      <font>
        <i/>
      </font>
    </dxf>
    <dxf>
      <font>
        <i/>
      </font>
    </dxf>
    <dxf>
      <font>
        <i/>
      </font>
    </dxf>
    <dxf>
      <font>
        <i/>
      </font>
    </dxf>
    <dxf>
      <font>
        <i/>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b val="0"/>
        <i val="0"/>
        <strike val="0"/>
        <condense val="0"/>
        <extend val="0"/>
        <outline val="0"/>
        <shadow val="0"/>
        <u val="none"/>
        <vertAlign val="baseline"/>
        <sz val="11"/>
        <color theme="1"/>
        <name val="Zawgyi-One"/>
        <scheme val="none"/>
      </font>
      <numFmt numFmtId="181" formatCode="_(* #,##0_);[Red]_(* \(#,##0\);_(* &quot;-&quot;??_)"/>
      <fill>
        <patternFill patternType="solid">
          <fgColor theme="7" tint="0.79998168889431442"/>
          <bgColor theme="7" tint="0.79998168889431442"/>
        </patternFill>
      </fill>
      <border diagonalUp="0" diagonalDown="0" outline="0">
        <left style="thin">
          <color indexed="64"/>
        </left>
        <right/>
        <top/>
        <bottom/>
      </border>
    </dxf>
    <dxf>
      <font>
        <b val="0"/>
        <i val="0"/>
        <strike val="0"/>
        <condense val="0"/>
        <extend val="0"/>
        <outline val="0"/>
        <shadow val="0"/>
        <u val="none"/>
        <vertAlign val="baseline"/>
        <sz val="12"/>
        <color theme="1"/>
        <name val="Pyidaungsu"/>
        <scheme val="none"/>
      </font>
      <numFmt numFmtId="169" formatCode="#,###;[Red]\(#,###\);"/>
      <fill>
        <patternFill patternType="solid">
          <fgColor theme="7" tint="0.79998168889431442"/>
          <bgColor theme="0"/>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Zawgyi-One"/>
        <scheme val="none"/>
      </font>
      <numFmt numFmtId="0" formatCode="General"/>
      <border diagonalUp="0" diagonalDown="0" outline="0">
        <left style="thin">
          <color indexed="64"/>
        </left>
        <right style="thin">
          <color indexed="64"/>
        </right>
        <top/>
        <bottom/>
      </border>
    </dxf>
    <dxf>
      <font>
        <strike val="0"/>
        <outline val="0"/>
        <shadow val="0"/>
        <u val="none"/>
        <vertAlign val="baseline"/>
        <sz val="12"/>
        <color rgb="FFFF0000"/>
        <name val="Pyidaungsu"/>
        <scheme val="none"/>
      </font>
      <numFmt numFmtId="181" formatCode="_(* #,##0_);[Red]_(* \(#,##0\);_(* &quot;-&quot;??_)"/>
      <fill>
        <patternFill>
          <bgColor theme="0"/>
        </patternFill>
      </fil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2"/>
        <color auto="1"/>
        <name val="Pyidaungsu"/>
        <scheme val="none"/>
      </font>
      <numFmt numFmtId="181" formatCode="_(* #,##0_);[Red]_(* \(#,##0\);_(* &quot;-&quot;??_)"/>
      <fill>
        <patternFill>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numFmt numFmtId="0" formatCode="General"/>
      <border diagonalUp="0" diagonalDown="0" outline="0">
        <left style="thin">
          <color indexed="64"/>
        </left>
        <right style="thin">
          <color indexed="64"/>
        </right>
        <top/>
        <bottom/>
      </border>
    </dxf>
    <dxf>
      <font>
        <strike val="0"/>
        <outline val="0"/>
        <shadow val="0"/>
        <u val="none"/>
        <vertAlign val="baseline"/>
        <sz val="12"/>
        <name val="Pyidaungsu"/>
        <scheme val="none"/>
      </font>
      <numFmt numFmtId="164" formatCode="_(* #,##0_);_(* \(#,##0\);_(* &quot;-&quot;??_);_(@_)"/>
      <fill>
        <patternFill>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Pyidaungsu"/>
        <scheme val="none"/>
      </font>
      <fill>
        <patternFill patternType="solid">
          <fgColor theme="7" tint="0.79998168889431442"/>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border diagonalUp="0" diagonalDown="0" outline="0">
        <left style="thin">
          <color indexed="64"/>
        </left>
        <right style="thin">
          <color indexed="64"/>
        </right>
        <top/>
        <bottom/>
      </border>
    </dxf>
    <dxf>
      <font>
        <strike val="0"/>
        <outline val="0"/>
        <shadow val="0"/>
        <u val="none"/>
        <vertAlign val="baseline"/>
        <sz val="12"/>
        <name val="Pyidaungsu"/>
        <scheme val="none"/>
      </font>
      <fill>
        <patternFill>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border diagonalUp="0" diagonalDown="0" outline="0">
        <left style="thin">
          <color indexed="64"/>
        </left>
        <right style="thin">
          <color indexed="64"/>
        </right>
        <top/>
        <bottom/>
      </border>
    </dxf>
    <dxf>
      <font>
        <strike val="0"/>
        <outline val="0"/>
        <shadow val="0"/>
        <u val="none"/>
        <vertAlign val="baseline"/>
        <sz val="12"/>
        <name val="Pyidaungsu"/>
        <scheme val="none"/>
      </font>
      <fill>
        <patternFill>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2"/>
        <name val="Pyidaungsu"/>
        <scheme val="none"/>
      </font>
      <numFmt numFmtId="167" formatCode="&quot;CB&quot;00"/>
      <fill>
        <patternFill>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border diagonalUp="0" diagonalDown="0" outline="0">
        <left/>
        <right style="thin">
          <color indexed="64"/>
        </right>
        <top/>
        <bottom/>
      </border>
    </dxf>
    <dxf>
      <font>
        <strike val="0"/>
        <outline val="0"/>
        <shadow val="0"/>
        <u val="none"/>
        <vertAlign val="baseline"/>
        <sz val="12"/>
        <name val="Pyidaungsu"/>
        <scheme val="none"/>
      </font>
      <numFmt numFmtId="189" formatCode="d\-mmm\-yy"/>
      <fill>
        <patternFill>
          <bgColor theme="0"/>
        </patternFill>
      </fill>
      <border diagonalUp="0" diagonalDown="0" outline="0">
        <left/>
        <right style="thin">
          <color indexed="64"/>
        </right>
        <top style="thin">
          <color indexed="64"/>
        </top>
        <bottom style="thin">
          <color indexed="64"/>
        </bottom>
      </border>
    </dxf>
    <dxf>
      <font>
        <strike val="0"/>
        <outline val="0"/>
        <shadow val="0"/>
        <u val="none"/>
        <vertAlign val="baseline"/>
        <sz val="12"/>
        <name val="Pyidaungsu"/>
        <scheme val="none"/>
      </font>
    </dxf>
    <dxf>
      <border outline="0">
        <left style="thin">
          <color theme="7"/>
        </left>
        <top style="thin">
          <color theme="7"/>
        </top>
        <bottom style="thin">
          <color theme="7"/>
        </bottom>
      </border>
    </dxf>
    <dxf>
      <font>
        <strike val="0"/>
        <outline val="0"/>
        <shadow val="0"/>
        <u val="none"/>
        <vertAlign val="baseline"/>
        <sz val="12"/>
        <name val="Pyidaungsu"/>
        <scheme val="none"/>
      </font>
      <fill>
        <patternFill>
          <bgColor theme="0"/>
        </patternFill>
      </fill>
    </dxf>
    <dxf>
      <font>
        <strike val="0"/>
        <outline val="0"/>
        <shadow val="0"/>
        <u val="none"/>
        <vertAlign val="baseline"/>
        <sz val="12"/>
        <name val="Pyidaungsu"/>
        <scheme val="none"/>
      </font>
      <border diagonalUp="0" diagonalDown="0" outline="0">
        <left style="thin">
          <color indexed="64"/>
        </left>
        <right style="thin">
          <color indexed="64"/>
        </right>
        <top/>
        <bottom/>
      </border>
    </dxf>
    <dxf>
      <font>
        <strike val="0"/>
        <outline val="0"/>
        <shadow val="0"/>
        <u val="none"/>
        <vertAlign val="baseline"/>
        <sz val="12"/>
        <name val="Pyidaungsu"/>
        <scheme val="none"/>
      </font>
      <numFmt numFmtId="164" formatCode="_(* #,##0_);_(* \(#,##0\);_(* &quot;-&quot;??_);_(@_)"/>
      <border outline="0">
        <left style="thin">
          <color indexed="64"/>
        </left>
      </border>
    </dxf>
    <dxf>
      <font>
        <b val="0"/>
        <i val="0"/>
        <strike val="0"/>
        <condense val="0"/>
        <extend val="0"/>
        <outline val="0"/>
        <shadow val="0"/>
        <u val="none"/>
        <vertAlign val="baseline"/>
        <sz val="12"/>
        <color auto="1"/>
        <name val="Pyidaungsu"/>
        <scheme val="none"/>
      </font>
      <numFmt numFmtId="164" formatCode="_(* #,##0_);_(* \(#,##0\);_(* &quot;-&quot;??_);_(@_)"/>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Pyidaungsu"/>
        <scheme val="none"/>
      </font>
      <numFmt numFmtId="164" formatCode="_(* #,##0_);_(* \(#,##0\);_(* &quot;-&quot;??_);_(@_)"/>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Pyidaungsu"/>
        <scheme val="none"/>
      </font>
      <numFmt numFmtId="169" formatCode="#,###;[Red]\(#,###\);"/>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Pyidaungsu"/>
        <scheme val="none"/>
      </font>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2"/>
        <name val="Pyidaungsu"/>
        <scheme val="none"/>
      </font>
    </dxf>
    <dxf>
      <font>
        <strike val="0"/>
        <outline val="0"/>
        <shadow val="0"/>
        <u val="none"/>
        <vertAlign val="baseline"/>
        <sz val="12"/>
        <name val="Pyidaungsu"/>
        <scheme val="none"/>
      </font>
    </dxf>
    <dxf>
      <border outline="0">
        <left style="thin">
          <color rgb="FF000000"/>
        </left>
        <right style="thin">
          <color rgb="FF000000"/>
        </right>
        <top style="thin">
          <color rgb="FF000000"/>
        </top>
        <bottom style="thin">
          <color rgb="FF000000"/>
        </bottom>
      </border>
    </dxf>
    <dxf>
      <font>
        <strike val="0"/>
        <outline val="0"/>
        <shadow val="0"/>
        <u val="none"/>
        <vertAlign val="baseline"/>
        <sz val="12"/>
        <name val="Pyidaungsu"/>
        <scheme val="none"/>
      </font>
    </dxf>
    <dxf>
      <border outline="0">
        <bottom style="thin">
          <color rgb="FF000000"/>
        </bottom>
      </border>
    </dxf>
    <dxf>
      <font>
        <b/>
        <i val="0"/>
        <strike val="0"/>
        <condense val="0"/>
        <extend val="0"/>
        <outline val="0"/>
        <shadow val="0"/>
        <u val="none"/>
        <vertAlign val="baseline"/>
        <sz val="12"/>
        <color theme="0"/>
        <name val="Pyidaungsu"/>
        <scheme val="none"/>
      </font>
      <fill>
        <patternFill patternType="solid">
          <fgColor indexed="64"/>
          <bgColor rgb="FF00B05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alignment horizontal="left" readingOrder="0"/>
    </dxf>
    <dxf>
      <font>
        <sz val="10"/>
      </font>
    </dxf>
    <dxf>
      <font>
        <name val="Zawgyi-One"/>
        <scheme val="none"/>
      </font>
    </dxf>
    <dxf>
      <font>
        <name val="Zawgyi-One"/>
        <scheme val="none"/>
      </font>
    </dxf>
    <dxf>
      <font>
        <name val="Zawgyi-One"/>
        <scheme val="none"/>
      </font>
    </dxf>
    <dxf>
      <font>
        <name val="Zawgyi-One"/>
        <scheme val="none"/>
      </font>
    </dxf>
    <dxf>
      <font>
        <name val="Zawgyi-One"/>
        <scheme val="none"/>
      </font>
    </dxf>
    <dxf>
      <numFmt numFmtId="164" formatCode="_(* #,##0_);_(* \(#,##0\);_(* &quot;-&quot;??_);_(@_)"/>
    </dxf>
    <dxf>
      <numFmt numFmtId="164" formatCode="_(* #,##0_);_(* \(#,##0\);_(* &quot;-&quot;??_);_(@_)"/>
    </dxf>
    <dxf>
      <numFmt numFmtId="187" formatCode="_(* #,##0.0_);_(* \(#,##0.0\);_(* &quot;-&quot;??_);_(@_)"/>
    </dxf>
    <dxf>
      <numFmt numFmtId="187" formatCode="_(* #,##0.0_);_(* \(#,##0.0\);_(* &quot;-&quot;??_);_(@_)"/>
    </dxf>
  </dxfs>
  <tableStyles count="0" defaultTableStyle="TableStyleMedium9" defaultPivotStyle="PivotStyleLight16"/>
  <colors>
    <mruColors>
      <color rgb="FFBDDBFB"/>
      <color rgb="FF03E569"/>
      <color rgb="FF5E8A6F"/>
      <color rgb="FFFF99CC"/>
      <color rgb="FF53E602"/>
      <color rgb="FFFF5050"/>
      <color rgb="FFE6A502"/>
      <color rgb="FFFF33CC"/>
      <color rgb="FF00FF00"/>
      <color rgb="FFFC24A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externalLink" Target="externalLinks/externalLink5.xml"/><Relationship Id="rId63" Type="http://schemas.microsoft.com/office/2011/relationships/timelineCache" Target="timelineCaches/timelineCache3.xml"/><Relationship Id="rId68" Type="http://schemas.openxmlformats.org/officeDocument/2006/relationships/styles" Target="styles.xml"/><Relationship Id="rId7" Type="http://schemas.openxmlformats.org/officeDocument/2006/relationships/worksheet" Target="worksheets/sheet7.xml"/><Relationship Id="rId71"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3.xml"/><Relationship Id="rId53" Type="http://schemas.openxmlformats.org/officeDocument/2006/relationships/pivotCacheDefinition" Target="pivotCache/pivotCacheDefinition6.xml"/><Relationship Id="rId58" Type="http://schemas.microsoft.com/office/2007/relationships/slicerCache" Target="slicerCaches/slicerCache2.xml"/><Relationship Id="rId66" Type="http://schemas.openxmlformats.org/officeDocument/2006/relationships/theme" Target="theme/theme1.xml"/><Relationship Id="rId5" Type="http://schemas.openxmlformats.org/officeDocument/2006/relationships/worksheet" Target="worksheets/sheet5.xml"/><Relationship Id="rId61" Type="http://schemas.microsoft.com/office/2011/relationships/timelineCache" Target="timelineCaches/timelineCache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1.xml"/><Relationship Id="rId48" Type="http://schemas.openxmlformats.org/officeDocument/2006/relationships/pivotCacheDefinition" Target="pivotCache/pivotCacheDefinition1.xml"/><Relationship Id="rId56" Type="http://schemas.openxmlformats.org/officeDocument/2006/relationships/pivotCacheDefinition" Target="pivotCache/pivotCacheDefinition9.xml"/><Relationship Id="rId64" Type="http://schemas.microsoft.com/office/2011/relationships/timelineCache" Target="timelineCaches/timelineCache4.xml"/><Relationship Id="rId69"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pivotCacheDefinition" Target="pivotCache/pivotCacheDefinition4.xml"/><Relationship Id="rId72"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4.xml"/><Relationship Id="rId59" Type="http://schemas.microsoft.com/office/2007/relationships/slicerCache" Target="slicerCaches/slicerCache3.xml"/><Relationship Id="rId67"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7.xml"/><Relationship Id="rId62" Type="http://schemas.microsoft.com/office/2011/relationships/timelineCache" Target="timelineCaches/timelineCache2.xml"/><Relationship Id="rId7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pivotCacheDefinition" Target="pivotCache/pivotCacheDefinition2.xml"/><Relationship Id="rId57" Type="http://schemas.microsoft.com/office/2007/relationships/slicerCache" Target="slicerCaches/slicerCache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externalLink" Target="externalLinks/externalLink2.xml"/><Relationship Id="rId52" Type="http://schemas.openxmlformats.org/officeDocument/2006/relationships/pivotCacheDefinition" Target="pivotCache/pivotCacheDefinition5.xml"/><Relationship Id="rId60" Type="http://schemas.microsoft.com/office/2007/relationships/slicerCache" Target="slicerCaches/slicerCache4.xml"/><Relationship Id="rId65" Type="http://schemas.microsoft.com/office/2011/relationships/timelineCache" Target="timelineCaches/timelineCache5.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pivotCacheDefinition" Target="pivotCache/pivotCacheDefinition3.xml"/><Relationship Id="rId55" Type="http://schemas.openxmlformats.org/officeDocument/2006/relationships/pivotCacheDefinition" Target="pivotCache/pivotCacheDefinition8.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hyperlink" Target="#'Co. HP GBS 30%(2020)'!A1"/><Relationship Id="rId13" Type="http://schemas.openxmlformats.org/officeDocument/2006/relationships/hyperlink" Target="#'Cash &amp; Bank2020'!A1"/><Relationship Id="rId18" Type="http://schemas.openxmlformats.org/officeDocument/2006/relationships/hyperlink" Target="#'Tricycle Cash'!A1"/><Relationship Id="rId3" Type="http://schemas.openxmlformats.org/officeDocument/2006/relationships/hyperlink" Target="#Tricycle!A1"/><Relationship Id="rId7" Type="http://schemas.openxmlformats.org/officeDocument/2006/relationships/hyperlink" Target="#'Shop HPGBS 30% '!A1"/><Relationship Id="rId12" Type="http://schemas.openxmlformats.org/officeDocument/2006/relationships/hyperlink" Target="#Loan!A1"/><Relationship Id="rId17" Type="http://schemas.openxmlformats.org/officeDocument/2006/relationships/hyperlink" Target="#'2020 Company Cash flow'!A1"/><Relationship Id="rId2" Type="http://schemas.openxmlformats.org/officeDocument/2006/relationships/hyperlink" Target="#'Creditor (Payable)'!A1"/><Relationship Id="rId16" Type="http://schemas.openxmlformats.org/officeDocument/2006/relationships/hyperlink" Target="#'2019 Company Cash flow'!A1"/><Relationship Id="rId1" Type="http://schemas.openxmlformats.org/officeDocument/2006/relationships/hyperlink" Target="#Cash!A1"/><Relationship Id="rId6" Type="http://schemas.openxmlformats.org/officeDocument/2006/relationships/hyperlink" Target="#'Shop HP 40%'!A1"/><Relationship Id="rId11" Type="http://schemas.openxmlformats.org/officeDocument/2006/relationships/hyperlink" Target="#'Profit (or) Loss Statement'!A1"/><Relationship Id="rId5" Type="http://schemas.openxmlformats.org/officeDocument/2006/relationships/hyperlink" Target="Ya%20Yan%20%20Update" TargetMode="External"/><Relationship Id="rId15" Type="http://schemas.openxmlformats.org/officeDocument/2006/relationships/hyperlink" Target="#'Statement of cash flow'!A1"/><Relationship Id="rId10" Type="http://schemas.openxmlformats.org/officeDocument/2006/relationships/hyperlink" Target="#'GBS HP 40% (2019)'!A1"/><Relationship Id="rId4" Type="http://schemas.openxmlformats.org/officeDocument/2006/relationships/hyperlink" Target="#Downpayment!A1"/><Relationship Id="rId9" Type="http://schemas.openxmlformats.org/officeDocument/2006/relationships/hyperlink" Target="#'Co. HP GBS 40% (2020)'!A1"/><Relationship Id="rId14" Type="http://schemas.openxmlformats.org/officeDocument/2006/relationships/hyperlink" Target="../2020%20&#4096;&#4143;&#4121;&#4216;&#4111;&#4142;%20&#4126;&#4156;&#4100;&#4153;&#4152;&#4123;&#4116;&#4153;&#4121;&#4154;&#4140;&#4152;"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Navigation!A1"/></Relationships>
</file>

<file path=xl/drawings/_rels/drawing4.xml.rels><?xml version="1.0" encoding="UTF-8" standalone="yes"?>
<Relationships xmlns="http://schemas.openxmlformats.org/package/2006/relationships"><Relationship Id="rId1" Type="http://schemas.openxmlformats.org/officeDocument/2006/relationships/hyperlink" Target="#Navigation!A1"/></Relationships>
</file>

<file path=xl/drawings/_rels/drawing7.xml.rels><?xml version="1.0" encoding="UTF-8" standalone="yes"?>
<Relationships xmlns="http://schemas.openxmlformats.org/package/2006/relationships"><Relationship Id="rId1" Type="http://schemas.openxmlformats.org/officeDocument/2006/relationships/hyperlink" Target="#Navigation!A1"/></Relationships>
</file>

<file path=xl/drawings/_rels/drawing9.xml.rels><?xml version="1.0" encoding="UTF-8" standalone="yes"?>
<Relationships xmlns="http://schemas.openxmlformats.org/package/2006/relationships"><Relationship Id="rId1" Type="http://schemas.openxmlformats.org/officeDocument/2006/relationships/hyperlink" Target="#Navigation!A1"/></Relationships>
</file>

<file path=xl/drawings/_rels/drawing13.xml.rels><?xml version="1.0" encoding="UTF-8" standalone="yes"?>
<Relationships xmlns="http://schemas.openxmlformats.org/package/2006/relationships"><Relationship Id="rId1" Type="http://schemas.openxmlformats.org/officeDocument/2006/relationships/hyperlink" Target="#Navigation!A1"/></Relationships>
</file>

<file path=xl/drawings/drawing1.xml><?xml version="1.0" encoding="utf-8"?>
<xdr:wsDr xmlns:xdr="http://schemas.openxmlformats.org/drawingml/2006/spreadsheetDrawing" xmlns:a="http://schemas.openxmlformats.org/drawingml/2006/main">
  <xdr:twoCellAnchor>
    <xdr:from>
      <xdr:col>3</xdr:col>
      <xdr:colOff>9525</xdr:colOff>
      <xdr:row>4</xdr:row>
      <xdr:rowOff>19050</xdr:rowOff>
    </xdr:from>
    <xdr:to>
      <xdr:col>7</xdr:col>
      <xdr:colOff>0</xdr:colOff>
      <xdr:row>5</xdr:row>
      <xdr:rowOff>19050</xdr:rowOff>
    </xdr:to>
    <xdr:sp macro="" textlink="">
      <xdr:nvSpPr>
        <xdr:cNvPr id="2" name="Flowchart: Alternate Process 1">
          <a:hlinkClick xmlns:r="http://schemas.openxmlformats.org/officeDocument/2006/relationships" r:id="rId1"/>
          <a:extLst>
            <a:ext uri="{FF2B5EF4-FFF2-40B4-BE49-F238E27FC236}">
              <a16:creationId xmlns="" xmlns:a16="http://schemas.microsoft.com/office/drawing/2014/main" id="{00000000-0008-0000-0100-000002000000}"/>
            </a:ext>
          </a:extLst>
        </xdr:cNvPr>
        <xdr:cNvSpPr/>
      </xdr:nvSpPr>
      <xdr:spPr>
        <a:xfrm>
          <a:off x="1838325" y="295275"/>
          <a:ext cx="2428875" cy="276225"/>
        </a:xfrm>
        <a:prstGeom prst="flowChartAlternateProcess">
          <a:avLst/>
        </a:prstGeom>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100" b="1"/>
            <a:t>DAILY</a:t>
          </a:r>
          <a:r>
            <a:rPr lang="en-US" sz="1100" b="1" baseline="0"/>
            <a:t> CASH BOOK</a:t>
          </a:r>
          <a:endParaRPr lang="en-US" sz="1100" b="1"/>
        </a:p>
      </xdr:txBody>
    </xdr:sp>
    <xdr:clientData/>
  </xdr:twoCellAnchor>
  <xdr:twoCellAnchor>
    <xdr:from>
      <xdr:col>2</xdr:col>
      <xdr:colOff>600075</xdr:colOff>
      <xdr:row>5</xdr:row>
      <xdr:rowOff>276224</xdr:rowOff>
    </xdr:from>
    <xdr:to>
      <xdr:col>6</xdr:col>
      <xdr:colOff>600075</xdr:colOff>
      <xdr:row>7</xdr:row>
      <xdr:rowOff>38099</xdr:rowOff>
    </xdr:to>
    <xdr:sp macro="" textlink="">
      <xdr:nvSpPr>
        <xdr:cNvPr id="3" name="Flowchart: Alternate Process 2">
          <a:hlinkClick xmlns:r="http://schemas.openxmlformats.org/officeDocument/2006/relationships" r:id="rId2"/>
          <a:extLst>
            <a:ext uri="{FF2B5EF4-FFF2-40B4-BE49-F238E27FC236}">
              <a16:creationId xmlns="" xmlns:a16="http://schemas.microsoft.com/office/drawing/2014/main" id="{00000000-0008-0000-0100-000003000000}"/>
            </a:ext>
          </a:extLst>
        </xdr:cNvPr>
        <xdr:cNvSpPr/>
      </xdr:nvSpPr>
      <xdr:spPr>
        <a:xfrm>
          <a:off x="1819275" y="828674"/>
          <a:ext cx="2438400" cy="314325"/>
        </a:xfrm>
        <a:prstGeom prst="flowChartAlternateProcess">
          <a:avLst/>
        </a:prstGeom>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a:t>CREDITOR (PAYABLE)</a:t>
          </a:r>
          <a:r>
            <a:rPr lang="en-US" sz="1100" b="1" baseline="0"/>
            <a:t> </a:t>
          </a:r>
          <a:endParaRPr lang="en-US" sz="1100" b="1"/>
        </a:p>
      </xdr:txBody>
    </xdr:sp>
    <xdr:clientData/>
  </xdr:twoCellAnchor>
  <xdr:twoCellAnchor>
    <xdr:from>
      <xdr:col>2</xdr:col>
      <xdr:colOff>600075</xdr:colOff>
      <xdr:row>7</xdr:row>
      <xdr:rowOff>238124</xdr:rowOff>
    </xdr:from>
    <xdr:to>
      <xdr:col>7</xdr:col>
      <xdr:colOff>9525</xdr:colOff>
      <xdr:row>9</xdr:row>
      <xdr:rowOff>38099</xdr:rowOff>
    </xdr:to>
    <xdr:sp macro="" textlink="">
      <xdr:nvSpPr>
        <xdr:cNvPr id="4" name="Flowchart: Alternate Process 3">
          <a:hlinkClick xmlns:r="http://schemas.openxmlformats.org/officeDocument/2006/relationships" r:id="rId3"/>
          <a:extLst>
            <a:ext uri="{FF2B5EF4-FFF2-40B4-BE49-F238E27FC236}">
              <a16:creationId xmlns="" xmlns:a16="http://schemas.microsoft.com/office/drawing/2014/main" id="{00000000-0008-0000-0100-000004000000}"/>
            </a:ext>
          </a:extLst>
        </xdr:cNvPr>
        <xdr:cNvSpPr/>
      </xdr:nvSpPr>
      <xdr:spPr>
        <a:xfrm>
          <a:off x="1819275" y="1343024"/>
          <a:ext cx="2457450" cy="352425"/>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TRICYCLE</a:t>
          </a:r>
        </a:p>
      </xdr:txBody>
    </xdr:sp>
    <xdr:clientData/>
  </xdr:twoCellAnchor>
  <xdr:twoCellAnchor>
    <xdr:from>
      <xdr:col>3</xdr:col>
      <xdr:colOff>0</xdr:colOff>
      <xdr:row>9</xdr:row>
      <xdr:rowOff>228599</xdr:rowOff>
    </xdr:from>
    <xdr:to>
      <xdr:col>7</xdr:col>
      <xdr:colOff>19050</xdr:colOff>
      <xdr:row>11</xdr:row>
      <xdr:rowOff>28574</xdr:rowOff>
    </xdr:to>
    <xdr:sp macro="" textlink="">
      <xdr:nvSpPr>
        <xdr:cNvPr id="5" name="Flowchart: Alternate Process 4">
          <a:hlinkClick xmlns:r="http://schemas.openxmlformats.org/officeDocument/2006/relationships" r:id="rId4"/>
          <a:extLst>
            <a:ext uri="{FF2B5EF4-FFF2-40B4-BE49-F238E27FC236}">
              <a16:creationId xmlns="" xmlns:a16="http://schemas.microsoft.com/office/drawing/2014/main" id="{00000000-0008-0000-0100-000005000000}"/>
            </a:ext>
          </a:extLst>
        </xdr:cNvPr>
        <xdr:cNvSpPr/>
      </xdr:nvSpPr>
      <xdr:spPr>
        <a:xfrm>
          <a:off x="1828800" y="1885949"/>
          <a:ext cx="2457450" cy="352425"/>
        </a:xfrm>
        <a:prstGeom prst="flowChartAlternateProcess">
          <a:avLst/>
        </a:prstGeom>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t>DOWNPAYMENT</a:t>
          </a:r>
        </a:p>
      </xdr:txBody>
    </xdr:sp>
    <xdr:clientData/>
  </xdr:twoCellAnchor>
  <xdr:twoCellAnchor>
    <xdr:from>
      <xdr:col>2</xdr:col>
      <xdr:colOff>590550</xdr:colOff>
      <xdr:row>11</xdr:row>
      <xdr:rowOff>266699</xdr:rowOff>
    </xdr:from>
    <xdr:to>
      <xdr:col>7</xdr:col>
      <xdr:colOff>0</xdr:colOff>
      <xdr:row>13</xdr:row>
      <xdr:rowOff>66674</xdr:rowOff>
    </xdr:to>
    <xdr:sp macro="" textlink="">
      <xdr:nvSpPr>
        <xdr:cNvPr id="6" name="Flowchart: Alternate Process 5">
          <a:hlinkClick xmlns:r="http://schemas.openxmlformats.org/officeDocument/2006/relationships" r:id="rId5"/>
          <a:extLst>
            <a:ext uri="{FF2B5EF4-FFF2-40B4-BE49-F238E27FC236}">
              <a16:creationId xmlns="" xmlns:a16="http://schemas.microsoft.com/office/drawing/2014/main" id="{00000000-0008-0000-0100-000006000000}"/>
            </a:ext>
          </a:extLst>
        </xdr:cNvPr>
        <xdr:cNvSpPr/>
      </xdr:nvSpPr>
      <xdr:spPr>
        <a:xfrm>
          <a:off x="1809750" y="2476499"/>
          <a:ext cx="2457450" cy="352425"/>
        </a:xfrm>
        <a:prstGeom prst="flowChartAlternateProcess">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100" b="1"/>
            <a:t>DIBTOR</a:t>
          </a:r>
          <a:r>
            <a:rPr lang="en-US" sz="1100" b="1" baseline="0"/>
            <a:t> (CUSTOMER)</a:t>
          </a:r>
          <a:endParaRPr lang="en-US" sz="1100" b="1"/>
        </a:p>
      </xdr:txBody>
    </xdr:sp>
    <xdr:clientData/>
  </xdr:twoCellAnchor>
  <xdr:twoCellAnchor>
    <xdr:from>
      <xdr:col>8</xdr:col>
      <xdr:colOff>9525</xdr:colOff>
      <xdr:row>4</xdr:row>
      <xdr:rowOff>9525</xdr:rowOff>
    </xdr:from>
    <xdr:to>
      <xdr:col>12</xdr:col>
      <xdr:colOff>0</xdr:colOff>
      <xdr:row>5</xdr:row>
      <xdr:rowOff>9525</xdr:rowOff>
    </xdr:to>
    <xdr:sp macro="" textlink="">
      <xdr:nvSpPr>
        <xdr:cNvPr id="7" name="Flowchart: Alternate Process 6">
          <a:hlinkClick xmlns:r="http://schemas.openxmlformats.org/officeDocument/2006/relationships" r:id="rId6"/>
          <a:extLst>
            <a:ext uri="{FF2B5EF4-FFF2-40B4-BE49-F238E27FC236}">
              <a16:creationId xmlns="" xmlns:a16="http://schemas.microsoft.com/office/drawing/2014/main" id="{00000000-0008-0000-0100-000007000000}"/>
            </a:ext>
          </a:extLst>
        </xdr:cNvPr>
        <xdr:cNvSpPr/>
      </xdr:nvSpPr>
      <xdr:spPr>
        <a:xfrm>
          <a:off x="4886325" y="285750"/>
          <a:ext cx="2428875" cy="276225"/>
        </a:xfrm>
        <a:prstGeom prst="flowChartAlternateProcess">
          <a:avLst/>
        </a:prstGeom>
        <a:solidFill>
          <a:srgbClr val="002060"/>
        </a:solidFill>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SHOP</a:t>
          </a:r>
          <a:r>
            <a:rPr lang="en-US" sz="1100" b="1" baseline="0"/>
            <a:t> HP GBS 40%</a:t>
          </a:r>
          <a:endParaRPr lang="en-US" sz="1100" b="1"/>
        </a:p>
      </xdr:txBody>
    </xdr:sp>
    <xdr:clientData/>
  </xdr:twoCellAnchor>
  <xdr:twoCellAnchor>
    <xdr:from>
      <xdr:col>8</xdr:col>
      <xdr:colOff>0</xdr:colOff>
      <xdr:row>6</xdr:row>
      <xdr:rowOff>9525</xdr:rowOff>
    </xdr:from>
    <xdr:to>
      <xdr:col>11</xdr:col>
      <xdr:colOff>600075</xdr:colOff>
      <xdr:row>7</xdr:row>
      <xdr:rowOff>9525</xdr:rowOff>
    </xdr:to>
    <xdr:sp macro="" textlink="">
      <xdr:nvSpPr>
        <xdr:cNvPr id="8" name="Flowchart: Alternate Process 7">
          <a:hlinkClick xmlns:r="http://schemas.openxmlformats.org/officeDocument/2006/relationships" r:id="rId7"/>
          <a:extLst>
            <a:ext uri="{FF2B5EF4-FFF2-40B4-BE49-F238E27FC236}">
              <a16:creationId xmlns="" xmlns:a16="http://schemas.microsoft.com/office/drawing/2014/main" id="{00000000-0008-0000-0100-000008000000}"/>
            </a:ext>
          </a:extLst>
        </xdr:cNvPr>
        <xdr:cNvSpPr/>
      </xdr:nvSpPr>
      <xdr:spPr>
        <a:xfrm>
          <a:off x="4876800" y="838200"/>
          <a:ext cx="2428875" cy="276225"/>
        </a:xfrm>
        <a:prstGeom prst="flowChartAlternateProcess">
          <a:avLst/>
        </a:prstGeom>
        <a:solidFill>
          <a:srgbClr val="002060"/>
        </a:solidFill>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SHOP</a:t>
          </a:r>
          <a:r>
            <a:rPr lang="en-US" sz="1100" b="1" baseline="0"/>
            <a:t> HP GBS 30%</a:t>
          </a:r>
          <a:endParaRPr lang="en-US" sz="1100" b="1"/>
        </a:p>
      </xdr:txBody>
    </xdr:sp>
    <xdr:clientData/>
  </xdr:twoCellAnchor>
  <xdr:twoCellAnchor>
    <xdr:from>
      <xdr:col>8</xdr:col>
      <xdr:colOff>9525</xdr:colOff>
      <xdr:row>12</xdr:row>
      <xdr:rowOff>19050</xdr:rowOff>
    </xdr:from>
    <xdr:to>
      <xdr:col>12</xdr:col>
      <xdr:colOff>0</xdr:colOff>
      <xdr:row>13</xdr:row>
      <xdr:rowOff>19050</xdr:rowOff>
    </xdr:to>
    <xdr:sp macro="" textlink="">
      <xdr:nvSpPr>
        <xdr:cNvPr id="9" name="Flowchart: Alternate Process 8">
          <a:hlinkClick xmlns:r="http://schemas.openxmlformats.org/officeDocument/2006/relationships" r:id="rId8"/>
          <a:extLst>
            <a:ext uri="{FF2B5EF4-FFF2-40B4-BE49-F238E27FC236}">
              <a16:creationId xmlns="" xmlns:a16="http://schemas.microsoft.com/office/drawing/2014/main" id="{00000000-0008-0000-0100-000009000000}"/>
            </a:ext>
          </a:extLst>
        </xdr:cNvPr>
        <xdr:cNvSpPr/>
      </xdr:nvSpPr>
      <xdr:spPr>
        <a:xfrm>
          <a:off x="4886325" y="2505075"/>
          <a:ext cx="2428875" cy="276225"/>
        </a:xfrm>
        <a:prstGeom prst="flowChartAlternateProcess">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100" b="1" baseline="0"/>
            <a:t>CO, HP GBS 30%(2020)</a:t>
          </a:r>
          <a:endParaRPr lang="en-US" sz="1100" b="1"/>
        </a:p>
      </xdr:txBody>
    </xdr:sp>
    <xdr:clientData/>
  </xdr:twoCellAnchor>
  <xdr:twoCellAnchor>
    <xdr:from>
      <xdr:col>8</xdr:col>
      <xdr:colOff>9525</xdr:colOff>
      <xdr:row>10</xdr:row>
      <xdr:rowOff>0</xdr:rowOff>
    </xdr:from>
    <xdr:to>
      <xdr:col>12</xdr:col>
      <xdr:colOff>0</xdr:colOff>
      <xdr:row>11</xdr:row>
      <xdr:rowOff>0</xdr:rowOff>
    </xdr:to>
    <xdr:sp macro="" textlink="">
      <xdr:nvSpPr>
        <xdr:cNvPr id="10" name="Flowchart: Alternate Process 9">
          <a:hlinkClick xmlns:r="http://schemas.openxmlformats.org/officeDocument/2006/relationships" r:id="rId9"/>
          <a:extLst>
            <a:ext uri="{FF2B5EF4-FFF2-40B4-BE49-F238E27FC236}">
              <a16:creationId xmlns="" xmlns:a16="http://schemas.microsoft.com/office/drawing/2014/main" id="{00000000-0008-0000-0100-00000A000000}"/>
            </a:ext>
          </a:extLst>
        </xdr:cNvPr>
        <xdr:cNvSpPr/>
      </xdr:nvSpPr>
      <xdr:spPr>
        <a:xfrm>
          <a:off x="4886325" y="1933575"/>
          <a:ext cx="2428875" cy="276225"/>
        </a:xfrm>
        <a:prstGeom prst="flowChartAlternateProcess">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100" b="1"/>
            <a:t>CO,</a:t>
          </a:r>
          <a:r>
            <a:rPr lang="en-US" sz="1100" b="1" baseline="0"/>
            <a:t> HP GBS 40% (2020)</a:t>
          </a:r>
          <a:endParaRPr lang="en-US" sz="1100" b="1"/>
        </a:p>
      </xdr:txBody>
    </xdr:sp>
    <xdr:clientData/>
  </xdr:twoCellAnchor>
  <xdr:twoCellAnchor>
    <xdr:from>
      <xdr:col>8</xdr:col>
      <xdr:colOff>9525</xdr:colOff>
      <xdr:row>7</xdr:row>
      <xdr:rowOff>257175</xdr:rowOff>
    </xdr:from>
    <xdr:to>
      <xdr:col>12</xdr:col>
      <xdr:colOff>0</xdr:colOff>
      <xdr:row>8</xdr:row>
      <xdr:rowOff>257175</xdr:rowOff>
    </xdr:to>
    <xdr:sp macro="" textlink="">
      <xdr:nvSpPr>
        <xdr:cNvPr id="11" name="Flowchart: Alternate Process 10">
          <a:hlinkClick xmlns:r="http://schemas.openxmlformats.org/officeDocument/2006/relationships" r:id="rId10"/>
          <a:extLst>
            <a:ext uri="{FF2B5EF4-FFF2-40B4-BE49-F238E27FC236}">
              <a16:creationId xmlns="" xmlns:a16="http://schemas.microsoft.com/office/drawing/2014/main" id="{00000000-0008-0000-0100-00000B000000}"/>
            </a:ext>
          </a:extLst>
        </xdr:cNvPr>
        <xdr:cNvSpPr/>
      </xdr:nvSpPr>
      <xdr:spPr>
        <a:xfrm>
          <a:off x="4886325" y="1362075"/>
          <a:ext cx="2428875" cy="276225"/>
        </a:xfrm>
        <a:prstGeom prst="flowChartAlternateProcess">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100" b="1"/>
            <a:t>CO,</a:t>
          </a:r>
          <a:r>
            <a:rPr lang="en-US" sz="1100" b="1" baseline="0"/>
            <a:t> HP GBS 40% (2019)</a:t>
          </a:r>
          <a:endParaRPr lang="en-US" sz="1100" b="1"/>
        </a:p>
      </xdr:txBody>
    </xdr:sp>
    <xdr:clientData/>
  </xdr:twoCellAnchor>
  <xdr:twoCellAnchor>
    <xdr:from>
      <xdr:col>13</xdr:col>
      <xdr:colOff>16911</xdr:colOff>
      <xdr:row>5</xdr:row>
      <xdr:rowOff>218685</xdr:rowOff>
    </xdr:from>
    <xdr:to>
      <xdr:col>17</xdr:col>
      <xdr:colOff>38683</xdr:colOff>
      <xdr:row>7</xdr:row>
      <xdr:rowOff>18660</xdr:rowOff>
    </xdr:to>
    <xdr:sp macro="" textlink="">
      <xdr:nvSpPr>
        <xdr:cNvPr id="12" name="Flowchart: Alternate Process 11">
          <a:hlinkClick xmlns:r="http://schemas.openxmlformats.org/officeDocument/2006/relationships" r:id="rId11"/>
          <a:extLst>
            <a:ext uri="{FF2B5EF4-FFF2-40B4-BE49-F238E27FC236}">
              <a16:creationId xmlns="" xmlns:a16="http://schemas.microsoft.com/office/drawing/2014/main" id="{00000000-0008-0000-0100-00000C000000}"/>
            </a:ext>
          </a:extLst>
        </xdr:cNvPr>
        <xdr:cNvSpPr/>
      </xdr:nvSpPr>
      <xdr:spPr>
        <a:xfrm>
          <a:off x="7977090" y="762971"/>
          <a:ext cx="2471057" cy="344260"/>
        </a:xfrm>
        <a:prstGeom prst="flowChartAlternateProcess">
          <a:avLst/>
        </a:prstGeom>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solidFill>
                <a:schemeClr val="bg1"/>
              </a:solidFill>
            </a:rPr>
            <a:t>PROFIT &amp; LOSS STATEMENT</a:t>
          </a:r>
        </a:p>
      </xdr:txBody>
    </xdr:sp>
    <xdr:clientData/>
  </xdr:twoCellAnchor>
  <xdr:twoCellAnchor>
    <xdr:from>
      <xdr:col>8</xdr:col>
      <xdr:colOff>0</xdr:colOff>
      <xdr:row>14</xdr:row>
      <xdr:rowOff>19050</xdr:rowOff>
    </xdr:from>
    <xdr:to>
      <xdr:col>11</xdr:col>
      <xdr:colOff>600075</xdr:colOff>
      <xdr:row>15</xdr:row>
      <xdr:rowOff>19050</xdr:rowOff>
    </xdr:to>
    <xdr:sp macro="" textlink="">
      <xdr:nvSpPr>
        <xdr:cNvPr id="13" name="Flowchart: Alternate Process 12">
          <a:hlinkClick xmlns:r="http://schemas.openxmlformats.org/officeDocument/2006/relationships" r:id="rId12"/>
          <a:extLst>
            <a:ext uri="{FF2B5EF4-FFF2-40B4-BE49-F238E27FC236}">
              <a16:creationId xmlns="" xmlns:a16="http://schemas.microsoft.com/office/drawing/2014/main" id="{00000000-0008-0000-0100-00000D000000}"/>
            </a:ext>
          </a:extLst>
        </xdr:cNvPr>
        <xdr:cNvSpPr/>
      </xdr:nvSpPr>
      <xdr:spPr>
        <a:xfrm>
          <a:off x="4876800" y="3057525"/>
          <a:ext cx="2428875" cy="276225"/>
        </a:xfrm>
        <a:prstGeom prst="flowChartAlternateProcess">
          <a:avLst/>
        </a:prstGeom>
        <a:solidFill>
          <a:schemeClr val="accent6">
            <a:lumMod val="50000"/>
          </a:schemeClr>
        </a:solidFill>
        <a:ln/>
        <a:scene3d>
          <a:camera prst="orthographicFront">
            <a:rot lat="0" lon="0" rev="0"/>
          </a:camera>
          <a:lightRig rig="threePt" dir="t">
            <a:rot lat="0" lon="0" rev="1200000"/>
          </a:lightRig>
        </a:scene3d>
        <a:sp3d>
          <a:bevelT w="63500" h="25400" prst="angle"/>
        </a:sp3d>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baseline="0"/>
            <a:t>LOAN</a:t>
          </a:r>
          <a:endParaRPr lang="en-US" sz="1100" b="1"/>
        </a:p>
      </xdr:txBody>
    </xdr:sp>
    <xdr:clientData/>
  </xdr:twoCellAnchor>
  <xdr:twoCellAnchor>
    <xdr:from>
      <xdr:col>13</xdr:col>
      <xdr:colOff>19050</xdr:colOff>
      <xdr:row>4</xdr:row>
      <xdr:rowOff>0</xdr:rowOff>
    </xdr:from>
    <xdr:to>
      <xdr:col>17</xdr:col>
      <xdr:colOff>9525</xdr:colOff>
      <xdr:row>5</xdr:row>
      <xdr:rowOff>0</xdr:rowOff>
    </xdr:to>
    <xdr:sp macro="" textlink="">
      <xdr:nvSpPr>
        <xdr:cNvPr id="14" name="Flowchart: Alternate Process 13">
          <a:hlinkClick xmlns:r="http://schemas.openxmlformats.org/officeDocument/2006/relationships" r:id="rId13"/>
          <a:extLst>
            <a:ext uri="{FF2B5EF4-FFF2-40B4-BE49-F238E27FC236}">
              <a16:creationId xmlns="" xmlns:a16="http://schemas.microsoft.com/office/drawing/2014/main" id="{00000000-0008-0000-0100-00000E000000}"/>
            </a:ext>
          </a:extLst>
        </xdr:cNvPr>
        <xdr:cNvSpPr/>
      </xdr:nvSpPr>
      <xdr:spPr>
        <a:xfrm>
          <a:off x="7943850" y="276225"/>
          <a:ext cx="2428875" cy="276225"/>
        </a:xfrm>
        <a:prstGeom prst="flowChartAlternateProcess">
          <a:avLst/>
        </a:prstGeom>
        <a:solidFill>
          <a:srgbClr val="B9F7FF"/>
        </a:soli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a:solidFill>
                <a:schemeClr val="tx1"/>
              </a:solidFill>
            </a:rPr>
            <a:t>CASH</a:t>
          </a:r>
          <a:r>
            <a:rPr lang="en-US" sz="1100" b="1" baseline="0">
              <a:solidFill>
                <a:schemeClr val="tx1"/>
              </a:solidFill>
            </a:rPr>
            <a:t> &amp; BANK</a:t>
          </a:r>
          <a:endParaRPr lang="en-US" sz="1100" b="1">
            <a:solidFill>
              <a:schemeClr val="tx1"/>
            </a:solidFill>
          </a:endParaRPr>
        </a:p>
      </xdr:txBody>
    </xdr:sp>
    <xdr:clientData/>
  </xdr:twoCellAnchor>
  <xdr:twoCellAnchor>
    <xdr:from>
      <xdr:col>3</xdr:col>
      <xdr:colOff>1944</xdr:colOff>
      <xdr:row>14</xdr:row>
      <xdr:rowOff>17494</xdr:rowOff>
    </xdr:from>
    <xdr:to>
      <xdr:col>7</xdr:col>
      <xdr:colOff>23715</xdr:colOff>
      <xdr:row>15</xdr:row>
      <xdr:rowOff>89612</xdr:rowOff>
    </xdr:to>
    <xdr:sp macro="" textlink="">
      <xdr:nvSpPr>
        <xdr:cNvPr id="15" name="Flowchart: Alternate Process 14">
          <a:hlinkClick xmlns:r="http://schemas.openxmlformats.org/officeDocument/2006/relationships" r:id="rId14"/>
          <a:extLst>
            <a:ext uri="{FF2B5EF4-FFF2-40B4-BE49-F238E27FC236}">
              <a16:creationId xmlns="" xmlns:a16="http://schemas.microsoft.com/office/drawing/2014/main" id="{00000000-0008-0000-0100-00000F000000}"/>
            </a:ext>
          </a:extLst>
        </xdr:cNvPr>
        <xdr:cNvSpPr/>
      </xdr:nvSpPr>
      <xdr:spPr>
        <a:xfrm>
          <a:off x="1838908" y="3011065"/>
          <a:ext cx="2471057" cy="344261"/>
        </a:xfrm>
        <a:prstGeom prst="flowChartAlternateProcess">
          <a:avLst/>
        </a:prstGeom>
        <a:solidFill>
          <a:srgbClr val="FFC000"/>
        </a:solidFill>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solidFill>
                <a:schemeClr val="tx1"/>
              </a:solidFill>
            </a:rPr>
            <a:t>COMPANY</a:t>
          </a:r>
          <a:r>
            <a:rPr lang="en-US" sz="1100" b="1" baseline="0">
              <a:solidFill>
                <a:schemeClr val="tx1"/>
              </a:solidFill>
            </a:rPr>
            <a:t> (PAYABLE)</a:t>
          </a:r>
          <a:endParaRPr lang="en-US" sz="1100" b="1">
            <a:solidFill>
              <a:schemeClr val="tx1"/>
            </a:solidFill>
          </a:endParaRPr>
        </a:p>
      </xdr:txBody>
    </xdr:sp>
    <xdr:clientData/>
  </xdr:twoCellAnchor>
  <xdr:twoCellAnchor>
    <xdr:from>
      <xdr:col>13</xdr:col>
      <xdr:colOff>28963</xdr:colOff>
      <xdr:row>7</xdr:row>
      <xdr:rowOff>166590</xdr:rowOff>
    </xdr:from>
    <xdr:to>
      <xdr:col>17</xdr:col>
      <xdr:colOff>50735</xdr:colOff>
      <xdr:row>8</xdr:row>
      <xdr:rowOff>242790</xdr:rowOff>
    </xdr:to>
    <xdr:sp macro="" textlink="">
      <xdr:nvSpPr>
        <xdr:cNvPr id="16" name="Flowchart: Alternate Process 15">
          <a:hlinkClick xmlns:r="http://schemas.openxmlformats.org/officeDocument/2006/relationships" r:id="rId15"/>
          <a:extLst>
            <a:ext uri="{FF2B5EF4-FFF2-40B4-BE49-F238E27FC236}">
              <a16:creationId xmlns="" xmlns:a16="http://schemas.microsoft.com/office/drawing/2014/main" id="{00000000-0008-0000-0100-000010000000}"/>
            </a:ext>
          </a:extLst>
        </xdr:cNvPr>
        <xdr:cNvSpPr/>
      </xdr:nvSpPr>
      <xdr:spPr>
        <a:xfrm>
          <a:off x="7953763" y="2176365"/>
          <a:ext cx="2460172" cy="352425"/>
        </a:xfrm>
        <a:prstGeom prst="flowChartAlternateProcess">
          <a:avLst/>
        </a:prstGeom>
        <a:solidFill>
          <a:srgbClr val="00FF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400" b="1">
              <a:solidFill>
                <a:schemeClr val="accent4">
                  <a:lumMod val="50000"/>
                </a:schemeClr>
              </a:solidFill>
            </a:rPr>
            <a:t>Statement of cash flow</a:t>
          </a:r>
        </a:p>
      </xdr:txBody>
    </xdr:sp>
    <xdr:clientData/>
  </xdr:twoCellAnchor>
  <xdr:twoCellAnchor>
    <xdr:from>
      <xdr:col>13</xdr:col>
      <xdr:colOff>9525</xdr:colOff>
      <xdr:row>9</xdr:row>
      <xdr:rowOff>152400</xdr:rowOff>
    </xdr:from>
    <xdr:to>
      <xdr:col>17</xdr:col>
      <xdr:colOff>31297</xdr:colOff>
      <xdr:row>10</xdr:row>
      <xdr:rowOff>228600</xdr:rowOff>
    </xdr:to>
    <xdr:sp macro="" textlink="">
      <xdr:nvSpPr>
        <xdr:cNvPr id="17" name="Flowchart: Alternate Process 16">
          <a:hlinkClick xmlns:r="http://schemas.openxmlformats.org/officeDocument/2006/relationships" r:id="rId16"/>
          <a:extLst>
            <a:ext uri="{FF2B5EF4-FFF2-40B4-BE49-F238E27FC236}">
              <a16:creationId xmlns="" xmlns:a16="http://schemas.microsoft.com/office/drawing/2014/main" id="{00000000-0008-0000-0100-000011000000}"/>
            </a:ext>
          </a:extLst>
        </xdr:cNvPr>
        <xdr:cNvSpPr/>
      </xdr:nvSpPr>
      <xdr:spPr>
        <a:xfrm>
          <a:off x="7934325" y="2714625"/>
          <a:ext cx="2460172" cy="352425"/>
        </a:xfrm>
        <a:prstGeom prst="flowChartAlternateProcess">
          <a:avLst/>
        </a:prstGeom>
        <a:solidFill>
          <a:schemeClr val="accent1">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400" b="1">
              <a:solidFill>
                <a:schemeClr val="accent4">
                  <a:lumMod val="50000"/>
                </a:schemeClr>
              </a:solidFill>
            </a:rPr>
            <a:t>2019</a:t>
          </a:r>
          <a:r>
            <a:rPr lang="en-US" sz="1400" b="1" baseline="0">
              <a:solidFill>
                <a:schemeClr val="accent4">
                  <a:lumMod val="50000"/>
                </a:schemeClr>
              </a:solidFill>
            </a:rPr>
            <a:t> Company Cash Flow</a:t>
          </a:r>
          <a:endParaRPr lang="en-US" sz="1400" b="1">
            <a:solidFill>
              <a:schemeClr val="accent4">
                <a:lumMod val="50000"/>
              </a:schemeClr>
            </a:solidFill>
          </a:endParaRPr>
        </a:p>
      </xdr:txBody>
    </xdr:sp>
    <xdr:clientData/>
  </xdr:twoCellAnchor>
  <xdr:twoCellAnchor>
    <xdr:from>
      <xdr:col>13</xdr:col>
      <xdr:colOff>19050</xdr:colOff>
      <xdr:row>11</xdr:row>
      <xdr:rowOff>209550</xdr:rowOff>
    </xdr:from>
    <xdr:to>
      <xdr:col>17</xdr:col>
      <xdr:colOff>40822</xdr:colOff>
      <xdr:row>13</xdr:row>
      <xdr:rowOff>9525</xdr:rowOff>
    </xdr:to>
    <xdr:sp macro="" textlink="">
      <xdr:nvSpPr>
        <xdr:cNvPr id="18" name="Flowchart: Alternate Process 17">
          <a:hlinkClick xmlns:r="http://schemas.openxmlformats.org/officeDocument/2006/relationships" r:id="rId17"/>
          <a:extLst>
            <a:ext uri="{FF2B5EF4-FFF2-40B4-BE49-F238E27FC236}">
              <a16:creationId xmlns="" xmlns:a16="http://schemas.microsoft.com/office/drawing/2014/main" id="{00000000-0008-0000-0100-000012000000}"/>
            </a:ext>
          </a:extLst>
        </xdr:cNvPr>
        <xdr:cNvSpPr/>
      </xdr:nvSpPr>
      <xdr:spPr>
        <a:xfrm>
          <a:off x="7943850" y="3324225"/>
          <a:ext cx="2460172" cy="352425"/>
        </a:xfrm>
        <a:prstGeom prst="flowChartAlternateProcess">
          <a:avLst/>
        </a:prstGeom>
        <a:solidFill>
          <a:schemeClr val="accent1">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400" b="1">
              <a:solidFill>
                <a:schemeClr val="accent4">
                  <a:lumMod val="50000"/>
                </a:schemeClr>
              </a:solidFill>
            </a:rPr>
            <a:t>2020</a:t>
          </a:r>
          <a:r>
            <a:rPr lang="en-US" sz="1400" b="1" baseline="0">
              <a:solidFill>
                <a:schemeClr val="accent4">
                  <a:lumMod val="50000"/>
                </a:schemeClr>
              </a:solidFill>
            </a:rPr>
            <a:t> Company Cash Flow</a:t>
          </a:r>
          <a:endParaRPr lang="en-US" sz="1400" b="1">
            <a:solidFill>
              <a:schemeClr val="accent4">
                <a:lumMod val="50000"/>
              </a:schemeClr>
            </a:solidFill>
          </a:endParaRPr>
        </a:p>
      </xdr:txBody>
    </xdr:sp>
    <xdr:clientData/>
  </xdr:twoCellAnchor>
  <xdr:twoCellAnchor>
    <xdr:from>
      <xdr:col>12</xdr:col>
      <xdr:colOff>600075</xdr:colOff>
      <xdr:row>13</xdr:row>
      <xdr:rowOff>238125</xdr:rowOff>
    </xdr:from>
    <xdr:to>
      <xdr:col>17</xdr:col>
      <xdr:colOff>23132</xdr:colOff>
      <xdr:row>15</xdr:row>
      <xdr:rowOff>29936</xdr:rowOff>
    </xdr:to>
    <xdr:sp macro="" textlink="">
      <xdr:nvSpPr>
        <xdr:cNvPr id="19" name="Flowchart: Alternate Process 18">
          <a:hlinkClick xmlns:r="http://schemas.openxmlformats.org/officeDocument/2006/relationships" r:id="rId18"/>
          <a:extLst>
            <a:ext uri="{FF2B5EF4-FFF2-40B4-BE49-F238E27FC236}">
              <a16:creationId xmlns="" xmlns:a16="http://schemas.microsoft.com/office/drawing/2014/main" id="{00000000-0008-0000-0100-000013000000}"/>
            </a:ext>
          </a:extLst>
        </xdr:cNvPr>
        <xdr:cNvSpPr/>
      </xdr:nvSpPr>
      <xdr:spPr>
        <a:xfrm>
          <a:off x="7915275" y="3905250"/>
          <a:ext cx="2471057" cy="344261"/>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Tricycle</a:t>
          </a:r>
          <a:r>
            <a:rPr lang="en-US" sz="1100" b="1" baseline="0"/>
            <a:t> Cash</a:t>
          </a:r>
          <a:endParaRPr lang="en-US" sz="1100" b="1"/>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259636</xdr:colOff>
      <xdr:row>40</xdr:row>
      <xdr:rowOff>186969</xdr:rowOff>
    </xdr:from>
    <xdr:to>
      <xdr:col>6</xdr:col>
      <xdr:colOff>526336</xdr:colOff>
      <xdr:row>42</xdr:row>
      <xdr:rowOff>176267</xdr:rowOff>
    </xdr:to>
    <xdr:sp macro="" textlink="">
      <xdr:nvSpPr>
        <xdr:cNvPr id="2" name="Left Arrow 1"/>
        <xdr:cNvSpPr/>
      </xdr:nvSpPr>
      <xdr:spPr>
        <a:xfrm>
          <a:off x="8275619" y="11467138"/>
          <a:ext cx="1818526" cy="567219"/>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Profit</a:t>
          </a:r>
          <a:r>
            <a:rPr lang="en-US" sz="1100" baseline="0"/>
            <a:t> (or) Loss 2022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504825</xdr:colOff>
      <xdr:row>0</xdr:row>
      <xdr:rowOff>0</xdr:rowOff>
    </xdr:from>
    <xdr:to>
      <xdr:col>5</xdr:col>
      <xdr:colOff>1223282</xdr:colOff>
      <xdr:row>1</xdr:row>
      <xdr:rowOff>10886</xdr:rowOff>
    </xdr:to>
    <xdr:sp macro="" textlink="">
      <xdr:nvSpPr>
        <xdr:cNvPr id="3" name="Flowchart: Alternate Process 2">
          <a:hlinkClick xmlns:r="http://schemas.openxmlformats.org/officeDocument/2006/relationships" r:id="rId1"/>
          <a:extLst>
            <a:ext uri="{FF2B5EF4-FFF2-40B4-BE49-F238E27FC236}">
              <a16:creationId xmlns="" xmlns:a16="http://schemas.microsoft.com/office/drawing/2014/main" id="{00000000-0008-0000-0700-000003000000}"/>
            </a:ext>
          </a:extLst>
        </xdr:cNvPr>
        <xdr:cNvSpPr/>
      </xdr:nvSpPr>
      <xdr:spPr>
        <a:xfrm>
          <a:off x="4410075" y="0"/>
          <a:ext cx="2471057" cy="344261"/>
        </a:xfrm>
        <a:prstGeom prst="flowChartAlternateProcess">
          <a:avLst/>
        </a:prstGeom>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100" b="1"/>
            <a:t>NAVIGATION</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733425</xdr:colOff>
      <xdr:row>0</xdr:row>
      <xdr:rowOff>0</xdr:rowOff>
    </xdr:from>
    <xdr:to>
      <xdr:col>5</xdr:col>
      <xdr:colOff>1451882</xdr:colOff>
      <xdr:row>1</xdr:row>
      <xdr:rowOff>10886</xdr:rowOff>
    </xdr:to>
    <xdr:sp macro="" textlink="">
      <xdr:nvSpPr>
        <xdr:cNvPr id="2" name="Flowchart: Alternate Process 1">
          <a:hlinkClick xmlns:r="http://schemas.openxmlformats.org/officeDocument/2006/relationships" r:id="rId1"/>
          <a:extLst>
            <a:ext uri="{FF2B5EF4-FFF2-40B4-BE49-F238E27FC236}">
              <a16:creationId xmlns="" xmlns:a16="http://schemas.microsoft.com/office/drawing/2014/main" id="{00000000-0008-0000-0800-000002000000}"/>
            </a:ext>
          </a:extLst>
        </xdr:cNvPr>
        <xdr:cNvSpPr/>
      </xdr:nvSpPr>
      <xdr:spPr>
        <a:xfrm>
          <a:off x="4638675" y="0"/>
          <a:ext cx="2471057" cy="344261"/>
        </a:xfrm>
        <a:prstGeom prst="flowChartAlternateProcess">
          <a:avLst/>
        </a:prstGeom>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100" b="1"/>
            <a:t>NAVIGATION</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7</xdr:col>
      <xdr:colOff>32753</xdr:colOff>
      <xdr:row>0</xdr:row>
      <xdr:rowOff>245979</xdr:rowOff>
    </xdr:from>
    <xdr:to>
      <xdr:col>10</xdr:col>
      <xdr:colOff>32753</xdr:colOff>
      <xdr:row>10</xdr:row>
      <xdr:rowOff>266867</xdr:rowOff>
    </xdr:to>
    <mc:AlternateContent xmlns:mc="http://schemas.openxmlformats.org/markup-compatibility/2006" xmlns:a14="http://schemas.microsoft.com/office/drawing/2010/main">
      <mc:Choice Requires="a14">
        <xdr:graphicFrame macro="">
          <xdr:nvGraphicFramePr>
            <xdr:cNvPr id="2" name="Folio">
              <a:extLst>
                <a:ext uri="{FF2B5EF4-FFF2-40B4-BE49-F238E27FC236}">
                  <a16:creationId xmlns="" xmlns:a16="http://schemas.microsoft.com/office/drawing/2014/main" id="{00000000-0008-0000-0B00-000002000000}"/>
                </a:ext>
              </a:extLst>
            </xdr:cNvPr>
            <xdr:cNvGraphicFramePr/>
          </xdr:nvGraphicFramePr>
          <xdr:xfrm>
            <a:off x="0" y="0"/>
            <a:ext cx="0" cy="0"/>
          </xdr:xfrm>
          <a:graphic>
            <a:graphicData uri="http://schemas.microsoft.com/office/drawing/2010/slicer">
              <sle:slicer xmlns:sle="http://schemas.microsoft.com/office/drawing/2010/slicer" name="Folio"/>
            </a:graphicData>
          </a:graphic>
        </xdr:graphicFrame>
      </mc:Choice>
      <mc:Fallback xmlns="">
        <xdr:sp macro="" textlink="">
          <xdr:nvSpPr>
            <xdr:cNvPr id="0" name=""/>
            <xdr:cNvSpPr>
              <a:spLocks noTextEdit="1"/>
            </xdr:cNvSpPr>
          </xdr:nvSpPr>
          <xdr:spPr>
            <a:xfrm>
              <a:off x="7893385" y="245979"/>
              <a:ext cx="1744579" cy="272799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30609</xdr:colOff>
      <xdr:row>11</xdr:row>
      <xdr:rowOff>100198</xdr:rowOff>
    </xdr:from>
    <xdr:to>
      <xdr:col>12</xdr:col>
      <xdr:colOff>313060</xdr:colOff>
      <xdr:row>16</xdr:row>
      <xdr:rowOff>202450</xdr:rowOff>
    </xdr:to>
    <mc:AlternateContent xmlns:mc="http://schemas.openxmlformats.org/markup-compatibility/2006" xmlns:tsle="http://schemas.microsoft.com/office/drawing/2012/timeslicer">
      <mc:Choice Requires="tsle">
        <xdr:graphicFrame macro="">
          <xdr:nvGraphicFramePr>
            <xdr:cNvPr id="3" name="Date">
              <a:extLst>
                <a:ext uri="{FF2B5EF4-FFF2-40B4-BE49-F238E27FC236}">
                  <a16:creationId xmlns="" xmlns:a16="http://schemas.microsoft.com/office/drawing/2014/main" id="{00000000-0008-0000-0B00-000003000000}"/>
                </a:ext>
              </a:extLst>
            </xdr:cNvPr>
            <xdr:cNvGraphicFramePr/>
          </xdr:nvGraphicFramePr>
          <xdr:xfrm>
            <a:off x="0" y="0"/>
            <a:ext cx="0" cy="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7891241" y="3188303"/>
              <a:ext cx="3190083" cy="1455804"/>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57150</xdr:colOff>
          <xdr:row>1</xdr:row>
          <xdr:rowOff>0</xdr:rowOff>
        </xdr:from>
        <xdr:to>
          <xdr:col>17</xdr:col>
          <xdr:colOff>571500</xdr:colOff>
          <xdr:row>1</xdr:row>
          <xdr:rowOff>295275</xdr:rowOff>
        </xdr:to>
        <xdr:sp macro="" textlink="">
          <xdr:nvSpPr>
            <xdr:cNvPr id="23561" name="Button 9" hidden="1">
              <a:extLst>
                <a:ext uri="{63B3BB69-23CF-44E3-9099-C40C66FF867C}">
                  <a14:compatExt spid="_x0000_s23561"/>
                </a:ext>
                <a:ext uri="{FF2B5EF4-FFF2-40B4-BE49-F238E27FC236}">
                  <a16:creationId xmlns="" xmlns:a16="http://schemas.microsoft.com/office/drawing/2014/main" id="{00000000-0008-0000-0C00-000009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TRAN 2</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5</xdr:col>
      <xdr:colOff>85725</xdr:colOff>
      <xdr:row>45</xdr:row>
      <xdr:rowOff>21167</xdr:rowOff>
    </xdr:from>
    <xdr:to>
      <xdr:col>5</xdr:col>
      <xdr:colOff>1243390</xdr:colOff>
      <xdr:row>46</xdr:row>
      <xdr:rowOff>78620</xdr:rowOff>
    </xdr:to>
    <xdr:sp macro="" textlink="">
      <xdr:nvSpPr>
        <xdr:cNvPr id="4" name="Flowchart: Alternate Process 3">
          <a:hlinkClick xmlns:r="http://schemas.openxmlformats.org/officeDocument/2006/relationships" r:id="rId1"/>
          <a:extLst>
            <a:ext uri="{FF2B5EF4-FFF2-40B4-BE49-F238E27FC236}">
              <a16:creationId xmlns="" xmlns:a16="http://schemas.microsoft.com/office/drawing/2014/main" id="{00000000-0008-0000-0D00-000004000000}"/>
            </a:ext>
          </a:extLst>
        </xdr:cNvPr>
        <xdr:cNvSpPr/>
      </xdr:nvSpPr>
      <xdr:spPr>
        <a:xfrm>
          <a:off x="7629525" y="18918767"/>
          <a:ext cx="1157665" cy="352728"/>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NAVIGATION</a:t>
          </a:r>
        </a:p>
      </xdr:txBody>
    </xdr:sp>
    <xdr:clientData/>
  </xdr:twoCellAnchor>
  <xdr:twoCellAnchor>
    <xdr:from>
      <xdr:col>4</xdr:col>
      <xdr:colOff>95250</xdr:colOff>
      <xdr:row>90</xdr:row>
      <xdr:rowOff>19050</xdr:rowOff>
    </xdr:from>
    <xdr:to>
      <xdr:col>4</xdr:col>
      <xdr:colOff>904875</xdr:colOff>
      <xdr:row>105</xdr:row>
      <xdr:rowOff>38100</xdr:rowOff>
    </xdr:to>
    <xdr:sp macro="" textlink="">
      <xdr:nvSpPr>
        <xdr:cNvPr id="6" name="Curved Left Arrow 5">
          <a:extLst>
            <a:ext uri="{FF2B5EF4-FFF2-40B4-BE49-F238E27FC236}">
              <a16:creationId xmlns="" xmlns:a16="http://schemas.microsoft.com/office/drawing/2014/main" id="{00000000-0008-0000-0D00-000006000000}"/>
            </a:ext>
          </a:extLst>
        </xdr:cNvPr>
        <xdr:cNvSpPr/>
      </xdr:nvSpPr>
      <xdr:spPr>
        <a:xfrm>
          <a:off x="7791450" y="25450800"/>
          <a:ext cx="809625" cy="4305300"/>
        </a:xfrm>
        <a:prstGeom prst="curvedLeftArrow">
          <a:avLst/>
        </a:prstGeom>
        <a:solidFill>
          <a:schemeClr val="accent1">
            <a:lumMod val="75000"/>
          </a:schemeClr>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4</xdr:col>
      <xdr:colOff>95250</xdr:colOff>
      <xdr:row>81</xdr:row>
      <xdr:rowOff>85725</xdr:rowOff>
    </xdr:from>
    <xdr:to>
      <xdr:col>4</xdr:col>
      <xdr:colOff>904875</xdr:colOff>
      <xdr:row>107</xdr:row>
      <xdr:rowOff>95249</xdr:rowOff>
    </xdr:to>
    <xdr:sp macro="" textlink="">
      <xdr:nvSpPr>
        <xdr:cNvPr id="5" name="Curved Left Arrow 4">
          <a:extLst>
            <a:ext uri="{FF2B5EF4-FFF2-40B4-BE49-F238E27FC236}">
              <a16:creationId xmlns="" xmlns:a16="http://schemas.microsoft.com/office/drawing/2014/main" id="{00000000-0008-0000-0D00-000005000000}"/>
            </a:ext>
          </a:extLst>
        </xdr:cNvPr>
        <xdr:cNvSpPr/>
      </xdr:nvSpPr>
      <xdr:spPr>
        <a:xfrm>
          <a:off x="7791450" y="23231475"/>
          <a:ext cx="809625" cy="7153274"/>
        </a:xfrm>
        <a:prstGeom prst="curvedLeftArrow">
          <a:avLst/>
        </a:prstGeom>
        <a:solidFill>
          <a:srgbClr val="FFC000"/>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4</xdr:col>
      <xdr:colOff>114300</xdr:colOff>
      <xdr:row>100</xdr:row>
      <xdr:rowOff>28575</xdr:rowOff>
    </xdr:from>
    <xdr:to>
      <xdr:col>4</xdr:col>
      <xdr:colOff>923925</xdr:colOff>
      <xdr:row>106</xdr:row>
      <xdr:rowOff>28575</xdr:rowOff>
    </xdr:to>
    <xdr:sp macro="" textlink="">
      <xdr:nvSpPr>
        <xdr:cNvPr id="7" name="Curved Left Arrow 6">
          <a:extLst>
            <a:ext uri="{FF2B5EF4-FFF2-40B4-BE49-F238E27FC236}">
              <a16:creationId xmlns="" xmlns:a16="http://schemas.microsoft.com/office/drawing/2014/main" id="{00000000-0008-0000-0D00-000007000000}"/>
            </a:ext>
          </a:extLst>
        </xdr:cNvPr>
        <xdr:cNvSpPr/>
      </xdr:nvSpPr>
      <xdr:spPr>
        <a:xfrm>
          <a:off x="7810500" y="28317825"/>
          <a:ext cx="809625" cy="1714500"/>
        </a:xfrm>
        <a:prstGeom prst="curvedLeftArrow">
          <a:avLst/>
        </a:prstGeom>
        <a:solidFill>
          <a:srgbClr val="FF5050"/>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18</xdr:col>
      <xdr:colOff>76200</xdr:colOff>
      <xdr:row>0</xdr:row>
      <xdr:rowOff>180975</xdr:rowOff>
    </xdr:from>
    <xdr:to>
      <xdr:col>21</xdr:col>
      <xdr:colOff>47625</xdr:colOff>
      <xdr:row>9</xdr:row>
      <xdr:rowOff>0</xdr:rowOff>
    </xdr:to>
    <mc:AlternateContent xmlns:mc="http://schemas.openxmlformats.org/markup-compatibility/2006" xmlns:a14="http://schemas.microsoft.com/office/drawing/2010/main">
      <mc:Choice Requires="a14">
        <xdr:graphicFrame macro="">
          <xdr:nvGraphicFramePr>
            <xdr:cNvPr id="9" name="Folio 1">
              <a:extLst>
                <a:ext uri="{FF2B5EF4-FFF2-40B4-BE49-F238E27FC236}">
                  <a16:creationId xmlns="" xmlns:a16="http://schemas.microsoft.com/office/drawing/2014/main" id="{00000000-0008-0000-1000-000009000000}"/>
                </a:ext>
              </a:extLst>
            </xdr:cNvPr>
            <xdr:cNvGraphicFramePr/>
          </xdr:nvGraphicFramePr>
          <xdr:xfrm>
            <a:off x="0" y="0"/>
            <a:ext cx="0" cy="0"/>
          </xdr:xfrm>
          <a:graphic>
            <a:graphicData uri="http://schemas.microsoft.com/office/drawing/2010/slicer">
              <sle:slicer xmlns:sle="http://schemas.microsoft.com/office/drawing/2010/slicer" name="Folio 1"/>
            </a:graphicData>
          </a:graphic>
        </xdr:graphicFrame>
      </mc:Choice>
      <mc:Fallback xmlns="">
        <xdr:sp macro="" textlink="">
          <xdr:nvSpPr>
            <xdr:cNvPr id="0" name=""/>
            <xdr:cNvSpPr>
              <a:spLocks noTextEdit="1"/>
            </xdr:cNvSpPr>
          </xdr:nvSpPr>
          <xdr:spPr>
            <a:xfrm>
              <a:off x="19202400" y="1809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18</xdr:col>
      <xdr:colOff>238124</xdr:colOff>
      <xdr:row>9</xdr:row>
      <xdr:rowOff>123824</xdr:rowOff>
    </xdr:from>
    <xdr:to>
      <xdr:col>20</xdr:col>
      <xdr:colOff>190499</xdr:colOff>
      <xdr:row>14</xdr:row>
      <xdr:rowOff>28575</xdr:rowOff>
    </xdr:to>
    <xdr:sp macro="" textlink="">
      <xdr:nvSpPr>
        <xdr:cNvPr id="2" name="6-Point Star 1">
          <a:extLst>
            <a:ext uri="{FF2B5EF4-FFF2-40B4-BE49-F238E27FC236}">
              <a16:creationId xmlns="" xmlns:a16="http://schemas.microsoft.com/office/drawing/2014/main" id="{00000000-0008-0000-1000-000002000000}"/>
            </a:ext>
          </a:extLst>
        </xdr:cNvPr>
        <xdr:cNvSpPr/>
      </xdr:nvSpPr>
      <xdr:spPr>
        <a:xfrm>
          <a:off x="20221574" y="2828924"/>
          <a:ext cx="1190625" cy="1333501"/>
        </a:xfrm>
        <a:prstGeom prst="star6">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i="1">
              <a:solidFill>
                <a:srgbClr val="51220F"/>
              </a:solidFill>
            </a:rPr>
            <a:t>Refresh</a:t>
          </a:r>
        </a:p>
        <a:p>
          <a:pPr algn="ctr"/>
          <a:r>
            <a:rPr lang="en-US" sz="1400" b="1" i="1">
              <a:solidFill>
                <a:srgbClr val="51220F"/>
              </a:solidFill>
              <a:latin typeface="Zawgyi-One" panose="020B0604030504040204" pitchFamily="34" charset="0"/>
              <a:cs typeface="Zawgyi-One" panose="020B0604030504040204" pitchFamily="34" charset="0"/>
            </a:rPr>
            <a:t>ေပးရန္</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0</xdr:colOff>
      <xdr:row>0</xdr:row>
      <xdr:rowOff>0</xdr:rowOff>
    </xdr:from>
    <xdr:to>
      <xdr:col>4</xdr:col>
      <xdr:colOff>680357</xdr:colOff>
      <xdr:row>0</xdr:row>
      <xdr:rowOff>0</xdr:rowOff>
    </xdr:to>
    <xdr:sp macro="" textlink="">
      <xdr:nvSpPr>
        <xdr:cNvPr id="2" name="Flowchart: Alternate Process 1">
          <a:hlinkClick xmlns:r="http://schemas.openxmlformats.org/officeDocument/2006/relationships" r:id="rId1"/>
          <a:extLst>
            <a:ext uri="{FF2B5EF4-FFF2-40B4-BE49-F238E27FC236}">
              <a16:creationId xmlns="" xmlns:a16="http://schemas.microsoft.com/office/drawing/2014/main" id="{00000000-0008-0000-1A00-000002000000}"/>
            </a:ext>
          </a:extLst>
        </xdr:cNvPr>
        <xdr:cNvSpPr/>
      </xdr:nvSpPr>
      <xdr:spPr>
        <a:xfrm>
          <a:off x="1438275" y="304800"/>
          <a:ext cx="4023632" cy="249011"/>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NAVIGATION</a:t>
          </a: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8</xdr:col>
      <xdr:colOff>76200</xdr:colOff>
      <xdr:row>62</xdr:row>
      <xdr:rowOff>184150</xdr:rowOff>
    </xdr:from>
    <xdr:to>
      <xdr:col>10</xdr:col>
      <xdr:colOff>501650</xdr:colOff>
      <xdr:row>67</xdr:row>
      <xdr:rowOff>254000</xdr:rowOff>
    </xdr:to>
    <mc:AlternateContent xmlns:mc="http://schemas.openxmlformats.org/markup-compatibility/2006" xmlns:tsle="http://schemas.microsoft.com/office/drawing/2012/timeslicer">
      <mc:Choice Requires="tsle">
        <xdr:graphicFrame macro="">
          <xdr:nvGraphicFramePr>
            <xdr:cNvPr id="2" name="Second  Date 1">
              <a:extLst>
                <a:ext uri="{FF2B5EF4-FFF2-40B4-BE49-F238E27FC236}">
                  <a16:creationId xmlns="" xmlns:a16="http://schemas.microsoft.com/office/drawing/2014/main" id="{00000000-0008-0000-1B00-000002000000}"/>
                </a:ext>
              </a:extLst>
            </xdr:cNvPr>
            <xdr:cNvGraphicFramePr/>
          </xdr:nvGraphicFramePr>
          <xdr:xfrm>
            <a:off x="0" y="0"/>
            <a:ext cx="0" cy="0"/>
          </xdr:xfrm>
          <a:graphic>
            <a:graphicData uri="http://schemas.microsoft.com/office/drawing/2012/timeslicer">
              <tsle:timeslicer name="Second  Date 1"/>
            </a:graphicData>
          </a:graphic>
        </xdr:graphicFrame>
      </mc:Choice>
      <mc:Fallback xmlns="">
        <xdr:sp macro="" textlink="">
          <xdr:nvSpPr>
            <xdr:cNvPr id="0" name=""/>
            <xdr:cNvSpPr>
              <a:spLocks noTextEdit="1"/>
            </xdr:cNvSpPr>
          </xdr:nvSpPr>
          <xdr:spPr>
            <a:xfrm>
              <a:off x="13201650" y="16325850"/>
              <a:ext cx="3333750" cy="1371600"/>
            </a:xfrm>
            <a:prstGeom prst="rect">
              <a:avLst/>
            </a:prstGeom>
            <a:solidFill>
              <a:prstClr val="white"/>
            </a:solidFill>
            <a:ln w="1">
              <a:solidFill>
                <a:prstClr val="green"/>
              </a:solidFill>
            </a:ln>
          </xdr:spPr>
          <xdr:txBody>
            <a:bodyPr vertOverflow="clip" horzOverflow="clip"/>
            <a:lstStyle/>
            <a:p>
              <a:r>
                <a:rPr lang="en-US" sz="1100"/>
                <a:t>Timeline: Works in Excel or higher. Do not move or resize.</a:t>
              </a:r>
            </a:p>
          </xdr:txBody>
        </xdr:sp>
      </mc:Fallback>
    </mc:AlternateContent>
    <xdr:clientData/>
  </xdr:twoCellAnchor>
  <xdr:twoCellAnchor editAs="oneCell">
    <xdr:from>
      <xdr:col>8</xdr:col>
      <xdr:colOff>19050</xdr:colOff>
      <xdr:row>1</xdr:row>
      <xdr:rowOff>247650</xdr:rowOff>
    </xdr:from>
    <xdr:to>
      <xdr:col>10</xdr:col>
      <xdr:colOff>444500</xdr:colOff>
      <xdr:row>7</xdr:row>
      <xdr:rowOff>57150</xdr:rowOff>
    </xdr:to>
    <mc:AlternateContent xmlns:mc="http://schemas.openxmlformats.org/markup-compatibility/2006" xmlns:tsle="http://schemas.microsoft.com/office/drawing/2012/timeslicer">
      <mc:Choice Requires="tsle">
        <xdr:graphicFrame macro="">
          <xdr:nvGraphicFramePr>
            <xdr:cNvPr id="3" name="First Date 1">
              <a:extLst>
                <a:ext uri="{FF2B5EF4-FFF2-40B4-BE49-F238E27FC236}">
                  <a16:creationId xmlns="" xmlns:a16="http://schemas.microsoft.com/office/drawing/2014/main" id="{00000000-0008-0000-1B00-000003000000}"/>
                </a:ext>
              </a:extLst>
            </xdr:cNvPr>
            <xdr:cNvGraphicFramePr/>
          </xdr:nvGraphicFramePr>
          <xdr:xfrm>
            <a:off x="0" y="0"/>
            <a:ext cx="0" cy="0"/>
          </xdr:xfrm>
          <a:graphic>
            <a:graphicData uri="http://schemas.microsoft.com/office/drawing/2012/timeslicer">
              <tsle:timeslicer name="First Date 1"/>
            </a:graphicData>
          </a:graphic>
        </xdr:graphicFrame>
      </mc:Choice>
      <mc:Fallback xmlns="">
        <xdr:sp macro="" textlink="">
          <xdr:nvSpPr>
            <xdr:cNvPr id="0" name=""/>
            <xdr:cNvSpPr>
              <a:spLocks noTextEdit="1"/>
            </xdr:cNvSpPr>
          </xdr:nvSpPr>
          <xdr:spPr>
            <a:xfrm>
              <a:off x="13144500" y="508000"/>
              <a:ext cx="3333750" cy="1371600"/>
            </a:xfrm>
            <a:prstGeom prst="rect">
              <a:avLst/>
            </a:prstGeom>
            <a:solidFill>
              <a:prstClr val="white"/>
            </a:solidFill>
            <a:ln w="1">
              <a:solidFill>
                <a:prstClr val="green"/>
              </a:solidFill>
            </a:ln>
          </xdr:spPr>
          <xdr:txBody>
            <a:bodyPr vertOverflow="clip" horzOverflow="clip"/>
            <a:lstStyle/>
            <a:p>
              <a:r>
                <a:rPr lang="en-US" sz="1100"/>
                <a:t>Timeline: Works in Excel or higher. Do not move or resize.</a:t>
              </a:r>
            </a:p>
          </xdr:txBody>
        </xdr:sp>
      </mc:Fallback>
    </mc:AlternateContent>
    <xdr:clientData/>
  </xdr:twoCellAnchor>
</xdr:wsDr>
</file>

<file path=xl/drawings/drawing11.xml><?xml version="1.0" encoding="utf-8"?>
<xdr:wsDr xmlns:xdr="http://schemas.openxmlformats.org/drawingml/2006/spreadsheetDrawing" xmlns:a="http://schemas.openxmlformats.org/drawingml/2006/main">
  <xdr:twoCellAnchor editAs="oneCell">
    <xdr:from>
      <xdr:col>9</xdr:col>
      <xdr:colOff>219074</xdr:colOff>
      <xdr:row>2</xdr:row>
      <xdr:rowOff>142875</xdr:rowOff>
    </xdr:from>
    <xdr:to>
      <xdr:col>12</xdr:col>
      <xdr:colOff>28574</xdr:colOff>
      <xdr:row>8</xdr:row>
      <xdr:rowOff>266700</xdr:rowOff>
    </xdr:to>
    <mc:AlternateContent xmlns:mc="http://schemas.openxmlformats.org/markup-compatibility/2006" xmlns:a14="http://schemas.microsoft.com/office/drawing/2010/main">
      <mc:Choice Requires="a14">
        <xdr:graphicFrame macro="">
          <xdr:nvGraphicFramePr>
            <xdr:cNvPr id="3" name="Folio 2">
              <a:extLst>
                <a:ext uri="{FF2B5EF4-FFF2-40B4-BE49-F238E27FC236}">
                  <a16:creationId xmlns="" xmlns:a16="http://schemas.microsoft.com/office/drawing/2014/main" id="{00000000-0008-0000-1F00-000003000000}"/>
                </a:ext>
              </a:extLst>
            </xdr:cNvPr>
            <xdr:cNvGraphicFramePr/>
          </xdr:nvGraphicFramePr>
          <xdr:xfrm>
            <a:off x="0" y="0"/>
            <a:ext cx="0" cy="0"/>
          </xdr:xfrm>
          <a:graphic>
            <a:graphicData uri="http://schemas.microsoft.com/office/drawing/2010/slicer">
              <sle:slicer xmlns:sle="http://schemas.microsoft.com/office/drawing/2010/slicer" name="Folio 2"/>
            </a:graphicData>
          </a:graphic>
        </xdr:graphicFrame>
      </mc:Choice>
      <mc:Fallback xmlns="">
        <xdr:sp macro="" textlink="">
          <xdr:nvSpPr>
            <xdr:cNvPr id="0" name=""/>
            <xdr:cNvSpPr>
              <a:spLocks noTextEdit="1"/>
            </xdr:cNvSpPr>
          </xdr:nvSpPr>
          <xdr:spPr>
            <a:xfrm>
              <a:off x="13677899" y="733425"/>
              <a:ext cx="1666875" cy="18954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352424</xdr:colOff>
      <xdr:row>11</xdr:row>
      <xdr:rowOff>285751</xdr:rowOff>
    </xdr:from>
    <xdr:to>
      <xdr:col>12</xdr:col>
      <xdr:colOff>76200</xdr:colOff>
      <xdr:row>18</xdr:row>
      <xdr:rowOff>28575</xdr:rowOff>
    </xdr:to>
    <mc:AlternateContent xmlns:mc="http://schemas.openxmlformats.org/markup-compatibility/2006" xmlns:a14="http://schemas.microsoft.com/office/drawing/2010/main">
      <mc:Choice Requires="a14">
        <xdr:graphicFrame macro="">
          <xdr:nvGraphicFramePr>
            <xdr:cNvPr id="4" name="Folio 3">
              <a:extLst>
                <a:ext uri="{FF2B5EF4-FFF2-40B4-BE49-F238E27FC236}">
                  <a16:creationId xmlns="" xmlns:a16="http://schemas.microsoft.com/office/drawing/2014/main" id="{00000000-0008-0000-1F00-000004000000}"/>
                </a:ext>
              </a:extLst>
            </xdr:cNvPr>
            <xdr:cNvGraphicFramePr/>
          </xdr:nvGraphicFramePr>
          <xdr:xfrm>
            <a:off x="0" y="0"/>
            <a:ext cx="0" cy="0"/>
          </xdr:xfrm>
          <a:graphic>
            <a:graphicData uri="http://schemas.microsoft.com/office/drawing/2010/slicer">
              <sle:slicer xmlns:sle="http://schemas.microsoft.com/office/drawing/2010/slicer" name="Folio 3"/>
            </a:graphicData>
          </a:graphic>
        </xdr:graphicFrame>
      </mc:Choice>
      <mc:Fallback xmlns="">
        <xdr:sp macro="" textlink="">
          <xdr:nvSpPr>
            <xdr:cNvPr id="0" name=""/>
            <xdr:cNvSpPr>
              <a:spLocks noTextEdit="1"/>
            </xdr:cNvSpPr>
          </xdr:nvSpPr>
          <xdr:spPr>
            <a:xfrm>
              <a:off x="14039849" y="3533776"/>
              <a:ext cx="1581151" cy="17906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76200</xdr:colOff>
      <xdr:row>8</xdr:row>
      <xdr:rowOff>19050</xdr:rowOff>
    </xdr:from>
    <xdr:to>
      <xdr:col>15</xdr:col>
      <xdr:colOff>9525</xdr:colOff>
      <xdr:row>12</xdr:row>
      <xdr:rowOff>114300</xdr:rowOff>
    </xdr:to>
    <xdr:sp macro="" textlink="">
      <xdr:nvSpPr>
        <xdr:cNvPr id="2" name="6-Point Star 1">
          <a:extLst>
            <a:ext uri="{FF2B5EF4-FFF2-40B4-BE49-F238E27FC236}">
              <a16:creationId xmlns="" xmlns:a16="http://schemas.microsoft.com/office/drawing/2014/main" id="{00000000-0008-0000-1F00-000002000000}"/>
            </a:ext>
          </a:extLst>
        </xdr:cNvPr>
        <xdr:cNvSpPr/>
      </xdr:nvSpPr>
      <xdr:spPr>
        <a:xfrm>
          <a:off x="16021050" y="2381250"/>
          <a:ext cx="1352550" cy="1276350"/>
        </a:xfrm>
        <a:prstGeom prst="star6">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ctr"/>
        <a:lstStyle/>
        <a:p>
          <a:pPr algn="ctr"/>
          <a:r>
            <a:rPr lang="en-US" sz="1200" b="1" i="1">
              <a:solidFill>
                <a:srgbClr val="51220F"/>
              </a:solidFill>
              <a:latin typeface="Zawgyi-One" panose="020B0604030504040204" pitchFamily="34" charset="0"/>
              <a:cs typeface="Zawgyi-One" panose="020B0604030504040204" pitchFamily="34" charset="0"/>
            </a:rPr>
            <a:t>Refresh</a:t>
          </a:r>
        </a:p>
        <a:p>
          <a:pPr algn="ctr"/>
          <a:r>
            <a:rPr lang="en-US" sz="1100" b="1" i="1">
              <a:solidFill>
                <a:srgbClr val="51220F"/>
              </a:solidFill>
              <a:latin typeface="Zawgyi-One" panose="020B0604030504040204" pitchFamily="34" charset="0"/>
              <a:cs typeface="Zawgyi-One" panose="020B0604030504040204" pitchFamily="34" charset="0"/>
            </a:rPr>
            <a:t>ေပ</a:t>
          </a:r>
          <a:r>
            <a:rPr lang="en-US" sz="1100" b="1" i="1">
              <a:latin typeface="Zawgyi-One" panose="020B0604030504040204" pitchFamily="34" charset="0"/>
              <a:cs typeface="Zawgyi-One" panose="020B0604030504040204" pitchFamily="34" charset="0"/>
            </a:rPr>
            <a:t>း</a:t>
          </a:r>
          <a:r>
            <a:rPr lang="en-US" sz="1100" b="1" i="1">
              <a:solidFill>
                <a:srgbClr val="51220F"/>
              </a:solidFill>
              <a:latin typeface="Zawgyi-One" panose="020B0604030504040204" pitchFamily="34" charset="0"/>
              <a:cs typeface="Zawgyi-One" panose="020B0604030504040204" pitchFamily="34" charset="0"/>
            </a:rPr>
            <a:t>ရန</a:t>
          </a:r>
          <a:r>
            <a:rPr lang="en-US" sz="1100" b="1" i="1">
              <a:latin typeface="Zawgyi-One" panose="020B0604030504040204" pitchFamily="34" charset="0"/>
              <a:cs typeface="Zawgyi-One" panose="020B0604030504040204" pitchFamily="34" charset="0"/>
            </a:rPr>
            <a:t>္</a:t>
          </a: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13</xdr:col>
      <xdr:colOff>76200</xdr:colOff>
      <xdr:row>2</xdr:row>
      <xdr:rowOff>47625</xdr:rowOff>
    </xdr:from>
    <xdr:to>
      <xdr:col>15</xdr:col>
      <xdr:colOff>152400</xdr:colOff>
      <xdr:row>7</xdr:row>
      <xdr:rowOff>38100</xdr:rowOff>
    </xdr:to>
    <mc:AlternateContent xmlns:mc="http://schemas.openxmlformats.org/markup-compatibility/2006" xmlns:tsle="http://schemas.microsoft.com/office/drawing/2012/timeslicer">
      <mc:Choice Requires="tsle">
        <xdr:graphicFrame macro="">
          <xdr:nvGraphicFramePr>
            <xdr:cNvPr id="2" name="First Date">
              <a:extLst>
                <a:ext uri="{FF2B5EF4-FFF2-40B4-BE49-F238E27FC236}">
                  <a16:creationId xmlns="" xmlns:a16="http://schemas.microsoft.com/office/drawing/2014/main" id="{00000000-0008-0000-2100-000002000000}"/>
                </a:ext>
              </a:extLst>
            </xdr:cNvPr>
            <xdr:cNvGraphicFramePr/>
          </xdr:nvGraphicFramePr>
          <xdr:xfrm>
            <a:off x="0" y="0"/>
            <a:ext cx="0" cy="0"/>
          </xdr:xfrm>
          <a:graphic>
            <a:graphicData uri="http://schemas.microsoft.com/office/drawing/2012/timeslicer">
              <tsle:timeslicer name="First Date"/>
            </a:graphicData>
          </a:graphic>
        </xdr:graphicFrame>
      </mc:Choice>
      <mc:Fallback xmlns="">
        <xdr:sp macro="" textlink="">
          <xdr:nvSpPr>
            <xdr:cNvPr id="0" name=""/>
            <xdr:cNvSpPr>
              <a:spLocks noTextEdit="1"/>
            </xdr:cNvSpPr>
          </xdr:nvSpPr>
          <xdr:spPr>
            <a:xfrm>
              <a:off x="21316950" y="600075"/>
              <a:ext cx="3333750" cy="13716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13</xdr:col>
      <xdr:colOff>95250</xdr:colOff>
      <xdr:row>8</xdr:row>
      <xdr:rowOff>19050</xdr:rowOff>
    </xdr:from>
    <xdr:to>
      <xdr:col>15</xdr:col>
      <xdr:colOff>171450</xdr:colOff>
      <xdr:row>13</xdr:row>
      <xdr:rowOff>9525</xdr:rowOff>
    </xdr:to>
    <mc:AlternateContent xmlns:mc="http://schemas.openxmlformats.org/markup-compatibility/2006" xmlns:tsle="http://schemas.microsoft.com/office/drawing/2012/timeslicer">
      <mc:Choice Requires="tsle">
        <xdr:graphicFrame macro="">
          <xdr:nvGraphicFramePr>
            <xdr:cNvPr id="3" name="Second  Date">
              <a:extLst>
                <a:ext uri="{FF2B5EF4-FFF2-40B4-BE49-F238E27FC236}">
                  <a16:creationId xmlns="" xmlns:a16="http://schemas.microsoft.com/office/drawing/2014/main" id="{00000000-0008-0000-2100-000003000000}"/>
                </a:ext>
              </a:extLst>
            </xdr:cNvPr>
            <xdr:cNvGraphicFramePr/>
          </xdr:nvGraphicFramePr>
          <xdr:xfrm>
            <a:off x="0" y="0"/>
            <a:ext cx="0" cy="0"/>
          </xdr:xfrm>
          <a:graphic>
            <a:graphicData uri="http://schemas.microsoft.com/office/drawing/2012/timeslicer">
              <tsle:timeslicer name="Second  Date"/>
            </a:graphicData>
          </a:graphic>
        </xdr:graphicFrame>
      </mc:Choice>
      <mc:Fallback xmlns="">
        <xdr:sp macro="" textlink="">
          <xdr:nvSpPr>
            <xdr:cNvPr id="0" name=""/>
            <xdr:cNvSpPr>
              <a:spLocks noTextEdit="1"/>
            </xdr:cNvSpPr>
          </xdr:nvSpPr>
          <xdr:spPr>
            <a:xfrm>
              <a:off x="21336000" y="2228850"/>
              <a:ext cx="3333750" cy="13716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wsDr>
</file>

<file path=xl/drawings/drawing13.xml><?xml version="1.0" encoding="utf-8"?>
<xdr:wsDr xmlns:xdr="http://schemas.openxmlformats.org/drawingml/2006/spreadsheetDrawing" xmlns:a="http://schemas.openxmlformats.org/drawingml/2006/main">
  <xdr:twoCellAnchor>
    <xdr:from>
      <xdr:col>4</xdr:col>
      <xdr:colOff>238125</xdr:colOff>
      <xdr:row>15</xdr:row>
      <xdr:rowOff>104775</xdr:rowOff>
    </xdr:from>
    <xdr:to>
      <xdr:col>8</xdr:col>
      <xdr:colOff>361950</xdr:colOff>
      <xdr:row>17</xdr:row>
      <xdr:rowOff>95250</xdr:rowOff>
    </xdr:to>
    <xdr:sp macro="" textlink="">
      <xdr:nvSpPr>
        <xdr:cNvPr id="2" name="Rounded Rectangle 1">
          <a:extLst>
            <a:ext uri="{FF2B5EF4-FFF2-40B4-BE49-F238E27FC236}">
              <a16:creationId xmlns="" xmlns:a16="http://schemas.microsoft.com/office/drawing/2014/main" id="{00000000-0008-0000-2300-000002000000}"/>
            </a:ext>
          </a:extLst>
        </xdr:cNvPr>
        <xdr:cNvSpPr/>
      </xdr:nvSpPr>
      <xdr:spPr>
        <a:xfrm>
          <a:off x="2924175" y="4105275"/>
          <a:ext cx="4314825" cy="4476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t>Formular</a:t>
          </a:r>
          <a:r>
            <a:rPr lang="en-US" sz="1200" b="1" baseline="0"/>
            <a:t> /365*366 </a:t>
          </a:r>
          <a:r>
            <a:rPr lang="en-US" sz="1200" b="1" baseline="0">
              <a:latin typeface="Zawgyi-One" panose="020B0604030504040204" pitchFamily="34" charset="0"/>
              <a:cs typeface="Zawgyi-One" panose="020B0604030504040204" pitchFamily="34" charset="0"/>
            </a:rPr>
            <a:t> ျဖဳတ္ၿပီး</a:t>
          </a:r>
          <a:endParaRPr lang="en-US" sz="1200" b="1"/>
        </a:p>
      </xdr:txBody>
    </xdr:sp>
    <xdr:clientData/>
  </xdr:twoCellAnchor>
  <xdr:twoCellAnchor>
    <xdr:from>
      <xdr:col>5</xdr:col>
      <xdr:colOff>0</xdr:colOff>
      <xdr:row>9</xdr:row>
      <xdr:rowOff>0</xdr:rowOff>
    </xdr:from>
    <xdr:to>
      <xdr:col>6</xdr:col>
      <xdr:colOff>556532</xdr:colOff>
      <xdr:row>10</xdr:row>
      <xdr:rowOff>68036</xdr:rowOff>
    </xdr:to>
    <xdr:sp macro="" textlink="">
      <xdr:nvSpPr>
        <xdr:cNvPr id="3" name="Flowchart: Alternate Process 2">
          <a:hlinkClick xmlns:r="http://schemas.openxmlformats.org/officeDocument/2006/relationships" r:id="rId1"/>
          <a:extLst>
            <a:ext uri="{FF2B5EF4-FFF2-40B4-BE49-F238E27FC236}">
              <a16:creationId xmlns="" xmlns:a16="http://schemas.microsoft.com/office/drawing/2014/main" id="{00000000-0008-0000-2300-000003000000}"/>
            </a:ext>
          </a:extLst>
        </xdr:cNvPr>
        <xdr:cNvSpPr/>
      </xdr:nvSpPr>
      <xdr:spPr>
        <a:xfrm>
          <a:off x="4010025" y="2628900"/>
          <a:ext cx="1928132" cy="296636"/>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NAVIGATION</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3</xdr:col>
      <xdr:colOff>1201963</xdr:colOff>
      <xdr:row>17</xdr:row>
      <xdr:rowOff>56696</xdr:rowOff>
    </xdr:from>
    <xdr:to>
      <xdr:col>5</xdr:col>
      <xdr:colOff>226787</xdr:colOff>
      <xdr:row>21</xdr:row>
      <xdr:rowOff>192766</xdr:rowOff>
    </xdr:to>
    <xdr:sp macro="" textlink="">
      <xdr:nvSpPr>
        <xdr:cNvPr id="30" name="Up Arrow 29"/>
        <xdr:cNvSpPr/>
      </xdr:nvSpPr>
      <xdr:spPr>
        <a:xfrm>
          <a:off x="4286249" y="4683125"/>
          <a:ext cx="1587502" cy="1224641"/>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profit</a:t>
          </a:r>
          <a:r>
            <a:rPr lang="en-US" sz="1100" baseline="0"/>
            <a:t> </a:t>
          </a:r>
        </a:p>
        <a:p>
          <a:pPr algn="l"/>
          <a:r>
            <a:rPr lang="en-US" sz="1100" baseline="0"/>
            <a:t>  (or) loss</a:t>
          </a:r>
        </a:p>
        <a:p>
          <a:pPr algn="l"/>
          <a:r>
            <a:rPr lang="en-US" sz="1100" baseline="0"/>
            <a:t>statement </a:t>
          </a:r>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U%20Zin%20Maung\YZM+KGG%20(Jan~Dec%202020)\WBL%202-2020%20WBL%20%20UZM%20.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E:\Tricycle%20HP%20Sale.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Tricycle%20HP%20Sale%20-%202021.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Users\acer\Desktop\Tricycle%20HP%20Sale.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E:\Tricycle%20Sale%20Hp%20&amp;%20Cash\Tricycle%20HP%20Sale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P (2)"/>
      <sheetName val="SCOA"/>
      <sheetName val="FS&amp;S"/>
      <sheetName val="P&amp;L Com "/>
      <sheetName val="COA"/>
      <sheetName val="Chart1"/>
      <sheetName val="Cash"/>
      <sheetName val="S&amp;S"/>
      <sheetName val="2018+2019"/>
      <sheetName val="Ko Htwe"/>
      <sheetName val="WBL"/>
      <sheetName val="February Stock"/>
      <sheetName val="February Profit"/>
      <sheetName val="WH"/>
      <sheetName val="EXP"/>
      <sheetName val="RJC"/>
      <sheetName val="Staff"/>
      <sheetName val="WS Staff "/>
      <sheetName val="RECS"/>
      <sheetName val="HPGBS"/>
      <sheetName val="HPUSMC"/>
      <sheetName val="HPUSM"/>
      <sheetName val="HPWSW"/>
      <sheetName val="RECL"/>
      <sheetName val="AGD Bank"/>
      <sheetName val="BL"/>
      <sheetName val="Sheet1"/>
    </sheetNames>
    <sheetDataSet>
      <sheetData sheetId="0"/>
      <sheetData sheetId="1"/>
      <sheetData sheetId="2"/>
      <sheetData sheetId="3"/>
      <sheetData sheetId="4"/>
      <sheetData sheetId="5" refreshError="1"/>
      <sheetData sheetId="6">
        <row r="14">
          <cell r="T14">
            <v>0</v>
          </cell>
        </row>
        <row r="28">
          <cell r="T28">
            <v>0</v>
          </cell>
        </row>
        <row r="29">
          <cell r="T29">
            <v>0</v>
          </cell>
        </row>
        <row r="30">
          <cell r="T30">
            <v>0</v>
          </cell>
        </row>
        <row r="31">
          <cell r="T31">
            <v>0</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 Tin Sein 300CC 40%,6 (3)"/>
      <sheetName val="Ma Win TheinGi 300CC 40%,6 (2)"/>
      <sheetName val="Ko Paye Myo Aung300CC 40%,60 "/>
      <sheetName val="300CC 40%,60%  (3)"/>
      <sheetName val="300CC 40%,60%  (2)"/>
      <sheetName val="Ko Kyaw Soe Win300CC 40%,60% "/>
      <sheetName val="COA"/>
      <sheetName val="Data 40% "/>
      <sheetName val=" Print 1 40%"/>
      <sheetName val="Data 30%"/>
      <sheetName val="Print 2 30%"/>
      <sheetName val="Guaranty"/>
    </sheetNames>
    <sheetDataSet>
      <sheetData sheetId="0" refreshError="1"/>
      <sheetData sheetId="1" refreshError="1"/>
      <sheetData sheetId="2" refreshError="1"/>
      <sheetData sheetId="3" refreshError="1"/>
      <sheetData sheetId="4" refreshError="1"/>
      <sheetData sheetId="5" refreshError="1"/>
      <sheetData sheetId="6">
        <row r="2">
          <cell r="E2" t="str">
            <v>300CC</v>
          </cell>
          <cell r="F2">
            <v>3290000</v>
          </cell>
        </row>
        <row r="3">
          <cell r="E3" t="str">
            <v>250CC</v>
          </cell>
          <cell r="F3">
            <v>3210000</v>
          </cell>
        </row>
        <row r="4">
          <cell r="E4" t="str">
            <v>175CC</v>
          </cell>
          <cell r="F4">
            <v>2480000</v>
          </cell>
        </row>
        <row r="5">
          <cell r="E5" t="str">
            <v>150CC</v>
          </cell>
          <cell r="F5">
            <v>2290000</v>
          </cell>
        </row>
      </sheetData>
      <sheetData sheetId="7" refreshError="1"/>
      <sheetData sheetId="8" refreshError="1"/>
      <sheetData sheetId="9" refreshError="1"/>
      <sheetData sheetId="10" refreshError="1"/>
      <sheetData sheetId="1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A"/>
    </sheet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 Tin Sein 300CC 40%,6 (3)"/>
      <sheetName val="Ma Win TheinGi 300CC 40%,6 (2)"/>
      <sheetName val="Ko Paye Myo Aung300CC 40%,60 "/>
      <sheetName val="300CC 40%,60%  (3)"/>
      <sheetName val="300CC 40%,60%  (2)"/>
      <sheetName val="Ko Kyaw Soe Win300CC 40%,60% "/>
      <sheetName val="COA"/>
      <sheetName val="Sheet1"/>
      <sheetName val="Bank"/>
      <sheetName val="Debitor Receivable"/>
      <sheetName val="Data 40% "/>
      <sheetName val="Sheet3"/>
      <sheetName val="Sheet4"/>
      <sheetName val="Sheet2"/>
      <sheetName val=" Print 1 40%"/>
      <sheetName val="Data 30%"/>
      <sheetName val="Print 2 30%"/>
      <sheetName val="Guaranty"/>
    </sheetNames>
    <sheetDataSet>
      <sheetData sheetId="0" refreshError="1"/>
      <sheetData sheetId="1" refreshError="1"/>
      <sheetData sheetId="2" refreshError="1"/>
      <sheetData sheetId="3" refreshError="1"/>
      <sheetData sheetId="4" refreshError="1"/>
      <sheetData sheetId="5" refreshError="1"/>
      <sheetData sheetId="6" refreshError="1">
        <row r="2">
          <cell r="E2" t="str">
            <v>300CC</v>
          </cell>
          <cell r="F2">
            <v>3191300</v>
          </cell>
        </row>
        <row r="3">
          <cell r="E3" t="str">
            <v>250CC</v>
          </cell>
          <cell r="F3">
            <v>3113700</v>
          </cell>
        </row>
        <row r="4">
          <cell r="E4" t="str">
            <v>175CC</v>
          </cell>
          <cell r="F4">
            <v>2405600</v>
          </cell>
        </row>
        <row r="5">
          <cell r="E5" t="str">
            <v>150CC</v>
          </cell>
          <cell r="F5">
            <v>2232750</v>
          </cell>
        </row>
        <row r="6">
          <cell r="E6" t="str">
            <v>200CC</v>
          </cell>
          <cell r="F6">
            <v>2877800</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 Tin Sein 300CC 40%,6 (3)"/>
      <sheetName val="Ma Win TheinGi 300CC 40%,6 (2)"/>
      <sheetName val="Ko Paye Myo Aung300CC 40%,60 "/>
      <sheetName val="300CC 40%,60%  (3)"/>
      <sheetName val="300CC 40%,60%  (2)"/>
      <sheetName val="Ko Kyaw Soe Win300CC 40%,60% "/>
      <sheetName val="COA"/>
      <sheetName val="Sheet1"/>
      <sheetName val="Chart1"/>
      <sheetName val="Data 40% "/>
      <sheetName val=" Print 1 40%"/>
      <sheetName val="Data 30%"/>
      <sheetName val="Print 2 30%"/>
      <sheetName val="Guaranty"/>
    </sheetNames>
    <sheetDataSet>
      <sheetData sheetId="0" refreshError="1"/>
      <sheetData sheetId="1" refreshError="1"/>
      <sheetData sheetId="2" refreshError="1"/>
      <sheetData sheetId="3" refreshError="1"/>
      <sheetData sheetId="4" refreshError="1"/>
      <sheetData sheetId="5" refreshError="1"/>
      <sheetData sheetId="6" refreshError="1">
        <row r="2">
          <cell r="E2" t="str">
            <v>300CC</v>
          </cell>
          <cell r="F2">
            <v>3191300</v>
          </cell>
        </row>
        <row r="3">
          <cell r="E3" t="str">
            <v>250CC</v>
          </cell>
          <cell r="F3">
            <v>3113700</v>
          </cell>
        </row>
        <row r="4">
          <cell r="E4" t="str">
            <v>175CC</v>
          </cell>
          <cell r="F4">
            <v>2405600</v>
          </cell>
        </row>
        <row r="5">
          <cell r="E5" t="str">
            <v>150CC</v>
          </cell>
          <cell r="F5">
            <v>2232750</v>
          </cell>
        </row>
      </sheetData>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pivotCacheDefinition1.xml><?xml version="1.0" encoding="utf-8"?>
<pivotCacheDefinition xmlns="http://schemas.openxmlformats.org/spreadsheetml/2006/main" xmlns:r="http://schemas.openxmlformats.org/officeDocument/2006/relationships" r:id="rId1" refreshedBy="DELL" refreshedDate="44241.631171759262" createdVersion="6" refreshedVersion="6" minRefreshableVersion="3" recordCount="58">
  <cacheSource type="worksheet">
    <worksheetSource ref="A1:AI59" sheet="Co. HP GBS 40% (2020)"/>
  </cacheSource>
  <cacheFields count="38">
    <cacheField name="No." numFmtId="0">
      <sharedItems containsSemiMixedTypes="0" containsString="0" containsNumber="1" containsInteger="1" minValue="1" maxValue="51"/>
    </cacheField>
    <cacheField name="ေန႔စြဲ" numFmtId="14">
      <sharedItems containsSemiMixedTypes="0" containsNonDate="0" containsDate="1" containsString="0" minDate="2020-01-13T00:00:00" maxDate="2020-12-31T00:00:00" count="41">
        <d v="2020-01-13T00:00:00"/>
        <d v="2020-02-26T00:00:00"/>
        <d v="2020-05-20T00:00:00"/>
        <d v="2020-05-23T00:00:00"/>
        <d v="2020-05-30T00:00:00"/>
        <d v="2020-06-04T00:00:00"/>
        <d v="2020-06-09T00:00:00"/>
        <d v="2020-06-10T00:00:00"/>
        <d v="2020-06-24T00:00:00"/>
        <d v="2020-07-15T00:00:00"/>
        <d v="2020-07-16T00:00:00"/>
        <d v="2020-07-25T00:00:00"/>
        <d v="2020-08-11T00:00:00"/>
        <d v="2020-08-16T00:00:00"/>
        <d v="2020-08-23T00:00:00"/>
        <d v="2020-09-05T00:00:00"/>
        <d v="2020-09-09T00:00:00"/>
        <d v="2020-09-13T00:00:00"/>
        <d v="2020-09-30T00:00:00"/>
        <d v="2020-10-27T00:00:00"/>
        <d v="2020-10-29T00:00:00"/>
        <d v="2020-11-01T00:00:00"/>
        <d v="2020-11-17T00:00:00"/>
        <d v="2020-11-18T00:00:00"/>
        <d v="2020-11-20T00:00:00"/>
        <d v="2020-11-22T00:00:00"/>
        <d v="2020-11-27T00:00:00"/>
        <d v="2020-11-30T00:00:00"/>
        <d v="2020-12-04T00:00:00"/>
        <d v="2020-12-05T00:00:00"/>
        <d v="2020-12-09T00:00:00"/>
        <d v="2020-12-10T00:00:00"/>
        <d v="2020-12-13T00:00:00"/>
        <d v="2020-12-15T00:00:00"/>
        <d v="2020-12-16T00:00:00"/>
        <d v="2020-12-19T00:00:00"/>
        <d v="2020-12-20T00:00:00"/>
        <d v="2020-12-23T00:00:00"/>
        <d v="2020-12-27T00:00:00"/>
        <d v="2020-12-29T00:00:00"/>
        <d v="2020-12-30T00:00:00"/>
      </sharedItems>
      <fieldGroup par="35" base="1">
        <rangePr groupBy="days" startDate="2020-01-13T00:00:00" endDate="2020-12-31T00:00:00"/>
        <groupItems count="368">
          <s v="&lt;1/13/2020"/>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12/31/2020"/>
        </groupItems>
      </fieldGroup>
    </cacheField>
    <cacheField name="Customer Name" numFmtId="0">
      <sharedItems count="58">
        <s v="D Thinn Thinn Mar"/>
        <s v="Daw MarMar Khing"/>
        <s v="Ko Soe Paing"/>
        <s v="Ko Han Win Aung"/>
        <s v="Ko Thein Win"/>
        <s v="Daw Mi San Lwin"/>
        <s v="Ko Soe Ko Ko Lwin"/>
        <s v="Daw Yi Yi Cho"/>
        <s v="U  Linn Zaw Thu"/>
        <s v="Daw Kyi Kyi Win"/>
        <s v="U Win  Zaw"/>
        <s v="U Aung Ko  Oo San "/>
        <s v="U Than Zaw Oo"/>
        <s v="ကိုေအာင္မိုးသူ"/>
        <s v="ဦးေသာင္းထိုက္"/>
        <s v="ဦးဝင္းသန္း"/>
        <s v="ဦးကိုင္ဇာေဌး"/>
        <s v="ဦးမ်ိဳးေဇာ္ဦး"/>
        <s v="ဦးတင္ေမာင္ေဆြ"/>
        <s v="ဦးေဇာ္လင္းဦး"/>
        <s v="ဦးေမာင္နိုင္"/>
        <s v="ဦးခ်န္ဒရာေဆးဂဲ"/>
        <s v="ဦးလွဦး"/>
        <s v="ဦးနိုင္ဝင္းထြန္း"/>
        <s v="ဦးေက်ာ္စိုးဝင္း"/>
        <s v="ဦးမ်ိဳးမင္းေအာင္"/>
        <s v="ကိုျပည့္မ်ိဳးေအာင္"/>
        <s v="ေဒၚသဂီ ၤထြန္း"/>
        <s v="ဦ;ထြန္းနိုင္"/>
        <s v="ဦးတင္စိန္"/>
        <s v="ေဒၚသက္သက္ဝင္း"/>
        <s v="ဦးေထြးေအာင္"/>
        <s v="ဦးစည္သူ"/>
        <s v="ကိုရဲနိုင္"/>
        <s v="ေဒၚဝင္းဝင္းေဌး"/>
        <s v="ကိုရဲလင္းေအာင္ "/>
        <s v="ကိုဝင္းၾကည္"/>
        <s v="ေဒၚခင္ၿပံဳးမူ"/>
        <s v="ကိုမင္းသူစိုး "/>
        <s v="ကိုေဇာ္ရဲေအာင္"/>
        <s v="ဦးဝင္းျမင့္"/>
        <s v="ကိုလွေဌး"/>
        <s v="ဦးရဲဝင္းထြန္း"/>
        <s v="ဦးေဇာ္ဝိတ္"/>
        <s v="ကိုေသာ္ဇင္ၿဖိဳး "/>
        <s v="ဦးခင္ေမာင္သန္း"/>
        <s v="ဦးတင္ဝင္း"/>
        <s v="ဦးခိုင္စြာဝင္း"/>
        <s v="ကိုေအာင္သူ"/>
        <s v="ဦးစံဦး"/>
        <s v="ဦးမင္းေအာင္"/>
        <s v="ဦးေဇာ္ထိုက္"/>
        <s v="ကိုခ်မ္းမင္းနိုင္"/>
        <s v="ေဒၚသီသီခိုင္"/>
        <s v="ကိုဝင္းကိုနိုင္"/>
        <s v="ကိုျမင့္သိန္း"/>
        <s v="ကိုေဇာ္မ်ိဳးနိုင္"/>
        <s v="ကိုျမင့္လြင္"/>
      </sharedItems>
    </cacheField>
    <cacheField name="Address" numFmtId="0">
      <sharedItems containsBlank="1" count="38">
        <m/>
        <s v="ဆည္ေျမာင္း"/>
        <s v="ဇလုပ္ႀကီး"/>
        <s v="ေအာင္ေဇယ်(1)လမ္း ဒလ ၿမိဳ႕"/>
        <s v="ဝါးေသာက္"/>
        <s v="ပိႏၷဲကုန္း"/>
        <s v="က်ံဳဒံုးတမန္"/>
        <s v="ေတာထဲကန္ (ခေနာင္)"/>
        <s v="ေတာ္ခရမ္းႀကိီး"/>
        <s v="သခြတ္ပင္"/>
        <s v="ဆားပုဂံ"/>
        <s v="ၿမိဳ႕ကုန္း"/>
        <s v="မရပ္ကုန္း"/>
        <s v="လိႈင္သာယာ"/>
        <s v="ေျမနီကုန္းေက်းရြာ ကမာပါအုပ္စု"/>
        <s v="ဘို႔ဒင္"/>
        <s v="ထန္းမနိုင္"/>
        <s v="ငွက္ႀကီးေတာင္"/>
        <s v="ေတာ္ကူးအေရွ႕"/>
        <s v="ကြမ္းၿခံကုန္း ေတာင္ပိုင္း"/>
        <s v="မဝန္းရြာ"/>
        <s v="ရန္ကုန္ေပါက္"/>
        <s v="ကၽြဲလူးအိုင္"/>
        <s v="ေကာ့ဒြန္း "/>
        <s v="လက္ခုတ္ကုန္း"/>
        <s v="သရက္ေတာ"/>
        <s v="က်ံဳဒရယ္"/>
        <s v="သမင္ၿခံ"/>
        <s v="ေမွာ္ဘီအုပ္စု အဒတ္ရြာ"/>
        <s v="ေရျဖဴတြင္း"/>
        <s v="ေတာ္ေကးေက်းရြုာ"/>
        <s v="စက္ကုန္းေက်းရြာ"/>
        <s v="သခြတ္ပင္ ေက်းရြာ"/>
        <s v="ထန္းမနိုင္ ေက်းရြာ"/>
        <s v="ထန္းမနိုင္ ေက်းရြာ(ေကာ့မွဴးၿမိဳ႕နယ္)"/>
        <s v="စက္ကုန္းေက်းရြာ(ေကာ့မွဴးၿမိဳ႕နယ္)"/>
        <s v="ေျမာက္ေခ်ာင္ေက်းရြာ(ေကာ့မွဴးၿမိဳ႕နယ္)"/>
        <s v="ခရိုကၡနီေက်းရြာ(ေကာ့မွဴးၿမိဳ႕နယ္)"/>
      </sharedItems>
    </cacheField>
    <cacheField name="Customer NRC No." numFmtId="0">
      <sharedItems containsBlank="1"/>
    </cacheField>
    <cacheField name="Birth of date" numFmtId="0">
      <sharedItems containsBlank="1"/>
    </cacheField>
    <cacheField name="Phone No." numFmtId="0">
      <sharedItems containsString="0" containsBlank="1" containsNumber="1" containsInteger="1" minValue="252847193" maxValue="7647431701" count="45">
        <m/>
        <n v="799415809"/>
        <n v="799411302"/>
        <n v="795199746"/>
        <n v="799410475"/>
        <n v="786651600"/>
        <n v="775098077"/>
        <n v="780394495"/>
        <n v="666186309"/>
        <n v="781172255"/>
        <n v="7647431701"/>
        <n v="690850805"/>
        <n v="788673567"/>
        <n v="781315116"/>
        <n v="792245446"/>
        <n v="778979731"/>
        <n v="799419374"/>
        <n v="773125022"/>
        <n v="686190834"/>
        <n v="769226235"/>
        <n v="799406646"/>
        <n v="762017900"/>
        <n v="425741998"/>
        <n v="799419927"/>
        <n v="798813398"/>
        <n v="777070377"/>
        <n v="761034336"/>
        <n v="777893034"/>
        <n v="420024352"/>
        <n v="794360622"/>
        <n v="444512584"/>
        <n v="799406975"/>
        <n v="252847193"/>
        <n v="420195637"/>
        <n v="669117638"/>
        <n v="786284816"/>
        <n v="420306544"/>
        <n v="977180007"/>
        <n v="799416984"/>
        <n v="680125834"/>
        <n v="780119896"/>
        <n v="794361068"/>
        <n v="764922939"/>
        <n v="766995487"/>
        <n v="778578996"/>
      </sharedItems>
    </cacheField>
    <cacheField name="Father Name" numFmtId="0">
      <sharedItems containsBlank="1" count="45">
        <m/>
        <s v="ဦးဝင္းလိႈင္"/>
        <s v="ဦးေသာင္းစိန္"/>
        <s v="ဦးသိန္း"/>
        <s v="ဦးေဌး"/>
        <s v="ဦးျမင့္ေသာင္း"/>
        <s v="ဦးအံ့ၾသ"/>
        <s v="ဦးသိန္းေအာင္"/>
        <s v="ဦးေမာင္အိ"/>
        <s v="ဦးဘဲလူး"/>
        <s v="ဦးသန္းျမင့္"/>
        <s v="ဦးေဌးျမင့္"/>
        <s v="ဦးေအးေက်ာ္"/>
        <s v="ဦးျမင့္စိုး"/>
        <s v="ဦးေအာင္ေမာင္း"/>
        <s v="ဦးသိန္းထြန္း"/>
        <s v="ဦးစိန္ဝင္း"/>
        <s v="ဦးျမသိန္း"/>
        <s v="ဦးထြန္းတင္"/>
        <s v="ဦးရွိန္"/>
        <s v="ဦးဝင္းၿမိဳင္"/>
        <s v="ဦးလွဝင္း"/>
        <s v="ဦးေမာင္စံ"/>
        <s v="ဦးေက်ာ္ျမင့္"/>
        <s v="ဦးလွသိန္း"/>
        <s v="ဦးစိုးေအာင္"/>
        <s v="ဦးတင္ဝင္း"/>
        <s v="ဦးစာနီ"/>
        <s v="ဦးတင္လွ"/>
        <s v="ဦးေသာင္းၾကည္"/>
        <s v="ဦးျမင့္ေရႊ"/>
        <s v="ဦးၾကည္ေဌး"/>
        <s v="ဦးအုန္းျမ"/>
        <s v="ဦးသင္းေမာင္"/>
        <s v="ဦးေက်ာ္ဝင္း"/>
        <s v="ဦးစိုးဝင္း"/>
        <s v="ဦးသိန္းျမင့္"/>
        <s v="ဦးေသာင္းအိ"/>
        <s v="ဦးဝင္းေမာင္"/>
        <s v="ဦးစိန္ညြန္႕"/>
        <s v="ဦးသန္းေရႊ"/>
        <s v="ဦးခင္ေမာင္ေဌး"/>
        <s v="ဦးေဌးေအာင္"/>
        <s v="ဦးျမင့္ရီ"/>
        <s v="ဦးေသာင္းရီ"/>
      </sharedItems>
    </cacheField>
    <cacheField name="ကိုယ္စားလွယ္အမည္" numFmtId="0">
      <sharedItems containsBlank="1" count="42">
        <m/>
        <s v="ဦးဝႀကီး"/>
        <s v="ဦးသိန္းစိုး"/>
        <s v="ဦးစိုးမိုးေထြး"/>
        <s v="ေဒၚတင္ႏြယ္ဦး"/>
        <s v="ဦးခင္ေမာင္"/>
        <s v="ေဒၚလွလွဝင္း"/>
        <s v="ဦးေဇာ္ဝင္းထြန္း"/>
        <s v="ဦးေဇာ္နိုင္ဝင္း"/>
        <s v="ဦးေက်ာ္ေက်ာ္ဦး"/>
        <s v="ဦးေက်ာ္နိုင္ဦး"/>
        <s v="ဦးမ်ိဳးဆက္နိုင္"/>
        <s v="ဦးေစာေအာင္"/>
        <s v="ဦးမိုးေအာင္"/>
        <s v="ကိုရန္ေအာင္"/>
        <s v="ဦးျမင့္သိန္း"/>
        <s v="ကိုေက်ာ္စိုး"/>
        <s v="ေအာင္ကိုသန္း"/>
        <s v="ဦးဝင္ေဇာ္ေဌး"/>
        <s v="ဦးစိုးဝင္း"/>
        <s v="ကိုသစ္လြင္"/>
        <s v="ဦးဖုိးခၽြန္း"/>
        <s v="ဦးေက်ာ္ဇင္"/>
        <s v="ဦးသန္းေထြး"/>
        <s v="ဦးေအာင္ၿဖိဳးလိႈင္"/>
        <s v="ကိုမင္းၾကဴ"/>
        <s v="ကိုစိုးသန္း"/>
        <s v="ဦးသန္းေဇာ္"/>
        <s v="ဦးသိန္းတိုး"/>
        <s v="ကိုခ်မ္းလင္းေအာင္"/>
        <s v="ဦးေအာင္ေဇာ္ဦး"/>
        <s v="ကိုတင္လွ"/>
        <s v="ဦးေဇာ္ထြန္း"/>
        <s v="ဦးဆန္းညြန္႔"/>
        <s v="ဦးေအာင္သူထိုက္"/>
        <s v="ဦးမ်ိဴးကို"/>
        <s v="ဦးတင္လင္း"/>
        <s v="ဦးဝင္းေဇာ္"/>
        <s v="ကိုရဲဝင္းေအာင္"/>
        <s v="ကိုမ်ိဳးလြင္"/>
        <s v="ကိုဝင္းနိုင္"/>
        <s v="ကိုမ်ိဳးမင္းလြင္"/>
      </sharedItems>
    </cacheField>
    <cacheField name="ကိုယ္စာလွယ္ဖုန္းနံပါတ္" numFmtId="0">
      <sharedItems containsString="0" containsBlank="1" containsNumber="1" containsInteger="1" minValue="261691147" maxValue="975558566" count="26">
        <m/>
        <n v="771253084"/>
        <n v="792245446"/>
        <n v="975558566"/>
        <n v="799409605"/>
        <n v="451042452"/>
        <n v="448005725"/>
        <n v="758527366"/>
        <n v="958842972"/>
        <n v="799415864"/>
        <n v="778927454"/>
        <n v="775119243"/>
        <n v="420270964"/>
        <n v="769330211"/>
        <n v="261691147"/>
        <n v="791703991"/>
        <n v="799406975"/>
        <n v="673647161"/>
        <n v="796828361"/>
        <n v="264587869"/>
        <n v="664655245"/>
        <n v="796939764"/>
        <n v="650679068"/>
        <n v="775115282"/>
        <n v="778978045"/>
        <n v="778578996"/>
      </sharedItems>
    </cacheField>
    <cacheField name="Co Name" numFmtId="0">
      <sharedItems containsBlank="1" count="2">
        <m/>
        <s v="GBS"/>
      </sharedItems>
    </cacheField>
    <cacheField name="Product Name" numFmtId="0">
      <sharedItems count="39">
        <s v="Dongben 175cc"/>
        <s v="Dongben 300cc 8'"/>
        <s v="Dongben 250cc 7'"/>
        <s v="Xunling 200CC"/>
        <s v="Dongben  150CC"/>
        <s v="Tricycle Dong Ben 250CC (8 feet)"/>
        <s v="Tricycle Do+I8:N8ng Ben 250CC (8 feet)"/>
        <s v="Tricycle Dong Ben 175CC "/>
        <s v="Tricycle Dong Ben 300CC (8 feet)"/>
        <s v="Tricycle Xunling    150CC "/>
        <s v="Tricycle Dong Ben 150CC"/>
        <s v="Dong Ben Tricycle : DB175ZH-175CC  F No- L6XHBL1C4L0000174"/>
        <s v="Dong Ben 150CC (Orange) Tricycle  F-N0, L6XHBK1C4L0000041"/>
        <s v="Dong Ben Tricycle : 250ZH-250CC(8Feet)  F No-L6XHBN1C7L0000181"/>
        <s v="Xunling 175CC  Tricycle (Green) L6XBL1C5L0000166"/>
        <s v="Dong Ben Tricycle : 300ZH-300CC(8Feet)  F No-L6XHBR1C9L0000416"/>
        <s v="Dong Ben Tricycle : 300ZH-300CC(8Feet)  F No-L6XHBR1C8L000424"/>
        <s v="Dong Ben Tricycle : DB175ZH-175CC  F No- L6XHHBLIC0L0000205"/>
        <s v="Dong Ben Tricycle : 300ZH-300CC(8Feet)  F No-L6XHBR1C5L000429"/>
        <s v="Dong Ben Tricycle : 300ZH-300CC(8Feet)  F No-L6XHBR1C5L000428"/>
        <s v="Dong Ben Tricycle : DB175ZH-175CC  F No- L6XHHBLIC6L0000225"/>
        <s v="Dong Ben Tricycle : 300ZH-300CC(8Feet)  F No-L6XHBR1C5L000476"/>
        <s v="Dong Ben 150CC (Orange) Tricycle  F-N0, L6XHBK1C2L0000099"/>
        <s v="Dong Ben Tricycle : 300ZH-300CC(8Feet)  F No-L6XHBR1C1L000100"/>
        <s v="Dong Ben 150CC (Orange) Tricycle  F-N0, L6XHBK1C0L0000053"/>
        <s v="Dong Ben Tricycle : 300ZH-300CC(8Feet)  F No-L6XHBR1C8L001024"/>
        <s v="Dong Ben Tricycle : 300ZH-300CC(8Feet)  F No-L6XHBR1C5L001109"/>
        <s v="Dong Ben Tricycle : 300ZH-300CC(8Feet)  F No-L6XHBR1C5L001112"/>
        <s v="Xunling 150CC  Tricycle (Red) L6XBK1C6L0000090"/>
        <s v="Dong Ben Tricycle : 300ZH-300CC(8Feet)  F No-L6XHBR1CXL001106"/>
        <s v="Dong Ben Tricycle : 300ZH-300CC(8Feet)  F No-L6XHBR1C0L001067"/>
        <s v="Dong Ben Tricycle : 300ZH-300CC(8Feet)  F No-L6XHBR1C0L001050"/>
        <s v="Dong Ben Tricycle : 300ZH-300CC(8Feet)  F No-L6XHBR1C8L001119"/>
        <s v="Dong Ben Tricycle : 300ZH-300CC(8Feet)  F No-L6XHBR1C6L001121"/>
        <s v="Dong Ben Tricycle : 300ZH-300CC(8Feet)  F No-L6XHBR1C1L001096"/>
        <s v="Dong Ben Tricycle : 300ZH-300CC(8Feet)  F No-L6XHBR1C2L001097"/>
        <s v="Dong Ben Tricycle : 300ZH-300CC(8Feet)  F No-L6XHBR1C1L001088"/>
        <s v="Dong Ben Tricycle : 300ZH-300CC(8Feet)  F No-L6XHBR1C5L001093"/>
        <s v="Dong Ben Tricycle : 300ZH-300CC(8Feet)  F No-L6XHBR1C4L001098_x000a_"/>
      </sharedItems>
    </cacheField>
    <cacheField name="Checel No." numFmtId="0">
      <sharedItems containsBlank="1" containsMixedTypes="1" containsNumber="1" containsInteger="1" minValue="100160000008745" maxValue="100160000008788"/>
    </cacheField>
    <cacheField name="Colour" numFmtId="0">
      <sharedItems containsBlank="1"/>
    </cacheField>
    <cacheField name="Power" numFmtId="0">
      <sharedItems containsBlank="1" containsMixedTypes="1" containsNumber="1" containsInteger="1" minValue="191" maxValue="1116"/>
    </cacheField>
    <cacheField name="Qty" numFmtId="0">
      <sharedItems containsSemiMixedTypes="0" containsString="0" containsNumber="1" containsInteger="1" minValue="1" maxValue="1"/>
    </cacheField>
    <cacheField name="Total Amount" numFmtId="164">
      <sharedItems containsMixedTypes="1" containsNumber="1" containsInteger="1" minValue="2232750" maxValue="3290000"/>
    </cacheField>
    <cacheField name="Charges %" numFmtId="9">
      <sharedItems containsSemiMixedTypes="0" containsString="0" containsNumber="1" minValue="0.01" maxValue="0.01"/>
    </cacheField>
    <cacheField name="Interest %" numFmtId="9">
      <sharedItems containsString="0" containsBlank="1" containsNumber="1" minValue="0.1" maxValue="0.11"/>
    </cacheField>
    <cacheField name="Column1" numFmtId="9">
      <sharedItems containsString="0" containsBlank="1" containsNumber="1" minValue="0.1" maxValue="0.1"/>
    </cacheField>
    <cacheField name="စာရြက္စာတမ္းေၾကး" numFmtId="0">
      <sharedItems containsString="0" containsBlank="1" containsNumber="1" minValue="0.4" maxValue="0.4"/>
    </cacheField>
    <cacheField name="D/ P %" numFmtId="9">
      <sharedItems containsSemiMixedTypes="0" containsString="0" containsNumber="1" minValue="0.4" maxValue="0.6"/>
    </cacheField>
    <cacheField name="B/ L %" numFmtId="0">
      <sharedItems containsSemiMixedTypes="0" containsString="0" containsNumber="1" minValue="0.6" maxValue="197940.82191780821"/>
    </cacheField>
    <cacheField name="Down Payment" numFmtId="0">
      <sharedItems containsMixedTypes="1" containsNumber="1" minValue="1049392.5" maxValue="1566040"/>
    </cacheField>
    <cacheField name="Down Payment ေပးေငြ" numFmtId="164">
      <sharedItems containsMixedTypes="1" containsNumber="1" minValue="1049392.5" maxValue="1974000"/>
    </cacheField>
    <cacheField name="Down Payment က်န္ေငြ " numFmtId="0">
      <sharedItems containsString="0" containsBlank="1" containsNumber="1" containsInteger="1" minValue="0" maxValue="0"/>
    </cacheField>
    <cacheField name="Down Payment က်န္ေငြ Date" numFmtId="0">
      <sharedItems containsString="0" containsBlank="1" containsNumber="1" minValue="0.3" maxValue="0.3"/>
    </cacheField>
    <cacheField name="က်န္ေငြ စုစုေပါင္း" numFmtId="0">
      <sharedItems containsDate="1" containsMixedTypes="1" minDate="2020-07-13T00:00:00" maxDate="1900-01-01T07:03:05"/>
    </cacheField>
    <cacheField name="ေပးဆပ္ရမည့္ အရစ္" numFmtId="0">
      <sharedItems containsString="0" containsBlank="1" containsNumber="1" containsInteger="1" minValue="199000" maxValue="945000"/>
    </cacheField>
    <cacheField name="(1) Time %" numFmtId="0">
      <sharedItems containsMixedTypes="1" containsNumber="1" minValue="0.3" maxValue="0.3"/>
    </cacheField>
    <cacheField name="First Date" numFmtId="14">
      <sharedItems containsSemiMixedTypes="0" containsNonDate="0" containsDate="1" containsString="0" minDate="2020-06-06T00:00:00" maxDate="2021-07-01T00:00:00" count="48">
        <d v="2020-06-06T00:00:00"/>
        <d v="2020-07-15T00:00:00"/>
        <d v="2020-07-24T00:00:00"/>
        <d v="2020-06-16T00:00:00"/>
        <d v="2020-07-27T00:00:00"/>
        <d v="2020-07-28T00:00:00"/>
        <d v="2020-07-29T00:00:00"/>
        <d v="2020-07-30T00:00:00"/>
        <d v="2020-09-14T00:00:00"/>
        <d v="2020-11-20T00:00:00"/>
        <d v="2020-11-23T00:00:00"/>
        <d v="2020-11-30T00:00:00"/>
        <d v="2020-12-04T00:00:00"/>
        <d v="2020-12-09T00:00:00"/>
        <d v="2020-12-10T00:00:00"/>
        <d v="2020-12-24T00:00:00"/>
        <d v="2021-01-15T00:00:00"/>
        <d v="2021-01-16T00:00:00"/>
        <d v="2021-01-25T00:00:00"/>
        <d v="2021-02-11T00:00:00"/>
        <d v="2021-02-16T00:00:00"/>
        <d v="2021-02-23T00:00:00"/>
        <d v="2021-03-05T00:00:00"/>
        <d v="2021-03-09T00:00:00"/>
        <d v="2021-03-13T00:00:00"/>
        <d v="2021-03-30T00:00:00"/>
        <d v="2021-04-27T00:00:00"/>
        <d v="2021-04-29T00:00:00"/>
        <d v="2021-05-01T00:00:00"/>
        <d v="2021-05-17T00:00:00"/>
        <d v="2021-05-18T00:00:00"/>
        <d v="2021-05-20T00:00:00"/>
        <d v="2021-05-22T00:00:00"/>
        <d v="2021-05-27T00:00:00"/>
        <d v="2021-05-30T00:00:00"/>
        <d v="2021-06-04T00:00:00"/>
        <d v="2021-06-05T00:00:00"/>
        <d v="2021-06-09T00:00:00"/>
        <d v="2021-06-10T00:00:00"/>
        <d v="2021-06-13T00:00:00"/>
        <d v="2021-06-15T00:00:00"/>
        <d v="2021-06-16T00:00:00"/>
        <d v="2021-06-19T00:00:00"/>
        <d v="2021-06-20T00:00:00"/>
        <d v="2021-06-23T00:00:00"/>
        <d v="2021-06-27T00:00:00"/>
        <d v="2021-06-29T00:00:00"/>
        <d v="2021-06-30T00:00:00"/>
      </sharedItems>
      <fieldGroup par="37" base="30">
        <rangePr groupBy="months" startDate="2020-06-06T00:00:00" endDate="2021-07-01T00:00:00"/>
        <groupItems count="14">
          <s v="&lt;6/6/2020"/>
          <s v="Jan"/>
          <s v="Feb"/>
          <s v="Mar"/>
          <s v="Apr"/>
          <s v="May"/>
          <s v="Jun"/>
          <s v="Jul"/>
          <s v="Aug"/>
          <s v="Sep"/>
          <s v="Oct"/>
          <s v="Nov"/>
          <s v="Dec"/>
          <s v="&gt;7/1/2021"/>
        </groupItems>
      </fieldGroup>
    </cacheField>
    <cacheField name="First Amount" numFmtId="164">
      <sharedItems containsMixedTypes="1" containsNumber="1" containsInteger="1" minValue="545000" maxValue="987000"/>
    </cacheField>
    <cacheField name="(2) Time %" numFmtId="9">
      <sharedItems containsSemiMixedTypes="0" containsString="0" containsNumber="1" minValue="0.3" maxValue="0.3"/>
    </cacheField>
    <cacheField name="Second  Date" numFmtId="14">
      <sharedItems containsSemiMixedTypes="0" containsNonDate="0" containsDate="1" containsString="0" minDate="2021-01-13T00:00:00" maxDate="2021-12-31T00:00:00" count="41">
        <d v="2021-01-13T00:00:00"/>
        <d v="2021-02-26T00:00:00"/>
        <d v="2021-05-20T00:00:00"/>
        <d v="2021-05-23T00:00:00"/>
        <d v="2021-05-30T00:00:00"/>
        <d v="2021-06-04T00:00:00"/>
        <d v="2021-06-09T00:00:00"/>
        <d v="2021-06-10T00:00:00"/>
        <d v="2021-06-24T00:00:00"/>
        <d v="2021-07-15T00:00:00"/>
        <d v="2021-07-16T00:00:00"/>
        <d v="2021-07-25T00:00:00"/>
        <d v="2021-08-11T00:00:00"/>
        <d v="2021-08-16T00:00:00"/>
        <d v="2021-08-23T00:00:00"/>
        <d v="2021-09-05T00:00:00"/>
        <d v="2021-09-09T00:00:00"/>
        <d v="2021-09-13T00:00:00"/>
        <d v="2021-09-30T00:00:00"/>
        <d v="2021-10-27T00:00:00"/>
        <d v="2021-10-29T00:00:00"/>
        <d v="2021-11-01T00:00:00"/>
        <d v="2021-11-17T00:00:00"/>
        <d v="2021-11-18T00:00:00"/>
        <d v="2021-11-20T00:00:00"/>
        <d v="2021-11-22T00:00:00"/>
        <d v="2021-11-27T00:00:00"/>
        <d v="2021-11-30T00:00:00"/>
        <d v="2021-12-04T00:00:00"/>
        <d v="2021-12-05T00:00:00"/>
        <d v="2021-12-09T00:00:00"/>
        <d v="2021-12-10T00:00:00"/>
        <d v="2021-12-13T00:00:00"/>
        <d v="2021-12-15T00:00:00"/>
        <d v="2021-12-16T00:00:00"/>
        <d v="2021-12-19T00:00:00"/>
        <d v="2021-12-20T00:00:00"/>
        <d v="2021-12-23T00:00:00"/>
        <d v="2021-12-27T00:00:00"/>
        <d v="2021-12-29T00:00:00"/>
        <d v="2021-12-30T00:00:00"/>
      </sharedItems>
    </cacheField>
    <cacheField name="Second Amount" numFmtId="164">
      <sharedItems containsMixedTypes="1" containsNumber="1" containsInteger="1" minValue="669825" maxValue="987000"/>
    </cacheField>
    <cacheField name="Months" numFmtId="0" databaseField="0">
      <fieldGroup base="1">
        <rangePr groupBy="months" startDate="2020-01-13T00:00:00" endDate="2020-12-31T00:00:00"/>
        <groupItems count="14">
          <s v="&lt;1/13/2020"/>
          <s v="Jan"/>
          <s v="Feb"/>
          <s v="Mar"/>
          <s v="Apr"/>
          <s v="May"/>
          <s v="Jun"/>
          <s v="Jul"/>
          <s v="Aug"/>
          <s v="Sep"/>
          <s v="Oct"/>
          <s v="Nov"/>
          <s v="Dec"/>
          <s v="&gt;12/31/2020"/>
        </groupItems>
      </fieldGroup>
    </cacheField>
    <cacheField name="Quarters" numFmtId="0" databaseField="0">
      <fieldGroup base="30">
        <rangePr groupBy="quarters" startDate="2020-06-06T00:00:00" endDate="2021-07-01T00:00:00"/>
        <groupItems count="6">
          <s v="&lt;6/6/2020"/>
          <s v="Qtr1"/>
          <s v="Qtr2"/>
          <s v="Qtr3"/>
          <s v="Qtr4"/>
          <s v="&gt;7/1/2021"/>
        </groupItems>
      </fieldGroup>
    </cacheField>
    <cacheField name="Years" numFmtId="0" databaseField="0">
      <fieldGroup base="30">
        <rangePr groupBy="years" startDate="2020-06-06T00:00:00" endDate="2021-07-01T00:00:00"/>
        <groupItems count="4">
          <s v="&lt;6/6/2020"/>
          <s v="2020"/>
          <s v="2021"/>
          <s v="&gt;7/1/2021"/>
        </groupItems>
      </fieldGroup>
    </cacheField>
  </cacheFields>
  <extLst>
    <ext xmlns:x14="http://schemas.microsoft.com/office/spreadsheetml/2009/9/main" uri="{725AE2AE-9491-48be-B2B4-4EB974FC3084}">
      <x14:pivotCacheDefinition pivotCacheId="498476817"/>
    </ext>
  </extLst>
</pivotCacheDefinition>
</file>

<file path=xl/pivotCache/pivotCacheDefinition2.xml><?xml version="1.0" encoding="utf-8"?>
<pivotCacheDefinition xmlns="http://schemas.openxmlformats.org/spreadsheetml/2006/main" xmlns:r="http://schemas.openxmlformats.org/officeDocument/2006/relationships" r:id="rId1" refreshedBy="DELL" refreshedDate="44289.416226851848" createdVersion="6" refreshedVersion="6" minRefreshableVersion="3" recordCount="58">
  <cacheSource type="worksheet">
    <worksheetSource ref="A1:AK59" sheet="GBS 40% 2020+2021"/>
  </cacheSource>
  <cacheFields count="39">
    <cacheField name="No." numFmtId="0">
      <sharedItems containsSemiMixedTypes="0" containsString="0" containsNumber="1" containsInteger="1" minValue="1" maxValue="77"/>
    </cacheField>
    <cacheField name="Date" numFmtId="177">
      <sharedItems containsSemiMixedTypes="0" containsNonDate="0" containsDate="1" containsString="0" minDate="2020-05-20T00:00:00" maxDate="2021-02-05T00:00:00" count="48">
        <d v="2020-05-20T00:00:00"/>
        <d v="2020-05-23T00:00:00"/>
        <d v="2020-05-30T00:00:00"/>
        <d v="2020-06-04T00:00:00"/>
        <d v="2020-06-09T00:00:00"/>
        <d v="2020-06-10T00:00:00"/>
        <d v="2020-06-24T00:00:00"/>
        <d v="2020-07-15T00:00:00"/>
        <d v="2020-07-16T00:00:00"/>
        <d v="2020-07-25T00:00:00"/>
        <d v="2020-08-11T00:00:00"/>
        <d v="2020-08-16T00:00:00"/>
        <d v="2020-08-23T00:00:00"/>
        <d v="2020-09-05T00:00:00"/>
        <d v="2020-09-09T00:00:00"/>
        <d v="2020-09-13T00:00:00"/>
        <d v="2020-09-30T00:00:00"/>
        <d v="2020-10-27T00:00:00"/>
        <d v="2020-10-29T00:00:00"/>
        <d v="2020-11-01T00:00:00"/>
        <d v="2020-11-17T00:00:00"/>
        <d v="2020-11-18T00:00:00"/>
        <d v="2020-11-20T00:00:00"/>
        <d v="2020-11-22T00:00:00"/>
        <d v="2020-11-27T00:00:00"/>
        <d v="2020-11-30T00:00:00"/>
        <d v="2020-12-04T00:00:00"/>
        <d v="2020-12-05T00:00:00"/>
        <d v="2020-12-09T00:00:00"/>
        <d v="2020-12-10T00:00:00"/>
        <d v="2020-12-13T00:00:00"/>
        <d v="2020-12-15T00:00:00"/>
        <d v="2020-12-16T00:00:00"/>
        <d v="2020-12-19T00:00:00"/>
        <d v="2020-12-20T00:00:00"/>
        <d v="2020-12-23T00:00:00"/>
        <d v="2020-12-27T00:00:00"/>
        <d v="2020-12-29T00:00:00"/>
        <d v="2020-12-30T00:00:00"/>
        <d v="2021-01-05T00:00:00"/>
        <d v="2021-01-06T00:00:00"/>
        <d v="2021-01-09T00:00:00"/>
        <d v="2021-01-10T00:00:00"/>
        <d v="2021-01-13T00:00:00"/>
        <d v="2021-01-21T00:00:00"/>
        <d v="2021-01-25T00:00:00"/>
        <d v="2021-01-30T00:00:00"/>
        <d v="2021-02-04T00:00:00"/>
      </sharedItems>
    </cacheField>
    <cacheField name="Name" numFmtId="0">
      <sharedItems count="59">
        <s v="ကိုေအာင္မိုးသူ"/>
        <s v="ဦးေသာင္းထိုက္"/>
        <s v="ဦးဝင္းသန္း"/>
        <s v="ဦးကိုင္ဇာေဌး"/>
        <s v="ဦးမ်ိဳးေဇာ္ဦး"/>
        <s v="ဦးတင္ေမာင္ေဆြ"/>
        <s v="ဦးေဇာ္လင္းဦး"/>
        <s v="ဦးေမာင္နိုင္"/>
        <s v="ဦးခ်န္ဒရာေဆးဂဲ"/>
        <s v="ဦးလွဦး"/>
        <s v="ဦးနိုင္ဝင္းထြန္း"/>
        <s v="ဦးေက်ာ္စိုးဝင္း"/>
        <s v="ဦးမ်ိဳးမင္းေအာင္"/>
        <s v="ကိုျပည့္မ်ိဳးေအာင္"/>
        <s v="ေဒၚသဂီ ၤထြန္း"/>
        <s v="ဦးထြန္းနိုင္"/>
        <s v="ဦးတင္စိန္"/>
        <s v="ေဒၚသက္သက္ဝင္း"/>
        <s v="ဦးေထြးေအာင္"/>
        <s v="ဦးစည္သူ"/>
        <s v="ကိုရဲနိုင္"/>
        <s v="ေဒၚဝင္းဝင္းေဌး"/>
        <s v="ကိုရဲလင္းေအာင္ "/>
        <s v="ကိုဝင္းၾကည္"/>
        <s v="ေဒၚခင္ၿပံဳးမူ"/>
        <s v="ကိုမင္းသူစိုး "/>
        <s v="ကိုေဇာ္ရဲေအာင္"/>
        <s v="ဦးဝင္းျမင့္"/>
        <s v="ကိုလွေဌး"/>
        <s v="ဦးရဲဝင္းထြန္း"/>
        <s v="ဦးေဇာ္ဝိတ္"/>
        <s v="ကိုေသာ္ဇင္ၿဖိဳး "/>
        <s v="ဦးခင္ေမာင္သန္း"/>
        <s v="ဦးတင္ဝင္း"/>
        <s v="ဦးခိုင္စြာဝင္း"/>
        <s v="ကိုေအာင္သူ"/>
        <s v="ဦးစံဦး"/>
        <s v="ဦးမင္းေအာင္"/>
        <s v="ဦးေဇာ္ထိုက္"/>
        <s v="ကိုခ်မ္းမင္းနိုင္"/>
        <s v="ေဒၚသီသီခိုင္"/>
        <s v="ကိုဝင္းကိုနိုင္"/>
        <s v="ကိုျမင့္သိန္း"/>
        <s v="ကိုေဇာ္မ်ိဳးနိုင္"/>
        <s v="ကိုျမင့္လြင္"/>
        <s v="ဦးခင္ဝင္း"/>
        <s v="ကိုထြန္းထြန္းဝင္း"/>
        <s v="ကိုေနစိုးဦး"/>
        <s v="ကိုညီညီ"/>
        <s v="ဦးကိုမင္း"/>
        <s v="ဦးေမာ္သိန္း"/>
        <s v="ဦးျမင့္ေအာင္"/>
        <s v="ဦးတင္ေထြး"/>
        <s v="ကိုရဲဝင္းေအာင္"/>
        <s v="ကိုဇင္မင္းထြန္း"/>
        <s v="ဦးရီမိိိုး"/>
        <s v="ကိုေအာင္ကိုဆန္း"/>
        <s v="မေဒၚလာ"/>
        <s v="ဦ;ထြန္းနိုင္" u="1"/>
      </sharedItems>
    </cacheField>
    <cacheField name="Address" numFmtId="0">
      <sharedItems count="47">
        <s v="ဝါးေသာက္"/>
        <s v="ဇလုပ္ႀကီး"/>
        <s v="ေအာင္ေဇယ်(1)လမ္း ဒလ ၿမိဳ႕"/>
        <s v="ပိႏၷဲကုန္း"/>
        <s v="က်ံဳဒံုးတမန္"/>
        <s v="ေတာထဲကန္ (ခေနာင္)"/>
        <s v="ေတာ္ခရမ္းႀကိီး"/>
        <s v="သခြတ္ပင္"/>
        <s v="ဆားပုဂံ"/>
        <s v="ၿမိဳ႕ကုန္း"/>
        <s v="မရပ္ကုန္း"/>
        <s v="လိႈင္သာယာ"/>
        <s v="ေျမနီကုန္းေက်းရြာ ကမာပါအုပ္စု"/>
        <s v="ဘို႔ဒင္"/>
        <s v="ထန္းမနိုင္"/>
        <s v="ငွက္ႀကီးေတာင္"/>
        <s v="ေတာ္ကူးအေရွ႕"/>
        <s v="ကြမ္းၿခံကုန္း ေတာင္ပိုင္း"/>
        <s v="မဝန္းရြာ"/>
        <s v="ရန္ကုန္ေပါက္"/>
        <s v="ကၽြဲလူးအိုင္"/>
        <s v="ေကာ့ဒြန္း "/>
        <s v="လက္ခုတ္ကုန္း"/>
        <s v="သရက္ေတာ"/>
        <s v="က်ံဳဒရယ္"/>
        <s v="သမင္ၿခံ"/>
        <s v="ေမွာ္ဘီအုပ္စု အဒတ္ရြာ"/>
        <s v="ေရျဖဴတြင္း"/>
        <s v="ေတာ္ေကးေက်းရြုာ"/>
        <s v="စက္ကုန္းေက်းရြာ"/>
        <s v="သခြတ္ပင္ ေက်းရြာ"/>
        <s v="ထန္းမနိုင္ ေက်းရြာ"/>
        <s v="ထန္းမနိုင္ ေက်းရြာ(ေကာ့မွဴးၿမိဳ႕နယ္)"/>
        <s v="စက္ကုန္းေက်းရြာ(ေကာ့မွဴးၿမိဳ႕နယ္)"/>
        <s v="ေျမာက္ေခ်ာင္ေက်းရြာ(ေကာ့မွဴးၿမိဳ႕နယ္)"/>
        <s v="ခရိုကၡနီေက်းရြာ(ေကာ့မွဴးၿမိဳ႕နယ္)"/>
        <s v="အဂၤလုံုး ေက်းရြာ (ကြမ္းၿခံကုန္းၿမိဳ႕နယ္)"/>
        <s v="ထန္းမနိုင္ ေက်းရြာ (ေကာ့မွဴးၿမိဳ႕နယ္)"/>
        <s v="လက္ခုတ္ကုန္းေက်းရြာ (ကြမ္းၿခံကုန္းၿမိဳ႕နယ္)"/>
        <s v="ေကာ့ဒြန္း ေက်းရြာ (ကြမ္းၿခံကုန္းၿမိဳ႕နယ္)"/>
        <s v="ဝါးေကာက္ေတာ (ကြမ္းၿခံကုန္းၿမိဳ႕နယ္)"/>
        <s v="သမၻာန္ေခ်ာင္းေက်းရြာ(ဒလၿမိဳ႕နယ္)"/>
        <s v="ဝါးဘေလာက္ေသာက္ရြာ (ေကာ့မွဴးၿမိဳ႕နယ္)"/>
        <s v="ထန္းမနိုင္ေက်းရြား (ေကာ့မွဴးၿမိဳ႕နယ္)"/>
        <s v="ေတာ္ကမယ္ေက်းရြာ (ေဒးဒရဲၿမိဳ႕နယ္)"/>
        <s v="စပါယ္(2)လမ္း (ကြမ္းၿခံကုန္းၿမိဳ႕)ကြမ္းၿခံကုန္းၿမိဳ႕နယ္"/>
        <s v="ဘို႕ဒင္ေက်းရြာ (ေကာ့မွဴးၿမိဳ႕နယ္)"/>
      </sharedItems>
    </cacheField>
    <cacheField name="Customer NRC No." numFmtId="0">
      <sharedItems containsBlank="1"/>
    </cacheField>
    <cacheField name="Birth of date" numFmtId="0">
      <sharedItems containsBlank="1"/>
    </cacheField>
    <cacheField name="Phone No." numFmtId="174">
      <sharedItems containsString="0" containsBlank="1" containsNumber="1" containsInteger="1" minValue="252847193" maxValue="977180007" count="58">
        <n v="799415809"/>
        <n v="799411302"/>
        <n v="795199746"/>
        <m/>
        <n v="799410475"/>
        <n v="786651600"/>
        <n v="775098077"/>
        <n v="780394495"/>
        <n v="666186309"/>
        <n v="781172255"/>
        <n v="647431701"/>
        <n v="690850805"/>
        <n v="788673567"/>
        <n v="781315116"/>
        <n v="792245446"/>
        <n v="778979731"/>
        <n v="799419374"/>
        <n v="773125022"/>
        <n v="686190834"/>
        <n v="769226235"/>
        <n v="799406646"/>
        <n v="762017900"/>
        <n v="425741998"/>
        <n v="799419927"/>
        <n v="798813398"/>
        <n v="777070377"/>
        <n v="761034336"/>
        <n v="777893034"/>
        <n v="420024352"/>
        <n v="794360622"/>
        <n v="444512584"/>
        <n v="799406975"/>
        <n v="252847193"/>
        <n v="420195637"/>
        <n v="669117638"/>
        <n v="786284816"/>
        <n v="420306544"/>
        <n v="977180007"/>
        <n v="799416984"/>
        <n v="680125834"/>
        <n v="780119896"/>
        <n v="794361068"/>
        <n v="764922939"/>
        <n v="766995487"/>
        <n v="778578996"/>
        <n v="786417092"/>
        <n v="785585664"/>
        <n v="452466579"/>
        <n v="769315275"/>
        <n v="766995752"/>
        <n v="441577318"/>
        <n v="667256904"/>
        <n v="796152215"/>
        <n v="691037523"/>
        <n v="763556883"/>
        <n v="780248655"/>
        <n v="773294155"/>
        <n v="660470701"/>
      </sharedItems>
    </cacheField>
    <cacheField name="Father Name" numFmtId="0">
      <sharedItems/>
    </cacheField>
    <cacheField name="KSL" numFmtId="0">
      <sharedItems containsBlank="1"/>
    </cacheField>
    <cacheField name="KSL Ph" numFmtId="174">
      <sharedItems containsString="0" containsBlank="1" containsNumber="1" containsInteger="1" minValue="261691147" maxValue="975558566"/>
    </cacheField>
    <cacheField name="Co Name" numFmtId="174">
      <sharedItems count="1">
        <s v="GBS"/>
      </sharedItems>
    </cacheField>
    <cacheField name="Product Name" numFmtId="0">
      <sharedItems count="47">
        <s v="Tricycle Dong Ben 250CC (8 feet)"/>
        <s v="Tricycle Do+I8:N8ng Ben 250CC (8 feet)"/>
        <s v="Tricycle Dong Ben 175CC "/>
        <s v="Tricycle Dong Ben 300CC (8 feet)"/>
        <s v="Tricycle Xunling    150CC "/>
        <s v="Tricycle Dong Ben 150CC"/>
        <s v="Dong Ben Tricycle : DB175ZH-175CC  F No- L6XHBL1C4L0000174"/>
        <s v="Dong Ben 150CC (Orange) Tricycle  F-N0, L6XHBK1C4L0000041"/>
        <s v="Dong Ben Tricycle : 250ZH-250CC(8Feet)  F No-L6XHBN1C7L0000181"/>
        <s v="Xunling 175CC  Tricycle (Green) L6XBL1C5L0000166"/>
        <s v="Dong Ben Tricycle : 300ZH-300CC(8Feet)  F No-L6XHBR1C9L0000416"/>
        <s v="Dong Ben Tricycle : 300ZH-300CC(8Feet)  F No-L6XHBR1C8L000424"/>
        <s v="Dong Ben Tricycle : DB175ZH-175CC  F No- L6XHHBLIC0L0000205"/>
        <s v="Dong Ben Tricycle : 300ZH-300CC(8Feet)  F No-L6XHBR1C5L000429"/>
        <s v="Dong Ben Tricycle : 300ZH-300CC(8Feet)  F No-L6XHBR1C5L000428"/>
        <s v="Dong Ben Tricycle : DB175ZH-175CC  F No- L6XHHBLIC6L0000225"/>
        <s v="Dong Ben Tricycle : 300ZH-300CC(8Feet)  F No-L6XHBR1C5L000476"/>
        <s v="Dong Ben 150CC (Orange) Tricycle  F-N0, L6XHBK1C2L0000099"/>
        <s v="Dong Ben Tricycle : 300ZH-300CC(8Feet)  F No-L6XHBR1C1L000100"/>
        <s v="Dong Ben 150CC (Orange) Tricycle  F-N0, L6XHBK1C0L0000053"/>
        <s v="Dong Ben Tricycle : 300ZH-300CC(8Feet)  F No-L6XHBR1C8L001024"/>
        <s v="Dong Ben Tricycle : 300ZH-300CC(8Feet)  F No-L6XHBR1C5L001109"/>
        <s v="Dong Ben Tricycle : 300ZH-300CC(8Feet)  F No-L6XHBR1C5L001112"/>
        <s v="Xunling 150CC  Tricycle (Red) L6XBK1C6L0000090"/>
        <s v="Dong Ben Tricycle : 300ZH-300CC(8Feet)  F No-L6XHBR1CXL001106"/>
        <s v="Dong Ben Tricycle : 300ZH-300CC(8Feet)  F No-L6XHBR1C0L001067"/>
        <s v="Dong Ben Tricycle : 300ZH-300CC(8Feet)  F No-L6XHBR1C0L001050"/>
        <s v="Dong Ben Tricycle : 300ZH-300CC(8Feet)  F No-L6XHBR1C8L001119"/>
        <s v="Dong Ben Tricycle : 300ZH-300CC(8Feet)  F No-L6XHBR1C6L001121"/>
        <s v="Dong Ben Tricycle : 300ZH-300CC(8Feet)  F No-L6XHBR1C1L001096"/>
        <s v="Dong Ben Tricycle : 300ZH-300CC(8Feet)  F No-L6XHBR1C2L001097"/>
        <s v="Dong Ben Tricycle : 300ZH-300CC(8Feet)  F No-L6XHBR1C1L001088"/>
        <s v="Dong Ben Tricycle : 300ZH-300CC(8Feet)  F No-L6XHBR1C5L001093"/>
        <s v="Dong Ben Tricycle : 300ZH-300CC(8Feet)  F No-L6XHBR1C4L001098_x000a_"/>
        <s v="Dong Ben Tricycle : 300ZH-300CC(8Feet)  F No-L6XHBR1C9L001131"/>
        <s v="Dong Ben   Tricycle 175CC   L6XBL1C7L0000265"/>
        <s v="Dong Ben   Tricycle 175CC   L6XBL1C6L0000287"/>
        <s v="JN ကိုင္းအစံု Tube Type +ထြန္ခံု 18 သြား+အင္ဂ်င္ ZS1110CC"/>
        <s v="Xunling 150CC  Tricycle (Red) L6XBK1CXL0000156"/>
        <s v="Dong Ben Tricycle : 300ZH-300CC(8Feet)  F No-L6XHBR1C8L001038"/>
        <s v="Dong Ben Tricycle : 300ZH-300CC(8Feet)  F No-L6XHBR1C2L001228"/>
        <s v="Dong Ben Tricycle : DB175ZH-175CC  F No- L6XHHBLICXL0000275"/>
        <s v="Dong Ben Tricycle : 300ZH-300CC(8Feet)  F No-L6XHBR1C0L0001308"/>
        <s v="Xunling 250CC(8Feet)  Double (Red) L6XHBN1C6L0000351"/>
        <s v="Dong Ben Tricycle : DB175ZH-175CC  F No- L6XHHBLIC9L0000266"/>
        <s v="Dong Ben Tricycle : 300ZH-300CC(8Feet)  F No-L6XHBR1C2L0001360"/>
        <s v="Dong Ben Tricycle : DB175ZH-175CC  F No- L6XHHBLICXL0000342"/>
      </sharedItems>
    </cacheField>
    <cacheField name="Checel No." numFmtId="0">
      <sharedItems containsBlank="1"/>
    </cacheField>
    <cacheField name="Colour" numFmtId="0">
      <sharedItems containsBlank="1"/>
    </cacheField>
    <cacheField name="Power" numFmtId="0">
      <sharedItems containsBlank="1"/>
    </cacheField>
    <cacheField name="Qty" numFmtId="0">
      <sharedItems containsSemiMixedTypes="0" containsString="0" containsNumber="1" containsInteger="1" minValue="1" maxValue="1"/>
    </cacheField>
    <cacheField name="Total Amount" numFmtId="3">
      <sharedItems containsSemiMixedTypes="0" containsString="0" containsNumber="1" containsInteger="1" minValue="2232750" maxValue="3340000"/>
    </cacheField>
    <cacheField name="Credit" numFmtId="0">
      <sharedItems containsSemiMixedTypes="0" containsString="0" containsNumber="1" containsInteger="1" minValue="2022000" maxValue="3110000"/>
    </cacheField>
    <cacheField name="Profit" numFmtId="0">
      <sharedItems containsSemiMixedTypes="0" containsString="0" containsNumber="1" containsInteger="1" minValue="95000" maxValue="250000"/>
    </cacheField>
    <cacheField name="Charges %" numFmtId="9">
      <sharedItems containsSemiMixedTypes="0" containsString="0" containsNumber="1" minValue="0.01" maxValue="0.01"/>
    </cacheField>
    <cacheField name="Interest %" numFmtId="9">
      <sharedItems containsString="0" containsBlank="1" containsNumber="1" minValue="0.11" maxValue="0.11"/>
    </cacheField>
    <cacheField name="Column1" numFmtId="9">
      <sharedItems containsSemiMixedTypes="0" containsString="0" containsNumber="1" minValue="0.1" maxValue="0.1"/>
    </cacheField>
    <cacheField name="စာရြက္စာတမ္းေၾကး" numFmtId="0">
      <sharedItems containsNonDate="0" containsString="0" containsBlank="1"/>
    </cacheField>
    <cacheField name="D/ P %" numFmtId="9">
      <sharedItems containsSemiMixedTypes="0" containsString="0" containsNumber="1" minValue="0.4" maxValue="0.4"/>
    </cacheField>
    <cacheField name="B/ L %" numFmtId="9">
      <sharedItems containsSemiMixedTypes="0" containsString="0" containsNumber="1" minValue="0.6" maxValue="0.6"/>
    </cacheField>
    <cacheField name="Down Payment" numFmtId="164">
      <sharedItems containsSemiMixedTypes="0" containsString="0" containsNumber="1" minValue="1049392.5" maxValue="1569800"/>
    </cacheField>
    <cacheField name="Down Payment ေပးေငြ" numFmtId="164">
      <sharedItems containsSemiMixedTypes="0" containsString="0" containsNumber="1" minValue="1049392.5" maxValue="1569800"/>
    </cacheField>
    <cacheField name="Down Payment က်န္ေငြ " numFmtId="0">
      <sharedItems containsString="0" containsBlank="1" containsNumber="1" containsInteger="1" minValue="0" maxValue="0"/>
    </cacheField>
    <cacheField name="Down Payment က်န္ေငြ Date" numFmtId="0">
      <sharedItems containsNonDate="0" containsString="0" containsBlank="1"/>
    </cacheField>
    <cacheField name="က်န္ေငြ စုစုေပါင္း" numFmtId="0">
      <sharedItems containsSemiMixedTypes="0" containsString="0" containsNumber="1" containsInteger="1" minValue="1339650" maxValue="2004000"/>
    </cacheField>
    <cacheField name="ေပးဆပ္ရမည့္ အရစ္" numFmtId="0">
      <sharedItems containsNonDate="0" containsString="0" containsBlank="1"/>
    </cacheField>
    <cacheField name="(1) Time %" numFmtId="9">
      <sharedItems containsSemiMixedTypes="0" containsString="0" containsNumber="1" minValue="0.3" maxValue="0.3"/>
    </cacheField>
    <cacheField name="First Date" numFmtId="14">
      <sharedItems containsSemiMixedTypes="0" containsNonDate="0" containsDate="1" containsString="0" minDate="2020-11-20T00:00:00" maxDate="2021-08-05T00:00:00" count="48">
        <d v="2020-11-20T00:00:00"/>
        <d v="2020-11-23T00:00:00"/>
        <d v="2020-11-30T00:00:00"/>
        <d v="2020-12-04T00:00:00"/>
        <d v="2020-12-09T00:00:00"/>
        <d v="2020-12-10T00:00:00"/>
        <d v="2020-12-24T00:00:00"/>
        <d v="2021-01-15T00:00:00"/>
        <d v="2021-01-16T00:00:00"/>
        <d v="2021-01-25T00:00:00"/>
        <d v="2021-02-11T00:00:00"/>
        <d v="2021-02-16T00:00:00"/>
        <d v="2021-02-23T00:00:00"/>
        <d v="2021-03-05T00:00:00"/>
        <d v="2021-03-09T00:00:00"/>
        <d v="2021-03-13T00:00:00"/>
        <d v="2021-03-30T00:00:00"/>
        <d v="2021-04-27T00:00:00"/>
        <d v="2021-04-29T00:00:00"/>
        <d v="2021-05-01T00:00:00"/>
        <d v="2021-05-17T00:00:00"/>
        <d v="2021-05-18T00:00:00"/>
        <d v="2021-05-20T00:00:00"/>
        <d v="2021-05-22T00:00:00"/>
        <d v="2021-05-27T00:00:00"/>
        <d v="2021-05-30T00:00:00"/>
        <d v="2021-06-04T00:00:00"/>
        <d v="2021-06-05T00:00:00"/>
        <d v="2021-06-09T00:00:00"/>
        <d v="2021-06-10T00:00:00"/>
        <d v="2021-06-13T00:00:00"/>
        <d v="2021-06-15T00:00:00"/>
        <d v="2021-06-16T00:00:00"/>
        <d v="2021-06-19T00:00:00"/>
        <d v="2021-06-20T00:00:00"/>
        <d v="2021-06-23T00:00:00"/>
        <d v="2021-06-27T00:00:00"/>
        <d v="2021-06-29T00:00:00"/>
        <d v="2021-06-30T00:00:00"/>
        <d v="2021-07-05T00:00:00"/>
        <d v="2021-07-06T00:00:00"/>
        <d v="2021-07-09T00:00:00"/>
        <d v="2021-07-10T00:00:00"/>
        <d v="2021-07-13T00:00:00"/>
        <d v="2021-07-21T00:00:00"/>
        <d v="2021-07-25T00:00:00"/>
        <d v="2021-07-30T00:00:00"/>
        <d v="2021-08-04T00:00:00"/>
      </sharedItems>
      <fieldGroup par="38" base="32">
        <rangePr groupBy="months" startDate="2020-11-20T00:00:00" endDate="2021-08-05T00:00:00"/>
        <groupItems count="14">
          <s v="&lt;20-11-20"/>
          <s v="Jan"/>
          <s v="Feb"/>
          <s v="Mar"/>
          <s v="Apr"/>
          <s v="May"/>
          <s v="Jun"/>
          <s v="Jul"/>
          <s v="Aug"/>
          <s v="Sep"/>
          <s v="Oct"/>
          <s v="Nov"/>
          <s v="Dec"/>
          <s v="&gt;05-08-21"/>
        </groupItems>
      </fieldGroup>
    </cacheField>
    <cacheField name="First Amount" numFmtId="164">
      <sharedItems containsSemiMixedTypes="0" containsString="0" containsNumber="1" containsInteger="1" minValue="669825" maxValue="1002000"/>
    </cacheField>
    <cacheField name="(2) Time %" numFmtId="9">
      <sharedItems containsSemiMixedTypes="0" containsString="0" containsNumber="1" minValue="0.3" maxValue="0.3"/>
    </cacheField>
    <cacheField name="Second  Date" numFmtId="14">
      <sharedItems containsSemiMixedTypes="0" containsNonDate="0" containsDate="1" containsString="0" minDate="2021-05-20T00:00:00" maxDate="2022-02-05T00:00:00" count="48">
        <d v="2021-05-20T00:00:00"/>
        <d v="2021-05-23T00:00:00"/>
        <d v="2021-05-30T00:00:00"/>
        <d v="2021-06-04T00:00:00"/>
        <d v="2021-06-09T00:00:00"/>
        <d v="2021-06-10T00:00:00"/>
        <d v="2021-06-24T00:00:00"/>
        <d v="2021-07-15T00:00:00"/>
        <d v="2021-07-16T00:00:00"/>
        <d v="2021-07-25T00:00:00"/>
        <d v="2021-08-11T00:00:00"/>
        <d v="2021-08-16T00:00:00"/>
        <d v="2021-08-23T00:00:00"/>
        <d v="2021-09-05T00:00:00"/>
        <d v="2021-09-09T00:00:00"/>
        <d v="2021-09-13T00:00:00"/>
        <d v="2021-09-30T00:00:00"/>
        <d v="2021-10-27T00:00:00"/>
        <d v="2021-10-29T00:00:00"/>
        <d v="2021-11-01T00:00:00"/>
        <d v="2021-11-17T00:00:00"/>
        <d v="2021-11-18T00:00:00"/>
        <d v="2021-11-20T00:00:00"/>
        <d v="2021-11-22T00:00:00"/>
        <d v="2021-11-27T00:00:00"/>
        <d v="2021-11-30T00:00:00"/>
        <d v="2021-12-04T00:00:00"/>
        <d v="2021-12-05T00:00:00"/>
        <d v="2021-12-09T00:00:00"/>
        <d v="2021-12-10T00:00:00"/>
        <d v="2021-12-13T00:00:00"/>
        <d v="2021-12-15T00:00:00"/>
        <d v="2021-12-16T00:00:00"/>
        <d v="2021-12-19T00:00:00"/>
        <d v="2021-12-20T00:00:00"/>
        <d v="2021-12-23T00:00:00"/>
        <d v="2021-12-27T00:00:00"/>
        <d v="2021-12-29T00:00:00"/>
        <d v="2021-12-30T00:00:00"/>
        <d v="2022-01-05T00:00:00"/>
        <d v="2022-01-06T00:00:00"/>
        <d v="2022-01-09T00:00:00"/>
        <d v="2022-01-10T00:00:00"/>
        <d v="2022-01-13T00:00:00"/>
        <d v="2022-01-21T00:00:00"/>
        <d v="2022-01-25T00:00:00"/>
        <d v="2022-01-30T00:00:00"/>
        <d v="2022-02-04T00:00:00"/>
      </sharedItems>
    </cacheField>
    <cacheField name="Second Amount" numFmtId="164">
      <sharedItems containsSemiMixedTypes="0" containsString="0" containsNumber="1" containsInteger="1" minValue="669825" maxValue="1002000"/>
    </cacheField>
    <cacheField name="Quarters" numFmtId="0" databaseField="0">
      <fieldGroup base="32">
        <rangePr groupBy="quarters" startDate="2020-11-20T00:00:00" endDate="2021-08-05T00:00:00"/>
        <groupItems count="6">
          <s v="&lt;20-11-20"/>
          <s v="Qtr1"/>
          <s v="Qtr2"/>
          <s v="Qtr3"/>
          <s v="Qtr4"/>
          <s v="&gt;05-08-21"/>
        </groupItems>
      </fieldGroup>
    </cacheField>
    <cacheField name="Years" numFmtId="0" databaseField="0">
      <fieldGroup base="32">
        <rangePr groupBy="years" startDate="2020-11-20T00:00:00" endDate="2021-08-05T00:00:00"/>
        <groupItems count="4">
          <s v="&lt;20-11-20"/>
          <s v="2020"/>
          <s v="2021"/>
          <s v="&gt;05-08-21"/>
        </groupItems>
      </fieldGroup>
    </cacheField>
  </cacheFields>
  <extLst>
    <ext xmlns:x14="http://schemas.microsoft.com/office/spreadsheetml/2009/9/main" uri="{725AE2AE-9491-48be-B2B4-4EB974FC3084}">
      <x14:pivotCacheDefinition pivotCacheId="2047302483"/>
    </ext>
  </extLst>
</pivotCacheDefinition>
</file>

<file path=xl/pivotCache/pivotCacheDefinition3.xml><?xml version="1.0" encoding="utf-8"?>
<pivotCacheDefinition xmlns="http://schemas.openxmlformats.org/spreadsheetml/2006/main" xmlns:r="http://schemas.openxmlformats.org/officeDocument/2006/relationships" r:id="rId1" refreshedBy="User" refreshedDate="44422.430877662038" createdVersion="6" refreshedVersion="6" minRefreshableVersion="3" recordCount="158">
  <cacheSource type="worksheet">
    <worksheetSource ref="A1:I156" sheet="Daily Cash Book"/>
  </cacheSource>
  <cacheFields count="9">
    <cacheField name="Date" numFmtId="15">
      <sharedItems containsNonDate="0" containsDate="1" containsString="0" containsBlank="1" minDate="2021-07-01T00:00:00" maxDate="2021-08-15T00:00:00" count="12">
        <m/>
        <d v="2021-08-14T00:00:00"/>
        <d v="2021-07-08T00:00:00" u="1"/>
        <d v="2021-07-04T00:00:00" u="1"/>
        <d v="2021-07-09T00:00:00" u="1"/>
        <d v="2021-07-05T00:00:00" u="1"/>
        <d v="2021-07-01T00:00:00" u="1"/>
        <d v="2021-07-10T00:00:00" u="1"/>
        <d v="2021-07-06T00:00:00" u="1"/>
        <d v="2021-07-02T00:00:00" u="1"/>
        <d v="2021-07-07T00:00:00" u="1"/>
        <d v="2021-07-03T00:00:00" u="1"/>
      </sharedItems>
    </cacheField>
    <cacheField name="Code" numFmtId="167">
      <sharedItems containsString="0" containsBlank="1" containsNumber="1" containsInteger="1" minValue="14" maxValue="14"/>
    </cacheField>
    <cacheField name="Folio" numFmtId="0">
      <sharedItems containsNonDate="0" containsBlank="1" count="28">
        <m/>
        <s v="INFER" u="1"/>
        <s v="DBR SPARE" u="1"/>
        <s v="Pay GBS Bank 20" u="1"/>
        <s v="RECHPW20GBS" u="1"/>
        <s v="JC002" u="1"/>
        <s v="IN F/SALE" u="1"/>
        <s v="PURWS001" u="1"/>
        <s v="IN NUT" u="1"/>
        <s v="RECST01" u="1"/>
        <s v="PAY207" u="1"/>
        <s v="RECST02" u="1"/>
        <s v="DBR Fertilizer" u="1"/>
        <s v="RECHPW21Spare" u="1"/>
        <s v="EXP811" u="1"/>
        <s v="SPR007" u="1"/>
        <s v="EXP826" u="1"/>
        <s v="EXP801" u="1"/>
        <s v="EXP804" u="1"/>
        <s v="REWS01" u="1"/>
        <s v="PUR700" u="1"/>
        <s v="CASP" u="1"/>
        <s v="EXP809" u="1"/>
        <s v="INWS" u="1"/>
        <s v="RECHPW21GBS" u="1"/>
        <s v="CRR2021" u="1"/>
        <s v="JC003" u="1"/>
        <s v="PAY201" u="1"/>
      </sharedItems>
    </cacheField>
    <cacheField name="Particular" numFmtId="0">
      <sharedItems containsBlank="1" count="106">
        <s v="Balance b / d"/>
        <m/>
        <s v="ကိုကိုင္ဇာေဌး သံုးဘီးေၾကြးဆပ္" u="1"/>
        <s v="WS- ဝင္ေငြ" u="1"/>
        <s v="အိမ္- မီတာအခြန္" u="1"/>
        <s v="အိမ္- ေဒၚေလး ဖုန္းေဘ" u="1"/>
        <s v="HF ေျမဆီ" u="1"/>
        <s v="ဆိုင္- ကိုဇင္ကို မုန္႔ဖိုးေပး" u="1"/>
        <s v="ဦးဘိုၾကီး" u="1"/>
        <s v="သံုးဘီးေၾကြးဆပ္ ကိုေနစိုးဦး လက္ခုပ္ကုန္း" u="1"/>
        <s v="GBS ေျမဆီ" u="1"/>
        <s v="ဆိုင္- ဝင္ေငြ" u="1"/>
        <s v="ကိုျမင့္လြင္ သံုးဘီးေၾကြးဆပ္" u="1"/>
        <s v="ဦးခင္ေမာင္" u="1"/>
        <s v="အိမ္- 502ေကာ္" u="1"/>
        <s v="ဆိုင္- CDI+ပါကင္စံု" u="1"/>
        <s v="SP ေၾကြးက်န္ ေမာင္ျမင့္သူ ခရိုကၡနိ" u="1"/>
        <s v="ေအာင္ေမတၱာ" u="1"/>
        <s v="ဆိုင္- မိဘရိပ္ကားခ+ ကယ္လီခ" u="1"/>
        <s v="ကိုတင္ျမ" u="1"/>
        <s v="အိမ္-Wave+စုသက္ေၾကြးဆပ္" u="1"/>
        <s v="ေႏြအင္ၾကင္း" u="1"/>
        <s v="ေျမဆီ ေၾကြးက်န္ ကိုဇင္ကို ဝါးေသာက္" u="1"/>
        <s v="ဆိုင္- ေရတံခါးဝါရွာ" u="1"/>
        <s v="ေရႊဝါေျမထြန္းလင္း" u="1"/>
        <s v="အိမ္- ဦးဝင္းထြန္း ေမွာ္ဘီ ေငြလက္ခံထားသည္" u="1"/>
        <s v="ဆိုင္- စကူပစ္ဝယ္" u="1"/>
        <s v="SP ေၾကြးဆပ္ ဦးဝင္းစံ ခရိုကၡနိ" u="1"/>
        <s v="SP ေၾကြးက်န္ မမိလဲ့ ဝါးေသာက္" u="1"/>
        <s v="ဆိုင္- ေရေႏြးခြက္ ဝယ္" u="1"/>
        <s v="မန္းဧရာဝတီ" u="1"/>
        <s v="မိဘရိပ္" u="1"/>
        <s v="ဆိုင္- သံကြင္း(2)" u="1"/>
        <s v="SP ေၾကြးဆပ္ ေဒၚေအးဝင္း ဝါးေသာက္" u="1"/>
        <s v="SP ေၾကြးဆပ္ ေမာင္ျမင့္သူ ဝါးေသာက္" u="1"/>
        <s v="ဆိုင္- ဓါးေခါင္း+ဓါး" u="1"/>
        <s v="WS- ကိုေထြးယူေငြ" u="1"/>
        <s v="SP ေၾကြးဆပ္ ကိုဝၾကီး ဆည္ေျမာင္း" u="1"/>
        <s v="ဆိုင္- ေျမဆီ (45လံုး×600)" u="1"/>
        <s v="ဆိုင္- ေရသန္႔ကဒ္" u="1"/>
        <s v="ဆိုင္- စတပ္ေဘာ+304ေဘာ" u="1"/>
        <s v="ေျမဆီ အေရာင္းဝင္ေငြ" u="1"/>
        <s v="WS- မီတာအခြန္" u="1"/>
        <s v="ဆိုင္- ခင္စႏၵာမင္းဦး မုန္႔ဖိုးေပး" u="1"/>
        <s v="အိမ္- ခံေဆးဗူး" u="1"/>
        <s v="အိမ္- Wave Money ဖုန္းထဲေငြေရာက္" u="1"/>
        <s v="SP ေၾကြးဆပ္ ဦးဝင္းထြန္း ေမွာ္ဘီ" u="1"/>
        <s v="နတ္အေရာင္းဝင္ေငြ" u="1"/>
        <s v="မသီတာဝင္းဆိုင္" u="1"/>
        <s v="ဆိုင္- ဘရိတ္ရွဴး+အမဲဆီ" u="1"/>
        <s v="သံုးဘီး ေၾကြးဆပ္ ဦးလွဦး ဆားပုဂံ" u="1"/>
        <s v="ဆိုင္- ေျမဆီ ခ်ေပးခ" u="1"/>
        <s v="SP ေၾကြးက်န္ ဆရာမေဒၚသီတာလႈိုင္" u="1"/>
        <s v="လက္ကိုင္း ေၾကြးဆပ္ ကိုညီညီ ေကာ့ဒြန္း" u="1"/>
        <s v="သံုးဘီး ေၾကြးဆပ္ ဦးျမင့္ေအာင္ ဝါးေသာက္" u="1"/>
        <s v="ဆိုင္- သံလိုက္အံုပါကင္" u="1"/>
        <s v="WS- ဝင္ေငြ (ကိုခ်က္ၾကီး ေၾကြးဆပ္)" u="1"/>
        <s v="ဆိုင္- ကိုမ်ိဳးၿမင့္ ပစၥည္းတင္ ကားခ" u="1"/>
        <s v="ဆိုင္- ကိုဇင္ကို လစာယူေငြ" u="1"/>
        <s v="သံုးဘီး ေၾကြးဆပ္ ဦးေမာ္သိန္း သမၼာန္ေခ်ာင္း" u="1"/>
        <s v="ကိုေအာင္သူ သံုးဘီးေၾကြးဆပ္" u="1"/>
        <s v="ဆိုင္- ဂါဂ်ီပင္ဘြတ္+206ေဘာ" u="1"/>
        <s v="ဆိုင္- ဓါတ္ဆီ" u="1"/>
        <s v="SUPER" u="1"/>
        <s v="ဆိုင္- အင္ဂ်င္ဝိုင္" u="1"/>
        <s v="သံုးဘီး ေၾကြးဆပ္ ဦးေမာင္နိူင္ ေတာ္ခရမ္းၾကီး" u="1"/>
        <s v="STL" u="1"/>
        <s v="ဆိုင္- ေျမဆီ(90လံုး×600)" u="1"/>
        <s v="အိမ္ (ကားျပင္)" u="1"/>
        <s v="သံုးဘီး ေၾကြးဆပ္ ကိုဝင္းကိုနိူင္ ထမ္းမနိူင္" u="1"/>
        <s v="ဘရိတ္ဆီ" u="1"/>
        <s v="ေငြဇင္ေသာ္ ေျမဆီ" u="1"/>
        <s v="WS- ဝင္ေငြ " u="1"/>
        <s v="ဆိုင္- ကစ္တံ(1)+ကစ္တံ(2)" u="1"/>
        <s v="ဆိုင္- မီတာအခြန္" u="1"/>
        <s v="Other" u="1"/>
        <s v="SP ေၾကြးဆပ္ ဦးသန္းထြန္း (ရခိုင္ေခ်ာင္)" u="1"/>
        <s v="ဆိုင္- ခံုၿပင္+အမိုးၿပင္" u="1"/>
        <s v="WS- ဝင္ေငြ (ေဘးကပ္အေရာင္း)" u="1"/>
        <s v="ဆိုင္- MAX+ကပ္ေၾကး" u="1"/>
        <s v="ဆိုင္- 200uf ကြန္နဆာ+ဒိုင္အုပ္" u="1"/>
        <s v="ဆိုင္- မိဘရိပ္ကားခ" u="1"/>
        <s v="ဆိုင္- ေရႊနဂါး ေျမဆီ" u="1"/>
        <s v="ဆိုင္- မလြင္လြင္သန္း လစာယူေငြ" u="1"/>
        <s v="SP အေရာင္းဝင္ေငြ" u="1"/>
        <s v="ေအးေမတၱာ" u="1"/>
        <s v="ဆိုင္- မိုးကာအကၤ် ီဝယ္" u="1"/>
        <s v="ဆိုင္- 207ေဘာ+4ေခ်ာင္းေဖါက္" u="1"/>
        <s v="ဆိုင္- မိဘရိပ္ ကားခ(2)ေခါက္" u="1"/>
        <s v="ဆိုင္- ေဘာပင္" u="1"/>
        <s v="ARMAX" u="1"/>
        <s v="Han Asia" u="1"/>
        <s v="SP ေၾကြးဆပ္ ကိုသန္းနိုင္ သဲကုန္းတန္း" u="1"/>
        <s v="ဆိုင္- ကိုေသာ္က တာတိုက္ စက္ျပဳျပင္" u="1"/>
        <s v="ဆိုင္- ပူလီ" u="1"/>
        <s v="WS- 6.5အထိုင္ ဝယ္" u="1"/>
        <s v="SP ေၾကြးက်န္ ကိုဝၾကီး ဆည္ေျမာင္း" u="1"/>
        <s v="WS- ဝင္ေငြ (ကိုခ်က္ၾကီးေၾကြးဆပ္)" u="1"/>
        <s v="ဆိုင္- ဖုန္းေဘ" u="1"/>
        <s v="ဆိုင္- ဦးသန္းနိုင္ လက္ေဆာင္ေပး" u="1"/>
        <s v="ဆိုင္- ဘေလာက္set+အဝိုင္းစီး" u="1"/>
        <s v="ဆိုင္- DAP+ေကာမတ္" u="1"/>
        <s v="ဆိုင္- ဆိုင္ၿပင္ေန႔စားခ" u="1"/>
        <s v="ေရႊနယား" u="1"/>
        <s v="ဆိုင္- MAX" u="1"/>
        <s v="ဆိုင္- 306ေဘာ" u="1"/>
      </sharedItems>
    </cacheField>
    <cacheField name="Transction Type" numFmtId="0">
      <sharedItems containsNonDate="0" containsString="0" containsBlank="1"/>
    </cacheField>
    <cacheField name="Opening" numFmtId="164">
      <sharedItems containsString="0" containsBlank="1" containsNumber="1" containsInteger="1" minValue="6176976" maxValue="6176976"/>
    </cacheField>
    <cacheField name="Debit" numFmtId="164">
      <sharedItems containsNonDate="0" containsString="0" containsBlank="1"/>
    </cacheField>
    <cacheField name="Credit" numFmtId="164">
      <sharedItems containsNonDate="0" containsString="0" containsBlank="1"/>
    </cacheField>
    <cacheField name="Balance" numFmtId="181">
      <sharedItems containsSemiMixedTypes="0" containsString="0" containsNumber="1" containsInteger="1" minValue="0" maxValue="6176976"/>
    </cacheField>
  </cacheFields>
  <extLst>
    <ext xmlns:x14="http://schemas.microsoft.com/office/spreadsheetml/2009/9/main" uri="{725AE2AE-9491-48be-B2B4-4EB974FC3084}">
      <x14:pivotCacheDefinition pivotCacheId="2047302498"/>
    </ext>
  </extLst>
</pivotCacheDefinition>
</file>

<file path=xl/pivotCache/pivotCacheDefinition4.xml><?xml version="1.0" encoding="utf-8"?>
<pivotCacheDefinition xmlns="http://schemas.openxmlformats.org/spreadsheetml/2006/main" xmlns:r="http://schemas.openxmlformats.org/officeDocument/2006/relationships" r:id="rId1" refreshedBy="User" refreshedDate="44470.423488773151" createdVersion="6" refreshedVersion="6" minRefreshableVersion="3" recordCount="155">
  <cacheSource type="worksheet">
    <worksheetSource ref="A1:I154" sheet="Daily Cash Book"/>
  </cacheSource>
  <cacheFields count="9">
    <cacheField name="Date" numFmtId="15">
      <sharedItems containsNonDate="0" containsDate="1" containsString="0" containsBlank="1" minDate="2021-07-01T00:00:00" maxDate="2021-10-02T00:00:00" count="32">
        <m/>
        <d v="2021-10-01T00:00:00"/>
        <d v="2021-07-10T00:00:00" u="1"/>
        <d v="2021-09-01T00:00:00" u="1"/>
        <d v="2021-08-15T00:00:00" u="1"/>
        <d v="2021-07-03T00:00:00" u="1"/>
        <d v="2021-09-13T00:00:00" u="1"/>
        <d v="2021-09-06T00:00:00" u="1"/>
        <d v="2021-08-20T00:00:00" u="1"/>
        <d v="2021-07-08T00:00:00" u="1"/>
        <d v="2021-07-01T00:00:00" u="1"/>
        <d v="2021-09-11T00:00:00" u="1"/>
        <d v="2021-09-04T00:00:00" u="1"/>
        <d v="2021-07-06T00:00:00" u="1"/>
        <d v="2021-09-09T00:00:00" u="1"/>
        <d v="2021-09-02T00:00:00" u="1"/>
        <d v="2021-07-04T00:00:00" u="1"/>
        <d v="2021-09-14T00:00:00" u="1"/>
        <d v="2021-09-07T00:00:00" u="1"/>
        <d v="2021-08-21T00:00:00" u="1"/>
        <d v="2021-07-09T00:00:00" u="1"/>
        <d v="2021-08-14T00:00:00" u="1"/>
        <d v="2021-07-02T00:00:00" u="1"/>
        <d v="2021-09-12T00:00:00" u="1"/>
        <d v="2021-09-05T00:00:00" u="1"/>
        <d v="2021-08-19T00:00:00" u="1"/>
        <d v="2021-07-07T00:00:00" u="1"/>
        <d v="2021-09-10T00:00:00" u="1"/>
        <d v="2021-09-03T00:00:00" u="1"/>
        <d v="2021-08-17T00:00:00" u="1"/>
        <d v="2021-07-05T00:00:00" u="1"/>
        <d v="2021-09-08T00:00:00" u="1"/>
      </sharedItems>
    </cacheField>
    <cacheField name="Code" numFmtId="167">
      <sharedItems containsString="0" containsBlank="1" containsNumber="1" containsInteger="1" minValue="1" maxValue="1"/>
    </cacheField>
    <cacheField name="Folio" numFmtId="0">
      <sharedItems containsNonDate="0" containsBlank="1" count="38">
        <m/>
        <s v="INFER" u="1"/>
        <s v="INFHP" u="1"/>
        <s v="DBR SPARE" u="1"/>
        <s v="SPR001" u="1"/>
        <s v="Pay GBS Bank 20" u="1"/>
        <s v="RECHPW20GBS" u="1"/>
        <s v="JC002" u="1"/>
        <s v="IN F/SALE" u="1"/>
        <s v="PURWS001" u="1"/>
        <s v="IN NUT" u="1"/>
        <s v="SPR004" u="1"/>
        <s v="RECST01" u="1"/>
        <s v="PayGBS206" u="1"/>
        <s v="PAY207" u="1"/>
        <s v="SPR005" u="1"/>
        <s v="RECST02" u="1"/>
        <s v="DBR Fertilizer" u="1"/>
        <s v="EXP824" u="1"/>
        <s v="RECHPW21Spare" u="1"/>
        <s v="RECST03" u="1"/>
        <s v="EXP811" u="1"/>
        <s v="SPR007" u="1"/>
        <s v="EXP826" u="1"/>
        <s v="EXP801" u="1"/>
        <s v="IN Other" u="1"/>
        <s v="IN TRI" u="1"/>
        <s v="EXP804" u="1"/>
        <s v="REWS01" u="1"/>
        <s v="PUR700" u="1"/>
        <s v="CASP" u="1"/>
        <s v="EXP809" u="1"/>
        <s v="INWS" u="1"/>
        <s v="RECHPW21GBS" u="1"/>
        <s v="REWS" u="1"/>
        <s v="CRR2021" u="1"/>
        <s v="JC003" u="1"/>
        <s v="PAY201" u="1"/>
      </sharedItems>
    </cacheField>
    <cacheField name="Particular" numFmtId="0">
      <sharedItems containsBlank="1" count="213">
        <s v="Balance b / d"/>
        <m/>
        <s v="အိမ္- ပုဇြန္ဝယ္" u="1"/>
        <s v="ကိုကိုင္ဇာေဌး သံုးဘီးေၾကြးဆပ္" u="1"/>
        <s v="WS- ဝင္ေငြ" u="1"/>
        <s v="ဆိုင္- သံပတ္+ကလပ္ျပား" u="1"/>
        <s v="အိမ္- မီတာအခြန္" u="1"/>
        <s v="အိမ္- ေဒၚေလး ဖုန္းေဘ" u="1"/>
        <s v="HF ေျမဆီ" u="1"/>
        <s v="ဆိုင္- ကိုဇင္ကို မုန္႔ဖိုးေပး" u="1"/>
        <s v="ဆိုင္- ဘုရားပန္း" u="1"/>
        <s v="ဦးဘိုၾကီး" u="1"/>
        <s v="WS- ကံ႔ေကာ္ဆံ" u="1"/>
        <s v="သံုးဘီးေၾကြးဆပ္ ကိုေနစိုးဦး လက္ခုပ္ကုန္း" u="1"/>
        <s v="ဆိုင္- ခ်ိန္း+45ပီနယံ" u="1"/>
        <s v="GBS ေျမဆီ" u="1"/>
        <s v="ဆိုင္- ဝင္ေငြ" u="1"/>
        <s v="ကိုျမင့္လြင္ သံုးဘီးေၾကြးဆပ္" u="1"/>
        <s v="ဦးခင္ေမာင္" u="1"/>
        <s v="WS- ခ်စ္ဖိန္႔ ေန႔စားခ" u="1"/>
        <s v="ဆိုင္- ကြန္ပ်ဴတာ ပစၥည္းဝယ္" u="1"/>
        <s v="ဆိုင္- ကိုမ်ိဳးျမင့္ ပစၥည္းတင္ကားခ" u="1"/>
        <s v="အိမ္- 502ေကာ္" u="1"/>
        <s v="ဆိုင္- CDI+ပါကင္စံု" u="1"/>
        <s v="SP ေၾကြးက်န္ ေမာင္ျမင့္သူ ခရိုကၡနိ" u="1"/>
        <s v="ေအာင္ေမတၱာ" u="1"/>
        <s v="ဆိုင္- မိဘရိပ္ကားခ+ ကယ္လီခ" u="1"/>
        <s v="အိမ္- သနပ္ခါးဗူး" u="1"/>
        <s v="အိမ္- ပုဇြန္ေျခာက္ဝယ္" u="1"/>
        <s v="ကိုတင္ျမ" u="1"/>
        <s v="သံုးဘီး ေၾကြးဆပ္ ဦးေသာင္းထိုက္ ဇလုပ္ၾကီး" u="1"/>
        <s v="WS- ဦးမင္းေဇာ္ ရခိုင္ေခ်ာင္ ေနာက္တြဲစရံေငြ" u="1"/>
        <s v="SP ေၾကြးဆပ္ ကိုေက်ာ္ဝဏၰ ဝါးေသာက္" u="1"/>
        <s v="အိမ္-Wave+စုသက္ေၾကြးဆပ္" u="1"/>
        <s v="ေႏြအင္ၾကင္း" u="1"/>
        <s v="SP ေၾကြးဆပ္ အဖိုးၾကီး ဝါးေသာက္" u="1"/>
        <s v="WS- ေက်ာက္ၿပား" u="1"/>
        <s v="ဆိုင္- ကိုမ်ိဳးျမင့္ေျမဆီတင္ ကားခ" u="1"/>
        <s v="ေျမဆီ ေၾကြးက်န္ ကိုဇင္ကို ဝါးေသာက္" u="1"/>
        <s v="ဆိုင္- ေရတံခါးဝါရွာ" u="1"/>
        <s v="ေရႊဝါေျမထြန္းလင္း" u="1"/>
        <s v="အိမ္- ဦးဝင္းထြန္း ေမွာ္ဘီ ေငြလက္ခံထားသည္" u="1"/>
        <s v="သံုးဘီး ေၾကြးဆပ္ ဦးေသာင္းထိုက္ ဇလုပ္ၾကီး(OD)ေၾကး" u="1"/>
        <s v="အိမ္- ၾကက္သြန္ၿဖဴ" u="1"/>
        <s v="ဆိုင္- စကူပစ္ဝယ္" u="1"/>
        <s v="အိမ္- ဦးထြန္းလွ ပစၥည္းဝယ္" u="1"/>
        <s v="ထြန္း" u="1"/>
        <s v="SP ေၾကြးဆပ္ ဦးဝင္းစံ ခရိုကၡနိ" u="1"/>
        <s v="ဆိုင္- maskဗူး" u="1"/>
        <s v="SP ေၾကြးက်န္ မမိလဲ့ ဝါးေသာက္" u="1"/>
        <s v="ဆိုင္- ေရေႏြးခြက္ ဝယ္" u="1"/>
        <s v="မန္းဧရာဝတီ" u="1"/>
        <s v="WS- ဓါတ္ဆီ+ပတ္တာ" u="1"/>
        <s v="မိဘရိပ္" u="1"/>
        <s v="ဆိုင္- မခင္စႏၵာမင္းဦး မုန္႔ဖိုး" u="1"/>
        <s v="ဆိုင္- သံကြင္း(2)" u="1"/>
        <s v="ဆိုင္- အဲေလစစ္+ကလပ္အံုနတ္" u="1"/>
        <s v="SP ေၾကြးဆပ္ ကိုသန္႔ဇင္ ဝါးေသာက္" u="1"/>
        <s v="SP ေၾကြးဆပ္ ေဒၚေအးဝင္း ဝါးေသာက္" u="1"/>
        <s v="SP ေၾကြးက်န္ ခ်စ္ေက်ာ္သူ ဝါးေသာက္" u="1"/>
        <s v="SP ေၾကြးဆပ္ ကိုေဇယ်ာစိုး ဝါးေသာက္" u="1"/>
        <s v="SP ေၾကြးဆပ္ ေမာင္ျမင့္သူ ဝါးေသာက္" u="1"/>
        <s v="ဆိုင္- ဓါးေခါင္း+ဓါး" u="1"/>
        <s v="ဆိုင္- 9ေကာင္ဆြဲအံု" u="1"/>
        <s v="SP ေၾကြးဆပ္ ေမာင္ျမင့္သူ ခရိုကၡနိ" u="1"/>
        <s v="SP ေၾကြးဆပ္ မိဘေမတၱာ ဝါးေသာက္" u="1"/>
        <s v="WS- ကိုေထြးယူေငြ" u="1"/>
        <s v="အိမ္- ဆပ္ျပာ+လက္ဖက္စံု+ေကာ္ေဇာ" u="1"/>
        <s v="SP ေၾကြးဆပ္ ကိုဝၾကီး ဆည္ေျမာင္း" u="1"/>
        <s v="ဆိုင္- ပစၥတင္+ရိန္း" u="1"/>
        <s v="ဆိုင္- ေျမဆီ (45လံုး×600)" u="1"/>
        <s v="အိမ္- စပ်စ္သီး+ကၽြဲေကာသီး" u="1"/>
        <s v="ဆိုင္- 8ထုပ္ကြိဳင္+ပလပ္" u="1"/>
        <s v="ဆိုင္- ကာပရိုက္တာ" u="1"/>
        <s v="WS- ကိုေထြးယူေငြ(ဖုန္းေဘ)" u="1"/>
        <s v="ဆိုင္- ေရသန္႔ကဒ္" u="1"/>
        <s v="ဆိုင္- စတပ္ေဘာ+304ေဘာ" u="1"/>
        <s v="ဆိုင္- ေရေဆးေခါင္း+အိတ္ေဇာထိန္း+" u="1"/>
        <s v="WS- နတ္" u="1"/>
        <s v="ေျမဆီ အေရာင္းဝင္ေငြ" u="1"/>
        <s v="WS- မီတာအခြန္" u="1"/>
        <s v="ဆိုင္- ခင္စႏၵာမင္းဦး မုန္႔ဖိုးေပး" u="1"/>
        <s v="ဆိုင္- ကိုမ်ိဳးျမင့္ပစၥည္းတင္ ကားခ" u="1"/>
        <s v="ဆိုင္- ကြန္ပ်ဴတာျပင္ကုန္က်စရိတ္" u="1"/>
        <s v="အိမ္- ခံေဆးဗူး" u="1"/>
        <s v="အိမ္- Wave Money ဖုန္းထဲေငြေရာက္" u="1"/>
        <s v="ဆိုင္- ဆီဘရိတ္အိုးသံ" u="1"/>
        <s v="WS- ဘိုဘိုနိုင္ ေန႔စားခ" u="1"/>
        <s v="SP ေၾကြးဆပ္ ဦးဝင္းထြန္း ေမွာ္ဘီ" u="1"/>
        <s v="ဆိုင္- လက္ေဆးဆပ္ျပာ" u="1"/>
        <s v="WS- ဘိုဘိုနိုင္+ခ်စ္ဖိန္႔ ေန႔စားခ" u="1"/>
        <s v="ဦးေသာင္းထိုက္ သံုးဘီး ေၾကြးက်န္ (OD)ေၾကး" u="1"/>
        <s v="နတ္အေရာင္းဝင္ေငြ" u="1"/>
        <s v="မသီတာဝင္းဆိုင္" u="1"/>
        <s v="ဆိုင္- ဘရိတ္ရွဴး+အမဲဆီ" u="1"/>
        <s v="ျပည္ေတာ္စိုး" u="1"/>
        <s v="WS- ဂြိဳင္းဂြ+Lကီး(set)" u="1"/>
        <s v="သံုးဘီး ေၾကြးဆပ္ ဦးလွဦး ဆားပုဂံ" u="1"/>
        <s v="ဆိုင္- ေျမဆီ ခ်ေပးခ" u="1"/>
        <s v="SP ေၾကြးက်န္ ဆရာမေဒၚသီတာလႈိုင္" u="1"/>
        <s v="လက္ကိုင္း ေၾကြးဆပ္ ကိုညီညီ ေကာ့ဒြန္း" u="1"/>
        <s v="ဆိုင္- ခဲေဂြ+ပလပ္" u="1"/>
        <s v="ဆိုင္- ကိုဇင္ကို မုန္႔ဖိုး" u="1"/>
        <s v="ဆိုင္- NASAမဲ" u="1"/>
        <s v="ဆိုင္- သံုးဘီးေရေဆးခ" u="1"/>
        <s v="ဆိုင္- ဝင္ေငြ (လႊဝိုင္းေရာင္း)" u="1"/>
        <s v="အိမ္- ငါးဝယ္+သုတ္ေဆးဗူး" u="1"/>
        <s v="သံုးဘီး ေၾကြးဆပ္ ဦးျမင့္ေအာင္ ဝါးေသာက္" u="1"/>
        <s v="WS- ဝင္ေငြ (ကိုခ်က္ၾကီး ေၾကြးဆပ္)" u="1"/>
        <s v="ဆိုင္- ကိုမ်ိဳးၿမင့္ ပစၥည္းတင္ ကားခ" u="1"/>
        <s v="BULLET" u="1"/>
        <s v="ေျမဆီ ေၾကြးဝင္ေငြ ကိုေက်ာ္မင္းထြန္း ဝါးေသာက္" u="1"/>
        <s v="ဆိုင္- ေျမဆီခ်ေပးခ" u="1"/>
        <s v="WS- သုတ္ေဆးဗူး+နတ္" u="1"/>
        <s v="သံုးဘီး အေရာင္းဦးသက္နိုင္ (သံျဖဴရံု)" u="1"/>
        <s v="ဆိုင္- ကိုဇင္ကို လစာယူေငြ" u="1"/>
        <s v="သံုးဘီး ေၾကြးဆပ္ ဦးေမာ္သိန္း သမၼာန္ေခ်ာင္း" u="1"/>
        <s v="ဆိုင္- ေရဘူးခြံ" u="1"/>
        <s v="ကိုေအာင္သူ သံုးဘီးေၾကြးဆပ္" u="1"/>
        <s v="ဆိုင္- 150 ဂီယာရွပ္" u="1"/>
        <s v="အိမ္- ပိုက္ဆက္ေကာ္+မီးတိပ္" u="1"/>
        <s v="ဆိုင္- ဝင္ေငြ (ခ်က္ေခါင္းအတံ)" u="1"/>
        <s v="WS- အဝတ္စ+သြတ္နန္း" u="1"/>
        <s v="ဆိုင္- ဂါဂ်ီပင္ဘြတ္+206ေဘာ" u="1"/>
        <s v="ဆိုင္- ဓါတ္ဆီ" u="1"/>
        <s v="Super" u="1"/>
        <s v="အိမ္- ကိတ္မုန္႔ဝယ္" u="1"/>
        <s v="ဆိုင္- အင္ဂ်င္ဝိုင္" u="1"/>
        <s v="သံုးဘီး ေၾကြးဆပ္ ဦးေမာင္နိူင္ ေတာ္ခရမ္းၾကီး" u="1"/>
        <s v="အိမ္- အေအး+ေရသန္႔ကဒ္" u="1"/>
        <s v="WS- ကိုေထြး ဖုန္းေဘ" u="1"/>
        <s v="ဆိုင္- 300ကြန္နဆာ" u="1"/>
        <s v="SP ေၾကြးဆပ္ ဦးသန္းဦး လက္ခုပ္ကုန္း" u="1"/>
        <s v="STL" u="1"/>
        <s v="ဆိုင္- ေျမဆီ(90လံုး×600)" u="1"/>
        <s v="အိမ္ (ကားျပင္)" u="1"/>
        <s v="သံုးဘီး ေၾကြးဆပ္ ကိုဝင္းကိုနိူင္ ထမ္းမနိူင္" u="1"/>
        <s v="ဘရိတ္ဆီ" u="1"/>
        <s v="ေငြဇင္ေသာ္ ေျမဆီ" u="1"/>
        <s v="အိမ္- သၾကား+ဓါတ္ခဲ+စာအိတ္" u="1"/>
        <s v="ဆိုင္- မိဘေမတၱာ သံုးဘီးဆင္ခေပး" u="1"/>
        <s v="ဆိုင္- SUPER GLUE" u="1"/>
        <s v="WS- ဝင္ေငြ " u="1"/>
        <s v="အိမ္- ငါးကင္" u="1"/>
        <s v="ဆိုင္- ကစ္တံ(1)+ကစ္တံ(2)" u="1"/>
        <s v="ဆိုင္- ပလပ္" u="1"/>
        <s v="ဆိုင္- မီတာအခြန္" u="1"/>
        <s v="ဆိုင္- မိဘရိပ္ ပစၥည္းတင္ ကားခ" u="1"/>
        <s v="Other" u="1"/>
        <s v="ဆိုင္- ဒရမ္+ဒရမ္ဖံုး" u="1"/>
        <s v="ဦးထက္နိူင္ သံုးဘီး Cashမွ" u="1"/>
        <s v="ဆိုင္- ေရွ႕အခ်က္ျပမီး+အဲယားဗူး" u="1"/>
        <s v="SP ေၾကြးဆပ္ ဦးသန္းထြန္း (ရခိုင္ေခ်ာင္)" u="1"/>
        <s v="အိမ္- ငါးဝယ္" u="1"/>
        <s v="အိမ္- ေဒၚေလးယူေငြ (ဦးဇင္းၾကီးေပး)" u="1"/>
        <s v="WS- ဖလပ္ၿပားဝယ္" u="1"/>
        <s v="ဆိုင္- ခံုၿပင္+အမိုးၿပင္" u="1"/>
        <s v="ဦးေသာင္းထိုက္ သံုးဘီး" u="1"/>
        <s v="WS- ဝင္ေငြ (ေဘးကပ္အေရာင္း)" u="1"/>
        <s v="ဆိုင္- MAX+ကပ္ေၾကး" u="1"/>
        <s v="ဆိုင္- 200uf ကြန္နဆာ+ဒိုင္အုပ္" u="1"/>
        <s v="ဆိုင္- ဘုရားပန္း+ဖုန္းေဘ" u="1"/>
        <s v="ဆိုင္- မိဘရိပ္ကားခ" u="1"/>
        <s v="ဆိုင္- ေရႊနဂါး ေျမဆီ" u="1"/>
        <s v="ဆိုင္- ဝင္ေငြ (စကၠဴအေရာင္း)" u="1"/>
        <s v="SP ေၾကြးဆပ္ ဦးကီြး ထန္းတပင္" u="1"/>
        <s v="ဆိုင္- မလြင္လြင္သန္း လစာယူေငြ" u="1"/>
        <s v="အိမ္- ေကာ္ဗူး" u="1"/>
        <s v="WS- ကိုေထြးယူေငြ (ေအာင္သုခ ကယ္လီခ)" u="1"/>
        <s v="ဆိုင္- ဖုန္းေဘ+စာအိတ္+ေဘာ့ပင္" u="1"/>
        <s v="ဆိုင္- ေျမဆီတင္ခ" u="1"/>
        <s v="SP အေရာင္းဝင္ေငြ" u="1"/>
        <s v="ဈာန္" u="1"/>
        <s v="ေအးေမတၱာ" u="1"/>
        <s v="ဆိုင္- မိုးကာအကၤ် ီဝယ္" u="1"/>
        <s v="ဆိုင္- 207ေဘာ+4ေခ်ာင္းေဖါက္" u="1"/>
        <s v="အိမ္- မုန္႔ဝယ္" u="1"/>
        <s v="ဆိုင္- မိဘရိပ္ ကားခ(2)ေခါက္" u="1"/>
        <s v="ဆိုင္- ေႏြအင္ၾကင္း ေျမဆီ" u="1"/>
        <s v="အိမ္- TVအစြပ္ ပိတ္စ" u="1"/>
        <s v="ဆိုင္- ေဘာပင္" u="1"/>
        <s v="ARMAX" u="1"/>
        <s v="Han Asia" u="1"/>
        <s v="SP ေၾကြးဆပ္ ကိုသန္းနိုင္ သဲကုန္းတန္း" u="1"/>
        <s v="ဆိုင္- ကိုေသာ္က တာတိုက္ စက္ျပဳျပင္" u="1"/>
        <s v="WS- နတ္+ေက်ာက္ျပား+ကာဗြန္+စကူပစ္" u="1"/>
        <s v="ဆိုင္- ပူလီ" u="1"/>
        <s v="ဆိုင္- အဝိုင္းစီး" u="1"/>
        <s v="WS- ကိုေထြး ယူေငြ" u="1"/>
        <s v="WS- 6.5အထိုင္ ဝယ္" u="1"/>
        <s v="အိမ္- ေကာ္ေရခြက္+ေရအိုးဖံုး" u="1"/>
        <s v="SP ေၾကြးက်န္ ကိုဝၾကီး ဆည္ေျမာင္း" u="1"/>
        <s v="ဆိုင္- ေလဗာၾကိဳး" u="1"/>
        <s v="WS- ဝင္ေငြ (ကိုခ်က္ၾကီးေၾကြးဆပ္)" u="1"/>
        <s v="ဆိုင္- ဖုန္းေဘ" u="1"/>
        <s v="WS- ဝရိန္ေခ်ာင္း" u="1"/>
        <s v="SP ေၾကြးဆပ္ ေဒၚသြယ္ ေတာ္ခလူး" u="1"/>
        <s v="ဆိုင္- ဦးသန္းနိုင္ လက္ေဆာင္ေပး" u="1"/>
        <s v="ဆိုင္- တစ္ရွဴး+ခဲသား" u="1"/>
        <s v="SP ေၾကြးက်န္ ကိုေက်ာ္စိုး ဝါးေသာက္" u="1"/>
        <s v="အိမ္- ပလာယာ+မီးတိပ္+ငွက္လႊ" u="1"/>
        <s v="ဆိုင္- ဂိြဳင္းဂြ+အဝိုင္းစီး" u="1"/>
        <s v="ဆိုင္- ဘေလာက္set+အဝိုင္းစီး" u="1"/>
        <s v="ဆိုင္- မခင္စႏၵာမင္းဦး လစာယူေငြ" u="1"/>
        <s v="ဆိုင္- DAP+ေကာမတ္" u="1"/>
        <s v="ဆိုင္- ဆိုင္ၿပင္ေန႔စားခ" u="1"/>
        <s v="အိမ္- ငရုတ္သီး+ဆပ္ျပာ" u="1"/>
        <s v="ေရႊနယား" u="1"/>
        <s v="WS- ဘိုဘိုနိုင္ေန႔စားခ" u="1"/>
        <s v="အိမ္- မုန္႔ထုပ္ဝယ္" u="1"/>
        <s v="ဆိုင္- MAX" u="1"/>
        <s v="ဆိုင္- အလွဴေငြ" u="1"/>
        <s v="ဆိုင္- 306ေဘာ" u="1"/>
      </sharedItems>
    </cacheField>
    <cacheField name="Transction Type" numFmtId="0">
      <sharedItems containsNonDate="0" containsString="0" containsBlank="1"/>
    </cacheField>
    <cacheField name="Opening" numFmtId="164">
      <sharedItems containsString="0" containsBlank="1" containsNumber="1" containsInteger="1" minValue="7420916" maxValue="7420916"/>
    </cacheField>
    <cacheField name="Debit" numFmtId="164">
      <sharedItems containsNonDate="0" containsString="0" containsBlank="1"/>
    </cacheField>
    <cacheField name="Credit" numFmtId="164">
      <sharedItems containsNonDate="0" containsString="0" containsBlank="1"/>
    </cacheField>
    <cacheField name="Balance" numFmtId="181">
      <sharedItems containsSemiMixedTypes="0" containsString="0" containsNumber="1" containsInteger="1" minValue="0" maxValue="7420916"/>
    </cacheField>
  </cacheFields>
  <extLst>
    <ext xmlns:x14="http://schemas.microsoft.com/office/spreadsheetml/2009/9/main" uri="{725AE2AE-9491-48be-B2B4-4EB974FC3084}">
      <x14:pivotCacheDefinition pivotCacheId="2047302497"/>
    </ext>
  </extLst>
</pivotCacheDefinition>
</file>

<file path=xl/pivotCache/pivotCacheDefinition5.xml><?xml version="1.0" encoding="utf-8"?>
<pivotCacheDefinition xmlns="http://schemas.openxmlformats.org/spreadsheetml/2006/main" xmlns:r="http://schemas.openxmlformats.org/officeDocument/2006/relationships" r:id="rId1" refreshedBy="Windows User" refreshedDate="44622.478051851853" createdVersion="6" refreshedVersion="5" minRefreshableVersion="3" recordCount="1181">
  <cacheSource type="worksheet">
    <worksheetSource ref="A1:I1048576" sheet="Daily Cash Book"/>
  </cacheSource>
  <cacheFields count="9">
    <cacheField name="Date" numFmtId="15">
      <sharedItems containsNonDate="0" containsDate="1" containsString="0" containsBlank="1" minDate="2021-05-01T00:00:00" maxDate="2022-03-01T00:00:00" count="125">
        <m/>
        <d v="2022-02-01T00:00:00"/>
        <d v="2022-02-02T00:00:00"/>
        <d v="2022-02-03T00:00:00"/>
        <d v="2022-02-04T00:00:00"/>
        <d v="2022-02-05T00:00:00"/>
        <d v="2022-02-06T00:00:00"/>
        <d v="2022-02-07T00:00:00"/>
        <d v="2022-02-08T00:00:00"/>
        <d v="2022-02-09T00:00:00"/>
        <d v="2022-02-10T00:00:00"/>
        <d v="2022-02-11T00:00:00"/>
        <d v="2022-02-12T00:00:00"/>
        <d v="2022-02-13T00:00:00"/>
        <d v="2022-02-14T00:00:00"/>
        <d v="2022-02-15T00:00:00"/>
        <d v="2022-02-16T00:00:00"/>
        <d v="2022-02-17T00:00:00"/>
        <d v="2022-02-18T00:00:00"/>
        <d v="2022-02-19T00:00:00"/>
        <d v="2022-02-20T00:00:00"/>
        <d v="2022-02-21T00:00:00"/>
        <d v="2022-02-22T00:00:00"/>
        <d v="2022-02-23T00:00:00"/>
        <d v="2022-02-24T00:00:00"/>
        <d v="2022-02-25T00:00:00"/>
        <d v="2022-02-26T00:00:00"/>
        <d v="2022-02-27T00:00:00"/>
        <d v="2022-02-28T00:00:00"/>
        <d v="2021-05-19T00:00:00" u="1"/>
        <d v="2021-12-23T00:00:00" u="1"/>
        <d v="2021-06-24T00:00:00" u="1"/>
        <d v="2021-05-12T00:00:00" u="1"/>
        <d v="2021-07-03T00:00:00" u="1"/>
        <d v="2021-12-16T00:00:00" u="1"/>
        <d v="2021-06-17T00:00:00" u="1"/>
        <d v="2021-05-05T00:00:00" u="1"/>
        <d v="2021-12-09T00:00:00" u="1"/>
        <d v="2021-06-10T00:00:00" u="1"/>
        <d v="2021-05-24T00:00:00" u="1"/>
        <d v="2021-12-28T00:00:00" u="1"/>
        <d v="2021-06-29T00:00:00" u="1"/>
        <d v="2021-12-02T00:00:00" u="1"/>
        <d v="2021-06-03T00:00:00" u="1"/>
        <d v="2021-05-17T00:00:00" u="1"/>
        <d v="2021-12-21T00:00:00" u="1"/>
        <d v="2021-06-22T00:00:00" u="1"/>
        <d v="2021-05-10T00:00:00" u="1"/>
        <d v="2021-07-01T00:00:00" u="1"/>
        <d v="2021-12-14T00:00:00" u="1"/>
        <d v="2021-06-15T00:00:00" u="1"/>
        <d v="2021-05-29T00:00:00" u="1"/>
        <d v="2021-05-03T00:00:00" u="1"/>
        <d v="2021-12-07T00:00:00" u="1"/>
        <d v="2021-06-08T00:00:00" u="1"/>
        <d v="2021-05-22T00:00:00" u="1"/>
        <d v="2021-12-26T00:00:00" u="1"/>
        <d v="2021-06-27T00:00:00" u="1"/>
        <d v="2021-06-01T00:00:00" u="1"/>
        <d v="2021-05-15T00:00:00" u="1"/>
        <d v="2021-07-06T00:00:00" u="1"/>
        <d v="2021-12-19T00:00:00" u="1"/>
        <d v="2021-06-20T00:00:00" u="1"/>
        <d v="2021-05-08T00:00:00" u="1"/>
        <d v="2021-12-12T00:00:00" u="1"/>
        <d v="2021-06-13T00:00:00" u="1"/>
        <d v="2021-05-27T00:00:00" u="1"/>
        <d v="2021-12-31T00:00:00" u="1"/>
        <d v="2021-05-01T00:00:00" u="1"/>
        <d v="2021-12-05T00:00:00" u="1"/>
        <d v="2021-06-06T00:00:00" u="1"/>
        <d v="2021-05-20T00:00:00" u="1"/>
        <d v="2021-12-24T00:00:00" u="1"/>
        <d v="2021-06-25T00:00:00" u="1"/>
        <d v="2021-05-13T00:00:00" u="1"/>
        <d v="2021-07-04T00:00:00" u="1"/>
        <d v="2021-12-17T00:00:00" u="1"/>
        <d v="2021-06-18T00:00:00" u="1"/>
        <d v="2021-05-06T00:00:00" u="1"/>
        <d v="2021-06-11T00:00:00" u="1"/>
        <d v="2021-05-25T00:00:00" u="1"/>
        <d v="2021-12-29T00:00:00" u="1"/>
        <d v="2021-06-30T00:00:00" u="1"/>
        <d v="2021-12-03T00:00:00" u="1"/>
        <d v="2021-06-04T00:00:00" u="1"/>
        <d v="2021-05-18T00:00:00" u="1"/>
        <d v="2021-12-22T00:00:00" u="1"/>
        <d v="2021-06-23T00:00:00" u="1"/>
        <d v="2021-05-11T00:00:00" u="1"/>
        <d v="2021-07-02T00:00:00" u="1"/>
        <d v="2021-12-15T00:00:00" u="1"/>
        <d v="2021-06-16T00:00:00" u="1"/>
        <d v="2021-05-04T00:00:00" u="1"/>
        <d v="2021-12-08T00:00:00" u="1"/>
        <d v="2021-06-09T00:00:00" u="1"/>
        <d v="2021-05-23T00:00:00" u="1"/>
        <d v="2021-12-27T00:00:00" u="1"/>
        <d v="2021-06-28T00:00:00" u="1"/>
        <d v="2021-12-01T00:00:00" u="1"/>
        <d v="2021-06-02T00:00:00" u="1"/>
        <d v="2021-05-16T00:00:00" u="1"/>
        <d v="2021-07-07T00:00:00" u="1"/>
        <d v="2021-12-20T00:00:00" u="1"/>
        <d v="2021-06-21T00:00:00" u="1"/>
        <d v="2021-05-09T00:00:00" u="1"/>
        <d v="2021-12-13T00:00:00" u="1"/>
        <d v="2021-06-14T00:00:00" u="1"/>
        <d v="2021-05-28T00:00:00" u="1"/>
        <d v="2021-05-02T00:00:00" u="1"/>
        <d v="2021-12-06T00:00:00" u="1"/>
        <d v="2021-06-07T00:00:00" u="1"/>
        <d v="2021-05-21T00:00:00" u="1"/>
        <d v="2021-12-25T00:00:00" u="1"/>
        <d v="2021-06-26T00:00:00" u="1"/>
        <d v="2021-05-14T00:00:00" u="1"/>
        <d v="2021-07-05T00:00:00" u="1"/>
        <d v="2021-12-18T00:00:00" u="1"/>
        <d v="2021-06-19T00:00:00" u="1"/>
        <d v="2021-05-07T00:00:00" u="1"/>
        <d v="2021-12-11T00:00:00" u="1"/>
        <d v="2021-06-12T00:00:00" u="1"/>
        <d v="2021-05-26T00:00:00" u="1"/>
        <d v="2021-12-30T00:00:00" u="1"/>
        <d v="2021-12-04T00:00:00" u="1"/>
        <d v="2021-06-05T00:00:00" u="1"/>
      </sharedItems>
    </cacheField>
    <cacheField name="Code" numFmtId="167">
      <sharedItems containsString="0" containsBlank="1" containsNumber="1" containsInteger="1" minValue="1" maxValue="28"/>
    </cacheField>
    <cacheField name="Folio" numFmtId="0">
      <sharedItems containsBlank="1" count="45">
        <m/>
        <s v="RECHPW22Spare"/>
        <s v="IN F/SALE"/>
        <s v="CASP"/>
        <s v="IN NUT"/>
        <s v="EXP804"/>
        <s v="RECST02"/>
        <s v="JC003"/>
        <s v="EXP811"/>
        <s v="PURWS001"/>
        <s v="EXP801"/>
        <s v="INWS"/>
        <s v="REWS01"/>
        <s v="JC004"/>
        <s v="PUR700"/>
        <s v="PAY201"/>
        <s v="EXP809"/>
        <s v="DBR SPARE"/>
        <s v="INCWSW"/>
        <s v="RECST01"/>
        <s v="CRR2022"/>
        <s v="SPR001"/>
        <s v="JC002"/>
        <s v="REPAY"/>
        <s v="RECST03"/>
        <s v="INFER" u="1"/>
        <s v="SPR006" u="1"/>
        <s v="EXP824" u="1"/>
        <s v="SPR007" u="1"/>
        <s v="SPR008" u="1"/>
        <s v="DIRECT PROFIT" u="1"/>
        <s v="IN Other" u="1"/>
        <s v="RECHPW20GBS" u="1"/>
        <s v="PayGBS206" u="1"/>
        <s v="IN TRI" u="1"/>
        <s v="INCGBS" u="1"/>
        <s v="Pay GBS Bank 20" u="1"/>
        <s v="RECHPW21Spare" u="1"/>
        <s v="SPR002" u="1"/>
        <s v="SPR003" u="1"/>
        <s v="CRR2021" u="1"/>
        <s v="REWS" u="1"/>
        <s v="SPR004" u="1"/>
        <s v="PAY207" u="1"/>
        <s v="SPR005" u="1"/>
      </sharedItems>
    </cacheField>
    <cacheField name="Particular" numFmtId="0">
      <sharedItems containsBlank="1" count="1163">
        <s v="Balance b / d"/>
        <s v="SP ကြွေးဆပ် ကိုထွန်းနိူင် ဝါးသောက်"/>
        <s v="SP ကြွေးဆပ် ကိုထွေး ဝါးသောက်"/>
        <s v="ဆိုင်- အလွတ်ရောင်း"/>
        <s v="SP အရောင်းဝင်ငွေ"/>
        <s v="နတ်အရောင်းဝင်ငွေ"/>
        <s v="ဆိုင်- ကိုမျိုးမြင့် ပစ္စည်းတင်ကားခ"/>
        <s v="ဆိုင်- ကိုဇင်ကို လစာယူငွေ"/>
        <s v="အိမ်- အအေး+မန်ကျည်းဗူးဝယ်"/>
        <s v="ဆိုင်- မိုင်းလစ်အထိုင်+304ဘော"/>
        <s v="WS- စူးသွား+ကော်ပတ်+ကျောက်ပြား"/>
        <s v="ဆိုင်- မီးလုံးဝယ်"/>
        <s v="ဆိုင်- စတပ်မော်တာ"/>
        <s v="SP ကြွေးဆပ် ဦးရဲအောင် ဝါးသောက်"/>
        <s v="WS-ဝင်ငွေ"/>
        <s v="WS- ကိုထွေး ယူငွေ"/>
        <s v="အိမ်- ဒေါ်လေး ယူငွေ"/>
        <s v="အိမ်- လေဘာသီး+အိတ်ဇောနတ်တိုင်"/>
        <s v="ဆိုင်- 10ဂွင်း+207ဘော"/>
        <s v="အိမ်- ဒေါ်လေး သို့အမြတ်ငွေထုတ်ပေး"/>
        <s v="WS- ဝင်ငွေ"/>
        <s v="ဆိုင်- ဘုရားပန်း"/>
        <s v="ဆိုင်- ဘဏ်ငွေလွှဲခ+ကယ်ရီခ"/>
        <s v="အိမ်- မီးစင်ပစ္စည်းဝယ်+လက်ခ"/>
        <s v="ဆိုင်- ဆီတိုင်ကီဖုံး+ပလပ်"/>
        <s v="ဆိုင်- အိမ်ကားကြီး ကားခပေး"/>
        <s v="ဆိုင်- ဘိုဘိုနိုင်နေ့စားခ"/>
        <s v="ဆိုင်- ကိုဇင်ကို လစာယူငွေ(ဖုန်းဘေ)"/>
        <s v="အိမ်- ဘိုဘိုနိုင် လာယူ"/>
        <s v="GBS"/>
        <s v="ဦးဘိုကြီး"/>
        <s v="ရွှေဝါမြေထွန်းလင်း"/>
        <s v="ရီရှင်း"/>
        <s v="HAN ASIA"/>
        <s v="ကျော်စိုး"/>
        <s v="GBS SPARE"/>
        <s v="USM"/>
        <s v="PW ဘတ္ထရီ"/>
        <s v="ဦးခင်မောင်"/>
        <s v="အေးမေတ္တာ"/>
        <s v="JJ FAMILY(ဦးစန်းသူ)"/>
        <s v="ဆိုင်- ဦးတင်အေး လက်ဆောင်ပေး (ကိုင်းဝယ်)"/>
        <s v="ဆိုင်- အအေး"/>
        <s v="ဆိုင်- ကိုဇင်ကို ထမင်းစား"/>
        <s v="အိမ်- အအေး"/>
        <s v="ဆိုင်- ဘားကွင်း+လေးစပလိန်"/>
        <s v="SP ကြွေးကျန် ကိုလေး ဝါးသောက်"/>
        <s v="မိဘရိပ်"/>
        <s v="အိမ်- ဖုန်းအားသွင်းကြိုး"/>
        <s v="ဆိုင်- မိဘရိပ် ငွေလွှဲခ"/>
        <s v="ဆိုင်- မိဘရိပ် ကားခ"/>
        <s v="ဆိုင်- ရေဘူးလဲ"/>
        <s v="SP ကြွေးကျန် ကိုကြီး ဝါးသောက်"/>
        <s v="ဆိုင်- ဂတ်စကက်"/>
        <s v="ဆိုင်- ကိုထွေးပစ္စည်းဆင်ခပေး"/>
        <s v="အိမ်- ဖုန်းမှန်မကွဲလဲ"/>
        <s v="ကိုလှမင်း"/>
        <s v="ဆိုင်- ကိုဇင်ကို ခေါင်းညှပ်ခပေး"/>
        <s v="ဆိုင်- ဘတ္ထရီအိုး အားသွင်း"/>
        <s v="ဆိုင်- မဏ္ဍိုင်ရိုက်ကြပ်နတ်"/>
        <s v="အိမ်- ငါး+ဓါး+မုန့်ဖက်"/>
        <s v="ဆိုင်- လက်ဆောင်ပေး(ပဲကြော်)"/>
        <s v="ဆိုင်-ဘိုဘိုနိုင်110CCဆင်ခပေး"/>
        <s v="ဆိုင်- ဂီယာပေါက်အဖုံး+နင်းတံ"/>
        <s v="ဆိုင်- မော်တာ"/>
        <s v="GBSP "/>
        <s v="ထွန်း"/>
        <s v="ဆိုင်- USWကော်မရှင်"/>
        <s v="ဆိုင်- တံမြတ်စည်း+တစ်ရှူး"/>
        <s v="ဆိုင်- အင်ဂျင်ဟက်+Super Glue"/>
        <s v="ဆိုင်- ဟက်အုံ+ဆော့ကဒ်"/>
        <s v="အိမ်- တိတ်ခွေ+bonsy"/>
        <s v="အိမ်- ကမာကနီး အလှူခံထည့်"/>
        <s v="WS- တူ"/>
        <s v="ဆိုင်- ပစ္စတင်+ဂီယာတံ"/>
        <s v="ဈာန်"/>
        <s v="SUPER"/>
        <s v="မန်းဧရာဝတီ"/>
        <s v="ကျင်းလုံ"/>
        <s v="AAM"/>
        <s v="ထူး"/>
        <s v="BULLET"/>
        <s v="မိုးသောက်ဧရာ"/>
        <s v="ရွှေနယား"/>
        <s v="Other"/>
        <s v="ဆိုင်- 205ဘော+ဟက်ဒရမ်"/>
        <s v="ဆိုင်- သံလိုက်တုံး+12ထုပ်"/>
        <s v="ဆိုင်- ဘုရားပန်း+ဖုန်းဘေ"/>
        <s v="ဆိုင်- 12ထုပ်ကွိုင်+ပင်နယံ+ဘောထိုင်"/>
        <s v="ဆိုင်- ဆီတိုင်ကီ"/>
        <s v="ဆိုင် -အလွတ်ရောင်း"/>
        <s v="အိမ်- 300Wအင်ပါတာ ဝယ်"/>
        <s v="အိမ်- ဘတ္ထရီအိုး+အက်စစ်"/>
        <s v="ဆိုင်- ဘော့စ်ပင်+အလှူခံ"/>
        <s v="အိမ်- ဒေါ်လေး ယူငွေ(ဦးကြည်လွင်ကိုပေး)"/>
        <s v="အိမ်- သုတ်ဆေးဗူး+Coolent"/>
        <s v="SP ကြွေးကျန် ဦးအောင်လင်း ပိန္နဲကန်"/>
        <s v="ဆိုင်- ရေသန့်ကဒ်"/>
        <s v="ဆိုင်- မလွင်လွင်သန်း လစာယူငွေ"/>
        <s v="ဆိုင်- စလစ်ကစ်ဆက်+310ဘော"/>
        <s v="ဆိုင်- Abကော်+Blowerကာ/တာ"/>
        <s v="SP ကြွေးဆပ် ဦးအောင်လင်း ပိန္နဲကန်"/>
        <s v="ဆိုင်- ဦးသန်းဇော် ကျွဲလူးအိုင် ကော်မရှင်ခပေး"/>
        <s v="SP ကြွေးကျန် ချစ်ကျော်သူ ဝါးသောက်"/>
        <s v="WS- ကိုထွေး ယူငွေ(ဖုန်းဘေ)"/>
        <s v="ဆိုင်- ဘိုဘိုနိုင် တာယာဂွေလဲခပေး"/>
        <s v="WS- Bonsy"/>
        <s v="SP ကြွေးဆပ် ချစ်ကျော်သူ ဝါးသောက်"/>
        <s v="အိမ်- ပိတ်စဝယ်"/>
        <s v="အိမ်- စုသက်ပေး"/>
        <s v="အိမ်- ဒေါ်လေးမိုးယူငွေ"/>
        <s v="WS- ကိုထွေးယူငွေ"/>
        <s v="SP ကြွေးကျန် ကိုခိုင်ဝင်း သံတရာ"/>
        <s v="SP  အရောင်းဝင်ငွေ"/>
        <s v="ဆိုင်- လက်ဆောင်ပေး ကယ်လီခ"/>
        <s v="ဆိုင်- ဘုရားပန်း+လက်ဖက်သား"/>
        <s v="ဆိုင်- လက်ဆောင်ပေး ပဲကြော်"/>
        <s v="WS- ကိုထွေးယူငွေ (ချဲထိုး)"/>
        <s v="WS- ကိုထွေးယူငွေ (လက်ဖွဲ့ငွေ)"/>
        <s v="WS- ကော်ပတ်"/>
        <s v="SP ကြွေးဆပ် ကိုခိုင်ဝင်း သံတရာ"/>
        <s v="WS- ဝင်းသစ္စာမီးစက်အရောင်းမှ ကော်မရှင်"/>
        <s v="အိမ်- ဖောင်ဒေးရှင်း အလှူငွေ"/>
        <s v="WS- ဓါတ်ဆီ ဝယ်"/>
        <s v="LNK "/>
        <s v="ဆိုင်- 500W အင်ပါတာဝယ်"/>
        <s v="ဆိုင်- ဘတ္ထရီအိုး+အက်ဆစ်"/>
        <s v="အိမ်- ဘတ္ထရီအိုး လဲထပ်ပေးငွေ"/>
        <s v="ဆိုင်- 22×55ဘော+Xဇော"/>
        <s v="ဆိုင်- သံပတ်"/>
        <s v="SP ကြွေးကျန် ဝင်းသစ္စာ"/>
        <s v="WS- ဦးဇင်မောင် မီတာခ+စာရွက်ခ"/>
        <s v="ဆိုင်- ဒေါ်ခင်မာချို မီတာခ+စာရွက်ခ"/>
        <s v="WS- ကိုထွေးယူငွေ (မီတာခ+စာရွက်ခ)"/>
        <s v="ရတနာဇင်မောင်  (မီတာခ+စာရွက်ခ)"/>
        <s v="ဆိုင်- 2ပေဘား"/>
        <s v="SP- အရောင်းဝင်ငွေ"/>
        <s v="ဆိုင်- ရေဗူးလဲ"/>
        <s v="ဆိုင်- 205ဘော"/>
        <s v="မိဘရိပ် "/>
        <s v="အိမ်- ဘရိတ်ဆီ+ကော်ဗူး+စူးသွား+ကျောက်ပြား"/>
        <s v="STL"/>
        <s v="ဦးဝင်းလှိုင်"/>
        <s v="အောင်မေတ္တာ"/>
        <s v="အောင်မေတ္တာ(၂)"/>
        <s v="မော်"/>
        <s v="ဆိုင်- တော်ခမယ်သွား ကယ်လီခ"/>
        <s v="အိမ်- ဒေါ်လေးမိုးယူငွေ(ဖုန်းဘေ)"/>
        <s v="အိမ်- စူးသွား+တိပ်"/>
        <s v="SP ကြွေးကျန် မလွင်လွင်သန်း ဝါးသောက်"/>
        <s v="SP ကြွေးကျန် ကိုထွေး Blowerပြင်"/>
        <s v="ဆိုင်- တူ"/>
        <s v="အိမ်- ဘရိတ်ဆီ"/>
        <s v="SP ကြွေးဆပ် ကိုကြီး ဝါးသောက်"/>
        <s v="SP ကြွေးဆပ် ကိုလေး ဝါးသောက်"/>
        <s v="SP ကြွေးဆပ် ဝင်းသစ္စာ ဝါးသောက်"/>
        <s v="ဆိုင်- မီးစက်+ဆိုင်ကယ်ဓါတ်ဆီ"/>
        <s v="ဆိုင်- အိမ်ထဲကားခပေး (၂)ခေါက်"/>
        <s v="ဆိုင်- မိဘရိပ်ကားခ"/>
        <s v="အိမ်- ကိုထွေးလာယူ"/>
        <s v="အိမ်- ပိတ်စဝယ်+ဖုန်းပြင်"/>
        <s v="အိမ်- ကော်ပတ်"/>
        <s v="SP ကြွေးကျန် ကိုကျော်စိုး ဝါးသောက်"/>
        <s v="ဆိုင်- 2T"/>
        <s v="ဆိုင်- ဓါတ်ဆီပြန်ရောင်းမှ ဝင်ငွေ"/>
        <s v="အိမ်- လစာဈေးဝယ်"/>
        <s v="WS- သံဗရပ် ဓါတ်ဆီ"/>
        <s v="ဆိုင်- ပါဆယ် အိတ်ဝယ်"/>
        <s v="ဆိုင်- သရေကွင်း+DCရေမြုပ်"/>
        <s v="ဆိုင်- ဝင်ငွေ(စက်ပြင်ခ)"/>
        <s v="ဆိုင်- ဘုရားပန်း+ရေကဒ်"/>
        <s v="အိမ်- ဆေးကဒ်ဝယ်"/>
        <s v="WS- ဒီဇယ်ဝယ်"/>
        <s v="အိမ်- ဖရဲသီးဝယ်"/>
        <s v="ဆိုင်- Power Tool ကံစမ်းမဲပေး"/>
        <s v="ဆိုင်- မုန့်+အအေး"/>
        <s v="ဆိုင်- စလစ်+ကလပ်အုံ"/>
        <s v="ဆိုင်- Excellent ဘားကုတ်(10)"/>
        <s v="ဆိုင်- အင်ပါတာ အလိုက်ပေးငွေ"/>
        <s v="ဆိုင်- ဓါတ်ဆီ"/>
        <s v="WS- Eg ပြုပြင်+ပစ္စည်းဝယ်"/>
        <s v="SP ကြွေးကျန် ကိုထွန်းနိူင် ဝါးသောက်"/>
        <s v="SP ကြွေးကျန် ကိုဖိုးစိတ် ဝါးသောက်"/>
        <s v="ဆိုင်- မခင်စန္ဒာမင်းဦး လစာယူငွေ"/>
        <s v="WS- အင်ဂျင်ဝိုင်"/>
        <s v="SP ကြွေးကျန် ချိန်းစောပြင်သမား"/>
        <s v="အိမ်- ဒေါ်လေးအမြတ်ငွေ ထုတ်ပေး"/>
        <m/>
        <s v="Workshop  မွ ပစၥည္းဝယ္" u="1"/>
        <s v="ျဖတ္ဘား+54+ဂတ္စကက္                                         (ေငြျပန္အမ္း)" u="1"/>
        <s v="WS- ကယ္ရီခ" u="1"/>
        <s v="ဦးဘိုႀကီး                                                      Cash (ေငြလႊဲ - YGN)    " u="1"/>
        <s v="WS- မီးတိုင္းဖိုး" u="1"/>
        <s v="WS- ေက်ာက္ၿပား+ေကာ္ပတ္" u="1"/>
        <s v="ဆိုင္- သၾကားလံုး+အေအး" u="1"/>
        <s v="ဆိုင္- စလစ္+ေကာ္+စီးတိပ္" u="1"/>
        <s v="AMM" u="1"/>
        <s v="ဆိုင္- ဂီယာေပါက္ျပင္- ပင္နယံရွပ္ဝယ္" u="1"/>
        <s v="ဦးဝင္းလႈိင္" u="1"/>
        <s v="ဆိုင္- ကလပ္ျပား+175စလစ္+ဂတ္စကက္                      (ေငြျပန္အမ္း)" u="1"/>
        <s v="သံုးဘီး ေၾကြးဆပ္ ဦးဝင္းသန္း ဒလ" u="1"/>
        <s v="ဆိုင္- ေဆးဗူး" u="1"/>
        <s v="ဆိုင္- ဘတၱရီ ဝယ္" u="1"/>
        <s v="WS- မီတာအခြန္" u="1"/>
        <s v="STL                                                                       (ေငြလႊဲ - YGN)" u="1"/>
        <s v="ဆိုင္- ခံုၿပင္+အမိုးၿပင္" u="1"/>
        <s v="ဆိုင္- ဝင္ေငြ(ေရျမွဳပ္ျပင္ခ)" u="1"/>
        <s v="ဆိုင္- ဂါဘနာကိုင္း" u="1"/>
        <s v="ဆိုင္- ပစၥခ်ခေပး" u="1"/>
        <s v="5 Hero" u="1"/>
        <s v="ဆိုင္- NASAမဲ" u="1"/>
        <s v="ဆိုင္- ေဘာပင္+ ဝါး" u="1"/>
        <s v="SP ေၾကြးက်န္ ကိုေထြး ဝါးေသာက္" u="1"/>
        <s v="SP ေၾကြးက်န္ ကိုၾကီး ဝါးေသာက္" u="1"/>
        <s v="SP ေၾကြးက်န္ ကိုႀကီး ဝါးေသာက္" u="1"/>
        <s v="SP ေၾကြးဆပ္ ဝင္းသစၥာ ဝါးေသာက္" u="1"/>
        <s v="SP ေၾကြးဆပ္ ေဒၚမိလဲ့ ဝါးေသာက္" u="1"/>
        <s v="SP ေၾကြးဆပ္ ေမာ္ေမာ္ ဝါးေသာက္" u="1"/>
        <s v="အိမ္- ဆရာမစာၾကည့္ခံုရိုက္ခ + စပ်စ္သီး" u="1"/>
        <s v="မအူပင္                                                                (ေငြလႊဲ - YGN)       " u="1"/>
        <s v="SP ေၾကြးဆပ္ ဦးစန္းသူ ဒလ" u="1"/>
        <s v="ဆိုင္- ပါဆယ္အိတ္" u="1"/>
        <s v="WS- ဝင္ေငြ ေဘးကပ္ အေရာင္း" u="1"/>
        <s v="ဆိုင္- ေရဘူး" u="1"/>
        <s v="ဆိုင္- အမ္းခံု" u="1"/>
        <s v="ဆိုင္- အင္ပါယ္လာ+ဘားတံ" u="1"/>
        <s v="က်င္းလံု" u="1"/>
        <s v="ဆို္င္- ဘိုဘိုနိုင္ ေန႔စားခ" u="1"/>
        <s v="ဆိုင္- 207UCP+ဒိုင္အုပ္" u="1"/>
        <s v="ဆိုင္- ပါဆယ္အိတ္+ အေအး" u="1"/>
        <s v="ဆိုင္- ဖုန္းေဘ" u="1"/>
        <s v="ဆိုင္- ပစၥတင္+Fullset+ရိန္း+ဘားတံ                          " u="1"/>
        <s v="ဆိုင္- ဓါးသြား                                                   " u="1"/>
        <s v="ဆိုင္- ကာပရိုက္တာ+ကလစ္" u="1"/>
        <s v="ဦးဘိုႀကီး                                                      Cash (ေငြလႊဲ - YGN)" u="1"/>
        <s v="ဆိုင္- ေရတိုင္ကီ ေငြျပန္အမ္းသည္                                            " u="1"/>
        <s v="ဆိုင္- ဂတ္စကက္+ပလန္ခ်ာ+ဂိတ္ျပ+ေနာ္ဇယ္+ဂါဂ်ီပင္     (ေငြျပန္အမ္း)" u="1"/>
        <s v="ကိုျမင့္လြင္ သံုးဘီးေၾကြးဆပ္" u="1"/>
        <s v="ဆိုင္- ပူလီၾကိဳး+EG(7.5HP)" u="1"/>
        <s v="ရီရွင္း                                                           Cash (ေငြလႊဲ - Wave)" u="1"/>
        <s v="ကိုကိုင္ဇာေဌး သံုးဘီးေၾကြးဆပ္" u="1"/>
        <s v="ဆိုင္- ကိုဇင္ကို လစာယူေငြ(အခ်ိန္ပို)" u="1"/>
        <s v="ဆိုင္- ပစၥတင္+ရိန္း                                                   (ေငြျပန္အမ္း)" u="1"/>
        <s v="ဆိုင္- ပူလီ                                                           (ေငြျပန္အမ္း)" u="1"/>
        <s v="ဆိုင္- ရိန္း+ပစၥတင္                                                   (ေငြျပန္အမ္း)" u="1"/>
        <s v="ဆိုင္- ေရၿမွဳပ္" u="1"/>
        <s v="ဆိုင္-သိန္းမွ စပါယ္ဖူး ျပန္ေပး" u="1"/>
        <s v="SP ေၾကြးက်န္ ကိုလြင္ကိုဦး မဝန္း" u="1"/>
        <s v="ဆိုင္- 35-60-12 အဝိုင္းစီး  (2)                                   (ေငြျပန္အမ္း)" u="1"/>
        <s v="ဆိုင္- 56 ႀကိဳး+ဂီယာဝိုင္+ေလွ်ာဗန္း                               (ေငြျပန္အမ္း)" u="1"/>
        <s v="ဆိုင္- H ကေတာ့                                                    (ေငြျပန္အမ္း)" u="1"/>
        <s v="ဆိုင္- ဂီယာေပါက္ဖံုး+ထပ္ရိန္း                                     (ေငြျပန္အမ္း)" u="1"/>
        <s v="ဆိုင္- ပလန္ခ်ာ+ဘီးရွပ္                                            (ေငြျပန္အမ္း)" u="1"/>
        <s v="ဆိုင္- ဘားဆက္စံု+ အဝိုင္းစီး                                      (ေငြျပန္အမ္း)" u="1"/>
        <s v="ဆိုင္- ဘီလူးေခါင္း+ပီနီယံ                                         (ေငြျပန္အမ္း)" u="1"/>
        <s v="ဆိုင္- အမ္းခံု+8T+ 14T                                            (ေငြျပန္အမ္း)" u="1"/>
        <s v="ဆိုင္- ေနုာ္ဇယ္+ဝရိန္ထုပ္                                         (ေငြျပန္အမ္း)" u="1"/>
        <s v="ဆိုင္- စလစ္ကစ္ဆက္+ေနာ္ဇယ္ကစ္ဆက္                     (ေငြျပန္အမ္း)" u="1"/>
        <s v="Other                                                        Cash (ေငြလႊဲ - YGN)" u="1"/>
        <s v="ASIA HONDA" u="1"/>
        <s v="WS- 6.5အထိုင္ ဝယ္" u="1"/>
        <s v="ဆိုင္- ပစၥည္းခ်ခေပး+အင္ဂ်င္ေဖာက္ခေပး" u="1"/>
        <s v="မိဘရိပ္" u="1"/>
        <s v="SP ေၾကြးက်န္ ကိုဝင္းမင္းေက်ာ္ (ေညာင္ပင္သာ)" u="1"/>
        <s v="ကိုေထြး ယူေငြ" u="1"/>
        <s v="ဆိုင္- 56ႀကိဳး+ေနာ္ဇယ္+ဘားဆက္                              (ေငြျပန္အမ္း)" u="1"/>
        <s v="ဆိုင္- ကစ္ဆက္+ဂတ္စကက္                                      (ေငြျပန္အမ္း)" u="1"/>
        <s v="ဆိုင္- စလစ္+ဘယ္ရင္+ရိန္း+DF ေပါင္                          (ေငြျပန္အမ္း)" u="1"/>
        <s v="ဆိုင္- ပလန္ခ်ာ+ထရန္စဖာ+ကင္းရွပ္                            (ေငြျပန္အမ္း)" u="1"/>
        <s v="ဆိုင္- ဘားစပလိန္+သံဘီး+စလစ္                                (ေငြျပန္အမ္း)" u="1"/>
        <s v="Workshop        သံဘီး                                           (ေငြလႊဲ - ဆိုင္)" u="1"/>
        <s v="ဆိုင္- ဓါတ္ဆီ" u="1"/>
        <s v="ဆိုင္- ဓါတ္ဆီ " u="1"/>
        <s v="ဆိုင္- ဆီဝါရွာထုပ္                                                     (ေငြျပန္အမ္း)" u="1"/>
        <s v="ဆိုင္- ပစၥတင္                                                          (ေငြျပန္အမ္း)" u="1"/>
        <s v="ဆိုင္- ပီနီယံ                                                          (ေငြျပန္အမ္း)" u="1"/>
        <s v="ဆိုင္- ပူလီႀကိဳး                                                       (ေငြျပန္အမ္း)" u="1"/>
        <s v="ဦးစည္သူ သံုးဘီးေၾကြးဆပ္                                        (ေငြလႊဲ - ဆိုင္)" u="1"/>
        <s v="အိမ္-Wave+စုသက္ေၾကြးဆပ္" u="1"/>
        <s v="ေအာင္ေမတၱာ" u="1"/>
        <s v="ဆိုင္- 56 ခ်ိန္း+Armax+ေဘာ" u="1"/>
        <s v="ဆိုင္- 207 UPC ေဘာ                                              (ေငြျပန္အမ္း)" u="1"/>
        <s v="ဆိုင္- 20×50 ေဘာ+မိန္းရွပ္                                      (ေငြျပန္အမ္း)" u="1"/>
        <s v="ဆိုင္- DF ခ်ိန္း+ အင္ပါယ္လာ                                     (ေငြျပန္အမ္း)" u="1"/>
        <s v="ဆိုင္- ဇက္ပင္+ေရတိုင္ကီ+ရိန္း                                   (ေငြျပန္အမ္း)" u="1"/>
        <s v="ဆိုင္- ဘားေထာက္                                                 (ေငြျပန္အမ္း)" u="1"/>
        <s v="ဆိုင္- ေနာ္ဇယ္္+ပလန္ခ်ာ+74                                      (ေငြျပန္အမ္း)" u="1"/>
        <s v="ဆိုင္- ေရေမာ္တာ+ အင္ဂ်င္ဝိုင္                                   (ေငြျပန္အမ္း)" u="1"/>
        <s v="SP ေၾကြးက်န္  မိဘေမတၱာ ဝါးေသာက္" u="1"/>
        <s v="SP ေၾကြးက်န္ ကိုဇင္ကို ဝါးေသာက္" u="1"/>
        <s v="SP ေၾကြးက်န္ အဖိုးၾကီး ဝါးေသာက္" u="1"/>
        <s v="SP ေၾကြးက်န္ ဦးၿမၾကည္ ဝါးေသာက္" u="1"/>
        <s v="SP ေၾကြးက်န္ ေက်ာ္စိုး ဝါးေသာက္" u="1"/>
        <s v="SP ေၾကြးဆပ္ ကိုမ်ိဳးသူ ဝါးေသာက္" u="1"/>
        <s v="SP ေၾကြးဆပ္ ကိုသက္နိင္ ဝါးေသာက္" u="1"/>
        <s v="SP ေၾကြးဆပ္ ေဒၚေအးဝင္း ဝါးေသာက္" u="1"/>
        <s v="ဆိုင္- ဘုရားပန္း" u="1"/>
        <s v="အိမ္- ေမြးေန႔ လက္ေဆာင္ဝယ္" u="1"/>
        <s v="ကိုလွေငြ" u="1"/>
        <s v="ဆိုင္- 56ၾကိဳး" u="1"/>
        <s v="ဆိုင္- 207+300U" u="1"/>
        <s v="ကိုကရင္                                                        Cash (ေငြလႊဲ - YGN)" u="1"/>
        <s v="ဆိုင္- စလစ္ကစ္ဆက္+ဂတ္စကက္                               (ေငြျပန္အမ္း)" u="1"/>
        <s v="WS- ပူလီၿပင္ခေပး" u="1"/>
        <s v="ဆိုင္- ဂါဂ်ီပင္ဘြတ္+အဲယားပူလီ" u="1"/>
        <s v="Other                                                            Cash (ေငြလႊဲ - YGN)" u="1"/>
        <s v="ဆိုင္- ဖိုင္ဝယ္" u="1"/>
        <s v="ဆိုင္- ဆိုင္ကယ္ျပင္" u="1"/>
        <s v="ေဒၚဝင္းဝင္းေဌး သံုးဘီးေၾကြးဆပ္                                 (ေငြလႊဲ - ဆိုင္)" u="1"/>
        <s v="DI အင္ဂ်င္ဝိုင္                                                       (ေငြလႊဲ - ဆိုင္)" u="1"/>
        <s v="ဦးဝင္းလႈိင္                                                               (ေငြလႊဲ - YGN)" u="1"/>
        <s v="ဆိုင္- Bosny" u="1"/>
        <s v="ေအးေမတၱာ" u="1"/>
        <s v="အိမ္- ေဒၚေလးဖုန္းေဘ" u="1"/>
        <s v="ဦးဘိုႀကီး                                                         Cash (ေငြလႊဲ - YGN)" u="1"/>
        <s v="ဆိုင္- ပစၥည္းခ်ခေပး" u="1"/>
        <s v="ဆိုင္- 698909+30206" u="1"/>
        <s v="WS- ဝင္ေငြ ဦးၾကည္လြင္ ဝရိန္" u="1"/>
        <s v="သံုးဘီး ေၾကြးဆပ္ ကိုကိုင္ဇာေဌး ဝါးေသာက္" u="1"/>
        <s v="ဆိုင္- မာလကာပင္ဝယ္" u="1"/>
        <s v="မန္းဧရာဝတီ" u="1"/>
        <s v="WS- ဝင္ေငြ (ကိုခ်က္ၾကီးေၾကြးဆပ္)" u="1"/>
        <s v="မန္းဧရာဝတီ                                                 Cash (ေငြလႊဲ - YGN)" u="1"/>
        <s v="ျမင့္ျမ" u="1"/>
        <s v="Htoo                                                          Cash (ေငြလႊဲ - YGN)" u="1"/>
        <s v="ေက်ာ္စိုး နတ္                                                Cash (ေငြလႊဲ - YGN)" u="1"/>
        <s v="တတ္ေရႊလဝန္း" u="1"/>
        <s v="WS- ဝင္ေငြ (ကိုခ်က္ၾကီး ေၾကြးဆပ္)" u="1"/>
        <s v="အိမ္- ယမင္းအဝတ္ေလွ်ာ္ခ" u="1"/>
        <s v="SP ေၾကြးဆပ္ ဦးသန္းေဇာ္ဦး ေတာ္ကလိတ္" u="1"/>
        <s v="သံုးဘီးေၾကြးဆပ္ ကိုေသာ္ဇင္ၿဖိဳး မဝန္း" u="1"/>
        <s v="ဆိုင္- ဘဏ္ေငြထုတ္ခ" u="1"/>
        <s v="ဆိုင္- လင္ဗန္း+အင္ဂ်င္ဝိုင္" u="1"/>
        <s v="ဆိုင္- ဂီယာဝိုင္+20×50" u="1"/>
        <s v="သံုးဘီး ေၾကြးဆပ္ ဦးသန္းနိူင္ ကညင္ကုန္း" u="1"/>
        <s v="ဆိုင္- ကင့္ကာဘာ" u="1"/>
        <s v="ဆိုင္- မုန္႔+ကားခ+ကယ္ရီခ" u="1"/>
        <s v="SP ေၾကြးက်န္ ကိုမ်ိဳး သဲကုန္းတန္း" u="1"/>
        <s v="SP ေၾကြးက်န္ ဦးမ်ိဳး သဲကုန္းတန္း" u="1"/>
        <s v="ဆိုင္-စလစ္+ေနာ္ဇယ္အံု" u="1"/>
        <s v="ZAN                                                                  (ေငြလႊဲ - YGN)" u="1"/>
        <s v="ဆိုင္- တပ္မ" u="1"/>
        <s v="ဆိုင္- မိဘေမတၱာ သံုးဘီးဆင္ခေပး" u="1"/>
        <s v="ေက်ာ္စိုး နတ္" u="1"/>
        <s v="ဆိုင္- Q185 ဂတ္စကက္+ Full Set                               (ေငြျပန္အမ္း)" u="1"/>
        <s v="ဆိုင္- စလစ္ကစ္ဆက္+နားရြက္ျပား                               (ေငြျပန္အမ္း)" u="1"/>
        <s v="အိမ္- ေဒၚခင္ေအးေမာ္ waveလြဲ" u="1"/>
        <s v="ေအာင္ေမတၱာ                                                          (ေငြလႊဲ - YGN)" u="1"/>
        <s v="ဆိုင္- ဝင္ေငြ တံခါးပင္ 5 ေခ်ာင္း" u="1"/>
        <s v="အိမ္- Wave Money ဖုန္းထဲေငြေရာက္" u="1"/>
        <s v="ဆိုင္- သားေရကြင္း" u="1"/>
        <s v="WS- မ်က္မွန္ ဝယ္" u="1"/>
        <s v="WS- ေက်ာက္စက္" u="1"/>
        <s v="SP ေၾကြးဆပ္ ဦးဝင္းကို ျမကၽြန္းသာ" u="1"/>
        <s v="ဆိုင္- ေရေမာ္တာ+ရိန္း" u="1"/>
        <s v="SP ေၾကြးက်န္ Wave Money ေကာ့မွဴး" u="1"/>
        <s v="ေက်ာ္စိုး နတ္                                                Cash  (ေငြလႊဲ - ဆိုင္)" u="1"/>
        <s v="ဆိုင္- သံဘီး                                                         (ေငြျပန္အမ္း)" u="1"/>
        <s v="ဆိုင္- ဓါတ္ဆီ+ဖုန္းေဘ" u="1"/>
        <s v="WS- ကာပြန္+သုတ္ေဆး+ပန္းေကာ္ပတ္" u="1"/>
        <s v="ဆိုင္- DFေပါင္အံု+အင္ဂ်င္ဝိုင္" u="1"/>
        <s v="ဆိုင္- ေရသန္႔ကဒ္+အေအး" u="1"/>
        <s v="ဆိုင္- 310ေဘာ+ဝါရွာ " u="1"/>
        <s v="ဆိုင္- ဆင္းကဒ္ဝယ္" u="1"/>
        <s v="ေက်ာ္ရွင္း                                                       Cash (ေငြလႊဲ - YGN)" u="1"/>
        <s v="အိမ္- အိမ္သာ၊ေရခ်ိဳးခန္းျပင္ ေန႔စားခ" u="1"/>
        <s v="SP ေၾကြးဆပ္ ဦးၿမင့္စိုး သေၿပကုန္း" u="1"/>
        <s v="WS- ေယာင္းမစက္သြား                                            (ေငြလႊဲ - အိမ္)" u="1"/>
        <s v="ဆိုင္- 12T+72ၾကိဳး" u="1"/>
        <s v="မိဘရိပ္ ပစၥည္းတင္ ကယ္လီခ" u="1"/>
        <s v="WS- ကိုေထြးယူေငြ ဖုန္းေဘ" u="1"/>
        <s v="ဦးေသာင္းထိုက္  သံုးဘီးေၾကြးဆပ္" u="1"/>
        <s v="ဦးေအာင္မိုးသူ  သံုးဘီးေၾကြးဆပ္" u="1"/>
        <s v="ဆိုင္- ဓါးေခါင္း+ဓါး" u="1"/>
        <s v="WS- ဒီဇယ္(2) + 1&quot;X 3/4" u="1"/>
        <s v="WS- 204 ေဘာ" u="1"/>
        <s v="ဆိုင္- ေသနတ္" u="1"/>
        <s v="½ Set                                                                   (ေငြျပန္အမ္း)" u="1"/>
        <s v="WS- 207 ေဘာ" u="1"/>
        <s v="အိမ္- ၾကယ္သီးေငြျပန္ေပး(မသီရိ)" u="1"/>
        <s v="ဆိုင္- 7&quot;ပူလီ+ေရလည္ပူလီ" u="1"/>
        <s v="သံုးဘီး ေၾကြးဆပ္ ေဒၚသီသီခိုင္ ထမ္းမနိုင္" u="1"/>
        <s v="သံုးဘီးေၾကြးဆပ္ ကိုၿဖိဳးေဇာ္+ မသက္သက္ေဝ ေမွာ္ဘီ" u="1"/>
        <s v="ဆိုင္- ေနာ္ဇယ္အံု+ပင္စတင္ညီ" u="1"/>
        <s v="ဒဂၤဂါး                                                            Cash (ေငြလႊဲ - YGN)" u="1"/>
        <s v="ဆိုင္- ဘုရားပန္း+သၾကားလံုး" u="1"/>
        <s v="ဆိုင္- အင္ဂ်င္ ေဖာက္ခ+မုန္႔ဝယ္" u="1"/>
        <s v="ZAN                                                                     (ေငြလႊဲ - YGN)" u="1"/>
        <s v="ေဒၚခင္ၿပံဳးမူ သံုးဘီးေၾကြးဆပ္                                       (ေငြလႊဲ - ဆိုင္)" u="1"/>
        <s v="ေက်ာ္စိုး နတ္မွ ေငြၿပန္အမ္း" u="1"/>
        <s v="WS- မီးတိတ္+အမဲဆီ+ဆက္တံတို" u="1"/>
        <s v="SP ေၾကြးဆပ္ ကိုေလး ဝါးေသာက္" u="1"/>
        <s v="SP ေၾကြးဆပ္ မမိလဲ့ ဝါးေသာက္" u="1"/>
        <s v="ဆိုင္- အင္ဂ်င္ဝိုင္ လက္ေဆာင္" u="1"/>
        <s v="ဆိုင္- ကစ္တံ(1)+ကစ္တံ(2)" u="1"/>
        <s v="ဆိုင္- Wave ေငြလႊဲခေပး" u="1"/>
        <s v="WS- ဘိုဘိုနိုင္ ယူေငြ" u="1"/>
        <s v="ဆိုင္- စက္သက္ခလုပ္" u="1"/>
        <s v="သံုးဘီး ေၾကြးဆပ္ ကိုဝင္းကိုနိူင္ ထမ္းမနိူင္" u="1"/>
        <s v="သရဖူ                                                         Cash (ေငြလႊဲ - YGN)" u="1"/>
        <s v="SP ေၾကြးဆပ္ ဦးထြန္းလွ က်ံဴဒရယ္" u="1"/>
        <s v="ဆိုင္- အင္ဂ်င္ခ်ခ+ တစ္ဘီး ဆင္ခ" u="1"/>
        <s v="ဆိုင္- အပ္ေငြ လိုေငြ" u="1"/>
        <s v="ျပည္ေတာ္စိုး" u="1"/>
        <s v="ဆိုင္- ေဘာပင္" u="1"/>
        <s v="သံုးဘီး ေၾကြးဆပ္ ဦးရဲဝင္းထြန္း ေကာ့ဒြန္း" u="1"/>
        <s v="Han Asia                                                    Cash (ေငြလႊဲ - YGN)" u="1"/>
        <s v="ဆိုင္- ရိန္း+ၿဖတ္ဘား" u="1"/>
        <s v="သံုးဘီးေၾကြးဆပ္ ဦးဝင္းၾကည္ ၿမိဳ႕ကုန္း" u="1"/>
        <s v="မိုးေသာက္ဧရာ" u="1"/>
        <s v="ဆိုင္- 18ေကာင္ မိန္းဖလန္း" u="1"/>
        <s v="Work Shop                                                 Cash (ေငြလႊဲ - YGN)" u="1"/>
        <s v="ဆိုင္- ေကာ္လရွင္(2)" u="1"/>
        <s v="ဦးဝင္းသန္း သံုးဘီး ေၾကြးဆပ္" u="1"/>
        <s v="ဆိုင္- ကိုဇင္ကို လစာယူေငြ" u="1"/>
        <s v="ဆိုင္- ဘေလာက္အိုး+ကင္းမရွပ္" u="1"/>
        <s v="ဆိုင္- GBS သံုးဘီးျပန္ပို႔လမ္းစရိတ္" u="1"/>
        <s v="အိမ္- မီးတိပ္" u="1"/>
        <s v="SP ေၾကြးဆပ္ ဦးေဌးေအာင္ ဓါတ္ေတာ္" u="1"/>
        <s v="မန္းဧရာဝတီ                                                   Cash (ေငြလႊဲ - YGN)" u="1"/>
        <s v="ဆိုင္- 206 ေဘာ+ဘက္ရွပ္ေဘာေထာက္                        (ေငြျပန္အမ္း)" u="1"/>
        <s v="ဆိုင္- 304 ေဘာ+ကီးစံု+ဘေလာက္Set                       (ေငြျပန္အမ္း)" u="1"/>
        <s v="ဆိုင္- Toyo ေလွ်ာဗန္း+ အိတ္ေဇာဗူး+KWဆီတိုင္ကီ         (ေငြျပန္အမ္း)" u="1"/>
        <s v="ဆိုင္- ဂဲကာ+ေဘးကာ+သားေရျပား+သံျပား                    (ေငြျပန္အမ္း)" u="1"/>
        <s v="ဆိုင္- ေကာ္ပတ္+ေသာ့Set+ဂတ္စကက္                        (ေငြျပန္အမ္း)" u="1"/>
        <s v="WS-  ဝရိန္းေခ်ာင္း +ေကာ္ပတ္" u="1"/>
        <s v="ေအာင္ေမတၱာ                                                         (ေငြလႊဲ - YGN)" u="1"/>
        <s v="ဆိုင္- 2ရြက္ပန္ကာ" u="1"/>
        <s v="ဆိုင္- Xေဇာေၿပာင္း+အင္ဂ်င္ဝိုင္" u="1"/>
        <s v="ဆိုင္- WS သံဘီးျပဳျပင္ခေပး" u="1"/>
        <s v="ဆိုင္- WSပစၥည္းျပဳျပင္ခေပး" u="1"/>
        <s v="ဆိုင္- 14 စြယ္+နတ္ေခါင္း+ဆြဲသီး" u="1"/>
        <s v="SP- ေၾကြးက်န္ ဦးျပည့္မ်ိဳးေအာင္ ကမာပါ" u="1"/>
        <s v="SP ေၾကြးဆပ္ ကိုတင္လွ မဝန္း" u="1"/>
        <s v="WS- ငွက္လႊ" u="1"/>
        <s v="ဆိုင္- Nasa မဲ ဝင္ေငြ" u="1"/>
        <s v="ဆိုင္- WS ကိုယ္ထည္ျပင္ခေပး" u="1"/>
        <s v="ဆိုင္- သံလိုက္တံုး" u="1"/>
        <s v="ေရႊဝါေျမထြန္းလင္း                                          Cash (ေငြလႊဲ - YGN)" u="1"/>
        <s v="5 Hero                                                        Cash (ေငြလႊဲ - YGN)" u="1"/>
        <s v="WS- အမဲဆီ+ဂါပနာၿခမ္း+ကြာတာ" u="1"/>
        <s v="WS- စူးသြား" u="1"/>
        <s v="ဆိုင္- Molar+9ေကာင္ဆီအိုး" u="1"/>
        <s v="SP ေၾကြးက်န္ ဦးစန္းဦး အလယ္ေခ်ာင္း (ေခ်းေငြ)" u="1"/>
        <s v="ဦးခင္ေမာင္                                                   Cash (ေငြလႊဲ - YGN)" u="1"/>
        <s v="ဆိုင္- ကစ္ဆက္+310+210" u="1"/>
        <s v="ဦးဘိုႀကီး(1-5-2021)                                        Cash (ေငြလႊဲ - YGN)" u="1"/>
        <s v="WS- ဝင္ေငြ အင္းလက္ဗူးျပင္ခ" u="1"/>
        <s v="ဆိုင္- ေရသန္႔ကဒ္+ပါဆယ္အိတ္" u="1"/>
        <s v="SP ေၾကြးဆပ္ မိဘေမတၱာ ဝါးေသာက္(ဟက္ဖိုးၿပန္သြင္းေငြ)" u="1"/>
        <s v="ဆိုင္- ေရတိုင္ကီ ၿပဳၿပင္ခ" u="1"/>
        <s v="မန္းဧရာဝတီ                                                            (ေငြလႊဲ - YGN)" u="1"/>
        <s v="ဆိုင္- ပါကင္စံု" u="1"/>
        <s v="ဆိုင္- ကိုမ်ိဳးျမင့္ ပစၥည္းတင္ကာခ" u="1"/>
        <s v="SP ေၾကြးဆပ္ ကိုဝင္းမင္းေက်ာ္ ေညာင္ပင္သာ" u="1"/>
        <s v="ဆိုင္- ဆြဲသီး+လီဗာၾကိဳး" u="1"/>
        <s v="ဆိုင္- အင္ဂ်င္ေဖာက္ခေပး" u="1"/>
        <s v="GBS Spare                                                  Cash (ေငြလႊဲ - YGN)" u="1"/>
        <s v="WS- ဘားနစ္+တင္ဒါ" u="1"/>
        <s v="ဆိုင္- ဘုရားပန္း+ဘထၳရီအားသြင္း" u="1"/>
        <s v="SP ေၾကြက်န္ ကိုသက္နိုင္ ဝါးေသာက္" u="1"/>
        <s v="SP ေၾကြးက်န္ ကိုင္ဇာေဌး ဝါးေသာက္" u="1"/>
        <s v="SP ေၾကြးက်န္ ကိုသန္႔ဇင္ ဝါးေသာက္" u="1"/>
        <s v="SP ေၾကြးက်န္ ေဒၚေအးဝင္း ဝါးေသာက္" u="1"/>
        <s v="SP ေၾကြးဆပ္ ကိုကိုဇာေဌး ဝါးေသာက္" u="1"/>
        <s v="SP ေၾကြးဆပ္ ကိုသန္းေဇာ္ ဝါးေသာက္" u="1"/>
        <s v="SP ေၾကြးဆပ္ ခ်စ္ေက်ာ္သူ ဝါးေသာက္" u="1"/>
        <s v="SP ေၾကြးဆပ္ ဦးမင္းေဇာ္ ဝါးေသာက္" u="1"/>
        <s v="SP ေၾကြးဆပ္ ဦးၾကည္လြင္ ဝါးေသာက္" u="1"/>
        <s v="SP ေၾကြးဆပ္ ဦးၾကည္ဝင္း ဝါးေသာက္" u="1"/>
        <s v="ဆိုင္- 1/2set+ဖူးစေတာ့တံ" u="1"/>
        <s v="WS- Bosny" u="1"/>
        <s v="ကိုလွေငြ                                                      Cash (ေငြလႊဲ - Mobile)" u="1"/>
        <s v="ဦးခင္ေမာင္သန္း  သံုးဘီး ေၾကြးဆပ္" u="1"/>
        <s v="WS- ဒီဇယ္" u="1"/>
        <s v="SP ေၾကြးဆပ္ ကိုဟန္ေက်ာ္စိုး ထန္းမနိုင္" u="1"/>
        <s v="SP ေၾကြးက်န္ ဦးစိုးသန္း ကိုးေတာင္" u="1"/>
        <s v="WS- အေအး" u="1"/>
        <s v="WS- ကိုေထြးယူေငြ (ဖုန္းေဘ)" u="1"/>
        <s v="ဆိုင္- ဗို႔မီတာ+ပူလီ" u="1"/>
        <s v="SP- ေၾကြးက်န္ ဦးမ်ိဳးနိုင္ ပိႏၷဲကန္" u="1"/>
        <s v="SP ေၾကြးက်န္ ကိုေလး ဝါးေသာက္" u="1"/>
        <s v="SP ေၾကြးက်န္ မမိလဲ့ ဝါးေသာက္" u="1"/>
        <s v="SP ေၾကြးက်န္သန္႔ဇင္ ဝါးေသာက္" u="1"/>
        <s v="SP ေၾကြးဆပ္ ကိုေထြး ဝါးေသာက္" u="1"/>
        <s v="SP ေၾကြးဆပ္ ကိုၾကီး ဝါးေသာက္" u="1"/>
        <s v="SP ေၾကြးဆပ္ ကိုႀကီး ဝါးေသာက္" u="1"/>
        <s v="SP ေၾကြးဆပ္ သန္႔ဇင္ ဝါးေသာက္" u="1"/>
        <s v="ဆိုင္- DAP+ေကာမတ္" u="1"/>
        <s v="5 Hero                                                          Cash (ေငြလႊဲ - YGN)" u="1"/>
        <s v="ေက်ာ္စိုး နတ္                                                  Cash (ေငြလႊဲ - YGN)" u="1"/>
        <s v="ဆိုင္- အိတ္ေဇာေဂါက္" u="1"/>
        <s v="WS- ကိုေထြးယူေငြ" u="1"/>
        <s v="ဆိုင္- ခ်စ္ဖိန္႔ေပး အင္ဂ်င္ျပင္ခ" u="1"/>
        <s v="WS- ဝင္ေငြ ေဘးကပ္" u="1"/>
        <s v="ဆိုင္- ဘီးဖလန္း+304" u="1"/>
        <s v="WS- ကိုေထြးဖုန္းေဘ" u="1"/>
        <s v="ဆိုင္- ကိုဇင္ကို မုန္႔ဖိုးေပး" u="1"/>
        <s v="ကိုမင္းေဇာ္" u="1"/>
        <s v="ဆိုင္- ကာဗြန္ျပား+ဘရိတ္ရွဴး" u="1"/>
        <s v="SP ေၾကြးဆပ္ ကိုဟန္ေက်ာ္စိုး ထမ္းမနိုင္" u="1"/>
        <s v="ဦးခင္ေမာင္                                                     Cash (ေငြလႊဲ - YGN)" u="1"/>
        <s v="WS- ပန္းေကာ္ပတ္" u="1"/>
        <s v="ေျမဆီ အေရာင္းဝင္ေငြ" u="1"/>
        <s v="ဆိုင္- ဘရိတ္ရွဴး+အမဲဆီ" u="1"/>
        <s v="ဆိုင္- မိဘရိပ္ ကားခ(2)ေခါက္" u="1"/>
        <s v="Workshop     (ဆိုင္မွသံဘီးဝယ္)                        Cash  (ေငြလႊဲ - ဆိုင္)" u="1"/>
        <s v="5  Hero                                                        Cash  (ေငြလႊဲ - YGN)" u="1"/>
        <s v="ဆိုင္- ဝင္ေငြ ကားခ" u="1"/>
        <s v="Armax                                                                   (ေငြလႊဲ - ဆိုင္)" u="1"/>
        <s v="ဆိုင္- စကၠဴဝယ္" u="1"/>
        <s v="ဆိုင္- ရွဴးျခမ္း" u="1"/>
        <s v="ဆိုင္- ဓါတ္ဆီ+မီတာစာရြက္ခ" u="1"/>
        <s v="ဆိုင္- LY+မ/ထ သီး" u="1"/>
        <s v="ဆိုင္- ကြန္ပ်ဴတာ Battery" u="1"/>
        <s v="WS-  ဝရိန္ထုပ္+ဝရိန္မွန္" u="1"/>
        <s v="WS- ကိုေထြးယူေငြ ပစၥည္းဝယ္(ခ်စ္ဖိန္႔)" u="1"/>
        <s v="SP ေၾကြးက်န္ ကိုေဇာ္မ်ိဳး ဝါးေသာက္                         " u="1"/>
        <s v="SP ေၾကြးက်န္ ကိုမ်ိဳးနိုင္ ဝါးေသာက္                         " u="1"/>
        <s v="ေရႊရာစု                                                               (ေငြလႊဲ - YGN)" u="1"/>
        <s v="အိမ္- ထန္းတပင္ အလွဴေငြထည့္" u="1"/>
        <s v="ဆိုင္- လင္ဗန္းအထိုင္+ဂၽြိဳင္းဂြ" u="1"/>
        <s v="ဦးမ်ိဳးေဇာ္ဦး  သံုးဘီးေၾကြးဆပ္" u="1"/>
        <s v="SP ေၾကြးက်န္ ကိုဝင္းထြန္း ေမွာ္ဘီ" u="1"/>
        <s v="ကိုေအာင္ဝင္း                                               Cash (ေငြလႊဲ - YGN)" u="1"/>
        <s v="သံုးဘီး ေၾကြးဆပ္ ဦးမင္းေအာင္ ေတာ္ေကး" u="1"/>
        <s v="SP ေၾကြးက်န္ ေဒၚသြယ္ ေတာ္ခလူး" u="1"/>
        <s v="SP ေၾကြးဆပ္ ဦးၾကည္လြင္ ဆည္ေျမာင္း" u="1"/>
        <s v="Super                                                        Cash (ေငြလႊဲ - YGN)" u="1"/>
        <s v="အိမ္- ေကာ္ပတ္+လိုေငြစိုက္" u="1"/>
        <s v="သံုးဘီးေၾကြးဆပ္ ကိုေနစိုးဦး လက္ခုပ္ကုန္း" u="1"/>
        <s v="GBS Tri     ကိုေအာင္ေက်ာ္မိုးအတြက္                         (ေငြလႊဲ - ဆိုင္)" u="1"/>
        <s v="ဦးတင္ေမာင္ေဆြ သံုးဘီးေၾကြးဆပ္" u="1"/>
        <s v="SP ေၾကြးက်န္ ကိုေက်ာ္မင္းထြန္း ဝါးေသာက္" u="1"/>
        <s v="GBS ေျမဆီ" u="1"/>
        <s v="ဦးေဇာ္မ်ိဳးနိူင္ သံုးဘီီးေၾကြးဆပ္" u="1"/>
        <s v="ဆိုင္- 56 ခ်ိန္း+ ေလွ်ာဗန္း+ဒူးဆစ္                               (ေငြျပန္အမ္း)" u="1"/>
        <s v="ဆိုင္- ပါကင္စံု+ဘားဆက္စံု                                        (ေငြျပန္အမ္း)" u="1"/>
        <s v="ဆိုင္- ဖင္ထိုင္ျပား+ကလပ္ျပား                                     (ေငြျပန္အမ္း)" u="1"/>
        <s v="ဆိုင္- ေနာ္ဇယ္အံု+ ပူလီ+                                         (ေငြျပန္အမ္း)" u="1"/>
        <s v="ဆိုင္- ကြန္ပ်ဴတာ ပစၥည္းဝယ္" u="1"/>
        <s v="ဆိုင္- ေကာ္ပတ္" u="1"/>
        <s v="WS- ေက်ာက္ျပား" u="1"/>
        <s v="ဆိုင္- 200uf ကြန္နဆာ+ဒိုင္အုပ္" u="1"/>
        <s v="SP ေၾကြးက်န္ ကိုဟန္ေက်ာ္စိုး ထန္းမနိုင္" u="1"/>
        <s v="WS- ဝင္ေငြ (ဆိုင္သို႔ သံဘီးအေရာင္း)" u="1"/>
        <s v="WS- ကိုေထြး ယူေငြ(စက္ပစၥည္းယူ)" u="1"/>
        <s v="ကားေလး အင္ဂ်င္ဝိုင္ ေပပါဆီ" u="1"/>
        <s v="SP ေၾကြးက်န္ ဦးဝင္းေရႊ ဒရယ္လူး" u="1"/>
        <s v="ဦးေအးနိုင္ အိမ္ျပင္ေန႕စားခ" u="1"/>
        <s v="ဆိုင္- အင္ဂ်င္ဝိုင္+ဒလိဘား" u="1"/>
        <s v="ဆိုင္- ပါကင္စံု+ရိန္း+ေနာ္ဇယ္+ပလန္ခ်ာ+" u="1"/>
        <s v="Super                                                        Cash  (ေငြလႊဲ - ဆိုင္)" u="1"/>
        <s v="WS- CHANG 30A" u="1"/>
        <s v="ဆိုင္- ဆိုင္ကယ္ဓါတ္ဆီ" u="1"/>
        <s v="ဆိုင္- ေဖာက္စက္+အမ္းဖံုး" u="1"/>
        <s v="ဆိုင္- CDI+306ေဘာ" u="1"/>
        <s v="WS- ဝရိန္မွန္+ ဝရိန္ထုပ္" u="1"/>
        <s v="ဆိုင္- အင္ဂ်င္ဝိုင္+20×50" u="1"/>
        <s v="ဆိုင္- Prenter ေဆးဗူး" u="1"/>
        <s v="GBS သံုးဘီး ကိုေအာင္ကိုဆန္း OD ေၾကး                      (ေငြလႊဲ - ဆိုင္)" u="1"/>
        <s v="SP ေၾကြးက်န္ ဦးနိူင္ဝင္း ေကာ့မႈး" u="1"/>
        <s v="SP ေၾကြးက်န္ ဦးေမာင္လြင္ သၿမင္ၿခံ" u="1"/>
        <s v="G-K                                                              Cash (ေငြလႊဲ - YGN)" u="1"/>
        <s v="GBS Spare                                                    Cash (ေငြလႊဲ - YGN)                                          " u="1"/>
        <s v="သံုးဘီးအေရာင္း ကိုေအာင္ေက်ာ္မိုး မဝန္း" u="1"/>
        <s v="အိမ္- 502ေကာ္" u="1"/>
        <s v="ဆိုင္- ပန္ကာ+Xေဇာဗူး" u="1"/>
        <s v="ေအးေမတၱာ                                                     Cash (ေငြလႊဲ - YGN)" u="1"/>
        <s v="သံုးဘီးေၾကြးဆပ္ ဦးဝင္းျမင့္ ကၽြဲလူးအိုင္း" u="1"/>
        <s v="ဆိုင္- စီဒီအိုင္+ကိြဳင္" u="1"/>
        <s v="WS- ဝင္ေငြ ေယာင္းမစက္တံုး" u="1"/>
        <s v="ဆိုင္- ဘုရားပန္း+မုန္႔ဆြမ္း" u="1"/>
        <s v="ဆိုင္- ပူလီ+အဲယားဘူး" u="1"/>
        <s v="GBS Engine                                                        (ေငြလႊဲ - YGN)" u="1"/>
        <s v="GBS Engine                                                   Cash (ေငြလႊဲ - YGN)" u="1"/>
        <s v="GBS Engine                                                  Cash  (ေငြလႊဲ - YGN)" u="1"/>
        <s v="GBS Engine Cash                                                   (ေငြလႊဲ - YGN)" u="1"/>
        <s v="GBS Spare                                                         (ေငြလႊဲ - YGN)" u="1"/>
        <s v="GBS Spare                                                   Cash  (ေငြလႊဲ - YGN)" u="1"/>
        <s v="SP ေၾကြးက်န္ ကိုေပၚဦး ခရိုကၡနိ" u="1"/>
        <s v="SP ေၾကြးက်န္ ဦးဝင္းစံ ခရိုကၡနိ" u="1"/>
        <s v="ဦးေဇာ္လင္းဦး သံုးဘီးေၾကြးဆပ္" u="1"/>
        <s v="ဆိုင္- ကြန္နတင္းျပင္ခေပး" u="1"/>
        <s v="သံုးဘီးေၾကြးဆပ္ ဦးအုန္းဆိုင္ ဝါးေသာက္" u="1"/>
        <s v="အိမ္- ေဒၚေလး ဖုန္းေဘ" u="1"/>
        <s v="အိမ္- မီတာအခြန္" u="1"/>
        <s v="WS- ဝင္ေငြ သံေရာင္း" u="1"/>
        <s v="မိဘရိပ္                                                        Cash (ေငြလႊဲ - ဆိုင္)" u="1"/>
        <s v="ဆိုင္- ကရိုင္း+ပါကင္" u="1"/>
        <s v="ေက်ာ္ရွင္း                                                    Cash (ေငြလႊဲ - YGN)" u="1"/>
        <s v="ဆိုင္- GBS Engine မွၿပန္ေလွ်ာ့ေပးေငြ" u="1"/>
        <s v="တက္ေရႊလဝန္း                                                Cash (ေငြလႊဲ - YGN)" u="1"/>
        <s v="ဆိုင္- ဦးလင္းေအာင္နတ္စင္ကုန္း Egၿပဳၿပင္ခ" u="1"/>
        <s v="ဆိုင္- ဝင္ေငြ" u="1"/>
        <s v="SP ေၾကြးက်န္ ကိုဝၾကီး ဆည္ေျမာင္း" u="1"/>
        <s v="လပ္ကီး                                                         Cash (ေငြလႊဲ - YGN)" u="1"/>
        <s v="SP ေၾကြးဆပ္ ကိုဝၾကီး ဆည္ေျမာင္း" u="1"/>
        <s v="SP ေၾကြးဆပ္ ကိုဝႀကီး ဆည္ေျမာင္း" u="1"/>
        <s v="ဆိုင္- ရိန္း+ကလစ္" u="1"/>
        <s v="ဆိုင္- ေၾကြးေတာင္း ကယ္ရီခ" u="1"/>
        <s v="GBS သံုးဘီး  ကိုေအာင္ကိုဆန္း ေငြက် မွ ေကာ္မရွင္ရေငြ" u="1"/>
        <s v="ဆိုင္- ကားႀကီးပစၥည္းတင္ ကားခေပး" u="1"/>
        <s v="WS- 1½x 1မတ္ ဖလက္" u="1"/>
        <s v="WS- အေအးဗူး+ စုတ္တံ" u="1"/>
        <s v="WS- ဝရိန္ထုပ္+ေကာ္ပတ္" u="1"/>
        <s v="WS- ဝရိန္မွန္+ေကာ္ပတ္" u="1"/>
        <s v="WS- ဝင္ေငြ သံဘီးျပင္ခ (3)" u="1"/>
        <s v="ဆိုင္- 209 ေဘာ+ေျခနင္းျပား                                    (ေငြျပန္အမ္း)" u="1"/>
        <s v="ဆိုင္- 210 ေဘာ+ဘယ္ရင္                                         (ေငြျပန္အမ္း)" u="1"/>
        <s v="ဆိုင္- Q185CC+က်ဴပင္နတ္                                       (ေငြျပန္အမ္း)" u="1"/>
        <s v="ဆိုင္- ဂတ္စကက္+ကာပြန္                                         (ေငြျပန္အမ္း)" u="1"/>
        <s v="ဆိုင္- ဆီဘရိတ္အိုး+ 999+ကရိုင္း                               (ေငြျပန္အမ္း)" u="1"/>
        <s v="ဆိုင္- ဘားSet+DF ရွပ္+ဘြတ္                                    (ေငြျပန္အမ္း)" u="1"/>
        <s v="ဆိုင္- ဝရန္ထုပ္ +လီဘာဘြတ္                                     (ေငြျပန္အမ္း)" u="1"/>
        <s v="GBS Spare                                                          (ေငြလႊဲ - ဆိုင္)" u="1"/>
        <s v="ဆိုင္- 2&quot;ပန္႔" u="1"/>
        <s v="ဆိုင္- ဒိုင္အုပ္+ဘားတံ+ဂတ္စကတ္" u="1"/>
        <s v="ဆိုင္- ေရကဒ္" u="1"/>
        <s v="WS- ကိုေထြး ဖုန္းေဘ" u="1"/>
        <s v="ဆိုင္- ေဇာ္ထက္ ေၾကြးေတာင္းကယ္ရီခ" u="1"/>
        <s v="WS- LA1700" u="1"/>
        <s v="SP ေၾကြးဆပ္ ကိုေပၚဦး ခရိုကၡနိ" u="1"/>
        <s v="SP ေၾကြးဆပ္ ဦးဝင္းစံ ခရိုကၡနိ" u="1"/>
        <s v="SP- ေၾကြးက်န္ ခ်စ္ေက်ာ္သူ ဝါးေသာက္" u="1"/>
        <s v="ဆိုင္- ကာပရိုက္တာ+full set" u="1"/>
        <s v="ဆိုင္- ဆီဘရိတ္ႀကိဳး+ Q185ဘားဆက္စံု                        (ေငြျပန္အမ္း)" u="1"/>
        <s v="ဆိုင္- ျဖတ္ဘား+စပလိန္+ပလန္ခ်ာ                             (ေငြျပန္အမ္း)" u="1"/>
        <s v="ဈာန္" u="1"/>
        <s v="ဆိုင္- 110U ပီနယံ" u="1"/>
        <s v="ဆိုင္- ေကာ္ဖီထုပ္+ဓါတ္ဆီ" u="1"/>
        <s v="ဦးဝင္းျမင့္ သံုးဘီးေၾကြးဆပ္                                          (ေငြလႊဲ - ဆိုင္)" u="1"/>
        <s v="ဆိုင္- ကလစ္+19သီး" u="1"/>
        <s v="SP ေၾကြးက်န္ ကိုေထြး" u="1"/>
        <s v="ဦးလွေငြ                                                          Cash (ေငြလႊဲ - YGN)" u="1"/>
        <s v="ဆိုင္- အင္းလက္ဗူးျပင္ခ" u="1"/>
        <s v="သံုးဘီးေၾကြးဆပ္ ကိုမင္းစိုးသူ မဝန္း" u="1"/>
        <s v="ဆိုင္- မလြင္လြင္သန္း လစာယူေငြ" u="1"/>
        <s v="ဆိုင္- ေရသန္႔ကဒ္" u="1"/>
        <s v="SP ေၾကြးက်န္ ဦးထြန္းလွ က်ံဴဒရယ္" u="1"/>
        <s v="DI" u="1"/>
        <s v="DI " u="1"/>
        <s v="ဆိုင္- 306ေဘာ" u="1"/>
        <s v="ဆိုင္- ဦးထြန္းလွ အဲယားကြန္းျပင္ခ ေပး" u="1"/>
        <s v="ဆိုင္- သံုးဘီး ေရေဆးခ" u="1"/>
        <s v="ဆိုင္- စကူပစ္ဝယ္" u="1"/>
        <s v="WS- ကိုေထြး ယူေငြ (မီတာခ+ဒဏ္ေၾကး)" u="1"/>
        <s v="WS- ဝင္ေငြ သံဘီး" u="1"/>
        <s v="WS- သံဝယ္" u="1"/>
        <s v="WS- သုတ္ေဆး+ေလေခါင္း" u="1"/>
        <s v="ဆိုင္- R175 ေဂါက္  လက္ေဆာင္" u="1"/>
        <s v="WS- ဝင္ေငြ (ေဘးကပ္အေရာင္း)" u="1"/>
        <s v="ကိုဝင္းေဇာ္ ODေၾကး (ဆိုင္မွစိုက္သြင္းသည္)" u="1"/>
        <s v="ဆိုင္- 304+56ၾကိဳး+ေရကာ" u="1"/>
        <s v="WS- ဝရိန္ထုပ္+ဓါတ္ဆီ+ ပန္းေကာ္ပတ္" u="1"/>
        <s v="ဆိုင္- ကိုမ်ိဳးျမင့္ အက်ႌႋႋႋႋ လက္ေဆာင္" u="1"/>
        <s v="ဆိုင္- မခင္စႏၵာမင္းဦး လစာယူေငြ" u="1"/>
        <s v="WS- ကလစ္" u="1"/>
        <s v="သံုးဘီးေၾကြးဆပ္ ကိုခ်မ္းမင္းနိုင္ ဇလုပ္ႀကီး" u="1"/>
        <s v="Asia Honda                                                 Cash (ေငြလႊဲ - YGN)" u="1"/>
        <s v="ဆုိင္- ဦးဦးေဈးဝယ္ ကားေလး(2)ေခါက္" u="1"/>
        <s v="ဦးခင္ေမာင္                                                   Cash (ေငြလႊဲ - Mobile)" u="1"/>
        <s v="ဦးေဇာ္ရဲေအာင္ သံုးဘီးေၾကြးဆပ္                                  (ေငြလႊဲ - ဆိုင္)" u="1"/>
        <s v="ဦးေနဝင္းထြန္း သံုးဘီးေၾကြးဆပ္                                  (ေငြလႊဲ - ဆိုင္)" u="1"/>
        <s v="SP ေၾကြးဆပ္ မမိလဲ ဝါးေသာက္" u="1"/>
        <s v="304+54+ပူလီ                                                        (ေငြျပန္အမ္း)" u="1"/>
        <s v="ဆိုင္- မီးသီး" u="1"/>
        <s v="SP ေၾကြးဆပ္ Wave Monney" u="1"/>
        <s v="အိမ္- Wave ဖုန္းေဘထည့္" u="1"/>
        <s v="ဆိုင္- HONDA" u="1"/>
        <s v="ဆိုင္- အင္ဂ်င္ေဖာက္ခ+ Toyoဆင္ခ" u="1"/>
        <s v="ဆိုင္- ဘက္ဂီယာအံု" u="1"/>
        <s v="ရီရွင္း" u="1"/>
        <s v="WS- ဓါတ္ဆီ" u="1"/>
        <s v="WS- မီတာစာရြက္ခ" u="1"/>
        <s v="GBS Engine                                                 Cash (ေငြလြဲ - YGN)" u="1"/>
        <s v="ဟြာဟုန္" u="1"/>
        <s v="WS- ဝင္ေငြ ကိုေမာင္ေမာင္ အနိုးေခ်ာင္ စက္တံုး" u="1"/>
        <s v="အိမ္- ဘဲသားဝယ္" u="1"/>
        <s v="ဆိုင္- ဂီယာေပါက္ ျပင္ခ" u="1"/>
        <s v="ဆိိုင္- ကိုမ်ိဳးျမင့္ကား ပစၥည္းတင္ခ" u="1"/>
        <s v="သံုးဘီး ေၾကြးဆပ္ ကိုေဇာ္လင္းဦး ေတာတဲကန္" u="1"/>
        <s v="ဆိုင္- ငွက္ေမႊး" u="1"/>
        <s v="သံုးဘီးေၾကြးဆပ္ ဦးစည္သူ ငွက္ႀကီးေဒါင္" u="1"/>
        <s v="ဆိုင္- ၿဖတ္ဘား+ဝါရွာ" u="1"/>
        <s v="အိမ္-  ေက်ာက္ျပား+ေဆးဗူး" u="1"/>
        <s v="မိုးေသာက္ဧရာ                                              Cash (ေငြလႊဲ - YGN)" u="1"/>
        <s v="သံုးဘီးအေရာင္း ဦးစိုးဝင္း ကြမ္းၿခံကုန္း" u="1"/>
        <s v="ဆိုုင္- ဘီးဖလန္း+ကစ္ဆက္+စီဒီအိုင္                           (ေငြျပန္အမ္း)" u="1"/>
        <s v="အိမ္- မုန္႔ဖိုးေပး+ဖုန္းေဘ" u="1"/>
        <s v="ဦးသန္းနိူင္  သံုးဘီး OD" u="1"/>
        <s v="SP ေၾကြးက်န္ ဦးၾကည္လြင္ ဆည္ေျမာင္း" u="1"/>
        <s v="ဆိုင္- သံဘီးျပင္ (3)ခု" u="1"/>
        <s v="ဆုိင္- အိမ္ကားေလးကားခ" u="1"/>
        <s v="ဆိုင္- 11သြား+206+204+205+202+20-35-7            (ေငြျပန္အမ္း)" u="1"/>
        <s v="ဆိုင္- ေအဂ်က္+ဂတ္စကက္+စလစ္ကစ္ဆက္                 (ေငြျပန္အမ္း)" u="1"/>
        <s v="ေအာင္ေမတၱာ                                                       (ေငြလႊဲ - YGN)" u="1"/>
        <s v="ဆိုင္- 304+ရိန္း" u="1"/>
        <s v="ဦးခင္ေမာင္+ေဒၚၾကင္ျမိဳင္" u="1"/>
        <s v="WS- ဝင္ေငြ ဦးခင္ေမာင္ ေကာ့မွဴး (ဓါးစက္တံုး)" u="1"/>
        <s v="ဆိုင္- ဓါးဝယ္" u="1"/>
        <s v="ေအးေမတၱာ                                                  Cash (ေငြလႊဲ - YGN)" u="1"/>
        <s v="ေက်ာ္စိုး                                                          Cash (ေငြလႊဲ - YGN)" u="1"/>
        <s v="WS- ဝင္ေငြ သံဘီး(6) ဘီး" u="1"/>
        <s v="ဆိုင္- မိဘရိပ္ ပစၥည္းတင္းကားခ" u="1"/>
        <s v="ဆိုင္- 2 Way                                                        (ေငြျပန္အမ္း)" u="1"/>
        <s v="ဆိုင္- ပီနီယံ+ပူလီ                                                  (ေငြျပန္အမ္း)" u="1"/>
        <s v="ဆိုင္- ေရတိုင္ကီ                                                    (ေငြျပန္အမ္း)" u="1"/>
        <s v="မန္းဧရာဝတီ                                                         (ေငြလႊဲ - YGN)" u="1"/>
        <s v="ဦးေဇာ္ဝိတ္ သံုးဘီးေၾကြးဆပ္                                        (ေငြလႊဲ - ဆိုင္)" u="1"/>
        <s v="ဆိုင္- မီတာခ+ဒဏ္ေၾကး" u="1"/>
        <s v="WS- ဘိုဘိုနိုူင္ေန႔စားခ" u="1"/>
        <s v="ဆိုင္- ၿမက္ရိတ္စက္ ဆင္ခ" u="1"/>
        <s v="Q185 ဂတ္စကက္                                           Cash (ေငြလႊဲ - YGN)" u="1"/>
        <s v="ဆိုင္- ဂီယာေပါက္ရွပ္+ဂီယာစေပါ့ကဒ္" u="1"/>
        <s v="အိမ္- ခံေဆးဗူး" u="1"/>
        <s v="OTHER- ပစၥတင္+ရိန္း" u="1"/>
        <s v="ဆိုင္- ေမြးေန႔လက္ေဆာင္" u="1"/>
        <s v="sp ေၾကြးဆပ္ ဦးမ်ိဳးနိုင္ ပိႏၷဲကန္" u="1"/>
        <s v="သံုးဘီး ေၾကြးဆပ္ ဦးေမာင္နိူင္ ေတာ္ခရမ္းၾကီး" u="1"/>
        <s v="ဆိုင္- NT ေရတိုင္ကီျပဳျပင္" u="1"/>
        <s v="ဆိုင္- ဆီေဂါက္+ကလပ္ျပား" u="1"/>
        <s v="ဆိုင္- အိမ္ကားခေပး" u="1"/>
        <s v="ဆိုင္- ပူလီ+ထရန္စဖာေဘာ" u="1"/>
        <s v="ဆိုင္- ပါဆယ္အိတ္+တစ္ရွဴး" u="1"/>
        <s v="ဆိုင္- စာအုပ္+အင္ဂ်င္ေဖာက္ခ ေပး" u="1"/>
        <s v="JJ FAMILY" u="1"/>
        <s v="WS- ဝင္ေငြ ကိုသိန္းေဇာ္ သက္ကယ္ကြင္း စက္တံုး" u="1"/>
        <s v="မအူပင္                                                                  (ေငြလႊဲ - YGN)       " u="1"/>
        <s v="WS- ဝင္ေငြ တပ္မ" u="1"/>
        <s v="အိမ္- ကေလး အိပ္ယာခင္းအစံု" u="1"/>
        <s v="ဆုိင္- ဘက္မွန္+ရိန္း(2) +ဘေလာက္Set(2)                  (ေငြျပန္အမ္း)" u="1"/>
        <s v="ဆိုင္- Toyo ပီနယံ+ျဖတ္ဘား" u="1"/>
        <s v="SP ေၾကြးက်န္ ေမာင္ျမင့္သူ ခရိုကၡနိ" u="1"/>
        <s v="ဦးခ်မ္းမင္းနိုင္ သံုးဘီးေၾကြးဆပ္                                     (ေငြလႊဲ - ဆိုင္)" u="1"/>
        <s v="ဆိုင္- အမိုးျပင္ခ" u="1"/>
        <s v="WS- ဘိုဘိုနိုူင္ယူေငြ" u="1"/>
        <s v="ဆိုင္- ဂတ္စကက္+ပစၥတင္+ဟိုက္ဘြန္+ဘားဆက္          (ေငြျပန္အမ္း)" u="1"/>
        <s v="ဆိုင္- မုန္႔ဝယ္" u="1"/>
        <s v="ဆိုင္- ထရန္စဖာထိုးတံ+ထိုးတံ" u="1"/>
        <s v="ဆိုင္- ဝင္ေငြ ဦးလွေအး" u="1"/>
        <s v="ဆိုင္- 110CCဆင္ခ+ပစၥည္းခ်ခ" u="1"/>
        <s v="အားသစ္                                                         Cash (ေငြလႊဲ - YGN)" u="1"/>
        <s v="SP ေၾကြးက်န္ ဦးေဌးေအာင္ ဓါတ္ေတာ္" u="1"/>
        <s v="မိုးေသာက္ဧရာ                                                        (ေငြလႊဲ - YGN)" u="1"/>
        <s v="အိမ္- စီးတိတ္" u="1"/>
        <s v="ဆိုင္- မာစတာပန္႔                                                   (ေငြျပန္အမ္း)" u="1"/>
        <s v="ဆိုင္- အဖံုးမဲ+ ဆီတိုင္ကီ                                          (ေငြျပန္အမ္း)" u="1"/>
        <s v="ဆိုင္- အဝိုင္းစီး+ ဝါယာႀကိဳး                                       (ေငြျပန္အမ္း)" u="1"/>
        <s v="သံုးဘီး ေၾကြးဆပ္ ဦးခံဦး ေရၿဖဴတြင္း" u="1"/>
        <s v="ဆိုင္- ကိုမိ်ဳးျမင့္ ပစၥည္းတင္ကားခ" u="1"/>
        <s v="ဆိုင္- ကိုမ်ိဳးျမင့္ ပစၥည္းတင္ကားခ" u="1"/>
        <s v="SP ေၾကြးက်န္ ကိုမ်ိဳးေဆြ ခရိုကၡနိ" u="1"/>
        <s v="SP ေၾကြးဆပ္ ေမာင္ျမင့္သူ ခရိုကၡနိ" u="1"/>
        <s v="ဆိုင္- စာအုပ္+ပါဆယ္အိတ္+တစ္ရွဴး+အလွဴေငြ" u="1"/>
        <s v="ဆိုင္- 57ခ်ိန္း+209" u="1"/>
        <s v="ဆိုင္- အင္းလက္ဗူးျပင္ခေပး" u="1"/>
        <s v="ဆိုင္- ဘဏ္ေငြလႊဲခ" u="1"/>
        <s v="သံုးဘီးေၾကြးဆပ္ ကိုေနာင္ထြန္း ၿမိဳ႕ကုန္း ရက္ေက်ာ္ေက်း" u="1"/>
        <s v="မန္းဧရာဝတီ                                                   Cash (ေငြလႊဲ - YGN)       " u="1"/>
        <s v="ဆိုင္- ကိုမ်ိဳးျမင့္ ပစၥည္းတင္ ကားခ" u="1"/>
        <s v="ဆိုင္- ကိုမ်ိဳးၿမင့္ ပစၥည္းတင္ ကားခ" u="1"/>
        <s v="ဆိုင္- ေသာ့လြတ္ႀကီး" u="1"/>
        <s v="ဆိုင္- မိဘရိပ္ ပစၥည္းတင္ကားခ" u="1"/>
        <s v="ဦးဘိုႀကီး                                                     Cash (ေငြလႊဲ - Mobile)" u="1"/>
        <s v="WS- ဝငေငြ" u="1"/>
        <s v="ဆိုင္- အင္းပတ္ဆံ+ရိန္း+ဆီစစ္" u="1"/>
        <s v="ဦးရဲဝင္းထြန္း  သံုးဘီး ေၾကြးဆပ္" u="1"/>
        <s v="ေရႊရာစု                                                       Cash (ေငြလႊဲ - YGN)" u="1"/>
        <s v="ဘရိတ္ဆီ" u="1"/>
        <s v="SP ေၾကြးဆပ္ ဦးေဇာ္ခိုင္ ေသာင္ခံု" u="1"/>
        <s v="WS- ကိုေထြးယူေငြ ဝါယာရိန္းလက္ခေပး" u="1"/>
        <s v="ဦးဘိုၾကီး" u="1"/>
        <s v="ဆိုင္- အေအး" u="1"/>
        <s v="SP ေၾကြးက်န္ ဦးလွေအး ကမာပါ" u="1"/>
        <s v="အိမ္- ေကာ္ပတ္" u="1"/>
        <s v="SP ေၾကြးက်န္ ဦးၿမင့္စိုး သေၿပကုန္း" u="1"/>
        <s v="ဦးသန္းေဇာ္ဦးေတာ္ကလိတ္ ရက္ေက်ာ္ေၾကး" u="1"/>
        <s v="ဦးဘိုႀကီး" u="1"/>
        <s v="သံုးဘီးေၾကြးဆပ္ ေဒၚဝင္းဝင္းေဌး ေတာ္ကူးအေရွ႕" u="1"/>
        <s v="ေက်ာ္စိုး" u="1"/>
        <s v="ဆိုင္- ဖုန္းေဘ+ဓါတ္ဆီ" u="1"/>
        <s v="ဆိုင္- မိဘရိပ္ ကယ္လီခ" u="1"/>
        <s v="ကိုတင္လွ                                                       Cash (ေငြလႊဲ - YGN)" u="1"/>
        <s v="ဆိုင္- ဘားဆက္စံု+56ၾကိဳး" u="1"/>
        <s v="WS- ပစၥည္းယူ ကယ္ရီခ ေပး" u="1"/>
        <s v="ဆိုင္- 56ၾကိဳး+ဆီဘရိတ္အိုး" u="1"/>
        <s v="WS- ဖလပ္ျပား" u="1"/>
        <s v="ဆိုင္- အလွဴခံ" u="1"/>
        <s v="ေမာ္" u="1"/>
        <s v="WS- ဝရိန္မွန္" u="1"/>
        <s v="ဆိုင္- မခင္စႏၵာမင္းဦး လစာအပိုေငြ" u="1"/>
        <s v="WS- Super Glue" u="1"/>
        <s v="ဆိုင္- ခါေတာ္မွီ အလွဴေငြ ထည့္" u="1"/>
        <s v="ဆို္င္- ဝင္ေငြ" u="1"/>
        <s v="WS- ဆြဲသီးနတ္" u="1"/>
        <s v="WS- ဝင္ေငြ (တစ္ဘီးေဘးပူလီတပ္ဆင္ခ)" u="1"/>
        <s v="ဆိုင္- စပလိန္+ပလန္ခ်ာ" u="1"/>
        <s v="WS- ကိုေထြးယူေငြ(ဖုန္းေဘ)" u="1"/>
        <s v="ဆိုင္- ဇက္ပင္+56ယိုး" u="1"/>
        <s v="ျပည့္ၿဖိဳးေအာင္   စတီးနတ္                                  Cash (ေငြလႊဲ - YGN)" u="1"/>
        <s v="ဆိုင္- Excellent Barcode +Keyboard" u="1"/>
        <s v="ဆိုင္- အိမ္ထဲသို႔ အျမတ္ေငြထုတ္ေပး" u="1"/>
        <s v="အိမ္- ဦးဝင္းထြန္း ေမွာ္ဘီ ေငြလက္ခံထားသည္" u="1"/>
        <s v="ဆိုင္- ကိုမ်ိဳးျမင့္ လက္ေဆာင္ေပး" u="1"/>
        <s v="သံုးဘီးေၾကြးဆပ္ ဦးေဇာ္ဝိတ္ လက္ခုတ္ကုန္း" u="1"/>
        <s v="အိမ္- နာရီျပင္" u="1"/>
        <s v="SP ေၾကြးဆပ္ ဦးသန္းေခ်ာင္း ႏွစ္ခြ" u="1"/>
        <s v="ဆိုင္- ပူလီ+ကလစ္" u="1"/>
        <s v="WS- ဝင္ေငြ                                                                                                                    " u="1"/>
        <s v="ဆိုင္- အလွဴေငြ" u="1"/>
        <s v="SP ေၾကြးဆပ္ ဦးေမာင္လြင္ သၿမင္ၿခံ" u="1"/>
        <s v="ARMAX" u="1"/>
        <s v="SP ေၾကြးက်န္ ကိုုၾကီး ဝါးေသာက္" u="1"/>
        <s v="SP ေၾကြးက်န္ မိဘေမတၱာ ဝါးေသာက္" u="1"/>
        <s v="SP ေၾကြးက်န္ မိုးဝင္း ဝါးေသာက္" u="1"/>
        <s v="SP ေၾကြးက်န္ ဝင္းသစၥာ ဝါးေသာက္" u="1"/>
        <s v="SP ေၾကြးက်န္ ေဒၚမိလဲ့ ဝါးေသာက္" u="1"/>
        <s v="SP ေၾကြးက်န္ ေမာ္ေမာ္ ဝါးေသာက္" u="1"/>
        <s v="SP ေၾကြးဆပ္ ကိုဇင္ကို ဝါးေသာက္" u="1"/>
        <s v="SP ေၾကြးဆပ္ ဦးၿမၾကည္ ဝါးေသာက္" u="1"/>
        <s v="SP ေၾကြးဆပ္ ေက်ာ္စိုး ဝါးေသာက္" u="1"/>
        <s v="SP ေၾကြးဆပ္ ကိုမ်ိဳး သဲကုန္းတန္း" u="1"/>
        <s v="SP ေၾကြးဆပ္ ဦးမ်ိဳး သဲကုန္းတန္း" u="1"/>
        <s v="SP အေရာင္းဝင္ေငြ" u="1"/>
        <s v="ဆိုင္- ခရင္းဂြ+စီဒီအိုင္" u="1"/>
        <s v="WS- ေရႊအမ္စံဆိုင္+ ေနလဆိုင္ ဝယ္" u="1"/>
        <s v="Super                                                         Cash (ေငြလႊဲ - YGN)" u="1"/>
        <s v="Super                                                        Cash  (ေငြလႊဲ - YGN)" u="1"/>
        <s v="Han Asia                                                    Cash (ေငြလႊဲ - Mobile)                     " u="1"/>
        <s v="ဦးစံဦး သံုးဘီး ေၾကြးဆပ္" u="1"/>
        <s v="Han Asia                                                     Cash (ေငြလႊဲ - Mobile)                     " u="1"/>
        <s v="WS- ဝင္ေငြ (ဆိုင္မွပစၥည္းဝယ္)" u="1"/>
        <s v="ဆိုင္- အင္ဂ်င္ဝိုင္တိုင္းတံ+210" u="1"/>
        <s v="ဆိုင္- တိတ္ေခြ+ ေရဗူးခြံ" u="1"/>
        <s v="ကိုေအာင္ဝင္း                                                   Cash (ေငြလႊဲ - YGN)" u="1"/>
        <s v="ကိုတင္ျမ" u="1"/>
        <s v="မအူပင္                                                       Cash (ေငြလႊဲ - YGN)       " u="1"/>
        <s v="WS- ဟင္ဂလန္" u="1"/>
        <s v="SP ေၾကြးက်န္ ခါေတာ္မွီေက်ာင္း ဝါးေသာက္" u="1"/>
        <s v="SP ေၾကြးက်န္ ဦးေဇာ္နိူင္ဝင္း ဝါးေသာက္" u="1"/>
        <s v="Steel Drag                                                  Cash (ေငြလႊဲ - YGN)" u="1"/>
        <s v="ဆိုင္- ဓါတ္ဆီ(မီးစက္)" u="1"/>
        <s v="ေငြဇင္ေသာ္ ေျမဆီ" u="1"/>
        <s v="ZAN                                                          Cash (ေငြလႊဲ - ပစၥည္းျပန္ပို႔)" u="1"/>
        <s v="SP- ေၾကြးက်န္ ဦးနိုင္ဝင္း ေကာ့မွဴး" u="1"/>
        <s v="သိန္း" u="1"/>
        <s v="ဆိုင္- စာရြက္ဝယ္" u="1"/>
        <s v="SP ေၾကြးဆပ္ ဦးစန္းဦး ေခ်းေငြ" u="1"/>
        <s v="ဆိုင္- တိတ္" u="1"/>
        <s v="ဆိုင္- ေနာ္ဇယ္ပိုက္+သတၱဳဝါရွာ" u="1"/>
        <s v="ဖိုက္ဟီးရိုး" u="1"/>
        <s v="ဦးေရႊလင္း+ေဒၚၾကင္ၾကင္" u="1"/>
        <s v="ဆိုင္- ဝင္ေငြ ေဘာျပန္လဲ" u="1"/>
        <s v="SP- ေၾကြးက်န္ ဦးစန္းသူ ဒလ" u="1"/>
        <s v="Sp ေၾကြးဆပ္ ဦးဝင္းေရႊ ဒရယ္လူး" u="1"/>
        <s v="ဦးသန္းနိူင္  သံုးဘီး ေၾကြးဆပ္" u="1"/>
        <s v="ဆိုင္- ကားေလး(4)+ကားၾကီး(1)" u="1"/>
        <s v="GBS Engine                                                         (ေငြလႊဲ - YGN)" u="1"/>
        <s v="GBS Spare                                                          (ေငြလႊဲ - YGN)" u="1"/>
        <s v="GBS Spare                                                    Cash  (ေငြလႊဲ - YGN)" u="1"/>
        <s v="ဆိုင္- ဖုန္းဝယ္" u="1"/>
        <s v="ဆိုင္- Wave money ထုတ္ေပး" u="1"/>
        <s v="ဆိုင္- ဧည့္သည္အေအး+ျခင္း" u="1"/>
        <s v="အိမ္- ေဖာင္ေဒးရွင္းအလွဴ+ငါး" u="1"/>
        <s v="ဆိုင္- ဒလီဘား+ေအဂ်က္" u="1"/>
        <s v="Super                                                           Cash (ေငြလႊဲ - YGN)" u="1"/>
        <s v="ဆိုင္- မိဘရိပ္ကားခ" u="1"/>
        <s v="SP ေၾကြးက်န္ ဦးဝင္းကို ျမကၽြန္းသာ" u="1"/>
        <s v="ဆိုင္- မီးစက္+ဆိုင္ကယ္ ဓါတ္ဆီ" u="1"/>
        <s v="ဆိုင္- WS တပ္မလုပ္ခေပး" u="1"/>
        <s v="SP- အေရာင္းဝင္ေငြ" u="1"/>
        <s v="NASA " u="1"/>
        <s v="WS- ဝင္ေငြ ဘရိတ္ဆီ" u="1"/>
        <s v="ဆိုင္- တိတ္ေခြ+Q185ဂါဂ်ီပင္" u="1"/>
        <s v="WS- တင္တာ+ဘားနစ္" u="1"/>
        <s v="ဆိုင္- ေမာ္တာ+ပင္နယံ+ခလုပ္" u="1"/>
        <s v="ဆိုင္- မန္တိုင္" u="1"/>
        <s v="ဆိုင္- 304ေဘာ+ပါကင္+ဖိုင္တြဲ" u="1"/>
        <s v="ဆိုင္- အမဲဆီဗူး+ဝိတ္ပူလာ" u="1"/>
        <s v="SP ေၾကြးက်န္ ခ်စ္ေက်ာ္သူ ဝါးေသာက္" u="1"/>
        <s v="SP ေၾကြးက်န္ ဦးဆန္းဝင္း ဝါးေသာက္" u="1"/>
        <s v="SP ေၾကြးက်န္ ဦးမင္းေဇာ္ ဝါးေသာက္" u="1"/>
        <s v="SP ေၾကြးက်န္ ဦးၾကည္ဝင္း ဝါးေသာက္" u="1"/>
        <s v="SP ေၾကြးဆပ္ ကိုဘိုဘိုသား ဝါးေသာက္" u="1"/>
        <s v="SP ေၾကြးဆပ္ ကိုေက်ာိစိုး ဝါးေသာက္" u="1"/>
        <s v="SP ေၾကြးဆပ္ လြင္လြင္သန္း ဝါးေသာက္" u="1"/>
        <s v="SP ေၾကြးဆပ္ ဦးခင္ေသာင္း ဝါးေသာက္" u="1"/>
        <s v="SP ေၾကြးဆပ္ ဦးခိုင္ေဇာ္ ဝါးေသာက္" u="1"/>
        <s v="SP ေၾကြးဆပ္ ဦးဖိုးတရုပ္ ဝါးေသာက္" u="1"/>
        <s v="SP ေၾကြးဆပ္ ဦးမ်ိဳးသန္႔ ဝါးေသာက္" u="1"/>
        <s v="SP ေၾကြးဆပ္ ဦးေက်ာ္စိုး ဝါးေသာက္" u="1"/>
        <s v="SP ေၾကြးဆပ္ ေမာင္ျမင့္သူ ဝါးေသာက္" u="1"/>
        <s v="SP ေၾကြးဆပ္ ေအာင္ခန္႔ျဖဴ ဝါးေသာက္" u="1"/>
        <s v="SP ေၾကြးဆပ္ ေအာင္ခန္႔ၿဖဴ ဝါးေသာက္" u="1"/>
        <s v="SP ေၾကြးက်န္ ကိုသန္းေဇာ္ ဝါးေသာက္ " u="1"/>
        <s v="ပတၱျမား                                                         Cash (ေငြလႊဲ - YGN)" u="1"/>
        <s v="မိုးေသာက္ဧရာ                                                         (ေငြလႊဲ - YGN)" u="1"/>
        <s v="ဆိုင္- မီးပလပ္ခံု" u="1"/>
        <s v="ေရႊဝါေျမထြန္းလင္း" u="1"/>
        <s v="SP ေၾကြးက်န္ ဆရာမေဒၚသီတာလႈိုင္" u="1"/>
        <s v="ဆိုင္- 207ေဘာ+4ေခ်ာင္းေဖါက္" u="1"/>
        <s v="ဆိုင္- ဘိုဘိုနိုင္ ေန႔စားခ" u="1"/>
        <s v="ဆိုင္- ဘိုဘိုနိူင္ ေန႔စားခ" u="1"/>
        <s v="ေနာ္ဇယ္+အင္ဂ်င္အထိုင္                                            (ေငြျပန္အမ္း)" u="1"/>
        <s v="GBS သံုးဘီး (4) ဦးေငြက် မွ ေကာ္မရွင္ရေငြ" u="1"/>
        <s v="ဆိုင္- စကၠဴဝယ္+မီးတိပ္" u="1"/>
        <s v="SP ေၾကြးဆပ္ ဦးေဇာ္ေထြး သဲကုန္းတန္း" u="1"/>
        <s v="ဘိုဘိုနိူင္ အိမ္ျပင္ေန႕စားခ" u="1"/>
        <s v="သန္႔ဇင္                                                          Cash (ေငြလႊဲ - YGN)" u="1"/>
        <s v="ဆိုင္- (Ad-5)+(Ad-6)" u="1"/>
        <s v="ေက်ာ္စိုး                                                         Cash (ေငြလႊဲ - YGN)" u="1"/>
        <s v="SP ေၾကြးက်န္ ကိုသန္းနိုင္ သဲကုန္းတန္း" u="1"/>
        <s v="SP ေၾကြးက်န္ ဦးသန္းနိူင္ သဲကုန္းတန္း" u="1"/>
        <s v="သံုးဘီး ေၾကြးဆပ္ ဦးမ်ိဳးေဇာ္ဦး ပိႏၷဲကန္" u="1"/>
        <s v="ျပည္ေတာ္စိုး                                                 Cash (ေငြလႊဲ - YGN)" u="1"/>
        <s v="ဆိုင္- ဖုန္းကာဗာ" u="1"/>
        <s v="သံုးဘီးေၾကြးဆပ္ ဦးတင္ဝင္း က်ံဳဒရယ္" u="1"/>
        <s v="SP ေၾကြးက်န္ ဦးသန္းထြန္း ရခိုင္ေခ်ာင္" u="1"/>
        <s v="ဆိုင္- ကိုဇင္ကို လက္ေဆာင္" u="1"/>
        <s v="သံုးဘီးေၾကြးဆပ္ ေဒၚခင္ၿပံဳးမူ ကြမ္းျခံကုန္း" u="1"/>
        <s v="ေအာင္ေမတၱာ                                                Cash  (ေငြလႊဲ - ပစၥည္းျပန္ေပး)" u="1"/>
        <s v="ေရႊနယား" u="1"/>
        <s v="SP- ေၾကြးက်န္ ဦးေဌးေအာင္ ဓါတ္ေတာ္" u="1"/>
        <s v="ၿပည္ေတာ္စိုး" u="1"/>
        <s v="WS- ဝရိန္ထုပ္+ပူလီ+ေကာ္ပတ္+204 ေဘာ" u="1"/>
        <s v="WS- ဘိုဘိုနိုင္ ေန႔စားခ" u="1"/>
        <s v="WS- ဘိုဘိုနိူင္ ေန႔စားခ" u="1"/>
        <s v="ဆိုင္- ဘားဆက္အံု" u="1"/>
        <s v="ရိန္း+ဂတ္စကက္+ပစၥတင္                                          (ေငြျပန္အမ္း)" u="1"/>
        <s v="မခင္ေအးျမင့္" u="1"/>
        <s v="ဆိုင္- ဂတ္စကက္ ပို႔ခေပး" u="1"/>
        <s v="ဆိုင္- မလြင္လြင္သန္း လစာအပိုေငြ" u="1"/>
        <s v="GBS Spare                                                            (ေငြလႊဲ - YGN)" u="1"/>
        <s v="GBS Tri     ဦးစိုးဝင္း                                         Cash (ေငြလႊဲ - YGN)" u="1"/>
        <s v="ဆိုင္- ခေလးေလး လက္ေဆာင္" u="1"/>
        <s v="ဆိုင္- ေမြးေန႔ လက္ေဆာင္" u="1"/>
        <s v="WS- ဝင္ေငြ" u="1"/>
        <s v="ဆိုင္- ေရသန္႔ကဒ္(15)" u="1"/>
        <s v="ဆိုင္- မီးတန္းတို+လီဘာဘြတ္" u="1"/>
        <s v="အိမ္- ဘဏ္ေငြလြဲ ျဖည့္ေပးေငြ" u="1"/>
        <s v="WS- ဝင္ေငြ " u="1"/>
        <s v="ဆိုင္- ေရႊနဂါး ေျမဆီ" u="1"/>
        <s v="ဆိုင္- 56 ခ်ိန္း+ေလကာဘာ" u="1"/>
        <s v="ဆိုင္- ဝင္ေငြ NASA(မဲ) ဝင္ေငြ" u="1"/>
        <s v="ကိုေမာင္ေမာင္                                                 Cash (ေငြလႊဲ - YGN)" u="1"/>
        <s v="ကိုေအာင္ဝင္း                                                  Cash (ေငြလႊဲ - YGN)" u="1"/>
        <s v="Nasa အင္ဂ်င္ဝိုင္                                                   (ေငြလႊဲ - ဆိုင္)" u="1"/>
        <s v="ဆိုင္- ေရေႏြးအိုး+မုန္႕" u="1"/>
        <s v="ဦးဝင္းလႈိုင္" u="1"/>
        <s v="ဆိုင္- ဂီယာေပါက္ျပဳျပင္+တံဆိပ္ရိုက္" u="1"/>
        <s v="ဆုိင္- ပါဆယ္အိတ္+ဓါတ္ဆီ" u="1"/>
        <s v="ဆိုင္- ဂၽြိဳင္းဂြတြဲ+20×50" u="1"/>
        <s v="နတ္အေရာင္းဝင္ေငြ" u="1"/>
        <s v="ထြန္း" u="1"/>
        <s v="ဆိုင္- ကိုေသာ္က တာတိုက္ စက္ျပဳျပင္" u="1"/>
        <s v="Han Asia                                                    Cash (ေငြလႊဲ - Mobile)" u="1"/>
        <s v="WS- သုတ္ေဆးဗူး" u="1"/>
        <s v="ဆိုင္- ပါဆယ္အိတ္ဝယ္" u="1"/>
        <s v="ဆိုင္- ကစ္ဆက္+ဘား+ဘယ္ရင္" u="1"/>
        <s v="SP ေၾကြးဆပ္ ကိုျပည့္မ်ိဳးေအာင္ ကမာပါ" u="1"/>
        <s v="WS- ဝင္ေငြ သံဘီးျပင္" u="1"/>
        <s v="ဆိုင္- GAS ဗူးျဖည့္" u="1"/>
        <s v="ရီရွင္း                                                              Cash (ေငြလႊဲ - Wave)" u="1"/>
        <s v="ဦးမင္းသူစိုး သံုးဘီးေၾကြးဆပ္                                      (ေငြလႊဲ - ဆိုင္)" u="1"/>
        <s v="ဦးခိုင္စြာဝင္း သံုးဘီး ေၾကြးဆပ္" u="1"/>
        <s v="သံုးဘီး ေၾကြးဆပ္ ဦးခင္ေမာင္သန္း သရက္ေတာ" u="1"/>
        <s v="ဆိုင္- USM ဧည့္သည္ ဧည့္ခံ" u="1"/>
        <s v="ဆိုင္- ဝင္ေငြ 22 ပူလီေရာင္း" u="1"/>
        <s v="ဆိုင္- 6&quot;ပူလီ+Xေဖာဗူး" u="1"/>
        <s v="SP ေၾကြးက်န္ ဦးေဇာ္နိုင္ ေသာင္ခံု" u="1"/>
        <s v="ဆိုင္- Nasa မဲ" u="1"/>
        <s v="ဆိုင္- Wave money ဝင္ေငြ" u="1"/>
        <s v="ဦးဘိုႀကီး                                                        Cash (ေငြလႊဲ - YGN) " u="1"/>
        <s v="ကိုေသာ္ဇင္ၿဖိဳး  သံုးဘီး ေၾကြးဆပ္" u="1"/>
        <s v="ဆိုင္- ေရသန္႔ကဒ္+ ပါဆယ္အိတ္+ စာအုပ္" u="1"/>
        <s v="အိမ္- ဒိန္ခ်ဥ္" u="1"/>
        <s v="ဆိုင္- ဓါတ္ဆီဝယ္" u="1"/>
        <s v="ဆိုင္- CDI+ပါကင္စံု" u="1"/>
        <s v="WS- ဝင္ေငြ - ေဘးကပ္" u="1"/>
        <s v="ဆိုင္- ေဘာ့ပင္ဝယ္" u="1"/>
        <s v="ဆိုင္- ဇင္ကို ယူေငြ" u="1"/>
        <s v="ကိုတင္ၿမ" u="1"/>
        <s v="ဆိုင္- သံုးဘီး(5)စီးခ်ခ" u="1"/>
        <s v="မအူပင္" u="1"/>
        <s v="မိုးေသာက္ဧရာ                                                      (ေငြလႊဲ - YGN) " u="1"/>
        <s v="သံုးဘီးေၾကြးဆပ္ ကိုေနာင္ထြန္း ၿမိဳ႕ကုန္း" u="1"/>
        <s v="ဆိုင္- ဝင္ေငြ ေလွ်ာဗန္း" u="1"/>
        <s v="304+205+25.52.10                                               (ေငြျပန္အမ္း)" u="1"/>
        <s v="ဈန္" u="1"/>
        <s v="WS- ပလပ္ခံု+ ပန္းေကာ္ပတ္" u="1"/>
        <s v="WS- ဝရန္ထုပ္+ပန္းေကာ္ပတ္" u="1"/>
        <s v="WS- ဆိုင္ကယ္ဓါတ္ဆီ" u="1"/>
        <s v="မန္းဧရာဝတီ                                                  Cash (ေငြလႊဲ - YGN)" u="1"/>
        <s v="ဆိုင္- မီတာအခြန္" u="1"/>
        <s v="GBS Engine" u="1"/>
        <s v="ဆိုင္- ေဆာ့ပင္" u="1"/>
        <s v="အိမ္- ငါးသေလာက္ ဝယ္" u="1"/>
        <s v="GBS Spare                                                 Cash (ေငြလႊဲ - ပစၥည္းျပန္ပို႔)" u="1"/>
        <s v="ဆိုင္- Mask+ပါဆယ္အိတ္" u="1"/>
        <s v="WS- ဝရိန္ထုပ္" u="1"/>
        <s v="WS- အေသးေလးေန႔စားခ" u="1"/>
        <s v="ရီရွင္း                                                          Cash (ေငြလႊဲ - Mobile)" u="1"/>
        <s v="ဆိုင္- KAWA အိတ္ေဇာ" u="1"/>
        <s v="SP ေၾကြးက်န္ ခ်ိန္းေစာသမား" u="1"/>
        <s v="ဆိုင္- ပါဆယ္အိတ္+စာအုပ္" u="1"/>
        <s v="SP ေၾကြးက်န္ ကိုနိုင္ဝင္း ေကာ့မွဴး" u="1"/>
        <s v="သံုးဘီးေၾကြးဆပ္ ဦးရဲေဇာ္ေအာင္ ရန္ကုန္ေပါက္" u="1"/>
        <s v="တက္ေရႊလဝန္း                                                        (ေငြလႊဲ - YGN)" u="1"/>
        <s v="WS- ဝါရွာဝယ္" u="1"/>
        <s v="SP ေၾကြးဆပ္ ကိုမ်ိဳးျမင့္ ေတာ္ကူး" u="1"/>
        <s v="ဆိုင္- သၾကားလံုး+ဘုရားပန္း" u="1"/>
        <s v="ဦးတင္ဝင္း  သံုးဘီး ေၾကြးဆပ္" u="1"/>
        <s v="WS- ေဟာ္လိုပိုက္" u="1"/>
        <s v="ဆိုင္- အိတ္ဝယ္" u="1"/>
        <s v="ကိုေအာင္ေထြး သံုးဘီး ေၾကြးဆပ္                                (ေငြလႊဲ - ဆိုင္)" u="1"/>
        <s v="ဆိုင္- ကလပ္သံျပား" u="1"/>
        <s v="WS- ဝရိန္ထုပ္+204+ေကာ္ပတ္" u="1"/>
        <s v="GBS Spare                                                  Cash (ေငြလႊဲ - Mobile)" u="1"/>
        <s v="WS-  ဝင္ေငြ" u="1"/>
        <s v="သံုးဘီး ေၾကြးဆပ္ ဦးေဇာ္မ်ိဳးနိုင္ ေျမာက္ေခ်ာင္" u="1"/>
        <s v="WS- ဝင္ေငြ ဂီယာေပါက္+တံဆိပ္" u="1"/>
        <s v="WS- ပူလီႀကိဳး" u="1"/>
        <s v="ဆိုင္- ဘားတံ+ပါကင္" u="1"/>
        <s v="ZAN                                                                   (ေငြလႊဲ - YGN)" u="1"/>
        <s v="အိမ္- ေဖာင္ေဒးရွင္းအလွဴေငြ" u="1"/>
        <s v="ဆိုင္- မီးစက္ဓါတ္ဆီ" u="1"/>
        <s v="ဆိုင္- ေရသန္႔ကဒ္+အေအး+ ထန္းသီး" u="1"/>
        <s v="သံုးဘီး ေၾကြးဆပ္ ဦးတင္ေမာင္ေဆြ က်ံဳဒံုးတမန္" u="1"/>
        <s v="အိမ္- ေဖာင္ေဒးရွင္း အလွဴေငြ" u="1"/>
        <s v="ဆိုင္- 207+14စြယ္+ေဘာပိတ္                                    (ေငြျပန္အမ္း)" u="1"/>
        <s v="ဆိုင္- Super Glue+ ဘားတံ                                     (ေငြျပန္အမ္း)" u="1"/>
        <s v="ဆိုင္- ကစ္ဆက္+ကလပ္ျပား                                       (ေငြျပန္အမ္း)" u="1"/>
        <s v="ဆိုင္- ပါကင္စံု+ဘားဆက္စံု+ အင္ဂ်င္ဝိုင္စစ္                   (ေငြျပန္အမ္း)" u="1"/>
        <s v="ဆိုင္- ဘားဆက္စံု + ကလပ္ျပား                                  (ေငြျပန္အမ္း)" u="1"/>
        <s v="ဆိုင္- အဲယာဗူး+ကင္းရွပ္+ပါကင္                                (ေငြျပန္အမ္း)" u="1"/>
        <s v="ဆိုင္- WAVE MONEYဝင္ေငြ" u="1"/>
        <s v="ဆိုင္- ေဂါက္+အသီး" u="1"/>
        <s v="ဦးဝင္းၾကည္ သံုးဘီးေၾကြးဆပ္                                     (ေငြလႊဲ - ဆိုင္)" u="1"/>
        <s v="ေအာင္ေမတၱာ                                                 Cash (ေငြလႊဲ - YGN)" u="1"/>
        <s v="SP ေၾကြးဆပ္ ကုလားေလး ေကာ့မႈး" u="1"/>
        <s v="Han Asia                                                       Cash (ေငြလႊဲ - YGN)" u="1"/>
        <s v="Han Asia                                                      Cash  (ေငြလႊဲ - YGN)" u="1"/>
        <s v="WS- မီတာခ+ဒဏ္ေၾကး" u="1"/>
        <s v="ဆိုင္- ပူလီ" u="1"/>
        <s v="SP ေၾကြးက်န္ ကိုေထြး+ကိုသူ ဝါးေသာက္" u="1"/>
        <s v="SP ေၾကြးက်န္ ဦးညြန္႔လိႈင္ ဝါးေသာက္" u="1"/>
        <s v="SP ေၾကြးဆပ္ ကိုခ်စ္ေက်ာ္သူ ဝါးေသာက္" u="1"/>
        <s v="Super                                                         Cash (ေငြလႊဲ - Mobile)" u="1"/>
        <s v="ဦးခင္ေမာင္" u="1"/>
        <s v="ဆိုင္- ပူလီ+ေဘာပိတ္" u="1"/>
        <s v="SP ေၾကြးက်န္ ဦးသံေခ်ာင္း ႏွစ္ခြ" u="1"/>
        <s v="WS- ပူလီ ၿပင္ခ" u="1"/>
        <s v="SP ေၾကြးက်န္ ကုလားေလး ေကာ့မႈး" u="1"/>
        <s v="ဆိုင္- ဦးဝင္း(ဘို႔ဒင္) အင္ဂ်င္ျပဳျပင္" u="1"/>
        <s v="ဆိုင္- ခ်ိန္း" u="1"/>
        <s v="WS- ဝရိန္ထုပ္+ ပန္းေကာ္ပတ္" u="1"/>
        <s v="အားသစ္" u="1"/>
        <s v="သံုးဘီးေၾကြးဆပ္ ဦးေသာင္းထိုက္ ဇလုပ္ႀကီး" u="1"/>
        <s v="ဆိုင္- 19သီး+13ေကာင္ဆီအိုး" u="1"/>
        <s v="ဦးမင္းေအာင္ သံုးဘီး ေၾကြးဆပ္" u="1"/>
        <s v="SP ေၾကြးဆပ္ ဦးသန္းထြန္း (ရခိုင္ေခ်ာင္)" u="1"/>
        <s v="ဆိုင္- အင္ဂ်င္ဝိုင္" u="1"/>
        <s v="ဆိုင္- ခင္စႏၵာမင္းဦး မုန္႔ဖိုးေပး" u="1"/>
        <s v="ဆိုင္- ေဘာပင္+ၿခင္ေဆးဗူး" u="1"/>
        <s v="ဆိုင္- ပါကင္လိပ္+အိတ္" u="1"/>
        <s v="ရိန္း+ဂတ္စကက္                                                      (ေငြျပန္အမ္း)" u="1"/>
        <s v="ဆိုင္- အိတ္ေဇာဗူး+မီးခံကြင္း" u="1"/>
        <s v="ဆိုင္- 210 ေဘာ+ဇက္ပင္                                          (ေငြျပန္အမ္း)" u="1"/>
        <s v="ဆိုင္- ပူလီ+ဆိုက္ကလစ္ဂြ                                        (ေငြျပန္အမ္း)" u="1"/>
        <s v="ဆိုင္- အင္ဂ်င္ဝိုင္+ ဂတ္စကက္                                   (ေငြျပန္အမ္း)" u="1"/>
        <s v="ကိုေအာင္သူ သံုးဘီးေၾကြးဆပ္" u="1"/>
        <s v="ဆိုင္- ျခင္းဝယ္" u="1"/>
        <s v="ဆိုင္- လက္ေဆာင္ေပး" u="1"/>
        <s v="သံုးဘီး ေၾကြးဆပ္ ဦးေအာင္မိုးသူ ဆည္ေၿမာင္း" u="1"/>
        <s v="ဆိုင္- ဂါဂ်ီပင္ဘြတ္+206ေဘာ" u="1"/>
        <s v="ဆိုင္- စပန္နာဘူး" u="1"/>
        <s v="WS- ပူလီ+ဂၽြိဳင္းဂြ" u="1"/>
        <s v="အိမ္-  ေဒၚေလးမိုး ယူေငြ" u="1"/>
        <s v="ဆိုင္- သြပ္နန္း+ဘယ္ရင္" u="1"/>
        <s v="ဆိုင္- နတ္+ ကယ္ရီခ" u="1"/>
        <s v="ဆိုင္- အိတ္ခြံ ဝယ္" u="1"/>
        <s v="ဆိုင္- ေရကဒ္+ပါဆယ္အိတ္္" u="1"/>
        <s v="ဆိုင္- 7&quot;ပူလီ" u="1"/>
        <s v="ဆိုင္- ဦးေက်ာ္သူဝင္း TOYOၿပဳၿပင္ခ+Bonsy" u="1"/>
        <s v="က်င္းလံု                                                              (ေငြလႊဲ - YGN)" u="1"/>
        <s v="မအူပင္                                                        Cash (ေငြလႊဲ - YGN)       " u="1"/>
        <s v="ဆိုင္- ဘေလာက္set+အဝိုင္းစီး" u="1"/>
        <s v="ဆိုင္- 4&quot; ဘီးလူးေခါင္း (ေငြၿပန္အမ္း)" u="1"/>
        <s v="ဆိုင္- ေသာ့ဝယ္" u="1"/>
        <s v="ဆိုင္- စတပ္ေဘာ" u="1"/>
        <s v="ဆိုင္- ေရဗူးလဲ" u="1"/>
        <s v="ဆိုင္- ခ်စ္ဖိန္႕စက္ၿပင္ခ" u="1"/>
        <s v="အိမ္- ေရခ်ိဳးခန္း+အိမ္သာၿပင္-ပစၥည္းဝယ္" u="1"/>
        <s v="မိတ္သစ္" u="1"/>
        <s v="အိမ္- ဝင္ေငြ ဖုန္းေဘ" u="1"/>
        <s v="သံုးဘီး ေၾကြးဆပ္ ကိုေအာင္သူ ေမွာ္ဘီ" u="1"/>
        <s v="WS- ကိုေထြး ယူေငြ" u="1"/>
        <s v="ဆိုင္- မခင္စႏၵာမင္းဦး လစာယူေငြ(အခ်ိန္ပို)" u="1"/>
        <s v="ေဒၚသီသီခိုင္  သံုးဘီး ေၾကြးဆပ္" u="1"/>
        <s v="အိမ္- Wave Money ေငြျဖည့္" u="1"/>
        <s v="SP ေၾကြးဆပ္ ကိုနိုင္ဝင္း ေကာ့မွဴး" u="1"/>
        <s v="SP ေၾကြးဆပ္ ဦးနိုင္ဝင္း ေကာ့မွဴး" u="1"/>
        <s v="ဆိုင္- ဝင္ေငြ ဝါယာႀကိဳး ေရာင္း" u="1"/>
        <s v="ေရႊဝါေျမထြန္းလင္း                                           Cash (ေငြလႊဲ - YGN)" u="1"/>
        <s v="ေငြမိုး" u="1"/>
        <s v="ဆိုင္- စီဒီအိုင္+74" u="1"/>
        <s v="သံုးဘီးေၾကြးဆပ္ ဦးေဌးေအာင္ ဇလုပ္ႀကီး" u="1"/>
        <s v="ဆိုင္- ရိန္း+Q185ရိန္း" u="1"/>
        <s v="SP- ေၾကြးဆပ္ ဦးသန္းဦး တာတိုက္" u="1"/>
        <s v="သံုးဘီး ေၾကြးဆပ္ ကိုျမင့္လြင္ ခရိုကၡနိ" u="1"/>
        <s v="ဆိုင္- တစ္ရွဴးဝယ္" u="1"/>
        <s v="ဆိုင္- ေရေႏြးခြက္ ဝယ္" u="1"/>
        <s v="ဆိုင္- ၿမက္ရိတ္စက္ ရွပ္လိုင္း လုပ္ခေပး" u="1"/>
        <s v="ဦးဘိုႀကီး                                                      Cash (ေငြလႊဲ - Mobile)" u="1"/>
        <s v="ဆိုင္- 19သီး+14သီး+ဟန္တယ္ေဂါက္                           (ေငြျပန္အမ္း)" u="1"/>
        <s v="ဆိုင္- ကရိုင္း+Mollar+အမ္းခံု+သတၳဳဝါရွာ+204              (ေငြျပန္အမ္း)" u="1"/>
        <s v="ဆိုင္- ဆီဝါရွာ+Bosny+ အိတ္ေဇာေဂါက္                       (ေငြျပန္အမ္း)" u="1"/>
        <s v="ဦးလွေဌး သံုးဘီးေၾကြးဆပ္" u="1"/>
        <s v="ခိုင္ဝင္း                                                          Cash (ေငြလႊဲ - YGN)" u="1"/>
        <s v="အိမ္- ဝင္ေငြ Wave လႊဲခ" u="1"/>
        <s v="ဆိုင္- ဂၽြိဳင္းဂြ+ဆီကေတာ့" u="1"/>
        <s v="ဝင္း(BATTERY)" u="1"/>
        <s v="SP ေၾကြးက်န္ ကိုေက်ာ္စိုး ဝါးေသာက္" u="1"/>
        <s v="SP ေၾကြးက်န္ ဦးခင္ေသာင္း ဝါးေသာက္" u="1"/>
        <s v="SP ေၾကြးက်န္ ဦးခိုင္ေဇာ္ ဝါးေသာက္" u="1"/>
        <s v="SP ေၾကြးက်န္ ဦးနိုင္ဝင္း ဝါးေသာက္" u="1"/>
        <s v="SP ေၾကြးက်န္ ဦးဖိုးတရုပ္ ဝါးေသာက္" u="1"/>
        <s v="SP ေၾကြးက်န္ ဦးေက်ာ္စိုး ဝါးေသာက္" u="1"/>
        <s v="SP ေၾကြးက်န္ ေအာင္ခန္႔ျဖဴ ဝါးေသာက္" u="1"/>
        <s v="SP ေၾကြးဆပ္ ကိုကိုင္ဇာေဌး ဝါးေသာက္" u="1"/>
        <s v="SP ေၾကြးဆပ္ ကိုထြန္းနိုင္ ဝါးေသာက္" u="1"/>
        <s v="SP ေၾကြးဆပ္ ကိုမ်ိဳးနိုင္ ဝါးေသာက္" u="1"/>
        <s v="SP ေၾကြးဆပ္ ကိုေထြး+ကိုသူ ဝါးေသာက္" u="1"/>
        <s v="SP ေၾကြးဆပ္ ဦးညြန္႔လိႈင္ ဝါးေသာက္" u="1"/>
        <s v="SP ေၾကြးက်န္ ဦးေဇာ္ေထြး သဲကုန္းတန္း" u="1"/>
        <s v="STL                                                                   (ေငြလႊဲ - YGN)" u="1"/>
        <s v="အိမ္- ေဘဇင္ ပစၥည္းဝယ္+ လက္သဲညွပ္" u="1"/>
        <s v="ဆိုင္- 600×12ကၽြတ္" u="1"/>
        <s v="Anty Win" u="1"/>
        <s v="SP ေၾကြးဆပ္ ဦးဝင္းထြန္း ေမွာ္ဘီ" u="1"/>
        <s v="ဆိုင္- 54ၾကိဳး+ကလပ္ၾကိဳး" u="1"/>
        <s v="ဆိုင္- မိုးကာအကၤ် ီဝယ္" u="1"/>
        <s v="ဆိုင္- ပါကင္စံု+အင္ဂ်င္ဝိုင္" u="1"/>
        <s v="ဆိုင္- ဘုရားပန္း+ဖုန္းေဘ" u="1"/>
        <s v="အိမ္- ကားၾကီး အင္ဂ်င္ဝိုင္" u="1"/>
        <s v="SP ေၾကြးဆပ္ ကိုေဇာ္နိူင္ဝင္း ဝါးေသာက္" u="1"/>
        <s v="SP ေၾကြးဆပ္ ခါေတာ္မွီေက်ာင္း ဝါးေသာက္" u="1"/>
        <s v="ေအးေမတၱာ                                                    Cash (ေငြလႊဲ - YGN)" u="1"/>
        <s v="ဆိုင္- သံလိုက္တံုး+12ထုပ္ကြိဳင္" u="1"/>
        <s v="ဆိုင္- 72ၾကိဳး+22ကစ္ဆက္" u="1"/>
        <s v="ဆိုင္- သံုးဘီးျပဳျပင္ခေပး" u="1"/>
        <s v="ဆိုင္- ဝင္ေငြ ဦးေမာင္နိုင္ ေကာ့ဒြန္း" u="1"/>
        <s v="ကိုငမ်ိဳး ဘုရင့္ေနာင္ေဈး" u="1"/>
        <s v="သံုးဘီး ေၾကြးဆပ္ ဦးနိူင္စြာဝင္း သၿမင္ၿခံ" u="1"/>
        <s v="ဆိုင္- မိဘရိပ္ကားခ+ ကယ္လီခ" u="1"/>
        <s v="ဆိုင္- ခဲတံ + အင္ဂ်င္ေဖာက္ခေပး+ေရဗူး" u="1"/>
        <s v="SP ေၾကြးဆပ္ အန္တီႀကီး ရွမ္းေခါက္ဆြဲ" u="1"/>
        <s v="SP ေၾကြးက်န္ ဦးေဌးေအာင္ ဓါတ္ေဆာင္" u="1"/>
        <s v="ဆိုင္- ဆိုင္ၿပင္ေန႔စားခ" u="1"/>
        <s v="ဦးအုန္းဆိုင္ သံုးဘီးေၾကြးဆပ္                                       (ေငြလႊဲ - ဆိုင္)" u="1"/>
        <s v="WS- ဦးၾကည္လြင္ သံျပား" u="1"/>
        <s v="WS- 2&quot; ဖလပ္ျပား" u="1"/>
      </sharedItems>
    </cacheField>
    <cacheField name="Transction Type" numFmtId="0">
      <sharedItems containsBlank="1"/>
    </cacheField>
    <cacheField name="Opening" numFmtId="0">
      <sharedItems containsString="0" containsBlank="1" containsNumber="1" containsInteger="1" minValue="5567322" maxValue="5567322"/>
    </cacheField>
    <cacheField name="Debit" numFmtId="181">
      <sharedItems containsString="0" containsBlank="1" containsNumber="1" containsInteger="1" minValue="200" maxValue="4883400"/>
    </cacheField>
    <cacheField name="Credit" numFmtId="181">
      <sharedItems containsString="0" containsBlank="1" containsNumber="1" containsInteger="1" minValue="300" maxValue="1971000"/>
    </cacheField>
    <cacheField name="Balance" numFmtId="169">
      <sharedItems containsString="0" containsBlank="1" containsNumber="1" containsInteger="1" minValue="-1971000" maxValue="5567322"/>
    </cacheField>
  </cacheFields>
  <extLst>
    <ext xmlns:x14="http://schemas.microsoft.com/office/spreadsheetml/2009/9/main" uri="{725AE2AE-9491-48be-B2B4-4EB974FC3084}">
      <x14:pivotCacheDefinition pivotCacheId="2047302495"/>
    </ext>
  </extLst>
</pivotCacheDefinition>
</file>

<file path=xl/pivotCache/pivotCacheDefinition6.xml><?xml version="1.0" encoding="utf-8"?>
<pivotCacheDefinition xmlns="http://schemas.openxmlformats.org/spreadsheetml/2006/main" xmlns:r="http://schemas.openxmlformats.org/officeDocument/2006/relationships" r:id="rId1" refreshedBy="Windows User" refreshedDate="44682.449202777774" createdVersion="5" refreshedVersion="5" minRefreshableVersion="3" recordCount="885">
  <cacheSource type="worksheet">
    <worksheetSource ref="A1:H886" sheet="Profit (1-4-22) to (30-4-22) "/>
  </cacheSource>
  <cacheFields count="8">
    <cacheField name="No" numFmtId="0">
      <sharedItems containsSemiMixedTypes="0" containsString="0" containsNumber="1" containsInteger="1" minValue="1" maxValue="885"/>
    </cacheField>
    <cacheField name="Item ID" numFmtId="0">
      <sharedItems containsMixedTypes="1" containsNumber="1" containsInteger="1" minValue="111016" maxValue="11410114"/>
    </cacheField>
    <cacheField name="Item Name" numFmtId="0">
      <sharedItems containsMixedTypes="1" containsNumber="1" containsInteger="1" minValue="6207" maxValue="6207"/>
    </cacheField>
    <cacheField name="Purchase Price" numFmtId="0">
      <sharedItems containsSemiMixedTypes="0" containsString="0" containsNumber="1" containsInteger="1" minValue="52" maxValue="4851000"/>
    </cacheField>
    <cacheField name="Sell Qty" numFmtId="0">
      <sharedItems containsSemiMixedTypes="0" containsString="0" containsNumber="1" containsInteger="1" minValue="1" maxValue="286"/>
    </cacheField>
    <cacheField name="Sale Amount" numFmtId="0">
      <sharedItems containsSemiMixedTypes="0" containsString="0" containsNumber="1" containsInteger="1" minValue="150" maxValue="5101000"/>
    </cacheField>
    <cacheField name="Profit" numFmtId="0">
      <sharedItems containsSemiMixedTypes="0" containsString="0" containsNumber="1" containsInteger="1" minValue="-10000" maxValue="315000"/>
    </cacheField>
    <cacheField name="Store" numFmtId="0">
      <sharedItems count="7">
        <s v="Main Store"/>
        <s v="GBS Spare"/>
        <s v="2 Wheel"/>
        <s v="Delta International Limited"/>
        <s v="Mg Mg Soe"/>
        <s v="STL"/>
        <s v="ZM/MDY Spare"/>
      </sharedItems>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r:id="rId1" refreshedBy="Windows User" refreshedDate="44682.450487152775" createdVersion="5" refreshedVersion="5" minRefreshableVersion="3" recordCount="3263">
  <cacheSource type="worksheet">
    <worksheetSource ref="A1:H3264" sheet="Stock(30-4-2022)"/>
  </cacheSource>
  <cacheFields count="8">
    <cacheField name="စဥ္" numFmtId="0">
      <sharedItems containsSemiMixedTypes="0" containsString="0" containsNumber="1" containsInteger="1" minValue="1" maxValue="3263"/>
    </cacheField>
    <cacheField name="ITEM ID" numFmtId="0">
      <sharedItems containsMixedTypes="1" containsNumber="1" containsInteger="1" minValue="11001" maxValue="950886002844" count="3263">
        <n v="11001"/>
        <n v="1100100"/>
        <n v="1100101"/>
        <n v="1100102"/>
        <n v="1100103"/>
        <n v="1100104"/>
        <n v="1100105"/>
        <n v="1100106"/>
        <n v="1100107"/>
        <n v="1100109"/>
        <n v="110011"/>
        <n v="1100110"/>
        <n v="1100118"/>
        <n v="110012"/>
        <n v="1100120"/>
        <n v="1100121"/>
        <n v="1100122"/>
        <n v="11002"/>
        <n v="11003"/>
        <n v="11004"/>
        <n v="11005"/>
        <n v="11006"/>
        <n v="11008"/>
        <n v="11009"/>
        <n v="110131"/>
        <n v="11015"/>
        <n v="1110002"/>
        <n v="1110003"/>
        <n v="11100059"/>
        <n v="11100060"/>
        <n v="1110008"/>
        <n v="1110009"/>
        <n v="11100117"/>
        <n v="1110012"/>
        <n v="1110014"/>
        <n v="1110016"/>
        <n v="1110017"/>
        <n v="1110019"/>
        <n v="1110020"/>
        <n v="1110021"/>
        <n v="1110023"/>
        <n v="1110026"/>
        <n v="1110027"/>
        <n v="1110029"/>
        <n v="1110031"/>
        <n v="1110033"/>
        <n v="1110034"/>
        <n v="1110036"/>
        <n v="1110037"/>
        <n v="1110038"/>
        <n v="1110039"/>
        <n v="1110040"/>
        <n v="1110041"/>
        <n v="1110042"/>
        <n v="1110046"/>
        <n v="1110047"/>
        <n v="1110049"/>
        <n v="1110050"/>
        <n v="1110051"/>
        <n v="1110052"/>
        <n v="1110053"/>
        <n v="1110054"/>
        <n v="1110057"/>
        <n v="1110059"/>
        <n v="1110060"/>
        <n v="1110061"/>
        <n v="1110063"/>
        <n v="1110064"/>
        <n v="1110065"/>
        <n v="1110067"/>
        <n v="1110068"/>
        <n v="111007"/>
        <n v="1110072"/>
        <n v="1110073"/>
        <n v="1110074"/>
        <n v="1110075"/>
        <n v="1110076"/>
        <n v="1110079"/>
        <n v="1110080"/>
        <n v="1110082"/>
        <n v="1110083"/>
        <n v="1110085"/>
        <n v="1110086"/>
        <n v="1110089"/>
        <n v="1110090"/>
        <n v="1110091"/>
        <n v="1110093"/>
        <n v="1110094"/>
        <n v="1110095"/>
        <n v="1110096"/>
        <n v="1110098"/>
        <n v="1110099"/>
        <n v="1110100"/>
        <n v="1110101"/>
        <n v="1110102"/>
        <n v="1110103"/>
        <n v="1110104"/>
        <n v="1110105"/>
        <n v="1110107"/>
        <n v="1110108"/>
        <n v="1110109"/>
        <n v="1110110"/>
        <n v="11101119"/>
        <n v="1110112"/>
        <n v="1110113"/>
        <n v="1110114"/>
        <n v="1110115"/>
        <n v="1110116"/>
        <n v="1110117"/>
        <n v="1110118"/>
        <n v="1110119"/>
        <n v="1110120"/>
        <n v="1110121"/>
        <n v="1110122"/>
        <n v="1110123"/>
        <n v="1110124"/>
        <n v="1110125"/>
        <n v="1110127"/>
        <n v="1110128"/>
        <n v="1110129"/>
        <n v="111013"/>
        <n v="1110130"/>
        <n v="1110131"/>
        <n v="1110132"/>
        <n v="1110133"/>
        <n v="1110134"/>
        <n v="1110135"/>
        <n v="1110138"/>
        <n v="1110139"/>
        <n v="1110140"/>
        <n v="1110141"/>
        <n v="1110142"/>
        <n v="1110143"/>
        <n v="1110144"/>
        <n v="1110146"/>
        <n v="1110147"/>
        <n v="1110149"/>
        <n v="111015"/>
        <n v="1110150"/>
        <n v="1110151"/>
        <n v="1110152"/>
        <n v="1110153"/>
        <n v="1110154"/>
        <n v="1110155"/>
        <n v="1110157"/>
        <n v="1110158"/>
        <n v="1110159"/>
        <n v="111016"/>
        <n v="1110160"/>
        <n v="111017"/>
        <n v="111018"/>
        <n v="111019"/>
        <n v="111020"/>
        <n v="111021"/>
        <n v="111022"/>
        <n v="1115001"/>
        <n v="1115002"/>
        <n v="1115004"/>
        <n v="1115005"/>
        <n v="1115006"/>
        <n v="1115007"/>
        <n v="1115008"/>
        <n v="1115009"/>
        <n v="1115010"/>
        <n v="1115012"/>
        <n v="11410114"/>
        <n v="189007"/>
        <n v="190001"/>
        <n v="190002"/>
        <n v="195001"/>
        <n v="195002"/>
        <n v="195004"/>
        <n v="195005"/>
        <s v="2W"/>
        <s v="2W1"/>
        <s v="2W10"/>
        <s v="2W11"/>
        <s v="2W13"/>
        <s v="2W15"/>
        <s v="2W2"/>
        <s v="2W3"/>
        <s v="2W4"/>
        <s v="2W6"/>
        <s v="2W7"/>
        <s v="2W8"/>
        <n v="950886000857"/>
        <n v="950886001847"/>
        <n v="950886002844"/>
        <s v="BALL1"/>
        <s v="BALL10"/>
        <s v="BALL11"/>
        <s v="BALL12"/>
        <s v="BALL13"/>
        <s v="BALL14"/>
        <s v="BALL15"/>
        <s v="BALL16"/>
        <s v="BALL17"/>
        <s v="BALL18"/>
        <s v="BALL19"/>
        <s v="BALL2"/>
        <s v="BALL21"/>
        <s v="BALL22."/>
        <s v="BALL23"/>
        <s v="BALL24"/>
        <s v="BALL25"/>
        <s v="BALL26"/>
        <s v="BALL27"/>
        <s v="BALL28"/>
        <s v="BALL3"/>
        <s v="BALL30"/>
        <s v="BALL31"/>
        <s v="BALL34"/>
        <s v="BALL35"/>
        <s v="BALL36"/>
        <s v="BALL4"/>
        <s v="BALL5"/>
        <s v="BALL6"/>
        <s v="BALL7"/>
        <s v="BALL8"/>
        <s v="BALL9"/>
        <s v="BTY0001"/>
        <s v="BTY0002"/>
        <s v="BTY0004"/>
        <s v="BTY0005"/>
        <s v="BTY0006"/>
        <s v="BTY0007"/>
        <s v="BTY0008"/>
        <s v="BTY0009"/>
        <s v="BTY0010"/>
        <s v="BTY0011"/>
        <s v="BTY0012"/>
        <s v="BTY0013"/>
        <s v="BTY0014"/>
        <s v="BTY0015"/>
        <s v="BTY0017"/>
        <s v="BTY0018"/>
        <s v="BTY0019"/>
        <s v="BTY0021"/>
        <s v="DF0001"/>
        <s v="DF0002"/>
        <s v="DF0004"/>
        <s v="DF0007"/>
        <s v="DF0009"/>
        <s v="DF001"/>
        <s v="DF0011"/>
        <s v="DF0013"/>
        <s v="DF0014"/>
        <s v="DF0015"/>
        <s v="DF0019"/>
        <s v="DF0022"/>
        <s v="DF0023"/>
        <s v="DF0024"/>
        <s v="DF0025"/>
        <s v="DF0026"/>
        <s v="DF0027"/>
        <s v="DF0028"/>
        <s v="DF0029"/>
        <s v="DF003"/>
        <s v="DF0030"/>
        <s v="DF0031"/>
        <s v="DF0032"/>
        <s v="DF0033"/>
        <s v="DF0034"/>
        <s v="DF0035"/>
        <s v="DF0036"/>
        <s v="DF0037"/>
        <s v="DF0038"/>
        <s v="DF0039"/>
        <s v="DF004"/>
        <s v="DF0040"/>
        <s v="DF0041"/>
        <s v="DF0042"/>
        <s v="DF0043"/>
        <s v="DF0044"/>
        <s v="DF0045"/>
        <s v="DF0046"/>
        <s v="DF0047"/>
        <s v="DF0048"/>
        <s v="DF0049"/>
        <s v="DF005"/>
        <s v="DF0050"/>
        <s v="DF007"/>
        <s v="DF008"/>
        <s v="DF009"/>
        <s v="DF010"/>
        <s v="DF0100"/>
        <s v="DF0101"/>
        <s v="DF0102"/>
        <s v="DF0103"/>
        <s v="DF0104"/>
        <s v="DF0105"/>
        <s v="DF011"/>
        <s v="DF014"/>
        <s v="DF015"/>
        <s v="DF016"/>
        <s v="DF017"/>
        <s v="DF018"/>
        <s v="DF020"/>
        <s v="DF022"/>
        <s v="DF023"/>
        <s v="DF024"/>
        <s v="DF025"/>
        <s v="DF026"/>
        <s v="DF027"/>
        <s v="DF028"/>
        <s v="DF029"/>
        <s v="DF030"/>
        <s v="DF031"/>
        <s v="DF032"/>
        <s v="DF033"/>
        <s v="DF034"/>
        <s v="DF035"/>
        <s v="DF036"/>
        <s v="DF037"/>
        <s v="DF038"/>
        <s v="DF039"/>
        <s v="DF040"/>
        <s v="DF041"/>
        <s v="DF042"/>
        <s v="DF043"/>
        <s v="DF044"/>
        <s v="DF045"/>
        <s v="DF046"/>
        <s v="DF047"/>
        <s v="DF048"/>
        <s v="DF049"/>
        <s v="DF050"/>
        <s v="DF051"/>
        <s v="DF052"/>
        <s v="DF053"/>
        <s v="DF054"/>
        <s v="DF055"/>
        <s v="DF056"/>
        <s v="DF057"/>
        <s v="DF058"/>
        <s v="DF059"/>
        <s v="DF060"/>
        <s v="DF061"/>
        <s v="DF062"/>
        <s v="DF063"/>
        <s v="DF064"/>
        <s v="DF065"/>
        <s v="DF066"/>
        <s v="DF067"/>
        <s v="DF068"/>
        <s v="DF070"/>
        <s v="DF071"/>
        <s v="DF072"/>
        <s v="DF073"/>
        <s v="DF074"/>
        <s v="DF075"/>
        <s v="DF076"/>
        <s v="DF077"/>
        <s v="DF078"/>
        <s v="DF079"/>
        <s v="DF080"/>
        <s v="DF081"/>
        <s v="DF082"/>
        <s v="DF083"/>
        <s v="DF084"/>
        <s v="DF086"/>
        <s v="DF087"/>
        <s v="DF088"/>
        <s v="DF090"/>
        <s v="DF091"/>
        <s v="DF092"/>
        <s v="DF093"/>
        <s v="DF095"/>
        <s v="DF096"/>
        <s v="DF097"/>
        <s v="DF098"/>
        <s v="DF099"/>
        <s v="DF100"/>
        <s v="DF101"/>
        <s v="DF102"/>
        <s v="DF103"/>
        <s v="DF104"/>
        <s v="DF105"/>
        <s v="DF106"/>
        <s v="DF107"/>
        <s v="DF108"/>
        <s v="DF109"/>
        <s v="DF111"/>
        <s v="DF114"/>
        <s v="DF115"/>
        <s v="DF116"/>
        <s v="DF117"/>
        <s v="DF118"/>
        <s v="ိDF119"/>
        <s v="DF120"/>
        <s v="DF121"/>
        <s v="DF122"/>
        <s v="DF123"/>
        <s v="DF124"/>
        <s v="DF125"/>
        <s v="DF126"/>
        <s v="DF127"/>
        <s v="DF128"/>
        <s v="DF129"/>
        <s v="DF130"/>
        <s v="DF131"/>
        <s v="DF133"/>
        <s v="DF134"/>
        <s v="DF136"/>
        <s v="DF139"/>
        <s v="DF140"/>
        <s v="DF141"/>
        <s v="DF142"/>
        <s v="DF143"/>
        <s v="DF144"/>
        <s v="DF145"/>
        <s v="DF146"/>
        <s v="DF147"/>
        <s v="DF149"/>
        <s v="DF151"/>
        <s v="DF152"/>
        <s v="DF153"/>
        <s v="DF155"/>
        <s v="DF156"/>
        <s v="DF157"/>
        <s v="DF158"/>
        <s v="DF159"/>
        <s v="DF160"/>
        <s v="DF161"/>
        <s v="DF162"/>
        <s v="DF163"/>
        <s v="DF164"/>
        <s v="DF165"/>
        <s v="DF166"/>
        <s v="DF167"/>
        <s v="DF168"/>
        <s v="DF169"/>
        <s v="DF170"/>
        <s v="DF171"/>
        <s v="DF173"/>
        <s v="DF174"/>
        <s v="DF177"/>
        <s v="DF178"/>
        <s v="DF179"/>
        <s v="DF18"/>
        <s v="ိDF19"/>
        <s v="DF32"/>
        <s v="DF33"/>
        <s v="DF34"/>
        <s v="DF35"/>
        <s v="DF36"/>
        <s v="DF37"/>
        <s v="DF38"/>
        <s v="DF39"/>
        <s v="DTL002"/>
        <s v="DTL009"/>
        <s v="DTL010"/>
        <s v="DTL014"/>
        <s v="DTL015"/>
        <s v="EH002"/>
        <s v="EH003"/>
        <s v="EH004"/>
        <s v="EH005"/>
        <s v="EH006"/>
        <s v="EM185001"/>
        <s v="EM185002"/>
        <s v="EM185003"/>
        <s v="EM185004"/>
        <s v="EM185005"/>
        <s v="EM185006"/>
        <s v="EM185007"/>
        <s v="EM185008"/>
        <s v="EM185009"/>
        <s v="EM185010"/>
        <s v="EM185011"/>
        <s v="EM185012"/>
        <s v="EM185013"/>
        <s v="EM185014"/>
        <s v="EM185015"/>
        <s v="EM185016"/>
        <s v="EM185017"/>
        <s v="EM185018"/>
        <s v="EM185019"/>
        <s v="EM185020"/>
        <s v="EM185021"/>
        <s v="EM185022"/>
        <s v="EM185023"/>
        <s v="FD30001"/>
        <s v="FD30002"/>
        <s v="FD30003"/>
        <s v="FD30004"/>
        <s v="FD30006"/>
        <s v="FD30008"/>
        <s v="FD30009"/>
        <s v="FD30010"/>
        <s v="GBSP001"/>
        <s v="GBSP0028"/>
        <s v="GBSP0029"/>
        <s v="GBSP0031"/>
        <s v="GBSP0032"/>
        <s v="GBSP013"/>
        <s v="GBSP014"/>
        <s v="GBSP017"/>
        <s v="GBSP018"/>
        <s v="GBSP022"/>
        <s v="GBSP023"/>
        <s v="GBSP030"/>
        <s v="GBSP031"/>
        <s v="GBSP032"/>
        <s v="GBSP033"/>
        <s v="GBSP035"/>
        <s v="GBSP036"/>
        <s v="GBSP040"/>
        <s v="GBSP041"/>
        <s v="GBSP042"/>
        <s v="GBSP045"/>
        <s v="GBSP046"/>
        <s v="GBSP047"/>
        <s v="GBSP0476"/>
        <s v="GBSP050"/>
        <s v="GBSP052"/>
        <s v="GBSP053"/>
        <s v="GBSP055"/>
        <s v="GBSP056"/>
        <s v="GBSP057"/>
        <s v="GBSP058"/>
        <s v="GBSP060"/>
        <s v="GBSP061"/>
        <s v="GBSP062"/>
        <s v="GBSP067"/>
        <s v="GBSP068"/>
        <s v="GBSP069"/>
        <s v="GBSP071"/>
        <s v="GBSP072"/>
        <s v="GBSP073"/>
        <s v="GBSP074"/>
        <s v="GBSP075"/>
        <s v="GBSP076"/>
        <s v="GBSP077"/>
        <s v="GBSP078"/>
        <s v="GBSP081"/>
        <s v="GBSP083"/>
        <s v="GBSP085"/>
        <s v="GBSP086"/>
        <s v="GBSP087"/>
        <s v="GBSP088"/>
        <s v="GBSP089"/>
        <s v="GBSP090"/>
        <s v="GBSP092"/>
        <s v="GBSP093"/>
        <s v="GBSP094"/>
        <s v="GBSP095"/>
        <s v="GBSP096"/>
        <s v="GBSP097"/>
        <s v="GBSP098"/>
        <s v="GBSP099"/>
        <s v="GBSP100"/>
        <s v="GBSP101"/>
        <s v="GBSP102"/>
        <s v="GBSP30"/>
        <s v="GFer009"/>
        <s v="HFer012"/>
        <s v="LY0001"/>
        <s v="LY0005"/>
        <s v="LY0007"/>
        <s v="LY0008"/>
        <s v="LY0012"/>
        <s v="LY0020"/>
        <s v="LY0022"/>
        <s v="LY0025"/>
        <s v="LY0027"/>
        <s v="LY0028"/>
        <s v="LY0039"/>
        <s v="LY0041"/>
        <s v="LY0042"/>
        <s v="LY0044"/>
        <s v="LY0048"/>
        <s v="LY0049"/>
        <s v="LY0050"/>
        <s v="LY0051"/>
        <s v="MBY0003"/>
        <s v="MBY0008"/>
        <s v="MBY0010"/>
        <s v="MBY0011"/>
        <s v="MBY0012"/>
        <s v="MBY0014"/>
        <s v="MBY0015"/>
        <s v="MBY0018"/>
        <s v="MBY0019"/>
        <s v="MBY0020"/>
        <s v="MBY0021"/>
        <s v="MBY0022"/>
        <s v="MBY0023"/>
        <s v="MBY0024"/>
        <s v="MBY0026"/>
        <s v="MBY0027"/>
        <s v="MBY0029"/>
        <s v="MBY0030"/>
        <s v="MBY0035"/>
        <s v="MBY0036"/>
        <s v="MBY0038"/>
        <s v="MBY0040"/>
        <s v="MBY0042"/>
        <s v="MBY0043"/>
        <s v="MBY0044"/>
        <s v="MBY0045"/>
        <s v="MBY0047"/>
        <s v="MBY0051"/>
        <s v="MBY0052"/>
        <s v="MBY0054"/>
        <s v="MBY0055"/>
        <s v="MBY0056"/>
        <s v="MBY0059"/>
        <s v="MBY0060"/>
        <s v="MBY0061"/>
        <s v="MBY0062"/>
        <s v="MBY0063"/>
        <s v="MBY0064"/>
        <s v="MBY0065"/>
        <s v="MBY0066"/>
        <s v="MBY0068"/>
        <s v="MBY0069"/>
        <s v="MBY0070"/>
        <s v="MBY0071"/>
        <s v="MBY0072"/>
        <s v="MBY0073"/>
        <s v="MBY0074"/>
        <s v="MBY0076"/>
        <s v="MBY0077"/>
        <s v="MBY0082"/>
        <s v="MBY0083"/>
        <s v="MBY0084"/>
        <s v="MBY0085"/>
        <s v="MBY0086"/>
        <s v="MBY0087"/>
        <s v="MBY0088"/>
        <s v="MBY0089"/>
        <s v="MBY0090"/>
        <s v="MBY0092"/>
        <s v="MBY0093"/>
        <s v="MBY0095"/>
        <s v="MBY0096"/>
        <s v="MBY0097"/>
        <s v="MBY0098"/>
        <s v="MBY0099"/>
        <s v="MMS0004"/>
        <s v="MMS0005"/>
        <s v="MMS0006"/>
        <s v="MMS0008"/>
        <s v="MMS0010"/>
        <s v="MMS0011"/>
        <s v="MMS0012"/>
        <s v="MMS0013"/>
        <s v="MMS0014"/>
        <s v="MMS0015"/>
        <s v="MMS0017"/>
        <s v="MMS0018"/>
        <s v="MMS0019"/>
        <s v="MMS0020"/>
        <s v="MMS0021"/>
        <s v="MMS0022"/>
        <s v="MMS0023"/>
        <s v="MMS00237"/>
        <s v="MMS0024"/>
        <s v="MMS0025"/>
        <s v="MMS0027"/>
        <s v="MMS0028"/>
        <s v="MMS0030"/>
        <s v="MMS0031"/>
        <s v="MMS0032"/>
        <s v="MMS0033"/>
        <s v="MMS0037"/>
        <s v="MMS0038"/>
        <s v="MMS0039"/>
        <s v="MMS0040"/>
        <s v="MMS0041"/>
        <s v="MMS0042"/>
        <s v="MMS0043"/>
        <s v="MMS0044"/>
        <s v="MMS0045"/>
        <s v="MMS0046"/>
        <s v="MMS0048"/>
        <s v="MMS0049"/>
        <s v="MMS0050"/>
        <s v="MMS0052"/>
        <s v="MMS0054"/>
        <s v="MMS0055"/>
        <s v="MMS0056"/>
        <s v="MMS0057"/>
        <s v="MMS0058"/>
        <s v="MMS0060"/>
        <s v="MMS0062"/>
        <s v="MMS0063"/>
        <s v="MMS0064"/>
        <s v="MMS0065"/>
        <s v="MMS0066"/>
        <s v="MMS0067"/>
        <s v="MMS0068"/>
        <s v="MMS0069"/>
        <s v="MMS0070"/>
        <s v="MMS0071"/>
        <s v="MMS0072"/>
        <s v="MMS0074"/>
        <s v="MMS0075"/>
        <s v="MMS0077"/>
        <s v="MMS0078"/>
        <s v="MMS0079"/>
        <s v="MMS0080"/>
        <s v="MMS0082"/>
        <s v="MMS0083"/>
        <s v="MMS0085"/>
        <s v="MMS0086"/>
        <s v="MMS0088"/>
        <s v="MMS0089"/>
        <s v="MMS0091"/>
        <s v="MMS0092"/>
        <s v="MMS0094"/>
        <s v="MMS0095"/>
        <s v="MMS0096"/>
        <s v="MMS0097"/>
        <s v="MMS0099"/>
        <s v="MMS0100"/>
        <s v="MMS0101"/>
        <s v="MMS0102"/>
        <s v="MMS0103"/>
        <s v="MMS0105"/>
        <s v="MMS0106"/>
        <s v="MMS0107"/>
        <s v="MMS0112"/>
        <s v="MMS0113"/>
        <s v="MMS0114"/>
        <s v="MMS0115"/>
        <s v="MMS0116"/>
        <s v="MMS0117"/>
        <s v="MMS0118"/>
        <s v="MMS0119"/>
        <s v="MMS012"/>
        <s v="MMS0121"/>
        <s v="MMS0122"/>
        <s v="MMS0123"/>
        <s v="MMS0124"/>
        <s v="MMS0125"/>
        <s v="MMS0128"/>
        <s v="MMS0129"/>
        <s v="MMS013"/>
        <s v="MMS0130"/>
        <s v="MMS0131"/>
        <s v="MMS0132"/>
        <s v="MMS0133"/>
        <s v="MMS0134"/>
        <s v="MMS0135"/>
        <s v="MMS0137"/>
        <s v="MMS0138"/>
        <s v="MMS0140"/>
        <s v="MMS0141"/>
        <s v="MMS0142"/>
        <s v="MMS0143"/>
        <s v="MMS0145"/>
        <s v="MMS0147"/>
        <s v="MMS0148"/>
        <s v="MMS0150"/>
        <s v="MMS0151"/>
        <s v="MMS0153"/>
        <s v="MMS0154"/>
        <s v="MMS0155"/>
        <s v="MMS0157"/>
        <s v="MMS0159"/>
        <s v="MMS0160"/>
        <s v="MMS0162"/>
        <s v="MMS0163"/>
        <s v="MMS0166"/>
        <s v="MMS0167"/>
        <s v="MMS0168"/>
        <s v="MMS0169"/>
        <s v="MMS017"/>
        <s v="MMS0170"/>
        <s v="MMS0171"/>
        <s v="MMS0172"/>
        <s v="MMS0173"/>
        <s v="MMS0174"/>
        <s v="MMS0175"/>
        <s v="MMS0176"/>
        <s v="MMS018"/>
        <s v="MMS0181"/>
        <s v="MMS0182"/>
        <s v="MMS0183"/>
        <s v="MMS0184"/>
        <s v="MMS0185"/>
        <s v="MMS0186"/>
        <s v="MMS0187"/>
        <s v="MMS0188"/>
        <s v="MMS0189"/>
        <s v="MMS019"/>
        <s v="MMS0190"/>
        <s v="MMS0191"/>
        <s v="MMS0192"/>
        <s v="MMS0194"/>
        <s v="MMS0195"/>
        <s v="MMS0196"/>
        <s v="MMS0197"/>
        <s v="MMS0198"/>
        <s v="MMS020"/>
        <s v="MMS0200"/>
        <s v="MMS0201"/>
        <s v="MMS0203"/>
        <s v="MMS0204"/>
        <s v="MMS0205"/>
        <s v="MMS0206"/>
        <s v="MMS0207"/>
        <s v="MMS0209"/>
        <s v="MMS021"/>
        <s v="MMS0210"/>
        <s v="MMS0211"/>
        <s v="MMS0212"/>
        <s v="MMS0213"/>
        <s v="MMS0214"/>
        <s v="MMS0215"/>
        <s v="MMS0218"/>
        <s v="MMS0219"/>
        <s v="MMS022"/>
        <s v="MMS0221"/>
        <s v="MMS0222"/>
        <s v="MMS0223"/>
        <s v="MMS0224"/>
        <s v="MMS0225"/>
        <s v="MMS0226"/>
        <s v="MMS0227"/>
        <s v="MMS0228"/>
        <s v="MMS023"/>
        <s v="MMS0231"/>
        <s v="MMS0232"/>
        <s v="MMS0233"/>
        <s v="MMS0234"/>
        <s v="MMS0236"/>
        <s v="MMS0238"/>
        <s v="MMS0239"/>
        <s v="MMS024"/>
        <s v="MMS0241"/>
        <s v="MMS0242"/>
        <s v="MMS0243"/>
        <s v="MMS0244"/>
        <s v="MMS0245"/>
        <s v="MMS0247"/>
        <s v="MMS0248"/>
        <s v="MMS0249"/>
        <s v="MMS025"/>
        <s v="MMS0250"/>
        <s v="MMS0251"/>
        <s v="MMS0252"/>
        <s v="MMS0253"/>
        <s v="MMS0254"/>
        <s v="MMS0255"/>
        <s v="MMS0256"/>
        <s v="MMS0257"/>
        <s v="MMS0258"/>
        <s v="MMS0259"/>
        <s v="MMS026"/>
        <s v="MMS0260"/>
        <s v="MMS0261"/>
        <s v="MMS0263"/>
        <s v="MMS0264"/>
        <s v="MMS0265"/>
        <s v="MMS0266"/>
        <s v="MMS0267"/>
        <s v="MMS0268"/>
        <s v="MMS0269"/>
        <s v="MMS027"/>
        <s v="MMS0270"/>
        <s v="MMS0271"/>
        <s v="MMS0272"/>
        <s v="MMS0273"/>
        <s v="MMS0274"/>
        <s v="MMS0275"/>
        <s v="MMS0276"/>
        <s v="MMS0277"/>
        <s v="MMS028"/>
        <s v="MMS0280"/>
        <s v="MMS0281"/>
        <s v="MMS0282"/>
        <s v="MMS0283"/>
        <s v="MMS0284"/>
        <s v="MMS0285"/>
        <s v="MMS0286"/>
        <s v="MMS0287"/>
        <s v="MMS0288"/>
        <s v="MMS0289"/>
        <s v="MMS029"/>
        <s v="MMS0290"/>
        <s v="MMS0291"/>
        <s v="MMS0292"/>
        <s v="MMS0293"/>
        <s v="MMS0294"/>
        <s v="MMS0295"/>
        <s v="MMS0296"/>
        <s v="MMS0297"/>
        <s v="MMS0298"/>
        <s v="MMS0299"/>
        <s v="MMS030"/>
        <s v="MMS0301"/>
        <s v="MMS0302"/>
        <s v="MMS0303"/>
        <s v="MMS0304"/>
        <s v="MMS0305"/>
        <s v="MMS0306"/>
        <s v="MMS0307"/>
        <s v="MMS0308"/>
        <s v="MMS0309"/>
        <s v="MMS0310"/>
        <s v="MMS0311"/>
        <s v="MMS0312"/>
        <s v="MMS0314"/>
        <s v="MMS0315"/>
        <s v="MMS0317"/>
        <s v="MMS0318"/>
        <s v="MMS0319"/>
        <s v="MMS032"/>
        <s v="MMS0320"/>
        <s v="MMS0329"/>
        <s v="MMS0330"/>
        <s v="MMS0331"/>
        <s v="MMS0332"/>
        <s v="MMS0333"/>
        <s v="MMS0334"/>
        <s v="MMS0335"/>
        <s v="MMS0336"/>
        <s v="MMS0337"/>
        <s v="MMS0338"/>
        <s v="MMS0339"/>
        <s v="MMS034"/>
        <s v="MMS0340"/>
        <s v="MMS0341"/>
        <s v="MMS0342"/>
        <s v="MMS0343"/>
        <s v="MMS0344"/>
        <s v="MMS0345"/>
        <s v="MMS0346"/>
        <s v="MMS0347"/>
        <s v="MMS0348"/>
        <s v="MMS0349"/>
        <s v="MMS0350"/>
        <s v="MMS0351"/>
        <s v="MMS0352"/>
        <s v="MMS0353"/>
        <s v="MMS0354"/>
        <s v="MMS0355"/>
        <s v="MMS0356"/>
        <s v="MMS0357"/>
        <s v="MMS0358"/>
        <s v="MMS0359"/>
        <s v="MMS036"/>
        <s v="MMS0360"/>
        <s v="MMS0361"/>
        <s v="MMS0362"/>
        <s v="MMS0363"/>
        <s v="MMS0364"/>
        <s v="MMS0365"/>
        <s v="MMS0366"/>
        <s v="MMS0367"/>
        <s v="MMS0368"/>
        <s v="MMS0369"/>
        <s v="MMS037"/>
        <s v="MMS0370"/>
        <s v="MMS0371"/>
        <s v="MMS0372"/>
        <s v="MMS0373"/>
        <s v="MMS038"/>
        <s v="MMS039"/>
        <s v="MMS040"/>
        <s v="MMS043"/>
        <s v="MMS044"/>
        <s v="MMS046"/>
        <s v="MMS047"/>
        <s v="MMS049"/>
        <s v="MMS050"/>
        <s v="MMS051"/>
        <s v="MMS052"/>
        <s v="MMS054"/>
        <s v="MMS055"/>
        <s v="MMS057"/>
        <s v="MMS058"/>
        <s v="MMS059"/>
        <s v="MMS061"/>
        <s v="MMS062"/>
        <s v="MMS064"/>
        <s v="MMS065"/>
        <s v="MMS067"/>
        <s v="MMS068"/>
        <s v="MMS069"/>
        <s v="MMS071"/>
        <s v="MMS074"/>
        <s v="MMS076"/>
        <s v="MMS077"/>
        <s v="MMS078"/>
        <s v="MMS079"/>
        <s v="MMS081"/>
        <s v="MMS083"/>
        <s v="MMS085"/>
        <s v="MMS087"/>
        <s v="MMS088"/>
        <s v="MMS089"/>
        <s v="MMS090"/>
        <s v="MMS092"/>
        <s v="MMS094"/>
        <s v="MMS096"/>
        <s v="MMS097"/>
        <s v="MMS098"/>
        <s v="MMS102"/>
        <s v="MMS103"/>
        <s v="MMS104"/>
        <s v="MMS105"/>
        <s v="MMS106"/>
        <s v="MMS107"/>
        <s v="MMS108"/>
        <s v="MMS109"/>
        <s v="MMS111"/>
        <s v="MMS112"/>
        <s v="MMS113"/>
        <s v="MMS114"/>
        <s v="MMS116"/>
        <s v="MMS119"/>
        <s v="MMS121"/>
        <s v="MMS122"/>
        <s v="MMS123"/>
        <s v="MMS124"/>
        <s v="MMS128"/>
        <s v="MMS130"/>
        <s v="MMS131"/>
        <s v="MMS134"/>
        <s v="MMS135"/>
        <s v="MMS137"/>
        <s v="MMS138"/>
        <s v="MMS139"/>
        <s v="MMS140"/>
        <s v="MMS141"/>
        <s v="MMS142"/>
        <s v="MMS143"/>
        <s v="MMS144"/>
        <s v="MMS145"/>
        <s v="MMS146"/>
        <s v="MMS147"/>
        <s v="MMS148"/>
        <s v="MMS149"/>
        <s v="MMS150"/>
        <s v="MMS152"/>
        <s v="MMS153"/>
        <s v="MMS155"/>
        <s v="MMS157"/>
        <s v="MMS158"/>
        <s v="MMS159"/>
        <s v="MMS160"/>
        <s v="MMS161"/>
        <s v="MMS163"/>
        <s v="MMS164"/>
        <s v="MMS165"/>
        <s v="MMS166"/>
        <s v="MMS167"/>
        <s v="MMS168"/>
        <s v="MMS169"/>
        <s v="MMS170"/>
        <s v="MMS171"/>
        <s v="MMS173"/>
        <s v="MMS175"/>
        <s v="MMS176"/>
        <s v="MMS177"/>
        <s v="MMS1775"/>
        <s v="MMS178"/>
        <s v="MMS181"/>
        <s v="MMS182"/>
        <s v="MMS183"/>
        <s v="MMS184"/>
        <s v="MMS185"/>
        <s v="MMS186"/>
        <s v="MMS187"/>
        <s v="MMS190"/>
        <s v="MMS200"/>
        <s v="MMS201"/>
        <s v="MMS202080"/>
        <s v="MMS203"/>
        <s v="MMS204"/>
        <s v="MMS2068"/>
        <s v="MMS2069"/>
        <s v="MMS2070"/>
        <s v="MMS2071"/>
        <s v="MMS2072"/>
        <s v="MMS2073"/>
        <s v="MMS2074"/>
        <s v="MMS2075"/>
        <s v="MMS2076"/>
        <s v="MMS2077"/>
        <s v="MMS2078"/>
        <s v="MMS2079"/>
        <s v="MMS2080"/>
        <s v="MMS2081"/>
        <s v="MMS2082"/>
        <s v="MMS2083"/>
        <s v="MMS2084"/>
        <s v="MMS2349"/>
        <s v="MMS268"/>
        <s v="MMS269"/>
        <s v="NT700"/>
        <s v="NT70002"/>
        <s v="NT70003"/>
        <s v="NT70005"/>
        <s v="NT70007"/>
        <s v="NT70009"/>
        <s v="NT70010"/>
        <s v="NT70012"/>
        <s v="NT70021"/>
        <s v="NT70022"/>
        <s v="NT70023"/>
        <s v="NT70024"/>
        <s v="NT70025"/>
        <s v="NT70026"/>
        <s v="NT70029"/>
        <s v="NT70030"/>
        <s v="NT70032"/>
        <s v="NT70033"/>
        <s v="NT70034"/>
        <s v="NT70036"/>
        <s v="NT70038"/>
        <s v="NT70040"/>
        <s v="NT70041"/>
        <s v="NT70042"/>
        <s v="NT70043"/>
        <s v="NT70045"/>
        <s v="NT70046"/>
        <s v="NT70047"/>
        <s v="NT70048"/>
        <s v="NT70049"/>
        <s v="NT70050"/>
        <s v="NT70051"/>
        <s v="NT70052"/>
        <s v="NT70053"/>
        <s v="NT70054"/>
        <s v="NT70055"/>
        <s v="NT70056"/>
        <s v="NT70057"/>
        <s v="NT7040"/>
        <s v="NT7041"/>
        <s v="NT7042"/>
        <s v="NT7044"/>
        <s v="NT80002"/>
        <s v="NT80003"/>
        <s v="NT80005"/>
        <s v="NT80006"/>
        <s v="NT80008"/>
        <s v="NT80009"/>
        <s v="NT80010"/>
        <s v="NT80011"/>
        <s v="NT80012"/>
        <s v="NT80015"/>
        <s v="NT80016"/>
        <s v="NT80017"/>
        <s v="NT80018"/>
        <s v="NT80019"/>
        <s v="NT80021"/>
        <s v="NT80022"/>
        <s v="NT80023"/>
        <s v="NT80024"/>
        <s v="NT80025"/>
        <s v="NT80027"/>
        <s v="NT80028"/>
        <s v="NT80029"/>
        <s v="OKBT0003"/>
        <s v="OKBT0004"/>
        <s v="OKBT0005"/>
        <s v="OKBT0007"/>
        <s v="OKBT0009"/>
        <s v="OKBT0011"/>
        <s v="OKBT0012"/>
        <s v="OKBT0014"/>
        <s v="OKBT0015"/>
        <s v="OKBT0017"/>
        <s v="OW0004"/>
        <s v="OW0005"/>
        <s v="OW0007"/>
        <s v="OW0008"/>
        <s v="OW0009"/>
        <s v="OW0010"/>
        <s v="OW0011"/>
        <s v="OW0012"/>
        <s v="OW0013"/>
        <s v="OW0014"/>
        <s v="OW0015"/>
        <s v="OW0016"/>
        <s v="OW0018"/>
        <s v="OW0019"/>
        <s v="OW0022"/>
        <s v="OW0023"/>
        <s v="OW0024"/>
        <s v="OW0025"/>
        <s v="OW0026"/>
        <s v="OW0027"/>
        <s v="OW0028"/>
        <s v="OW0030"/>
        <s v="OW0033"/>
        <s v="OW0034"/>
        <s v="OW0036"/>
        <s v="OW0037"/>
        <s v="OW0038"/>
        <s v="OW0039"/>
        <s v="OW0040"/>
        <s v="OW0041"/>
        <s v="OW0043"/>
        <s v="OW0045"/>
        <s v="OW0046"/>
        <s v="OW0047"/>
        <s v="OW0048"/>
        <s v="OW0049"/>
        <s v="OW0050"/>
        <s v="OW0051"/>
        <s v="OW0053"/>
        <s v="OW0055"/>
        <s v="OW0056"/>
        <s v="OW0057"/>
        <s v="OW0059"/>
        <s v="OW0063"/>
        <s v="OW0064"/>
        <s v="OW0065"/>
        <s v="OW0066"/>
        <s v="OW0067"/>
        <s v="OW0068"/>
        <s v="OW0069"/>
        <s v="OW0070"/>
        <s v="OW0071"/>
        <s v="OW0072"/>
        <s v="OW0073"/>
        <s v="OW0074"/>
        <s v="OW0075"/>
        <s v="OW0078"/>
        <s v="OW0079"/>
        <s v="OW0080"/>
        <s v="OW0081"/>
        <s v="OW0082"/>
        <s v="OW0083"/>
        <s v="OW0085"/>
        <s v="OW0086"/>
        <s v="OW0087"/>
        <s v="OW0088"/>
        <s v="OW0089"/>
        <s v="OW0090"/>
        <s v="OW0091"/>
        <s v="OW0092"/>
        <s v="OW0093"/>
        <s v="OW0095"/>
        <s v="OW0096"/>
        <s v="OW0097"/>
        <s v="OW0098"/>
        <s v="OW0099"/>
        <s v="OW0100"/>
        <s v="OW0101"/>
        <s v="OW0102"/>
        <s v="OW0103"/>
        <s v="OW0105"/>
        <s v="OW0106"/>
        <s v="OW0107"/>
        <s v="OW0108"/>
        <s v="OW0110"/>
        <s v="OW0111"/>
        <s v="OW0114"/>
        <s v="OW012"/>
        <s v="OW0120"/>
        <s v="OW0121"/>
        <s v="OW0122"/>
        <s v="OW0123"/>
        <s v="OW0124"/>
        <s v="OW0126"/>
        <s v="OW0127"/>
        <s v="OW0128"/>
        <s v="OW0129"/>
        <s v="OW013"/>
        <s v="OW0132"/>
        <s v="OW0133"/>
        <s v="OW0134"/>
        <s v="OW0137"/>
        <s v="OW0138"/>
        <s v="OW0139"/>
        <s v="OW0140"/>
        <s v="OW0141"/>
        <s v="OW0142"/>
        <s v="OW0143"/>
        <s v="OW0144"/>
        <s v="OW0145"/>
        <s v="OW0146"/>
        <s v="OW0147"/>
        <s v="OW0148"/>
        <s v="OW0149"/>
        <s v="OW0151"/>
        <s v="OW0152"/>
        <s v="OW0153"/>
        <s v="OW0155"/>
        <s v="OW0156"/>
        <s v="OW0157"/>
        <s v="OW0159"/>
        <s v="OW0160"/>
        <s v="OW0161"/>
        <s v="OW0163"/>
        <s v="OW0164"/>
        <s v="OW0165"/>
        <s v="OW0168"/>
        <s v="OW0170"/>
        <s v="OW0173"/>
        <s v="OW0174"/>
        <s v="OW0175"/>
        <s v="OW0176"/>
        <s v="OW0177"/>
        <s v="OW0178"/>
        <s v="OW0179"/>
        <s v="OW0180"/>
        <s v="OW0181"/>
        <s v="OW0182"/>
        <s v="OW0183"/>
        <s v="OW0184"/>
        <s v="OW0185"/>
        <s v="OW0186"/>
        <s v="OW0187"/>
        <s v="OW0188"/>
        <s v="OW0190"/>
        <s v="OW0191"/>
        <s v="OW078"/>
        <s v="PPC0001"/>
        <s v="PZG0001"/>
        <s v="PZG0002"/>
        <s v="PZG0003"/>
        <s v="PZG0004"/>
        <s v="Q185003"/>
        <s v="Q185004"/>
        <s v="Q185005"/>
        <s v="Q185006"/>
        <s v="Q185007"/>
        <s v="Q185008"/>
        <s v="Q185013"/>
        <s v="Q185015"/>
        <s v="Q185016"/>
        <s v="Q185017"/>
        <s v="Q185018"/>
        <s v="Q185019"/>
        <s v="Q185020"/>
        <s v="Q185021"/>
        <s v="Q185025"/>
        <s v="Q185026"/>
        <s v="Q185028"/>
        <s v="Q185029"/>
        <s v="Q185031"/>
        <s v="Q185033"/>
        <s v="Q185034"/>
        <s v="Q185035"/>
        <s v="Q185038"/>
        <s v="Q185039"/>
        <s v="Q185040"/>
        <s v="R1750001"/>
        <s v="R1750002"/>
        <s v="R1750004"/>
        <s v="R1750005"/>
        <s v="R1750007"/>
        <s v="R1750008"/>
        <s v="R1750009"/>
        <s v="R1750014"/>
        <s v="R1750015"/>
        <s v="R1750016"/>
        <s v="R1750018"/>
        <s v="R1750019"/>
        <s v="R175002"/>
        <s v="R1750021"/>
        <s v="R1750023"/>
        <s v="R1750024"/>
        <s v="R1750027"/>
        <s v="R1750028"/>
        <s v="R1750029"/>
        <s v="R175003"/>
        <s v="R1750030"/>
        <s v="R1750031"/>
        <s v="R1750032"/>
        <s v="R175004"/>
        <s v="R175005"/>
        <s v="R175010"/>
        <s v="R175014"/>
        <s v="R175015"/>
        <s v="R175017"/>
        <s v="R175018"/>
        <s v="R175019"/>
        <s v="R175020"/>
        <s v="R175021"/>
        <s v="R175023"/>
        <s v="R175024"/>
        <s v="R175025"/>
        <s v="R175027"/>
        <s v="R175030"/>
        <s v="R175031"/>
        <s v="R175032"/>
        <s v="R175033"/>
        <s v="R175037"/>
        <s v="R175038"/>
        <s v="R175039"/>
        <s v="R175047"/>
        <s v="R175048"/>
        <s v="R175049"/>
        <s v="R175050"/>
        <s v="R175051"/>
        <s v="R175053"/>
        <s v="R175054"/>
        <s v="R175055"/>
        <s v="R175056"/>
        <s v="R175057"/>
        <s v="R175059"/>
        <s v="R175060"/>
        <s v="R175061"/>
        <s v="R175063"/>
        <s v="R175064"/>
        <s v="R175065"/>
        <s v="R175066"/>
        <s v="R175067"/>
        <s v="R175068"/>
        <s v="R175069"/>
        <s v="R175072"/>
        <s v="R175074"/>
        <s v="R175075"/>
        <s v="R175076"/>
        <s v="R175077"/>
        <s v="R175080"/>
        <s v="R175081"/>
        <s v="R175082"/>
        <s v="R175083"/>
        <s v="R175084"/>
        <s v="R175085"/>
        <s v="R175086"/>
        <s v="R175089"/>
        <s v="R175090"/>
        <s v="R175091"/>
        <s v="R175094"/>
        <s v="R175095"/>
        <s v="R175096"/>
        <s v="R175097"/>
        <s v="R175098"/>
        <s v="R175099"/>
        <s v="R175100"/>
        <s v="R175101"/>
        <s v="R175102"/>
        <s v="R175103"/>
        <s v="R175106"/>
        <s v="R175109"/>
        <s v="R175110"/>
        <s v="R175112"/>
        <s v="R175113"/>
        <s v="R175114"/>
        <s v="R175115"/>
        <s v="R175120"/>
        <s v="R175122"/>
        <s v="R175123"/>
        <s v="R175124"/>
        <s v="R175125"/>
        <s v="R175127"/>
        <s v="R175129"/>
        <s v="R175130"/>
        <s v="R175131"/>
        <s v="R175132"/>
        <s v="R175133"/>
        <s v="R175134"/>
        <s v="R175135"/>
        <s v="R175136"/>
        <s v="R175138"/>
        <s v="R175139"/>
        <s v="R175141"/>
        <s v="R175144"/>
        <s v="R175145"/>
        <s v="R175147"/>
        <s v="R175148"/>
        <s v="R175149"/>
        <s v="R175150"/>
        <s v="R175151"/>
        <s v="R175152"/>
        <s v="R175154"/>
        <s v="R175155"/>
        <s v="R175156"/>
        <s v="R175157"/>
        <s v="R175159"/>
        <s v="R17516"/>
        <s v="R175160"/>
        <s v="R175161"/>
        <s v="R175163"/>
        <s v="R175164"/>
        <s v="R175165"/>
        <s v="R175166"/>
        <s v="R175167"/>
        <s v="R175168"/>
        <s v="R175169"/>
        <s v="R175170"/>
        <s v="R175172"/>
        <s v="R175174"/>
        <s v="R175175"/>
        <s v="R175176"/>
        <s v="R175177"/>
        <s v="R175178"/>
        <s v="R175179"/>
        <s v="R175180"/>
        <s v="R175181"/>
        <s v="R175182"/>
        <s v="R175183"/>
        <s v="R175184"/>
        <s v="R175185"/>
        <s v="R175187"/>
        <s v="R175188"/>
        <s v="R175190"/>
        <s v="R175191"/>
        <s v="R175192"/>
        <s v="R175193"/>
        <s v="R175194"/>
        <s v="R175200"/>
        <s v="R175202"/>
        <s v="R175203"/>
        <s v="R175A001"/>
        <s v="R175A003"/>
        <s v="R180001"/>
        <s v="R180002"/>
        <s v="R180003"/>
        <s v="R1800061"/>
        <s v="R1800062"/>
        <s v="R1800063"/>
        <s v="R1800064"/>
        <s v="R1800065"/>
        <s v="R1800066"/>
        <s v="R1800067"/>
        <s v="R180007"/>
        <s v="R180008"/>
        <s v="R180013"/>
        <s v="R180014"/>
        <s v="R180015"/>
        <s v="R180016"/>
        <s v="R180017"/>
        <s v="R180018"/>
        <s v="R180019"/>
        <s v="R180020"/>
        <s v="R180027"/>
        <s v="R180029"/>
        <s v="R180033"/>
        <s v="R180034"/>
        <s v="R180036"/>
        <s v="R180039"/>
        <s v="R180040"/>
        <s v="R180043"/>
        <s v="R180045"/>
        <s v="R180046"/>
        <s v="R180050"/>
        <s v="R180051"/>
        <s v="R180052"/>
        <s v="R180055"/>
        <s v="R180056"/>
        <s v="R180057"/>
        <s v="R180059"/>
        <s v="R180060"/>
        <s v="R180065"/>
        <s v="R180066"/>
        <s v="R180067"/>
        <s v="R180A001"/>
        <s v="R180A002"/>
        <s v="R180A004"/>
        <s v="S111001"/>
        <s v="SF1"/>
        <s v="SF2"/>
        <s v="SF3"/>
        <s v="SLW0009"/>
        <s v="SLW0018"/>
        <s v="SLW0019"/>
        <s v="SLW0020"/>
        <s v="SLW0021"/>
        <s v="SLW0027"/>
        <s v="SLW0029"/>
        <s v="SP0010"/>
        <s v="SP0011"/>
        <s v="SP0014"/>
        <s v="SP0020"/>
        <s v="SP0023"/>
        <s v="SP0024"/>
        <s v="SP0025"/>
        <s v="SP0026"/>
        <s v="SP0028"/>
        <s v="SP0029"/>
        <s v="SP0035"/>
        <s v="SP0040"/>
        <s v="SP0047"/>
        <s v="SP0048"/>
        <s v="SP0049"/>
        <s v="SP0050"/>
        <s v="SP0053"/>
        <s v="SP0054"/>
        <s v="SP0055"/>
        <s v="SP0058"/>
        <s v="SP0059"/>
        <s v="SP0061"/>
        <s v="SP0062"/>
        <s v="SP0063"/>
        <s v="SP0065"/>
        <s v="SP0068"/>
        <s v="SP0073"/>
        <s v="SP0074"/>
        <s v="SP0076"/>
        <s v="SP0077"/>
        <s v="SP0079"/>
        <s v="SP0080"/>
        <s v="SP0081"/>
        <s v="SP0082"/>
        <s v="SP0083"/>
        <s v="SP0084"/>
        <s v="SP0086"/>
        <s v="SP0088"/>
        <s v="SP0090"/>
        <s v="SP0091"/>
        <s v="SP0092"/>
        <s v="SP0094"/>
        <s v="SP0096"/>
        <s v="SP0098"/>
        <s v="SP00993"/>
        <s v="SP01000"/>
        <s v="SP01003"/>
        <s v="SP01004"/>
        <s v="SP01005"/>
        <s v="SP01007"/>
        <s v="SP01008"/>
        <s v="SP01009"/>
        <s v="SP01010"/>
        <s v="SP01011"/>
        <s v="SP01012"/>
        <s v="SP01013"/>
        <s v="SP01014"/>
        <s v="SP01015"/>
        <s v="SP01017"/>
        <s v="SP01018"/>
        <s v="SP0102"/>
        <s v="SP01021"/>
        <s v="SP01023"/>
        <s v="SP01027"/>
        <s v="SP01028"/>
        <s v="SP01029"/>
        <s v="SP0103"/>
        <s v="SP01030"/>
        <s v="SP01032"/>
        <s v="SP01035"/>
        <s v="SP01036"/>
        <s v="SP01037"/>
        <s v="SP01038"/>
        <s v="SP01039"/>
        <s v="SP0104"/>
        <s v="SP01040"/>
        <s v="SP01041"/>
        <s v="SP01042"/>
        <s v="SP01043"/>
        <s v="SP01044"/>
        <s v="SP01045"/>
        <s v="SP01048"/>
        <s v="SP0105"/>
        <s v="SP01051"/>
        <s v="SP01052"/>
        <s v="SP01053"/>
        <s v="SP01054"/>
        <s v="SP01056"/>
        <s v="SP01057"/>
        <s v="SP01058"/>
        <s v="SP01059"/>
        <s v="SP0106"/>
        <s v="SP01061"/>
        <s v="SP01062"/>
        <s v="SP01063"/>
        <s v="SP01065"/>
        <s v="SP01066"/>
        <s v="SP01067"/>
        <s v="SP01068"/>
        <s v="SP01069"/>
        <s v="SP0107"/>
        <s v="SP01070"/>
        <s v="SP01071"/>
        <s v="SP01072"/>
        <s v="SP01073"/>
        <s v="SP01075"/>
        <s v="SP01076"/>
        <s v="SP01077"/>
        <s v="SP01078"/>
        <s v="SP0108"/>
        <s v="SP01080"/>
        <s v="SP01081"/>
        <s v="SP01082"/>
        <s v="SP01083"/>
        <s v="SP01084"/>
        <s v="SP01086"/>
        <s v="SP01087"/>
        <s v="SP01088"/>
        <s v="SP01089"/>
        <s v="SP0109"/>
        <s v="SP01090"/>
        <s v="SP01096"/>
        <s v="SP01097"/>
        <s v="SP01098"/>
        <s v="SP01099"/>
        <s v="SP0110"/>
        <s v="SP01100"/>
        <s v="SP01101"/>
        <s v="SP01102"/>
        <s v="SP01103"/>
        <s v="SP01104"/>
        <s v="SP01105"/>
        <s v="SP01106"/>
        <s v="SP01107"/>
        <s v="SP01108"/>
        <s v="SP01111"/>
        <s v="SP01112"/>
        <s v="SP01114"/>
        <s v="SP01116"/>
        <s v="SP01117"/>
        <s v="SP01118"/>
        <s v="SP01119"/>
        <s v="SP01120"/>
        <s v="SP01121"/>
        <s v="SP01123"/>
        <s v="SP01125"/>
        <s v="SP01126"/>
        <s v="SP01127"/>
        <s v="SP01128"/>
        <s v="SP01129"/>
        <s v="SP01130"/>
        <s v="SP01131"/>
        <s v="SP01132"/>
        <s v="SP01133"/>
        <s v="SP01135"/>
        <s v="SP01136"/>
        <s v="SP01139"/>
        <s v="SP0114"/>
        <s v="SP01141"/>
        <s v="SP01142"/>
        <s v="SP01143"/>
        <s v="SP01144"/>
        <s v="SP01146"/>
        <s v="SP01147"/>
        <s v="SP01148"/>
        <s v="SP01149"/>
        <s v="SP0115"/>
        <s v="SP01150"/>
        <s v="SP01153"/>
        <s v="SP01156"/>
        <s v="SP01157"/>
        <s v="SP01158"/>
        <s v="SP01159"/>
        <s v="SP0116"/>
        <s v="SP01161"/>
        <s v="SP01162"/>
        <s v="SP01163"/>
        <s v="SP01164"/>
        <s v="SP01167"/>
        <s v="SP01168"/>
        <s v="SP0117"/>
        <s v="SP01170"/>
        <s v="SP01171"/>
        <s v="SP01172"/>
        <s v="SP01174"/>
        <s v="SP01175"/>
        <s v="SP01177"/>
        <s v="SP0118"/>
        <s v="SP01181"/>
        <s v="SP01182"/>
        <s v="SP01184"/>
        <s v="SP01185"/>
        <s v="SP01186"/>
        <s v="SP01187"/>
        <s v="SP01189"/>
        <s v="SP0119"/>
        <s v="SP01191"/>
        <s v="SP01192"/>
        <s v="SP01193"/>
        <s v="SP01194"/>
        <s v="SP01195"/>
        <s v="SP01196"/>
        <s v="SP01198"/>
        <s v="SP01199"/>
        <s v="SP01200"/>
        <s v="SP01201"/>
        <s v="SP01202"/>
        <s v="SP01203"/>
        <s v="SP01204"/>
        <s v="SP01205"/>
        <s v="SP01208"/>
        <s v="SP01210"/>
        <s v="SP01211"/>
        <s v="SP01212"/>
        <s v="SP01213"/>
        <s v="SP01216"/>
        <s v="SP01217"/>
        <s v="SP01218"/>
        <s v="SP01219"/>
        <s v="SP01220"/>
        <s v="SP01221"/>
        <s v="SP01225"/>
        <s v="SP01227"/>
        <s v="SP01228"/>
        <s v="SP0123"/>
        <s v="SP01230"/>
        <s v="SP01231"/>
        <s v="SP01232"/>
        <s v="SP01233"/>
        <s v="SP01234"/>
        <s v="SP01235"/>
        <s v="SP01236"/>
        <s v="SP01240"/>
        <s v="SP01244"/>
        <s v="SP01247"/>
        <s v="SP01248"/>
        <s v="SP01249"/>
        <s v="SP0125"/>
        <s v="SP01251"/>
        <s v="SP01255"/>
        <s v="SP01256"/>
        <s v="SP01257"/>
        <s v="SP01259"/>
        <s v="SP0126"/>
        <s v="SP01261"/>
        <s v="SP01262"/>
        <s v="SP01263"/>
        <s v="SP01264"/>
        <s v="SP01265"/>
        <s v="SP01266"/>
        <s v="SP01267"/>
        <s v="SP01268"/>
        <s v="SP01269"/>
        <s v="SP01271"/>
        <s v="SP01273"/>
        <s v="SP01275"/>
        <s v="SP01276"/>
        <s v="SP01277"/>
        <s v="SP01278"/>
        <s v="SP01279"/>
        <s v="SP0128"/>
        <s v="SP01280"/>
        <s v="SP01281"/>
        <s v="SP01283"/>
        <s v="SP01284"/>
        <s v="SP01286"/>
        <s v="SP01287"/>
        <s v="SP01289"/>
        <s v="SP0129"/>
        <s v="SP01290"/>
        <s v="SP01291"/>
        <s v="SP01292"/>
        <s v="SP01294"/>
        <s v="SP01296"/>
        <s v="SP01297"/>
        <s v="SP01299"/>
        <s v="SP0130"/>
        <s v="SP01300"/>
        <s v="SP01302"/>
        <s v="SP01303"/>
        <s v="SP01304"/>
        <s v="SP01307"/>
        <s v="SP01308"/>
        <s v="SP01310"/>
        <s v="SP01311"/>
        <s v="SP01312"/>
        <s v="SP01314"/>
        <s v="SP01315"/>
        <s v="SP01316"/>
        <s v="SP01317"/>
        <s v="SP01318"/>
        <s v="SP01319"/>
        <s v="SP01320"/>
        <s v="SP01321"/>
        <s v="SP01322"/>
        <s v="SP01323"/>
        <s v="SP01324"/>
        <s v="SP01325"/>
        <s v="SP01326"/>
        <s v="SP01327"/>
        <s v="SP01329"/>
        <s v="SP01330"/>
        <s v="SP01331"/>
        <s v="SP01332"/>
        <s v="SP01333"/>
        <s v="SP01334"/>
        <s v="SP01337"/>
        <s v="SP01338"/>
        <s v="SP01339"/>
        <s v="SP013400"/>
        <s v="SP01341"/>
        <s v="SP01342"/>
        <s v="SP01343"/>
        <s v="SP01344"/>
        <s v="SP01345"/>
        <s v="SP01346"/>
        <s v="SP01347"/>
        <s v="SP01348"/>
        <s v="SP01349"/>
        <s v="SP01350"/>
        <s v="SP01351"/>
        <s v="SP01352"/>
        <s v="SP01353"/>
        <s v="SP01354"/>
        <s v="SP01355"/>
        <s v="SP01356"/>
        <s v="SP01357"/>
        <s v="SP01358"/>
        <s v="SP01359"/>
        <s v="SP01360"/>
        <s v="SP01361"/>
        <s v="SP01362"/>
        <s v="SP01363"/>
        <s v="SP01364"/>
        <s v="SP01365"/>
        <s v="SP01366"/>
        <s v="SP01367"/>
        <s v="SP01368"/>
        <s v="SP01369"/>
        <s v="SP01370"/>
        <s v="SP01371"/>
        <s v="SP01372"/>
        <s v="SP01373"/>
        <s v="SP01374"/>
        <s v="SP01375"/>
        <s v="SP01377"/>
        <s v="SP01378"/>
        <s v="SP01379"/>
        <s v="SP01380"/>
        <s v="SP01381"/>
        <s v="SP01383"/>
        <s v="SP01384"/>
        <s v="SP01385"/>
        <s v="SP01386"/>
        <s v="SP01387"/>
        <s v="SP01389"/>
        <s v="SP0139"/>
        <s v="SP01390"/>
        <s v="SP01391"/>
        <s v="SP01393"/>
        <s v="SP01395"/>
        <s v="SP01397"/>
        <s v="SP01398"/>
        <s v="SP01399"/>
        <s v="SP01401"/>
        <s v="SP01402"/>
        <s v="SP01403"/>
        <s v="SP01404"/>
        <s v="SP01405"/>
        <s v="SP01406"/>
        <s v="SP01407"/>
        <s v="SP01408"/>
        <s v="SP01410"/>
        <s v="SP01411"/>
        <s v="SP01412"/>
        <s v="SP01414"/>
        <s v="SP01415"/>
        <s v="SP01416"/>
        <s v="SP01417"/>
        <s v="SP01418"/>
        <s v="SP0142"/>
        <s v="SP01420"/>
        <s v="SP01421"/>
        <s v="SP01422"/>
        <s v="SP01423"/>
        <s v="SP01424"/>
        <s v="SP01425"/>
        <s v="SP01426"/>
        <s v="sp01427"/>
        <s v="sp01428"/>
        <s v="SP01430"/>
        <s v="SP01432"/>
        <s v="SP01433"/>
        <s v="SP01434"/>
        <s v="SP01435"/>
        <s v="SP01437"/>
        <s v="SP01439"/>
        <s v="SP01441"/>
        <s v="SP01444"/>
        <s v="SP01445"/>
        <s v="SP01448"/>
        <s v="SP01449"/>
        <s v="SP01451"/>
        <s v="SP014512"/>
        <s v="SP01453"/>
        <s v="SP01454"/>
        <s v="SP01455"/>
        <s v="SP01456"/>
        <s v="SP01457"/>
        <s v="SP01458"/>
        <s v="SP01459"/>
        <s v="SP0146"/>
        <s v="SP01460"/>
        <s v="SP01461"/>
        <s v="SP01462"/>
        <s v="SP01463"/>
        <s v="SP01464"/>
        <s v="SP01465"/>
        <s v="SP014659"/>
        <s v="SP01466"/>
        <s v="SP01468"/>
        <s v="SP0147"/>
        <s v="SP01470"/>
        <s v="SP01471"/>
        <s v="SP01472"/>
        <s v="SP01473"/>
        <s v="SP01474"/>
        <s v="SP01475"/>
        <s v="SP01476"/>
        <s v="SP01477"/>
        <s v="SP0148"/>
        <s v="SP01480"/>
        <s v="SP01481"/>
        <s v="SP01482"/>
        <s v="SP01483"/>
        <s v="SP01486"/>
        <s v="SP01488"/>
        <s v="SP01489"/>
        <s v="SP01490"/>
        <s v="SP01493"/>
        <s v="SP01495"/>
        <s v="SP01496"/>
        <s v="SP01497"/>
        <s v="SP01498"/>
        <s v="SP01499"/>
        <s v="SP0150"/>
        <s v="SP01500"/>
        <s v="SP01504"/>
        <s v="SP01505"/>
        <s v="SP01506"/>
        <s v="SP01508"/>
        <s v="SP01509"/>
        <s v="SP0151"/>
        <s v="SP01511"/>
        <s v="SP01512"/>
        <s v="SP01513"/>
        <s v="SP01514"/>
        <s v="SP01515"/>
        <s v="SP01517"/>
        <s v="SP01518"/>
        <s v="SP01519"/>
        <s v="SP0152"/>
        <s v="SP01520"/>
        <s v="SP01523"/>
        <s v="SP01524"/>
        <s v="SP01525"/>
        <s v="SP01527"/>
        <s v="SP01528"/>
        <s v="SP01529"/>
        <s v="SP01530"/>
        <s v="SP01532"/>
        <s v="SP01535"/>
        <s v="SP01536"/>
        <s v="SP01537"/>
        <s v="SP01538"/>
        <s v="SP01539"/>
        <s v="SP01543"/>
        <s v="SP01544"/>
        <s v="SP01546"/>
        <s v="SP01547"/>
        <s v="SP01548"/>
        <s v="SP01549"/>
        <s v="SP0155"/>
        <s v="SP01550"/>
        <s v="SP01551"/>
        <s v="SP01554"/>
        <s v="SP01555"/>
        <s v="SP01558"/>
        <s v="SP01559"/>
        <s v="SP01560"/>
        <s v="SP01561"/>
        <s v="SP01562"/>
        <s v="SP01563"/>
        <s v="SP01566"/>
        <s v="SP01567"/>
        <s v="SP01568"/>
        <s v="SP01569"/>
        <s v="SP0157"/>
        <s v="SP01570"/>
        <s v="SP01571"/>
        <s v="SP01572"/>
        <s v="SP01573"/>
        <s v="SP01574"/>
        <s v="SP01575"/>
        <s v="SP01576"/>
        <s v="SP01577"/>
        <s v="SP01579"/>
        <s v="SP01581"/>
        <s v="SP01582"/>
        <s v="SP01583"/>
        <s v="SP01584"/>
        <s v="SP01586"/>
        <s v="SP01587"/>
        <s v="SP01588"/>
        <s v="SP01589"/>
        <s v="SP01590"/>
        <s v="SP01591"/>
        <s v="SP01592"/>
        <s v="SP01593"/>
        <s v="SP01594"/>
        <s v="SP01595"/>
        <s v="SP01596"/>
        <s v="SP01597"/>
        <s v="SP01598"/>
        <s v="SP01599"/>
        <s v="SP0160"/>
        <s v="SP01600"/>
        <s v="SP01601"/>
        <s v="SP01603"/>
        <s v="SP01604"/>
        <s v="SP01605"/>
        <s v="SP01606"/>
        <s v="SP01607"/>
        <s v="SP01608"/>
        <s v="SP01609"/>
        <s v="SP0161"/>
        <s v="SP01610"/>
        <s v="SP01611"/>
        <s v="SP01612"/>
        <s v="SP01613"/>
        <s v="SP01614"/>
        <s v="SP01615"/>
        <s v="SP01617"/>
        <s v="SP01618"/>
        <s v="SP01619"/>
        <s v="SP01620"/>
        <s v="SP01621"/>
        <s v="SP01622"/>
        <s v="SP01623"/>
        <s v="SP01624"/>
        <s v="SP01625"/>
        <s v="SP01626"/>
        <s v="SP01627"/>
        <s v="SP01628"/>
        <s v="SP01630"/>
        <s v="SP01632"/>
        <s v="SP01633"/>
        <s v="SP01634"/>
        <s v="SP01635"/>
        <s v="SP01636"/>
        <s v="SP01638"/>
        <s v="SP01639"/>
        <s v="SP0164"/>
        <s v="SP01640"/>
        <s v="SP01641"/>
        <s v="SP01642"/>
        <s v="SP01643"/>
        <s v="SP01645"/>
        <s v="SP01646"/>
        <s v="SP01647"/>
        <s v="SP01648"/>
        <s v="SP01649"/>
        <s v="SP0165"/>
        <s v="SP01650"/>
        <s v="SP01651"/>
        <s v="SP01653"/>
        <s v="SP01654"/>
        <s v="SP01656"/>
        <s v="SP01658"/>
        <s v="SP01659"/>
        <s v="SP0166"/>
        <s v="SP01660"/>
        <s v="SP01661"/>
        <s v="SP01662"/>
        <s v="SP01663"/>
        <s v="SP01665"/>
        <s v="SP01666"/>
        <s v="SP01667"/>
        <s v="SP01668"/>
        <s v="SP01669"/>
        <s v="SP0167"/>
        <s v="SP01670"/>
        <s v="SP01671"/>
        <s v="SP01672"/>
        <s v="SP01673"/>
        <s v="SP01675"/>
        <s v="SP01676"/>
        <s v="SP01678"/>
        <s v="SP0168"/>
        <s v="SP01680"/>
        <s v="SP01681"/>
        <s v="SP01682"/>
        <s v="SP01683"/>
        <s v="SP01685"/>
        <s v="SP01686"/>
        <s v="SP01687"/>
        <s v="SP01688"/>
        <s v="SP01689"/>
        <s v="SP0169"/>
        <s v="SP01690"/>
        <s v="SP01691"/>
        <s v="SP01692"/>
        <s v="SP01693"/>
        <s v="SP01694"/>
        <s v="SP01695"/>
        <s v="SP01697"/>
        <s v="SP01698"/>
        <s v="SP0170"/>
        <s v="SP01700"/>
        <s v="SP01701"/>
        <s v="SP01702"/>
        <s v="SP01703"/>
        <s v="SP01704"/>
        <s v="SP01705"/>
        <s v="SP01706"/>
        <s v="SP01707"/>
        <s v="SP01708"/>
        <s v="SP01709"/>
        <s v="SP0171"/>
        <s v="SP0172"/>
        <s v="SP01720"/>
        <s v="SP01721"/>
        <s v="SP01722"/>
        <s v="SP01723"/>
        <s v="SP01724"/>
        <s v="SP01725"/>
        <s v="SP01726"/>
        <s v="SP01727"/>
        <s v="SP01729"/>
        <s v="SP01731"/>
        <s v="SP01732"/>
        <s v="SP01734"/>
        <s v="SP01735"/>
        <s v="SP01736"/>
        <s v="SP01737"/>
        <s v="SP01738"/>
        <s v="SP01739"/>
        <s v="SP01740"/>
        <s v="SP01741"/>
        <s v="SP01744"/>
        <s v="SP01745"/>
        <s v="SP01746"/>
        <s v="SP01747"/>
        <s v="SP01748"/>
        <s v="SP01749"/>
        <s v="SP01750"/>
        <s v="SP01751"/>
        <s v="SP01752"/>
        <s v="SP01753"/>
        <s v="SP01754"/>
        <s v="SP01755"/>
        <s v="SP01756"/>
        <s v="SP01758"/>
        <s v="SP01759"/>
        <s v="SP01760"/>
        <s v="SP01761"/>
        <s v="SP01762"/>
        <s v="SP01763"/>
        <s v="SP01764"/>
        <s v="SP01765"/>
        <s v="SP01766"/>
        <s v="SP01767"/>
        <s v="SP01768"/>
        <s v="SP01769"/>
        <s v="SP0177"/>
        <s v="SP01771"/>
        <s v="SP01772"/>
        <s v="SP01773"/>
        <s v="SP01774"/>
        <s v="SP01775"/>
        <s v="SP01776"/>
        <s v="SP01777"/>
        <s v="SP01779"/>
        <s v="SP0178"/>
        <s v="SP01780"/>
        <s v="SP01782"/>
        <s v="SP01783"/>
        <s v="SP01784"/>
        <s v="SP01786"/>
        <s v="SP01788"/>
        <s v="SP0179"/>
        <s v="SP01790"/>
        <s v="SP01791"/>
        <s v="SP01792"/>
        <s v="SP01793"/>
        <s v="SP01794"/>
        <s v="SP01795"/>
        <s v="SP01796"/>
        <s v="SP01798"/>
        <s v="SP01799"/>
        <s v="SP0180"/>
        <s v="SP01800"/>
        <s v="SP01801"/>
        <s v="SP01802"/>
        <s v="SP01803"/>
        <s v="SP01804"/>
        <s v="SP01805"/>
        <s v="SP01806"/>
        <s v="SP01807"/>
        <s v="SP01808"/>
        <s v="SP01809"/>
        <s v="SP01810"/>
        <s v="SP01811"/>
        <s v="SP01812"/>
        <s v="SP01813"/>
        <s v="SP01814"/>
        <s v="SP01815"/>
        <s v="SP01816"/>
        <s v="SP01817"/>
        <s v="SP01818"/>
        <s v="SP01819"/>
        <s v="SP0182"/>
        <s v="SP01820"/>
        <s v="SP01821"/>
        <s v="SP01822"/>
        <s v="SP01823"/>
        <s v="SP01825"/>
        <s v="SP01826"/>
        <s v="SP01827"/>
        <s v="SP01828"/>
        <s v="SP01829"/>
        <s v="SP01830"/>
        <s v="SP01831"/>
        <s v="SP01832"/>
        <s v="SP01833"/>
        <s v="SP01835"/>
        <s v="SP01837"/>
        <s v="SP01838"/>
        <s v="SP01839"/>
        <s v="SP01840"/>
        <s v="SP01841"/>
        <s v="SP01842"/>
        <s v="SP01843"/>
        <s v="SP01844"/>
        <s v="SP01848"/>
        <s v="SP0186"/>
        <s v="SP0187"/>
        <s v="SP0189"/>
        <s v="SP0194"/>
        <s v="SP0196"/>
        <s v="SP0198"/>
        <s v="SP0199"/>
        <s v="SP0201"/>
        <s v="SP0203"/>
        <s v="SP0204"/>
        <s v="SP0213"/>
        <s v="SP0214"/>
        <s v="SP0215"/>
        <s v="SP0216"/>
        <s v="SP0217"/>
        <s v="SP0218"/>
        <s v="SP0219"/>
        <s v="SP0220"/>
        <s v="SP0222"/>
        <s v="SP0223"/>
        <s v="SP0224"/>
        <s v="SP0226"/>
        <s v="SP0227"/>
        <s v="SP0228"/>
        <s v="SP0230"/>
        <s v="SP0234"/>
        <s v="SP0235"/>
        <s v="SP0236"/>
        <s v="SP0243"/>
        <s v="SP0244"/>
        <s v="SP0245"/>
        <s v="SP0246"/>
        <s v="SP0248"/>
        <s v="SP0249"/>
        <s v="SP0250"/>
        <s v="SP0251"/>
        <s v="SP0253"/>
        <s v="SP0254"/>
        <s v="SP0255"/>
        <s v="SP0257"/>
        <s v="SP0258"/>
        <s v="SP0261"/>
        <s v="SP0263"/>
        <s v="SP0264"/>
        <s v="SP0268"/>
        <s v="SP0269"/>
        <s v="SP0272"/>
        <s v="SP0276"/>
        <s v="SP0279"/>
        <s v="SP0280"/>
        <s v="SP0281"/>
        <s v="SP0282"/>
        <s v="SP0283"/>
        <s v="SP0284"/>
        <s v="SP0285"/>
        <s v="SP0289"/>
        <s v="SP0291"/>
        <s v="SP0294"/>
        <s v="SP0296"/>
        <s v="SP0297"/>
        <s v="SP0299"/>
        <s v="SP0301"/>
        <s v="SP0304"/>
        <s v="SP0305"/>
        <s v="SP0306"/>
        <s v="SP0307"/>
        <s v="SP0309"/>
        <s v="SP0310"/>
        <s v="SP0312"/>
        <s v="SP0313"/>
        <s v="SP0314"/>
        <s v="SP0316"/>
        <s v="SP0319"/>
        <s v="SP0321"/>
        <s v="SP0322"/>
        <s v="SP0324"/>
        <s v="SP0325"/>
        <s v="SP0326"/>
        <s v="SP0327"/>
        <s v="SP0329"/>
        <s v="SP0331"/>
        <s v="SP0332"/>
        <s v="SP0334"/>
        <s v="SP0336"/>
        <s v="SP0338"/>
        <s v="SP0340"/>
        <s v="SP0341"/>
        <s v="SP0343"/>
        <s v="SP0347"/>
        <s v="SP0350"/>
        <s v="SP0352"/>
        <s v="SP0353"/>
        <s v="SP0354"/>
        <s v="SP0355"/>
        <s v="SP0356"/>
        <s v="SP0357"/>
        <s v="SP0358"/>
        <s v="SP0359"/>
        <s v="SP0360"/>
        <s v="SP0361"/>
        <s v="SP0362"/>
        <s v="SP0364"/>
        <s v="SP0365"/>
        <s v="SP0366"/>
        <s v="SP0368"/>
        <s v="SP0370"/>
        <s v="SP0372"/>
        <s v="SP0374"/>
        <s v="SP0377"/>
        <s v="SP0378"/>
        <s v="SP0379"/>
        <s v="SP0380"/>
        <s v="SP0381"/>
        <s v="SP0382"/>
        <s v="SP0383"/>
        <s v="SP0385"/>
        <s v="SP0386"/>
        <s v="SP0387"/>
        <s v="SP0388"/>
        <s v="SP0389"/>
        <s v="SP0390"/>
        <s v="SP0393"/>
        <s v="SP0394"/>
        <s v="SP0397"/>
        <s v="SP0398"/>
        <s v="SP0399"/>
        <s v="SP0400"/>
        <s v="SP0403"/>
        <s v="SP0404"/>
        <s v="SP0405"/>
        <s v="SP0406"/>
        <s v="SP0408"/>
        <s v="SP0409"/>
        <s v="SP0410"/>
        <s v="SP0411"/>
        <s v="SP0412"/>
        <s v="SP0413"/>
        <s v="SP0414"/>
        <s v="SP0417"/>
        <s v="SP0419"/>
        <s v="SP0420"/>
        <s v="SP0421"/>
        <s v="SP0423"/>
        <s v="SP0424"/>
        <s v="SP0425"/>
        <s v="SP0428"/>
        <s v="SP0430"/>
        <s v="SP0431"/>
        <s v="SP0432"/>
        <s v="SP0433"/>
        <s v="SP0434"/>
        <s v="SP0435"/>
        <s v="SP0437"/>
        <s v="SP0438"/>
        <s v="SP0439"/>
        <s v="SP0440"/>
        <s v="SP0442"/>
        <s v="SP0443"/>
        <s v="SP0444"/>
        <s v="SP0445"/>
        <s v="SP0446"/>
        <s v="SP0448"/>
        <s v="SP0453"/>
        <s v="SP0454"/>
        <s v="SP0455"/>
        <s v="SP0456"/>
        <s v="SP0458"/>
        <s v="SP0459"/>
        <s v="SP0462"/>
        <s v="SP0464"/>
        <s v="SP0465"/>
        <s v="SP0468"/>
        <s v="SP0469"/>
        <s v="SP0470"/>
        <s v="SP0473"/>
        <s v="SP0476"/>
        <s v="SP0477"/>
        <s v="SP0478"/>
        <s v="SP0479"/>
        <s v="SP0480"/>
        <s v="SP0481"/>
        <s v="SP0484"/>
        <s v="SP0485"/>
        <s v="SP0486"/>
        <s v="SP0487"/>
        <s v="SP0488"/>
        <s v="SP0489"/>
        <s v="SP0490"/>
        <s v="SP0491"/>
        <s v="SP0492"/>
        <s v="SP0494"/>
        <s v="SP0495"/>
        <s v="SP0496"/>
        <s v="SP0497"/>
        <s v="SP0498"/>
        <s v="SP0499"/>
        <s v="SP0502"/>
        <s v="SP0503"/>
        <s v="SP0505"/>
        <s v="SP0506"/>
        <s v="SP0507"/>
        <s v="SP0508"/>
        <s v="SP0509"/>
        <s v="SP0510"/>
        <s v="SP0511"/>
        <s v="SP0512"/>
        <s v="SP0513"/>
        <s v="SP0514"/>
        <s v="SP0515"/>
        <s v="SP0516"/>
        <s v="SP0517"/>
        <s v="SP0518"/>
        <s v="SP0520"/>
        <s v="SP0521"/>
        <s v="SP0523"/>
        <s v="SP0524"/>
        <s v="SP0525"/>
        <s v="SP0526"/>
        <s v="SP0527"/>
        <s v="SP0528"/>
        <s v="SP053"/>
        <s v="SP0530"/>
        <s v="SP0532"/>
        <s v="SP0533"/>
        <s v="SP0534"/>
        <s v="SP0535"/>
        <s v="SP0536"/>
        <s v="SP0538"/>
        <s v="SP0539"/>
        <s v="SP0540"/>
        <s v="SP0541"/>
        <s v="SP0543"/>
        <s v="SP0544"/>
        <s v="SP0546"/>
        <s v="SP0547"/>
        <s v="SP0550"/>
        <s v="SP0551"/>
        <s v="SP0552"/>
        <s v="SP0553"/>
        <s v="SP0554"/>
        <s v="SP0555"/>
        <s v="SP0556"/>
        <s v="SP0558"/>
        <s v="SP0559"/>
        <s v="SP0560"/>
        <s v="SP0562"/>
        <s v="SP0563"/>
        <s v="SP0565"/>
        <s v="SP0566"/>
        <s v="SP0567"/>
        <s v="SP0568"/>
        <s v="SP0569"/>
        <s v="SP0570"/>
        <s v="SP0572"/>
        <s v="SP0573"/>
        <s v="SP0574"/>
        <s v="SP0576"/>
        <s v="SP0577"/>
        <s v="SP0578"/>
        <s v="SP0579"/>
        <s v="SP0580"/>
        <s v="SP0581"/>
        <s v="SP0582"/>
        <s v="SP0583"/>
        <s v="SP0584"/>
        <s v="SP0585"/>
        <s v="SP0587"/>
        <s v="SP0588"/>
        <s v="SP0589"/>
        <s v="SP0590"/>
        <s v="SP0591"/>
        <s v="SP0592"/>
        <s v="SP0593"/>
        <s v="SP0594"/>
        <s v="SP0595"/>
        <s v="SP0596"/>
        <s v="SP0597"/>
        <s v="SP0598"/>
        <s v="SP0600"/>
        <s v="SP0601"/>
        <s v="SP0602"/>
        <s v="SP0603"/>
        <s v="SP0604"/>
        <s v="SP0605"/>
        <s v="SP0607"/>
        <s v="SP0609"/>
        <s v="SP0610"/>
        <s v="SP0611"/>
        <s v="SP0612"/>
        <s v="SP0613"/>
        <s v="SP0614"/>
        <s v="SP0615"/>
        <s v="SP0616"/>
        <s v="SP0618"/>
        <s v="SP0619"/>
        <s v="SP0621"/>
        <s v="SP0622"/>
        <s v="SP0623"/>
        <s v="SP0625"/>
        <s v="SP0630"/>
        <s v="SP0631"/>
        <s v="SP0632"/>
        <s v="SP0638"/>
        <s v="SP0641"/>
        <s v="SP0643"/>
        <s v="SP0644"/>
        <s v="SP0645"/>
        <s v="SP0647"/>
        <s v="SP0650"/>
        <s v="SP0651"/>
        <s v="SP0652"/>
        <s v="SP0653"/>
        <s v="SP0654"/>
        <s v="SP0656"/>
        <s v="SP0657"/>
        <s v="SP0658"/>
        <s v="SP0659"/>
        <s v="SP0660"/>
        <s v="SP0661"/>
        <s v="SP0662"/>
        <s v="SP0663"/>
        <s v="SP0664"/>
        <s v="SP0665"/>
        <s v="SP0667"/>
        <s v="SP0668"/>
        <s v="SP0671"/>
        <s v="SP0672"/>
        <s v="SP0679"/>
        <s v="SP0680"/>
        <s v="SP0681"/>
        <s v="SP0682"/>
        <s v="SP0683"/>
        <s v="SP0684"/>
        <s v="SP0685"/>
        <s v="SP0686"/>
        <s v="SP0687"/>
        <s v="SP0688"/>
        <s v="SP0690"/>
        <s v="SP0691"/>
        <s v="SP0692"/>
        <s v="SP0694"/>
        <s v="SP0695"/>
        <s v="SP0696"/>
        <s v="SP0697"/>
        <s v="SP0698"/>
        <s v="SP0699"/>
        <s v="SP0702"/>
        <s v="SP0703"/>
        <s v="SP0705"/>
        <s v="SP0706"/>
        <s v="SP0708"/>
        <s v="SP0709"/>
        <s v="SP0710"/>
        <s v="SP0712"/>
        <s v="SP0713"/>
        <s v="SP0714"/>
        <s v="SP0716"/>
        <s v="SP0717"/>
        <s v="SP0720"/>
        <s v="SP0721"/>
        <s v="SP0722"/>
        <s v="SP0726"/>
        <s v="SP0727"/>
        <s v="SP0728"/>
        <s v="SP0729"/>
        <s v="SP0730"/>
        <s v="SP0731"/>
        <s v="SP0733"/>
        <s v="SP0734"/>
        <s v="SP0735"/>
        <s v="SP0736"/>
        <s v="SP0739"/>
        <s v="SP0743"/>
        <s v="SP0744"/>
        <s v="SP0746"/>
        <s v="SP0747"/>
        <s v="SP0749"/>
        <s v="SP0750"/>
        <s v="SP0751"/>
        <s v="SP0753"/>
        <s v="SP0755"/>
        <s v="SP0756"/>
        <s v="SP0757"/>
        <s v="SP0758"/>
        <s v="SP0759"/>
        <s v="SP0760"/>
        <s v="SP0761"/>
        <s v="SP0763"/>
        <s v="SP0764"/>
        <s v="SP0765"/>
        <s v="SP0766"/>
        <s v="SP0767"/>
        <s v="SP0768"/>
        <s v="SP0769"/>
        <s v="SP0770"/>
        <s v="SP0771"/>
        <s v="SP0772"/>
        <s v="SP0773"/>
        <s v="SP0774"/>
        <s v="SP0775"/>
        <s v="SP0776"/>
        <s v="SP0778"/>
        <s v="SP0779"/>
        <s v="SP0780"/>
        <s v="SP0781"/>
        <s v="SP0782"/>
        <s v="SP0783"/>
        <s v="SP0784"/>
        <s v="SP0786"/>
        <s v="SP0788"/>
        <s v="SP0789"/>
        <s v="SP0792"/>
        <s v="SP0793"/>
        <s v="sp0794"/>
        <s v="SP0796"/>
        <s v="SP0797"/>
        <s v="SP0799"/>
        <s v="SP0800"/>
        <s v="SP0802"/>
        <s v="SP0803"/>
        <s v="SP0804"/>
        <s v="SP0805"/>
        <s v="SP0806"/>
        <s v="SP0807"/>
        <s v="SP0810"/>
        <s v="SP0811"/>
        <s v="SP0812"/>
        <s v="SP0813"/>
        <s v="SP0814"/>
        <s v="SP0815"/>
        <s v="SP0818"/>
        <s v="SP0819"/>
        <s v="SP0820"/>
        <s v="SP0821"/>
        <s v="SP0823"/>
        <s v="SP0824"/>
        <s v="SP0826"/>
        <s v="SP0827"/>
        <s v="SP0828"/>
        <s v="SP0829"/>
        <s v="SP0830"/>
        <s v="SP0832"/>
        <s v="SP0833"/>
        <s v="SP0835"/>
        <s v="SP0836"/>
        <s v="SP0838"/>
        <s v="SP0839"/>
        <s v="SP0840"/>
        <s v="SP0842"/>
        <s v="SP0843"/>
        <s v="SP0846"/>
        <s v="SP0847"/>
        <s v="SP0848"/>
        <s v="SP0850"/>
        <s v="SP0851"/>
        <s v="SP0853"/>
        <s v="SP0855"/>
        <s v="SP0856"/>
        <s v="SP0857"/>
        <s v="SP0858"/>
        <s v="SP0859"/>
        <s v="SP0860"/>
        <s v="SP0861"/>
        <s v="SP0865"/>
        <s v="SP0867"/>
        <s v="SP0868"/>
        <s v="SP0869"/>
        <s v="SP0870"/>
        <s v="SP0871"/>
        <s v="SP0872"/>
        <s v="SP0873"/>
        <s v="SP0874"/>
        <s v="SP0875"/>
        <s v="SP0876"/>
        <s v="SP0878"/>
        <s v="SP0880"/>
        <s v="SP0881"/>
        <s v="SP0883"/>
        <s v="SP0884"/>
        <s v="SP0886"/>
        <s v="SP0888"/>
        <s v="SP0889"/>
        <s v="SP0890"/>
        <s v="SP0892"/>
        <s v="SP0893"/>
        <s v="SP0895"/>
        <s v="SP0897"/>
        <s v="SP0898"/>
        <s v="SP0900"/>
        <s v="SP0901"/>
        <s v="SP0903"/>
        <s v="SP0907"/>
        <s v="SP0908"/>
        <s v="SP0909"/>
        <s v="SP0910"/>
        <s v="SP0911"/>
        <s v="SP0912"/>
        <s v="SP0913"/>
        <s v="SP0914"/>
        <s v="SP0915"/>
        <s v="SP0916"/>
        <s v="SP0917"/>
        <s v="SP0920"/>
        <s v="SP0921"/>
        <s v="SP0922"/>
        <s v="SP0923"/>
        <s v="SP0924"/>
        <s v="SP0925"/>
        <s v="SP0926"/>
        <s v="SP0927"/>
        <s v="SP0929"/>
        <s v="SP0931"/>
        <s v="SP0932"/>
        <s v="SP0933"/>
        <s v="SP0934"/>
        <s v="SP0935"/>
        <s v="SP0940"/>
        <s v="SP0941"/>
        <s v="SP0942"/>
        <s v="SP0943"/>
        <s v="SP0944"/>
        <s v="SP0946"/>
        <s v="SP0947"/>
        <s v="SP0948"/>
        <s v="SP0949"/>
        <s v="SP0950"/>
        <s v="SP0951"/>
        <s v="SP0952"/>
        <s v="SP0953"/>
        <s v="SP0954"/>
        <s v="SP0955"/>
        <s v="SP0956"/>
        <s v="SP0957"/>
        <s v="SP0958"/>
        <s v="SP0959"/>
        <s v="SP0960"/>
        <s v="SP0963"/>
        <s v="SP0964"/>
        <s v="SP0965"/>
        <s v="SP0966"/>
        <s v="SP0967"/>
        <s v="SP0968"/>
        <s v="SP0969"/>
        <s v="SP0970"/>
        <s v="SP0972"/>
        <s v="SP0974"/>
        <s v="SP0975"/>
        <s v="SP0976"/>
        <s v="SP0978"/>
        <s v="SP0979"/>
        <s v="SP0980"/>
        <s v="SP0981"/>
        <s v="SP0982"/>
        <s v="SP0983"/>
        <s v="SP0986"/>
        <s v="SP0989"/>
        <s v="SP0990"/>
        <s v="SP0993"/>
        <s v="SP0994"/>
        <s v="SP0995"/>
        <s v="SP0999"/>
        <s v="STL006"/>
        <s v="STL007"/>
        <s v="STL011"/>
        <s v="STL012"/>
        <s v="STL016"/>
        <s v="STL017"/>
        <s v="STL019"/>
        <s v="STL021"/>
        <s v="STL022"/>
        <s v="STL023"/>
        <s v="STL027"/>
        <s v="STL037"/>
        <s v="STL038"/>
        <s v="STL040"/>
        <s v="STL043"/>
        <s v="STL045"/>
        <s v="STL049"/>
        <s v="STL059"/>
        <s v="STL061"/>
        <s v="STL074"/>
        <s v="STL076"/>
        <s v="STL078"/>
        <s v="STL096"/>
        <s v="STL105"/>
        <s v="STL108"/>
        <s v="STL110"/>
        <s v="STL120"/>
        <s v="STL123"/>
        <s v="STL128"/>
        <s v="STL133"/>
        <s v="STL137"/>
        <s v="STL144"/>
        <s v="STL149"/>
        <s v="STL152"/>
        <s v="STL163"/>
        <s v="STL165"/>
        <s v="STL170"/>
        <s v="STL171"/>
        <s v="STL172"/>
        <s v="STL173"/>
        <s v="STL174"/>
        <s v="SWH003"/>
        <s v="SYS002"/>
        <s v="TRI0003"/>
        <s v="TRI0004"/>
        <s v="TRI003"/>
        <s v="TRI007"/>
        <s v="TRI009"/>
        <s v="TRI013"/>
        <s v="TRI020"/>
        <s v="TRI021"/>
        <s v="WTRI002"/>
        <s v="WTRI004"/>
        <s v="WTRI011"/>
        <s v="ZMGBS02"/>
        <s v="ZMGBS04"/>
        <s v="ZMGBS05"/>
        <s v="ZMTMS001"/>
        <s v="ZMTMS002"/>
        <s v="ZMTMS003"/>
        <s v="ZMTMS005"/>
        <s v="ZMTMS006"/>
        <s v="ZMTMS009"/>
        <s v="ZMTMS011"/>
        <s v="ZMTMS012"/>
        <s v="ZMTMS016"/>
        <s v="ZMTMS017"/>
        <s v="ZMTMS018"/>
        <s v="ZMTMS019"/>
        <s v="ZMTMS022"/>
        <s v="ZMTMS023"/>
        <s v="ZMTMS026"/>
        <s v="ZMTMS028"/>
        <s v="ZMTMS030"/>
        <s v="ZMTMS032"/>
        <s v="ZMTMS035"/>
        <s v="ZMTMS037"/>
        <s v="ZMTMS039"/>
        <s v="ZMTMS041"/>
        <s v="ZMTMS043"/>
        <s v="ZMTMS044"/>
        <s v="ZMTMS045"/>
        <s v="ZMTMS046"/>
        <s v="ZMTMS047"/>
        <s v="ZMTMS048"/>
        <s v="ZMTMS049"/>
        <s v="ZMTMS051"/>
        <s v="ZMTMS052"/>
        <s v="ZMTMS053"/>
        <s v="ZMTMS054"/>
        <s v="ZMTMS055"/>
        <s v="ZMTMS056"/>
        <s v="ZMTMS057"/>
        <s v="ZMTMS060"/>
        <s v="ZMTMS061"/>
        <s v="ZMTMS065"/>
        <s v="ZMTMS066"/>
        <s v="ZMTMS067"/>
        <s v="ZMTMS068"/>
        <s v="ZMTMS070"/>
        <s v="ZMTMS073"/>
        <s v="ZMTMS075"/>
        <s v="ZMTMS077"/>
        <s v="ZMTMS082"/>
        <s v="ZMTMS085"/>
        <s v="ZMTMS087"/>
        <s v="ZMTMS088"/>
        <s v="ZMTMS091"/>
        <s v="ZMTMS092"/>
        <s v="ZMTMS094"/>
        <s v="ZMTMS096"/>
        <s v="ZMTMS097"/>
        <s v="ZMTMS098"/>
        <s v="ZMTMS099"/>
        <s v="ZMTMS103"/>
        <s v="ZMTMS105"/>
        <s v="ZMTMS109"/>
        <s v="ZMTMS112"/>
        <s v="ZMTMS114"/>
        <s v="ZMTMS118"/>
        <s v="ZMTMS121"/>
        <s v="ZMTMS124"/>
        <s v="ZMTMS125"/>
        <s v="ZMTMS128"/>
        <s v="ZMTMS129"/>
        <s v="ZMTMS130"/>
        <s v="ZMTMS132"/>
        <s v="ZMTMS133"/>
        <s v="ZMTMS134"/>
        <s v="ZMTMS135"/>
        <s v="ZMTMS138"/>
        <s v="ZMTMS140"/>
        <s v="ZMTMS141"/>
        <s v="ZMTMS142"/>
        <s v="ZMTMS143"/>
        <s v="ZMTMS144"/>
        <s v="ZMTMS147"/>
        <s v="ZMTMS148"/>
        <s v="ZMTMS151"/>
        <s v="ZMTMS153"/>
        <s v="ZMTMS154"/>
        <s v="ZMTMS155"/>
        <s v="ZMTMS156"/>
        <s v="ZMTMS158"/>
        <s v="ZMTMS159"/>
        <s v="ZMTMS160"/>
        <s v="ZMTMS161"/>
        <s v="ZMTMS164"/>
        <s v="ZMTMS166"/>
        <s v="ZMTMS167"/>
        <s v="ZMTMS168"/>
        <s v="ZMTMS169"/>
        <s v="ZMTMS170"/>
        <s v="ZMTMS171"/>
        <s v="ZMTMS173"/>
        <s v="ZMTMS174"/>
        <s v="ZMTMS175"/>
        <s v="ZMTMS176"/>
        <s v="ZMTMS178"/>
        <s v="ZMTMS179"/>
        <s v="ZMTMS180"/>
        <s v="ZMTMS181"/>
        <s v="ZMTMS183"/>
        <s v="ZMTMS185"/>
        <s v="ZMTMS187"/>
        <s v="ZMTMS189"/>
        <s v="ZMTMS190"/>
        <s v="ZMTMS193"/>
        <s v="ZMTMS194"/>
        <s v="ZMTMS195"/>
        <s v="ZMTMS196"/>
        <s v="ZMTMS198"/>
        <s v="ZMTMS200"/>
        <s v="ZMTMS202"/>
        <s v="ZMTMS205"/>
        <s v="ZMTMS206"/>
        <s v="ZMTMS207"/>
        <s v="ZMTMS208"/>
        <s v="ZMTMS209"/>
        <s v="ZMTMS212"/>
        <s v="ZMTMS213"/>
        <s v="ZMTMS214"/>
        <s v="ZMTMS216"/>
        <s v="ZMTMS219"/>
        <s v="ZMTMS220"/>
        <s v="ZMTMS223"/>
        <s v="ZMTMS226"/>
        <s v="ZMTMS227"/>
        <s v="ZMTMS229"/>
        <s v="ZMTMS230"/>
        <s v="ZMTMS231"/>
        <s v="ZMTMS232"/>
        <s v="ZMTMS234"/>
        <s v="ZMTMS235"/>
        <s v="ZMTMS236"/>
        <s v="ZMTMS237"/>
        <s v="ZMTMS238"/>
        <s v="ZMTMS239"/>
        <s v="ZMTMS241"/>
        <s v="ZMTMS242"/>
        <s v="ZMTMS243"/>
        <s v="ZMTMS244"/>
        <s v="ZMTMS300"/>
        <s v="ZMTMS301"/>
        <s v="ZMTMS303"/>
        <s v="ZMTMS304"/>
        <s v="ZMTMS306"/>
        <s v="ZMTMS307"/>
        <s v="ZMTMS309"/>
        <s v="ZMTMS310"/>
        <s v="ZMTMS311"/>
        <s v="ZMTMS312"/>
        <s v="ZMTMS318"/>
        <s v="ZMTMS320"/>
        <s v="ZMTMS321"/>
        <s v="ZMTMS323"/>
        <s v="ZMTMS325"/>
        <s v="ZMTMS328"/>
        <s v="ZMTMS329"/>
        <s v="ZMTMS331"/>
        <s v="ZMTMS333"/>
        <s v="ZMTMS336"/>
        <s v="ZMTMS337"/>
        <s v="ZMTMS340"/>
        <s v="ZMTMS343"/>
        <s v="ZMTMS346"/>
        <s v="ZMTMS347"/>
        <s v="ZMTMS348"/>
        <s v="ZMTMS351"/>
        <s v="ZMTMS353"/>
        <s v="ZMTMS356"/>
        <s v="ZMTMS357"/>
        <s v="ZMTMS360"/>
        <s v="ZMTMS362"/>
        <s v="ZMTMS363"/>
        <s v="ZMTMS364"/>
        <s v="ZMTMS365"/>
        <s v="ZMTMS366"/>
        <s v="ZMTMS367"/>
        <s v="ZMTMS368"/>
        <s v="ZMTMS369"/>
        <s v="ZMTMS370"/>
        <s v="ZMTMS371"/>
        <s v="ZMTMS372"/>
        <s v="ZMTMS373"/>
        <s v="ZMTMS374"/>
        <s v="ZMTMS375"/>
        <s v="ZMTMS376"/>
        <s v="ZMTMS378"/>
        <s v="ZMTMS379"/>
        <s v="ZMTMS380"/>
        <s v="ZMTMS381"/>
        <s v="ZMTMS382"/>
        <s v="ZMTMS383"/>
        <s v="ZMTMS384"/>
        <s v="ZMTMS385"/>
        <s v="ZMTMS387"/>
        <s v="ZMTMS389"/>
        <s v="ZMTMS391"/>
        <s v="ZMTMS392"/>
        <s v="ZMTMS399"/>
        <s v="ZMTMS400"/>
        <s v="ZMTMS408"/>
        <s v="ZMTMS410"/>
        <s v="ZMTMS411"/>
        <s v="ZMTMS413"/>
        <s v="ZMTMS414"/>
        <s v="ZMTMS416"/>
        <s v="ZMTMS417"/>
        <s v="ZMTMS418"/>
        <s v="ZMTMS419"/>
        <s v="ZMTMS420"/>
        <s v="ZMTMS421"/>
        <s v="ZMTMS423"/>
        <s v="ZMTMS425"/>
        <s v="ZMTMS428"/>
        <s v="ZMTMS429"/>
        <s v="ZMTMS430"/>
        <s v="ZMTMS431"/>
        <s v="ZMTMS432"/>
        <s v="ZMTMS433"/>
        <s v="ZMTMS435"/>
        <s v="ZMTMS436"/>
        <s v="ZMTMS437"/>
        <s v="ZMTMS438"/>
        <s v="ZMTMS440"/>
        <s v="ZMTMS441"/>
        <s v="ZMTMS442"/>
        <s v="ZMTMS443"/>
        <s v="ZMTMS444"/>
        <s v="ZMTMS445"/>
        <s v="ZMTMS447"/>
        <s v="ZMTMS449"/>
        <s v="ZMTMS451"/>
        <s v="ZMTMS454"/>
        <s v="ZMTMS455"/>
        <s v="ZMTMS456"/>
        <s v="ZMTMS461"/>
        <s v="ZMTMS463"/>
        <s v="ZMTMS467"/>
        <s v="ZMTMS468"/>
        <s v="ZMTMS470"/>
        <s v="ZMTMS472"/>
        <s v="ZMTMS473"/>
        <s v="ZMTMS476"/>
        <s v="ZMTMS477"/>
        <s v="ZMTMS479"/>
        <s v="ZMTMS480"/>
        <s v="ZMTMS481"/>
        <s v="ZMTMS483"/>
        <s v="ZMTMS484"/>
        <s v="ZMTMS486"/>
        <s v="ZMTMS489"/>
        <s v="ZMTMS490"/>
        <s v="ZMTMS491"/>
        <s v="ZMTMS492"/>
        <s v="ZMTMS493"/>
        <s v="ZMTMS494"/>
        <s v="ZMTMS499"/>
        <s v="ZMTMS501"/>
        <s v="ZMTMS502"/>
        <s v="ZMTMS503"/>
        <s v="ZMTMS506"/>
        <s v="ZMTMS507"/>
        <s v="ZMTMS508"/>
        <s v="ZMTMS509"/>
        <s v="ZMTMS512"/>
        <s v="ZMTMS513"/>
        <s v="ZMTMS514"/>
        <s v="ZMTMS516"/>
        <s v="ZMTMS517"/>
        <s v="ZMTMS518"/>
        <s v="ZMTMS519"/>
        <s v="ZMTMS520"/>
        <s v="ZMTMS522"/>
        <s v="ZMTMS523"/>
        <s v="ZMTMS524"/>
        <s v="ZMTMS525"/>
        <s v="ZMTMS527"/>
        <s v="ZMTMS528"/>
        <s v="ZMTMS529"/>
        <s v="ZMTMS530"/>
        <s v="ZMTMS531"/>
        <s v="ZMTMS532"/>
        <s v="ZMTMS533"/>
        <s v="ZMTMS535"/>
        <s v="ZMTMS536"/>
        <s v="ZMTMS537"/>
        <s v="ZMTMS540"/>
        <s v="ZMTMS541"/>
        <s v="ZMTMS542"/>
        <s v="ZMTMS543"/>
        <s v="ZMTMS545"/>
        <s v="ZMTMS546"/>
        <s v="ZMTMS548"/>
        <s v="ZMTMS552"/>
        <s v="ZMTMS553"/>
        <s v="ZMTMS556"/>
        <s v="ZMTMS557"/>
        <s v="ZMTMS560"/>
        <s v="ZMTMS567"/>
        <s v="ZMTMS568"/>
        <s v="ZMTMS570"/>
        <s v="ZMTMS571"/>
        <s v="ZMTMS572"/>
        <s v="ZMTMS573"/>
        <s v="ZMTMS574"/>
        <s v="ZMTMS575"/>
        <s v="ZMTMS576"/>
        <s v="ZMTMS577"/>
        <s v="ZMTMS578"/>
        <s v="ZMTMS579"/>
        <s v="ZMTMS580"/>
        <s v="ZMTMS581"/>
        <s v="ZMTMS582"/>
        <s v="ZMTMS583"/>
        <s v="ZMTMS584"/>
        <s v="ZMTMS589"/>
        <s v="ZMTMS590"/>
        <s v="ZMTMS591"/>
        <s v="ZMTMS594"/>
        <s v="ZMTMS596"/>
        <s v="ZMTMS597"/>
        <s v="ZMTMS598"/>
        <s v="ZMTMS599"/>
        <s v="ZMTMS600"/>
        <s v="ZMTMS602"/>
        <s v="ZMTMS603"/>
        <s v="ZMTMS604"/>
        <s v="ZMTMS605"/>
        <s v="ZMTMS610"/>
        <s v="ZMTMS611"/>
        <s v="ZMTMS612"/>
        <s v="ZMTMS613"/>
        <s v="ြSP0521"/>
      </sharedItems>
    </cacheField>
    <cacheField name="Name" numFmtId="0">
      <sharedItems containsMixedTypes="1" containsNumber="1" containsInteger="1" minValue="6005" maxValue="6214"/>
    </cacheField>
    <cacheField name="Qty" numFmtId="0">
      <sharedItems containsSemiMixedTypes="0" containsString="0" containsNumber="1" containsInteger="1" minValue="1" maxValue="354"/>
    </cacheField>
    <cacheField name="ေရာင္းေစ်း (လက္လီ)" numFmtId="164">
      <sharedItems containsSemiMixedTypes="0" containsString="0" containsNumber="1" containsInteger="1" minValue="50" maxValue="985000"/>
    </cacheField>
    <cacheField name="ေရာင္းေစ်း (လက္ကား)" numFmtId="164">
      <sharedItems containsSemiMixedTypes="0" containsString="0" containsNumber="1" containsInteger="1" minValue="50" maxValue="985000"/>
    </cacheField>
    <cacheField name="TotaL Amount" numFmtId="164">
      <sharedItems containsSemiMixedTypes="0" containsString="0" containsNumber="1" containsInteger="1" minValue="0" maxValue="6479000"/>
    </cacheField>
    <cacheField name="Store" numFmtId="0">
      <sharedItems count="11">
        <s v="GBS Spare"/>
        <s v="Main Store"/>
        <s v="2 Wheel"/>
        <s v="Delta International Limited"/>
        <s v="GBS Fer"/>
        <s v="HF Fer"/>
        <s v="LEILA /STL CO"/>
        <s v="Mg Mg Soe"/>
        <s v="STL"/>
        <s v="SEIN WUT HMON CO.LTD"/>
        <s v="ZM/MDY Spare"/>
      </sharedItems>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r:id="rId1" refreshedBy="Windows User" refreshedDate="44682.475661921293" createdVersion="6" refreshedVersion="5" minRefreshableVersion="3" recordCount="12">
  <cacheSource type="worksheet">
    <worksheetSource name="Table24"/>
  </cacheSource>
  <cacheFields count="4">
    <cacheField name="End of Month" numFmtId="182">
      <sharedItems containsSemiMixedTypes="0" containsNonDate="0" containsDate="1" containsString="0" minDate="2021-01-31T00:00:00" maxDate="2023-01-01T00:00:00" count="24">
        <d v="2022-01-31T00:00:00"/>
        <d v="2022-02-28T00:00:00"/>
        <d v="2022-03-31T00:00:00"/>
        <d v="2022-04-30T00:00:00"/>
        <d v="2022-05-31T00:00:00"/>
        <d v="2022-06-30T00:00:00"/>
        <d v="2022-07-31T00:00:00"/>
        <d v="2022-08-31T00:00:00"/>
        <d v="2022-09-30T00:00:00"/>
        <d v="2022-10-31T00:00:00"/>
        <d v="2022-11-30T00:00:00"/>
        <d v="2022-12-31T00:00:00"/>
        <d v="2021-11-30T00:00:00" u="1"/>
        <d v="2021-05-31T00:00:00" u="1"/>
        <d v="2021-02-28T00:00:00" u="1"/>
        <d v="2021-09-30T00:00:00" u="1"/>
        <d v="2021-03-31T00:00:00" u="1"/>
        <d v="2021-12-31T00:00:00" u="1"/>
        <d v="2021-01-31T00:00:00" u="1"/>
        <d v="2021-06-30T00:00:00" u="1"/>
        <d v="2021-10-31T00:00:00" u="1"/>
        <d v="2021-04-30T00:00:00" u="1"/>
        <d v="2021-08-31T00:00:00" u="1"/>
        <d v="2021-07-31T00:00:00" u="1"/>
      </sharedItems>
    </cacheField>
    <cacheField name="Sale Profit" numFmtId="164">
      <sharedItems containsString="0" containsBlank="1" containsNumber="1" containsInteger="1" minValue="4422515" maxValue="6200928"/>
    </cacheField>
    <cacheField name="Expense" numFmtId="164">
      <sharedItems containsString="0" containsBlank="1" containsNumber="1" containsInteger="1" minValue="1395250" maxValue="1718150"/>
    </cacheField>
    <cacheField name="Net Profit" numFmtId="164">
      <sharedItems containsSemiMixedTypes="0" containsString="0" containsNumber="1" containsInteger="1" minValue="0" maxValue="4805678"/>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r:id="rId1" refreshedBy="Windows User" refreshedDate="44695.50895787037" createdVersion="5" refreshedVersion="5" minRefreshableVersion="3" recordCount="18">
  <cacheSource type="worksheet">
    <worksheetSource ref="A1:F19" sheet="Creditor Purchase &amp; Payment"/>
  </cacheSource>
  <cacheFields count="6">
    <cacheField name="No" numFmtId="0">
      <sharedItems containsSemiMixedTypes="0" containsString="0" containsNumber="1" containsInteger="1" minValue="1" maxValue="20"/>
    </cacheField>
    <cacheField name="Supplier Name" numFmtId="0">
      <sharedItems count="18">
        <s v="Aspire Aim Machinery"/>
        <s v="Aung Myit Tar"/>
        <s v="Delita International Limied"/>
        <s v="GBS Spare"/>
        <s v="Ko Win Hlaing"/>
        <s v="Kyinn Loon Myanmar"/>
        <s v="Ma Au Bin"/>
        <s v="Mann Ayawadi"/>
        <s v="Power Winner"/>
        <s v="Moe Thauk Ayar"/>
        <s v="Sein Wut Hmon Co, LTD"/>
        <s v="Shwe Than Lwin"/>
        <s v="Shwe Yar Su"/>
        <s v="Super"/>
        <s v="Tat Shwe La Win "/>
        <s v="ရီရှင်း"/>
        <s v="U SAN THU(JJ Family)"/>
        <s v="Zan (or) Mg Mg Soe"/>
      </sharedItems>
    </cacheField>
    <cacheField name="Opening" numFmtId="164">
      <sharedItems containsSemiMixedTypes="0" containsString="0" containsNumber="1" containsInteger="1" minValue="0" maxValue="2487066"/>
    </cacheField>
    <cacheField name="Purchase" numFmtId="164">
      <sharedItems containsSemiMixedTypes="0" containsString="0" containsNumber="1" containsInteger="1" minValue="0" maxValue="4540500"/>
    </cacheField>
    <cacheField name="Payment" numFmtId="164">
      <sharedItems containsSemiMixedTypes="0" containsString="0" containsNumber="1" containsInteger="1" minValue="0" maxValue="3978000"/>
    </cacheField>
    <cacheField name="Balance" numFmtId="164">
      <sharedItems containsSemiMixedTypes="0" containsString="0" containsNumber="1" containsInteger="1" minValue="0" maxValue="2487066"/>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8">
  <r>
    <n v="1"/>
    <x v="0"/>
    <x v="0"/>
    <x v="0"/>
    <m/>
    <m/>
    <x v="0"/>
    <x v="0"/>
    <x v="0"/>
    <x v="0"/>
    <x v="0"/>
    <x v="0"/>
    <s v="1001-6000-0008-362"/>
    <m/>
    <s v="F-0229"/>
    <n v="1"/>
    <n v="2480000"/>
    <n v="0.01"/>
    <n v="0.1"/>
    <m/>
    <n v="0.4"/>
    <n v="0.6"/>
    <n v="149207.67123287672"/>
    <n v="1166007.6712328768"/>
    <n v="1488000"/>
    <m/>
    <n v="0.3"/>
    <d v="2020-07-13T00:00:00"/>
    <n v="199000"/>
    <s v="တိုက္ရိုက္"/>
    <x v="0"/>
    <n v="545000"/>
    <n v="0.3"/>
    <x v="0"/>
    <n v="744000"/>
  </r>
  <r>
    <n v="2"/>
    <x v="0"/>
    <x v="1"/>
    <x v="0"/>
    <m/>
    <m/>
    <x v="0"/>
    <x v="0"/>
    <x v="0"/>
    <x v="0"/>
    <x v="0"/>
    <x v="1"/>
    <s v="1001-6000-0008-389"/>
    <m/>
    <s v="F-0764"/>
    <n v="1"/>
    <n v="3290000"/>
    <n v="0.01"/>
    <n v="0.1"/>
    <m/>
    <n v="0.4"/>
    <n v="0.6"/>
    <n v="197940.82191780821"/>
    <n v="1546840.8219178081"/>
    <n v="1974000"/>
    <m/>
    <n v="0.3"/>
    <d v="2020-07-13T00:00:00"/>
    <m/>
    <n v="0.3"/>
    <x v="1"/>
    <n v="987000"/>
    <n v="0.3"/>
    <x v="0"/>
    <n v="987000"/>
  </r>
  <r>
    <n v="3"/>
    <x v="0"/>
    <x v="2"/>
    <x v="0"/>
    <m/>
    <m/>
    <x v="0"/>
    <x v="0"/>
    <x v="0"/>
    <x v="0"/>
    <x v="0"/>
    <x v="1"/>
    <s v="1001-6000-0008-408"/>
    <m/>
    <s v="F-0864"/>
    <n v="1"/>
    <n v="3290000"/>
    <n v="0.01"/>
    <n v="0.1"/>
    <m/>
    <n v="0.4"/>
    <n v="0.6"/>
    <n v="197940.82191780821"/>
    <n v="1546840.8219178081"/>
    <n v="1974000"/>
    <m/>
    <n v="0.3"/>
    <d v="2020-07-13T00:00:00"/>
    <m/>
    <n v="0.3"/>
    <x v="1"/>
    <n v="987000"/>
    <n v="0.3"/>
    <x v="0"/>
    <n v="987000"/>
  </r>
  <r>
    <n v="4"/>
    <x v="0"/>
    <x v="3"/>
    <x v="0"/>
    <m/>
    <m/>
    <x v="0"/>
    <x v="0"/>
    <x v="0"/>
    <x v="0"/>
    <x v="0"/>
    <x v="1"/>
    <s v="1001-6000-0008-354"/>
    <m/>
    <s v="F-0865"/>
    <n v="1"/>
    <n v="3290000"/>
    <n v="0.01"/>
    <n v="0.1"/>
    <m/>
    <n v="0.4"/>
    <n v="0.6"/>
    <n v="197940.82191780821"/>
    <n v="1546840.8219178081"/>
    <n v="1974000"/>
    <m/>
    <n v="0.3"/>
    <d v="2020-07-13T00:00:00"/>
    <m/>
    <n v="0.3"/>
    <x v="2"/>
    <n v="987000"/>
    <n v="0.3"/>
    <x v="0"/>
    <n v="987000"/>
  </r>
  <r>
    <n v="5"/>
    <x v="0"/>
    <x v="4"/>
    <x v="0"/>
    <m/>
    <m/>
    <x v="0"/>
    <x v="0"/>
    <x v="0"/>
    <x v="0"/>
    <x v="0"/>
    <x v="1"/>
    <s v="1001-6000-0008-427"/>
    <m/>
    <s v="F-0867"/>
    <n v="1"/>
    <n v="3290000"/>
    <n v="0.01"/>
    <n v="0.1"/>
    <m/>
    <n v="0.4"/>
    <n v="0.6"/>
    <n v="197940.82191780821"/>
    <n v="1546840.8219178081"/>
    <n v="1974000"/>
    <m/>
    <n v="0.3"/>
    <d v="2020-07-13T00:00:00"/>
    <m/>
    <n v="0.3"/>
    <x v="2"/>
    <n v="987000"/>
    <n v="0.3"/>
    <x v="0"/>
    <n v="987000"/>
  </r>
  <r>
    <n v="6"/>
    <x v="0"/>
    <x v="5"/>
    <x v="0"/>
    <m/>
    <m/>
    <x v="0"/>
    <x v="0"/>
    <x v="0"/>
    <x v="0"/>
    <x v="0"/>
    <x v="1"/>
    <s v="1001-6000-0008-419"/>
    <m/>
    <s v="F-0866"/>
    <n v="1"/>
    <n v="3290000"/>
    <n v="0.01"/>
    <n v="0.1"/>
    <m/>
    <n v="0.4"/>
    <n v="0.6"/>
    <n v="197940.82191780821"/>
    <n v="1546840.8219178081"/>
    <n v="1974000"/>
    <m/>
    <n v="0.3"/>
    <d v="2020-07-13T00:00:00"/>
    <m/>
    <n v="0.3"/>
    <x v="3"/>
    <n v="987000"/>
    <n v="0.3"/>
    <x v="0"/>
    <n v="987000"/>
  </r>
  <r>
    <n v="7"/>
    <x v="0"/>
    <x v="6"/>
    <x v="0"/>
    <m/>
    <m/>
    <x v="0"/>
    <x v="0"/>
    <x v="0"/>
    <x v="0"/>
    <x v="0"/>
    <x v="2"/>
    <s v="1001-6000-0008-397"/>
    <m/>
    <s v="F-0631"/>
    <n v="1"/>
    <n v="3150000"/>
    <n v="0.01"/>
    <n v="0.1"/>
    <m/>
    <n v="0.4"/>
    <n v="0.6"/>
    <n v="189517.80821917806"/>
    <n v="1481017.8082191781"/>
    <n v="1890000"/>
    <m/>
    <n v="0.3"/>
    <d v="2020-07-13T00:00:00"/>
    <m/>
    <n v="0.3"/>
    <x v="4"/>
    <n v="945000"/>
    <n v="0.3"/>
    <x v="0"/>
    <n v="945000"/>
  </r>
  <r>
    <n v="8"/>
    <x v="0"/>
    <x v="7"/>
    <x v="0"/>
    <m/>
    <m/>
    <x v="0"/>
    <x v="0"/>
    <x v="0"/>
    <x v="0"/>
    <x v="0"/>
    <x v="3"/>
    <s v="1001-6000-0008-378"/>
    <m/>
    <s v="F-0873"/>
    <n v="1"/>
    <n v="2740000"/>
    <n v="0.01"/>
    <n v="0.1"/>
    <m/>
    <n v="0.4"/>
    <n v="0.6"/>
    <n v="164850.4109589041"/>
    <n v="1288250.4109589041"/>
    <n v="1644000"/>
    <m/>
    <n v="0.3"/>
    <d v="2020-07-13T00:00:00"/>
    <m/>
    <n v="0.3"/>
    <x v="5"/>
    <n v="822000"/>
    <n v="0.3"/>
    <x v="0"/>
    <n v="822000"/>
  </r>
  <r>
    <n v="1"/>
    <x v="1"/>
    <x v="8"/>
    <x v="0"/>
    <m/>
    <m/>
    <x v="0"/>
    <x v="0"/>
    <x v="0"/>
    <x v="0"/>
    <x v="0"/>
    <x v="2"/>
    <n v="100160000008788"/>
    <m/>
    <n v="629"/>
    <n v="1"/>
    <n v="3150000"/>
    <n v="0.01"/>
    <n v="0.1"/>
    <m/>
    <n v="0.4"/>
    <n v="0.6"/>
    <n v="189517.80821917806"/>
    <n v="1481017.8082191781"/>
    <n v="1890000"/>
    <m/>
    <n v="0.3"/>
    <d v="2020-08-26T00:00:00"/>
    <n v="945000"/>
    <n v="0.3"/>
    <x v="6"/>
    <n v="945000"/>
    <n v="0.3"/>
    <x v="1"/>
    <n v="945000"/>
  </r>
  <r>
    <n v="2"/>
    <x v="1"/>
    <x v="9"/>
    <x v="0"/>
    <m/>
    <m/>
    <x v="0"/>
    <x v="0"/>
    <x v="0"/>
    <x v="0"/>
    <x v="0"/>
    <x v="1"/>
    <n v="100160000008761"/>
    <m/>
    <n v="773"/>
    <n v="1"/>
    <n v="3290000"/>
    <n v="0.01"/>
    <n v="0.1"/>
    <m/>
    <n v="0.4"/>
    <n v="0.6"/>
    <n v="197940.82191780821"/>
    <n v="1546840.8219178081"/>
    <n v="1974000"/>
    <m/>
    <n v="0.3"/>
    <d v="2020-08-26T00:00:00"/>
    <m/>
    <n v="0.3"/>
    <x v="7"/>
    <n v="987000"/>
    <n v="0.3"/>
    <x v="1"/>
    <n v="987000"/>
  </r>
  <r>
    <n v="3"/>
    <x v="1"/>
    <x v="10"/>
    <x v="0"/>
    <m/>
    <m/>
    <x v="0"/>
    <x v="0"/>
    <x v="0"/>
    <x v="0"/>
    <x v="0"/>
    <x v="1"/>
    <n v="100160000008745"/>
    <m/>
    <n v="1052"/>
    <n v="1"/>
    <n v="3290000"/>
    <n v="0.01"/>
    <n v="0.1"/>
    <m/>
    <n v="0.4"/>
    <n v="0.6"/>
    <n v="197940.82191780821"/>
    <n v="1546840.8219178081"/>
    <n v="1974000"/>
    <m/>
    <n v="0.3"/>
    <d v="2020-08-26T00:00:00"/>
    <m/>
    <n v="0.3"/>
    <x v="8"/>
    <n v="987000"/>
    <n v="0.3"/>
    <x v="1"/>
    <n v="987000"/>
  </r>
  <r>
    <n v="4"/>
    <x v="1"/>
    <x v="11"/>
    <x v="0"/>
    <m/>
    <m/>
    <x v="0"/>
    <x v="0"/>
    <x v="0"/>
    <x v="0"/>
    <x v="0"/>
    <x v="1"/>
    <n v="100160000008777"/>
    <m/>
    <n v="1116"/>
    <n v="1"/>
    <n v="3290000"/>
    <n v="0.01"/>
    <n v="0.1"/>
    <m/>
    <n v="0.4"/>
    <n v="0.6"/>
    <n v="197940.82191780821"/>
    <n v="1546840.8219178081"/>
    <n v="1974000"/>
    <m/>
    <n v="0.3"/>
    <d v="2020-08-26T00:00:00"/>
    <m/>
    <n v="0.3"/>
    <x v="8"/>
    <n v="987000"/>
    <n v="0.3"/>
    <x v="1"/>
    <n v="987000"/>
  </r>
  <r>
    <n v="5"/>
    <x v="1"/>
    <x v="12"/>
    <x v="0"/>
    <m/>
    <m/>
    <x v="0"/>
    <x v="0"/>
    <x v="0"/>
    <x v="0"/>
    <x v="0"/>
    <x v="4"/>
    <n v="100160000008753"/>
    <m/>
    <n v="191"/>
    <n v="1"/>
    <n v="2290000"/>
    <n v="0.01"/>
    <n v="0.1"/>
    <m/>
    <n v="0.4"/>
    <n v="0.6"/>
    <n v="137776.43835616438"/>
    <n v="1076676.4383561644"/>
    <n v="1374000"/>
    <m/>
    <n v="0.3"/>
    <d v="2020-08-26T00:00:00"/>
    <m/>
    <n v="0.3"/>
    <x v="8"/>
    <n v="687000"/>
    <n v="0.3"/>
    <x v="1"/>
    <n v="687000"/>
  </r>
  <r>
    <n v="1"/>
    <x v="2"/>
    <x v="13"/>
    <x v="1"/>
    <m/>
    <m/>
    <x v="1"/>
    <x v="1"/>
    <x v="1"/>
    <x v="0"/>
    <x v="1"/>
    <x v="5"/>
    <s v="L6HBN1COL0000054"/>
    <s v="Orange"/>
    <m/>
    <n v="1"/>
    <n v="3290000"/>
    <n v="0.01"/>
    <n v="0.11"/>
    <n v="0.1"/>
    <m/>
    <n v="0.4"/>
    <n v="0.6"/>
    <n v="1566040"/>
    <n v="1566040"/>
    <m/>
    <m/>
    <n v="1974000"/>
    <m/>
    <n v="0.3"/>
    <x v="9"/>
    <n v="987000"/>
    <n v="0.3"/>
    <x v="2"/>
    <n v="987000"/>
  </r>
  <r>
    <n v="2"/>
    <x v="3"/>
    <x v="14"/>
    <x v="2"/>
    <m/>
    <m/>
    <x v="2"/>
    <x v="2"/>
    <x v="2"/>
    <x v="0"/>
    <x v="1"/>
    <x v="5"/>
    <s v="L6HBN1COL0000061"/>
    <s v="Orange"/>
    <m/>
    <n v="1"/>
    <n v="3290000"/>
    <n v="0.01"/>
    <n v="0.11"/>
    <n v="0.1"/>
    <m/>
    <n v="0.4"/>
    <n v="0.6"/>
    <n v="1566040"/>
    <n v="1566040"/>
    <m/>
    <m/>
    <n v="1974000"/>
    <m/>
    <n v="0.3"/>
    <x v="10"/>
    <n v="987000"/>
    <n v="0.3"/>
    <x v="3"/>
    <n v="987000"/>
  </r>
  <r>
    <n v="3"/>
    <x v="4"/>
    <x v="15"/>
    <x v="3"/>
    <s v="၁၄/ဘကလ(နိုင္)၂၆၈၉၉၃"/>
    <m/>
    <x v="3"/>
    <x v="3"/>
    <x v="3"/>
    <x v="0"/>
    <x v="1"/>
    <x v="5"/>
    <s v="L6HBN1COL0000141"/>
    <s v="Orange"/>
    <m/>
    <n v="1"/>
    <n v="3210000"/>
    <n v="0.01"/>
    <n v="0.11"/>
    <n v="0.1"/>
    <m/>
    <n v="0.4"/>
    <n v="0.6"/>
    <n v="1527960"/>
    <n v="1527960"/>
    <m/>
    <m/>
    <n v="1926000"/>
    <m/>
    <n v="0.3"/>
    <x v="11"/>
    <n v="963000"/>
    <n v="0.3"/>
    <x v="4"/>
    <n v="963000"/>
  </r>
  <r>
    <n v="4"/>
    <x v="5"/>
    <x v="16"/>
    <x v="4"/>
    <m/>
    <m/>
    <x v="0"/>
    <x v="4"/>
    <x v="0"/>
    <x v="0"/>
    <x v="1"/>
    <x v="5"/>
    <s v="L6HBN1COL0000053"/>
    <s v="Orange"/>
    <m/>
    <n v="1"/>
    <n v="3210000"/>
    <n v="0.01"/>
    <n v="0.11"/>
    <n v="0.1"/>
    <m/>
    <n v="0.4"/>
    <n v="0.6"/>
    <n v="1527960"/>
    <n v="1527960"/>
    <m/>
    <m/>
    <n v="1926000"/>
    <m/>
    <n v="0.3"/>
    <x v="12"/>
    <n v="963000"/>
    <n v="0.3"/>
    <x v="5"/>
    <n v="963000"/>
  </r>
  <r>
    <n v="5"/>
    <x v="6"/>
    <x v="17"/>
    <x v="5"/>
    <s v="၈/အလန(နုိင္)၁၅၀၁၃"/>
    <m/>
    <x v="4"/>
    <x v="5"/>
    <x v="4"/>
    <x v="0"/>
    <x v="1"/>
    <x v="6"/>
    <s v="L6HBN1COL0000068"/>
    <s v="Orange"/>
    <m/>
    <n v="1"/>
    <n v="3210000"/>
    <n v="0.01"/>
    <n v="0.11"/>
    <n v="0.1"/>
    <m/>
    <n v="0.4"/>
    <n v="0.6"/>
    <n v="1508700"/>
    <n v="1508700"/>
    <m/>
    <m/>
    <n v="1926000"/>
    <m/>
    <n v="0.3"/>
    <x v="13"/>
    <n v="963000"/>
    <n v="0.3"/>
    <x v="6"/>
    <n v="963000"/>
  </r>
  <r>
    <n v="6"/>
    <x v="7"/>
    <x v="18"/>
    <x v="6"/>
    <m/>
    <m/>
    <x v="5"/>
    <x v="6"/>
    <x v="5"/>
    <x v="0"/>
    <x v="1"/>
    <x v="7"/>
    <s v="L6XHHBLICK0000104"/>
    <s v="Orange"/>
    <m/>
    <n v="1"/>
    <n v="2480000"/>
    <n v="0.01"/>
    <n v="0.11"/>
    <n v="0.1"/>
    <m/>
    <n v="0.4"/>
    <n v="0.6"/>
    <n v="1165600"/>
    <n v="1165600"/>
    <m/>
    <m/>
    <n v="1488000"/>
    <m/>
    <n v="0.3"/>
    <x v="14"/>
    <n v="744000"/>
    <n v="0.3"/>
    <x v="7"/>
    <n v="744000"/>
  </r>
  <r>
    <n v="7"/>
    <x v="8"/>
    <x v="19"/>
    <x v="7"/>
    <s v="၁၂/ဒလန(နိုင္)၀၅၆၈၆၉"/>
    <m/>
    <x v="6"/>
    <x v="7"/>
    <x v="6"/>
    <x v="0"/>
    <x v="1"/>
    <x v="6"/>
    <s v="L6HBN1COL0000068"/>
    <s v="Orange"/>
    <m/>
    <n v="1"/>
    <n v="3210000"/>
    <n v="0.01"/>
    <n v="0.11"/>
    <n v="0.1"/>
    <m/>
    <n v="0.4"/>
    <n v="0.6"/>
    <n v="1508700"/>
    <n v="1508700"/>
    <m/>
    <m/>
    <n v="1926000"/>
    <m/>
    <n v="0.3"/>
    <x v="15"/>
    <n v="963000"/>
    <n v="0.3"/>
    <x v="8"/>
    <n v="963000"/>
  </r>
  <r>
    <n v="8"/>
    <x v="9"/>
    <x v="20"/>
    <x v="8"/>
    <s v="၁၂/ကခက(နိုင္)၀၇၆၅၉၁"/>
    <m/>
    <x v="7"/>
    <x v="8"/>
    <x v="7"/>
    <x v="0"/>
    <x v="1"/>
    <x v="8"/>
    <s v="L6XHBR1C8L0000326"/>
    <s v="Orange"/>
    <m/>
    <n v="1"/>
    <n v="3290000"/>
    <n v="0.01"/>
    <n v="0.11"/>
    <n v="0.1"/>
    <m/>
    <n v="0.4"/>
    <n v="0.6"/>
    <n v="1546300"/>
    <n v="1546300"/>
    <m/>
    <m/>
    <n v="1974000"/>
    <m/>
    <n v="0.3"/>
    <x v="16"/>
    <n v="987000"/>
    <n v="0.3"/>
    <x v="9"/>
    <n v="987000"/>
  </r>
  <r>
    <n v="9"/>
    <x v="10"/>
    <x v="21"/>
    <x v="9"/>
    <m/>
    <m/>
    <x v="8"/>
    <x v="9"/>
    <x v="8"/>
    <x v="0"/>
    <x v="1"/>
    <x v="8"/>
    <s v="L6XHBR1C7L0000348"/>
    <s v="Orange"/>
    <m/>
    <n v="1"/>
    <n v="3290000"/>
    <n v="0.01"/>
    <n v="0.11"/>
    <n v="0.1"/>
    <m/>
    <n v="0.4"/>
    <n v="0.6"/>
    <n v="1546300"/>
    <n v="1546300"/>
    <m/>
    <m/>
    <n v="1974000"/>
    <m/>
    <n v="0.3"/>
    <x v="17"/>
    <n v="987000"/>
    <n v="0.3"/>
    <x v="10"/>
    <n v="987000"/>
  </r>
  <r>
    <n v="10"/>
    <x v="11"/>
    <x v="22"/>
    <x v="10"/>
    <m/>
    <m/>
    <x v="9"/>
    <x v="10"/>
    <x v="9"/>
    <x v="0"/>
    <x v="1"/>
    <x v="9"/>
    <s v="L6XHBK1CXK0000169"/>
    <s v="Green"/>
    <m/>
    <n v="1"/>
    <n v="2290000"/>
    <n v="0.01"/>
    <n v="0.11"/>
    <n v="0.1"/>
    <m/>
    <n v="0.4"/>
    <n v="0.6"/>
    <n v="1076300"/>
    <n v="1076300"/>
    <m/>
    <m/>
    <n v="1374000"/>
    <m/>
    <n v="0.3"/>
    <x v="18"/>
    <n v="687000"/>
    <n v="0.3"/>
    <x v="11"/>
    <n v="687000"/>
  </r>
  <r>
    <n v="11"/>
    <x v="12"/>
    <x v="23"/>
    <x v="11"/>
    <m/>
    <m/>
    <x v="10"/>
    <x v="11"/>
    <x v="10"/>
    <x v="0"/>
    <x v="1"/>
    <x v="7"/>
    <s v="L6XHHBLICK0000033"/>
    <s v="Orange"/>
    <s v="175CC"/>
    <n v="1"/>
    <n v="2480000"/>
    <n v="0.01"/>
    <n v="0.11"/>
    <n v="0.1"/>
    <m/>
    <n v="0.4"/>
    <n v="0.6"/>
    <n v="1165600"/>
    <n v="1165600"/>
    <m/>
    <m/>
    <n v="1488000"/>
    <m/>
    <n v="0.3"/>
    <x v="19"/>
    <n v="744000"/>
    <n v="0.3"/>
    <x v="12"/>
    <n v="744000"/>
  </r>
  <r>
    <n v="12"/>
    <x v="12"/>
    <x v="24"/>
    <x v="12"/>
    <s v="၁၂/ကခက(နိုင္)၀၇၀၀၉၂"/>
    <m/>
    <x v="11"/>
    <x v="12"/>
    <x v="11"/>
    <x v="0"/>
    <x v="1"/>
    <x v="8"/>
    <s v="L6XHBR1C6L0000499"/>
    <s v="Orange"/>
    <s v="300CC"/>
    <n v="1"/>
    <n v="3290000"/>
    <n v="0.01"/>
    <n v="0.11"/>
    <n v="0.1"/>
    <m/>
    <n v="0.4"/>
    <n v="0.6"/>
    <n v="1546300"/>
    <n v="1546300"/>
    <m/>
    <m/>
    <n v="1974000"/>
    <m/>
    <n v="0.3"/>
    <x v="19"/>
    <n v="987000"/>
    <n v="0.3"/>
    <x v="12"/>
    <n v="987000"/>
  </r>
  <r>
    <n v="13"/>
    <x v="13"/>
    <x v="25"/>
    <x v="13"/>
    <s v="၁၂/ကမန(နိုင္)၁၀၈၃၇၀၅"/>
    <m/>
    <x v="12"/>
    <x v="13"/>
    <x v="12"/>
    <x v="0"/>
    <x v="1"/>
    <x v="10"/>
    <s v="L6XHBK1C2L0000040"/>
    <s v="Orange"/>
    <s v="150CC"/>
    <n v="1"/>
    <n v="2290000"/>
    <n v="0.01"/>
    <m/>
    <n v="0.1"/>
    <m/>
    <n v="0.4"/>
    <n v="0.6"/>
    <n v="1076300"/>
    <n v="1076300"/>
    <m/>
    <m/>
    <n v="1374000"/>
    <m/>
    <n v="0.3"/>
    <x v="20"/>
    <n v="687000"/>
    <n v="0.3"/>
    <x v="13"/>
    <n v="687000"/>
  </r>
  <r>
    <n v="14"/>
    <x v="14"/>
    <x v="26"/>
    <x v="14"/>
    <m/>
    <m/>
    <x v="13"/>
    <x v="14"/>
    <x v="13"/>
    <x v="1"/>
    <x v="1"/>
    <x v="8"/>
    <s v="L6XHBR1C7L0000520"/>
    <s v="Orange"/>
    <s v="300CC"/>
    <n v="1"/>
    <n v="3290000"/>
    <n v="0.01"/>
    <m/>
    <n v="0.1"/>
    <m/>
    <n v="0.4"/>
    <n v="0.6"/>
    <n v="1546300"/>
    <n v="1546300"/>
    <m/>
    <m/>
    <n v="1974000"/>
    <m/>
    <n v="0.3"/>
    <x v="21"/>
    <n v="987000"/>
    <n v="0.3"/>
    <x v="14"/>
    <n v="987000"/>
  </r>
  <r>
    <n v="15"/>
    <x v="15"/>
    <x v="27"/>
    <x v="4"/>
    <m/>
    <m/>
    <x v="14"/>
    <x v="15"/>
    <x v="14"/>
    <x v="2"/>
    <x v="1"/>
    <x v="8"/>
    <s v="L6XHBR1C1L0000619"/>
    <s v="Orange"/>
    <s v="300CC"/>
    <n v="1"/>
    <n v="3290000"/>
    <n v="0.01"/>
    <m/>
    <n v="0.1"/>
    <m/>
    <n v="0.4"/>
    <n v="0.6"/>
    <n v="1546300"/>
    <n v="1546300"/>
    <m/>
    <m/>
    <n v="1974000"/>
    <m/>
    <n v="0.3"/>
    <x v="22"/>
    <n v="987000"/>
    <n v="0.3"/>
    <x v="15"/>
    <n v="987000"/>
  </r>
  <r>
    <n v="16"/>
    <x v="16"/>
    <x v="28"/>
    <x v="15"/>
    <m/>
    <m/>
    <x v="15"/>
    <x v="3"/>
    <x v="15"/>
    <x v="3"/>
    <x v="1"/>
    <x v="5"/>
    <s v="L6XHBN1C5L0000133"/>
    <s v="Orange"/>
    <s v="250CC"/>
    <n v="1"/>
    <n v="3210000"/>
    <n v="0.01"/>
    <m/>
    <n v="0.1"/>
    <m/>
    <n v="0.4"/>
    <n v="0.6"/>
    <n v="1508700"/>
    <n v="1508700"/>
    <m/>
    <m/>
    <n v="1926000"/>
    <m/>
    <n v="0.3"/>
    <x v="23"/>
    <n v="963000"/>
    <n v="0.3"/>
    <x v="16"/>
    <n v="963000"/>
  </r>
  <r>
    <n v="17"/>
    <x v="17"/>
    <x v="29"/>
    <x v="4"/>
    <m/>
    <m/>
    <x v="16"/>
    <x v="16"/>
    <x v="16"/>
    <x v="3"/>
    <x v="1"/>
    <x v="8"/>
    <s v="L6XHBR1C1L0000443"/>
    <s v="Orange"/>
    <s v="300CC"/>
    <n v="1"/>
    <n v="3290000"/>
    <n v="0.01"/>
    <m/>
    <n v="0.1"/>
    <m/>
    <n v="0.4"/>
    <n v="0.6"/>
    <n v="1546300"/>
    <n v="1546300"/>
    <m/>
    <m/>
    <n v="1974000"/>
    <m/>
    <n v="0.3"/>
    <x v="24"/>
    <n v="987000"/>
    <n v="0.3"/>
    <x v="17"/>
    <n v="987000"/>
  </r>
  <r>
    <n v="18"/>
    <x v="18"/>
    <x v="30"/>
    <x v="16"/>
    <m/>
    <m/>
    <x v="17"/>
    <x v="17"/>
    <x v="17"/>
    <x v="4"/>
    <x v="1"/>
    <x v="11"/>
    <m/>
    <s v="Orange"/>
    <s v="175CC"/>
    <n v="1"/>
    <n v="2480000"/>
    <n v="0.01"/>
    <m/>
    <n v="0.1"/>
    <m/>
    <n v="0.4"/>
    <n v="0.6"/>
    <n v="1165600"/>
    <n v="1165600"/>
    <m/>
    <m/>
    <n v="1488000"/>
    <m/>
    <n v="0.3"/>
    <x v="25"/>
    <n v="744000"/>
    <n v="0.3"/>
    <x v="18"/>
    <n v="744000"/>
  </r>
  <r>
    <n v="19"/>
    <x v="19"/>
    <x v="31"/>
    <x v="2"/>
    <m/>
    <m/>
    <x v="18"/>
    <x v="18"/>
    <x v="18"/>
    <x v="5"/>
    <x v="1"/>
    <x v="12"/>
    <m/>
    <s v="Orange"/>
    <s v="150CC"/>
    <n v="1"/>
    <n v="2290000"/>
    <n v="0.01"/>
    <m/>
    <n v="0.1"/>
    <m/>
    <n v="0.4"/>
    <n v="0.6"/>
    <n v="1076300"/>
    <n v="1076300"/>
    <m/>
    <m/>
    <n v="1374000"/>
    <m/>
    <n v="0.3"/>
    <x v="26"/>
    <n v="687000"/>
    <n v="0.3"/>
    <x v="19"/>
    <n v="687000"/>
  </r>
  <r>
    <n v="20"/>
    <x v="20"/>
    <x v="32"/>
    <x v="17"/>
    <m/>
    <m/>
    <x v="19"/>
    <x v="19"/>
    <x v="19"/>
    <x v="6"/>
    <x v="1"/>
    <x v="13"/>
    <m/>
    <s v="Orange"/>
    <s v="250CC"/>
    <n v="1"/>
    <n v="3210000"/>
    <n v="0.01"/>
    <m/>
    <n v="0.1"/>
    <m/>
    <n v="0.4"/>
    <n v="0.6"/>
    <n v="1508700"/>
    <n v="1508700"/>
    <m/>
    <m/>
    <n v="1926000"/>
    <m/>
    <n v="0.3"/>
    <x v="27"/>
    <n v="963000"/>
    <n v="0.3"/>
    <x v="20"/>
    <n v="963000"/>
  </r>
  <r>
    <n v="21"/>
    <x v="21"/>
    <x v="33"/>
    <x v="16"/>
    <m/>
    <m/>
    <x v="20"/>
    <x v="20"/>
    <x v="20"/>
    <x v="7"/>
    <x v="1"/>
    <x v="14"/>
    <m/>
    <m/>
    <s v="175CC"/>
    <n v="1"/>
    <n v="2480000"/>
    <n v="0.01"/>
    <m/>
    <n v="0.1"/>
    <m/>
    <n v="0.4"/>
    <n v="0.6"/>
    <n v="1165600"/>
    <n v="1165600"/>
    <m/>
    <m/>
    <n v="1488000"/>
    <m/>
    <n v="0.3"/>
    <x v="28"/>
    <n v="744000"/>
    <n v="0.3"/>
    <x v="21"/>
    <n v="744000"/>
  </r>
  <r>
    <n v="22"/>
    <x v="22"/>
    <x v="34"/>
    <x v="18"/>
    <m/>
    <m/>
    <x v="21"/>
    <x v="21"/>
    <x v="21"/>
    <x v="8"/>
    <x v="1"/>
    <x v="15"/>
    <m/>
    <s v="Orange"/>
    <s v="300CC"/>
    <n v="1"/>
    <n v="3290000"/>
    <n v="0.01"/>
    <m/>
    <n v="0.1"/>
    <m/>
    <n v="0.4"/>
    <n v="0.6"/>
    <n v="1546300"/>
    <n v="1546300"/>
    <m/>
    <m/>
    <n v="1974000"/>
    <m/>
    <n v="0.3"/>
    <x v="29"/>
    <n v="987000"/>
    <n v="0.3"/>
    <x v="22"/>
    <n v="987000"/>
  </r>
  <r>
    <n v="23"/>
    <x v="23"/>
    <x v="35"/>
    <x v="4"/>
    <m/>
    <m/>
    <x v="22"/>
    <x v="22"/>
    <x v="22"/>
    <x v="9"/>
    <x v="1"/>
    <x v="16"/>
    <m/>
    <s v="Orange"/>
    <s v="300CC"/>
    <n v="1"/>
    <e v="#REF!"/>
    <n v="0.01"/>
    <m/>
    <n v="0.1"/>
    <m/>
    <n v="0.4"/>
    <n v="0.6"/>
    <s v="-"/>
    <s v="-"/>
    <m/>
    <m/>
    <s v="-"/>
    <m/>
    <n v="0.3"/>
    <x v="30"/>
    <s v="-"/>
    <n v="0.3"/>
    <x v="23"/>
    <s v="-"/>
  </r>
  <r>
    <n v="24"/>
    <x v="24"/>
    <x v="36"/>
    <x v="11"/>
    <m/>
    <m/>
    <x v="23"/>
    <x v="23"/>
    <x v="23"/>
    <x v="10"/>
    <x v="1"/>
    <x v="17"/>
    <m/>
    <s v="Orange"/>
    <s v="175CC"/>
    <n v="1"/>
    <n v="2405600"/>
    <n v="0.01"/>
    <m/>
    <n v="0.1"/>
    <m/>
    <n v="0.4"/>
    <n v="0.6"/>
    <n v="1130632"/>
    <n v="1130632"/>
    <m/>
    <m/>
    <n v="1443360"/>
    <m/>
    <n v="0.3"/>
    <x v="31"/>
    <n v="721680"/>
    <n v="0.3"/>
    <x v="24"/>
    <n v="721680"/>
  </r>
  <r>
    <n v="25"/>
    <x v="24"/>
    <x v="37"/>
    <x v="19"/>
    <m/>
    <m/>
    <x v="24"/>
    <x v="24"/>
    <x v="24"/>
    <x v="11"/>
    <x v="1"/>
    <x v="18"/>
    <m/>
    <s v="Orange"/>
    <s v="300CC"/>
    <n v="1"/>
    <n v="3191300"/>
    <n v="0.01"/>
    <m/>
    <n v="0.1"/>
    <m/>
    <n v="0.4"/>
    <n v="0.6"/>
    <n v="1499911"/>
    <n v="1499911"/>
    <m/>
    <m/>
    <n v="1914780"/>
    <m/>
    <n v="0.3"/>
    <x v="31"/>
    <n v="957390"/>
    <n v="0.3"/>
    <x v="24"/>
    <n v="957390"/>
  </r>
  <r>
    <n v="26"/>
    <x v="25"/>
    <x v="38"/>
    <x v="20"/>
    <m/>
    <m/>
    <x v="25"/>
    <x v="25"/>
    <x v="25"/>
    <x v="12"/>
    <x v="1"/>
    <x v="19"/>
    <m/>
    <s v="Orange"/>
    <s v="300CC"/>
    <n v="1"/>
    <n v="3191300"/>
    <n v="0.01"/>
    <m/>
    <n v="0.1"/>
    <m/>
    <n v="0.4"/>
    <n v="0.6"/>
    <n v="1499911"/>
    <n v="1499911"/>
    <m/>
    <m/>
    <n v="1914780"/>
    <m/>
    <n v="0.3"/>
    <x v="32"/>
    <n v="957390"/>
    <n v="0.3"/>
    <x v="25"/>
    <n v="957390"/>
  </r>
  <r>
    <n v="27"/>
    <x v="26"/>
    <x v="39"/>
    <x v="21"/>
    <m/>
    <m/>
    <x v="26"/>
    <x v="26"/>
    <x v="26"/>
    <x v="13"/>
    <x v="1"/>
    <x v="20"/>
    <m/>
    <s v="Orange"/>
    <s v="175CC"/>
    <n v="1"/>
    <n v="2405600"/>
    <n v="0.01"/>
    <m/>
    <n v="0.1"/>
    <m/>
    <n v="0.4"/>
    <n v="0.6"/>
    <n v="1130632"/>
    <n v="1130632"/>
    <m/>
    <m/>
    <n v="1443360"/>
    <m/>
    <n v="0.3"/>
    <x v="33"/>
    <n v="721680"/>
    <n v="0.3"/>
    <x v="26"/>
    <n v="721680"/>
  </r>
  <r>
    <n v="28"/>
    <x v="26"/>
    <x v="40"/>
    <x v="22"/>
    <m/>
    <m/>
    <x v="27"/>
    <x v="27"/>
    <x v="27"/>
    <x v="14"/>
    <x v="1"/>
    <x v="21"/>
    <m/>
    <s v="Orange"/>
    <s v="300CC"/>
    <n v="1"/>
    <n v="3191300"/>
    <n v="0.01"/>
    <m/>
    <n v="0.1"/>
    <m/>
    <n v="0.4"/>
    <n v="0.6"/>
    <n v="1499911"/>
    <n v="1499911"/>
    <n v="0"/>
    <m/>
    <n v="1914780"/>
    <m/>
    <n v="0.3"/>
    <x v="33"/>
    <n v="957390"/>
    <n v="0.3"/>
    <x v="26"/>
    <n v="957390"/>
  </r>
  <r>
    <n v="29"/>
    <x v="27"/>
    <x v="41"/>
    <x v="4"/>
    <m/>
    <m/>
    <x v="28"/>
    <x v="28"/>
    <x v="28"/>
    <x v="0"/>
    <x v="1"/>
    <x v="22"/>
    <m/>
    <s v="Orange"/>
    <s v="150CC"/>
    <n v="1"/>
    <n v="2232750"/>
    <n v="0.01"/>
    <m/>
    <n v="0.1"/>
    <m/>
    <n v="0.4"/>
    <n v="0.6"/>
    <n v="1049392.5"/>
    <n v="1049392.5"/>
    <m/>
    <m/>
    <n v="1339650"/>
    <m/>
    <n v="0.3"/>
    <x v="34"/>
    <n v="669825"/>
    <n v="0.3"/>
    <x v="27"/>
    <n v="669825"/>
  </r>
  <r>
    <n v="30"/>
    <x v="28"/>
    <x v="42"/>
    <x v="23"/>
    <m/>
    <m/>
    <x v="29"/>
    <x v="29"/>
    <x v="29"/>
    <x v="15"/>
    <x v="1"/>
    <x v="23"/>
    <m/>
    <s v="Orange"/>
    <s v="300CC"/>
    <n v="1"/>
    <n v="3191300"/>
    <n v="0.01"/>
    <m/>
    <n v="0.1"/>
    <m/>
    <n v="0.4"/>
    <n v="0.6"/>
    <n v="1499911"/>
    <n v="1499911"/>
    <m/>
    <m/>
    <n v="1914780"/>
    <m/>
    <n v="0.3"/>
    <x v="35"/>
    <n v="957390"/>
    <n v="0.3"/>
    <x v="28"/>
    <n v="957390"/>
  </r>
  <r>
    <n v="31"/>
    <x v="28"/>
    <x v="43"/>
    <x v="24"/>
    <m/>
    <m/>
    <x v="30"/>
    <x v="30"/>
    <x v="30"/>
    <x v="0"/>
    <x v="1"/>
    <x v="24"/>
    <m/>
    <s v="Orange"/>
    <s v="150CC"/>
    <n v="1"/>
    <n v="2232750"/>
    <n v="0.01"/>
    <m/>
    <n v="0.1"/>
    <m/>
    <n v="0.4"/>
    <n v="0.6"/>
    <n v="1049392.5"/>
    <n v="1049392.5"/>
    <m/>
    <m/>
    <n v="1339650"/>
    <m/>
    <n v="0.3"/>
    <x v="35"/>
    <n v="669825"/>
    <n v="0.3"/>
    <x v="28"/>
    <n v="669825"/>
  </r>
  <r>
    <n v="32"/>
    <x v="29"/>
    <x v="44"/>
    <x v="20"/>
    <m/>
    <m/>
    <x v="31"/>
    <x v="31"/>
    <x v="31"/>
    <x v="16"/>
    <x v="1"/>
    <x v="25"/>
    <m/>
    <s v="Orange"/>
    <s v="300CC"/>
    <n v="1"/>
    <n v="3191300"/>
    <n v="0.01"/>
    <m/>
    <n v="0.1"/>
    <m/>
    <n v="0.4"/>
    <n v="0.6"/>
    <n v="1499911"/>
    <n v="1499911"/>
    <m/>
    <m/>
    <n v="1914780"/>
    <m/>
    <n v="0.3"/>
    <x v="36"/>
    <n v="957390"/>
    <n v="0.3"/>
    <x v="29"/>
    <n v="957390"/>
  </r>
  <r>
    <n v="33"/>
    <x v="30"/>
    <x v="45"/>
    <x v="25"/>
    <m/>
    <m/>
    <x v="32"/>
    <x v="32"/>
    <x v="32"/>
    <x v="0"/>
    <x v="1"/>
    <x v="26"/>
    <m/>
    <s v="Orange"/>
    <s v="300CC"/>
    <n v="1"/>
    <n v="3191300"/>
    <n v="0.01"/>
    <m/>
    <n v="0.1"/>
    <m/>
    <n v="0.4"/>
    <n v="0.6"/>
    <n v="1499911"/>
    <n v="1499911"/>
    <m/>
    <m/>
    <n v="1914780"/>
    <m/>
    <n v="0.3"/>
    <x v="37"/>
    <n v="957390"/>
    <n v="0.3"/>
    <x v="30"/>
    <n v="957390"/>
  </r>
  <r>
    <n v="34"/>
    <x v="31"/>
    <x v="46"/>
    <x v="26"/>
    <m/>
    <m/>
    <x v="33"/>
    <x v="33"/>
    <x v="33"/>
    <x v="0"/>
    <x v="1"/>
    <x v="27"/>
    <m/>
    <s v="Orange"/>
    <s v="300CC"/>
    <n v="1"/>
    <n v="3191300"/>
    <n v="0.01"/>
    <m/>
    <n v="0.1"/>
    <m/>
    <n v="0.4"/>
    <n v="0.6"/>
    <n v="1499911"/>
    <n v="1499911"/>
    <m/>
    <m/>
    <n v="1914780"/>
    <m/>
    <n v="0.3"/>
    <x v="38"/>
    <n v="957390"/>
    <n v="0.3"/>
    <x v="31"/>
    <n v="957390"/>
  </r>
  <r>
    <n v="35"/>
    <x v="31"/>
    <x v="47"/>
    <x v="27"/>
    <s v="၁၂/ကမန(နိုင္)၁၀၂၀၅၈"/>
    <m/>
    <x v="34"/>
    <x v="34"/>
    <x v="34"/>
    <x v="17"/>
    <x v="1"/>
    <x v="28"/>
    <m/>
    <s v="Red"/>
    <s v="150CC"/>
    <n v="1"/>
    <n v="2232750"/>
    <n v="0.01"/>
    <m/>
    <n v="0.1"/>
    <m/>
    <n v="0.4"/>
    <n v="0.6"/>
    <n v="1049392.5"/>
    <n v="1049392.5"/>
    <m/>
    <m/>
    <n v="1339650"/>
    <m/>
    <n v="0.3"/>
    <x v="38"/>
    <n v="669825"/>
    <n v="0.3"/>
    <x v="31"/>
    <n v="669825"/>
  </r>
  <r>
    <n v="36"/>
    <x v="32"/>
    <x v="48"/>
    <x v="28"/>
    <s v="၁၂/ကခက(နိုင္)၀၈၃၀၅၂"/>
    <m/>
    <x v="35"/>
    <x v="35"/>
    <x v="35"/>
    <x v="18"/>
    <x v="1"/>
    <x v="29"/>
    <m/>
    <s v="Orange"/>
    <s v="300CC"/>
    <n v="1"/>
    <n v="3191300"/>
    <n v="0.01"/>
    <m/>
    <n v="0.1"/>
    <m/>
    <n v="0.4"/>
    <n v="0.6"/>
    <n v="1499911"/>
    <n v="1499911"/>
    <m/>
    <m/>
    <n v="1914780"/>
    <m/>
    <n v="0.3"/>
    <x v="39"/>
    <n v="957390"/>
    <n v="0.3"/>
    <x v="32"/>
    <n v="957390"/>
  </r>
  <r>
    <n v="37"/>
    <x v="33"/>
    <x v="49"/>
    <x v="29"/>
    <s v="၁၂/ကမန(နိုင္)၀၉၂၉၈၀"/>
    <m/>
    <x v="36"/>
    <x v="36"/>
    <x v="36"/>
    <x v="19"/>
    <x v="1"/>
    <x v="30"/>
    <m/>
    <s v="Orange"/>
    <s v="300CC"/>
    <n v="1"/>
    <n v="3191300"/>
    <n v="0.01"/>
    <m/>
    <n v="0.1"/>
    <m/>
    <n v="0.4"/>
    <n v="0.6"/>
    <n v="1499911"/>
    <n v="1499911"/>
    <m/>
    <m/>
    <n v="1914780"/>
    <m/>
    <n v="0.3"/>
    <x v="40"/>
    <n v="957390"/>
    <n v="0.3"/>
    <x v="33"/>
    <n v="957390"/>
  </r>
  <r>
    <n v="38"/>
    <x v="34"/>
    <x v="50"/>
    <x v="30"/>
    <s v="၁၂/ကခက(နိုင္)၁၀၁၅၇၀"/>
    <m/>
    <x v="37"/>
    <x v="37"/>
    <x v="12"/>
    <x v="20"/>
    <x v="1"/>
    <x v="31"/>
    <m/>
    <s v="Orange"/>
    <s v="300CC"/>
    <n v="1"/>
    <n v="3191300"/>
    <n v="0.01"/>
    <m/>
    <n v="0.1"/>
    <m/>
    <n v="0.4"/>
    <n v="0.6"/>
    <n v="1499911"/>
    <n v="1499911"/>
    <m/>
    <m/>
    <n v="1914780"/>
    <m/>
    <n v="0.3"/>
    <x v="41"/>
    <n v="957390"/>
    <n v="0.3"/>
    <x v="34"/>
    <n v="957390"/>
  </r>
  <r>
    <n v="40"/>
    <x v="35"/>
    <x v="51"/>
    <x v="31"/>
    <s v="၁၂/ကမန(နိုင္)၀၇၅၁၄၂"/>
    <s v="4.5.1341"/>
    <x v="38"/>
    <x v="38"/>
    <x v="37"/>
    <x v="21"/>
    <x v="1"/>
    <x v="32"/>
    <m/>
    <s v="Orange"/>
    <s v="300CC"/>
    <n v="1"/>
    <n v="3191300"/>
    <n v="0.01"/>
    <m/>
    <n v="0.1"/>
    <m/>
    <n v="0.4"/>
    <n v="0.6"/>
    <n v="1499911"/>
    <n v="1499911"/>
    <m/>
    <m/>
    <n v="1914780"/>
    <m/>
    <n v="0.3"/>
    <x v="42"/>
    <n v="957390"/>
    <n v="0.3"/>
    <x v="35"/>
    <n v="957390"/>
  </r>
  <r>
    <n v="41"/>
    <x v="36"/>
    <x v="52"/>
    <x v="32"/>
    <s v="၁၂/ကမန(နိုင္)၀၈၉၀၆၇"/>
    <s v="15.9.1991"/>
    <x v="39"/>
    <x v="39"/>
    <x v="37"/>
    <x v="21"/>
    <x v="1"/>
    <x v="33"/>
    <m/>
    <s v="Orange"/>
    <s v="300CC"/>
    <n v="1"/>
    <n v="3191300"/>
    <n v="0.01"/>
    <m/>
    <n v="0.1"/>
    <m/>
    <n v="0.4"/>
    <n v="0.6"/>
    <n v="1499911"/>
    <n v="1499911"/>
    <m/>
    <m/>
    <n v="1914780"/>
    <m/>
    <n v="0.3"/>
    <x v="43"/>
    <n v="957390"/>
    <n v="0.3"/>
    <x v="36"/>
    <n v="957390"/>
  </r>
  <r>
    <n v="43"/>
    <x v="37"/>
    <x v="53"/>
    <x v="33"/>
    <s v="၁၂/ကမန(နိုင္)၁၀၃၀၈၁"/>
    <s v="10.9.1345"/>
    <x v="40"/>
    <x v="40"/>
    <x v="38"/>
    <x v="22"/>
    <x v="1"/>
    <x v="34"/>
    <m/>
    <s v="Orange"/>
    <s v="300CC"/>
    <n v="1"/>
    <n v="3191300"/>
    <n v="0.01"/>
    <m/>
    <n v="0.1"/>
    <m/>
    <n v="0.4"/>
    <n v="0.6"/>
    <n v="1499911"/>
    <n v="1499911"/>
    <m/>
    <m/>
    <n v="1914780"/>
    <m/>
    <n v="0.3"/>
    <x v="44"/>
    <n v="957390"/>
    <n v="0.3"/>
    <x v="37"/>
    <n v="957390"/>
  </r>
  <r>
    <n v="45"/>
    <x v="38"/>
    <x v="54"/>
    <x v="34"/>
    <s v="၁၂/ကမန(နိုင္)၁ဝ၀၂၄၃"/>
    <s v="8.4.1353"/>
    <x v="41"/>
    <x v="41"/>
    <x v="39"/>
    <x v="23"/>
    <x v="1"/>
    <x v="35"/>
    <m/>
    <s v="Orange"/>
    <s v="300CC"/>
    <n v="1"/>
    <n v="3191300"/>
    <n v="0.01"/>
    <m/>
    <n v="0.1"/>
    <m/>
    <n v="0.4"/>
    <n v="0.6"/>
    <n v="1499911"/>
    <n v="1499911"/>
    <m/>
    <m/>
    <n v="1914780"/>
    <m/>
    <n v="0.3"/>
    <x v="45"/>
    <n v="957390"/>
    <n v="0.3"/>
    <x v="38"/>
    <n v="957390"/>
  </r>
  <r>
    <n v="47"/>
    <x v="38"/>
    <x v="55"/>
    <x v="35"/>
    <s v="၁၂/ကမန(နိုင္)၀၇၀၂၄၄"/>
    <s v="7.12.1344"/>
    <x v="42"/>
    <x v="42"/>
    <x v="37"/>
    <x v="21"/>
    <x v="1"/>
    <x v="36"/>
    <m/>
    <s v="Orange"/>
    <s v="300CC"/>
    <n v="1"/>
    <n v="3191300"/>
    <n v="0.01"/>
    <m/>
    <n v="0.1"/>
    <m/>
    <n v="0.4"/>
    <n v="0.6"/>
    <n v="1499911"/>
    <n v="1499911"/>
    <m/>
    <m/>
    <n v="1914780"/>
    <m/>
    <n v="0.3"/>
    <x v="45"/>
    <n v="957390"/>
    <n v="0.3"/>
    <x v="38"/>
    <n v="957390"/>
  </r>
  <r>
    <n v="49"/>
    <x v="39"/>
    <x v="56"/>
    <x v="36"/>
    <s v="၁၂/ကမန(နိုင္)၁၀၄၄၀၉"/>
    <s v="10.11.1354"/>
    <x v="43"/>
    <x v="43"/>
    <x v="40"/>
    <x v="24"/>
    <x v="1"/>
    <x v="37"/>
    <m/>
    <s v="Orange"/>
    <s v="300CC"/>
    <n v="1"/>
    <n v="3191300"/>
    <n v="0.01"/>
    <m/>
    <n v="0.1"/>
    <m/>
    <n v="0.4"/>
    <n v="0.6"/>
    <n v="1499911"/>
    <n v="1499911"/>
    <m/>
    <m/>
    <n v="1914780"/>
    <m/>
    <n v="0.3"/>
    <x v="46"/>
    <n v="957390"/>
    <n v="0.3"/>
    <x v="39"/>
    <n v="957390"/>
  </r>
  <r>
    <n v="51"/>
    <x v="40"/>
    <x v="57"/>
    <x v="37"/>
    <s v="၁၂/ကမန(နိုင္)၀၉၃၅၇၉"/>
    <s v="4.7.1985"/>
    <x v="44"/>
    <x v="44"/>
    <x v="41"/>
    <x v="25"/>
    <x v="1"/>
    <x v="38"/>
    <m/>
    <s v="Orange"/>
    <s v="300CC"/>
    <n v="1"/>
    <n v="3191300"/>
    <n v="0.01"/>
    <m/>
    <n v="0.1"/>
    <m/>
    <n v="0.4"/>
    <n v="0.6"/>
    <n v="1499911"/>
    <n v="1499911"/>
    <m/>
    <m/>
    <n v="1914780"/>
    <m/>
    <n v="0.3"/>
    <x v="47"/>
    <n v="957390"/>
    <n v="0.3"/>
    <x v="40"/>
    <n v="957390"/>
  </r>
</pivotCacheRecords>
</file>

<file path=xl/pivotCache/pivotCacheRecords2.xml><?xml version="1.0" encoding="utf-8"?>
<pivotCacheRecords xmlns="http://schemas.openxmlformats.org/spreadsheetml/2006/main" xmlns:r="http://schemas.openxmlformats.org/officeDocument/2006/relationships" count="58">
  <r>
    <n v="1"/>
    <x v="0"/>
    <x v="0"/>
    <x v="0"/>
    <m/>
    <m/>
    <x v="0"/>
    <s v="ဦးဝင္းလိႈင္"/>
    <s v="ဦးဝႀကီး"/>
    <m/>
    <x v="0"/>
    <x v="0"/>
    <s v="L6HBN1COL0000054"/>
    <s v="Orange"/>
    <m/>
    <n v="1"/>
    <n v="3290000"/>
    <n v="3110000"/>
    <n v="180000"/>
    <n v="0.01"/>
    <n v="0.11"/>
    <n v="0.1"/>
    <m/>
    <n v="0.4"/>
    <n v="0.6"/>
    <n v="1566040"/>
    <n v="1566040"/>
    <m/>
    <m/>
    <n v="1974000"/>
    <m/>
    <n v="0.3"/>
    <x v="0"/>
    <n v="987000"/>
    <n v="0.3"/>
    <x v="0"/>
    <n v="987000"/>
  </r>
  <r>
    <n v="2"/>
    <x v="1"/>
    <x v="1"/>
    <x v="1"/>
    <m/>
    <m/>
    <x v="1"/>
    <s v="ဦးေသာင္းစိန္"/>
    <s v="ဦးသိန္းစိုး"/>
    <m/>
    <x v="0"/>
    <x v="0"/>
    <s v="L6HBN1COL0000061"/>
    <s v="Orange"/>
    <m/>
    <n v="1"/>
    <n v="3290000"/>
    <n v="3110000"/>
    <n v="180000"/>
    <n v="0.01"/>
    <n v="0.11"/>
    <n v="0.1"/>
    <m/>
    <n v="0.4"/>
    <n v="0.6"/>
    <n v="1566040"/>
    <n v="1566040"/>
    <m/>
    <m/>
    <n v="1974000"/>
    <m/>
    <n v="0.3"/>
    <x v="1"/>
    <n v="987000"/>
    <n v="0.3"/>
    <x v="1"/>
    <n v="987000"/>
  </r>
  <r>
    <n v="3"/>
    <x v="2"/>
    <x v="2"/>
    <x v="2"/>
    <s v="၁၄/ဘကလ(နိုင္)၂၆၈၉၉၃"/>
    <m/>
    <x v="2"/>
    <s v="ဦးသိန္း"/>
    <s v="ဦးစိုးမိုးေထြး"/>
    <m/>
    <x v="0"/>
    <x v="0"/>
    <s v="L6HBN1COL0000141"/>
    <s v="Orange"/>
    <m/>
    <n v="1"/>
    <n v="3210000"/>
    <n v="3030000"/>
    <n v="180000"/>
    <n v="0.01"/>
    <n v="0.11"/>
    <n v="0.1"/>
    <m/>
    <n v="0.4"/>
    <n v="0.6"/>
    <n v="1527960"/>
    <n v="1527960"/>
    <m/>
    <m/>
    <n v="1926000"/>
    <m/>
    <n v="0.3"/>
    <x v="2"/>
    <n v="963000"/>
    <n v="0.3"/>
    <x v="2"/>
    <n v="963000"/>
  </r>
  <r>
    <n v="4"/>
    <x v="3"/>
    <x v="3"/>
    <x v="0"/>
    <m/>
    <m/>
    <x v="3"/>
    <s v="ဦးေဌး"/>
    <m/>
    <m/>
    <x v="0"/>
    <x v="0"/>
    <s v="L6HBN1COL0000053"/>
    <s v="Orange"/>
    <m/>
    <n v="1"/>
    <n v="3210000"/>
    <n v="3030000"/>
    <n v="180000"/>
    <n v="0.01"/>
    <n v="0.11"/>
    <n v="0.1"/>
    <m/>
    <n v="0.4"/>
    <n v="0.6"/>
    <n v="1527960"/>
    <n v="1527960"/>
    <m/>
    <m/>
    <n v="1926000"/>
    <m/>
    <n v="0.3"/>
    <x v="3"/>
    <n v="963000"/>
    <n v="0.3"/>
    <x v="3"/>
    <n v="963000"/>
  </r>
  <r>
    <n v="5"/>
    <x v="4"/>
    <x v="4"/>
    <x v="3"/>
    <s v="၈/အလန(နုိင္)၁၅၀၁၃"/>
    <m/>
    <x v="4"/>
    <s v="ဦးျမင့္ေသာင္း"/>
    <s v="ေဒၚတင္ႏြယ္ဦး"/>
    <m/>
    <x v="0"/>
    <x v="1"/>
    <s v="L6HBN1COL0000068"/>
    <s v="Orange"/>
    <m/>
    <n v="1"/>
    <n v="3210000"/>
    <n v="3030000"/>
    <n v="180000"/>
    <n v="0.01"/>
    <n v="0.11"/>
    <n v="0.1"/>
    <m/>
    <n v="0.4"/>
    <n v="0.6"/>
    <n v="1508700"/>
    <n v="1508700"/>
    <m/>
    <m/>
    <n v="1926000"/>
    <m/>
    <n v="0.3"/>
    <x v="4"/>
    <n v="963000"/>
    <n v="0.3"/>
    <x v="4"/>
    <n v="963000"/>
  </r>
  <r>
    <n v="6"/>
    <x v="5"/>
    <x v="5"/>
    <x v="4"/>
    <m/>
    <m/>
    <x v="5"/>
    <s v="ဦးအံ့ၾသ"/>
    <s v="ဦးခင္ေမာင္"/>
    <m/>
    <x v="0"/>
    <x v="2"/>
    <s v="L6XHHBLICK0000104"/>
    <s v="Orange"/>
    <m/>
    <n v="1"/>
    <n v="2480000"/>
    <n v="2380000"/>
    <n v="100000"/>
    <n v="0.01"/>
    <n v="0.11"/>
    <n v="0.1"/>
    <m/>
    <n v="0.4"/>
    <n v="0.6"/>
    <n v="1165600"/>
    <n v="1165600"/>
    <m/>
    <m/>
    <n v="1488000"/>
    <m/>
    <n v="0.3"/>
    <x v="5"/>
    <n v="744000"/>
    <n v="0.3"/>
    <x v="5"/>
    <n v="744000"/>
  </r>
  <r>
    <n v="7"/>
    <x v="6"/>
    <x v="6"/>
    <x v="5"/>
    <s v="၁၂/ဒလန(နိုင္)၀၅၆၈၆၉"/>
    <m/>
    <x v="6"/>
    <s v="ဦးသိန္းေအာင္"/>
    <s v="ေဒၚလွလွဝင္း"/>
    <m/>
    <x v="0"/>
    <x v="1"/>
    <s v="L6HBN1COL0000068"/>
    <s v="Orange"/>
    <m/>
    <n v="1"/>
    <n v="3210000"/>
    <n v="3030000"/>
    <n v="180000"/>
    <n v="0.01"/>
    <n v="0.11"/>
    <n v="0.1"/>
    <m/>
    <n v="0.4"/>
    <n v="0.6"/>
    <n v="1508700"/>
    <n v="1508700"/>
    <m/>
    <m/>
    <n v="1926000"/>
    <m/>
    <n v="0.3"/>
    <x v="6"/>
    <n v="963000"/>
    <n v="0.3"/>
    <x v="6"/>
    <n v="963000"/>
  </r>
  <r>
    <n v="8"/>
    <x v="7"/>
    <x v="7"/>
    <x v="6"/>
    <s v="၁၂/ကခက(နိုင္)၀၇၆၅၉၁"/>
    <m/>
    <x v="7"/>
    <s v="ဦးေမာင္အိ"/>
    <s v="ဦးေဇာ္ဝင္းထြန္း"/>
    <m/>
    <x v="0"/>
    <x v="3"/>
    <s v="L6XHBR1C8L0000326"/>
    <s v="Orange"/>
    <m/>
    <n v="1"/>
    <n v="3290000"/>
    <n v="3110000"/>
    <n v="180000"/>
    <n v="0.01"/>
    <n v="0.11"/>
    <n v="0.1"/>
    <m/>
    <n v="0.4"/>
    <n v="0.6"/>
    <n v="1546300"/>
    <n v="1546300"/>
    <m/>
    <m/>
    <n v="1974000"/>
    <m/>
    <n v="0.3"/>
    <x v="7"/>
    <n v="987000"/>
    <n v="0.3"/>
    <x v="7"/>
    <n v="987000"/>
  </r>
  <r>
    <n v="9"/>
    <x v="8"/>
    <x v="8"/>
    <x v="7"/>
    <m/>
    <m/>
    <x v="8"/>
    <s v="ဦးဘဲလူး"/>
    <s v="ဦးေဇာ္နိုင္ဝင္း"/>
    <m/>
    <x v="0"/>
    <x v="3"/>
    <s v="L6XHBR1C7L0000348"/>
    <s v="Orange"/>
    <m/>
    <n v="1"/>
    <n v="3290000"/>
    <n v="3110000"/>
    <n v="180000"/>
    <n v="0.01"/>
    <n v="0.11"/>
    <n v="0.1"/>
    <m/>
    <n v="0.4"/>
    <n v="0.6"/>
    <n v="1546300"/>
    <n v="1546300"/>
    <m/>
    <m/>
    <n v="1974000"/>
    <m/>
    <n v="0.3"/>
    <x v="8"/>
    <n v="987000"/>
    <n v="0.3"/>
    <x v="8"/>
    <n v="987000"/>
  </r>
  <r>
    <n v="10"/>
    <x v="9"/>
    <x v="9"/>
    <x v="8"/>
    <m/>
    <m/>
    <x v="9"/>
    <s v="ဦးသန္းျမင့္"/>
    <s v="ဦးေက်ာ္ေက်ာ္ဦး"/>
    <m/>
    <x v="0"/>
    <x v="4"/>
    <s v="L6XHBK1CXK0000169"/>
    <s v="Green"/>
    <m/>
    <n v="1"/>
    <n v="2290000"/>
    <n v="2195000"/>
    <n v="95000"/>
    <n v="0.01"/>
    <n v="0.11"/>
    <n v="0.1"/>
    <m/>
    <n v="0.4"/>
    <n v="0.6"/>
    <n v="1076300"/>
    <n v="1076300"/>
    <m/>
    <m/>
    <n v="1374000"/>
    <m/>
    <n v="0.3"/>
    <x v="9"/>
    <n v="687000"/>
    <n v="0.3"/>
    <x v="9"/>
    <n v="687000"/>
  </r>
  <r>
    <n v="11"/>
    <x v="10"/>
    <x v="10"/>
    <x v="9"/>
    <m/>
    <m/>
    <x v="10"/>
    <s v="ဦးေဌးျမင့္"/>
    <s v="ဦးေက်ာ္နိုင္ဦး"/>
    <m/>
    <x v="0"/>
    <x v="2"/>
    <s v="L6XHHBLICK0000033"/>
    <s v="Orange"/>
    <s v="175CC"/>
    <n v="1"/>
    <n v="2480000"/>
    <n v="2380000"/>
    <n v="100000"/>
    <n v="0.01"/>
    <n v="0.11"/>
    <n v="0.1"/>
    <m/>
    <n v="0.4"/>
    <n v="0.6"/>
    <n v="1165600"/>
    <n v="1165600"/>
    <m/>
    <m/>
    <n v="1488000"/>
    <m/>
    <n v="0.3"/>
    <x v="10"/>
    <n v="744000"/>
    <n v="0.3"/>
    <x v="10"/>
    <n v="744000"/>
  </r>
  <r>
    <n v="12"/>
    <x v="10"/>
    <x v="11"/>
    <x v="10"/>
    <s v="၁၂/ကခက(နိုင္)၀၇၀၀၉၂"/>
    <m/>
    <x v="11"/>
    <s v="ဦးေအးေက်ာ္"/>
    <s v="ဦးမ်ိဳးဆက္နိုင္"/>
    <m/>
    <x v="0"/>
    <x v="3"/>
    <s v="L6XHBR1C6L0000499"/>
    <s v="Orange"/>
    <s v="300CC"/>
    <n v="1"/>
    <n v="3290000"/>
    <n v="3110000"/>
    <n v="180000"/>
    <n v="0.01"/>
    <n v="0.11"/>
    <n v="0.1"/>
    <m/>
    <n v="0.4"/>
    <n v="0.6"/>
    <n v="1546300"/>
    <n v="1546300"/>
    <m/>
    <m/>
    <n v="1974000"/>
    <m/>
    <n v="0.3"/>
    <x v="10"/>
    <n v="987000"/>
    <n v="0.3"/>
    <x v="10"/>
    <n v="987000"/>
  </r>
  <r>
    <n v="13"/>
    <x v="11"/>
    <x v="12"/>
    <x v="11"/>
    <s v="၁၂/ကမန(နိုင္)၁၀၈၃၇၀၅"/>
    <m/>
    <x v="12"/>
    <s v="ဦးျမင့္စိုး"/>
    <s v="ဦးေစာေအာင္"/>
    <m/>
    <x v="0"/>
    <x v="5"/>
    <s v="L6XHBK1C2L0000040"/>
    <s v="Orange"/>
    <s v="150CC"/>
    <n v="1"/>
    <n v="2290000"/>
    <n v="2195000"/>
    <n v="95000"/>
    <n v="0.01"/>
    <m/>
    <n v="0.1"/>
    <m/>
    <n v="0.4"/>
    <n v="0.6"/>
    <n v="1076300"/>
    <n v="1076300"/>
    <m/>
    <m/>
    <n v="1374000"/>
    <m/>
    <n v="0.3"/>
    <x v="11"/>
    <n v="687000"/>
    <n v="0.3"/>
    <x v="11"/>
    <n v="687000"/>
  </r>
  <r>
    <n v="14"/>
    <x v="12"/>
    <x v="13"/>
    <x v="12"/>
    <m/>
    <m/>
    <x v="13"/>
    <s v="ဦးေအာင္ေမာင္း"/>
    <s v="ဦးမိုးေအာင္"/>
    <n v="771253084"/>
    <x v="0"/>
    <x v="3"/>
    <s v="L6XHBR1C7L0000520"/>
    <s v="Orange"/>
    <s v="300CC"/>
    <n v="1"/>
    <n v="3290000"/>
    <n v="3110000"/>
    <n v="180000"/>
    <n v="0.01"/>
    <m/>
    <n v="0.1"/>
    <m/>
    <n v="0.4"/>
    <n v="0.6"/>
    <n v="1546300"/>
    <n v="1546300"/>
    <m/>
    <m/>
    <n v="1974000"/>
    <m/>
    <n v="0.3"/>
    <x v="12"/>
    <n v="987000"/>
    <n v="0.3"/>
    <x v="12"/>
    <n v="987000"/>
  </r>
  <r>
    <n v="15"/>
    <x v="13"/>
    <x v="14"/>
    <x v="0"/>
    <m/>
    <m/>
    <x v="14"/>
    <s v="ဦးသိန္းထြန္း"/>
    <s v="ကိုရန္ေအာင္"/>
    <n v="792245446"/>
    <x v="0"/>
    <x v="3"/>
    <s v="L6XHBR1C1L0000619"/>
    <s v="Orange"/>
    <s v="300CC"/>
    <n v="1"/>
    <n v="3290000"/>
    <n v="3110000"/>
    <n v="180000"/>
    <n v="0.01"/>
    <m/>
    <n v="0.1"/>
    <m/>
    <n v="0.4"/>
    <n v="0.6"/>
    <n v="1546300"/>
    <n v="1546300"/>
    <m/>
    <m/>
    <n v="1974000"/>
    <m/>
    <n v="0.3"/>
    <x v="13"/>
    <n v="987000"/>
    <n v="0.3"/>
    <x v="13"/>
    <n v="987000"/>
  </r>
  <r>
    <n v="16"/>
    <x v="14"/>
    <x v="15"/>
    <x v="13"/>
    <m/>
    <m/>
    <x v="15"/>
    <s v="ဦးသိန္း"/>
    <s v="ဦးျမင့္သိန္း"/>
    <n v="975558566"/>
    <x v="0"/>
    <x v="0"/>
    <s v="L6XHBN1C5L0000133"/>
    <s v="Orange"/>
    <s v="250CC"/>
    <n v="1"/>
    <n v="3210000"/>
    <n v="3030000"/>
    <n v="180000"/>
    <n v="0.01"/>
    <m/>
    <n v="0.1"/>
    <m/>
    <n v="0.4"/>
    <n v="0.6"/>
    <n v="1508700"/>
    <n v="1508700"/>
    <m/>
    <m/>
    <n v="1926000"/>
    <m/>
    <n v="0.3"/>
    <x v="14"/>
    <n v="963000"/>
    <n v="0.3"/>
    <x v="14"/>
    <n v="963000"/>
  </r>
  <r>
    <n v="17"/>
    <x v="15"/>
    <x v="16"/>
    <x v="0"/>
    <m/>
    <m/>
    <x v="16"/>
    <s v="ဦးစိန္ဝင္း"/>
    <s v="ကိုေက်ာ္စိုး"/>
    <n v="975558566"/>
    <x v="0"/>
    <x v="3"/>
    <s v="L6XHBR1C1L0000443"/>
    <s v="Orange"/>
    <s v="300CC"/>
    <n v="1"/>
    <n v="3290000"/>
    <n v="3110000"/>
    <n v="180000"/>
    <n v="0.01"/>
    <m/>
    <n v="0.1"/>
    <m/>
    <n v="0.4"/>
    <n v="0.6"/>
    <n v="1546300"/>
    <n v="1546300"/>
    <m/>
    <m/>
    <n v="1974000"/>
    <m/>
    <n v="0.3"/>
    <x v="15"/>
    <n v="987000"/>
    <n v="0.3"/>
    <x v="15"/>
    <n v="987000"/>
  </r>
  <r>
    <n v="18"/>
    <x v="16"/>
    <x v="17"/>
    <x v="14"/>
    <m/>
    <m/>
    <x v="17"/>
    <s v="ဦးျမသိန္း"/>
    <s v="ေအာင္ကိုသန္း"/>
    <n v="799409605"/>
    <x v="0"/>
    <x v="6"/>
    <m/>
    <s v="Orange"/>
    <s v="175CC"/>
    <n v="1"/>
    <n v="2480000"/>
    <n v="2380000"/>
    <n v="100000"/>
    <n v="0.01"/>
    <m/>
    <n v="0.1"/>
    <m/>
    <n v="0.4"/>
    <n v="0.6"/>
    <n v="1165600"/>
    <n v="1165600"/>
    <m/>
    <m/>
    <n v="1488000"/>
    <m/>
    <n v="0.3"/>
    <x v="16"/>
    <n v="744000"/>
    <n v="0.3"/>
    <x v="16"/>
    <n v="744000"/>
  </r>
  <r>
    <n v="19"/>
    <x v="17"/>
    <x v="18"/>
    <x v="1"/>
    <m/>
    <m/>
    <x v="18"/>
    <s v="ဦးထြန္းတင္"/>
    <s v="ဦးဝင္ေဇာ္ေဌး"/>
    <n v="451042452"/>
    <x v="0"/>
    <x v="7"/>
    <m/>
    <s v="Orange"/>
    <s v="150CC"/>
    <n v="1"/>
    <n v="2290000"/>
    <n v="2195000"/>
    <n v="95000"/>
    <n v="0.01"/>
    <m/>
    <n v="0.1"/>
    <m/>
    <n v="0.4"/>
    <n v="0.6"/>
    <n v="1076300"/>
    <n v="1076300"/>
    <m/>
    <m/>
    <n v="1374000"/>
    <m/>
    <n v="0.3"/>
    <x v="17"/>
    <n v="687000"/>
    <n v="0.3"/>
    <x v="17"/>
    <n v="687000"/>
  </r>
  <r>
    <n v="20"/>
    <x v="18"/>
    <x v="19"/>
    <x v="15"/>
    <m/>
    <m/>
    <x v="19"/>
    <s v="ဦးရွိန္"/>
    <s v="ဦးစိုးဝင္း"/>
    <n v="448005725"/>
    <x v="0"/>
    <x v="8"/>
    <m/>
    <s v="Orange"/>
    <s v="250CC"/>
    <n v="1"/>
    <n v="3210000"/>
    <n v="3030000"/>
    <n v="180000"/>
    <n v="0.01"/>
    <m/>
    <n v="0.1"/>
    <m/>
    <n v="0.4"/>
    <n v="0.6"/>
    <n v="1508700"/>
    <n v="1508700"/>
    <m/>
    <m/>
    <n v="1926000"/>
    <m/>
    <n v="0.3"/>
    <x v="18"/>
    <n v="963000"/>
    <n v="0.3"/>
    <x v="18"/>
    <n v="963000"/>
  </r>
  <r>
    <n v="21"/>
    <x v="19"/>
    <x v="20"/>
    <x v="14"/>
    <m/>
    <m/>
    <x v="20"/>
    <s v="ဦးဝင္းၿမိဳင္"/>
    <s v="ကိုသစ္လြင္"/>
    <n v="758527366"/>
    <x v="0"/>
    <x v="9"/>
    <m/>
    <m/>
    <s v="175CC"/>
    <n v="1"/>
    <n v="2480000"/>
    <n v="2380000"/>
    <n v="100000"/>
    <n v="0.01"/>
    <m/>
    <n v="0.1"/>
    <m/>
    <n v="0.4"/>
    <n v="0.6"/>
    <n v="1165600"/>
    <n v="1165600"/>
    <m/>
    <m/>
    <n v="1488000"/>
    <m/>
    <n v="0.3"/>
    <x v="19"/>
    <n v="744000"/>
    <n v="0.3"/>
    <x v="19"/>
    <n v="744000"/>
  </r>
  <r>
    <n v="22"/>
    <x v="20"/>
    <x v="21"/>
    <x v="16"/>
    <m/>
    <m/>
    <x v="21"/>
    <s v="ဦးလွဝင္း"/>
    <s v="ဦးဖုိးခၽြန္း"/>
    <n v="958842972"/>
    <x v="0"/>
    <x v="10"/>
    <m/>
    <s v="Orange"/>
    <s v="300CC"/>
    <n v="1"/>
    <n v="3290000"/>
    <n v="3100000"/>
    <n v="190000"/>
    <n v="0.01"/>
    <m/>
    <n v="0.1"/>
    <m/>
    <n v="0.4"/>
    <n v="0.6"/>
    <n v="1546300"/>
    <n v="1546300"/>
    <m/>
    <m/>
    <n v="1974000"/>
    <m/>
    <n v="0.3"/>
    <x v="20"/>
    <n v="987000"/>
    <n v="0.3"/>
    <x v="20"/>
    <n v="987000"/>
  </r>
  <r>
    <n v="23"/>
    <x v="21"/>
    <x v="22"/>
    <x v="0"/>
    <m/>
    <m/>
    <x v="22"/>
    <s v="ဦးေမာင္စံ"/>
    <s v="ဦးေက်ာ္ဇင္"/>
    <n v="799415864"/>
    <x v="0"/>
    <x v="11"/>
    <m/>
    <s v="Orange"/>
    <s v="300CC"/>
    <n v="1"/>
    <n v="3191300"/>
    <n v="2977670"/>
    <n v="213630"/>
    <n v="0.01"/>
    <m/>
    <n v="0.1"/>
    <m/>
    <n v="0.4"/>
    <n v="0.6"/>
    <n v="1499911"/>
    <n v="1499911"/>
    <m/>
    <m/>
    <n v="1914780"/>
    <m/>
    <n v="0.3"/>
    <x v="21"/>
    <n v="957390"/>
    <n v="0.3"/>
    <x v="21"/>
    <n v="957390"/>
  </r>
  <r>
    <n v="24"/>
    <x v="22"/>
    <x v="23"/>
    <x v="9"/>
    <m/>
    <m/>
    <x v="23"/>
    <s v="ဦးေက်ာ္ျမင့္"/>
    <s v="ဦးသန္းေထြး"/>
    <n v="778927454"/>
    <x v="0"/>
    <x v="12"/>
    <m/>
    <s v="Orange"/>
    <s v="175CC"/>
    <n v="1"/>
    <n v="2405600"/>
    <n v="2262488"/>
    <n v="143112"/>
    <n v="0.01"/>
    <m/>
    <n v="0.1"/>
    <m/>
    <n v="0.4"/>
    <n v="0.6"/>
    <n v="1130632"/>
    <n v="1130632"/>
    <m/>
    <m/>
    <n v="1443360"/>
    <m/>
    <n v="0.3"/>
    <x v="22"/>
    <n v="721680"/>
    <n v="0.3"/>
    <x v="22"/>
    <n v="721680"/>
  </r>
  <r>
    <n v="25"/>
    <x v="22"/>
    <x v="24"/>
    <x v="17"/>
    <m/>
    <m/>
    <x v="24"/>
    <s v="ဦးလွသိန္း"/>
    <s v="ဦးေအာင္ၿဖိဳးလိႈင္"/>
    <n v="775119243"/>
    <x v="0"/>
    <x v="13"/>
    <m/>
    <s v="Orange"/>
    <s v="300CC"/>
    <n v="1"/>
    <n v="3191300"/>
    <n v="2977670"/>
    <n v="213630"/>
    <n v="0.01"/>
    <m/>
    <n v="0.1"/>
    <m/>
    <n v="0.4"/>
    <n v="0.6"/>
    <n v="1499911"/>
    <n v="1499911"/>
    <m/>
    <m/>
    <n v="1914780"/>
    <m/>
    <n v="0.3"/>
    <x v="22"/>
    <n v="957390"/>
    <n v="0.3"/>
    <x v="22"/>
    <n v="957390"/>
  </r>
  <r>
    <n v="26"/>
    <x v="23"/>
    <x v="25"/>
    <x v="18"/>
    <m/>
    <m/>
    <x v="25"/>
    <s v="ဦးစိုးေအာင္"/>
    <s v="ကိုမင္းၾကဴ"/>
    <n v="420270964"/>
    <x v="0"/>
    <x v="14"/>
    <m/>
    <s v="Orange"/>
    <s v="300CC"/>
    <n v="1"/>
    <n v="3191300"/>
    <n v="2977670"/>
    <n v="213630"/>
    <n v="0.01"/>
    <m/>
    <n v="0.1"/>
    <m/>
    <n v="0.4"/>
    <n v="0.6"/>
    <n v="1499911"/>
    <n v="1499911"/>
    <m/>
    <m/>
    <n v="1914780"/>
    <m/>
    <n v="0.3"/>
    <x v="23"/>
    <n v="957390"/>
    <n v="0.3"/>
    <x v="23"/>
    <n v="957390"/>
  </r>
  <r>
    <n v="27"/>
    <x v="24"/>
    <x v="26"/>
    <x v="19"/>
    <m/>
    <m/>
    <x v="26"/>
    <s v="ဦးတင္ဝင္း"/>
    <s v="ကိုစိုးသန္း"/>
    <n v="769330211"/>
    <x v="0"/>
    <x v="15"/>
    <m/>
    <s v="Orange"/>
    <s v="175CC"/>
    <n v="1"/>
    <n v="2405600"/>
    <n v="2262488"/>
    <n v="143112"/>
    <n v="0.01"/>
    <m/>
    <n v="0.1"/>
    <m/>
    <n v="0.4"/>
    <n v="0.6"/>
    <n v="1130632"/>
    <n v="1130632"/>
    <m/>
    <m/>
    <n v="1443360"/>
    <m/>
    <n v="0.3"/>
    <x v="24"/>
    <n v="721680"/>
    <n v="0.3"/>
    <x v="24"/>
    <n v="721680"/>
  </r>
  <r>
    <n v="28"/>
    <x v="24"/>
    <x v="27"/>
    <x v="20"/>
    <m/>
    <m/>
    <x v="27"/>
    <s v="ဦးစာနီ"/>
    <s v="ဦးသန္းေဇာ္"/>
    <n v="261691147"/>
    <x v="0"/>
    <x v="16"/>
    <m/>
    <s v="Orange"/>
    <s v="300CC"/>
    <n v="1"/>
    <n v="3191300"/>
    <n v="2977670"/>
    <n v="213630"/>
    <n v="0.01"/>
    <m/>
    <n v="0.1"/>
    <m/>
    <n v="0.4"/>
    <n v="0.6"/>
    <n v="1499911"/>
    <n v="1499911"/>
    <n v="0"/>
    <m/>
    <n v="1914780"/>
    <m/>
    <n v="0.3"/>
    <x v="24"/>
    <n v="957390"/>
    <n v="0.3"/>
    <x v="24"/>
    <n v="957390"/>
  </r>
  <r>
    <n v="29"/>
    <x v="25"/>
    <x v="28"/>
    <x v="0"/>
    <m/>
    <m/>
    <x v="28"/>
    <s v="ဦးတင္လွ"/>
    <s v="ဦးသိန္းတိုး"/>
    <m/>
    <x v="0"/>
    <x v="17"/>
    <m/>
    <s v="Orange"/>
    <s v="150CC"/>
    <n v="1"/>
    <n v="2232750"/>
    <n v="2108078"/>
    <n v="124672"/>
    <n v="0.01"/>
    <m/>
    <n v="0.1"/>
    <m/>
    <n v="0.4"/>
    <n v="0.6"/>
    <n v="1049392.5"/>
    <n v="1049392.5"/>
    <m/>
    <m/>
    <n v="1339650"/>
    <m/>
    <n v="0.3"/>
    <x v="25"/>
    <n v="669825"/>
    <n v="0.3"/>
    <x v="25"/>
    <n v="669825"/>
  </r>
  <r>
    <n v="30"/>
    <x v="26"/>
    <x v="29"/>
    <x v="21"/>
    <m/>
    <m/>
    <x v="29"/>
    <s v="ဦးေသာင္းၾကည္"/>
    <s v="ကိုခ်မ္းလင္းေအာင္"/>
    <n v="791703991"/>
    <x v="0"/>
    <x v="18"/>
    <m/>
    <s v="Orange"/>
    <s v="300CC"/>
    <n v="1"/>
    <n v="3191300"/>
    <n v="2977670"/>
    <n v="213630"/>
    <n v="0.01"/>
    <m/>
    <n v="0.1"/>
    <m/>
    <n v="0.4"/>
    <n v="0.6"/>
    <n v="1499911"/>
    <n v="1499911"/>
    <m/>
    <m/>
    <n v="1914780"/>
    <m/>
    <n v="0.3"/>
    <x v="26"/>
    <n v="957390"/>
    <n v="0.3"/>
    <x v="26"/>
    <n v="957390"/>
  </r>
  <r>
    <n v="31"/>
    <x v="26"/>
    <x v="30"/>
    <x v="22"/>
    <m/>
    <m/>
    <x v="30"/>
    <s v="ဦးျမင့္ေရႊ"/>
    <s v="ဦးေအာင္ေဇာ္ဦး"/>
    <m/>
    <x v="0"/>
    <x v="19"/>
    <m/>
    <s v="Orange"/>
    <s v="150CC"/>
    <n v="1"/>
    <n v="2232750"/>
    <n v="2108078"/>
    <n v="124672"/>
    <n v="0.01"/>
    <m/>
    <n v="0.1"/>
    <m/>
    <n v="0.4"/>
    <n v="0.6"/>
    <n v="1049392.5"/>
    <n v="1049392.5"/>
    <m/>
    <m/>
    <n v="1339650"/>
    <m/>
    <n v="0.3"/>
    <x v="26"/>
    <n v="669825"/>
    <n v="0.3"/>
    <x v="26"/>
    <n v="669825"/>
  </r>
  <r>
    <n v="32"/>
    <x v="27"/>
    <x v="31"/>
    <x v="18"/>
    <m/>
    <m/>
    <x v="31"/>
    <s v="ဦးၾကည္ေဌး"/>
    <s v="ကိုတင္လွ"/>
    <n v="799406975"/>
    <x v="0"/>
    <x v="20"/>
    <m/>
    <s v="Orange"/>
    <s v="300CC"/>
    <n v="1"/>
    <n v="3191300"/>
    <n v="2977670"/>
    <n v="213630"/>
    <n v="0.01"/>
    <m/>
    <n v="0.1"/>
    <m/>
    <n v="0.4"/>
    <n v="0.6"/>
    <n v="1499911"/>
    <n v="1499911"/>
    <m/>
    <m/>
    <n v="1914780"/>
    <m/>
    <n v="0.3"/>
    <x v="27"/>
    <n v="957390"/>
    <n v="0.3"/>
    <x v="27"/>
    <n v="957390"/>
  </r>
  <r>
    <n v="33"/>
    <x v="28"/>
    <x v="32"/>
    <x v="23"/>
    <m/>
    <m/>
    <x v="32"/>
    <s v="ဦးအုန္းျမ"/>
    <s v="ဦးေဇာ္ထြန္း"/>
    <m/>
    <x v="0"/>
    <x v="21"/>
    <m/>
    <s v="Orange"/>
    <s v="300CC"/>
    <n v="1"/>
    <n v="3191300"/>
    <n v="2977670"/>
    <n v="213630"/>
    <n v="0.01"/>
    <m/>
    <n v="0.1"/>
    <m/>
    <n v="0.4"/>
    <n v="0.6"/>
    <n v="1499911"/>
    <n v="1499911"/>
    <m/>
    <m/>
    <n v="1914780"/>
    <m/>
    <n v="0.3"/>
    <x v="28"/>
    <n v="957390"/>
    <n v="0.3"/>
    <x v="28"/>
    <n v="957390"/>
  </r>
  <r>
    <n v="34"/>
    <x v="29"/>
    <x v="33"/>
    <x v="24"/>
    <m/>
    <m/>
    <x v="33"/>
    <s v="ဦးသင္းေမာင္"/>
    <s v="ဦးဆန္းညြန္႔"/>
    <m/>
    <x v="0"/>
    <x v="22"/>
    <m/>
    <s v="Orange"/>
    <s v="300CC"/>
    <n v="1"/>
    <n v="3191300"/>
    <n v="2977670"/>
    <n v="213630"/>
    <n v="0.01"/>
    <m/>
    <n v="0.1"/>
    <m/>
    <n v="0.4"/>
    <n v="0.6"/>
    <n v="1499911"/>
    <n v="1499911"/>
    <m/>
    <m/>
    <n v="1914780"/>
    <m/>
    <n v="0.3"/>
    <x v="29"/>
    <n v="957390"/>
    <n v="0.3"/>
    <x v="29"/>
    <n v="957390"/>
  </r>
  <r>
    <n v="35"/>
    <x v="29"/>
    <x v="34"/>
    <x v="25"/>
    <s v="၁၂/ကမန(နိုင္)၁၀၂၀၅၈"/>
    <m/>
    <x v="34"/>
    <s v="ဦးေက်ာ္ဝင္း"/>
    <s v="ဦးေအာင္သူထိုက္"/>
    <n v="673647161"/>
    <x v="0"/>
    <x v="23"/>
    <m/>
    <s v="Red"/>
    <s v="150CC"/>
    <n v="1"/>
    <n v="2232750"/>
    <n v="2108078"/>
    <n v="124672"/>
    <n v="0.01"/>
    <m/>
    <n v="0.1"/>
    <m/>
    <n v="0.4"/>
    <n v="0.6"/>
    <n v="1049392.5"/>
    <n v="1049392.5"/>
    <m/>
    <m/>
    <n v="1339650"/>
    <m/>
    <n v="0.3"/>
    <x v="29"/>
    <n v="669825"/>
    <n v="0.3"/>
    <x v="29"/>
    <n v="669825"/>
  </r>
  <r>
    <n v="36"/>
    <x v="30"/>
    <x v="35"/>
    <x v="26"/>
    <s v="၁၂/ကခက(နိုင္)၀၈၃၀၅၂"/>
    <m/>
    <x v="35"/>
    <s v="ဦးစိုးဝင္း"/>
    <s v="ဦးမ်ိဴးကို"/>
    <n v="796828361"/>
    <x v="0"/>
    <x v="24"/>
    <m/>
    <s v="Orange"/>
    <s v="300CC"/>
    <n v="1"/>
    <n v="3191300"/>
    <n v="2977670"/>
    <n v="213630"/>
    <n v="0.01"/>
    <m/>
    <n v="0.1"/>
    <m/>
    <n v="0.4"/>
    <n v="0.6"/>
    <n v="1499911"/>
    <n v="1499911"/>
    <m/>
    <m/>
    <n v="1914780"/>
    <m/>
    <n v="0.3"/>
    <x v="30"/>
    <n v="957390"/>
    <n v="0.3"/>
    <x v="30"/>
    <n v="957390"/>
  </r>
  <r>
    <n v="37"/>
    <x v="31"/>
    <x v="36"/>
    <x v="27"/>
    <s v="၁၂/ကမန(နိုင္)၀၉၂၉၈၀"/>
    <m/>
    <x v="36"/>
    <s v="ဦးသိန္းျမင့္"/>
    <s v="ဦးတင္လင္း"/>
    <n v="264587869"/>
    <x v="0"/>
    <x v="25"/>
    <m/>
    <s v="Orange"/>
    <s v="300CC"/>
    <n v="1"/>
    <n v="3191300"/>
    <n v="2977670"/>
    <n v="213630"/>
    <n v="0.01"/>
    <m/>
    <n v="0.1"/>
    <m/>
    <n v="0.4"/>
    <n v="0.6"/>
    <n v="1499911"/>
    <n v="1499911"/>
    <m/>
    <m/>
    <n v="1914780"/>
    <m/>
    <n v="0.3"/>
    <x v="31"/>
    <n v="957390"/>
    <n v="0.3"/>
    <x v="31"/>
    <n v="957390"/>
  </r>
  <r>
    <n v="38"/>
    <x v="32"/>
    <x v="37"/>
    <x v="28"/>
    <s v="၁၂/ကခက(နိုင္)၁၀၁၅၇၀"/>
    <m/>
    <x v="37"/>
    <s v="ဦးေသာင္းအိ"/>
    <s v="ဦးေစာေအာင္"/>
    <n v="664655245"/>
    <x v="0"/>
    <x v="26"/>
    <m/>
    <s v="Orange"/>
    <s v="300CC"/>
    <n v="1"/>
    <n v="3191300"/>
    <n v="2977670"/>
    <n v="213630"/>
    <n v="0.01"/>
    <m/>
    <n v="0.1"/>
    <m/>
    <n v="0.4"/>
    <n v="0.6"/>
    <n v="1499911"/>
    <n v="1499911"/>
    <m/>
    <m/>
    <n v="1914780"/>
    <m/>
    <n v="0.3"/>
    <x v="32"/>
    <n v="957390"/>
    <n v="0.3"/>
    <x v="32"/>
    <n v="957390"/>
  </r>
  <r>
    <n v="40"/>
    <x v="33"/>
    <x v="38"/>
    <x v="29"/>
    <s v="၁၂/ကမန(နိုင္)၀၇၅၁၄၂"/>
    <s v="4.5.1341"/>
    <x v="38"/>
    <s v="ဦးဝင္းေမာင္"/>
    <s v="ဦးဝင္းေဇာ္"/>
    <n v="796939764"/>
    <x v="0"/>
    <x v="27"/>
    <m/>
    <s v="Orange"/>
    <s v="300CC"/>
    <n v="1"/>
    <n v="3191300"/>
    <n v="2977670"/>
    <n v="213630"/>
    <n v="0.01"/>
    <m/>
    <n v="0.1"/>
    <m/>
    <n v="0.4"/>
    <n v="0.6"/>
    <n v="1499911"/>
    <n v="1499911"/>
    <m/>
    <m/>
    <n v="1914780"/>
    <m/>
    <n v="0.3"/>
    <x v="33"/>
    <n v="957390"/>
    <n v="0.3"/>
    <x v="33"/>
    <n v="957390"/>
  </r>
  <r>
    <n v="41"/>
    <x v="34"/>
    <x v="39"/>
    <x v="30"/>
    <s v="၁၂/ကမန(နိုင္)၀၈၉၀၆၇"/>
    <s v="15.9.1991"/>
    <x v="39"/>
    <s v="ဦးစိန္ညြန္႕"/>
    <s v="ဦးဝင္းေဇာ္"/>
    <n v="796939764"/>
    <x v="0"/>
    <x v="28"/>
    <m/>
    <s v="Orange"/>
    <s v="300CC"/>
    <n v="1"/>
    <n v="3191300"/>
    <n v="2977670"/>
    <n v="213630"/>
    <n v="0.01"/>
    <m/>
    <n v="0.1"/>
    <m/>
    <n v="0.4"/>
    <n v="0.6"/>
    <n v="1499911"/>
    <n v="1499911"/>
    <m/>
    <m/>
    <n v="1914780"/>
    <m/>
    <n v="0.3"/>
    <x v="34"/>
    <n v="957390"/>
    <n v="0.3"/>
    <x v="34"/>
    <n v="957390"/>
  </r>
  <r>
    <n v="43"/>
    <x v="35"/>
    <x v="40"/>
    <x v="31"/>
    <s v="၁၂/ကမန(နိုင္)၁၀၃၀၈၁"/>
    <s v="10.9.1345"/>
    <x v="40"/>
    <s v="ဦးသန္းေရႊ"/>
    <s v="ကိုရဲဝင္းေအာင္"/>
    <n v="650679068"/>
    <x v="0"/>
    <x v="29"/>
    <m/>
    <s v="Orange"/>
    <s v="300CC"/>
    <n v="1"/>
    <n v="3191300"/>
    <n v="2977670"/>
    <n v="213630"/>
    <n v="0.01"/>
    <m/>
    <n v="0.1"/>
    <m/>
    <n v="0.4"/>
    <n v="0.6"/>
    <n v="1499911"/>
    <n v="1499911"/>
    <m/>
    <m/>
    <n v="1914780"/>
    <m/>
    <n v="0.3"/>
    <x v="35"/>
    <n v="957390"/>
    <n v="0.3"/>
    <x v="35"/>
    <n v="957390"/>
  </r>
  <r>
    <n v="45"/>
    <x v="36"/>
    <x v="41"/>
    <x v="32"/>
    <s v="၁၂/ကမန(နိုင္)၁ဝ၀၂၄၃"/>
    <s v="8.4.1353"/>
    <x v="41"/>
    <s v="ဦးခင္ေမာင္ေဌး"/>
    <s v="ကိုမ်ိဳးလြင္"/>
    <n v="775115282"/>
    <x v="0"/>
    <x v="30"/>
    <m/>
    <s v="Orange"/>
    <s v="300CC"/>
    <n v="1"/>
    <n v="3191300"/>
    <n v="2977670"/>
    <n v="213630"/>
    <n v="0.01"/>
    <m/>
    <n v="0.1"/>
    <m/>
    <n v="0.4"/>
    <n v="0.6"/>
    <n v="1499911"/>
    <n v="1499911"/>
    <m/>
    <m/>
    <n v="1914780"/>
    <m/>
    <n v="0.3"/>
    <x v="36"/>
    <n v="957390"/>
    <n v="0.3"/>
    <x v="36"/>
    <n v="957390"/>
  </r>
  <r>
    <n v="47"/>
    <x v="36"/>
    <x v="42"/>
    <x v="33"/>
    <s v="၁၂/ကမန(နိုင္)၀၇၀၂၄၄"/>
    <s v="7.12.1344"/>
    <x v="42"/>
    <s v="ဦးေဌးေအာင္"/>
    <s v="ဦးဝင္းေဇာ္"/>
    <n v="796939764"/>
    <x v="0"/>
    <x v="31"/>
    <m/>
    <s v="Orange"/>
    <s v="300CC"/>
    <n v="1"/>
    <n v="3191300"/>
    <n v="2977670"/>
    <n v="213630"/>
    <n v="0.01"/>
    <m/>
    <n v="0.1"/>
    <m/>
    <n v="0.4"/>
    <n v="0.6"/>
    <n v="1499911"/>
    <n v="1499911"/>
    <m/>
    <m/>
    <n v="1914780"/>
    <m/>
    <n v="0.3"/>
    <x v="36"/>
    <n v="957390"/>
    <n v="0.3"/>
    <x v="36"/>
    <n v="957390"/>
  </r>
  <r>
    <n v="49"/>
    <x v="37"/>
    <x v="43"/>
    <x v="34"/>
    <s v="၁၂/ကမန(နိုင္)၁၀၄၄၀၉"/>
    <s v="10.11.1354"/>
    <x v="43"/>
    <s v="ဦးျမင့္ရီ"/>
    <s v="ကိုဝင္းနိုင္"/>
    <n v="778978045"/>
    <x v="0"/>
    <x v="32"/>
    <m/>
    <s v="Orange"/>
    <s v="300CC"/>
    <n v="1"/>
    <n v="3191300"/>
    <n v="2977670"/>
    <n v="213630"/>
    <n v="0.01"/>
    <m/>
    <n v="0.1"/>
    <m/>
    <n v="0.4"/>
    <n v="0.6"/>
    <n v="1499911"/>
    <n v="1499911"/>
    <m/>
    <m/>
    <n v="1914780"/>
    <m/>
    <n v="0.3"/>
    <x v="37"/>
    <n v="957390"/>
    <n v="0.3"/>
    <x v="37"/>
    <n v="957390"/>
  </r>
  <r>
    <n v="51"/>
    <x v="38"/>
    <x v="44"/>
    <x v="35"/>
    <s v="၁၂/ကမန(နိုင္)၀၉၃၅၇၉"/>
    <s v="4.7.1985"/>
    <x v="44"/>
    <s v="ဦးေသာင္းရီ"/>
    <s v="ကိုမ်ိဳးမင္းလြင္"/>
    <n v="778578996"/>
    <x v="0"/>
    <x v="33"/>
    <m/>
    <s v="Orange"/>
    <s v="300CC"/>
    <n v="1"/>
    <n v="3191300"/>
    <n v="2977670"/>
    <n v="213630"/>
    <n v="0.01"/>
    <m/>
    <n v="0.1"/>
    <m/>
    <n v="0.4"/>
    <n v="0.6"/>
    <n v="1499911"/>
    <n v="1499911"/>
    <m/>
    <m/>
    <n v="1914780"/>
    <m/>
    <n v="0.3"/>
    <x v="38"/>
    <n v="957390"/>
    <n v="0.3"/>
    <x v="38"/>
    <n v="957390"/>
  </r>
  <r>
    <n v="53"/>
    <x v="39"/>
    <x v="45"/>
    <x v="36"/>
    <s v="၁၂/ကခက(နုိင္)၀၅၅၃၆၂"/>
    <s v="10.9.2012"/>
    <x v="45"/>
    <s v="ဦးစိုးလိႈင္"/>
    <s v="ဦးဝင္း"/>
    <n v="794634771"/>
    <x v="0"/>
    <x v="34"/>
    <m/>
    <s v="Orange"/>
    <s v="300CC"/>
    <n v="1"/>
    <n v="3290000"/>
    <n v="3110000"/>
    <n v="180000"/>
    <n v="0.01"/>
    <m/>
    <n v="0.1"/>
    <m/>
    <n v="0.4"/>
    <n v="0.6"/>
    <n v="1546300"/>
    <n v="1546300"/>
    <m/>
    <m/>
    <n v="1974000"/>
    <m/>
    <n v="0.3"/>
    <x v="39"/>
    <n v="987000"/>
    <n v="0.3"/>
    <x v="39"/>
    <n v="987000"/>
  </r>
  <r>
    <n v="55"/>
    <x v="40"/>
    <x v="46"/>
    <x v="37"/>
    <s v="၁၂/ကမန(နိုင္)၀၆၁၂၄၉"/>
    <s v="15.9.1342"/>
    <x v="46"/>
    <s v="ဦးတင္ထြန္း"/>
    <s v="ဦးေဇာ္မင္း"/>
    <n v="799415644"/>
    <x v="0"/>
    <x v="35"/>
    <m/>
    <s v="Orange"/>
    <s v="175CC"/>
    <n v="1"/>
    <n v="2480000"/>
    <n v="2380000"/>
    <n v="100000"/>
    <n v="0.01"/>
    <m/>
    <n v="0.1"/>
    <m/>
    <n v="0.4"/>
    <n v="0.6"/>
    <n v="1165600"/>
    <n v="1165600"/>
    <m/>
    <m/>
    <n v="1488000"/>
    <m/>
    <n v="0.3"/>
    <x v="40"/>
    <n v="744000"/>
    <n v="0.3"/>
    <x v="40"/>
    <n v="744000"/>
  </r>
  <r>
    <n v="57"/>
    <x v="40"/>
    <x v="47"/>
    <x v="38"/>
    <s v="၁၂/ကခက(နိုင္)၀၆၅၉၀၇"/>
    <s v="14.1.1342"/>
    <x v="47"/>
    <s v="ဦးတင္စိုး"/>
    <s v="ကိုထြန္းလင္းေက်ာ္"/>
    <n v="263168919"/>
    <x v="0"/>
    <x v="36"/>
    <m/>
    <s v="Orange"/>
    <s v="175CC"/>
    <n v="1"/>
    <n v="2480000"/>
    <n v="2380000"/>
    <n v="100000"/>
    <n v="0.01"/>
    <m/>
    <n v="0.1"/>
    <m/>
    <n v="0.4"/>
    <n v="0.6"/>
    <n v="1165600"/>
    <n v="1165600"/>
    <m/>
    <m/>
    <n v="1488000"/>
    <m/>
    <n v="0.3"/>
    <x v="40"/>
    <n v="744000"/>
    <n v="0.3"/>
    <x v="40"/>
    <n v="744000"/>
  </r>
  <r>
    <n v="59"/>
    <x v="40"/>
    <x v="48"/>
    <x v="39"/>
    <s v="၁၂/ကမန(နိုင္)၀၇၆၇၇၃"/>
    <s v="18.4.1986"/>
    <x v="48"/>
    <s v="ဦးျမင့္သိန္း"/>
    <s v="ကိုေအးမင္းနိုင္"/>
    <m/>
    <x v="0"/>
    <x v="37"/>
    <m/>
    <m/>
    <m/>
    <n v="1"/>
    <n v="2241000"/>
    <n v="2022000"/>
    <n v="219000"/>
    <n v="0.01"/>
    <m/>
    <n v="0.1"/>
    <m/>
    <n v="0.4"/>
    <n v="0.6"/>
    <n v="1053270"/>
    <n v="1053270"/>
    <m/>
    <m/>
    <n v="1344600"/>
    <m/>
    <n v="0.3"/>
    <x v="40"/>
    <n v="672300"/>
    <n v="0.3"/>
    <x v="40"/>
    <n v="672300"/>
  </r>
  <r>
    <n v="61"/>
    <x v="41"/>
    <x v="49"/>
    <x v="40"/>
    <s v="၁၂/ကခက(နုိင္)၀၈၁၄၅၆"/>
    <s v="10.3.1987"/>
    <x v="49"/>
    <s v="ဦးသန္းခ်စ္"/>
    <s v="ဦးေက်ာ္ေဌးလြင္"/>
    <n v="699112720"/>
    <x v="0"/>
    <x v="38"/>
    <m/>
    <s v="Red"/>
    <s v="150CC"/>
    <n v="1"/>
    <n v="2290000"/>
    <n v="2195000"/>
    <n v="95000"/>
    <n v="0.01"/>
    <m/>
    <n v="0.1"/>
    <m/>
    <n v="0.4"/>
    <n v="0.6"/>
    <n v="1076300"/>
    <n v="1076300"/>
    <m/>
    <m/>
    <n v="1374000"/>
    <m/>
    <n v="0.3"/>
    <x v="41"/>
    <n v="687000"/>
    <n v="0.3"/>
    <x v="41"/>
    <n v="687000"/>
  </r>
  <r>
    <n v="63"/>
    <x v="41"/>
    <x v="50"/>
    <x v="41"/>
    <s v="၁၂/တတန(နိုင္)၀၃၂၇၄၂"/>
    <s v="5.2.1331"/>
    <x v="50"/>
    <s v="ဦးခင္ေမာင္"/>
    <s v="ကိုေအာင္မ်ိဳးနိုင္"/>
    <n v="793435414"/>
    <x v="0"/>
    <x v="39"/>
    <m/>
    <s v="Orange"/>
    <s v="300CC"/>
    <n v="1"/>
    <n v="3290000"/>
    <n v="3110000"/>
    <n v="180000"/>
    <n v="0.01"/>
    <m/>
    <n v="0.1"/>
    <m/>
    <n v="0.4"/>
    <n v="0.6"/>
    <n v="1546300"/>
    <n v="1546300"/>
    <m/>
    <m/>
    <n v="1974000"/>
    <m/>
    <n v="0.3"/>
    <x v="41"/>
    <n v="987000"/>
    <n v="0.3"/>
    <x v="41"/>
    <n v="987000"/>
  </r>
  <r>
    <n v="65"/>
    <x v="42"/>
    <x v="51"/>
    <x v="42"/>
    <s v="၁၂/ကမန(နိုင္)၁၀၉၈၃၃"/>
    <s v="12.12.1333"/>
    <x v="51"/>
    <s v="ဦးၾကည္ေအး"/>
    <s v="ဦးၾကည္လြင္"/>
    <n v="674092850"/>
    <x v="0"/>
    <x v="40"/>
    <m/>
    <s v="Orange"/>
    <s v="300CC"/>
    <n v="1"/>
    <n v="3290000"/>
    <n v="3110000"/>
    <n v="180000"/>
    <n v="0.01"/>
    <m/>
    <n v="0.1"/>
    <m/>
    <n v="0.4"/>
    <n v="0.6"/>
    <n v="1546300"/>
    <n v="1546300"/>
    <m/>
    <m/>
    <n v="1974000"/>
    <m/>
    <n v="0.3"/>
    <x v="42"/>
    <n v="987000"/>
    <n v="0.3"/>
    <x v="42"/>
    <n v="987000"/>
  </r>
  <r>
    <n v="67"/>
    <x v="43"/>
    <x v="52"/>
    <x v="43"/>
    <s v="၁၂/ကမန(နိုင္)၁၀၃၀၀၃"/>
    <s v="12.5.1978"/>
    <x v="52"/>
    <s v="ဦးစိန္ထြန္း"/>
    <s v="ေဒၚစုစုခိုင္"/>
    <n v="694789958"/>
    <x v="0"/>
    <x v="41"/>
    <m/>
    <s v="Orange"/>
    <s v="175CC"/>
    <n v="1"/>
    <n v="2480000"/>
    <n v="2380000"/>
    <n v="100000"/>
    <n v="0.01"/>
    <m/>
    <n v="0.1"/>
    <m/>
    <n v="0.4"/>
    <n v="0.6"/>
    <n v="1165600"/>
    <n v="1165600"/>
    <m/>
    <m/>
    <n v="1488000"/>
    <m/>
    <n v="0.3"/>
    <x v="43"/>
    <n v="744000"/>
    <n v="0.3"/>
    <x v="43"/>
    <n v="744000"/>
  </r>
  <r>
    <n v="69"/>
    <x v="44"/>
    <x v="53"/>
    <x v="44"/>
    <s v="၁၂/ဒဒရ(နိုင္)၁၄၄၀၅၉"/>
    <s v="10.9.1987"/>
    <x v="53"/>
    <s v="ဦးတင္ေအး"/>
    <s v="ဦးေက်ာ္လြင္"/>
    <n v="752891420"/>
    <x v="0"/>
    <x v="42"/>
    <m/>
    <m/>
    <s v="300CC"/>
    <n v="1"/>
    <n v="3290000"/>
    <n v="3110000"/>
    <n v="180000"/>
    <n v="0.01"/>
    <m/>
    <n v="0.1"/>
    <m/>
    <n v="0.4"/>
    <n v="0.6"/>
    <n v="1546300"/>
    <n v="1546300"/>
    <m/>
    <m/>
    <n v="1974000"/>
    <m/>
    <n v="0.3"/>
    <x v="44"/>
    <n v="987000"/>
    <n v="0.3"/>
    <x v="44"/>
    <n v="987000"/>
  </r>
  <r>
    <n v="71"/>
    <x v="44"/>
    <x v="54"/>
    <x v="44"/>
    <s v="၁၂/ဒဒရ(နိုင္)၁၁၃၇၈၇"/>
    <s v="8.7.1348"/>
    <x v="54"/>
    <s v="ဦးၾကည္ေအာင္"/>
    <s v="ဦးဇာနည္ေအာင္"/>
    <n v="780416180"/>
    <x v="0"/>
    <x v="43"/>
    <m/>
    <m/>
    <s v="250CC"/>
    <n v="1"/>
    <n v="3210000"/>
    <n v="3030000"/>
    <n v="180000"/>
    <n v="0.01"/>
    <m/>
    <n v="0.1"/>
    <m/>
    <n v="0.4"/>
    <n v="0.6"/>
    <n v="1508700"/>
    <n v="1508700"/>
    <m/>
    <m/>
    <n v="1926000"/>
    <m/>
    <n v="0.3"/>
    <x v="44"/>
    <n v="963000"/>
    <n v="0.3"/>
    <x v="44"/>
    <n v="963000"/>
  </r>
  <r>
    <n v="73"/>
    <x v="45"/>
    <x v="55"/>
    <x v="45"/>
    <s v="၁၂/ဒဒရ(နိုင္)၁၁၄၂၂၅"/>
    <s v="3.10.1343"/>
    <x v="55"/>
    <s v="ဦးသိန္းေအာင္"/>
    <s v="ဦးဝင္းထြန္း"/>
    <n v="661662005"/>
    <x v="0"/>
    <x v="44"/>
    <m/>
    <m/>
    <s v="175CC"/>
    <n v="1"/>
    <n v="2480000"/>
    <n v="2380000"/>
    <n v="100000"/>
    <n v="0.01"/>
    <m/>
    <n v="0.1"/>
    <m/>
    <n v="0.4"/>
    <n v="0.6"/>
    <n v="1165600"/>
    <n v="1165600"/>
    <m/>
    <m/>
    <n v="1488000"/>
    <m/>
    <n v="0.3"/>
    <x v="45"/>
    <n v="744000"/>
    <n v="0.3"/>
    <x v="45"/>
    <n v="744000"/>
  </r>
  <r>
    <n v="75"/>
    <x v="46"/>
    <x v="56"/>
    <x v="41"/>
    <s v="၁၂/ဒလန(ႏိုင္)၀၉၈၉၄၃"/>
    <s v="10.7.1994"/>
    <x v="56"/>
    <s v="ဦးၾကည္စိုး"/>
    <s v="ကိုစည္သူဟိန္း"/>
    <n v="446698966"/>
    <x v="0"/>
    <x v="45"/>
    <m/>
    <m/>
    <s v="300CC"/>
    <n v="1"/>
    <n v="3340000"/>
    <n v="3090000"/>
    <n v="250000"/>
    <n v="0.01"/>
    <m/>
    <n v="0.1"/>
    <m/>
    <n v="0.4"/>
    <n v="0.6"/>
    <n v="1569800"/>
    <n v="1569800"/>
    <m/>
    <m/>
    <n v="2004000"/>
    <m/>
    <n v="0.3"/>
    <x v="46"/>
    <n v="1002000"/>
    <n v="0.3"/>
    <x v="46"/>
    <n v="1002000"/>
  </r>
  <r>
    <n v="77"/>
    <x v="47"/>
    <x v="57"/>
    <x v="46"/>
    <s v="၁၂/ကမန(နိုင္)၁၄၁၉၁၃"/>
    <s v="14.6.1345"/>
    <x v="57"/>
    <s v="ဦးေမာင္ေမာင္ၾကည္"/>
    <s v="ဦးခ်စ္သဲ"/>
    <n v="799414933"/>
    <x v="0"/>
    <x v="46"/>
    <m/>
    <m/>
    <s v="175CC"/>
    <n v="1"/>
    <n v="2500000"/>
    <n v="2320000"/>
    <n v="180000"/>
    <n v="0.01"/>
    <m/>
    <n v="0.1"/>
    <m/>
    <n v="0.4"/>
    <n v="0.6"/>
    <n v="1175000"/>
    <n v="1175000"/>
    <m/>
    <m/>
    <n v="1500000"/>
    <m/>
    <n v="0.3"/>
    <x v="47"/>
    <n v="750000"/>
    <n v="0.3"/>
    <x v="47"/>
    <n v="750000"/>
  </r>
</pivotCacheRecords>
</file>

<file path=xl/pivotCache/pivotCacheRecords3.xml><?xml version="1.0" encoding="utf-8"?>
<pivotCacheRecords xmlns="http://schemas.openxmlformats.org/spreadsheetml/2006/main" xmlns:r="http://schemas.openxmlformats.org/officeDocument/2006/relationships" count="158">
  <r>
    <x v="0"/>
    <m/>
    <x v="0"/>
    <x v="0"/>
    <m/>
    <n v="6176976"/>
    <m/>
    <m/>
    <n v="6176976"/>
  </r>
  <r>
    <x v="1"/>
    <n v="14"/>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pivotCacheRecords>
</file>

<file path=xl/pivotCache/pivotCacheRecords4.xml><?xml version="1.0" encoding="utf-8"?>
<pivotCacheRecords xmlns="http://schemas.openxmlformats.org/spreadsheetml/2006/main" xmlns:r="http://schemas.openxmlformats.org/officeDocument/2006/relationships" count="155">
  <r>
    <x v="0"/>
    <m/>
    <x v="0"/>
    <x v="0"/>
    <m/>
    <n v="7420916"/>
    <m/>
    <m/>
    <n v="7420916"/>
  </r>
  <r>
    <x v="1"/>
    <n v="1"/>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pivotCacheRecords>
</file>

<file path=xl/pivotCache/pivotCacheRecords5.xml><?xml version="1.0" encoding="utf-8"?>
<pivotCacheRecords xmlns="http://schemas.openxmlformats.org/spreadsheetml/2006/main" xmlns:r="http://schemas.openxmlformats.org/officeDocument/2006/relationships" count="1181">
  <r>
    <x v="0"/>
    <m/>
    <x v="0"/>
    <x v="0"/>
    <m/>
    <n v="5567322"/>
    <m/>
    <m/>
    <n v="5567322"/>
  </r>
  <r>
    <x v="1"/>
    <n v="1"/>
    <x v="1"/>
    <x v="1"/>
    <m/>
    <m/>
    <n v="4000"/>
    <m/>
    <n v="4000"/>
  </r>
  <r>
    <x v="1"/>
    <n v="1"/>
    <x v="1"/>
    <x v="2"/>
    <m/>
    <m/>
    <n v="36000"/>
    <m/>
    <n v="36000"/>
  </r>
  <r>
    <x v="1"/>
    <n v="1"/>
    <x v="2"/>
    <x v="3"/>
    <m/>
    <m/>
    <n v="1200"/>
    <m/>
    <n v="1200"/>
  </r>
  <r>
    <x v="1"/>
    <n v="1"/>
    <x v="3"/>
    <x v="4"/>
    <m/>
    <m/>
    <n v="243100"/>
    <m/>
    <n v="243100"/>
  </r>
  <r>
    <x v="1"/>
    <n v="1"/>
    <x v="4"/>
    <x v="5"/>
    <m/>
    <m/>
    <n v="1850"/>
    <m/>
    <n v="1850"/>
  </r>
  <r>
    <x v="1"/>
    <n v="1"/>
    <x v="5"/>
    <x v="6"/>
    <m/>
    <m/>
    <m/>
    <n v="10000"/>
    <n v="-10000"/>
  </r>
  <r>
    <x v="1"/>
    <n v="1"/>
    <x v="6"/>
    <x v="7"/>
    <m/>
    <m/>
    <m/>
    <n v="10000"/>
    <n v="-10000"/>
  </r>
  <r>
    <x v="1"/>
    <n v="1"/>
    <x v="7"/>
    <x v="8"/>
    <m/>
    <m/>
    <m/>
    <n v="5000"/>
    <n v="-5000"/>
  </r>
  <r>
    <x v="1"/>
    <n v="1"/>
    <x v="8"/>
    <x v="9"/>
    <s v="Sale Return (ငွေပြန်အမ်း)"/>
    <m/>
    <m/>
    <n v="9800"/>
    <n v="-9800"/>
  </r>
  <r>
    <x v="1"/>
    <n v="1"/>
    <x v="9"/>
    <x v="10"/>
    <m/>
    <m/>
    <m/>
    <n v="6800"/>
    <n v="-6800"/>
  </r>
  <r>
    <x v="1"/>
    <n v="1"/>
    <x v="10"/>
    <x v="11"/>
    <m/>
    <m/>
    <m/>
    <n v="2200"/>
    <n v="-2200"/>
  </r>
  <r>
    <x v="1"/>
    <n v="1"/>
    <x v="8"/>
    <x v="12"/>
    <s v="Sale Return (ငွေပြန်အမ်း)"/>
    <m/>
    <m/>
    <n v="22000"/>
    <n v="-22000"/>
  </r>
  <r>
    <x v="2"/>
    <n v="2"/>
    <x v="1"/>
    <x v="13"/>
    <m/>
    <m/>
    <n v="18000"/>
    <m/>
    <n v="18000"/>
  </r>
  <r>
    <x v="2"/>
    <n v="2"/>
    <x v="2"/>
    <x v="3"/>
    <m/>
    <m/>
    <n v="3000"/>
    <m/>
    <n v="3000"/>
  </r>
  <r>
    <x v="2"/>
    <n v="2"/>
    <x v="2"/>
    <x v="3"/>
    <m/>
    <m/>
    <n v="1500"/>
    <m/>
    <n v="1500"/>
  </r>
  <r>
    <x v="2"/>
    <n v="2"/>
    <x v="11"/>
    <x v="14"/>
    <m/>
    <m/>
    <n v="8000"/>
    <m/>
    <n v="8000"/>
  </r>
  <r>
    <x v="2"/>
    <n v="2"/>
    <x v="11"/>
    <x v="14"/>
    <m/>
    <m/>
    <n v="500"/>
    <m/>
    <n v="500"/>
  </r>
  <r>
    <x v="2"/>
    <n v="2"/>
    <x v="3"/>
    <x v="4"/>
    <m/>
    <m/>
    <n v="820100"/>
    <m/>
    <n v="820100"/>
  </r>
  <r>
    <x v="2"/>
    <n v="2"/>
    <x v="4"/>
    <x v="5"/>
    <m/>
    <m/>
    <n v="2500"/>
    <m/>
    <n v="2500"/>
  </r>
  <r>
    <x v="2"/>
    <n v="2"/>
    <x v="12"/>
    <x v="15"/>
    <m/>
    <m/>
    <m/>
    <n v="8000"/>
    <n v="-8000"/>
  </r>
  <r>
    <x v="2"/>
    <n v="2"/>
    <x v="7"/>
    <x v="16"/>
    <m/>
    <m/>
    <m/>
    <n v="10000"/>
    <n v="-10000"/>
  </r>
  <r>
    <x v="2"/>
    <n v="2"/>
    <x v="7"/>
    <x v="17"/>
    <m/>
    <m/>
    <m/>
    <n v="1800"/>
    <n v="-1800"/>
  </r>
  <r>
    <x v="2"/>
    <n v="2"/>
    <x v="8"/>
    <x v="18"/>
    <s v="Sale Return (ငွေပြန်အမ်း)"/>
    <m/>
    <m/>
    <n v="19500"/>
    <n v="-19500"/>
  </r>
  <r>
    <x v="2"/>
    <n v="2"/>
    <x v="13"/>
    <x v="19"/>
    <m/>
    <m/>
    <m/>
    <n v="1000000"/>
    <n v="-1000000"/>
  </r>
  <r>
    <x v="3"/>
    <n v="3"/>
    <x v="11"/>
    <x v="20"/>
    <m/>
    <m/>
    <n v="6000"/>
    <m/>
    <n v="6000"/>
  </r>
  <r>
    <x v="3"/>
    <n v="3"/>
    <x v="2"/>
    <x v="3"/>
    <m/>
    <m/>
    <n v="3000"/>
    <m/>
    <n v="3000"/>
  </r>
  <r>
    <x v="3"/>
    <n v="3"/>
    <x v="3"/>
    <x v="4"/>
    <m/>
    <m/>
    <n v="493150"/>
    <m/>
    <n v="493150"/>
  </r>
  <r>
    <x v="3"/>
    <n v="3"/>
    <x v="4"/>
    <x v="5"/>
    <m/>
    <m/>
    <n v="2500"/>
    <m/>
    <n v="2500"/>
  </r>
  <r>
    <x v="3"/>
    <n v="3"/>
    <x v="10"/>
    <x v="21"/>
    <m/>
    <m/>
    <m/>
    <n v="500"/>
    <n v="-500"/>
  </r>
  <r>
    <x v="3"/>
    <n v="3"/>
    <x v="5"/>
    <x v="22"/>
    <m/>
    <m/>
    <m/>
    <n v="3650"/>
    <n v="-3650"/>
  </r>
  <r>
    <x v="3"/>
    <n v="3"/>
    <x v="7"/>
    <x v="23"/>
    <m/>
    <m/>
    <m/>
    <n v="91500"/>
    <n v="-91500"/>
  </r>
  <r>
    <x v="3"/>
    <n v="3"/>
    <x v="8"/>
    <x v="24"/>
    <s v="Sale Return (ငွေပြန်အမ်း)"/>
    <m/>
    <m/>
    <n v="4000"/>
    <n v="-4000"/>
  </r>
  <r>
    <x v="3"/>
    <n v="3"/>
    <x v="5"/>
    <x v="25"/>
    <m/>
    <m/>
    <m/>
    <n v="60000"/>
    <n v="-60000"/>
  </r>
  <r>
    <x v="3"/>
    <n v="3"/>
    <x v="10"/>
    <x v="26"/>
    <m/>
    <m/>
    <m/>
    <n v="8000"/>
    <n v="-8000"/>
  </r>
  <r>
    <x v="3"/>
    <n v="3"/>
    <x v="6"/>
    <x v="27"/>
    <m/>
    <m/>
    <m/>
    <n v="10000"/>
    <n v="-10000"/>
  </r>
  <r>
    <x v="3"/>
    <n v="3"/>
    <x v="7"/>
    <x v="28"/>
    <m/>
    <m/>
    <m/>
    <n v="2000"/>
    <n v="-2000"/>
  </r>
  <r>
    <x v="3"/>
    <n v="3"/>
    <x v="14"/>
    <x v="29"/>
    <s v="Cash       (ငွေလွှဲ - YGN)"/>
    <m/>
    <m/>
    <n v="1971000"/>
    <n v="-1971000"/>
  </r>
  <r>
    <x v="3"/>
    <n v="3"/>
    <x v="14"/>
    <x v="30"/>
    <s v="Cash       (ငွေလွှဲ - YGN)"/>
    <m/>
    <m/>
    <n v="785000"/>
    <n v="-785000"/>
  </r>
  <r>
    <x v="3"/>
    <n v="3"/>
    <x v="14"/>
    <x v="31"/>
    <s v="Cash       (ငွေလွှဲ - YGN)"/>
    <m/>
    <m/>
    <n v="947600"/>
    <n v="-947600"/>
  </r>
  <r>
    <x v="3"/>
    <n v="3"/>
    <x v="14"/>
    <x v="32"/>
    <s v="Cash       (ငွေလွှဲ - YGN)"/>
    <m/>
    <m/>
    <n v="640000"/>
    <n v="-640000"/>
  </r>
  <r>
    <x v="3"/>
    <n v="3"/>
    <x v="14"/>
    <x v="33"/>
    <s v="Cash       (ငွေလွှဲ - YGN)"/>
    <m/>
    <m/>
    <n v="15000"/>
    <n v="-15000"/>
  </r>
  <r>
    <x v="3"/>
    <n v="3"/>
    <x v="14"/>
    <x v="34"/>
    <s v="Cash       (ငွေလွှဲ - YGN)"/>
    <m/>
    <m/>
    <n v="65675"/>
    <n v="-65675"/>
  </r>
  <r>
    <x v="3"/>
    <n v="3"/>
    <x v="14"/>
    <x v="35"/>
    <s v="Cash       (ငွေလွှဲ - YGN)"/>
    <m/>
    <m/>
    <n v="187450"/>
    <n v="-187450"/>
  </r>
  <r>
    <x v="3"/>
    <n v="3"/>
    <x v="15"/>
    <x v="36"/>
    <s v="Creditor   (ငွေလွှဲ - YGN)"/>
    <m/>
    <m/>
    <n v="195700"/>
    <n v="-195700"/>
  </r>
  <r>
    <x v="3"/>
    <n v="3"/>
    <x v="15"/>
    <x v="37"/>
    <s v="Creditor   (ငွေလွှဲ - YGN)"/>
    <m/>
    <m/>
    <n v="142800"/>
    <n v="-142800"/>
  </r>
  <r>
    <x v="3"/>
    <n v="3"/>
    <x v="14"/>
    <x v="38"/>
    <s v="Cash       (ငွေလွှဲ - YGN)"/>
    <m/>
    <m/>
    <n v="30000"/>
    <n v="-30000"/>
  </r>
  <r>
    <x v="3"/>
    <n v="3"/>
    <x v="14"/>
    <x v="39"/>
    <s v="Cash       (ငွေလွှဲ - YGN)"/>
    <m/>
    <m/>
    <n v="18300"/>
    <n v="-18300"/>
  </r>
  <r>
    <x v="4"/>
    <n v="4"/>
    <x v="2"/>
    <x v="3"/>
    <m/>
    <m/>
    <n v="1500"/>
    <m/>
    <n v="1500"/>
  </r>
  <r>
    <x v="4"/>
    <n v="4"/>
    <x v="3"/>
    <x v="4"/>
    <m/>
    <m/>
    <n v="4883400"/>
    <m/>
    <n v="4883400"/>
  </r>
  <r>
    <x v="4"/>
    <n v="4"/>
    <x v="4"/>
    <x v="5"/>
    <m/>
    <m/>
    <n v="4900"/>
    <m/>
    <n v="4900"/>
  </r>
  <r>
    <x v="4"/>
    <n v="4"/>
    <x v="2"/>
    <x v="3"/>
    <m/>
    <m/>
    <n v="1200"/>
    <m/>
    <n v="1200"/>
  </r>
  <r>
    <x v="4"/>
    <n v="4"/>
    <x v="15"/>
    <x v="40"/>
    <s v="Cash       (ငွေလွှဲ - ဆိုင် )"/>
    <m/>
    <m/>
    <n v="69000"/>
    <n v="-69000"/>
  </r>
  <r>
    <x v="4"/>
    <n v="4"/>
    <x v="16"/>
    <x v="41"/>
    <m/>
    <m/>
    <m/>
    <n v="53000"/>
    <n v="-53000"/>
  </r>
  <r>
    <x v="4"/>
    <n v="4"/>
    <x v="10"/>
    <x v="42"/>
    <m/>
    <m/>
    <m/>
    <n v="4150"/>
    <n v="-4150"/>
  </r>
  <r>
    <x v="4"/>
    <n v="4"/>
    <x v="10"/>
    <x v="26"/>
    <m/>
    <m/>
    <m/>
    <n v="5000"/>
    <n v="-5000"/>
  </r>
  <r>
    <x v="4"/>
    <n v="4"/>
    <x v="10"/>
    <x v="43"/>
    <m/>
    <m/>
    <m/>
    <n v="5000"/>
    <n v="-5000"/>
  </r>
  <r>
    <x v="4"/>
    <n v="4"/>
    <x v="7"/>
    <x v="44"/>
    <m/>
    <m/>
    <m/>
    <n v="4150"/>
    <n v="-4150"/>
  </r>
  <r>
    <x v="4"/>
    <n v="4"/>
    <x v="8"/>
    <x v="45"/>
    <s v="Sale Return (ငွေပြန်အမ်း)"/>
    <m/>
    <m/>
    <n v="12000"/>
    <n v="-12000"/>
  </r>
  <r>
    <x v="4"/>
    <n v="4"/>
    <x v="17"/>
    <x v="46"/>
    <m/>
    <m/>
    <m/>
    <n v="156000"/>
    <n v="-156000"/>
  </r>
  <r>
    <x v="4"/>
    <n v="4"/>
    <x v="14"/>
    <x v="47"/>
    <s v="Cash       (ငွေလွှဲ - ဆိုင် )"/>
    <m/>
    <m/>
    <n v="39700"/>
    <n v="-39700"/>
  </r>
  <r>
    <x v="5"/>
    <n v="5"/>
    <x v="2"/>
    <x v="3"/>
    <m/>
    <m/>
    <n v="3000"/>
    <m/>
    <n v="3000"/>
  </r>
  <r>
    <x v="5"/>
    <n v="5"/>
    <x v="11"/>
    <x v="20"/>
    <m/>
    <m/>
    <n v="10000"/>
    <m/>
    <n v="10000"/>
  </r>
  <r>
    <x v="5"/>
    <n v="5"/>
    <x v="2"/>
    <x v="3"/>
    <m/>
    <m/>
    <n v="6000"/>
    <m/>
    <n v="6000"/>
  </r>
  <r>
    <x v="5"/>
    <n v="5"/>
    <x v="3"/>
    <x v="4"/>
    <m/>
    <m/>
    <n v="275750"/>
    <m/>
    <n v="275750"/>
  </r>
  <r>
    <x v="5"/>
    <n v="5"/>
    <x v="4"/>
    <x v="5"/>
    <m/>
    <m/>
    <n v="7900"/>
    <m/>
    <n v="7900"/>
  </r>
  <r>
    <x v="5"/>
    <n v="5"/>
    <x v="7"/>
    <x v="48"/>
    <m/>
    <m/>
    <m/>
    <n v="3500"/>
    <n v="-3500"/>
  </r>
  <r>
    <x v="5"/>
    <n v="5"/>
    <x v="5"/>
    <x v="49"/>
    <m/>
    <m/>
    <m/>
    <n v="5000"/>
    <n v="-5000"/>
  </r>
  <r>
    <x v="5"/>
    <n v="5"/>
    <x v="5"/>
    <x v="50"/>
    <m/>
    <m/>
    <m/>
    <n v="1000"/>
    <n v="-1000"/>
  </r>
  <r>
    <x v="5"/>
    <n v="5"/>
    <x v="10"/>
    <x v="51"/>
    <m/>
    <m/>
    <m/>
    <n v="600"/>
    <n v="-600"/>
  </r>
  <r>
    <x v="5"/>
    <n v="5"/>
    <x v="17"/>
    <x v="52"/>
    <m/>
    <m/>
    <m/>
    <n v="27000"/>
    <n v="-27000"/>
  </r>
  <r>
    <x v="5"/>
    <n v="5"/>
    <x v="8"/>
    <x v="53"/>
    <s v="Sale Return (ငွေပြန်အမ်း)"/>
    <m/>
    <m/>
    <n v="1000"/>
    <n v="-1000"/>
  </r>
  <r>
    <x v="5"/>
    <n v="5"/>
    <x v="10"/>
    <x v="54"/>
    <m/>
    <m/>
    <m/>
    <n v="10000"/>
    <n v="-10000"/>
  </r>
  <r>
    <x v="5"/>
    <n v="5"/>
    <x v="7"/>
    <x v="55"/>
    <m/>
    <m/>
    <m/>
    <n v="1500"/>
    <n v="-1500"/>
  </r>
  <r>
    <x v="6"/>
    <n v="6"/>
    <x v="2"/>
    <x v="3"/>
    <m/>
    <m/>
    <n v="600"/>
    <m/>
    <n v="600"/>
  </r>
  <r>
    <x v="6"/>
    <n v="6"/>
    <x v="3"/>
    <x v="4"/>
    <m/>
    <m/>
    <n v="527100"/>
    <m/>
    <n v="527100"/>
  </r>
  <r>
    <x v="6"/>
    <n v="6"/>
    <x v="4"/>
    <x v="5"/>
    <m/>
    <m/>
    <n v="2800"/>
    <m/>
    <n v="2800"/>
  </r>
  <r>
    <x v="6"/>
    <n v="6"/>
    <x v="14"/>
    <x v="56"/>
    <s v="Cash       (ငွေလွှဲ - ဆိုင် )"/>
    <m/>
    <m/>
    <n v="2500"/>
    <n v="-2500"/>
  </r>
  <r>
    <x v="6"/>
    <n v="6"/>
    <x v="5"/>
    <x v="6"/>
    <m/>
    <m/>
    <m/>
    <n v="14000"/>
    <n v="-14000"/>
  </r>
  <r>
    <x v="6"/>
    <n v="6"/>
    <x v="10"/>
    <x v="57"/>
    <m/>
    <m/>
    <m/>
    <n v="1000"/>
    <n v="-1000"/>
  </r>
  <r>
    <x v="6"/>
    <n v="6"/>
    <x v="14"/>
    <x v="47"/>
    <s v="Cash       (ငွေလွှဲ - ဆိုင် )"/>
    <m/>
    <m/>
    <n v="50750"/>
    <n v="-50750"/>
  </r>
  <r>
    <x v="6"/>
    <n v="6"/>
    <x v="10"/>
    <x v="58"/>
    <m/>
    <m/>
    <m/>
    <n v="1000"/>
    <n v="-1000"/>
  </r>
  <r>
    <x v="6"/>
    <n v="6"/>
    <x v="8"/>
    <x v="59"/>
    <s v="Sale Return (ငွေပြန်အမ်း)"/>
    <m/>
    <m/>
    <n v="1500"/>
    <n v="-1500"/>
  </r>
  <r>
    <x v="7"/>
    <n v="7"/>
    <x v="3"/>
    <x v="4"/>
    <m/>
    <m/>
    <n v="1176600"/>
    <m/>
    <n v="1176600"/>
  </r>
  <r>
    <x v="7"/>
    <n v="7"/>
    <x v="4"/>
    <x v="5"/>
    <m/>
    <m/>
    <n v="8300"/>
    <m/>
    <n v="8300"/>
  </r>
  <r>
    <x v="7"/>
    <n v="7"/>
    <x v="7"/>
    <x v="60"/>
    <m/>
    <m/>
    <m/>
    <n v="5100"/>
    <n v="-5100"/>
  </r>
  <r>
    <x v="7"/>
    <n v="7"/>
    <x v="16"/>
    <x v="61"/>
    <m/>
    <m/>
    <m/>
    <n v="20000"/>
    <n v="-20000"/>
  </r>
  <r>
    <x v="7"/>
    <n v="7"/>
    <x v="10"/>
    <x v="62"/>
    <m/>
    <m/>
    <m/>
    <n v="3000"/>
    <n v="-3000"/>
  </r>
  <r>
    <x v="7"/>
    <n v="7"/>
    <x v="8"/>
    <x v="63"/>
    <s v="Sale Return (ငွေပြန်အမ်း)"/>
    <m/>
    <m/>
    <n v="9000"/>
    <n v="-9000"/>
  </r>
  <r>
    <x v="7"/>
    <n v="7"/>
    <x v="8"/>
    <x v="64"/>
    <s v="Sale Return (ငွေပြန်အမ်း)"/>
    <m/>
    <m/>
    <n v="62000"/>
    <n v="-62000"/>
  </r>
  <r>
    <x v="7"/>
    <n v="7"/>
    <x v="14"/>
    <x v="65"/>
    <s v="Cash      (ငွေလွှဲ - Bank )"/>
    <m/>
    <m/>
    <n v="106300"/>
    <n v="-106300"/>
  </r>
  <r>
    <x v="7"/>
    <n v="7"/>
    <x v="14"/>
    <x v="29"/>
    <s v="Cash      (ငွေလွှဲ - Bank )"/>
    <m/>
    <m/>
    <n v="976000"/>
    <n v="-976000"/>
  </r>
  <r>
    <x v="8"/>
    <n v="8"/>
    <x v="2"/>
    <x v="3"/>
    <m/>
    <m/>
    <n v="1600"/>
    <m/>
    <n v="1600"/>
  </r>
  <r>
    <x v="8"/>
    <n v="8"/>
    <x v="2"/>
    <x v="3"/>
    <m/>
    <m/>
    <n v="2000"/>
    <m/>
    <n v="2000"/>
  </r>
  <r>
    <x v="8"/>
    <n v="8"/>
    <x v="3"/>
    <x v="4"/>
    <m/>
    <m/>
    <n v="402900"/>
    <m/>
    <n v="402900"/>
  </r>
  <r>
    <x v="8"/>
    <n v="8"/>
    <x v="4"/>
    <x v="5"/>
    <m/>
    <m/>
    <n v="4400"/>
    <m/>
    <n v="4400"/>
  </r>
  <r>
    <x v="8"/>
    <n v="8"/>
    <x v="5"/>
    <x v="6"/>
    <m/>
    <m/>
    <m/>
    <n v="4000"/>
    <n v="-4000"/>
  </r>
  <r>
    <x v="8"/>
    <n v="8"/>
    <x v="14"/>
    <x v="66"/>
    <s v="Cash       (ငွေလွှဲ - YGN)"/>
    <m/>
    <m/>
    <n v="267500"/>
    <n v="-267500"/>
  </r>
  <r>
    <x v="8"/>
    <n v="8"/>
    <x v="14"/>
    <x v="65"/>
    <s v="Cash       (ငွေလွှဲ - YGN)"/>
    <m/>
    <m/>
    <n v="212500"/>
    <n v="-212500"/>
  </r>
  <r>
    <x v="9"/>
    <n v="9"/>
    <x v="18"/>
    <x v="67"/>
    <m/>
    <m/>
    <n v="300000"/>
    <m/>
    <n v="300000"/>
  </r>
  <r>
    <x v="9"/>
    <n v="9"/>
    <x v="3"/>
    <x v="4"/>
    <m/>
    <m/>
    <n v="221800"/>
    <m/>
    <n v="221800"/>
  </r>
  <r>
    <x v="9"/>
    <n v="9"/>
    <x v="4"/>
    <x v="5"/>
    <m/>
    <m/>
    <n v="700"/>
    <m/>
    <n v="700"/>
  </r>
  <r>
    <x v="9"/>
    <n v="9"/>
    <x v="10"/>
    <x v="68"/>
    <m/>
    <m/>
    <m/>
    <n v="2100"/>
    <n v="-2100"/>
  </r>
  <r>
    <x v="9"/>
    <n v="9"/>
    <x v="5"/>
    <x v="50"/>
    <m/>
    <m/>
    <m/>
    <n v="1000"/>
    <n v="-1000"/>
  </r>
  <r>
    <x v="9"/>
    <n v="9"/>
    <x v="8"/>
    <x v="69"/>
    <s v="Sale Return (ငွေပြန်အမ်း)"/>
    <m/>
    <m/>
    <n v="7000"/>
    <n v="-7000"/>
  </r>
  <r>
    <x v="9"/>
    <n v="9"/>
    <x v="8"/>
    <x v="70"/>
    <s v="Sale Return (ငွေပြန်အမ်း)"/>
    <m/>
    <m/>
    <n v="67000"/>
    <n v="-67000"/>
  </r>
  <r>
    <x v="9"/>
    <n v="9"/>
    <x v="7"/>
    <x v="71"/>
    <m/>
    <m/>
    <m/>
    <n v="4500"/>
    <n v="-4500"/>
  </r>
  <r>
    <x v="9"/>
    <n v="9"/>
    <x v="7"/>
    <x v="72"/>
    <m/>
    <m/>
    <m/>
    <n v="3000"/>
    <n v="-3000"/>
  </r>
  <r>
    <x v="9"/>
    <n v="9"/>
    <x v="9"/>
    <x v="73"/>
    <m/>
    <m/>
    <m/>
    <n v="3500"/>
    <n v="-3500"/>
  </r>
  <r>
    <x v="9"/>
    <n v="9"/>
    <x v="8"/>
    <x v="74"/>
    <s v="Sale Return (ငွေပြန်အမ်း)"/>
    <m/>
    <m/>
    <n v="9500"/>
    <n v="-9500"/>
  </r>
  <r>
    <x v="9"/>
    <n v="9"/>
    <x v="15"/>
    <x v="75"/>
    <s v="Creditor   (ငွေလွှဲ - YGN)"/>
    <m/>
    <m/>
    <n v="1400000"/>
    <n v="-1400000"/>
  </r>
  <r>
    <x v="9"/>
    <n v="9"/>
    <x v="14"/>
    <x v="76"/>
    <s v="Cash       (ငွေလွှဲ - YGN)"/>
    <m/>
    <m/>
    <n v="397650"/>
    <n v="-397650"/>
  </r>
  <r>
    <x v="9"/>
    <n v="9"/>
    <x v="14"/>
    <x v="77"/>
    <s v="Cash       (ငွေလွှဲ - YGN)"/>
    <m/>
    <m/>
    <n v="386300"/>
    <n v="-386300"/>
  </r>
  <r>
    <x v="9"/>
    <n v="9"/>
    <x v="14"/>
    <x v="78"/>
    <s v="Cash       (ငွေလွှဲ - YGN)"/>
    <m/>
    <m/>
    <n v="559613"/>
    <n v="-559613"/>
  </r>
  <r>
    <x v="9"/>
    <n v="9"/>
    <x v="14"/>
    <x v="79"/>
    <s v="Cash       (ငွေလွှဲ - YGN)"/>
    <m/>
    <m/>
    <n v="629200"/>
    <n v="-629200"/>
  </r>
  <r>
    <x v="9"/>
    <n v="9"/>
    <x v="14"/>
    <x v="80"/>
    <s v="Cash       (ငွေလွှဲ - YGN)"/>
    <m/>
    <m/>
    <n v="253600"/>
    <n v="-253600"/>
  </r>
  <r>
    <x v="9"/>
    <n v="9"/>
    <x v="14"/>
    <x v="81"/>
    <s v="Cash       (ငွေလွှဲ - YGN)"/>
    <m/>
    <m/>
    <n v="8400"/>
    <n v="-8400"/>
  </r>
  <r>
    <x v="9"/>
    <n v="9"/>
    <x v="14"/>
    <x v="39"/>
    <s v="Cash       (ငွေလွှဲ - YGN)"/>
    <m/>
    <m/>
    <n v="96000"/>
    <n v="-96000"/>
  </r>
  <r>
    <x v="9"/>
    <n v="9"/>
    <x v="14"/>
    <x v="30"/>
    <s v="Cash       (ငွေလွှဲ - YGN)"/>
    <m/>
    <m/>
    <n v="380000"/>
    <n v="-380000"/>
  </r>
  <r>
    <x v="9"/>
    <n v="9"/>
    <x v="14"/>
    <x v="33"/>
    <s v="Cash       (ငွေလွှဲ - YGN)"/>
    <m/>
    <m/>
    <n v="335500"/>
    <n v="-335500"/>
  </r>
  <r>
    <x v="9"/>
    <n v="9"/>
    <x v="14"/>
    <x v="82"/>
    <s v="Cash       (ငွေလွှဲ - YGN)"/>
    <m/>
    <m/>
    <n v="76000"/>
    <n v="-76000"/>
  </r>
  <r>
    <x v="9"/>
    <n v="9"/>
    <x v="14"/>
    <x v="83"/>
    <s v="Cash       (ငွေလွှဲ - YGN)"/>
    <m/>
    <m/>
    <n v="13950"/>
    <n v="-13950"/>
  </r>
  <r>
    <x v="9"/>
    <n v="9"/>
    <x v="14"/>
    <x v="84"/>
    <s v="Cash       (ငွေလွှဲ - YGN)"/>
    <m/>
    <m/>
    <n v="3000"/>
    <n v="-3000"/>
  </r>
  <r>
    <x v="10"/>
    <n v="10"/>
    <x v="2"/>
    <x v="3"/>
    <m/>
    <m/>
    <n v="2500"/>
    <m/>
    <n v="2500"/>
  </r>
  <r>
    <x v="10"/>
    <n v="10"/>
    <x v="3"/>
    <x v="4"/>
    <m/>
    <m/>
    <n v="747500"/>
    <m/>
    <n v="747500"/>
  </r>
  <r>
    <x v="10"/>
    <n v="10"/>
    <x v="4"/>
    <x v="5"/>
    <m/>
    <m/>
    <n v="4600"/>
    <m/>
    <n v="4600"/>
  </r>
  <r>
    <x v="10"/>
    <n v="10"/>
    <x v="8"/>
    <x v="85"/>
    <s v="Sale Return (ငွေပြန်အမ်း)"/>
    <m/>
    <m/>
    <n v="26800"/>
    <n v="-26800"/>
  </r>
  <r>
    <x v="10"/>
    <n v="10"/>
    <x v="8"/>
    <x v="86"/>
    <s v="Sale Return (ငွေပြန်အမ်း)"/>
    <m/>
    <m/>
    <n v="13000"/>
    <n v="-13000"/>
  </r>
  <r>
    <x v="11"/>
    <n v="11"/>
    <x v="2"/>
    <x v="3"/>
    <m/>
    <m/>
    <n v="1200"/>
    <m/>
    <n v="1200"/>
  </r>
  <r>
    <x v="11"/>
    <n v="11"/>
    <x v="2"/>
    <x v="3"/>
    <m/>
    <m/>
    <n v="2000"/>
    <m/>
    <n v="2000"/>
  </r>
  <r>
    <x v="11"/>
    <n v="11"/>
    <x v="2"/>
    <x v="3"/>
    <m/>
    <m/>
    <n v="1200"/>
    <m/>
    <n v="1200"/>
  </r>
  <r>
    <x v="11"/>
    <n v="11"/>
    <x v="3"/>
    <x v="4"/>
    <m/>
    <m/>
    <n v="562100"/>
    <m/>
    <n v="562100"/>
  </r>
  <r>
    <x v="11"/>
    <n v="11"/>
    <x v="4"/>
    <x v="5"/>
    <m/>
    <m/>
    <n v="1300"/>
    <m/>
    <n v="1300"/>
  </r>
  <r>
    <x v="11"/>
    <n v="11"/>
    <x v="10"/>
    <x v="87"/>
    <m/>
    <m/>
    <m/>
    <n v="12500"/>
    <n v="-12500"/>
  </r>
  <r>
    <x v="11"/>
    <n v="11"/>
    <x v="14"/>
    <x v="84"/>
    <s v="Cash       (ငွေလွှဲ - ဆိုင် )"/>
    <m/>
    <m/>
    <n v="33000"/>
    <n v="-33000"/>
  </r>
  <r>
    <x v="11"/>
    <n v="11"/>
    <x v="8"/>
    <x v="88"/>
    <s v="Sale Return (ငွေပြန်အမ်း)"/>
    <m/>
    <m/>
    <n v="30000"/>
    <n v="-30000"/>
  </r>
  <r>
    <x v="11"/>
    <n v="11"/>
    <x v="8"/>
    <x v="89"/>
    <s v="Sale Return (ငွေပြန်အမ်း)"/>
    <m/>
    <m/>
    <n v="30000"/>
    <n v="-30000"/>
  </r>
  <r>
    <x v="11"/>
    <n v="11"/>
    <x v="6"/>
    <x v="7"/>
    <m/>
    <m/>
    <m/>
    <n v="50000"/>
    <n v="-50000"/>
  </r>
  <r>
    <x v="12"/>
    <n v="12"/>
    <x v="2"/>
    <x v="90"/>
    <m/>
    <m/>
    <n v="1200"/>
    <m/>
    <n v="1200"/>
  </r>
  <r>
    <x v="12"/>
    <n v="12"/>
    <x v="2"/>
    <x v="90"/>
    <m/>
    <m/>
    <n v="2000"/>
    <m/>
    <n v="2000"/>
  </r>
  <r>
    <x v="12"/>
    <n v="12"/>
    <x v="3"/>
    <x v="4"/>
    <m/>
    <m/>
    <n v="782600"/>
    <m/>
    <n v="782600"/>
  </r>
  <r>
    <x v="12"/>
    <n v="12"/>
    <x v="4"/>
    <x v="5"/>
    <m/>
    <m/>
    <n v="4700"/>
    <m/>
    <n v="4700"/>
  </r>
  <r>
    <x v="12"/>
    <n v="12"/>
    <x v="7"/>
    <x v="91"/>
    <m/>
    <m/>
    <m/>
    <n v="58000"/>
    <n v="-58000"/>
  </r>
  <r>
    <x v="12"/>
    <n v="12"/>
    <x v="7"/>
    <x v="92"/>
    <m/>
    <m/>
    <m/>
    <n v="100500"/>
    <n v="-100500"/>
  </r>
  <r>
    <x v="12"/>
    <n v="12"/>
    <x v="10"/>
    <x v="93"/>
    <m/>
    <m/>
    <m/>
    <n v="500"/>
    <n v="-500"/>
  </r>
  <r>
    <x v="12"/>
    <n v="12"/>
    <x v="10"/>
    <x v="26"/>
    <m/>
    <m/>
    <m/>
    <n v="8000"/>
    <n v="-8000"/>
  </r>
  <r>
    <x v="12"/>
    <n v="12"/>
    <x v="7"/>
    <x v="94"/>
    <m/>
    <m/>
    <m/>
    <n v="100000"/>
    <n v="-100000"/>
  </r>
  <r>
    <x v="13"/>
    <n v="13"/>
    <x v="11"/>
    <x v="20"/>
    <m/>
    <m/>
    <n v="1000"/>
    <m/>
    <n v="1000"/>
  </r>
  <r>
    <x v="13"/>
    <n v="13"/>
    <x v="2"/>
    <x v="3"/>
    <m/>
    <m/>
    <n v="1000"/>
    <m/>
    <n v="1000"/>
  </r>
  <r>
    <x v="13"/>
    <n v="13"/>
    <x v="3"/>
    <x v="4"/>
    <m/>
    <m/>
    <n v="235300"/>
    <m/>
    <n v="235300"/>
  </r>
  <r>
    <x v="13"/>
    <n v="13"/>
    <x v="4"/>
    <x v="5"/>
    <m/>
    <m/>
    <n v="1000"/>
    <m/>
    <n v="1000"/>
  </r>
  <r>
    <x v="13"/>
    <n v="13"/>
    <x v="7"/>
    <x v="95"/>
    <m/>
    <m/>
    <m/>
    <n v="21000"/>
    <n v="-21000"/>
  </r>
  <r>
    <x v="13"/>
    <n v="13"/>
    <x v="17"/>
    <x v="96"/>
    <m/>
    <m/>
    <m/>
    <n v="10500"/>
    <n v="-10500"/>
  </r>
  <r>
    <x v="13"/>
    <n v="13"/>
    <x v="10"/>
    <x v="51"/>
    <m/>
    <m/>
    <m/>
    <n v="600"/>
    <n v="-600"/>
  </r>
  <r>
    <x v="13"/>
    <n v="13"/>
    <x v="5"/>
    <x v="6"/>
    <m/>
    <m/>
    <m/>
    <n v="2000"/>
    <n v="-2000"/>
  </r>
  <r>
    <x v="14"/>
    <n v="14"/>
    <x v="2"/>
    <x v="3"/>
    <m/>
    <m/>
    <n v="700"/>
    <m/>
    <n v="700"/>
  </r>
  <r>
    <x v="14"/>
    <n v="14"/>
    <x v="2"/>
    <x v="3"/>
    <m/>
    <m/>
    <n v="2000"/>
    <m/>
    <n v="2000"/>
  </r>
  <r>
    <x v="14"/>
    <n v="14"/>
    <x v="3"/>
    <x v="4"/>
    <m/>
    <m/>
    <n v="643850"/>
    <m/>
    <n v="643850"/>
  </r>
  <r>
    <x v="14"/>
    <n v="14"/>
    <x v="4"/>
    <x v="5"/>
    <m/>
    <m/>
    <n v="1000"/>
    <m/>
    <n v="1000"/>
  </r>
  <r>
    <x v="14"/>
    <n v="14"/>
    <x v="10"/>
    <x v="97"/>
    <m/>
    <m/>
    <m/>
    <n v="6500"/>
    <n v="-6500"/>
  </r>
  <r>
    <x v="14"/>
    <n v="14"/>
    <x v="6"/>
    <x v="7"/>
    <m/>
    <m/>
    <m/>
    <n v="10000"/>
    <n v="-10000"/>
  </r>
  <r>
    <x v="14"/>
    <n v="14"/>
    <x v="19"/>
    <x v="98"/>
    <m/>
    <m/>
    <m/>
    <n v="20000"/>
    <n v="-20000"/>
  </r>
  <r>
    <x v="14"/>
    <n v="14"/>
    <x v="8"/>
    <x v="99"/>
    <s v="Sale Return (ငွေပြန်အမ်း)"/>
    <m/>
    <m/>
    <n v="35000"/>
    <n v="-35000"/>
  </r>
  <r>
    <x v="14"/>
    <n v="14"/>
    <x v="8"/>
    <x v="100"/>
    <s v="Sale Return (ငွေပြန်အမ်း)"/>
    <m/>
    <m/>
    <n v="16000"/>
    <n v="-16000"/>
  </r>
  <r>
    <x v="15"/>
    <n v="15"/>
    <x v="20"/>
    <x v="101"/>
    <m/>
    <m/>
    <n v="10500"/>
    <m/>
    <n v="10500"/>
  </r>
  <r>
    <x v="15"/>
    <n v="15"/>
    <x v="2"/>
    <x v="3"/>
    <m/>
    <m/>
    <n v="1200"/>
    <m/>
    <n v="1200"/>
  </r>
  <r>
    <x v="15"/>
    <n v="15"/>
    <x v="11"/>
    <x v="20"/>
    <m/>
    <m/>
    <n v="17000"/>
    <m/>
    <n v="17000"/>
  </r>
  <r>
    <x v="15"/>
    <n v="15"/>
    <x v="3"/>
    <x v="4"/>
    <m/>
    <m/>
    <n v="389800"/>
    <m/>
    <n v="389800"/>
  </r>
  <r>
    <x v="15"/>
    <n v="15"/>
    <x v="4"/>
    <x v="5"/>
    <m/>
    <m/>
    <n v="2500"/>
    <m/>
    <n v="2500"/>
  </r>
  <r>
    <x v="15"/>
    <n v="15"/>
    <x v="5"/>
    <x v="50"/>
    <m/>
    <m/>
    <m/>
    <n v="1500"/>
    <n v="-1500"/>
  </r>
  <r>
    <x v="15"/>
    <n v="15"/>
    <x v="14"/>
    <x v="84"/>
    <s v="Cash       (ငွေလွှဲ - ဆိုင် )"/>
    <m/>
    <m/>
    <n v="5000"/>
    <n v="-5000"/>
  </r>
  <r>
    <x v="15"/>
    <n v="15"/>
    <x v="16"/>
    <x v="102"/>
    <m/>
    <m/>
    <m/>
    <n v="50000"/>
    <n v="-50000"/>
  </r>
  <r>
    <x v="15"/>
    <n v="15"/>
    <x v="21"/>
    <x v="103"/>
    <m/>
    <m/>
    <m/>
    <n v="25500"/>
    <n v="-25500"/>
  </r>
  <r>
    <x v="15"/>
    <n v="15"/>
    <x v="22"/>
    <x v="104"/>
    <m/>
    <m/>
    <m/>
    <n v="5000"/>
    <n v="-5000"/>
  </r>
  <r>
    <x v="15"/>
    <n v="15"/>
    <x v="10"/>
    <x v="105"/>
    <m/>
    <m/>
    <m/>
    <n v="1000"/>
    <n v="-1000"/>
  </r>
  <r>
    <x v="15"/>
    <n v="15"/>
    <x v="6"/>
    <x v="7"/>
    <m/>
    <m/>
    <m/>
    <n v="10000"/>
    <n v="-10000"/>
  </r>
  <r>
    <x v="15"/>
    <n v="15"/>
    <x v="9"/>
    <x v="106"/>
    <m/>
    <m/>
    <m/>
    <n v="3000"/>
    <n v="-3000"/>
  </r>
  <r>
    <x v="16"/>
    <n v="16"/>
    <x v="21"/>
    <x v="107"/>
    <m/>
    <m/>
    <n v="25500"/>
    <m/>
    <n v="25500"/>
  </r>
  <r>
    <x v="16"/>
    <n v="16"/>
    <x v="2"/>
    <x v="3"/>
    <m/>
    <m/>
    <n v="800"/>
    <m/>
    <n v="800"/>
  </r>
  <r>
    <x v="16"/>
    <n v="16"/>
    <x v="2"/>
    <x v="3"/>
    <m/>
    <m/>
    <n v="500"/>
    <m/>
    <n v="500"/>
  </r>
  <r>
    <x v="16"/>
    <n v="16"/>
    <x v="3"/>
    <x v="4"/>
    <m/>
    <m/>
    <n v="374100"/>
    <m/>
    <n v="374100"/>
  </r>
  <r>
    <x v="16"/>
    <n v="16"/>
    <x v="4"/>
    <x v="5"/>
    <m/>
    <m/>
    <n v="1700"/>
    <m/>
    <n v="1700"/>
  </r>
  <r>
    <x v="16"/>
    <n v="16"/>
    <x v="7"/>
    <x v="108"/>
    <m/>
    <m/>
    <m/>
    <n v="4000"/>
    <n v="-4000"/>
  </r>
  <r>
    <x v="16"/>
    <n v="16"/>
    <x v="7"/>
    <x v="109"/>
    <m/>
    <m/>
    <m/>
    <n v="65000"/>
    <n v="-65000"/>
  </r>
  <r>
    <x v="16"/>
    <n v="16"/>
    <x v="7"/>
    <x v="110"/>
    <m/>
    <m/>
    <m/>
    <n v="10000"/>
    <n v="-10000"/>
  </r>
  <r>
    <x v="16"/>
    <n v="16"/>
    <x v="12"/>
    <x v="111"/>
    <m/>
    <m/>
    <m/>
    <n v="20000"/>
    <n v="-20000"/>
  </r>
  <r>
    <x v="16"/>
    <n v="16"/>
    <x v="19"/>
    <x v="98"/>
    <m/>
    <m/>
    <m/>
    <n v="80000"/>
    <n v="-80000"/>
  </r>
  <r>
    <x v="16"/>
    <n v="16"/>
    <x v="17"/>
    <x v="112"/>
    <m/>
    <m/>
    <m/>
    <n v="35000"/>
    <n v="-35000"/>
  </r>
  <r>
    <x v="16"/>
    <n v="16"/>
    <x v="21"/>
    <x v="103"/>
    <m/>
    <m/>
    <m/>
    <n v="700"/>
    <n v="-700"/>
  </r>
  <r>
    <x v="16"/>
    <n v="16"/>
    <x v="14"/>
    <x v="31"/>
    <s v="Cash       (ငွေလွှဲ - YGN)"/>
    <m/>
    <m/>
    <n v="130000"/>
    <n v="-130000"/>
  </r>
  <r>
    <x v="17"/>
    <n v="17"/>
    <x v="11"/>
    <x v="20"/>
    <m/>
    <m/>
    <n v="1700"/>
    <m/>
    <n v="1700"/>
  </r>
  <r>
    <x v="17"/>
    <n v="17"/>
    <x v="2"/>
    <x v="3"/>
    <m/>
    <m/>
    <n v="1000"/>
    <m/>
    <n v="1000"/>
  </r>
  <r>
    <x v="17"/>
    <n v="17"/>
    <x v="3"/>
    <x v="113"/>
    <m/>
    <m/>
    <n v="235900"/>
    <m/>
    <n v="235900"/>
  </r>
  <r>
    <x v="17"/>
    <n v="17"/>
    <x v="4"/>
    <x v="5"/>
    <m/>
    <m/>
    <n v="200"/>
    <m/>
    <n v="200"/>
  </r>
  <r>
    <x v="17"/>
    <n v="17"/>
    <x v="5"/>
    <x v="6"/>
    <m/>
    <m/>
    <m/>
    <n v="2000"/>
    <n v="-2000"/>
  </r>
  <r>
    <x v="17"/>
    <n v="17"/>
    <x v="5"/>
    <x v="114"/>
    <m/>
    <m/>
    <m/>
    <n v="7000"/>
    <n v="-7000"/>
  </r>
  <r>
    <x v="17"/>
    <n v="17"/>
    <x v="9"/>
    <x v="106"/>
    <m/>
    <m/>
    <m/>
    <n v="3700"/>
    <n v="-3700"/>
  </r>
  <r>
    <x v="18"/>
    <n v="18"/>
    <x v="11"/>
    <x v="20"/>
    <m/>
    <m/>
    <n v="5000"/>
    <m/>
    <n v="5000"/>
  </r>
  <r>
    <x v="18"/>
    <n v="18"/>
    <x v="2"/>
    <x v="3"/>
    <m/>
    <m/>
    <n v="600"/>
    <m/>
    <n v="600"/>
  </r>
  <r>
    <x v="18"/>
    <n v="18"/>
    <x v="11"/>
    <x v="20"/>
    <m/>
    <m/>
    <n v="5000"/>
    <m/>
    <n v="5000"/>
  </r>
  <r>
    <x v="18"/>
    <n v="18"/>
    <x v="3"/>
    <x v="4"/>
    <m/>
    <m/>
    <n v="251550"/>
    <m/>
    <n v="251550"/>
  </r>
  <r>
    <x v="18"/>
    <n v="18"/>
    <x v="4"/>
    <x v="5"/>
    <m/>
    <m/>
    <n v="1000"/>
    <m/>
    <n v="1000"/>
  </r>
  <r>
    <x v="18"/>
    <n v="18"/>
    <x v="10"/>
    <x v="115"/>
    <m/>
    <m/>
    <m/>
    <n v="1000"/>
    <n v="-1000"/>
  </r>
  <r>
    <x v="18"/>
    <n v="18"/>
    <x v="10"/>
    <x v="42"/>
    <m/>
    <m/>
    <m/>
    <n v="2700"/>
    <n v="-2700"/>
  </r>
  <r>
    <x v="18"/>
    <n v="18"/>
    <x v="16"/>
    <x v="116"/>
    <m/>
    <m/>
    <m/>
    <n v="5000"/>
    <n v="-5000"/>
  </r>
  <r>
    <x v="18"/>
    <n v="18"/>
    <x v="12"/>
    <x v="117"/>
    <m/>
    <m/>
    <m/>
    <n v="2000"/>
    <n v="-2000"/>
  </r>
  <r>
    <x v="18"/>
    <n v="18"/>
    <x v="12"/>
    <x v="118"/>
    <m/>
    <m/>
    <m/>
    <n v="5000"/>
    <n v="-5000"/>
  </r>
  <r>
    <x v="18"/>
    <n v="18"/>
    <x v="9"/>
    <x v="119"/>
    <m/>
    <m/>
    <m/>
    <n v="300"/>
    <n v="-300"/>
  </r>
  <r>
    <x v="18"/>
    <n v="18"/>
    <x v="14"/>
    <x v="35"/>
    <s v="Cash       (ငွေလွှဲ - ဆိုင် )"/>
    <m/>
    <m/>
    <n v="466000"/>
    <n v="-466000"/>
  </r>
  <r>
    <x v="19"/>
    <n v="19"/>
    <x v="20"/>
    <x v="120"/>
    <m/>
    <m/>
    <n v="35000"/>
    <m/>
    <n v="35000"/>
  </r>
  <r>
    <x v="19"/>
    <n v="19"/>
    <x v="2"/>
    <x v="3"/>
    <m/>
    <m/>
    <n v="500"/>
    <m/>
    <n v="500"/>
  </r>
  <r>
    <x v="19"/>
    <n v="19"/>
    <x v="11"/>
    <x v="121"/>
    <m/>
    <m/>
    <n v="200000"/>
    <m/>
    <n v="200000"/>
  </r>
  <r>
    <x v="19"/>
    <n v="19"/>
    <x v="11"/>
    <x v="20"/>
    <m/>
    <m/>
    <n v="2000"/>
    <m/>
    <n v="2000"/>
  </r>
  <r>
    <x v="19"/>
    <n v="19"/>
    <x v="3"/>
    <x v="4"/>
    <m/>
    <m/>
    <n v="239750"/>
    <m/>
    <n v="239750"/>
  </r>
  <r>
    <x v="19"/>
    <n v="19"/>
    <x v="4"/>
    <x v="5"/>
    <m/>
    <m/>
    <n v="2400"/>
    <m/>
    <n v="2400"/>
  </r>
  <r>
    <x v="19"/>
    <n v="19"/>
    <x v="7"/>
    <x v="122"/>
    <m/>
    <m/>
    <m/>
    <n v="10000"/>
    <n v="-10000"/>
  </r>
  <r>
    <x v="19"/>
    <n v="19"/>
    <x v="9"/>
    <x v="123"/>
    <m/>
    <m/>
    <m/>
    <n v="1500"/>
    <n v="-1500"/>
  </r>
  <r>
    <x v="19"/>
    <n v="19"/>
    <x v="14"/>
    <x v="124"/>
    <s v="Cash       (ငွေလွှဲ - ဆိုင် )"/>
    <m/>
    <m/>
    <n v="3000"/>
    <n v="-3000"/>
  </r>
  <r>
    <x v="19"/>
    <n v="19"/>
    <x v="10"/>
    <x v="125"/>
    <m/>
    <m/>
    <m/>
    <n v="60000"/>
    <n v="-60000"/>
  </r>
  <r>
    <x v="19"/>
    <n v="19"/>
    <x v="10"/>
    <x v="126"/>
    <m/>
    <m/>
    <m/>
    <n v="100500"/>
    <n v="-100500"/>
  </r>
  <r>
    <x v="19"/>
    <n v="19"/>
    <x v="7"/>
    <x v="127"/>
    <m/>
    <m/>
    <m/>
    <n v="50500"/>
    <n v="-50500"/>
  </r>
  <r>
    <x v="19"/>
    <n v="19"/>
    <x v="8"/>
    <x v="128"/>
    <s v="Sale Return (ငွေပြန်အမ်း)"/>
    <m/>
    <m/>
    <n v="10000"/>
    <n v="-10000"/>
  </r>
  <r>
    <x v="19"/>
    <n v="19"/>
    <x v="8"/>
    <x v="129"/>
    <s v="Sale Return (ငွေပြန်အမ်း)"/>
    <m/>
    <m/>
    <n v="2000"/>
    <n v="-2000"/>
  </r>
  <r>
    <x v="19"/>
    <n v="19"/>
    <x v="17"/>
    <x v="130"/>
    <m/>
    <m/>
    <m/>
    <n v="13000"/>
    <n v="-13000"/>
  </r>
  <r>
    <x v="19"/>
    <n v="19"/>
    <x v="14"/>
    <x v="47"/>
    <s v="Cash       (ငွေလွှဲ - အိမ် )"/>
    <m/>
    <m/>
    <n v="275850"/>
    <n v="-275850"/>
  </r>
  <r>
    <x v="20"/>
    <n v="20"/>
    <x v="11"/>
    <x v="20"/>
    <m/>
    <m/>
    <n v="1000"/>
    <m/>
    <n v="1000"/>
  </r>
  <r>
    <x v="20"/>
    <n v="20"/>
    <x v="2"/>
    <x v="3"/>
    <m/>
    <m/>
    <n v="500"/>
    <m/>
    <n v="500"/>
  </r>
  <r>
    <x v="20"/>
    <n v="20"/>
    <x v="3"/>
    <x v="4"/>
    <m/>
    <m/>
    <n v="313350"/>
    <m/>
    <n v="313350"/>
  </r>
  <r>
    <x v="20"/>
    <n v="20"/>
    <x v="4"/>
    <x v="5"/>
    <m/>
    <m/>
    <n v="3100"/>
    <m/>
    <n v="3100"/>
  </r>
  <r>
    <x v="20"/>
    <n v="20"/>
    <x v="22"/>
    <x v="131"/>
    <m/>
    <m/>
    <m/>
    <n v="8200"/>
    <n v="-8200"/>
  </r>
  <r>
    <x v="20"/>
    <n v="20"/>
    <x v="10"/>
    <x v="132"/>
    <m/>
    <m/>
    <m/>
    <n v="18950"/>
    <n v="-18950"/>
  </r>
  <r>
    <x v="20"/>
    <n v="20"/>
    <x v="12"/>
    <x v="133"/>
    <m/>
    <m/>
    <m/>
    <n v="7300"/>
    <n v="-7300"/>
  </r>
  <r>
    <x v="20"/>
    <n v="20"/>
    <x v="7"/>
    <x v="134"/>
    <m/>
    <m/>
    <m/>
    <n v="43350"/>
    <n v="-43350"/>
  </r>
  <r>
    <x v="20"/>
    <n v="20"/>
    <x v="5"/>
    <x v="6"/>
    <m/>
    <m/>
    <m/>
    <n v="2500"/>
    <n v="-2500"/>
  </r>
  <r>
    <x v="20"/>
    <n v="20"/>
    <x v="12"/>
    <x v="15"/>
    <m/>
    <m/>
    <m/>
    <n v="10000"/>
    <n v="-10000"/>
  </r>
  <r>
    <x v="20"/>
    <n v="20"/>
    <x v="8"/>
    <x v="135"/>
    <s v="Sale Return (ငွေပြန်အမ်း)"/>
    <m/>
    <m/>
    <n v="23000"/>
    <n v="-23000"/>
  </r>
  <r>
    <x v="20"/>
    <n v="20"/>
    <x v="14"/>
    <x v="39"/>
    <s v="Cash       (ငွေလွှဲ - YGN)"/>
    <m/>
    <m/>
    <n v="24600"/>
    <n v="-24600"/>
  </r>
  <r>
    <x v="20"/>
    <n v="20"/>
    <x v="14"/>
    <x v="31"/>
    <s v="Cash       (ငွေလွှဲ - YGN)"/>
    <m/>
    <m/>
    <n v="57000"/>
    <n v="-57000"/>
  </r>
  <r>
    <x v="21"/>
    <n v="21"/>
    <x v="2"/>
    <x v="3"/>
    <m/>
    <m/>
    <n v="1000"/>
    <m/>
    <n v="1000"/>
  </r>
  <r>
    <x v="21"/>
    <n v="21"/>
    <x v="3"/>
    <x v="136"/>
    <m/>
    <m/>
    <n v="484300"/>
    <m/>
    <n v="484300"/>
  </r>
  <r>
    <x v="21"/>
    <n v="21"/>
    <x v="4"/>
    <x v="5"/>
    <m/>
    <m/>
    <n v="500"/>
    <m/>
    <n v="500"/>
  </r>
  <r>
    <x v="21"/>
    <n v="21"/>
    <x v="9"/>
    <x v="123"/>
    <m/>
    <m/>
    <m/>
    <n v="1500"/>
    <n v="-1500"/>
  </r>
  <r>
    <x v="21"/>
    <n v="21"/>
    <x v="10"/>
    <x v="137"/>
    <m/>
    <m/>
    <m/>
    <n v="600"/>
    <n v="-600"/>
  </r>
  <r>
    <x v="21"/>
    <n v="21"/>
    <x v="8"/>
    <x v="138"/>
    <s v="Sale Return (ငွေပြန်အမ်း)"/>
    <m/>
    <m/>
    <n v="6400"/>
    <n v="-6400"/>
  </r>
  <r>
    <x v="21"/>
    <n v="21"/>
    <x v="14"/>
    <x v="139"/>
    <s v="Cash       (ငွေလွှဲ - အိမ် )"/>
    <m/>
    <m/>
    <n v="84250"/>
    <n v="-84250"/>
  </r>
  <r>
    <x v="22"/>
    <n v="22"/>
    <x v="2"/>
    <x v="3"/>
    <m/>
    <m/>
    <n v="1500"/>
    <m/>
    <n v="1500"/>
  </r>
  <r>
    <x v="22"/>
    <n v="22"/>
    <x v="3"/>
    <x v="4"/>
    <m/>
    <m/>
    <n v="972300"/>
    <m/>
    <n v="972300"/>
  </r>
  <r>
    <x v="22"/>
    <n v="22"/>
    <x v="4"/>
    <x v="5"/>
    <m/>
    <m/>
    <n v="1500"/>
    <m/>
    <n v="1500"/>
  </r>
  <r>
    <x v="22"/>
    <n v="22"/>
    <x v="7"/>
    <x v="140"/>
    <m/>
    <m/>
    <m/>
    <n v="7800"/>
    <n v="-7800"/>
  </r>
  <r>
    <x v="22"/>
    <n v="22"/>
    <x v="15"/>
    <x v="141"/>
    <s v="Cash       (ငွေလွှဲ - YGN)"/>
    <m/>
    <m/>
    <n v="416000"/>
    <n v="-416000"/>
  </r>
  <r>
    <x v="22"/>
    <n v="22"/>
    <x v="15"/>
    <x v="142"/>
    <s v="Cash       (ငွေလွှဲ - YGN)"/>
    <m/>
    <m/>
    <n v="1000000"/>
    <n v="-1000000"/>
  </r>
  <r>
    <x v="22"/>
    <n v="22"/>
    <x v="15"/>
    <x v="75"/>
    <s v="Cash       (ငွေလွှဲ - YGN)"/>
    <m/>
    <m/>
    <n v="800000"/>
    <n v="-800000"/>
  </r>
  <r>
    <x v="22"/>
    <n v="22"/>
    <x v="14"/>
    <x v="79"/>
    <s v="Cash       (ငွေလွှဲ - YGN)"/>
    <m/>
    <m/>
    <n v="183000"/>
    <n v="-183000"/>
  </r>
  <r>
    <x v="22"/>
    <n v="22"/>
    <x v="14"/>
    <x v="82"/>
    <s v="Cash       (ငွေလွှဲ - YGN)"/>
    <m/>
    <m/>
    <n v="139100"/>
    <n v="-139100"/>
  </r>
  <r>
    <x v="22"/>
    <n v="22"/>
    <x v="14"/>
    <x v="66"/>
    <s v="Cash       (ငွေလွှဲ - YGN)"/>
    <m/>
    <m/>
    <n v="391600"/>
    <n v="-391600"/>
  </r>
  <r>
    <x v="22"/>
    <n v="22"/>
    <x v="14"/>
    <x v="76"/>
    <s v="Cash       (ငွေလွှဲ - YGN)"/>
    <m/>
    <m/>
    <n v="455450"/>
    <n v="-455450"/>
  </r>
  <r>
    <x v="22"/>
    <n v="22"/>
    <x v="14"/>
    <x v="30"/>
    <s v="Cash       (ငွေလွှဲ - YGN)"/>
    <m/>
    <m/>
    <n v="410000"/>
    <n v="-410000"/>
  </r>
  <r>
    <x v="22"/>
    <n v="22"/>
    <x v="14"/>
    <x v="33"/>
    <s v="Cash       (ငွေလွှဲ - YGN)"/>
    <m/>
    <m/>
    <n v="349800"/>
    <n v="-349800"/>
  </r>
  <r>
    <x v="22"/>
    <n v="22"/>
    <x v="14"/>
    <x v="143"/>
    <s v="Cash       (ငွေလွှဲ - YGN)"/>
    <m/>
    <m/>
    <n v="93650"/>
    <n v="-93650"/>
  </r>
  <r>
    <x v="22"/>
    <n v="22"/>
    <x v="14"/>
    <x v="144"/>
    <s v="Cash       (ငွေလွှဲ - YGN)"/>
    <m/>
    <m/>
    <n v="122500"/>
    <n v="-122500"/>
  </r>
  <r>
    <x v="22"/>
    <n v="22"/>
    <x v="14"/>
    <x v="80"/>
    <s v="Cash       (ငွေလွှဲ - YGN)"/>
    <m/>
    <m/>
    <n v="32400"/>
    <n v="-32400"/>
  </r>
  <r>
    <x v="22"/>
    <n v="22"/>
    <x v="14"/>
    <x v="39"/>
    <s v="Cash       (ငွေလွှဲ - YGN)"/>
    <m/>
    <m/>
    <n v="21900"/>
    <n v="-21900"/>
  </r>
  <r>
    <x v="22"/>
    <n v="22"/>
    <x v="14"/>
    <x v="81"/>
    <s v="Cash       (ငွေလွှဲ - YGN)"/>
    <m/>
    <m/>
    <n v="50000"/>
    <n v="-50000"/>
  </r>
  <r>
    <x v="22"/>
    <n v="22"/>
    <x v="14"/>
    <x v="145"/>
    <s v="Cash       (ငွေလွှဲ - YGN)"/>
    <m/>
    <m/>
    <n v="23100"/>
    <n v="-23100"/>
  </r>
  <r>
    <x v="22"/>
    <n v="22"/>
    <x v="14"/>
    <x v="83"/>
    <s v="Cash       (ငွေလွှဲ - YGN)"/>
    <m/>
    <m/>
    <n v="12300"/>
    <n v="-12300"/>
  </r>
  <r>
    <x v="23"/>
    <n v="23"/>
    <x v="2"/>
    <x v="3"/>
    <m/>
    <m/>
    <n v="6000"/>
    <m/>
    <n v="6000"/>
  </r>
  <r>
    <x v="23"/>
    <n v="23"/>
    <x v="3"/>
    <x v="4"/>
    <m/>
    <m/>
    <n v="844600"/>
    <m/>
    <n v="844600"/>
  </r>
  <r>
    <x v="23"/>
    <n v="23"/>
    <x v="4"/>
    <x v="5"/>
    <m/>
    <m/>
    <n v="1000"/>
    <m/>
    <n v="1000"/>
  </r>
  <r>
    <x v="23"/>
    <n v="23"/>
    <x v="5"/>
    <x v="146"/>
    <m/>
    <m/>
    <m/>
    <n v="13000"/>
    <n v="-13000"/>
  </r>
  <r>
    <x v="23"/>
    <n v="23"/>
    <x v="7"/>
    <x v="147"/>
    <m/>
    <m/>
    <m/>
    <n v="6000"/>
    <n v="-6000"/>
  </r>
  <r>
    <x v="23"/>
    <n v="23"/>
    <x v="7"/>
    <x v="148"/>
    <m/>
    <m/>
    <m/>
    <n v="2300"/>
    <n v="-2300"/>
  </r>
  <r>
    <x v="23"/>
    <n v="23"/>
    <x v="17"/>
    <x v="149"/>
    <m/>
    <m/>
    <m/>
    <n v="26000"/>
    <n v="-26000"/>
  </r>
  <r>
    <x v="23"/>
    <n v="23"/>
    <x v="17"/>
    <x v="150"/>
    <m/>
    <m/>
    <m/>
    <n v="26700"/>
    <n v="-26700"/>
  </r>
  <r>
    <x v="23"/>
    <n v="23"/>
    <x v="8"/>
    <x v="151"/>
    <s v="Sale Return (ငွေပြန်အမ်း)"/>
    <m/>
    <m/>
    <n v="6000"/>
    <n v="-6000"/>
  </r>
  <r>
    <x v="23"/>
    <n v="23"/>
    <x v="6"/>
    <x v="7"/>
    <m/>
    <m/>
    <m/>
    <n v="60000"/>
    <n v="-60000"/>
  </r>
  <r>
    <x v="23"/>
    <n v="23"/>
    <x v="7"/>
    <x v="152"/>
    <m/>
    <m/>
    <m/>
    <n v="5500"/>
    <n v="-5500"/>
  </r>
  <r>
    <x v="23"/>
    <n v="23"/>
    <x v="14"/>
    <x v="79"/>
    <s v="Cash       (ငွေလွှဲ - YGN)"/>
    <m/>
    <m/>
    <n v="61000"/>
    <n v="-61000"/>
  </r>
  <r>
    <x v="24"/>
    <n v="24"/>
    <x v="11"/>
    <x v="20"/>
    <m/>
    <m/>
    <n v="1000"/>
    <m/>
    <n v="1000"/>
  </r>
  <r>
    <x v="24"/>
    <n v="24"/>
    <x v="20"/>
    <x v="153"/>
    <m/>
    <m/>
    <n v="27000"/>
    <m/>
    <n v="27000"/>
  </r>
  <r>
    <x v="24"/>
    <n v="24"/>
    <x v="20"/>
    <x v="154"/>
    <m/>
    <m/>
    <n v="156000"/>
    <m/>
    <n v="156000"/>
  </r>
  <r>
    <x v="24"/>
    <n v="24"/>
    <x v="20"/>
    <x v="2"/>
    <m/>
    <m/>
    <n v="26700"/>
    <m/>
    <n v="26700"/>
  </r>
  <r>
    <x v="24"/>
    <n v="24"/>
    <x v="2"/>
    <x v="3"/>
    <m/>
    <m/>
    <n v="1000"/>
    <m/>
    <n v="1000"/>
  </r>
  <r>
    <x v="24"/>
    <n v="24"/>
    <x v="20"/>
    <x v="155"/>
    <m/>
    <m/>
    <n v="13000"/>
    <m/>
    <n v="13000"/>
  </r>
  <r>
    <x v="24"/>
    <n v="24"/>
    <x v="3"/>
    <x v="4"/>
    <m/>
    <m/>
    <n v="1187750"/>
    <m/>
    <n v="1187750"/>
  </r>
  <r>
    <x v="24"/>
    <n v="24"/>
    <x v="4"/>
    <x v="5"/>
    <m/>
    <m/>
    <n v="2000"/>
    <m/>
    <n v="2000"/>
  </r>
  <r>
    <x v="24"/>
    <n v="24"/>
    <x v="10"/>
    <x v="156"/>
    <m/>
    <m/>
    <m/>
    <n v="156000"/>
    <n v="-156000"/>
  </r>
  <r>
    <x v="24"/>
    <n v="24"/>
    <x v="14"/>
    <x v="47"/>
    <s v="Cash       (ငွေလွှဲ - ဆိုင် )"/>
    <m/>
    <m/>
    <n v="16200"/>
    <n v="-16200"/>
  </r>
  <r>
    <x v="24"/>
    <n v="24"/>
    <x v="5"/>
    <x v="157"/>
    <m/>
    <m/>
    <m/>
    <n v="80000"/>
    <n v="-80000"/>
  </r>
  <r>
    <x v="24"/>
    <n v="24"/>
    <x v="5"/>
    <x v="158"/>
    <m/>
    <m/>
    <m/>
    <n v="1000"/>
    <n v="-1000"/>
  </r>
  <r>
    <x v="24"/>
    <n v="24"/>
    <x v="5"/>
    <x v="6"/>
    <m/>
    <m/>
    <m/>
    <n v="10000"/>
    <n v="-10000"/>
  </r>
  <r>
    <x v="24"/>
    <n v="24"/>
    <x v="14"/>
    <x v="30"/>
    <s v="Cash       (ငွေလွှဲ - ဆိုင် )"/>
    <m/>
    <m/>
    <n v="20000"/>
    <n v="-20000"/>
  </r>
  <r>
    <x v="24"/>
    <n v="24"/>
    <x v="7"/>
    <x v="159"/>
    <m/>
    <m/>
    <m/>
    <n v="5000"/>
    <n v="-5000"/>
  </r>
  <r>
    <x v="24"/>
    <n v="24"/>
    <x v="7"/>
    <x v="160"/>
    <m/>
    <m/>
    <m/>
    <n v="10000"/>
    <n v="-10000"/>
  </r>
  <r>
    <x v="24"/>
    <n v="24"/>
    <x v="7"/>
    <x v="161"/>
    <m/>
    <m/>
    <m/>
    <n v="700"/>
    <n v="-700"/>
  </r>
  <r>
    <x v="24"/>
    <n v="24"/>
    <x v="17"/>
    <x v="162"/>
    <m/>
    <m/>
    <m/>
    <n v="22800"/>
    <n v="-22800"/>
  </r>
  <r>
    <x v="24"/>
    <n v="24"/>
    <x v="8"/>
    <x v="163"/>
    <s v="Sale Return (ငွေပြန်အမ်း)"/>
    <m/>
    <m/>
    <n v="5500"/>
    <n v="-5500"/>
  </r>
  <r>
    <x v="24"/>
    <n v="24"/>
    <x v="10"/>
    <x v="11"/>
    <m/>
    <m/>
    <m/>
    <n v="4500"/>
    <n v="-4500"/>
  </r>
  <r>
    <x v="24"/>
    <n v="24"/>
    <x v="14"/>
    <x v="80"/>
    <s v="Cash       (ငွေလွှဲ - YGN)"/>
    <m/>
    <m/>
    <n v="235550"/>
    <n v="-235550"/>
  </r>
  <r>
    <x v="25"/>
    <n v="25"/>
    <x v="23"/>
    <x v="164"/>
    <m/>
    <m/>
    <n v="2000"/>
    <m/>
    <n v="2000"/>
  </r>
  <r>
    <x v="25"/>
    <n v="25"/>
    <x v="2"/>
    <x v="3"/>
    <m/>
    <m/>
    <n v="1500"/>
    <m/>
    <n v="1500"/>
  </r>
  <r>
    <x v="25"/>
    <n v="25"/>
    <x v="3"/>
    <x v="4"/>
    <m/>
    <m/>
    <n v="649550"/>
    <m/>
    <n v="649550"/>
  </r>
  <r>
    <x v="25"/>
    <n v="25"/>
    <x v="4"/>
    <x v="5"/>
    <m/>
    <m/>
    <n v="2200"/>
    <m/>
    <n v="2200"/>
  </r>
  <r>
    <x v="25"/>
    <n v="25"/>
    <x v="7"/>
    <x v="16"/>
    <m/>
    <m/>
    <m/>
    <n v="20000"/>
    <n v="-20000"/>
  </r>
  <r>
    <x v="25"/>
    <n v="25"/>
    <x v="7"/>
    <x v="165"/>
    <m/>
    <m/>
    <m/>
    <n v="53500"/>
    <n v="-53500"/>
  </r>
  <r>
    <x v="25"/>
    <n v="25"/>
    <x v="9"/>
    <x v="166"/>
    <m/>
    <m/>
    <m/>
    <n v="1850"/>
    <n v="-1850"/>
  </r>
  <r>
    <x v="25"/>
    <n v="25"/>
    <x v="10"/>
    <x v="167"/>
    <m/>
    <m/>
    <m/>
    <n v="8900"/>
    <n v="-8900"/>
  </r>
  <r>
    <x v="25"/>
    <n v="25"/>
    <x v="8"/>
    <x v="168"/>
    <s v="Sale Return (ငွေပြန်အမ်း)"/>
    <m/>
    <m/>
    <n v="35000"/>
    <n v="-35000"/>
  </r>
  <r>
    <x v="25"/>
    <n v="25"/>
    <x v="19"/>
    <x v="98"/>
    <m/>
    <m/>
    <m/>
    <n v="100000"/>
    <n v="-100000"/>
  </r>
  <r>
    <x v="26"/>
    <n v="26"/>
    <x v="23"/>
    <x v="169"/>
    <m/>
    <m/>
    <n v="10000"/>
    <m/>
    <n v="10000"/>
  </r>
  <r>
    <x v="26"/>
    <n v="26"/>
    <x v="2"/>
    <x v="3"/>
    <m/>
    <m/>
    <n v="500"/>
    <m/>
    <n v="500"/>
  </r>
  <r>
    <x v="26"/>
    <n v="26"/>
    <x v="3"/>
    <x v="4"/>
    <m/>
    <m/>
    <n v="181600"/>
    <m/>
    <n v="181600"/>
  </r>
  <r>
    <x v="26"/>
    <n v="26"/>
    <x v="4"/>
    <x v="5"/>
    <m/>
    <m/>
    <n v="6000"/>
    <m/>
    <n v="6000"/>
  </r>
  <r>
    <x v="26"/>
    <n v="26"/>
    <x v="10"/>
    <x v="170"/>
    <m/>
    <m/>
    <m/>
    <n v="3700"/>
    <n v="-3700"/>
  </r>
  <r>
    <x v="26"/>
    <n v="26"/>
    <x v="7"/>
    <x v="171"/>
    <m/>
    <m/>
    <m/>
    <n v="3500"/>
    <n v="-3500"/>
  </r>
  <r>
    <x v="26"/>
    <n v="26"/>
    <x v="14"/>
    <x v="47"/>
    <s v="Cash       (ငွေလွှဲ - ဆိုင် )"/>
    <m/>
    <m/>
    <n v="60750"/>
    <n v="-60750"/>
  </r>
  <r>
    <x v="26"/>
    <n v="26"/>
    <x v="5"/>
    <x v="50"/>
    <m/>
    <m/>
    <m/>
    <n v="1000"/>
    <n v="-1000"/>
  </r>
  <r>
    <x v="27"/>
    <n v="27"/>
    <x v="2"/>
    <x v="3"/>
    <m/>
    <m/>
    <n v="2000"/>
    <m/>
    <n v="2000"/>
  </r>
  <r>
    <x v="27"/>
    <n v="27"/>
    <x v="2"/>
    <x v="3"/>
    <m/>
    <m/>
    <n v="600"/>
    <m/>
    <n v="600"/>
  </r>
  <r>
    <x v="27"/>
    <n v="27"/>
    <x v="2"/>
    <x v="3"/>
    <m/>
    <m/>
    <n v="800"/>
    <m/>
    <n v="800"/>
  </r>
  <r>
    <x v="27"/>
    <n v="27"/>
    <x v="3"/>
    <x v="4"/>
    <m/>
    <m/>
    <n v="644650"/>
    <m/>
    <n v="644650"/>
  </r>
  <r>
    <x v="27"/>
    <n v="27"/>
    <x v="4"/>
    <x v="5"/>
    <m/>
    <m/>
    <n v="4200"/>
    <m/>
    <n v="4200"/>
  </r>
  <r>
    <x v="27"/>
    <n v="27"/>
    <x v="10"/>
    <x v="137"/>
    <m/>
    <m/>
    <m/>
    <n v="600"/>
    <n v="-600"/>
  </r>
  <r>
    <x v="27"/>
    <n v="27"/>
    <x v="9"/>
    <x v="172"/>
    <m/>
    <m/>
    <m/>
    <n v="2000"/>
    <n v="-2000"/>
  </r>
  <r>
    <x v="27"/>
    <n v="27"/>
    <x v="7"/>
    <x v="173"/>
    <m/>
    <m/>
    <m/>
    <n v="1000"/>
    <n v="-1000"/>
  </r>
  <r>
    <x v="27"/>
    <n v="27"/>
    <x v="16"/>
    <x v="174"/>
    <m/>
    <m/>
    <m/>
    <n v="28500"/>
    <n v="-28500"/>
  </r>
  <r>
    <x v="27"/>
    <n v="27"/>
    <x v="10"/>
    <x v="175"/>
    <m/>
    <m/>
    <m/>
    <n v="4400"/>
    <n v="-4400"/>
  </r>
  <r>
    <x v="27"/>
    <n v="27"/>
    <x v="8"/>
    <x v="176"/>
    <s v="Sale Return (ငွေပြန်အမ်း)"/>
    <m/>
    <m/>
    <n v="38000"/>
    <n v="-38000"/>
  </r>
  <r>
    <x v="27"/>
    <n v="27"/>
    <x v="14"/>
    <x v="31"/>
    <s v="Cash       (ငွေလွှဲ - ဆိုင် )"/>
    <m/>
    <m/>
    <n v="4500"/>
    <n v="-4500"/>
  </r>
  <r>
    <x v="27"/>
    <n v="27"/>
    <x v="14"/>
    <x v="84"/>
    <s v="Cash       (ငွေလွှဲ - ဆိုင် )"/>
    <m/>
    <m/>
    <n v="28500"/>
    <n v="-28500"/>
  </r>
  <r>
    <x v="27"/>
    <n v="27"/>
    <x v="10"/>
    <x v="177"/>
    <m/>
    <m/>
    <m/>
    <n v="60000"/>
    <n v="-60000"/>
  </r>
  <r>
    <x v="28"/>
    <n v="28"/>
    <x v="2"/>
    <x v="3"/>
    <m/>
    <m/>
    <n v="2000"/>
    <m/>
    <n v="2000"/>
  </r>
  <r>
    <x v="28"/>
    <n v="28"/>
    <x v="2"/>
    <x v="3"/>
    <m/>
    <m/>
    <n v="1000"/>
    <m/>
    <n v="1000"/>
  </r>
  <r>
    <x v="28"/>
    <n v="28"/>
    <x v="3"/>
    <x v="4"/>
    <m/>
    <m/>
    <n v="697950"/>
    <m/>
    <n v="697950"/>
  </r>
  <r>
    <x v="28"/>
    <n v="28"/>
    <x v="4"/>
    <x v="5"/>
    <m/>
    <m/>
    <n v="1600"/>
    <m/>
    <n v="1600"/>
  </r>
  <r>
    <x v="28"/>
    <n v="28"/>
    <x v="5"/>
    <x v="6"/>
    <m/>
    <m/>
    <m/>
    <n v="5000"/>
    <n v="-5000"/>
  </r>
  <r>
    <x v="28"/>
    <n v="28"/>
    <x v="10"/>
    <x v="178"/>
    <m/>
    <m/>
    <m/>
    <n v="25000"/>
    <n v="-25000"/>
  </r>
  <r>
    <x v="28"/>
    <n v="28"/>
    <x v="10"/>
    <x v="179"/>
    <m/>
    <m/>
    <m/>
    <n v="31000"/>
    <n v="-31000"/>
  </r>
  <r>
    <x v="28"/>
    <n v="28"/>
    <x v="9"/>
    <x v="180"/>
    <m/>
    <m/>
    <m/>
    <n v="179350"/>
    <n v="-179350"/>
  </r>
  <r>
    <x v="28"/>
    <n v="28"/>
    <x v="17"/>
    <x v="181"/>
    <m/>
    <m/>
    <m/>
    <n v="10200"/>
    <n v="-10200"/>
  </r>
  <r>
    <x v="28"/>
    <n v="28"/>
    <x v="17"/>
    <x v="182"/>
    <m/>
    <m/>
    <m/>
    <n v="24000"/>
    <n v="-24000"/>
  </r>
  <r>
    <x v="28"/>
    <n v="28"/>
    <x v="24"/>
    <x v="183"/>
    <m/>
    <m/>
    <m/>
    <n v="150000"/>
    <n v="-150000"/>
  </r>
  <r>
    <x v="28"/>
    <n v="28"/>
    <x v="9"/>
    <x v="184"/>
    <m/>
    <m/>
    <m/>
    <n v="2500"/>
    <n v="-2500"/>
  </r>
  <r>
    <x v="28"/>
    <n v="28"/>
    <x v="17"/>
    <x v="185"/>
    <m/>
    <m/>
    <m/>
    <n v="23500"/>
    <n v="-23500"/>
  </r>
  <r>
    <x v="28"/>
    <n v="28"/>
    <x v="5"/>
    <x v="50"/>
    <m/>
    <m/>
    <m/>
    <n v="1000"/>
    <n v="-1000"/>
  </r>
  <r>
    <x v="28"/>
    <n v="28"/>
    <x v="12"/>
    <x v="111"/>
    <m/>
    <m/>
    <m/>
    <n v="20000"/>
    <n v="-20000"/>
  </r>
  <r>
    <x v="28"/>
    <n v="28"/>
    <x v="14"/>
    <x v="77"/>
    <s v="Cash       (ငွေလွှဲ - YGN)"/>
    <m/>
    <m/>
    <n v="287150"/>
    <n v="-287150"/>
  </r>
  <r>
    <x v="28"/>
    <n v="28"/>
    <x v="14"/>
    <x v="81"/>
    <s v="Cash       (ငွေလွှဲ - YGN)"/>
    <m/>
    <m/>
    <n v="50000"/>
    <n v="-50000"/>
  </r>
  <r>
    <x v="28"/>
    <n v="28"/>
    <x v="14"/>
    <x v="66"/>
    <s v="Cash       (ငွေလွှဲ - YGN)"/>
    <m/>
    <m/>
    <n v="327350"/>
    <n v="-327350"/>
  </r>
  <r>
    <x v="28"/>
    <n v="28"/>
    <x v="14"/>
    <x v="33"/>
    <s v="Cash       (ငွေလွှဲ - YGN)"/>
    <m/>
    <m/>
    <n v="226200"/>
    <n v="-226200"/>
  </r>
  <r>
    <x v="28"/>
    <n v="28"/>
    <x v="14"/>
    <x v="39"/>
    <s v="Cash       (ငွေလွှဲ - YGN)"/>
    <m/>
    <m/>
    <n v="43050"/>
    <n v="-43050"/>
  </r>
  <r>
    <x v="28"/>
    <n v="28"/>
    <x v="13"/>
    <x v="186"/>
    <m/>
    <m/>
    <m/>
    <n v="1000000"/>
    <n v="-100000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m/>
  </r>
  <r>
    <x v="0"/>
    <m/>
    <x v="0"/>
    <x v="187"/>
    <m/>
    <m/>
    <m/>
    <m/>
    <m/>
  </r>
</pivotCacheRecords>
</file>

<file path=xl/pivotCache/pivotCacheRecords6.xml><?xml version="1.0" encoding="utf-8"?>
<pivotCacheRecords xmlns="http://schemas.openxmlformats.org/spreadsheetml/2006/main" xmlns:r="http://schemas.openxmlformats.org/officeDocument/2006/relationships" count="885">
  <r>
    <n v="1"/>
    <n v="1100104"/>
    <s v="18 ေကာင္ပလန္ခ်ာ"/>
    <n v="2100"/>
    <n v="1"/>
    <n v="3500"/>
    <n v="1400"/>
    <x v="0"/>
  </r>
  <r>
    <n v="2"/>
    <n v="1100121"/>
    <s v="18ေကာင္ ျဖတ္ဘား"/>
    <n v="1300"/>
    <n v="1"/>
    <n v="2000"/>
    <n v="700"/>
    <x v="0"/>
  </r>
  <r>
    <n v="3"/>
    <n v="1110002"/>
    <s v="22 ေကာင္ ဂတ္စကက္"/>
    <n v="1390"/>
    <n v="2"/>
    <n v="3000"/>
    <n v="1610"/>
    <x v="0"/>
  </r>
  <r>
    <n v="4"/>
    <n v="11100060"/>
    <s v="22 ေကာင္ ဂိတ္ျပ"/>
    <n v="650"/>
    <n v="1"/>
    <n v="1000"/>
    <n v="350"/>
    <x v="0"/>
  </r>
  <r>
    <n v="5"/>
    <n v="1110008"/>
    <s v="ပါကင္စံု ZS1110/1115 (JN)"/>
    <n v="1750"/>
    <n v="1"/>
    <n v="2500"/>
    <n v="750"/>
    <x v="0"/>
  </r>
  <r>
    <n v="6"/>
    <n v="1110009"/>
    <s v="22 ေကာင္ထပ္ရိန္း Z-1110"/>
    <n v="2700"/>
    <n v="1"/>
    <n v="3800"/>
    <n v="1100"/>
    <x v="0"/>
  </r>
  <r>
    <n v="7"/>
    <n v="1110018"/>
    <s v="22 ေကာင္ဂတ္စကတ္"/>
    <n v="1000"/>
    <n v="1"/>
    <n v="1500"/>
    <n v="500"/>
    <x v="0"/>
  </r>
  <r>
    <n v="8"/>
    <n v="1110023"/>
    <s v="ေနာ္ဇယ္(4)ေပါက္ZS-1110/1115"/>
    <n v="5640"/>
    <n v="1"/>
    <n v="7000"/>
    <n v="1360"/>
    <x v="1"/>
  </r>
  <r>
    <n v="9"/>
    <n v="1110029"/>
    <s v="22 ေကာင္ဘယ္ရင္(0.00)(JN)ZS-1110"/>
    <n v="660"/>
    <n v="1"/>
    <n v="1500"/>
    <n v="840"/>
    <x v="1"/>
  </r>
  <r>
    <n v="10"/>
    <n v="1110036"/>
    <s v="22 ေကာင္ ကင့္မရွပ္"/>
    <n v="4902"/>
    <n v="1"/>
    <n v="11000"/>
    <n v="6098"/>
    <x v="0"/>
  </r>
  <r>
    <n v="11"/>
    <n v="1110037"/>
    <s v="22 ေကာင္ အိတ္ေဇာေဂါက္"/>
    <n v="4100"/>
    <n v="1"/>
    <n v="5000"/>
    <n v="900"/>
    <x v="0"/>
  </r>
  <r>
    <n v="12"/>
    <n v="1110038"/>
    <s v="S-1110 ဟန္ဒယ္ေဂါက္"/>
    <n v="2891"/>
    <n v="1"/>
    <n v="5000"/>
    <n v="2109"/>
    <x v="0"/>
  </r>
  <r>
    <n v="13"/>
    <n v="1110039"/>
    <s v="22ေကာင္ ဘားဆက္စံု"/>
    <n v="4300"/>
    <n v="1"/>
    <n v="7000"/>
    <n v="2700"/>
    <x v="0"/>
  </r>
  <r>
    <n v="14"/>
    <n v="1110041"/>
    <s v="22 ေကာင္ ကရိုင္း အလြတ္"/>
    <n v="63000"/>
    <n v="1"/>
    <n v="75000"/>
    <n v="12000"/>
    <x v="0"/>
  </r>
  <r>
    <n v="15"/>
    <n v="1110043"/>
    <s v="50.80.12 (22 ေကာင္မိန္းဝိုင္းစီး)"/>
    <n v="780"/>
    <n v="2"/>
    <n v="1400"/>
    <n v="620"/>
    <x v="0"/>
  </r>
  <r>
    <n v="16"/>
    <n v="1110049"/>
    <s v="22 ေကာင္ ကီးစံုထုတ္"/>
    <n v="430"/>
    <n v="1"/>
    <n v="800"/>
    <n v="370"/>
    <x v="1"/>
  </r>
  <r>
    <n v="17"/>
    <n v="1110054"/>
    <s v="22 ေကာင္ ဆီလည္ကြင္း"/>
    <n v="1350"/>
    <n v="1"/>
    <n v="1800"/>
    <n v="450"/>
    <x v="1"/>
  </r>
  <r>
    <n v="18"/>
    <n v="1110057"/>
    <s v="22 ေကာင္ အင္ဂ်င္ဝိုင္ဘား(ရႈိက္ဘား)"/>
    <n v="450"/>
    <n v="1"/>
    <n v="2000"/>
    <n v="1550"/>
    <x v="0"/>
  </r>
  <r>
    <n v="19"/>
    <n v="1110062"/>
    <s v="ေရတိုင္ကီအိုးေသး "/>
    <n v="34250"/>
    <n v="1"/>
    <n v="40000"/>
    <n v="5750"/>
    <x v="1"/>
  </r>
  <r>
    <n v="20"/>
    <n v="1110071"/>
    <s v="18 ရိန္း (ထပ္)"/>
    <n v="5800"/>
    <n v="2"/>
    <n v="8000"/>
    <n v="2200"/>
    <x v="0"/>
  </r>
  <r>
    <n v="21"/>
    <n v="1110074"/>
    <s v="18ေကာင္ ဘယ္ဒင္"/>
    <n v="735"/>
    <n v="1"/>
    <n v="1200"/>
    <n v="465"/>
    <x v="0"/>
  </r>
  <r>
    <n v="22"/>
    <n v="1110080"/>
    <s v="1110 JD အမ္းခံုစုံ"/>
    <n v="5800"/>
    <n v="1"/>
    <n v="7500"/>
    <n v="1700"/>
    <x v="0"/>
  </r>
  <r>
    <n v="23"/>
    <n v="1110089"/>
    <s v="22ေကာင္ဘားစပလိန္"/>
    <n v="850"/>
    <n v="1"/>
    <n v="1500"/>
    <n v="650"/>
    <x v="0"/>
  </r>
  <r>
    <n v="24"/>
    <n v="1110093"/>
    <s v="22ေကာင္ ဆီမိန္းပိုက္"/>
    <n v="1575"/>
    <n v="1"/>
    <n v="2200"/>
    <n v="625"/>
    <x v="1"/>
  </r>
  <r>
    <n v="25"/>
    <n v="1110094"/>
    <s v="22 ေကာင္ေနာ္ဇယ္ပိုက္"/>
    <n v="850"/>
    <n v="1"/>
    <n v="1500"/>
    <n v="650"/>
    <x v="1"/>
  </r>
  <r>
    <n v="26"/>
    <n v="1110099"/>
    <s v="22 ဂါဘနာဘြတ္"/>
    <n v="300"/>
    <n v="1"/>
    <n v="700"/>
    <n v="400"/>
    <x v="1"/>
  </r>
  <r>
    <n v="27"/>
    <n v="1110113"/>
    <s v="22ေကာင္ ေရလည္ေရတိုင္ကီ"/>
    <n v="44500"/>
    <n v="1"/>
    <n v="49500"/>
    <n v="5000"/>
    <x v="0"/>
  </r>
  <r>
    <n v="28"/>
    <n v="1110119"/>
    <s v="22ေကာ္ေရေကာ္ဖံုး"/>
    <n v="793"/>
    <n v="1"/>
    <n v="2000"/>
    <n v="1207"/>
    <x v="0"/>
  </r>
  <r>
    <n v="29"/>
    <n v="1110120"/>
    <s v="1110 လီဘာကိုင္းစံု"/>
    <n v="2928"/>
    <n v="3"/>
    <n v="7000"/>
    <n v="4072"/>
    <x v="0"/>
  </r>
  <r>
    <n v="30"/>
    <n v="1110121"/>
    <s v="22 ေကာင္ဟန္တယ္ဘြတ္"/>
    <n v="750"/>
    <n v="1"/>
    <n v="1500"/>
    <n v="750"/>
    <x v="0"/>
  </r>
  <r>
    <n v="31"/>
    <n v="1110122"/>
    <s v="22 ကင္းရွပ္ဘြတ္"/>
    <n v="1500"/>
    <n v="2"/>
    <n v="3000"/>
    <n v="1500"/>
    <x v="0"/>
  </r>
  <r>
    <n v="32"/>
    <n v="1110127"/>
    <s v="22 ဟန္တယ္ဘြတ္ေသး"/>
    <n v="750"/>
    <n v="1"/>
    <n v="1500"/>
    <n v="750"/>
    <x v="0"/>
  </r>
  <r>
    <n v="33"/>
    <n v="1110131"/>
    <s v="22 ေကာင္ကင့္မရွပ္ပီနယံ"/>
    <n v="5245"/>
    <n v="1"/>
    <n v="7500"/>
    <n v="2255"/>
    <x v="0"/>
  </r>
  <r>
    <n v="34"/>
    <n v="1110133"/>
    <s v="22ေကာင္ ကရိုင္းပင္နယံ"/>
    <n v="2050"/>
    <n v="1"/>
    <n v="4000"/>
    <n v="1950"/>
    <x v="0"/>
  </r>
  <r>
    <n v="35"/>
    <n v="1110134"/>
    <s v="22 အင္ဂ်င္ဝိုင္ပိုက္"/>
    <n v="750"/>
    <n v="1"/>
    <n v="1800"/>
    <n v="1050"/>
    <x v="0"/>
  </r>
  <r>
    <n v="36"/>
    <n v="1110135"/>
    <s v="22 အင္ဂ်င္ဝိုင္တိုင္းတံ"/>
    <n v="450"/>
    <n v="2"/>
    <n v="1000"/>
    <n v="550"/>
    <x v="0"/>
  </r>
  <r>
    <n v="37"/>
    <n v="1110145"/>
    <s v="22 ေကာင္အဲယားဗူး"/>
    <n v="6600"/>
    <n v="1"/>
    <n v="10000"/>
    <n v="3400"/>
    <x v="0"/>
  </r>
  <r>
    <n v="38"/>
    <n v="1110147"/>
    <s v="ပါကင္စံု(1110/1115)(JD)"/>
    <n v="1750"/>
    <n v="1"/>
    <n v="2500"/>
    <n v="750"/>
    <x v="0"/>
  </r>
  <r>
    <n v="39"/>
    <n v="1110152"/>
    <s v="22ေကာင္ အိတ္ေဇာဘူး(ေဒါက္ပါ)"/>
    <n v="9000"/>
    <n v="1"/>
    <n v="12000"/>
    <n v="3000"/>
    <x v="0"/>
  </r>
  <r>
    <n v="40"/>
    <n v="1110156"/>
    <s v="22 ေကာင္စလစ္ကစ္ဆက္(CC)"/>
    <n v="44389"/>
    <n v="1"/>
    <n v="49500"/>
    <n v="5111"/>
    <x v="1"/>
  </r>
  <r>
    <n v="41"/>
    <n v="1110157"/>
    <s v="22 ေကာင္ဘယ္ရင္ (0.00)(CC)"/>
    <n v="2832"/>
    <n v="2"/>
    <n v="4000"/>
    <n v="1168"/>
    <x v="1"/>
  </r>
  <r>
    <n v="42"/>
    <n v="1110158"/>
    <s v="22 ေကာင္ဂါဗနာရွပ္ S-195(JN)"/>
    <n v="1171"/>
    <n v="1"/>
    <n v="2000"/>
    <n v="829"/>
    <x v="1"/>
  </r>
  <r>
    <n v="43"/>
    <n v="111016"/>
    <s v="22 ဆီဖစ္တာဗူး"/>
    <n v="6200"/>
    <n v="2"/>
    <n v="11500"/>
    <n v="5300"/>
    <x v="0"/>
  </r>
  <r>
    <n v="44"/>
    <n v="111018"/>
    <s v="22 ေနာ္ဇယ္အံုသံဘြတ္စိတ္"/>
    <n v="3310"/>
    <n v="2"/>
    <n v="5000"/>
    <n v="1690"/>
    <x v="0"/>
  </r>
  <r>
    <n v="45"/>
    <n v="1115001"/>
    <s v="25ေကာင္ ဆီတိုင္ကီဖံုး(သံ)(JD)"/>
    <n v="800"/>
    <n v="1"/>
    <n v="1700"/>
    <n v="900"/>
    <x v="0"/>
  </r>
  <r>
    <n v="46"/>
    <n v="11410114"/>
    <s v="22 ဆီျပန္ပိုက္"/>
    <n v="390"/>
    <n v="1"/>
    <n v="1000"/>
    <n v="610"/>
    <x v="0"/>
  </r>
  <r>
    <n v="47"/>
    <n v="195001"/>
    <s v="195ဆီစစ္အမဲဝါရွာပါ"/>
    <n v="220"/>
    <n v="1"/>
    <n v="700"/>
    <n v="480"/>
    <x v="0"/>
  </r>
  <r>
    <n v="48"/>
    <n v="195004"/>
    <s v="195 ေနာ္ဇယ္အံု"/>
    <n v="14900"/>
    <n v="2"/>
    <n v="30000"/>
    <n v="15100"/>
    <x v="0"/>
  </r>
  <r>
    <n v="49"/>
    <s v="2W8"/>
    <s v="ကူရွင္ေပ်ာက္က်ား"/>
    <n v="1800"/>
    <n v="1"/>
    <n v="3000"/>
    <n v="1200"/>
    <x v="2"/>
  </r>
  <r>
    <n v="50"/>
    <s v="BALL1"/>
    <s v="6205 ေဘာ"/>
    <n v="9000"/>
    <n v="6"/>
    <n v="12000"/>
    <n v="3000"/>
    <x v="0"/>
  </r>
  <r>
    <n v="51"/>
    <s v="BALL11"/>
    <s v="6204 CM"/>
    <n v="6200"/>
    <n v="4"/>
    <n v="8000"/>
    <n v="1800"/>
    <x v="0"/>
  </r>
  <r>
    <n v="52"/>
    <s v="BALL15"/>
    <s v="6305 ေဘာ"/>
    <n v="4200"/>
    <n v="2"/>
    <n v="6000"/>
    <n v="1800"/>
    <x v="0"/>
  </r>
  <r>
    <n v="53"/>
    <s v="BALL16"/>
    <s v="6304 ဆီပိတ္"/>
    <n v="51750"/>
    <n v="29"/>
    <n v="71300"/>
    <n v="19550"/>
    <x v="0"/>
  </r>
  <r>
    <n v="54"/>
    <s v="BALL17"/>
    <s v="6004DD"/>
    <n v="4650"/>
    <n v="3"/>
    <n v="6000"/>
    <n v="1350"/>
    <x v="0"/>
  </r>
  <r>
    <n v="55"/>
    <s v="BALL18"/>
    <s v="6210 ေဘာ"/>
    <n v="11450"/>
    <n v="2"/>
    <n v="16000"/>
    <n v="4550"/>
    <x v="0"/>
  </r>
  <r>
    <n v="56"/>
    <s v="BALL2"/>
    <s v="6205 ဆီပိတ္(J)_x000d__x000a_"/>
    <n v="67300"/>
    <n v="16"/>
    <n v="74000"/>
    <n v="6700"/>
    <x v="0"/>
  </r>
  <r>
    <n v="57"/>
    <s v="BALL29"/>
    <s v="6205 Japan"/>
    <n v="5550"/>
    <n v="2"/>
    <n v="6400"/>
    <n v="850"/>
    <x v="0"/>
  </r>
  <r>
    <n v="58"/>
    <s v="BALL3"/>
    <s v="6001 2RS"/>
    <n v="1500"/>
    <n v="1"/>
    <n v="2000"/>
    <n v="500"/>
    <x v="0"/>
  </r>
  <r>
    <n v="59"/>
    <s v="BALL31"/>
    <s v="32008 ေဘာ"/>
    <n v="9000"/>
    <n v="2"/>
    <n v="11000"/>
    <n v="2000"/>
    <x v="0"/>
  </r>
  <r>
    <n v="60"/>
    <s v="BALL34"/>
    <s v="6205 DD"/>
    <n v="42900"/>
    <n v="26"/>
    <n v="54100"/>
    <n v="11200"/>
    <x v="0"/>
  </r>
  <r>
    <n v="61"/>
    <s v="BALL35"/>
    <s v="6305 DD"/>
    <n v="4900"/>
    <n v="2"/>
    <n v="7000"/>
    <n v="2100"/>
    <x v="0"/>
  </r>
  <r>
    <n v="62"/>
    <s v="BALL7"/>
    <s v="6308 CM"/>
    <n v="7900"/>
    <n v="2"/>
    <n v="12000"/>
    <n v="4100"/>
    <x v="0"/>
  </r>
  <r>
    <n v="63"/>
    <s v="BALL9"/>
    <s v="6206 DD"/>
    <n v="2450"/>
    <n v="1"/>
    <n v="3200"/>
    <n v="750"/>
    <x v="0"/>
  </r>
  <r>
    <n v="64"/>
    <s v="BTY0001"/>
    <s v="အက္စစ္ (1ပုလင္း)GR"/>
    <n v="1458"/>
    <n v="1"/>
    <n v="2000"/>
    <n v="542"/>
    <x v="0"/>
  </r>
  <r>
    <n v="65"/>
    <s v="BTY0002"/>
    <s v="အက္စစ္ (4ပုလင္း)GR"/>
    <n v="14256"/>
    <n v="4"/>
    <n v="20000"/>
    <n v="5744"/>
    <x v="0"/>
  </r>
  <r>
    <n v="66"/>
    <s v="BTY0003"/>
    <s v="အက္စစ္ (7ပုလင္း)GR"/>
    <n v="5562"/>
    <n v="1"/>
    <n v="7000"/>
    <n v="1438"/>
    <x v="0"/>
  </r>
  <r>
    <n v="67"/>
    <s v="BTY0004"/>
    <s v="အက္စစ္ (9ပုလင္း)GR"/>
    <n v="25920"/>
    <n v="4"/>
    <n v="32000"/>
    <n v="6080"/>
    <x v="0"/>
  </r>
  <r>
    <n v="68"/>
    <s v="BTY0005"/>
    <s v="မိုးေရ (1L)"/>
    <n v="1384"/>
    <n v="2"/>
    <n v="2000"/>
    <n v="616"/>
    <x v="0"/>
  </r>
  <r>
    <n v="69"/>
    <s v="BTY0009"/>
    <s v="GS 50Z"/>
    <n v="105840"/>
    <n v="1"/>
    <n v="123000"/>
    <n v="17160"/>
    <x v="0"/>
  </r>
  <r>
    <n v="70"/>
    <s v="BTY0010"/>
    <s v="GS 70"/>
    <n v="120246"/>
    <n v="1"/>
    <n v="134000"/>
    <n v="13754"/>
    <x v="0"/>
  </r>
  <r>
    <n v="71"/>
    <s v="BTY0015"/>
    <s v="RP NS40ZL"/>
    <n v="50825"/>
    <n v="1"/>
    <n v="60000"/>
    <n v="9175"/>
    <x v="0"/>
  </r>
  <r>
    <n v="72"/>
    <s v="BTY0016"/>
    <s v="RP N50ZL"/>
    <n v="162500"/>
    <n v="2"/>
    <n v="190000"/>
    <n v="27500"/>
    <x v="0"/>
  </r>
  <r>
    <n v="73"/>
    <s v="BTY0018"/>
    <s v="RP N100"/>
    <n v="283240"/>
    <n v="2"/>
    <n v="324000"/>
    <n v="40760"/>
    <x v="0"/>
  </r>
  <r>
    <n v="74"/>
    <s v="BTY0019"/>
    <s v="HRX N-35"/>
    <n v="71400"/>
    <n v="2"/>
    <n v="92000"/>
    <n v="20600"/>
    <x v="0"/>
  </r>
  <r>
    <n v="75"/>
    <s v="BTY0020"/>
    <s v="12V 6Ah ဘတၱရီ"/>
    <n v="30000"/>
    <n v="1"/>
    <n v="33000"/>
    <n v="3000"/>
    <x v="0"/>
  </r>
  <r>
    <n v="76"/>
    <s v="DF0001"/>
    <s v="28-42 ဂီယာေဘာက္ဘေလာက္(18-Y)DF"/>
    <n v="70552"/>
    <n v="1"/>
    <n v="85000"/>
    <n v="14448"/>
    <x v="1"/>
  </r>
  <r>
    <n v="77"/>
    <s v="DF0004"/>
    <s v="2 ေပါက္ဓာ။သြား(ရွည္)"/>
    <n v="7338"/>
    <n v="6"/>
    <n v="13800"/>
    <n v="6462"/>
    <x v="1"/>
  </r>
  <r>
    <n v="78"/>
    <s v="DF001"/>
    <s v="4 ေပါက္သံျပားဝိုင္း"/>
    <n v="7000"/>
    <n v="2"/>
    <n v="13000"/>
    <n v="6000"/>
    <x v="0"/>
  </r>
  <r>
    <n v="79"/>
    <s v="DF0014"/>
    <s v="DF ေပါင္ေဘာပိတ္(ထူ)"/>
    <n v="2700"/>
    <n v="1"/>
    <n v="5000"/>
    <n v="2300"/>
    <x v="1"/>
  </r>
  <r>
    <n v="80"/>
    <s v="DF0017"/>
    <s v="DF ဘေလာက္အိုးခြံ"/>
    <n v="60500"/>
    <n v="1"/>
    <n v="80000"/>
    <n v="19500"/>
    <x v="1"/>
  </r>
  <r>
    <n v="81"/>
    <s v="DF0037"/>
    <s v="DF ထရန္စဖာ (25စြယ္)"/>
    <n v="5370"/>
    <n v="1"/>
    <n v="12000"/>
    <n v="6630"/>
    <x v="0"/>
  </r>
  <r>
    <n v="82"/>
    <s v="DF0041"/>
    <s v="DFကလပ္အံုဖံုး (3ေပါက္)ေကာ္"/>
    <n v="400"/>
    <n v="1"/>
    <n v="900"/>
    <n v="500"/>
    <x v="0"/>
  </r>
  <r>
    <n v="83"/>
    <s v="DF0050"/>
    <s v="DF 18သြားဂဲကာသေရျပား"/>
    <n v="5500"/>
    <n v="1"/>
    <n v="8000"/>
    <n v="2500"/>
    <x v="0"/>
  </r>
  <r>
    <n v="84"/>
    <s v="DF0051"/>
    <s v="DF 18သြားဂဲကာအဟိုက္ၾကီး"/>
    <n v="10000"/>
    <n v="1"/>
    <n v="15000"/>
    <n v="5000"/>
    <x v="0"/>
  </r>
  <r>
    <n v="85"/>
    <s v="DF007"/>
    <s v="DF ကလပ္စပလိန္ေသး"/>
    <n v="270"/>
    <n v="6"/>
    <n v="900"/>
    <n v="630"/>
    <x v="0"/>
  </r>
  <r>
    <n v="86"/>
    <s v="DF008"/>
    <s v="DF ဘီး စတပ္နပ္"/>
    <n v="230"/>
    <n v="1"/>
    <n v="500"/>
    <n v="270"/>
    <x v="0"/>
  </r>
  <r>
    <n v="87"/>
    <s v="DF0102"/>
    <s v="DF ကလပ္ရွပ္ေဘာပိတ္ (အေပါက္ပါ)"/>
    <n v="3300"/>
    <n v="1"/>
    <n v="5100"/>
    <n v="1800"/>
    <x v="0"/>
  </r>
  <r>
    <n v="88"/>
    <s v="DF017"/>
    <s v="မွန္ေထာင္ လီဘာႀကိဳး"/>
    <n v="3300"/>
    <n v="3"/>
    <n v="6000"/>
    <n v="2700"/>
    <x v="0"/>
  </r>
  <r>
    <n v="89"/>
    <s v="DF018"/>
    <s v="မ/ထ ကလပ္ႀကိဳး"/>
    <n v="1900"/>
    <n v="1"/>
    <n v="2500"/>
    <n v="600"/>
    <x v="0"/>
  </r>
  <r>
    <n v="90"/>
    <s v="DF020"/>
    <s v="ကလပ္ေမာင္း"/>
    <n v="1020"/>
    <n v="3"/>
    <n v="2400"/>
    <n v="1380"/>
    <x v="0"/>
  </r>
  <r>
    <n v="91"/>
    <s v="DF028"/>
    <s v="DF ကလပ္သံျပားအေပါက္ပါ"/>
    <n v="2280"/>
    <n v="1"/>
    <n v="3200"/>
    <n v="920"/>
    <x v="0"/>
  </r>
  <r>
    <n v="92"/>
    <s v="DF030"/>
    <s v="600X14 ကၽြတ္"/>
    <n v="21000"/>
    <n v="3"/>
    <n v="30000"/>
    <n v="9000"/>
    <x v="0"/>
  </r>
  <r>
    <n v="93"/>
    <s v="DF031"/>
    <s v="600X14 ေဂြ_x000d__x000a__x000d__x000a_"/>
    <n v="18000"/>
    <n v="1"/>
    <n v="25000"/>
    <n v="7000"/>
    <x v="0"/>
  </r>
  <r>
    <n v="94"/>
    <s v="DF057"/>
    <s v="DF NO-49ပင္နီယံႀကီး"/>
    <n v="8000"/>
    <n v="1"/>
    <n v="11000"/>
    <n v="3000"/>
    <x v="0"/>
  </r>
  <r>
    <n v="95"/>
    <s v="DF061"/>
    <s v="DF NO-11 ေဘာပိတ္"/>
    <n v="5300"/>
    <n v="1"/>
    <n v="6500"/>
    <n v="1200"/>
    <x v="0"/>
  </r>
  <r>
    <n v="96"/>
    <s v="DF079"/>
    <s v="ကလပ္ဘြတ္ႀကီး"/>
    <n v="355"/>
    <n v="1"/>
    <n v="800"/>
    <n v="445"/>
    <x v="0"/>
  </r>
  <r>
    <n v="97"/>
    <s v="DF088"/>
    <s v="DF ဂီယာရွပ္ေသး 3 လိုင္းစိတ္"/>
    <n v="840"/>
    <n v="1"/>
    <n v="2000"/>
    <n v="1160"/>
    <x v="0"/>
  </r>
  <r>
    <n v="98"/>
    <s v="DF091"/>
    <s v="ဂီယာဂြေဘာေစ႔"/>
    <n v="80"/>
    <n v="2"/>
    <n v="300"/>
    <n v="220"/>
    <x v="0"/>
  </r>
  <r>
    <n v="99"/>
    <s v="DF097"/>
    <s v="DF ေပါင္ပင္နီယံေသး32"/>
    <n v="11000"/>
    <n v="2"/>
    <n v="30000"/>
    <n v="19000"/>
    <x v="0"/>
  </r>
  <r>
    <n v="100"/>
    <s v="DF108"/>
    <s v="DF ထယ္တင္ခ်နတ္(စံု)"/>
    <n v="2476"/>
    <n v="1"/>
    <n v="4800"/>
    <n v="2324"/>
    <x v="0"/>
  </r>
  <r>
    <n v="101"/>
    <s v="DF112"/>
    <s v="18လက္ သံဘီး(1စံု)"/>
    <n v="132000"/>
    <n v="1"/>
    <n v="160000"/>
    <n v="28000"/>
    <x v="0"/>
  </r>
  <r>
    <n v="102"/>
    <s v="DF116"/>
    <s v="DF 24 ဂဲကာအဟိုက္ေသး"/>
    <n v="6000"/>
    <n v="1"/>
    <n v="19200"/>
    <n v="13200"/>
    <x v="0"/>
  </r>
  <r>
    <n v="103"/>
    <s v="DF123"/>
    <s v="DF ေႏွးျမန္ေမာင္းတက္စံု(ေရႊကၽြဲ)"/>
    <n v="6000"/>
    <n v="2"/>
    <n v="12000"/>
    <n v="6000"/>
    <x v="0"/>
  </r>
  <r>
    <n v="104"/>
    <s v="DF132"/>
    <s v="DF ဘီးဖလန္း ရွပ္ႀကီး(1ခု)"/>
    <n v="11500"/>
    <n v="1"/>
    <n v="24000"/>
    <n v="12500"/>
    <x v="0"/>
  </r>
  <r>
    <n v="105"/>
    <s v="DF156"/>
    <s v="DF ေရႊကၽြဲဓါးခ်ိန္း 50 က်ဲ"/>
    <n v="16500"/>
    <n v="1"/>
    <n v="29600"/>
    <n v="13100"/>
    <x v="0"/>
  </r>
  <r>
    <n v="106"/>
    <s v="DF165"/>
    <s v="DF ဂီယာေပါက္ပါကင္စံု"/>
    <n v="5100"/>
    <n v="3"/>
    <n v="7500"/>
    <n v="2400"/>
    <x v="0"/>
  </r>
  <r>
    <n v="107"/>
    <s v="DF166"/>
    <s v="DF 18/20Y စပိုက္တာစံု"/>
    <n v="48300"/>
    <n v="1"/>
    <n v="86000"/>
    <n v="37700"/>
    <x v="0"/>
  </r>
  <r>
    <n v="108"/>
    <s v="DF173"/>
    <s v="6မူးခါးဆက္ယူဘိုး"/>
    <n v="13050"/>
    <n v="5"/>
    <n v="22500"/>
    <n v="9450"/>
    <x v="0"/>
  </r>
  <r>
    <n v="109"/>
    <s v="DF38"/>
    <s v="DF ထရန္စဖာပင္နယံ28"/>
    <n v="7785"/>
    <n v="1"/>
    <n v="15300"/>
    <n v="7515"/>
    <x v="0"/>
  </r>
  <r>
    <n v="110"/>
    <s v="DTL002"/>
    <s v="Mono (40)HD (5 Liters)"/>
    <n v="325500"/>
    <n v="19"/>
    <n v="437000"/>
    <n v="111500"/>
    <x v="3"/>
  </r>
  <r>
    <n v="111"/>
    <s v="EM185002"/>
    <s v="EM185 ပလန္ခ်ာအံု"/>
    <n v="81814"/>
    <n v="6"/>
    <n v="114000"/>
    <n v="32186"/>
    <x v="1"/>
  </r>
  <r>
    <n v="112"/>
    <s v="EM185004"/>
    <s v="EM185 ဘားဆက္စံု "/>
    <n v="2670"/>
    <n v="1"/>
    <n v="6000"/>
    <n v="3330"/>
    <x v="0"/>
  </r>
  <r>
    <n v="113"/>
    <s v="EM185005"/>
    <s v="EM185 ဟန္တယ္ေဂါက္"/>
    <n v="1820"/>
    <n v="1"/>
    <n v="3000"/>
    <n v="1180"/>
    <x v="0"/>
  </r>
  <r>
    <n v="114"/>
    <s v="EM185008"/>
    <s v="EM190 ဂတ္စကက္"/>
    <n v="520"/>
    <n v="1"/>
    <n v="1000"/>
    <n v="480"/>
    <x v="0"/>
  </r>
  <r>
    <n v="115"/>
    <s v="EM185017"/>
    <s v="EM185 ရိန္း"/>
    <n v="2550"/>
    <n v="1"/>
    <n v="4000"/>
    <n v="1450"/>
    <x v="0"/>
  </r>
  <r>
    <n v="116"/>
    <s v="EM185021"/>
    <s v="EM185 ပါကင္စံု"/>
    <n v="1500"/>
    <n v="1"/>
    <n v="4000"/>
    <n v="2500"/>
    <x v="0"/>
  </r>
  <r>
    <n v="117"/>
    <s v="EM185022"/>
    <s v="EM185 ပန္႕အံု"/>
    <n v="5000"/>
    <n v="1"/>
    <n v="7500"/>
    <n v="2500"/>
    <x v="0"/>
  </r>
  <r>
    <n v="118"/>
    <s v="FD30005"/>
    <s v="FD-30 သံဘီး"/>
    <n v="40000"/>
    <n v="1"/>
    <n v="50000"/>
    <n v="10000"/>
    <x v="0"/>
  </r>
  <r>
    <n v="119"/>
    <s v="FD30007"/>
    <s v="FD-30 တပ္မ"/>
    <n v="11000"/>
    <n v="1"/>
    <n v="18000"/>
    <n v="7000"/>
    <x v="0"/>
  </r>
  <r>
    <n v="120"/>
    <s v="GBS0027"/>
    <s v="အဲယားစစ္ 175"/>
    <n v="1800"/>
    <n v="3"/>
    <n v="3900"/>
    <n v="2100"/>
    <x v="1"/>
  </r>
  <r>
    <n v="121"/>
    <s v="GBSP0029"/>
    <s v="ရိန္း R-175(JN)"/>
    <n v="10920"/>
    <n v="5"/>
    <n v="15000"/>
    <n v="4080"/>
    <x v="1"/>
  </r>
  <r>
    <n v="122"/>
    <s v="GBSP013"/>
    <s v="5 မူးဆီပိုက္(1 ေပ)"/>
    <n v="3240"/>
    <n v="40"/>
    <n v="12000"/>
    <n v="8760"/>
    <x v="1"/>
  </r>
  <r>
    <n v="123"/>
    <s v="GBSP014"/>
    <s v="EM185 ပလန္ခ်ာ"/>
    <n v="2500"/>
    <n v="1"/>
    <n v="3500"/>
    <n v="1000"/>
    <x v="1"/>
  </r>
  <r>
    <n v="124"/>
    <s v="GBSP017"/>
    <s v="R175 အင္ဂ်င္ဝိုင္ပန္႔အံု"/>
    <n v="96505"/>
    <n v="23"/>
    <n v="126500"/>
    <n v="29995"/>
    <x v="1"/>
  </r>
  <r>
    <n v="125"/>
    <s v="GBSP0476"/>
    <s v="ထရန္စဖာၾကိဳး(ခု) 250CC"/>
    <n v="19686"/>
    <n v="3"/>
    <n v="30000"/>
    <n v="10314"/>
    <x v="1"/>
  </r>
  <r>
    <n v="126"/>
    <s v="GBSP053"/>
    <s v="175/180 ပလန္ခ်ာ(JN)"/>
    <n v="32356"/>
    <n v="9"/>
    <n v="40500"/>
    <n v="8144"/>
    <x v="1"/>
  </r>
  <r>
    <n v="127"/>
    <s v="GBSP055"/>
    <s v="အဲယာဗူးေဂါက္ပါ(175)"/>
    <n v="4300"/>
    <n v="1"/>
    <n v="7000"/>
    <n v="2700"/>
    <x v="1"/>
  </r>
  <r>
    <n v="128"/>
    <s v="GBSP057"/>
    <s v="မ/ထ လီဘာႀကိဳး"/>
    <n v="1200"/>
    <n v="1"/>
    <n v="1800"/>
    <n v="600"/>
    <x v="1"/>
  </r>
  <r>
    <n v="129"/>
    <s v="GBSP058"/>
    <s v="DF ေပါင္အဝိုင္းစိး (1စံု)"/>
    <n v="2100"/>
    <n v="3"/>
    <n v="6000"/>
    <n v="3900"/>
    <x v="1"/>
  </r>
  <r>
    <n v="130"/>
    <s v="GBSP060"/>
    <s v="NT/Q185 ျဖတ္ဘား"/>
    <n v="11000"/>
    <n v="5"/>
    <n v="28000"/>
    <n v="17000"/>
    <x v="1"/>
  </r>
  <r>
    <n v="131"/>
    <s v="GBSP062"/>
    <s v="DF 2ေပါက္ဓါးသြား(တို)"/>
    <n v="24688"/>
    <n v="16"/>
    <n v="34400"/>
    <n v="9712"/>
    <x v="1"/>
  </r>
  <r>
    <n v="132"/>
    <s v="GBSP067"/>
    <s v="22 အင္ဂ်င္ဝိုင္စကာ"/>
    <n v="116"/>
    <n v="1"/>
    <n v="500"/>
    <n v="384"/>
    <x v="1"/>
  </r>
  <r>
    <n v="133"/>
    <s v="GBSP068"/>
    <s v="Q185 ေနာ္ဇယ္"/>
    <n v="60538"/>
    <n v="12"/>
    <n v="77500"/>
    <n v="16962"/>
    <x v="1"/>
  </r>
  <r>
    <n v="134"/>
    <s v="GBSP069"/>
    <s v="ဘားစပလိန္(175/180)"/>
    <n v="1000"/>
    <n v="2"/>
    <n v="2000"/>
    <n v="1000"/>
    <x v="1"/>
  </r>
  <r>
    <n v="135"/>
    <s v="GBSP074"/>
    <s v="ေနာ္ဇယ္ကစ္ဆက္R-175/180"/>
    <n v="245824"/>
    <n v="26"/>
    <n v="312000"/>
    <n v="66176"/>
    <x v="1"/>
  </r>
  <r>
    <n v="136"/>
    <s v="GBSP075"/>
    <s v="ရိန္း  R-180(JN)"/>
    <n v="7880"/>
    <n v="4"/>
    <n v="10800"/>
    <n v="2920"/>
    <x v="1"/>
  </r>
  <r>
    <n v="137"/>
    <s v="GBSP077"/>
    <s v="အမ္းဖံုး Q-185"/>
    <n v="3426"/>
    <n v="1"/>
    <n v="5500"/>
    <n v="2074"/>
    <x v="1"/>
  </r>
  <r>
    <n v="138"/>
    <s v="GBSP081"/>
    <s v="Q185 ဂါဂ်ီပင္ဘြတ္"/>
    <n v="15417"/>
    <n v="9"/>
    <n v="22500"/>
    <n v="7083"/>
    <x v="1"/>
  </r>
  <r>
    <n v="139"/>
    <s v="GBSP082"/>
    <s v="R175 ပါကင္စံု"/>
    <n v="3120"/>
    <n v="3"/>
    <n v="4500"/>
    <n v="1380"/>
    <x v="1"/>
  </r>
  <r>
    <n v="140"/>
    <s v="GBSP086"/>
    <s v="R180 ကရိုင္း(3ေပါက္)ကလစ္လိုင္းပါ(လြတ္)JN"/>
    <n v="92292"/>
    <n v="4"/>
    <n v="112000"/>
    <n v="19708"/>
    <x v="1"/>
  </r>
  <r>
    <n v="141"/>
    <s v="GBSP090"/>
    <s v="အင္ဂ်င္ဝိုင္ဂိတ္ျပစံု"/>
    <n v="8137"/>
    <n v="1"/>
    <n v="10000"/>
    <n v="1863"/>
    <x v="1"/>
  </r>
  <r>
    <n v="142"/>
    <s v="GBSP097"/>
    <s v="ဝရိန္ေခ်ာင္း J421 (No-10)"/>
    <n v="10363"/>
    <n v="1"/>
    <n v="13500"/>
    <n v="3137"/>
    <x v="1"/>
  </r>
  <r>
    <n v="143"/>
    <s v="GBSP098"/>
    <s v="ဝရိန္ေခ်ာင္း J421 (No-12)_x000d__x000a_"/>
    <n v="10908"/>
    <n v="2"/>
    <n v="16000"/>
    <n v="5092"/>
    <x v="1"/>
  </r>
  <r>
    <n v="144"/>
    <s v="MBY0001"/>
    <s v="အဝိုင္းစီး(8)ကြင္း"/>
    <n v="3600"/>
    <n v="2"/>
    <n v="5000"/>
    <n v="1400"/>
    <x v="0"/>
  </r>
  <r>
    <n v="145"/>
    <s v="MBY0002"/>
    <s v="300 ကင့္မရွပ္(SET)"/>
    <n v="41400"/>
    <n v="3"/>
    <n v="50000"/>
    <n v="8600"/>
    <x v="0"/>
  </r>
  <r>
    <n v="146"/>
    <s v="MBY0008"/>
    <s v="ကာပရိုက္တာ အဆက္(150)"/>
    <n v="3600"/>
    <n v="2"/>
    <n v="5000"/>
    <n v="1400"/>
    <x v="0"/>
  </r>
  <r>
    <n v="147"/>
    <s v="MBY0009"/>
    <s v="ကာပရိုက္တာ အဆက္(250)"/>
    <n v="3600"/>
    <n v="2"/>
    <n v="5000"/>
    <n v="1400"/>
    <x v="0"/>
  </r>
  <r>
    <n v="148"/>
    <s v="MBY0015"/>
    <s v="300 Full (set)"/>
    <n v="4950"/>
    <n v="1"/>
    <n v="5500"/>
    <n v="550"/>
    <x v="0"/>
  </r>
  <r>
    <n v="149"/>
    <s v="MBY0018"/>
    <s v="300 ရိန္း(0.25)"/>
    <n v="7500"/>
    <n v="1"/>
    <n v="8500"/>
    <n v="1000"/>
    <x v="0"/>
  </r>
  <r>
    <n v="150"/>
    <s v="MBY0022"/>
    <s v="300 ဘေလာက္set"/>
    <n v="59400"/>
    <n v="1"/>
    <n v="68000"/>
    <n v="8600"/>
    <x v="0"/>
  </r>
  <r>
    <n v="151"/>
    <s v="MBY0023"/>
    <s v="ဆီဘရိတ္အိုး သံ"/>
    <n v="29700"/>
    <n v="6"/>
    <n v="36000"/>
    <n v="6300"/>
    <x v="0"/>
  </r>
  <r>
    <n v="152"/>
    <s v="MBY0026"/>
    <s v="ေနာက္မီးတန္း set (LED)"/>
    <n v="4500"/>
    <n v="1"/>
    <n v="8000"/>
    <n v="3500"/>
    <x v="0"/>
  </r>
  <r>
    <n v="153"/>
    <s v="MBY0030"/>
    <s v="20×50 ဂၽြိဳင္းေဘာ"/>
    <n v="15750"/>
    <n v="5"/>
    <n v="20000"/>
    <n v="4250"/>
    <x v="0"/>
  </r>
  <r>
    <n v="154"/>
    <s v="MBY0037"/>
    <s v="ေနာက္တံခါးခ်ိတ္"/>
    <n v="2500"/>
    <n v="1"/>
    <n v="3200"/>
    <n v="700"/>
    <x v="0"/>
  </r>
  <r>
    <n v="155"/>
    <s v="MBY0043"/>
    <s v="10ရြက္ပန္ကာ"/>
    <n v="15750"/>
    <n v="1"/>
    <n v="19000"/>
    <n v="3250"/>
    <x v="0"/>
  </r>
  <r>
    <n v="156"/>
    <s v="MBY0047"/>
    <s v="ေကာ္ေရပံုးျဖဴ"/>
    <n v="7650"/>
    <n v="1"/>
    <n v="11000"/>
    <n v="3350"/>
    <x v="0"/>
  </r>
  <r>
    <n v="157"/>
    <s v="MBY0058"/>
    <s v="12ထုပ္ ကြိဳင္ၾကီး(200W)"/>
    <n v="10800"/>
    <n v="1"/>
    <n v="15000"/>
    <n v="4200"/>
    <x v="0"/>
  </r>
  <r>
    <n v="158"/>
    <s v="MBY0059"/>
    <s v="250 Full (set)သံ"/>
    <n v="2500"/>
    <n v="1"/>
    <n v="3500"/>
    <n v="1000"/>
    <x v="0"/>
  </r>
  <r>
    <n v="159"/>
    <s v="MBY0060"/>
    <s v="250 Full (set)သတၱဳ"/>
    <n v="1800"/>
    <n v="1"/>
    <n v="2800"/>
    <n v="1000"/>
    <x v="0"/>
  </r>
  <r>
    <n v="160"/>
    <s v="MBY0061"/>
    <s v="လက္ကိုင္ခလုပ္"/>
    <n v="3400"/>
    <n v="1"/>
    <n v="4500"/>
    <n v="1100"/>
    <x v="0"/>
  </r>
  <r>
    <n v="161"/>
    <s v="MBY0064"/>
    <s v="20×50 ဂၽြိဳင္းဂြ(set)ဖလန္းပါ"/>
    <n v="9900"/>
    <n v="1"/>
    <n v="12000"/>
    <n v="2100"/>
    <x v="0"/>
  </r>
  <r>
    <n v="162"/>
    <s v="MBY0066"/>
    <s v="ခြဲေခါင္းနတ္(ေသး)"/>
    <n v="450"/>
    <n v="3"/>
    <n v="900"/>
    <n v="450"/>
    <x v="0"/>
  </r>
  <r>
    <n v="163"/>
    <s v="MBY0068"/>
    <s v="ဂီယာပင္နယံ(set) 250CC"/>
    <n v="29700"/>
    <n v="1"/>
    <n v="33000"/>
    <n v="3300"/>
    <x v="0"/>
  </r>
  <r>
    <n v="164"/>
    <s v="MBY0069"/>
    <s v="ဆီေဂါက္(စိပ္)"/>
    <n v="3600"/>
    <n v="2"/>
    <n v="5000"/>
    <n v="1400"/>
    <x v="0"/>
  </r>
  <r>
    <n v="165"/>
    <s v="MBY0077"/>
    <s v="ေနာက္ဟက္ဒြမ္(160)က်ဥ္း"/>
    <n v="16650"/>
    <n v="1"/>
    <n v="23000"/>
    <n v="6350"/>
    <x v="0"/>
  </r>
  <r>
    <n v="166"/>
    <s v="MBY0084"/>
    <s v="စတပ္ေဘာထိုင္ 20လံုး"/>
    <n v="13500"/>
    <n v="2"/>
    <n v="15000"/>
    <n v="1500"/>
    <x v="0"/>
  </r>
  <r>
    <n v="167"/>
    <s v="MBY0085"/>
    <s v="ေလးဘြတ္ (ေကာ္လံပါ)"/>
    <n v="5320"/>
    <n v="14"/>
    <n v="7000"/>
    <n v="1680"/>
    <x v="0"/>
  </r>
  <r>
    <n v="168"/>
    <s v="MBY0089"/>
    <s v="ကစ္တံ (နတ္ 2)"/>
    <n v="17550"/>
    <n v="3"/>
    <n v="22500"/>
    <n v="4950"/>
    <x v="0"/>
  </r>
  <r>
    <n v="169"/>
    <s v="MBY0093"/>
    <s v="ဂီယာပင္နယံ (SET)300CC"/>
    <n v="32000"/>
    <n v="1"/>
    <n v="35000"/>
    <n v="3000"/>
    <x v="0"/>
  </r>
  <r>
    <n v="170"/>
    <s v="MBY0097"/>
    <s v="300 Half Set"/>
    <n v="2250"/>
    <n v="1"/>
    <n v="2500"/>
    <n v="250"/>
    <x v="0"/>
  </r>
  <r>
    <n v="171"/>
    <s v="MBY0100"/>
    <s v="ဘက္ရွပ္ 29T/28cm"/>
    <n v="21600"/>
    <n v="1"/>
    <n v="26000"/>
    <n v="4400"/>
    <x v="0"/>
  </r>
  <r>
    <n v="172"/>
    <s v="MMS0007"/>
    <s v="ေနာက္တံခါးခ်ိတ္"/>
    <n v="2565"/>
    <n v="1"/>
    <n v="3200"/>
    <n v="635"/>
    <x v="4"/>
  </r>
  <r>
    <n v="173"/>
    <s v="MMS0012"/>
    <s v="ကလပ္ျပား 7ခ်ပ္(ေရ)"/>
    <n v="5200"/>
    <n v="1"/>
    <n v="6500"/>
    <n v="1300"/>
    <x v="4"/>
  </r>
  <r>
    <n v="174"/>
    <s v="MMS0021"/>
    <s v="ကစ္တံ ေရႊ (နတ္ 2)"/>
    <n v="12800"/>
    <n v="2"/>
    <n v="17000"/>
    <n v="4200"/>
    <x v="4"/>
  </r>
  <r>
    <n v="175"/>
    <s v="MMS0023"/>
    <s v="150 မိုင္းလစ္ၾကီဳးXLF"/>
    <n v="1135"/>
    <n v="1"/>
    <n v="3000"/>
    <n v="1865"/>
    <x v="4"/>
  </r>
  <r>
    <n v="176"/>
    <s v="MMS0025"/>
    <s v="39Tအင္ဂ်င္ဝိုင္ပန္႔တန္းပါ"/>
    <n v="9000"/>
    <n v="2"/>
    <n v="12000"/>
    <n v="3000"/>
    <x v="4"/>
  </r>
  <r>
    <n v="177"/>
    <s v="MMS0031"/>
    <s v="ေရ Heat (150/300)"/>
    <n v="7670"/>
    <n v="1"/>
    <n v="5000"/>
    <n v="-2670"/>
    <x v="4"/>
  </r>
  <r>
    <n v="178"/>
    <s v="MMS0032"/>
    <s v="လင္ဗန္းထိုင္ ဘုပါ"/>
    <n v="4192"/>
    <n v="1"/>
    <n v="10000"/>
    <n v="5808"/>
    <x v="4"/>
  </r>
  <r>
    <n v="179"/>
    <s v="MMS0039"/>
    <s v="တိုက္ပစ္ဖူးစေတာ့ (300)"/>
    <n v="1365"/>
    <n v="1"/>
    <n v="2000"/>
    <n v="635"/>
    <x v="4"/>
  </r>
  <r>
    <n v="180"/>
    <s v="MMS0042"/>
    <s v="ေရလည္အံုပန္႔ဝိုင္းစီး"/>
    <n v="563"/>
    <n v="1"/>
    <n v="1500"/>
    <n v="937"/>
    <x v="4"/>
  </r>
  <r>
    <n v="181"/>
    <s v="MMS0043"/>
    <s v="ဂီယာနင္းတံရွည္ (ႏွစ္ဆင့္) "/>
    <n v="3140"/>
    <n v="2"/>
    <n v="4000"/>
    <n v="860"/>
    <x v="4"/>
  </r>
  <r>
    <n v="182"/>
    <s v="MMS0045"/>
    <s v="အင္ဂ်င္ေဖာင္းဘြတ္စံု (250)"/>
    <n v="922"/>
    <n v="1"/>
    <n v="2500"/>
    <n v="1578"/>
    <x v="4"/>
  </r>
  <r>
    <n v="183"/>
    <s v="MMS0046"/>
    <s v="အင္ဂ်င္ေဖာင္းဘြတ္စံု (150)"/>
    <n v="785"/>
    <n v="1"/>
    <n v="2500"/>
    <n v="1715"/>
    <x v="4"/>
  </r>
  <r>
    <n v="184"/>
    <s v="MMS0052"/>
    <s v="22x55 ဂၽြိဳင္းေဘာ"/>
    <n v="9000"/>
    <n v="2"/>
    <n v="10000"/>
    <n v="1000"/>
    <x v="4"/>
  </r>
  <r>
    <n v="185"/>
    <s v="MMS0062"/>
    <s v="ကာပရိုက္တာ(1 ပင္)(200/250)"/>
    <n v="87070"/>
    <n v="5"/>
    <n v="100000"/>
    <n v="12930"/>
    <x v="4"/>
  </r>
  <r>
    <n v="186"/>
    <s v="MMS0064"/>
    <s v="ဘီးနတ္(R)"/>
    <n v="2694"/>
    <n v="6"/>
    <n v="5400"/>
    <n v="2706"/>
    <x v="4"/>
  </r>
  <r>
    <n v="187"/>
    <s v="MMS0067"/>
    <s v="ကလပ္ျပား(6)ခ်ပ္ေလ(150)"/>
    <n v="4320"/>
    <n v="1"/>
    <n v="5500"/>
    <n v="1180"/>
    <x v="4"/>
  </r>
  <r>
    <n v="188"/>
    <s v="MMS0073"/>
    <s v="Full Set (250/70) သံ"/>
    <n v="4465"/>
    <n v="1"/>
    <n v="5500"/>
    <n v="1035"/>
    <x v="4"/>
  </r>
  <r>
    <n v="189"/>
    <s v="MMS0075"/>
    <s v="ေရွ႕ဝင္ရိုးနတ္ေခါင္းလြတ္"/>
    <n v="348"/>
    <n v="2"/>
    <n v="1300"/>
    <n v="952"/>
    <x v="4"/>
  </r>
  <r>
    <n v="190"/>
    <s v="MMS0078"/>
    <s v="9:35 လင္ဗန္း"/>
    <n v="54540"/>
    <n v="2"/>
    <n v="60600"/>
    <n v="6060"/>
    <x v="4"/>
  </r>
  <r>
    <n v="191"/>
    <s v="MMS0080"/>
    <s v="28-37-7 ဝိုင္းစီး"/>
    <n v="1896"/>
    <n v="8"/>
    <n v="5600"/>
    <n v="3704"/>
    <x v="4"/>
  </r>
  <r>
    <n v="192"/>
    <s v="MMS0083"/>
    <s v="ဘရိတ္ဆြိ စပလိန္ပါ"/>
    <n v="540"/>
    <n v="1"/>
    <n v="1300"/>
    <n v="760"/>
    <x v="4"/>
  </r>
  <r>
    <n v="193"/>
    <s v="MMS0087"/>
    <s v="Full Set (300)ပါကင္စံု"/>
    <n v="22500"/>
    <n v="5"/>
    <n v="27500"/>
    <n v="5000"/>
    <x v="4"/>
  </r>
  <r>
    <n v="194"/>
    <s v="MMS0091"/>
    <s v="က်ဴပင္ပန္းဝါရွာ(6009)"/>
    <n v="312"/>
    <n v="2"/>
    <n v="1000"/>
    <n v="688"/>
    <x v="4"/>
  </r>
  <r>
    <n v="195"/>
    <s v="MMS0099"/>
    <s v="ေအာက္ေမာင္းရွပ္ပါႀကီး"/>
    <n v="12750"/>
    <n v="2"/>
    <n v="17000"/>
    <n v="4250"/>
    <x v="4"/>
  </r>
  <r>
    <n v="196"/>
    <s v="MMS0100"/>
    <s v="ဆီဘရိတ္စပလိန္ွSet"/>
    <n v="1580"/>
    <n v="1"/>
    <n v="2000"/>
    <n v="420"/>
    <x v="4"/>
  </r>
  <r>
    <n v="197"/>
    <s v="MMS0102"/>
    <s v="မိုင္းလစ္ခြက္(ရႊင္လန္း)"/>
    <n v="23075"/>
    <n v="1"/>
    <n v="33000"/>
    <n v="9925"/>
    <x v="4"/>
  </r>
  <r>
    <n v="198"/>
    <s v="MMS0106"/>
    <s v="8ကြင္းဝိုက္စီးစံု"/>
    <n v="5700"/>
    <n v="3"/>
    <n v="7500"/>
    <n v="1800"/>
    <x v="4"/>
  </r>
  <r>
    <n v="199"/>
    <s v="MMS0113"/>
    <s v="ဘရိတ္ဆီဗူး (2)ေပါက္"/>
    <n v="859"/>
    <n v="1"/>
    <n v="2000"/>
    <n v="1141"/>
    <x v="4"/>
  </r>
  <r>
    <n v="200"/>
    <s v="MMS0115"/>
    <s v="LED 18 ပြင့္ ရွာပါ"/>
    <n v="8900"/>
    <n v="2"/>
    <n v="12000"/>
    <n v="3100"/>
    <x v="4"/>
  </r>
  <r>
    <n v="201"/>
    <s v="MMS0116"/>
    <s v="LED 8 ပြင့္  မွန္ဘီလူး"/>
    <n v="14300"/>
    <n v="2"/>
    <n v="16000"/>
    <n v="1700"/>
    <x v="4"/>
  </r>
  <r>
    <n v="202"/>
    <s v="MMS012"/>
    <s v="ေလးဘြတ္္ ေကာ္လံပါ/ရာဘာတို_x000d__x000a_"/>
    <n v="11200"/>
    <n v="28"/>
    <n v="14000"/>
    <n v="2800"/>
    <x v="4"/>
  </r>
  <r>
    <n v="203"/>
    <s v="MMS0124"/>
    <s v="ကလပ္ၾကားခံသံျပား(250)"/>
    <n v="3320"/>
    <n v="1"/>
    <n v="4500"/>
    <n v="1180"/>
    <x v="4"/>
  </r>
  <r>
    <n v="204"/>
    <s v="MMS0129"/>
    <s v="9:35 စပါယ္ဖူး"/>
    <n v="33400"/>
    <n v="2"/>
    <n v="39400"/>
    <n v="6000"/>
    <x v="4"/>
  </r>
  <r>
    <n v="205"/>
    <s v="MMS013"/>
    <s v="250 ဘားတံ (စတီး)"/>
    <n v="3193"/>
    <n v="1"/>
    <n v="6000"/>
    <n v="2807"/>
    <x v="4"/>
  </r>
  <r>
    <n v="206"/>
    <s v="MMS0131"/>
    <s v="Full Set (150)ေရ"/>
    <n v="12750"/>
    <n v="3"/>
    <n v="15000"/>
    <n v="2250"/>
    <x v="4"/>
  </r>
  <r>
    <n v="207"/>
    <s v="MMS0139"/>
    <s v="ဟက္( Set)300"/>
    <n v="58165"/>
    <n v="1"/>
    <n v="70000"/>
    <n v="11835"/>
    <x v="4"/>
  </r>
  <r>
    <n v="208"/>
    <s v="MMS0148"/>
    <s v="ရိန္း 250 (STD)"/>
    <n v="21800"/>
    <n v="4"/>
    <n v="24000"/>
    <n v="2200"/>
    <x v="4"/>
  </r>
  <r>
    <n v="209"/>
    <s v="MMS0150"/>
    <s v="20X50 ဂၽြိဳင္းဂြလြတ္"/>
    <n v="2496"/>
    <n v="1"/>
    <n v="3200"/>
    <n v="704"/>
    <x v="4"/>
  </r>
  <r>
    <n v="210"/>
    <s v="MMS0152"/>
    <s v="စတပ္ပင္နယံလြတ္ပါး200"/>
    <n v="4401"/>
    <n v="1"/>
    <n v="7500"/>
    <n v="3099"/>
    <x v="4"/>
  </r>
  <r>
    <n v="211"/>
    <s v="MMS0153"/>
    <s v="စတပ္ေမာ္တာပင္နယံ(16/49)"/>
    <n v="4369"/>
    <n v="1"/>
    <n v="6000"/>
    <n v="1631"/>
    <x v="4"/>
  </r>
  <r>
    <n v="212"/>
    <s v="MMS0155"/>
    <s v="ေမာ္တာအဖံုး(အခံုး)3ေပါက္"/>
    <n v="2108"/>
    <n v="1"/>
    <n v="3500"/>
    <n v="1392"/>
    <x v="4"/>
  </r>
  <r>
    <n v="213"/>
    <s v="MMS0157"/>
    <s v="12 ထုပ္ကိြဳင္(160W)"/>
    <n v="16500"/>
    <n v="1"/>
    <n v="19000"/>
    <n v="2500"/>
    <x v="4"/>
  </r>
  <r>
    <n v="214"/>
    <s v="MMS0162"/>
    <s v="ဘတၳရီ ေၾကးကလစ္(ခု)"/>
    <n v="1719"/>
    <n v="3"/>
    <n v="2400"/>
    <n v="681"/>
    <x v="4"/>
  </r>
  <r>
    <n v="215"/>
    <s v="MMS0168"/>
    <s v="စတပ္ကက္ေတာက္ဝိုင္း"/>
    <n v="6288"/>
    <n v="2"/>
    <n v="9000"/>
    <n v="2712"/>
    <x v="4"/>
  </r>
  <r>
    <n v="216"/>
    <s v="MMS0175"/>
    <s v="ပစၥတင္(CG-250)STD"/>
    <n v="3650"/>
    <n v="1"/>
    <n v="6000"/>
    <n v="2350"/>
    <x v="4"/>
  </r>
  <r>
    <n v="217"/>
    <s v="MMS0192"/>
    <s v="ဆီတိုင္ကီ အဖံုးလြတ္(ဝိုင္း)"/>
    <n v="7100"/>
    <n v="1"/>
    <n v="9000"/>
    <n v="1900"/>
    <x v="4"/>
  </r>
  <r>
    <n v="218"/>
    <s v="MMS0199"/>
    <s v="12ထုပ္ကိြဳင္(200W)"/>
    <n v="33250"/>
    <n v="2"/>
    <n v="40000"/>
    <n v="6750"/>
    <x v="4"/>
  </r>
  <r>
    <n v="219"/>
    <s v="MMS0200"/>
    <s v="အိတ္ေဇာခါးပတ္ထူ"/>
    <n v="2748"/>
    <n v="3"/>
    <n v="6000"/>
    <n v="3252"/>
    <x v="4"/>
  </r>
  <r>
    <n v="220"/>
    <s v="MMS0209"/>
    <s v="14T/17T ဘက္အံုပင္နယံ(စိပ္ထူ က်ယ္)"/>
    <n v="2699"/>
    <n v="1"/>
    <n v="4500"/>
    <n v="1801"/>
    <x v="4"/>
  </r>
  <r>
    <n v="221"/>
    <s v="MMS0219"/>
    <s v="တိုက္ပစ္နတ္"/>
    <n v="900"/>
    <n v="6"/>
    <n v="1500"/>
    <n v="600"/>
    <x v="4"/>
  </r>
  <r>
    <n v="222"/>
    <s v="MMS0222"/>
    <s v="မ႑ိဳင္ရိုက္ၾကပ္နတ္(အရစ္စိပ္)(150)"/>
    <n v="735"/>
    <n v="1"/>
    <n v="1500"/>
    <n v="765"/>
    <x v="4"/>
  </r>
  <r>
    <n v="223"/>
    <s v="MMS0223"/>
    <s v="အိတ္ေဇာထိန္းရာဘာ"/>
    <n v="2700"/>
    <n v="6"/>
    <n v="4800"/>
    <n v="2100"/>
    <x v="4"/>
  </r>
  <r>
    <n v="224"/>
    <s v="MMS0224"/>
    <s v="သံုးဘီး ေဘးကာ (လိေမၼာ္)"/>
    <n v="34000"/>
    <n v="1"/>
    <n v="40000"/>
    <n v="6000"/>
    <x v="4"/>
  </r>
  <r>
    <n v="225"/>
    <s v="MMS0228"/>
    <s v="ရိုးရိုးဘရိတ္ရွဴးျခမ္း 180A"/>
    <n v="22000"/>
    <n v="4"/>
    <n v="30000"/>
    <n v="8000"/>
    <x v="4"/>
  </r>
  <r>
    <n v="226"/>
    <s v="MMS0230"/>
    <s v="ဘက္ဂီယာအံု (150-300)"/>
    <n v="90000"/>
    <n v="2"/>
    <n v="110000"/>
    <n v="20000"/>
    <x v="4"/>
  </r>
  <r>
    <n v="227"/>
    <s v="MMS0241"/>
    <s v="တူးေဘာက္ကူရွင္ ေလးေထာင့္/ဝိုင္း"/>
    <n v="7000"/>
    <n v="1"/>
    <n v="10000"/>
    <n v="3000"/>
    <x v="4"/>
  </r>
  <r>
    <n v="228"/>
    <s v="MMS0242"/>
    <s v="ကလပ္ျပား(250-7ခ်ပ္)JCေကာင္း"/>
    <n v="28750"/>
    <n v="5"/>
    <n v="37500"/>
    <n v="8750"/>
    <x v="4"/>
  </r>
  <r>
    <n v="229"/>
    <s v="MMS0248"/>
    <s v="အဲကလင္နာ (set)ပိုက္ေကာက္"/>
    <n v="7968"/>
    <n v="2"/>
    <n v="12000"/>
    <n v="4032"/>
    <x v="4"/>
  </r>
  <r>
    <n v="230"/>
    <s v="MMS0249"/>
    <s v="အခ်က္ျပမီး (သရက္သီး)"/>
    <n v="3500"/>
    <n v="1"/>
    <n v="5000"/>
    <n v="1500"/>
    <x v="4"/>
  </r>
  <r>
    <n v="231"/>
    <s v="MMS0253"/>
    <s v="မီးခလုပ္(L)"/>
    <n v="3070"/>
    <n v="1"/>
    <n v="4000"/>
    <n v="930"/>
    <x v="4"/>
  </r>
  <r>
    <n v="232"/>
    <s v="MMS0262"/>
    <s v="ကလပ္အံု (set)(150/6ခ်ပ္)(ေလ)ရပစ္"/>
    <n v="16500"/>
    <n v="1"/>
    <n v="20000"/>
    <n v="3500"/>
    <x v="4"/>
  </r>
  <r>
    <n v="233"/>
    <s v="MMS0263"/>
    <s v="39T အင္ဂ်င္ဝိုင္ပန္႔ရိုးရိုး"/>
    <n v="8424"/>
    <n v="2"/>
    <n v="10000"/>
    <n v="1576"/>
    <x v="4"/>
  </r>
  <r>
    <n v="234"/>
    <s v="MMS0265"/>
    <s v="ရိန္း(250-70)(25)နွစ္ထပ္"/>
    <n v="4270"/>
    <n v="1"/>
    <n v="5500"/>
    <n v="1230"/>
    <x v="4"/>
  </r>
  <r>
    <n v="235"/>
    <s v="MMS0269"/>
    <s v="ပစၥတင္(250)(25)"/>
    <n v="9520"/>
    <n v="1"/>
    <n v="11000"/>
    <n v="1480"/>
    <x v="4"/>
  </r>
  <r>
    <n v="236"/>
    <s v="MMS0275"/>
    <s v="ေနာက္မားကဒ္(သံ) L+R"/>
    <n v="12000"/>
    <n v="2"/>
    <n v="24000"/>
    <n v="12000"/>
    <x v="4"/>
  </r>
  <r>
    <n v="237"/>
    <s v="MMS0278"/>
    <s v="ဝင္ရိုး 32cm(304A)"/>
    <n v="3398"/>
    <n v="1"/>
    <n v="6000"/>
    <n v="2602"/>
    <x v="4"/>
  </r>
  <r>
    <n v="238"/>
    <s v="MMS028"/>
    <s v="သံလိုက္အံုလျခမ္းကီး"/>
    <n v="93"/>
    <n v="1"/>
    <n v="300"/>
    <n v="207"/>
    <x v="4"/>
  </r>
  <r>
    <n v="239"/>
    <s v="MMS0283"/>
    <s v="ေရွ႔ဘရိတ္ၾကိဳး(150/250)(1.5)"/>
    <n v="1445"/>
    <n v="1"/>
    <n v="2500"/>
    <n v="1055"/>
    <x v="4"/>
  </r>
  <r>
    <n v="240"/>
    <s v="MMS0285"/>
    <s v="ကလပ္ၾကိဳး စပရိန္ပါ(1.27cm)"/>
    <n v="4400"/>
    <n v="2"/>
    <n v="6000"/>
    <n v="1600"/>
    <x v="4"/>
  </r>
  <r>
    <n v="241"/>
    <s v="MMS030"/>
    <s v="28-45-58-  10-5 ဝိုင္းစီး"/>
    <n v="1524"/>
    <n v="3"/>
    <n v="3000"/>
    <n v="1476"/>
    <x v="4"/>
  </r>
  <r>
    <n v="242"/>
    <s v="MMS0302"/>
    <s v="ဂီယာနင္းတံရွည္"/>
    <n v="2500"/>
    <n v="1"/>
    <n v="3500"/>
    <n v="1000"/>
    <x v="4"/>
  </r>
  <r>
    <n v="243"/>
    <s v="MMS0314"/>
    <s v="11t ဘက္အံုပင္နယံကလစ္လိုင္းပါ 6206"/>
    <n v="3601"/>
    <n v="1"/>
    <n v="5000"/>
    <n v="1399"/>
    <x v="4"/>
  </r>
  <r>
    <n v="244"/>
    <s v="MMS0331"/>
    <s v="ဘီးနတ္ေသး(4P) R"/>
    <n v="2520"/>
    <n v="6"/>
    <n v="4200"/>
    <n v="1680"/>
    <x v="4"/>
  </r>
  <r>
    <n v="245"/>
    <s v="MMS0339"/>
    <s v="သံလိုက္အံုပါကင္"/>
    <n v="2580"/>
    <n v="4"/>
    <n v="4000"/>
    <n v="1420"/>
    <x v="4"/>
  </r>
  <r>
    <n v="246"/>
    <s v="MMS0343"/>
    <s v="ေအာက္ေမာင္းရွပ္ပါေသး(ေကာင္း)"/>
    <n v="4455"/>
    <n v="1"/>
    <n v="5500"/>
    <n v="1045"/>
    <x v="4"/>
  </r>
  <r>
    <n v="247"/>
    <s v="MMS0344"/>
    <s v="မီးသီး(3)တတ္"/>
    <n v="2926"/>
    <n v="2"/>
    <n v="4000"/>
    <n v="1074"/>
    <x v="4"/>
  </r>
  <r>
    <n v="248"/>
    <s v="MMS0354"/>
    <s v="ကလပ္အံု Set(250-5p/7ခ်ပ္)ရပစ္"/>
    <n v="27250"/>
    <n v="1"/>
    <n v="30000"/>
    <n v="2750"/>
    <x v="4"/>
  </r>
  <r>
    <n v="249"/>
    <s v="MMS0359"/>
    <s v="ဘားေစ့ ေအာက္ရစ္(ရွည္)"/>
    <n v="428"/>
    <n v="2"/>
    <n v="1000"/>
    <n v="572"/>
    <x v="4"/>
  </r>
  <r>
    <n v="250"/>
    <s v="MMS043"/>
    <s v="အိတ္ေဇာ မီးခံကြင္း"/>
    <n v="300"/>
    <n v="3"/>
    <n v="900"/>
    <n v="600"/>
    <x v="4"/>
  </r>
  <r>
    <n v="251"/>
    <s v="MMS044"/>
    <s v="ဘားတံရွည္ 250 _x000d__x000a_"/>
    <n v="6162"/>
    <n v="1"/>
    <n v="6000"/>
    <n v="-162"/>
    <x v="4"/>
  </r>
  <r>
    <n v="252"/>
    <s v="MMS047"/>
    <s v="ဆီမာစတာပန့္ (1ပိုက္)သံA"/>
    <n v="14500"/>
    <n v="1"/>
    <n v="15000"/>
    <n v="500"/>
    <x v="4"/>
  </r>
  <r>
    <n v="253"/>
    <s v="MMS054"/>
    <s v="ဆီဘရိတ္ေၾကးပိုက္တို"/>
    <n v="1100"/>
    <n v="1"/>
    <n v="1700"/>
    <n v="600"/>
    <x v="4"/>
  </r>
  <r>
    <n v="254"/>
    <s v="MMS055"/>
    <s v="ဆီဘရိတ္ေၾကးပိုက္(လတ္)"/>
    <n v="2480"/>
    <n v="1"/>
    <n v="3000"/>
    <n v="520"/>
    <x v="4"/>
  </r>
  <r>
    <n v="255"/>
    <s v="MMS057"/>
    <s v="ဆီတိုင္ကီဘြတ္"/>
    <n v="452"/>
    <n v="2"/>
    <n v="1000"/>
    <n v="548"/>
    <x v="4"/>
  </r>
  <r>
    <n v="256"/>
    <s v="MMS058"/>
    <s v="ပလပ္စြပ္ ေဆးတံေဂါက္(ေကာ္)"/>
    <n v="700"/>
    <n v="2"/>
    <n v="2200"/>
    <n v="1500"/>
    <x v="4"/>
  </r>
  <r>
    <n v="257"/>
    <s v="MMS062"/>
    <s v="LF ပလပ္"/>
    <n v="2260"/>
    <n v="2"/>
    <n v="3600"/>
    <n v="1340"/>
    <x v="4"/>
  </r>
  <r>
    <n v="258"/>
    <s v="MMS064"/>
    <s v="ႏႈတ္ခမ္းေမႊးဘြတ္"/>
    <n v="1204"/>
    <n v="4"/>
    <n v="2000"/>
    <n v="796"/>
    <x v="4"/>
  </r>
  <r>
    <n v="259"/>
    <s v="MMS069"/>
    <s v="ကလပ္ျပား(6)ခ်ပ္ေရ (150)"/>
    <n v="10400"/>
    <n v="2"/>
    <n v="13000"/>
    <n v="2600"/>
    <x v="4"/>
  </r>
  <r>
    <n v="260"/>
    <s v="MMS071"/>
    <s v="11 ထုပ္ကိြဳင္"/>
    <n v="13020"/>
    <n v="1"/>
    <n v="15000"/>
    <n v="1980"/>
    <x v="4"/>
  </r>
  <r>
    <n v="261"/>
    <s v="MMS074"/>
    <s v="ဘထၳရီအိုး (အိုးေျခာက္) (32A)"/>
    <n v="100000"/>
    <n v="2"/>
    <n v="110000"/>
    <n v="10000"/>
    <x v="4"/>
  </r>
  <r>
    <n v="262"/>
    <s v="MMS076"/>
    <s v="စပယ္ဖူးခြဲနတ္ေခါင္း"/>
    <n v="1400"/>
    <n v="5"/>
    <n v="2500"/>
    <n v="1100"/>
    <x v="4"/>
  </r>
  <r>
    <n v="263"/>
    <s v="MMS077"/>
    <s v="ခါးဆက္မီးခံကြင္း စကာပါ"/>
    <n v="2340"/>
    <n v="6"/>
    <n v="3000"/>
    <n v="660"/>
    <x v="4"/>
  </r>
  <r>
    <n v="264"/>
    <s v="MMS078"/>
    <s v="အိတ္ေဇာမီးခံကြင္း ျဖဴေကာင္း"/>
    <n v="1712"/>
    <n v="8"/>
    <n v="3200"/>
    <n v="1488"/>
    <x v="4"/>
  </r>
  <r>
    <n v="265"/>
    <s v="MMS094"/>
    <s v=" ကာဗာလြတ္ထူ_x000d__x000a_"/>
    <n v="4426"/>
    <n v="1"/>
    <n v="7500"/>
    <n v="3074"/>
    <x v="4"/>
  </r>
  <r>
    <n v="266"/>
    <s v="MMS119"/>
    <s v="အင္ဂ်င္ဝိုင္ (1.5 Ll) JC "/>
    <n v="147900"/>
    <n v="17"/>
    <n v="158100"/>
    <n v="10200"/>
    <x v="4"/>
  </r>
  <r>
    <n v="267"/>
    <s v="MMS132"/>
    <s v="500×12 Doubleေဂြ(ေကာင္း)"/>
    <n v="29500"/>
    <n v="1"/>
    <n v="34000"/>
    <n v="4500"/>
    <x v="4"/>
  </r>
  <r>
    <n v="268"/>
    <s v="MMS137"/>
    <s v="ပလပ္ D8T/A"/>
    <n v="23800"/>
    <n v="14"/>
    <n v="35000"/>
    <n v="11200"/>
    <x v="4"/>
  </r>
  <r>
    <n v="269"/>
    <s v="MMS143"/>
    <s v="ကာ/တာ ကစ္ဆက္ (200)"/>
    <n v="1966"/>
    <n v="1"/>
    <n v="3500"/>
    <n v="1534"/>
    <x v="4"/>
  </r>
  <r>
    <n v="270"/>
    <s v="MMS144"/>
    <s v="ရိန္း (150/175)(STD)LF"/>
    <n v="7000"/>
    <n v="2"/>
    <n v="10000"/>
    <n v="3000"/>
    <x v="4"/>
  </r>
  <r>
    <n v="271"/>
    <s v="MMS146"/>
    <s v="ပစၥတင္(150/175)+0-06A"/>
    <n v="6720"/>
    <n v="1"/>
    <n v="9000"/>
    <n v="2280"/>
    <x v="4"/>
  </r>
  <r>
    <n v="272"/>
    <s v="MMS153"/>
    <s v="ဂီယာတံဘြတ္ျဖဴ200T"/>
    <n v="250"/>
    <n v="2"/>
    <n v="500"/>
    <n v="250"/>
    <x v="4"/>
  </r>
  <r>
    <n v="273"/>
    <s v="MMS166"/>
    <s v="ေလးစပရိန္(8 လိမ္)"/>
    <n v="4000"/>
    <n v="1"/>
    <n v="5000"/>
    <n v="1000"/>
    <x v="4"/>
  </r>
  <r>
    <n v="274"/>
    <s v="MMS168"/>
    <s v="ဘက္အံုပင္နယံ လိုင္းပါ"/>
    <n v="3121"/>
    <n v="1"/>
    <n v="5500"/>
    <n v="2379"/>
    <x v="4"/>
  </r>
  <r>
    <n v="275"/>
    <s v="MMS175"/>
    <s v="ဘီးနတ္( L)"/>
    <n v="9590"/>
    <n v="15"/>
    <n v="13500"/>
    <n v="3910"/>
    <x v="4"/>
  </r>
  <r>
    <n v="276"/>
    <s v="MMS179"/>
    <s v="ပစၥတင္300 STD"/>
    <n v="66834"/>
    <n v="7"/>
    <n v="84000"/>
    <n v="17166"/>
    <x v="4"/>
  </r>
  <r>
    <n v="277"/>
    <s v="MMS180"/>
    <s v="ရိန္း 300 STD"/>
    <n v="22448"/>
    <n v="4"/>
    <n v="27400"/>
    <n v="4952"/>
    <x v="4"/>
  </r>
  <r>
    <n v="278"/>
    <s v="MMS181"/>
    <s v="ကလပ္ကိုင္းအထိုင္ပါ( L )"/>
    <n v="6100"/>
    <n v="2"/>
    <n v="8000"/>
    <n v="1900"/>
    <x v="4"/>
  </r>
  <r>
    <n v="279"/>
    <s v="MMS182"/>
    <s v="ေသာ့လြတ္ေသး_x000d__x000a_"/>
    <n v="5980"/>
    <n v="2"/>
    <n v="8000"/>
    <n v="2020"/>
    <x v="4"/>
  </r>
  <r>
    <n v="280"/>
    <s v="MMS183"/>
    <s v="ဂီယာတံ(2)ဆင့္ေလာ့(ေရထမ္း)"/>
    <n v="5246"/>
    <n v="2"/>
    <n v="6400"/>
    <n v="1154"/>
    <x v="4"/>
  </r>
  <r>
    <n v="281"/>
    <s v="MMS2080"/>
    <s v="အဲယားေလစစ္အဝိုင္း"/>
    <n v="1705"/>
    <n v="1"/>
    <n v="4000"/>
    <n v="2295"/>
    <x v="4"/>
  </r>
  <r>
    <n v="282"/>
    <s v="MMS2082"/>
    <s v="အိတ္ေဇာနတ္တိုင္ေခါင္းပါ(12)ရစ္"/>
    <n v="1125"/>
    <n v="5"/>
    <n v="2500"/>
    <n v="1375"/>
    <x v="4"/>
  </r>
  <r>
    <n v="283"/>
    <s v="MMS2084"/>
    <s v="အိတ္ေဇာနတ္တိုင္ေခါင္းပါ(14)ရစ္"/>
    <n v="1435"/>
    <n v="5"/>
    <n v="2500"/>
    <n v="1065"/>
    <x v="4"/>
  </r>
  <r>
    <n v="284"/>
    <s v="NT700"/>
    <s v="NT 70 ပလန္ခ်ာ"/>
    <n v="21000"/>
    <n v="3"/>
    <n v="36000"/>
    <n v="15000"/>
    <x v="0"/>
  </r>
  <r>
    <n v="285"/>
    <s v="NT70007"/>
    <s v="NT70 ဂတ္စကတ္"/>
    <n v="3400"/>
    <n v="2"/>
    <n v="4400"/>
    <n v="1000"/>
    <x v="0"/>
  </r>
  <r>
    <n v="286"/>
    <s v="NT70009"/>
    <s v="NT 70 ပလန္ခ်ာ"/>
    <n v="12000"/>
    <n v="2"/>
    <n v="20000"/>
    <n v="8000"/>
    <x v="0"/>
  </r>
  <r>
    <n v="287"/>
    <s v="NT70021"/>
    <s v="NT70စလစ္(O)"/>
    <n v="10000"/>
    <n v="1"/>
    <n v="17000"/>
    <n v="7000"/>
    <x v="0"/>
  </r>
  <r>
    <n v="288"/>
    <s v="NT70026"/>
    <s v="NT70အိတ္ေဇာဗူး(ေဂါက္ပါ)"/>
    <n v="16500"/>
    <n v="1"/>
    <n v="28000"/>
    <n v="11500"/>
    <x v="0"/>
  </r>
  <r>
    <n v="289"/>
    <s v="NT70029"/>
    <s v="NT70ရိန္း (N)"/>
    <n v="4000"/>
    <n v="1"/>
    <n v="5000"/>
    <n v="1000"/>
    <x v="0"/>
  </r>
  <r>
    <n v="290"/>
    <s v="NT70034"/>
    <s v="NT70 ဂါဂ်ီပင္"/>
    <n v="1450"/>
    <n v="1"/>
    <n v="3200"/>
    <n v="1750"/>
    <x v="0"/>
  </r>
  <r>
    <n v="291"/>
    <s v="NT70035"/>
    <s v="NT-70 ပလန္ခ်ာ"/>
    <n v="6700"/>
    <n v="1"/>
    <n v="12000"/>
    <n v="5300"/>
    <x v="0"/>
  </r>
  <r>
    <n v="292"/>
    <s v="NT70042"/>
    <s v="NT70 ဘားကြင္း"/>
    <n v="2000"/>
    <n v="1"/>
    <n v="2800"/>
    <n v="800"/>
    <x v="0"/>
  </r>
  <r>
    <n v="293"/>
    <s v="NT70045"/>
    <s v="NT 70 ျဖတ္ဘား"/>
    <n v="78000"/>
    <n v="12"/>
    <n v="96000"/>
    <n v="18000"/>
    <x v="0"/>
  </r>
  <r>
    <n v="294"/>
    <s v="NT70046"/>
    <s v="အင္ဂ်င္ဝိုင္ပန္႔ဆံ"/>
    <n v="4000"/>
    <n v="2"/>
    <n v="10000"/>
    <n v="6000"/>
    <x v="0"/>
  </r>
  <r>
    <n v="295"/>
    <s v="NT70055"/>
    <s v="NT70/80 ကင့္ဘု"/>
    <n v="5000"/>
    <n v="1"/>
    <n v="6500"/>
    <n v="1500"/>
    <x v="0"/>
  </r>
  <r>
    <n v="296"/>
    <s v="NT7044"/>
    <s v="ေနာ္ဇယ္ပိုက္_x000d__x000a_"/>
    <n v="650"/>
    <n v="1"/>
    <n v="2300"/>
    <n v="1650"/>
    <x v="0"/>
  </r>
  <r>
    <n v="297"/>
    <s v="NT80003"/>
    <s v="NT 80 ရိန္း"/>
    <n v="8400"/>
    <n v="2"/>
    <n v="11000"/>
    <n v="2600"/>
    <x v="0"/>
  </r>
  <r>
    <n v="298"/>
    <s v="NT80005"/>
    <s v="NT80စလစ္"/>
    <n v="82000"/>
    <n v="4"/>
    <n v="100000"/>
    <n v="18000"/>
    <x v="0"/>
  </r>
  <r>
    <n v="299"/>
    <s v="NT80006"/>
    <s v="NT80ရိန္း"/>
    <n v="20000"/>
    <n v="4"/>
    <n v="28000"/>
    <n v="8000"/>
    <x v="0"/>
  </r>
  <r>
    <n v="300"/>
    <s v="NT80011"/>
    <s v="NT80 ပစၥတင္"/>
    <n v="16000"/>
    <n v="2"/>
    <n v="30000"/>
    <n v="14000"/>
    <x v="0"/>
  </r>
  <r>
    <n v="301"/>
    <s v="NT80017"/>
    <s v="NT80 ပလန္ခ်ာစပုလိန္"/>
    <n v="1200"/>
    <n v="2"/>
    <n v="4000"/>
    <n v="2800"/>
    <x v="0"/>
  </r>
  <r>
    <n v="302"/>
    <s v="NT80019"/>
    <s v="NT80 ဂါဂ်ီပင္"/>
    <n v="4200"/>
    <n v="2"/>
    <n v="6400"/>
    <n v="2200"/>
    <x v="0"/>
  </r>
  <r>
    <n v="303"/>
    <s v="NT80021"/>
    <s v="NT80 အင္ဂ်င္ဝိုင္စစ္စံု"/>
    <n v="12000"/>
    <n v="1"/>
    <n v="15000"/>
    <n v="3000"/>
    <x v="0"/>
  </r>
  <r>
    <n v="304"/>
    <s v="NT80026"/>
    <s v="NT80 အမ္းခံု"/>
    <n v="5700"/>
    <n v="1"/>
    <n v="10000"/>
    <n v="4300"/>
    <x v="0"/>
  </r>
  <r>
    <n v="305"/>
    <s v="NT80027"/>
    <s v="NT80 ဂတ္စကက္"/>
    <n v="12400"/>
    <n v="7"/>
    <n v="17500"/>
    <n v="5100"/>
    <x v="0"/>
  </r>
  <r>
    <n v="306"/>
    <s v="OKBT0011"/>
    <s v="B66 ပူလီႀကိဳး"/>
    <n v="1782"/>
    <n v="1"/>
    <n v="3000"/>
    <n v="1218"/>
    <x v="0"/>
  </r>
  <r>
    <n v="307"/>
    <s v="OKBT0014"/>
    <s v="Coolant"/>
    <n v="20000"/>
    <n v="4"/>
    <n v="28000"/>
    <n v="8000"/>
    <x v="0"/>
  </r>
  <r>
    <n v="308"/>
    <s v="OKBT0015"/>
    <s v="BOB  အမဲဆီ"/>
    <n v="130000"/>
    <n v="2"/>
    <n v="148000"/>
    <n v="18000"/>
    <x v="0"/>
  </r>
  <r>
    <n v="309"/>
    <s v="OW0006"/>
    <s v="ေလ်ွာဗန္း(တစ္ဘီးေထာင္) Orginal အထူ"/>
    <n v="22500"/>
    <n v="1"/>
    <n v="30000"/>
    <n v="7500"/>
    <x v="0"/>
  </r>
  <r>
    <n v="310"/>
    <s v="OW0007"/>
    <s v="ေလွ်ာဗန္း (110)"/>
    <n v="40000"/>
    <n v="2"/>
    <n v="60000"/>
    <n v="20000"/>
    <x v="0"/>
  </r>
  <r>
    <n v="311"/>
    <s v="OW0011"/>
    <s v="ေလ်ွာတန္း (ခါးရွပ္တန္း)(တစ္ဘီးေထာင္)"/>
    <n v="30000"/>
    <n v="2"/>
    <n v="42000"/>
    <n v="12000"/>
    <x v="0"/>
  </r>
  <r>
    <n v="312"/>
    <s v="OW0014"/>
    <s v="ဇက္ပင္ (တစ္ဘီးေထာင္)"/>
    <n v="22080"/>
    <n v="6"/>
    <n v="30000"/>
    <n v="7920"/>
    <x v="0"/>
  </r>
  <r>
    <n v="313"/>
    <s v="OW0015"/>
    <s v="Toyo ဇက္ပင္"/>
    <n v="2800"/>
    <n v="1"/>
    <n v="6000"/>
    <n v="3200"/>
    <x v="0"/>
  </r>
  <r>
    <n v="314"/>
    <s v="OW0016"/>
    <s v="ဇက္ဘြတ္ (တစ္ဘီးေထာင္)"/>
    <n v="28101"/>
    <n v="17"/>
    <n v="42500"/>
    <n v="14399"/>
    <x v="0"/>
  </r>
  <r>
    <n v="315"/>
    <s v="OW0026"/>
    <s v="607 ေက်ာက္စက္ေဘာ_x000d__x000a_"/>
    <n v="450"/>
    <n v="1"/>
    <n v="1000"/>
    <n v="550"/>
    <x v="0"/>
  </r>
  <r>
    <n v="316"/>
    <s v="OW0027"/>
    <s v="6305 ေဘာ"/>
    <n v="12550"/>
    <n v="6"/>
    <n v="23400"/>
    <n v="10850"/>
    <x v="0"/>
  </r>
  <r>
    <n v="317"/>
    <s v="OW0036"/>
    <s v="7x2 ပူလီ (တစ္ဘီးေထာင္)"/>
    <n v="13200"/>
    <n v="1"/>
    <n v="20200"/>
    <n v="7000"/>
    <x v="0"/>
  </r>
  <r>
    <n v="318"/>
    <s v="OW0039"/>
    <s v=" 14 စြယ္ရွပ္ (အျပာခံု)"/>
    <n v="11885"/>
    <n v="1"/>
    <n v="16000"/>
    <n v="4115"/>
    <x v="0"/>
  </r>
  <r>
    <n v="319"/>
    <s v="OW0041"/>
    <s v="14 စြယ္ရွပ္ /တို (တစ္ဘီးေထာင္)"/>
    <n v="11078"/>
    <n v="2"/>
    <n v="13000"/>
    <n v="1922"/>
    <x v="0"/>
  </r>
  <r>
    <n v="320"/>
    <s v="OW0043"/>
    <s v="ဘီးရွပ္ (တစ္ဘီးေထာင္)"/>
    <n v="10853"/>
    <n v="1"/>
    <n v="23500"/>
    <n v="12647"/>
    <x v="0"/>
  </r>
  <r>
    <n v="321"/>
    <s v="OW0046"/>
    <s v="ဆြဲတံအသီး  (တစ္ဘီးေထာင္)"/>
    <n v="4690"/>
    <n v="7"/>
    <n v="9000"/>
    <n v="4310"/>
    <x v="0"/>
  </r>
  <r>
    <n v="322"/>
    <s v="OW0047"/>
    <s v="3×2ပူလီ (တစ္ဘီးေထာင္)"/>
    <n v="13400"/>
    <n v="2"/>
    <n v="16000"/>
    <n v="2600"/>
    <x v="0"/>
  </r>
  <r>
    <n v="323"/>
    <s v="OW0054"/>
    <s v="ကိုယ္ထည္ (တစ္ဘီးေထာင္)"/>
    <n v="98000"/>
    <n v="1"/>
    <n v="160000"/>
    <n v="62000"/>
    <x v="0"/>
  </r>
  <r>
    <n v="324"/>
    <s v="OW0059"/>
    <s v="B 56 ခ်ိန္း"/>
    <n v="12320"/>
    <n v="5"/>
    <n v="15000"/>
    <n v="2680"/>
    <x v="0"/>
  </r>
  <r>
    <n v="325"/>
    <s v="OW0063"/>
    <s v="B 54 ေျပာင္"/>
    <n v="2916"/>
    <n v="2"/>
    <n v="4600"/>
    <n v="1684"/>
    <x v="0"/>
  </r>
  <r>
    <n v="326"/>
    <s v="OW0064"/>
    <s v="အေပၚပူလီေဘာပိတ္ အေပါက္ပါ(တစ္ဘီးေထာင္)"/>
    <n v="2800"/>
    <n v="1"/>
    <n v="11500"/>
    <n v="8700"/>
    <x v="0"/>
  </r>
  <r>
    <n v="327"/>
    <s v="OW0071"/>
    <s v="DF ကလပ္ေဘာ(688808)"/>
    <n v="3400"/>
    <n v="2"/>
    <n v="4000"/>
    <n v="600"/>
    <x v="0"/>
  </r>
  <r>
    <n v="328"/>
    <s v="OW0072"/>
    <s v="DF ေပါင္ (ညာ)"/>
    <n v="16760"/>
    <n v="1"/>
    <n v="42000"/>
    <n v="25240"/>
    <x v="0"/>
  </r>
  <r>
    <n v="329"/>
    <s v="OW0074"/>
    <s v="ပါကင္စံု  (တစ္ဘီးေထာင္)"/>
    <n v="17800"/>
    <n v="15"/>
    <n v="28000"/>
    <n v="10200"/>
    <x v="0"/>
  </r>
  <r>
    <n v="330"/>
    <s v="OW0076"/>
    <s v="93 စြယ္ 110"/>
    <n v="27000"/>
    <n v="2"/>
    <n v="45000"/>
    <n v="18000"/>
    <x v="0"/>
  </r>
  <r>
    <n v="331"/>
    <s v="OW0080"/>
    <s v="5/6 အင္ဂ်င္အထိုင္ (တစ္ဘီးေထာင္)"/>
    <n v="19000"/>
    <n v="2"/>
    <n v="40000"/>
    <n v="21000"/>
    <x v="0"/>
  </r>
  <r>
    <n v="332"/>
    <s v="OW0081"/>
    <s v="14သြားရွပ္ရွည္ (ရွယ္)"/>
    <n v="10908"/>
    <n v="2"/>
    <n v="15000"/>
    <n v="4092"/>
    <x v="0"/>
  </r>
  <r>
    <n v="333"/>
    <s v="OW0083"/>
    <s v="Toyo အင္ဂ်င္ထိုင္"/>
    <n v="40000"/>
    <n v="2"/>
    <n v="64000"/>
    <n v="24000"/>
    <x v="0"/>
  </r>
  <r>
    <n v="334"/>
    <s v="OW0092"/>
    <s v="တစ္ဘီးေထာင္ေဘးကဒ္"/>
    <n v="10000"/>
    <n v="1"/>
    <n v="18000"/>
    <n v="8000"/>
    <x v="0"/>
  </r>
  <r>
    <n v="335"/>
    <s v="OW0100"/>
    <s v="14 စြယ္ရွပ္ /တို (တစ္ဘီးေထာင္)"/>
    <n v="5500"/>
    <n v="1"/>
    <n v="8000"/>
    <n v="2500"/>
    <x v="0"/>
  </r>
  <r>
    <n v="336"/>
    <s v="OW0106"/>
    <s v="FM 36 ပူလီႀကိဳး"/>
    <n v="900"/>
    <n v="1"/>
    <n v="1500"/>
    <n v="600"/>
    <x v="0"/>
  </r>
  <r>
    <n v="337"/>
    <s v="OW0107"/>
    <s v="FM 38 ပူလီႀကိဳး"/>
    <n v="3040"/>
    <n v="4"/>
    <n v="5700"/>
    <n v="2660"/>
    <x v="0"/>
  </r>
  <r>
    <n v="338"/>
    <s v="OW0108"/>
    <s v="110 သံဘီး"/>
    <n v="37000"/>
    <n v="1"/>
    <n v="50000"/>
    <n v="13000"/>
    <x v="0"/>
  </r>
  <r>
    <n v="339"/>
    <s v="OW0114"/>
    <s v="B 54 ခ်ိန္း"/>
    <n v="4752"/>
    <n v="2"/>
    <n v="5600"/>
    <n v="848"/>
    <x v="0"/>
  </r>
  <r>
    <n v="340"/>
    <s v="OW0116"/>
    <s v="တစ္ဘီးထြန္ ပီနယံ 69 စြယ္ (JW)"/>
    <n v="66000"/>
    <n v="3"/>
    <n v="101400"/>
    <n v="35400"/>
    <x v="0"/>
  </r>
  <r>
    <n v="341"/>
    <s v="OW0121"/>
    <s v="6304 ဆီပိတ္ Japan"/>
    <n v="145900"/>
    <n v="32"/>
    <n v="166000"/>
    <n v="20100"/>
    <x v="0"/>
  </r>
  <r>
    <n v="342"/>
    <s v="OW0122"/>
    <s v=" 56 ခ်ိန္း(ယိုးဒယား)"/>
    <n v="4928"/>
    <n v="1"/>
    <n v="5500"/>
    <n v="572"/>
    <x v="0"/>
  </r>
  <r>
    <n v="343"/>
    <s v="OW0123"/>
    <s v="14 စြယ္ရွပ္ လတ္ (တစ္ဘီးထြန္)"/>
    <n v="9558"/>
    <n v="2"/>
    <n v="16000"/>
    <n v="6442"/>
    <x v="0"/>
  </r>
  <r>
    <n v="344"/>
    <s v="OW0134"/>
    <s v="3×2ပူလီ (ၾကား/ေဘာပူလီ)"/>
    <n v="12000"/>
    <n v="2"/>
    <n v="16000"/>
    <n v="4000"/>
    <x v="0"/>
  </r>
  <r>
    <n v="345"/>
    <s v="OW0138"/>
    <s v="56 ေျပာင္ ပူလီႀကိဳး"/>
    <n v="2688"/>
    <n v="2"/>
    <n v="4400"/>
    <n v="1712"/>
    <x v="0"/>
  </r>
  <r>
    <n v="346"/>
    <s v="OW0140"/>
    <s v="B 42 ခ်ိန္း"/>
    <n v="2310"/>
    <n v="1"/>
    <n v="2800"/>
    <n v="490"/>
    <x v="0"/>
  </r>
  <r>
    <n v="347"/>
    <s v="OW0142"/>
    <s v="7 x 2 ပူလီ(အျပာခံု)"/>
    <n v="8800"/>
    <n v="1"/>
    <n v="18500"/>
    <n v="9700"/>
    <x v="0"/>
  </r>
  <r>
    <n v="348"/>
    <s v="OW0146"/>
    <s v="6202 (ယိုးဒယားအထိုင္)"/>
    <n v="2350"/>
    <n v="1"/>
    <n v="4000"/>
    <n v="1650"/>
    <x v="0"/>
  </r>
  <r>
    <n v="349"/>
    <s v="OW0147"/>
    <s v="63/22 DD"/>
    <n v="5500"/>
    <n v="2"/>
    <n v="6600"/>
    <n v="1100"/>
    <x v="0"/>
  </r>
  <r>
    <n v="350"/>
    <s v="OW0152"/>
    <s v="30210(Japan)အစစ္"/>
    <n v="31000"/>
    <n v="2"/>
    <n v="34000"/>
    <n v="3000"/>
    <x v="0"/>
  </r>
  <r>
    <n v="351"/>
    <s v="OW0153"/>
    <s v="6204(ဆီပိတ္ Japan)"/>
    <n v="17250"/>
    <n v="5"/>
    <n v="20000"/>
    <n v="2750"/>
    <x v="0"/>
  </r>
  <r>
    <n v="352"/>
    <s v="OW0154"/>
    <s v="6310(Japan) အစစ္"/>
    <n v="99000"/>
    <n v="5"/>
    <n v="105000"/>
    <n v="6000"/>
    <x v="0"/>
  </r>
  <r>
    <n v="353"/>
    <s v="OW0156"/>
    <s v="30204  ေစာင္းေဘာ"/>
    <n v="1250"/>
    <n v="1"/>
    <n v="2500"/>
    <n v="1250"/>
    <x v="0"/>
  </r>
  <r>
    <n v="354"/>
    <s v="OW0157"/>
    <s v="B50 ေျပာင္(ယိုး)"/>
    <n v="3300"/>
    <n v="2"/>
    <n v="6000"/>
    <n v="2700"/>
    <x v="0"/>
  </r>
  <r>
    <n v="355"/>
    <s v="OW0163"/>
    <s v="42X55X7"/>
    <n v="536"/>
    <n v="1"/>
    <n v="700"/>
    <n v="164"/>
    <x v="0"/>
  </r>
  <r>
    <n v="356"/>
    <s v="OW0168"/>
    <n v="6207"/>
    <n v="30250"/>
    <n v="11"/>
    <n v="27500"/>
    <n v="-2750"/>
    <x v="0"/>
  </r>
  <r>
    <n v="357"/>
    <s v="OW0169"/>
    <s v="F207 ေဘာျပား"/>
    <n v="31000"/>
    <n v="2"/>
    <n v="46000"/>
    <n v="15000"/>
    <x v="0"/>
  </r>
  <r>
    <n v="358"/>
    <s v="OW0172"/>
    <s v="5K ဒိုင္နမို ဖလမ္း"/>
    <n v="26500"/>
    <n v="1"/>
    <n v="31500"/>
    <n v="5000"/>
    <x v="0"/>
  </r>
  <r>
    <n v="359"/>
    <s v="OW0182"/>
    <s v="57  ေျပာင္ ပူလီႀကိဳး"/>
    <n v="5016"/>
    <n v="2"/>
    <n v="6000"/>
    <n v="984"/>
    <x v="0"/>
  </r>
  <r>
    <n v="360"/>
    <s v="OW0185"/>
    <s v="6207 DD"/>
    <n v="31500"/>
    <n v="10"/>
    <n v="43000"/>
    <n v="11500"/>
    <x v="0"/>
  </r>
  <r>
    <n v="361"/>
    <s v="OW0187"/>
    <s v="27.38.7"/>
    <n v="1200"/>
    <n v="2"/>
    <n v="1600"/>
    <n v="400"/>
    <x v="0"/>
  </r>
  <r>
    <n v="362"/>
    <s v="OW0189"/>
    <s v="32214 ေဘာ"/>
    <n v="13750"/>
    <n v="1"/>
    <n v="17000"/>
    <n v="3250"/>
    <x v="0"/>
  </r>
  <r>
    <n v="363"/>
    <s v="OW0191"/>
    <s v="ဘ/ထ Toyoေဘာဖံုး(ေသး)"/>
    <n v="3500"/>
    <n v="1"/>
    <n v="5000"/>
    <n v="1500"/>
    <x v="0"/>
  </r>
  <r>
    <n v="364"/>
    <s v="OW078"/>
    <s v="B50ခ်ိန္း"/>
    <n v="2750"/>
    <n v="1"/>
    <n v="3300"/>
    <n v="550"/>
    <x v="0"/>
  </r>
  <r>
    <n v="365"/>
    <s v="Q185003"/>
    <s v="Q185 ကရိုင္း"/>
    <n v="63900"/>
    <n v="3"/>
    <n v="84000"/>
    <n v="20100"/>
    <x v="1"/>
  </r>
  <r>
    <n v="366"/>
    <s v="Q185004"/>
    <s v="Q185 ရိန္း"/>
    <n v="13489"/>
    <n v="7"/>
    <n v="21000"/>
    <n v="7511"/>
    <x v="1"/>
  </r>
  <r>
    <n v="367"/>
    <s v="Q185007"/>
    <s v="Q185 စလစ္ "/>
    <n v="6430"/>
    <n v="1"/>
    <n v="13000"/>
    <n v="6570"/>
    <x v="0"/>
  </r>
  <r>
    <n v="368"/>
    <s v="Q185008"/>
    <s v="Q185 ပင္စတင္"/>
    <n v="18600"/>
    <n v="3"/>
    <n v="36000"/>
    <n v="17400"/>
    <x v="1"/>
  </r>
  <r>
    <n v="369"/>
    <s v="Q185013"/>
    <s v="Q185 မိန္းဖလန္း(R175/R180)"/>
    <n v="5500"/>
    <n v="1"/>
    <n v="15000"/>
    <n v="9500"/>
    <x v="0"/>
  </r>
  <r>
    <n v="370"/>
    <s v="Q185015"/>
    <s v="Q185 ေကာ္နတ္တင္း"/>
    <n v="19476"/>
    <n v="2"/>
    <n v="30000"/>
    <n v="10524"/>
    <x v="1"/>
  </r>
  <r>
    <n v="371"/>
    <s v="Q185016"/>
    <s v="Q185 ေနာ္ဇယ္အံု"/>
    <n v="62500"/>
    <n v="5"/>
    <n v="90500"/>
    <n v="28000"/>
    <x v="1"/>
  </r>
  <r>
    <n v="372"/>
    <s v="Q185018"/>
    <s v="Q185 ဖလိႈင္းဝွီး"/>
    <n v="23380"/>
    <n v="1"/>
    <n v="40000"/>
    <n v="16620"/>
    <x v="1"/>
  </r>
  <r>
    <n v="373"/>
    <s v="Q185019"/>
    <s v="Q185 ဘေလာက္အိုး"/>
    <n v="54500"/>
    <n v="1"/>
    <n v="67000"/>
    <n v="12500"/>
    <x v="1"/>
  </r>
  <r>
    <n v="374"/>
    <s v="Q185021"/>
    <s v="Q185 ဂတ္စကက္(ရွယ္)"/>
    <n v="20748"/>
    <n v="28"/>
    <n v="33600"/>
    <n v="12852"/>
    <x v="0"/>
  </r>
  <r>
    <n v="375"/>
    <s v="Q185025"/>
    <s v="Q185အင္းလက္ဗူး(ေဂါက္ပါ)"/>
    <n v="8100"/>
    <n v="2"/>
    <n v="17000"/>
    <n v="8900"/>
    <x v="1"/>
  </r>
  <r>
    <n v="376"/>
    <s v="Q185026"/>
    <s v="Q185 ေနာ္ဇယ္ပိုက္"/>
    <n v="1030"/>
    <n v="1"/>
    <n v="2000"/>
    <n v="970"/>
    <x v="1"/>
  </r>
  <r>
    <n v="377"/>
    <s v="Q185028"/>
    <s v="Q185 အင္ဂ်င္ဝိုင္ပိုက္"/>
    <n v="380"/>
    <n v="1"/>
    <n v="1000"/>
    <n v="620"/>
    <x v="0"/>
  </r>
  <r>
    <n v="378"/>
    <s v="Q185033"/>
    <s v="Q185 (CC) စလစ္ကစ္ဆက္"/>
    <n v="318591"/>
    <n v="18"/>
    <n v="495000"/>
    <n v="176409"/>
    <x v="1"/>
  </r>
  <r>
    <n v="379"/>
    <s v="Q185038"/>
    <s v="ပလန္ခ်ာ (Q185)"/>
    <n v="47160"/>
    <n v="14"/>
    <n v="70000"/>
    <n v="22840"/>
    <x v="1"/>
  </r>
  <r>
    <n v="380"/>
    <s v="Q185040"/>
    <s v="Q185 ဂါဂ်ီပင္(CC)"/>
    <n v="7495"/>
    <n v="5"/>
    <n v="10000"/>
    <n v="2505"/>
    <x v="1"/>
  </r>
  <r>
    <n v="381"/>
    <s v="R1750001"/>
    <s v="R175စလစ္ကစ္ဆက္(က်ယ္ခြက္)"/>
    <n v="98550"/>
    <n v="6"/>
    <n v="130000"/>
    <n v="31450"/>
    <x v="1"/>
  </r>
  <r>
    <n v="382"/>
    <s v="R1750002"/>
    <s v="ဘားဆက္စံု R175(JN)"/>
    <n v="137576"/>
    <n v="37"/>
    <n v="192400"/>
    <n v="54824"/>
    <x v="1"/>
  </r>
  <r>
    <n v="383"/>
    <s v="R1750007"/>
    <s v="ကရိုင္း(3ေပါက္)R175(ATR)(JN)6310/6209"/>
    <n v="40400"/>
    <n v="2"/>
    <n v="51000"/>
    <n v="10600"/>
    <x v="1"/>
  </r>
  <r>
    <n v="384"/>
    <s v="R1750008"/>
    <s v="ေကာ္နတင္း Q-175(JN)"/>
    <n v="19476"/>
    <n v="2"/>
    <n v="24000"/>
    <n v="4524"/>
    <x v="1"/>
  </r>
  <r>
    <n v="385"/>
    <s v="R1750009"/>
    <s v="R175 ပါကင္စံု(JN)"/>
    <n v="4848"/>
    <n v="4"/>
    <n v="8000"/>
    <n v="3152"/>
    <x v="1"/>
  </r>
  <r>
    <n v="386"/>
    <s v="R1750015"/>
    <s v="R175  အိတ္ေဇာ (ေဂါက္ပါ)"/>
    <n v="10360"/>
    <n v="2"/>
    <n v="16000"/>
    <n v="5640"/>
    <x v="1"/>
  </r>
  <r>
    <n v="387"/>
    <s v="R1750018"/>
    <s v="အဲယာဗူး ေဂါက္ပါ"/>
    <n v="5000"/>
    <n v="1"/>
    <n v="7000"/>
    <n v="2000"/>
    <x v="0"/>
  </r>
  <r>
    <n v="388"/>
    <s v="R1750019"/>
    <s v="ကီးစံုထုပ္ R175"/>
    <n v="515"/>
    <n v="1"/>
    <n v="800"/>
    <n v="285"/>
    <x v="1"/>
  </r>
  <r>
    <n v="389"/>
    <s v="R1750030"/>
    <s v="R-175/180 ဂိတ္ျပပစၥတင္(JN)"/>
    <n v="1784"/>
    <n v="2"/>
    <n v="3000"/>
    <n v="1216"/>
    <x v="1"/>
  </r>
  <r>
    <n v="390"/>
    <s v="R1750032"/>
    <s v="R175 အဲယားစစ္"/>
    <n v="950"/>
    <n v="1"/>
    <n v="1500"/>
    <n v="550"/>
    <x v="0"/>
  </r>
  <r>
    <n v="391"/>
    <s v="R175004"/>
    <s v="ကင့္ရွပ္ပင္နယံ (ေသး /က်ယ္ ) R175 /180 (JN)"/>
    <n v="1250"/>
    <n v="1"/>
    <n v="2000"/>
    <n v="750"/>
    <x v="0"/>
  </r>
  <r>
    <n v="392"/>
    <s v="R175005"/>
    <s v="ျဖတ္ဘားဝါရွာ S195 (JN)"/>
    <n v="1155"/>
    <n v="21"/>
    <n v="3700"/>
    <n v="2545"/>
    <x v="0"/>
  </r>
  <r>
    <n v="393"/>
    <s v="R175010"/>
    <s v="ဂါဂ်ီပင္ R175 (JN) (0.16KG)"/>
    <n v="1564"/>
    <n v="2"/>
    <n v="4000"/>
    <n v="2436"/>
    <x v="0"/>
  </r>
  <r>
    <n v="394"/>
    <s v="R175018"/>
    <s v="R175 အမ္းခံု ဆီေပါက္မပါ"/>
    <n v="31141"/>
    <n v="11"/>
    <n v="41800"/>
    <n v="10659"/>
    <x v="0"/>
  </r>
  <r>
    <n v="395"/>
    <s v="R175023"/>
    <s v="ဟန္ဒရယ္ရွပ္ 175"/>
    <n v="1250"/>
    <n v="1"/>
    <n v="2000"/>
    <n v="750"/>
    <x v="0"/>
  </r>
  <r>
    <n v="396"/>
    <s v="R175024"/>
    <s v="ေဖာ္လိုတံ (1 စံု) R175"/>
    <n v="1390"/>
    <n v="2"/>
    <n v="3000"/>
    <n v="1610"/>
    <x v="0"/>
  </r>
  <r>
    <n v="397"/>
    <s v="R175025"/>
    <s v="ေဖာ္လိုခြက္(ခု) R175"/>
    <n v="3459"/>
    <n v="3"/>
    <n v="6000"/>
    <n v="2541"/>
    <x v="0"/>
  </r>
  <r>
    <n v="398"/>
    <s v="R175030"/>
    <s v="ဂါဂ်ီပင္ကလစ္ R175 (JN)"/>
    <n v="100"/>
    <n v="4"/>
    <n v="400"/>
    <n v="300"/>
    <x v="0"/>
  </r>
  <r>
    <n v="399"/>
    <s v="R175031"/>
    <s v="5 ပဲ ဆီနတ္"/>
    <n v="201"/>
    <n v="2"/>
    <n v="400"/>
    <n v="199"/>
    <x v="0"/>
  </r>
  <r>
    <n v="400"/>
    <s v="R175032"/>
    <s v="5 မူးဆီနတ္"/>
    <n v="1750"/>
    <n v="14"/>
    <n v="4200"/>
    <n v="2450"/>
    <x v="0"/>
  </r>
  <r>
    <n v="401"/>
    <s v="R175039"/>
    <s v="R175 အိတ္ေဇာေဂါက္ပါ"/>
    <n v="85500"/>
    <n v="11"/>
    <n v="122500"/>
    <n v="37000"/>
    <x v="0"/>
  </r>
  <r>
    <n v="402"/>
    <s v="R175047"/>
    <s v="R-175 ကီးစံု"/>
    <n v="295"/>
    <n v="1"/>
    <n v="500"/>
    <n v="205"/>
    <x v="0"/>
  </r>
  <r>
    <n v="403"/>
    <s v="R175048"/>
    <s v="R-175 ေရတိုင္ကီ ေကာ္ဖံုး"/>
    <n v="6664"/>
    <n v="8"/>
    <n v="16000"/>
    <n v="9336"/>
    <x v="0"/>
  </r>
  <r>
    <n v="404"/>
    <s v="R175049"/>
    <s v="R-175 ဆီတိုင္ကီဖံုး (JW)"/>
    <n v="350"/>
    <n v="1"/>
    <n v="1000"/>
    <n v="650"/>
    <x v="0"/>
  </r>
  <r>
    <n v="405"/>
    <s v="R175050"/>
    <s v="R-175/180 ဂိတ္ျပပင္စတင္"/>
    <n v="535"/>
    <n v="1"/>
    <n v="1000"/>
    <n v="465"/>
    <x v="0"/>
  </r>
  <r>
    <n v="406"/>
    <s v="R175054"/>
    <s v="R175 ေဘာထိန္းသံျပား"/>
    <n v="260"/>
    <n v="2"/>
    <n v="600"/>
    <n v="340"/>
    <x v="0"/>
  </r>
  <r>
    <n v="407"/>
    <s v="R175056"/>
    <s v="R-175 တိုက္ပစ္နပ္"/>
    <n v="1120"/>
    <n v="4"/>
    <n v="1600"/>
    <n v="480"/>
    <x v="0"/>
  </r>
  <r>
    <n v="408"/>
    <s v="R175057"/>
    <s v="R-175 တိုက္ပစ္အမ္း"/>
    <n v="1325"/>
    <n v="1"/>
    <n v="2000"/>
    <n v="675"/>
    <x v="0"/>
  </r>
  <r>
    <n v="409"/>
    <s v="R175060"/>
    <s v="R-175 ဟန္ဒယ္ေဂါက္ JW"/>
    <n v="7890"/>
    <n v="4"/>
    <n v="14000"/>
    <n v="6110"/>
    <x v="0"/>
  </r>
  <r>
    <n v="410"/>
    <s v="R175063"/>
    <s v="R-175 အိတ္ေဇာပါကင္ 3 ေပါက္"/>
    <n v="78"/>
    <n v="1"/>
    <n v="150"/>
    <n v="72"/>
    <x v="0"/>
  </r>
  <r>
    <n v="411"/>
    <s v="R175064"/>
    <s v="R-175 အိတ္ေဇာပါကင္  2 ေပါက္"/>
    <n v="640"/>
    <n v="8"/>
    <n v="1200"/>
    <n v="560"/>
    <x v="0"/>
  </r>
  <r>
    <n v="412"/>
    <s v="R175066"/>
    <s v="R-175 အင္ဂ်င္ဝိုင္ တိုင္းတံ"/>
    <n v="350"/>
    <n v="3"/>
    <n v="900"/>
    <n v="550"/>
    <x v="0"/>
  </r>
  <r>
    <n v="413"/>
    <s v="R175076"/>
    <s v="R-175 ေနာ္ဇယ္ပိုက္"/>
    <n v="1389"/>
    <n v="3"/>
    <n v="3000"/>
    <n v="1611"/>
    <x v="0"/>
  </r>
  <r>
    <n v="414"/>
    <s v="R175077"/>
    <s v="R-175 ပလန္ခ်ာအံု "/>
    <n v="23000"/>
    <n v="2"/>
    <n v="34500"/>
    <n v="11500"/>
    <x v="0"/>
  </r>
  <r>
    <n v="415"/>
    <s v="R175080"/>
    <s v="R-175 ေနာ္ဇယ္အံု JW"/>
    <n v="6200"/>
    <n v="1"/>
    <n v="13000"/>
    <n v="6800"/>
    <x v="0"/>
  </r>
  <r>
    <n v="416"/>
    <s v="R175082"/>
    <s v="R-175 4 x 3 ပူလီ"/>
    <n v="4000"/>
    <n v="1"/>
    <n v="5500"/>
    <n v="1500"/>
    <x v="0"/>
  </r>
  <r>
    <n v="417"/>
    <s v="R175086"/>
    <s v="R-175 ဘားကြင္း"/>
    <n v="550"/>
    <n v="1"/>
    <n v="1000"/>
    <n v="450"/>
    <x v="0"/>
  </r>
  <r>
    <n v="418"/>
    <s v="R175096"/>
    <s v="R-175 အဲယားဗူး"/>
    <n v="2980"/>
    <n v="1"/>
    <n v="5000"/>
    <n v="2020"/>
    <x v="0"/>
  </r>
  <r>
    <n v="419"/>
    <s v="R175097"/>
    <s v="R175 ဟက္နပ္တိုင္ "/>
    <n v="4360"/>
    <n v="5"/>
    <n v="6000"/>
    <n v="1640"/>
    <x v="0"/>
  </r>
  <r>
    <n v="420"/>
    <s v="R175099"/>
    <s v="R-175 ေနာ္ဇယ္နပ္တိုင္ လတ္(JW)"/>
    <n v="1526"/>
    <n v="7"/>
    <n v="2900"/>
    <n v="1374"/>
    <x v="0"/>
  </r>
  <r>
    <n v="421"/>
    <s v="R175101"/>
    <s v="R-175 အမ္းခံုစံု ဆီေပါက္ပါ (JW)"/>
    <n v="49110"/>
    <n v="14"/>
    <n v="63000"/>
    <n v="13890"/>
    <x v="0"/>
  </r>
  <r>
    <n v="422"/>
    <s v="R175103"/>
    <s v="R-175 ဆီေကာ့စံု (JW)"/>
    <n v="1100"/>
    <n v="1"/>
    <n v="2000"/>
    <n v="900"/>
    <x v="0"/>
  </r>
  <r>
    <n v="423"/>
    <s v="R175106"/>
    <s v="R-175 စက္မကြင္း (JW)"/>
    <n v="550"/>
    <n v="1"/>
    <n v="1000"/>
    <n v="450"/>
    <x v="0"/>
  </r>
  <r>
    <n v="424"/>
    <s v="R175110"/>
    <s v="ဟန္တယ္ဘြတ္ (175)"/>
    <n v="486"/>
    <n v="2"/>
    <n v="2000"/>
    <n v="1514"/>
    <x v="0"/>
  </r>
  <r>
    <n v="425"/>
    <s v="R175113"/>
    <s v="R-175 ဂတ္စကက္က်ယ္"/>
    <n v="8800"/>
    <n v="12"/>
    <n v="13600"/>
    <n v="4800"/>
    <x v="0"/>
  </r>
  <r>
    <n v="426"/>
    <s v="R175114"/>
    <s v="R-175 ဂါဘနာစပရိန္"/>
    <n v="600"/>
    <n v="3"/>
    <n v="1200"/>
    <n v="600"/>
    <x v="0"/>
  </r>
  <r>
    <n v="427"/>
    <s v="R175120"/>
    <s v="175/180 ဆီမိန္းပိုက္ရွည္"/>
    <n v="2777"/>
    <n v="4"/>
    <n v="6000"/>
    <n v="3223"/>
    <x v="0"/>
  </r>
  <r>
    <n v="428"/>
    <s v="R175122"/>
    <s v="R175 စလစ္သေရကြင္း / ဝါ"/>
    <n v="2600"/>
    <n v="13"/>
    <n v="6500"/>
    <n v="3900"/>
    <x v="0"/>
  </r>
  <r>
    <n v="429"/>
    <s v="R175123"/>
    <s v="ေလဘာသီး"/>
    <n v="720"/>
    <n v="4"/>
    <n v="2000"/>
    <n v="1280"/>
    <x v="0"/>
  </r>
  <r>
    <n v="430"/>
    <s v="R175124"/>
    <s v="ေနာ္ဇယ္နားကပ္စပရိန္"/>
    <n v="180"/>
    <n v="3"/>
    <n v="900"/>
    <n v="720"/>
    <x v="0"/>
  </r>
  <r>
    <n v="431"/>
    <s v="R175132"/>
    <s v="R175ေကာ္နတ္တင္းဝါရွာ(JW)"/>
    <n v="52"/>
    <n v="2"/>
    <n v="200"/>
    <n v="148"/>
    <x v="0"/>
  </r>
  <r>
    <n v="432"/>
    <s v="R175144"/>
    <s v="R175 ပါကင္စုံ"/>
    <n v="890"/>
    <n v="1"/>
    <n v="2000"/>
    <n v="1110"/>
    <x v="0"/>
  </r>
  <r>
    <n v="433"/>
    <s v="R175145"/>
    <s v="R175 ေရတိုင္ကီ အထူ"/>
    <n v="49000"/>
    <n v="2"/>
    <n v="60000"/>
    <n v="11000"/>
    <x v="0"/>
  </r>
  <r>
    <n v="434"/>
    <s v="R175150"/>
    <s v="R-175ဘားေထာက္ (JW)"/>
    <n v="380"/>
    <n v="1"/>
    <n v="1000"/>
    <n v="620"/>
    <x v="0"/>
  </r>
  <r>
    <n v="435"/>
    <s v="R175154"/>
    <s v="R175ဂါဂ်ီပင္ဘြတ္(ေၾကး)_x000d__x000a_"/>
    <n v="8800"/>
    <n v="8"/>
    <n v="12000"/>
    <n v="3200"/>
    <x v="0"/>
  </r>
  <r>
    <n v="436"/>
    <s v="R175156"/>
    <s v="R-175 ပလန္ခ်ာအံုအတြင္း Kitset (JW)"/>
    <n v="3500"/>
    <n v="1"/>
    <n v="6000"/>
    <n v="2500"/>
    <x v="0"/>
  </r>
  <r>
    <n v="437"/>
    <s v="R175158"/>
    <s v="R-175 Aircool ေလပန္ကာ (JW)"/>
    <n v="15333"/>
    <n v="1"/>
    <n v="30000"/>
    <n v="14667"/>
    <x v="0"/>
  </r>
  <r>
    <n v="438"/>
    <s v="R175160"/>
    <s v="R-175 ကင့္ဘုက်ယ္ "/>
    <n v="7280"/>
    <n v="5"/>
    <n v="11000"/>
    <n v="3720"/>
    <x v="0"/>
  </r>
  <r>
    <n v="439"/>
    <s v="R175163"/>
    <s v="ဆီစစ္ရွည္(အင္ဂ်င္ဝိုင္စစ္)"/>
    <n v="6270"/>
    <n v="27"/>
    <n v="16800"/>
    <n v="10530"/>
    <x v="0"/>
  </r>
  <r>
    <n v="440"/>
    <s v="R175168"/>
    <s v="ေနာ္ဇယ္ပင္ႀကီး(GBS SP)"/>
    <n v="67419"/>
    <n v="17"/>
    <n v="76500"/>
    <n v="9081"/>
    <x v="1"/>
  </r>
  <r>
    <n v="441"/>
    <s v="R175171"/>
    <s v="ဂတ္စကက္က်ယ္"/>
    <n v="400"/>
    <n v="1"/>
    <n v="1000"/>
    <n v="600"/>
    <x v="1"/>
  </r>
  <r>
    <n v="442"/>
    <s v="R175176"/>
    <s v="175 သတၳဳဝါရွာစံု"/>
    <n v="800"/>
    <n v="4"/>
    <n v="2000"/>
    <n v="1200"/>
    <x v="0"/>
  </r>
  <r>
    <n v="443"/>
    <s v="R175178"/>
    <s v="R175 ကင္းရွပ္ေဘာထိန္းနတ္"/>
    <n v="750"/>
    <n v="1"/>
    <n v="1200"/>
    <n v="450"/>
    <x v="0"/>
  </r>
  <r>
    <n v="444"/>
    <s v="R175181"/>
    <s v="R175 ကင္႔ပင္နယံေသးက်ဥ္း_x000d__x000a_"/>
    <n v="1050"/>
    <n v="1"/>
    <n v="2000"/>
    <n v="950"/>
    <x v="1"/>
  </r>
  <r>
    <n v="445"/>
    <s v="R175183"/>
    <s v="ကရိုင္းပင္နယံ"/>
    <n v="5000"/>
    <n v="2"/>
    <n v="10000"/>
    <n v="5000"/>
    <x v="0"/>
  </r>
  <r>
    <n v="446"/>
    <s v="R175187"/>
    <s v="ျဖတ္ဘား(ဒလီဘား)"/>
    <n v="12300"/>
    <n v="10"/>
    <n v="20000"/>
    <n v="7700"/>
    <x v="0"/>
  </r>
  <r>
    <n v="447"/>
    <s v="R175190"/>
    <s v="ဘယ္ရင္ R175 (JN)"/>
    <n v="48812"/>
    <n v="81"/>
    <n v="64800"/>
    <n v="15988"/>
    <x v="1"/>
  </r>
  <r>
    <n v="448"/>
    <s v="R175203"/>
    <s v="R-175 ဂါဂ်ီပင္ဘြတ္(ေၾကး)(JN)"/>
    <n v="4428"/>
    <n v="9"/>
    <n v="9000"/>
    <n v="4572"/>
    <x v="1"/>
  </r>
  <r>
    <n v="449"/>
    <s v="R175A001"/>
    <s v="R175/R180 ေရတိုင္ကီ(ATR)သတၱဳ(ျပာ)"/>
    <n v="25000"/>
    <n v="1"/>
    <n v="30000"/>
    <n v="5000"/>
    <x v="0"/>
  </r>
  <r>
    <n v="450"/>
    <s v="R180002"/>
    <s v="ဂတ္စကက္ (က်ဥ္း) R-180A (JN)"/>
    <n v="1071"/>
    <n v="3"/>
    <n v="3000"/>
    <n v="1929"/>
    <x v="0"/>
  </r>
  <r>
    <n v="451"/>
    <s v="R180003"/>
    <s v="R180 ပါကင္စံု "/>
    <n v="24375"/>
    <n v="17"/>
    <n v="30400"/>
    <n v="6025"/>
    <x v="0"/>
  </r>
  <r>
    <n v="452"/>
    <s v="R1800062"/>
    <s v="R-180 ရိန္း (CC)"/>
    <n v="4796"/>
    <n v="2"/>
    <n v="6000"/>
    <n v="1204"/>
    <x v="1"/>
  </r>
  <r>
    <n v="453"/>
    <s v="R180008"/>
    <s v="R-180 ကင့္ကာဘာ"/>
    <n v="12000"/>
    <n v="1"/>
    <n v="18500"/>
    <n v="6500"/>
    <x v="0"/>
  </r>
  <r>
    <n v="454"/>
    <s v="R180015"/>
    <s v="R-180 ပစၥတင္ ခ်ိဳင့္"/>
    <n v="7450"/>
    <n v="2"/>
    <n v="16000"/>
    <n v="8550"/>
    <x v="0"/>
  </r>
  <r>
    <n v="455"/>
    <s v="R180018"/>
    <s v="R180 ပါကင္စံု"/>
    <n v="1155"/>
    <n v="1"/>
    <n v="2000"/>
    <n v="845"/>
    <x v="0"/>
  </r>
  <r>
    <n v="456"/>
    <s v="R180019"/>
    <s v="R-180 ဆီတိုင္ကီ"/>
    <n v="11800"/>
    <n v="1"/>
    <n v="20000"/>
    <n v="8200"/>
    <x v="0"/>
  </r>
  <r>
    <n v="457"/>
    <s v="R180020"/>
    <s v="ဆီစစ္ရွည္ (ဒီဇယ္)"/>
    <n v="440"/>
    <n v="2"/>
    <n v="1200"/>
    <n v="760"/>
    <x v="0"/>
  </r>
  <r>
    <n v="458"/>
    <s v="R180037"/>
    <s v="R180/175အိတ္ေဇားဗူးမဲ(ဝိုင္း)"/>
    <n v="12800"/>
    <n v="5"/>
    <n v="25000"/>
    <n v="12200"/>
    <x v="0"/>
  </r>
  <r>
    <n v="459"/>
    <s v="R180041"/>
    <s v="ပစၥတင္(ခြက္) R180(JN)"/>
    <n v="5653"/>
    <n v="1"/>
    <n v="8000"/>
    <n v="2347"/>
    <x v="1"/>
  </r>
  <r>
    <n v="460"/>
    <s v="R180045"/>
    <s v="တစ္ဘီးထြန္ 14စြယ္ ရွပ္ (180) ရွည္ (ကီးတို) (JW)"/>
    <n v="10908"/>
    <n v="2"/>
    <n v="14000"/>
    <n v="3092"/>
    <x v="0"/>
  </r>
  <r>
    <n v="461"/>
    <s v="R180046"/>
    <s v="R180 ဂါဂ်ီပင္"/>
    <n v="2850"/>
    <n v="3"/>
    <n v="6000"/>
    <n v="3150"/>
    <x v="1"/>
  </r>
  <r>
    <n v="462"/>
    <s v="R180050"/>
    <s v="ဘားဆက္စံု R180 (JN)"/>
    <n v="18000"/>
    <n v="5"/>
    <n v="30000"/>
    <n v="12000"/>
    <x v="1"/>
  </r>
  <r>
    <n v="463"/>
    <s v="R180051"/>
    <s v="R-180 ပါကင္စံု(JN)"/>
    <n v="21185"/>
    <n v="19"/>
    <n v="32300"/>
    <n v="11115"/>
    <x v="1"/>
  </r>
  <r>
    <n v="464"/>
    <s v="R180055"/>
    <s v="R180 ဂတ္စကက္(က်ယ္)   "/>
    <n v="21000"/>
    <n v="35"/>
    <n v="35000"/>
    <n v="14000"/>
    <x v="0"/>
  </r>
  <r>
    <n v="465"/>
    <s v="R180056"/>
    <s v="R180 စလစ္ကစ္ဆက္JN "/>
    <n v="177110"/>
    <n v="10"/>
    <n v="250000"/>
    <n v="72890"/>
    <x v="1"/>
  </r>
  <r>
    <n v="466"/>
    <s v="R180060"/>
    <s v="R180 ကင့္ရွပ္"/>
    <n v="4100"/>
    <n v="1"/>
    <n v="8000"/>
    <n v="3900"/>
    <x v="1"/>
  </r>
  <r>
    <n v="467"/>
    <s v="R180061"/>
    <s v="အဲယားပူလီအစံု"/>
    <n v="5000"/>
    <n v="1"/>
    <n v="8300"/>
    <n v="3300"/>
    <x v="0"/>
  </r>
  <r>
    <n v="468"/>
    <s v="R180066"/>
    <s v="R180စလစ္ကစ္ဆက္(က်ယ္) CC"/>
    <n v="193475"/>
    <n v="9"/>
    <n v="243000"/>
    <n v="49525"/>
    <x v="1"/>
  </r>
  <r>
    <n v="469"/>
    <s v="R180067"/>
    <s v="R180 စလစ္ကစ္ဆက္(JD)"/>
    <n v="216072"/>
    <n v="8"/>
    <n v="244000"/>
    <n v="27928"/>
    <x v="0"/>
  </r>
  <r>
    <n v="470"/>
    <s v="SLW0018"/>
    <s v="DC 12V 280W CEM"/>
    <n v="70000"/>
    <n v="2"/>
    <n v="84000"/>
    <n v="14000"/>
    <x v="0"/>
  </r>
  <r>
    <n v="471"/>
    <s v="SLW0019"/>
    <s v="DC 12V 380W CEM"/>
    <n v="35000"/>
    <n v="1"/>
    <n v="45000"/>
    <n v="10000"/>
    <x v="0"/>
  </r>
  <r>
    <n v="472"/>
    <s v="SLW0020"/>
    <s v="DC အဝုိင္းစီး (ေရျမဳပ္ပန္႔)"/>
    <n v="500"/>
    <n v="1"/>
    <n v="1500"/>
    <n v="1000"/>
    <x v="0"/>
  </r>
  <r>
    <n v="473"/>
    <s v="SP0014"/>
    <s v=" 600x12 ကၽြတ္"/>
    <n v="11000"/>
    <n v="2"/>
    <n v="15000"/>
    <n v="4000"/>
    <x v="0"/>
  </r>
  <r>
    <n v="474"/>
    <s v="SP0023"/>
    <s v="22 ေကာင္ 6×2 ပူလိ"/>
    <n v="12800"/>
    <n v="1"/>
    <n v="19500"/>
    <n v="6700"/>
    <x v="0"/>
  </r>
  <r>
    <n v="475"/>
    <s v="SP0049"/>
    <s v="*999 ( 1pack x 6) Gear Oil"/>
    <n v="206600"/>
    <n v="13"/>
    <n v="234000"/>
    <n v="27400"/>
    <x v="0"/>
  </r>
  <r>
    <n v="476"/>
    <s v="SP0050"/>
    <s v="အမဲဆီဘူး0.5 kg _x000d__x000a_"/>
    <n v="27300"/>
    <n v="10"/>
    <n v="35000"/>
    <n v="7700"/>
    <x v="0"/>
  </r>
  <r>
    <n v="477"/>
    <s v="SP0053"/>
    <s v=" Mollar 5 Liter"/>
    <n v="521827"/>
    <n v="22"/>
    <n v="576000"/>
    <n v="54173"/>
    <x v="0"/>
  </r>
  <r>
    <n v="478"/>
    <s v="SP0054"/>
    <s v="7 1/2 ပါကင္စံု "/>
    <n v="1800"/>
    <n v="2"/>
    <n v="3000"/>
    <n v="1200"/>
    <x v="0"/>
  </r>
  <r>
    <n v="479"/>
    <s v="SP0055"/>
    <s v="6201DD"/>
    <n v="2600"/>
    <n v="4"/>
    <n v="4800"/>
    <n v="2200"/>
    <x v="0"/>
  </r>
  <r>
    <n v="480"/>
    <s v="SP0058"/>
    <s v="အမဲဆီ ဗူးေသး"/>
    <n v="2900"/>
    <n v="11"/>
    <n v="4400"/>
    <n v="1500"/>
    <x v="0"/>
  </r>
  <r>
    <n v="481"/>
    <s v="SP0065"/>
    <s v="2&quot; သတၱဴေဆာ့ကဒ္ ဝါရွာ (Su 50)"/>
    <n v="200"/>
    <n v="2"/>
    <n v="600"/>
    <n v="400"/>
    <x v="0"/>
  </r>
  <r>
    <n v="482"/>
    <s v="SP0074"/>
    <s v="TB40 ေၾကးအင္ပယ္လာ(35)"/>
    <n v="5600"/>
    <n v="2"/>
    <n v="8000"/>
    <n v="2400"/>
    <x v="0"/>
  </r>
  <r>
    <n v="483"/>
    <s v="SP0082"/>
    <s v="175ေနာ္ဇယ္နားကပ္(တို)"/>
    <n v="60"/>
    <n v="1"/>
    <n v="150"/>
    <n v="90"/>
    <x v="0"/>
  </r>
  <r>
    <n v="484"/>
    <s v="SP0083"/>
    <s v="175ေနာ္ဇယ္နားကပ္(ရွည္)"/>
    <n v="2800"/>
    <n v="40"/>
    <n v="7700"/>
    <n v="4900"/>
    <x v="0"/>
  </r>
  <r>
    <n v="485"/>
    <s v="SP0086"/>
    <s v="7 1/2 ဆြဲအံု"/>
    <n v="5200"/>
    <n v="2"/>
    <n v="9000"/>
    <n v="3800"/>
    <x v="0"/>
  </r>
  <r>
    <n v="486"/>
    <s v="SP0090"/>
    <s v="Super Glue (ႀကီး)502"/>
    <n v="15200"/>
    <n v="19"/>
    <n v="19000"/>
    <n v="3800"/>
    <x v="0"/>
  </r>
  <r>
    <n v="487"/>
    <s v="SP0092"/>
    <s v=" Bonsy မႈတ္ေဆး"/>
    <n v="48598"/>
    <n v="22"/>
    <n v="69000"/>
    <n v="20402"/>
    <x v="0"/>
  </r>
  <r>
    <n v="488"/>
    <s v="SP0093"/>
    <s v=" MTL Bonsy မႈတ္ေဆး"/>
    <n v="19400"/>
    <n v="6"/>
    <n v="22200"/>
    <n v="2800"/>
    <x v="0"/>
  </r>
  <r>
    <n v="489"/>
    <s v="SP0098"/>
    <s v="ကိုရီးယား ေကာ္ပတ္ "/>
    <n v="4680"/>
    <n v="26"/>
    <n v="7800"/>
    <n v="3120"/>
    <x v="0"/>
  </r>
  <r>
    <n v="490"/>
    <s v="SP00993"/>
    <s v="Kawa 7 1/2 ဆီအိုးဖံုး"/>
    <n v="850"/>
    <n v="1"/>
    <n v="1500"/>
    <n v="650"/>
    <x v="0"/>
  </r>
  <r>
    <n v="491"/>
    <s v="SP01010"/>
    <s v="6 1/2 ေကာ္နတင္း (STD)"/>
    <n v="2200"/>
    <n v="1"/>
    <n v="3000"/>
    <n v="800"/>
    <x v="0"/>
  </r>
  <r>
    <n v="492"/>
    <s v="SP01011"/>
    <s v="KAWA 7 1/2 ဟက္ဖံုး"/>
    <n v="1700"/>
    <n v="1"/>
    <n v="3300"/>
    <n v="1600"/>
    <x v="0"/>
  </r>
  <r>
    <n v="493"/>
    <s v="SP01013"/>
    <s v="စီးတိပ္"/>
    <n v="750"/>
    <n v="6"/>
    <n v="1600"/>
    <n v="850"/>
    <x v="0"/>
  </r>
  <r>
    <n v="494"/>
    <s v="SP01014"/>
    <s v="ေတာက္ဟန္တယ္အေသး"/>
    <n v="3750"/>
    <n v="1"/>
    <n v="5000"/>
    <n v="1250"/>
    <x v="0"/>
  </r>
  <r>
    <n v="495"/>
    <s v="SP0102"/>
    <s v="10&quot; ဂြရွင္(ဇီးေရာင္)"/>
    <n v="8900"/>
    <n v="2"/>
    <n v="11000"/>
    <n v="2100"/>
    <x v="0"/>
  </r>
  <r>
    <n v="496"/>
    <s v="SP01021"/>
    <s v="မီးစက္တြဲ 3800W(Jelist)"/>
    <n v="430000"/>
    <n v="1"/>
    <n v="460000"/>
    <n v="30000"/>
    <x v="0"/>
  </r>
  <r>
    <n v="497"/>
    <s v="SP01024"/>
    <s v="ႀကိဳးစိမ္းပိုက္ (Clover)"/>
    <n v="23500"/>
    <n v="1"/>
    <n v="25000"/>
    <n v="1500"/>
    <x v="0"/>
  </r>
  <r>
    <n v="498"/>
    <s v="SP01025"/>
    <s v="2ေပ ခ်ိန္းေစာစလစ္စံု"/>
    <n v="92500"/>
    <n v="5"/>
    <n v="115000"/>
    <n v="22500"/>
    <x v="0"/>
  </r>
  <r>
    <n v="499"/>
    <s v="SP0103"/>
    <s v="12&quot; ဂြရွင္ (ဇီးေရာင္)"/>
    <n v="5500"/>
    <n v="1"/>
    <n v="6500"/>
    <n v="1000"/>
    <x v="0"/>
  </r>
  <r>
    <n v="500"/>
    <s v="SP01034"/>
    <s v="ဝရိန္ပံုး250MMA(YAMA)"/>
    <n v="126000"/>
    <n v="1"/>
    <n v="150000"/>
    <n v="24000"/>
    <x v="0"/>
  </r>
  <r>
    <n v="501"/>
    <s v="SP01035"/>
    <s v="Water pump(370W)5မူး"/>
    <n v="227600"/>
    <n v="4"/>
    <n v="248000"/>
    <n v="20400"/>
    <x v="0"/>
  </r>
  <r>
    <n v="502"/>
    <s v="SP01039"/>
    <s v="KAWA အင္ဂ်င္ဝိုင္(0.75 )"/>
    <n v="3700"/>
    <n v="1"/>
    <n v="5000"/>
    <n v="1300"/>
    <x v="0"/>
  </r>
  <r>
    <n v="503"/>
    <s v="SP01042"/>
    <s v="6 1/2 ဘားထိပ္အုပ္"/>
    <n v="200"/>
    <n v="2"/>
    <n v="600"/>
    <n v="400"/>
    <x v="0"/>
  </r>
  <r>
    <n v="504"/>
    <s v="SP01051"/>
    <s v="30 စပန္နာသီး"/>
    <n v="3500"/>
    <n v="1"/>
    <n v="4500"/>
    <n v="1000"/>
    <x v="0"/>
  </r>
  <r>
    <n v="505"/>
    <s v="SP01062"/>
    <s v="10 စူးသြား"/>
    <n v="1600"/>
    <n v="1"/>
    <n v="2000"/>
    <n v="400"/>
    <x v="0"/>
  </r>
  <r>
    <n v="506"/>
    <s v="SP01076"/>
    <s v="Blower(ေလမႈတ္စက္)EP260"/>
    <n v="105000"/>
    <n v="1"/>
    <n v="115000"/>
    <n v="10000"/>
    <x v="0"/>
  </r>
  <r>
    <n v="507"/>
    <s v="SP01077"/>
    <s v="ေက်ာက္ျပားအထိုင္"/>
    <n v="2000"/>
    <n v="2"/>
    <n v="4000"/>
    <n v="2000"/>
    <x v="0"/>
  </r>
  <r>
    <n v="508"/>
    <s v="SP01084"/>
    <s v="6 လက္မ 2 ငုတ္ပူလာ"/>
    <n v="8800"/>
    <n v="1"/>
    <n v="11500"/>
    <n v="2700"/>
    <x v="0"/>
  </r>
  <r>
    <n v="509"/>
    <s v="SP01087"/>
    <s v="2Way ဘုတို"/>
    <n v="800"/>
    <n v="1"/>
    <n v="1500"/>
    <n v="700"/>
    <x v="0"/>
  </r>
  <r>
    <n v="510"/>
    <s v="SP01093"/>
    <s v="စက္ဘရတ္"/>
    <n v="3000"/>
    <n v="3"/>
    <n v="3000"/>
    <n v="0"/>
    <x v="0"/>
  </r>
  <r>
    <n v="511"/>
    <s v="SP01097"/>
    <s v="11 ဂြင္းဂြ"/>
    <n v="700"/>
    <n v="1"/>
    <n v="1300"/>
    <n v="600"/>
    <x v="0"/>
  </r>
  <r>
    <n v="512"/>
    <s v="SP01101"/>
    <s v="12x13 ဂြင္းဂြင္း"/>
    <n v="1800"/>
    <n v="2"/>
    <n v="3000"/>
    <n v="1200"/>
    <x v="0"/>
  </r>
  <r>
    <n v="513"/>
    <s v="SP01112"/>
    <s v="ဘက္မွန္ေဂၚလီသီး"/>
    <n v="1250"/>
    <n v="3"/>
    <n v="2100"/>
    <n v="850"/>
    <x v="0"/>
  </r>
  <r>
    <n v="514"/>
    <s v="SP01114"/>
    <s v="12 ရစ္ပလပ္ KGV"/>
    <n v="11500"/>
    <n v="5"/>
    <n v="15000"/>
    <n v="3500"/>
    <x v="0"/>
  </r>
  <r>
    <n v="515"/>
    <s v="SP01115"/>
    <s v="အင္းပက္ဆံရွည္(CH)"/>
    <n v="700"/>
    <n v="1"/>
    <n v="1500"/>
    <n v="800"/>
    <x v="0"/>
  </r>
  <r>
    <n v="516"/>
    <s v="SP01119"/>
    <s v="ဆိုက္ကလစ္ပလာယာ"/>
    <n v="10080"/>
    <n v="3"/>
    <n v="13500"/>
    <n v="3420"/>
    <x v="0"/>
  </r>
  <r>
    <n v="517"/>
    <s v="SP01133"/>
    <s v="Jet pump Dayuan(550W)3မတ္"/>
    <n v="107326"/>
    <n v="1"/>
    <n v="127000"/>
    <n v="19674"/>
    <x v="0"/>
  </r>
  <r>
    <n v="518"/>
    <s v="SP01139"/>
    <s v="သုတ္ေဆး (1/4 ဘူး)"/>
    <n v="50500"/>
    <n v="7"/>
    <n v="54950"/>
    <n v="4450"/>
    <x v="0"/>
  </r>
  <r>
    <n v="519"/>
    <s v="SP0114"/>
    <s v="1ပဲ မီးခံျပား(သံစကာပါ)"/>
    <n v="1584"/>
    <n v="1"/>
    <n v="2000"/>
    <n v="416"/>
    <x v="0"/>
  </r>
  <r>
    <n v="520"/>
    <s v="SP01141"/>
    <s v="စုတ္တံ ( 1 လက္မ)"/>
    <n v="1260"/>
    <n v="7"/>
    <n v="1750"/>
    <n v="490"/>
    <x v="0"/>
  </r>
  <r>
    <n v="521"/>
    <s v="SP01143"/>
    <s v="စုတ္တံ ( 2  လက္မ)"/>
    <n v="760"/>
    <n v="2"/>
    <n v="1000"/>
    <n v="240"/>
    <x v="0"/>
  </r>
  <r>
    <n v="522"/>
    <s v="SP01150"/>
    <s v="သြားတိုက္ ေကာ္ဗရပ္"/>
    <n v="334"/>
    <n v="2"/>
    <n v="600"/>
    <n v="266"/>
    <x v="0"/>
  </r>
  <r>
    <n v="523"/>
    <s v="SP01151"/>
    <s v="12V မီးဆံ"/>
    <n v="5000"/>
    <n v="1"/>
    <n v="10000"/>
    <n v="5000"/>
    <x v="0"/>
  </r>
  <r>
    <n v="524"/>
    <s v="SP01157"/>
    <s v="2ေပ ခ်ိန္းေစာခ်ိန္း"/>
    <n v="44000"/>
    <n v="4"/>
    <n v="60000"/>
    <n v="16000"/>
    <x v="0"/>
  </r>
  <r>
    <n v="525"/>
    <s v="SP01158"/>
    <s v="ခ်ိန္းေစာတံစဥ္း (4.0)"/>
    <n v="10500"/>
    <n v="5"/>
    <n v="15000"/>
    <n v="4500"/>
    <x v="0"/>
  </r>
  <r>
    <n v="526"/>
    <s v="SP01160"/>
    <s v="13 ေကာင္ ေကာ္နတင္းနတ္"/>
    <n v="150"/>
    <n v="1"/>
    <n v="300"/>
    <n v="150"/>
    <x v="0"/>
  </r>
  <r>
    <n v="527"/>
    <s v="SP01163"/>
    <s v="ေက်ာက္စက္ ကာပြန္အဖံုး"/>
    <n v="450"/>
    <n v="1"/>
    <n v="1500"/>
    <n v="1050"/>
    <x v="0"/>
  </r>
  <r>
    <n v="528"/>
    <s v="SP0117"/>
    <s v="ဂ်ပန္ စကၠဴ"/>
    <n v="3000"/>
    <n v="6"/>
    <n v="4200"/>
    <n v="1200"/>
    <x v="0"/>
  </r>
  <r>
    <n v="529"/>
    <s v="SP01179"/>
    <s v="2 ပိုက္ေပ်ာ့  NPH အဝါ"/>
    <n v="14720"/>
    <n v="1"/>
    <n v="30000"/>
    <n v="15280"/>
    <x v="0"/>
  </r>
  <r>
    <n v="530"/>
    <s v="SP0118"/>
    <s v="2 way ဝက္အူလွည့္ 6&quot; "/>
    <n v="3300"/>
    <n v="2"/>
    <n v="4400"/>
    <n v="1100"/>
    <x v="0"/>
  </r>
  <r>
    <n v="531"/>
    <s v="SP01184"/>
    <s v="Water pump(အင္ပယ္လာႀကီး)(370W)5မူး"/>
    <n v="83000"/>
    <n v="1"/>
    <n v="95000"/>
    <n v="12000"/>
    <x v="0"/>
  </r>
  <r>
    <n v="532"/>
    <s v="SP01189"/>
    <s v="ႀကိဳးထိုးသြား 9006"/>
    <n v="4000"/>
    <n v="1"/>
    <n v="6000"/>
    <n v="2000"/>
    <x v="0"/>
  </r>
  <r>
    <n v="533"/>
    <s v="SP0119"/>
    <s v="2 way ဝက္အူလွည့္ 8&quot;"/>
    <n v="5600"/>
    <n v="2"/>
    <n v="6400"/>
    <n v="800"/>
    <x v="0"/>
  </r>
  <r>
    <n v="534"/>
    <s v="SP01193"/>
    <s v="ႀကိဳးထိုးသြား 1016"/>
    <n v="3300"/>
    <n v="1"/>
    <n v="7000"/>
    <n v="3700"/>
    <x v="0"/>
  </r>
  <r>
    <n v="535"/>
    <s v="SP01195"/>
    <s v="ခ်ိန္းေစာတံစဥ္း(4.8)"/>
    <n v="6000"/>
    <n v="3"/>
    <n v="9000"/>
    <n v="3000"/>
    <x v="0"/>
  </r>
  <r>
    <n v="536"/>
    <s v="SP01203"/>
    <s v="13 စူးသြား"/>
    <n v="9450"/>
    <n v="3"/>
    <n v="15000"/>
    <n v="5550"/>
    <x v="0"/>
  </r>
  <r>
    <n v="537"/>
    <s v="SP01210"/>
    <s v="700x16 ကၽြတ္"/>
    <n v="11200"/>
    <n v="1"/>
    <n v="14500"/>
    <n v="3300"/>
    <x v="0"/>
  </r>
  <r>
    <n v="538"/>
    <s v="SP01212"/>
    <s v="90B ေရေပၚစက္"/>
    <n v="62000"/>
    <n v="1"/>
    <n v="87000"/>
    <n v="25000"/>
    <x v="0"/>
  </r>
  <r>
    <n v="539"/>
    <s v="SP01221"/>
    <s v="ဘကၳရီကလစ္ႀကီး(စံု)"/>
    <n v="1800"/>
    <n v="2"/>
    <n v="3000"/>
    <n v="1200"/>
    <x v="0"/>
  </r>
  <r>
    <n v="540"/>
    <s v="SP01225"/>
    <s v="1 HP ဂ်က္ပန္႔ ေရေမာ္တာ"/>
    <n v="98000"/>
    <n v="1"/>
    <n v="120000"/>
    <n v="22000"/>
    <x v="0"/>
  </r>
  <r>
    <n v="541"/>
    <s v="SP01227"/>
    <s v="28-47-10"/>
    <n v="600"/>
    <n v="1"/>
    <n v="800"/>
    <n v="200"/>
    <x v="0"/>
  </r>
  <r>
    <n v="542"/>
    <s v="SP01230"/>
    <s v="2ေပ ခ်ိန္းေစာ ရိန္း"/>
    <n v="2850"/>
    <n v="3"/>
    <n v="5400"/>
    <n v="2550"/>
    <x v="0"/>
  </r>
  <r>
    <n v="543"/>
    <s v="SP01232"/>
    <s v="1 လက္မ လိုင္းပိုက္"/>
    <n v="48000"/>
    <n v="3"/>
    <n v="58000"/>
    <n v="10000"/>
    <x v="0"/>
  </r>
  <r>
    <n v="544"/>
    <s v="SP01244"/>
    <s v="သုတ္ေဆး (လတ္)"/>
    <n v="3000"/>
    <n v="1"/>
    <n v="3500"/>
    <n v="500"/>
    <x v="0"/>
  </r>
  <r>
    <n v="545"/>
    <s v="SP01247"/>
    <s v="ေဆးမႈတ္ဂန္း(ၾကီး)"/>
    <n v="25000"/>
    <n v="1"/>
    <n v="30000"/>
    <n v="5000"/>
    <x v="0"/>
  </r>
  <r>
    <n v="546"/>
    <s v="SP0125"/>
    <s v="ABေကာ္ေသး Chai"/>
    <n v="2720"/>
    <n v="4"/>
    <n v="3600"/>
    <n v="880"/>
    <x v="0"/>
  </r>
  <r>
    <n v="547"/>
    <s v="SP01257"/>
    <s v="Toyo တစ္ဘီးထြန္ (လက္ေဟာင္း)"/>
    <n v="950000"/>
    <n v="2"/>
    <n v="1200000"/>
    <n v="250000"/>
    <x v="0"/>
  </r>
  <r>
    <n v="548"/>
    <s v="SP0126"/>
    <s v="ဟိုက္ဘြန္ေကာ္ / Hibond"/>
    <n v="11200"/>
    <n v="8"/>
    <n v="14400"/>
    <n v="3200"/>
    <x v="0"/>
  </r>
  <r>
    <n v="549"/>
    <s v="SP01263"/>
    <s v="3 မူးလြန္ 1/2(NO.8)"/>
    <n v="1200"/>
    <n v="1"/>
    <n v="2500"/>
    <n v="1300"/>
    <x v="0"/>
  </r>
  <r>
    <n v="550"/>
    <s v="SP01264"/>
    <s v="5 မူးလြန္ 3/8)NO.6"/>
    <n v="6000"/>
    <n v="3"/>
    <n v="8400"/>
    <n v="2400"/>
    <x v="0"/>
  </r>
  <r>
    <n v="551"/>
    <s v="SP01266"/>
    <s v="2ေပ ခ်ိန္းေစာစေပါ့ကဒ္ရွင္(ကြင္းပါ)"/>
    <n v="10500"/>
    <n v="3"/>
    <n v="15000"/>
    <n v="4500"/>
    <x v="0"/>
  </r>
  <r>
    <n v="552"/>
    <s v="SP01267"/>
    <s v="2 ေပ စေပါ့ကဒ္ကြင္း"/>
    <n v="8500"/>
    <n v="5"/>
    <n v="12500"/>
    <n v="4000"/>
    <x v="0"/>
  </r>
  <r>
    <n v="553"/>
    <s v="SP01275"/>
    <s v="10 Pcs စပန္နာဗူး"/>
    <n v="5100"/>
    <n v="1"/>
    <n v="9000"/>
    <n v="3900"/>
    <x v="0"/>
  </r>
  <r>
    <n v="554"/>
    <s v="SP01283"/>
    <s v="ကာပြန္(ႀကိဳးထိုးစက္)"/>
    <n v="1600"/>
    <n v="4"/>
    <n v="4000"/>
    <n v="2400"/>
    <x v="0"/>
  </r>
  <r>
    <n v="555"/>
    <s v="SP01286"/>
    <s v="2ေပ ခ်ိန္းေစာ ဘရိတ္ရွဴး "/>
    <n v="7500"/>
    <n v="2"/>
    <n v="10000"/>
    <n v="2500"/>
    <x v="0"/>
  </r>
  <r>
    <n v="556"/>
    <s v="SP01290"/>
    <s v="2ေပခ်ိန္ေစာ သံပါတ္(ၾကီး)"/>
    <n v="1150"/>
    <n v="1"/>
    <n v="2000"/>
    <n v="850"/>
    <x v="0"/>
  </r>
  <r>
    <n v="557"/>
    <s v="SP01309"/>
    <s v="ဂ်ာမနီခ်ိန္း (Special)"/>
    <n v="29500"/>
    <n v="1"/>
    <n v="37000"/>
    <n v="7500"/>
    <x v="0"/>
  </r>
  <r>
    <n v="558"/>
    <s v="SP01312"/>
    <s v="3ေပခြဲ စေပါ့ကဒ္ကြင္း"/>
    <n v="1500"/>
    <n v="1"/>
    <n v="3000"/>
    <n v="1500"/>
    <x v="0"/>
  </r>
  <r>
    <n v="559"/>
    <s v="SP01317"/>
    <s v="NT80 Engine"/>
    <n v="3535000"/>
    <n v="7"/>
    <n v="3850000"/>
    <n v="315000"/>
    <x v="0"/>
  </r>
  <r>
    <n v="560"/>
    <s v="SP01325"/>
    <s v="5M AC မီးႀကိဳး"/>
    <n v="8600"/>
    <n v="2"/>
    <n v="12000"/>
    <n v="3400"/>
    <x v="0"/>
  </r>
  <r>
    <n v="561"/>
    <s v="SP01326"/>
    <s v="6မူး ေဖာက္စက္(BOSHENG)"/>
    <n v="54450"/>
    <n v="1"/>
    <n v="50000"/>
    <n v="-4450"/>
    <x v="0"/>
  </r>
  <r>
    <n v="562"/>
    <s v="SP01330"/>
    <s v="ဆိတ္ခ်ိဳတူ သံရိုးဝါ"/>
    <n v="4000"/>
    <n v="1"/>
    <n v="6000"/>
    <n v="2000"/>
    <x v="0"/>
  </r>
  <r>
    <n v="563"/>
    <s v="SP01331"/>
    <s v="ခဲေခြ"/>
    <n v="1000"/>
    <n v="2"/>
    <n v="2000"/>
    <n v="1000"/>
    <x v="0"/>
  </r>
  <r>
    <n v="564"/>
    <s v="SP01332"/>
    <s v="ထင္းရွဴးဆီ"/>
    <n v="800"/>
    <n v="1"/>
    <n v="1500"/>
    <n v="700"/>
    <x v="0"/>
  </r>
  <r>
    <n v="565"/>
    <s v="SP01334"/>
    <s v="AC ခဲေဂါက္"/>
    <n v="7900"/>
    <n v="2"/>
    <n v="11000"/>
    <n v="3100"/>
    <x v="0"/>
  </r>
  <r>
    <n v="566"/>
    <s v="SP013400"/>
    <s v="2ေပ ခ်ိန္းေစာကာဘိုက္ဘား"/>
    <n v="28500"/>
    <n v="1"/>
    <n v="35000"/>
    <n v="6500"/>
    <x v="0"/>
  </r>
  <r>
    <n v="567"/>
    <s v="SP01347"/>
    <s v="6&quot; သံုးေျမွာင့္တံစဥ္း"/>
    <n v="1000"/>
    <n v="1"/>
    <n v="3000"/>
    <n v="2000"/>
    <x v="0"/>
  </r>
  <r>
    <n v="568"/>
    <s v="SP01349"/>
    <s v="25X52X10  ဝိုင္းစီး"/>
    <n v="1200"/>
    <n v="3"/>
    <n v="2400"/>
    <n v="1200"/>
    <x v="0"/>
  </r>
  <r>
    <n v="569"/>
    <s v="SP01365"/>
    <s v="6210 Japan"/>
    <n v="74750"/>
    <n v="7"/>
    <n v="97500"/>
    <n v="22750"/>
    <x v="0"/>
  </r>
  <r>
    <n v="570"/>
    <s v="SP01371"/>
    <s v="17 စပန္နာ အရွည္"/>
    <n v="1900"/>
    <n v="1"/>
    <n v="2600"/>
    <n v="700"/>
    <x v="0"/>
  </r>
  <r>
    <n v="571"/>
    <s v="SP01386"/>
    <s v="ေရပိုက္(1 ေပ)"/>
    <n v="1800"/>
    <n v="4"/>
    <n v="2800"/>
    <n v="1000"/>
    <x v="0"/>
  </r>
  <r>
    <n v="572"/>
    <s v="SP01387"/>
    <s v="22.40.10 ခံုျပာေပၚဝိုင္းစီး"/>
    <n v="1500"/>
    <n v="3"/>
    <n v="2400"/>
    <n v="900"/>
    <x v="0"/>
  </r>
  <r>
    <n v="573"/>
    <s v="SP01395"/>
    <s v="5 Lကီးရွည္"/>
    <n v="500"/>
    <n v="1"/>
    <n v="1200"/>
    <n v="700"/>
    <x v="0"/>
  </r>
  <r>
    <n v="574"/>
    <s v="SP01401"/>
    <s v="ေရာင္စံုဆိုးျပား ထူ"/>
    <n v="3000"/>
    <n v="4"/>
    <n v="4000"/>
    <n v="1000"/>
    <x v="0"/>
  </r>
  <r>
    <n v="575"/>
    <s v="SP01411"/>
    <s v="ခံေဆးဗူး (1/4)Red Oxide"/>
    <n v="13500"/>
    <n v="3"/>
    <n v="18000"/>
    <n v="4500"/>
    <x v="0"/>
  </r>
  <r>
    <n v="576"/>
    <s v="SP01412"/>
    <s v="သုတ္ေဆးဗူး (ေသး)"/>
    <n v="1250"/>
    <n v="1"/>
    <n v="1500"/>
    <n v="250"/>
    <x v="0"/>
  </r>
  <r>
    <n v="577"/>
    <s v="SP01419"/>
    <s v="QF-30Aေရေဆးပန္႔(လြတ္)"/>
    <n v="66100"/>
    <n v="1"/>
    <n v="90000"/>
    <n v="23900"/>
    <x v="0"/>
  </r>
  <r>
    <n v="578"/>
    <s v="SP01445"/>
    <s v="ေလးဘြတ္"/>
    <n v="750"/>
    <n v="1"/>
    <n v="1000"/>
    <n v="250"/>
    <x v="0"/>
  </r>
  <r>
    <n v="579"/>
    <s v="SP01449"/>
    <s v="Jet pump(1hp)Dayuan"/>
    <n v="108200"/>
    <n v="1"/>
    <n v="130000"/>
    <n v="21800"/>
    <x v="0"/>
  </r>
  <r>
    <n v="580"/>
    <s v="SP01467"/>
    <s v="12V မီးလံုးအခြံ"/>
    <n v="9500"/>
    <n v="1"/>
    <n v="10000"/>
    <n v="500"/>
    <x v="0"/>
  </r>
  <r>
    <n v="581"/>
    <s v="SP01470"/>
    <s v="အင္ဂ်င္ဝိုင္(Trane)15W(40 6L)"/>
    <n v="138400"/>
    <n v="4"/>
    <n v="146000"/>
    <n v="7600"/>
    <x v="0"/>
  </r>
  <r>
    <n v="582"/>
    <s v="SP01471"/>
    <s v="ပါဝါဆီ(ေပပါဆီ)(2ဂါလံ)"/>
    <n v="105700"/>
    <n v="4"/>
    <n v="128000"/>
    <n v="22300"/>
    <x v="0"/>
  </r>
  <r>
    <n v="583"/>
    <s v="SP01472"/>
    <s v="2T(Trane) (0.5L)"/>
    <n v="61200"/>
    <n v="17"/>
    <n v="68000"/>
    <n v="6800"/>
    <x v="0"/>
  </r>
  <r>
    <n v="584"/>
    <s v="SP01478"/>
    <s v="12လက္မ လႊကိုင္း"/>
    <n v="2800"/>
    <n v="1"/>
    <n v="4000"/>
    <n v="1200"/>
    <x v="0"/>
  </r>
  <r>
    <n v="585"/>
    <s v="SP01486"/>
    <s v="6&quot;နန္းေသး ဝက္အူလွည့္(CH)"/>
    <n v="550"/>
    <n v="1"/>
    <n v="1000"/>
    <n v="450"/>
    <x v="0"/>
  </r>
  <r>
    <n v="586"/>
    <s v="SP01490"/>
    <s v="အင္ဂ်င္ဝိုင္(Trane)15W40 (1L)"/>
    <n v="11900"/>
    <n v="2"/>
    <n v="16000"/>
    <n v="4100"/>
    <x v="0"/>
  </r>
  <r>
    <n v="587"/>
    <s v="SP01495"/>
    <s v="3မတ္ ၾကိဳးပိုက္"/>
    <n v="18500"/>
    <n v="1"/>
    <n v="22000"/>
    <n v="3500"/>
    <x v="0"/>
  </r>
  <r>
    <n v="588"/>
    <s v="SP01505"/>
    <s v="6လက္မ သံျဖတ္လႊကိုင္းကဒ္"/>
    <n v="2000"/>
    <n v="2"/>
    <n v="3000"/>
    <n v="1000"/>
    <x v="0"/>
  </r>
  <r>
    <n v="589"/>
    <s v="SP01517"/>
    <s v="ဂီယာဝိုင္ (1Li)"/>
    <n v="72000"/>
    <n v="36"/>
    <n v="90000"/>
    <n v="18000"/>
    <x v="0"/>
  </r>
  <r>
    <n v="590"/>
    <s v="SP01522"/>
    <s v="ေက်ာက္ပတ္တီး"/>
    <n v="8000"/>
    <n v="1"/>
    <n v="10000"/>
    <n v="2000"/>
    <x v="0"/>
  </r>
  <r>
    <n v="591"/>
    <s v="SP01523"/>
    <s v="အင္ဂ်င္ဝိုင္ (Falcon) 20/50 (1l)"/>
    <n v="50400"/>
    <n v="7"/>
    <n v="53900"/>
    <n v="3500"/>
    <x v="0"/>
  </r>
  <r>
    <n v="592"/>
    <s v="SP01524"/>
    <s v="ပါဝါဆီ (Trane) 32 (1l)"/>
    <n v="22500"/>
    <n v="5"/>
    <n v="27500"/>
    <n v="5000"/>
    <x v="0"/>
  </r>
  <r>
    <n v="593"/>
    <s v="SP01531"/>
    <s v="SU80 ရွပ္(ေခါင္းပါ)"/>
    <n v="7500"/>
    <n v="1"/>
    <n v="11000"/>
    <n v="3500"/>
    <x v="0"/>
  </r>
  <r>
    <n v="594"/>
    <s v="SP01537"/>
    <s v="55.75.8/12 အဝိုင္းစီး"/>
    <n v="2300"/>
    <n v="4"/>
    <n v="3200"/>
    <n v="900"/>
    <x v="0"/>
  </r>
  <r>
    <n v="595"/>
    <s v="SP01543"/>
    <s v="4&quot;ေက်ာက္စက္(BS-100)"/>
    <n v="31000"/>
    <n v="1"/>
    <n v="40000"/>
    <n v="9000"/>
    <x v="0"/>
  </r>
  <r>
    <n v="596"/>
    <s v="SP01547"/>
    <s v="ေလထိုးတံ ပိုက္+ေခါင္း"/>
    <n v="750"/>
    <n v="1"/>
    <n v="1200"/>
    <n v="450"/>
    <x v="0"/>
  </r>
  <r>
    <n v="597"/>
    <s v="SP01550"/>
    <s v="နွစ္ဆင့္ခလုပ္"/>
    <n v="2800"/>
    <n v="1"/>
    <n v="4000"/>
    <n v="1200"/>
    <x v="0"/>
  </r>
  <r>
    <n v="598"/>
    <s v="SP01559"/>
    <s v="2ေပ ခ်ိန္းေစာပါကင္(5800)"/>
    <n v="16500"/>
    <n v="11"/>
    <n v="22000"/>
    <n v="5500"/>
    <x v="0"/>
  </r>
  <r>
    <n v="599"/>
    <s v="SP01560"/>
    <s v="6009DD"/>
    <n v="5100"/>
    <n v="2"/>
    <n v="6000"/>
    <n v="900"/>
    <x v="0"/>
  </r>
  <r>
    <n v="600"/>
    <s v="SP01565"/>
    <s v="18 ေကာင္ဂတ္စကတ္"/>
    <n v="1600"/>
    <n v="2"/>
    <n v="3000"/>
    <n v="1400"/>
    <x v="0"/>
  </r>
  <r>
    <n v="601"/>
    <s v="SP01569"/>
    <s v="5/8 စကူဂန္း(BOSHENG)(ေဖာက္စက္အေသး)"/>
    <n v="38000"/>
    <n v="1"/>
    <n v="28000"/>
    <n v="-10000"/>
    <x v="0"/>
  </r>
  <r>
    <n v="602"/>
    <s v="SP01575"/>
    <s v="ဘရိတ္ဆီ (Trane)(0.5 L)"/>
    <n v="14550"/>
    <n v="3"/>
    <n v="18000"/>
    <n v="3450"/>
    <x v="0"/>
  </r>
  <r>
    <n v="603"/>
    <s v="SP01578"/>
    <s v="Jet Pump (1hp)_x000d__x000a_"/>
    <n v="85000"/>
    <n v="1"/>
    <n v="105000"/>
    <n v="20000"/>
    <x v="0"/>
  </r>
  <r>
    <n v="604"/>
    <s v="SP01579"/>
    <s v="32.50.8"/>
    <n v="400"/>
    <n v="1"/>
    <n v="600"/>
    <n v="200"/>
    <x v="0"/>
  </r>
  <r>
    <n v="605"/>
    <s v="SP01584"/>
    <s v="6 1/2 ေကာ္ဘီးဝိုင္း"/>
    <n v="800"/>
    <n v="1"/>
    <n v="1500"/>
    <n v="700"/>
    <x v="0"/>
  </r>
  <r>
    <n v="606"/>
    <s v="SP01586"/>
    <s v="30206ေဘာ"/>
    <n v="2300"/>
    <n v="1"/>
    <n v="3500"/>
    <n v="1200"/>
    <x v="0"/>
  </r>
  <r>
    <n v="607"/>
    <s v="SP01592"/>
    <s v="မီးစက္တြဲ ဆီေကာ့"/>
    <n v="800"/>
    <n v="1"/>
    <n v="1000"/>
    <n v="200"/>
    <x v="0"/>
  </r>
  <r>
    <n v="608"/>
    <s v="SP01595"/>
    <s v="ကက္ေတာက္ 12V"/>
    <n v="5600"/>
    <n v="3"/>
    <n v="9000"/>
    <n v="3400"/>
    <x v="0"/>
  </r>
  <r>
    <n v="609"/>
    <s v="SP01597"/>
    <s v="မီးေဆာ့ကဒ္ ေၾကြ"/>
    <n v="800"/>
    <n v="1"/>
    <n v="1500"/>
    <n v="700"/>
    <x v="0"/>
  </r>
  <r>
    <n v="610"/>
    <s v="SP01600"/>
    <s v="3ေပခြဲ ခ်ိန္းေစာ မီးကြိဳင္စံု"/>
    <n v="20000"/>
    <n v="2"/>
    <n v="24000"/>
    <n v="4000"/>
    <x v="0"/>
  </r>
  <r>
    <n v="611"/>
    <s v="SP01606"/>
    <s v="6202DD"/>
    <n v="4550"/>
    <n v="6"/>
    <n v="7800"/>
    <n v="3250"/>
    <x v="0"/>
  </r>
  <r>
    <n v="612"/>
    <s v="SP01611"/>
    <s v="BLower ပလပ္"/>
    <n v="13800"/>
    <n v="6"/>
    <n v="18000"/>
    <n v="4200"/>
    <x v="0"/>
  </r>
  <r>
    <n v="613"/>
    <s v="SP01631"/>
    <s v="2ေပ ခ်ိန္းေစာဆြဲအံု(ပါး)"/>
    <n v="5000"/>
    <n v="1"/>
    <n v="8500"/>
    <n v="3500"/>
    <x v="0"/>
  </r>
  <r>
    <n v="614"/>
    <s v="SP01633"/>
    <s v="2ေပ ခ်ိန္းေစာဆြဲအံု(စိမ္း)"/>
    <n v="6500"/>
    <n v="1"/>
    <n v="10000"/>
    <n v="3500"/>
    <x v="0"/>
  </r>
  <r>
    <n v="615"/>
    <s v="SP01634"/>
    <s v="2ေပ ခ်ိန္းေစာပစၥတင္(5800)"/>
    <n v="16000"/>
    <n v="4"/>
    <n v="23000"/>
    <n v="7000"/>
    <x v="0"/>
  </r>
  <r>
    <n v="616"/>
    <s v="SP01636"/>
    <s v="စတီးဝရိန္ေခ်ာင္း(10)"/>
    <n v="840"/>
    <n v="3"/>
    <n v="2100"/>
    <n v="1260"/>
    <x v="0"/>
  </r>
  <r>
    <n v="617"/>
    <s v="SP0164"/>
    <s v="Su 50/80ပန္႔ အဝိုင္းစီးရွည္"/>
    <n v="7800"/>
    <n v="4"/>
    <n v="9500"/>
    <n v="1700"/>
    <x v="0"/>
  </r>
  <r>
    <n v="618"/>
    <s v="SP01642"/>
    <s v="2အဝင္ 2အထြက္ေဆာ့ကဒ္"/>
    <n v="6000"/>
    <n v="5"/>
    <n v="10000"/>
    <n v="4000"/>
    <x v="0"/>
  </r>
  <r>
    <n v="619"/>
    <s v="SP01643"/>
    <s v="2လက္မကပ္ပန္႔ သေရကြင္း"/>
    <n v="1200"/>
    <n v="1"/>
    <n v="1500"/>
    <n v="300"/>
    <x v="0"/>
  </r>
  <r>
    <n v="620"/>
    <s v="SP01647"/>
    <s v="ဝက္အူလွည့္ 6&quot;(Haiboshi)"/>
    <n v="2000"/>
    <n v="1"/>
    <n v="2500"/>
    <n v="500"/>
    <x v="0"/>
  </r>
  <r>
    <n v="621"/>
    <s v="SP01651"/>
    <s v="2ေပ ခ်ိန္းေစာခ်ိန္းဆက္"/>
    <n v="9000"/>
    <n v="30"/>
    <n v="15000"/>
    <n v="6000"/>
    <x v="0"/>
  </r>
  <r>
    <n v="622"/>
    <s v="SP01652"/>
    <s v="2ေပ ခ်ိန္းေစာသေရဘြတ္စံု"/>
    <n v="500"/>
    <n v="1"/>
    <n v="1000"/>
    <n v="500"/>
    <x v="0"/>
  </r>
  <r>
    <n v="623"/>
    <s v="SP01655"/>
    <s v="2ေပခ်ိန္ေစာ ဆြဲအံု"/>
    <n v="8000"/>
    <n v="1"/>
    <n v="12000"/>
    <n v="4000"/>
    <x v="0"/>
  </r>
  <r>
    <n v="624"/>
    <s v="SP01657"/>
    <s v="2ေပ ခ်ိန္းေစာ ဆြဲအံု(GS6000)"/>
    <n v="9500"/>
    <n v="1"/>
    <n v="15000"/>
    <n v="5500"/>
    <x v="0"/>
  </r>
  <r>
    <n v="625"/>
    <s v="SP0166"/>
    <s v="20.40.10 အဝိုင္းစီး "/>
    <n v="5200"/>
    <n v="17"/>
    <n v="11900"/>
    <n v="6700"/>
    <x v="0"/>
  </r>
  <r>
    <n v="626"/>
    <s v="SP01660"/>
    <s v="အမိုးကိုင္း ဘက္မွန္(ေသး)"/>
    <n v="7200"/>
    <n v="3"/>
    <n v="10500"/>
    <n v="3300"/>
    <x v="0"/>
  </r>
  <r>
    <n v="627"/>
    <s v="SP01661"/>
    <s v="L32 ဘယ္ရင္"/>
    <n v="2500"/>
    <n v="2"/>
    <n v="3600"/>
    <n v="1100"/>
    <x v="0"/>
  </r>
  <r>
    <n v="628"/>
    <s v="SP01666"/>
    <s v="L32 ရိန္း"/>
    <n v="5000"/>
    <n v="1"/>
    <n v="7000"/>
    <n v="2000"/>
    <x v="0"/>
  </r>
  <r>
    <n v="629"/>
    <s v="SP0167"/>
    <s v="35.55.10/7 အဝိုင္းစီး "/>
    <n v="598"/>
    <n v="2"/>
    <n v="1400"/>
    <n v="802"/>
    <x v="0"/>
  </r>
  <r>
    <n v="630"/>
    <s v="SP01671"/>
    <s v="L32 ဂါဂ်ီပင္(JW)"/>
    <n v="3190"/>
    <n v="1"/>
    <n v="4500"/>
    <n v="1310"/>
    <x v="0"/>
  </r>
  <r>
    <n v="631"/>
    <s v="SP0168"/>
    <s v="60.90.10 အဝိုင္းစီး "/>
    <n v="1800"/>
    <n v="2"/>
    <n v="2400"/>
    <n v="600"/>
    <x v="0"/>
  </r>
  <r>
    <n v="632"/>
    <s v="SP01681"/>
    <s v="20UF ကြန္နဆာ(4ငုတ္)"/>
    <n v="2100"/>
    <n v="1"/>
    <n v="3000"/>
    <n v="900"/>
    <x v="0"/>
  </r>
  <r>
    <n v="633"/>
    <s v="SP01686"/>
    <s v="3ေပ ခ်ိန္းေစာစေပါ့ကဒ္(51)"/>
    <n v="2700"/>
    <n v="1"/>
    <n v="5000"/>
    <n v="2300"/>
    <x v="0"/>
  </r>
  <r>
    <n v="634"/>
    <s v="SP0169"/>
    <s v="35.60.12 အဝိုင္းစီး "/>
    <n v="12000"/>
    <n v="30"/>
    <n v="21000"/>
    <n v="9000"/>
    <x v="0"/>
  </r>
  <r>
    <n v="635"/>
    <s v="SP01696"/>
    <s v="3ေပခြဲ ခ်ိန္း"/>
    <n v="52500"/>
    <n v="3"/>
    <n v="71500"/>
    <n v="19000"/>
    <x v="0"/>
  </r>
  <r>
    <n v="636"/>
    <s v="SP01697"/>
    <s v="3KW ဒိုင္အုပ္ၾကီး"/>
    <n v="15000"/>
    <n v="1"/>
    <n v="18000"/>
    <n v="3000"/>
    <x v="0"/>
  </r>
  <r>
    <n v="637"/>
    <s v="SP01700"/>
    <s v="2ေပ ခ်ိန္းေစာ(Forpark)(5800)"/>
    <n v="360000"/>
    <n v="3"/>
    <n v="435000"/>
    <n v="75000"/>
    <x v="0"/>
  </r>
  <r>
    <n v="638"/>
    <s v="SP01701"/>
    <s v="2ေပ ခ်ိန္းေစာစလစ္စံု"/>
    <n v="67000"/>
    <n v="5"/>
    <n v="88500"/>
    <n v="21500"/>
    <x v="0"/>
  </r>
  <r>
    <n v="639"/>
    <s v="SP01702"/>
    <s v="2ေပခ်ိန္းေစာ ရိုက္ဘားနတ္"/>
    <n v="1200"/>
    <n v="1"/>
    <n v="2000"/>
    <n v="800"/>
    <x v="0"/>
  </r>
  <r>
    <n v="640"/>
    <s v="SP0171"/>
    <s v="45.62.12 မိန္းအဝိုင္းစီး "/>
    <n v="1780"/>
    <n v="10"/>
    <n v="5000"/>
    <n v="3220"/>
    <x v="0"/>
  </r>
  <r>
    <n v="641"/>
    <s v="SP0172"/>
    <s v="30.52.10 အဝိုင္းစီး "/>
    <n v="600"/>
    <n v="2"/>
    <n v="1400"/>
    <n v="800"/>
    <x v="0"/>
  </r>
  <r>
    <n v="642"/>
    <s v="SP01727"/>
    <s v="42.55.7"/>
    <n v="3000"/>
    <n v="5"/>
    <n v="4000"/>
    <n v="1000"/>
    <x v="0"/>
  </r>
  <r>
    <n v="643"/>
    <s v="SP01733"/>
    <s v="2ေပ ဘား"/>
    <n v="12000"/>
    <n v="1"/>
    <n v="17000"/>
    <n v="5000"/>
    <x v="0"/>
  </r>
  <r>
    <n v="644"/>
    <s v="SP01745"/>
    <s v="ေကာ္ပတ္ No.800"/>
    <n v="1450"/>
    <n v="3"/>
    <n v="2100"/>
    <n v="650"/>
    <x v="0"/>
  </r>
  <r>
    <n v="645"/>
    <s v="SP01751"/>
    <s v="KW 16 ေကာင္ရိန္း"/>
    <n v="5500"/>
    <n v="1"/>
    <n v="7500"/>
    <n v="2000"/>
    <x v="0"/>
  </r>
  <r>
    <n v="646"/>
    <s v="SP01754"/>
    <s v="မီးစမ္းတတ္စတာ"/>
    <n v="800"/>
    <n v="1"/>
    <n v="1500"/>
    <n v="700"/>
    <x v="0"/>
  </r>
  <r>
    <n v="647"/>
    <s v="SP01758"/>
    <s v="ၾကိဳးစက္"/>
    <n v="87000"/>
    <n v="1"/>
    <n v="110000"/>
    <n v="23000"/>
    <x v="0"/>
  </r>
  <r>
    <n v="648"/>
    <s v="SP01759"/>
    <s v="2ေပ ခ်ိန္းေစာဆီပိုက္"/>
    <n v="1000"/>
    <n v="1"/>
    <n v="1500"/>
    <n v="500"/>
    <x v="0"/>
  </r>
  <r>
    <n v="649"/>
    <s v="SP01760"/>
    <s v="3ေပခ်ိန္းေစာ ဘရိတ္ရွူး"/>
    <n v="2200"/>
    <n v="1"/>
    <n v="3500"/>
    <n v="1300"/>
    <x v="0"/>
  </r>
  <r>
    <n v="650"/>
    <s v="SP01761"/>
    <s v="3ေပခ်ိန္းေစာ သံပတ္"/>
    <n v="2800"/>
    <n v="2"/>
    <n v="4000"/>
    <n v="1200"/>
    <x v="0"/>
  </r>
  <r>
    <n v="651"/>
    <s v="SP01762"/>
    <s v="2ေပ ခ်ိန္းေစာသံပတ္ေသး"/>
    <n v="1400"/>
    <n v="1"/>
    <n v="2500"/>
    <n v="1100"/>
    <x v="0"/>
  </r>
  <r>
    <n v="652"/>
    <s v="SP01763"/>
    <s v="2ေပ ခ်ိန္းေစာဆြဲၾကိဳး"/>
    <n v="250"/>
    <n v="1"/>
    <n v="700"/>
    <n v="450"/>
    <x v="0"/>
  </r>
  <r>
    <n v="653"/>
    <s v="SP01765"/>
    <s v="Coolant (2 l)"/>
    <n v="4600"/>
    <n v="2"/>
    <n v="6000"/>
    <n v="1400"/>
    <x v="0"/>
  </r>
  <r>
    <n v="654"/>
    <s v="SP01767"/>
    <s v="L32 ေကာ္နတင္း"/>
    <n v="19800"/>
    <n v="1"/>
    <n v="25000"/>
    <n v="5200"/>
    <x v="0"/>
  </r>
  <r>
    <n v="655"/>
    <s v="SP01769"/>
    <s v="အင္ဂ်င္ဝိုင္ 10/40(1 L)Trane"/>
    <n v="27400"/>
    <n v="4"/>
    <n v="32000"/>
    <n v="4600"/>
    <x v="0"/>
  </r>
  <r>
    <n v="656"/>
    <s v="SP0177"/>
    <s v="12ရစ္ပလပ္Kawa ဓာတ္ဆီစက္"/>
    <n v="850"/>
    <n v="1"/>
    <n v="2000"/>
    <n v="1150"/>
    <x v="0"/>
  </r>
  <r>
    <n v="657"/>
    <s v="SP01777"/>
    <s v="2KV အေကြး "/>
    <n v="3000"/>
    <n v="1"/>
    <n v="4500"/>
    <n v="1500"/>
    <x v="0"/>
  </r>
  <r>
    <n v="658"/>
    <s v="SP0178"/>
    <s v="Kawa 7-5 အိတ္ေဇာဗူး"/>
    <n v="16700"/>
    <n v="2"/>
    <n v="22000"/>
    <n v="5300"/>
    <x v="0"/>
  </r>
  <r>
    <n v="659"/>
    <s v="SP01783"/>
    <s v="3ေပ ခ်ိန္းေစာ ရိန္း(51)"/>
    <n v="800"/>
    <n v="1"/>
    <n v="1500"/>
    <n v="700"/>
    <x v="0"/>
  </r>
  <r>
    <n v="660"/>
    <s v="SP01785"/>
    <s v="3ေပ ခ်ိန္းေစာစလစ္စံု(51)"/>
    <n v="13500"/>
    <n v="1"/>
    <n v="18500"/>
    <n v="5000"/>
    <x v="0"/>
  </r>
  <r>
    <n v="661"/>
    <s v="SP01788"/>
    <s v="3ေပ ခ်ိန္းေစာေၾကးပိုက္(တို+ရွည္)"/>
    <n v="3000"/>
    <n v="2"/>
    <n v="5000"/>
    <n v="2000"/>
    <x v="0"/>
  </r>
  <r>
    <n v="662"/>
    <s v="SP01790"/>
    <s v="3ေပ ခ်ိန္းေစာ ပစၥတင္(51)"/>
    <n v="3000"/>
    <n v="1"/>
    <n v="5000"/>
    <n v="2000"/>
    <x v="0"/>
  </r>
  <r>
    <n v="663"/>
    <s v="SP01792"/>
    <s v="2ေပ ခ်ိန္းေစာဂါဂ်ီပင္ေဘာ"/>
    <n v="600"/>
    <n v="1"/>
    <n v="1000"/>
    <n v="400"/>
    <x v="0"/>
  </r>
  <r>
    <n v="664"/>
    <s v="SP01806"/>
    <s v="2ေပ ခ်ိန္းေစာEngine(5800)"/>
    <n v="110000"/>
    <n v="1"/>
    <n v="135000"/>
    <n v="25000"/>
    <x v="0"/>
  </r>
  <r>
    <n v="665"/>
    <s v="SP01807"/>
    <s v="3ေပ ခ်ိန္းေစာဘားထိပ္ဝိုင္း"/>
    <n v="2500"/>
    <n v="1"/>
    <n v="4000"/>
    <n v="1500"/>
    <x v="0"/>
  </r>
  <r>
    <n v="666"/>
    <s v="SP01809"/>
    <s v="FD30 တစ္ဘီးထြန္ "/>
    <n v="500000"/>
    <n v="1"/>
    <n v="560000"/>
    <n v="60000"/>
    <x v="0"/>
  </r>
  <r>
    <n v="667"/>
    <s v="SP01812"/>
    <s v="ဘတၳရီ ညွပ္ကလစ္ ၾကီး"/>
    <n v="5000"/>
    <n v="2"/>
    <n v="6000"/>
    <n v="1000"/>
    <x v="0"/>
  </r>
  <r>
    <n v="668"/>
    <s v="SP01822"/>
    <s v="550×13 ကၽြတ္"/>
    <n v="5500"/>
    <n v="1"/>
    <n v="7500"/>
    <n v="2000"/>
    <x v="0"/>
  </r>
  <r>
    <n v="669"/>
    <s v="SP01824"/>
    <s v="ဂ်ဴဂိုပတ္တီး"/>
    <n v="13000"/>
    <n v="1"/>
    <n v="15000"/>
    <n v="2000"/>
    <x v="0"/>
  </r>
  <r>
    <n v="670"/>
    <s v="SP01826"/>
    <s v="မီးစက္ (154)ဘားတံ"/>
    <n v="2400"/>
    <n v="2"/>
    <n v="4000"/>
    <n v="1600"/>
    <x v="0"/>
  </r>
  <r>
    <n v="671"/>
    <s v="SP01827"/>
    <s v="3ေပခြဲ ခ်ိန္းေစာကြိဳင္(CDI)"/>
    <n v="16000"/>
    <n v="1"/>
    <n v="19000"/>
    <n v="3000"/>
    <x v="0"/>
  </r>
  <r>
    <n v="672"/>
    <s v="SP01832"/>
    <s v="DC ေရျမဳပ္ (220W)"/>
    <n v="26000"/>
    <n v="1"/>
    <n v="33500"/>
    <n v="7500"/>
    <x v="0"/>
  </r>
  <r>
    <n v="673"/>
    <s v="SP01834"/>
    <s v="5&quot; ဒိုင္နမို သေရျပား"/>
    <n v="6000"/>
    <n v="3"/>
    <n v="7500"/>
    <n v="1500"/>
    <x v="0"/>
  </r>
  <r>
    <n v="674"/>
    <s v="SP01836"/>
    <s v="DC ေရေဆးပန္႔"/>
    <n v="35000"/>
    <n v="1"/>
    <n v="40000"/>
    <n v="5000"/>
    <x v="0"/>
  </r>
  <r>
    <n v="675"/>
    <s v="SP0189"/>
    <s v="7 1/2 ရိန္း STD KAWA"/>
    <n v="2800"/>
    <n v="1"/>
    <n v="4000"/>
    <n v="1200"/>
    <x v="0"/>
  </r>
  <r>
    <n v="676"/>
    <s v="SP0199"/>
    <s v="Su50 ရွပ္"/>
    <n v="7900"/>
    <n v="1"/>
    <n v="10000"/>
    <n v="2100"/>
    <x v="0"/>
  </r>
  <r>
    <n v="677"/>
    <s v="SP0203"/>
    <s v="Kawa 220 ပါကင္စံု"/>
    <n v="2550"/>
    <n v="1"/>
    <n v="3500"/>
    <n v="950"/>
    <x v="0"/>
  </r>
  <r>
    <n v="678"/>
    <s v="SP0204"/>
    <s v="7 1/2ကာဗရိုက္တာ(ဆီေဂါက္ပါ)KAWA220"/>
    <n v="8800"/>
    <n v="1"/>
    <n v="11700"/>
    <n v="2900"/>
    <x v="0"/>
  </r>
  <r>
    <n v="679"/>
    <s v="SP0215"/>
    <s v="ဘားကရိုင္း ခြက္ႀကီး"/>
    <n v="210"/>
    <n v="3"/>
    <n v="900"/>
    <n v="690"/>
    <x v="0"/>
  </r>
  <r>
    <n v="680"/>
    <s v="SP0216"/>
    <s v="ဘားကရိုင္း ခြက္လတ္"/>
    <n v="720"/>
    <n v="6"/>
    <n v="1200"/>
    <n v="480"/>
    <x v="0"/>
  </r>
  <r>
    <n v="681"/>
    <s v="SP0217"/>
    <s v="ဘားကရိုင္း ခြက္ေသး"/>
    <n v="11170"/>
    <n v="56"/>
    <n v="16800"/>
    <n v="5630"/>
    <x v="0"/>
  </r>
  <r>
    <n v="682"/>
    <s v="SP0218"/>
    <s v="ဆီလံုဝါရွာ အစံု F"/>
    <n v="16250"/>
    <n v="34"/>
    <n v="23800"/>
    <n v="7550"/>
    <x v="0"/>
  </r>
  <r>
    <n v="683"/>
    <s v="SP0219"/>
    <s v="ေၾကးဆီဝါရွာ အစံု F"/>
    <n v="1545"/>
    <n v="3"/>
    <n v="2400"/>
    <n v="855"/>
    <x v="0"/>
  </r>
  <r>
    <n v="684"/>
    <s v="SP0224"/>
    <s v="6 1/2 ဆြဲအံု"/>
    <n v="3000"/>
    <n v="1"/>
    <n v="4500"/>
    <n v="1500"/>
    <x v="0"/>
  </r>
  <r>
    <n v="685"/>
    <s v="SP0249"/>
    <s v="210ေဘာ(Roller)"/>
    <n v="6250"/>
    <n v="1"/>
    <n v="9000"/>
    <n v="2750"/>
    <x v="0"/>
  </r>
  <r>
    <n v="686"/>
    <s v="SP0258"/>
    <s v="ဒိုင္နမိုဒိုင္အုပ္(3K)"/>
    <n v="4000"/>
    <n v="1"/>
    <n v="5000"/>
    <n v="1000"/>
    <x v="0"/>
  </r>
  <r>
    <n v="687"/>
    <s v="SP0264"/>
    <s v="35.58.12အဝိုင္းစီး"/>
    <n v="450"/>
    <n v="1"/>
    <n v="600"/>
    <n v="150"/>
    <x v="0"/>
  </r>
  <r>
    <n v="688"/>
    <s v="SP0285"/>
    <s v="6 1/2 ကာပရုိက္တာ"/>
    <n v="10800"/>
    <n v="2"/>
    <n v="14000"/>
    <n v="3200"/>
    <x v="0"/>
  </r>
  <r>
    <n v="689"/>
    <s v="SP0296"/>
    <s v="KW 390 ဆြဲႀကိဳး KAWA"/>
    <n v="1300"/>
    <n v="2"/>
    <n v="2400"/>
    <n v="1100"/>
    <x v="0"/>
  </r>
  <r>
    <n v="690"/>
    <s v="SP0297"/>
    <s v="KW220အဝိုင္းဆီးလ္ KAWA"/>
    <n v="540"/>
    <n v="2"/>
    <n v="1000"/>
    <n v="460"/>
    <x v="0"/>
  </r>
  <r>
    <n v="691"/>
    <s v="SP0301"/>
    <s v="KW220 ဆီတိုင္ကီ KAWA"/>
    <n v="8600"/>
    <n v="1"/>
    <n v="12000"/>
    <n v="3400"/>
    <x v="0"/>
  </r>
  <r>
    <n v="692"/>
    <s v="SP0306"/>
    <s v="ဓါးေခါင္း (28)"/>
    <n v="7500"/>
    <n v="1"/>
    <n v="9500"/>
    <n v="2000"/>
    <x v="0"/>
  </r>
  <r>
    <n v="693"/>
    <s v="SP0312"/>
    <s v="KW220 ဆြဲၾကိဳး KAWA"/>
    <n v="550"/>
    <n v="1"/>
    <n v="1000"/>
    <n v="450"/>
    <x v="0"/>
  </r>
  <r>
    <n v="694"/>
    <s v="SP0313"/>
    <s v="SU50 အိုးခြံ"/>
    <n v="14800"/>
    <n v="1"/>
    <n v="15000"/>
    <n v="200"/>
    <x v="0"/>
  </r>
  <r>
    <n v="695"/>
    <s v="SP0325"/>
    <s v="6 1/2 ပါကင္စုံ"/>
    <n v="900"/>
    <n v="1"/>
    <n v="1500"/>
    <n v="600"/>
    <x v="0"/>
  </r>
  <r>
    <n v="696"/>
    <s v="SP0326"/>
    <s v="6 1/2 ပစၥတင္+ ရိန္းSTD ဗူးျပာ"/>
    <n v="3850"/>
    <n v="1"/>
    <n v="5000"/>
    <n v="1150"/>
    <x v="0"/>
  </r>
  <r>
    <n v="697"/>
    <s v="SP0334"/>
    <s v="6 1/2 အိတ္ေဇာေျပာင္းေဂါက္စတီး"/>
    <n v="5560"/>
    <n v="4"/>
    <n v="9200"/>
    <n v="3640"/>
    <x v="0"/>
  </r>
  <r>
    <n v="698"/>
    <s v="SP0341"/>
    <s v="2/3လက္မ ကပ္ပန္႕အဝိုင္းစီး တို"/>
    <n v="3900"/>
    <n v="2"/>
    <n v="5000"/>
    <n v="1100"/>
    <x v="0"/>
  </r>
  <r>
    <n v="699"/>
    <s v="SP0347"/>
    <s v="2ေပ ခ်ိန္းေစာကာပရုိက္တာ(5800)"/>
    <n v="7000"/>
    <n v="1"/>
    <n v="10000"/>
    <n v="3000"/>
    <x v="0"/>
  </r>
  <r>
    <n v="700"/>
    <s v="SP0350"/>
    <s v="600 × 12 တာယာ+က်ြတ္"/>
    <n v="78000"/>
    <n v="2"/>
    <n v="94000"/>
    <n v="16000"/>
    <x v="0"/>
  </r>
  <r>
    <n v="701"/>
    <s v="SP0353"/>
    <s v="1မီလီေက်ာက္ျပား(1ခ်ပ္ႏွဳန္း)"/>
    <n v="5712"/>
    <n v="16"/>
    <n v="11200"/>
    <n v="5488"/>
    <x v="0"/>
  </r>
  <r>
    <n v="702"/>
    <s v="SP0354"/>
    <s v="4လက္မေက်ာက္ျပား ထူ"/>
    <n v="3780"/>
    <n v="6"/>
    <n v="4800"/>
    <n v="1020"/>
    <x v="0"/>
  </r>
  <r>
    <n v="703"/>
    <s v="SP0356"/>
    <s v="ေက်ာက္စက္ကာပြန္"/>
    <n v="7000"/>
    <n v="18"/>
    <n v="18000"/>
    <n v="11000"/>
    <x v="0"/>
  </r>
  <r>
    <n v="704"/>
    <s v="SP0362"/>
    <s v="မီးတိပ္"/>
    <n v="1163"/>
    <n v="7"/>
    <n v="2100"/>
    <n v="937"/>
    <x v="0"/>
  </r>
  <r>
    <n v="705"/>
    <s v="SP0363"/>
    <s v="20.40.7 အဝိုင္းစီး"/>
    <n v="700"/>
    <n v="2"/>
    <n v="1600"/>
    <n v="900"/>
    <x v="0"/>
  </r>
  <r>
    <n v="706"/>
    <s v="SP0366"/>
    <s v="ဘတၳရီ ညွပ္ကလစ္(စံု)"/>
    <n v="3223"/>
    <n v="11"/>
    <n v="5500"/>
    <n v="2277"/>
    <x v="0"/>
  </r>
  <r>
    <n v="707"/>
    <s v="SP0374"/>
    <s v="6310 ေဘာ"/>
    <n v="102650"/>
    <n v="13"/>
    <n v="132500"/>
    <n v="29850"/>
    <x v="0"/>
  </r>
  <r>
    <n v="708"/>
    <s v="SP0382"/>
    <s v="2 လက္မကပ္ပန္႕ေရအုပ္"/>
    <n v="6800"/>
    <n v="1"/>
    <n v="8000"/>
    <n v="1200"/>
    <x v="0"/>
  </r>
  <r>
    <n v="709"/>
    <s v="SP0383"/>
    <s v="2 လက္မကပ္ပန္႕အင္ပါယ္ယာ"/>
    <n v="6900"/>
    <n v="1"/>
    <n v="9000"/>
    <n v="2100"/>
    <x v="0"/>
  </r>
  <r>
    <n v="710"/>
    <s v="SP0404"/>
    <s v="6&quot; ပလပ္စပန္နာ(ယိုး)"/>
    <n v="2200"/>
    <n v="1"/>
    <n v="3000"/>
    <n v="800"/>
    <x v="0"/>
  </r>
  <r>
    <n v="711"/>
    <s v="SP0405"/>
    <s v="7 ရစ္ပလပ္ GL"/>
    <n v="800"/>
    <n v="1"/>
    <n v="1500"/>
    <n v="700"/>
    <x v="0"/>
  </r>
  <r>
    <n v="712"/>
    <s v="SP0408"/>
    <s v="Kw220 စက္သတ္ခလုတ္"/>
    <n v="1500"/>
    <n v="2"/>
    <n v="2400"/>
    <n v="900"/>
    <x v="0"/>
  </r>
  <r>
    <n v="713"/>
    <s v="SP0410"/>
    <s v="DC ေရျမဳပ္ကာဗြန္"/>
    <n v="1200"/>
    <n v="2"/>
    <n v="3000"/>
    <n v="1800"/>
    <x v="0"/>
  </r>
  <r>
    <n v="714"/>
    <s v="SP0421"/>
    <s v="ေရခ်ဴေခါင္း"/>
    <n v="1500"/>
    <n v="5"/>
    <n v="3000"/>
    <n v="1500"/>
    <x v="0"/>
  </r>
  <r>
    <n v="715"/>
    <s v="SP0423"/>
    <s v="R175 ကီးစံု(56)"/>
    <n v="1600"/>
    <n v="3"/>
    <n v="2200"/>
    <n v="600"/>
    <x v="0"/>
  </r>
  <r>
    <n v="716"/>
    <s v="SP0424"/>
    <s v="3မက္ ေရေမာ္တာ အဝိုင္းစီး "/>
    <n v="1200"/>
    <n v="2"/>
    <n v="2300"/>
    <n v="1100"/>
    <x v="0"/>
  </r>
  <r>
    <n v="717"/>
    <s v="SP0430"/>
    <s v="Lကီး Set (အေသး)"/>
    <n v="850"/>
    <n v="1"/>
    <n v="1900"/>
    <n v="1050"/>
    <x v="0"/>
  </r>
  <r>
    <n v="718"/>
    <s v="SP0431"/>
    <s v="12×13 ဂြဂြ"/>
    <n v="1000"/>
    <n v="1"/>
    <n v="1500"/>
    <n v="500"/>
    <x v="0"/>
  </r>
  <r>
    <n v="719"/>
    <s v="SP0432"/>
    <s v="14×15 ဂြဂြ"/>
    <n v="1900"/>
    <n v="2"/>
    <n v="4000"/>
    <n v="2100"/>
    <x v="0"/>
  </r>
  <r>
    <n v="720"/>
    <s v="SP0433"/>
    <s v="16×17 ဂြဂြ"/>
    <n v="2750"/>
    <n v="2"/>
    <n v="4000"/>
    <n v="1250"/>
    <x v="0"/>
  </r>
  <r>
    <n v="721"/>
    <s v="SP0435"/>
    <s v="608 DD (ေရျမဳပ္)"/>
    <n v="1000"/>
    <n v="2"/>
    <n v="2000"/>
    <n v="1000"/>
    <x v="0"/>
  </r>
  <r>
    <n v="722"/>
    <s v="SP0445"/>
    <s v="7 1/2  ပစၥတင္+ရိန္း"/>
    <n v="4000"/>
    <n v="1"/>
    <n v="6000"/>
    <n v="2000"/>
    <x v="0"/>
  </r>
  <r>
    <n v="723"/>
    <s v="SP0448"/>
    <s v="4 လက္မ ရိန္းကလစ္"/>
    <n v="6000"/>
    <n v="1"/>
    <n v="7500"/>
    <n v="1500"/>
    <x v="0"/>
  </r>
  <r>
    <n v="724"/>
    <s v="SP0453"/>
    <s v="10 ပြန္က်ဴတမတ္ 6MM"/>
    <n v="450"/>
    <n v="1"/>
    <n v="1500"/>
    <n v="1050"/>
    <x v="0"/>
  </r>
  <r>
    <n v="725"/>
    <s v="SP0462"/>
    <s v="ကရိုင္ေပါင္ဒါ "/>
    <n v="8450"/>
    <n v="13"/>
    <n v="13000"/>
    <n v="4550"/>
    <x v="0"/>
  </r>
  <r>
    <n v="726"/>
    <s v="SP0468"/>
    <s v="1 HP  AC ေရျမဳပ္ပန့္္"/>
    <n v="75000"/>
    <n v="1"/>
    <n v="97000"/>
    <n v="22000"/>
    <x v="0"/>
  </r>
  <r>
    <n v="727"/>
    <s v="SP0473"/>
    <s v="DF-24သြား ဂဲကာသံျပား"/>
    <n v="8990"/>
    <n v="1"/>
    <n v="18000"/>
    <n v="9010"/>
    <x v="0"/>
  </r>
  <r>
    <n v="728"/>
    <s v="SP0476"/>
    <s v="10 ဂြင္းဂြ"/>
    <n v="4200"/>
    <n v="4"/>
    <n v="6000"/>
    <n v="1800"/>
    <x v="0"/>
  </r>
  <r>
    <n v="729"/>
    <s v="SP0477"/>
    <s v="12 ဂြင္းဂြ"/>
    <n v="2150"/>
    <n v="2"/>
    <n v="3400"/>
    <n v="1250"/>
    <x v="0"/>
  </r>
  <r>
    <n v="730"/>
    <s v="SP0478"/>
    <s v="13 ဂြင္းဂြ"/>
    <n v="1000"/>
    <n v="1"/>
    <n v="1500"/>
    <n v="500"/>
    <x v="0"/>
  </r>
  <r>
    <n v="731"/>
    <s v="SP0480"/>
    <s v="17 ဂြင္းဂြ"/>
    <n v="3800"/>
    <n v="2"/>
    <n v="4400"/>
    <n v="600"/>
    <x v="0"/>
  </r>
  <r>
    <n v="732"/>
    <s v="SP0481"/>
    <s v="19 ဂြင္းဂြ"/>
    <n v="1550"/>
    <n v="1"/>
    <n v="3000"/>
    <n v="1450"/>
    <x v="0"/>
  </r>
  <r>
    <n v="733"/>
    <s v="SP0484"/>
    <s v="ဆီလံုဝါရွာ 5မူး"/>
    <n v="330"/>
    <n v="11"/>
    <n v="700"/>
    <n v="370"/>
    <x v="0"/>
  </r>
  <r>
    <n v="734"/>
    <s v="SP0485"/>
    <s v="5 ပဲဆီလံုဝါရွာ (သံ) (JW)"/>
    <n v="140"/>
    <n v="10"/>
    <n v="500"/>
    <n v="360"/>
    <x v="0"/>
  </r>
  <r>
    <n v="735"/>
    <s v="SP0487"/>
    <s v="ငွက္လႊ"/>
    <n v="1750"/>
    <n v="6"/>
    <n v="2400"/>
    <n v="650"/>
    <x v="0"/>
  </r>
  <r>
    <n v="736"/>
    <s v="SP0488"/>
    <s v="1 မီလီ ေက်ာက္ျပား"/>
    <n v="672"/>
    <n v="2"/>
    <n v="1000"/>
    <n v="328"/>
    <x v="0"/>
  </r>
  <r>
    <n v="737"/>
    <s v="SP0490"/>
    <s v="50.72.12 အဝိုင္းစီး"/>
    <n v="1050"/>
    <n v="3"/>
    <n v="1800"/>
    <n v="750"/>
    <x v="0"/>
  </r>
  <r>
    <n v="738"/>
    <s v="SP0492"/>
    <s v="18 × 19 ဂြဂြ"/>
    <n v="1450"/>
    <n v="1"/>
    <n v="2200"/>
    <n v="750"/>
    <x v="0"/>
  </r>
  <r>
    <n v="739"/>
    <s v="SP0494"/>
    <s v="10 T (CH)"/>
    <n v="5000"/>
    <n v="4"/>
    <n v="8000"/>
    <n v="3000"/>
    <x v="0"/>
  </r>
  <r>
    <n v="740"/>
    <s v="SP0495"/>
    <s v="12 T (CH)"/>
    <n v="850"/>
    <n v="1"/>
    <n v="2000"/>
    <n v="1150"/>
    <x v="0"/>
  </r>
  <r>
    <n v="741"/>
    <s v="SP0507"/>
    <s v="လက္ကိုင္ သံဗရပ္"/>
    <n v="2322"/>
    <n v="11"/>
    <n v="3850"/>
    <n v="1528"/>
    <x v="0"/>
  </r>
  <r>
    <n v="742"/>
    <s v="SP0509"/>
    <s v="13 T (CH)"/>
    <n v="2600"/>
    <n v="2"/>
    <n v="3600"/>
    <n v="1000"/>
    <x v="0"/>
  </r>
  <r>
    <n v="743"/>
    <s v="SP0510"/>
    <s v="8 T (CH)"/>
    <n v="5000"/>
    <n v="4"/>
    <n v="8000"/>
    <n v="3000"/>
    <x v="0"/>
  </r>
  <r>
    <n v="744"/>
    <s v="SP0511"/>
    <s v="ေကာ္နီ"/>
    <n v="7335"/>
    <n v="5"/>
    <n v="11500"/>
    <n v="4165"/>
    <x v="0"/>
  </r>
  <r>
    <n v="745"/>
    <s v="SP0512"/>
    <s v="ခဲကြင္းၾကီး"/>
    <n v="220"/>
    <n v="1"/>
    <n v="500"/>
    <n v="280"/>
    <x v="0"/>
  </r>
  <r>
    <n v="746"/>
    <s v="SP0515"/>
    <s v="အမိုးကိုင္းဘက္မွန္ အႀကီး"/>
    <n v="12000"/>
    <n v="2"/>
    <n v="16000"/>
    <n v="4000"/>
    <x v="0"/>
  </r>
  <r>
    <n v="747"/>
    <s v="SP0516"/>
    <s v="DF 24 သြားထြန္ခံုဖုံး"/>
    <n v="15993"/>
    <n v="1"/>
    <n v="36000"/>
    <n v="20007"/>
    <x v="0"/>
  </r>
  <r>
    <n v="748"/>
    <s v="SP0517"/>
    <s v="DF သဲကာသားေရျပား"/>
    <n v="10000"/>
    <n v="2"/>
    <n v="20400"/>
    <n v="10400"/>
    <x v="0"/>
  </r>
  <r>
    <n v="749"/>
    <s v="SP0522"/>
    <s v="13 စပန္နာသီး"/>
    <n v="3300"/>
    <n v="3"/>
    <n v="4500"/>
    <n v="1200"/>
    <x v="0"/>
  </r>
  <r>
    <n v="750"/>
    <s v="SP0523"/>
    <s v="14 စပန္နာသီး"/>
    <n v="1500"/>
    <n v="2"/>
    <n v="2700"/>
    <n v="1200"/>
    <x v="0"/>
  </r>
  <r>
    <n v="751"/>
    <s v="SP0524"/>
    <s v="17 စပန္နာသီး"/>
    <n v="900"/>
    <n v="1"/>
    <n v="1800"/>
    <n v="900"/>
    <x v="0"/>
  </r>
  <r>
    <n v="752"/>
    <s v="SP0525"/>
    <s v="19 စပန္နာသီး"/>
    <n v="1000"/>
    <n v="1"/>
    <n v="2300"/>
    <n v="1300"/>
    <x v="0"/>
  </r>
  <r>
    <n v="753"/>
    <s v="SP0528"/>
    <s v="စက္တံတို"/>
    <n v="1700"/>
    <n v="1"/>
    <n v="2500"/>
    <n v="800"/>
    <x v="0"/>
  </r>
  <r>
    <n v="754"/>
    <s v="SP053"/>
    <s v="6210  HCH ေဘာ"/>
    <n v="28255"/>
    <n v="4"/>
    <n v="34000"/>
    <n v="5745"/>
    <x v="0"/>
  </r>
  <r>
    <n v="755"/>
    <s v="SP0533"/>
    <s v="အင္ဂ်င္ပူလီ 185 . 4x 3"/>
    <n v="9600"/>
    <n v="2"/>
    <n v="16400"/>
    <n v="6800"/>
    <x v="0"/>
  </r>
  <r>
    <n v="756"/>
    <s v="SP0535"/>
    <s v="3KW ကာဗြန္အိမ္ ကလစ္"/>
    <n v="980"/>
    <n v="3"/>
    <n v="2100"/>
    <n v="1120"/>
    <x v="0"/>
  </r>
  <r>
    <n v="757"/>
    <s v="SP0538"/>
    <s v="ေရေပၚပန့္ဒလတ္ (Pump Impeller)"/>
    <n v="1850"/>
    <n v="1"/>
    <n v="3500"/>
    <n v="1650"/>
    <x v="0"/>
  </r>
  <r>
    <n v="758"/>
    <s v="SP0543"/>
    <s v="Kawa 7 1/2 (လက္ေဟာင္း)"/>
    <n v="183000"/>
    <n v="1"/>
    <n v="198000"/>
    <n v="15000"/>
    <x v="0"/>
  </r>
  <r>
    <n v="759"/>
    <s v="SP0550"/>
    <s v="11.5ခ်ိန္းေစာ(4&quot;ေက်ာက္စက္)"/>
    <n v="14500"/>
    <n v="1"/>
    <n v="35000"/>
    <n v="20500"/>
    <x v="0"/>
  </r>
  <r>
    <n v="760"/>
    <s v="SP0554"/>
    <s v="SU 50 ရွပ္ ဘယ္ရစ္ေခါင္း"/>
    <n v="300"/>
    <n v="1"/>
    <n v="800"/>
    <n v="500"/>
    <x v="0"/>
  </r>
  <r>
    <n v="761"/>
    <s v="SP0559"/>
    <s v="6 1/2 စက္သတ္ခလုတ္"/>
    <n v="600"/>
    <n v="1"/>
    <n v="1000"/>
    <n v="400"/>
    <x v="0"/>
  </r>
  <r>
    <n v="762"/>
    <s v="SP0564"/>
    <s v="ဘားတံ 250"/>
    <n v="22000"/>
    <n v="4"/>
    <n v="28000"/>
    <n v="6000"/>
    <x v="0"/>
  </r>
  <r>
    <n v="763"/>
    <s v="SP0565"/>
    <s v="62ဆစ္X 3လိုင္းခ်ိန္း"/>
    <n v="15000"/>
    <n v="2"/>
    <n v="20000"/>
    <n v="5000"/>
    <x v="0"/>
  </r>
  <r>
    <n v="764"/>
    <s v="SP0566"/>
    <s v="15x3 6.5အထိုင္ပီနီယံ(စက္ေလွ)"/>
    <n v="2000"/>
    <n v="1"/>
    <n v="3000"/>
    <n v="1000"/>
    <x v="0"/>
  </r>
  <r>
    <n v="765"/>
    <s v="SP0575"/>
    <s v="9ေကာင္ အင္ဂ်င္(KAWA270)"/>
    <n v="333000"/>
    <n v="1"/>
    <n v="355000"/>
    <n v="22000"/>
    <x v="0"/>
  </r>
  <r>
    <n v="766"/>
    <s v="SP0577"/>
    <s v="8.10.12 (သံုးဘက္)"/>
    <n v="1650"/>
    <n v="1"/>
    <n v="2500"/>
    <n v="850"/>
    <x v="0"/>
  </r>
  <r>
    <n v="767"/>
    <s v="SP0581"/>
    <s v="Kawa7-5 ေလကာဘာ "/>
    <n v="10400"/>
    <n v="2"/>
    <n v="15000"/>
    <n v="4600"/>
    <x v="0"/>
  </r>
  <r>
    <n v="768"/>
    <s v="SP0582"/>
    <s v="3KW ဒိုင္နမို ကာပြန္"/>
    <n v="2240"/>
    <n v="4"/>
    <n v="4800"/>
    <n v="2560"/>
    <x v="0"/>
  </r>
  <r>
    <n v="769"/>
    <s v="SP0586"/>
    <s v="51 x 3 ပင္နယံ"/>
    <n v="11800"/>
    <n v="2"/>
    <n v="16000"/>
    <n v="4200"/>
    <x v="0"/>
  </r>
  <r>
    <n v="770"/>
    <s v="SP0591"/>
    <s v="3 Kw ေၾကးကြင္းႀကီး"/>
    <n v="5500"/>
    <n v="1"/>
    <n v="9000"/>
    <n v="3500"/>
    <x v="0"/>
  </r>
  <r>
    <n v="771"/>
    <s v="SP0597"/>
    <s v="KW 390 ပါကင္စံု KAWA"/>
    <n v="3000"/>
    <n v="1"/>
    <n v="4000"/>
    <n v="1000"/>
    <x v="0"/>
  </r>
  <r>
    <n v="772"/>
    <s v="SP0603"/>
    <s v="ျမက္ရိတ္စက္္(ကလပ္ခြက္)"/>
    <n v="1500"/>
    <n v="1"/>
    <n v="3000"/>
    <n v="1500"/>
    <x v="0"/>
  </r>
  <r>
    <n v="773"/>
    <s v="SP0610"/>
    <s v="No- 5 စူးသြား"/>
    <n v="500"/>
    <n v="1"/>
    <n v="1200"/>
    <n v="700"/>
    <x v="0"/>
  </r>
  <r>
    <n v="774"/>
    <s v="SP0611"/>
    <s v="No- 6  စူးသြား"/>
    <n v="1500"/>
    <n v="2"/>
    <n v="3400"/>
    <n v="1900"/>
    <x v="0"/>
  </r>
  <r>
    <n v="775"/>
    <s v="SP0614"/>
    <s v="2လက္ကပ္ပန္႔ေနာက္ျခမ္း"/>
    <n v="8800"/>
    <n v="1"/>
    <n v="13500"/>
    <n v="4700"/>
    <x v="0"/>
  </r>
  <r>
    <n v="776"/>
    <s v="SP0621"/>
    <s v="6 -7 ဂြဂြ_x000d__x000a__x000d__x000a_"/>
    <n v="580"/>
    <n v="1"/>
    <n v="1300"/>
    <n v="720"/>
    <x v="0"/>
  </r>
  <r>
    <n v="777"/>
    <s v="SP0622"/>
    <s v="6 1/2 ဆီပိုက္( 1 )ေပ"/>
    <n v="3841"/>
    <n v="23"/>
    <n v="6900"/>
    <n v="3059"/>
    <x v="0"/>
  </r>
  <r>
    <n v="778"/>
    <s v="SP0629"/>
    <s v="6 1/2 ဘေလာက္အိုး"/>
    <n v="17000"/>
    <n v="1"/>
    <n v="28000"/>
    <n v="11000"/>
    <x v="0"/>
  </r>
  <r>
    <n v="779"/>
    <s v="SP0638"/>
    <s v="18 ဂြင္းဂြ"/>
    <n v="1450"/>
    <n v="1"/>
    <n v="2500"/>
    <n v="1050"/>
    <x v="0"/>
  </r>
  <r>
    <n v="780"/>
    <s v="SP0650"/>
    <s v="ကားေရေဆးေခါင္း (အထစ္)"/>
    <n v="1500"/>
    <n v="1"/>
    <n v="2500"/>
    <n v="1000"/>
    <x v="0"/>
  </r>
  <r>
    <n v="781"/>
    <s v="SP0654"/>
    <s v="SU 50 ပူလီဆြဲပန္႔"/>
    <n v="53350"/>
    <n v="1"/>
    <n v="60000"/>
    <n v="6650"/>
    <x v="0"/>
  </r>
  <r>
    <n v="782"/>
    <s v="SP0656"/>
    <s v="6006 ေဘာ"/>
    <n v="1800"/>
    <n v="1"/>
    <n v="2300"/>
    <n v="500"/>
    <x v="0"/>
  </r>
  <r>
    <n v="783"/>
    <s v="SP0663"/>
    <s v="M8 ေတာက္"/>
    <n v="1000"/>
    <n v="1"/>
    <n v="3300"/>
    <n v="2300"/>
    <x v="0"/>
  </r>
  <r>
    <n v="784"/>
    <s v="SP0667"/>
    <s v="4&quot;သံုးေျမွာင့္ တံစဥ္း"/>
    <n v="6100"/>
    <n v="10"/>
    <n v="11000"/>
    <n v="4900"/>
    <x v="0"/>
  </r>
  <r>
    <n v="785"/>
    <s v="SP0684"/>
    <s v="16 စပန္နာသီး"/>
    <n v="800"/>
    <n v="1"/>
    <n v="1500"/>
    <n v="700"/>
    <x v="0"/>
  </r>
  <r>
    <n v="786"/>
    <s v="SP0685"/>
    <s v="18 စပန္နာသီး"/>
    <n v="1900"/>
    <n v="2"/>
    <n v="4000"/>
    <n v="2100"/>
    <x v="0"/>
  </r>
  <r>
    <n v="787"/>
    <s v="SP0687"/>
    <s v="25.35.7"/>
    <n v="250"/>
    <n v="1"/>
    <n v="500"/>
    <n v="250"/>
    <x v="0"/>
  </r>
  <r>
    <n v="788"/>
    <s v="SP0688"/>
    <s v="34X50X7"/>
    <n v="500"/>
    <n v="1"/>
    <n v="900"/>
    <n v="400"/>
    <x v="0"/>
  </r>
  <r>
    <n v="789"/>
    <s v="SP0692"/>
    <s v="ေရထြက္ေကာ္"/>
    <n v="250"/>
    <n v="2"/>
    <n v="600"/>
    <n v="350"/>
    <x v="0"/>
  </r>
  <r>
    <n v="790"/>
    <s v="SP0698"/>
    <s v="AB ေကာ္ၾကီး"/>
    <n v="8001"/>
    <n v="3"/>
    <n v="9900"/>
    <n v="1899"/>
    <x v="0"/>
  </r>
  <r>
    <n v="791"/>
    <s v="SP0703"/>
    <s v="ေလပိုက္ဝါ (ေရေဆးပန္႔)"/>
    <n v="11500"/>
    <n v="1"/>
    <n v="15000"/>
    <n v="3500"/>
    <x v="0"/>
  </r>
  <r>
    <n v="792"/>
    <s v="SP0730"/>
    <s v="180 ထပ္ရိန္း"/>
    <n v="15750"/>
    <n v="7"/>
    <n v="27000"/>
    <n v="11250"/>
    <x v="0"/>
  </r>
  <r>
    <n v="793"/>
    <s v="SP0731"/>
    <s v="175 ထပ္ရိန္း"/>
    <n v="4010"/>
    <n v="2"/>
    <n v="8000"/>
    <n v="3990"/>
    <x v="0"/>
  </r>
  <r>
    <n v="794"/>
    <s v="SP0734"/>
    <s v="Kawa 7-5 အင္းလက္ဗူး"/>
    <n v="4200"/>
    <n v="1"/>
    <n v="6500"/>
    <n v="2300"/>
    <x v="0"/>
  </r>
  <r>
    <n v="795"/>
    <s v="SP0744"/>
    <s v="ဝိုက္စီး 27-37-7"/>
    <n v="800"/>
    <n v="2"/>
    <n v="2000"/>
    <n v="1200"/>
    <x v="0"/>
  </r>
  <r>
    <n v="796"/>
    <s v="SP0746"/>
    <s v="ဝိုက္စီး 30/40-5/10-5"/>
    <n v="600"/>
    <n v="1"/>
    <n v="1000"/>
    <n v="400"/>
    <x v="0"/>
  </r>
  <r>
    <n v="797"/>
    <s v="SP0750"/>
    <s v="6 1/2 မိန္းဝိုက္စီး"/>
    <n v="360"/>
    <n v="2"/>
    <n v="1000"/>
    <n v="640"/>
    <x v="0"/>
  </r>
  <r>
    <n v="798"/>
    <s v="SP0758"/>
    <s v="AC ေရျမဳပ္(0.5HP)Arrman"/>
    <n v="300368"/>
    <n v="7"/>
    <n v="385000"/>
    <n v="84632"/>
    <x v="0"/>
  </r>
  <r>
    <n v="799"/>
    <s v="SP0770"/>
    <s v="7 ရစ္ပလပ္"/>
    <n v="1600"/>
    <n v="1"/>
    <n v="3000"/>
    <n v="1400"/>
    <x v="0"/>
  </r>
  <r>
    <n v="800"/>
    <s v="SP0776"/>
    <s v="5M ေပဗူး(USA)ရာဘာအျပာ"/>
    <n v="2800"/>
    <n v="1"/>
    <n v="4500"/>
    <n v="1700"/>
    <x v="0"/>
  </r>
  <r>
    <n v="801"/>
    <s v="SP0779"/>
    <s v="Malaysia အင္ဂ်င္ဝိုင္(1 L)"/>
    <n v="679700"/>
    <n v="286"/>
    <n v="723950"/>
    <n v="44250"/>
    <x v="0"/>
  </r>
  <r>
    <n v="802"/>
    <s v="SP0784"/>
    <s v="3 1/2 ပစၥတင္+ရိန္း (154)"/>
    <n v="4000"/>
    <n v="1"/>
    <n v="5500"/>
    <n v="1500"/>
    <x v="0"/>
  </r>
  <r>
    <n v="803"/>
    <s v="SP0786"/>
    <s v="သံလိုက္ေခ်ာင္း"/>
    <n v="1000"/>
    <n v="1"/>
    <n v="1800"/>
    <n v="800"/>
    <x v="0"/>
  </r>
  <r>
    <n v="804"/>
    <s v="SP0787"/>
    <s v="အမဲဆီပိုက္ေပ်ာ့"/>
    <n v="1250"/>
    <n v="1"/>
    <n v="2500"/>
    <n v="1250"/>
    <x v="0"/>
  </r>
  <r>
    <n v="805"/>
    <s v="SP0789"/>
    <s v="ဆြဲသီး Kawa "/>
    <n v="450"/>
    <n v="1"/>
    <n v="1000"/>
    <n v="550"/>
    <x v="0"/>
  </r>
  <r>
    <n v="806"/>
    <s v="SP0792"/>
    <s v="12&quot; စပန္နာဟန္တယ္(1/2)"/>
    <n v="7650"/>
    <n v="3"/>
    <n v="11400"/>
    <n v="3750"/>
    <x v="0"/>
  </r>
  <r>
    <n v="807"/>
    <s v="SP0799"/>
    <s v="DF ေပါင္အံု (ဘယ္)"/>
    <n v="33000"/>
    <n v="1"/>
    <n v="43000"/>
    <n v="10000"/>
    <x v="0"/>
  </r>
  <r>
    <n v="808"/>
    <s v="SP0802"/>
    <s v="22 ေကာင္ ဂါဗနာဘြတ္_x000d__x000a_"/>
    <n v="210"/>
    <n v="1"/>
    <n v="500"/>
    <n v="290"/>
    <x v="0"/>
  </r>
  <r>
    <n v="809"/>
    <s v="SP0803"/>
    <s v="22 ေကာင္ဂါဗနာျခင္း"/>
    <n v="2667"/>
    <n v="3"/>
    <n v="6000"/>
    <n v="3333"/>
    <x v="0"/>
  </r>
  <r>
    <n v="810"/>
    <s v="SP0805"/>
    <s v="500X12 ကၽြတ္"/>
    <n v="45000"/>
    <n v="9"/>
    <n v="58500"/>
    <n v="13500"/>
    <x v="0"/>
  </r>
  <r>
    <n v="811"/>
    <s v="SP0807"/>
    <s v="B55 ပူလီႀကီး (ေျပာင္)"/>
    <n v="2640"/>
    <n v="2"/>
    <n v="5000"/>
    <n v="2360"/>
    <x v="0"/>
  </r>
  <r>
    <n v="812"/>
    <s v="SP0809"/>
    <s v="ေဘာထိုင္ႀကီးအေပါက္ပါ(တစ္ဘီး)"/>
    <n v="4050"/>
    <n v="1"/>
    <n v="5500"/>
    <n v="1450"/>
    <x v="0"/>
  </r>
  <r>
    <n v="813"/>
    <s v="SP0812"/>
    <s v="ကီးရွည္(တစ္ဘီး)"/>
    <n v="700"/>
    <n v="2"/>
    <n v="1000"/>
    <n v="300"/>
    <x v="0"/>
  </r>
  <r>
    <n v="814"/>
    <s v="SP0815"/>
    <s v="မီးခံျပား အပါး"/>
    <n v="3336"/>
    <n v="4"/>
    <n v="6200"/>
    <n v="2864"/>
    <x v="0"/>
  </r>
  <r>
    <n v="815"/>
    <s v="SP0824"/>
    <s v="DF ကလပ္ျပား(ေကာင္း)"/>
    <n v="9460"/>
    <n v="4"/>
    <n v="18000"/>
    <n v="8540"/>
    <x v="0"/>
  </r>
  <r>
    <n v="816"/>
    <s v="SP0829"/>
    <s v="DF လက္လွည့္သီး_x000d__x000a_"/>
    <n v="3000"/>
    <n v="1"/>
    <n v="6000"/>
    <n v="3000"/>
    <x v="0"/>
  </r>
  <r>
    <n v="817"/>
    <s v="SP0832"/>
    <s v="209 ေဘာ"/>
    <n v="8850"/>
    <n v="3"/>
    <n v="15000"/>
    <n v="6150"/>
    <x v="0"/>
  </r>
  <r>
    <n v="818"/>
    <s v="SP0833"/>
    <s v="6 1/2 သံပူလီ"/>
    <n v="700"/>
    <n v="1"/>
    <n v="1500"/>
    <n v="800"/>
    <x v="0"/>
  </r>
  <r>
    <n v="819"/>
    <s v="SP0835"/>
    <s v="DF ကလပ္မွန္ျပင္"/>
    <n v="2300"/>
    <n v="1"/>
    <n v="5400"/>
    <n v="3100"/>
    <x v="0"/>
  </r>
  <r>
    <n v="820"/>
    <s v="SP0836"/>
    <s v="DF ကလပ္နတ္(1 ေခ်ာင္း)"/>
    <n v="2400"/>
    <n v="12"/>
    <n v="6000"/>
    <n v="3600"/>
    <x v="0"/>
  </r>
  <r>
    <n v="821"/>
    <s v="SP0842"/>
    <s v="ဆီညွစ္ဗူး(အၾကည္)"/>
    <n v="1450"/>
    <n v="1"/>
    <n v="2500"/>
    <n v="1050"/>
    <x v="0"/>
  </r>
  <r>
    <n v="822"/>
    <s v="SP0847"/>
    <s v="ကြန္နဆာ 10uF"/>
    <n v="1500"/>
    <n v="1"/>
    <n v="3000"/>
    <n v="1500"/>
    <x v="0"/>
  </r>
  <r>
    <n v="823"/>
    <s v="SP0848"/>
    <s v="ကြန္နဆာ 8uF"/>
    <n v="1150"/>
    <n v="1"/>
    <n v="2500"/>
    <n v="1350"/>
    <x v="0"/>
  </r>
  <r>
    <n v="824"/>
    <s v="SP0851"/>
    <s v="ကြန္နဆာ 20uF"/>
    <n v="1600"/>
    <n v="1"/>
    <n v="3500"/>
    <n v="1900"/>
    <x v="0"/>
  </r>
  <r>
    <n v="825"/>
    <s v="SP0871"/>
    <s v="TB 40ခရုပန္႔(ေခါင္းဝိုင္း)"/>
    <n v="18200"/>
    <n v="1"/>
    <n v="23000"/>
    <n v="4800"/>
    <x v="0"/>
  </r>
  <r>
    <n v="826"/>
    <s v="SP0872"/>
    <s v="M6 10 ေတာက္"/>
    <n v="1900"/>
    <n v="2"/>
    <n v="3600"/>
    <n v="1700"/>
    <x v="0"/>
  </r>
  <r>
    <n v="827"/>
    <s v="SP0884"/>
    <s v="14 T"/>
    <n v="1000"/>
    <n v="1"/>
    <n v="2000"/>
    <n v="1000"/>
    <x v="0"/>
  </r>
  <r>
    <n v="828"/>
    <s v="SP0890"/>
    <s v="6 1/2 ကိြဳင္ႀကိဳး"/>
    <n v="3000"/>
    <n v="20"/>
    <n v="6000"/>
    <n v="3000"/>
    <x v="0"/>
  </r>
  <r>
    <n v="829"/>
    <s v="SP0893"/>
    <s v="500 X 12တာယာ+ကၽြတ္(YGN)"/>
    <n v="447500"/>
    <n v="9"/>
    <n v="490000"/>
    <n v="42500"/>
    <x v="0"/>
  </r>
  <r>
    <n v="830"/>
    <s v="SP0907"/>
    <s v="28x47x10"/>
    <n v="1500"/>
    <n v="3"/>
    <n v="3000"/>
    <n v="1500"/>
    <x v="0"/>
  </r>
  <r>
    <n v="831"/>
    <s v="SP0909"/>
    <s v="(154)3 1/2 ပါကင္စံု"/>
    <n v="650"/>
    <n v="1"/>
    <n v="1500"/>
    <n v="850"/>
    <x v="0"/>
  </r>
  <r>
    <n v="832"/>
    <s v="SP0910"/>
    <s v="22 စပန္နာသီးအရွည္"/>
    <n v="3050"/>
    <n v="1"/>
    <n v="4000"/>
    <n v="950"/>
    <x v="0"/>
  </r>
  <r>
    <n v="833"/>
    <s v="SP0913"/>
    <s v="52 B ခ်ိန္း"/>
    <n v="2756"/>
    <n v="1"/>
    <n v="4000"/>
    <n v="1244"/>
    <x v="0"/>
  </r>
  <r>
    <n v="834"/>
    <s v="SP0915"/>
    <s v="6 1/2 ကီးရွည္"/>
    <n v="200"/>
    <n v="2"/>
    <n v="1000"/>
    <n v="800"/>
    <x v="0"/>
  </r>
  <r>
    <n v="835"/>
    <s v="SP0927"/>
    <s v="13 ေကာင္ သံပတ္"/>
    <n v="550"/>
    <n v="1"/>
    <n v="1500"/>
    <n v="950"/>
    <x v="0"/>
  </r>
  <r>
    <n v="836"/>
    <s v="SP0929"/>
    <s v="ပန္းေကာ္ပတ္"/>
    <n v="3100"/>
    <n v="6"/>
    <n v="4800"/>
    <n v="1700"/>
    <x v="0"/>
  </r>
  <r>
    <n v="837"/>
    <s v="SP0940"/>
    <s v="DC ေရျမႈပ္ပန္႔ (180W)"/>
    <n v="69600"/>
    <n v="3"/>
    <n v="96000"/>
    <n v="26400"/>
    <x v="0"/>
  </r>
  <r>
    <n v="838"/>
    <s v="SP0961"/>
    <s v="ျမက္ရိတ္စက္ ေရပန္႔"/>
    <n v="16500"/>
    <n v="1"/>
    <n v="25000"/>
    <n v="8500"/>
    <x v="0"/>
  </r>
  <r>
    <n v="839"/>
    <s v="SP0982"/>
    <s v="3လက္မကပ္ပန္႔အင္ပယ္လာ"/>
    <n v="6900"/>
    <n v="1"/>
    <n v="9000"/>
    <n v="2100"/>
    <x v="0"/>
  </r>
  <r>
    <n v="840"/>
    <s v="SP0989"/>
    <s v="4 လက္မသားေရျပား"/>
    <n v="943"/>
    <n v="1"/>
    <n v="2300"/>
    <n v="1357"/>
    <x v="0"/>
  </r>
  <r>
    <n v="841"/>
    <s v="STL038"/>
    <s v="1လက္မႀကိဳးစိမ္း (Clover)"/>
    <n v="87200"/>
    <n v="4"/>
    <n v="100000"/>
    <n v="12800"/>
    <x v="5"/>
  </r>
  <r>
    <n v="842"/>
    <s v="STL062"/>
    <s v="0.5 Daewoo Auto ပန္႔"/>
    <n v="80000"/>
    <n v="1"/>
    <n v="115000"/>
    <n v="35000"/>
    <x v="5"/>
  </r>
  <r>
    <n v="843"/>
    <s v="STL108"/>
    <s v="DC Battery Blower"/>
    <n v="37000"/>
    <n v="1"/>
    <n v="45000"/>
    <n v="8000"/>
    <x v="5"/>
  </r>
  <r>
    <n v="844"/>
    <s v="STL171"/>
    <s v="SU50 အိုးခြံ"/>
    <n v="15000"/>
    <n v="1"/>
    <n v="20000"/>
    <n v="5000"/>
    <x v="5"/>
  </r>
  <r>
    <n v="845"/>
    <s v="ZMGBS02"/>
    <s v="Diesel Engine Changchai Brand Model Q-185_x000d__x000a_"/>
    <n v="483000"/>
    <n v="1"/>
    <n v="530000"/>
    <n v="47000"/>
    <x v="0"/>
  </r>
  <r>
    <n v="846"/>
    <s v="ZMGBS10"/>
    <s v="Diesel Engine Changchai Brand Model  ZS - 1110 Old/A2"/>
    <n v="920000"/>
    <n v="1"/>
    <n v="970000"/>
    <n v="50000"/>
    <x v="0"/>
  </r>
  <r>
    <n v="847"/>
    <s v="ZMGBS11"/>
    <s v="Dongben Brand Tricycle : DB300ZH-300CC(8 Feet) F No -L6XHBR1C6M0000102"/>
    <n v="4851000"/>
    <n v="1"/>
    <n v="5101000"/>
    <n v="250000"/>
    <x v="0"/>
  </r>
  <r>
    <n v="848"/>
    <s v="ZMTMS032"/>
    <s v="ေရွ႕အခ်က္ျပမီး set (ဖိုက္တာေခါင္း)"/>
    <n v="2640"/>
    <n v="2"/>
    <n v="5000"/>
    <n v="2360"/>
    <x v="6"/>
  </r>
  <r>
    <n v="849"/>
    <s v="ZMTMS039"/>
    <s v="ေနာက္တံခါးဂ်က္"/>
    <n v="1270"/>
    <n v="1"/>
    <n v="3200"/>
    <n v="1930"/>
    <x v="6"/>
  </r>
  <r>
    <n v="850"/>
    <s v="ZMTMS057"/>
    <s v="စတပ္ေမာ္တာပင္နီယံ set (14/49)"/>
    <n v="3410"/>
    <n v="1"/>
    <n v="6000"/>
    <n v="2590"/>
    <x v="6"/>
  </r>
  <r>
    <n v="851"/>
    <s v="ZMTMS066"/>
    <s v="LF.SH အင္ဂ်င္ ဟက္ set (300 D/C)"/>
    <n v="44842"/>
    <n v="1"/>
    <n v="60000"/>
    <n v="15158"/>
    <x v="6"/>
  </r>
  <r>
    <n v="852"/>
    <s v="ZMTMS074"/>
    <s v="NNJ စတပ္ေဘာထို္င္ (9)လံုး"/>
    <n v="7320"/>
    <n v="2"/>
    <n v="14500"/>
    <n v="7180"/>
    <x v="6"/>
  </r>
  <r>
    <n v="853"/>
    <s v="ZMTMS075"/>
    <s v="NNJ ေဘာထိုင္ 6 လုံး"/>
    <n v="3470"/>
    <n v="1"/>
    <n v="6500"/>
    <n v="3030"/>
    <x v="6"/>
  </r>
  <r>
    <n v="854"/>
    <s v="ZMTMS085"/>
    <s v="NNJ ဂၽြိဳင္းေဘာ 20 ×55"/>
    <n v="1400"/>
    <n v="1"/>
    <n v="3500"/>
    <n v="2100"/>
    <x v="6"/>
  </r>
  <r>
    <n v="855"/>
    <s v="ZMTMS137"/>
    <s v="(3s) အိတ္ေဇာ စလင္ဒါ (ထူ ၊တို)"/>
    <n v="8270"/>
    <n v="1"/>
    <n v="19500"/>
    <n v="11230"/>
    <x v="6"/>
  </r>
  <r>
    <n v="856"/>
    <s v="ZMTMS174"/>
    <s v="(3o) Second ေလး (7  cm)"/>
    <n v="17040"/>
    <n v="3"/>
    <n v="36000"/>
    <n v="18960"/>
    <x v="6"/>
  </r>
  <r>
    <n v="857"/>
    <s v="ZMTMS181"/>
    <s v="(3S) အင္ဂ်င္ ဆီကေတာ့ (200)"/>
    <n v="1200"/>
    <n v="1"/>
    <n v="2500"/>
    <n v="1300"/>
    <x v="6"/>
  </r>
  <r>
    <n v="858"/>
    <s v="ZMTMS202"/>
    <s v="(3l) NNJ ေဘာ 30305"/>
    <n v="3840"/>
    <n v="2"/>
    <n v="10000"/>
    <n v="6160"/>
    <x v="6"/>
  </r>
  <r>
    <n v="859"/>
    <s v="ZMTMS213"/>
    <s v="(3p) ဝိုက္စီး 32 × 50 × 7"/>
    <n v="472"/>
    <n v="2"/>
    <n v="1200"/>
    <n v="728"/>
    <x v="6"/>
  </r>
  <r>
    <n v="860"/>
    <s v="ZMTMS236"/>
    <s v="ကေရာင္းအံုပါကင္(8 ေပါက္)"/>
    <n v="900"/>
    <n v="1"/>
    <n v="1500"/>
    <n v="600"/>
    <x v="6"/>
  </r>
  <r>
    <n v="861"/>
    <s v="ZMTMS239"/>
    <s v="စတပ္ေဘာထိုင္(3 လံုး)"/>
    <n v="2090"/>
    <n v="1"/>
    <n v="4500"/>
    <n v="2410"/>
    <x v="6"/>
  </r>
  <r>
    <n v="862"/>
    <s v="ZMTMS305"/>
    <s v="(3d)LF.SHစတပ္ပင္နီယံဝိုင္းၾကီး(200)"/>
    <n v="3280"/>
    <n v="1"/>
    <n v="11000"/>
    <n v="7720"/>
    <x v="6"/>
  </r>
  <r>
    <n v="863"/>
    <s v="ZMTMS333"/>
    <s v="NNJ ေဘာ 6228"/>
    <n v="3812"/>
    <n v="2"/>
    <n v="9000"/>
    <n v="5188"/>
    <x v="6"/>
  </r>
  <r>
    <n v="864"/>
    <s v="ZMTMS353"/>
    <s v="(3I)ဘားစပုလိန္_x000d__x000a_"/>
    <n v="1374"/>
    <n v="2"/>
    <n v="4000"/>
    <n v="2626"/>
    <x v="6"/>
  </r>
  <r>
    <n v="865"/>
    <s v="ZMTMS370"/>
    <s v="NNJဘားကိုက္"/>
    <n v="950"/>
    <n v="1"/>
    <n v="2000"/>
    <n v="1050"/>
    <x v="6"/>
  </r>
  <r>
    <n v="866"/>
    <s v="ZMTMS383"/>
    <s v="(3f) တိုက္ပစ္ဖို့စေတာ့တံ(250CC၊ZS၊မဲ)"/>
    <n v="968"/>
    <n v="1"/>
    <n v="2000"/>
    <n v="1032"/>
    <x v="6"/>
  </r>
  <r>
    <n v="867"/>
    <s v="ZMTMS410"/>
    <s v="ဆီမာစတာပန္႔ဝါရွာ(သံ၊2အိုး)"/>
    <n v="2428"/>
    <n v="2"/>
    <n v="4000"/>
    <n v="1572"/>
    <x v="6"/>
  </r>
  <r>
    <n v="868"/>
    <s v="ZMTMS412"/>
    <s v="ဆီဘရိတ္ဗူး( 1 ပိုက္ထြက္)"/>
    <n v="1085"/>
    <n v="1"/>
    <n v="2000"/>
    <n v="915"/>
    <x v="6"/>
  </r>
  <r>
    <n v="869"/>
    <s v="ZMTMS413"/>
    <s v="ေနာက္ဟက္အံု Set ( L 6009 အထိုင္)"/>
    <n v="12180"/>
    <n v="1"/>
    <n v="22500"/>
    <n v="10320"/>
    <x v="6"/>
  </r>
  <r>
    <n v="870"/>
    <s v="ZMTMS421"/>
    <s v="(3a) ကလပ္ႀကိဳး (140cm)"/>
    <n v="6420"/>
    <n v="6"/>
    <n v="15000"/>
    <n v="8580"/>
    <x v="6"/>
  </r>
  <r>
    <n v="871"/>
    <s v="ZMTMS423"/>
    <s v="(3i) ေနာက္က်ဴပင္နတ္(ညာ၊ပါး)"/>
    <n v="625"/>
    <n v="1"/>
    <n v="1000"/>
    <n v="375"/>
    <x v="6"/>
  </r>
  <r>
    <n v="872"/>
    <s v="ZMTMS428"/>
    <s v="(3I) NNJ ေဘာ 30206"/>
    <n v="1870"/>
    <n v="1"/>
    <n v="4500"/>
    <n v="2630"/>
    <x v="6"/>
  </r>
  <r>
    <n v="873"/>
    <s v="ZMTMS429"/>
    <s v="(3a) ကရိုင္းနတ္ေခါင္း(14M)"/>
    <n v="900"/>
    <n v="2"/>
    <n v="1400"/>
    <n v="500"/>
    <x v="6"/>
  </r>
  <r>
    <n v="874"/>
    <s v="ZMTMS430"/>
    <s v="(3a)ကာပြန္အထိုင္"/>
    <n v="950"/>
    <n v="1"/>
    <n v="3000"/>
    <n v="2050"/>
    <x v="6"/>
  </r>
  <r>
    <n v="875"/>
    <s v="ZMTMS440"/>
    <s v="NNJ 1/2 Set(300 D/C LF၊ သံ 3 ခ်ပ္)_x000d__x000a_"/>
    <n v="3360"/>
    <n v="2"/>
    <n v="7500"/>
    <n v="4140"/>
    <x v="6"/>
  </r>
  <r>
    <n v="876"/>
    <s v="ZMTMS449"/>
    <s v="ေလးဘြတ္(သံ)"/>
    <n v="3600"/>
    <n v="4"/>
    <n v="8000"/>
    <n v="4400"/>
    <x v="6"/>
  </r>
  <r>
    <n v="877"/>
    <s v="ZMTMS457"/>
    <s v="ေရွ႕မီးSet(ဝိုင္း နဂါးႀကီး ရိုးရိုး)"/>
    <n v="4220"/>
    <n v="1"/>
    <n v="7000"/>
    <n v="2780"/>
    <x v="6"/>
  </r>
  <r>
    <n v="878"/>
    <s v="ZMTMS462"/>
    <s v="(3C) LF SH Full Set(300DC LF သံ 2ခ်ပ္)"/>
    <n v="5240"/>
    <n v="2"/>
    <n v="11000"/>
    <n v="5760"/>
    <x v="6"/>
  </r>
  <r>
    <n v="879"/>
    <s v="ZMTMS467"/>
    <s v="(3n) ေရပန္႔ (150/200 လံုးစင္း)"/>
    <n v="5640"/>
    <n v="1"/>
    <n v="9000"/>
    <n v="3360"/>
    <x v="6"/>
  </r>
  <r>
    <n v="880"/>
    <s v="ZMTMS471"/>
    <s v="(3I) NNJ ေဘာ 698909 ေစာင္း"/>
    <n v="4460"/>
    <n v="2"/>
    <n v="9500"/>
    <n v="5040"/>
    <x v="6"/>
  </r>
  <r>
    <n v="881"/>
    <s v="ZMTMS521"/>
    <s v="ဂီယာစေပါ့ကပ္ရွပ္(150CC)"/>
    <n v="1990"/>
    <n v="1"/>
    <n v="4000"/>
    <n v="2010"/>
    <x v="6"/>
  </r>
  <r>
    <n v="882"/>
    <s v="ZMTMS572"/>
    <s v=" ကလပ္ႀကီဳး 117 Cm_x000d__x000a_"/>
    <n v="1014"/>
    <n v="1"/>
    <n v="2000"/>
    <n v="986"/>
    <x v="6"/>
  </r>
  <r>
    <n v="883"/>
    <s v="ZMTMS599"/>
    <s v="တိုက္ပစ္အေပၚေမာင္း(200၊250)"/>
    <n v="5230"/>
    <n v="1"/>
    <n v="8000"/>
    <n v="2770"/>
    <x v="6"/>
  </r>
  <r>
    <n v="884"/>
    <s v="ZMTMS602"/>
    <s v="စတပ္ေမာ္တာ 11 သြားျမင့္"/>
    <n v="9510"/>
    <n v="1"/>
    <n v="25000"/>
    <n v="15490"/>
    <x v="6"/>
  </r>
  <r>
    <n v="885"/>
    <s v="ZMTMS613"/>
    <s v="ေရေအးတိုင္ကီအဖုံုး"/>
    <n v="750"/>
    <n v="1"/>
    <n v="1500"/>
    <n v="750"/>
    <x v="6"/>
  </r>
</pivotCacheRecords>
</file>

<file path=xl/pivotCache/pivotCacheRecords7.xml><?xml version="1.0" encoding="utf-8"?>
<pivotCacheRecords xmlns="http://schemas.openxmlformats.org/spreadsheetml/2006/main" xmlns:r="http://schemas.openxmlformats.org/officeDocument/2006/relationships" count="3263">
  <r>
    <n v="1"/>
    <x v="0"/>
    <s v="18 ေကာင္ဂါဂ်ီပင္ဘြတ္"/>
    <n v="1"/>
    <n v="2000"/>
    <n v="2000"/>
    <n v="800"/>
    <x v="0"/>
  </r>
  <r>
    <n v="2"/>
    <x v="1"/>
    <s v="18 ေကာင္စလစ္ကစ္ဆက္ "/>
    <n v="2"/>
    <n v="32500"/>
    <n v="32500"/>
    <n v="52000"/>
    <x v="1"/>
  </r>
  <r>
    <n v="3"/>
    <x v="2"/>
    <s v="18 ေကာင္ဘားဆက္စံု"/>
    <n v="6"/>
    <n v="5000"/>
    <n v="5000"/>
    <n v="24000"/>
    <x v="1"/>
  </r>
  <r>
    <n v="4"/>
    <x v="3"/>
    <s v="18 ေကာင္ရိန္း"/>
    <n v="12"/>
    <n v="4000"/>
    <n v="4000"/>
    <n v="35400"/>
    <x v="1"/>
  </r>
  <r>
    <n v="5"/>
    <x v="4"/>
    <s v="18 ေကာင္ဂတ္စကက္"/>
    <n v="5"/>
    <n v="1200"/>
    <n v="1200"/>
    <n v="4000"/>
    <x v="1"/>
  </r>
  <r>
    <n v="6"/>
    <x v="5"/>
    <s v="18 ေကာင္ပလန္ခ်ာ"/>
    <n v="10"/>
    <n v="4000"/>
    <n v="4000"/>
    <n v="30000"/>
    <x v="1"/>
  </r>
  <r>
    <n v="7"/>
    <x v="6"/>
    <s v="18 ပါကင္စံု(JD)"/>
    <n v="3"/>
    <n v="2000"/>
    <n v="2000"/>
    <n v="4050"/>
    <x v="1"/>
  </r>
  <r>
    <n v="8"/>
    <x v="7"/>
    <s v="18 ေကာင္ ဟက္"/>
    <n v="1"/>
    <n v="32000"/>
    <n v="32000"/>
    <n v="22564"/>
    <x v="1"/>
  </r>
  <r>
    <n v="9"/>
    <x v="8"/>
    <s v="18 ေကာင္ပလန္ခ်ာအံု"/>
    <n v="1"/>
    <n v="20000"/>
    <n v="20000"/>
    <n v="16000"/>
    <x v="1"/>
  </r>
  <r>
    <n v="10"/>
    <x v="9"/>
    <s v="18 ေကာင္ ေကာ္နတင္း"/>
    <n v="1"/>
    <n v="15500"/>
    <n v="15500"/>
    <n v="11272"/>
    <x v="1"/>
  </r>
  <r>
    <n v="11"/>
    <x v="10"/>
    <s v="18 ေကာင္ ပန္႕ဒလက္အံု"/>
    <n v="1"/>
    <n v="6500"/>
    <n v="6500"/>
    <n v="4124"/>
    <x v="1"/>
  </r>
  <r>
    <n v="12"/>
    <x v="11"/>
    <s v="18ေကာင္ မိန္းဖလန္း"/>
    <n v="1"/>
    <n v="22000"/>
    <n v="22000"/>
    <n v="15000"/>
    <x v="1"/>
  </r>
  <r>
    <n v="13"/>
    <x v="12"/>
    <s v="ကင့္မရွပ္(ဘုၾကီး)ZS-1100/S-195"/>
    <n v="2"/>
    <n v="11500"/>
    <n v="11500"/>
    <n v="16764"/>
    <x v="1"/>
  </r>
  <r>
    <n v="14"/>
    <x v="13"/>
    <s v="18 ေကာင္ ေဖာ္လိုခြက္"/>
    <n v="5"/>
    <n v="2700"/>
    <n v="2700"/>
    <n v="7030"/>
    <x v="1"/>
  </r>
  <r>
    <n v="15"/>
    <x v="14"/>
    <s v="18ေကာင္ ပလန္ခ်ာအံု(CC)"/>
    <n v="2"/>
    <n v="20000"/>
    <n v="20000"/>
    <n v="31108"/>
    <x v="0"/>
  </r>
  <r>
    <n v="16"/>
    <x v="15"/>
    <s v="18ေကာင္ ျဖတ္ဘား"/>
    <n v="4"/>
    <n v="2000"/>
    <n v="2000"/>
    <n v="5200"/>
    <x v="1"/>
  </r>
  <r>
    <n v="17"/>
    <x v="16"/>
    <s v="18y စပိုက္တာေဘာဖံုးစံု"/>
    <n v="2"/>
    <n v="8000"/>
    <n v="8000"/>
    <n v="11000"/>
    <x v="1"/>
  </r>
  <r>
    <n v="18"/>
    <x v="17"/>
    <s v="ZL-18ေကာင္စလစ္ကစ္ဆက္"/>
    <n v="1"/>
    <n v="29000"/>
    <n v="29000"/>
    <n v="23000"/>
    <x v="1"/>
  </r>
  <r>
    <n v="19"/>
    <x v="18"/>
    <s v="18 ေကာင္အိတ္ေဇာဗူး"/>
    <n v="2"/>
    <n v="10000"/>
    <n v="10000"/>
    <n v="14600"/>
    <x v="1"/>
  </r>
  <r>
    <n v="20"/>
    <x v="19"/>
    <s v="18 ေကာင္ အဲယားဗူး "/>
    <n v="1"/>
    <n v="10000"/>
    <n v="10000"/>
    <n v="6200"/>
    <x v="1"/>
  </r>
  <r>
    <n v="21"/>
    <x v="20"/>
    <s v="18 ေကာင္အမ္းဖံုး"/>
    <n v="2"/>
    <n v="8500"/>
    <n v="8500"/>
    <n v="11100"/>
    <x v="0"/>
  </r>
  <r>
    <n v="22"/>
    <x v="21"/>
    <s v="ZL 18 ေကာင္ပစၥတင္"/>
    <n v="3"/>
    <n v="11500"/>
    <n v="11500"/>
    <n v="21900"/>
    <x v="0"/>
  </r>
  <r>
    <n v="23"/>
    <x v="22"/>
    <s v="18 ေကာင္ ေကာင္တာဝိတ္ ေအာက္"/>
    <n v="2"/>
    <n v="14500"/>
    <n v="14500"/>
    <n v="19000"/>
    <x v="1"/>
  </r>
  <r>
    <n v="24"/>
    <x v="23"/>
    <s v="18 အင္ဂ်င္ဝိုင္ပန္႔အံု"/>
    <n v="1"/>
    <n v="5500"/>
    <n v="5500"/>
    <n v="3600"/>
    <x v="0"/>
  </r>
  <r>
    <n v="25"/>
    <x v="24"/>
    <s v="18 ဂါဂ်ီပင္ဘြတ္"/>
    <n v="5"/>
    <n v="2300"/>
    <n v="2300"/>
    <n v="7675"/>
    <x v="1"/>
  </r>
  <r>
    <n v="26"/>
    <x v="25"/>
    <s v="16/18 ေရတိုင္ကီ"/>
    <n v="1"/>
    <n v="29000"/>
    <n v="29000"/>
    <n v="25000"/>
    <x v="1"/>
  </r>
  <r>
    <n v="27"/>
    <x v="26"/>
    <s v="22 ေကာင္ ဂတ္စကက္"/>
    <n v="10"/>
    <n v="1500"/>
    <n v="1500"/>
    <n v="8500"/>
    <x v="1"/>
  </r>
  <r>
    <n v="28"/>
    <x v="27"/>
    <s v="22/25 ေကာင္ ပလန္ခ်ာ"/>
    <n v="1"/>
    <n v="3500"/>
    <n v="3500"/>
    <n v="2500"/>
    <x v="1"/>
  </r>
  <r>
    <n v="29"/>
    <x v="28"/>
    <s v="22 ေကာင္ ပလန္ခ်ာေထာက္နတ္"/>
    <n v="52"/>
    <n v="200"/>
    <n v="200"/>
    <n v="4212"/>
    <x v="1"/>
  </r>
  <r>
    <n v="30"/>
    <x v="29"/>
    <s v="22 ေကာင္ ဂိတ္ျပ"/>
    <n v="4"/>
    <n v="1000"/>
    <n v="1000"/>
    <n v="2600"/>
    <x v="1"/>
  </r>
  <r>
    <n v="31"/>
    <x v="30"/>
    <s v="ပါကင္စံု ZS1110/1115 (JN)"/>
    <n v="4"/>
    <n v="2500"/>
    <n v="2500"/>
    <n v="7000"/>
    <x v="1"/>
  </r>
  <r>
    <n v="32"/>
    <x v="31"/>
    <s v="22 ေကာင္ထပ္ရိန္း Z-1110"/>
    <n v="8"/>
    <n v="3800"/>
    <n v="3800"/>
    <n v="21600"/>
    <x v="1"/>
  </r>
  <r>
    <n v="33"/>
    <x v="32"/>
    <s v="22 ေကာင္ ဖူးစေတာ့တံ(စံု)"/>
    <n v="3"/>
    <n v="1500"/>
    <n v="1500"/>
    <n v="2280"/>
    <x v="1"/>
  </r>
  <r>
    <n v="34"/>
    <x v="33"/>
    <s v="ဆီတိုင္ကီေသး အိုးေသး ခါးပတ္ရွင္ ပံုသစ္ ZS1110 CC"/>
    <n v="1"/>
    <n v="30000"/>
    <n v="30000"/>
    <n v="24285"/>
    <x v="0"/>
  </r>
  <r>
    <n v="35"/>
    <x v="34"/>
    <s v="22 ေကာင္ေရတိုင္ကီ(N)အဖုံး"/>
    <n v="1"/>
    <n v="1500"/>
    <n v="1500"/>
    <n v="1000"/>
    <x v="1"/>
  </r>
  <r>
    <n v="36"/>
    <x v="35"/>
    <s v="22 ေကာင္ဘားကြင္း"/>
    <n v="2"/>
    <n v="1300"/>
    <n v="1300"/>
    <n v="926"/>
    <x v="1"/>
  </r>
  <r>
    <n v="37"/>
    <x v="36"/>
    <s v="22 ေကာင္ဘားကြင္းေသး"/>
    <n v="5"/>
    <n v="800"/>
    <n v="800"/>
    <n v="2500"/>
    <x v="1"/>
  </r>
  <r>
    <n v="38"/>
    <x v="37"/>
    <s v="22 ေကာင္ေရတိုင္ဂီ"/>
    <n v="3"/>
    <n v="52000"/>
    <n v="52000"/>
    <n v="132000"/>
    <x v="1"/>
  </r>
  <r>
    <n v="39"/>
    <x v="38"/>
    <s v="S-1110 ဟက္ေရပိတ္"/>
    <n v="56"/>
    <n v="200"/>
    <n v="200"/>
    <n v="5600"/>
    <x v="1"/>
  </r>
  <r>
    <n v="40"/>
    <x v="39"/>
    <s v="22 ေကာင္စလစ္ကစ္ဆက္(JN)"/>
    <n v="1"/>
    <n v="47000"/>
    <n v="47000"/>
    <n v="42268"/>
    <x v="0"/>
  </r>
  <r>
    <n v="41"/>
    <x v="40"/>
    <s v="ေနာ္ဇယ္(4)ေပါက္ZS-1110/1115"/>
    <n v="14"/>
    <n v="7000"/>
    <n v="7000"/>
    <n v="78960"/>
    <x v="0"/>
  </r>
  <r>
    <n v="42"/>
    <x v="41"/>
    <s v="1110 ျဖတ္ဘား"/>
    <n v="4"/>
    <n v="2500"/>
    <n v="2500"/>
    <n v="6000"/>
    <x v="1"/>
  </r>
  <r>
    <n v="43"/>
    <x v="42"/>
    <s v="S-1110 ဟတ္ဘားအစံု"/>
    <n v="2"/>
    <n v="5500"/>
    <n v="5500"/>
    <n v="7000"/>
    <x v="1"/>
  </r>
  <r>
    <n v="44"/>
    <x v="43"/>
    <s v="22 ေကာင္ဘယ္ရင္(0.00)(JN)ZS-1110"/>
    <n v="10"/>
    <n v="1500"/>
    <n v="1500"/>
    <n v="9580"/>
    <x v="0"/>
  </r>
  <r>
    <n v="45"/>
    <x v="44"/>
    <s v="S-1110 ဂံဂ်ီပင္(JW)"/>
    <n v="2"/>
    <n v="3000"/>
    <n v="3000"/>
    <n v="3600"/>
    <x v="1"/>
  </r>
  <r>
    <n v="46"/>
    <x v="45"/>
    <s v="22 ေကာင္စလစ္(CC)ZS-1110"/>
    <n v="2"/>
    <n v="23000"/>
    <n v="23000"/>
    <n v="35970"/>
    <x v="0"/>
  </r>
  <r>
    <n v="47"/>
    <x v="46"/>
    <s v="22 ေကာင္ အိတ္ေဇာေဂါက္ (အနီ) "/>
    <n v="2"/>
    <n v="8000"/>
    <n v="8000"/>
    <n v="11000"/>
    <x v="1"/>
  </r>
  <r>
    <n v="48"/>
    <x v="47"/>
    <s v="22 ေကာင္ ကင့္မရွပ္"/>
    <n v="1"/>
    <n v="11000"/>
    <n v="11000"/>
    <n v="8200"/>
    <x v="1"/>
  </r>
  <r>
    <n v="49"/>
    <x v="48"/>
    <s v="22 ေကာင္ အိတ္ေဇာေဂါက္"/>
    <n v="1"/>
    <n v="9500"/>
    <n v="9500"/>
    <n v="7000"/>
    <x v="1"/>
  </r>
  <r>
    <n v="50"/>
    <x v="49"/>
    <s v="S-1110 ဟန္ဒယ္ေဂါက္"/>
    <n v="5"/>
    <n v="7000"/>
    <n v="7000"/>
    <n v="24150"/>
    <x v="1"/>
  </r>
  <r>
    <n v="51"/>
    <x v="50"/>
    <s v="22ေကာင္ ဘားဆက္စံု"/>
    <n v="1"/>
    <n v="7000"/>
    <n v="7000"/>
    <n v="4300"/>
    <x v="1"/>
  </r>
  <r>
    <n v="52"/>
    <x v="51"/>
    <s v="22 အိတ္ေဇာပါကင္"/>
    <n v="17"/>
    <n v="200"/>
    <n v="200"/>
    <n v="1632"/>
    <x v="1"/>
  </r>
  <r>
    <n v="53"/>
    <x v="52"/>
    <s v="22 ေကာင္ ကရိုင္း အလြတ္"/>
    <n v="2"/>
    <n v="75000"/>
    <n v="75000"/>
    <n v="130000"/>
    <x v="1"/>
  </r>
  <r>
    <n v="54"/>
    <x v="53"/>
    <s v="22 ေကာင္ ေကာ္နတင္း"/>
    <n v="5"/>
    <n v="17500"/>
    <n v="17500"/>
    <n v="68000"/>
    <x v="0"/>
  </r>
  <r>
    <n v="55"/>
    <x v="54"/>
    <s v="22 ေကာင္ ေနာ္ဇယ္အံု"/>
    <n v="1"/>
    <n v="16000"/>
    <n v="16000"/>
    <n v="9651"/>
    <x v="1"/>
  </r>
  <r>
    <n v="56"/>
    <x v="55"/>
    <s v="22 ေကာင္အင္ဂ်င္ဝိုင္ပန္႔အံု"/>
    <n v="5"/>
    <n v="7000"/>
    <n v="7000"/>
    <n v="25850"/>
    <x v="1"/>
  </r>
  <r>
    <n v="57"/>
    <x v="56"/>
    <s v="22 ေကာင္ ကီးစံုထုတ္"/>
    <n v="2"/>
    <n v="800"/>
    <n v="800"/>
    <n v="860"/>
    <x v="0"/>
  </r>
  <r>
    <n v="58"/>
    <x v="57"/>
    <s v="ဂါဂ်ီပင္ဘြတ္(ေၾကး)"/>
    <n v="2"/>
    <n v="2200"/>
    <n v="2200"/>
    <n v="2600"/>
    <x v="1"/>
  </r>
  <r>
    <n v="59"/>
    <x v="58"/>
    <s v="ေနာ္ဇယ္ပိုက္"/>
    <n v="7"/>
    <n v="2000"/>
    <n v="2000"/>
    <n v="7700"/>
    <x v="1"/>
  </r>
  <r>
    <n v="60"/>
    <x v="59"/>
    <s v="ဆီမိန္းပိုက္"/>
    <n v="1"/>
    <n v="1500"/>
    <n v="1500"/>
    <n v="734"/>
    <x v="1"/>
  </r>
  <r>
    <n v="61"/>
    <x v="60"/>
    <s v="22 ေကာင္း ဘားကီး+ဘားဖံုး_x000d__x000a_"/>
    <n v="2"/>
    <n v="500"/>
    <n v="500"/>
    <n v="418"/>
    <x v="1"/>
  </r>
  <r>
    <n v="62"/>
    <x v="61"/>
    <s v="22 ေကာင္ ဆီလည္ကြင္း"/>
    <n v="4"/>
    <n v="1800"/>
    <n v="1800"/>
    <n v="5400"/>
    <x v="0"/>
  </r>
  <r>
    <n v="63"/>
    <x v="62"/>
    <s v="22 ေကာင္ အင္ဂ်င္ဝိုင္ဘား(ရႈိက္ဘား)"/>
    <n v="4"/>
    <n v="2000"/>
    <n v="2000"/>
    <n v="1800"/>
    <x v="1"/>
  </r>
  <r>
    <n v="64"/>
    <x v="63"/>
    <s v="22 ေကာင္ အိတ္ေဇာေဂါက္"/>
    <n v="2"/>
    <n v="8000"/>
    <n v="8000"/>
    <n v="12120"/>
    <x v="0"/>
  </r>
  <r>
    <n v="65"/>
    <x v="64"/>
    <s v="22ေကာင္ ဟန္တယ္ဘြတ္"/>
    <n v="4"/>
    <n v="2000"/>
    <n v="2000"/>
    <n v="2800"/>
    <x v="1"/>
  </r>
  <r>
    <n v="66"/>
    <x v="65"/>
    <s v="22ေကာင္ ဝိုင္ပိုက္"/>
    <n v="2"/>
    <n v="1000"/>
    <n v="1000"/>
    <n v="1120"/>
    <x v="1"/>
  </r>
  <r>
    <n v="67"/>
    <x v="66"/>
    <s v="22 ေကာင္ေဘာေဂါက္"/>
    <n v="1"/>
    <n v="4500"/>
    <n v="4500"/>
    <n v="2390"/>
    <x v="0"/>
  </r>
  <r>
    <n v="68"/>
    <x v="67"/>
    <s v="22 ေကာင္ အိတ္ေဇာဗူး "/>
    <n v="2"/>
    <n v="10000"/>
    <n v="10000"/>
    <n v="14800"/>
    <x v="1"/>
  </r>
  <r>
    <n v="69"/>
    <x v="68"/>
    <s v="22 ေကာင္ ဒလီ ဝါရွာ"/>
    <n v="207"/>
    <n v="200"/>
    <n v="200"/>
    <n v="20700"/>
    <x v="1"/>
  </r>
  <r>
    <n v="70"/>
    <x v="69"/>
    <s v="22 ေကာင္တာဝိတ္ ေပၚ"/>
    <n v="1"/>
    <n v="10000"/>
    <n v="10000"/>
    <n v="6350"/>
    <x v="0"/>
  </r>
  <r>
    <n v="71"/>
    <x v="70"/>
    <s v="22 ေကာင္တာဝိတ္ ေအာက္"/>
    <n v="3"/>
    <n v="10000"/>
    <n v="10000"/>
    <n v="19050"/>
    <x v="0"/>
  </r>
  <r>
    <n v="72"/>
    <x v="71"/>
    <s v="ZL 18 ပစၥတင္ CC"/>
    <n v="1"/>
    <n v="11500"/>
    <n v="11500"/>
    <n v="7900"/>
    <x v="1"/>
  </r>
  <r>
    <n v="73"/>
    <x v="72"/>
    <s v="22 ဂါဗနာစေလာင္း"/>
    <n v="4"/>
    <n v="2500"/>
    <n v="2500"/>
    <n v="6800"/>
    <x v="1"/>
  </r>
  <r>
    <n v="74"/>
    <x v="73"/>
    <s v="22 ဂါဗနာ ေဘာေစ့"/>
    <n v="1"/>
    <n v="150"/>
    <n v="150"/>
    <n v="95"/>
    <x v="1"/>
  </r>
  <r>
    <n v="75"/>
    <x v="74"/>
    <s v="18ေကာင္ ဘယ္ဒင္"/>
    <n v="5"/>
    <n v="1500"/>
    <n v="1500"/>
    <n v="4750"/>
    <x v="1"/>
  </r>
  <r>
    <n v="76"/>
    <x v="75"/>
    <s v="22 ေကာင္ အဲယားေဂါက္"/>
    <n v="2"/>
    <n v="8000"/>
    <n v="8000"/>
    <n v="12000"/>
    <x v="1"/>
  </r>
  <r>
    <n v="77"/>
    <x v="76"/>
    <s v="22 ေကာင္စလစ္ကစ္ဆက္"/>
    <n v="1"/>
    <n v="43000"/>
    <n v="43000"/>
    <n v="32000"/>
    <x v="1"/>
  </r>
  <r>
    <n v="78"/>
    <x v="77"/>
    <s v="22ေကာင္ ဂါဗနာဂြ"/>
    <n v="4"/>
    <n v="2800"/>
    <n v="2800"/>
    <n v="7600"/>
    <x v="1"/>
  </r>
  <r>
    <n v="79"/>
    <x v="78"/>
    <s v="1110 JD အမ္းခံုစုံ"/>
    <n v="1"/>
    <n v="7500"/>
    <n v="7500"/>
    <n v="5800"/>
    <x v="1"/>
  </r>
  <r>
    <n v="80"/>
    <x v="79"/>
    <s v="22ေကာင္ ဂါဗနာဘြတ္ရွည္"/>
    <n v="15"/>
    <n v="700"/>
    <n v="700"/>
    <n v="3525"/>
    <x v="1"/>
  </r>
  <r>
    <n v="81"/>
    <x v="80"/>
    <s v="စေလာင္းေဘာ"/>
    <n v="6"/>
    <n v="1000"/>
    <n v="1000"/>
    <n v="3900"/>
    <x v="1"/>
  </r>
  <r>
    <n v="82"/>
    <x v="81"/>
    <s v="22 ေကာင္ S ပိုက္"/>
    <n v="12"/>
    <n v="1000"/>
    <n v="1000"/>
    <n v="7800"/>
    <x v="1"/>
  </r>
  <r>
    <n v="83"/>
    <x v="82"/>
    <s v="22 ေကာင္မိန္းေဘာ(6314)_x000d__x000a_"/>
    <n v="3"/>
    <n v="19000"/>
    <n v="19000"/>
    <n v="52500"/>
    <x v="1"/>
  </r>
  <r>
    <n v="84"/>
    <x v="83"/>
    <s v="22ေကာင္ဘားစပလိန္"/>
    <n v="4"/>
    <n v="1500"/>
    <n v="1500"/>
    <n v="3400"/>
    <x v="1"/>
  </r>
  <r>
    <n v="85"/>
    <x v="84"/>
    <s v="22 ေကာင္အမ္းဖုံး"/>
    <n v="1"/>
    <n v="8200"/>
    <n v="8200"/>
    <n v="5500"/>
    <x v="1"/>
  </r>
  <r>
    <n v="86"/>
    <x v="85"/>
    <s v="22ေကာင္ အမ္းခံုနတ္တိုင္"/>
    <n v="16"/>
    <n v="600"/>
    <n v="600"/>
    <n v="7200"/>
    <x v="1"/>
  </r>
  <r>
    <n v="87"/>
    <x v="86"/>
    <s v="22ေကာင္ ဆီမိန္းပိုက္"/>
    <n v="7"/>
    <n v="2200"/>
    <n v="2200"/>
    <n v="11025"/>
    <x v="0"/>
  </r>
  <r>
    <n v="88"/>
    <x v="87"/>
    <s v="22 ေကာင္ေနာ္ဇယ္ပိုက္"/>
    <n v="1"/>
    <n v="1500"/>
    <n v="1500"/>
    <n v="850"/>
    <x v="0"/>
  </r>
  <r>
    <n v="89"/>
    <x v="88"/>
    <s v="22ေကာင္ ဘားေထာက္"/>
    <n v="5"/>
    <n v="1500"/>
    <n v="1500"/>
    <n v="3250"/>
    <x v="1"/>
  </r>
  <r>
    <n v="90"/>
    <x v="89"/>
    <s v="22ေကာင္ ဟန္တယ္ဘြတ္(တြင္း)"/>
    <n v="3"/>
    <n v="1500"/>
    <n v="1500"/>
    <n v="2100"/>
    <x v="1"/>
  </r>
  <r>
    <n v="91"/>
    <x v="90"/>
    <s v="22 ဂတ္စကက္က်ယ္ "/>
    <n v="4"/>
    <n v="1500"/>
    <n v="1500"/>
    <n v="2760"/>
    <x v="1"/>
  </r>
  <r>
    <n v="92"/>
    <x v="91"/>
    <s v="22 ဂါဘနာဘြတ္"/>
    <n v="2"/>
    <n v="700"/>
    <n v="700"/>
    <n v="600"/>
    <x v="0"/>
  </r>
  <r>
    <n v="93"/>
    <x v="92"/>
    <s v="22 အမ္းဖံုး"/>
    <n v="1"/>
    <n v="8200"/>
    <n v="8200"/>
    <n v="5600"/>
    <x v="0"/>
  </r>
  <r>
    <n v="94"/>
    <x v="93"/>
    <s v="22 ေနာ္ဇယ္နားကပ္"/>
    <n v="7"/>
    <n v="300"/>
    <n v="300"/>
    <n v="1260"/>
    <x v="1"/>
  </r>
  <r>
    <n v="95"/>
    <x v="94"/>
    <s v="22/25 ေကာင္ပလန္ခ်ာ"/>
    <n v="11"/>
    <n v="5000"/>
    <n v="5000"/>
    <n v="42075"/>
    <x v="0"/>
  </r>
  <r>
    <n v="96"/>
    <x v="95"/>
    <s v="22 ေကာင္ ပစၥတင္"/>
    <n v="1"/>
    <n v="23000"/>
    <n v="23000"/>
    <n v="20156"/>
    <x v="0"/>
  </r>
  <r>
    <n v="97"/>
    <x v="96"/>
    <s v="22 ပလန္ခ်ာဆြဲနတ္"/>
    <n v="22"/>
    <n v="300"/>
    <n v="300"/>
    <n v="2684"/>
    <x v="1"/>
  </r>
  <r>
    <n v="98"/>
    <x v="97"/>
    <s v="22ပလန္ခ်ာအံုေထာက္နတ္"/>
    <n v="11"/>
    <n v="1500"/>
    <n v="1500"/>
    <n v="11000"/>
    <x v="1"/>
  </r>
  <r>
    <n v="99"/>
    <x v="98"/>
    <s v="22 ေကာင္ဂါဂ်ီပင္"/>
    <n v="3"/>
    <n v="3500"/>
    <n v="3500"/>
    <n v="6000"/>
    <x v="0"/>
  </r>
  <r>
    <n v="100"/>
    <x v="99"/>
    <s v="22 ေကာင္ စလစ္စီးကြင္း"/>
    <n v="7"/>
    <n v="200"/>
    <n v="200"/>
    <n v="700"/>
    <x v="0"/>
  </r>
  <r>
    <n v="101"/>
    <x v="100"/>
    <s v="DF ကလပ္စပလိန္"/>
    <n v="4"/>
    <n v="500"/>
    <n v="500"/>
    <n v="800"/>
    <x v="0"/>
  </r>
  <r>
    <n v="102"/>
    <x v="101"/>
    <s v="22 ဂါဘနာေဘာျခင္း"/>
    <n v="1"/>
    <n v="1500"/>
    <n v="1500"/>
    <n v="500"/>
    <x v="0"/>
  </r>
  <r>
    <n v="103"/>
    <x v="102"/>
    <s v="22 CC  ဘေလာက္အိုး"/>
    <n v="1"/>
    <n v="130000"/>
    <n v="130000"/>
    <n v="108000"/>
    <x v="1"/>
  </r>
  <r>
    <n v="104"/>
    <x v="103"/>
    <s v="22 ဘယ္ရင္(0-25)"/>
    <n v="1"/>
    <n v="1000"/>
    <n v="1000"/>
    <n v="550"/>
    <x v="1"/>
  </r>
  <r>
    <n v="105"/>
    <x v="104"/>
    <s v="22ေကာင္ ေရလည္ေရတိုင္ကီ"/>
    <n v="2"/>
    <n v="52000"/>
    <n v="52000"/>
    <n v="94000"/>
    <x v="1"/>
  </r>
  <r>
    <n v="106"/>
    <x v="105"/>
    <s v="22ေကာင္ ဆီတိုင္ကီ"/>
    <n v="1"/>
    <n v="35000"/>
    <n v="35000"/>
    <n v="29000"/>
    <x v="1"/>
  </r>
  <r>
    <n v="107"/>
    <x v="106"/>
    <s v="22 ေကာင္ 7×4 ပူလီ"/>
    <n v="3"/>
    <n v="9500"/>
    <n v="9500"/>
    <n v="24150"/>
    <x v="1"/>
  </r>
  <r>
    <n v="108"/>
    <x v="107"/>
    <s v="22 ေကာင္ 6×3 ပူလီ"/>
    <n v="1"/>
    <n v="11500"/>
    <n v="11500"/>
    <n v="6650"/>
    <x v="1"/>
  </r>
  <r>
    <n v="109"/>
    <x v="108"/>
    <s v="22 ေရလည္ပူလီ"/>
    <n v="5"/>
    <n v="8300"/>
    <n v="8300"/>
    <n v="26000"/>
    <x v="1"/>
  </r>
  <r>
    <n v="110"/>
    <x v="109"/>
    <s v="22 JD ဘားဆက္စံု"/>
    <n v="9"/>
    <n v="6000"/>
    <n v="6000"/>
    <n v="38700"/>
    <x v="1"/>
  </r>
  <r>
    <n v="111"/>
    <x v="110"/>
    <s v="22ေကာ္ေရေကာ္ဖံုး"/>
    <n v="2"/>
    <n v="2000"/>
    <n v="2000"/>
    <n v="1586"/>
    <x v="1"/>
  </r>
  <r>
    <n v="112"/>
    <x v="111"/>
    <s v="1110 လီဘာကိုင္းစံု"/>
    <n v="14"/>
    <n v="2000"/>
    <n v="2000"/>
    <n v="14000"/>
    <x v="1"/>
  </r>
  <r>
    <n v="113"/>
    <x v="112"/>
    <s v="22 ေကာင္ဟန္တယ္ဘြတ္"/>
    <n v="5"/>
    <n v="1500"/>
    <n v="1500"/>
    <n v="3750"/>
    <x v="1"/>
  </r>
  <r>
    <n v="114"/>
    <x v="113"/>
    <s v="22 ကင္းရွပ္ဘြတ္"/>
    <n v="6"/>
    <n v="1500"/>
    <n v="1500"/>
    <n v="4500"/>
    <x v="1"/>
  </r>
  <r>
    <n v="115"/>
    <x v="114"/>
    <s v="22 ဒီဇယ္ဖစ္တာ"/>
    <n v="8"/>
    <n v="800"/>
    <n v="800"/>
    <n v="2880"/>
    <x v="1"/>
  </r>
  <r>
    <n v="116"/>
    <x v="115"/>
    <s v="22 ဂါဗနာ ပင္နယံ"/>
    <n v="3"/>
    <n v="10000"/>
    <n v="10000"/>
    <n v="22230"/>
    <x v="1"/>
  </r>
  <r>
    <n v="117"/>
    <x v="116"/>
    <s v="22 ေကာင္ ဟက္"/>
    <n v="1"/>
    <n v="45000"/>
    <n v="45000"/>
    <n v="39500"/>
    <x v="1"/>
  </r>
  <r>
    <n v="118"/>
    <x v="117"/>
    <s v="22 ဟန္တယ္ဘြတ္ေသး"/>
    <n v="4"/>
    <n v="1500"/>
    <n v="1500"/>
    <n v="3000"/>
    <x v="1"/>
  </r>
  <r>
    <n v="119"/>
    <x v="118"/>
    <s v="22 ေကာ္နတင္း"/>
    <n v="3"/>
    <n v="22000"/>
    <n v="22000"/>
    <n v="54000"/>
    <x v="1"/>
  </r>
  <r>
    <n v="120"/>
    <x v="119"/>
    <s v="22 ပလန္ခ်ာေခါင္း"/>
    <n v="9"/>
    <n v="3000"/>
    <n v="3000"/>
    <n v="16200"/>
    <x v="1"/>
  </r>
  <r>
    <n v="121"/>
    <x v="120"/>
    <s v="22 အင္ဂ်င္ဝိုင္ၾကာခြက္"/>
    <n v="3"/>
    <n v="1700"/>
    <n v="1700"/>
    <n v="2280"/>
    <x v="1"/>
  </r>
  <r>
    <n v="122"/>
    <x v="121"/>
    <s v="22 CF အဲယားဗူး လည္ရွည္"/>
    <n v="2"/>
    <n v="13000"/>
    <n v="13000"/>
    <n v="17200"/>
    <x v="1"/>
  </r>
  <r>
    <n v="123"/>
    <x v="122"/>
    <s v="22 ေကာင္ကင့္မရွပ္ပီနယံ"/>
    <n v="1"/>
    <n v="7500"/>
    <n v="7500"/>
    <n v="5245"/>
    <x v="1"/>
  </r>
  <r>
    <n v="124"/>
    <x v="123"/>
    <s v="22 ေကာင္တာဝိတ္ပင္နယံ"/>
    <n v="3"/>
    <n v="4000"/>
    <n v="4000"/>
    <n v="6720"/>
    <x v="1"/>
  </r>
  <r>
    <n v="125"/>
    <x v="124"/>
    <s v="22ေကာင္ ကရိုင္းပင္နယံ"/>
    <n v="3"/>
    <n v="4000"/>
    <n v="4000"/>
    <n v="6150"/>
    <x v="1"/>
  </r>
  <r>
    <n v="126"/>
    <x v="125"/>
    <s v="22 အင္ဂ်င္ဝိုင္ပိုက္"/>
    <n v="9"/>
    <n v="1800"/>
    <n v="1800"/>
    <n v="6750"/>
    <x v="1"/>
  </r>
  <r>
    <n v="127"/>
    <x v="126"/>
    <s v="22 အင္ဂ်င္ဝိုင္တိုင္းတံ"/>
    <n v="5"/>
    <n v="500"/>
    <n v="500"/>
    <n v="1125"/>
    <x v="1"/>
  </r>
  <r>
    <n v="128"/>
    <x v="127"/>
    <s v="25 JD ဆီလည္ကြင္း"/>
    <n v="3"/>
    <n v="3000"/>
    <n v="3000"/>
    <n v="6000"/>
    <x v="0"/>
  </r>
  <r>
    <n v="129"/>
    <x v="128"/>
    <s v="22 ေကာ္နတင္နတ္(1စံု)"/>
    <n v="8"/>
    <n v="2000"/>
    <n v="2000"/>
    <n v="12000"/>
    <x v="1"/>
  </r>
  <r>
    <n v="130"/>
    <x v="129"/>
    <s v="22 ေနာ္ဇယ္ေအဂ်က္"/>
    <n v="10"/>
    <n v="2500"/>
    <n v="2500"/>
    <n v="17000"/>
    <x v="1"/>
  </r>
  <r>
    <n v="131"/>
    <x v="130"/>
    <s v="22 ပလန္ခ်ာစပလိန္"/>
    <n v="18"/>
    <n v="500"/>
    <n v="500"/>
    <n v="2880"/>
    <x v="1"/>
  </r>
  <r>
    <n v="132"/>
    <x v="131"/>
    <s v="22 ပလန္ခ်ာအတြင္းSet"/>
    <n v="5"/>
    <n v="6500"/>
    <n v="6500"/>
    <n v="16635"/>
    <x v="1"/>
  </r>
  <r>
    <n v="133"/>
    <x v="132"/>
    <s v="22 ေကာင္ 5X3 ပူလီ"/>
    <n v="3"/>
    <n v="15000"/>
    <n v="15000"/>
    <n v="30900"/>
    <x v="1"/>
  </r>
  <r>
    <n v="134"/>
    <x v="133"/>
    <s v="22ေကာင္ဆီတိုင္ကီ"/>
    <n v="1"/>
    <n v="40000"/>
    <n v="40000"/>
    <n v="32000"/>
    <x v="1"/>
  </r>
  <r>
    <n v="135"/>
    <x v="134"/>
    <s v="22 ေကာင္စလစ္ကစ္ဆက္စံု"/>
    <n v="1"/>
    <n v="49000"/>
    <n v="49000"/>
    <n v="43000"/>
    <x v="1"/>
  </r>
  <r>
    <n v="136"/>
    <x v="135"/>
    <s v="ပါကင္စံု(1110/1115)(JD)"/>
    <n v="4"/>
    <n v="2500"/>
    <n v="2500"/>
    <n v="7000"/>
    <x v="1"/>
  </r>
  <r>
    <n v="137"/>
    <x v="136"/>
    <s v="22 ေကာင္ 8×3ပူလီ"/>
    <n v="1"/>
    <n v="22000"/>
    <n v="22000"/>
    <n v="17750"/>
    <x v="1"/>
  </r>
  <r>
    <n v="138"/>
    <x v="137"/>
    <s v="22ေကာင္ အင္းလက္ေဂါက္(JD)"/>
    <n v="1"/>
    <n v="7500"/>
    <n v="7500"/>
    <n v="5000"/>
    <x v="1"/>
  </r>
  <r>
    <n v="139"/>
    <x v="138"/>
    <s v="22ေကာင္ ကရိုင္းေဘာ NJ(312)"/>
    <n v="2"/>
    <n v="15000"/>
    <n v="15000"/>
    <n v="27000"/>
    <x v="1"/>
  </r>
  <r>
    <n v="140"/>
    <x v="139"/>
    <s v="22ေကာင္ ဟက္JD"/>
    <n v="1"/>
    <n v="52000"/>
    <n v="52000"/>
    <n v="46500"/>
    <x v="1"/>
  </r>
  <r>
    <n v="141"/>
    <x v="140"/>
    <s v="22ေကာင္ အိတ္ေဇာဘူး(ေဒါက္ပါ)"/>
    <n v="1"/>
    <n v="12000"/>
    <n v="12000"/>
    <n v="9000"/>
    <x v="1"/>
  </r>
  <r>
    <n v="142"/>
    <x v="141"/>
    <s v="22ေကာင္ အဲယားပန္ကာအံု"/>
    <n v="1"/>
    <n v="34000"/>
    <n v="34000"/>
    <n v="29000"/>
    <x v="1"/>
  </r>
  <r>
    <n v="143"/>
    <x v="142"/>
    <s v="25ေကာင္ ကြန္နတင္း ဝါ(JD)"/>
    <n v="1"/>
    <n v="24000"/>
    <n v="24000"/>
    <n v="20000"/>
    <x v="1"/>
  </r>
  <r>
    <n v="144"/>
    <x v="143"/>
    <s v="22ေကာင္ ကစ္ဆက္(JD)"/>
    <n v="1"/>
    <n v="47000"/>
    <n v="47000"/>
    <n v="42500"/>
    <x v="1"/>
  </r>
  <r>
    <n v="145"/>
    <x v="144"/>
    <s v="22 ေကာင္ဘယ္ရင္ (0.00)(CC)"/>
    <n v="2"/>
    <n v="2000"/>
    <n v="2000"/>
    <n v="2832"/>
    <x v="0"/>
  </r>
  <r>
    <n v="146"/>
    <x v="145"/>
    <s v="22 ေကာင္ဂါဗနာရွပ္ S-195(JN)"/>
    <n v="8"/>
    <n v="2000"/>
    <n v="2000"/>
    <n v="9368"/>
    <x v="0"/>
  </r>
  <r>
    <n v="147"/>
    <x v="146"/>
    <s v="25 ေကာင္ အင္ဂ်င္ဝိုင္စစ္(JD)"/>
    <n v="9"/>
    <n v="1300"/>
    <n v="1300"/>
    <n v="5850"/>
    <x v="1"/>
  </r>
  <r>
    <n v="148"/>
    <x v="147"/>
    <s v="22 ဆီဖစ္တာဗူး"/>
    <n v="5"/>
    <n v="6000"/>
    <n v="6000"/>
    <n v="24000"/>
    <x v="1"/>
  </r>
  <r>
    <n v="149"/>
    <x v="148"/>
    <s v="22/25ေကာင္ ေနာ္ဇယ္အံု"/>
    <n v="2"/>
    <n v="18000"/>
    <n v="18000"/>
    <n v="27876"/>
    <x v="0"/>
  </r>
  <r>
    <n v="150"/>
    <x v="149"/>
    <s v="22 ေကာင္ ကရိုုင္းကစ္ခြက္"/>
    <n v="1"/>
    <n v="8000"/>
    <n v="8000"/>
    <n v="3100"/>
    <x v="0"/>
  </r>
  <r>
    <n v="151"/>
    <x v="150"/>
    <s v="22 ေနာ္ဇယ္အံုသံဘြတ္စိတ္"/>
    <n v="8"/>
    <n v="1500"/>
    <n v="1500"/>
    <n v="4000"/>
    <x v="1"/>
  </r>
  <r>
    <n v="152"/>
    <x v="151"/>
    <s v="22 ဟက္နတ္တိုင္ (1)"/>
    <n v="12"/>
    <n v="2500"/>
    <n v="2500"/>
    <n v="25800"/>
    <x v="1"/>
  </r>
  <r>
    <n v="153"/>
    <x v="152"/>
    <s v="22 ေကာင္တာဝိတ္အဖံုး"/>
    <n v="5"/>
    <n v="1500"/>
    <n v="1500"/>
    <n v="3250"/>
    <x v="1"/>
  </r>
  <r>
    <n v="154"/>
    <x v="153"/>
    <s v="1115 ကင့္ရွပ္အဖံုး"/>
    <n v="5"/>
    <n v="1500"/>
    <n v="1500"/>
    <n v="3250"/>
    <x v="1"/>
  </r>
  <r>
    <n v="155"/>
    <x v="154"/>
    <s v="22ေကာင္ ဆီတိုင္ကီ(ပံုသစ္)"/>
    <n v="1"/>
    <n v="40000"/>
    <n v="40000"/>
    <n v="28000"/>
    <x v="1"/>
  </r>
  <r>
    <n v="156"/>
    <x v="155"/>
    <s v="25ေကာင္ ဆီတိုင္ကီဖံုး(သံ)(JD)"/>
    <n v="3"/>
    <n v="1700"/>
    <n v="1700"/>
    <n v="2400"/>
    <x v="1"/>
  </r>
  <r>
    <n v="157"/>
    <x v="156"/>
    <s v="ZH-1115 ဆီတိုင္ကီဖံုး (ေကာ္) JW"/>
    <n v="1"/>
    <n v="800"/>
    <n v="800"/>
    <n v="441"/>
    <x v="1"/>
  </r>
  <r>
    <n v="158"/>
    <x v="157"/>
    <s v="25 ေကာင္ ဂတ္စကက္(S1115)"/>
    <n v="1"/>
    <n v="1200"/>
    <n v="1200"/>
    <n v="800"/>
    <x v="0"/>
  </r>
  <r>
    <n v="159"/>
    <x v="158"/>
    <s v="25 ေကာင္ရိန္း"/>
    <n v="2"/>
    <n v="5000"/>
    <n v="5000"/>
    <n v="6600"/>
    <x v="0"/>
  </r>
  <r>
    <n v="160"/>
    <x v="159"/>
    <s v="25 ေကာင္ ဂါဂ်ီပင္ဘြတ္(ေစာင္း)"/>
    <n v="4"/>
    <n v="1800"/>
    <n v="1800"/>
    <n v="5400"/>
    <x v="1"/>
  </r>
  <r>
    <n v="161"/>
    <x v="160"/>
    <s v="25 ေကာင္ ကရိူင္း"/>
    <n v="1"/>
    <n v="55000"/>
    <n v="55000"/>
    <n v="35465"/>
    <x v="1"/>
  </r>
  <r>
    <n v="162"/>
    <x v="161"/>
    <s v="25 ေကာင္ ထပ္ရိန္း"/>
    <n v="1"/>
    <n v="6000"/>
    <n v="6000"/>
    <n v="2484"/>
    <x v="1"/>
  </r>
  <r>
    <n v="163"/>
    <x v="162"/>
    <s v="25 ေကာင္ ဟက္ဘားစံု"/>
    <n v="6"/>
    <n v="5000"/>
    <n v="5000"/>
    <n v="18900"/>
    <x v="1"/>
  </r>
  <r>
    <n v="164"/>
    <x v="163"/>
    <s v="25 ေကာင္ဘယ္ဒင္(STD)"/>
    <n v="1"/>
    <n v="1200"/>
    <n v="1200"/>
    <n v="900"/>
    <x v="1"/>
  </r>
  <r>
    <n v="165"/>
    <x v="164"/>
    <s v="25ေကာင္ ကင့္မရွပ္"/>
    <n v="1"/>
    <n v="11500"/>
    <n v="11500"/>
    <n v="8500"/>
    <x v="1"/>
  </r>
  <r>
    <n v="166"/>
    <x v="165"/>
    <s v="22 ဆီျပန္ပိုက္"/>
    <n v="15"/>
    <n v="1000"/>
    <n v="1000"/>
    <n v="5850"/>
    <x v="1"/>
  </r>
  <r>
    <n v="167"/>
    <x v="166"/>
    <s v="EM 185 အင္ဂ်င္ဝိုင္ဖုံးေကာ္"/>
    <n v="20"/>
    <n v="500"/>
    <n v="500"/>
    <n v="7000"/>
    <x v="1"/>
  </r>
  <r>
    <n v="168"/>
    <x v="167"/>
    <s v="190 ကစ္ဆက္(10ေကာင္)"/>
    <n v="1"/>
    <n v="35000"/>
    <n v="35000"/>
    <n v="31000"/>
    <x v="1"/>
  </r>
  <r>
    <n v="169"/>
    <x v="168"/>
    <s v="190 ဂတ္စကတ္(10ေကာင္)"/>
    <n v="3"/>
    <n v="1200"/>
    <n v="1200"/>
    <n v="2100"/>
    <x v="1"/>
  </r>
  <r>
    <n v="170"/>
    <x v="169"/>
    <s v="195ဆီစစ္အမဲဝါရွာပါ"/>
    <n v="26"/>
    <n v="700"/>
    <n v="700"/>
    <n v="5720"/>
    <x v="1"/>
  </r>
  <r>
    <n v="171"/>
    <x v="170"/>
    <s v="S-195 ေနာ္ဇယ္ပင္ႀကီး (JW)"/>
    <n v="2"/>
    <n v="3800"/>
    <n v="3800"/>
    <n v="4700"/>
    <x v="1"/>
  </r>
  <r>
    <n v="172"/>
    <x v="171"/>
    <s v="195 ေနာ္ဇယ္အံု"/>
    <n v="6"/>
    <n v="15000"/>
    <n v="15000"/>
    <n v="57600"/>
    <x v="1"/>
  </r>
  <r>
    <n v="173"/>
    <x v="172"/>
    <s v="13 ေကာင္ ပစၥတင္"/>
    <n v="1"/>
    <n v="13000"/>
    <n v="13000"/>
    <n v="8075"/>
    <x v="1"/>
  </r>
  <r>
    <n v="174"/>
    <x v="173"/>
    <s v="7 Colors အလွမီးတန္း"/>
    <n v="2"/>
    <n v="2500"/>
    <n v="2500"/>
    <n v="2600"/>
    <x v="2"/>
  </r>
  <r>
    <n v="175"/>
    <x v="174"/>
    <s v="ဆိုင္ကယ္ ပလပ္ (ယိုး)"/>
    <n v="7"/>
    <n v="2500"/>
    <n v="2500"/>
    <n v="11550"/>
    <x v="2"/>
  </r>
  <r>
    <n v="176"/>
    <x v="175"/>
    <s v="ကူရွင္စံုလည္သာ"/>
    <n v="3"/>
    <n v="2600"/>
    <n v="2600"/>
    <n v="5550"/>
    <x v="2"/>
  </r>
  <r>
    <n v="177"/>
    <x v="176"/>
    <s v="ေလထိုးတံ စတီး"/>
    <n v="1"/>
    <n v="4500"/>
    <n v="4500"/>
    <n v="2800"/>
    <x v="2"/>
  </r>
  <r>
    <n v="178"/>
    <x v="177"/>
    <s v="LED မီးတန္းတို"/>
    <n v="83"/>
    <n v="700"/>
    <n v="700"/>
    <n v="41500"/>
    <x v="2"/>
  </r>
  <r>
    <n v="179"/>
    <x v="178"/>
    <s v="ဆီစစ္(2W)"/>
    <n v="1"/>
    <n v="400"/>
    <n v="400"/>
    <n v="300"/>
    <x v="2"/>
  </r>
  <r>
    <n v="180"/>
    <x v="179"/>
    <s v="ဆိုင္ကယ္ပလပ္ (China)"/>
    <n v="4"/>
    <n v="1500"/>
    <n v="1500"/>
    <n v="2000"/>
    <x v="2"/>
  </r>
  <r>
    <n v="181"/>
    <x v="180"/>
    <s v="PMLဦးထုပ္"/>
    <n v="2"/>
    <n v="8300"/>
    <n v="8300"/>
    <n v="9000"/>
    <x v="2"/>
  </r>
  <r>
    <n v="182"/>
    <x v="181"/>
    <s v="လူႀကီး လည္သာ"/>
    <n v="1"/>
    <n v="11000"/>
    <n v="11000"/>
    <n v="6800"/>
    <x v="2"/>
  </r>
  <r>
    <n v="183"/>
    <x v="182"/>
    <s v="ဘက္မွန္(Thai) နီကယ္"/>
    <n v="2"/>
    <n v="3000"/>
    <n v="3000"/>
    <n v="4200"/>
    <x v="2"/>
  </r>
  <r>
    <n v="184"/>
    <x v="183"/>
    <s v="ဘက္မွန္(Thai) အညိဳ"/>
    <n v="1"/>
    <n v="4500"/>
    <n v="4500"/>
    <n v="3200"/>
    <x v="2"/>
  </r>
  <r>
    <n v="185"/>
    <x v="184"/>
    <s v="ကူရွင္ေပ်ာက္က်ား"/>
    <n v="2"/>
    <n v="3000"/>
    <n v="3000"/>
    <n v="3600"/>
    <x v="2"/>
  </r>
  <r>
    <n v="186"/>
    <x v="185"/>
    <s v="ဆပ္ျပာမႈန္႔ 100 တန္"/>
    <n v="114"/>
    <n v="100"/>
    <n v="100"/>
    <n v="9918"/>
    <x v="1"/>
  </r>
  <r>
    <n v="187"/>
    <x v="186"/>
    <s v="ဆပ္ျပာမႈန္႔ 50 တန္"/>
    <n v="125"/>
    <n v="50"/>
    <n v="50"/>
    <n v="4750"/>
    <x v="1"/>
  </r>
  <r>
    <n v="188"/>
    <x v="187"/>
    <s v="ဆပ္ျပာမႈန္႔ 500 တန္"/>
    <n v="5"/>
    <n v="500"/>
    <n v="500"/>
    <n v="2200"/>
    <x v="1"/>
  </r>
  <r>
    <n v="189"/>
    <x v="188"/>
    <s v="6205 ေဘာ"/>
    <n v="1"/>
    <n v="2000"/>
    <n v="2000"/>
    <n v="1500"/>
    <x v="1"/>
  </r>
  <r>
    <n v="190"/>
    <x v="189"/>
    <s v="6005 CM"/>
    <n v="1"/>
    <n v="2300"/>
    <n v="2300"/>
    <n v="1800"/>
    <x v="1"/>
  </r>
  <r>
    <n v="191"/>
    <x v="190"/>
    <s v="6204 CM"/>
    <n v="6"/>
    <n v="2000"/>
    <n v="2000"/>
    <n v="9300"/>
    <x v="1"/>
  </r>
  <r>
    <n v="192"/>
    <x v="191"/>
    <s v="6300 CM"/>
    <n v="4"/>
    <n v="2000"/>
    <n v="2000"/>
    <n v="5600"/>
    <x v="1"/>
  </r>
  <r>
    <n v="193"/>
    <x v="192"/>
    <s v="1205 SKF"/>
    <n v="2"/>
    <n v="2500"/>
    <n v="2500"/>
    <n v="4000"/>
    <x v="1"/>
  </r>
  <r>
    <n v="194"/>
    <x v="193"/>
    <s v="6204 ဆီပိတ္"/>
    <n v="22"/>
    <n v="2000"/>
    <n v="2000"/>
    <n v="33000"/>
    <x v="1"/>
  </r>
  <r>
    <n v="195"/>
    <x v="194"/>
    <s v="6305 ေဘာ"/>
    <n v="3"/>
    <n v="3000"/>
    <n v="3000"/>
    <n v="6300"/>
    <x v="1"/>
  </r>
  <r>
    <n v="196"/>
    <x v="195"/>
    <s v="6304 ဆီပိတ္"/>
    <n v="29"/>
    <n v="2500"/>
    <n v="2500"/>
    <n v="50750"/>
    <x v="1"/>
  </r>
  <r>
    <n v="197"/>
    <x v="196"/>
    <s v="6004DD"/>
    <n v="8"/>
    <n v="2000"/>
    <n v="2000"/>
    <n v="12400"/>
    <x v="1"/>
  </r>
  <r>
    <n v="198"/>
    <x v="197"/>
    <s v="6210 ေဘာ"/>
    <n v="9"/>
    <n v="5000"/>
    <n v="5000"/>
    <n v="36000"/>
    <x v="1"/>
  </r>
  <r>
    <n v="199"/>
    <x v="198"/>
    <s v="30205 Japan"/>
    <n v="1"/>
    <n v="4500"/>
    <n v="4500"/>
    <n v="3500"/>
    <x v="1"/>
  </r>
  <r>
    <n v="200"/>
    <x v="199"/>
    <s v="6205 ဆီပိတ္(J)_x000d__x000a_"/>
    <n v="21"/>
    <n v="5000"/>
    <n v="5000"/>
    <n v="97650"/>
    <x v="1"/>
  </r>
  <r>
    <n v="201"/>
    <x v="200"/>
    <s v="6003DD"/>
    <n v="7"/>
    <n v="1500"/>
    <n v="1500"/>
    <n v="3500"/>
    <x v="1"/>
  </r>
  <r>
    <n v="202"/>
    <x v="201"/>
    <s v="32009 NSK"/>
    <n v="9"/>
    <n v="6000"/>
    <n v="6000"/>
    <n v="34650"/>
    <x v="1"/>
  </r>
  <r>
    <n v="203"/>
    <x v="202"/>
    <s v="209 ( Rolar)"/>
    <n v="1"/>
    <n v="5300"/>
    <n v="5300"/>
    <n v="4500"/>
    <x v="1"/>
  </r>
  <r>
    <n v="204"/>
    <x v="203"/>
    <s v="30205 ေဘာ"/>
    <n v="2"/>
    <n v="2000"/>
    <n v="2000"/>
    <n v="3100"/>
    <x v="1"/>
  </r>
  <r>
    <n v="205"/>
    <x v="204"/>
    <s v="6305ဆီပိတ္ (J)"/>
    <n v="4"/>
    <n v="6500"/>
    <n v="6500"/>
    <n v="23900"/>
    <x v="1"/>
  </r>
  <r>
    <n v="206"/>
    <x v="205"/>
    <s v="6306 ဆီပိတ္ (J)_x000d__x000a_"/>
    <n v="9"/>
    <n v="8500"/>
    <n v="8500"/>
    <n v="71550"/>
    <x v="1"/>
  </r>
  <r>
    <n v="207"/>
    <x v="206"/>
    <s v="6302 DD"/>
    <n v="10"/>
    <n v="1500"/>
    <n v="1500"/>
    <n v="10000"/>
    <x v="1"/>
  </r>
  <r>
    <n v="208"/>
    <x v="207"/>
    <s v="6208 DD(HCH)"/>
    <n v="8"/>
    <n v="7000"/>
    <n v="7000"/>
    <n v="52000"/>
    <x v="1"/>
  </r>
  <r>
    <n v="209"/>
    <x v="208"/>
    <s v="6001 2RS"/>
    <n v="12"/>
    <n v="2000"/>
    <n v="2000"/>
    <n v="18000"/>
    <x v="1"/>
  </r>
  <r>
    <n v="210"/>
    <x v="209"/>
    <s v="6203 ဆီပိတ္"/>
    <n v="2"/>
    <n v="1500"/>
    <n v="1500"/>
    <n v="1700"/>
    <x v="1"/>
  </r>
  <r>
    <n v="211"/>
    <x v="210"/>
    <s v="32008 ေဘာ"/>
    <n v="11"/>
    <n v="5000"/>
    <n v="5000"/>
    <n v="41250"/>
    <x v="1"/>
  </r>
  <r>
    <n v="212"/>
    <x v="211"/>
    <s v="6205 DD"/>
    <n v="22"/>
    <n v="2000"/>
    <n v="2000"/>
    <n v="33000"/>
    <x v="1"/>
  </r>
  <r>
    <n v="213"/>
    <x v="212"/>
    <s v="6305 DD"/>
    <n v="8"/>
    <n v="3500"/>
    <n v="3500"/>
    <n v="19600"/>
    <x v="1"/>
  </r>
  <r>
    <n v="214"/>
    <x v="213"/>
    <s v="6206 DD(J)"/>
    <n v="8"/>
    <n v="6000"/>
    <n v="6000"/>
    <n v="39800"/>
    <x v="1"/>
  </r>
  <r>
    <n v="215"/>
    <x v="214"/>
    <s v="6209 CM"/>
    <n v="1"/>
    <n v="6200"/>
    <n v="6200"/>
    <n v="6200"/>
    <x v="1"/>
  </r>
  <r>
    <n v="216"/>
    <x v="215"/>
    <s v="6203 CM"/>
    <n v="1"/>
    <n v="1800"/>
    <n v="1800"/>
    <n v="1350"/>
    <x v="1"/>
  </r>
  <r>
    <n v="217"/>
    <x v="216"/>
    <s v="6302 CM"/>
    <n v="4"/>
    <n v="2200"/>
    <n v="2200"/>
    <n v="6800"/>
    <x v="1"/>
  </r>
  <r>
    <n v="218"/>
    <x v="217"/>
    <s v="6308 CM"/>
    <n v="4"/>
    <n v="5500"/>
    <n v="5500"/>
    <n v="16000"/>
    <x v="1"/>
  </r>
  <r>
    <n v="219"/>
    <x v="218"/>
    <s v="6208 CM_x000d__x000a_"/>
    <n v="1"/>
    <n v="1700"/>
    <n v="1700"/>
    <n v="1200"/>
    <x v="1"/>
  </r>
  <r>
    <n v="220"/>
    <x v="219"/>
    <s v="6206 DD"/>
    <n v="8"/>
    <n v="3200"/>
    <n v="3200"/>
    <n v="19600"/>
    <x v="1"/>
  </r>
  <r>
    <n v="221"/>
    <x v="220"/>
    <s v="အက္စစ္ (1ပုလင္း)GR"/>
    <n v="13"/>
    <n v="2000"/>
    <n v="2000"/>
    <n v="18954"/>
    <x v="1"/>
  </r>
  <r>
    <n v="222"/>
    <x v="221"/>
    <s v="အက္စစ္ (4ပုလင္း)GR"/>
    <n v="10"/>
    <n v="5000"/>
    <n v="5000"/>
    <n v="35640"/>
    <x v="1"/>
  </r>
  <r>
    <n v="223"/>
    <x v="222"/>
    <s v="အက္စစ္ (9ပုလင္း)GR"/>
    <n v="3"/>
    <n v="8000"/>
    <n v="8000"/>
    <n v="19440"/>
    <x v="1"/>
  </r>
  <r>
    <n v="224"/>
    <x v="223"/>
    <s v="မိုးေရ (1L)"/>
    <n v="10"/>
    <n v="1000"/>
    <n v="1000"/>
    <n v="6920"/>
    <x v="1"/>
  </r>
  <r>
    <n v="225"/>
    <x v="224"/>
    <s v="ခဲေခါင္းၾကီး"/>
    <n v="17"/>
    <n v="1200"/>
    <n v="1200"/>
    <n v="15300"/>
    <x v="1"/>
  </r>
  <r>
    <n v="226"/>
    <x v="225"/>
    <s v="GS 40ZL"/>
    <n v="2"/>
    <n v="84000"/>
    <n v="84000"/>
    <n v="157192"/>
    <x v="1"/>
  </r>
  <r>
    <n v="227"/>
    <x v="226"/>
    <s v="GS 45L"/>
    <n v="2"/>
    <n v="110000"/>
    <n v="110000"/>
    <n v="183260"/>
    <x v="1"/>
  </r>
  <r>
    <n v="228"/>
    <x v="227"/>
    <s v="GS 50Z"/>
    <n v="1"/>
    <n v="126000"/>
    <n v="126000"/>
    <n v="105840"/>
    <x v="1"/>
  </r>
  <r>
    <n v="229"/>
    <x v="228"/>
    <s v="GS 70"/>
    <n v="2"/>
    <n v="137000"/>
    <n v="137000"/>
    <n v="240492"/>
    <x v="1"/>
  </r>
  <r>
    <n v="230"/>
    <x v="229"/>
    <s v="GS 100(တို)"/>
    <n v="1"/>
    <n v="155000"/>
    <n v="155000"/>
    <n v="132790"/>
    <x v="1"/>
  </r>
  <r>
    <n v="231"/>
    <x v="230"/>
    <s v="GS 100(ရွည္)"/>
    <n v="1"/>
    <n v="198000"/>
    <n v="198000"/>
    <n v="177576"/>
    <x v="1"/>
  </r>
  <r>
    <n v="232"/>
    <x v="231"/>
    <s v="GS 120"/>
    <n v="1"/>
    <n v="228000"/>
    <n v="228000"/>
    <n v="204428"/>
    <x v="1"/>
  </r>
  <r>
    <n v="233"/>
    <x v="232"/>
    <s v="RP NS40"/>
    <n v="6"/>
    <n v="54000"/>
    <n v="54000"/>
    <n v="279360"/>
    <x v="1"/>
  </r>
  <r>
    <n v="234"/>
    <x v="233"/>
    <s v="RP NS40ZL"/>
    <n v="3"/>
    <n v="65000"/>
    <n v="65000"/>
    <n v="173145"/>
    <x v="1"/>
  </r>
  <r>
    <n v="235"/>
    <x v="234"/>
    <s v="RP N70"/>
    <n v="2"/>
    <n v="115000"/>
    <n v="115000"/>
    <n v="196910"/>
    <x v="1"/>
  </r>
  <r>
    <n v="236"/>
    <x v="235"/>
    <s v="RP N100"/>
    <n v="4"/>
    <n v="162000"/>
    <n v="162000"/>
    <n v="566480"/>
    <x v="1"/>
  </r>
  <r>
    <n v="237"/>
    <x v="236"/>
    <s v="HRX N-35"/>
    <n v="1"/>
    <n v="46000"/>
    <n v="46000"/>
    <n v="35700"/>
    <x v="1"/>
  </r>
  <r>
    <n v="238"/>
    <x v="237"/>
    <s v="PR N70L"/>
    <n v="2"/>
    <n v="115000"/>
    <n v="115000"/>
    <n v="196910"/>
    <x v="1"/>
  </r>
  <r>
    <n v="239"/>
    <x v="238"/>
    <s v="28-42 ဂီယာေဘာက္ဘေလာက္(18-Y)DF"/>
    <n v="1"/>
    <n v="85000"/>
    <n v="85000"/>
    <n v="70552"/>
    <x v="0"/>
  </r>
  <r>
    <n v="240"/>
    <x v="239"/>
    <s v="2 ေပါက္ဓားသြား(တို)"/>
    <n v="10"/>
    <n v="1500"/>
    <n v="1500"/>
    <n v="9730"/>
    <x v="0"/>
  </r>
  <r>
    <n v="241"/>
    <x v="240"/>
    <s v="2 ေပါက္ဓာ။သြား(ရွည္)"/>
    <n v="57"/>
    <n v="2300"/>
    <n v="2300"/>
    <n v="69711"/>
    <x v="0"/>
  </r>
  <r>
    <n v="242"/>
    <x v="241"/>
    <s v="DF စက္ဖနပ္(1စံု)"/>
    <n v="7"/>
    <n v="18000"/>
    <n v="18000"/>
    <n v="66500"/>
    <x v="1"/>
  </r>
  <r>
    <n v="243"/>
    <x v="242"/>
    <s v="DF ခရင္းဂြစံု"/>
    <n v="1"/>
    <n v="33000"/>
    <n v="33000"/>
    <n v="25900"/>
    <x v="0"/>
  </r>
  <r>
    <n v="244"/>
    <x v="243"/>
    <s v="4 ေပါက္သံျပားဝိုင္း"/>
    <n v="5"/>
    <n v="6500"/>
    <n v="6500"/>
    <n v="19000"/>
    <x v="1"/>
  </r>
  <r>
    <n v="245"/>
    <x v="244"/>
    <s v="20-1 ကလပ္ျပား  DF"/>
    <n v="1"/>
    <n v="3000"/>
    <n v="3000"/>
    <n v="1950"/>
    <x v="0"/>
  </r>
  <r>
    <n v="246"/>
    <x v="245"/>
    <s v="DF ကလပ္စပလိန္ႀကီး"/>
    <n v="7"/>
    <n v="300"/>
    <n v="300"/>
    <n v="1015"/>
    <x v="0"/>
  </r>
  <r>
    <n v="247"/>
    <x v="246"/>
    <s v="DF ေပါင္ေဘာပိတ္(ထူ)"/>
    <n v="1"/>
    <n v="5000"/>
    <n v="5000"/>
    <n v="2700"/>
    <x v="0"/>
  </r>
  <r>
    <n v="248"/>
    <x v="247"/>
    <s v="DF 24 ဓါးတန္း အပြ"/>
    <n v="1"/>
    <n v="103800"/>
    <n v="103800"/>
    <n v="58000"/>
    <x v="0"/>
  </r>
  <r>
    <n v="249"/>
    <x v="248"/>
    <s v="DF ထြန္ခ်ိန္းအံု"/>
    <n v="1"/>
    <n v="30900"/>
    <n v="30900"/>
    <n v="16700"/>
    <x v="0"/>
  </r>
  <r>
    <n v="250"/>
    <x v="249"/>
    <s v="DF ဆိုက္ကလစ္ကြ"/>
    <n v="2"/>
    <n v="4200"/>
    <n v="4200"/>
    <n v="4600"/>
    <x v="0"/>
  </r>
  <r>
    <n v="251"/>
    <x v="250"/>
    <s v="ကလပ္ခ်ိန္းအံု(3P)"/>
    <n v="2"/>
    <n v="130000"/>
    <n v="130000"/>
    <n v="195820"/>
    <x v="0"/>
  </r>
  <r>
    <n v="252"/>
    <x v="251"/>
    <s v="DF ဆိုက္ကလပ္ ႏႈပ္ခမ္းေမႊး"/>
    <n v="5"/>
    <n v="4000"/>
    <n v="4000"/>
    <n v="14000"/>
    <x v="0"/>
  </r>
  <r>
    <n v="253"/>
    <x v="252"/>
    <s v="DF ဆိုက္ကလပ္သတ္ပင္"/>
    <n v="11"/>
    <n v="300"/>
    <n v="300"/>
    <n v="2200"/>
    <x v="0"/>
  </r>
  <r>
    <n v="254"/>
    <x v="253"/>
    <s v="DF ဖင္ထိုင္ စပလိန္"/>
    <n v="3"/>
    <n v="4000"/>
    <n v="4000"/>
    <n v="3000"/>
    <x v="0"/>
  </r>
  <r>
    <n v="255"/>
    <x v="254"/>
    <s v="DF နီကယ္ဖံုး+လိုင္းရွင္း"/>
    <n v="5"/>
    <n v="7500"/>
    <n v="7500"/>
    <n v="22500"/>
    <x v="0"/>
  </r>
  <r>
    <n v="256"/>
    <x v="255"/>
    <s v="ကလပ္အံုဆီလည္ကလစ္"/>
    <n v="19"/>
    <n v="500"/>
    <n v="500"/>
    <n v="4750"/>
    <x v="1"/>
  </r>
  <r>
    <n v="257"/>
    <x v="256"/>
    <s v="DF ဂီယာေပါက္ဆီလယ္ကြင္း"/>
    <n v="4"/>
    <n v="1500"/>
    <n v="1500"/>
    <n v="4340"/>
    <x v="1"/>
  </r>
  <r>
    <n v="258"/>
    <x v="257"/>
    <s v="400X8 တာယာ"/>
    <n v="3"/>
    <n v="17500"/>
    <n v="17500"/>
    <n v="33000"/>
    <x v="1"/>
  </r>
  <r>
    <n v="259"/>
    <x v="258"/>
    <s v="DF NO-23 ပင္နယံတိုက္ (37225)"/>
    <n v="1"/>
    <n v="24000"/>
    <n v="24000"/>
    <n v="15500"/>
    <x v="1"/>
  </r>
  <r>
    <n v="260"/>
    <x v="259"/>
    <s v="DF NO-26 ပင္နယံတိုက္ရွပ္တို"/>
    <n v="2"/>
    <n v="6000"/>
    <n v="6000"/>
    <n v="4200"/>
    <x v="1"/>
  </r>
  <r>
    <n v="261"/>
    <x v="260"/>
    <s v="DF  ပင္နယံတိုက္ရွပ္"/>
    <n v="2"/>
    <n v="3000"/>
    <n v="3000"/>
    <n v="3800"/>
    <x v="1"/>
  </r>
  <r>
    <n v="262"/>
    <x v="261"/>
    <s v="DF NO-17 ပင္နယံတိုက္ (37228)"/>
    <n v="1"/>
    <n v="12900"/>
    <n v="12900"/>
    <n v="5600"/>
    <x v="1"/>
  </r>
  <r>
    <n v="263"/>
    <x v="262"/>
    <s v="DF NO-36 ပင္နယံတိုက္ (37224)"/>
    <n v="1"/>
    <n v="22000"/>
    <n v="22000"/>
    <n v="18000"/>
    <x v="1"/>
  </r>
  <r>
    <n v="264"/>
    <x v="263"/>
    <s v="DF 47 ကလစ္အတြင္းကုပ္"/>
    <n v="3"/>
    <n v="200"/>
    <n v="200"/>
    <n v="180"/>
    <x v="1"/>
  </r>
  <r>
    <n v="265"/>
    <x v="264"/>
    <s v="DF ထရန္စဖာ (18စြယ္)"/>
    <n v="1"/>
    <n v="8500"/>
    <n v="8500"/>
    <n v="4445"/>
    <x v="1"/>
  </r>
  <r>
    <n v="266"/>
    <x v="265"/>
    <s v="DF ထရန္စဖာ (25စြယ္)"/>
    <n v="2"/>
    <n v="18500"/>
    <n v="18500"/>
    <n v="30000"/>
    <x v="1"/>
  </r>
  <r>
    <n v="267"/>
    <x v="266"/>
    <s v="DF ထရန္စဖာ (28စြယ္)"/>
    <n v="2"/>
    <n v="15600"/>
    <n v="15600"/>
    <n v="15570"/>
    <x v="1"/>
  </r>
  <r>
    <n v="268"/>
    <x v="267"/>
    <s v="DFခ်ိန္းဖံုးသံျပား"/>
    <n v="1"/>
    <n v="9600"/>
    <n v="9600"/>
    <n v="4600"/>
    <x v="0"/>
  </r>
  <r>
    <n v="269"/>
    <x v="268"/>
    <s v="လိုက္ဘီးရွပ္"/>
    <n v="5"/>
    <n v="4500"/>
    <n v="4500"/>
    <n v="8400"/>
    <x v="1"/>
  </r>
  <r>
    <n v="270"/>
    <x v="269"/>
    <s v="DFေပါင္ပင္နယံ (ရွပ္ႀကီး)"/>
    <n v="1"/>
    <n v="27000"/>
    <n v="27000"/>
    <n v="14000"/>
    <x v="0"/>
  </r>
  <r>
    <n v="271"/>
    <x v="270"/>
    <s v="DFကလပ္အံုဖံုး (3ေပါက္)ေကာ္"/>
    <n v="8"/>
    <n v="500"/>
    <n v="500"/>
    <n v="1600"/>
    <x v="1"/>
  </r>
  <r>
    <n v="272"/>
    <x v="271"/>
    <s v="DF ဆိုက္ကလပ္ႏႈတ္ခမ္းေမႊး"/>
    <n v="1"/>
    <n v="4500"/>
    <n v="4500"/>
    <n v="3500"/>
    <x v="1"/>
  </r>
  <r>
    <n v="273"/>
    <x v="272"/>
    <s v="DF ကလပ္နပ္သေရ"/>
    <n v="20"/>
    <n v="200"/>
    <n v="200"/>
    <n v="2000"/>
    <x v="1"/>
  </r>
  <r>
    <n v="274"/>
    <x v="273"/>
    <s v="DF ကလပ္အံုပူလီ 4လိုင္း"/>
    <n v="1"/>
    <n v="51600"/>
    <n v="51600"/>
    <n v="36500"/>
    <x v="1"/>
  </r>
  <r>
    <n v="275"/>
    <x v="274"/>
    <s v="DFကလပ္အံု စပလိန္"/>
    <n v="4"/>
    <n v="800"/>
    <n v="800"/>
    <n v="1760"/>
    <x v="1"/>
  </r>
  <r>
    <n v="276"/>
    <x v="275"/>
    <s v="DF ကလပ္ရွပ္နတ္ေခါင္း"/>
    <n v="18"/>
    <n v="400"/>
    <n v="400"/>
    <n v="3600"/>
    <x v="1"/>
  </r>
  <r>
    <n v="277"/>
    <x v="276"/>
    <s v="ေနာ္ဇယ္ေအဂ်က္ 6ေထာင့္"/>
    <n v="10"/>
    <n v="1000"/>
    <n v="1000"/>
    <n v="7000"/>
    <x v="1"/>
  </r>
  <r>
    <n v="278"/>
    <x v="277"/>
    <s v="DF အရစ္တံအမဘြတ္"/>
    <n v="3"/>
    <n v="3000"/>
    <n v="3000"/>
    <n v="7200"/>
    <x v="1"/>
  </r>
  <r>
    <n v="279"/>
    <x v="278"/>
    <s v="DF 18သြားဂဲကာသံျပား(ေနာက္ပိတ္)"/>
    <n v="2"/>
    <n v="12000"/>
    <n v="12000"/>
    <n v="17000"/>
    <x v="1"/>
  </r>
  <r>
    <n v="280"/>
    <x v="279"/>
    <s v="လိုက္ဘီး ဘြတ္ပါး"/>
    <n v="13"/>
    <n v="1000"/>
    <n v="1000"/>
    <n v="5590"/>
    <x v="1"/>
  </r>
  <r>
    <n v="281"/>
    <x v="280"/>
    <s v="DF 18သြားဂဲကာသေရျပား"/>
    <n v="1"/>
    <n v="8000"/>
    <n v="8000"/>
    <n v="5500"/>
    <x v="1"/>
  </r>
  <r>
    <n v="282"/>
    <x v="281"/>
    <s v="DF ကလပ္စပလိန္ေသး"/>
    <n v="38"/>
    <n v="150"/>
    <n v="150"/>
    <n v="1710"/>
    <x v="1"/>
  </r>
  <r>
    <n v="283"/>
    <x v="282"/>
    <s v="DF ဘီး စတပ္နပ္"/>
    <n v="33"/>
    <n v="500"/>
    <n v="500"/>
    <n v="8910"/>
    <x v="1"/>
  </r>
  <r>
    <n v="284"/>
    <x v="283"/>
    <s v="DF ထြန္ခံုဓါးခ်ိန္း"/>
    <n v="1"/>
    <n v="25200"/>
    <n v="25200"/>
    <n v="13500"/>
    <x v="1"/>
  </r>
  <r>
    <n v="285"/>
    <x v="284"/>
    <s v="DF လီဘာခလုပ္"/>
    <n v="6"/>
    <n v="4800"/>
    <n v="4800"/>
    <n v="12486"/>
    <x v="1"/>
  </r>
  <r>
    <n v="286"/>
    <x v="285"/>
    <s v="DFဖင္ထိုင္ ေလး(1စံု)"/>
    <n v="5"/>
    <n v="9600"/>
    <n v="9600"/>
    <n v="18500"/>
    <x v="1"/>
  </r>
  <r>
    <n v="287"/>
    <x v="286"/>
    <s v="DF 24သြားပုေလြရိုး"/>
    <n v="2"/>
    <n v="30000"/>
    <n v="30000"/>
    <n v="32000"/>
    <x v="1"/>
  </r>
  <r>
    <n v="288"/>
    <x v="287"/>
    <s v="DF ကလပ္ရွပ္ေဘာပိတ္ (အေပါက္ပါ)"/>
    <n v="3"/>
    <n v="5000"/>
    <n v="5000"/>
    <n v="10800"/>
    <x v="1"/>
  </r>
  <r>
    <n v="289"/>
    <x v="288"/>
    <s v="ကလပ္ဆြဲတံ(ေမာင္း)"/>
    <n v="5"/>
    <n v="1500"/>
    <n v="1500"/>
    <n v="4250"/>
    <x v="1"/>
  </r>
  <r>
    <n v="290"/>
    <x v="289"/>
    <s v="DFဂီယာဆက္တံ(နီကယ္ရွည္)"/>
    <n v="1"/>
    <n v="8500"/>
    <n v="8500"/>
    <n v="6500"/>
    <x v="1"/>
  </r>
  <r>
    <n v="291"/>
    <x v="290"/>
    <s v="DF ကလပ္ခ်ိန္းအံု"/>
    <n v="1"/>
    <n v="38000"/>
    <n v="38000"/>
    <n v="32000"/>
    <x v="1"/>
  </r>
  <r>
    <n v="292"/>
    <x v="291"/>
    <s v="DF ဆိုက္ကလပ္ႀကိဳး"/>
    <n v="2"/>
    <n v="1700"/>
    <n v="1700"/>
    <n v="2400"/>
    <x v="1"/>
  </r>
  <r>
    <n v="293"/>
    <x v="292"/>
    <s v="DF လက္ေမာင္း(1 စံု)"/>
    <n v="1"/>
    <n v="57600"/>
    <n v="57600"/>
    <n v="27000"/>
    <x v="1"/>
  </r>
  <r>
    <n v="294"/>
    <x v="293"/>
    <s v="DF နီကယ္ကိုင္း"/>
    <n v="2"/>
    <n v="8000"/>
    <n v="8000"/>
    <n v="9600"/>
    <x v="1"/>
  </r>
  <r>
    <n v="295"/>
    <x v="294"/>
    <s v="600X16 ပန္းႀကီး တာယာ+ကၽြတ္"/>
    <n v="1"/>
    <n v="80000"/>
    <n v="80000"/>
    <n v="52500"/>
    <x v="1"/>
  </r>
  <r>
    <n v="296"/>
    <x v="295"/>
    <s v="မွန္ေထာင္ လီဘာႀကိဳး"/>
    <n v="7"/>
    <n v="2000"/>
    <n v="2000"/>
    <n v="7700"/>
    <x v="1"/>
  </r>
  <r>
    <n v="297"/>
    <x v="296"/>
    <s v="မ/ထ ကလပ္ႀကိဳး"/>
    <n v="14"/>
    <n v="2000"/>
    <n v="2000"/>
    <n v="19530"/>
    <x v="1"/>
  </r>
  <r>
    <n v="298"/>
    <x v="297"/>
    <s v="ကလပ္ေမာင္း"/>
    <n v="36"/>
    <n v="800"/>
    <n v="800"/>
    <n v="12240"/>
    <x v="1"/>
  </r>
  <r>
    <n v="299"/>
    <x v="298"/>
    <s v="လ/ထ တိုက္ေရာ့အစံု"/>
    <n v="1"/>
    <n v="20000"/>
    <n v="20000"/>
    <n v="15000"/>
    <x v="1"/>
  </r>
  <r>
    <n v="300"/>
    <x v="299"/>
    <s v="မ/ထ တိုက္ေရာ့အစံု"/>
    <n v="1"/>
    <n v="27000"/>
    <n v="27000"/>
    <n v="22000"/>
    <x v="1"/>
  </r>
  <r>
    <n v="301"/>
    <x v="300"/>
    <s v="ဘရိတ္စပလိန္"/>
    <n v="2"/>
    <n v="500"/>
    <n v="500"/>
    <n v="700"/>
    <x v="1"/>
  </r>
  <r>
    <n v="302"/>
    <x v="301"/>
    <s v="လီဘာစပလိန္"/>
    <n v="27"/>
    <n v="500"/>
    <n v="500"/>
    <n v="5940"/>
    <x v="1"/>
  </r>
  <r>
    <n v="303"/>
    <x v="302"/>
    <s v="600X14 တာယာ+ကၽြတ္(YGN)"/>
    <n v="3"/>
    <n v="80000"/>
    <n v="80000"/>
    <n v="225000"/>
    <x v="1"/>
  </r>
  <r>
    <n v="304"/>
    <x v="303"/>
    <s v="DF ကလပ္ေဘာ (ေကာင္း)"/>
    <n v="1"/>
    <n v="2500"/>
    <n v="2500"/>
    <n v="1350"/>
    <x v="1"/>
  </r>
  <r>
    <n v="305"/>
    <x v="304"/>
    <s v="DF ကလပ္သံျပားအေပါက္ပါ"/>
    <n v="2"/>
    <n v="3200"/>
    <n v="3200"/>
    <n v="4560"/>
    <x v="1"/>
  </r>
  <r>
    <n v="306"/>
    <x v="305"/>
    <s v="DF ဘီးကီး"/>
    <n v="12"/>
    <n v="500"/>
    <n v="500"/>
    <n v="3360"/>
    <x v="1"/>
  </r>
  <r>
    <n v="307"/>
    <x v="306"/>
    <s v="600X14 ကၽြတ္"/>
    <n v="2"/>
    <n v="10000"/>
    <n v="10000"/>
    <n v="14000"/>
    <x v="1"/>
  </r>
  <r>
    <n v="308"/>
    <x v="307"/>
    <s v="600X14 ေဂြ_x000d__x000a__x000d__x000a_"/>
    <n v="2"/>
    <n v="25000"/>
    <n v="25000"/>
    <n v="36000"/>
    <x v="1"/>
  </r>
  <r>
    <n v="309"/>
    <x v="308"/>
    <s v="H ကေတာ့"/>
    <n v="1"/>
    <n v="7000"/>
    <n v="7000"/>
    <n v="5500"/>
    <x v="1"/>
  </r>
  <r>
    <n v="310"/>
    <x v="309"/>
    <s v="ဆိုက္ကလစ္ ေဘာဖံုး(3)ေပါက္"/>
    <n v="3"/>
    <n v="3600"/>
    <n v="3600"/>
    <n v="4500"/>
    <x v="1"/>
  </r>
  <r>
    <n v="311"/>
    <x v="310"/>
    <s v="လထ ဂီယာတံေနာက္ဆက္"/>
    <n v="2"/>
    <n v="7800"/>
    <n v="7800"/>
    <n v="7000"/>
    <x v="1"/>
  </r>
  <r>
    <n v="312"/>
    <x v="311"/>
    <s v="ဂီယာသီး "/>
    <n v="4"/>
    <n v="1400"/>
    <n v="1400"/>
    <n v="2000"/>
    <x v="1"/>
  </r>
  <r>
    <n v="313"/>
    <x v="312"/>
    <s v="DF NO-14 ရွပ္"/>
    <n v="2"/>
    <n v="10000"/>
    <n v="10000"/>
    <n v="16000"/>
    <x v="1"/>
  </r>
  <r>
    <n v="314"/>
    <x v="313"/>
    <s v="DF ခ်ိန္းဖံုးသံျပား"/>
    <n v="2"/>
    <n v="8500"/>
    <n v="8500"/>
    <n v="13000"/>
    <x v="1"/>
  </r>
  <r>
    <n v="315"/>
    <x v="314"/>
    <s v="DF ဆိုက္ကလပ္ပင္နီယံႀကီး27"/>
    <n v="2"/>
    <n v="10200"/>
    <n v="10200"/>
    <n v="13800"/>
    <x v="1"/>
  </r>
  <r>
    <n v="316"/>
    <x v="315"/>
    <s v="DF ဆိုက္ကလပ္ပင္နီယံႀကီး29"/>
    <n v="2"/>
    <n v="15000"/>
    <n v="15000"/>
    <n v="13800"/>
    <x v="1"/>
  </r>
  <r>
    <n v="317"/>
    <x v="316"/>
    <s v="DF ဆိုက္ကလပ္ပင္နီယံႀကီး35"/>
    <n v="1"/>
    <n v="14400"/>
    <n v="14400"/>
    <n v="6500"/>
    <x v="1"/>
  </r>
  <r>
    <n v="318"/>
    <x v="317"/>
    <s v="DF ဆိုက္ကလပ္ပင္နီယံေသး"/>
    <n v="6"/>
    <n v="10200"/>
    <n v="10200"/>
    <n v="28650"/>
    <x v="1"/>
  </r>
  <r>
    <n v="319"/>
    <x v="318"/>
    <s v="DF NO-56 ပင္နီယံ 35_x000d__x000a_"/>
    <n v="2"/>
    <n v="21600"/>
    <n v="21600"/>
    <n v="18200"/>
    <x v="1"/>
  </r>
  <r>
    <n v="320"/>
    <x v="319"/>
    <s v="DF NO-56 ပင္နီယံ 33_x000d__x000a_"/>
    <n v="1"/>
    <n v="24000"/>
    <n v="24000"/>
    <n v="12500"/>
    <x v="1"/>
  </r>
  <r>
    <n v="321"/>
    <x v="320"/>
    <s v="DF NO-56 ပင္နီယံ 16"/>
    <n v="2"/>
    <n v="13800"/>
    <n v="13800"/>
    <n v="13000"/>
    <x v="1"/>
  </r>
  <r>
    <n v="322"/>
    <x v="321"/>
    <s v="DF NO-56 ပင္နီယံ 18"/>
    <n v="2"/>
    <n v="16800"/>
    <n v="16800"/>
    <n v="15600"/>
    <x v="1"/>
  </r>
  <r>
    <n v="323"/>
    <x v="322"/>
    <s v="DF NO-56 ပင္နီယံ 20"/>
    <n v="1"/>
    <n v="10200"/>
    <n v="10200"/>
    <n v="6700"/>
    <x v="1"/>
  </r>
  <r>
    <n v="324"/>
    <x v="323"/>
    <s v="DF NO-56 ပင္နီယံ 28_x000d__x000a_"/>
    <n v="2"/>
    <n v="18900"/>
    <n v="18900"/>
    <n v="19000"/>
    <x v="1"/>
  </r>
  <r>
    <n v="325"/>
    <x v="324"/>
    <s v="DF NO-21 ပင္နီယံ 22_x000d__x000a_"/>
    <n v="1"/>
    <n v="14400"/>
    <n v="14400"/>
    <n v="6800"/>
    <x v="1"/>
  </r>
  <r>
    <n v="326"/>
    <x v="325"/>
    <s v="DF NO-21 ပင္နီယံ 28_x000d__x000a_"/>
    <n v="1"/>
    <n v="16200"/>
    <n v="16200"/>
    <n v="8200"/>
    <x v="1"/>
  </r>
  <r>
    <n v="327"/>
    <x v="326"/>
    <s v="DF NO-21 ပင္နီယံ 30_x000d__x000a__x000d__x000a_"/>
    <n v="1"/>
    <n v="17600"/>
    <n v="17600"/>
    <n v="8700"/>
    <x v="1"/>
  </r>
  <r>
    <n v="328"/>
    <x v="327"/>
    <s v="DF NO-48 ပင္နီယံေသး"/>
    <n v="2"/>
    <n v="8500"/>
    <n v="8500"/>
    <n v="13600"/>
    <x v="1"/>
  </r>
  <r>
    <n v="329"/>
    <x v="328"/>
    <s v="DF NO-48 ပင္နီယံႀကီး"/>
    <n v="3"/>
    <n v="19000"/>
    <n v="19000"/>
    <n v="48000"/>
    <x v="1"/>
  </r>
  <r>
    <n v="330"/>
    <x v="329"/>
    <s v="DF NO-20 ပင္နီယံေသး"/>
    <n v="3"/>
    <n v="14000"/>
    <n v="14000"/>
    <n v="27600"/>
    <x v="1"/>
  </r>
  <r>
    <n v="331"/>
    <x v="330"/>
    <s v="DF NO-20 ပင္နီယံႀကီး"/>
    <n v="2"/>
    <n v="12000"/>
    <n v="12000"/>
    <n v="11300"/>
    <x v="1"/>
  </r>
  <r>
    <n v="332"/>
    <x v="331"/>
    <s v="DF NO-16 ပင္နီယံႀကီး"/>
    <n v="2"/>
    <n v="16000"/>
    <n v="16000"/>
    <n v="24000"/>
    <x v="1"/>
  </r>
  <r>
    <n v="333"/>
    <x v="332"/>
    <s v="DF NO-15 ပင္နီယံႀကီး"/>
    <n v="2"/>
    <n v="13800"/>
    <n v="13800"/>
    <n v="12200"/>
    <x v="1"/>
  </r>
  <r>
    <n v="334"/>
    <x v="333"/>
    <s v="DF NO-49ပင္နီယံႀကီး"/>
    <n v="1"/>
    <n v="11000"/>
    <n v="11000"/>
    <n v="8000"/>
    <x v="1"/>
  </r>
  <r>
    <n v="335"/>
    <x v="334"/>
    <s v="DF NO-16 ရွပ္တိုပင္နီယံ(ေပါင္အံု)"/>
    <n v="2"/>
    <n v="12000"/>
    <n v="12000"/>
    <n v="11920"/>
    <x v="1"/>
  </r>
  <r>
    <n v="336"/>
    <x v="335"/>
    <s v="DF ကလပ္ခ်ိန္းအံုး 8 ေပါက္"/>
    <n v="1"/>
    <n v="3000"/>
    <n v="3000"/>
    <n v="1500"/>
    <x v="1"/>
  </r>
  <r>
    <n v="337"/>
    <x v="336"/>
    <s v="DF 3လံုးတိုက္ရွပ္ပိတ္2ေပါက္"/>
    <n v="2"/>
    <n v="700"/>
    <n v="700"/>
    <n v="520"/>
    <x v="1"/>
  </r>
  <r>
    <n v="338"/>
    <x v="337"/>
    <s v="DF NO-11 ေဘာပိတ္"/>
    <n v="1"/>
    <n v="6500"/>
    <n v="6500"/>
    <n v="5300"/>
    <x v="1"/>
  </r>
  <r>
    <n v="339"/>
    <x v="338"/>
    <s v="DF ေပါင္အံုေအာက္ပိတ္"/>
    <n v="3"/>
    <n v="8000"/>
    <n v="8000"/>
    <n v="16500"/>
    <x v="1"/>
  </r>
  <r>
    <n v="340"/>
    <x v="339"/>
    <s v="DF ကလပ္ရွပ္ဝါရွာ"/>
    <n v="8"/>
    <n v="150"/>
    <n v="150"/>
    <n v="560"/>
    <x v="1"/>
  </r>
  <r>
    <n v="341"/>
    <x v="340"/>
    <s v="DF NO-58 ဘြတ္က်ဥ္း"/>
    <n v="5"/>
    <n v="900"/>
    <n v="900"/>
    <n v="1750"/>
    <x v="1"/>
  </r>
  <r>
    <n v="342"/>
    <x v="341"/>
    <s v="DF ကလစ္လံုး"/>
    <n v="1"/>
    <n v="150"/>
    <n v="150"/>
    <n v="55"/>
    <x v="1"/>
  </r>
  <r>
    <n v="343"/>
    <x v="342"/>
    <s v="DF 5လံုးတိုက္ ရွပ္တို"/>
    <n v="6"/>
    <n v="6600"/>
    <n v="6600"/>
    <n v="18000"/>
    <x v="1"/>
  </r>
  <r>
    <n v="344"/>
    <x v="343"/>
    <s v="DF NO-16 ရွပ္တို ကလစ္"/>
    <n v="7"/>
    <n v="100"/>
    <n v="100"/>
    <n v="455"/>
    <x v="1"/>
  </r>
  <r>
    <n v="345"/>
    <x v="344"/>
    <s v="DF ေပါင္ ဖလမ္းထူ"/>
    <n v="2"/>
    <n v="4000"/>
    <n v="4000"/>
    <n v="4800"/>
    <x v="1"/>
  </r>
  <r>
    <n v="346"/>
    <x v="345"/>
    <s v="DF 209 ေဘာထိုင္ဖလမ္း"/>
    <n v="2"/>
    <n v="10800"/>
    <n v="10800"/>
    <n v="10000"/>
    <x v="1"/>
  </r>
  <r>
    <n v="347"/>
    <x v="346"/>
    <s v="DF 5လံုး 22 စြယ္ပင္နီယံ"/>
    <n v="3"/>
    <n v="10800"/>
    <n v="10800"/>
    <n v="15000"/>
    <x v="1"/>
  </r>
  <r>
    <n v="348"/>
    <x v="347"/>
    <s v="DF ပင္နီယံတိုက္ 25 စြယ္"/>
    <n v="2"/>
    <n v="7000"/>
    <n v="7000"/>
    <n v="11000"/>
    <x v="1"/>
  </r>
  <r>
    <n v="349"/>
    <x v="348"/>
    <s v="ကလပ္ခ်ိန္းပင္နီယံ 14"/>
    <n v="2"/>
    <n v="4800"/>
    <n v="4800"/>
    <n v="5600"/>
    <x v="1"/>
  </r>
  <r>
    <n v="350"/>
    <x v="349"/>
    <s v="ကလပ္ခ်ိန္းပင္နီယံ 16_x000d__x000a_"/>
    <n v="2"/>
    <n v="6000"/>
    <n v="6000"/>
    <n v="7600"/>
    <x v="1"/>
  </r>
  <r>
    <n v="351"/>
    <x v="350"/>
    <s v="ကလပ္ခ်ိန္းပင္နီယံ 18_x000d__x000a_"/>
    <n v="2"/>
    <n v="9600"/>
    <n v="9600"/>
    <n v="8200"/>
    <x v="1"/>
  </r>
  <r>
    <n v="352"/>
    <x v="351"/>
    <s v="ေပါင္ရွပ္"/>
    <n v="2"/>
    <n v="19800"/>
    <n v="19800"/>
    <n v="24000"/>
    <x v="1"/>
  </r>
  <r>
    <n v="353"/>
    <x v="352"/>
    <s v="DF ကလပ္ခ်ိန္းဘီး"/>
    <n v="1"/>
    <n v="3000"/>
    <n v="3000"/>
    <n v="2000"/>
    <x v="1"/>
  </r>
  <r>
    <n v="354"/>
    <x v="353"/>
    <s v="DF ကလပ္ရွပ္"/>
    <n v="1"/>
    <n v="14400"/>
    <n v="14400"/>
    <n v="9000"/>
    <x v="1"/>
  </r>
  <r>
    <n v="355"/>
    <x v="354"/>
    <s v="ကလပ္ဘြတ္ႀကီး"/>
    <n v="4"/>
    <n v="800"/>
    <n v="800"/>
    <n v="1420"/>
    <x v="1"/>
  </r>
  <r>
    <n v="356"/>
    <x v="355"/>
    <s v="DF ကလပ္ရွပ္ဘြတ္ေသး"/>
    <n v="2"/>
    <n v="1000"/>
    <n v="1000"/>
    <n v="1000"/>
    <x v="1"/>
  </r>
  <r>
    <n v="357"/>
    <x v="356"/>
    <s v="DF NO-3 ဖလမ္း"/>
    <n v="1"/>
    <n v="6600"/>
    <n v="6600"/>
    <n v="2800"/>
    <x v="1"/>
  </r>
  <r>
    <n v="358"/>
    <x v="357"/>
    <s v="DF သံုးလံုးတိုက္ လိပ္ပံုဖလမ္း"/>
    <n v="2"/>
    <n v="13500"/>
    <n v="13500"/>
    <n v="16000"/>
    <x v="1"/>
  </r>
  <r>
    <n v="359"/>
    <x v="358"/>
    <s v="DF ခ်ိန္းတိုက္ လိပ္ပံုဖလမ္း"/>
    <n v="1"/>
    <n v="3800"/>
    <n v="3800"/>
    <n v="2500"/>
    <x v="1"/>
  </r>
  <r>
    <n v="360"/>
    <x v="359"/>
    <s v="DF 5 လံုးတိုက္ လိပ္ပံုဖလမ္း"/>
    <n v="1"/>
    <n v="4000"/>
    <n v="4000"/>
    <n v="3100"/>
    <x v="1"/>
  </r>
  <r>
    <n v="361"/>
    <x v="360"/>
    <s v="ဂီယာဂြ 2/2တက္ဂြ"/>
    <n v="5"/>
    <n v="5200"/>
    <n v="5200"/>
    <n v="11355"/>
    <x v="1"/>
  </r>
  <r>
    <n v="362"/>
    <x v="361"/>
    <s v="DF အေႏွးအျမန္ ဂီယာဂြ"/>
    <n v="2"/>
    <n v="3000"/>
    <n v="3000"/>
    <n v="5000"/>
    <x v="1"/>
  </r>
  <r>
    <n v="363"/>
    <x v="362"/>
    <s v="DF ဂီယာရွပ္ေသး 3 လိုင္းစိတ္"/>
    <n v="2"/>
    <n v="2000"/>
    <n v="2000"/>
    <n v="1680"/>
    <x v="1"/>
  </r>
  <r>
    <n v="364"/>
    <x v="363"/>
    <s v="DF ဂီယာရွပ္ေသး 2လိုင္း"/>
    <n v="4"/>
    <n v="2400"/>
    <n v="2400"/>
    <n v="4000"/>
    <x v="1"/>
  </r>
  <r>
    <n v="365"/>
    <x v="364"/>
    <s v="ဂီယာဂြေဘာေစ႔"/>
    <n v="8"/>
    <n v="150"/>
    <n v="150"/>
    <n v="320"/>
    <x v="1"/>
  </r>
  <r>
    <n v="366"/>
    <x v="365"/>
    <s v="DF ဂီယာဂြ စပလိန္"/>
    <n v="10"/>
    <n v="150"/>
    <n v="150"/>
    <n v="550"/>
    <x v="1"/>
  </r>
  <r>
    <n v="367"/>
    <x v="366"/>
    <s v="DF ဆိုက္ကလပ္မ်က္မွန္ဝိုင္းစိထိုင္ပါ_x000d__x000a__x000d__x000a_"/>
    <n v="2"/>
    <n v="9600"/>
    <n v="9600"/>
    <n v="8100"/>
    <x v="1"/>
  </r>
  <r>
    <n v="368"/>
    <x v="367"/>
    <s v="DF ေပါင္ပင္နီယံႀကီး49စြယ္"/>
    <n v="2"/>
    <n v="18000"/>
    <n v="18000"/>
    <n v="21000"/>
    <x v="1"/>
  </r>
  <r>
    <n v="369"/>
    <x v="368"/>
    <s v="DF ေပါင္ပင္နီယံေသး40"/>
    <n v="1"/>
    <n v="13800"/>
    <n v="13800"/>
    <n v="6750"/>
    <x v="1"/>
  </r>
  <r>
    <n v="370"/>
    <x v="369"/>
    <s v="DF ေပါင္ပင္နီယံေသး32"/>
    <n v="6"/>
    <n v="13000"/>
    <n v="13000"/>
    <n v="48000"/>
    <x v="1"/>
  </r>
  <r>
    <n v="371"/>
    <x v="370"/>
    <s v="DF ေပါင္ပင္နီယံေသး31"/>
    <n v="4"/>
    <n v="13000"/>
    <n v="13000"/>
    <n v="32000"/>
    <x v="1"/>
  </r>
  <r>
    <n v="372"/>
    <x v="371"/>
    <s v="DF NO-61 ဘက္ပင္နီယံံ"/>
    <n v="1"/>
    <n v="12000"/>
    <n v="12000"/>
    <n v="5300"/>
    <x v="1"/>
  </r>
  <r>
    <n v="373"/>
    <x v="372"/>
    <s v="DF ဘက္ဘြတ္ ရွည္"/>
    <n v="3"/>
    <n v="900"/>
    <n v="900"/>
    <n v="1140"/>
    <x v="1"/>
  </r>
  <r>
    <n v="374"/>
    <x v="373"/>
    <s v="DF ဘက္ဘြတ္ တို"/>
    <n v="2"/>
    <n v="800"/>
    <n v="800"/>
    <n v="700"/>
    <x v="1"/>
  </r>
  <r>
    <n v="375"/>
    <x v="374"/>
    <s v="DF ဘက္ရွပ္"/>
    <n v="5"/>
    <n v="7200"/>
    <n v="7200"/>
    <n v="21000"/>
    <x v="1"/>
  </r>
  <r>
    <n v="376"/>
    <x v="375"/>
    <s v="DF ဘက္ရွပ္ ဝါရွာ"/>
    <n v="8"/>
    <n v="150"/>
    <n v="150"/>
    <n v="560"/>
    <x v="1"/>
  </r>
  <r>
    <n v="377"/>
    <x v="376"/>
    <s v="DF ဆိုက္ကလပ္ရွပ္"/>
    <n v="2"/>
    <n v="9600"/>
    <n v="9600"/>
    <n v="8600"/>
    <x v="1"/>
  </r>
  <r>
    <n v="378"/>
    <x v="377"/>
    <s v="DF NO-52 ရွပ္ႀကီး"/>
    <n v="1"/>
    <n v="11400"/>
    <n v="11400"/>
    <n v="5200"/>
    <x v="1"/>
  </r>
  <r>
    <n v="379"/>
    <x v="378"/>
    <s v="DF NO-52 ရွပ္ေသး"/>
    <n v="2"/>
    <n v="12600"/>
    <n v="12600"/>
    <n v="12400"/>
    <x v="1"/>
  </r>
  <r>
    <n v="380"/>
    <x v="379"/>
    <s v="DF 20t ဖင္ျပတ္"/>
    <n v="6"/>
    <n v="14000"/>
    <n v="14000"/>
    <n v="54000"/>
    <x v="1"/>
  </r>
  <r>
    <n v="381"/>
    <x v="380"/>
    <s v="DF ထယ္တင္ခ်နတ္(စံု)"/>
    <n v="5"/>
    <n v="4800"/>
    <n v="4800"/>
    <n v="12380"/>
    <x v="1"/>
  </r>
  <r>
    <n v="382"/>
    <x v="381"/>
    <s v="DF ဓါး ဂီယာအံု"/>
    <n v="1"/>
    <n v="27000"/>
    <n v="27000"/>
    <n v="14380"/>
    <x v="1"/>
  </r>
  <r>
    <n v="383"/>
    <x v="382"/>
    <s v="လိုက္ဘီးေဘာဖံုး"/>
    <n v="5"/>
    <n v="700"/>
    <n v="700"/>
    <n v="1500"/>
    <x v="0"/>
  </r>
  <r>
    <n v="384"/>
    <x v="383"/>
    <s v="DF ဆိုက္ စပလိန္ဖံုး"/>
    <n v="8"/>
    <n v="700"/>
    <n v="700"/>
    <n v="2800"/>
    <x v="1"/>
  </r>
  <r>
    <n v="385"/>
    <x v="384"/>
    <s v="DF ေနာက္ဘီးဆံု"/>
    <n v="3"/>
    <n v="19800"/>
    <n v="19800"/>
    <n v="29550"/>
    <x v="1"/>
  </r>
  <r>
    <n v="386"/>
    <x v="385"/>
    <s v="DF 24 ဂဲကာအဟိုက္ေသး"/>
    <n v="4"/>
    <n v="19200"/>
    <n v="19200"/>
    <n v="36000"/>
    <x v="1"/>
  </r>
  <r>
    <n v="387"/>
    <x v="386"/>
    <s v="DF လိုက္ဘီးနားရြက္ျပား(စံု)"/>
    <n v="4"/>
    <n v="7200"/>
    <n v="7200"/>
    <n v="12000"/>
    <x v="1"/>
  </r>
  <r>
    <n v="388"/>
    <x v="387"/>
    <s v="ထရန္စဖာဂီယာတံ"/>
    <n v="3"/>
    <n v="11400"/>
    <n v="11400"/>
    <n v="18000"/>
    <x v="1"/>
  </r>
  <r>
    <n v="389"/>
    <x v="388"/>
    <s v="DF ရႊံ႕ကာသံျပား"/>
    <n v="2"/>
    <n v="8700"/>
    <n v="8700"/>
    <n v="14040"/>
    <x v="1"/>
  </r>
  <r>
    <n v="390"/>
    <x v="389"/>
    <s v="အေႏွးအျမန္ဘြတ္"/>
    <n v="10"/>
    <n v="1500"/>
    <n v="1500"/>
    <n v="10000"/>
    <x v="1"/>
  </r>
  <r>
    <n v="391"/>
    <x v="390"/>
    <s v="DF မ်က္မွန္ဝိုင္းစီး(16-30-10)"/>
    <n v="10"/>
    <n v="400"/>
    <n v="400"/>
    <n v="2000"/>
    <x v="1"/>
  </r>
  <r>
    <n v="392"/>
    <x v="391"/>
    <s v="ဆိုက္ကလပ္စပလိန္(စံု)"/>
    <n v="11"/>
    <n v="1000"/>
    <n v="1000"/>
    <n v="5500"/>
    <x v="1"/>
  </r>
  <r>
    <n v="393"/>
    <x v="392"/>
    <s v="DF ေႏွးျမန္ေမာင္းတက္စံု(ေရႊကၽြဲ)"/>
    <n v="6"/>
    <n v="6000"/>
    <n v="6000"/>
    <n v="19800"/>
    <x v="1"/>
  </r>
  <r>
    <n v="394"/>
    <x v="393"/>
    <s v="DF ကလပ္ဆြဲတံေမာင္း"/>
    <n v="1"/>
    <n v="2500"/>
    <n v="2500"/>
    <n v="1600"/>
    <x v="1"/>
  </r>
  <r>
    <n v="395"/>
    <x v="394"/>
    <s v="DF ဖင္ထိုင္Uဘိုးေသး"/>
    <n v="8"/>
    <n v="600"/>
    <n v="600"/>
    <n v="2800"/>
    <x v="1"/>
  </r>
  <r>
    <n v="396"/>
    <x v="395"/>
    <s v="DF ကလပ္ဆြြဲတံစံု"/>
    <n v="4"/>
    <n v="10200"/>
    <n v="10200"/>
    <n v="20800"/>
    <x v="0"/>
  </r>
  <r>
    <n v="397"/>
    <x v="396"/>
    <s v="5 ပဲဂြ"/>
    <n v="20"/>
    <n v="1000"/>
    <n v="1000"/>
    <n v="10000"/>
    <x v="1"/>
  </r>
  <r>
    <n v="398"/>
    <x v="397"/>
    <s v="DF ဓါးဘြတ္"/>
    <n v="10"/>
    <n v="1800"/>
    <n v="1800"/>
    <n v="7000"/>
    <x v="1"/>
  </r>
  <r>
    <n v="399"/>
    <x v="398"/>
    <s v="DF ဓါးဝိုင္းစီး 50-72-12/5 "/>
    <n v="14"/>
    <n v="1200"/>
    <n v="1200"/>
    <n v="9310"/>
    <x v="1"/>
  </r>
  <r>
    <n v="400"/>
    <x v="399"/>
    <s v="DF လက္ကိုစြပ္"/>
    <n v="3"/>
    <n v="1200"/>
    <n v="1200"/>
    <n v="1500"/>
    <x v="1"/>
  </r>
  <r>
    <n v="401"/>
    <x v="400"/>
    <s v="DF ထြန္ေဒါက္သံေခ်ာင္း"/>
    <n v="4"/>
    <n v="3600"/>
    <n v="3600"/>
    <n v="6000"/>
    <x v="1"/>
  </r>
  <r>
    <n v="402"/>
    <x v="401"/>
    <s v="DF ဂီယာထိုးတံကြဲ"/>
    <n v="4"/>
    <n v="7200"/>
    <n v="7200"/>
    <n v="13200"/>
    <x v="1"/>
  </r>
  <r>
    <n v="403"/>
    <x v="402"/>
    <s v="DF ဂီယာတံပိတ္4ေပါက္ျပား"/>
    <n v="10"/>
    <n v="800"/>
    <n v="800"/>
    <n v="4000"/>
    <x v="1"/>
  </r>
  <r>
    <n v="404"/>
    <x v="403"/>
    <s v="DF ခ်ိန္းပင္နယံ 13T"/>
    <n v="1"/>
    <n v="16200"/>
    <n v="16200"/>
    <n v="7500"/>
    <x v="1"/>
  </r>
  <r>
    <n v="405"/>
    <x v="404"/>
    <s v="DF NO-50 ပင္နယံ 12 Y"/>
    <n v="1"/>
    <n v="16200"/>
    <n v="16200"/>
    <n v="8200"/>
    <x v="1"/>
  </r>
  <r>
    <n v="406"/>
    <x v="405"/>
    <s v="DF NO-50 ပင္နယံ 18 Y"/>
    <n v="1"/>
    <n v="29200"/>
    <n v="29200"/>
    <n v="11700"/>
    <x v="1"/>
  </r>
  <r>
    <n v="407"/>
    <x v="406"/>
    <s v="DF လိုက္ဘီးဝိုင္းစီး 25-47-5"/>
    <n v="10"/>
    <n v="800"/>
    <n v="800"/>
    <n v="4200"/>
    <x v="1"/>
  </r>
  <r>
    <n v="408"/>
    <x v="407"/>
    <s v="DF ခရင္းဂြအရစ္တံ"/>
    <n v="3"/>
    <n v="5000"/>
    <n v="5000"/>
    <n v="7200"/>
    <x v="1"/>
  </r>
  <r>
    <n v="409"/>
    <x v="408"/>
    <s v="DF ခရင္းဂြ အရစ္ဘြတ္"/>
    <n v="3"/>
    <n v="6500"/>
    <n v="6500"/>
    <n v="8400"/>
    <x v="1"/>
  </r>
  <r>
    <n v="410"/>
    <x v="409"/>
    <s v="DF ဖင္ထိုင္ခံုUဘိုးႀကီး(1စံု)"/>
    <n v="2"/>
    <n v="3000"/>
    <n v="3000"/>
    <n v="2700"/>
    <x v="1"/>
  </r>
  <r>
    <n v="411"/>
    <x v="410"/>
    <s v="DF ရင္အံု"/>
    <n v="1"/>
    <n v="50000"/>
    <n v="50000"/>
    <n v="35000"/>
    <x v="1"/>
  </r>
  <r>
    <n v="412"/>
    <x v="411"/>
    <s v="DF ဓါးခ်ိန္းေဒါက္(သံၾကြပ္)"/>
    <n v="3"/>
    <n v="20000"/>
    <n v="20000"/>
    <n v="49500"/>
    <x v="1"/>
  </r>
  <r>
    <n v="413"/>
    <x v="412"/>
    <s v="DF ေရယက္ခြာလြတ္"/>
    <n v="18"/>
    <n v="3800"/>
    <n v="3800"/>
    <n v="27000"/>
    <x v="1"/>
  </r>
  <r>
    <n v="414"/>
    <x v="413"/>
    <s v="DF ဆိုက္ကလပ္သံေခ်ာင္း"/>
    <n v="7"/>
    <n v="3000"/>
    <n v="3000"/>
    <n v="7000"/>
    <x v="1"/>
  </r>
  <r>
    <n v="415"/>
    <x v="414"/>
    <s v="DF ေလဘာႀကိဳး"/>
    <n v="20"/>
    <n v="1800"/>
    <n v="1800"/>
    <n v="16000"/>
    <x v="1"/>
  </r>
  <r>
    <n v="416"/>
    <x v="415"/>
    <s v="DF ဆိုက္ကလပ္ပင္နယံစံု"/>
    <n v="2"/>
    <n v="44000"/>
    <n v="44000"/>
    <n v="48000"/>
    <x v="1"/>
  </r>
  <r>
    <n v="417"/>
    <x v="416"/>
    <s v="DF ကလပ္မားကက္"/>
    <n v="4"/>
    <n v="7200"/>
    <n v="7200"/>
    <n v="14140"/>
    <x v="1"/>
  </r>
  <r>
    <n v="418"/>
    <x v="417"/>
    <s v="DF NO-55 ေဘာစံေတာင့္"/>
    <n v="2"/>
    <n v="7800"/>
    <n v="7800"/>
    <n v="7000"/>
    <x v="0"/>
  </r>
  <r>
    <n v="419"/>
    <x v="418"/>
    <s v="DF ေရႊကၽြဲဓါးခ်ိန္း 50 က်ဲ"/>
    <n v="2"/>
    <n v="29500"/>
    <n v="29500"/>
    <n v="45000"/>
    <x v="1"/>
  </r>
  <r>
    <n v="420"/>
    <x v="419"/>
    <s v="DF အလယ္ဆြဲဓါးခ်ိန္း"/>
    <n v="2"/>
    <n v="25500"/>
    <n v="25500"/>
    <n v="33000"/>
    <x v="1"/>
  </r>
  <r>
    <n v="421"/>
    <x v="420"/>
    <s v="DF အလယ္ဆြဲခ်ိန္းဆက္"/>
    <n v="5"/>
    <n v="5400"/>
    <n v="5400"/>
    <n v="10000"/>
    <x v="1"/>
  </r>
  <r>
    <n v="422"/>
    <x v="421"/>
    <s v="400X8 တာယာ (Solid)"/>
    <n v="1"/>
    <n v="9500"/>
    <n v="9500"/>
    <n v="6200"/>
    <x v="1"/>
  </r>
  <r>
    <n v="423"/>
    <x v="422"/>
    <s v="DF NO-55 ဘြတ္(37137)"/>
    <n v="6"/>
    <n v="2000"/>
    <n v="2000"/>
    <n v="6300"/>
    <x v="1"/>
  </r>
  <r>
    <n v="424"/>
    <x v="423"/>
    <s v="DF ခ်ိန္းကာ သားေရပါကင္"/>
    <n v="12"/>
    <n v="1500"/>
    <n v="1500"/>
    <n v="7800"/>
    <x v="1"/>
  </r>
  <r>
    <n v="425"/>
    <x v="424"/>
    <s v="DF ရွပ္ႀကီးဖလန္း(စိမ္း)"/>
    <n v="2"/>
    <n v="24000"/>
    <n v="24000"/>
    <n v="33000"/>
    <x v="1"/>
  </r>
  <r>
    <n v="426"/>
    <x v="425"/>
    <s v="DF ရွပ္ေသး ဖလန္း(စိမ္း)"/>
    <n v="4"/>
    <n v="22000"/>
    <n v="22000"/>
    <n v="88000"/>
    <x v="1"/>
  </r>
  <r>
    <n v="427"/>
    <x v="426"/>
    <s v="DF ထရန္စဖာအံု အတက္"/>
    <n v="1"/>
    <n v="9600"/>
    <n v="9600"/>
    <n v="5851"/>
    <x v="1"/>
  </r>
  <r>
    <n v="428"/>
    <x v="427"/>
    <s v="DF ဂီယာေပါက္ပါကင္စံု"/>
    <n v="2"/>
    <n v="2500"/>
    <n v="2500"/>
    <n v="3400"/>
    <x v="1"/>
  </r>
  <r>
    <n v="429"/>
    <x v="428"/>
    <s v="DF 18/20Y စပိုက္တာစံု"/>
    <n v="3"/>
    <n v="80000"/>
    <n v="80000"/>
    <n v="194001"/>
    <x v="1"/>
  </r>
  <r>
    <n v="430"/>
    <x v="429"/>
    <s v="DF NO-2 37စြယ္ထြန္ခံု"/>
    <n v="1"/>
    <n v="22800"/>
    <n v="22800"/>
    <n v="11445"/>
    <x v="1"/>
  </r>
  <r>
    <n v="431"/>
    <x v="430"/>
    <s v="DF NO-2 38စြယ္ထြန္ခံု"/>
    <n v="1"/>
    <n v="22800"/>
    <n v="22800"/>
    <n v="11445"/>
    <x v="1"/>
  </r>
  <r>
    <n v="432"/>
    <x v="431"/>
    <s v="DF ဖလိန္Uဘိုး (ေလးေဒါင့္)"/>
    <n v="6"/>
    <n v="9600"/>
    <n v="9600"/>
    <n v="24030"/>
    <x v="1"/>
  </r>
  <r>
    <n v="433"/>
    <x v="432"/>
    <s v="DF 5ေပါက္ ေပါင္ရွပ္"/>
    <n v="1"/>
    <n v="34200"/>
    <n v="34200"/>
    <n v="25000"/>
    <x v="1"/>
  </r>
  <r>
    <n v="434"/>
    <x v="433"/>
    <s v="2 ေပါက္ဓါးသြားတို"/>
    <n v="14"/>
    <n v="2500"/>
    <n v="2500"/>
    <n v="19334"/>
    <x v="1"/>
  </r>
  <r>
    <n v="435"/>
    <x v="434"/>
    <s v="6မူးခါးဆက္ယူဘိုး"/>
    <n v="4"/>
    <n v="4500"/>
    <n v="4500"/>
    <n v="10200"/>
    <x v="1"/>
  </r>
  <r>
    <n v="436"/>
    <x v="435"/>
    <s v="DF NO-51 ပင္နယံ"/>
    <n v="1"/>
    <n v="14000"/>
    <n v="14000"/>
    <n v="6244"/>
    <x v="1"/>
  </r>
  <r>
    <n v="437"/>
    <x v="436"/>
    <s v="3မတ္ ဘူးသီးပံုယူဘိုး"/>
    <n v="6"/>
    <n v="8000"/>
    <n v="8000"/>
    <n v="33000"/>
    <x v="1"/>
  </r>
  <r>
    <n v="438"/>
    <x v="437"/>
    <s v="Toyo ဆိုက္ကလပ္ဂြ(အေသး)"/>
    <n v="2"/>
    <n v="9000"/>
    <n v="9000"/>
    <n v="14000"/>
    <x v="1"/>
  </r>
  <r>
    <n v="439"/>
    <x v="438"/>
    <s v="DFထယ္ကိုင္္းထိုးတန္းပါ"/>
    <n v="1"/>
    <n v="77000"/>
    <n v="77000"/>
    <n v="62000"/>
    <x v="1"/>
  </r>
  <r>
    <n v="440"/>
    <x v="439"/>
    <s v="တိုက္ေရာ့သီး လ/ထ"/>
    <n v="1"/>
    <n v="12000"/>
    <n v="12000"/>
    <n v="8500"/>
    <x v="1"/>
  </r>
  <r>
    <n v="441"/>
    <x v="440"/>
    <s v="တိုက္ေရာ့သီး မ/ထ"/>
    <n v="2"/>
    <n v="15000"/>
    <n v="15000"/>
    <n v="22000"/>
    <x v="1"/>
  </r>
  <r>
    <n v="442"/>
    <x v="441"/>
    <s v="လ/ထ ဂီယာတံအရစ္ပါ"/>
    <n v="1"/>
    <n v="4800"/>
    <n v="4800"/>
    <n v="2800"/>
    <x v="1"/>
  </r>
  <r>
    <n v="443"/>
    <x v="442"/>
    <s v="ဂီယာေဘာက္ 62ဘြတ္"/>
    <n v="6"/>
    <n v="1000"/>
    <n v="1000"/>
    <n v="2700"/>
    <x v="1"/>
  </r>
  <r>
    <n v="444"/>
    <x v="443"/>
    <s v="ဂီယာေဘာက္63ဘြတ္"/>
    <n v="10"/>
    <n v="500"/>
    <n v="500"/>
    <n v="2500"/>
    <x v="1"/>
  </r>
  <r>
    <n v="445"/>
    <x v="444"/>
    <s v="DF ဘီးဖလန္းအထူ"/>
    <n v="1"/>
    <n v="18000"/>
    <n v="18000"/>
    <n v="11500"/>
    <x v="1"/>
  </r>
  <r>
    <n v="446"/>
    <x v="445"/>
    <s v="DF ထရန္စဖာပင္နယံ 18"/>
    <n v="2"/>
    <n v="10200"/>
    <n v="10200"/>
    <n v="8890"/>
    <x v="1"/>
  </r>
  <r>
    <n v="447"/>
    <x v="446"/>
    <s v="DF ထရန္စဖာပင္နယံ 25"/>
    <n v="2"/>
    <n v="12000"/>
    <n v="12000"/>
    <n v="10740"/>
    <x v="1"/>
  </r>
  <r>
    <n v="448"/>
    <x v="447"/>
    <s v="DF ထရန္စဖာပင္နယံ28"/>
    <n v="2"/>
    <n v="22000"/>
    <n v="22000"/>
    <n v="36000"/>
    <x v="1"/>
  </r>
  <r>
    <n v="449"/>
    <x v="448"/>
    <s v="DF ဓါးခ်ိန္းပင္နယံ 12စြယ္"/>
    <n v="1"/>
    <n v="14400"/>
    <n v="14400"/>
    <n v="7160"/>
    <x v="1"/>
  </r>
  <r>
    <n v="450"/>
    <x v="449"/>
    <s v="Mono (40)HD (5 Liters)"/>
    <n v="1"/>
    <n v="23000"/>
    <n v="23000"/>
    <n v="17500"/>
    <x v="3"/>
  </r>
  <r>
    <n v="451"/>
    <x v="450"/>
    <s v="20 W 50  (5+ 1L)"/>
    <n v="1"/>
    <n v="26300"/>
    <n v="26300"/>
    <n v="23940"/>
    <x v="3"/>
  </r>
  <r>
    <n v="452"/>
    <x v="451"/>
    <s v="4T (1.5L)"/>
    <n v="2"/>
    <n v="6500"/>
    <n v="6500"/>
    <n v="11700"/>
    <x v="3"/>
  </r>
  <r>
    <n v="453"/>
    <x v="452"/>
    <s v="2T"/>
    <n v="1"/>
    <n v="4000"/>
    <n v="4000"/>
    <n v="1800"/>
    <x v="3"/>
  </r>
  <r>
    <n v="454"/>
    <x v="453"/>
    <s v="20W/50(5 L)"/>
    <n v="2"/>
    <n v="22500"/>
    <n v="22500"/>
    <n v="38700"/>
    <x v="3"/>
  </r>
  <r>
    <n v="455"/>
    <x v="454"/>
    <s v="ေနာ္ဇယ္ EH-36M"/>
    <n v="5"/>
    <n v="18000"/>
    <n v="18000"/>
    <n v="43500"/>
    <x v="1"/>
  </r>
  <r>
    <n v="456"/>
    <x v="455"/>
    <s v="ပလန္ခ်ာ X105(Y) EH-36M (CC)"/>
    <n v="4"/>
    <n v="15000"/>
    <n v="15000"/>
    <n v="27600"/>
    <x v="1"/>
  </r>
  <r>
    <n v="457"/>
    <x v="456"/>
    <s v="ဂတ္စကက္ HS-400 (CC)"/>
    <n v="5"/>
    <n v="4000"/>
    <n v="4000"/>
    <n v="6000"/>
    <x v="1"/>
  </r>
  <r>
    <n v="458"/>
    <x v="457"/>
    <s v="ေနာ္ဇယ္ /Nozzle Pair HS400"/>
    <n v="4"/>
    <n v="18000"/>
    <n v="18000"/>
    <n v="34800"/>
    <x v="1"/>
  </r>
  <r>
    <n v="459"/>
    <x v="458"/>
    <s v="ပလန္ခ်ာ/ Plunger (145A) HS400(CC)"/>
    <n v="1"/>
    <n v="15000"/>
    <n v="15000"/>
    <n v="7500"/>
    <x v="1"/>
  </r>
  <r>
    <n v="460"/>
    <x v="459"/>
    <s v="EM185 ပလန္ခ်ာ "/>
    <n v="3"/>
    <n v="3500"/>
    <n v="3500"/>
    <n v="4770"/>
    <x v="1"/>
  </r>
  <r>
    <n v="461"/>
    <x v="460"/>
    <s v="EM185 ပလန္ခ်ာအံု"/>
    <n v="8"/>
    <n v="19000"/>
    <n v="19000"/>
    <n v="127256"/>
    <x v="0"/>
  </r>
  <r>
    <n v="462"/>
    <x v="461"/>
    <s v="EM185 ပလန္ခ်ာအံု"/>
    <n v="3"/>
    <n v="19000"/>
    <n v="19000"/>
    <n v="35400"/>
    <x v="1"/>
  </r>
  <r>
    <n v="463"/>
    <x v="462"/>
    <s v="EM185 ဘားဆက္စံု "/>
    <n v="2"/>
    <n v="5000"/>
    <n v="5000"/>
    <n v="5340"/>
    <x v="1"/>
  </r>
  <r>
    <n v="464"/>
    <x v="463"/>
    <s v="EM185 ဟန္တယ္ေဂါက္"/>
    <n v="4"/>
    <n v="3000"/>
    <n v="3000"/>
    <n v="7280"/>
    <x v="1"/>
  </r>
  <r>
    <n v="465"/>
    <x v="464"/>
    <s v="EM185 ဂတ္စကက္"/>
    <n v="3"/>
    <n v="1000"/>
    <n v="1000"/>
    <n v="1530"/>
    <x v="1"/>
  </r>
  <r>
    <n v="466"/>
    <x v="465"/>
    <s v="EM185 စလစ္ကစ္ဆက္"/>
    <n v="2"/>
    <n v="27000"/>
    <n v="27000"/>
    <n v="40400"/>
    <x v="1"/>
  </r>
  <r>
    <n v="467"/>
    <x v="466"/>
    <s v="EM190 ဂတ္စကက္"/>
    <n v="4"/>
    <n v="1000"/>
    <n v="1000"/>
    <n v="2080"/>
    <x v="1"/>
  </r>
  <r>
    <n v="468"/>
    <x v="467"/>
    <s v="EM185 အင္ဂ်င္ဝိုင္တိုင္းတံ"/>
    <n v="3"/>
    <n v="500"/>
    <n v="500"/>
    <n v="390"/>
    <x v="1"/>
  </r>
  <r>
    <n v="469"/>
    <x v="468"/>
    <s v="EM185 ဘားစပလိန္(1စံု)"/>
    <n v="5"/>
    <n v="1500"/>
    <n v="1500"/>
    <n v="3450"/>
    <x v="1"/>
  </r>
  <r>
    <n v="470"/>
    <x v="469"/>
    <s v="EM185 မိန္းဖလန္း"/>
    <n v="1"/>
    <n v="15000"/>
    <n v="15000"/>
    <n v="9050"/>
    <x v="1"/>
  </r>
  <r>
    <n v="471"/>
    <x v="470"/>
    <s v="EM185 ေနာက္ပိတ္သံျပား"/>
    <n v="1"/>
    <n v="5000"/>
    <n v="5000"/>
    <n v="2400"/>
    <x v="1"/>
  </r>
  <r>
    <n v="472"/>
    <x v="471"/>
    <s v="EM185 အမ္းဖံုး"/>
    <n v="2"/>
    <n v="10000"/>
    <n v="10000"/>
    <n v="12520"/>
    <x v="1"/>
  </r>
  <r>
    <n v="473"/>
    <x v="472"/>
    <s v="EM185 ကရိုင္း"/>
    <n v="1"/>
    <n v="30000"/>
    <n v="30000"/>
    <n v="24732"/>
    <x v="1"/>
  </r>
  <r>
    <n v="474"/>
    <x v="473"/>
    <s v="EM185 ေကာ္နတင္း"/>
    <n v="2"/>
    <n v="18500"/>
    <n v="18500"/>
    <n v="27000"/>
    <x v="1"/>
  </r>
  <r>
    <n v="475"/>
    <x v="474"/>
    <s v="EM185 ဖလိုင္းဝွီး"/>
    <n v="1"/>
    <n v="62000"/>
    <n v="62000"/>
    <n v="52784"/>
    <x v="1"/>
  </r>
  <r>
    <n v="476"/>
    <x v="475"/>
    <s v="EM185 ရိန္း"/>
    <n v="4"/>
    <n v="4000"/>
    <n v="4000"/>
    <n v="10200"/>
    <x v="1"/>
  </r>
  <r>
    <n v="477"/>
    <x v="476"/>
    <s v="EM185 ဘယ္ရင္ျခမ္း (STD)"/>
    <n v="5"/>
    <n v="1000"/>
    <n v="1000"/>
    <n v="3250"/>
    <x v="1"/>
  </r>
  <r>
    <n v="478"/>
    <x v="477"/>
    <s v="EM185 အန္းခံုစံု"/>
    <n v="1"/>
    <n v="6000"/>
    <n v="6000"/>
    <n v="4200"/>
    <x v="1"/>
  </r>
  <r>
    <n v="479"/>
    <x v="478"/>
    <s v="EM185 ဂါဂ်ီပင္ဘြတ္"/>
    <n v="1"/>
    <n v="2300"/>
    <n v="2300"/>
    <n v="1550"/>
    <x v="1"/>
  </r>
  <r>
    <n v="480"/>
    <x v="479"/>
    <s v="EM185 ပါကင္စံု"/>
    <n v="1"/>
    <n v="4000"/>
    <n v="4000"/>
    <n v="1500"/>
    <x v="1"/>
  </r>
  <r>
    <n v="481"/>
    <x v="480"/>
    <s v="EM185 ပန္႕အံု"/>
    <n v="1"/>
    <n v="7500"/>
    <n v="7500"/>
    <n v="5000"/>
    <x v="1"/>
  </r>
  <r>
    <n v="482"/>
    <x v="481"/>
    <s v="EM185 ဘားကီးဘားဖံုး(10ေကာင္)"/>
    <n v="2"/>
    <n v="1500"/>
    <n v="1500"/>
    <n v="2000"/>
    <x v="1"/>
  </r>
  <r>
    <n v="483"/>
    <x v="482"/>
    <s v="FD-30 ကိုယ္ထည္"/>
    <n v="1"/>
    <n v="170000"/>
    <n v="170000"/>
    <n v="120000"/>
    <x v="1"/>
  </r>
  <r>
    <n v="484"/>
    <x v="483"/>
    <s v="FD-30 ဂီယာေဘာက္"/>
    <n v="1"/>
    <n v="300000"/>
    <n v="300000"/>
    <n v="225000"/>
    <x v="1"/>
  </r>
  <r>
    <n v="485"/>
    <x v="484"/>
    <s v="FD-30 အင္ဂ်င္ထိုင္ခံု"/>
    <n v="1"/>
    <n v="20000"/>
    <n v="20000"/>
    <n v="15000"/>
    <x v="1"/>
  </r>
  <r>
    <n v="486"/>
    <x v="485"/>
    <s v="FD-30 လက္ကိုင္း"/>
    <n v="1"/>
    <n v="50000"/>
    <n v="50000"/>
    <n v="30000"/>
    <x v="1"/>
  </r>
  <r>
    <n v="487"/>
    <x v="486"/>
    <s v="FD-30 ဖင္ထိုင္ျပား"/>
    <n v="1"/>
    <n v="25000"/>
    <n v="25000"/>
    <n v="15000"/>
    <x v="1"/>
  </r>
  <r>
    <n v="488"/>
    <x v="487"/>
    <s v="FD-30 ေလွ်ာဗန္း+သံၾကိဳးတံုး+ေဒါက္"/>
    <n v="1"/>
    <n v="35000"/>
    <n v="35000"/>
    <n v="28000"/>
    <x v="1"/>
  </r>
  <r>
    <n v="489"/>
    <x v="488"/>
    <s v="FD-30 ေလွ်ာတန္း(ခါးရွပ္တန္း)"/>
    <n v="1"/>
    <n v="21000"/>
    <n v="21000"/>
    <n v="13000"/>
    <x v="1"/>
  </r>
  <r>
    <n v="490"/>
    <x v="489"/>
    <s v="FD-30 နတ္စံုထုပ္"/>
    <n v="1"/>
    <n v="5000"/>
    <n v="5000"/>
    <n v="3000"/>
    <x v="1"/>
  </r>
  <r>
    <n v="491"/>
    <x v="490"/>
    <s v="JN 7-5  Engine"/>
    <n v="1"/>
    <n v="115000"/>
    <n v="115000"/>
    <n v="93930"/>
    <x v="0"/>
  </r>
  <r>
    <n v="492"/>
    <x v="491"/>
    <s v="ေရႊကၽြဲစက္ဖိနပ္"/>
    <n v="1"/>
    <n v="5000"/>
    <n v="5000"/>
    <n v="4000"/>
    <x v="0"/>
  </r>
  <r>
    <n v="493"/>
    <x v="492"/>
    <s v="ရိန္း R-175(JN)"/>
    <n v="20"/>
    <n v="3000"/>
    <n v="3000"/>
    <n v="45040"/>
    <x v="0"/>
  </r>
  <r>
    <n v="494"/>
    <x v="493"/>
    <s v="L32/28 အမ္းခံုစံု(ပံုေဟာင္း)JN"/>
    <n v="1"/>
    <n v="12000"/>
    <n v="12000"/>
    <n v="8399"/>
    <x v="0"/>
  </r>
  <r>
    <n v="495"/>
    <x v="494"/>
    <s v="L-28/32 အိတ္ေဇာေဂါက္"/>
    <n v="1"/>
    <n v="8000"/>
    <n v="8000"/>
    <n v="6510"/>
    <x v="0"/>
  </r>
  <r>
    <n v="496"/>
    <x v="495"/>
    <s v="5 မူးဆီပိုက္(1 ေပ)"/>
    <n v="145"/>
    <n v="300"/>
    <n v="300"/>
    <n v="11745"/>
    <x v="0"/>
  </r>
  <r>
    <n v="497"/>
    <x v="496"/>
    <s v="EM185 ပလန္ခ်ာ"/>
    <n v="2"/>
    <n v="3500"/>
    <n v="3500"/>
    <n v="5000"/>
    <x v="0"/>
  </r>
  <r>
    <n v="498"/>
    <x v="497"/>
    <s v="R175 အင္ဂ်င္ဝိုင္ပန္႔အံု"/>
    <n v="4"/>
    <n v="5500"/>
    <n v="5500"/>
    <n v="17632"/>
    <x v="0"/>
  </r>
  <r>
    <n v="499"/>
    <x v="498"/>
    <s v="22 မိန္းဖလန္း"/>
    <n v="2"/>
    <n v="23000"/>
    <n v="23000"/>
    <n v="33922"/>
    <x v="0"/>
  </r>
  <r>
    <n v="500"/>
    <x v="499"/>
    <n v="6205"/>
    <n v="1"/>
    <n v="1500"/>
    <n v="1500"/>
    <n v="1500"/>
    <x v="0"/>
  </r>
  <r>
    <n v="501"/>
    <x v="500"/>
    <n v="6005"/>
    <n v="8"/>
    <n v="1700"/>
    <n v="1700"/>
    <n v="7600"/>
    <x v="0"/>
  </r>
  <r>
    <n v="502"/>
    <x v="501"/>
    <s v="22 ေကာင္ အင္ဂ်င္ဝိုင္ပိုက္"/>
    <n v="4"/>
    <n v="1000"/>
    <n v="1000"/>
    <n v="2200"/>
    <x v="0"/>
  </r>
  <r>
    <n v="503"/>
    <x v="502"/>
    <s v="25 ေကာင္ကရိုင္း"/>
    <n v="1"/>
    <n v="80000"/>
    <n v="80000"/>
    <n v="42200"/>
    <x v="0"/>
  </r>
  <r>
    <n v="504"/>
    <x v="503"/>
    <s v="22 ေကာင္ ဟန္တယ္ရွပ္"/>
    <n v="3"/>
    <n v="3000"/>
    <n v="3000"/>
    <n v="5850"/>
    <x v="0"/>
  </r>
  <r>
    <n v="505"/>
    <x v="504"/>
    <s v="2 ဘီလူးေခါင္း"/>
    <n v="2"/>
    <n v="6500"/>
    <n v="6500"/>
    <n v="5500"/>
    <x v="0"/>
  </r>
  <r>
    <n v="506"/>
    <x v="505"/>
    <s v="2 ေကာ္ၾကည္ပိုက္"/>
    <n v="47"/>
    <n v="950"/>
    <n v="950"/>
    <n v="37036"/>
    <x v="0"/>
  </r>
  <r>
    <n v="507"/>
    <x v="506"/>
    <s v="2 လည္ေခ်ာင္းပိုက္(20 ေပ)"/>
    <n v="10"/>
    <n v="35000"/>
    <n v="35000"/>
    <n v="290760"/>
    <x v="0"/>
  </r>
  <r>
    <n v="508"/>
    <x v="507"/>
    <s v="စပန္နာဗူး (46pcs)"/>
    <n v="1"/>
    <n v="24000"/>
    <n v="24000"/>
    <n v="17500"/>
    <x v="0"/>
  </r>
  <r>
    <n v="509"/>
    <x v="508"/>
    <s v="12 ဂြင္းဂြ"/>
    <n v="2"/>
    <n v="1100"/>
    <n v="1100"/>
    <n v="1310"/>
    <x v="0"/>
  </r>
  <r>
    <n v="510"/>
    <x v="509"/>
    <s v="16 ဂြင္းဂြ"/>
    <n v="3"/>
    <n v="1300"/>
    <n v="1300"/>
    <n v="2700"/>
    <x v="0"/>
  </r>
  <r>
    <n v="511"/>
    <x v="510"/>
    <s v="24 စပန္နာသီး"/>
    <n v="3"/>
    <n v="1700"/>
    <n v="1700"/>
    <n v="2610"/>
    <x v="0"/>
  </r>
  <r>
    <n v="512"/>
    <x v="511"/>
    <s v="21 စပန္နာသီး"/>
    <n v="2"/>
    <n v="1400"/>
    <n v="1400"/>
    <n v="1430"/>
    <x v="0"/>
  </r>
  <r>
    <n v="513"/>
    <x v="512"/>
    <s v="204 (JN)"/>
    <n v="3"/>
    <n v="1700"/>
    <n v="1700"/>
    <n v="2706"/>
    <x v="0"/>
  </r>
  <r>
    <n v="514"/>
    <x v="513"/>
    <s v="ထရန္စဖာၾကိဳး(ခု) 250CC"/>
    <n v="6"/>
    <n v="10000"/>
    <n v="10000"/>
    <n v="39372"/>
    <x v="0"/>
  </r>
  <r>
    <n v="515"/>
    <x v="514"/>
    <s v="ကလပ္ခ်ိန္းဘိ"/>
    <n v="2"/>
    <n v="4200"/>
    <n v="4200"/>
    <n v="4200"/>
    <x v="0"/>
  </r>
  <r>
    <n v="516"/>
    <x v="515"/>
    <s v="L32 အဲယားေဂါက္"/>
    <n v="2"/>
    <n v="9500"/>
    <n v="9500"/>
    <n v="9156"/>
    <x v="0"/>
  </r>
  <r>
    <n v="517"/>
    <x v="516"/>
    <s v="175/180 ပလန္ခ်ာ(JN)"/>
    <n v="33"/>
    <n v="4500"/>
    <n v="4500"/>
    <n v="121143"/>
    <x v="0"/>
  </r>
  <r>
    <n v="518"/>
    <x v="517"/>
    <s v="အဲယာဗူးေဂါက္ပါ(175)"/>
    <n v="21"/>
    <n v="7500"/>
    <n v="7500"/>
    <n v="106134"/>
    <x v="0"/>
  </r>
  <r>
    <n v="519"/>
    <x v="518"/>
    <s v="22 ဂါဘနာေဘာေစ့"/>
    <n v="13"/>
    <n v="200"/>
    <n v="200"/>
    <n v="1092"/>
    <x v="0"/>
  </r>
  <r>
    <n v="520"/>
    <x v="519"/>
    <s v="မ/ထ လီဘာႀကိဳး"/>
    <n v="1"/>
    <n v="1800"/>
    <n v="1800"/>
    <n v="1200"/>
    <x v="0"/>
  </r>
  <r>
    <n v="521"/>
    <x v="520"/>
    <s v="DF ေပါင္အဝိုင္းစိး (1စံု)"/>
    <n v="5"/>
    <n v="2000"/>
    <n v="2000"/>
    <n v="3500"/>
    <x v="0"/>
  </r>
  <r>
    <n v="522"/>
    <x v="521"/>
    <s v="NT/Q185 ျဖတ္ဘား"/>
    <n v="4"/>
    <n v="5000"/>
    <n v="5000"/>
    <n v="8800"/>
    <x v="0"/>
  </r>
  <r>
    <n v="523"/>
    <x v="522"/>
    <s v="ေရတိုင္ကီ 28/32/1115"/>
    <n v="1"/>
    <n v="53000"/>
    <n v="53000"/>
    <n v="40800"/>
    <x v="0"/>
  </r>
  <r>
    <n v="524"/>
    <x v="523"/>
    <s v="DF 2ေပါက္ဓါးသြား(တို)"/>
    <n v="38"/>
    <n v="2000"/>
    <n v="2000"/>
    <n v="58634"/>
    <x v="0"/>
  </r>
  <r>
    <n v="525"/>
    <x v="524"/>
    <s v="22 အင္ဂ်င္ဝိုင္စကာ"/>
    <n v="4"/>
    <n v="500"/>
    <n v="500"/>
    <n v="464"/>
    <x v="0"/>
  </r>
  <r>
    <n v="526"/>
    <x v="525"/>
    <s v="Q185 ေနာ္ဇယ္"/>
    <n v="49"/>
    <n v="6500"/>
    <n v="6500"/>
    <n v="285768"/>
    <x v="0"/>
  </r>
  <r>
    <n v="527"/>
    <x v="526"/>
    <s v="ဘားစပလိန္(175/180)"/>
    <n v="36"/>
    <n v="1000"/>
    <n v="1000"/>
    <n v="20088"/>
    <x v="0"/>
  </r>
  <r>
    <n v="528"/>
    <x v="527"/>
    <s v="RT140 ဟန္တယ္ေဂါက္"/>
    <n v="3"/>
    <n v="10000"/>
    <n v="10000"/>
    <n v="18300"/>
    <x v="0"/>
  </r>
  <r>
    <n v="529"/>
    <x v="528"/>
    <s v="4&quot; ဘီလူးေခါင္း"/>
    <n v="1"/>
    <n v="12000"/>
    <n v="12000"/>
    <n v="8540"/>
    <x v="0"/>
  </r>
  <r>
    <n v="530"/>
    <x v="529"/>
    <s v="ဆီတိုင္ကီ (TRI)"/>
    <n v="1"/>
    <n v="65000"/>
    <n v="65000"/>
    <n v="20000"/>
    <x v="0"/>
  </r>
  <r>
    <n v="531"/>
    <x v="530"/>
    <s v="ေနာ္ဇယ္ကစ္ဆက္R-175/180"/>
    <n v="14"/>
    <n v="12000"/>
    <n v="12000"/>
    <n v="133616"/>
    <x v="0"/>
  </r>
  <r>
    <n v="532"/>
    <x v="531"/>
    <s v="ရိန္း  R-180(JN)"/>
    <n v="2"/>
    <n v="2700"/>
    <n v="2700"/>
    <n v="3940"/>
    <x v="0"/>
  </r>
  <r>
    <n v="533"/>
    <x v="532"/>
    <s v="အမ္းဖံုး R-175/180 "/>
    <n v="8"/>
    <n v="5000"/>
    <n v="5000"/>
    <n v="27408"/>
    <x v="0"/>
  </r>
  <r>
    <n v="534"/>
    <x v="533"/>
    <s v="အမ္းဖံုး Q-185"/>
    <n v="8"/>
    <n v="5500"/>
    <n v="5500"/>
    <n v="27408"/>
    <x v="0"/>
  </r>
  <r>
    <n v="535"/>
    <x v="534"/>
    <s v="22ေကာင္ ပင္နယံစံု S-195/28/32(JN)"/>
    <n v="1"/>
    <n v="35000"/>
    <n v="35000"/>
    <n v="30581"/>
    <x v="0"/>
  </r>
  <r>
    <n v="536"/>
    <x v="535"/>
    <s v="Q185 ဂါဂ်ီပင္ဘြတ္"/>
    <n v="19"/>
    <n v="2500"/>
    <n v="2500"/>
    <n v="32547"/>
    <x v="0"/>
  </r>
  <r>
    <n v="537"/>
    <x v="536"/>
    <s v="22 ေကာင္စလစ္+(စီးကြင္းပါ)(JN)"/>
    <n v="2"/>
    <n v="23000"/>
    <n v="23000"/>
    <n v="35970"/>
    <x v="0"/>
  </r>
  <r>
    <n v="538"/>
    <x v="537"/>
    <s v="25 ေကာင္ပစၥတင္(JN)"/>
    <n v="1"/>
    <n v="20000"/>
    <n v="20000"/>
    <n v="16618"/>
    <x v="0"/>
  </r>
  <r>
    <n v="539"/>
    <x v="538"/>
    <s v="R180 ကရိုင္း(3ေပါက္)ကလစ္လိုင္းပါ(လြတ္)JN"/>
    <n v="6"/>
    <n v="28000"/>
    <n v="28000"/>
    <n v="142410"/>
    <x v="0"/>
  </r>
  <r>
    <n v="540"/>
    <x v="539"/>
    <s v="ဘားခြက္စံု(S-195/1110/1115)(JN)"/>
    <n v="10"/>
    <n v="800"/>
    <n v="800"/>
    <n v="5130"/>
    <x v="0"/>
  </r>
  <r>
    <n v="541"/>
    <x v="540"/>
    <s v="250CC ဝါယာရိန္း(set)"/>
    <n v="2"/>
    <n v="30000"/>
    <n v="30000"/>
    <n v="51548"/>
    <x v="0"/>
  </r>
  <r>
    <n v="542"/>
    <x v="541"/>
    <s v="300CC ဝါယာရိန္း(Set)"/>
    <n v="3"/>
    <n v="30000"/>
    <n v="30000"/>
    <n v="77322"/>
    <x v="0"/>
  </r>
  <r>
    <n v="543"/>
    <x v="542"/>
    <s v="အင္ဂ်င္ဝိုင္ဂိတ္ျပစံု"/>
    <n v="9"/>
    <n v="10000"/>
    <n v="10000"/>
    <n v="73233"/>
    <x v="0"/>
  </r>
  <r>
    <n v="544"/>
    <x v="543"/>
    <s v="25 ေကာင္ဘယ္ရင္"/>
    <n v="2"/>
    <n v="1500"/>
    <n v="1500"/>
    <n v="1918"/>
    <x v="0"/>
  </r>
  <r>
    <n v="545"/>
    <x v="544"/>
    <s v="22 ေကာင္ကင့္ကာဘာ(ပံုသစ္)"/>
    <n v="1"/>
    <n v="27000"/>
    <n v="27000"/>
    <n v="20794"/>
    <x v="0"/>
  </r>
  <r>
    <n v="546"/>
    <x v="545"/>
    <s v="22 ေကာင္ကင့္ကာဘာ (ပံုေဟာင္း)_x000d__x000a_"/>
    <n v="1"/>
    <n v="30000"/>
    <n v="30000"/>
    <n v="23255"/>
    <x v="0"/>
  </r>
  <r>
    <n v="547"/>
    <x v="546"/>
    <s v="သံုးဘီးေရပန္႔ 250CC"/>
    <n v="2"/>
    <n v="14000"/>
    <n v="14000"/>
    <n v="22912"/>
    <x v="0"/>
  </r>
  <r>
    <n v="548"/>
    <x v="547"/>
    <s v="သံုးဘီးေရပန္႕ 300CC"/>
    <n v="2"/>
    <n v="14000"/>
    <n v="14000"/>
    <n v="23152"/>
    <x v="0"/>
  </r>
  <r>
    <n v="549"/>
    <x v="548"/>
    <s v="ဝရိန္ေခ်ာင္း J421 (No-10)"/>
    <n v="2"/>
    <n v="13500"/>
    <n v="13500"/>
    <n v="20726"/>
    <x v="0"/>
  </r>
  <r>
    <n v="550"/>
    <x v="549"/>
    <s v="ဝရိန္ေခ်ာင္း J421 (No-12)_x000d__x000a_"/>
    <n v="2"/>
    <n v="8000"/>
    <n v="8000"/>
    <n v="10908"/>
    <x v="0"/>
  </r>
  <r>
    <n v="551"/>
    <x v="550"/>
    <s v="DF ကေရာင္းအံု(ညာ)"/>
    <n v="1"/>
    <n v="32000"/>
    <n v="32000"/>
    <n v="25725"/>
    <x v="0"/>
  </r>
  <r>
    <n v="552"/>
    <x v="551"/>
    <s v="28-42 ဂီယာေပါက္ဘေလာက္(6ေပါက္)"/>
    <n v="1"/>
    <n v="98000"/>
    <n v="98000"/>
    <n v="82491"/>
    <x v="0"/>
  </r>
  <r>
    <n v="553"/>
    <x v="552"/>
    <s v="DF ေပါင္အံု(ညာ)"/>
    <n v="1"/>
    <n v="37000"/>
    <n v="37000"/>
    <n v="29088"/>
    <x v="0"/>
  </r>
  <r>
    <n v="554"/>
    <x v="553"/>
    <s v="R175 ကင့္ဘု(JN)"/>
    <n v="5"/>
    <n v="3000"/>
    <n v="3000"/>
    <n v="6850"/>
    <x v="0"/>
  </r>
  <r>
    <n v="555"/>
    <x v="554"/>
    <s v="ဘေလာက္အိုး R-175(JN)"/>
    <n v="1"/>
    <n v="74500"/>
    <n v="74500"/>
    <n v="63561"/>
    <x v="0"/>
  </r>
  <r>
    <n v="556"/>
    <x v="555"/>
    <s v="Potash (ဓါတ္ဆား)"/>
    <n v="3"/>
    <n v="38000"/>
    <n v="38000"/>
    <n v="106500"/>
    <x v="4"/>
  </r>
  <r>
    <n v="557"/>
    <x v="556"/>
    <s v="သံကြင္းUrea  မိုးသီး"/>
    <n v="5"/>
    <n v="50000"/>
    <n v="50000"/>
    <n v="227500"/>
    <x v="5"/>
  </r>
  <r>
    <n v="558"/>
    <x v="557"/>
    <s v="LY- 3P Compressor"/>
    <n v="1"/>
    <n v="170000"/>
    <n v="170000"/>
    <n v="128800"/>
    <x v="6"/>
  </r>
  <r>
    <n v="559"/>
    <x v="558"/>
    <s v="LY-235-1 လက္မ Wood Cutter 9လက္မ"/>
    <n v="1"/>
    <n v="95000"/>
    <n v="95000"/>
    <n v="80960"/>
    <x v="6"/>
  </r>
  <r>
    <n v="560"/>
    <x v="559"/>
    <s v="LY-255-1  10  လက္မ  Cutter"/>
    <n v="1"/>
    <n v="130000"/>
    <n v="130000"/>
    <n v="119600"/>
    <x v="6"/>
  </r>
  <r>
    <n v="561"/>
    <x v="560"/>
    <s v="LY-350-1(2600) 14လက္မ Iron Cutter"/>
    <n v="1"/>
    <n v="165000"/>
    <n v="165000"/>
    <n v="151800"/>
    <x v="6"/>
  </r>
  <r>
    <n v="562"/>
    <x v="561"/>
    <s v="LY-10-5"/>
    <n v="1"/>
    <n v="33000"/>
    <n v="33000"/>
    <n v="30360"/>
    <x v="6"/>
  </r>
  <r>
    <n v="563"/>
    <x v="562"/>
    <s v="LY-190-1 Car  Polisher"/>
    <n v="1"/>
    <n v="90000"/>
    <n v="90000"/>
    <n v="90000"/>
    <x v="6"/>
  </r>
  <r>
    <n v="564"/>
    <x v="563"/>
    <s v="LY-DD0212 Battery  Gun"/>
    <n v="1"/>
    <n v="82000"/>
    <n v="82000"/>
    <n v="75440"/>
    <x v="6"/>
  </r>
  <r>
    <n v="565"/>
    <x v="564"/>
    <s v="LY-38-1  Drill"/>
    <n v="1"/>
    <n v="170000"/>
    <n v="170000"/>
    <n v="110400"/>
    <x v="6"/>
  </r>
  <r>
    <n v="566"/>
    <x v="565"/>
    <s v="LY-4510-1 4လက္မ Sand Paper Vibrat"/>
    <n v="2"/>
    <n v="60000"/>
    <n v="60000"/>
    <n v="69920"/>
    <x v="6"/>
  </r>
  <r>
    <n v="567"/>
    <x v="566"/>
    <s v="LY-9035-1  Sand Paper Vibrator"/>
    <n v="2"/>
    <n v="78000"/>
    <n v="78000"/>
    <n v="92000"/>
    <x v="6"/>
  </r>
  <r>
    <n v="568"/>
    <x v="567"/>
    <s v="LY-110-14လက္မ Ceramic Cutter"/>
    <n v="1"/>
    <n v="65000"/>
    <n v="65000"/>
    <n v="44620"/>
    <x v="6"/>
  </r>
  <r>
    <n v="569"/>
    <x v="568"/>
    <s v="LY-100B Angle Grinder"/>
    <n v="1"/>
    <n v="27500"/>
    <n v="27500"/>
    <n v="25300"/>
    <x v="6"/>
  </r>
  <r>
    <n v="570"/>
    <x v="569"/>
    <s v="LY-2.8 Blower"/>
    <n v="1"/>
    <n v="40000"/>
    <n v="40000"/>
    <n v="25300"/>
    <x v="6"/>
  </r>
  <r>
    <n v="571"/>
    <x v="570"/>
    <s v="LY-185-1-7လက္မသစ္သားျဖတ္စက္"/>
    <n v="1"/>
    <n v="82000"/>
    <n v="82000"/>
    <n v="57000"/>
    <x v="6"/>
  </r>
  <r>
    <n v="572"/>
    <x v="571"/>
    <s v="12 လက္မ လႊဝိုင္း"/>
    <n v="2"/>
    <n v="11500"/>
    <n v="11500"/>
    <n v="20000"/>
    <x v="6"/>
  </r>
  <r>
    <n v="573"/>
    <x v="572"/>
    <s v="14 လက္မ လႊဝိုင္း"/>
    <n v="1"/>
    <n v="21000"/>
    <n v="21000"/>
    <n v="19000"/>
    <x v="6"/>
  </r>
  <r>
    <n v="574"/>
    <x v="573"/>
    <s v="LY ျမတ္ရိတ္စက္ဆြဲအုံ"/>
    <n v="2"/>
    <n v="8000"/>
    <n v="8000"/>
    <n v="12000"/>
    <x v="6"/>
  </r>
  <r>
    <n v="575"/>
    <x v="574"/>
    <s v="LY-16-1 16mm ေဖာက္စက္"/>
    <n v="2"/>
    <n v="58000"/>
    <n v="58000"/>
    <n v="110000"/>
    <x v="6"/>
  </r>
  <r>
    <n v="576"/>
    <x v="575"/>
    <s v="150 ကင့္မရွပ္(SET)"/>
    <n v="8"/>
    <n v="10000"/>
    <n v="10000"/>
    <n v="54000"/>
    <x v="1"/>
  </r>
  <r>
    <n v="577"/>
    <x v="576"/>
    <s v="ကာပရိုက္တာ အဆက္(150)"/>
    <n v="10"/>
    <n v="2500"/>
    <n v="2500"/>
    <n v="18000"/>
    <x v="1"/>
  </r>
  <r>
    <n v="578"/>
    <x v="577"/>
    <s v="5ရြက္ပန္ကာ"/>
    <n v="1"/>
    <n v="16000"/>
    <n v="16000"/>
    <n v="13000"/>
    <x v="1"/>
  </r>
  <r>
    <n v="579"/>
    <x v="578"/>
    <s v="150 ဘေလာက္set(ေရ)"/>
    <n v="1"/>
    <n v="40000"/>
    <n v="40000"/>
    <n v="34800"/>
    <x v="1"/>
  </r>
  <r>
    <n v="580"/>
    <x v="579"/>
    <s v="သံလိုက္အံု အဖံုး"/>
    <n v="3"/>
    <n v="18000"/>
    <n v="18000"/>
    <n v="44550"/>
    <x v="1"/>
  </r>
  <r>
    <n v="581"/>
    <x v="580"/>
    <s v="ဂ်ိဳင္းကေရာ့တြဲ"/>
    <n v="1"/>
    <n v="11500"/>
    <n v="11500"/>
    <n v="9500"/>
    <x v="1"/>
  </r>
  <r>
    <n v="582"/>
    <x v="581"/>
    <s v="300 Full (set)"/>
    <n v="9"/>
    <n v="5500"/>
    <n v="5500"/>
    <n v="44550"/>
    <x v="1"/>
  </r>
  <r>
    <n v="583"/>
    <x v="582"/>
    <s v="300 ရိန္း(0.25)"/>
    <n v="1"/>
    <n v="8500"/>
    <n v="8500"/>
    <n v="7500"/>
    <x v="1"/>
  </r>
  <r>
    <n v="584"/>
    <x v="583"/>
    <s v="300 ရိန္း STD"/>
    <n v="5"/>
    <n v="6000"/>
    <n v="6000"/>
    <n v="27000"/>
    <x v="1"/>
  </r>
  <r>
    <n v="585"/>
    <x v="584"/>
    <s v="ဂီယာတံ"/>
    <n v="3"/>
    <n v="3500"/>
    <n v="3500"/>
    <n v="8400"/>
    <x v="1"/>
  </r>
  <r>
    <n v="586"/>
    <x v="585"/>
    <s v="စတပ္ေမာ္တာဖံုး"/>
    <n v="3"/>
    <n v="4500"/>
    <n v="4500"/>
    <n v="10800"/>
    <x v="1"/>
  </r>
  <r>
    <n v="587"/>
    <x v="586"/>
    <s v="300 ဘေလာက္set"/>
    <n v="1"/>
    <n v="68000"/>
    <n v="68000"/>
    <n v="59400"/>
    <x v="1"/>
  </r>
  <r>
    <n v="588"/>
    <x v="587"/>
    <s v="ဆီဘရိတ္အိုး သံ"/>
    <n v="8"/>
    <n v="6000"/>
    <n v="6000"/>
    <n v="39600"/>
    <x v="1"/>
  </r>
  <r>
    <n v="589"/>
    <x v="588"/>
    <s v="ကာပရိုက္တာ(1ပင္)(250)"/>
    <n v="1"/>
    <n v="16000"/>
    <n v="16000"/>
    <n v="13000"/>
    <x v="1"/>
  </r>
  <r>
    <n v="590"/>
    <x v="589"/>
    <s v="ေနာက္မီးတန္း set (LED)"/>
    <n v="2"/>
    <n v="8000"/>
    <n v="8000"/>
    <n v="16000"/>
    <x v="1"/>
  </r>
  <r>
    <n v="591"/>
    <x v="590"/>
    <s v="ဒစ္စဝွီးနတ္"/>
    <n v="1"/>
    <n v="900"/>
    <n v="900"/>
    <n v="800"/>
    <x v="1"/>
  </r>
  <r>
    <n v="592"/>
    <x v="591"/>
    <s v="150 ရိန္း(STD)"/>
    <n v="2"/>
    <n v="6000"/>
    <n v="6000"/>
    <n v="8460"/>
    <x v="1"/>
  </r>
  <r>
    <n v="593"/>
    <x v="592"/>
    <s v="20×50 ဂၽြိဳင္းေဘာ"/>
    <n v="14"/>
    <n v="4000"/>
    <n v="4000"/>
    <n v="44100"/>
    <x v="1"/>
  </r>
  <r>
    <n v="594"/>
    <x v="593"/>
    <s v="9း13 စပိုက္တာပင္နယံ"/>
    <n v="6"/>
    <n v="8000"/>
    <n v="8000"/>
    <n v="35100"/>
    <x v="1"/>
  </r>
  <r>
    <n v="595"/>
    <x v="594"/>
    <s v="37 အင္ဂ်င္ဝိုင္ပန္႔ရိုးရိုး"/>
    <n v="4"/>
    <n v="5000"/>
    <n v="5000"/>
    <n v="14000"/>
    <x v="1"/>
  </r>
  <r>
    <n v="596"/>
    <x v="595"/>
    <s v="ဆီဘရိတ္ရွဴးၾကီး(250CC)"/>
    <n v="3"/>
    <n v="8000"/>
    <n v="8000"/>
    <n v="17550"/>
    <x v="1"/>
  </r>
  <r>
    <n v="597"/>
    <x v="596"/>
    <s v="ဆီမာစတာပန္႔ (1 ပိုက္သံ)"/>
    <n v="1"/>
    <n v="16000"/>
    <n v="16000"/>
    <n v="11700"/>
    <x v="1"/>
  </r>
  <r>
    <n v="598"/>
    <x v="597"/>
    <s v="ကာပရိုက္တာ (150)"/>
    <n v="1"/>
    <n v="17000"/>
    <n v="17000"/>
    <n v="13500"/>
    <x v="1"/>
  </r>
  <r>
    <n v="599"/>
    <x v="598"/>
    <s v="10ရြက္ပန္ကာ"/>
    <n v="1"/>
    <n v="19000"/>
    <n v="19000"/>
    <n v="15750"/>
    <x v="1"/>
  </r>
  <r>
    <n v="600"/>
    <x v="599"/>
    <s v="4ေပါက္ေဂြ(500×12)"/>
    <n v="1"/>
    <n v="24000"/>
    <n v="24000"/>
    <n v="19500"/>
    <x v="1"/>
  </r>
  <r>
    <n v="601"/>
    <x v="600"/>
    <s v="4ေပါက္ဂၽြိဳင္းဂြတြဲ(စိပ္)"/>
    <n v="1"/>
    <n v="13500"/>
    <n v="13500"/>
    <n v="13500"/>
    <x v="1"/>
  </r>
  <r>
    <n v="602"/>
    <x v="601"/>
    <s v="ေကာ္ေရပံုးျဖဴ"/>
    <n v="2"/>
    <n v="11000"/>
    <n v="11000"/>
    <n v="15300"/>
    <x v="1"/>
  </r>
  <r>
    <n v="603"/>
    <x v="602"/>
    <s v="ဆီဘရိတ္အိုး သတၱဳ"/>
    <n v="10"/>
    <n v="6000"/>
    <n v="6000"/>
    <n v="50000"/>
    <x v="1"/>
  </r>
  <r>
    <n v="604"/>
    <x v="603"/>
    <s v="ထရန္စဖာၾကိဳး ဂြ+ဂြင္း"/>
    <n v="1"/>
    <n v="5000"/>
    <n v="5000"/>
    <n v="3500"/>
    <x v="1"/>
  </r>
  <r>
    <n v="605"/>
    <x v="604"/>
    <s v="စတပ္ေမာ္တာ 9သြားျမင့္(ရွပ္တုပ္)"/>
    <n v="2"/>
    <n v="19000"/>
    <n v="19000"/>
    <n v="31500"/>
    <x v="1"/>
  </r>
  <r>
    <n v="606"/>
    <x v="605"/>
    <s v="ကလပ္အံုဖံုး"/>
    <n v="1"/>
    <n v="37000"/>
    <n v="37000"/>
    <n v="32500"/>
    <x v="1"/>
  </r>
  <r>
    <n v="607"/>
    <x v="606"/>
    <s v="စပါယ္ဖူး"/>
    <n v="2"/>
    <n v="9000"/>
    <n v="9000"/>
    <n v="13500"/>
    <x v="1"/>
  </r>
  <r>
    <n v="608"/>
    <x v="607"/>
    <s v="250 Full (set)သံ"/>
    <n v="3"/>
    <n v="3500"/>
    <n v="3500"/>
    <n v="7500"/>
    <x v="1"/>
  </r>
  <r>
    <n v="609"/>
    <x v="608"/>
    <s v="250 Full (set)သတၱဳ"/>
    <n v="3"/>
    <n v="2800"/>
    <n v="2800"/>
    <n v="5400"/>
    <x v="1"/>
  </r>
  <r>
    <n v="610"/>
    <x v="609"/>
    <s v="လက္ကိုင္ခလုပ္"/>
    <n v="10"/>
    <n v="4500"/>
    <n v="4500"/>
    <n v="34200"/>
    <x v="1"/>
  </r>
  <r>
    <n v="611"/>
    <x v="610"/>
    <s v="150 ေရွ႔ေဖါက္"/>
    <n v="1"/>
    <n v="65000"/>
    <n v="65000"/>
    <n v="61000"/>
    <x v="1"/>
  </r>
  <r>
    <n v="612"/>
    <x v="611"/>
    <s v="150 ေရွ႔ေဖာက္(43)"/>
    <n v="1"/>
    <n v="85000"/>
    <n v="85000"/>
    <n v="77850"/>
    <x v="1"/>
  </r>
  <r>
    <n v="613"/>
    <x v="612"/>
    <s v="20×50 ဂၽြိဳင္းဂြ(set)ဖလန္းပါ"/>
    <n v="4"/>
    <n v="12000"/>
    <n v="12000"/>
    <n v="39600"/>
    <x v="1"/>
  </r>
  <r>
    <n v="614"/>
    <x v="613"/>
    <s v="20×50 ဂၽြိဳင္းဂြ(set)ရိုးရိုး(က်ဲ)"/>
    <n v="1"/>
    <n v="12000"/>
    <n v="12000"/>
    <n v="9000"/>
    <x v="1"/>
  </r>
  <r>
    <n v="615"/>
    <x v="614"/>
    <s v="ခြဲေခါင္းနတ္(ေသး)"/>
    <n v="7"/>
    <n v="300"/>
    <n v="300"/>
    <n v="1050"/>
    <x v="1"/>
  </r>
  <r>
    <n v="616"/>
    <x v="615"/>
    <s v="ဂီယာပင္နယံ(set) 250CC"/>
    <n v="1"/>
    <n v="33000"/>
    <n v="33000"/>
    <n v="29700"/>
    <x v="1"/>
  </r>
  <r>
    <n v="617"/>
    <x v="616"/>
    <s v="ဆီေဂါက္(စိပ္)"/>
    <n v="5"/>
    <n v="2500"/>
    <n v="2500"/>
    <n v="9000"/>
    <x v="1"/>
  </r>
  <r>
    <n v="618"/>
    <x v="617"/>
    <s v="200 Full (set)"/>
    <n v="5"/>
    <n v="2500"/>
    <n v="2500"/>
    <n v="10000"/>
    <x v="1"/>
  </r>
  <r>
    <n v="619"/>
    <x v="618"/>
    <s v="ဘက္ရွပ္ 6009"/>
    <n v="3"/>
    <n v="23000"/>
    <n v="23000"/>
    <n v="59400"/>
    <x v="1"/>
  </r>
  <r>
    <n v="620"/>
    <x v="619"/>
    <s v="နႈတ္ခမ္းေမႊးတန္းဘြတ္"/>
    <n v="8"/>
    <n v="600"/>
    <n v="600"/>
    <n v="3200"/>
    <x v="1"/>
  </r>
  <r>
    <n v="621"/>
    <x v="620"/>
    <s v="ဟိုက္ဘာေလး 8cm"/>
    <n v="3"/>
    <n v="16000"/>
    <n v="16000"/>
    <n v="35100"/>
    <x v="1"/>
  </r>
  <r>
    <n v="622"/>
    <x v="621"/>
    <s v="19×44 ဂၽြိဳင္းေဘာ"/>
    <n v="3"/>
    <n v="3000"/>
    <n v="3000"/>
    <n v="5400"/>
    <x v="1"/>
  </r>
  <r>
    <n v="623"/>
    <x v="622"/>
    <s v="ကလပ္အံု(SET) 5/6"/>
    <n v="1"/>
    <n v="28000"/>
    <n v="28000"/>
    <n v="23850"/>
    <x v="1"/>
  </r>
  <r>
    <n v="624"/>
    <x v="623"/>
    <s v="ေနာက္ဟက္ဒြမ္(160)က်ဥ္း"/>
    <n v="1"/>
    <n v="23000"/>
    <n v="23000"/>
    <n v="16650"/>
    <x v="1"/>
  </r>
  <r>
    <n v="625"/>
    <x v="624"/>
    <s v="ဘက္အံု 1200CC"/>
    <n v="1"/>
    <n v="67000"/>
    <n v="67000"/>
    <n v="61650"/>
    <x v="1"/>
  </r>
  <r>
    <n v="626"/>
    <x v="625"/>
    <s v="ဘက္အံု 600CC"/>
    <n v="1"/>
    <n v="52000"/>
    <n v="52000"/>
    <n v="47250"/>
    <x v="1"/>
  </r>
  <r>
    <n v="627"/>
    <x v="626"/>
    <s v="စတပ္ေဘာထိုင္ 20လံုး"/>
    <n v="7"/>
    <n v="7500"/>
    <n v="7500"/>
    <n v="47250"/>
    <x v="1"/>
  </r>
  <r>
    <n v="628"/>
    <x v="627"/>
    <s v="ေလးဘြတ္ (ေကာ္လံပါ)"/>
    <n v="36"/>
    <n v="500"/>
    <n v="500"/>
    <n v="13680"/>
    <x v="1"/>
  </r>
  <r>
    <n v="629"/>
    <x v="628"/>
    <s v="ဒိုင္အုပ္လတ္ (5စ)"/>
    <n v="3"/>
    <n v="6500"/>
    <n v="6500"/>
    <n v="16200"/>
    <x v="1"/>
  </r>
  <r>
    <n v="630"/>
    <x v="629"/>
    <s v="250CC ဟက္ဘားစံု (သံ)"/>
    <n v="1"/>
    <n v="66500"/>
    <n v="66500"/>
    <n v="61500"/>
    <x v="1"/>
  </r>
  <r>
    <n v="631"/>
    <x v="630"/>
    <s v="ဂီယာပင္နယံ(Set) 150CC"/>
    <n v="1"/>
    <n v="20000"/>
    <n v="20000"/>
    <n v="14850"/>
    <x v="1"/>
  </r>
  <r>
    <n v="632"/>
    <x v="631"/>
    <s v="ကစ္တံ (နတ္ 2)"/>
    <n v="1"/>
    <n v="7500"/>
    <n v="7500"/>
    <n v="5850"/>
    <x v="1"/>
  </r>
  <r>
    <n v="633"/>
    <x v="632"/>
    <s v="ကစ္တံ (နတ္ 1)"/>
    <n v="4"/>
    <n v="7000"/>
    <n v="7000"/>
    <n v="21600"/>
    <x v="1"/>
  </r>
  <r>
    <n v="634"/>
    <x v="633"/>
    <s v="ကရိုင္း အျပင္ရစ္ 300CC"/>
    <n v="2"/>
    <n v="62000"/>
    <n v="62000"/>
    <n v="111600"/>
    <x v="1"/>
  </r>
  <r>
    <n v="635"/>
    <x v="634"/>
    <s v="ဂီယာပင္နယံ (SET)300CC"/>
    <n v="1"/>
    <n v="35000"/>
    <n v="35000"/>
    <n v="32000"/>
    <x v="1"/>
  </r>
  <r>
    <n v="636"/>
    <x v="635"/>
    <s v="8ရြက္ ပန္ကာ"/>
    <n v="2"/>
    <n v="16000"/>
    <n v="16000"/>
    <n v="25200"/>
    <x v="1"/>
  </r>
  <r>
    <n v="637"/>
    <x v="636"/>
    <s v="22×55ဂၽြိဳင္းဂြ(Set)"/>
    <n v="3"/>
    <n v="17000"/>
    <n v="17000"/>
    <n v="41850"/>
    <x v="1"/>
  </r>
  <r>
    <n v="638"/>
    <x v="637"/>
    <s v="300 Half Set"/>
    <n v="9"/>
    <n v="2500"/>
    <n v="2500"/>
    <n v="20250"/>
    <x v="1"/>
  </r>
  <r>
    <n v="639"/>
    <x v="638"/>
    <s v="150 ဟက္ဖံုး"/>
    <n v="1"/>
    <n v="15000"/>
    <n v="15000"/>
    <n v="10500"/>
    <x v="1"/>
  </r>
  <r>
    <n v="640"/>
    <x v="639"/>
    <s v="500×12 (Double)ေဂြ"/>
    <n v="3"/>
    <n v="32000"/>
    <n v="32000"/>
    <n v="86400"/>
    <x v="1"/>
  </r>
  <r>
    <n v="641"/>
    <x v="640"/>
    <s v="ဘက္ရွပ္ 72 cm 23သြား 6009"/>
    <n v="1"/>
    <n v="21000"/>
    <n v="21000"/>
    <n v="17600"/>
    <x v="7"/>
  </r>
  <r>
    <n v="642"/>
    <x v="641"/>
    <s v="ကရိုင္းSet 250(သံ)"/>
    <n v="1"/>
    <n v="73000"/>
    <n v="73000"/>
    <n v="68700"/>
    <x v="7"/>
  </r>
  <r>
    <n v="643"/>
    <x v="642"/>
    <s v="လီဗာႀကိဳး(1 1/2) (1ပင္)"/>
    <n v="1"/>
    <n v="2000"/>
    <n v="2000"/>
    <n v="904"/>
    <x v="7"/>
  </r>
  <r>
    <n v="644"/>
    <x v="643"/>
    <s v="500X12 ကၽြတ္ "/>
    <n v="2"/>
    <n v="7000"/>
    <n v="7000"/>
    <n v="9400"/>
    <x v="7"/>
  </r>
  <r>
    <n v="645"/>
    <x v="644"/>
    <s v="ဘရိတ္ကိုင္း အထိုင္ပါ"/>
    <n v="3"/>
    <n v="2700"/>
    <n v="2700"/>
    <n v="5733"/>
    <x v="7"/>
  </r>
  <r>
    <n v="646"/>
    <x v="645"/>
    <s v="ခါးထရန္စဖာၾကိဳး (နီ) ဂြင္း+ဂြင္း"/>
    <n v="4"/>
    <n v="11000"/>
    <n v="11000"/>
    <n v="38000"/>
    <x v="7"/>
  </r>
  <r>
    <n v="647"/>
    <x v="646"/>
    <s v="ကလပ္ျပား 7ခ်ပ္(ေရ)"/>
    <n v="4"/>
    <n v="6500"/>
    <n v="6500"/>
    <n v="20800"/>
    <x v="7"/>
  </r>
  <r>
    <n v="648"/>
    <x v="647"/>
    <s v="250 ေဖာက္ေကြး + မ႑ိဳင္ပါ(Set)(ႀကီး 30206)"/>
    <n v="1"/>
    <n v="200000"/>
    <n v="200000"/>
    <n v="168000"/>
    <x v="7"/>
  </r>
  <r>
    <n v="649"/>
    <x v="648"/>
    <s v="ဘရိတ္သံေခ်ာင္းလတ္(14 ရစ္)"/>
    <n v="1"/>
    <n v="2000"/>
    <n v="2000"/>
    <n v="1619"/>
    <x v="7"/>
  </r>
  <r>
    <n v="650"/>
    <x v="649"/>
    <s v="ဘရိတ္သံေခ်ာင္း(12ရစ္)"/>
    <n v="6"/>
    <n v="2000"/>
    <n v="2000"/>
    <n v="7854"/>
    <x v="7"/>
  </r>
  <r>
    <n v="651"/>
    <x v="650"/>
    <s v="ေဘးေဖာင္းမီး(Original)"/>
    <n v="4"/>
    <n v="3000"/>
    <n v="3000"/>
    <n v="9200"/>
    <x v="7"/>
  </r>
  <r>
    <n v="652"/>
    <x v="651"/>
    <s v="ကာပရိုက္တာဆက္ (200)"/>
    <n v="4"/>
    <n v="2500"/>
    <n v="2500"/>
    <n v="7200"/>
    <x v="7"/>
  </r>
  <r>
    <n v="653"/>
    <x v="652"/>
    <s v="ဘေလာက္ Set(250-70)(သံ)(DC)"/>
    <n v="2"/>
    <n v="57500"/>
    <n v="57500"/>
    <n v="95000"/>
    <x v="7"/>
  </r>
  <r>
    <n v="654"/>
    <x v="653"/>
    <s v="12 ထုပ္ကိြဳင္(160W) ARE"/>
    <n v="1"/>
    <n v="12000"/>
    <n v="12000"/>
    <n v="8438"/>
    <x v="7"/>
  </r>
  <r>
    <n v="655"/>
    <x v="654"/>
    <s v="ကစ္တံ ေရႊ (နတ္ 2)"/>
    <n v="13"/>
    <n v="8500"/>
    <n v="8500"/>
    <n v="84500"/>
    <x v="7"/>
  </r>
  <r>
    <n v="656"/>
    <x v="655"/>
    <s v="ကစ္တံ မဲ (နတ္ 1 )"/>
    <n v="2"/>
    <n v="6000"/>
    <n v="6000"/>
    <n v="8450"/>
    <x v="7"/>
  </r>
  <r>
    <n v="657"/>
    <x v="656"/>
    <s v="150 မိုင္းလစ္ၾကီဳးXLF"/>
    <n v="2"/>
    <n v="3000"/>
    <n v="3000"/>
    <n v="3370"/>
    <x v="7"/>
  </r>
  <r>
    <n v="658"/>
    <x v="657"/>
    <s v="12T ဘက္အံုပင္နယံ ကလစ္လိုင္းပါ(62/28)"/>
    <n v="7"/>
    <n v="5000"/>
    <n v="5000"/>
    <n v="27440"/>
    <x v="7"/>
  </r>
  <r>
    <n v="659"/>
    <x v="658"/>
    <s v="ထရန္စဖာၾကိဳးတုတ္(1)ဖက္နက္ရစ္1.3m(JRC)S"/>
    <n v="1"/>
    <n v="11000"/>
    <n v="11000"/>
    <n v="4500"/>
    <x v="7"/>
  </r>
  <r>
    <n v="660"/>
    <x v="659"/>
    <s v="39Tအင္ဂ်င္ဝိုင္ပန္႔တန္းပါ"/>
    <n v="5"/>
    <n v="6000"/>
    <n v="6000"/>
    <n v="22500"/>
    <x v="7"/>
  </r>
  <r>
    <n v="661"/>
    <x v="660"/>
    <s v="14T/17Tဘက္ပင္နယံ(စိပ္၊က်ယ္)"/>
    <n v="2"/>
    <n v="2500"/>
    <n v="2500"/>
    <n v="4050"/>
    <x v="7"/>
  </r>
  <r>
    <n v="662"/>
    <x v="661"/>
    <s v="14T/17Tဘက္ပင္နယံ(စိပ္၊က်ဥ္း)"/>
    <n v="3"/>
    <n v="2500"/>
    <n v="2500"/>
    <n v="6075"/>
    <x v="7"/>
  </r>
  <r>
    <n v="663"/>
    <x v="662"/>
    <s v="အင္ဂ်င္ဝိုင္ပန္႔ ရိုးရိုး"/>
    <n v="3"/>
    <n v="4000"/>
    <n v="4000"/>
    <n v="7605"/>
    <x v="7"/>
  </r>
  <r>
    <n v="664"/>
    <x v="663"/>
    <s v="ေရ Heat (150/300)"/>
    <n v="5"/>
    <n v="8600"/>
    <n v="8600"/>
    <n v="33125"/>
    <x v="7"/>
  </r>
  <r>
    <n v="665"/>
    <x v="664"/>
    <s v="လင္ဗန္းထိုင္ ဘုပါ"/>
    <n v="4"/>
    <n v="10000"/>
    <n v="10000"/>
    <n v="31620"/>
    <x v="7"/>
  </r>
  <r>
    <n v="666"/>
    <x v="665"/>
    <s v="အေပၚဂီယာပိုဆက္ရွင္A"/>
    <n v="4"/>
    <n v="1500"/>
    <n v="1500"/>
    <n v="2680"/>
    <x v="7"/>
  </r>
  <r>
    <n v="667"/>
    <x v="666"/>
    <s v="ဆီကေတာ့အႀကီး"/>
    <n v="1"/>
    <n v="2000"/>
    <n v="2000"/>
    <n v="1321"/>
    <x v="7"/>
  </r>
  <r>
    <n v="668"/>
    <x v="667"/>
    <s v="တိုက္ပစ္ဖူးစေတာ့ (250)"/>
    <n v="9"/>
    <n v="1800"/>
    <n v="1800"/>
    <n v="10260"/>
    <x v="7"/>
  </r>
  <r>
    <n v="669"/>
    <x v="668"/>
    <s v="တိုက္ပစ္ဖူးစေတာ့ (300)"/>
    <n v="3"/>
    <n v="2000"/>
    <n v="2000"/>
    <n v="4095"/>
    <x v="7"/>
  </r>
  <r>
    <n v="670"/>
    <x v="669"/>
    <s v="စပယ္ဖူးနတ္ေခါင္း ႀကီး"/>
    <n v="30"/>
    <n v="700"/>
    <n v="700"/>
    <n v="12450"/>
    <x v="7"/>
  </r>
  <r>
    <n v="671"/>
    <x v="670"/>
    <s v="ေရွ႕ဝင္ရိုး 31T (204)"/>
    <n v="1"/>
    <n v="4000"/>
    <n v="4000"/>
    <n v="2650"/>
    <x v="7"/>
  </r>
  <r>
    <n v="672"/>
    <x v="671"/>
    <s v="ေရလည္အံုပန္႔ဝိုင္းစီး"/>
    <n v="5"/>
    <n v="1500"/>
    <n v="1500"/>
    <n v="2815"/>
    <x v="7"/>
  </r>
  <r>
    <n v="673"/>
    <x v="672"/>
    <s v="ဂီယာနင္းတံရွည္ (ႏွစ္ဆင့္) "/>
    <n v="2"/>
    <n v="2000"/>
    <n v="2000"/>
    <n v="3140"/>
    <x v="7"/>
  </r>
  <r>
    <n v="674"/>
    <x v="673"/>
    <s v="ဆီစစ္"/>
    <n v="7"/>
    <n v="500"/>
    <n v="500"/>
    <n v="1659"/>
    <x v="7"/>
  </r>
  <r>
    <n v="675"/>
    <x v="674"/>
    <s v="အင္ဂ်င္ေဖာင္းဘြတ္စံု (250)"/>
    <n v="2"/>
    <n v="2500"/>
    <n v="2500"/>
    <n v="1844"/>
    <x v="7"/>
  </r>
  <r>
    <n v="676"/>
    <x v="675"/>
    <s v="အင္ဂ်င္ေဖာင္းဘြတ္စံု (150)"/>
    <n v="4"/>
    <n v="2500"/>
    <n v="2500"/>
    <n v="3140"/>
    <x v="7"/>
  </r>
  <r>
    <n v="677"/>
    <x v="676"/>
    <s v="အသံဗူး (ဆစ္ဂနယ္ဗူး)"/>
    <n v="3"/>
    <n v="2000"/>
    <n v="2000"/>
    <n v="2859"/>
    <x v="7"/>
  </r>
  <r>
    <n v="678"/>
    <x v="677"/>
    <s v="20X50 ဂၽြိဳင္းေဘာ"/>
    <n v="1"/>
    <n v="3500"/>
    <n v="3500"/>
    <n v="2280"/>
    <x v="7"/>
  </r>
  <r>
    <n v="679"/>
    <x v="678"/>
    <s v="ဘရိတ္စပလိန္"/>
    <n v="1"/>
    <n v="900"/>
    <n v="900"/>
    <n v="237"/>
    <x v="7"/>
  </r>
  <r>
    <n v="680"/>
    <x v="679"/>
    <s v="22x55 ဂၽြိဳင္းေဘာ"/>
    <n v="11"/>
    <n v="5000"/>
    <n v="5000"/>
    <n v="49500"/>
    <x v="7"/>
  </r>
  <r>
    <n v="681"/>
    <x v="680"/>
    <s v="ခရုဟြန္း (1ခု)(အမဲ)"/>
    <n v="1"/>
    <n v="5000"/>
    <n v="5000"/>
    <n v="3800"/>
    <x v="7"/>
  </r>
  <r>
    <n v="682"/>
    <x v="681"/>
    <s v="ခရုဟြန္း (အစိမ္း)"/>
    <n v="4"/>
    <n v="5000"/>
    <n v="5000"/>
    <n v="15716"/>
    <x v="7"/>
  </r>
  <r>
    <n v="683"/>
    <x v="682"/>
    <s v="ကလပ္အံု ရိုက္ၾကတ္နတ္"/>
    <n v="16"/>
    <n v="400"/>
    <n v="400"/>
    <n v="3360"/>
    <x v="7"/>
  </r>
  <r>
    <n v="684"/>
    <x v="683"/>
    <s v="ထရန္စဖာထိုးတံရွပ္လြတ္"/>
    <n v="1"/>
    <n v="2500"/>
    <n v="2500"/>
    <n v="814"/>
    <x v="7"/>
  </r>
  <r>
    <n v="685"/>
    <x v="684"/>
    <s v="ထရန္စဖာဂြပင္နယံ16T(4)"/>
    <n v="1"/>
    <n v="3000"/>
    <n v="3000"/>
    <n v="2077"/>
    <x v="7"/>
  </r>
  <r>
    <n v="686"/>
    <x v="685"/>
    <s v="31-43-10.5 ေရွာ့ဘားဝိုင္းစိး"/>
    <n v="16"/>
    <n v="500"/>
    <n v="500"/>
    <n v="4800"/>
    <x v="7"/>
  </r>
  <r>
    <n v="687"/>
    <x v="686"/>
    <s v="ကာပရိုက္တာ(1 ပင္)(200/250)"/>
    <n v="2"/>
    <n v="20000"/>
    <n v="20000"/>
    <n v="33800"/>
    <x v="7"/>
  </r>
  <r>
    <n v="688"/>
    <x v="687"/>
    <s v="CDI 200-250"/>
    <n v="5"/>
    <n v="8500"/>
    <n v="8500"/>
    <n v="30615"/>
    <x v="7"/>
  </r>
  <r>
    <n v="689"/>
    <x v="688"/>
    <s v="ဘီးနတ္(R)"/>
    <n v="57"/>
    <n v="900"/>
    <n v="900"/>
    <n v="37050"/>
    <x v="7"/>
  </r>
  <r>
    <n v="690"/>
    <x v="689"/>
    <s v="22X55(4P)ဂၽြိဳင္းဂြလြတ္"/>
    <n v="5"/>
    <n v="3500"/>
    <n v="3500"/>
    <n v="16000"/>
    <x v="7"/>
  </r>
  <r>
    <n v="691"/>
    <x v="690"/>
    <s v="ေနာက္ဟက္အံု(6009) R"/>
    <n v="2"/>
    <n v="24000"/>
    <n v="24000"/>
    <n v="40750"/>
    <x v="7"/>
  </r>
  <r>
    <n v="692"/>
    <x v="691"/>
    <s v="ကလပ္ျပား(6)ခ်ပ္ေလ(150)"/>
    <n v="2"/>
    <n v="5500"/>
    <n v="5500"/>
    <n v="8640"/>
    <x v="7"/>
  </r>
  <r>
    <n v="693"/>
    <x v="692"/>
    <s v="ကလပ္သံျပား (150) ေလ"/>
    <n v="4"/>
    <n v="1700"/>
    <n v="1700"/>
    <n v="4556"/>
    <x v="7"/>
  </r>
  <r>
    <n v="694"/>
    <x v="693"/>
    <s v="စတပ္ေမာ္တာပင္နယံထူ(16/60)"/>
    <n v="2"/>
    <n v="6000"/>
    <n v="6000"/>
    <n v="7554"/>
    <x v="7"/>
  </r>
  <r>
    <n v="695"/>
    <x v="694"/>
    <s v="စတပ္ေမာ္တာပင္နယံပါး(16/60)"/>
    <n v="2"/>
    <n v="5500"/>
    <n v="5500"/>
    <n v="5530"/>
    <x v="7"/>
  </r>
  <r>
    <n v="696"/>
    <x v="695"/>
    <s v="4ေပါက္အမစြပ္ပါ100cm"/>
    <n v="1"/>
    <n v="28000"/>
    <n v="28000"/>
    <n v="15462"/>
    <x v="7"/>
  </r>
  <r>
    <n v="697"/>
    <x v="696"/>
    <s v="4ေပါက္အမစြပ္ပါ60cm"/>
    <n v="1"/>
    <n v="26000"/>
    <n v="26000"/>
    <n v="14312"/>
    <x v="7"/>
  </r>
  <r>
    <n v="698"/>
    <x v="697"/>
    <s v="ေရပိုက္(1 ေပ)"/>
    <n v="53"/>
    <n v="700"/>
    <n v="700"/>
    <n v="22366"/>
    <x v="7"/>
  </r>
  <r>
    <n v="699"/>
    <x v="698"/>
    <s v="ေရွ႕ဝင္ရိုးနတ္ေခါင္းလြတ္"/>
    <n v="6"/>
    <n v="600"/>
    <n v="600"/>
    <n v="1044"/>
    <x v="7"/>
  </r>
  <r>
    <n v="700"/>
    <x v="699"/>
    <s v="0-5 ဘရိတ္ဆီဗူး"/>
    <n v="1"/>
    <n v="1200"/>
    <n v="1200"/>
    <n v="980"/>
    <x v="7"/>
  </r>
  <r>
    <n v="701"/>
    <x v="700"/>
    <s v="9:35 လင္ဗန္း"/>
    <n v="3"/>
    <n v="30300"/>
    <n v="30300"/>
    <n v="81810"/>
    <x v="7"/>
  </r>
  <r>
    <n v="702"/>
    <x v="701"/>
    <s v="20-34-7 မိန္းရွပ္ဝိုင္စီး"/>
    <n v="8"/>
    <n v="700"/>
    <n v="700"/>
    <n v="1704"/>
    <x v="7"/>
  </r>
  <r>
    <n v="703"/>
    <x v="702"/>
    <s v="28-37-7 ဝိုင္းစီး"/>
    <n v="7"/>
    <n v="700"/>
    <n v="700"/>
    <n v="1659"/>
    <x v="7"/>
  </r>
  <r>
    <n v="704"/>
    <x v="703"/>
    <s v="22×55 ဂၽြိဳင္းဂြလြတ္"/>
    <n v="11"/>
    <n v="4000"/>
    <n v="4000"/>
    <n v="31460"/>
    <x v="7"/>
  </r>
  <r>
    <n v="705"/>
    <x v="704"/>
    <s v="ဘရိတ္ဆြိ စပလိန္ပါ"/>
    <n v="9"/>
    <n v="1300"/>
    <n v="1300"/>
    <n v="4860"/>
    <x v="7"/>
  </r>
  <r>
    <n v="706"/>
    <x v="705"/>
    <s v="ကလပ္အံုဝါရွာ+ကလစ္"/>
    <n v="2"/>
    <n v="200"/>
    <n v="200"/>
    <n v="346"/>
    <x v="7"/>
  </r>
  <r>
    <n v="707"/>
    <x v="706"/>
    <s v="ကလပ္အံုေဘာေထာက္(Set)"/>
    <n v="10"/>
    <n v="1500"/>
    <n v="1500"/>
    <n v="10300"/>
    <x v="7"/>
  </r>
  <r>
    <n v="708"/>
    <x v="707"/>
    <s v="အဲယားကလင္နာပိုက္ရွည္"/>
    <n v="9"/>
    <n v="3200"/>
    <n v="3200"/>
    <n v="19800"/>
    <x v="7"/>
  </r>
  <r>
    <n v="709"/>
    <x v="708"/>
    <s v="ကရိုင္းနတ္ေခါင္း (300)"/>
    <n v="2"/>
    <n v="1000"/>
    <n v="1000"/>
    <n v="1270"/>
    <x v="7"/>
  </r>
  <r>
    <n v="710"/>
    <x v="709"/>
    <s v="က်ဴပင္ပန္းဝါရွာ(6009)"/>
    <n v="3"/>
    <n v="500"/>
    <n v="500"/>
    <n v="468"/>
    <x v="7"/>
  </r>
  <r>
    <n v="711"/>
    <x v="710"/>
    <s v="မာန္တိုင္ေဘာ 698909 "/>
    <n v="7"/>
    <n v="5000"/>
    <n v="5000"/>
    <n v="23240"/>
    <x v="7"/>
  </r>
  <r>
    <n v="712"/>
    <x v="711"/>
    <s v="ဖူးစေတာ့တံ (125/150)"/>
    <n v="1"/>
    <n v="1500"/>
    <n v="1500"/>
    <n v="900"/>
    <x v="7"/>
  </r>
  <r>
    <n v="713"/>
    <x v="712"/>
    <s v="11:35 စပါယ္ဖူး"/>
    <n v="2"/>
    <n v="19500"/>
    <n v="19500"/>
    <n v="28750"/>
    <x v="7"/>
  </r>
  <r>
    <n v="714"/>
    <x v="713"/>
    <s v="11;35 လင္ဗန္း"/>
    <n v="2"/>
    <n v="26500"/>
    <n v="26500"/>
    <n v="42500"/>
    <x v="7"/>
  </r>
  <r>
    <n v="715"/>
    <x v="714"/>
    <s v="U ဘိုး(ေဒါင့္ေသး)200/8&quot;"/>
    <n v="13"/>
    <n v="2000"/>
    <n v="2000"/>
    <n v="18200"/>
    <x v="7"/>
  </r>
  <r>
    <n v="716"/>
    <x v="715"/>
    <s v="ေအာက္ေမာင္းရွပ္ပါႀကီး"/>
    <n v="5"/>
    <n v="8500"/>
    <n v="8500"/>
    <n v="31875"/>
    <x v="7"/>
  </r>
  <r>
    <n v="717"/>
    <x v="716"/>
    <s v="ဆီဘရိတ္စပလိန္ွSet"/>
    <n v="9"/>
    <n v="2000"/>
    <n v="2000"/>
    <n v="14220"/>
    <x v="7"/>
  </r>
  <r>
    <n v="718"/>
    <x v="717"/>
    <s v="ရိုးရိ္ုး ဆီဘရိတ္စပလိန္"/>
    <n v="5"/>
    <n v="1500"/>
    <n v="1500"/>
    <n v="5270"/>
    <x v="7"/>
  </r>
  <r>
    <n v="719"/>
    <x v="718"/>
    <s v="မိုင္းလစ္ခြက္(ရႊင္လန္း)"/>
    <n v="2"/>
    <n v="33000"/>
    <n v="33000"/>
    <n v="56000"/>
    <x v="7"/>
  </r>
  <r>
    <n v="720"/>
    <x v="719"/>
    <s v="မိုင္းလစ္အထိုင္(ရႊင္လန္း)"/>
    <n v="2"/>
    <n v="7500"/>
    <n v="7500"/>
    <n v="10000"/>
    <x v="7"/>
  </r>
  <r>
    <n v="721"/>
    <x v="720"/>
    <s v="ထရန္စဖာ စပလိန္"/>
    <n v="9"/>
    <n v="800"/>
    <n v="800"/>
    <n v="4590"/>
    <x v="7"/>
  </r>
  <r>
    <n v="722"/>
    <x v="721"/>
    <s v="8ကြင္းဝိုက္စီးစံု"/>
    <n v="2"/>
    <n v="2500"/>
    <n v="2500"/>
    <n v="3800"/>
    <x v="7"/>
  </r>
  <r>
    <n v="723"/>
    <x v="722"/>
    <s v="7 ကြင္း ဝိုင္းစိးစံု"/>
    <n v="1"/>
    <n v="1600"/>
    <n v="1600"/>
    <n v="1146"/>
    <x v="7"/>
  </r>
  <r>
    <n v="724"/>
    <x v="723"/>
    <s v="ဘရိတ္ဆီဗူုး (1)ေပါက္"/>
    <n v="6"/>
    <n v="2000"/>
    <n v="2000"/>
    <n v="4728"/>
    <x v="7"/>
  </r>
  <r>
    <n v="725"/>
    <x v="724"/>
    <s v="ဘရိတ္ဆီဗူး (2)ေပါက္"/>
    <n v="1"/>
    <n v="1500"/>
    <n v="1500"/>
    <n v="859"/>
    <x v="7"/>
  </r>
  <r>
    <n v="726"/>
    <x v="725"/>
    <s v="LED 6 ပြင့္ မွန္ဘီလူး"/>
    <n v="9"/>
    <n v="5000"/>
    <n v="5000"/>
    <n v="36000"/>
    <x v="7"/>
  </r>
  <r>
    <n v="727"/>
    <x v="726"/>
    <s v="LED 18 ပြင့္ ရွာပါ"/>
    <n v="6"/>
    <n v="6000"/>
    <n v="6000"/>
    <n v="26700"/>
    <x v="7"/>
  </r>
  <r>
    <n v="728"/>
    <x v="727"/>
    <s v="LED 8 ပြင့္  မွန္ဘီလူး"/>
    <n v="2"/>
    <n v="8000"/>
    <n v="8000"/>
    <n v="14300"/>
    <x v="7"/>
  </r>
  <r>
    <n v="729"/>
    <x v="728"/>
    <s v="ေရွ႕မီးေခါင္းစံုလြတ္ (ရႊင္လန္း)"/>
    <n v="2"/>
    <n v="27000"/>
    <n v="27000"/>
    <n v="38292"/>
    <x v="7"/>
  </r>
  <r>
    <n v="730"/>
    <x v="729"/>
    <s v="ဂီယာရွပ္တံတို250"/>
    <n v="7"/>
    <n v="4000"/>
    <n v="4000"/>
    <n v="14525"/>
    <x v="7"/>
  </r>
  <r>
    <n v="731"/>
    <x v="730"/>
    <s v="ဂီယာရွပ္တံရွည္150"/>
    <n v="3"/>
    <n v="3700"/>
    <n v="3700"/>
    <n v="6564"/>
    <x v="7"/>
  </r>
  <r>
    <n v="732"/>
    <x v="731"/>
    <s v="ေလးဘြတ္္ ေကာ္လံပါ/ရာဘာတို_x000d__x000a_"/>
    <n v="6"/>
    <n v="500"/>
    <n v="500"/>
    <n v="2400"/>
    <x v="7"/>
  </r>
  <r>
    <n v="733"/>
    <x v="732"/>
    <s v="ဆီတိုင္ကီ လိေမၼာ္ "/>
    <n v="1"/>
    <n v="75000"/>
    <n v="75000"/>
    <n v="70500"/>
    <x v="7"/>
  </r>
  <r>
    <n v="734"/>
    <x v="733"/>
    <s v="ေရွစပလိန္ေဖာက္ဘြတ္(4ခု1စံု)"/>
    <n v="5"/>
    <n v="4500"/>
    <n v="4500"/>
    <n v="14820"/>
    <x v="7"/>
  </r>
  <r>
    <n v="735"/>
    <x v="734"/>
    <s v="ေရွစပလိန္ေဖာက္ဘြတ္(ေကာ္)"/>
    <n v="5"/>
    <n v="4000"/>
    <n v="4000"/>
    <n v="11475"/>
    <x v="7"/>
  </r>
  <r>
    <n v="736"/>
    <x v="735"/>
    <s v="ကလပ္ၾကားခံသံျပား(250)"/>
    <n v="12"/>
    <n v="4500"/>
    <n v="4500"/>
    <n v="39840"/>
    <x v="7"/>
  </r>
  <r>
    <n v="737"/>
    <x v="736"/>
    <s v="12T ဘက္အံုပင္နယံ6205"/>
    <n v="14"/>
    <n v="5000"/>
    <n v="5000"/>
    <n v="70000"/>
    <x v="7"/>
  </r>
  <r>
    <n v="738"/>
    <x v="737"/>
    <s v="အိတ္ေဇာထိန္းကလစ္ထူ"/>
    <n v="1"/>
    <n v="2500"/>
    <n v="2500"/>
    <n v="1263"/>
    <x v="7"/>
  </r>
  <r>
    <n v="739"/>
    <x v="738"/>
    <s v="9:35 စပါယ္ဖူး"/>
    <n v="5"/>
    <n v="19700"/>
    <n v="19700"/>
    <n v="83500"/>
    <x v="7"/>
  </r>
  <r>
    <n v="740"/>
    <x v="739"/>
    <s v="250 ဘားတံ (စတီး)"/>
    <n v="1"/>
    <n v="6000"/>
    <n v="6000"/>
    <n v="3193"/>
    <x v="7"/>
  </r>
  <r>
    <n v="741"/>
    <x v="740"/>
    <s v="ဆီေဂါက္"/>
    <n v="3"/>
    <n v="2500"/>
    <n v="2500"/>
    <n v="4470"/>
    <x v="7"/>
  </r>
  <r>
    <n v="742"/>
    <x v="741"/>
    <s v="Full Set (150)ေရ"/>
    <n v="4"/>
    <n v="5000"/>
    <n v="5000"/>
    <n v="17000"/>
    <x v="7"/>
  </r>
  <r>
    <n v="743"/>
    <x v="742"/>
    <s v="Full Set (150)ေလ"/>
    <n v="1"/>
    <n v="3000"/>
    <n v="3000"/>
    <n v="2175"/>
    <x v="7"/>
  </r>
  <r>
    <n v="744"/>
    <x v="743"/>
    <s v="ဒိုင္အုပ္ႀကီး (5 စ)"/>
    <n v="5"/>
    <n v="18000"/>
    <n v="18000"/>
    <n v="73500"/>
    <x v="7"/>
  </r>
  <r>
    <n v="745"/>
    <x v="744"/>
    <s v="ရိုးရိုးဘရိတ္ရွဴးျခမ္း150"/>
    <n v="1"/>
    <n v="4000"/>
    <n v="4000"/>
    <n v="2934"/>
    <x v="7"/>
  </r>
  <r>
    <n v="746"/>
    <x v="745"/>
    <s v="20X55(4P)ဂၽြိဳင္းဂြတြဲ6T"/>
    <n v="2"/>
    <n v="11000"/>
    <n v="11000"/>
    <n v="15556"/>
    <x v="7"/>
  </r>
  <r>
    <n v="747"/>
    <x v="746"/>
    <s v="20X50(4P)ဂၽြိဳင္းဂြတြဲ6T"/>
    <n v="2"/>
    <n v="10000"/>
    <n v="10000"/>
    <n v="15300"/>
    <x v="7"/>
  </r>
  <r>
    <n v="748"/>
    <x v="747"/>
    <s v="ေသာ့အဖံုးေကာ္ျပား"/>
    <n v="9"/>
    <n v="1700"/>
    <n v="1700"/>
    <n v="0"/>
    <x v="7"/>
  </r>
  <r>
    <n v="749"/>
    <x v="748"/>
    <s v="ကလပ္ေမာင္း Set"/>
    <n v="5"/>
    <n v="3000"/>
    <n v="3000"/>
    <n v="5960"/>
    <x v="7"/>
  </r>
  <r>
    <n v="750"/>
    <x v="749"/>
    <s v="CDI 150/175"/>
    <n v="2"/>
    <n v="6500"/>
    <n v="6500"/>
    <n v="6078"/>
    <x v="7"/>
  </r>
  <r>
    <n v="751"/>
    <x v="750"/>
    <s v="U ဘိုး အဝိုင္းတုပ္ 8&quot;"/>
    <n v="2"/>
    <n v="2500"/>
    <n v="2500"/>
    <n v="2620"/>
    <x v="7"/>
  </r>
  <r>
    <n v="752"/>
    <x v="751"/>
    <s v="ေကာ္ေရတိုင္ကီဖံုးျဖဴ/မဲ"/>
    <n v="5"/>
    <n v="1000"/>
    <n v="1000"/>
    <n v="2655"/>
    <x v="7"/>
  </r>
  <r>
    <n v="753"/>
    <x v="752"/>
    <s v="U ဘိုး အဝိုင္းတုပ္ 7 &quot;"/>
    <n v="8"/>
    <n v="2300"/>
    <n v="2300"/>
    <n v="9032"/>
    <x v="7"/>
  </r>
  <r>
    <n v="754"/>
    <x v="753"/>
    <s v="ပစၥတင္ 250 (STD)"/>
    <n v="5"/>
    <n v="8000"/>
    <n v="8000"/>
    <n v="28305"/>
    <x v="7"/>
  </r>
  <r>
    <n v="755"/>
    <x v="754"/>
    <s v="ရိန္း 250 (STD)"/>
    <n v="1"/>
    <n v="6000"/>
    <n v="6000"/>
    <n v="5450"/>
    <x v="7"/>
  </r>
  <r>
    <n v="756"/>
    <x v="755"/>
    <s v="20X50 ဂၽြိဳင္းဂြလြတ္"/>
    <n v="2"/>
    <n v="3200"/>
    <n v="3200"/>
    <n v="4514"/>
    <x v="7"/>
  </r>
  <r>
    <n v="757"/>
    <x v="756"/>
    <s v="စတပ္ပင္နယံလြတ္ထူ200"/>
    <n v="1"/>
    <n v="8000"/>
    <n v="8000"/>
    <n v="5049"/>
    <x v="7"/>
  </r>
  <r>
    <n v="758"/>
    <x v="757"/>
    <s v="စတပ္ေမာ္တာပင္နယံ(16/49)"/>
    <n v="2"/>
    <n v="6000"/>
    <n v="6000"/>
    <n v="8738"/>
    <x v="7"/>
  </r>
  <r>
    <n v="759"/>
    <x v="758"/>
    <s v="12T ဘက္အံုပင္နယံ ကလစ္ပါ 6206"/>
    <n v="4"/>
    <n v="4500"/>
    <n v="4500"/>
    <n v="14404"/>
    <x v="7"/>
  </r>
  <r>
    <n v="760"/>
    <x v="759"/>
    <s v="ေမာ္တာအဖံုး(အခံုး)3ေပါက္"/>
    <n v="6"/>
    <n v="3500"/>
    <n v="3500"/>
    <n v="12648"/>
    <x v="7"/>
  </r>
  <r>
    <n v="761"/>
    <x v="760"/>
    <s v="12 ထုပ္ကိြဳင္(160W)"/>
    <n v="3"/>
    <n v="19000"/>
    <n v="19000"/>
    <n v="49500"/>
    <x v="7"/>
  </r>
  <r>
    <n v="762"/>
    <x v="761"/>
    <s v="30205 ( ေစာင္း)"/>
    <n v="4"/>
    <n v="3500"/>
    <n v="3500"/>
    <n v="7352"/>
    <x v="7"/>
  </r>
  <r>
    <n v="763"/>
    <x v="762"/>
    <s v="12ထုပ္သံလိုက္တံုးလြတ္ျပင္ရစ္/ျမင့္ 300CC"/>
    <n v="3"/>
    <n v="22000"/>
    <n v="22000"/>
    <n v="54000"/>
    <x v="7"/>
  </r>
  <r>
    <n v="764"/>
    <x v="763"/>
    <s v="ဘတၳရီ ေၾကးကလစ္(ခု)"/>
    <n v="1"/>
    <n v="800"/>
    <n v="800"/>
    <n v="573"/>
    <x v="7"/>
  </r>
  <r>
    <n v="765"/>
    <x v="764"/>
    <s v="ေရလည္တိုင္ကီ အလြတ္"/>
    <n v="1"/>
    <n v="35000"/>
    <n v="35000"/>
    <n v="29375"/>
    <x v="7"/>
  </r>
  <r>
    <n v="766"/>
    <x v="765"/>
    <s v="ေရလည္တိုင္ကီ(လြတ္)(ေရ Heat ပါ)"/>
    <n v="1"/>
    <n v="37000"/>
    <n v="37000"/>
    <n v="33000"/>
    <x v="7"/>
  </r>
  <r>
    <n v="767"/>
    <x v="766"/>
    <s v="လင္ဗန္းထိုင္ ဘုမပါ"/>
    <n v="1"/>
    <n v="8000"/>
    <n v="8000"/>
    <n v="4530"/>
    <x v="7"/>
  </r>
  <r>
    <n v="768"/>
    <x v="767"/>
    <s v="စတပ္ကက္ေတာက္ဝိုင္း"/>
    <n v="3"/>
    <n v="4500"/>
    <n v="4500"/>
    <n v="9432"/>
    <x v="7"/>
  </r>
  <r>
    <n v="769"/>
    <x v="768"/>
    <s v="ဆီဒရမ္ဖံုး(ေသး)"/>
    <n v="3"/>
    <n v="21000"/>
    <n v="21000"/>
    <n v="51450"/>
    <x v="7"/>
  </r>
  <r>
    <n v="770"/>
    <x v="769"/>
    <s v="250CC အဂၤ်င္ျခမ္းႀကီး( L )G_x000d__x000a_"/>
    <n v="1"/>
    <n v="50000"/>
    <n v="50000"/>
    <n v="41000"/>
    <x v="7"/>
  </r>
  <r>
    <n v="771"/>
    <x v="770"/>
    <s v="ဂီယာပိုဆက္ရွင္(အေပၚ)(1)"/>
    <n v="5"/>
    <n v="1500"/>
    <n v="1500"/>
    <n v="5235"/>
    <x v="7"/>
  </r>
  <r>
    <n v="772"/>
    <x v="771"/>
    <s v="ဂီယာပိုဆက္ရွင္(ေအာက္)(2)"/>
    <n v="3"/>
    <n v="1500"/>
    <n v="1500"/>
    <n v="3141"/>
    <x v="7"/>
  </r>
  <r>
    <n v="773"/>
    <x v="772"/>
    <s v="ဂီယာပိုဆက္ရွင္(အေပၚ)(2)"/>
    <n v="4"/>
    <n v="1800"/>
    <n v="1800"/>
    <n v="5304"/>
    <x v="7"/>
  </r>
  <r>
    <n v="774"/>
    <x v="773"/>
    <s v="ဂီယာပိုဆက္ရွင္(သံငုတ္)"/>
    <n v="5"/>
    <n v="1500"/>
    <n v="1500"/>
    <n v="5930"/>
    <x v="7"/>
  </r>
  <r>
    <n v="775"/>
    <x v="774"/>
    <s v="ဒိုင္အုပ္လတ္(5ဆ)"/>
    <n v="2"/>
    <n v="8000"/>
    <n v="8000"/>
    <n v="12600"/>
    <x v="7"/>
  </r>
  <r>
    <n v="776"/>
    <x v="775"/>
    <s v="ပစၥတင္(CG-250)STD"/>
    <n v="4"/>
    <n v="6000"/>
    <n v="6000"/>
    <n v="14600"/>
    <x v="7"/>
  </r>
  <r>
    <n v="777"/>
    <x v="776"/>
    <s v="18ထုပ္ကြိဳင္"/>
    <n v="1"/>
    <n v="15000"/>
    <n v="15000"/>
    <n v="13000"/>
    <x v="7"/>
  </r>
  <r>
    <n v="778"/>
    <x v="777"/>
    <s v="250CC အဂၤ်င္ျခမ္းႀကီး(  R )G_x000d__x000a_"/>
    <n v="1"/>
    <n v="50000"/>
    <n v="50000"/>
    <n v="41000"/>
    <x v="7"/>
  </r>
  <r>
    <n v="779"/>
    <x v="778"/>
    <s v="ကာပရိုက္တာ (2 ပင္)(200/250)"/>
    <n v="2"/>
    <n v="22000"/>
    <n v="22000"/>
    <n v="35946"/>
    <x v="7"/>
  </r>
  <r>
    <n v="780"/>
    <x v="779"/>
    <s v="ကလပ္အံု (set)(200/6ခ်ပ္)ရပစ္"/>
    <n v="4"/>
    <n v="27000"/>
    <n v="27000"/>
    <n v="91500"/>
    <x v="7"/>
  </r>
  <r>
    <n v="781"/>
    <x v="780"/>
    <s v="ကလပ္အံု(set)(250/7ခ်ပ္)စပရိန္"/>
    <n v="1"/>
    <n v="35000"/>
    <n v="35000"/>
    <n v="29750"/>
    <x v="7"/>
  </r>
  <r>
    <n v="782"/>
    <x v="781"/>
    <s v="ေနာက္ဟက္ဒြမ္(6008)(220)"/>
    <n v="2"/>
    <n v="20000"/>
    <n v="20000"/>
    <n v="33324"/>
    <x v="7"/>
  </r>
  <r>
    <n v="783"/>
    <x v="782"/>
    <s v="ပစၥတင္ (250)0.25"/>
    <n v="3"/>
    <n v="7000"/>
    <n v="7000"/>
    <n v="16740"/>
    <x v="7"/>
  </r>
  <r>
    <n v="784"/>
    <x v="783"/>
    <s v="ပစၥတင္ (300)0.25"/>
    <n v="4"/>
    <n v="9000"/>
    <n v="9000"/>
    <n v="32280"/>
    <x v="7"/>
  </r>
  <r>
    <n v="785"/>
    <x v="784"/>
    <s v="ပစၥတင္(250)(50)"/>
    <n v="4"/>
    <n v="11000"/>
    <n v="11000"/>
    <n v="38080"/>
    <x v="7"/>
  </r>
  <r>
    <n v="786"/>
    <x v="785"/>
    <s v="ရိန္း(300/70)(50)"/>
    <n v="8"/>
    <n v="6500"/>
    <n v="6500"/>
    <n v="42120"/>
    <x v="7"/>
  </r>
  <r>
    <n v="787"/>
    <x v="786"/>
    <s v="ေလး စပရိန္(10)လိမ္အျမင့္A"/>
    <n v="2"/>
    <n v="6500"/>
    <n v="6500"/>
    <n v="10000"/>
    <x v="7"/>
  </r>
  <r>
    <n v="788"/>
    <x v="787"/>
    <s v="ဘား ဝိုင္းစီး (1 စံု)"/>
    <n v="9"/>
    <n v="500"/>
    <n v="500"/>
    <n v="2538"/>
    <x v="7"/>
  </r>
  <r>
    <n v="789"/>
    <x v="788"/>
    <s v="ရိန္း (200) STD"/>
    <n v="1"/>
    <n v="5500"/>
    <n v="5500"/>
    <n v="4000"/>
    <x v="7"/>
  </r>
  <r>
    <n v="790"/>
    <x v="789"/>
    <s v="Full Set (200)(ပါကင္စံု)ေရ"/>
    <n v="1"/>
    <n v="5000"/>
    <n v="5000"/>
    <n v="3440"/>
    <x v="7"/>
  </r>
  <r>
    <n v="791"/>
    <x v="790"/>
    <s v="ဆီတိုင္ကီ အဖံုးလြတ္(ဝိုင္း)"/>
    <n v="6"/>
    <n v="10000"/>
    <n v="10000"/>
    <n v="45000"/>
    <x v="7"/>
  </r>
  <r>
    <n v="792"/>
    <x v="791"/>
    <s v="ရိန္း(150/175)(75)"/>
    <n v="1"/>
    <n v="4000"/>
    <n v="4000"/>
    <n v="2377"/>
    <x v="7"/>
  </r>
  <r>
    <n v="793"/>
    <x v="792"/>
    <s v="အခ်က္ျပမီး(set)ဖိုက္တာေခါင္း"/>
    <n v="4"/>
    <n v="2300"/>
    <n v="2300"/>
    <n v="5200"/>
    <x v="7"/>
  </r>
  <r>
    <n v="794"/>
    <x v="793"/>
    <s v="ေသာ့အဖံုးကာဗာမဲ"/>
    <n v="1"/>
    <n v="4000"/>
    <n v="4000"/>
    <n v="2500"/>
    <x v="7"/>
  </r>
  <r>
    <n v="795"/>
    <x v="794"/>
    <s v="ေသာ့အထိုင္ သံျပား"/>
    <n v="1"/>
    <n v="3000"/>
    <n v="3000"/>
    <n v="2000"/>
    <x v="7"/>
  </r>
  <r>
    <n v="796"/>
    <x v="795"/>
    <s v="ေခါင္းရွပ္အထိုင္သံေခ်ာင္း"/>
    <n v="1"/>
    <n v="7000"/>
    <n v="7000"/>
    <n v="5000"/>
    <x v="7"/>
  </r>
  <r>
    <n v="797"/>
    <x v="796"/>
    <s v="ဆီဒရမ္ဖံုး (set) ႀကီး T"/>
    <n v="3"/>
    <n v="30000"/>
    <n v="30000"/>
    <n v="80625"/>
    <x v="7"/>
  </r>
  <r>
    <n v="798"/>
    <x v="797"/>
    <s v="အိတ္ေဇာခါးပတ္ထူ"/>
    <n v="4"/>
    <n v="2000"/>
    <n v="2000"/>
    <n v="3664"/>
    <x v="7"/>
  </r>
  <r>
    <n v="799"/>
    <x v="798"/>
    <s v="16t/10t ဘက္အံုပင္နယံ(စိတ္ထူက်ယ္)"/>
    <n v="3"/>
    <n v="3000"/>
    <n v="3000"/>
    <n v="7086"/>
    <x v="7"/>
  </r>
  <r>
    <n v="800"/>
    <x v="799"/>
    <s v="ေလးပင္နတ္(တို)"/>
    <n v="5"/>
    <n v="800"/>
    <n v="800"/>
    <n v="2910"/>
    <x v="7"/>
  </r>
  <r>
    <n v="801"/>
    <x v="800"/>
    <s v="ေလးပင္နတ္(ရွည္)"/>
    <n v="5"/>
    <n v="1000"/>
    <n v="1000"/>
    <n v="3550"/>
    <x v="7"/>
  </r>
  <r>
    <n v="802"/>
    <x v="801"/>
    <s v="ေလးပင္နတ္(လတ္)"/>
    <n v="1"/>
    <n v="800"/>
    <n v="800"/>
    <n v="532"/>
    <x v="7"/>
  </r>
  <r>
    <n v="803"/>
    <x v="802"/>
    <s v="ထိုင္ခံု(ZB)A"/>
    <n v="2"/>
    <n v="26500"/>
    <n v="26500"/>
    <n v="39000"/>
    <x v="7"/>
  </r>
  <r>
    <n v="804"/>
    <x v="803"/>
    <s v="ကလပ္အံု (Set)(200/6ခ်ပ္)စပရိန္"/>
    <n v="3"/>
    <n v="28500"/>
    <n v="28500"/>
    <n v="70620"/>
    <x v="7"/>
  </r>
  <r>
    <n v="805"/>
    <x v="804"/>
    <s v="14T/17T ဘက္အံုပင္နယံ(စိပ္ထူ က်ယ္)"/>
    <n v="4"/>
    <n v="4500"/>
    <n v="4500"/>
    <n v="10796"/>
    <x v="7"/>
  </r>
  <r>
    <n v="806"/>
    <x v="805"/>
    <s v="ရိုးရိုး ဒရမ္အဖုံုး (set) ႀကီး T"/>
    <n v="2"/>
    <n v="16500"/>
    <n v="16500"/>
    <n v="19900"/>
    <x v="7"/>
  </r>
  <r>
    <n v="807"/>
    <x v="806"/>
    <s v="14T/17T ဘက္အံုပင္နယံ(စိပ္ထူ က်ဥ္း)"/>
    <n v="1"/>
    <n v="3500"/>
    <n v="3500"/>
    <n v="2420"/>
    <x v="7"/>
  </r>
  <r>
    <n v="808"/>
    <x v="807"/>
    <s v="14T/17T ဘက္အံုပင္နယံ(စိပ္ပါး က်ယ္)"/>
    <n v="2"/>
    <n v="4000"/>
    <n v="4000"/>
    <n v="5780"/>
    <x v="7"/>
  </r>
  <r>
    <n v="809"/>
    <x v="808"/>
    <s v="14T/17T ဘက္အံုင္နယံ(စိပ္ပါး က်ဥ္း)"/>
    <n v="2"/>
    <n v="4000"/>
    <n v="4000"/>
    <n v="5598"/>
    <x v="7"/>
  </r>
  <r>
    <n v="810"/>
    <x v="809"/>
    <s v="20×55(4P)ဂၽြိဳင္းဂြလြတ္"/>
    <n v="7"/>
    <n v="3500"/>
    <n v="3500"/>
    <n v="21000"/>
    <x v="7"/>
  </r>
  <r>
    <n v="811"/>
    <x v="810"/>
    <s v="ဖူးစေတာ့တံ မဲအလံုးေသး (250)"/>
    <n v="5"/>
    <n v="2000"/>
    <n v="2000"/>
    <n v="6500"/>
    <x v="7"/>
  </r>
  <r>
    <n v="812"/>
    <x v="811"/>
    <s v="ေသာ့လြတ္ရွည္ (ေကာင္း)"/>
    <n v="6"/>
    <n v="5500"/>
    <n v="5500"/>
    <n v="22800"/>
    <x v="7"/>
  </r>
  <r>
    <n v="813"/>
    <x v="812"/>
    <s v="ဘေလာက္ (SET)(150)ေရ"/>
    <n v="4"/>
    <n v="45000"/>
    <n v="45000"/>
    <n v="150500"/>
    <x v="7"/>
  </r>
  <r>
    <n v="814"/>
    <x v="813"/>
    <s v="တိုက္ပစ္နတ္"/>
    <n v="4"/>
    <n v="250"/>
    <n v="250"/>
    <n v="600"/>
    <x v="7"/>
  </r>
  <r>
    <n v="815"/>
    <x v="814"/>
    <s v="ဘရိတ္နင္းတံစပုလိန္(1ဖက္)ေကာက္"/>
    <n v="16"/>
    <n v="500"/>
    <n v="500"/>
    <n v="3792"/>
    <x v="7"/>
  </r>
  <r>
    <n v="816"/>
    <x v="815"/>
    <s v="ဆီဂိတ္ျပစံု"/>
    <n v="3"/>
    <n v="5000"/>
    <n v="5000"/>
    <n v="10500"/>
    <x v="7"/>
  </r>
  <r>
    <n v="817"/>
    <x v="816"/>
    <s v="မ႑ိဳင္ရိုက္ၾကပ္နတ္(အရစ္စိပ္)(150)"/>
    <n v="2"/>
    <n v="1500"/>
    <n v="1500"/>
    <n v="1470"/>
    <x v="7"/>
  </r>
  <r>
    <n v="818"/>
    <x v="817"/>
    <s v="အိတ္ေဇာထိန္းရာဘာ"/>
    <n v="5"/>
    <n v="800"/>
    <n v="800"/>
    <n v="2250"/>
    <x v="7"/>
  </r>
  <r>
    <n v="819"/>
    <x v="818"/>
    <s v="သံုးဘီး ေဘးကာ (လိေမၼာ္)"/>
    <n v="2"/>
    <n v="40000"/>
    <n v="40000"/>
    <n v="68000"/>
    <x v="7"/>
  </r>
  <r>
    <n v="820"/>
    <x v="819"/>
    <s v="20.35.7ဝိုက္စီး"/>
    <n v="11"/>
    <n v="600"/>
    <n v="600"/>
    <n v="3850"/>
    <x v="7"/>
  </r>
  <r>
    <n v="821"/>
    <x v="820"/>
    <s v="(5P)ကလပ္ဖိျပား က်ဥ္းA"/>
    <n v="1"/>
    <n v="800"/>
    <n v="800"/>
    <n v="468"/>
    <x v="7"/>
  </r>
  <r>
    <n v="822"/>
    <x v="821"/>
    <s v="(6P)ကလပ္ဖိျပား က်ဥ္းA"/>
    <n v="7"/>
    <n v="800"/>
    <n v="800"/>
    <n v="3276"/>
    <x v="7"/>
  </r>
  <r>
    <n v="823"/>
    <x v="822"/>
    <s v="ရိုးရိုးဘရိတ္ရွဴးျခမ္း 180A"/>
    <n v="5"/>
    <n v="7000"/>
    <n v="7000"/>
    <n v="25985"/>
    <x v="7"/>
  </r>
  <r>
    <n v="824"/>
    <x v="823"/>
    <s v="(6304)ေရွ႕ဟက္ဖံုး ေသးရွဴးပါ"/>
    <n v="3"/>
    <n v="14000"/>
    <n v="14000"/>
    <n v="28290"/>
    <x v="7"/>
  </r>
  <r>
    <n v="825"/>
    <x v="824"/>
    <s v="တံခါးခ်ိတ္(လြတ္)A"/>
    <n v="11"/>
    <n v="2500"/>
    <n v="2500"/>
    <n v="21780"/>
    <x v="7"/>
  </r>
  <r>
    <n v="826"/>
    <x v="825"/>
    <s v="ဘက္ဟြန္း(2ပင္)"/>
    <n v="5"/>
    <n v="2500"/>
    <n v="2500"/>
    <n v="8500"/>
    <x v="7"/>
  </r>
  <r>
    <n v="827"/>
    <x v="826"/>
    <s v="ဘက္ဟြန္း(ေကာင္း)"/>
    <n v="2"/>
    <n v="5000"/>
    <n v="5000"/>
    <n v="6600"/>
    <x v="7"/>
  </r>
  <r>
    <n v="828"/>
    <x v="827"/>
    <s v="ဘက္ရွပ္တို ေဘာထိုင္မပါ( 35cm)"/>
    <n v="3"/>
    <n v="15000"/>
    <n v="15000"/>
    <n v="28500"/>
    <x v="7"/>
  </r>
  <r>
    <n v="829"/>
    <x v="828"/>
    <s v="ေနာက္ဟက္ဒြမ္(180)က်ယ္ နတ္ပါ(JRC110-130)"/>
    <n v="3"/>
    <n v="22000"/>
    <n v="22000"/>
    <n v="48990"/>
    <x v="7"/>
  </r>
  <r>
    <n v="830"/>
    <x v="829"/>
    <s v="ေနာက္ဟက္ဒြမ္(5p)6008/150A"/>
    <n v="2"/>
    <n v="20500"/>
    <n v="20500"/>
    <n v="31230"/>
    <x v="7"/>
  </r>
  <r>
    <n v="831"/>
    <x v="830"/>
    <s v="ေနာက္ဟက္ဒြမ္(5p)6206/150A"/>
    <n v="1"/>
    <n v="22500"/>
    <n v="22500"/>
    <n v="17887"/>
    <x v="7"/>
  </r>
  <r>
    <n v="832"/>
    <x v="831"/>
    <s v="ဟန္းဘရိတ္ဆြဲသံျပားေသး(ဘယ္)180"/>
    <n v="1"/>
    <n v="3000"/>
    <n v="3000"/>
    <n v="1745"/>
    <x v="7"/>
  </r>
  <r>
    <n v="833"/>
    <x v="832"/>
    <s v="တူးေဘာက္ကူရွင္ ေလးေထာင့္/ဝိုင္း"/>
    <n v="1"/>
    <n v="10000"/>
    <n v="10000"/>
    <n v="7000"/>
    <x v="7"/>
  </r>
  <r>
    <n v="834"/>
    <x v="833"/>
    <s v="ကလပ္ျပား(250-7ခ်ပ္)JCေကာင္း"/>
    <n v="5"/>
    <n v="7500"/>
    <n v="7500"/>
    <n v="28750"/>
    <x v="7"/>
  </r>
  <r>
    <n v="835"/>
    <x v="834"/>
    <s v="ဘက္ရွပ္23T/71cm(6209)"/>
    <n v="2"/>
    <n v="25000"/>
    <n v="25000"/>
    <n v="39000"/>
    <x v="7"/>
  </r>
  <r>
    <n v="836"/>
    <x v="835"/>
    <s v="ထရန္စဖာထိုးတံအဝိုင္း(ခါး)ထိုင္ပါ"/>
    <n v="4"/>
    <n v="11000"/>
    <n v="11000"/>
    <n v="34800"/>
    <x v="7"/>
  </r>
  <r>
    <n v="837"/>
    <x v="836"/>
    <s v="ထရန္စဖာထိုးတံအခၽြန္(ခါး)ထုိုင္ပါ"/>
    <n v="3"/>
    <n v="9000"/>
    <n v="9000"/>
    <n v="21000"/>
    <x v="7"/>
  </r>
  <r>
    <n v="838"/>
    <x v="837"/>
    <s v="ဟိုက္ဘာေလး 6cm"/>
    <n v="1"/>
    <n v="25000"/>
    <n v="25000"/>
    <n v="21000"/>
    <x v="7"/>
  </r>
  <r>
    <n v="839"/>
    <x v="838"/>
    <s v="အဲကလင္နာ (set)ပိုက္ေကာက္"/>
    <n v="2"/>
    <n v="6000"/>
    <n v="6000"/>
    <n v="7968"/>
    <x v="7"/>
  </r>
  <r>
    <n v="840"/>
    <x v="839"/>
    <s v="အခ်က္ျပမီး (သရက္သီး)"/>
    <n v="9"/>
    <n v="5000"/>
    <n v="5000"/>
    <n v="31500"/>
    <x v="7"/>
  </r>
  <r>
    <n v="841"/>
    <x v="840"/>
    <s v="ဟန္းဘရိတ္ဆြဲသံျပားေသး(ညာ) 180"/>
    <n v="3"/>
    <n v="2500"/>
    <n v="2500"/>
    <n v="5235"/>
    <x v="7"/>
  </r>
  <r>
    <n v="842"/>
    <x v="841"/>
    <s v="အခ်က္ျပမီး (set)ဝိုင္းခၽြန္"/>
    <n v="4"/>
    <n v="4000"/>
    <n v="4000"/>
    <n v="10912"/>
    <x v="7"/>
  </r>
  <r>
    <n v="843"/>
    <x v="842"/>
    <s v="အခ်က္ျပမီး (set)ေဒါင့္ရွည္"/>
    <n v="3"/>
    <n v="2800"/>
    <n v="2800"/>
    <n v="5250"/>
    <x v="7"/>
  </r>
  <r>
    <n v="844"/>
    <x v="843"/>
    <s v="ဆီမာစတာပန္႔(1ပိုက္)သတၱဳ"/>
    <n v="2"/>
    <n v="20000"/>
    <n v="20000"/>
    <n v="34000"/>
    <x v="7"/>
  </r>
  <r>
    <n v="845"/>
    <x v="844"/>
    <s v="မီးခလုပ္(L)"/>
    <n v="3"/>
    <n v="4000"/>
    <n v="4000"/>
    <n v="9210"/>
    <x v="7"/>
  </r>
  <r>
    <n v="846"/>
    <x v="845"/>
    <s v="ပန္ကာခလုပ္လြတ္A"/>
    <n v="5"/>
    <n v="2000"/>
    <n v="2000"/>
    <n v="6815"/>
    <x v="7"/>
  </r>
  <r>
    <n v="847"/>
    <x v="846"/>
    <s v="ဘက္ရွပ္(ရွည္)23T/76cmပန္း/ဝိုင္း(6009/6209)"/>
    <n v="1"/>
    <n v="25000"/>
    <n v="25000"/>
    <n v="20000"/>
    <x v="7"/>
  </r>
  <r>
    <n v="848"/>
    <x v="847"/>
    <s v="ဒိုင္အုပ္လတ္ (6ဆ)"/>
    <n v="3"/>
    <n v="8500"/>
    <n v="8500"/>
    <n v="19800"/>
    <x v="7"/>
  </r>
  <r>
    <n v="849"/>
    <x v="848"/>
    <s v="63/28 မိန္းေဘာ"/>
    <n v="10"/>
    <n v="3500"/>
    <n v="3500"/>
    <n v="29000"/>
    <x v="7"/>
  </r>
  <r>
    <n v="850"/>
    <x v="849"/>
    <s v="ပလပ္ကြိဳင္A"/>
    <n v="9"/>
    <n v="3800"/>
    <n v="3800"/>
    <n v="22680"/>
    <x v="7"/>
  </r>
  <r>
    <n v="851"/>
    <x v="850"/>
    <s v="17Tဘက္အံုဂြပင္နယံ က်ယ္"/>
    <n v="5"/>
    <n v="4000"/>
    <n v="4000"/>
    <n v="11645"/>
    <x v="7"/>
  </r>
  <r>
    <n v="852"/>
    <x v="851"/>
    <s v="ဟန္းဘရိတ္ဆြဲသံျပားႀကီး(ဘယ္)NNJ220"/>
    <n v="3"/>
    <n v="3500"/>
    <n v="3500"/>
    <n v="6915"/>
    <x v="7"/>
  </r>
  <r>
    <n v="853"/>
    <x v="852"/>
    <s v="ထရန္စဖာၾကိဳး (1.3)(မဲ)ကေရာင္း"/>
    <n v="3"/>
    <n v="4000"/>
    <n v="4000"/>
    <n v="8055"/>
    <x v="7"/>
  </r>
  <r>
    <n v="854"/>
    <x v="853"/>
    <s v="ထရန္စဖာၾကိဳး (1.4)(မဲ)ကေရာင္း"/>
    <n v="5"/>
    <n v="4000"/>
    <n v="4000"/>
    <n v="14080"/>
    <x v="7"/>
  </r>
  <r>
    <n v="855"/>
    <x v="854"/>
    <s v="39T အင္ဂ်င္ဝိုင္ပန္႔ရိုးရိုး"/>
    <n v="1"/>
    <n v="5000"/>
    <n v="5000"/>
    <n v="4212"/>
    <x v="7"/>
  </r>
  <r>
    <n v="856"/>
    <x v="855"/>
    <s v="ရိန္း(250-70)(std)နွစ္ထပ္"/>
    <n v="1"/>
    <n v="6000"/>
    <n v="6000"/>
    <n v="4500"/>
    <x v="7"/>
  </r>
  <r>
    <n v="857"/>
    <x v="856"/>
    <s v="ရိန္း(250-70)(25)နွစ္ထပ္"/>
    <n v="1"/>
    <n v="5500"/>
    <n v="5500"/>
    <n v="4270"/>
    <x v="7"/>
  </r>
  <r>
    <n v="858"/>
    <x v="857"/>
    <s v="ရိန္း(250-70)(50)နွစ္ထပ္"/>
    <n v="6"/>
    <n v="6500"/>
    <n v="6500"/>
    <n v="32820"/>
    <x v="7"/>
  </r>
  <r>
    <n v="859"/>
    <x v="858"/>
    <s v="ရိန္း(250-70)(75)နွစ္ထပ္"/>
    <n v="3"/>
    <n v="5500"/>
    <n v="5500"/>
    <n v="12810"/>
    <x v="7"/>
  </r>
  <r>
    <n v="860"/>
    <x v="859"/>
    <s v="ပစၥတင္(250)(STD)"/>
    <n v="1"/>
    <n v="11000"/>
    <n v="11000"/>
    <n v="9520"/>
    <x v="7"/>
  </r>
  <r>
    <n v="861"/>
    <x v="860"/>
    <s v="ပစၥတင္(250)(25)"/>
    <n v="3"/>
    <n v="11000"/>
    <n v="11000"/>
    <n v="33000"/>
    <x v="7"/>
  </r>
  <r>
    <n v="862"/>
    <x v="861"/>
    <s v="ဟန္းဘရိတ္ဆြဲသံျပားႀကီး(ညာ)NNJ220"/>
    <n v="5"/>
    <n v="3500"/>
    <n v="3500"/>
    <n v="11525"/>
    <x v="7"/>
  </r>
  <r>
    <n v="863"/>
    <x v="862"/>
    <s v="ပစၥတင္(250)(75)"/>
    <n v="3"/>
    <n v="11000"/>
    <n v="11000"/>
    <n v="28560"/>
    <x v="7"/>
  </r>
  <r>
    <n v="864"/>
    <x v="863"/>
    <s v="စပါယ္ဖူးအထိုင္က်ယ္(6204)"/>
    <n v="2"/>
    <n v="7000"/>
    <n v="7000"/>
    <n v="10800"/>
    <x v="7"/>
  </r>
  <r>
    <n v="865"/>
    <x v="864"/>
    <s v="စပါယ္ဖူးအထိုင္က်ဥ္း(6004)"/>
    <n v="2"/>
    <n v="7000"/>
    <n v="7000"/>
    <n v="10800"/>
    <x v="7"/>
  </r>
  <r>
    <n v="866"/>
    <x v="865"/>
    <s v="32609 ေဇာင္းေဘာ (Koyo)"/>
    <n v="10"/>
    <n v="4000"/>
    <n v="4000"/>
    <n v="31590"/>
    <x v="7"/>
  </r>
  <r>
    <n v="867"/>
    <x v="866"/>
    <s v="အိတ္ေဇာစလင္ဒါ(ရွည္)ခ်ိတ္ပါ"/>
    <n v="3"/>
    <n v="23000"/>
    <n v="23000"/>
    <n v="53475"/>
    <x v="7"/>
  </r>
  <r>
    <n v="868"/>
    <x v="867"/>
    <s v="ေနာက္မားကဒ္(သံ) L+R"/>
    <n v="3"/>
    <n v="12000"/>
    <n v="12000"/>
    <n v="18000"/>
    <x v="7"/>
  </r>
  <r>
    <n v="869"/>
    <x v="868"/>
    <s v="စီဒီအိုင္ ေဆာ့ကဒ္"/>
    <n v="10"/>
    <n v="500"/>
    <n v="500"/>
    <n v="3750"/>
    <x v="7"/>
  </r>
  <r>
    <n v="870"/>
    <x v="869"/>
    <s v="ဝင္ရိုး 30cm(304A)"/>
    <n v="2"/>
    <n v="5000"/>
    <n v="5000"/>
    <n v="6000"/>
    <x v="7"/>
  </r>
  <r>
    <n v="871"/>
    <x v="870"/>
    <s v="သံလိုက္အံုလျခမ္းကီး"/>
    <n v="12"/>
    <n v="300"/>
    <n v="300"/>
    <n v="1116"/>
    <x v="7"/>
  </r>
  <r>
    <n v="872"/>
    <x v="871"/>
    <s v="16003 ကလပ္ေဘာ BER"/>
    <n v="9"/>
    <n v="1500"/>
    <n v="1500"/>
    <n v="9657"/>
    <x v="7"/>
  </r>
  <r>
    <n v="873"/>
    <x v="872"/>
    <s v="ေရွ႔ေဖာက္ေဘးကာဗာ"/>
    <n v="1"/>
    <n v="8000"/>
    <n v="8000"/>
    <n v="5000"/>
    <x v="7"/>
  </r>
  <r>
    <n v="874"/>
    <x v="873"/>
    <s v="ေလးပုခက္ (SET)ေသး"/>
    <n v="5"/>
    <n v="4000"/>
    <n v="4000"/>
    <n v="16225"/>
    <x v="7"/>
  </r>
  <r>
    <n v="875"/>
    <x v="874"/>
    <s v="ေရွ႔ဘရိတ္ၾကိဳး(150/250)(1.5)"/>
    <n v="7"/>
    <n v="2500"/>
    <n v="2500"/>
    <n v="10115"/>
    <x v="7"/>
  </r>
  <r>
    <n v="876"/>
    <x v="875"/>
    <s v="175CC ဘေလာက္(SET)ေလ"/>
    <n v="1"/>
    <n v="40000"/>
    <n v="40000"/>
    <n v="33000"/>
    <x v="7"/>
  </r>
  <r>
    <n v="877"/>
    <x v="876"/>
    <s v="ကလပ္ၾကိဳး စပရိန္ပါ(1.27cm)"/>
    <n v="3"/>
    <n v="3000"/>
    <n v="3000"/>
    <n v="6600"/>
    <x v="7"/>
  </r>
  <r>
    <n v="878"/>
    <x v="877"/>
    <s v="ပစၥတင္(CG-250)(67)(STD)"/>
    <n v="1"/>
    <n v="10000"/>
    <n v="10000"/>
    <n v="8120"/>
    <x v="7"/>
  </r>
  <r>
    <n v="879"/>
    <x v="878"/>
    <s v="ကင့္မရွပ္ (SET)150/300CC"/>
    <n v="4"/>
    <n v="12500"/>
    <n v="12500"/>
    <n v="37260"/>
    <x v="7"/>
  </r>
  <r>
    <n v="880"/>
    <x v="879"/>
    <s v="ေနာက္ဟက္ဒြမ္ (5p)(220)6009"/>
    <n v="4"/>
    <n v="22000"/>
    <n v="22000"/>
    <n v="68000"/>
    <x v="7"/>
  </r>
  <r>
    <n v="881"/>
    <x v="880"/>
    <s v="30206 ေစာင္းေဘာ"/>
    <n v="10"/>
    <n v="3500"/>
    <n v="3500"/>
    <n v="24800"/>
    <x v="7"/>
  </r>
  <r>
    <n v="882"/>
    <x v="881"/>
    <s v="(6304)ေရွ႕ဟက္ဖံုးႀကီးရွဴးပါ T"/>
    <n v="3"/>
    <n v="16500"/>
    <n v="16500"/>
    <n v="37500"/>
    <x v="7"/>
  </r>
  <r>
    <n v="883"/>
    <x v="882"/>
    <s v="ဂၽြိဳင္းအမစြပ္ 17T A"/>
    <n v="3"/>
    <n v="3000"/>
    <n v="3000"/>
    <n v="6630"/>
    <x v="7"/>
  </r>
  <r>
    <n v="884"/>
    <x v="883"/>
    <s v="ဂၽြိဳင္းအမစြပ္ 18T S/A"/>
    <n v="3"/>
    <n v="2000"/>
    <n v="2000"/>
    <n v="4185"/>
    <x v="7"/>
  </r>
  <r>
    <n v="885"/>
    <x v="884"/>
    <s v="ဂၽြိဳင္းအမစြပ္ 18T ၾကီးA"/>
    <n v="3"/>
    <n v="3000"/>
    <n v="3000"/>
    <n v="6864"/>
    <x v="7"/>
  </r>
  <r>
    <n v="886"/>
    <x v="885"/>
    <s v="ဂၽြိဳင္းအမစြပ္ 21T A"/>
    <n v="3"/>
    <n v="4300"/>
    <n v="4300"/>
    <n v="10530"/>
    <x v="7"/>
  </r>
  <r>
    <n v="887"/>
    <x v="886"/>
    <s v="ပစၥတင္ (300)(50)"/>
    <n v="2"/>
    <n v="8500"/>
    <n v="8500"/>
    <n v="12930"/>
    <x v="7"/>
  </r>
  <r>
    <n v="888"/>
    <x v="887"/>
    <s v="ပစၥတင္ (300)(75)"/>
    <n v="2"/>
    <n v="9000"/>
    <n v="9000"/>
    <n v="13498"/>
    <x v="7"/>
  </r>
  <r>
    <n v="889"/>
    <x v="888"/>
    <s v="U ဘိုး(ေဒါင့္တုပ္)220/9&quot;"/>
    <n v="3"/>
    <n v="2000"/>
    <n v="2000"/>
    <n v="4500"/>
    <x v="7"/>
  </r>
  <r>
    <n v="890"/>
    <x v="889"/>
    <s v="ဒိုင္အုပ္ 4ဆ(125)S"/>
    <n v="4"/>
    <n v="8000"/>
    <n v="8000"/>
    <n v="26000"/>
    <x v="7"/>
  </r>
  <r>
    <n v="891"/>
    <x v="890"/>
    <s v="4ေခ်ာင္းမဏၰဳိင္ နတ္စံုထုပ္"/>
    <n v="1"/>
    <n v="3500"/>
    <n v="3500"/>
    <n v="2365"/>
    <x v="7"/>
  </r>
  <r>
    <n v="892"/>
    <x v="891"/>
    <s v="ကလပ္အံု အဖံုး"/>
    <n v="1"/>
    <n v="22000"/>
    <n v="22000"/>
    <n v="17500"/>
    <x v="7"/>
  </r>
  <r>
    <n v="893"/>
    <x v="892"/>
    <s v="28-45-58-  10-5 ဝိုင္းစီး"/>
    <n v="6"/>
    <n v="1000"/>
    <n v="1000"/>
    <n v="3048"/>
    <x v="7"/>
  </r>
  <r>
    <n v="894"/>
    <x v="893"/>
    <s v="ထရန္စဖာထိုးတံအထိုင္ပါ"/>
    <n v="2"/>
    <n v="8500"/>
    <n v="8500"/>
    <n v="12292"/>
    <x v="7"/>
  </r>
  <r>
    <n v="895"/>
    <x v="894"/>
    <s v="ဂီယာနင္းတံရွည္"/>
    <n v="6"/>
    <n v="3500"/>
    <n v="3500"/>
    <n v="15000"/>
    <x v="7"/>
  </r>
  <r>
    <n v="896"/>
    <x v="895"/>
    <s v="အင္ဂ်င္ဝိုင္တိုင္းတံ"/>
    <n v="2"/>
    <n v="500"/>
    <n v="500"/>
    <n v="450"/>
    <x v="7"/>
  </r>
  <r>
    <n v="897"/>
    <x v="896"/>
    <s v="16t/10t ဘက္အံုပင္နယံ(စိပ္ထူက်ဥ္း)"/>
    <n v="2"/>
    <n v="4500"/>
    <n v="4500"/>
    <n v="5800"/>
    <x v="7"/>
  </r>
  <r>
    <n v="898"/>
    <x v="897"/>
    <s v="16t/10t ဘက္အံုပင္နယံ(စိပ္ပါးက်ဥ္း)"/>
    <n v="2"/>
    <n v="4500"/>
    <n v="4500"/>
    <n v="5760"/>
    <x v="7"/>
  </r>
  <r>
    <n v="899"/>
    <x v="898"/>
    <s v="ေနာက္ေရွာ့ဘားၾကီး(မဲတုတ္)"/>
    <n v="3"/>
    <n v="15000"/>
    <n v="15000"/>
    <n v="36000"/>
    <x v="7"/>
  </r>
  <r>
    <n v="900"/>
    <x v="899"/>
    <s v="ေရHeat ေရေခါင္းၾကိဳးပါ"/>
    <n v="12"/>
    <n v="4000"/>
    <n v="4000"/>
    <n v="35568"/>
    <x v="7"/>
  </r>
  <r>
    <n v="901"/>
    <x v="900"/>
    <s v="ကြန္ထိုလာ(SET)250A"/>
    <n v="1"/>
    <n v="10000"/>
    <n v="10000"/>
    <n v="6860"/>
    <x v="7"/>
  </r>
  <r>
    <n v="902"/>
    <x v="901"/>
    <s v="ကြန္ထိုလာ(SET)250"/>
    <n v="1"/>
    <n v="10000"/>
    <n v="10000"/>
    <n v="6860"/>
    <x v="7"/>
  </r>
  <r>
    <n v="903"/>
    <x v="902"/>
    <s v="ကြန္ထိုလာ(SET)150/200A"/>
    <n v="1"/>
    <n v="10000"/>
    <n v="10000"/>
    <n v="6604"/>
    <x v="7"/>
  </r>
  <r>
    <n v="904"/>
    <x v="903"/>
    <s v="ကြန္ထိုလာ(SET)150/200A"/>
    <n v="1"/>
    <n v="10000"/>
    <n v="10000"/>
    <n v="6625"/>
    <x v="7"/>
  </r>
  <r>
    <n v="905"/>
    <x v="904"/>
    <s v="ေနာက္ဟက္ဒြမ္(5P)220(6209)"/>
    <n v="3"/>
    <n v="22000"/>
    <n v="22000"/>
    <n v="49590"/>
    <x v="7"/>
  </r>
  <r>
    <n v="906"/>
    <x v="905"/>
    <s v="11t ဘက္အံုပင္နယံကလစ္လိုင္းပါ 6206"/>
    <n v="7"/>
    <n v="5000"/>
    <n v="5000"/>
    <n v="25207"/>
    <x v="7"/>
  </r>
  <r>
    <n v="907"/>
    <x v="906"/>
    <s v="11t ဘက္အံုပင္နယံကလစ္လိုင္းပါ 62/28"/>
    <n v="2"/>
    <n v="5000"/>
    <n v="5000"/>
    <n v="6200"/>
    <x v="7"/>
  </r>
  <r>
    <n v="908"/>
    <x v="907"/>
    <s v="ေကာ္ေရတိုင္ကီ+ကာဗာ"/>
    <n v="2"/>
    <n v="24000"/>
    <n v="24000"/>
    <n v="37950"/>
    <x v="7"/>
  </r>
  <r>
    <n v="909"/>
    <x v="908"/>
    <s v="ဘတၳရီ (အိုးေျခာက္)(9N)"/>
    <n v="1"/>
    <n v="33000"/>
    <n v="33000"/>
    <n v="29500"/>
    <x v="7"/>
  </r>
  <r>
    <n v="910"/>
    <x v="909"/>
    <s v="2110 အင္ဂ်င္ျခမ္းေဘာA"/>
    <n v="5"/>
    <n v="1500"/>
    <n v="1500"/>
    <n v="4660"/>
    <x v="7"/>
  </r>
  <r>
    <n v="911"/>
    <x v="910"/>
    <s v="ေလးဘြတ္သံ(2-8)"/>
    <n v="3"/>
    <n v="2000"/>
    <n v="2000"/>
    <n v="2712"/>
    <x v="7"/>
  </r>
  <r>
    <n v="912"/>
    <x v="911"/>
    <s v="ေရွ့ဟက္အံုအေသး(5P)(6304)"/>
    <n v="1"/>
    <n v="21000"/>
    <n v="21000"/>
    <n v="17000"/>
    <x v="7"/>
  </r>
  <r>
    <n v="913"/>
    <x v="912"/>
    <s v="ဘက္အံုအေပၚဖံုး(4p)ရွပ္ပါေသး"/>
    <n v="2"/>
    <n v="7000"/>
    <n v="7000"/>
    <n v="9430"/>
    <x v="7"/>
  </r>
  <r>
    <n v="914"/>
    <x v="913"/>
    <s v="ဘက္အံုအေပၚဖံုး(4p)ရွပ္ပါလတ္"/>
    <n v="2"/>
    <n v="7000"/>
    <n v="7000"/>
    <n v="9430"/>
    <x v="7"/>
  </r>
  <r>
    <n v="915"/>
    <x v="914"/>
    <s v="ဘီးနတ္ေသး(4P) R"/>
    <n v="1"/>
    <n v="700"/>
    <n v="700"/>
    <n v="420"/>
    <x v="7"/>
  </r>
  <r>
    <n v="916"/>
    <x v="915"/>
    <s v="ဂတ္စကတ္(150)ေလ(Half Set)"/>
    <n v="12"/>
    <n v="2000"/>
    <n v="2000"/>
    <n v="19080"/>
    <x v="7"/>
  </r>
  <r>
    <n v="917"/>
    <x v="916"/>
    <s v="ဘက္ရွပ္(တို)23T/18&quot;(6206)တစ္ျခမ္းပဲ့A"/>
    <n v="1"/>
    <n v="35000"/>
    <n v="35000"/>
    <n v="31000"/>
    <x v="7"/>
  </r>
  <r>
    <n v="918"/>
    <x v="917"/>
    <s v="အင္ဂ်င္ဟက္ထိပ္ဖံုး(ေရ)250/300"/>
    <n v="2"/>
    <n v="16000"/>
    <n v="16000"/>
    <n v="22000"/>
    <x v="7"/>
  </r>
  <r>
    <n v="919"/>
    <x v="918"/>
    <s v="လီဘာၾကိဳး (1ပင္)1.3cm"/>
    <n v="10"/>
    <n v="2500"/>
    <n v="2500"/>
    <n v="14410"/>
    <x v="7"/>
  </r>
  <r>
    <n v="920"/>
    <x v="919"/>
    <s v="ပလပ္စြပ္ ေဆးတံေဂါက္(စတီး)"/>
    <n v="1"/>
    <n v="2000"/>
    <n v="2000"/>
    <n v="1231"/>
    <x v="7"/>
  </r>
  <r>
    <n v="921"/>
    <x v="920"/>
    <s v="ဘက္ရွပ္(ရွည္)23T/75cm(6009)A"/>
    <n v="2"/>
    <n v="29000"/>
    <n v="29000"/>
    <n v="46912"/>
    <x v="7"/>
  </r>
  <r>
    <n v="922"/>
    <x v="921"/>
    <s v="ရိန္း(150)(50)"/>
    <n v="5"/>
    <n v="5000"/>
    <n v="5000"/>
    <n v="17750"/>
    <x v="7"/>
  </r>
  <r>
    <n v="923"/>
    <x v="922"/>
    <s v="သံလိုက္အံုပါကင္"/>
    <n v="3"/>
    <n v="1000"/>
    <n v="1000"/>
    <n v="1935"/>
    <x v="7"/>
  </r>
  <r>
    <n v="924"/>
    <x v="923"/>
    <s v="ဒစၥဝွီးနတ္(R 5ေပါက္)"/>
    <n v="5"/>
    <n v="900"/>
    <n v="900"/>
    <n v="3250"/>
    <x v="7"/>
  </r>
  <r>
    <n v="925"/>
    <x v="924"/>
    <s v="အဲယားကလင္နာပိုက္ေကာက္လြတ္"/>
    <n v="5"/>
    <n v="2300"/>
    <n v="2300"/>
    <n v="5790"/>
    <x v="7"/>
  </r>
  <r>
    <n v="926"/>
    <x v="925"/>
    <s v="12ထုပ္သံလိုက္တံုးလြတ္/တြင္းရစ္မဲ(11/150)200W"/>
    <n v="2"/>
    <n v="18000"/>
    <n v="18000"/>
    <n v="25200"/>
    <x v="7"/>
  </r>
  <r>
    <n v="927"/>
    <x v="926"/>
    <s v="ေအာက္ေမာင္းရွပ္ပါ(set)ၾကီး A"/>
    <n v="4"/>
    <n v="5500"/>
    <n v="5500"/>
    <n v="17292"/>
    <x v="7"/>
  </r>
  <r>
    <n v="928"/>
    <x v="927"/>
    <s v="ေအာက္ေမာင္းရွပ္ပါေသး(ေကာင္း)"/>
    <n v="3"/>
    <n v="5500"/>
    <n v="5500"/>
    <n v="13365"/>
    <x v="7"/>
  </r>
  <r>
    <n v="929"/>
    <x v="928"/>
    <s v="မီးသီး(3)တတ္"/>
    <n v="3"/>
    <n v="2000"/>
    <n v="2000"/>
    <n v="4389"/>
    <x v="7"/>
  </r>
  <r>
    <n v="930"/>
    <x v="929"/>
    <s v="မီးသီး LED (3)တတ္"/>
    <n v="2"/>
    <n v="3500"/>
    <n v="3500"/>
    <n v="6004"/>
    <x v="7"/>
  </r>
  <r>
    <n v="931"/>
    <x v="930"/>
    <s v="မိန္းရွပ္ (250)A"/>
    <n v="3"/>
    <n v="5500"/>
    <n v="5500"/>
    <n v="12000"/>
    <x v="7"/>
  </r>
  <r>
    <n v="932"/>
    <x v="931"/>
    <s v="ရိန္း (CG250/67) (Std)နွစ္ထပ္"/>
    <n v="3"/>
    <n v="5000"/>
    <n v="5000"/>
    <n v="10107"/>
    <x v="7"/>
  </r>
  <r>
    <n v="933"/>
    <x v="932"/>
    <s v="11T ဘက္အံုပင္နယံ 6205(ရွည္)"/>
    <n v="3"/>
    <n v="4000"/>
    <n v="4000"/>
    <n v="9162"/>
    <x v="7"/>
  </r>
  <r>
    <n v="934"/>
    <x v="933"/>
    <s v="ရိုးရိုးဘရိတ္ရွဴးျခမ္း 160A"/>
    <n v="3"/>
    <n v="6000"/>
    <n v="6000"/>
    <n v="13500"/>
    <x v="7"/>
  </r>
  <r>
    <n v="935"/>
    <x v="934"/>
    <s v="ေရွ႕ဟက္အံုၾကီး (5P)(6304)S/A"/>
    <n v="1"/>
    <n v="26000"/>
    <n v="26000"/>
    <n v="22506"/>
    <x v="7"/>
  </r>
  <r>
    <n v="936"/>
    <x v="935"/>
    <s v="ဖူးစေတာ့တံ အလံုးၾကီး 150A"/>
    <n v="5"/>
    <n v="1600"/>
    <n v="1600"/>
    <n v="5555"/>
    <x v="7"/>
  </r>
  <r>
    <n v="937"/>
    <x v="936"/>
    <s v="(4)ေခ်ာင္းေဖာက္လြတ္မဲ(31)S/A"/>
    <n v="1"/>
    <n v="115000"/>
    <n v="115000"/>
    <n v="102000"/>
    <x v="7"/>
  </r>
  <r>
    <n v="938"/>
    <x v="937"/>
    <s v="ဘက္အံုဂြပင္နယံ 10Tက်ယ္"/>
    <n v="2"/>
    <n v="3500"/>
    <n v="3500"/>
    <n v="4290"/>
    <x v="7"/>
  </r>
  <r>
    <n v="939"/>
    <x v="938"/>
    <s v="ကလပ္အံု Set(250-5p/7ခ်ပ္)ရပစ္"/>
    <n v="2"/>
    <n v="27000"/>
    <n v="27000"/>
    <n v="45750"/>
    <x v="7"/>
  </r>
  <r>
    <n v="940"/>
    <x v="939"/>
    <s v="Half Set(250-70)ဂတ္စကက္(သံ)"/>
    <n v="10"/>
    <n v="3000"/>
    <n v="3000"/>
    <n v="23500"/>
    <x v="7"/>
  </r>
  <r>
    <n v="941"/>
    <x v="940"/>
    <s v="10း14 စပိုက္တာပင္နယံ(က်ဲ) 6TA"/>
    <n v="2"/>
    <n v="7500"/>
    <n v="7500"/>
    <n v="9500"/>
    <x v="7"/>
  </r>
  <r>
    <n v="942"/>
    <x v="941"/>
    <s v="10း16 စပိုက္တာပင္နယံ+ရွပ္ပါ (26T)ၾကီး"/>
    <n v="2"/>
    <n v="17000"/>
    <n v="17000"/>
    <n v="28600"/>
    <x v="7"/>
  </r>
  <r>
    <n v="943"/>
    <x v="942"/>
    <s v="မိုင္းလစ္ၾကိဳး(300)A"/>
    <n v="10"/>
    <n v="2500"/>
    <n v="2500"/>
    <n v="17030"/>
    <x v="7"/>
  </r>
  <r>
    <n v="944"/>
    <x v="943"/>
    <s v="ဘားေစ့ ေအာက္ရစ္(ရွည္)"/>
    <n v="23"/>
    <n v="500"/>
    <n v="500"/>
    <n v="4922"/>
    <x v="7"/>
  </r>
  <r>
    <n v="945"/>
    <x v="944"/>
    <s v="150/250 ေမာ္တာအဝိုင္းဖံုး (ျပင္ညီ)"/>
    <n v="8"/>
    <n v="4000"/>
    <n v="4000"/>
    <n v="24488"/>
    <x v="7"/>
  </r>
  <r>
    <n v="946"/>
    <x v="945"/>
    <s v="တူးေဘာက္ ကူရွင္(ေလးေထာင့္)"/>
    <n v="2"/>
    <n v="8500"/>
    <n v="8500"/>
    <n v="11000"/>
    <x v="7"/>
  </r>
  <r>
    <n v="947"/>
    <x v="946"/>
    <s v="ေနာက္ေက်ာမီွ/ကူရွင္"/>
    <n v="2"/>
    <n v="15000"/>
    <n v="15000"/>
    <n v="22000"/>
    <x v="7"/>
  </r>
  <r>
    <n v="948"/>
    <x v="947"/>
    <s v="ထိုင္ခံုၾကီး (CL)"/>
    <n v="1"/>
    <n v="26500"/>
    <n v="26500"/>
    <n v="19500"/>
    <x v="7"/>
  </r>
  <r>
    <n v="949"/>
    <x v="948"/>
    <s v="ေကာ္နတင္း(150)ေရ"/>
    <n v="2"/>
    <n v="9000"/>
    <n v="9000"/>
    <n v="13588"/>
    <x v="7"/>
  </r>
  <r>
    <n v="950"/>
    <x v="949"/>
    <s v="ေကာ္နတင္း(200)ေရ"/>
    <n v="2"/>
    <n v="10500"/>
    <n v="10500"/>
    <n v="16430"/>
    <x v="7"/>
  </r>
  <r>
    <n v="951"/>
    <x v="950"/>
    <s v="ေကာ္နတင္း(300)"/>
    <n v="3"/>
    <n v="15000"/>
    <n v="15000"/>
    <n v="36000"/>
    <x v="7"/>
  </r>
  <r>
    <n v="952"/>
    <x v="951"/>
    <s v="ေကာ္နတင္း(CB-250-2/70)ပါး"/>
    <n v="3"/>
    <n v="15000"/>
    <n v="15000"/>
    <n v="36000"/>
    <x v="7"/>
  </r>
  <r>
    <n v="953"/>
    <x v="952"/>
    <s v="ေကာ္နတင္း(CG-250/67)"/>
    <n v="3"/>
    <n v="12000"/>
    <n v="12000"/>
    <n v="27600"/>
    <x v="7"/>
  </r>
  <r>
    <n v="954"/>
    <x v="953"/>
    <s v="ဂီယာတံ(SET)နွစ္ဆင့္"/>
    <n v="5"/>
    <n v="6500"/>
    <n v="6500"/>
    <n v="23750"/>
    <x v="7"/>
  </r>
  <r>
    <n v="955"/>
    <x v="954"/>
    <s v="ဘက္ရွပ္(ရွည္)6T/72' ၾကက္ေၿခဖလန္း"/>
    <n v="3"/>
    <n v="23000"/>
    <n v="23000"/>
    <n v="55500"/>
    <x v="7"/>
  </r>
  <r>
    <n v="956"/>
    <x v="955"/>
    <s v="အင္ဂ်င္ျခမ္း 175/200 ( R )"/>
    <n v="1"/>
    <n v="34000"/>
    <n v="34000"/>
    <n v="26450"/>
    <x v="7"/>
  </r>
  <r>
    <n v="957"/>
    <x v="956"/>
    <s v="ကင့္မရွပ္(Set) စပရိန္/အဖံုးပါ"/>
    <n v="2"/>
    <n v="20000"/>
    <n v="20000"/>
    <n v="34500"/>
    <x v="7"/>
  </r>
  <r>
    <n v="958"/>
    <x v="957"/>
    <s v="ကင့္မရွပ္(Set) စပရိန္ပါ 200/250"/>
    <n v="3"/>
    <n v="20000"/>
    <n v="20000"/>
    <n v="51000"/>
    <x v="7"/>
  </r>
  <r>
    <n v="959"/>
    <x v="958"/>
    <s v="ေနာက္ဟက္ဒြမ္ (5P)180Aနတ္ပါ/ဘုပါ"/>
    <n v="3"/>
    <n v="27000"/>
    <n v="27000"/>
    <n v="69000"/>
    <x v="7"/>
  </r>
  <r>
    <n v="960"/>
    <x v="959"/>
    <s v="ေရလည္အံုပန္႔တို ကလစ္ထိုင္/ဒလတ္မပါ 200A(ေၿပာင္းျပန္)"/>
    <n v="5"/>
    <n v="14000"/>
    <n v="14000"/>
    <n v="53125"/>
    <x v="7"/>
  </r>
  <r>
    <n v="961"/>
    <x v="960"/>
    <s v="အင္ဂ်င္ျခမ္း 175/200 ( L )"/>
    <n v="1"/>
    <n v="40000"/>
    <n v="40000"/>
    <n v="31050"/>
    <x v="7"/>
  </r>
  <r>
    <n v="962"/>
    <x v="961"/>
    <s v="550X13 ကၽြတ္"/>
    <n v="1"/>
    <n v="8500"/>
    <n v="8500"/>
    <n v="4520"/>
    <x v="7"/>
  </r>
  <r>
    <n v="963"/>
    <x v="962"/>
    <s v="ေကာ္ေရပံုးျဖဴ"/>
    <n v="1"/>
    <n v="10000"/>
    <n v="10000"/>
    <n v="7475"/>
    <x v="7"/>
  </r>
  <r>
    <n v="964"/>
    <x v="963"/>
    <s v="အိတ္ေဇာ မီးခံကြင္း"/>
    <n v="12"/>
    <n v="300"/>
    <n v="300"/>
    <n v="1200"/>
    <x v="7"/>
  </r>
  <r>
    <n v="965"/>
    <x v="964"/>
    <s v="ဘားတံရွည္ 250 _x000d__x000a_"/>
    <n v="5"/>
    <n v="6000"/>
    <n v="6000"/>
    <n v="23125"/>
    <x v="7"/>
  </r>
  <r>
    <n v="966"/>
    <x v="965"/>
    <s v="200 တိုက္ပစ္ေမာင္း(ထူ)"/>
    <n v="5"/>
    <n v="8000"/>
    <n v="8000"/>
    <n v="25920"/>
    <x v="7"/>
  </r>
  <r>
    <n v="967"/>
    <x v="966"/>
    <s v="ဆီမာစတာပန့္ (1ပိုက္)သံA"/>
    <n v="4"/>
    <n v="15000"/>
    <n v="15000"/>
    <n v="48500"/>
    <x v="7"/>
  </r>
  <r>
    <n v="968"/>
    <x v="967"/>
    <s v="ေနာက္တံခါးပတ္တာ"/>
    <n v="7"/>
    <n v="1500"/>
    <n v="1500"/>
    <n v="8491"/>
    <x v="7"/>
  </r>
  <r>
    <n v="969"/>
    <x v="968"/>
    <s v="တံခါးပတၱာပင္"/>
    <n v="2"/>
    <n v="500"/>
    <n v="500"/>
    <n v="500"/>
    <x v="7"/>
  </r>
  <r>
    <n v="970"/>
    <x v="969"/>
    <s v="ဘက္မွန္(နီကယ္)(စံု)"/>
    <n v="3"/>
    <n v="10000"/>
    <n v="10000"/>
    <n v="18600"/>
    <x v="7"/>
  </r>
  <r>
    <n v="971"/>
    <x v="970"/>
    <s v="ဘရိတ္ဆီခြဲေၾကးေခါင္း"/>
    <n v="10"/>
    <n v="2500"/>
    <n v="2500"/>
    <n v="18500"/>
    <x v="7"/>
  </r>
  <r>
    <n v="972"/>
    <x v="971"/>
    <s v="ဆီဘရိတ္ေၾကးပိုက္တို"/>
    <n v="2"/>
    <n v="1700"/>
    <n v="1700"/>
    <n v="2500"/>
    <x v="7"/>
  </r>
  <r>
    <n v="973"/>
    <x v="972"/>
    <s v="ဆီဘရိတ္ေၾကးပိုက္(လတ္)"/>
    <n v="5"/>
    <n v="3000"/>
    <n v="3000"/>
    <n v="9950"/>
    <x v="7"/>
  </r>
  <r>
    <n v="974"/>
    <x v="973"/>
    <s v="ဆီတိုင္ကီဘြတ္"/>
    <n v="45"/>
    <n v="500"/>
    <n v="500"/>
    <n v="10170"/>
    <x v="7"/>
  </r>
  <r>
    <n v="975"/>
    <x v="974"/>
    <s v="ပလပ္စြပ္ ေဆးတံေဂါက္(ေကာ္)"/>
    <n v="3"/>
    <n v="700"/>
    <n v="700"/>
    <n v="705"/>
    <x v="7"/>
  </r>
  <r>
    <n v="976"/>
    <x v="975"/>
    <s v="ဂၽြိဳင္းတန္း (290mm)"/>
    <n v="1"/>
    <n v="15000"/>
    <n v="15000"/>
    <n v="6780"/>
    <x v="7"/>
  </r>
  <r>
    <n v="977"/>
    <x v="976"/>
    <s v=" Second ေလး (7  cm)"/>
    <n v="3"/>
    <n v="12500"/>
    <n v="12500"/>
    <n v="21873"/>
    <x v="7"/>
  </r>
  <r>
    <n v="978"/>
    <x v="977"/>
    <s v="LF ပလပ္"/>
    <n v="5"/>
    <n v="1800"/>
    <n v="1800"/>
    <n v="5650"/>
    <x v="7"/>
  </r>
  <r>
    <n v="979"/>
    <x v="978"/>
    <s v="ႏႈတ္ခမ္းေမႊးဘြတ္"/>
    <n v="1"/>
    <n v="500"/>
    <n v="500"/>
    <n v="301"/>
    <x v="7"/>
  </r>
  <r>
    <n v="980"/>
    <x v="979"/>
    <s v="5 ေပါက္ေနာက္ဒြမ္း(175/150)"/>
    <n v="1"/>
    <n v="14500"/>
    <n v="14500"/>
    <n v="11900"/>
    <x v="7"/>
  </r>
  <r>
    <n v="981"/>
    <x v="980"/>
    <s v="အိတ္ေဇာစလင္ဒါ(တို)ခ်ိတ္ပါ"/>
    <n v="6"/>
    <n v="25000"/>
    <n v="25000"/>
    <n v="123750"/>
    <x v="7"/>
  </r>
  <r>
    <n v="982"/>
    <x v="981"/>
    <s v="ဘေလာက္Set 300ေရ(JC)"/>
    <n v="1"/>
    <n v="63000"/>
    <n v="63000"/>
    <n v="55000"/>
    <x v="7"/>
  </r>
  <r>
    <n v="983"/>
    <x v="982"/>
    <s v="ကလပ္ျပား(6)ခ်ပ္ေရ (150)"/>
    <n v="2"/>
    <n v="6500"/>
    <n v="6500"/>
    <n v="10400"/>
    <x v="7"/>
  </r>
  <r>
    <n v="984"/>
    <x v="983"/>
    <s v="11 ထုပ္ကိြဳင္"/>
    <n v="1"/>
    <n v="15000"/>
    <n v="15000"/>
    <n v="13020"/>
    <x v="7"/>
  </r>
  <r>
    <n v="985"/>
    <x v="984"/>
    <s v="ဘထၳရီအိုး (အိုးေျခာက္) (32A)"/>
    <n v="5"/>
    <n v="55000"/>
    <n v="55000"/>
    <n v="250000"/>
    <x v="7"/>
  </r>
  <r>
    <n v="986"/>
    <x v="985"/>
    <s v="စပယ္ဖူးခြဲနတ္ေခါင္း"/>
    <n v="6"/>
    <n v="500"/>
    <n v="500"/>
    <n v="1680"/>
    <x v="7"/>
  </r>
  <r>
    <n v="987"/>
    <x v="986"/>
    <s v="ခါးဆက္မီးခံကြင္း စကာပါ"/>
    <n v="18"/>
    <n v="500"/>
    <n v="500"/>
    <n v="7020"/>
    <x v="7"/>
  </r>
  <r>
    <n v="988"/>
    <x v="987"/>
    <s v="အိတ္ေဇာမီးခံကြင္း ျဖဴေကာင္း"/>
    <n v="70"/>
    <n v="400"/>
    <n v="400"/>
    <n v="14980"/>
    <x v="7"/>
  </r>
  <r>
    <n v="989"/>
    <x v="988"/>
    <s v="အင္ဂ်င္အထိုင္ဘြတ္ဒဲ့"/>
    <n v="10"/>
    <n v="2000"/>
    <n v="2000"/>
    <n v="8670"/>
    <x v="7"/>
  </r>
  <r>
    <n v="990"/>
    <x v="989"/>
    <s v="အိတ္ေဇာဘရိတ္ကစ္အေသး"/>
    <n v="2"/>
    <n v="700"/>
    <n v="700"/>
    <n v="860"/>
    <x v="7"/>
  </r>
  <r>
    <n v="991"/>
    <x v="990"/>
    <s v="25-52-8.6 ဝိုင္းစီး"/>
    <n v="33"/>
    <n v="800"/>
    <n v="800"/>
    <n v="11385"/>
    <x v="7"/>
  </r>
  <r>
    <n v="992"/>
    <x v="991"/>
    <s v="ဘက္ဂီယာအံု(အမဲ)(ခဲ)150CC"/>
    <n v="2"/>
    <n v="45000"/>
    <n v="45000"/>
    <n v="75800"/>
    <x v="7"/>
  </r>
  <r>
    <n v="993"/>
    <x v="992"/>
    <s v="ဆီဘရိတ္အိ္ုးသံ ဝိုင္းစီး"/>
    <n v="2"/>
    <n v="2000"/>
    <n v="2000"/>
    <n v="2380"/>
    <x v="7"/>
  </r>
  <r>
    <n v="994"/>
    <x v="993"/>
    <s v="မာစတာပန္႔ ဝိုင္းစီး"/>
    <n v="1"/>
    <n v="2000"/>
    <n v="2000"/>
    <n v="1130"/>
    <x v="7"/>
  </r>
  <r>
    <n v="995"/>
    <x v="994"/>
    <s v="ဆီဘရိတ္အိုး (သတ​ၳဳ) ဝါရွာစံု"/>
    <n v="1"/>
    <n v="2000"/>
    <n v="2000"/>
    <n v="1130"/>
    <x v="7"/>
  </r>
  <r>
    <n v="996"/>
    <x v="995"/>
    <s v="ေရလည္အံုကာဘာ 250"/>
    <n v="4"/>
    <n v="4500"/>
    <n v="4500"/>
    <n v="14644"/>
    <x v="7"/>
  </r>
  <r>
    <n v="997"/>
    <x v="996"/>
    <s v="ဆီဘရိတ္အိုး သတၳဳ"/>
    <n v="4"/>
    <n v="5000"/>
    <n v="5000"/>
    <n v="15996"/>
    <x v="7"/>
  </r>
  <r>
    <n v="998"/>
    <x v="997"/>
    <s v=" ကာဗာလြတ္ထူ_x000d__x000a_"/>
    <n v="8"/>
    <n v="7500"/>
    <n v="7500"/>
    <n v="35408"/>
    <x v="7"/>
  </r>
  <r>
    <n v="999"/>
    <x v="998"/>
    <s v="ကာပရိုက္တာ (1 ပင္)(150)"/>
    <n v="1"/>
    <n v="18000"/>
    <n v="18000"/>
    <n v="14160"/>
    <x v="7"/>
  </r>
  <r>
    <n v="1000"/>
    <x v="999"/>
    <s v="မီးသီး2စ (ဆစ္ဂနယ္)"/>
    <n v="8"/>
    <n v="250"/>
    <n v="250"/>
    <n v="1080"/>
    <x v="7"/>
  </r>
  <r>
    <n v="1001"/>
    <x v="1000"/>
    <s v="ဘတၳရီ ေၾကးကလစ္ေသး"/>
    <n v="10"/>
    <n v="800"/>
    <n v="800"/>
    <n v="6000"/>
    <x v="7"/>
  </r>
  <r>
    <n v="1002"/>
    <x v="1001"/>
    <s v="(4)ေခ်ာင္းေဖာက္လြတ္မဲ(30)A"/>
    <n v="2"/>
    <n v="120000"/>
    <n v="120000"/>
    <n v="208000"/>
    <x v="7"/>
  </r>
  <r>
    <n v="1003"/>
    <x v="1002"/>
    <s v="တိုက္ပစ္ဖံုး အဖံုး/နီကယ္"/>
    <n v="18"/>
    <n v="1000"/>
    <n v="1000"/>
    <n v="10800"/>
    <x v="7"/>
  </r>
  <r>
    <n v="1004"/>
    <x v="1003"/>
    <s v="ထရန္စဖာႀကိဳးတုတ္(1)ဖက္ရစ္(1.3m)"/>
    <n v="1"/>
    <n v="6000"/>
    <n v="6000"/>
    <n v="4461"/>
    <x v="7"/>
  </r>
  <r>
    <n v="1005"/>
    <x v="1004"/>
    <s v="ဆီဘရိတ္ရွဴးျခမ္း220A"/>
    <n v="4"/>
    <n v="8500"/>
    <n v="8500"/>
    <n v="26000"/>
    <x v="7"/>
  </r>
  <r>
    <n v="1006"/>
    <x v="1005"/>
    <s v="ေတာရွင္းတန္းေျဖာင့္တုိ 8&quot;"/>
    <n v="1"/>
    <n v="1500"/>
    <n v="1500"/>
    <n v="625"/>
    <x v="7"/>
  </r>
  <r>
    <n v="1007"/>
    <x v="1006"/>
    <s v="ေတာရွင္းတန္းေျဖာင့္တုိ 9&quot;"/>
    <n v="2"/>
    <n v="2500"/>
    <n v="2500"/>
    <n v="1500"/>
    <x v="7"/>
  </r>
  <r>
    <n v="1008"/>
    <x v="1007"/>
    <s v="ေတာရွင္းတန္း U ေကြး 27&quot;"/>
    <n v="1"/>
    <n v="6000"/>
    <n v="6000"/>
    <n v="2250"/>
    <x v="7"/>
  </r>
  <r>
    <n v="1009"/>
    <x v="1008"/>
    <s v="ေတာရွင္းတန္း Uေကြး 35&quot;_x000d__x000a_"/>
    <n v="1"/>
    <n v="6000"/>
    <n v="6000"/>
    <n v="2250"/>
    <x v="7"/>
  </r>
  <r>
    <n v="1010"/>
    <x v="1009"/>
    <s v="ေတာရွင္းတန္း ေျဖာင့္ 46&quot;"/>
    <n v="1"/>
    <n v="5000"/>
    <n v="5000"/>
    <n v="1500"/>
    <x v="7"/>
  </r>
  <r>
    <n v="1011"/>
    <x v="1010"/>
    <s v="ေတာရွင္းတန္း ေျဖာင့္ 31&quot;"/>
    <n v="1"/>
    <n v="2000"/>
    <n v="2000"/>
    <n v="1250"/>
    <x v="7"/>
  </r>
  <r>
    <n v="1012"/>
    <x v="1011"/>
    <s v="ဖ်ဴးစ္"/>
    <n v="60"/>
    <n v="100"/>
    <n v="100"/>
    <n v="1560"/>
    <x v="7"/>
  </r>
  <r>
    <n v="1013"/>
    <x v="1012"/>
    <s v="ဘရိတ္ပိုက္ေပ်ာ့တို"/>
    <n v="2"/>
    <n v="3000"/>
    <n v="3000"/>
    <n v="2500"/>
    <x v="7"/>
  </r>
  <r>
    <n v="1014"/>
    <x v="1013"/>
    <s v="ဘရိတ္ပိုက္ေပ်ာ့ရွည္"/>
    <n v="1"/>
    <n v="3000"/>
    <n v="3000"/>
    <n v="1250"/>
    <x v="7"/>
  </r>
  <r>
    <n v="1015"/>
    <x v="1014"/>
    <s v="အင္ဂ်င္ဝိုင္ (1.5 Ll) JC "/>
    <n v="4"/>
    <n v="9300"/>
    <n v="9300"/>
    <n v="34800"/>
    <x v="7"/>
  </r>
  <r>
    <n v="1016"/>
    <x v="1015"/>
    <s v="ေလျခဴေခါင္း"/>
    <n v="13"/>
    <n v="500"/>
    <n v="500"/>
    <n v="4394"/>
    <x v="7"/>
  </r>
  <r>
    <n v="1017"/>
    <x v="1016"/>
    <s v="7Cm 6ခ်ပ္ ေလးထုပ္"/>
    <n v="2"/>
    <n v="37000"/>
    <n v="37000"/>
    <n v="48930"/>
    <x v="7"/>
  </r>
  <r>
    <n v="1018"/>
    <x v="1017"/>
    <s v="စတပ္ေဘာထိုင္နတ္ပါ(20လံုး)"/>
    <n v="2"/>
    <n v="7000"/>
    <n v="7000"/>
    <n v="12040"/>
    <x v="7"/>
  </r>
  <r>
    <n v="1019"/>
    <x v="1018"/>
    <s v="ကလပ္ကိုင္းအထိုင္ပါ L"/>
    <n v="1"/>
    <n v="2000"/>
    <n v="2000"/>
    <n v="1538"/>
    <x v="7"/>
  </r>
  <r>
    <n v="1020"/>
    <x v="1019"/>
    <s v="ေတာရွင္းနတ္ (ေရႊေရာင္)"/>
    <n v="3"/>
    <n v="2700"/>
    <n v="2700"/>
    <n v="4689"/>
    <x v="7"/>
  </r>
  <r>
    <n v="1021"/>
    <x v="1020"/>
    <s v="စတပ္ပင္နယံ(18လံုး)(6 ေပါက္)"/>
    <n v="3"/>
    <n v="12000"/>
    <n v="12000"/>
    <n v="24366"/>
    <x v="7"/>
  </r>
  <r>
    <n v="1022"/>
    <x v="1021"/>
    <s v="စတပ္ေဘာထိုင္(18လံုး)(6ေပါက္)"/>
    <n v="7"/>
    <n v="12500"/>
    <n v="12500"/>
    <n v="73031"/>
    <x v="7"/>
  </r>
  <r>
    <n v="1023"/>
    <x v="1022"/>
    <s v="ဒိုင္အုပ္ႀကီး (6 စ)"/>
    <n v="3"/>
    <n v="18000"/>
    <n v="18000"/>
    <n v="45600"/>
    <x v="7"/>
  </r>
  <r>
    <n v="1024"/>
    <x v="1023"/>
    <s v="ဘက္ဂီယာနင္းတံ(က်ဥ္း/က်ယ္)"/>
    <n v="7"/>
    <n v="1500"/>
    <n v="1500"/>
    <n v="6265"/>
    <x v="7"/>
  </r>
  <r>
    <n v="1025"/>
    <x v="1024"/>
    <s v="ပလပ္ D8T/A"/>
    <n v="7"/>
    <n v="2500"/>
    <n v="2500"/>
    <n v="11900"/>
    <x v="7"/>
  </r>
  <r>
    <n v="1026"/>
    <x v="1025"/>
    <s v="ေလးပုခက္အတို"/>
    <n v="16"/>
    <n v="1000"/>
    <n v="1000"/>
    <n v="11200"/>
    <x v="7"/>
  </r>
  <r>
    <n v="1027"/>
    <x v="1026"/>
    <s v="ေလးပုခက္အရွည္"/>
    <n v="13"/>
    <n v="1100"/>
    <n v="1100"/>
    <n v="5655"/>
    <x v="7"/>
  </r>
  <r>
    <n v="1028"/>
    <x v="1027"/>
    <s v="15T(10T)ဘက္အံုပင္နယံ(စိတ္ထူက်ယ္)"/>
    <n v="3"/>
    <n v="4000"/>
    <n v="4000"/>
    <n v="8700"/>
    <x v="7"/>
  </r>
  <r>
    <n v="1029"/>
    <x v="1028"/>
    <s v="16Tဘက္အံုပင္နယံ (စိတ္ထူက်ယ္)_x000d__x000a_"/>
    <n v="10"/>
    <n v="3000"/>
    <n v="3000"/>
    <n v="23620"/>
    <x v="7"/>
  </r>
  <r>
    <n v="1030"/>
    <x v="1029"/>
    <s v="ကာ/တာ ကစ္ဆက္ (150)"/>
    <n v="4"/>
    <n v="3000"/>
    <n v="3000"/>
    <n v="7864"/>
    <x v="7"/>
  </r>
  <r>
    <n v="1031"/>
    <x v="1030"/>
    <s v="ကာ/တာ ကစ္ဆက္ (200)"/>
    <n v="4"/>
    <n v="3500"/>
    <n v="3500"/>
    <n v="7864"/>
    <x v="7"/>
  </r>
  <r>
    <n v="1032"/>
    <x v="1031"/>
    <s v="ရိန္း (150/175)(STD)LF"/>
    <n v="9"/>
    <n v="5000"/>
    <n v="5000"/>
    <n v="36900"/>
    <x v="7"/>
  </r>
  <r>
    <n v="1033"/>
    <x v="1032"/>
    <s v="ပစ္စတင္(150/175)+0-03A"/>
    <n v="1"/>
    <n v="3500"/>
    <n v="3500"/>
    <n v="2722"/>
    <x v="7"/>
  </r>
  <r>
    <n v="1034"/>
    <x v="1033"/>
    <s v="ပစၥတင္(150/175)+0-06A"/>
    <n v="4"/>
    <n v="9000"/>
    <n v="9000"/>
    <n v="26880"/>
    <x v="7"/>
  </r>
  <r>
    <n v="1035"/>
    <x v="1034"/>
    <s v="ဂၽြိဳင္းရွပ္ (အစြပ္မပါ)100cm"/>
    <n v="1"/>
    <n v="28000"/>
    <n v="28000"/>
    <n v="15462"/>
    <x v="7"/>
  </r>
  <r>
    <n v="1036"/>
    <x v="1035"/>
    <s v="ဂၽြိဳင္းရွပ္ (အစြပ္မပါ)60cm"/>
    <n v="1"/>
    <n v="24500"/>
    <n v="24500"/>
    <n v="14312"/>
    <x v="7"/>
  </r>
  <r>
    <n v="1037"/>
    <x v="1036"/>
    <s v="ဂၽြိဳင္းရွပ္ (L 690mm)"/>
    <n v="1"/>
    <n v="27000"/>
    <n v="27000"/>
    <n v="15750"/>
    <x v="7"/>
  </r>
  <r>
    <n v="1038"/>
    <x v="1037"/>
    <s v="ဘက္ရွပ္ 49 cm ဝိုင္း"/>
    <n v="1"/>
    <n v="19500"/>
    <n v="19500"/>
    <n v="10000"/>
    <x v="7"/>
  </r>
  <r>
    <n v="1039"/>
    <x v="1038"/>
    <s v="ေရွ႕မီးေခါင္းကာဗာ (လိေမၼာ္)"/>
    <n v="1"/>
    <n v="24000"/>
    <n v="24000"/>
    <n v="17426"/>
    <x v="7"/>
  </r>
  <r>
    <n v="1040"/>
    <x v="1039"/>
    <s v="ဂီယာတံဘြတ္ျဖဴ200T"/>
    <n v="8"/>
    <n v="200"/>
    <n v="200"/>
    <n v="1000"/>
    <x v="7"/>
  </r>
  <r>
    <n v="1041"/>
    <x v="1040"/>
    <s v="28-37-7"/>
    <n v="26"/>
    <n v="400"/>
    <n v="400"/>
    <n v="5616"/>
    <x v="7"/>
  </r>
  <r>
    <n v="1042"/>
    <x v="1041"/>
    <s v="ပစၥတင္(150)(25)"/>
    <n v="2"/>
    <n v="4800"/>
    <n v="4800"/>
    <n v="8600"/>
    <x v="7"/>
  </r>
  <r>
    <n v="1043"/>
    <x v="1042"/>
    <s v="ပစၥတင္(150)(50)"/>
    <n v="8"/>
    <n v="8000"/>
    <n v="8000"/>
    <n v="51720"/>
    <x v="7"/>
  </r>
  <r>
    <n v="1044"/>
    <x v="1043"/>
    <s v="ရိန္း (150/175)((25)"/>
    <n v="5"/>
    <n v="4500"/>
    <n v="4500"/>
    <n v="14750"/>
    <x v="7"/>
  </r>
  <r>
    <n v="1045"/>
    <x v="1044"/>
    <s v="ရိန္း (150/175)(50)"/>
    <n v="4"/>
    <n v="4500"/>
    <n v="4500"/>
    <n v="11800"/>
    <x v="7"/>
  </r>
  <r>
    <n v="1046"/>
    <x v="1045"/>
    <s v="ကင္းရွပ္Set စပလိန္ပါ"/>
    <n v="1"/>
    <n v="17000"/>
    <n v="17000"/>
    <n v="10374"/>
    <x v="7"/>
  </r>
  <r>
    <n v="1047"/>
    <x v="1046"/>
    <s v="စပိုက္တာရွပ္"/>
    <n v="5"/>
    <n v="1800"/>
    <n v="1800"/>
    <n v="3125"/>
    <x v="7"/>
  </r>
  <r>
    <n v="1048"/>
    <x v="1047"/>
    <s v="အင္ဂ်င္ဝိုင္ပန္႔ ပံုသစ္"/>
    <n v="1"/>
    <n v="6800"/>
    <n v="6800"/>
    <n v="6800"/>
    <x v="7"/>
  </r>
  <r>
    <n v="1049"/>
    <x v="1048"/>
    <s v="အင္ဂ်င္ထိန္း စပလိန္ရွည္"/>
    <n v="15"/>
    <n v="2200"/>
    <n v="2200"/>
    <n v="24750"/>
    <x v="7"/>
  </r>
  <r>
    <n v="1050"/>
    <x v="1049"/>
    <s v="ေလးစပရိန္(8 လိမ္)"/>
    <n v="4"/>
    <n v="5000"/>
    <n v="5000"/>
    <n v="16000"/>
    <x v="7"/>
  </r>
  <r>
    <n v="1051"/>
    <x v="1050"/>
    <s v="အိတ္ေဇာခါးဆက္နတ္+စပလိန္"/>
    <n v="8"/>
    <n v="1800"/>
    <n v="1800"/>
    <n v="9728"/>
    <x v="7"/>
  </r>
  <r>
    <n v="1052"/>
    <x v="1051"/>
    <s v="ဘက္အံုပင္နယံ လိုင္းပါ"/>
    <n v="1"/>
    <n v="5500"/>
    <n v="5500"/>
    <n v="3121"/>
    <x v="7"/>
  </r>
  <r>
    <n v="1053"/>
    <x v="1052"/>
    <s v="ကာပရိုက္တာ(2 ပင္)(150)"/>
    <n v="3"/>
    <n v="16000"/>
    <n v="16000"/>
    <n v="41325"/>
    <x v="7"/>
  </r>
  <r>
    <n v="1054"/>
    <x v="1053"/>
    <s v="ကစ္တံအျဖဴ (150)အတို"/>
    <n v="4"/>
    <n v="5500"/>
    <n v="5500"/>
    <n v="16000"/>
    <x v="7"/>
  </r>
  <r>
    <n v="1055"/>
    <x v="1054"/>
    <s v="ေရလည္အံုပန္႔300သစ္တို"/>
    <n v="1"/>
    <n v="10500"/>
    <n v="10500"/>
    <n v="8900"/>
    <x v="7"/>
  </r>
  <r>
    <n v="1056"/>
    <x v="1055"/>
    <s v="ေရလည္အံုပန္႔250/175"/>
    <n v="3"/>
    <n v="12000"/>
    <n v="12000"/>
    <n v="31590"/>
    <x v="7"/>
  </r>
  <r>
    <n v="1057"/>
    <x v="1056"/>
    <s v="ဘီးနတ္( L)"/>
    <n v="41"/>
    <n v="900"/>
    <n v="900"/>
    <n v="26650"/>
    <x v="7"/>
  </r>
  <r>
    <n v="1058"/>
    <x v="1057"/>
    <s v="ရိုးရိုးဘရိတ္ရွဴးျခမ္း(220A)"/>
    <n v="2"/>
    <n v="6000"/>
    <n v="6000"/>
    <n v="6916"/>
    <x v="7"/>
  </r>
  <r>
    <n v="1059"/>
    <x v="1058"/>
    <s v="ပစၥတင္ (150/175)(STD)0.03A"/>
    <n v="3"/>
    <n v="9000"/>
    <n v="9000"/>
    <n v="20160"/>
    <x v="7"/>
  </r>
  <r>
    <n v="1060"/>
    <x v="1059"/>
    <s v="175/150CC(ေရ)Half set(ဂတ္စကက္)"/>
    <n v="8"/>
    <n v="3500"/>
    <n v="3500"/>
    <n v="21600"/>
    <x v="7"/>
  </r>
  <r>
    <n v="1061"/>
    <x v="1060"/>
    <s v="စီဒီအိုင္ 200-250"/>
    <n v="1"/>
    <n v="6000"/>
    <n v="6000"/>
    <n v="3865"/>
    <x v="7"/>
  </r>
  <r>
    <n v="1062"/>
    <x v="1061"/>
    <s v="ကလပ္ကိုင္းအထိုင္ပါ( L )"/>
    <n v="5"/>
    <n v="4000"/>
    <n v="4000"/>
    <n v="15250"/>
    <x v="7"/>
  </r>
  <r>
    <n v="1063"/>
    <x v="1062"/>
    <s v="ေသာ့လြတ္ေသး_x000d__x000a_"/>
    <n v="17"/>
    <n v="4000"/>
    <n v="4000"/>
    <n v="50830"/>
    <x v="7"/>
  </r>
  <r>
    <n v="1064"/>
    <x v="1063"/>
    <s v="ဂီယာတံ(2)ဆင့္ေလာ့(ေရထမ္း)"/>
    <n v="13"/>
    <n v="3200"/>
    <n v="3200"/>
    <n v="34099"/>
    <x v="7"/>
  </r>
  <r>
    <n v="1065"/>
    <x v="1064"/>
    <s v="ဘားတံရွည္ 150/175"/>
    <n v="5"/>
    <n v="6800"/>
    <n v="6800"/>
    <n v="27500"/>
    <x v="7"/>
  </r>
  <r>
    <n v="1066"/>
    <x v="1065"/>
    <s v="30X40X7 ဝိုင္းစီး"/>
    <n v="1"/>
    <n v="800"/>
    <n v="800"/>
    <n v="326"/>
    <x v="7"/>
  </r>
  <r>
    <n v="1067"/>
    <x v="1066"/>
    <s v="ဘေလာက္Set(250-67)သတၱဳ"/>
    <n v="2"/>
    <n v="44500"/>
    <n v="44500"/>
    <n v="86750"/>
    <x v="7"/>
  </r>
  <r>
    <n v="1068"/>
    <x v="1067"/>
    <s v="ဘေလာက္ Set 175 ေရ"/>
    <n v="2"/>
    <n v="45000"/>
    <n v="45000"/>
    <n v="75250"/>
    <x v="7"/>
  </r>
  <r>
    <n v="1069"/>
    <x v="1068"/>
    <s v="မိုင္းလစ္ႀကိဳး (150)"/>
    <n v="8"/>
    <n v="2500"/>
    <n v="2500"/>
    <n v="13480"/>
    <x v="7"/>
  </r>
  <r>
    <n v="1070"/>
    <x v="1069"/>
    <s v="ေနာက္ဟက္ဒြမ္220 (6206/175)"/>
    <n v="4"/>
    <n v="20500"/>
    <n v="20500"/>
    <n v="66652"/>
    <x v="7"/>
  </r>
  <r>
    <n v="1071"/>
    <x v="1070"/>
    <s v="ကလပ္ အထိုင္အလြတ္7 ခ်ပ္"/>
    <n v="1"/>
    <n v="14000"/>
    <n v="14000"/>
    <n v="10401"/>
    <x v="7"/>
  </r>
  <r>
    <n v="1072"/>
    <x v="1071"/>
    <s v="2110 အင္ဂ်င္ျခမ္းေဘာ"/>
    <n v="5"/>
    <n v="2000"/>
    <n v="2000"/>
    <n v="5575"/>
    <x v="7"/>
  </r>
  <r>
    <n v="1073"/>
    <x v="1072"/>
    <s v="အင္ဂ်င္ေမာင္ထိန္း ဝါ(ခု)"/>
    <n v="3"/>
    <n v="3000"/>
    <n v="3000"/>
    <n v="6900"/>
    <x v="7"/>
  </r>
  <r>
    <n v="1074"/>
    <x v="1073"/>
    <s v="ဘရိတ္ရွဳး ကလစ္+စပလိန္ထုပ္"/>
    <n v="38"/>
    <n v="500"/>
    <n v="500"/>
    <n v="10070"/>
    <x v="7"/>
  </r>
  <r>
    <n v="1075"/>
    <x v="1074"/>
    <s v="16001ကလပ္ေဘာ BER"/>
    <n v="9"/>
    <n v="1500"/>
    <n v="1500"/>
    <n v="6750"/>
    <x v="7"/>
  </r>
  <r>
    <n v="1076"/>
    <x v="1075"/>
    <s v="212810အင္ဂ်င္ျခမ္းေဘာ"/>
    <n v="4"/>
    <n v="2000"/>
    <n v="2000"/>
    <n v="4460"/>
    <x v="7"/>
  </r>
  <r>
    <n v="1077"/>
    <x v="1076"/>
    <s v="6900 ေဘာ"/>
    <n v="6"/>
    <n v="1200"/>
    <n v="1200"/>
    <n v="3810"/>
    <x v="7"/>
  </r>
  <r>
    <n v="1078"/>
    <x v="1077"/>
    <s v="152712 အင္ဂ်င္ျခမ္းေဘာ"/>
    <n v="12"/>
    <n v="2000"/>
    <n v="2000"/>
    <n v="18348"/>
    <x v="7"/>
  </r>
  <r>
    <n v="1079"/>
    <x v="1078"/>
    <s v="6901 ေဘာ"/>
    <n v="5"/>
    <n v="1000"/>
    <n v="1000"/>
    <n v="3000"/>
    <x v="7"/>
  </r>
  <r>
    <n v="1080"/>
    <x v="1079"/>
    <s v="1010ေဘာ"/>
    <n v="19"/>
    <n v="1000"/>
    <n v="1000"/>
    <n v="10108"/>
    <x v="7"/>
  </r>
  <r>
    <n v="1081"/>
    <x v="1080"/>
    <s v="152312 ေဘာ"/>
    <n v="4"/>
    <n v="1200"/>
    <n v="1200"/>
    <n v="3392"/>
    <x v="7"/>
  </r>
  <r>
    <n v="1082"/>
    <x v="1081"/>
    <s v="1512အင္ဂ်င္ျခမ္းေဘာ"/>
    <n v="7"/>
    <n v="1500"/>
    <n v="1500"/>
    <n v="6188"/>
    <x v="7"/>
  </r>
  <r>
    <n v="1083"/>
    <x v="1082"/>
    <s v="ဘရိတ္သံေခ်ာင္းတို12ရစ္"/>
    <n v="4"/>
    <n v="2000"/>
    <n v="2000"/>
    <n v="4736"/>
    <x v="7"/>
  </r>
  <r>
    <n v="1084"/>
    <x v="1083"/>
    <s v="ဘရိတ္သံေခ်ာင္းရွည္ 12ရစ္"/>
    <n v="5"/>
    <n v="2000"/>
    <n v="2000"/>
    <n v="7160"/>
    <x v="7"/>
  </r>
  <r>
    <n v="1085"/>
    <x v="1084"/>
    <s v="ဘရိတ္သံေခ်ာင္းရွည္14ရစ္"/>
    <n v="4"/>
    <n v="2200"/>
    <n v="2200"/>
    <n v="6732"/>
    <x v="7"/>
  </r>
  <r>
    <n v="1086"/>
    <x v="1085"/>
    <s v="ဘရိတ္သံေခ်ာင္းတို14ရစ္"/>
    <n v="3"/>
    <n v="2000"/>
    <n v="2000"/>
    <n v="4674"/>
    <x v="7"/>
  </r>
  <r>
    <n v="1087"/>
    <x v="1086"/>
    <s v="အဲယားေလစစ္အဝိုင္း"/>
    <n v="5"/>
    <n v="4000"/>
    <n v="4000"/>
    <n v="8525"/>
    <x v="7"/>
  </r>
  <r>
    <n v="1088"/>
    <x v="1087"/>
    <s v="6200 ေဘာ"/>
    <n v="11"/>
    <n v="1000"/>
    <n v="1000"/>
    <n v="6875"/>
    <x v="7"/>
  </r>
  <r>
    <n v="1089"/>
    <x v="1088"/>
    <s v="အိတ္ေဇာနတ္တိုင္ေခါင္းပါ(12)ရစ္"/>
    <n v="20"/>
    <n v="500"/>
    <n v="500"/>
    <n v="4620"/>
    <x v="7"/>
  </r>
  <r>
    <n v="1090"/>
    <x v="1089"/>
    <s v="အင္ဂ်င္ဆြဲနတ္"/>
    <n v="2"/>
    <n v="1000"/>
    <n v="1000"/>
    <n v="1130"/>
    <x v="7"/>
  </r>
  <r>
    <n v="1091"/>
    <x v="1090"/>
    <s v="အိတ္ေဇာနတ္တိုင္ေခါင္းပါ(14)ရစ္"/>
    <n v="32"/>
    <n v="500"/>
    <n v="500"/>
    <n v="9184"/>
    <x v="7"/>
  </r>
  <r>
    <n v="1092"/>
    <x v="1091"/>
    <s v="18ထုပ္သံလိုက္တံုးလြတ္ျပင္ရစ္/ျမင့္ 300CC"/>
    <n v="2"/>
    <n v="22000"/>
    <n v="22000"/>
    <n v="34340"/>
    <x v="7"/>
  </r>
  <r>
    <n v="1093"/>
    <x v="1092"/>
    <s v="15T(10t) ဘက္အံုပင္နယံ(စိပ္ထူက်ဥ္း)"/>
    <n v="2"/>
    <n v="4300"/>
    <n v="4300"/>
    <n v="6616"/>
    <x v="7"/>
  </r>
  <r>
    <n v="1094"/>
    <x v="1093"/>
    <s v="15T(10t) ဘက္အံုပင္နယံ(စိပ္ပါးက်ယ္)"/>
    <n v="2"/>
    <n v="3500"/>
    <n v="3500"/>
    <n v="5060"/>
    <x v="7"/>
  </r>
  <r>
    <n v="1095"/>
    <x v="1094"/>
    <s v="NT 70 ပလန္ခ်ာ"/>
    <n v="4"/>
    <n v="12000"/>
    <n v="12000"/>
    <n v="28000"/>
    <x v="1"/>
  </r>
  <r>
    <n v="1096"/>
    <x v="1095"/>
    <s v="NT 70 ဘားတံ"/>
    <n v="18"/>
    <n v="7000"/>
    <n v="7000"/>
    <n v="90000"/>
    <x v="1"/>
  </r>
  <r>
    <n v="1097"/>
    <x v="1096"/>
    <s v="NT70 ဘားကိုက္"/>
    <n v="9"/>
    <n v="2200"/>
    <n v="2200"/>
    <n v="13500"/>
    <x v="1"/>
  </r>
  <r>
    <n v="1098"/>
    <x v="1097"/>
    <s v="NT 70 ဟတ္ဖံုး"/>
    <n v="1"/>
    <n v="8000"/>
    <n v="8000"/>
    <n v="6000"/>
    <x v="1"/>
  </r>
  <r>
    <n v="1099"/>
    <x v="1098"/>
    <s v="NT70 ဂတ္စကတ္"/>
    <n v="8"/>
    <n v="2200"/>
    <n v="2200"/>
    <n v="13600"/>
    <x v="1"/>
  </r>
  <r>
    <n v="1100"/>
    <x v="1099"/>
    <s v="NT 70 ပလန္ခ်ာ"/>
    <n v="2"/>
    <n v="10000"/>
    <n v="10000"/>
    <n v="12000"/>
    <x v="1"/>
  </r>
  <r>
    <n v="1101"/>
    <x v="1100"/>
    <s v="NT 70 ကြန္နတ္တင္း"/>
    <n v="5"/>
    <n v="23000"/>
    <n v="23000"/>
    <n v="87500"/>
    <x v="1"/>
  </r>
  <r>
    <n v="1102"/>
    <x v="1101"/>
    <s v="NT 70 ရိန္း"/>
    <n v="6"/>
    <n v="5000"/>
    <n v="5000"/>
    <n v="24600"/>
    <x v="1"/>
  </r>
  <r>
    <n v="1103"/>
    <x v="1102"/>
    <s v="NT70စလစ္(O)"/>
    <n v="5"/>
    <n v="17000"/>
    <n v="17000"/>
    <n v="50000"/>
    <x v="1"/>
  </r>
  <r>
    <n v="1104"/>
    <x v="1103"/>
    <s v="NT70ပလန္ခ်ာအုံ"/>
    <n v="2"/>
    <n v="45000"/>
    <n v="45000"/>
    <n v="47000"/>
    <x v="1"/>
  </r>
  <r>
    <n v="1105"/>
    <x v="1104"/>
    <s v="NT70/80ဆီတိုင္ကီ"/>
    <n v="4"/>
    <n v="53000"/>
    <n v="53000"/>
    <n v="160000"/>
    <x v="1"/>
  </r>
  <r>
    <n v="1106"/>
    <x v="1105"/>
    <s v="NT70/80ေရတိုင္ကီ"/>
    <n v="2"/>
    <n v="73000"/>
    <n v="73000"/>
    <n v="122000"/>
    <x v="1"/>
  </r>
  <r>
    <n v="1107"/>
    <x v="1106"/>
    <s v="NT70/80အင္းလဲ့ဗူး"/>
    <n v="1"/>
    <n v="17000"/>
    <n v="17000"/>
    <n v="14000"/>
    <x v="1"/>
  </r>
  <r>
    <n v="1108"/>
    <x v="1107"/>
    <s v="NT70အိတ္ေဇာဗူး(ေဂါက္ပါ)"/>
    <n v="5"/>
    <n v="28000"/>
    <n v="28000"/>
    <n v="82500"/>
    <x v="1"/>
  </r>
  <r>
    <n v="1109"/>
    <x v="1108"/>
    <s v="NT70ရိန္း (N)"/>
    <n v="2"/>
    <n v="5000"/>
    <n v="5000"/>
    <n v="8000"/>
    <x v="1"/>
  </r>
  <r>
    <n v="1110"/>
    <x v="1109"/>
    <s v="NT 70 စလစ္"/>
    <n v="2"/>
    <n v="11500"/>
    <n v="11500"/>
    <n v="19200"/>
    <x v="1"/>
  </r>
  <r>
    <n v="1111"/>
    <x v="1110"/>
    <s v="NT 70 မိန္းဖလန္းထူ/ပါး"/>
    <n v="20"/>
    <n v="700"/>
    <n v="700"/>
    <n v="9000"/>
    <x v="1"/>
  </r>
  <r>
    <n v="1112"/>
    <x v="1111"/>
    <s v="NT 70 ပစၥတင္"/>
    <n v="11"/>
    <n v="10000"/>
    <n v="10000"/>
    <n v="82500"/>
    <x v="1"/>
  </r>
  <r>
    <n v="1113"/>
    <x v="1112"/>
    <s v="NT70 ဂါဂ်ီပင္"/>
    <n v="5"/>
    <n v="3200"/>
    <n v="3200"/>
    <n v="10500"/>
    <x v="1"/>
  </r>
  <r>
    <n v="1114"/>
    <x v="1113"/>
    <s v="NT 70/80 ဟက္ဖံုး"/>
    <n v="4"/>
    <n v="16000"/>
    <n v="16000"/>
    <n v="44000"/>
    <x v="1"/>
  </r>
  <r>
    <n v="1115"/>
    <x v="1114"/>
    <s v="NT70/80 ဖလိုင္းဝွီး"/>
    <n v="1"/>
    <n v="50000"/>
    <n v="50000"/>
    <n v="39000"/>
    <x v="1"/>
  </r>
  <r>
    <n v="1116"/>
    <x v="1115"/>
    <s v="NT70/80 ဖစ္တာဗူး"/>
    <n v="3"/>
    <n v="19000"/>
    <n v="19000"/>
    <n v="39000"/>
    <x v="1"/>
  </r>
  <r>
    <n v="1117"/>
    <x v="1116"/>
    <s v="NT70 ေနာ္ဇယ္အံု"/>
    <n v="1"/>
    <n v="40000"/>
    <n v="40000"/>
    <n v="35000"/>
    <x v="1"/>
  </r>
  <r>
    <n v="1118"/>
    <x v="1117"/>
    <s v="NT70 ဘားကြင္း"/>
    <n v="7"/>
    <n v="2800"/>
    <n v="2800"/>
    <n v="14000"/>
    <x v="1"/>
  </r>
  <r>
    <n v="1119"/>
    <x v="1118"/>
    <s v="NT 70 ဘားဖံုး"/>
    <n v="3"/>
    <n v="2500"/>
    <n v="2500"/>
    <n v="3000"/>
    <x v="1"/>
  </r>
  <r>
    <n v="1120"/>
    <x v="1119"/>
    <s v="NT 70 ျဖတ္ဘား"/>
    <n v="36"/>
    <n v="8000"/>
    <n v="8000"/>
    <n v="223200"/>
    <x v="1"/>
  </r>
  <r>
    <n v="1121"/>
    <x v="1120"/>
    <s v="အင္ဂ်င္ဝိုင္ပန္႔ဆံ"/>
    <n v="1"/>
    <n v="5000"/>
    <n v="5000"/>
    <n v="2000"/>
    <x v="1"/>
  </r>
  <r>
    <n v="1122"/>
    <x v="1121"/>
    <s v="ျဖတ္ဘားစပုလိန္"/>
    <n v="11"/>
    <n v="1000"/>
    <n v="1000"/>
    <n v="6600"/>
    <x v="1"/>
  </r>
  <r>
    <n v="1123"/>
    <x v="1122"/>
    <s v="ေရတိုင္ကီ သံျပား"/>
    <n v="2"/>
    <n v="6000"/>
    <n v="6000"/>
    <n v="5000"/>
    <x v="1"/>
  </r>
  <r>
    <n v="1124"/>
    <x v="1123"/>
    <s v="ကရိုင္းပီနီယံ"/>
    <n v="2"/>
    <n v="6000"/>
    <n v="6000"/>
    <n v="5200"/>
    <x v="1"/>
  </r>
  <r>
    <n v="1125"/>
    <x v="1124"/>
    <s v="NT70/80 မိန္းဖလန္း"/>
    <n v="2"/>
    <n v="23000"/>
    <n v="23000"/>
    <n v="30000"/>
    <x v="1"/>
  </r>
  <r>
    <n v="1126"/>
    <x v="1125"/>
    <s v="NT 70ဘားေစ့"/>
    <n v="20"/>
    <n v="1000"/>
    <n v="1000"/>
    <n v="16000"/>
    <x v="1"/>
  </r>
  <r>
    <n v="1127"/>
    <x v="1126"/>
    <s v="NT 70အင္ဂ်င္ဝိုင္ပိတ္အဖံုး"/>
    <n v="5"/>
    <n v="2800"/>
    <n v="2800"/>
    <n v="9000"/>
    <x v="1"/>
  </r>
  <r>
    <n v="1128"/>
    <x v="1127"/>
    <s v="NT 70ဖူးစေတာ့တံ"/>
    <n v="10"/>
    <n v="2500"/>
    <n v="2500"/>
    <n v="18000"/>
    <x v="1"/>
  </r>
  <r>
    <n v="1129"/>
    <x v="1128"/>
    <s v="NT 70ေလရႈိက္ဘား"/>
    <n v="3"/>
    <n v="5000"/>
    <n v="5000"/>
    <n v="11100"/>
    <x v="1"/>
  </r>
  <r>
    <n v="1130"/>
    <x v="1129"/>
    <s v="NT70/80 ကင့္ဘု"/>
    <n v="4"/>
    <n v="6500"/>
    <n v="6500"/>
    <n v="20000"/>
    <x v="1"/>
  </r>
  <r>
    <n v="1131"/>
    <x v="1130"/>
    <s v="NT70/80 ပင္နယံ(စံု)"/>
    <n v="2"/>
    <n v="45000"/>
    <n v="45000"/>
    <n v="77000"/>
    <x v="1"/>
  </r>
  <r>
    <n v="1132"/>
    <x v="1131"/>
    <s v="NT70/80 ကရိုင္းပင္နယံ"/>
    <n v="10"/>
    <n v="5000"/>
    <n v="5000"/>
    <n v="35000"/>
    <x v="1"/>
  </r>
  <r>
    <n v="1133"/>
    <x v="1132"/>
    <s v="ကင္းရွပ္ပီနီယံ_x000d__x000a__x000d__x000a_"/>
    <n v="2"/>
    <n v="15000"/>
    <n v="15000"/>
    <n v="17000"/>
    <x v="1"/>
  </r>
  <r>
    <n v="1134"/>
    <x v="1133"/>
    <s v="ကင့္ရွပ္ပီနီယံအေသး"/>
    <n v="5"/>
    <n v="9500"/>
    <n v="9500"/>
    <n v="17500"/>
    <x v="1"/>
  </r>
  <r>
    <n v="1135"/>
    <x v="1134"/>
    <s v="ဟန္တယ္ပီီနီယံ"/>
    <n v="2"/>
    <n v="8000"/>
    <n v="8000"/>
    <n v="9000"/>
    <x v="1"/>
  </r>
  <r>
    <n v="1136"/>
    <x v="1135"/>
    <s v="ေနာ္ဇယ္ပိုက္_x000d__x000a_"/>
    <n v="12"/>
    <n v="2300"/>
    <n v="2300"/>
    <n v="7800"/>
    <x v="1"/>
  </r>
  <r>
    <n v="1137"/>
    <x v="1136"/>
    <s v="NT 80 ဂတ္စကက္"/>
    <n v="2"/>
    <n v="1500"/>
    <n v="1500"/>
    <n v="1500"/>
    <x v="1"/>
  </r>
  <r>
    <n v="1138"/>
    <x v="1137"/>
    <s v="NT 80 ရိန္း"/>
    <n v="3"/>
    <n v="5500"/>
    <n v="5500"/>
    <n v="12600"/>
    <x v="1"/>
  </r>
  <r>
    <n v="1139"/>
    <x v="1138"/>
    <s v="NT80စလစ္"/>
    <n v="10"/>
    <n v="25000"/>
    <n v="25000"/>
    <n v="200000"/>
    <x v="1"/>
  </r>
  <r>
    <n v="1140"/>
    <x v="1139"/>
    <s v="NT80ရိန္း"/>
    <n v="16"/>
    <n v="7000"/>
    <n v="7000"/>
    <n v="88000"/>
    <x v="1"/>
  </r>
  <r>
    <n v="1141"/>
    <x v="1140"/>
    <s v="NT-80 အိတ္ေဇာ"/>
    <n v="1"/>
    <n v="20000"/>
    <n v="20000"/>
    <n v="17500"/>
    <x v="1"/>
  </r>
  <r>
    <n v="1142"/>
    <x v="1141"/>
    <s v="NT-70/80 အမ္းဖံုး"/>
    <n v="1"/>
    <n v="8500"/>
    <n v="8500"/>
    <n v="7500"/>
    <x v="1"/>
  </r>
  <r>
    <n v="1143"/>
    <x v="1142"/>
    <s v="NT-80 ေဂါက္"/>
    <n v="1"/>
    <n v="22000"/>
    <n v="22000"/>
    <n v="16000"/>
    <x v="1"/>
  </r>
  <r>
    <n v="1144"/>
    <x v="1143"/>
    <s v="NT80 ပစၥတင္"/>
    <n v="16"/>
    <n v="15000"/>
    <n v="15000"/>
    <n v="200000"/>
    <x v="1"/>
  </r>
  <r>
    <n v="1145"/>
    <x v="1144"/>
    <s v="NT70  ကင္းရွပ္"/>
    <n v="2"/>
    <n v="15000"/>
    <n v="15000"/>
    <n v="20000"/>
    <x v="1"/>
  </r>
  <r>
    <n v="1146"/>
    <x v="1145"/>
    <s v="NT80 ဂါဗနာဂြ"/>
    <n v="2"/>
    <n v="8000"/>
    <n v="8000"/>
    <n v="7600"/>
    <x v="1"/>
  </r>
  <r>
    <n v="1147"/>
    <x v="1146"/>
    <s v="NT80 ဟက္ဖုံး"/>
    <n v="2"/>
    <n v="15000"/>
    <n v="15000"/>
    <n v="21000"/>
    <x v="1"/>
  </r>
  <r>
    <n v="1148"/>
    <x v="1147"/>
    <s v="NT80 ပလန္ခ်ာစပုလိန္"/>
    <n v="19"/>
    <n v="2000"/>
    <n v="2000"/>
    <n v="15200"/>
    <x v="1"/>
  </r>
  <r>
    <n v="1149"/>
    <x v="1148"/>
    <s v="NT80 ဆီေဒါက္"/>
    <n v="1"/>
    <n v="17000"/>
    <n v="17000"/>
    <n v="11000"/>
    <x v="1"/>
  </r>
  <r>
    <n v="1150"/>
    <x v="1149"/>
    <s v="NT80 ဂါဂ်ီပင္"/>
    <n v="12"/>
    <n v="3200"/>
    <n v="3200"/>
    <n v="25200"/>
    <x v="1"/>
  </r>
  <r>
    <n v="1151"/>
    <x v="1150"/>
    <s v="NT80 အင္ဂ်င္ဝိုင္စစ္စံု"/>
    <n v="2"/>
    <n v="15000"/>
    <n v="15000"/>
    <n v="24000"/>
    <x v="1"/>
  </r>
  <r>
    <n v="1152"/>
    <x v="1151"/>
    <s v="NT80 ဘေလာက္အိုး"/>
    <n v="1"/>
    <n v="155000"/>
    <n v="155000"/>
    <n v="130000"/>
    <x v="1"/>
  </r>
  <r>
    <n v="1153"/>
    <x v="1152"/>
    <s v="NT80 ကရိုင္း"/>
    <n v="1"/>
    <n v="90000"/>
    <n v="90000"/>
    <n v="70000"/>
    <x v="1"/>
  </r>
  <r>
    <n v="1154"/>
    <x v="1153"/>
    <s v="NT80 အင္းလက္ေဂါက္"/>
    <n v="1"/>
    <n v="7000"/>
    <n v="7000"/>
    <n v="5800"/>
    <x v="1"/>
  </r>
  <r>
    <n v="1155"/>
    <x v="1154"/>
    <s v="NT80 ဟက္"/>
    <n v="1"/>
    <n v="35000"/>
    <n v="35000"/>
    <n v="23000"/>
    <x v="1"/>
  </r>
  <r>
    <n v="1156"/>
    <x v="1155"/>
    <s v="NT80 ဂတ္စကက္"/>
    <n v="1"/>
    <n v="2500"/>
    <n v="2500"/>
    <n v="1800"/>
    <x v="1"/>
  </r>
  <r>
    <n v="1157"/>
    <x v="1156"/>
    <s v="NT80 အင္းလက္ဗူးလြတ္"/>
    <n v="1"/>
    <n v="19000"/>
    <n v="19000"/>
    <n v="14000"/>
    <x v="1"/>
  </r>
  <r>
    <n v="1158"/>
    <x v="1157"/>
    <s v="NT80 အင္းလက္ေဂါက္"/>
    <n v="1"/>
    <n v="10000"/>
    <n v="10000"/>
    <n v="5500"/>
    <x v="1"/>
  </r>
  <r>
    <n v="1159"/>
    <x v="1158"/>
    <s v="B 104 ပူလီႀကိဳး_x000d__x000a_"/>
    <n v="1"/>
    <n v="27000"/>
    <n v="27000"/>
    <n v="25665"/>
    <x v="1"/>
  </r>
  <r>
    <n v="1160"/>
    <x v="1159"/>
    <s v="5T050-4651-3 လည္ ခ်ိန္းဆက္"/>
    <n v="2"/>
    <n v="3000"/>
    <n v="3000"/>
    <n v="5000"/>
    <x v="1"/>
  </r>
  <r>
    <n v="1161"/>
    <x v="1160"/>
    <s v="အစိမ္းစ"/>
    <n v="3"/>
    <n v="18000"/>
    <n v="18000"/>
    <n v="45000"/>
    <x v="1"/>
  </r>
  <r>
    <n v="1162"/>
    <x v="1161"/>
    <s v="T1061-32270 ဆင္ဆာ"/>
    <n v="1"/>
    <n v="15000"/>
    <n v="15000"/>
    <n v="12000"/>
    <x v="1"/>
  </r>
  <r>
    <n v="1163"/>
    <x v="1162"/>
    <s v="A40 (ယိုး)"/>
    <n v="4"/>
    <n v="1500"/>
    <n v="1500"/>
    <n v="4000"/>
    <x v="1"/>
  </r>
  <r>
    <n v="1164"/>
    <x v="1163"/>
    <s v="B66 ပူလီႀကိဳး"/>
    <n v="2"/>
    <n v="3000"/>
    <n v="3000"/>
    <n v="3564"/>
    <x v="1"/>
  </r>
  <r>
    <n v="1165"/>
    <x v="1164"/>
    <s v="B107 ပူလီႀကိဳး_x000d__x000a_"/>
    <n v="1"/>
    <n v="18000"/>
    <n v="18000"/>
    <n v="16830"/>
    <x v="1"/>
  </r>
  <r>
    <n v="1166"/>
    <x v="1165"/>
    <s v="Coolant"/>
    <n v="2"/>
    <n v="7000"/>
    <n v="7000"/>
    <n v="10000"/>
    <x v="1"/>
  </r>
  <r>
    <n v="1167"/>
    <x v="1166"/>
    <s v="BOB  အမဲဆီ"/>
    <n v="2"/>
    <n v="74000"/>
    <n v="74000"/>
    <n v="130000"/>
    <x v="1"/>
  </r>
  <r>
    <n v="1168"/>
    <x v="1167"/>
    <s v="YARMARခေရာ္လာေဒါက္"/>
    <n v="5"/>
    <n v="8500"/>
    <n v="8500"/>
    <n v="22500"/>
    <x v="1"/>
  </r>
  <r>
    <n v="1169"/>
    <x v="1168"/>
    <s v="Toyo ဘီးရွပ္ "/>
    <n v="10"/>
    <n v="18000"/>
    <n v="18000"/>
    <n v="125270"/>
    <x v="1"/>
  </r>
  <r>
    <n v="1170"/>
    <x v="1169"/>
    <s v="Toyo ေအာက္ ပင္နယံ 69 စြယ္"/>
    <n v="2"/>
    <n v="35000"/>
    <n v="35000"/>
    <n v="45400"/>
    <x v="1"/>
  </r>
  <r>
    <n v="1171"/>
    <x v="1170"/>
    <s v="ေလွ်ာဗန္း (110)"/>
    <n v="3"/>
    <n v="30000"/>
    <n v="30000"/>
    <n v="60000"/>
    <x v="1"/>
  </r>
  <r>
    <n v="1172"/>
    <x v="1171"/>
    <s v="Toyo ေလ်ွာဗန္း(တစ္ဘီးေထာင္)"/>
    <n v="8"/>
    <n v="35000"/>
    <n v="35000"/>
    <n v="172000"/>
    <x v="1"/>
  </r>
  <r>
    <n v="1173"/>
    <x v="1172"/>
    <s v="ေလ်ွာဗန္းေဒါက္(တစ္ဘီးေထာင္)"/>
    <n v="5"/>
    <n v="4000"/>
    <n v="4000"/>
    <n v="15000"/>
    <x v="1"/>
  </r>
  <r>
    <n v="1174"/>
    <x v="1173"/>
    <s v="ေလ်ွာဗန္းသံႀကိဳးတံုး"/>
    <n v="15"/>
    <n v="5000"/>
    <n v="5000"/>
    <n v="37500"/>
    <x v="1"/>
  </r>
  <r>
    <n v="1175"/>
    <x v="1174"/>
    <s v="ေလ်ွာတန္း (ခါးရွပ္တန္း)(တစ္ဘီးေထာင္)"/>
    <n v="10"/>
    <n v="21000"/>
    <n v="21000"/>
    <n v="135000"/>
    <x v="1"/>
  </r>
  <r>
    <n v="1176"/>
    <x v="1175"/>
    <s v="သံဘီး ခြာ(တစ္ဘီးေထာင္)"/>
    <n v="23"/>
    <n v="3500"/>
    <n v="3500"/>
    <n v="52900"/>
    <x v="1"/>
  </r>
  <r>
    <n v="1177"/>
    <x v="1176"/>
    <s v="နတ္စံုထုပ္ (တစ္ဘီးေထာင္)"/>
    <n v="7"/>
    <n v="14500"/>
    <n v="14500"/>
    <n v="59500"/>
    <x v="1"/>
  </r>
  <r>
    <n v="1178"/>
    <x v="1177"/>
    <s v="ဇက္ပင္ (တစ္ဘီးေထာင္)"/>
    <n v="20"/>
    <n v="5000"/>
    <n v="5000"/>
    <n v="73600"/>
    <x v="1"/>
  </r>
  <r>
    <n v="1179"/>
    <x v="1178"/>
    <s v="Toyo ဇက္ပင္"/>
    <n v="20"/>
    <n v="6000"/>
    <n v="6000"/>
    <n v="66000"/>
    <x v="1"/>
  </r>
  <r>
    <n v="1180"/>
    <x v="1179"/>
    <s v="ဇက္ဘြတ္ (တစ္ဘီးေထာင္)"/>
    <n v="43"/>
    <n v="2500"/>
    <n v="2500"/>
    <n v="71079"/>
    <x v="1"/>
  </r>
  <r>
    <n v="1181"/>
    <x v="1180"/>
    <s v="တပ္မ (တစ္ဘီးေထာင္)"/>
    <n v="6"/>
    <n v="18000"/>
    <n v="18000"/>
    <n v="60000"/>
    <x v="1"/>
  </r>
  <r>
    <n v="1182"/>
    <x v="1181"/>
    <s v="တပ္မေဒါက္(တစ္ဘီးေထာင္)"/>
    <n v="3"/>
    <n v="3800"/>
    <n v="3800"/>
    <n v="6000"/>
    <x v="1"/>
  </r>
  <r>
    <n v="1183"/>
    <x v="1182"/>
    <s v="ဖင္ထိုင္ၿပား / ခံု(တစ္ဘီးေထာင္)"/>
    <n v="2"/>
    <n v="22000"/>
    <n v="22000"/>
    <n v="27000"/>
    <x v="1"/>
  </r>
  <r>
    <n v="1184"/>
    <x v="1183"/>
    <s v="6/8 အင္ဂ်င္အထိုင္"/>
    <n v="18"/>
    <n v="22000"/>
    <n v="22000"/>
    <n v="180000"/>
    <x v="1"/>
  </r>
  <r>
    <n v="1185"/>
    <x v="1184"/>
    <s v="ထိုးတံ(တစ္ဘီးေထာင္)"/>
    <n v="56"/>
    <n v="6500"/>
    <n v="6500"/>
    <n v="196000"/>
    <x v="1"/>
  </r>
  <r>
    <n v="1186"/>
    <x v="1185"/>
    <s v="Toyo ဆြဲတံ(တစ္ဘီးေထာင္)"/>
    <n v="3"/>
    <n v="2000"/>
    <n v="2000"/>
    <n v="4500"/>
    <x v="1"/>
  </r>
  <r>
    <n v="1187"/>
    <x v="1186"/>
    <s v="607 ေက်ာက္စက္ေဘာ_x000d__x000a_"/>
    <n v="17"/>
    <n v="1000"/>
    <n v="1000"/>
    <n v="7650"/>
    <x v="1"/>
  </r>
  <r>
    <n v="1188"/>
    <x v="1187"/>
    <s v="6305 ေဘာ"/>
    <n v="5"/>
    <n v="3900"/>
    <n v="3900"/>
    <n v="10000"/>
    <x v="1"/>
  </r>
  <r>
    <n v="1189"/>
    <x v="1188"/>
    <s v="207 UCP (က်ယ္)"/>
    <n v="3"/>
    <n v="10000"/>
    <n v="10000"/>
    <n v="24000"/>
    <x v="1"/>
  </r>
  <r>
    <n v="1190"/>
    <x v="1189"/>
    <s v="205 ဆီပိတ္"/>
    <n v="3"/>
    <n v="3000"/>
    <n v="3000"/>
    <n v="4950"/>
    <x v="1"/>
  </r>
  <r>
    <n v="1191"/>
    <x v="1190"/>
    <s v="209 NJ"/>
    <n v="1"/>
    <n v="6000"/>
    <n v="6000"/>
    <n v="4800"/>
    <x v="1"/>
  </r>
  <r>
    <n v="1192"/>
    <x v="1191"/>
    <s v="210 (တစ္ဘီးေထာင္)"/>
    <n v="2"/>
    <n v="3600"/>
    <n v="3600"/>
    <n v="5500"/>
    <x v="1"/>
  </r>
  <r>
    <n v="1193"/>
    <x v="1192"/>
    <s v="7x2 ပူလီ (တစ္ဘီးေထာင္)"/>
    <n v="9"/>
    <n v="20200"/>
    <n v="20200"/>
    <n v="117000"/>
    <x v="1"/>
  </r>
  <r>
    <n v="1194"/>
    <x v="1193"/>
    <s v="ဲ 6X2  ပူလီ (တစ္ဘီးေထာင္)"/>
    <n v="4"/>
    <n v="18000"/>
    <n v="18000"/>
    <n v="44800"/>
    <x v="1"/>
  </r>
  <r>
    <n v="1195"/>
    <x v="1194"/>
    <s v="ေရကာ (တစ္ဘီးေထာင္)"/>
    <n v="11"/>
    <n v="20000"/>
    <n v="20000"/>
    <n v="165000"/>
    <x v="1"/>
  </r>
  <r>
    <n v="1196"/>
    <x v="1195"/>
    <s v=" 14 စြယ္ရွပ္ (အျပာခံု)"/>
    <n v="3"/>
    <n v="16000"/>
    <n v="16000"/>
    <n v="35655"/>
    <x v="1"/>
  </r>
  <r>
    <n v="1197"/>
    <x v="1196"/>
    <s v="14 စြယ္ရွပ္ /ရွည္ (တစ္ဘီးေထာင္)"/>
    <n v="5"/>
    <n v="6500"/>
    <n v="6500"/>
    <n v="23895"/>
    <x v="1"/>
  </r>
  <r>
    <n v="1198"/>
    <x v="1197"/>
    <s v="14 စြယ္ရွပ္ /တို (တစ္ဘီးေထာင္)"/>
    <n v="4"/>
    <n v="6500"/>
    <n v="6500"/>
    <n v="22156"/>
    <x v="1"/>
  </r>
  <r>
    <n v="1199"/>
    <x v="1198"/>
    <s v="ဘီးရွပ္ (တစ္ဘီးေထာင္)"/>
    <n v="10"/>
    <n v="23500"/>
    <n v="23500"/>
    <n v="150000"/>
    <x v="1"/>
  </r>
  <r>
    <n v="1200"/>
    <x v="1199"/>
    <s v="ဘီးရွပ္ေဘာပိတ္ အေပါက္ပါ (တစ္ဘီးေထာင္)"/>
    <n v="2"/>
    <n v="6500"/>
    <n v="6500"/>
    <n v="6200"/>
    <x v="1"/>
  </r>
  <r>
    <n v="1201"/>
    <x v="1200"/>
    <s v="ဆြဲတံအသီး  (တစ္ဘီးေထာင္)"/>
    <n v="27"/>
    <n v="1200"/>
    <n v="1200"/>
    <n v="18090"/>
    <x v="1"/>
  </r>
  <r>
    <n v="1202"/>
    <x v="1201"/>
    <s v="3×2ပူလီ (တစ္ဘီးေထာင္)"/>
    <n v="6"/>
    <n v="8000"/>
    <n v="8000"/>
    <n v="40200"/>
    <x v="1"/>
  </r>
  <r>
    <n v="1203"/>
    <x v="1202"/>
    <s v="လက္ကိုင္း (တစ္ဘီးေထာင္)"/>
    <n v="1"/>
    <n v="60000"/>
    <n v="60000"/>
    <n v="49500"/>
    <x v="1"/>
  </r>
  <r>
    <n v="1204"/>
    <x v="1203"/>
    <s v="လက္ကိုင္းအဖံုး (တစ္ဘီးေထာင္)"/>
    <n v="4"/>
    <n v="2500"/>
    <n v="2500"/>
    <n v="6000"/>
    <x v="1"/>
  </r>
  <r>
    <n v="1205"/>
    <x v="1204"/>
    <s v="ဘီးနပ္(တစ္ဘီးေထာင္)"/>
    <n v="4"/>
    <n v="500"/>
    <n v="500"/>
    <n v="1336"/>
    <x v="1"/>
  </r>
  <r>
    <n v="1206"/>
    <x v="1205"/>
    <s v="ဂီယာေဘာက္(တစ္ဘီးရိုးရိုး)"/>
    <n v="1"/>
    <n v="250000"/>
    <n v="250000"/>
    <n v="200000"/>
    <x v="1"/>
  </r>
  <r>
    <n v="1207"/>
    <x v="1206"/>
    <s v="ထယ္္အတင္အခ် (တစ္ဘီးေထာင္)"/>
    <n v="10"/>
    <n v="11500"/>
    <n v="11500"/>
    <n v="40000"/>
    <x v="1"/>
  </r>
  <r>
    <n v="1208"/>
    <x v="1207"/>
    <s v="B54 (ယိုး)"/>
    <n v="1"/>
    <n v="3000"/>
    <n v="3000"/>
    <n v="2376"/>
    <x v="1"/>
  </r>
  <r>
    <n v="1209"/>
    <x v="1208"/>
    <s v="B 58 ခ်ိန္း"/>
    <n v="4"/>
    <n v="3000"/>
    <n v="3000"/>
    <n v="10208"/>
    <x v="1"/>
  </r>
  <r>
    <n v="1210"/>
    <x v="1209"/>
    <s v="B 62 ေျပာင္"/>
    <n v="6"/>
    <n v="2500"/>
    <n v="2500"/>
    <n v="10788"/>
    <x v="1"/>
  </r>
  <r>
    <n v="1211"/>
    <x v="1210"/>
    <s v="B 56 ခ်ိန္း"/>
    <n v="6"/>
    <n v="3000"/>
    <n v="3000"/>
    <n v="14784"/>
    <x v="1"/>
  </r>
  <r>
    <n v="1212"/>
    <x v="1211"/>
    <s v="B 54 ေျပာင္"/>
    <n v="8"/>
    <n v="2300"/>
    <n v="2300"/>
    <n v="11664"/>
    <x v="1"/>
  </r>
  <r>
    <n v="1213"/>
    <x v="1212"/>
    <s v="အေပၚပူလီေဘာပိတ္ အေပါက္ပါ(တစ္ဘီးေထာင္)"/>
    <n v="12"/>
    <n v="11500"/>
    <n v="11500"/>
    <n v="138000"/>
    <x v="1"/>
  </r>
  <r>
    <n v="1214"/>
    <x v="1213"/>
    <s v="အေပၚပူလီေဘာပိတ္ အေပါက္မပါ(တစ္ဘီးေထာင္)"/>
    <n v="14"/>
    <n v="11000"/>
    <n v="11000"/>
    <n v="91000"/>
    <x v="1"/>
  </r>
  <r>
    <n v="1215"/>
    <x v="1214"/>
    <s v="ေအာက္ရွပ္ႀကီး ေဘာပိတ္ အေပါက္မပါ(တစ္ဘီးေထာင္)"/>
    <n v="7"/>
    <n v="9000"/>
    <n v="9000"/>
    <n v="28000"/>
    <x v="1"/>
  </r>
  <r>
    <n v="1216"/>
    <x v="1215"/>
    <s v="အလယ္ေဘာပိတ္ (တစ္ဘီးေထာင္)"/>
    <n v="9"/>
    <n v="4000"/>
    <n v="4000"/>
    <n v="31500"/>
    <x v="1"/>
  </r>
  <r>
    <n v="1217"/>
    <x v="1216"/>
    <s v="ကလစ္ပင္ႀကီး (တစ္ဘီးေထာင္)"/>
    <n v="1"/>
    <n v="100"/>
    <n v="100"/>
    <n v="18"/>
    <x v="1"/>
  </r>
  <r>
    <n v="1218"/>
    <x v="1217"/>
    <s v="ကလစ္ပင္လတ္ (တစ္ဘီးေထာင္)"/>
    <n v="13"/>
    <n v="100"/>
    <n v="100"/>
    <n v="208"/>
    <x v="1"/>
  </r>
  <r>
    <n v="1219"/>
    <x v="1218"/>
    <s v="ကလစ္ပင္ေသး (တစ္ဘီးေထာင္)"/>
    <n v="98"/>
    <n v="50"/>
    <n v="50"/>
    <n v="1372"/>
    <x v="1"/>
  </r>
  <r>
    <n v="1220"/>
    <x v="1219"/>
    <s v="DF ကလပ္ေဘာ(688808)"/>
    <n v="10"/>
    <n v="2000"/>
    <n v="2000"/>
    <n v="13500"/>
    <x v="1"/>
  </r>
  <r>
    <n v="1221"/>
    <x v="1220"/>
    <s v="DF ေပါင္ (ညာ)"/>
    <n v="1"/>
    <n v="42000"/>
    <n v="42000"/>
    <n v="34000"/>
    <x v="1"/>
  </r>
  <r>
    <n v="1222"/>
    <x v="1221"/>
    <s v="DF ေပါင္ (ဘယ္)"/>
    <n v="1"/>
    <n v="33000"/>
    <n v="33000"/>
    <n v="28000"/>
    <x v="1"/>
  </r>
  <r>
    <n v="1223"/>
    <x v="1222"/>
    <s v="ပါကင္စံု  (တစ္ဘီးေထာင္)"/>
    <n v="27"/>
    <n v="1500"/>
    <n v="1500"/>
    <n v="21600"/>
    <x v="1"/>
  </r>
  <r>
    <n v="1224"/>
    <x v="1223"/>
    <s v="69 စြယ္ 110"/>
    <n v="2"/>
    <n v="22500"/>
    <n v="22500"/>
    <n v="37720"/>
    <x v="1"/>
  </r>
  <r>
    <n v="1225"/>
    <x v="1224"/>
    <s v="Toyo 14သြား(တို)"/>
    <n v="3"/>
    <n v="10000"/>
    <n v="10000"/>
    <n v="19500"/>
    <x v="1"/>
  </r>
  <r>
    <n v="1226"/>
    <x v="1225"/>
    <s v="14 သြား ပင္နယံအရွည္ 110"/>
    <n v="1"/>
    <n v="5500"/>
    <n v="5500"/>
    <n v="4500"/>
    <x v="1"/>
  </r>
  <r>
    <n v="1227"/>
    <x v="1226"/>
    <s v="5/6 အင္ဂ်င္အထိုင္ (တစ္ဘီးေထာင္)"/>
    <n v="8"/>
    <n v="22000"/>
    <n v="22000"/>
    <n v="68000"/>
    <x v="1"/>
  </r>
  <r>
    <n v="1228"/>
    <x v="1227"/>
    <s v="14သြားရွပ္ရွည္ (ရွယ္)"/>
    <n v="12"/>
    <n v="7500"/>
    <n v="7500"/>
    <n v="65448"/>
    <x v="1"/>
  </r>
  <r>
    <n v="1229"/>
    <x v="1228"/>
    <s v="Toyo တပ္မ"/>
    <n v="4"/>
    <n v="20000"/>
    <n v="20000"/>
    <n v="44000"/>
    <x v="1"/>
  </r>
  <r>
    <n v="1230"/>
    <x v="1229"/>
    <s v="Toyo အင္ဂ်င္ထိုင္"/>
    <n v="2"/>
    <n v="32000"/>
    <n v="32000"/>
    <n v="40000"/>
    <x v="1"/>
  </r>
  <r>
    <n v="1231"/>
    <x v="1230"/>
    <s v="တစ္ဘီးထြန္ပင္လတ္"/>
    <n v="6"/>
    <n v="500"/>
    <n v="500"/>
    <n v="1800"/>
    <x v="1"/>
  </r>
  <r>
    <n v="1232"/>
    <x v="1231"/>
    <s v="တစ္ဘီးထြန္ပင္တို"/>
    <n v="3"/>
    <n v="800"/>
    <n v="800"/>
    <n v="1500"/>
    <x v="1"/>
  </r>
  <r>
    <n v="1233"/>
    <x v="1232"/>
    <s v="တစ္ဘီးထြန္ပင္ရွည္"/>
    <n v="17"/>
    <n v="1000"/>
    <n v="1000"/>
    <n v="13600"/>
    <x v="1"/>
  </r>
  <r>
    <n v="1234"/>
    <x v="1233"/>
    <s v="တစ္ဘီးထြန္ေလဘာသီး"/>
    <n v="8"/>
    <n v="5000"/>
    <n v="5000"/>
    <n v="23200"/>
    <x v="1"/>
  </r>
  <r>
    <n v="1235"/>
    <x v="1234"/>
    <s v="ထြန္ခုံပီနီယံ"/>
    <n v="1"/>
    <n v="4000"/>
    <n v="4000"/>
    <n v="3000"/>
    <x v="1"/>
  </r>
  <r>
    <n v="1236"/>
    <x v="1235"/>
    <s v="306ေဘာ"/>
    <n v="12"/>
    <n v="4000"/>
    <n v="4000"/>
    <n v="39000"/>
    <x v="1"/>
  </r>
  <r>
    <n v="1237"/>
    <x v="1236"/>
    <s v="ေလဘာႀကိဳး"/>
    <n v="1"/>
    <n v="2000"/>
    <n v="2000"/>
    <n v="1700"/>
    <x v="1"/>
  </r>
  <r>
    <n v="1238"/>
    <x v="1237"/>
    <s v="တစ္ဘီးေထာင္ေဘးကဒ္"/>
    <n v="5"/>
    <n v="18000"/>
    <n v="18000"/>
    <n v="50000"/>
    <x v="1"/>
  </r>
  <r>
    <n v="1239"/>
    <x v="1238"/>
    <s v="ဖင္ထိုင္ရွပ္တန္းမွဂ်က္တန္း"/>
    <n v="2"/>
    <n v="2000"/>
    <n v="2000"/>
    <n v="3000"/>
    <x v="1"/>
  </r>
  <r>
    <n v="1240"/>
    <x v="1239"/>
    <s v="ကိုင္းမွဖင္ထိုင္ျပား"/>
    <n v="1"/>
    <n v="22000"/>
    <n v="22000"/>
    <n v="10000"/>
    <x v="1"/>
  </r>
  <r>
    <n v="1241"/>
    <x v="1240"/>
    <s v="B 35ခ်ိန္း"/>
    <n v="2"/>
    <n v="3000"/>
    <n v="3000"/>
    <n v="3710"/>
    <x v="1"/>
  </r>
  <r>
    <n v="1242"/>
    <x v="1241"/>
    <s v="တစ္ဘီထြန္းေလဘာသီးအထိုင္္ ပရုိက္ကစ္"/>
    <n v="9"/>
    <n v="100"/>
    <n v="100"/>
    <n v="450"/>
    <x v="1"/>
  </r>
  <r>
    <n v="1243"/>
    <x v="1242"/>
    <s v="45 ခ်ိန္း ပူလီႀကိဳး"/>
    <n v="2"/>
    <n v="2500"/>
    <n v="2500"/>
    <n v="3510"/>
    <x v="1"/>
  </r>
  <r>
    <n v="1244"/>
    <x v="1243"/>
    <s v="B 50ပူလီေျပာင္ၾကိဳး"/>
    <n v="16"/>
    <n v="1500"/>
    <n v="1500"/>
    <n v="14800"/>
    <x v="1"/>
  </r>
  <r>
    <n v="1245"/>
    <x v="1244"/>
    <s v="14 စြယ္ရွပ္ /တို (တစ္ဘီးေထာင္)"/>
    <n v="3"/>
    <n v="8000"/>
    <n v="8000"/>
    <n v="24000"/>
    <x v="1"/>
  </r>
  <r>
    <n v="1246"/>
    <x v="1245"/>
    <s v="B 51ေျပာင္"/>
    <n v="9"/>
    <n v="2300"/>
    <n v="2300"/>
    <n v="12393"/>
    <x v="1"/>
  </r>
  <r>
    <n v="1247"/>
    <x v="1246"/>
    <s v="B 50  ခ်ိန္း"/>
    <n v="2"/>
    <n v="2500"/>
    <n v="2500"/>
    <n v="3650"/>
    <x v="1"/>
  </r>
  <r>
    <n v="1248"/>
    <x v="1247"/>
    <s v="B 51  ခ်ိန္း"/>
    <n v="8"/>
    <n v="2500"/>
    <n v="2500"/>
    <n v="14896"/>
    <x v="1"/>
  </r>
  <r>
    <n v="1249"/>
    <x v="1248"/>
    <s v="B48 ခ်ိန္း"/>
    <n v="11"/>
    <n v="3000"/>
    <n v="3000"/>
    <n v="27940"/>
    <x v="1"/>
  </r>
  <r>
    <n v="1250"/>
    <x v="1249"/>
    <s v="FM 36 ပူလီႀကိဳး"/>
    <n v="7"/>
    <n v="1500"/>
    <n v="1500"/>
    <n v="6300"/>
    <x v="1"/>
  </r>
  <r>
    <n v="1251"/>
    <x v="1250"/>
    <s v="FM 38 ပူလီႀကိဳး"/>
    <n v="9"/>
    <n v="1200"/>
    <n v="1200"/>
    <n v="6840"/>
    <x v="1"/>
  </r>
  <r>
    <n v="1252"/>
    <x v="1251"/>
    <s v="110 သံဘီး"/>
    <n v="7"/>
    <n v="50000"/>
    <n v="50000"/>
    <n v="231000"/>
    <x v="1"/>
  </r>
  <r>
    <n v="1253"/>
    <x v="1252"/>
    <s v="တစ္ဘီးထြန္ေလ်ာတန္း"/>
    <n v="6"/>
    <n v="18000"/>
    <n v="18000"/>
    <n v="78000"/>
    <x v="1"/>
  </r>
  <r>
    <n v="1254"/>
    <x v="1253"/>
    <s v="205 HCH ေဘာ"/>
    <n v="1"/>
    <n v="2000"/>
    <n v="2000"/>
    <n v="1300"/>
    <x v="1"/>
  </r>
  <r>
    <n v="1255"/>
    <x v="1254"/>
    <s v="B 54 ခ်ိန္း"/>
    <n v="4"/>
    <n v="2800"/>
    <n v="2800"/>
    <n v="9504"/>
    <x v="1"/>
  </r>
  <r>
    <n v="1256"/>
    <x v="1255"/>
    <s v="B 76 ခ်ိန္း"/>
    <n v="7"/>
    <n v="4000"/>
    <n v="4000"/>
    <n v="23408"/>
    <x v="1"/>
  </r>
  <r>
    <n v="1257"/>
    <x v="1256"/>
    <s v="B 68 ခ်ိန္း"/>
    <n v="6"/>
    <n v="3000"/>
    <n v="3000"/>
    <n v="14892"/>
    <x v="1"/>
  </r>
  <r>
    <n v="1258"/>
    <x v="1257"/>
    <s v="6304 ဆီပိတ္ Japan"/>
    <n v="29"/>
    <n v="5500"/>
    <n v="5500"/>
    <n v="143550"/>
    <x v="1"/>
  </r>
  <r>
    <n v="1259"/>
    <x v="1258"/>
    <s v=" 56 ခ်ိန္း(ယိုးဒယား)"/>
    <n v="5"/>
    <n v="5500"/>
    <n v="5500"/>
    <n v="24640"/>
    <x v="1"/>
  </r>
  <r>
    <n v="1260"/>
    <x v="1259"/>
    <s v="14 စြယ္ရွပ္ လတ္ (တစ္ဘီးထြန္)"/>
    <n v="4"/>
    <n v="8000"/>
    <n v="8000"/>
    <n v="32000"/>
    <x v="1"/>
  </r>
  <r>
    <n v="1261"/>
    <x v="1260"/>
    <s v="ေလွ်ာတန္း နတ္ပင္ CH (တစ္ဘီးထြန္)"/>
    <n v="20"/>
    <n v="1200"/>
    <n v="1200"/>
    <n v="16500"/>
    <x v="1"/>
  </r>
  <r>
    <n v="1262"/>
    <x v="1261"/>
    <s v="Toyo 14စြယ္(ရွည္)_x000d__x000a__x000d__x000a_"/>
    <n v="2"/>
    <n v="12000"/>
    <n v="12000"/>
    <n v="19000"/>
    <x v="1"/>
  </r>
  <r>
    <n v="1263"/>
    <x v="1262"/>
    <s v="6205 NC ေဘာ"/>
    <n v="1"/>
    <n v="2800"/>
    <n v="2800"/>
    <n v="2350"/>
    <x v="1"/>
  </r>
  <r>
    <n v="1264"/>
    <x v="1263"/>
    <s v="လက္ကိုင္း OR"/>
    <n v="1"/>
    <n v="35000"/>
    <n v="35000"/>
    <n v="28000"/>
    <x v="0"/>
  </r>
  <r>
    <n v="1265"/>
    <x v="1264"/>
    <s v="B46 ခ်ိန္း"/>
    <n v="14"/>
    <n v="3000"/>
    <n v="3000"/>
    <n v="35420"/>
    <x v="1"/>
  </r>
  <r>
    <n v="1266"/>
    <x v="1265"/>
    <s v="B 72 ခ်ိန္း "/>
    <n v="3"/>
    <n v="5000"/>
    <n v="5000"/>
    <n v="11448"/>
    <x v="1"/>
  </r>
  <r>
    <n v="1267"/>
    <x v="1266"/>
    <s v="ထယ္အတင္အခ် ေသနတ္"/>
    <n v="2"/>
    <n v="20000"/>
    <n v="20000"/>
    <n v="24000"/>
    <x v="1"/>
  </r>
  <r>
    <n v="1268"/>
    <x v="1267"/>
    <s v="(တစ္ဘီးထြန္) ခံုျပာေဘာ 63/22 J"/>
    <n v="1"/>
    <n v="5700"/>
    <n v="5700"/>
    <n v="4350"/>
    <x v="1"/>
  </r>
  <r>
    <n v="1269"/>
    <x v="1268"/>
    <s v="3×2ပူလီ (ၾကား/ေဘာပူလီ)"/>
    <n v="13"/>
    <n v="8000"/>
    <n v="8000"/>
    <n v="84500"/>
    <x v="1"/>
  </r>
  <r>
    <n v="1270"/>
    <x v="1269"/>
    <s v="6205 (ကလစ္လိုင္းပါ)"/>
    <n v="3"/>
    <n v="4500"/>
    <n v="4500"/>
    <n v="10050"/>
    <x v="1"/>
  </r>
  <r>
    <n v="1271"/>
    <x v="1270"/>
    <s v="56 ေျပာင္ ပူလီႀကိဳး"/>
    <n v="17"/>
    <n v="2200"/>
    <n v="2200"/>
    <n v="28101"/>
    <x v="1"/>
  </r>
  <r>
    <n v="1272"/>
    <x v="1271"/>
    <s v="Toyo ပူလီ 4x2"/>
    <n v="2"/>
    <n v="6000"/>
    <n v="6000"/>
    <n v="8000"/>
    <x v="1"/>
  </r>
  <r>
    <n v="1273"/>
    <x v="1272"/>
    <s v="B 42 ခ်ိန္း"/>
    <n v="6"/>
    <n v="2800"/>
    <n v="2800"/>
    <n v="13860"/>
    <x v="1"/>
  </r>
  <r>
    <n v="1274"/>
    <x v="1273"/>
    <s v="B 40 ခ်ိန္း"/>
    <n v="10"/>
    <n v="3000"/>
    <n v="3000"/>
    <n v="22000"/>
    <x v="1"/>
  </r>
  <r>
    <n v="1275"/>
    <x v="1274"/>
    <s v="7 x 2 ပူလီ(အျပာခံု)"/>
    <n v="7"/>
    <n v="18500"/>
    <n v="18500"/>
    <n v="107800"/>
    <x v="1"/>
  </r>
  <r>
    <n v="1276"/>
    <x v="1275"/>
    <s v="6 x 2 ပူလီ(အျပာခံု)"/>
    <n v="3"/>
    <n v="15000"/>
    <n v="15000"/>
    <n v="45000"/>
    <x v="1"/>
  </r>
  <r>
    <n v="1277"/>
    <x v="1276"/>
    <s v="74 ခ်ိန္း ပူလီႀကိဳး"/>
    <n v="5"/>
    <n v="4000"/>
    <n v="4000"/>
    <n v="14615"/>
    <x v="1"/>
  </r>
  <r>
    <n v="1278"/>
    <x v="1277"/>
    <s v="ဇက္ပင္ဖုံး"/>
    <n v="1"/>
    <n v="2000"/>
    <n v="2000"/>
    <n v="1000"/>
    <x v="1"/>
  </r>
  <r>
    <n v="1279"/>
    <x v="1278"/>
    <s v="6202 (ယိုးဒယားအထိုင္)"/>
    <n v="3"/>
    <n v="3000"/>
    <n v="3000"/>
    <n v="7050"/>
    <x v="1"/>
  </r>
  <r>
    <n v="1280"/>
    <x v="1279"/>
    <s v="63/22 DD"/>
    <n v="1"/>
    <n v="3300"/>
    <n v="3300"/>
    <n v="2750"/>
    <x v="1"/>
  </r>
  <r>
    <n v="1281"/>
    <x v="1280"/>
    <s v="တစ္ဘီး လီဘာ"/>
    <n v="1"/>
    <n v="4000"/>
    <n v="4000"/>
    <n v="1938"/>
    <x v="1"/>
  </r>
  <r>
    <n v="1282"/>
    <x v="1281"/>
    <s v="76 (ေျပာင္)"/>
    <n v="8"/>
    <n v="3000"/>
    <n v="3000"/>
    <n v="17632"/>
    <x v="1"/>
  </r>
  <r>
    <n v="1283"/>
    <x v="1282"/>
    <s v="6200DD"/>
    <n v="1"/>
    <n v="600"/>
    <n v="600"/>
    <n v="380"/>
    <x v="1"/>
  </r>
  <r>
    <n v="1284"/>
    <x v="1283"/>
    <s v="30210(Japan)အစစ္"/>
    <n v="3"/>
    <n v="17000"/>
    <n v="17000"/>
    <n v="44250"/>
    <x v="1"/>
  </r>
  <r>
    <n v="1285"/>
    <x v="1284"/>
    <s v="6204(ဆီပိတ္ Japan)"/>
    <n v="2"/>
    <n v="4000"/>
    <n v="4000"/>
    <n v="6900"/>
    <x v="1"/>
  </r>
  <r>
    <n v="1286"/>
    <x v="1285"/>
    <s v="6204(Japan)အစစ္"/>
    <n v="3"/>
    <n v="2300"/>
    <n v="2300"/>
    <n v="4800"/>
    <x v="1"/>
  </r>
  <r>
    <n v="1287"/>
    <x v="1286"/>
    <s v="30204  ေစာင္းေဘာ"/>
    <n v="10"/>
    <n v="2500"/>
    <n v="2500"/>
    <n v="18500"/>
    <x v="1"/>
  </r>
  <r>
    <n v="1288"/>
    <x v="1287"/>
    <s v="B50 ေျပာင္(ယိုး)"/>
    <n v="1"/>
    <n v="3000"/>
    <n v="3000"/>
    <n v="1650"/>
    <x v="1"/>
  </r>
  <r>
    <n v="1289"/>
    <x v="1288"/>
    <s v="B 78"/>
    <n v="2"/>
    <n v="3500"/>
    <n v="3500"/>
    <n v="5696"/>
    <x v="1"/>
  </r>
  <r>
    <n v="1290"/>
    <x v="1289"/>
    <s v="55X75X10"/>
    <n v="1"/>
    <n v="1000"/>
    <n v="1000"/>
    <n v="600"/>
    <x v="1"/>
  </r>
  <r>
    <n v="1291"/>
    <x v="1290"/>
    <s v="20X35X7"/>
    <n v="2"/>
    <n v="700"/>
    <n v="700"/>
    <n v="700"/>
    <x v="1"/>
  </r>
  <r>
    <n v="1292"/>
    <x v="1291"/>
    <s v="42X55X7"/>
    <n v="16"/>
    <n v="700"/>
    <n v="700"/>
    <n v="8576"/>
    <x v="1"/>
  </r>
  <r>
    <n v="1293"/>
    <x v="1292"/>
    <s v="B64 ေျပာင္"/>
    <n v="1"/>
    <n v="1700"/>
    <n v="1700"/>
    <n v="1152"/>
    <x v="1"/>
  </r>
  <r>
    <n v="1294"/>
    <x v="1293"/>
    <s v="B68 ေျပာင္"/>
    <n v="9"/>
    <n v="1800"/>
    <n v="1800"/>
    <n v="11016"/>
    <x v="1"/>
  </r>
  <r>
    <n v="1295"/>
    <x v="1294"/>
    <n v="6207"/>
    <n v="9"/>
    <n v="2500"/>
    <n v="2500"/>
    <n v="24750"/>
    <x v="1"/>
  </r>
  <r>
    <n v="1296"/>
    <x v="1295"/>
    <n v="6214"/>
    <n v="3"/>
    <n v="6850"/>
    <n v="6850"/>
    <n v="17250"/>
    <x v="1"/>
  </r>
  <r>
    <n v="1297"/>
    <x v="1296"/>
    <s v="B 57ခ်ိန္း"/>
    <n v="8"/>
    <n v="2000"/>
    <n v="2000"/>
    <n v="10944"/>
    <x v="1"/>
  </r>
  <r>
    <n v="1298"/>
    <x v="1297"/>
    <s v="B 74 ေျပာင္"/>
    <n v="8"/>
    <n v="2500"/>
    <n v="2500"/>
    <n v="14800"/>
    <x v="1"/>
  </r>
  <r>
    <n v="1299"/>
    <x v="1298"/>
    <s v="ပါကင္စံုတစ္ဘီးထြန္(ပါး)"/>
    <n v="2"/>
    <n v="800"/>
    <n v="800"/>
    <n v="990"/>
    <x v="1"/>
  </r>
  <r>
    <n v="1300"/>
    <x v="1299"/>
    <s v="လက္ကိုင္တင္ခ် (တစ္ဘီး)"/>
    <n v="5"/>
    <n v="3800"/>
    <n v="3800"/>
    <n v="10000"/>
    <x v="1"/>
  </r>
  <r>
    <n v="1301"/>
    <x v="1300"/>
    <s v="ထယ္အတင္အခ်ေဒါက္ "/>
    <n v="12"/>
    <n v="3800"/>
    <n v="3800"/>
    <n v="24000"/>
    <x v="1"/>
  </r>
  <r>
    <n v="1302"/>
    <x v="1301"/>
    <s v="A46 ေျပာင္"/>
    <n v="5"/>
    <n v="1500"/>
    <n v="1500"/>
    <n v="4600"/>
    <x v="1"/>
  </r>
  <r>
    <n v="1303"/>
    <x v="1302"/>
    <s v="B57 ခ်ိန္း (ယိုး)"/>
    <n v="5"/>
    <n v="5700"/>
    <n v="5700"/>
    <n v="25080"/>
    <x v="1"/>
  </r>
  <r>
    <n v="1304"/>
    <x v="1303"/>
    <s v="Toyo 14 စြယ္ အရွည္ဆံုး"/>
    <n v="2"/>
    <n v="8500"/>
    <n v="8500"/>
    <n v="15000"/>
    <x v="1"/>
  </r>
  <r>
    <n v="1305"/>
    <x v="1304"/>
    <s v="B55 ခ်ိန္း ပူလီႀကိဳး"/>
    <n v="11"/>
    <n v="3000"/>
    <n v="3000"/>
    <n v="26620"/>
    <x v="1"/>
  </r>
  <r>
    <n v="1306"/>
    <x v="1305"/>
    <s v="57  ေျပာင္ ပူလီႀကိဳး"/>
    <n v="1"/>
    <n v="3000"/>
    <n v="3000"/>
    <n v="2508"/>
    <x v="1"/>
  </r>
  <r>
    <n v="1307"/>
    <x v="1306"/>
    <s v="58 ေျပာင္ ပူလီႀကိဳး"/>
    <n v="18"/>
    <n v="2200"/>
    <n v="2200"/>
    <n v="29754"/>
    <x v="1"/>
  </r>
  <r>
    <n v="1308"/>
    <x v="1307"/>
    <s v="Toyo 14 သြားရွပ္တို (ရွားပါး)"/>
    <n v="2"/>
    <n v="15000"/>
    <n v="15000"/>
    <n v="24000"/>
    <x v="1"/>
  </r>
  <r>
    <n v="1309"/>
    <x v="1308"/>
    <s v="6207 DD"/>
    <n v="2"/>
    <n v="4300"/>
    <n v="4300"/>
    <n v="6300"/>
    <x v="1"/>
  </r>
  <r>
    <n v="1310"/>
    <x v="1309"/>
    <s v="B50 ၾကိဳး"/>
    <n v="8"/>
    <n v="2000"/>
    <n v="2000"/>
    <n v="11600"/>
    <x v="1"/>
  </r>
  <r>
    <n v="1311"/>
    <x v="1310"/>
    <s v="27.38.7"/>
    <n v="14"/>
    <n v="800"/>
    <n v="800"/>
    <n v="8400"/>
    <x v="1"/>
  </r>
  <r>
    <n v="1312"/>
    <x v="1311"/>
    <s v="30210 (Japan)"/>
    <n v="1"/>
    <n v="18000"/>
    <n v="18000"/>
    <n v="15750"/>
    <x v="1"/>
  </r>
  <r>
    <n v="1313"/>
    <x v="1312"/>
    <s v="5KW ဖလန္း"/>
    <n v="1"/>
    <n v="30000"/>
    <n v="30000"/>
    <n v="26000"/>
    <x v="1"/>
  </r>
  <r>
    <n v="1314"/>
    <x v="1313"/>
    <s v="ဘ/ထ Toyoေဘာဖံုး(ေသး)"/>
    <n v="9"/>
    <n v="5000"/>
    <n v="5000"/>
    <n v="31500"/>
    <x v="1"/>
  </r>
  <r>
    <n v="1315"/>
    <x v="1314"/>
    <s v="B50ခ်ိန္း"/>
    <n v="9"/>
    <n v="3300"/>
    <n v="3300"/>
    <n v="24750"/>
    <x v="1"/>
  </r>
  <r>
    <n v="1316"/>
    <x v="1315"/>
    <s v="3မတ္ပိုက္(ေပ20)"/>
    <n v="20"/>
    <n v="4000"/>
    <n v="4000"/>
    <n v="76000"/>
    <x v="1"/>
  </r>
  <r>
    <n v="1317"/>
    <x v="1316"/>
    <s v="PZG ကလပ္ျပားေကာင္း(BJ)"/>
    <n v="4"/>
    <n v="5000"/>
    <n v="5000"/>
    <n v="14000"/>
    <x v="1"/>
  </r>
  <r>
    <n v="1318"/>
    <x v="1317"/>
    <s v="PZG ေနာက္ဆီဘရိတ္အိုး(BJ)"/>
    <n v="2"/>
    <n v="7500"/>
    <n v="7500"/>
    <n v="10000"/>
    <x v="1"/>
  </r>
  <r>
    <n v="1319"/>
    <x v="1318"/>
    <s v="PZG ကလပ္မာစတာပန္႔"/>
    <n v="1"/>
    <n v="23000"/>
    <n v="2300"/>
    <n v="18000"/>
    <x v="1"/>
  </r>
  <r>
    <n v="1320"/>
    <x v="1319"/>
    <s v="PZG မာစတာပန္႔"/>
    <n v="1"/>
    <n v="23500"/>
    <n v="23500"/>
    <n v="18500"/>
    <x v="1"/>
  </r>
  <r>
    <n v="1321"/>
    <x v="1320"/>
    <s v="Q185 ကရိုင္း"/>
    <n v="5"/>
    <n v="28000"/>
    <n v="28000"/>
    <n v="109865"/>
    <x v="0"/>
  </r>
  <r>
    <n v="1322"/>
    <x v="1321"/>
    <s v="Q185 ရိန္း"/>
    <n v="79"/>
    <n v="3000"/>
    <n v="3000"/>
    <n v="157131"/>
    <x v="0"/>
  </r>
  <r>
    <n v="1323"/>
    <x v="1322"/>
    <s v="Q-185 CC ဂါဂ်ီပင္ဘြတ္"/>
    <n v="6"/>
    <n v="2500"/>
    <n v="2500"/>
    <n v="8400"/>
    <x v="0"/>
  </r>
  <r>
    <n v="1324"/>
    <x v="1323"/>
    <s v="Q185 ဂါဂ်ီပင္ဘြတ္"/>
    <n v="9"/>
    <n v="2500"/>
    <n v="2500"/>
    <n v="18000"/>
    <x v="1"/>
  </r>
  <r>
    <n v="1325"/>
    <x v="1324"/>
    <s v="Q185 စလစ္ "/>
    <n v="19"/>
    <n v="15000"/>
    <n v="15000"/>
    <n v="237500"/>
    <x v="1"/>
  </r>
  <r>
    <n v="1326"/>
    <x v="1325"/>
    <s v="Q185 ပင္စတင္"/>
    <n v="35"/>
    <n v="12000"/>
    <n v="12000"/>
    <n v="318150"/>
    <x v="0"/>
  </r>
  <r>
    <n v="1327"/>
    <x v="1326"/>
    <s v="Q185 မိန္းဖလန္း(R175/R180)"/>
    <n v="1"/>
    <n v="15000"/>
    <n v="15000"/>
    <n v="5500"/>
    <x v="1"/>
  </r>
  <r>
    <n v="1328"/>
    <x v="1327"/>
    <s v="Q185 ေကာ္နတ္တင္း"/>
    <n v="10"/>
    <n v="15000"/>
    <n v="15000"/>
    <n v="116130"/>
    <x v="0"/>
  </r>
  <r>
    <n v="1329"/>
    <x v="1328"/>
    <s v="Q185 ေနာ္ဇယ္အံု"/>
    <n v="10"/>
    <n v="17500"/>
    <n v="17500"/>
    <n v="132820"/>
    <x v="0"/>
  </r>
  <r>
    <n v="1330"/>
    <x v="1329"/>
    <s v="Q185ဂက္စကတ္"/>
    <n v="2"/>
    <n v="600"/>
    <n v="600"/>
    <n v="800"/>
    <x v="0"/>
  </r>
  <r>
    <n v="1331"/>
    <x v="1330"/>
    <s v="Q185 ဖလိႈင္းဝွီး"/>
    <n v="4"/>
    <n v="40000"/>
    <n v="40000"/>
    <n v="123488"/>
    <x v="0"/>
  </r>
  <r>
    <n v="1332"/>
    <x v="1331"/>
    <s v="Q185 ဘေလာက္အိုး"/>
    <n v="2"/>
    <n v="67000"/>
    <n v="67000"/>
    <n v="124200"/>
    <x v="0"/>
  </r>
  <r>
    <n v="1333"/>
    <x v="1332"/>
    <s v="Q185 ဟက္"/>
    <n v="3"/>
    <n v="22000"/>
    <n v="22000"/>
    <n v="45645"/>
    <x v="0"/>
  </r>
  <r>
    <n v="1334"/>
    <x v="1333"/>
    <s v="Q185 ဂတ္စကက္(ရွယ္)"/>
    <n v="10"/>
    <n v="1200"/>
    <n v="1200"/>
    <n v="7410"/>
    <x v="1"/>
  </r>
  <r>
    <n v="1335"/>
    <x v="1334"/>
    <s v="Q185အင္းလက္ဗူး(ေဂါက္ပါ)"/>
    <n v="5"/>
    <n v="8500"/>
    <n v="8500"/>
    <n v="20270"/>
    <x v="0"/>
  </r>
  <r>
    <n v="1336"/>
    <x v="1335"/>
    <s v="Q185 ေနာ္ဇယ္ပိုက္"/>
    <n v="13"/>
    <n v="2000"/>
    <n v="2000"/>
    <n v="18200"/>
    <x v="0"/>
  </r>
  <r>
    <n v="1337"/>
    <x v="1336"/>
    <s v="Q185 အင္ဂ်င္ဝိုင္ပိုက္"/>
    <n v="6"/>
    <n v="1000"/>
    <n v="1000"/>
    <n v="2280"/>
    <x v="0"/>
  </r>
  <r>
    <n v="1338"/>
    <x v="1337"/>
    <s v="Q185 ျဖတ္ဘား"/>
    <n v="1"/>
    <n v="3000"/>
    <n v="3000"/>
    <n v="1300"/>
    <x v="1"/>
  </r>
  <r>
    <n v="1339"/>
    <x v="1338"/>
    <s v="Q185 (CC) ဘားဆက္စုံ "/>
    <n v="9"/>
    <n v="4000"/>
    <n v="4000"/>
    <n v="29700"/>
    <x v="0"/>
  </r>
  <r>
    <n v="1340"/>
    <x v="1339"/>
    <s v="Q185 (CC) စလစ္ကစ္ဆက္"/>
    <n v="9"/>
    <n v="30000"/>
    <n v="30000"/>
    <n v="190773"/>
    <x v="0"/>
  </r>
  <r>
    <n v="1341"/>
    <x v="1340"/>
    <s v="Q-185 ကင့္မရွပ္"/>
    <n v="10"/>
    <n v="9000"/>
    <n v="9000"/>
    <n v="66100"/>
    <x v="1"/>
  </r>
  <r>
    <n v="1342"/>
    <x v="1341"/>
    <s v="Q-185  ဂါဂ်ီပင္ ZR185K"/>
    <n v="7"/>
    <n v="2500"/>
    <n v="2500"/>
    <n v="6300"/>
    <x v="1"/>
  </r>
  <r>
    <n v="1343"/>
    <x v="1342"/>
    <s v="ပလန္ခ်ာ (Q185)"/>
    <n v="42"/>
    <n v="5000"/>
    <n v="5000"/>
    <n v="147378"/>
    <x v="0"/>
  </r>
  <r>
    <n v="1344"/>
    <x v="1343"/>
    <s v="Q185 ဘားကီးဘားဖုံုး"/>
    <n v="4"/>
    <n v="1000"/>
    <n v="1000"/>
    <n v="3000"/>
    <x v="1"/>
  </r>
  <r>
    <n v="1345"/>
    <x v="1344"/>
    <s v="Q185 ဂါဂ်ီပင္(CC)"/>
    <n v="35"/>
    <n v="2000"/>
    <n v="2000"/>
    <n v="52465"/>
    <x v="0"/>
  </r>
  <r>
    <n v="1346"/>
    <x v="1345"/>
    <s v="R175စလစ္ကစ္ဆက္(က်ယ္ခြက္)"/>
    <n v="13"/>
    <n v="23000"/>
    <n v="23000"/>
    <n v="257348"/>
    <x v="0"/>
  </r>
  <r>
    <n v="1347"/>
    <x v="1346"/>
    <s v="ဘားဆက္စံု R175(JN)"/>
    <n v="56"/>
    <n v="5200"/>
    <n v="5200"/>
    <n v="223944"/>
    <x v="0"/>
  </r>
  <r>
    <n v="1348"/>
    <x v="1347"/>
    <s v="စလစ္+(စီးကြင္းပါ)(က်ယ္)R175(JN)"/>
    <n v="9"/>
    <n v="12000"/>
    <n v="12000"/>
    <n v="65700"/>
    <x v="0"/>
  </r>
  <r>
    <n v="1349"/>
    <x v="1348"/>
    <s v="ပစၥတင္(ခြက္)R175(JN)"/>
    <n v="1"/>
    <n v="4000"/>
    <n v="4000"/>
    <n v="3050"/>
    <x v="0"/>
  </r>
  <r>
    <n v="1350"/>
    <x v="1349"/>
    <s v="ကရိုင္း(3ေပါက္)R175(ATR)(JN)6310/6209"/>
    <n v="8"/>
    <n v="27000"/>
    <n v="27000"/>
    <n v="185840"/>
    <x v="0"/>
  </r>
  <r>
    <n v="1351"/>
    <x v="1350"/>
    <s v="ေကာ္နတင္း Q-175(JN)"/>
    <n v="12"/>
    <n v="12000"/>
    <n v="12000"/>
    <n v="116952"/>
    <x v="0"/>
  </r>
  <r>
    <n v="1352"/>
    <x v="1351"/>
    <s v="R175 ပါကင္စံု(JN)"/>
    <n v="26"/>
    <n v="2000"/>
    <n v="2000"/>
    <n v="31512"/>
    <x v="0"/>
  </r>
  <r>
    <n v="1353"/>
    <x v="1352"/>
    <s v="ေရလည္တိုင္ကီ အထိုင္သံျပား"/>
    <n v="2"/>
    <n v="12000"/>
    <n v="12000"/>
    <n v="14802"/>
    <x v="0"/>
  </r>
  <r>
    <n v="1354"/>
    <x v="1353"/>
    <s v="R175  အိတ္ေဇာ (ေဂါက္ပါ)"/>
    <n v="14"/>
    <n v="8000"/>
    <n v="8000"/>
    <n v="84840"/>
    <x v="0"/>
  </r>
  <r>
    <n v="1355"/>
    <x v="1354"/>
    <s v="R175ကင္းရွပ္ပင္နယံ(ေသး၊က်ဥ္း)"/>
    <n v="2"/>
    <n v="1500"/>
    <n v="1500"/>
    <n v="2100"/>
    <x v="0"/>
  </r>
  <r>
    <n v="1356"/>
    <x v="1355"/>
    <s v="အဲယာဗူး ေဂါက္ပါ"/>
    <n v="1"/>
    <n v="7000"/>
    <n v="7000"/>
    <n v="5000"/>
    <x v="1"/>
  </r>
  <r>
    <n v="1357"/>
    <x v="1356"/>
    <s v="ကီးစံုထုပ္ R175"/>
    <n v="4"/>
    <n v="800"/>
    <n v="800"/>
    <n v="2060"/>
    <x v="0"/>
  </r>
  <r>
    <n v="1358"/>
    <x v="1357"/>
    <s v="ေနာ္ဇယ္ဘိ 195 , 175"/>
    <n v="12"/>
    <n v="1500"/>
    <n v="1500"/>
    <n v="14400"/>
    <x v="1"/>
  </r>
  <r>
    <n v="1359"/>
    <x v="1358"/>
    <s v="ဘားကိုက္ (2 ခု 1)စံု5"/>
    <n v="4"/>
    <n v="800"/>
    <n v="800"/>
    <n v="1360"/>
    <x v="0"/>
  </r>
  <r>
    <n v="1360"/>
    <x v="1359"/>
    <s v="အိပ္ေဇာေဂါက္"/>
    <n v="1"/>
    <n v="2300"/>
    <n v="2300"/>
    <n v="1500"/>
    <x v="0"/>
  </r>
  <r>
    <n v="1361"/>
    <x v="1360"/>
    <s v="အမ္းဖံုး သတၳဳ"/>
    <n v="2"/>
    <n v="5000"/>
    <n v="5000"/>
    <n v="5300"/>
    <x v="0"/>
  </r>
  <r>
    <n v="1362"/>
    <x v="1361"/>
    <s v="ေရလည္ပူလီၾကီး R175(တစ္လိုင္းပူလီ)"/>
    <n v="2"/>
    <n v="5500"/>
    <n v="5500"/>
    <n v="7900"/>
    <x v="0"/>
  </r>
  <r>
    <n v="1363"/>
    <x v="1362"/>
    <s v="R175 ဂါဂ်ီပင္ဘြတ္"/>
    <n v="6"/>
    <n v="1500"/>
    <n v="1500"/>
    <n v="3000"/>
    <x v="0"/>
  </r>
  <r>
    <n v="1364"/>
    <x v="1363"/>
    <s v="R175ဝိတ္တံုး(3)ေပါက္"/>
    <n v="5"/>
    <n v="7000"/>
    <n v="7000"/>
    <n v="21400"/>
    <x v="0"/>
  </r>
  <r>
    <n v="1365"/>
    <x v="1364"/>
    <s v="ဖလိုင္းဝွီးဂ်မ္းကြင္း 175"/>
    <n v="3"/>
    <n v="1000"/>
    <n v="1000"/>
    <n v="1800"/>
    <x v="1"/>
  </r>
  <r>
    <n v="1366"/>
    <x v="1365"/>
    <s v="R-175/180 ဂိတ္ျပပစၥတင္(JN)"/>
    <n v="18"/>
    <n v="1500"/>
    <n v="1500"/>
    <n v="16056"/>
    <x v="0"/>
  </r>
  <r>
    <n v="1367"/>
    <x v="1366"/>
    <s v="R175/180 ပလန္ခ်ာရွိန္းျပား(ေၾကး)"/>
    <n v="20"/>
    <n v="500"/>
    <n v="500"/>
    <n v="5000"/>
    <x v="1"/>
  </r>
  <r>
    <n v="1368"/>
    <x v="1367"/>
    <s v="R175 အဲယားစစ္"/>
    <n v="9"/>
    <n v="1500"/>
    <n v="1500"/>
    <n v="8550"/>
    <x v="1"/>
  </r>
  <r>
    <n v="1369"/>
    <x v="1368"/>
    <s v="ကင့္ရွပ္ပင္နယံ (ေသး /က်ယ္ ) R175 /180 (JN)"/>
    <n v="11"/>
    <n v="2000"/>
    <n v="2000"/>
    <n v="13750"/>
    <x v="1"/>
  </r>
  <r>
    <n v="1370"/>
    <x v="1369"/>
    <s v="ျဖတ္ဘားဝါရွာ S195 (JN)"/>
    <n v="119"/>
    <n v="200"/>
    <n v="200"/>
    <n v="11900"/>
    <x v="1"/>
  </r>
  <r>
    <n v="1371"/>
    <x v="1370"/>
    <s v="ဂါဂ်ီပင္ R175 (JN) (0.16KG)"/>
    <n v="16"/>
    <n v="1300"/>
    <n v="1300"/>
    <n v="15040"/>
    <x v="1"/>
  </r>
  <r>
    <n v="1372"/>
    <x v="1371"/>
    <s v="ေလရႈိက္ဘား R-175"/>
    <n v="15"/>
    <n v="2500"/>
    <n v="2500"/>
    <n v="27390"/>
    <x v="1"/>
  </r>
  <r>
    <n v="1373"/>
    <x v="1372"/>
    <s v="ဂါဘနာ ဝိတ္သီး 175 (သံကၽြတ္)"/>
    <n v="19"/>
    <n v="3200"/>
    <n v="3200"/>
    <n v="41800"/>
    <x v="0"/>
  </r>
  <r>
    <n v="1374"/>
    <x v="1373"/>
    <s v="လီဗာကိုင္း R-175 (0.12KG)"/>
    <n v="3"/>
    <n v="1500"/>
    <n v="1500"/>
    <n v="1686"/>
    <x v="1"/>
  </r>
  <r>
    <n v="1375"/>
    <x v="1374"/>
    <s v="R175 အမ္းခံု ဆီေပါက္မပါ"/>
    <n v="14"/>
    <n v="3800"/>
    <n v="3800"/>
    <n v="37800"/>
    <x v="1"/>
  </r>
  <r>
    <n v="1376"/>
    <x v="1375"/>
    <s v="ပလန္ခ်ာစပရိန္ႀကီး S1110/175"/>
    <n v="9"/>
    <n v="500"/>
    <n v="500"/>
    <n v="1800"/>
    <x v="1"/>
  </r>
  <r>
    <n v="1377"/>
    <x v="1376"/>
    <s v="အမ္းခံုနတ္တိုင္ 175"/>
    <n v="4"/>
    <n v="400"/>
    <n v="400"/>
    <n v="1200"/>
    <x v="1"/>
  </r>
  <r>
    <n v="1378"/>
    <x v="1377"/>
    <s v="ေနာ္ဇယ္နတ္တိုင္ (70mm) 195/1110"/>
    <n v="6"/>
    <n v="100"/>
    <n v="100"/>
    <n v="462"/>
    <x v="1"/>
  </r>
  <r>
    <n v="1379"/>
    <x v="1378"/>
    <s v="ဟန္ဒရယ္ရွပ္ 175"/>
    <n v="7"/>
    <n v="2000"/>
    <n v="2000"/>
    <n v="10500"/>
    <x v="1"/>
  </r>
  <r>
    <n v="1380"/>
    <x v="1379"/>
    <s v="ေဖာ္လိုတံ (1 စံု) R175"/>
    <n v="23"/>
    <n v="1500"/>
    <n v="1500"/>
    <n v="15985"/>
    <x v="1"/>
  </r>
  <r>
    <n v="1381"/>
    <x v="1380"/>
    <s v="ေဖာ္လိုခြက္(ခု) R175"/>
    <n v="7"/>
    <n v="2000"/>
    <n v="2000"/>
    <n v="8071"/>
    <x v="1"/>
  </r>
  <r>
    <n v="1382"/>
    <x v="1381"/>
    <s v="R175 (အခၽြန္) (JN)"/>
    <n v="2"/>
    <n v="30000"/>
    <n v="30000"/>
    <n v="32000"/>
    <x v="1"/>
  </r>
  <r>
    <n v="1383"/>
    <x v="1382"/>
    <s v="ဂါဂ်ီပင္ကလစ္ R175 (JN)"/>
    <n v="25"/>
    <n v="100"/>
    <n v="100"/>
    <n v="1250"/>
    <x v="1"/>
  </r>
  <r>
    <n v="1384"/>
    <x v="1383"/>
    <s v="5 ပဲ ဆီနတ္"/>
    <n v="24"/>
    <n v="200"/>
    <n v="200"/>
    <n v="3120"/>
    <x v="1"/>
  </r>
  <r>
    <n v="1385"/>
    <x v="1384"/>
    <s v="5 မူးဆီနတ္"/>
    <n v="37"/>
    <n v="300"/>
    <n v="300"/>
    <n v="9250"/>
    <x v="1"/>
  </r>
  <r>
    <n v="1386"/>
    <x v="1385"/>
    <s v="ဂါဘနာကိုင္း R175 (JN)"/>
    <n v="5"/>
    <n v="2000"/>
    <n v="2000"/>
    <n v="7500"/>
    <x v="1"/>
  </r>
  <r>
    <n v="1387"/>
    <x v="1386"/>
    <s v="R175A ကင့္ကာဘာ"/>
    <n v="3"/>
    <n v="13000"/>
    <n v="13000"/>
    <n v="24795"/>
    <x v="1"/>
  </r>
  <r>
    <n v="1388"/>
    <x v="1387"/>
    <s v="ဂတ္စကက္ (က်ဥ္း) R-175 (JN)"/>
    <n v="13"/>
    <n v="1000"/>
    <n v="1000"/>
    <n v="4615"/>
    <x v="1"/>
  </r>
  <r>
    <n v="1389"/>
    <x v="1388"/>
    <s v="R175 အိတ္ေဇာေဂါက္ပါ"/>
    <n v="4"/>
    <n v="9500"/>
    <n v="9500"/>
    <n v="30000"/>
    <x v="1"/>
  </r>
  <r>
    <n v="1390"/>
    <x v="1389"/>
    <s v="R-175 ကီးစံု"/>
    <n v="2"/>
    <n v="500"/>
    <n v="500"/>
    <n v="590"/>
    <x v="1"/>
  </r>
  <r>
    <n v="1391"/>
    <x v="1390"/>
    <s v="R-175 ေရတိုင္ကီ ေကာ္ဖံုး"/>
    <n v="10"/>
    <n v="2000"/>
    <n v="2300"/>
    <n v="8330"/>
    <x v="1"/>
  </r>
  <r>
    <n v="1392"/>
    <x v="1391"/>
    <s v="R-175 ဆီတိုင္ကီဖံုး (JW)"/>
    <n v="7"/>
    <n v="1000"/>
    <n v="1000"/>
    <n v="7000"/>
    <x v="1"/>
  </r>
  <r>
    <n v="1393"/>
    <x v="1392"/>
    <s v="R-175/180 ဂိတ္ျပပင္စတင္"/>
    <n v="8"/>
    <n v="1000"/>
    <n v="1000"/>
    <n v="4280"/>
    <x v="1"/>
  </r>
  <r>
    <n v="1394"/>
    <x v="1393"/>
    <s v="R-175 ပလန္ခ်ာေထာက္ နပ္"/>
    <n v="7"/>
    <n v="100"/>
    <n v="100"/>
    <n v="350"/>
    <x v="1"/>
  </r>
  <r>
    <n v="1395"/>
    <x v="1394"/>
    <s v="R-175 ဆီျပန္ပိုက္"/>
    <n v="14"/>
    <n v="700"/>
    <n v="700"/>
    <n v="4676"/>
    <x v="1"/>
  </r>
  <r>
    <n v="1396"/>
    <x v="1395"/>
    <s v="R175 ေဘာထိန္းသံျပား"/>
    <n v="25"/>
    <n v="300"/>
    <n v="300"/>
    <n v="7500"/>
    <x v="1"/>
  </r>
  <r>
    <n v="1397"/>
    <x v="1396"/>
    <s v="R-175 အမ္းခံုနပ္တိုင္"/>
    <n v="2"/>
    <n v="500"/>
    <n v="500"/>
    <n v="700"/>
    <x v="1"/>
  </r>
  <r>
    <n v="1398"/>
    <x v="1397"/>
    <s v="R-175 တိုက္ပစ္နပ္"/>
    <n v="7"/>
    <n v="400"/>
    <n v="400"/>
    <n v="1960"/>
    <x v="1"/>
  </r>
  <r>
    <n v="1399"/>
    <x v="1398"/>
    <s v="R-175 တိုက္ပစ္အမ္း"/>
    <n v="12"/>
    <n v="2000"/>
    <n v="2000"/>
    <n v="15900"/>
    <x v="1"/>
  </r>
  <r>
    <n v="1400"/>
    <x v="1399"/>
    <s v="R-175 ဆီစစ္"/>
    <n v="23"/>
    <n v="250"/>
    <n v="250"/>
    <n v="4692"/>
    <x v="1"/>
  </r>
  <r>
    <n v="1401"/>
    <x v="1400"/>
    <s v="R-175 ဟန္ဒယ္ေဂါက္ JW"/>
    <n v="12"/>
    <n v="3800"/>
    <n v="3800"/>
    <n v="33120"/>
    <x v="1"/>
  </r>
  <r>
    <n v="1402"/>
    <x v="1401"/>
    <s v="R-175 ဟန္ဒယ္ေဂါက္ ရိုးရိုး"/>
    <n v="3"/>
    <n v="2500"/>
    <n v="2500"/>
    <n v="4650"/>
    <x v="1"/>
  </r>
  <r>
    <n v="1403"/>
    <x v="1402"/>
    <s v="R-175 အိတ္ေဇာပါကင္ 3 ေပါက္"/>
    <n v="27"/>
    <n v="150"/>
    <n v="150"/>
    <n v="2106"/>
    <x v="1"/>
  </r>
  <r>
    <n v="1404"/>
    <x v="1403"/>
    <s v="R-175 အိတ္ေဇာပါကင္  2 ေပါက္"/>
    <n v="5"/>
    <n v="150"/>
    <n v="150"/>
    <n v="400"/>
    <x v="1"/>
  </r>
  <r>
    <n v="1405"/>
    <x v="1404"/>
    <s v="ကရိုင္းကစ္နတ္ေသး"/>
    <n v="10"/>
    <n v="500"/>
    <n v="500"/>
    <n v="1800"/>
    <x v="1"/>
  </r>
  <r>
    <n v="1406"/>
    <x v="1405"/>
    <s v="R-175 အင္ဂ်င္ဝိုင္ တိုင္းတံ"/>
    <n v="19"/>
    <n v="300"/>
    <n v="300"/>
    <n v="2090"/>
    <x v="1"/>
  </r>
  <r>
    <n v="1407"/>
    <x v="1406"/>
    <s v="R-175 3R အမ္းဖံုး သတၱဴ"/>
    <n v="2"/>
    <n v="6000"/>
    <n v="6000"/>
    <n v="6740"/>
    <x v="1"/>
  </r>
  <r>
    <n v="1408"/>
    <x v="1407"/>
    <s v="R-175 ပလန္ခ်ာေခါင္း"/>
    <n v="14"/>
    <n v="1500"/>
    <n v="1500"/>
    <n v="5600"/>
    <x v="1"/>
  </r>
  <r>
    <n v="1409"/>
    <x v="1408"/>
    <s v="R-175 ပလန္ခ်ာ"/>
    <n v="4"/>
    <n v="3500"/>
    <n v="3500"/>
    <n v="7812"/>
    <x v="1"/>
  </r>
  <r>
    <n v="1410"/>
    <x v="1409"/>
    <s v="R-175 ပစၥတင္ ခ်ိဳင့္"/>
    <n v="10"/>
    <n v="8500"/>
    <n v="8500"/>
    <n v="43960"/>
    <x v="1"/>
  </r>
  <r>
    <n v="1411"/>
    <x v="1410"/>
    <s v="R-175 ေနာ္ဇယ္ ပင္ေသး"/>
    <n v="7"/>
    <n v="3500"/>
    <n v="3500"/>
    <n v="19600"/>
    <x v="1"/>
  </r>
  <r>
    <n v="1412"/>
    <x v="1411"/>
    <s v="R175 ဟက္ ေက်ာက္ေခါင္း(1စံု)"/>
    <n v="20"/>
    <n v="2000"/>
    <n v="2000"/>
    <n v="21600"/>
    <x v="1"/>
  </r>
  <r>
    <n v="1413"/>
    <x v="1412"/>
    <s v="R-175 ေနာ္ဇယ္ပိုက္"/>
    <n v="4"/>
    <n v="1000"/>
    <n v="1000"/>
    <n v="4000"/>
    <x v="1"/>
  </r>
  <r>
    <n v="1414"/>
    <x v="1413"/>
    <s v="R-175 ပလန္ခ်ာအံု "/>
    <n v="3"/>
    <n v="18000"/>
    <n v="18000"/>
    <n v="44550"/>
    <x v="1"/>
  </r>
  <r>
    <n v="1415"/>
    <x v="1414"/>
    <s v="R-175 ေနာ္ဇယ္အံု JW"/>
    <n v="7"/>
    <n v="13000"/>
    <n v="13000"/>
    <n v="51100"/>
    <x v="1"/>
  </r>
  <r>
    <n v="1416"/>
    <x v="1415"/>
    <s v="R-175 ပန္႔ဒလက္္အံု JW"/>
    <n v="15"/>
    <n v="4500"/>
    <n v="4500"/>
    <n v="67500"/>
    <x v="1"/>
  </r>
  <r>
    <n v="1417"/>
    <x v="1416"/>
    <s v="R-175 4 x 3 ပူလီ"/>
    <n v="1"/>
    <n v="5500"/>
    <n v="5500"/>
    <n v="4000"/>
    <x v="1"/>
  </r>
  <r>
    <n v="1418"/>
    <x v="1417"/>
    <s v="R-175 4 1/2x 3 ပူလီ"/>
    <n v="5"/>
    <n v="9500"/>
    <n v="9500"/>
    <n v="27000"/>
    <x v="1"/>
  </r>
  <r>
    <n v="1419"/>
    <x v="1418"/>
    <s v="R-175 ဘားကိုက္"/>
    <n v="2"/>
    <n v="300"/>
    <n v="300"/>
    <n v="420"/>
    <x v="1"/>
  </r>
  <r>
    <n v="1420"/>
    <x v="1419"/>
    <s v="R-175 ဘားကိုက္ရိုးရိုး"/>
    <n v="7"/>
    <n v="300"/>
    <n v="300"/>
    <n v="1470"/>
    <x v="1"/>
  </r>
  <r>
    <n v="1421"/>
    <x v="1420"/>
    <s v="R-175 ဘားကြင္း"/>
    <n v="1"/>
    <n v="1000"/>
    <n v="1000"/>
    <n v="550"/>
    <x v="1"/>
  </r>
  <r>
    <n v="1422"/>
    <x v="1421"/>
    <s v="R-175 ဟက္ေက်ာက္ေခါင္းစံု"/>
    <n v="2"/>
    <n v="1300"/>
    <n v="1300"/>
    <n v="1920"/>
    <x v="1"/>
  </r>
  <r>
    <n v="1423"/>
    <x v="1422"/>
    <s v="R-175 ဟက္ေက်ာက္ေခါင္းညီ"/>
    <n v="1"/>
    <n v="21000"/>
    <n v="21000"/>
    <n v="16200"/>
    <x v="0"/>
  </r>
  <r>
    <n v="1424"/>
    <x v="1423"/>
    <s v="ဟက္ မာစီတီး 175_x000d__x000a_"/>
    <n v="2"/>
    <n v="30000"/>
    <n v="30000"/>
    <n v="36024"/>
    <x v="1"/>
  </r>
  <r>
    <n v="1425"/>
    <x v="1424"/>
    <s v="R-175 X ေဇာေဂါက္ (JW)"/>
    <n v="8"/>
    <n v="2000"/>
    <n v="2000"/>
    <n v="11800"/>
    <x v="1"/>
  </r>
  <r>
    <n v="1426"/>
    <x v="1425"/>
    <s v="R-175 X အဲယားေဂါက္ (JW)"/>
    <n v="27"/>
    <n v="2700"/>
    <n v="2700"/>
    <n v="39825"/>
    <x v="1"/>
  </r>
  <r>
    <n v="1427"/>
    <x v="1426"/>
    <s v="R-175 အဲယားဗူး"/>
    <n v="9"/>
    <n v="5000"/>
    <n v="5000"/>
    <n v="26820"/>
    <x v="1"/>
  </r>
  <r>
    <n v="1428"/>
    <x v="1427"/>
    <s v="R175 ဟက္နပ္တိုင္ "/>
    <n v="20"/>
    <n v="1200"/>
    <n v="1200"/>
    <n v="17440"/>
    <x v="1"/>
  </r>
  <r>
    <n v="1429"/>
    <x v="1428"/>
    <s v="R-175 ေနာ္ဇယ္နပ္တိုင္ ႀကီး(JW)"/>
    <n v="9"/>
    <n v="300"/>
    <n v="300"/>
    <n v="1890"/>
    <x v="1"/>
  </r>
  <r>
    <n v="1430"/>
    <x v="1429"/>
    <s v="R-175 ေနာ္ဇယ္နပ္တိုင္ လတ္(JW)"/>
    <n v="101"/>
    <n v="400"/>
    <n v="400"/>
    <n v="17675"/>
    <x v="1"/>
  </r>
  <r>
    <n v="1431"/>
    <x v="1430"/>
    <s v="R-175 ေနာ္ဇယ္နပ္တိုင္ ေသး(JW)"/>
    <n v="2"/>
    <n v="300"/>
    <n v="300"/>
    <n v="380"/>
    <x v="1"/>
  </r>
  <r>
    <n v="1432"/>
    <x v="1431"/>
    <s v="R-175 အမ္းခံုစံု ဆီေပါက္ပါ (JW)"/>
    <n v="21"/>
    <n v="4500"/>
    <n v="4500"/>
    <n v="79590"/>
    <x v="1"/>
  </r>
  <r>
    <n v="1433"/>
    <x v="1432"/>
    <s v="S-195 ေနာ္ဇယ္ေအဂ်က္ (6 ေထာင့္) JW"/>
    <n v="8"/>
    <n v="500"/>
    <n v="500"/>
    <n v="2800"/>
    <x v="1"/>
  </r>
  <r>
    <n v="1434"/>
    <x v="1433"/>
    <s v="R-175 ဆီေကာ့စံု (JW)"/>
    <n v="20"/>
    <n v="2000"/>
    <n v="2000"/>
    <n v="20200"/>
    <x v="1"/>
  </r>
  <r>
    <n v="1435"/>
    <x v="1434"/>
    <s v="R-175 စက္မကြင္း (JW)"/>
    <n v="16"/>
    <n v="1000"/>
    <n v="1000"/>
    <n v="6896"/>
    <x v="1"/>
  </r>
  <r>
    <n v="1436"/>
    <x v="1435"/>
    <s v="R-175 စလစ္သေရကြင္း"/>
    <n v="18"/>
    <n v="200"/>
    <n v="200"/>
    <n v="2070"/>
    <x v="1"/>
  </r>
  <r>
    <n v="1437"/>
    <x v="1436"/>
    <s v="ဟန္တယ္ဘြတ္ (175)"/>
    <n v="7"/>
    <n v="1000"/>
    <n v="1000"/>
    <n v="3500"/>
    <x v="1"/>
  </r>
  <r>
    <n v="1438"/>
    <x v="1437"/>
    <s v="R-175 ကင္းမရွပ္ ေသး"/>
    <n v="1"/>
    <n v="6000"/>
    <n v="6000"/>
    <n v="3239"/>
    <x v="1"/>
  </r>
  <r>
    <n v="1439"/>
    <x v="1438"/>
    <s v="R-175 ဂတ္စကက္က်ယ္"/>
    <n v="16"/>
    <n v="1000"/>
    <n v="1000"/>
    <n v="9600"/>
    <x v="1"/>
  </r>
  <r>
    <n v="1440"/>
    <x v="1439"/>
    <s v="R-175 ဂါဘနာစပရိန္"/>
    <n v="16"/>
    <n v="400"/>
    <n v="400"/>
    <n v="3200"/>
    <x v="1"/>
  </r>
  <r>
    <n v="1441"/>
    <x v="1440"/>
    <s v="R-175 ပန္႔ဒလက္္အံု  အဝိုင္းစီးသေရကြင္း"/>
    <n v="37"/>
    <n v="100"/>
    <n v="100"/>
    <n v="1110"/>
    <x v="1"/>
  </r>
  <r>
    <n v="1442"/>
    <x v="1441"/>
    <s v="175/180 ဆီမိန္းပိုက္ရွည္"/>
    <n v="17"/>
    <n v="1500"/>
    <n v="1500"/>
    <n v="12750"/>
    <x v="1"/>
  </r>
  <r>
    <n v="1443"/>
    <x v="1442"/>
    <s v="R175 စလစ္သေရကြင္း / ဝါ"/>
    <n v="27"/>
    <n v="500"/>
    <n v="500"/>
    <n v="7830"/>
    <x v="1"/>
  </r>
  <r>
    <n v="1444"/>
    <x v="1443"/>
    <s v="ေလဘာသီး"/>
    <n v="42"/>
    <n v="500"/>
    <n v="500"/>
    <n v="7560"/>
    <x v="1"/>
  </r>
  <r>
    <n v="1445"/>
    <x v="1444"/>
    <s v="ေနာ္ဇယ္နားကပ္စပရိန္"/>
    <n v="108"/>
    <n v="300"/>
    <n v="300"/>
    <n v="6480"/>
    <x v="1"/>
  </r>
  <r>
    <n v="1446"/>
    <x v="1445"/>
    <s v="R175  ျဖတ္ဘား (ဒလိဘား)"/>
    <n v="5"/>
    <n v="1500"/>
    <n v="1500"/>
    <n v="3900"/>
    <x v="0"/>
  </r>
  <r>
    <n v="1447"/>
    <x v="1446"/>
    <s v="R175 ဒလီဘားစပရိန္ေသး"/>
    <n v="33"/>
    <n v="100"/>
    <n v="100"/>
    <n v="1551"/>
    <x v="1"/>
  </r>
  <r>
    <n v="1448"/>
    <x v="1447"/>
    <s v="R180 ဘေလာက္အိုး သရီးကြင္း_x000d__x000a__x000d__x000a_"/>
    <n v="1"/>
    <n v="58000"/>
    <n v="58000"/>
    <n v="47900"/>
    <x v="1"/>
  </r>
  <r>
    <n v="1449"/>
    <x v="1448"/>
    <s v="R175အင္ဂ်င္ဝိုင္စစ္စုံ(JW)"/>
    <n v="8"/>
    <n v="3000"/>
    <n v="3000"/>
    <n v="17200"/>
    <x v="1"/>
  </r>
  <r>
    <n v="1450"/>
    <x v="1449"/>
    <s v="R175ေကာ္နတ္တင္းနတ္"/>
    <n v="28"/>
    <n v="400"/>
    <n v="400"/>
    <n v="7140"/>
    <x v="1"/>
  </r>
  <r>
    <n v="1451"/>
    <x v="1450"/>
    <s v="R175ေကာ္နတ္တင္းဝါရွာ(JW)"/>
    <n v="62"/>
    <n v="100"/>
    <n v="100"/>
    <n v="1612"/>
    <x v="1"/>
  </r>
  <r>
    <n v="1452"/>
    <x v="1451"/>
    <s v="175လီဘာဘြတ္သံ(3ရင္း)"/>
    <n v="3"/>
    <n v="1500"/>
    <n v="1500"/>
    <n v="1800"/>
    <x v="1"/>
  </r>
  <r>
    <n v="1453"/>
    <x v="1452"/>
    <s v="ဆီေကာ့"/>
    <n v="10"/>
    <n v="500"/>
    <n v="500"/>
    <n v="2500"/>
    <x v="1"/>
  </r>
  <r>
    <n v="1454"/>
    <x v="1453"/>
    <s v="ဘေလာက္အိုးခ်က္နတ္"/>
    <n v="4"/>
    <n v="500"/>
    <n v="500"/>
    <n v="1400"/>
    <x v="1"/>
  </r>
  <r>
    <n v="1455"/>
    <x v="1454"/>
    <s v="R175 တိုက္ပစ္ဘြတ္"/>
    <n v="37"/>
    <n v="500"/>
    <n v="500"/>
    <n v="10915"/>
    <x v="1"/>
  </r>
  <r>
    <n v="1456"/>
    <x v="1455"/>
    <s v="175ေရလည္တိုင္ဂီကာဗာ"/>
    <n v="1"/>
    <n v="10000"/>
    <n v="10000"/>
    <n v="7000"/>
    <x v="1"/>
  </r>
  <r>
    <n v="1457"/>
    <x v="1456"/>
    <s v="175ပစၥတင္(ဘားရာပါ)CF"/>
    <n v="1"/>
    <n v="6000"/>
    <n v="6000"/>
    <n v="4500"/>
    <x v="1"/>
  </r>
  <r>
    <n v="1458"/>
    <x v="1457"/>
    <s v="175/180 အဲယားစစ္"/>
    <n v="2"/>
    <n v="650"/>
    <n v="650"/>
    <n v="1000"/>
    <x v="1"/>
  </r>
  <r>
    <n v="1459"/>
    <x v="1458"/>
    <s v="R175 ပါကင္စုံ"/>
    <n v="3"/>
    <n v="2000"/>
    <n v="2000"/>
    <n v="2670"/>
    <x v="1"/>
  </r>
  <r>
    <n v="1460"/>
    <x v="1459"/>
    <s v="R175 ေရတိုင္ကီ အထူ"/>
    <n v="5"/>
    <n v="30000"/>
    <n v="30000"/>
    <n v="122500"/>
    <x v="1"/>
  </r>
  <r>
    <n v="1461"/>
    <x v="1460"/>
    <s v="175 ပစၥတင္"/>
    <n v="1"/>
    <n v="7000"/>
    <n v="7000"/>
    <n v="5500"/>
    <x v="1"/>
  </r>
  <r>
    <n v="1462"/>
    <x v="1461"/>
    <s v="4 လက္မ ေနာ္ဇယ္နတ္တိုင္"/>
    <n v="10"/>
    <n v="250"/>
    <n v="250"/>
    <n v="1780"/>
    <x v="1"/>
  </r>
  <r>
    <n v="1463"/>
    <x v="1462"/>
    <s v="R175 မိန္းပိုက္ (ျဖဴ)(တို) (JW)"/>
    <n v="9"/>
    <n v="1500"/>
    <n v="1500"/>
    <n v="4482"/>
    <x v="1"/>
  </r>
  <r>
    <n v="1464"/>
    <x v="1463"/>
    <s v="R-175ဘားေထာက္ (JW)"/>
    <n v="12"/>
    <n v="1000"/>
    <n v="1000"/>
    <n v="7320"/>
    <x v="1"/>
  </r>
  <r>
    <n v="1465"/>
    <x v="1464"/>
    <s v="175ဘားကီး+ဘားဖံုး "/>
    <n v="42"/>
    <n v="500"/>
    <n v="500"/>
    <n v="21000"/>
    <x v="1"/>
  </r>
  <r>
    <n v="1466"/>
    <x v="1465"/>
    <s v="175 ဘားစပရိန္(1 စံု)"/>
    <n v="4"/>
    <n v="700"/>
    <n v="700"/>
    <n v="2800"/>
    <x v="1"/>
  </r>
  <r>
    <n v="1467"/>
    <x v="1466"/>
    <s v="R175ဂါဂ်ီပင္ဘြတ္(ေၾကး)_x000d__x000a_"/>
    <n v="12"/>
    <n v="1500"/>
    <n v="1500"/>
    <n v="13200"/>
    <x v="1"/>
  </r>
  <r>
    <n v="1468"/>
    <x v="1467"/>
    <s v="5/6 အဲယားေဂါက္ (အနီ) "/>
    <n v="7"/>
    <n v="3200"/>
    <n v="3200"/>
    <n v="16100"/>
    <x v="1"/>
  </r>
  <r>
    <n v="1469"/>
    <x v="1468"/>
    <s v="R-175 ပလန္ခ်ာအံုအတြင္း Kitset (JW)"/>
    <n v="6"/>
    <n v="6000"/>
    <n v="6000"/>
    <n v="19848"/>
    <x v="1"/>
  </r>
  <r>
    <n v="1470"/>
    <x v="1469"/>
    <s v="R-175 ဖလိုင္းဝွီးဝါရွာ (JW)"/>
    <n v="23"/>
    <n v="500"/>
    <n v="500"/>
    <n v="2990"/>
    <x v="1"/>
  </r>
  <r>
    <n v="1471"/>
    <x v="1470"/>
    <s v="R-175 ဖလိုင္းဝွီးကီး (JW)"/>
    <n v="6"/>
    <n v="150"/>
    <n v="150"/>
    <n v="420"/>
    <x v="1"/>
  </r>
  <r>
    <n v="1472"/>
    <x v="1471"/>
    <s v="R175N ကင့္ကာဘာ"/>
    <n v="2"/>
    <n v="13000"/>
    <n v="13000"/>
    <n v="16100"/>
    <x v="1"/>
  </r>
  <r>
    <n v="1473"/>
    <x v="1472"/>
    <s v="R-175 ကင့္ဘုက်ယ္ "/>
    <n v="10"/>
    <n v="3000"/>
    <n v="3000"/>
    <n v="23000"/>
    <x v="1"/>
  </r>
  <r>
    <n v="1474"/>
    <x v="1473"/>
    <s v="ဒီဇယ္ဖစ္တာစစ္ R-175"/>
    <n v="28"/>
    <n v="400"/>
    <n v="400"/>
    <n v="3360"/>
    <x v="1"/>
  </r>
  <r>
    <n v="1475"/>
    <x v="1474"/>
    <s v="ဆီစစ္ရွည္(အင္ဂ်င္ဝိုင္စစ္)"/>
    <n v="29"/>
    <n v="700"/>
    <n v="700"/>
    <n v="15950"/>
    <x v="1"/>
  </r>
  <r>
    <n v="1476"/>
    <x v="1475"/>
    <s v="R175 ဘယ္ရင္0.10"/>
    <n v="5"/>
    <n v="1000"/>
    <n v="1000"/>
    <n v="2150"/>
    <x v="1"/>
  </r>
  <r>
    <n v="1477"/>
    <x v="1476"/>
    <s v="ဟန္ဒရယ္ပင္နယံ  175"/>
    <n v="2"/>
    <n v="1600"/>
    <n v="1600"/>
    <n v="2394"/>
    <x v="1"/>
  </r>
  <r>
    <n v="1478"/>
    <x v="1477"/>
    <s v="ေကာင္တာဝိတ္နတ္ "/>
    <n v="10"/>
    <n v="500"/>
    <n v="500"/>
    <n v="2950"/>
    <x v="1"/>
  </r>
  <r>
    <n v="1479"/>
    <x v="1478"/>
    <s v="R175 ဟက္(အဝိုင္း) ဘားပစၥည္းစံု"/>
    <n v="1"/>
    <n v="30000"/>
    <n v="30000"/>
    <n v="16200"/>
    <x v="1"/>
  </r>
  <r>
    <n v="1480"/>
    <x v="1479"/>
    <s v="ေနာ္ဇယ္ပင္ႀကီး(GBS SP)"/>
    <n v="34"/>
    <n v="4500"/>
    <n v="4500"/>
    <n v="136476"/>
    <x v="0"/>
  </r>
  <r>
    <n v="1481"/>
    <x v="1480"/>
    <s v="175 အင္ဂ်င္ဝိုင္စစ္စံု"/>
    <n v="1"/>
    <n v="4500"/>
    <n v="4500"/>
    <n v="3000"/>
    <x v="1"/>
  </r>
  <r>
    <n v="1482"/>
    <x v="1481"/>
    <s v="R175 လီဘာဆြဲသံျပား"/>
    <n v="14"/>
    <n v="200"/>
    <n v="200"/>
    <n v="1120"/>
    <x v="1"/>
  </r>
  <r>
    <n v="1483"/>
    <x v="1482"/>
    <s v="ကရိုင္း (3 ေပါက္)"/>
    <n v="1"/>
    <n v="18000"/>
    <n v="18000"/>
    <n v="12600"/>
    <x v="0"/>
  </r>
  <r>
    <n v="1484"/>
    <x v="1483"/>
    <s v="ဘယ္ရင္ျခမ္း"/>
    <n v="4"/>
    <n v="700"/>
    <n v="700"/>
    <n v="1880"/>
    <x v="0"/>
  </r>
  <r>
    <n v="1485"/>
    <x v="1484"/>
    <s v="175 ကင့္ပင္နီယံအၾကီး"/>
    <n v="2"/>
    <n v="6500"/>
    <n v="6500"/>
    <n v="8162"/>
    <x v="1"/>
  </r>
  <r>
    <n v="1486"/>
    <x v="1485"/>
    <s v="175 သတၳဳဝါရွာစံု"/>
    <n v="16"/>
    <n v="500"/>
    <n v="500"/>
    <n v="3200"/>
    <x v="1"/>
  </r>
  <r>
    <n v="1487"/>
    <x v="1486"/>
    <s v="သတၱဳဝါရွာ (ေကာင္း)"/>
    <n v="1"/>
    <n v="500"/>
    <n v="500"/>
    <n v="337"/>
    <x v="1"/>
  </r>
  <r>
    <n v="1488"/>
    <x v="1487"/>
    <s v="R175 ကင္းရွပ္ေဘာထိန္းနတ္"/>
    <n v="20"/>
    <n v="1200"/>
    <n v="1200"/>
    <n v="15000"/>
    <x v="1"/>
  </r>
  <r>
    <n v="1489"/>
    <x v="1488"/>
    <s v="R175 3X3 ပူလီ"/>
    <n v="5"/>
    <n v="4500"/>
    <n v="4500"/>
    <n v="16000"/>
    <x v="1"/>
  </r>
  <r>
    <n v="1490"/>
    <x v="1489"/>
    <s v="R175 3 1/2 X3 ပူလီ"/>
    <n v="15"/>
    <n v="8500"/>
    <n v="8500"/>
    <n v="97500"/>
    <x v="1"/>
  </r>
  <r>
    <n v="1491"/>
    <x v="1490"/>
    <s v="R175 ကင္႔ပင္နယံေသးက်ဥ္း_x000d__x000a_"/>
    <n v="6"/>
    <n v="2000"/>
    <n v="2000"/>
    <n v="8250"/>
    <x v="0"/>
  </r>
  <r>
    <n v="1492"/>
    <x v="1491"/>
    <s v="R175 ဂိတ္ျပ"/>
    <n v="2"/>
    <n v="800"/>
    <n v="800"/>
    <n v="860"/>
    <x v="0"/>
  </r>
  <r>
    <n v="1493"/>
    <x v="1492"/>
    <s v="ကရိုင္းပင္နယံ"/>
    <n v="5"/>
    <n v="4500"/>
    <n v="4500"/>
    <n v="16000"/>
    <x v="1"/>
  </r>
  <r>
    <n v="1494"/>
    <x v="1493"/>
    <s v="ဒီဇယ္ဖစ္တာစစ္ R175"/>
    <n v="6"/>
    <n v="300"/>
    <n v="300"/>
    <n v="1200"/>
    <x v="0"/>
  </r>
  <r>
    <n v="1495"/>
    <x v="1494"/>
    <s v="ဖလိုင္းဝွီး စပန္နာကြင္း"/>
    <n v="2"/>
    <n v="4000"/>
    <n v="4000"/>
    <n v="4000"/>
    <x v="1"/>
  </r>
  <r>
    <n v="1496"/>
    <x v="1495"/>
    <s v="ျဖတ္ဘား(ဒလီဘား)"/>
    <n v="18"/>
    <n v="2000"/>
    <n v="2000"/>
    <n v="24300"/>
    <x v="1"/>
  </r>
  <r>
    <n v="1497"/>
    <x v="1496"/>
    <s v="R175 ပန္႔ဒလက္အံု"/>
    <n v="2"/>
    <n v="4200"/>
    <n v="4200"/>
    <n v="6920"/>
    <x v="1"/>
  </r>
  <r>
    <n v="1498"/>
    <x v="1497"/>
    <s v="ဘယ္ရင္ R175 (JN)"/>
    <n v="73"/>
    <n v="800"/>
    <n v="800"/>
    <n v="43946"/>
    <x v="0"/>
  </r>
  <r>
    <n v="1499"/>
    <x v="1498"/>
    <s v="R175 ဟန္တယ္ဖလန္း"/>
    <n v="1"/>
    <n v="800"/>
    <n v="800"/>
    <n v="500"/>
    <x v="1"/>
  </r>
  <r>
    <n v="1500"/>
    <x v="1499"/>
    <s v="175 ကင့္ရွပ္ဘြတ္"/>
    <n v="8"/>
    <n v="2500"/>
    <n v="2500"/>
    <n v="7600"/>
    <x v="1"/>
  </r>
  <r>
    <n v="1501"/>
    <x v="1500"/>
    <s v="175 အိတ္ေဇာေျပာင္း"/>
    <n v="1"/>
    <n v="3800"/>
    <n v="3800"/>
    <n v="2150"/>
    <x v="1"/>
  </r>
  <r>
    <n v="1502"/>
    <x v="1501"/>
    <s v="R175 ပင္နယံစံု(1ကဒ္)"/>
    <n v="2"/>
    <n v="17000"/>
    <n v="17000"/>
    <n v="19800"/>
    <x v="1"/>
  </r>
  <r>
    <n v="1503"/>
    <x v="1502"/>
    <s v="175 5X3 ပူလီ"/>
    <n v="3"/>
    <n v="11500"/>
    <n v="11500"/>
    <n v="18300"/>
    <x v="1"/>
  </r>
  <r>
    <n v="1504"/>
    <x v="1503"/>
    <s v="R175ဝိတ္တံုး (1) ေပါက္(စံု)"/>
    <n v="3"/>
    <n v="7500"/>
    <n v="7500"/>
    <n v="14700"/>
    <x v="1"/>
  </r>
  <r>
    <n v="1505"/>
    <x v="1504"/>
    <s v="R-175 ဂါဂ်ီပင္ဘြတ္(ေၾကး)(JN)"/>
    <n v="11"/>
    <n v="1000"/>
    <n v="1000"/>
    <n v="5412"/>
    <x v="0"/>
  </r>
  <r>
    <n v="1506"/>
    <x v="1505"/>
    <s v="R175/R180 ေရတိုင္ကီ(ATR)သတၱဳ(ျပာ)"/>
    <n v="6"/>
    <n v="30000"/>
    <n v="30000"/>
    <n v="147000"/>
    <x v="1"/>
  </r>
  <r>
    <n v="1507"/>
    <x v="1506"/>
    <s v="175 ATR ေရတိုင္ကီ သတၱဳ"/>
    <n v="1"/>
    <n v="27000"/>
    <n v="27000"/>
    <n v="17000"/>
    <x v="1"/>
  </r>
  <r>
    <n v="1508"/>
    <x v="1507"/>
    <s v="ဂတ္စကက္ (က်ယ္) R-180A"/>
    <n v="2"/>
    <n v="800"/>
    <n v="800"/>
    <n v="900"/>
    <x v="1"/>
  </r>
  <r>
    <n v="1509"/>
    <x v="1508"/>
    <s v="ဂတ္စကက္ (က်ဥ္း) R-180A (JN)"/>
    <n v="2"/>
    <n v="1000"/>
    <n v="1000"/>
    <n v="714"/>
    <x v="1"/>
  </r>
  <r>
    <n v="1510"/>
    <x v="1509"/>
    <s v="R180 ပါကင္စံု "/>
    <n v="71"/>
    <n v="1700"/>
    <n v="1700"/>
    <n v="110050"/>
    <x v="1"/>
  </r>
  <r>
    <n v="1511"/>
    <x v="1510"/>
    <s v="R180 ရိန္း (JN)"/>
    <n v="5"/>
    <n v="2500"/>
    <n v="2500"/>
    <n v="9500"/>
    <x v="0"/>
  </r>
  <r>
    <n v="1512"/>
    <x v="1511"/>
    <s v="R-180 ရိန္း (CC)"/>
    <n v="18"/>
    <n v="3000"/>
    <n v="3000"/>
    <n v="43164"/>
    <x v="0"/>
  </r>
  <r>
    <n v="1513"/>
    <x v="1512"/>
    <s v="R180 ေနာ္ဇယ္ကစ္ဆက္(JD)"/>
    <n v="5"/>
    <n v="15000"/>
    <n v="15000"/>
    <n v="62000"/>
    <x v="1"/>
  </r>
  <r>
    <n v="1514"/>
    <x v="1513"/>
    <s v="R180 ဘားတံ(JD)"/>
    <n v="10"/>
    <n v="8000"/>
    <n v="8000"/>
    <n v="64000"/>
    <x v="1"/>
  </r>
  <r>
    <n v="1515"/>
    <x v="1514"/>
    <s v="R180 ေနာ္ဇယ္(JD)"/>
    <n v="5"/>
    <n v="6000"/>
    <n v="6000"/>
    <n v="24500"/>
    <x v="1"/>
  </r>
  <r>
    <n v="1516"/>
    <x v="1515"/>
    <s v="R180 ပလန္ခ်ာ(JD)"/>
    <n v="5"/>
    <n v="6800"/>
    <n v="6800"/>
    <n v="26500"/>
    <x v="1"/>
  </r>
  <r>
    <n v="1517"/>
    <x v="1516"/>
    <s v="R180 ရိန္း(JD)"/>
    <n v="10"/>
    <n v="5000"/>
    <n v="5000"/>
    <n v="38000"/>
    <x v="1"/>
  </r>
  <r>
    <n v="1518"/>
    <x v="1517"/>
    <s v="R-180 ဟက္"/>
    <n v="1"/>
    <n v="15000"/>
    <n v="15000"/>
    <n v="11996"/>
    <x v="1"/>
  </r>
  <r>
    <n v="1519"/>
    <x v="1518"/>
    <s v="R-180 ကင့္ကာဘာ"/>
    <n v="2"/>
    <n v="18500"/>
    <n v="18500"/>
    <n v="24000"/>
    <x v="1"/>
  </r>
  <r>
    <n v="1520"/>
    <x v="1519"/>
    <s v="R-180 Filter ဖန္ဘူး "/>
    <n v="1"/>
    <n v="6000"/>
    <n v="6000"/>
    <n v="3500"/>
    <x v="1"/>
  </r>
  <r>
    <n v="1521"/>
    <x v="1520"/>
    <s v="R-180 စလစ္"/>
    <n v="4"/>
    <n v="8500"/>
    <n v="8500"/>
    <n v="30300"/>
    <x v="1"/>
  </r>
  <r>
    <n v="1522"/>
    <x v="1521"/>
    <s v="R-180 ပစၥတင္ ခ်ိဳင့္"/>
    <n v="4"/>
    <n v="8000"/>
    <n v="8000"/>
    <n v="17800"/>
    <x v="1"/>
  </r>
  <r>
    <n v="1523"/>
    <x v="1522"/>
    <s v="R-180 ပစၥတင္ ညီ"/>
    <n v="8"/>
    <n v="8000"/>
    <n v="8000"/>
    <n v="35336"/>
    <x v="1"/>
  </r>
  <r>
    <n v="1524"/>
    <x v="1523"/>
    <s v="R-180 ပစၥတင္ "/>
    <n v="1"/>
    <n v="7000"/>
    <n v="7000"/>
    <n v="5500"/>
    <x v="1"/>
  </r>
  <r>
    <n v="1525"/>
    <x v="1524"/>
    <s v="R180 ပါကင္စံု"/>
    <n v="15"/>
    <n v="2000"/>
    <n v="2000"/>
    <n v="17325"/>
    <x v="1"/>
  </r>
  <r>
    <n v="1526"/>
    <x v="1525"/>
    <s v="R-180 ဆီတိုင္ကီ"/>
    <n v="4"/>
    <n v="20000"/>
    <n v="20000"/>
    <n v="47200"/>
    <x v="1"/>
  </r>
  <r>
    <n v="1527"/>
    <x v="1526"/>
    <s v="ဆီစစ္ရွည္ (ဒီဇယ္)"/>
    <n v="6"/>
    <n v="600"/>
    <n v="600"/>
    <n v="1320"/>
    <x v="1"/>
  </r>
  <r>
    <n v="1528"/>
    <x v="1527"/>
    <s v="ေနာ္ဇယ္ ကစ္ဆက္"/>
    <n v="1"/>
    <n v="10000"/>
    <n v="10000"/>
    <n v="7500"/>
    <x v="0"/>
  </r>
  <r>
    <n v="1529"/>
    <x v="1528"/>
    <s v="R-180/R-175 အေအးတိုင္ေရတိုင္ကီ "/>
    <n v="1"/>
    <n v="35000"/>
    <n v="35000"/>
    <n v="30000"/>
    <x v="1"/>
  </r>
  <r>
    <n v="1530"/>
    <x v="1529"/>
    <s v="R180ဘေလာက္အိုးရုိးရုိး"/>
    <n v="3"/>
    <n v="73000"/>
    <n v="73000"/>
    <n v="208200"/>
    <x v="1"/>
  </r>
  <r>
    <n v="1531"/>
    <x v="1530"/>
    <s v="R180ဖလႈိင္းဝွီးဝါရွာ"/>
    <n v="2"/>
    <n v="200"/>
    <n v="200"/>
    <n v="200"/>
    <x v="1"/>
  </r>
  <r>
    <n v="1532"/>
    <x v="1531"/>
    <s v="ဖလိုင္းဝီွး"/>
    <n v="3"/>
    <n v="45000"/>
    <n v="45000"/>
    <n v="110154"/>
    <x v="1"/>
  </r>
  <r>
    <n v="1533"/>
    <x v="1532"/>
    <s v="စလစ္ကစ္ဆက္R180(JW)"/>
    <n v="4"/>
    <n v="25000"/>
    <n v="25000"/>
    <n v="61516"/>
    <x v="1"/>
  </r>
  <r>
    <n v="1534"/>
    <x v="1533"/>
    <s v="စလစ္+(စီးကြင္း)က်ယ္ R180(JN)"/>
    <n v="3"/>
    <n v="13000"/>
    <n v="13000"/>
    <n v="26769"/>
    <x v="0"/>
  </r>
  <r>
    <n v="1535"/>
    <x v="1534"/>
    <s v="ကရိုင္း(3ေပါက္)(ကီးလိုင္းမပါ)(လြတ္)R180 (JN)"/>
    <n v="1"/>
    <n v="16000"/>
    <n v="16000"/>
    <n v="12500"/>
    <x v="0"/>
  </r>
  <r>
    <n v="1536"/>
    <x v="1535"/>
    <s v="တစ္ဘီးထြန္ 14စြယ္ ရွပ္ (180) ရွည္ (ကီးတို) (JW)"/>
    <n v="1"/>
    <n v="7000"/>
    <n v="7000"/>
    <n v="5454"/>
    <x v="1"/>
  </r>
  <r>
    <n v="1537"/>
    <x v="1536"/>
    <s v="R180 ဂါဂ်ီပင္"/>
    <n v="16"/>
    <n v="2000"/>
    <n v="2000"/>
    <n v="19872"/>
    <x v="0"/>
  </r>
  <r>
    <n v="1538"/>
    <x v="1537"/>
    <s v="ဘားဆက္စံု R180 (JN)"/>
    <n v="13"/>
    <n v="6000"/>
    <n v="6000"/>
    <n v="59085"/>
    <x v="0"/>
  </r>
  <r>
    <n v="1539"/>
    <x v="1538"/>
    <s v="R-180 ပါကင္စံု(JN)"/>
    <n v="1"/>
    <n v="1700"/>
    <n v="1700"/>
    <n v="1115"/>
    <x v="0"/>
  </r>
  <r>
    <n v="1540"/>
    <x v="1539"/>
    <s v="ဟက္ R-180 "/>
    <n v="2"/>
    <n v="30000"/>
    <n v="30000"/>
    <n v="36804"/>
    <x v="1"/>
  </r>
  <r>
    <n v="1541"/>
    <x v="1540"/>
    <s v="R180 ဂတ္စကက္(က်ယ္)   "/>
    <n v="16"/>
    <n v="1000"/>
    <n v="1000"/>
    <n v="9600"/>
    <x v="1"/>
  </r>
  <r>
    <n v="1542"/>
    <x v="1541"/>
    <s v="R180 စလစ္ကစ္ဆက္JN "/>
    <n v="8"/>
    <n v="25000"/>
    <n v="25000"/>
    <n v="141688"/>
    <x v="0"/>
  </r>
  <r>
    <n v="1543"/>
    <x v="1542"/>
    <s v="R180 ဘားကိုက္"/>
    <n v="10"/>
    <n v="500"/>
    <n v="500"/>
    <n v="2580"/>
    <x v="1"/>
  </r>
  <r>
    <n v="1544"/>
    <x v="1543"/>
    <s v="R180 ဂတ္စကက္ (က်ဥ္း)"/>
    <n v="15"/>
    <n v="1000"/>
    <n v="1000"/>
    <n v="8325"/>
    <x v="0"/>
  </r>
  <r>
    <n v="1545"/>
    <x v="1544"/>
    <s v="R180 ကင့္ရွပ္"/>
    <n v="5"/>
    <n v="8000"/>
    <n v="8000"/>
    <n v="23000"/>
    <x v="0"/>
  </r>
  <r>
    <n v="1546"/>
    <x v="1545"/>
    <s v="R180 ဟက္စံုခၽြန္ (JN)"/>
    <n v="1"/>
    <n v="30000"/>
    <n v="30000"/>
    <n v="25000"/>
    <x v="1"/>
  </r>
  <r>
    <n v="1547"/>
    <x v="1546"/>
    <s v="R180စလစ္ကစ္ဆက္(က်ယ္) CC"/>
    <n v="28"/>
    <n v="27000"/>
    <n v="27000"/>
    <n v="658924"/>
    <x v="0"/>
  </r>
  <r>
    <n v="1548"/>
    <x v="1547"/>
    <s v="R180 စလစ္ကစ္ဆက္(JD)"/>
    <n v="13"/>
    <n v="32000"/>
    <n v="32000"/>
    <n v="370500"/>
    <x v="1"/>
  </r>
  <r>
    <n v="1549"/>
    <x v="1548"/>
    <s v="ဘေလာက္ R-180 (ATR)"/>
    <n v="1"/>
    <n v="63000"/>
    <n v="63000"/>
    <n v="56200"/>
    <x v="0"/>
  </r>
  <r>
    <n v="1550"/>
    <x v="1549"/>
    <s v="R180Aပင္စၥတင္(JW)"/>
    <n v="1"/>
    <n v="6000"/>
    <n v="6000"/>
    <n v="3448"/>
    <x v="1"/>
  </r>
  <r>
    <n v="1551"/>
    <x v="1550"/>
    <s v="R-180A စလစ္ (JW)"/>
    <n v="2"/>
    <n v="11000"/>
    <n v="11000"/>
    <n v="15150"/>
    <x v="1"/>
  </r>
  <r>
    <n v="1552"/>
    <x v="1551"/>
    <s v="18ေကာင္ စလစ္ကစ္ဆက္"/>
    <n v="1"/>
    <n v="29500"/>
    <n v="29500"/>
    <n v="22000"/>
    <x v="0"/>
  </r>
  <r>
    <n v="1553"/>
    <x v="1552"/>
    <s v="SF NO.62 ရွပ္"/>
    <n v="2"/>
    <n v="8300"/>
    <n v="8300"/>
    <n v="9000"/>
    <x v="1"/>
  </r>
  <r>
    <n v="1554"/>
    <x v="1553"/>
    <s v="SF NO.68 ပင္နယံ"/>
    <n v="2"/>
    <n v="15000"/>
    <n v="15000"/>
    <n v="19000"/>
    <x v="1"/>
  </r>
  <r>
    <n v="1555"/>
    <x v="1554"/>
    <s v="SF NO-30 ဂြရွပ္(စံု)"/>
    <n v="2"/>
    <n v="8400"/>
    <n v="8400"/>
    <n v="7000"/>
    <x v="1"/>
  </r>
  <r>
    <n v="1556"/>
    <x v="1555"/>
    <s v="SU50 2လက္မပန္႔"/>
    <n v="1"/>
    <n v="58000"/>
    <n v="58000"/>
    <n v="44700"/>
    <x v="1"/>
  </r>
  <r>
    <n v="1557"/>
    <x v="1556"/>
    <s v="DC 12V 280W CEM"/>
    <n v="12"/>
    <n v="42000"/>
    <n v="42000"/>
    <n v="396000"/>
    <x v="1"/>
  </r>
  <r>
    <n v="1558"/>
    <x v="1557"/>
    <s v="DC 12V 380W CEM"/>
    <n v="2"/>
    <n v="45000"/>
    <n v="45000"/>
    <n v="70000"/>
    <x v="1"/>
  </r>
  <r>
    <n v="1559"/>
    <x v="1558"/>
    <s v="DC အဝုိင္းစီး (ေရျမဳပ္ပန္႔)"/>
    <n v="24"/>
    <n v="1500"/>
    <n v="1500"/>
    <n v="12000"/>
    <x v="1"/>
  </r>
  <r>
    <n v="1560"/>
    <x v="1559"/>
    <s v="DC ကာပြန္ (ေရျမဳပ္)"/>
    <n v="35"/>
    <n v="1000"/>
    <n v="1000"/>
    <n v="10500"/>
    <x v="1"/>
  </r>
  <r>
    <n v="1561"/>
    <x v="1560"/>
    <s v="DCV ဆီတင္ပန္႔"/>
    <n v="1"/>
    <n v="35000"/>
    <n v="35000"/>
    <n v="28000"/>
    <x v="1"/>
  </r>
  <r>
    <n v="1562"/>
    <x v="1561"/>
    <s v="YC90S4 1HP"/>
    <n v="1"/>
    <n v="162000"/>
    <n v="162000"/>
    <n v="105000"/>
    <x v="1"/>
  </r>
  <r>
    <n v="1563"/>
    <x v="1562"/>
    <s v="4လက္မ ခ်ိန္းေစာ(ဝိုင္း)"/>
    <n v="1"/>
    <n v="11000"/>
    <n v="11000"/>
    <n v="7000"/>
    <x v="1"/>
  </r>
  <r>
    <n v="1564"/>
    <x v="1563"/>
    <s v="သံလိုက္တံုး 4တံုး(ေသး)"/>
    <n v="1"/>
    <n v="4000"/>
    <n v="4000"/>
    <n v="2200"/>
    <x v="1"/>
  </r>
  <r>
    <n v="1565"/>
    <x v="1564"/>
    <s v=" 600x12 ကၽြတ္"/>
    <n v="10"/>
    <n v="7500"/>
    <n v="7500"/>
    <n v="56000"/>
    <x v="1"/>
  </r>
  <r>
    <n v="1566"/>
    <x v="1565"/>
    <s v="ဒူးဆစ္ 6&quot; သံစိမ္း ( Set)"/>
    <n v="4"/>
    <n v="34000"/>
    <n v="34000"/>
    <n v="88000"/>
    <x v="1"/>
  </r>
  <r>
    <n v="1567"/>
    <x v="1566"/>
    <s v="22 ေကာင္ 6×2 ပူလိ"/>
    <n v="1"/>
    <n v="19500"/>
    <n v="19500"/>
    <n v="12800"/>
    <x v="1"/>
  </r>
  <r>
    <n v="1568"/>
    <x v="1567"/>
    <s v="ကားဆြဲႀကီဳး"/>
    <n v="3"/>
    <n v="10000"/>
    <n v="10000"/>
    <n v="18000"/>
    <x v="1"/>
  </r>
  <r>
    <n v="1569"/>
    <x v="1568"/>
    <s v="8 X 10 ဂြင္းဂြင္း"/>
    <n v="3"/>
    <n v="1700"/>
    <n v="1700"/>
    <n v="2250"/>
    <x v="1"/>
  </r>
  <r>
    <n v="1570"/>
    <x v="1569"/>
    <s v="2 ဘီလူးေခါင္း Arrman_x000d__x000a_"/>
    <n v="3"/>
    <n v="6500"/>
    <n v="6500"/>
    <n v="15378"/>
    <x v="1"/>
  </r>
  <r>
    <n v="1571"/>
    <x v="1570"/>
    <s v="3&quot;ဘီလူးေခါင္း Arrman"/>
    <n v="5"/>
    <n v="9500"/>
    <n v="9500"/>
    <n v="32645"/>
    <x v="1"/>
  </r>
  <r>
    <n v="1572"/>
    <x v="1571"/>
    <s v="4 ဘီလူးေခါင္းArrman"/>
    <n v="11"/>
    <n v="13000"/>
    <n v="13000"/>
    <n v="68200"/>
    <x v="1"/>
  </r>
  <r>
    <n v="1573"/>
    <x v="1572"/>
    <s v="ျမက္/ဓါးဝိုင္း ကာဗိုက္ပါ"/>
    <n v="1"/>
    <n v="6000"/>
    <n v="6000"/>
    <n v="4000"/>
    <x v="1"/>
  </r>
  <r>
    <n v="1574"/>
    <x v="1573"/>
    <s v="လိုက္တာယာ"/>
    <n v="2"/>
    <n v="35000"/>
    <n v="35000"/>
    <n v="54000"/>
    <x v="1"/>
  </r>
  <r>
    <n v="1575"/>
    <x v="1574"/>
    <s v="သံျဖတ္စို႔"/>
    <n v="4"/>
    <n v="2000"/>
    <n v="2000"/>
    <n v="6000"/>
    <x v="1"/>
  </r>
  <r>
    <n v="1576"/>
    <x v="1575"/>
    <s v="2&quot; ပန္႔ သေရကြင္းအေသး"/>
    <n v="1"/>
    <n v="200"/>
    <n v="200"/>
    <n v="100"/>
    <x v="1"/>
  </r>
  <r>
    <n v="1577"/>
    <x v="1576"/>
    <s v="*999 ( 1pack x 6) Gear Oil"/>
    <n v="12"/>
    <n v="18000"/>
    <n v="18000"/>
    <n v="188400"/>
    <x v="1"/>
  </r>
  <r>
    <n v="1578"/>
    <x v="1577"/>
    <s v="အမဲဆီဘူး0.5 kg _x000d__x000a_"/>
    <n v="18"/>
    <n v="3500"/>
    <n v="3500"/>
    <n v="47700"/>
    <x v="1"/>
  </r>
  <r>
    <n v="1579"/>
    <x v="1578"/>
    <s v=" Mollar 5 Liter"/>
    <n v="5"/>
    <n v="26000"/>
    <n v="26000"/>
    <n v="119165"/>
    <x v="1"/>
  </r>
  <r>
    <n v="1580"/>
    <x v="1579"/>
    <s v="7 1/2 ပါကင္စံု "/>
    <n v="5"/>
    <n v="1500"/>
    <n v="1500"/>
    <n v="4500"/>
    <x v="1"/>
  </r>
  <r>
    <n v="1581"/>
    <x v="1580"/>
    <s v="6201DD"/>
    <n v="13"/>
    <n v="1200"/>
    <n v="1200"/>
    <n v="8450"/>
    <x v="1"/>
  </r>
  <r>
    <n v="1582"/>
    <x v="1581"/>
    <s v="အမဲဆီ ဗူးေသး"/>
    <n v="28"/>
    <n v="400"/>
    <n v="400"/>
    <n v="9100"/>
    <x v="1"/>
  </r>
  <r>
    <n v="1583"/>
    <x v="1582"/>
    <s v="ဆီဖစ္တာျဖဳတ္ခါးပတ္"/>
    <n v="1"/>
    <n v="4000"/>
    <n v="4000"/>
    <n v="3000"/>
    <x v="1"/>
  </r>
  <r>
    <n v="1584"/>
    <x v="1583"/>
    <s v="2&quot;အဝင္1&quot;အထြက္"/>
    <n v="12"/>
    <n v="2000"/>
    <n v="2000"/>
    <n v="14400"/>
    <x v="1"/>
  </r>
  <r>
    <n v="1585"/>
    <x v="1584"/>
    <s v="2လက္မ ေဆာ့ကဒ္"/>
    <n v="2"/>
    <n v="1500"/>
    <n v="1500"/>
    <n v="1600"/>
    <x v="1"/>
  </r>
  <r>
    <n v="1586"/>
    <x v="1585"/>
    <s v="3 အဝင္ 3 အထြက္ ေဆာ့ကဒ္"/>
    <n v="6"/>
    <n v="2500"/>
    <n v="2500"/>
    <n v="12000"/>
    <x v="1"/>
  </r>
  <r>
    <n v="1587"/>
    <x v="1586"/>
    <s v="2&quot; သတၱဴေဆာ့ကဒ္ ဝါရွာ (Su 50)"/>
    <n v="20"/>
    <n v="300"/>
    <n v="300"/>
    <n v="4000"/>
    <x v="1"/>
  </r>
  <r>
    <n v="1588"/>
    <x v="1587"/>
    <s v="8 X 9 ဂြင္းဂြင္း"/>
    <n v="1"/>
    <n v="1700"/>
    <n v="1700"/>
    <n v="700"/>
    <x v="1"/>
  </r>
  <r>
    <n v="1589"/>
    <x v="1588"/>
    <s v="သံလိုက္တံုး 1 တံုး (ႀကီး)"/>
    <n v="1"/>
    <n v="11500"/>
    <n v="11500"/>
    <n v="9000"/>
    <x v="1"/>
  </r>
  <r>
    <n v="1590"/>
    <x v="1589"/>
    <s v="TB40 ေၾကးအင္ပယ္လာ(35)"/>
    <n v="3"/>
    <n v="4000"/>
    <n v="4000"/>
    <n v="8400"/>
    <x v="1"/>
  </r>
  <r>
    <n v="1591"/>
    <x v="1590"/>
    <s v="စပန္နာ 10/12/14 သံုးဘက္ခြ"/>
    <n v="8"/>
    <n v="2500"/>
    <n v="2500"/>
    <n v="14000"/>
    <x v="1"/>
  </r>
  <r>
    <n v="1592"/>
    <x v="1591"/>
    <s v="စပန္နာ 12/14/17 သံုးဘက္ခြ"/>
    <n v="1"/>
    <n v="1800"/>
    <n v="1800"/>
    <n v="1300"/>
    <x v="1"/>
  </r>
  <r>
    <n v="1593"/>
    <x v="1592"/>
    <s v="DF 24 ဓားသြား"/>
    <n v="13"/>
    <n v="2000"/>
    <n v="2000"/>
    <n v="15600"/>
    <x v="1"/>
  </r>
  <r>
    <n v="1594"/>
    <x v="1593"/>
    <s v="ဝရိန္ပံုးအဖိုေခါင္းေသး"/>
    <n v="1"/>
    <n v="5000"/>
    <n v="5000"/>
    <n v="2500"/>
    <x v="1"/>
  </r>
  <r>
    <n v="1595"/>
    <x v="1594"/>
    <s v="3 ton ဂ်ိဳင့္"/>
    <n v="1"/>
    <n v="18000"/>
    <n v="18000"/>
    <n v="15000"/>
    <x v="1"/>
  </r>
  <r>
    <n v="1596"/>
    <x v="1595"/>
    <s v="175ေနာ္ဇယ္နားကပ္(တို)"/>
    <n v="17"/>
    <n v="150"/>
    <n v="150"/>
    <n v="1020"/>
    <x v="1"/>
  </r>
  <r>
    <n v="1597"/>
    <x v="1596"/>
    <s v="175ေနာ္ဇယ္နားကပ္(ရွည္)"/>
    <n v="155"/>
    <n v="200"/>
    <n v="200"/>
    <n v="10850"/>
    <x v="1"/>
  </r>
  <r>
    <n v="1598"/>
    <x v="1597"/>
    <s v="5 ton ဂ်ိဳင့္"/>
    <n v="3"/>
    <n v="25000"/>
    <n v="25000"/>
    <n v="60000"/>
    <x v="1"/>
  </r>
  <r>
    <n v="1599"/>
    <x v="1598"/>
    <s v="7 1/2 ဆြဲအံု"/>
    <n v="3"/>
    <n v="4500"/>
    <n v="4500"/>
    <n v="7800"/>
    <x v="1"/>
  </r>
  <r>
    <n v="1600"/>
    <x v="1599"/>
    <s v="DF ေကာ္ပိတ္အဖံုး"/>
    <n v="10"/>
    <n v="700"/>
    <n v="700"/>
    <n v="3500"/>
    <x v="1"/>
  </r>
  <r>
    <n v="1601"/>
    <x v="1600"/>
    <s v="Super Glue (ႀကီး)502"/>
    <n v="41"/>
    <n v="1000"/>
    <n v="1000"/>
    <n v="32800"/>
    <x v="1"/>
  </r>
  <r>
    <n v="1602"/>
    <x v="1601"/>
    <s v="8 ေခ်ာင္းဂြင္းဂြ"/>
    <n v="1"/>
    <n v="9000"/>
    <n v="9000"/>
    <n v="7400"/>
    <x v="1"/>
  </r>
  <r>
    <n v="1603"/>
    <x v="1602"/>
    <s v=" Bonsy မႈတ္ေဆး"/>
    <n v="67"/>
    <n v="3200"/>
    <n v="3200"/>
    <n v="192625"/>
    <x v="1"/>
  </r>
  <r>
    <n v="1604"/>
    <x v="1603"/>
    <s v="ATM Bonsy မႈတ္ေဆး"/>
    <n v="1"/>
    <n v="2000"/>
    <n v="2000"/>
    <n v="1500"/>
    <x v="1"/>
  </r>
  <r>
    <n v="1605"/>
    <x v="1604"/>
    <s v="1မတ္ ကီး / တစ္ဘီးထြန္ကီး"/>
    <n v="2"/>
    <n v="600"/>
    <n v="600"/>
    <n v="800"/>
    <x v="1"/>
  </r>
  <r>
    <n v="1606"/>
    <x v="1605"/>
    <s v="ကိုရီးယား ေကာ္ပတ္ "/>
    <n v="20"/>
    <n v="300"/>
    <n v="300"/>
    <n v="3600"/>
    <x v="1"/>
  </r>
  <r>
    <n v="1607"/>
    <x v="1606"/>
    <s v="Kawa 7 1/2 ဆီအိုးဖံုး"/>
    <n v="14"/>
    <n v="1500"/>
    <n v="1500"/>
    <n v="11900"/>
    <x v="1"/>
  </r>
  <r>
    <n v="1608"/>
    <x v="1607"/>
    <s v="9ေကာင္ ပစၥတင္+ ရိန္း"/>
    <n v="1"/>
    <n v="8000"/>
    <n v="8000"/>
    <n v="5200"/>
    <x v="1"/>
  </r>
  <r>
    <n v="1609"/>
    <x v="1608"/>
    <s v="Dynamo GBS Brand Model ST-7.5 KW 175mm"/>
    <n v="1"/>
    <n v="700000"/>
    <n v="700000"/>
    <n v="350000"/>
    <x v="1"/>
  </r>
  <r>
    <n v="1610"/>
    <x v="1609"/>
    <s v="Dynamo GBS Brand Model ST-5 KW 140mm"/>
    <n v="1"/>
    <n v="675000"/>
    <n v="675000"/>
    <n v="320000"/>
    <x v="1"/>
  </r>
  <r>
    <n v="1611"/>
    <x v="1610"/>
    <s v="ST-10KW (120MM)"/>
    <n v="1"/>
    <n v="980000"/>
    <n v="980000"/>
    <n v="460000"/>
    <x v="1"/>
  </r>
  <r>
    <n v="1612"/>
    <x v="1611"/>
    <s v="22 စလစ္ သားေရကြင္း"/>
    <n v="2"/>
    <n v="200"/>
    <n v="200"/>
    <n v="200"/>
    <x v="1"/>
  </r>
  <r>
    <n v="1613"/>
    <x v="1612"/>
    <s v="ဂက္(စ္) ဂန္း"/>
    <n v="2"/>
    <n v="8000"/>
    <n v="8000"/>
    <n v="9400"/>
    <x v="1"/>
  </r>
  <r>
    <n v="1614"/>
    <x v="1613"/>
    <s v="5 1/2  P/ R ( STD)"/>
    <n v="1"/>
    <n v="5000"/>
    <n v="5000"/>
    <n v="2400"/>
    <x v="1"/>
  </r>
  <r>
    <n v="1615"/>
    <x v="1614"/>
    <s v="6 1/2 ေကာ္နတင္း (STD)"/>
    <n v="5"/>
    <n v="3000"/>
    <n v="3000"/>
    <n v="11000"/>
    <x v="1"/>
  </r>
  <r>
    <n v="1616"/>
    <x v="1615"/>
    <s v="KAWA 7 1/2 ဟက္ဖံုး"/>
    <n v="2"/>
    <n v="3300"/>
    <n v="3300"/>
    <n v="3400"/>
    <x v="1"/>
  </r>
  <r>
    <n v="1617"/>
    <x v="1616"/>
    <s v="22 ဂြင္းဂြ"/>
    <n v="7"/>
    <n v="2700"/>
    <n v="2700"/>
    <n v="13300"/>
    <x v="1"/>
  </r>
  <r>
    <n v="1618"/>
    <x v="1617"/>
    <s v="စီးတိပ္"/>
    <n v="13"/>
    <n v="250"/>
    <n v="250"/>
    <n v="1625"/>
    <x v="1"/>
  </r>
  <r>
    <n v="1619"/>
    <x v="1618"/>
    <s v="ေတာက္ဟန္တယ္အေသး"/>
    <n v="2"/>
    <n v="5000"/>
    <n v="5000"/>
    <n v="8500"/>
    <x v="1"/>
  </r>
  <r>
    <n v="1620"/>
    <x v="1619"/>
    <s v="17 X 3 ပီနီယံ"/>
    <n v="8"/>
    <n v="3250"/>
    <n v="3250"/>
    <n v="20000"/>
    <x v="1"/>
  </r>
  <r>
    <n v="1621"/>
    <x v="1620"/>
    <s v="မီးစက္တြဲ 5500W (လက္ကိုင္းပါ)"/>
    <n v="1"/>
    <n v="867000"/>
    <n v="867000"/>
    <n v="630000"/>
    <x v="1"/>
  </r>
  <r>
    <n v="1622"/>
    <x v="1621"/>
    <s v="13 ေလဘာကိုင္း"/>
    <n v="1"/>
    <n v="4000"/>
    <n v="4000"/>
    <n v="2800"/>
    <x v="1"/>
  </r>
  <r>
    <n v="1623"/>
    <x v="1622"/>
    <s v="10&quot; ဂြရွင္(ဇီးေရာင္)"/>
    <n v="1"/>
    <n v="5500"/>
    <n v="5500"/>
    <n v="4450"/>
    <x v="1"/>
  </r>
  <r>
    <n v="1624"/>
    <x v="1623"/>
    <s v="မီးစက္တြဲ 3800W(Jelist)"/>
    <n v="1"/>
    <n v="440000"/>
    <n v="440000"/>
    <n v="400000"/>
    <x v="1"/>
  </r>
  <r>
    <n v="1625"/>
    <x v="1624"/>
    <s v="ပူလီဆြဲပန္႔ SU80"/>
    <n v="2"/>
    <n v="68500"/>
    <n v="68500"/>
    <n v="127000"/>
    <x v="1"/>
  </r>
  <r>
    <n v="1626"/>
    <x v="1625"/>
    <s v="13/16 အိတ္ေဇာေျပာင္းေဂါက္"/>
    <n v="3"/>
    <n v="3500"/>
    <n v="3500"/>
    <n v="7500"/>
    <x v="1"/>
  </r>
  <r>
    <n v="1627"/>
    <x v="1626"/>
    <s v="ေလထိုးေခါင္း/မီတာပါ"/>
    <n v="1"/>
    <n v="18000"/>
    <n v="18000"/>
    <n v="14000"/>
    <x v="1"/>
  </r>
  <r>
    <n v="1628"/>
    <x v="1627"/>
    <s v="ေလထိုးဂိတ္"/>
    <n v="2"/>
    <n v="9000"/>
    <n v="9000"/>
    <n v="14000"/>
    <x v="1"/>
  </r>
  <r>
    <n v="1629"/>
    <x v="1628"/>
    <s v="12&quot; ဂြရွင္ (ဇီးေရာင္)"/>
    <n v="1"/>
    <n v="6500"/>
    <n v="6500"/>
    <n v="5500"/>
    <x v="1"/>
  </r>
  <r>
    <n v="1630"/>
    <x v="1629"/>
    <s v="စကူဂန္း ခ်က္ေခါင္း"/>
    <n v="1"/>
    <n v="7800"/>
    <n v="7800"/>
    <n v="5800"/>
    <x v="1"/>
  </r>
  <r>
    <n v="1631"/>
    <x v="1630"/>
    <s v="M10 ေတာက္"/>
    <n v="2"/>
    <n v="2500"/>
    <n v="2500"/>
    <n v="3000"/>
    <x v="1"/>
  </r>
  <r>
    <n v="1632"/>
    <x v="1631"/>
    <s v="Water pump(370W)5မူး"/>
    <n v="2"/>
    <n v="62000"/>
    <n v="62000"/>
    <n v="113800"/>
    <x v="1"/>
  </r>
  <r>
    <n v="1633"/>
    <x v="1632"/>
    <s v="3 ပင္ အထိုင္"/>
    <n v="1"/>
    <n v="3000"/>
    <n v="3000"/>
    <n v="750"/>
    <x v="1"/>
  </r>
  <r>
    <n v="1634"/>
    <x v="1633"/>
    <s v="SU 80 ေရတံခါး"/>
    <n v="13"/>
    <n v="2000"/>
    <n v="2000"/>
    <n v="17550"/>
    <x v="1"/>
  </r>
  <r>
    <n v="1635"/>
    <x v="1634"/>
    <s v="SU80 အဝင္ဖလန္း"/>
    <n v="8"/>
    <n v="6000"/>
    <n v="6000"/>
    <n v="38400"/>
    <x v="1"/>
  </r>
  <r>
    <n v="1636"/>
    <x v="1635"/>
    <s v="KAWA အင္ဂ်င္ဝိုင္(0.75 )"/>
    <n v="20"/>
    <n v="5000"/>
    <n v="5000"/>
    <n v="74000"/>
    <x v="1"/>
  </r>
  <r>
    <n v="1637"/>
    <x v="1636"/>
    <s v="12&quot; ဂြရွင္ နီကယ္"/>
    <n v="2"/>
    <n v="5500"/>
    <n v="5500"/>
    <n v="9100"/>
    <x v="1"/>
  </r>
  <r>
    <n v="1638"/>
    <x v="1637"/>
    <s v="6 1/2  အမ္းလက္"/>
    <n v="11"/>
    <n v="2500"/>
    <n v="2500"/>
    <n v="21868"/>
    <x v="1"/>
  </r>
  <r>
    <n v="1639"/>
    <x v="1638"/>
    <s v="6 1/2 အိတ္ေဇာ "/>
    <n v="5"/>
    <n v="5500"/>
    <n v="5500"/>
    <n v="20000"/>
    <x v="1"/>
  </r>
  <r>
    <n v="1640"/>
    <x v="1639"/>
    <s v="6 1/2 ဘားထိပ္အုပ္"/>
    <n v="23"/>
    <n v="200"/>
    <n v="200"/>
    <n v="4140"/>
    <x v="1"/>
  </r>
  <r>
    <n v="1641"/>
    <x v="1640"/>
    <s v="9 ဂြင္းဂြ"/>
    <n v="14"/>
    <n v="1300"/>
    <n v="1300"/>
    <n v="8400"/>
    <x v="1"/>
  </r>
  <r>
    <n v="1642"/>
    <x v="1641"/>
    <s v="8×9 ဂြဂြ"/>
    <n v="12"/>
    <n v="1300"/>
    <n v="1300"/>
    <n v="12000"/>
    <x v="1"/>
  </r>
  <r>
    <n v="1643"/>
    <x v="1642"/>
    <s v="စီလီကြန္"/>
    <n v="5"/>
    <n v="3000"/>
    <n v="3000"/>
    <n v="12500"/>
    <x v="1"/>
  </r>
  <r>
    <n v="1644"/>
    <x v="1643"/>
    <s v="2 လက္မ ေရႊဘီလူး ဝါရွာ"/>
    <n v="2"/>
    <n v="1500"/>
    <n v="1500"/>
    <n v="1300"/>
    <x v="1"/>
  </r>
  <r>
    <n v="1645"/>
    <x v="1644"/>
    <s v="နွစ္ထပ္ တိပ္(ေကာင္း)"/>
    <n v="2"/>
    <n v="6500"/>
    <n v="6500"/>
    <n v="10200"/>
    <x v="1"/>
  </r>
  <r>
    <n v="1646"/>
    <x v="1645"/>
    <s v="30 စပန္နာသီး"/>
    <n v="1"/>
    <n v="4500"/>
    <n v="4500"/>
    <n v="3500"/>
    <x v="1"/>
  </r>
  <r>
    <n v="1647"/>
    <x v="1646"/>
    <s v="40-90-10 ဝိုင္းစီး"/>
    <n v="5"/>
    <n v="1500"/>
    <n v="1500"/>
    <n v="4500"/>
    <x v="1"/>
  </r>
  <r>
    <n v="1648"/>
    <x v="1647"/>
    <s v="3x2ပူလီ အတြင္း(20mm)"/>
    <n v="2"/>
    <n v="7500"/>
    <n v="7500"/>
    <n v="9000"/>
    <x v="1"/>
  </r>
  <r>
    <n v="1649"/>
    <x v="1648"/>
    <s v="9 ေကာင္ တိုက္ပစ္ေမာင္း"/>
    <n v="4"/>
    <n v="2500"/>
    <n v="2500"/>
    <n v="6000"/>
    <x v="1"/>
  </r>
  <r>
    <n v="1650"/>
    <x v="1649"/>
    <s v="ပဲ့ေထာင္ဘြတ္ ေကာ္လံ(6မူး)"/>
    <n v="14"/>
    <n v="700"/>
    <n v="700"/>
    <n v="4900"/>
    <x v="1"/>
  </r>
  <r>
    <n v="1651"/>
    <x v="1650"/>
    <s v="6 1/2 ဘားစပလိန္"/>
    <n v="8"/>
    <n v="600"/>
    <n v="600"/>
    <n v="2800"/>
    <x v="1"/>
  </r>
  <r>
    <n v="1652"/>
    <x v="1651"/>
    <s v="27 စပန္နာသီး"/>
    <n v="1"/>
    <n v="2500"/>
    <n v="2500"/>
    <n v="1900"/>
    <x v="1"/>
  </r>
  <r>
    <n v="1653"/>
    <x v="1652"/>
    <s v="10 TON ဂ်ိဳင့္"/>
    <n v="1"/>
    <n v="35000"/>
    <n v="35000"/>
    <n v="27000"/>
    <x v="1"/>
  </r>
  <r>
    <n v="1654"/>
    <x v="1653"/>
    <s v="M 1/4×20 ေတာက္"/>
    <n v="2"/>
    <n v="5000"/>
    <n v="5000"/>
    <n v="7600"/>
    <x v="1"/>
  </r>
  <r>
    <n v="1655"/>
    <x v="1654"/>
    <s v="9 စူးသြား"/>
    <n v="5"/>
    <n v="2000"/>
    <n v="2000"/>
    <n v="9750"/>
    <x v="1"/>
  </r>
  <r>
    <n v="1656"/>
    <x v="1655"/>
    <s v="10 စူးသြား"/>
    <n v="5"/>
    <n v="2000"/>
    <n v="2000"/>
    <n v="7000"/>
    <x v="1"/>
  </r>
  <r>
    <n v="1657"/>
    <x v="1656"/>
    <s v="4 လက္မပန္႔တြဲ Kemage"/>
    <n v="1"/>
    <n v="240000"/>
    <n v="240000"/>
    <n v="165900"/>
    <x v="1"/>
  </r>
  <r>
    <n v="1658"/>
    <x v="1657"/>
    <s v="ကြန္ပရဆာေၾကးပိုက္2"/>
    <n v="3"/>
    <n v="3000"/>
    <n v="3000"/>
    <n v="5400"/>
    <x v="1"/>
  </r>
  <r>
    <n v="1659"/>
    <x v="1658"/>
    <s v="3 ဝင္2 ထြက္ ေဆာ့ကဒ္_x000d__x000a_"/>
    <n v="6"/>
    <n v="3000"/>
    <n v="3000"/>
    <n v="13800"/>
    <x v="1"/>
  </r>
  <r>
    <n v="1660"/>
    <x v="1659"/>
    <s v="အင္းပက္ဗူး"/>
    <n v="1"/>
    <n v="15000"/>
    <n v="15000"/>
    <n v="10500"/>
    <x v="1"/>
  </r>
  <r>
    <n v="1661"/>
    <x v="1660"/>
    <s v="6 မူးေတာက္"/>
    <n v="2"/>
    <n v="6000"/>
    <n v="6000"/>
    <n v="8400"/>
    <x v="1"/>
  </r>
  <r>
    <n v="1662"/>
    <x v="1661"/>
    <s v="ဆိုက္ကယ္ေဂြ (ေရလွည္း)"/>
    <n v="1"/>
    <n v="29000"/>
    <n v="29000"/>
    <n v="21000"/>
    <x v="1"/>
  </r>
  <r>
    <n v="1663"/>
    <x v="1662"/>
    <s v="ဘတၳရီအားသြင္းစက္(Charger)"/>
    <n v="2"/>
    <n v="3500"/>
    <n v="3500"/>
    <n v="5000"/>
    <x v="1"/>
  </r>
  <r>
    <n v="1664"/>
    <x v="1663"/>
    <s v="ေနာက္ရွပ္ (ေရလွည္း)"/>
    <n v="1"/>
    <n v="16000"/>
    <n v="16000"/>
    <n v="9000"/>
    <x v="1"/>
  </r>
  <r>
    <n v="1665"/>
    <x v="1664"/>
    <s v="13/9 ေကာင္ဆြဲအံု"/>
    <n v="3"/>
    <n v="6000"/>
    <n v="6000"/>
    <n v="11700"/>
    <x v="1"/>
  </r>
  <r>
    <n v="1666"/>
    <x v="1665"/>
    <s v="22 စက္မတိုင္"/>
    <n v="9"/>
    <n v="1000"/>
    <n v="1000"/>
    <n v="5850"/>
    <x v="1"/>
  </r>
  <r>
    <n v="1667"/>
    <x v="1666"/>
    <s v="ေရွ႕ရွပ္ (ေရလွည္း)"/>
    <n v="1"/>
    <n v="7000"/>
    <n v="7000"/>
    <n v="5000"/>
    <x v="1"/>
  </r>
  <r>
    <n v="1668"/>
    <x v="1667"/>
    <s v="3ေပခြဲ ခ်ိန္းေစာHero "/>
    <n v="1"/>
    <n v="370000"/>
    <n v="370000"/>
    <n v="210000"/>
    <x v="1"/>
  </r>
  <r>
    <n v="1669"/>
    <x v="1668"/>
    <s v="Blower(ေလမႈတ္စက္)EP260"/>
    <n v="1"/>
    <n v="120000"/>
    <n v="120000"/>
    <n v="98000"/>
    <x v="1"/>
  </r>
  <r>
    <n v="1670"/>
    <x v="1669"/>
    <s v="ေက်ာက္ျပားအထိုင္"/>
    <n v="5"/>
    <n v="2000"/>
    <n v="2000"/>
    <n v="5500"/>
    <x v="1"/>
  </r>
  <r>
    <n v="1671"/>
    <x v="1670"/>
    <s v="2ေပ ခ်ိန္းေစာ(5800)Rhino"/>
    <n v="1"/>
    <n v="180000"/>
    <n v="180000"/>
    <n v="155000"/>
    <x v="1"/>
  </r>
  <r>
    <n v="1672"/>
    <x v="1671"/>
    <s v="12&quot; ဂြရွင္ ဇီး"/>
    <n v="1"/>
    <n v="5000"/>
    <n v="5000"/>
    <n v="3750"/>
    <x v="1"/>
  </r>
  <r>
    <n v="1673"/>
    <x v="1672"/>
    <s v="4 ေက်ာက္စက္ "/>
    <n v="1"/>
    <n v="37000"/>
    <n v="37000"/>
    <n v="29000"/>
    <x v="1"/>
  </r>
  <r>
    <n v="1674"/>
    <x v="1673"/>
    <s v="Kawa 7 1/2 စပလိန္"/>
    <n v="9"/>
    <n v="1000"/>
    <n v="1000"/>
    <n v="6750"/>
    <x v="1"/>
  </r>
  <r>
    <n v="1675"/>
    <x v="1674"/>
    <s v="Kawa 9 ေကာင္ရိန္း (STD)"/>
    <n v="5"/>
    <n v="6000"/>
    <n v="6000"/>
    <n v="27000"/>
    <x v="1"/>
  </r>
  <r>
    <n v="1676"/>
    <x v="1675"/>
    <s v="12လက္မ စို႔"/>
    <n v="2"/>
    <n v="5000"/>
    <n v="5000"/>
    <n v="6000"/>
    <x v="1"/>
  </r>
  <r>
    <n v="1677"/>
    <x v="1676"/>
    <s v="6 လက္မ 2 ငုတ္ပူလာ"/>
    <n v="1"/>
    <n v="11500"/>
    <n v="11500"/>
    <n v="8800"/>
    <x v="1"/>
  </r>
  <r>
    <n v="1678"/>
    <x v="1677"/>
    <s v="8 ဝက္အူလွည့္ (Haiboshi)"/>
    <n v="2"/>
    <n v="3500"/>
    <n v="3500"/>
    <n v="4800"/>
    <x v="1"/>
  </r>
  <r>
    <n v="1679"/>
    <x v="1678"/>
    <s v="2Way ဘုတို"/>
    <n v="3"/>
    <n v="1500"/>
    <n v="1500"/>
    <n v="2400"/>
    <x v="1"/>
  </r>
  <r>
    <n v="1680"/>
    <x v="1679"/>
    <s v="32 စပန္နာသီး"/>
    <n v="2"/>
    <n v="3000"/>
    <n v="3000"/>
    <n v="4400"/>
    <x v="1"/>
  </r>
  <r>
    <n v="1681"/>
    <x v="1680"/>
    <s v="အမဲဆီဂန္း 2 ေျပာင္း_x000d__x000a_"/>
    <n v="2"/>
    <n v="30000"/>
    <n v="30000"/>
    <n v="44000"/>
    <x v="1"/>
  </r>
  <r>
    <n v="1682"/>
    <x v="1681"/>
    <s v="ေကာ္ရိုးေရာင္စံုသံ Brush"/>
    <n v="3"/>
    <n v="250"/>
    <n v="250"/>
    <n v="750"/>
    <x v="1"/>
  </r>
  <r>
    <n v="1683"/>
    <x v="1682"/>
    <s v="ေဆးမႈတ္စက္(လွ်ပ္စစ္)"/>
    <n v="1"/>
    <n v="55000"/>
    <n v="55000"/>
    <n v="42500"/>
    <x v="1"/>
  </r>
  <r>
    <n v="1684"/>
    <x v="1683"/>
    <s v="11 စပန္နာသီး"/>
    <n v="4"/>
    <n v="1000"/>
    <n v="1000"/>
    <n v="2600"/>
    <x v="1"/>
  </r>
  <r>
    <n v="1685"/>
    <x v="1684"/>
    <s v="11 ဂြင္းဂြ"/>
    <n v="8"/>
    <n v="1300"/>
    <n v="1300"/>
    <n v="5600"/>
    <x v="1"/>
  </r>
  <r>
    <n v="1686"/>
    <x v="1685"/>
    <s v="10x11 ဂြဂြ"/>
    <n v="16"/>
    <n v="1500"/>
    <n v="1500"/>
    <n v="16800"/>
    <x v="1"/>
  </r>
  <r>
    <n v="1687"/>
    <x v="1686"/>
    <s v="8x10 ဂြင္းဂြင္း"/>
    <n v="17"/>
    <n v="1500"/>
    <n v="1500"/>
    <n v="21250"/>
    <x v="1"/>
  </r>
  <r>
    <n v="1688"/>
    <x v="1687"/>
    <s v="သြားပြတ္ Brush ေသး"/>
    <n v="1"/>
    <n v="600"/>
    <n v="600"/>
    <n v="450"/>
    <x v="1"/>
  </r>
  <r>
    <n v="1689"/>
    <x v="1688"/>
    <s v="10x11 ဂြင္းဂြင္း"/>
    <n v="8"/>
    <n v="1300"/>
    <n v="1300"/>
    <n v="6000"/>
    <x v="1"/>
  </r>
  <r>
    <n v="1690"/>
    <x v="1689"/>
    <s v="12x13 ဂြင္းဂြင္း"/>
    <n v="11"/>
    <n v="1500"/>
    <n v="1500"/>
    <n v="15950"/>
    <x v="1"/>
  </r>
  <r>
    <n v="1691"/>
    <x v="1690"/>
    <s v="14x15 ဂြင္းဂြင္း"/>
    <n v="16"/>
    <n v="2000"/>
    <n v="2000"/>
    <n v="21600"/>
    <x v="1"/>
  </r>
  <r>
    <n v="1692"/>
    <x v="1691"/>
    <s v="16x17 ဂြင္းဂြင္း"/>
    <n v="11"/>
    <n v="2500"/>
    <n v="2500"/>
    <n v="20350"/>
    <x v="1"/>
  </r>
  <r>
    <n v="1693"/>
    <x v="1692"/>
    <s v="18x19 ဂြင္းဂြင္း_x000d__x000a_"/>
    <n v="6"/>
    <n v="2500"/>
    <n v="2500"/>
    <n v="9900"/>
    <x v="1"/>
  </r>
  <r>
    <n v="1694"/>
    <x v="1693"/>
    <s v="Kawa 7 1/2 ဘားတံ"/>
    <n v="3"/>
    <n v="3000"/>
    <n v="3000"/>
    <n v="5850"/>
    <x v="1"/>
  </r>
  <r>
    <n v="1695"/>
    <x v="1694"/>
    <s v="6 1/2 မိန္းကပ္ျခမ္း"/>
    <n v="2"/>
    <n v="6500"/>
    <n v="6500"/>
    <n v="6760"/>
    <x v="1"/>
  </r>
  <r>
    <n v="1696"/>
    <x v="1695"/>
    <s v="6 1/2 ေလကာဘာ"/>
    <n v="5"/>
    <n v="4500"/>
    <n v="4500"/>
    <n v="15000"/>
    <x v="1"/>
  </r>
  <r>
    <n v="1697"/>
    <x v="1696"/>
    <s v="Blower ဆြဲအံု ကလပ္ခြက္"/>
    <n v="4"/>
    <n v="3000"/>
    <n v="3000"/>
    <n v="8000"/>
    <x v="1"/>
  </r>
  <r>
    <n v="1698"/>
    <x v="1697"/>
    <s v="750x16 ကၽြတ္"/>
    <n v="2"/>
    <n v="13000"/>
    <n v="13000"/>
    <n v="17000"/>
    <x v="1"/>
  </r>
  <r>
    <n v="1699"/>
    <x v="1698"/>
    <s v="ဘက္မွန္ေဂၚလီသီး"/>
    <n v="19"/>
    <n v="700"/>
    <n v="700"/>
    <n v="10450"/>
    <x v="1"/>
  </r>
  <r>
    <n v="1700"/>
    <x v="1699"/>
    <s v="12 ရစ္ပလပ္ KGV"/>
    <n v="10"/>
    <n v="3000"/>
    <n v="3000"/>
    <n v="23000"/>
    <x v="1"/>
  </r>
  <r>
    <n v="1701"/>
    <x v="1700"/>
    <s v="အင္းပက္ဆံရွည္ (JAPAN)"/>
    <n v="4"/>
    <n v="4500"/>
    <n v="4500"/>
    <n v="13200"/>
    <x v="1"/>
  </r>
  <r>
    <n v="1702"/>
    <x v="1701"/>
    <s v="4&quot;(ကစလ) ေဘာပိတ္"/>
    <n v="2"/>
    <n v="3000"/>
    <n v="3000"/>
    <n v="3000"/>
    <x v="1"/>
  </r>
  <r>
    <n v="1703"/>
    <x v="1702"/>
    <s v="ကြန္ပရဆာ ရိန္း 2065"/>
    <n v="2"/>
    <n v="3500"/>
    <n v="3500"/>
    <n v="3400"/>
    <x v="1"/>
  </r>
  <r>
    <n v="1704"/>
    <x v="1703"/>
    <s v="ဆိုက္ကလစ္ပလာယာ"/>
    <n v="13"/>
    <n v="4500"/>
    <n v="4500"/>
    <n v="45500"/>
    <x v="1"/>
  </r>
  <r>
    <n v="1705"/>
    <x v="1704"/>
    <s v="1/2  ခလုပ္ အမဲ(ဘယ္/ညာ)"/>
    <n v="1"/>
    <n v="2500"/>
    <n v="2500"/>
    <n v="1800"/>
    <x v="1"/>
  </r>
  <r>
    <n v="1706"/>
    <x v="1705"/>
    <s v="JD 22ေကာင္Engine(1110)"/>
    <n v="1"/>
    <n v="985000"/>
    <n v="985000"/>
    <n v="845000"/>
    <x v="1"/>
  </r>
  <r>
    <n v="1707"/>
    <x v="1706"/>
    <s v="SU 50 ေရတံခါးဝါရွာ"/>
    <n v="19"/>
    <n v="1500"/>
    <n v="1500"/>
    <n v="18050"/>
    <x v="1"/>
  </r>
  <r>
    <n v="1708"/>
    <x v="1707"/>
    <s v="Blower ပလပ္"/>
    <n v="2"/>
    <n v="1700"/>
    <n v="1700"/>
    <n v="2000"/>
    <x v="1"/>
  </r>
  <r>
    <n v="1709"/>
    <x v="1708"/>
    <s v="10 ရက္ခ်က္ ေခါင္းရွင္"/>
    <n v="2"/>
    <n v="5000"/>
    <n v="5000"/>
    <n v="7600"/>
    <x v="1"/>
  </r>
  <r>
    <n v="1710"/>
    <x v="1709"/>
    <s v="13 ရက္ခ်က္ ေခါင္းရွင္"/>
    <n v="2"/>
    <n v="5500"/>
    <n v="5500"/>
    <n v="9000"/>
    <x v="1"/>
  </r>
  <r>
    <n v="1711"/>
    <x v="1710"/>
    <s v="14 ရက္ခ်က္ ေခါင္းရွင္"/>
    <n v="3"/>
    <n v="7000"/>
    <n v="7000"/>
    <n v="15000"/>
    <x v="1"/>
  </r>
  <r>
    <n v="1712"/>
    <x v="1711"/>
    <s v="16 ရက္ခ်က္ ေခါင္းရွင္"/>
    <n v="2"/>
    <n v="7000"/>
    <n v="7000"/>
    <n v="10400"/>
    <x v="1"/>
  </r>
  <r>
    <n v="1713"/>
    <x v="1712"/>
    <s v="17 ရက္ခ်က္ ေခါင္းရွင္"/>
    <n v="2"/>
    <n v="7500"/>
    <n v="7500"/>
    <n v="11200"/>
    <x v="1"/>
  </r>
  <r>
    <n v="1714"/>
    <x v="1713"/>
    <s v="600X16 ကၽြတ္"/>
    <n v="3"/>
    <n v="12000"/>
    <n v="12000"/>
    <n v="27000"/>
    <x v="1"/>
  </r>
  <r>
    <n v="1715"/>
    <x v="1714"/>
    <s v="လက္ထိုးလႊ (ေကာင္း)"/>
    <n v="1"/>
    <n v="4500"/>
    <n v="4500"/>
    <n v="2750"/>
    <x v="1"/>
  </r>
  <r>
    <n v="1716"/>
    <x v="1715"/>
    <s v="Jet pump Dayuan(550W)3မတ္"/>
    <n v="1"/>
    <n v="127000"/>
    <n v="127000"/>
    <n v="107326"/>
    <x v="1"/>
  </r>
  <r>
    <n v="1717"/>
    <x v="1716"/>
    <s v="3ေပ/3ေပခြဲ ခ်ိန္းေစာခ်ိန္းဆက္"/>
    <n v="62"/>
    <n v="500"/>
    <n v="500"/>
    <n v="18600"/>
    <x v="1"/>
  </r>
  <r>
    <n v="1718"/>
    <x v="1717"/>
    <s v="35/139 ဘားဆက္စံု"/>
    <n v="5"/>
    <n v="5500"/>
    <n v="5500"/>
    <n v="20000"/>
    <x v="1"/>
  </r>
  <r>
    <n v="1719"/>
    <x v="1718"/>
    <s v="သုတ္ေဆး (1/4 ဘူး)"/>
    <n v="14"/>
    <n v="7850"/>
    <n v="7850"/>
    <n v="102200"/>
    <x v="1"/>
  </r>
  <r>
    <n v="1720"/>
    <x v="1719"/>
    <s v="1ပဲ မီးခံျပား(သံစကာပါ)"/>
    <n v="19"/>
    <n v="3000"/>
    <n v="3000"/>
    <n v="47500"/>
    <x v="1"/>
  </r>
  <r>
    <n v="1721"/>
    <x v="1720"/>
    <s v="စုတ္တံ ( 1 လက္မ)"/>
    <n v="2"/>
    <n v="250"/>
    <n v="250"/>
    <n v="360"/>
    <x v="1"/>
  </r>
  <r>
    <n v="1722"/>
    <x v="1721"/>
    <s v="စုတ္တံ ( 1 1/2  လက္မ)"/>
    <n v="2"/>
    <n v="300"/>
    <n v="300"/>
    <n v="400"/>
    <x v="1"/>
  </r>
  <r>
    <n v="1723"/>
    <x v="1722"/>
    <s v="စုတ္တံ ( 2  လက္မ)"/>
    <n v="5"/>
    <n v="500"/>
    <n v="500"/>
    <n v="1900"/>
    <x v="1"/>
  </r>
  <r>
    <n v="1724"/>
    <x v="1723"/>
    <s v="မေဆးစို႔"/>
    <n v="1"/>
    <n v="4500"/>
    <n v="4500"/>
    <n v="3000"/>
    <x v="1"/>
  </r>
  <r>
    <n v="1725"/>
    <x v="1724"/>
    <s v="ကစလရွပ္ သားေရလံုး"/>
    <n v="6"/>
    <n v="200"/>
    <n v="200"/>
    <n v="600"/>
    <x v="1"/>
  </r>
  <r>
    <n v="1726"/>
    <x v="1725"/>
    <s v="4 လက္မ ပိုက္ေပ်ာ့(ဝါ)"/>
    <n v="2"/>
    <n v="58200"/>
    <n v="58200"/>
    <n v="96268"/>
    <x v="1"/>
  </r>
  <r>
    <n v="1727"/>
    <x v="1726"/>
    <s v="စတီးဝရိန္ေခ်ာင္း (12)"/>
    <n v="7"/>
    <n v="700"/>
    <n v="700"/>
    <n v="1414"/>
    <x v="1"/>
  </r>
  <r>
    <n v="1728"/>
    <x v="1727"/>
    <s v="4 လက္မ LiLi ပန္႔ ေဘာပိတ္"/>
    <n v="4"/>
    <n v="5000"/>
    <n v="5000"/>
    <n v="15200"/>
    <x v="1"/>
  </r>
  <r>
    <n v="1729"/>
    <x v="1728"/>
    <s v="ေရာင္စံုပါး ဆိုးျပား"/>
    <n v="18"/>
    <n v="700"/>
    <n v="700"/>
    <n v="8550"/>
    <x v="1"/>
  </r>
  <r>
    <n v="1730"/>
    <x v="1729"/>
    <s v="သြားတိုက္ ေကာ္ဗရပ္"/>
    <n v="5"/>
    <n v="300"/>
    <n v="300"/>
    <n v="835"/>
    <x v="1"/>
  </r>
  <r>
    <n v="1731"/>
    <x v="1730"/>
    <s v="4 ေရႊဘီလူးေခါင္းဝါရွာ"/>
    <n v="10"/>
    <n v="2500"/>
    <n v="2500"/>
    <n v="18000"/>
    <x v="1"/>
  </r>
  <r>
    <n v="1732"/>
    <x v="1731"/>
    <s v="2ေပ ခ်ိန္းေစာဘား"/>
    <n v="1"/>
    <n v="23000"/>
    <n v="23000"/>
    <n v="19000"/>
    <x v="1"/>
  </r>
  <r>
    <n v="1733"/>
    <x v="1732"/>
    <s v="2ေပ ခ်ိန္းေစာခ်ိန္း"/>
    <n v="9"/>
    <n v="15000"/>
    <n v="15000"/>
    <n v="99000"/>
    <x v="1"/>
  </r>
  <r>
    <n v="1734"/>
    <x v="1733"/>
    <s v="ခ်ိန္းေစာတံစဥ္း (4.0)"/>
    <n v="15"/>
    <n v="3000"/>
    <n v="3000"/>
    <n v="31500"/>
    <x v="1"/>
  </r>
  <r>
    <n v="1735"/>
    <x v="1734"/>
    <s v="13 ေကာင္ P+R STD"/>
    <n v="4"/>
    <n v="10500"/>
    <n v="10500"/>
    <n v="32600"/>
    <x v="1"/>
  </r>
  <r>
    <n v="1736"/>
    <x v="1735"/>
    <s v="NT70/80 ကင့္ကာဘာ"/>
    <n v="1"/>
    <n v="60000"/>
    <n v="60000"/>
    <n v="50000"/>
    <x v="1"/>
  </r>
  <r>
    <n v="1737"/>
    <x v="1736"/>
    <s v="13 ေကာင္မီးခံဂတ္စကက္"/>
    <n v="2"/>
    <n v="1000"/>
    <n v="1000"/>
    <n v="900"/>
    <x v="1"/>
  </r>
  <r>
    <n v="1738"/>
    <x v="1737"/>
    <s v="4&quot;ေက်ာက္စက္ (BODA)G-10"/>
    <n v="1"/>
    <n v="57000"/>
    <n v="57000"/>
    <n v="45000"/>
    <x v="1"/>
  </r>
  <r>
    <n v="1739"/>
    <x v="1738"/>
    <s v="ေက်ာက္စက္ ကာပြန္အဖံုး"/>
    <n v="19"/>
    <n v="1200"/>
    <n v="1200"/>
    <n v="13300"/>
    <x v="1"/>
  </r>
  <r>
    <n v="1740"/>
    <x v="1739"/>
    <s v="ေက်ာက္စက္ ခလုပ္"/>
    <n v="5"/>
    <n v="1500"/>
    <n v="1500"/>
    <n v="2500"/>
    <x v="1"/>
  </r>
  <r>
    <n v="1741"/>
    <x v="1740"/>
    <s v="မီးသတ္ေနာ္ဇယ္ 2လက္မ"/>
    <n v="1"/>
    <n v="12000"/>
    <n v="12000"/>
    <n v="8700"/>
    <x v="1"/>
  </r>
  <r>
    <n v="1742"/>
    <x v="1741"/>
    <s v="လႊေကာက္"/>
    <n v="1"/>
    <n v="8500"/>
    <n v="8500"/>
    <n v="6000"/>
    <x v="1"/>
  </r>
  <r>
    <n v="1743"/>
    <x v="1742"/>
    <s v="ဂ်ပန္ စကၠဴ"/>
    <n v="33"/>
    <n v="700"/>
    <n v="700"/>
    <n v="16500"/>
    <x v="1"/>
  </r>
  <r>
    <n v="1744"/>
    <x v="1743"/>
    <s v="1/2 ခ်က္ေခါင္း Atpter"/>
    <n v="1"/>
    <n v="2000"/>
    <n v="2000"/>
    <n v="1200"/>
    <x v="1"/>
  </r>
  <r>
    <n v="1745"/>
    <x v="1744"/>
    <s v="Honda 3 1/2 ပူလီ"/>
    <n v="3"/>
    <n v="7000"/>
    <n v="7000"/>
    <n v="11100"/>
    <x v="1"/>
  </r>
  <r>
    <n v="1746"/>
    <x v="1745"/>
    <s v="6 မူး စာပါးစပ္ ဂလန္႔"/>
    <n v="1"/>
    <n v="4800"/>
    <n v="4800"/>
    <n v="2500"/>
    <x v="1"/>
  </r>
  <r>
    <n v="1747"/>
    <x v="1746"/>
    <s v="စေပါ့ကဒ္ (ခ်ိန္းေစာ)"/>
    <n v="3"/>
    <n v="7500"/>
    <n v="7500"/>
    <n v="10500"/>
    <x v="1"/>
  </r>
  <r>
    <n v="1748"/>
    <x v="1747"/>
    <s v="ခ်ိန္းေစာရိုက္ဘားနတ္စံု(78)"/>
    <n v="5"/>
    <n v="1500"/>
    <n v="1500"/>
    <n v="3000"/>
    <x v="1"/>
  </r>
  <r>
    <n v="1749"/>
    <x v="1748"/>
    <s v="ေရေဆးပန္႔ ဝါရွာစံုထုပ္"/>
    <n v="3"/>
    <n v="5500"/>
    <n v="5500"/>
    <n v="12000"/>
    <x v="1"/>
  </r>
  <r>
    <n v="1750"/>
    <x v="1749"/>
    <s v="2 way ဝက္အူလွည့္ 6&quot; "/>
    <n v="2"/>
    <n v="2200"/>
    <n v="2200"/>
    <n v="3300"/>
    <x v="1"/>
  </r>
  <r>
    <n v="1751"/>
    <x v="1750"/>
    <s v="24 ဂြင္းဂြ"/>
    <n v="5"/>
    <n v="2900"/>
    <n v="2900"/>
    <n v="10750"/>
    <x v="1"/>
  </r>
  <r>
    <n v="1752"/>
    <x v="1751"/>
    <s v="ကံကူစံ(ဗူး)"/>
    <n v="2"/>
    <n v="1200"/>
    <n v="1200"/>
    <n v="1000"/>
    <x v="1"/>
  </r>
  <r>
    <n v="1753"/>
    <x v="1752"/>
    <s v="Water pump(အင္ပယ္လာႀကီး)(370W)5မူး"/>
    <n v="4"/>
    <n v="95000"/>
    <n v="95000"/>
    <n v="339076"/>
    <x v="1"/>
  </r>
  <r>
    <n v="1754"/>
    <x v="1753"/>
    <s v="ပန္းေကာ္ပတ္ (ေကာင္း)"/>
    <n v="12"/>
    <n v="800"/>
    <n v="800"/>
    <n v="4800"/>
    <x v="1"/>
  </r>
  <r>
    <n v="1755"/>
    <x v="1754"/>
    <s v="4 ေကာ္ပတ္ခံျပား(စုတ္ခြက္)"/>
    <n v="5"/>
    <n v="750"/>
    <n v="750"/>
    <n v="2750"/>
    <x v="1"/>
  </r>
  <r>
    <n v="1756"/>
    <x v="1755"/>
    <s v="4 ေကာ္ပတ္ကပ္ခြာ"/>
    <n v="65"/>
    <n v="100"/>
    <n v="100"/>
    <n v="3250"/>
    <x v="1"/>
  </r>
  <r>
    <n v="1757"/>
    <x v="1756"/>
    <s v="ႀကိဳးထိုးသြား 9006"/>
    <n v="5"/>
    <n v="6000"/>
    <n v="6000"/>
    <n v="19000"/>
    <x v="1"/>
  </r>
  <r>
    <n v="1758"/>
    <x v="1757"/>
    <s v="2 way ဝက္အူလွည့္ 8&quot;"/>
    <n v="3"/>
    <n v="3200"/>
    <n v="3200"/>
    <n v="8400"/>
    <x v="1"/>
  </r>
  <r>
    <n v="1759"/>
    <x v="1758"/>
    <s v="ႀကိဳးထိုးသြား 4020"/>
    <n v="1"/>
    <n v="7500"/>
    <n v="7500"/>
    <n v="5700"/>
    <x v="1"/>
  </r>
  <r>
    <n v="1760"/>
    <x v="1759"/>
    <s v="ႀကိဳးထိုးသြား 4027"/>
    <n v="3"/>
    <n v="6500"/>
    <n v="6500"/>
    <n v="15600"/>
    <x v="1"/>
  </r>
  <r>
    <n v="1761"/>
    <x v="1760"/>
    <s v="ႀကိဳးထိုးသြား 1016"/>
    <n v="1"/>
    <n v="7000"/>
    <n v="7000"/>
    <n v="5000"/>
    <x v="1"/>
  </r>
  <r>
    <n v="1762"/>
    <x v="1761"/>
    <s v="ဟိုက္စပိ ေခ်ာင္း 5ပဲ"/>
    <n v="1"/>
    <n v="3000"/>
    <n v="3000"/>
    <n v="1800"/>
    <x v="1"/>
  </r>
  <r>
    <n v="1763"/>
    <x v="1762"/>
    <s v="ခ်ိန္းေစာတံစဥ္း(4.8)"/>
    <n v="23"/>
    <n v="3000"/>
    <n v="3000"/>
    <n v="48300"/>
    <x v="1"/>
  </r>
  <r>
    <n v="1764"/>
    <x v="1763"/>
    <s v="7.5 စူးသြား"/>
    <n v="5"/>
    <n v="2000"/>
    <n v="2000"/>
    <n v="6750"/>
    <x v="1"/>
  </r>
  <r>
    <n v="1765"/>
    <x v="1764"/>
    <s v="9.5 စူးသြား"/>
    <n v="2"/>
    <n v="2700"/>
    <n v="2700"/>
    <n v="4000"/>
    <x v="1"/>
  </r>
  <r>
    <n v="1766"/>
    <x v="1765"/>
    <s v="4-20 ပိရမစ္ စူးသြား"/>
    <n v="2"/>
    <n v="7000"/>
    <n v="7000"/>
    <n v="9600"/>
    <x v="1"/>
  </r>
  <r>
    <n v="1767"/>
    <x v="1766"/>
    <s v="11 စူးသြား"/>
    <n v="4"/>
    <n v="3500"/>
    <n v="3500"/>
    <n v="11600"/>
    <x v="1"/>
  </r>
  <r>
    <n v="1768"/>
    <x v="1767"/>
    <s v="12 စူးသြား"/>
    <n v="5"/>
    <n v="5500"/>
    <n v="5500"/>
    <n v="21500"/>
    <x v="1"/>
  </r>
  <r>
    <n v="1769"/>
    <x v="1768"/>
    <s v="12.5 စူးသြား"/>
    <n v="5"/>
    <n v="5500"/>
    <n v="5500"/>
    <n v="22000"/>
    <x v="1"/>
  </r>
  <r>
    <n v="1770"/>
    <x v="1769"/>
    <s v="13 စူးသြား"/>
    <n v="7"/>
    <n v="7000"/>
    <n v="7000"/>
    <n v="35000"/>
    <x v="1"/>
  </r>
  <r>
    <n v="1771"/>
    <x v="1770"/>
    <s v="ဟိုက္စပိ (1 မတ္)"/>
    <n v="1"/>
    <n v="2000"/>
    <n v="2000"/>
    <n v="1300"/>
    <x v="1"/>
  </r>
  <r>
    <n v="1772"/>
    <x v="1771"/>
    <s v="7 1/2 ရိန္း (0-10)"/>
    <n v="1"/>
    <n v="1200"/>
    <n v="1200"/>
    <n v="850"/>
    <x v="1"/>
  </r>
  <r>
    <n v="1773"/>
    <x v="1772"/>
    <s v="3 ကလစ္ကြင္း(ေကာင္း)"/>
    <n v="3"/>
    <n v="2000"/>
    <n v="2000"/>
    <n v="4500"/>
    <x v="1"/>
  </r>
  <r>
    <n v="1774"/>
    <x v="1773"/>
    <s v="700x16 ကၽြတ္"/>
    <n v="1"/>
    <n v="14500"/>
    <n v="14500"/>
    <n v="11200"/>
    <x v="1"/>
  </r>
  <r>
    <n v="1775"/>
    <x v="1774"/>
    <s v="သြပ္ညပ္ကပ္ေၾကး"/>
    <n v="1"/>
    <n v="5000"/>
    <n v="5000"/>
    <n v="2850"/>
    <x v="1"/>
  </r>
  <r>
    <n v="1776"/>
    <x v="1775"/>
    <s v="90B ေရေပၚစက္"/>
    <n v="1"/>
    <n v="87000"/>
    <n v="87000"/>
    <n v="67000"/>
    <x v="1"/>
  </r>
  <r>
    <n v="1777"/>
    <x v="1776"/>
    <s v="ေတာက္ ကာတာ"/>
    <n v="1"/>
    <n v="10000"/>
    <n v="10000"/>
    <n v="8000"/>
    <x v="1"/>
  </r>
  <r>
    <n v="1778"/>
    <x v="1777"/>
    <s v="3 1/2 စက္ေရေပၚသြား"/>
    <n v="2"/>
    <n v="4000"/>
    <n v="4000"/>
    <n v="5600"/>
    <x v="1"/>
  </r>
  <r>
    <n v="1779"/>
    <x v="1778"/>
    <s v="31/4 စက္ေရေပၚသြား"/>
    <n v="3"/>
    <n v="5500"/>
    <n v="5500"/>
    <n v="10500"/>
    <x v="1"/>
  </r>
  <r>
    <n v="1780"/>
    <x v="1779"/>
    <s v="ေမာ္တာေလပန္ကာ"/>
    <n v="16"/>
    <n v="1000"/>
    <n v="1000"/>
    <n v="5600"/>
    <x v="1"/>
  </r>
  <r>
    <n v="1781"/>
    <x v="1780"/>
    <s v="ေရေဆး ပိုက္ဆက္(စံု)"/>
    <n v="5"/>
    <n v="1700"/>
    <n v="1700"/>
    <n v="5500"/>
    <x v="1"/>
  </r>
  <r>
    <n v="1782"/>
    <x v="1781"/>
    <s v="ဘတၳရီကလစ္ေသး(စံု)"/>
    <n v="8"/>
    <n v="400"/>
    <n v="400"/>
    <n v="1600"/>
    <x v="1"/>
  </r>
  <r>
    <n v="1783"/>
    <x v="1782"/>
    <s v="ဘကၳရီကလစ္ႀကီး(စံု)"/>
    <n v="2"/>
    <n v="1500"/>
    <n v="1500"/>
    <n v="1800"/>
    <x v="1"/>
  </r>
  <r>
    <n v="1784"/>
    <x v="1783"/>
    <s v="1 HP ဂ်က္ပန္႔ ေရေမာ္တာ"/>
    <n v="1"/>
    <n v="120000"/>
    <n v="120000"/>
    <n v="98000"/>
    <x v="1"/>
  </r>
  <r>
    <n v="1785"/>
    <x v="1784"/>
    <s v="28-47-10"/>
    <n v="2"/>
    <n v="800"/>
    <n v="800"/>
    <n v="1200"/>
    <x v="1"/>
  </r>
  <r>
    <n v="1786"/>
    <x v="1785"/>
    <s v="18-28-7"/>
    <n v="18"/>
    <n v="800"/>
    <n v="800"/>
    <n v="8100"/>
    <x v="1"/>
  </r>
  <r>
    <n v="1787"/>
    <x v="1786"/>
    <s v="ကြင္းကတ္ေၾကး"/>
    <n v="1"/>
    <n v="1200"/>
    <n v="1200"/>
    <n v="850"/>
    <x v="1"/>
  </r>
  <r>
    <n v="1788"/>
    <x v="1787"/>
    <s v="2ေပ ခ်ိန္းေစာ ရိန္း"/>
    <n v="4"/>
    <n v="1800"/>
    <n v="1800"/>
    <n v="3800"/>
    <x v="1"/>
  </r>
  <r>
    <n v="1789"/>
    <x v="1788"/>
    <s v="ေတာက္+ဒိုင္အစံု"/>
    <n v="1"/>
    <n v="20000"/>
    <n v="20000"/>
    <n v="11500"/>
    <x v="1"/>
  </r>
  <r>
    <n v="1790"/>
    <x v="1789"/>
    <s v="1 လက္မ လိုင္းပိုက္"/>
    <n v="5"/>
    <n v="20000"/>
    <n v="20000"/>
    <n v="82500"/>
    <x v="1"/>
  </r>
  <r>
    <n v="1791"/>
    <x v="1790"/>
    <s v="ေလထိုးပိုက္ေလအိုးပါ"/>
    <n v="2"/>
    <n v="8500"/>
    <n v="8500"/>
    <n v="13400"/>
    <x v="1"/>
  </r>
  <r>
    <n v="1792"/>
    <x v="1791"/>
    <s v="8မ်ိဳးသံုး စပန္နာ"/>
    <n v="1"/>
    <n v="14500"/>
    <n v="14500"/>
    <n v="10000"/>
    <x v="1"/>
  </r>
  <r>
    <n v="1793"/>
    <x v="1792"/>
    <s v="ေကာ္ဂန္း "/>
    <n v="1"/>
    <n v="5000"/>
    <n v="5000"/>
    <n v="3100"/>
    <x v="1"/>
  </r>
  <r>
    <n v="1794"/>
    <x v="1793"/>
    <s v="ေကာ္ေခ်ာင္း"/>
    <n v="5"/>
    <n v="300"/>
    <n v="300"/>
    <n v="750"/>
    <x v="1"/>
  </r>
  <r>
    <n v="1795"/>
    <x v="1794"/>
    <s v="6000 DD ေဘာ"/>
    <n v="23"/>
    <n v="1500"/>
    <n v="1500"/>
    <n v="14950"/>
    <x v="1"/>
  </r>
  <r>
    <n v="1796"/>
    <x v="1795"/>
    <s v="သုတ္ေဆး (လတ္)"/>
    <n v="4"/>
    <n v="3500"/>
    <n v="3500"/>
    <n v="12000"/>
    <x v="1"/>
  </r>
  <r>
    <n v="1797"/>
    <x v="1796"/>
    <s v="ေဆးမႈတ္ဂန္း(ၾကီး)"/>
    <n v="1"/>
    <n v="30000"/>
    <n v="30000"/>
    <n v="25000"/>
    <x v="1"/>
  </r>
  <r>
    <n v="1798"/>
    <x v="1797"/>
    <s v="ေလဂန္း"/>
    <n v="2"/>
    <n v="6000"/>
    <n v="6000"/>
    <n v="9000"/>
    <x v="1"/>
  </r>
  <r>
    <n v="1799"/>
    <x v="1798"/>
    <s v="1/2 12 ႀကိဳးထိုးသြား"/>
    <n v="1"/>
    <n v="25000"/>
    <n v="25000"/>
    <n v="21000"/>
    <x v="1"/>
  </r>
  <r>
    <n v="1800"/>
    <x v="1799"/>
    <s v="ABေကာ္ေသး Chai"/>
    <n v="16"/>
    <n v="900"/>
    <n v="900"/>
    <n v="11200"/>
    <x v="1"/>
  </r>
  <r>
    <n v="1801"/>
    <x v="1800"/>
    <s v="ေရေပၚစက္ဝိတ္တံုး"/>
    <n v="2"/>
    <n v="4500"/>
    <n v="4500"/>
    <n v="5800"/>
    <x v="1"/>
  </r>
  <r>
    <n v="1802"/>
    <x v="1801"/>
    <s v="ေရေပၚစက္ ဝိတ္တံုး ေဘးဖံုး"/>
    <n v="1"/>
    <n v="1500"/>
    <n v="1500"/>
    <n v="800"/>
    <x v="1"/>
  </r>
  <r>
    <n v="1803"/>
    <x v="1802"/>
    <s v="စပလိန္ေလပိုက္"/>
    <n v="3"/>
    <n v="5200"/>
    <n v="5200"/>
    <n v="9000"/>
    <x v="1"/>
  </r>
  <r>
    <n v="1804"/>
    <x v="1803"/>
    <s v="Toyo တစ္ဘီးထြန္ (လက္ေဟာင္း)"/>
    <n v="1"/>
    <n v="620000"/>
    <n v="620000"/>
    <n v="500000"/>
    <x v="1"/>
  </r>
  <r>
    <n v="1805"/>
    <x v="1804"/>
    <s v="ကရိုင္းနတ္ေခါင္း(300CC)"/>
    <n v="3"/>
    <n v="500"/>
    <n v="500"/>
    <n v="900"/>
    <x v="1"/>
  </r>
  <r>
    <n v="1806"/>
    <x v="1805"/>
    <s v="ဟိုက္ဘြန္ေကာ္ / Hibond"/>
    <n v="24"/>
    <n v="1800"/>
    <n v="1800"/>
    <n v="34800"/>
    <x v="1"/>
  </r>
  <r>
    <n v="1807"/>
    <x v="1806"/>
    <s v="ဂၽြိဳင္း Set 20x50"/>
    <n v="2"/>
    <n v="8000"/>
    <n v="8000"/>
    <n v="11500"/>
    <x v="1"/>
  </r>
  <r>
    <n v="1808"/>
    <x v="1807"/>
    <s v="6 1/2 စူးသြား"/>
    <n v="7"/>
    <n v="2000"/>
    <n v="2000"/>
    <n v="5950"/>
    <x v="1"/>
  </r>
  <r>
    <n v="1809"/>
    <x v="1808"/>
    <s v="3 မူးလြန္ 1/2(NO.8)"/>
    <n v="3"/>
    <n v="2500"/>
    <n v="2500"/>
    <n v="6600"/>
    <x v="1"/>
  </r>
  <r>
    <n v="1810"/>
    <x v="1809"/>
    <s v="5 မူးလြန္ 3/8)NO.6"/>
    <n v="2"/>
    <n v="2800"/>
    <n v="2800"/>
    <n v="4000"/>
    <x v="1"/>
  </r>
  <r>
    <n v="1811"/>
    <x v="1810"/>
    <s v="6 မူးလြန္"/>
    <n v="3"/>
    <n v="3500"/>
    <n v="3500"/>
    <n v="5700"/>
    <x v="1"/>
  </r>
  <r>
    <n v="1812"/>
    <x v="1811"/>
    <s v="2ေပ ခ်ိန္းေစာစေပါ့ကဒ္ရွင္(ကြင္းပါ)"/>
    <n v="1"/>
    <n v="5000"/>
    <n v="5000"/>
    <n v="3500"/>
    <x v="1"/>
  </r>
  <r>
    <n v="1813"/>
    <x v="1812"/>
    <s v="2 ေပ စေပါ့ကဒ္ကြင္း"/>
    <n v="4"/>
    <n v="2500"/>
    <n v="2500"/>
    <n v="6800"/>
    <x v="1"/>
  </r>
  <r>
    <n v="1814"/>
    <x v="1813"/>
    <s v="4 လက္မေဆာ့ကဒ္"/>
    <n v="2"/>
    <n v="6000"/>
    <n v="6000"/>
    <n v="9600"/>
    <x v="1"/>
  </r>
  <r>
    <n v="1815"/>
    <x v="1814"/>
    <s v="6 လက္မပလာယာခၽြန္"/>
    <n v="3"/>
    <n v="6000"/>
    <n v="6000"/>
    <n v="12300"/>
    <x v="1"/>
  </r>
  <r>
    <n v="1816"/>
    <x v="1815"/>
    <s v="6 -ဝက္အူလွည့္ (လတ္)"/>
    <n v="6"/>
    <n v="1000"/>
    <n v="1000"/>
    <n v="2400"/>
    <x v="1"/>
  </r>
  <r>
    <n v="1817"/>
    <x v="1816"/>
    <s v="12 ရစ္ပလပ္ 3k"/>
    <n v="2"/>
    <n v="1500"/>
    <n v="1500"/>
    <n v="1916"/>
    <x v="1"/>
  </r>
  <r>
    <n v="1818"/>
    <x v="1817"/>
    <s v="10 Pcs စပန္နာဗူး"/>
    <n v="1"/>
    <n v="9000"/>
    <n v="9000"/>
    <n v="5100"/>
    <x v="1"/>
  </r>
  <r>
    <n v="1819"/>
    <x v="1818"/>
    <s v="1/4 စကူဂန္း"/>
    <n v="1"/>
    <n v="42000"/>
    <n v="42000"/>
    <n v="25500"/>
    <x v="1"/>
  </r>
  <r>
    <n v="1820"/>
    <x v="1819"/>
    <s v="စတာပလာပင္"/>
    <n v="2"/>
    <n v="2000"/>
    <n v="2000"/>
    <n v="2800"/>
    <x v="1"/>
  </r>
  <r>
    <n v="1821"/>
    <x v="1820"/>
    <s v="ဆီလီကြန္ေကာ္(ပ်ံလႊား)"/>
    <n v="1"/>
    <n v="3000"/>
    <n v="3000"/>
    <n v="2600"/>
    <x v="1"/>
  </r>
  <r>
    <n v="1822"/>
    <x v="1821"/>
    <s v="စကူပစ္တို"/>
    <n v="13"/>
    <n v="700"/>
    <n v="700"/>
    <n v="5850"/>
    <x v="1"/>
  </r>
  <r>
    <n v="1823"/>
    <x v="1822"/>
    <s v="W 40 သံေၾကးခၽြတ္ေဆး"/>
    <n v="1"/>
    <n v="3500"/>
    <n v="3500"/>
    <n v="2850"/>
    <x v="1"/>
  </r>
  <r>
    <n v="1824"/>
    <x v="1823"/>
    <s v="ပြန္က်ဴ Set(အိတ္ျပာ)"/>
    <n v="2"/>
    <n v="12500"/>
    <n v="12500"/>
    <n v="15000"/>
    <x v="1"/>
  </r>
  <r>
    <n v="1825"/>
    <x v="1824"/>
    <s v="စတာပလာဂန္း(Dove)_x000d__x000a_"/>
    <n v="1"/>
    <n v="9500"/>
    <n v="9500"/>
    <n v="6200"/>
    <x v="1"/>
  </r>
  <r>
    <n v="1826"/>
    <x v="1825"/>
    <s v="ကာပြန္(ႀကိဳးထိုးစက္)"/>
    <n v="15"/>
    <n v="1000"/>
    <n v="1000"/>
    <n v="8250"/>
    <x v="1"/>
  </r>
  <r>
    <n v="1827"/>
    <x v="1826"/>
    <s v="8ေခ်ာင္း ဂြင္းဂြင္းကဒ္"/>
    <n v="4"/>
    <n v="13000"/>
    <n v="13000"/>
    <n v="32000"/>
    <x v="1"/>
  </r>
  <r>
    <n v="1828"/>
    <x v="1827"/>
    <s v="2ေပ ခ်ိန္းေစာ ဘရိတ္ရွဴး "/>
    <n v="4"/>
    <n v="5000"/>
    <n v="5000"/>
    <n v="14800"/>
    <x v="1"/>
  </r>
  <r>
    <n v="1829"/>
    <x v="1828"/>
    <s v="3ေပခြဲ ခ်ိန္းေစာကာပရိုက္တာ"/>
    <n v="1"/>
    <n v="22000"/>
    <n v="22000"/>
    <n v="17000"/>
    <x v="1"/>
  </r>
  <r>
    <n v="1830"/>
    <x v="1829"/>
    <s v="3ေပခြဲ ခ်ိန္းေစာ ဘရိတ္ရွဴး"/>
    <n v="4"/>
    <n v="7000"/>
    <n v="7000"/>
    <n v="22000"/>
    <x v="1"/>
  </r>
  <r>
    <n v="1831"/>
    <x v="1830"/>
    <s v="မီးခံႀကိဳးထံုး"/>
    <n v="8"/>
    <n v="500"/>
    <n v="500"/>
    <n v="2000"/>
    <x v="1"/>
  </r>
  <r>
    <n v="1832"/>
    <x v="1831"/>
    <s v="2ေပခ်ိန္ေစာ သံပါတ္(ၾကီး)"/>
    <n v="9"/>
    <n v="2000"/>
    <n v="2000"/>
    <n v="10350"/>
    <x v="1"/>
  </r>
  <r>
    <n v="1833"/>
    <x v="1832"/>
    <s v="အဝတ္စ"/>
    <n v="17"/>
    <n v="1000"/>
    <n v="1000"/>
    <n v="10200"/>
    <x v="1"/>
  </r>
  <r>
    <n v="1834"/>
    <x v="1833"/>
    <s v="300 uf ကြန္နဆာ"/>
    <n v="10"/>
    <n v="5000"/>
    <n v="5000"/>
    <n v="23000"/>
    <x v="1"/>
  </r>
  <r>
    <n v="1835"/>
    <x v="1834"/>
    <s v="6 လက္မ ႀကိတ္ျပား(1စံု)"/>
    <n v="1"/>
    <n v="14000"/>
    <n v="14000"/>
    <n v="10000"/>
    <x v="1"/>
  </r>
  <r>
    <n v="1836"/>
    <x v="1835"/>
    <s v="13ေကာင္ဆြဲႀကိဳး"/>
    <n v="1"/>
    <n v="500"/>
    <n v="500"/>
    <n v="200"/>
    <x v="1"/>
  </r>
  <r>
    <n v="1837"/>
    <x v="1836"/>
    <s v="မီတာခြက္ ေသး"/>
    <n v="5"/>
    <n v="1500"/>
    <n v="1500"/>
    <n v="5000"/>
    <x v="1"/>
  </r>
  <r>
    <n v="1838"/>
    <x v="1837"/>
    <s v="AC ဆီစုပ္ပန္႔"/>
    <n v="1"/>
    <n v="80000"/>
    <n v="80000"/>
    <n v="65000"/>
    <x v="1"/>
  </r>
  <r>
    <n v="1839"/>
    <x v="1838"/>
    <s v="8 ေခ်ာင္းဂြကဒ္"/>
    <n v="2"/>
    <n v="12000"/>
    <n v="12000"/>
    <n v="21000"/>
    <x v="1"/>
  </r>
  <r>
    <n v="1840"/>
    <x v="1839"/>
    <s v="ဘားကာတာ (12)မ်ိဳး"/>
    <n v="1"/>
    <n v="30000"/>
    <n v="30000"/>
    <n v="25000"/>
    <x v="1"/>
  </r>
  <r>
    <n v="1841"/>
    <x v="1840"/>
    <s v="တံစဥ္းျပားႀကီး 10လက္မ"/>
    <n v="1"/>
    <n v="6000"/>
    <n v="6000"/>
    <n v="5000"/>
    <x v="1"/>
  </r>
  <r>
    <n v="1842"/>
    <x v="1841"/>
    <s v="တံစဥ္လံုးႀကီး"/>
    <n v="1"/>
    <n v="4200"/>
    <n v="4200"/>
    <n v="2800"/>
    <x v="1"/>
  </r>
  <r>
    <n v="1843"/>
    <x v="1842"/>
    <s v="13 ေကာင္ ေကာ္နတင္း"/>
    <n v="6"/>
    <n v="7000"/>
    <n v="7000"/>
    <n v="42000"/>
    <x v="1"/>
  </r>
  <r>
    <n v="1844"/>
    <x v="1843"/>
    <s v="9လက္မသစ္ျဖတ္လႊဝိုင္း"/>
    <n v="2"/>
    <n v="5000"/>
    <n v="5000"/>
    <n v="6400"/>
    <x v="1"/>
  </r>
  <r>
    <n v="1845"/>
    <x v="1844"/>
    <s v="1-5 HP ေမာ္တာ"/>
    <n v="1"/>
    <n v="170000"/>
    <n v="170000"/>
    <n v="130000"/>
    <x v="1"/>
  </r>
  <r>
    <n v="1846"/>
    <x v="1845"/>
    <s v="13 ေကာင္ ဘားတံ"/>
    <n v="3"/>
    <n v="4000"/>
    <n v="4000"/>
    <n v="5550"/>
    <x v="1"/>
  </r>
  <r>
    <n v="1847"/>
    <x v="1846"/>
    <s v="34 G-V စပန္နာသီး"/>
    <n v="3"/>
    <n v="9000"/>
    <n v="9000"/>
    <n v="20400"/>
    <x v="1"/>
  </r>
  <r>
    <n v="1848"/>
    <x v="1847"/>
    <s v="3ေပခြဲ စေပါ့ကဒ္ကြင္း"/>
    <n v="1"/>
    <n v="3000"/>
    <n v="3000"/>
    <n v="1500"/>
    <x v="1"/>
  </r>
  <r>
    <n v="1849"/>
    <x v="1848"/>
    <s v="9 ေကာင္စပလိန္အမာ"/>
    <n v="5"/>
    <n v="500"/>
    <n v="500"/>
    <n v="1500"/>
    <x v="1"/>
  </r>
  <r>
    <n v="1850"/>
    <x v="1849"/>
    <s v="9 ေကာင္အူတိုင္စပလိန္"/>
    <n v="3"/>
    <n v="200"/>
    <n v="200"/>
    <n v="300"/>
    <x v="1"/>
  </r>
  <r>
    <n v="1851"/>
    <x v="1850"/>
    <s v="9 ေကာင္ P+ R Std"/>
    <n v="3"/>
    <n v="10000"/>
    <n v="10000"/>
    <n v="15600"/>
    <x v="1"/>
  </r>
  <r>
    <n v="1852"/>
    <x v="1851"/>
    <s v="NT80 Engine"/>
    <n v="1"/>
    <n v="550000"/>
    <n v="550000"/>
    <n v="505000"/>
    <x v="1"/>
  </r>
  <r>
    <n v="1853"/>
    <x v="1852"/>
    <s v="ႀကိဳးစက္ (ေကာင္း)"/>
    <n v="1"/>
    <n v="75000"/>
    <n v="75000"/>
    <n v="50000"/>
    <x v="1"/>
  </r>
  <r>
    <n v="1854"/>
    <x v="1853"/>
    <s v="18လက္မ HV Lေဂါက္"/>
    <n v="1"/>
    <n v="12000"/>
    <n v="12000"/>
    <n v="9000"/>
    <x v="1"/>
  </r>
  <r>
    <n v="1855"/>
    <x v="1854"/>
    <s v="3ေပခ်ိန္းေစာ စလစ္စံု"/>
    <n v="3"/>
    <n v="18000"/>
    <n v="18000"/>
    <n v="37500"/>
    <x v="1"/>
  </r>
  <r>
    <n v="1856"/>
    <x v="1855"/>
    <s v="Multi Meter"/>
    <n v="2"/>
    <n v="15000"/>
    <n v="15000"/>
    <n v="18000"/>
    <x v="1"/>
  </r>
  <r>
    <n v="1857"/>
    <x v="1856"/>
    <s v="ဘက္ထရီ AA"/>
    <n v="4"/>
    <n v="300"/>
    <n v="300"/>
    <n v="800"/>
    <x v="1"/>
  </r>
  <r>
    <n v="1858"/>
    <x v="1857"/>
    <s v="ဘက္ထရီ 9V"/>
    <n v="2"/>
    <n v="1000"/>
    <n v="1000"/>
    <n v="1400"/>
    <x v="1"/>
  </r>
  <r>
    <n v="1859"/>
    <x v="1858"/>
    <s v="Digital  Multimeter"/>
    <n v="1"/>
    <n v="14500"/>
    <n v="14500"/>
    <n v="9500"/>
    <x v="1"/>
  </r>
  <r>
    <n v="1860"/>
    <x v="1859"/>
    <s v="5M AC မီးႀကိဳး"/>
    <n v="3"/>
    <n v="6000"/>
    <n v="6000"/>
    <n v="12900"/>
    <x v="1"/>
  </r>
  <r>
    <n v="1861"/>
    <x v="1860"/>
    <s v="6မူး ေဖာက္စက္(BOSHENG)"/>
    <n v="1"/>
    <n v="50000"/>
    <n v="50000"/>
    <n v="36000"/>
    <x v="1"/>
  </r>
  <r>
    <n v="1862"/>
    <x v="1861"/>
    <s v="6&quot; CLAPPER သစ္ဗူး"/>
    <n v="1"/>
    <n v="10000"/>
    <n v="10000"/>
    <n v="6000"/>
    <x v="1"/>
  </r>
  <r>
    <n v="1863"/>
    <x v="1862"/>
    <s v="CLAMP METER"/>
    <n v="1"/>
    <n v="24000"/>
    <n v="24000"/>
    <n v="17500"/>
    <x v="1"/>
  </r>
  <r>
    <n v="1864"/>
    <x v="1863"/>
    <s v="ဆိတ္ခ်ိဳတူ သံရိုးဝါ"/>
    <n v="2"/>
    <n v="6000"/>
    <n v="6000"/>
    <n v="9000"/>
    <x v="1"/>
  </r>
  <r>
    <n v="1865"/>
    <x v="1864"/>
    <s v="ခဲေခြ"/>
    <n v="3"/>
    <n v="1500"/>
    <n v="1500"/>
    <n v="2400"/>
    <x v="1"/>
  </r>
  <r>
    <n v="1866"/>
    <x v="1865"/>
    <s v="ထင္းရွဴးဆီ"/>
    <n v="3"/>
    <n v="1500"/>
    <n v="1500"/>
    <n v="2400"/>
    <x v="1"/>
  </r>
  <r>
    <n v="1867"/>
    <x v="1866"/>
    <s v="3Pcs သစ္ေဖာက္(ကဒ္)hole saw set"/>
    <n v="1"/>
    <n v="7500"/>
    <n v="7500"/>
    <n v="4800"/>
    <x v="1"/>
  </r>
  <r>
    <n v="1868"/>
    <x v="1867"/>
    <s v="AC ခဲေဂါက္"/>
    <n v="1"/>
    <n v="7000"/>
    <n v="7000"/>
    <n v="5000"/>
    <x v="1"/>
  </r>
  <r>
    <n v="1869"/>
    <x v="1868"/>
    <s v="1&quot; ေဆာက္ခံုး"/>
    <n v="1"/>
    <n v="4000"/>
    <n v="4000"/>
    <n v="3000"/>
    <x v="1"/>
  </r>
  <r>
    <n v="1870"/>
    <x v="1869"/>
    <s v="5 မူး ေဆာက္ခံုး"/>
    <n v="4"/>
    <n v="5000"/>
    <n v="5000"/>
    <n v="12000"/>
    <x v="1"/>
  </r>
  <r>
    <n v="1871"/>
    <x v="1870"/>
    <s v="3မတ္ ေဆာက္ခံုး"/>
    <n v="1"/>
    <n v="4000"/>
    <n v="4000"/>
    <n v="3000"/>
    <x v="1"/>
  </r>
  <r>
    <n v="1872"/>
    <x v="1871"/>
    <s v="2ေပ ခ်ိန္းေစာကာဘိုက္ဘား"/>
    <n v="2"/>
    <n v="41000"/>
    <n v="41000"/>
    <n v="73000"/>
    <x v="1"/>
  </r>
  <r>
    <n v="1873"/>
    <x v="1872"/>
    <s v="100uf ကြန္နဆာ"/>
    <n v="8"/>
    <n v="3200"/>
    <n v="3200"/>
    <n v="13600"/>
    <x v="1"/>
  </r>
  <r>
    <n v="1874"/>
    <x v="1873"/>
    <s v="200uf ကြန္နဆာ"/>
    <n v="8"/>
    <n v="3700"/>
    <n v="3700"/>
    <n v="17600"/>
    <x v="1"/>
  </r>
  <r>
    <n v="1875"/>
    <x v="1874"/>
    <s v="250uf ကြန္နဆာ"/>
    <n v="9"/>
    <n v="4200"/>
    <n v="4200"/>
    <n v="20700"/>
    <x v="1"/>
  </r>
  <r>
    <n v="1876"/>
    <x v="1875"/>
    <s v="500g  ခ်ိန္သီး"/>
    <n v="1"/>
    <n v="3000"/>
    <n v="3000"/>
    <n v="2000"/>
    <x v="1"/>
  </r>
  <r>
    <n v="1877"/>
    <x v="1876"/>
    <s v="12&quot; ေရခ်ိန္ အျဖဴ"/>
    <n v="1"/>
    <n v="4500"/>
    <n v="4500"/>
    <n v="2500"/>
    <x v="1"/>
  </r>
  <r>
    <n v="1878"/>
    <x v="1877"/>
    <s v="24&quot; ေရခ်ိန္ အျဖဴ"/>
    <n v="1"/>
    <n v="5500"/>
    <n v="5500"/>
    <n v="3000"/>
    <x v="1"/>
  </r>
  <r>
    <n v="1879"/>
    <x v="1878"/>
    <s v="6&quot; သံုးေျမွာင့္တံစဥ္း"/>
    <n v="18"/>
    <n v="3000"/>
    <n v="3000"/>
    <n v="30600"/>
    <x v="1"/>
  </r>
  <r>
    <n v="1880"/>
    <x v="1879"/>
    <s v="18&quot; ေရခ်ိန္ အျဖဴ"/>
    <n v="1"/>
    <n v="4500"/>
    <n v="4500"/>
    <n v="2800"/>
    <x v="1"/>
  </r>
  <r>
    <n v="1881"/>
    <x v="1880"/>
    <s v="25X52X10  ဝိုင္းစီး"/>
    <n v="41"/>
    <n v="800"/>
    <n v="800"/>
    <n v="24600"/>
    <x v="1"/>
  </r>
  <r>
    <n v="1882"/>
    <x v="1881"/>
    <s v="ဒရိုက္ဘာ"/>
    <n v="1"/>
    <n v="14500"/>
    <n v="14500"/>
    <n v="9500"/>
    <x v="1"/>
  </r>
  <r>
    <n v="1883"/>
    <x v="1882"/>
    <s v="ဘီးဖာစေတကာ+ ေကာ္ဗူး"/>
    <n v="8"/>
    <n v="1000"/>
    <n v="1000"/>
    <n v="6400"/>
    <x v="1"/>
  </r>
  <r>
    <n v="1884"/>
    <x v="1883"/>
    <s v="13 ေကာင္ ကာ/တာ"/>
    <n v="1"/>
    <n v="12000"/>
    <n v="12000"/>
    <n v="8000"/>
    <x v="1"/>
  </r>
  <r>
    <n v="1885"/>
    <x v="1884"/>
    <s v="တြန္ဓါး"/>
    <n v="3"/>
    <n v="2000"/>
    <n v="2000"/>
    <n v="3000"/>
    <x v="1"/>
  </r>
  <r>
    <n v="1886"/>
    <x v="1885"/>
    <s v="တြန္းဓါးအပို(1ဗူး)"/>
    <n v="3"/>
    <n v="1700"/>
    <n v="1700"/>
    <n v="2100"/>
    <x v="1"/>
  </r>
  <r>
    <n v="1887"/>
    <x v="1886"/>
    <s v="ကလပ္ကိုင္း Tri "/>
    <n v="2"/>
    <n v="4000"/>
    <n v="4000"/>
    <n v="5400"/>
    <x v="1"/>
  </r>
  <r>
    <n v="1888"/>
    <x v="1887"/>
    <s v="20-22 ဂြဂြ"/>
    <n v="1"/>
    <n v="2500"/>
    <n v="2500"/>
    <n v="1550"/>
    <x v="1"/>
  </r>
  <r>
    <n v="1889"/>
    <x v="1888"/>
    <s v="4&quot; 2 Wayဝက္အူလွည့္"/>
    <n v="5"/>
    <n v="1700"/>
    <n v="1700"/>
    <n v="6250"/>
    <x v="1"/>
  </r>
  <r>
    <n v="1890"/>
    <x v="1889"/>
    <s v="အင္ဆိုဒ္/ေအာက္ဆိုဒ္"/>
    <n v="3"/>
    <n v="3000"/>
    <n v="3000"/>
    <n v="4500"/>
    <x v="1"/>
  </r>
  <r>
    <n v="1891"/>
    <x v="1890"/>
    <s v="12&quot; G ဂိုက္"/>
    <n v="2"/>
    <n v="18500"/>
    <n v="18500"/>
    <n v="28800"/>
    <x v="1"/>
  </r>
  <r>
    <n v="1892"/>
    <x v="1891"/>
    <s v="10&quot; G ဂိုက္"/>
    <n v="2"/>
    <n v="14500"/>
    <n v="14500"/>
    <n v="21600"/>
    <x v="1"/>
  </r>
  <r>
    <n v="1893"/>
    <x v="1892"/>
    <s v="8&quot; G ဂိုက္"/>
    <n v="1"/>
    <n v="12500"/>
    <n v="12500"/>
    <n v="8280"/>
    <x v="1"/>
  </r>
  <r>
    <n v="1894"/>
    <x v="1893"/>
    <s v="6&quot; G ဂိုက္"/>
    <n v="2"/>
    <n v="10000"/>
    <n v="10000"/>
    <n v="12000"/>
    <x v="1"/>
  </r>
  <r>
    <n v="1895"/>
    <x v="1894"/>
    <s v="15&quot; စပန္နာဟန္တယ္"/>
    <n v="1"/>
    <n v="20000"/>
    <n v="20000"/>
    <n v="15000"/>
    <x v="1"/>
  </r>
  <r>
    <n v="1896"/>
    <x v="1895"/>
    <s v="6304 Japan"/>
    <n v="2"/>
    <n v="3500"/>
    <n v="3500"/>
    <n v="5750"/>
    <x v="1"/>
  </r>
  <r>
    <n v="1897"/>
    <x v="1896"/>
    <s v="6210 Japan"/>
    <n v="3"/>
    <n v="14500"/>
    <n v="14500"/>
    <n v="38250"/>
    <x v="1"/>
  </r>
  <r>
    <n v="1898"/>
    <x v="1897"/>
    <s v="8 ဂြင္းဂြ"/>
    <n v="5"/>
    <n v="1300"/>
    <n v="1300"/>
    <n v="5000"/>
    <x v="1"/>
  </r>
  <r>
    <n v="1899"/>
    <x v="1898"/>
    <s v="11 စပန္နာသီး"/>
    <n v="5"/>
    <n v="1200"/>
    <n v="1200"/>
    <n v="3750"/>
    <x v="1"/>
  </r>
  <r>
    <n v="1900"/>
    <x v="1899"/>
    <s v="22 စပန္နာသီး"/>
    <n v="1"/>
    <n v="1700"/>
    <n v="1700"/>
    <n v="1250"/>
    <x v="1"/>
  </r>
  <r>
    <n v="1901"/>
    <x v="1900"/>
    <s v="27 စပန္နာသီး"/>
    <n v="3"/>
    <n v="3000"/>
    <n v="3000"/>
    <n v="6450"/>
    <x v="1"/>
  </r>
  <r>
    <n v="1902"/>
    <x v="1901"/>
    <s v="4&quot; HV စက္တံတို"/>
    <n v="1"/>
    <n v="6000"/>
    <n v="6000"/>
    <n v="4800"/>
    <x v="1"/>
  </r>
  <r>
    <n v="1903"/>
    <x v="1902"/>
    <s v="17 စပန္နာ အရွည္"/>
    <n v="3"/>
    <n v="2600"/>
    <n v="2600"/>
    <n v="5700"/>
    <x v="1"/>
  </r>
  <r>
    <n v="1904"/>
    <x v="1903"/>
    <s v="18 စပန္နာ အရွည္"/>
    <n v="5"/>
    <n v="2800"/>
    <n v="2800"/>
    <n v="10000"/>
    <x v="1"/>
  </r>
  <r>
    <n v="1905"/>
    <x v="1904"/>
    <s v="19 စပန္နာ အရွည္"/>
    <n v="6"/>
    <n v="2800"/>
    <n v="2800"/>
    <n v="12900"/>
    <x v="1"/>
  </r>
  <r>
    <n v="1906"/>
    <x v="1905"/>
    <s v="27 စပန္နာသီး အရွည္"/>
    <n v="5"/>
    <n v="4300"/>
    <n v="4300"/>
    <n v="18000"/>
    <x v="1"/>
  </r>
  <r>
    <n v="1907"/>
    <x v="1906"/>
    <s v="24 HV စပန္နာသီး အရွည္"/>
    <n v="6"/>
    <n v="4000"/>
    <n v="4000"/>
    <n v="21000"/>
    <x v="1"/>
  </r>
  <r>
    <n v="1908"/>
    <x v="1907"/>
    <s v="32 HV စပန္နာသီး အရွည္"/>
    <n v="2"/>
    <n v="6500"/>
    <n v="6500"/>
    <n v="11600"/>
    <x v="1"/>
  </r>
  <r>
    <n v="1909"/>
    <x v="1908"/>
    <s v="ဆီျပန္ပိုက္(1 ေပ)"/>
    <n v="120"/>
    <n v="150"/>
    <n v="150"/>
    <n v="4800"/>
    <x v="1"/>
  </r>
  <r>
    <n v="1910"/>
    <x v="1909"/>
    <s v="51X3 စက္ေလွပင္နယံ"/>
    <n v="3"/>
    <n v="6500"/>
    <n v="6500"/>
    <n v="19500"/>
    <x v="1"/>
  </r>
  <r>
    <n v="1911"/>
    <x v="1910"/>
    <s v="6 1/2 2 ရြက္အထိုင္ရွပ္လြတ္"/>
    <n v="1"/>
    <n v="65000"/>
    <n v="65000"/>
    <n v="45000"/>
    <x v="1"/>
  </r>
  <r>
    <n v="1912"/>
    <x v="1911"/>
    <s v="10 Pcs စပန္နာဗူး"/>
    <n v="1"/>
    <n v="18000"/>
    <n v="18000"/>
    <n v="13500"/>
    <x v="1"/>
  </r>
  <r>
    <n v="1913"/>
    <x v="1912"/>
    <s v="8&quot; က်င္တြယ္"/>
    <n v="1"/>
    <n v="1400"/>
    <n v="1400"/>
    <n v="650"/>
    <x v="1"/>
  </r>
  <r>
    <n v="1914"/>
    <x v="1913"/>
    <s v="10&quot;က်င္တြယ္"/>
    <n v="2"/>
    <n v="1500"/>
    <n v="1500"/>
    <n v="1500"/>
    <x v="1"/>
  </r>
  <r>
    <n v="1915"/>
    <x v="1914"/>
    <s v="12&quot;က်င္တြယ္"/>
    <n v="1"/>
    <n v="2000"/>
    <n v="2000"/>
    <n v="850"/>
    <x v="1"/>
  </r>
  <r>
    <n v="1916"/>
    <x v="1915"/>
    <s v="ေရပိုက္(1 ေပ)"/>
    <n v="4"/>
    <n v="700"/>
    <n v="700"/>
    <n v="1800"/>
    <x v="1"/>
  </r>
  <r>
    <n v="1917"/>
    <x v="1916"/>
    <s v="22.40.10 ခံုျပာေပၚဝိုင္းစီး"/>
    <n v="5"/>
    <n v="800"/>
    <n v="800"/>
    <n v="2500"/>
    <x v="1"/>
  </r>
  <r>
    <n v="1918"/>
    <x v="1917"/>
    <s v="ေရေဆးပန္႔ တင္ခ်ဘား"/>
    <n v="2"/>
    <n v="5000"/>
    <n v="5000"/>
    <n v="4400"/>
    <x v="1"/>
  </r>
  <r>
    <n v="1919"/>
    <x v="1918"/>
    <s v="တူးေဘာက္(ေသး)"/>
    <n v="1"/>
    <n v="12500"/>
    <n v="12500"/>
    <n v="8500"/>
    <x v="1"/>
  </r>
  <r>
    <n v="1920"/>
    <x v="1919"/>
    <s v="110 ဇက္ပင္ ရိုးရိုး"/>
    <n v="8"/>
    <n v="4000"/>
    <n v="4000"/>
    <n v="28000"/>
    <x v="1"/>
  </r>
  <r>
    <n v="1921"/>
    <x v="1920"/>
    <s v="110 ဇက္ဘြတ္"/>
    <n v="18"/>
    <n v="1500"/>
    <n v="1500"/>
    <n v="18000"/>
    <x v="1"/>
  </r>
  <r>
    <n v="1922"/>
    <x v="1921"/>
    <s v=" 7 1/2(Tango) Engine"/>
    <n v="1"/>
    <n v="115000"/>
    <n v="115000"/>
    <n v="92000"/>
    <x v="1"/>
  </r>
  <r>
    <n v="1923"/>
    <x v="1922"/>
    <s v="5 Lကီးရွည္"/>
    <n v="3"/>
    <n v="1200"/>
    <n v="1200"/>
    <n v="1500"/>
    <x v="1"/>
  </r>
  <r>
    <n v="1924"/>
    <x v="1923"/>
    <s v="SU80 ေနာက္ျခမ္း"/>
    <n v="2"/>
    <n v="20500"/>
    <n v="20500"/>
    <n v="29000"/>
    <x v="1"/>
  </r>
  <r>
    <n v="1925"/>
    <x v="1924"/>
    <s v="12X3ရြက္ စက္ေလွပန္ကာ"/>
    <n v="3"/>
    <n v="6000"/>
    <n v="6000"/>
    <n v="11700"/>
    <x v="1"/>
  </r>
  <r>
    <n v="1926"/>
    <x v="1925"/>
    <s v="9 ေကာင္ ဘေလာက္အိုး"/>
    <n v="1"/>
    <n v="55000"/>
    <n v="55000"/>
    <n v="53000"/>
    <x v="1"/>
  </r>
  <r>
    <n v="1927"/>
    <x v="1926"/>
    <s v="ေရာင္စံုဆိုးျပား ထူ"/>
    <n v="16"/>
    <n v="1000"/>
    <n v="1000"/>
    <n v="12000"/>
    <x v="1"/>
  </r>
  <r>
    <n v="1928"/>
    <x v="1927"/>
    <s v="B75 (ယိုး)"/>
    <n v="2"/>
    <n v="3700"/>
    <n v="3700"/>
    <n v="6300"/>
    <x v="1"/>
  </r>
  <r>
    <n v="1929"/>
    <x v="1928"/>
    <s v="ေဆးျဖန္းပံုး"/>
    <n v="1"/>
    <n v="21000"/>
    <n v="21000"/>
    <n v="18000"/>
    <x v="1"/>
  </r>
  <r>
    <n v="1930"/>
    <x v="1929"/>
    <s v="ေဆးျဖန္းပံုး ေလျပြန္"/>
    <n v="2"/>
    <n v="8500"/>
    <n v="8500"/>
    <n v="7600"/>
    <x v="1"/>
  </r>
  <r>
    <n v="1931"/>
    <x v="1930"/>
    <s v="ေဆးပံုးလက္ညွစ္"/>
    <n v="2"/>
    <n v="2500"/>
    <n v="2500"/>
    <n v="2400"/>
    <x v="1"/>
  </r>
  <r>
    <n v="1932"/>
    <x v="1931"/>
    <s v="ေဆးျဖန္းပိုက္မဲ"/>
    <n v="3"/>
    <n v="2500"/>
    <n v="2500"/>
    <n v="3600"/>
    <x v="1"/>
  </r>
  <r>
    <n v="1933"/>
    <x v="1932"/>
    <s v="139 P+R (ျမက္ရိတ္စက္)"/>
    <n v="2"/>
    <n v="5000"/>
    <n v="5000"/>
    <n v="6800"/>
    <x v="1"/>
  </r>
  <r>
    <n v="1934"/>
    <x v="1933"/>
    <s v="13 ေကာင္အထိုင္ (စက္ေလွ)"/>
    <n v="1"/>
    <n v="150000"/>
    <n v="150000"/>
    <n v="130000"/>
    <x v="1"/>
  </r>
  <r>
    <n v="1935"/>
    <x v="1934"/>
    <s v="139 ဘေလာက္ (ျမက္ရိတ္)"/>
    <n v="1"/>
    <n v="32000"/>
    <n v="32000"/>
    <n v="26000"/>
    <x v="1"/>
  </r>
  <r>
    <n v="1936"/>
    <x v="1935"/>
    <s v="ခံေဆးဗူး (1/4)Red Oxide"/>
    <n v="3"/>
    <n v="6000"/>
    <n v="6000"/>
    <n v="13500"/>
    <x v="1"/>
  </r>
  <r>
    <n v="1937"/>
    <x v="1936"/>
    <s v="သုတ္ေဆးဗူး (ေသး)"/>
    <n v="5"/>
    <n v="1500"/>
    <n v="1500"/>
    <n v="6250"/>
    <x v="1"/>
  </r>
  <r>
    <n v="1938"/>
    <x v="1937"/>
    <s v="13 ေကာင္ေနာ္ဇယ္နားကပ္"/>
    <n v="39"/>
    <n v="500"/>
    <n v="500"/>
    <n v="13650"/>
    <x v="1"/>
  </r>
  <r>
    <n v="1939"/>
    <x v="1938"/>
    <s v="R180 ကရိုင္း"/>
    <n v="7"/>
    <n v="24000"/>
    <n v="24000"/>
    <n v="141400"/>
    <x v="1"/>
  </r>
  <r>
    <n v="1940"/>
    <x v="1939"/>
    <s v="ေျမမႊေခါင္း(ျမက္ရိတ္စက္)"/>
    <n v="1"/>
    <n v="55000"/>
    <n v="55000"/>
    <n v="35000"/>
    <x v="1"/>
  </r>
  <r>
    <n v="1941"/>
    <x v="1940"/>
    <s v="Hondaပူလီ2x2"/>
    <n v="4"/>
    <n v="8000"/>
    <n v="8000"/>
    <n v="17200"/>
    <x v="1"/>
  </r>
  <r>
    <n v="1942"/>
    <x v="1941"/>
    <s v="28.37.7အဝိုင္းစီး"/>
    <n v="1"/>
    <n v="900"/>
    <n v="900"/>
    <n v="450"/>
    <x v="1"/>
  </r>
  <r>
    <n v="1943"/>
    <x v="1942"/>
    <s v="7 1/2 ပလပ္စြပ္"/>
    <n v="6"/>
    <n v="1000"/>
    <n v="1000"/>
    <n v="3600"/>
    <x v="1"/>
  </r>
  <r>
    <n v="1944"/>
    <x v="1943"/>
    <s v="ေဆးျဖန္းဂန္း(ေျဖာင့္)"/>
    <n v="1"/>
    <n v="5000"/>
    <n v="5000"/>
    <n v="2330"/>
    <x v="1"/>
  </r>
  <r>
    <n v="1945"/>
    <x v="1944"/>
    <s v="ေဆးဖ်န္းဂန္း(ေကာက္)"/>
    <n v="2"/>
    <n v="5000"/>
    <n v="5000"/>
    <n v="5100"/>
    <x v="1"/>
  </r>
  <r>
    <n v="1946"/>
    <x v="1945"/>
    <s v="ေဆးဖ်န္းပန္႔ဖရိန္"/>
    <n v="1"/>
    <n v="12000"/>
    <n v="12000"/>
    <n v="7620"/>
    <x v="1"/>
  </r>
  <r>
    <n v="1947"/>
    <x v="1946"/>
    <s v="ေဆးဖ်န္းပိုက္(ေကာင္း)"/>
    <n v="1"/>
    <n v="10000"/>
    <n v="10000"/>
    <n v="6200"/>
    <x v="1"/>
  </r>
  <r>
    <n v="1948"/>
    <x v="1947"/>
    <s v="ကြန္နဆာ 5uf"/>
    <n v="5"/>
    <n v="1800"/>
    <n v="1800"/>
    <n v="4500"/>
    <x v="1"/>
  </r>
  <r>
    <n v="1949"/>
    <x v="1948"/>
    <s v="ကြန္နဆာ 6uf"/>
    <n v="2"/>
    <n v="2500"/>
    <n v="2500"/>
    <n v="2600"/>
    <x v="1"/>
  </r>
  <r>
    <n v="1950"/>
    <x v="1949"/>
    <s v="4ငုတ္ဒိုင္အုပ္"/>
    <n v="8"/>
    <n v="1500"/>
    <n v="1500"/>
    <n v="7600"/>
    <x v="1"/>
  </r>
  <r>
    <n v="1951"/>
    <x v="1950"/>
    <s v="လီဗာၾကိဳး(ျမက္ရိတ္စက္)"/>
    <n v="5"/>
    <n v="1500"/>
    <n v="1500"/>
    <n v="4750"/>
    <x v="1"/>
  </r>
  <r>
    <n v="1952"/>
    <x v="1951"/>
    <s v="ခ်ိန္းေစာ(လွ်ပ္စစ္)"/>
    <n v="1"/>
    <n v="75000"/>
    <n v="75000"/>
    <n v="55000"/>
    <x v="1"/>
  </r>
  <r>
    <n v="1953"/>
    <x v="1952"/>
    <s v="9ေကာင္ ေလကာဘာ"/>
    <n v="1"/>
    <n v="7500"/>
    <n v="7500"/>
    <n v="4400"/>
    <x v="1"/>
  </r>
  <r>
    <n v="1954"/>
    <x v="1953"/>
    <s v="6 1/2 ဟက္နတ္"/>
    <n v="1"/>
    <n v="250"/>
    <n v="250"/>
    <n v="160"/>
    <x v="1"/>
  </r>
  <r>
    <n v="1955"/>
    <x v="1954"/>
    <s v="18ဟက္နတ္"/>
    <n v="4"/>
    <n v="500"/>
    <n v="500"/>
    <n v="1400"/>
    <x v="1"/>
  </r>
  <r>
    <n v="1956"/>
    <x v="1955"/>
    <s v="12V DC/AC ကားေဆးပန္႔"/>
    <n v="1"/>
    <n v="45000"/>
    <n v="45000"/>
    <n v="32000"/>
    <x v="1"/>
  </r>
  <r>
    <n v="1957"/>
    <x v="1956"/>
    <s v="(Hot Air Gun)ေလပူဂန္း"/>
    <n v="1"/>
    <n v="30000"/>
    <n v="30000"/>
    <n v="13400"/>
    <x v="1"/>
  </r>
  <r>
    <n v="1958"/>
    <x v="1957"/>
    <s v="8လက္မ ပီနံပိုက္(1)ေပ"/>
    <n v="120"/>
    <n v="380"/>
    <n v="380"/>
    <n v="39240"/>
    <x v="1"/>
  </r>
  <r>
    <n v="1959"/>
    <x v="1958"/>
    <s v="ကလပ္ခြက္ (အစံု)"/>
    <n v="5"/>
    <n v="6500"/>
    <n v="6500"/>
    <n v="25000"/>
    <x v="1"/>
  </r>
  <r>
    <n v="1960"/>
    <x v="1959"/>
    <s v="139 ဆြဲအံု (ပံုသစ္)"/>
    <n v="3"/>
    <n v="5000"/>
    <n v="5000"/>
    <n v="10500"/>
    <x v="1"/>
  </r>
  <r>
    <n v="1961"/>
    <x v="1960"/>
    <s v="139 ကရိုင္း"/>
    <n v="1"/>
    <n v="17000"/>
    <n v="17000"/>
    <n v="14350"/>
    <x v="1"/>
  </r>
  <r>
    <n v="1962"/>
    <x v="1961"/>
    <s v="ေလးဘြတ္"/>
    <n v="10"/>
    <n v="1000"/>
    <n v="1000"/>
    <n v="6000"/>
    <x v="1"/>
  </r>
  <r>
    <n v="1963"/>
    <x v="1962"/>
    <s v="Jet pump Dayuan(370W)5မူး"/>
    <n v="3"/>
    <n v="105000"/>
    <n v="105000"/>
    <n v="255543"/>
    <x v="1"/>
  </r>
  <r>
    <n v="1964"/>
    <x v="1963"/>
    <s v="Jet pump(1hp)Dayuan"/>
    <n v="2"/>
    <n v="132000"/>
    <n v="132000"/>
    <n v="226800"/>
    <x v="1"/>
  </r>
  <r>
    <n v="1965"/>
    <x v="1964"/>
    <s v="370(16/13ေကာင္)ဆီတိုင္ကီ"/>
    <n v="2"/>
    <n v="16000"/>
    <n v="16000"/>
    <n v="26000"/>
    <x v="1"/>
  </r>
  <r>
    <n v="1966"/>
    <x v="1965"/>
    <s v="500x12 ေဂြ (Double)"/>
    <n v="1"/>
    <n v="32000"/>
    <n v="32000"/>
    <n v="23000"/>
    <x v="1"/>
  </r>
  <r>
    <n v="1967"/>
    <x v="1966"/>
    <s v="ပုဇြန္ထုပ္ေကြး (သံကၽြတ္)"/>
    <n v="1"/>
    <n v="36000"/>
    <n v="36000"/>
    <n v="22000"/>
    <x v="1"/>
  </r>
  <r>
    <n v="1968"/>
    <x v="1967"/>
    <s v="ေထြလာပင္ ဂြင္းပါ"/>
    <n v="5"/>
    <n v="2500"/>
    <n v="2500"/>
    <n v="9000"/>
    <x v="1"/>
  </r>
  <r>
    <n v="1969"/>
    <x v="1968"/>
    <s v="6မူး 2ေပါက္ျပား အမဲ"/>
    <n v="2"/>
    <n v="2000"/>
    <n v="2000"/>
    <n v="2400"/>
    <x v="1"/>
  </r>
  <r>
    <n v="1970"/>
    <x v="1969"/>
    <s v="ေလး 5ေပါက္သံျပား"/>
    <n v="8"/>
    <n v="5000"/>
    <n v="5000"/>
    <n v="28800"/>
    <x v="1"/>
  </r>
  <r>
    <n v="1971"/>
    <x v="1970"/>
    <s v="6မူး Uဘိုး 10&quot;"/>
    <n v="10"/>
    <n v="3500"/>
    <n v="3500"/>
    <n v="29000"/>
    <x v="1"/>
  </r>
  <r>
    <n v="1972"/>
    <x v="1971"/>
    <s v="6မူး Uဘိုး 8&quot;"/>
    <n v="12"/>
    <n v="4000"/>
    <n v="4000"/>
    <n v="30600"/>
    <x v="1"/>
  </r>
  <r>
    <n v="1973"/>
    <x v="1972"/>
    <s v="25ေကာင္ ဂတ္စကတ္(S1115)"/>
    <n v="4"/>
    <n v="2000"/>
    <n v="2000"/>
    <n v="6000"/>
    <x v="1"/>
  </r>
  <r>
    <n v="1974"/>
    <x v="1973"/>
    <s v="DF သဲကာ"/>
    <n v="1"/>
    <n v="4500"/>
    <n v="4500"/>
    <n v="3500"/>
    <x v="1"/>
  </r>
  <r>
    <n v="1975"/>
    <x v="1974"/>
    <s v="စီလီကြန္ (အၾကည္)"/>
    <n v="2"/>
    <n v="3000"/>
    <n v="3000"/>
    <n v="4800"/>
    <x v="1"/>
  </r>
  <r>
    <n v="1976"/>
    <x v="1975"/>
    <s v="DC Taster"/>
    <n v="2"/>
    <n v="5000"/>
    <n v="5000"/>
    <n v="7000"/>
    <x v="1"/>
  </r>
  <r>
    <n v="1977"/>
    <x v="1976"/>
    <s v="ေလးပင္"/>
    <n v="5"/>
    <n v="3500"/>
    <n v="3500"/>
    <n v="11500"/>
    <x v="1"/>
  </r>
  <r>
    <n v="1978"/>
    <x v="1977"/>
    <s v="24V DC ပန္႔ကာ"/>
    <n v="2"/>
    <n v="11000"/>
    <n v="11000"/>
    <n v="16000"/>
    <x v="1"/>
  </r>
  <r>
    <n v="1979"/>
    <x v="1978"/>
    <s v="Auto ပန္႕ကတ္ေတာက္"/>
    <n v="9"/>
    <n v="7000"/>
    <n v="7000"/>
    <n v="45000"/>
    <x v="1"/>
  </r>
  <r>
    <n v="1980"/>
    <x v="1979"/>
    <s v="UPG (မဲ)"/>
    <n v="1"/>
    <n v="8500"/>
    <n v="8500"/>
    <n v="7300"/>
    <x v="1"/>
  </r>
  <r>
    <n v="1981"/>
    <x v="1980"/>
    <s v="35ေကာင္ ဘယ္ရင္"/>
    <n v="2"/>
    <n v="5000"/>
    <n v="5000"/>
    <n v="7200"/>
    <x v="1"/>
  </r>
  <r>
    <n v="1982"/>
    <x v="1981"/>
    <s v="DC ကားေလထိုးစက္"/>
    <n v="1"/>
    <n v="80000"/>
    <n v="80000"/>
    <n v="65000"/>
    <x v="1"/>
  </r>
  <r>
    <n v="1983"/>
    <x v="1982"/>
    <s v="12V မီးလံုးစံု"/>
    <n v="3"/>
    <n v="7500"/>
    <n v="7500"/>
    <n v="14250"/>
    <x v="1"/>
  </r>
  <r>
    <n v="1984"/>
    <x v="1983"/>
    <s v="ဝရိန္ပံုအဖိုေခါင္းႀကီး"/>
    <n v="1"/>
    <n v="6000"/>
    <n v="6000"/>
    <n v="4300"/>
    <x v="1"/>
  </r>
  <r>
    <n v="1985"/>
    <x v="1984"/>
    <s v="အင္ဂ်င္ဝိုင္(Trane)15W(40 6L)"/>
    <n v="5"/>
    <n v="38000"/>
    <n v="38000"/>
    <n v="177500"/>
    <x v="1"/>
  </r>
  <r>
    <n v="1986"/>
    <x v="1985"/>
    <s v="ပါဝါဆီ(ေပပါဆီ)(2ဂါလံ)"/>
    <n v="1"/>
    <n v="32000"/>
    <n v="32000"/>
    <n v="26500"/>
    <x v="1"/>
  </r>
  <r>
    <n v="1987"/>
    <x v="1986"/>
    <s v="2T(Trane) (0.5L)"/>
    <n v="9"/>
    <n v="4000"/>
    <n v="4000"/>
    <n v="32400"/>
    <x v="1"/>
  </r>
  <r>
    <n v="1988"/>
    <x v="1987"/>
    <s v="လႊဝိုင္းေသး (6မ်ိဳး)"/>
    <n v="1"/>
    <n v="7000"/>
    <n v="7000"/>
    <n v="5000"/>
    <x v="1"/>
  </r>
  <r>
    <n v="1989"/>
    <x v="1988"/>
    <s v="ဘရိတ္ဆီ"/>
    <n v="1"/>
    <n v="500"/>
    <n v="500"/>
    <n v="400"/>
    <x v="1"/>
  </r>
  <r>
    <n v="1990"/>
    <x v="1989"/>
    <s v="ဘတၳရီဂန္း (12V)"/>
    <n v="1"/>
    <n v="60000"/>
    <n v="60000"/>
    <n v="49783"/>
    <x v="1"/>
  </r>
  <r>
    <n v="1991"/>
    <x v="1990"/>
    <s v="8.0 စူးသြား"/>
    <n v="9"/>
    <n v="3000"/>
    <n v="3000"/>
    <n v="18000"/>
    <x v="1"/>
  </r>
  <r>
    <n v="1992"/>
    <x v="1991"/>
    <s v="MMA 300ဝရိန္ပံုး"/>
    <n v="1"/>
    <n v="300000"/>
    <n v="300000"/>
    <n v="275000"/>
    <x v="1"/>
  </r>
  <r>
    <n v="1993"/>
    <x v="1992"/>
    <s v="3 1/2 မီးကိြဳင္"/>
    <n v="3"/>
    <n v="5000"/>
    <n v="5000"/>
    <n v="7950"/>
    <x v="1"/>
  </r>
  <r>
    <n v="1994"/>
    <x v="1993"/>
    <s v="12&quot; ဓါးေစာင္း(မဲ)"/>
    <n v="1"/>
    <n v="3500"/>
    <n v="3500"/>
    <n v="2500"/>
    <x v="1"/>
  </r>
  <r>
    <n v="1995"/>
    <x v="1994"/>
    <s v="6 1/2 ဂတ္စကတ္"/>
    <n v="10"/>
    <n v="600"/>
    <n v="600"/>
    <n v="3500"/>
    <x v="1"/>
  </r>
  <r>
    <n v="1996"/>
    <x v="1995"/>
    <s v="ဖလိုင္းဝွီး"/>
    <n v="1"/>
    <n v="32000"/>
    <n v="32000"/>
    <n v="28000"/>
    <x v="1"/>
  </r>
  <r>
    <n v="1997"/>
    <x v="1996"/>
    <s v="GX220/KAWA220 သံပတ္"/>
    <n v="10"/>
    <n v="1000"/>
    <n v="1000"/>
    <n v="7000"/>
    <x v="1"/>
  </r>
  <r>
    <n v="1998"/>
    <x v="1997"/>
    <s v="6&quot;နန္းေသး ဝက္အူလွည့္(CH)"/>
    <n v="11"/>
    <n v="1000"/>
    <n v="1000"/>
    <n v="6050"/>
    <x v="1"/>
  </r>
  <r>
    <n v="1999"/>
    <x v="1998"/>
    <s v="သံေၾကးခၽြတ္ေဆး (ၾကီး)"/>
    <n v="4"/>
    <n v="5500"/>
    <n v="5500"/>
    <n v="17600"/>
    <x v="1"/>
  </r>
  <r>
    <n v="2000"/>
    <x v="1999"/>
    <s v="အင္ဂ်င္ဝိုင္(Trane)20/50 Gold(1L)"/>
    <n v="4"/>
    <n v="8000"/>
    <n v="8000"/>
    <n v="22000"/>
    <x v="1"/>
  </r>
  <r>
    <n v="2001"/>
    <x v="2000"/>
    <s v="အင္ဂ်င္ဝိုင္(Trane)15W40 (1L)"/>
    <n v="3"/>
    <n v="8000"/>
    <n v="8000"/>
    <n v="17850"/>
    <x v="1"/>
  </r>
  <r>
    <n v="2002"/>
    <x v="2001"/>
    <s v="3K ဖိုင္ဗာကြင္း"/>
    <n v="2"/>
    <n v="7000"/>
    <n v="7000"/>
    <n v="10000"/>
    <x v="1"/>
  </r>
  <r>
    <n v="2003"/>
    <x v="2002"/>
    <s v="3မတ္ ၾကိဳးပိုက္"/>
    <n v="2"/>
    <n v="22000"/>
    <n v="22000"/>
    <n v="37000"/>
    <x v="1"/>
  </r>
  <r>
    <n v="2004"/>
    <x v="2003"/>
    <s v="5မူး ေရျမွဳပ္ပန္႔ သေရကြင္း"/>
    <n v="10"/>
    <n v="450"/>
    <n v="450"/>
    <n v="2200"/>
    <x v="1"/>
  </r>
  <r>
    <n v="2005"/>
    <x v="2004"/>
    <s v="ေလေခါင္း(ေသး)"/>
    <n v="3"/>
    <n v="1500"/>
    <n v="1500"/>
    <n v="2100"/>
    <x v="1"/>
  </r>
  <r>
    <n v="2006"/>
    <x v="2005"/>
    <s v="3K ကာဗြန္အျပား (1စံု)"/>
    <n v="5"/>
    <n v="2000"/>
    <n v="2000"/>
    <n v="5000"/>
    <x v="1"/>
  </r>
  <r>
    <n v="2007"/>
    <x v="2006"/>
    <s v="6900 DD"/>
    <n v="10"/>
    <n v="1700"/>
    <n v="1700"/>
    <n v="12500"/>
    <x v="1"/>
  </r>
  <r>
    <n v="2008"/>
    <x v="2007"/>
    <s v="မ.ထ အင္ဂ်င္ထိုင္ "/>
    <n v="1"/>
    <n v="5000"/>
    <n v="5000"/>
    <n v="3500"/>
    <x v="1"/>
  </r>
  <r>
    <n v="2009"/>
    <x v="2008"/>
    <s v="ဒိုင္နမို အထိုင္ရွည္"/>
    <n v="1"/>
    <n v="5000"/>
    <n v="5000"/>
    <n v="3500"/>
    <x v="1"/>
  </r>
  <r>
    <n v="2010"/>
    <x v="2009"/>
    <s v="Su 50ေရတံခါးစံု"/>
    <n v="11"/>
    <n v="3000"/>
    <n v="3000"/>
    <n v="23650"/>
    <x v="1"/>
  </r>
  <r>
    <n v="2011"/>
    <x v="2010"/>
    <s v="6လက္မ သံျဖတ္လႊကိုင္းကဒ္"/>
    <n v="8"/>
    <n v="1500"/>
    <n v="1500"/>
    <n v="8000"/>
    <x v="1"/>
  </r>
  <r>
    <n v="2012"/>
    <x v="2011"/>
    <s v="4PCS ခ်က္ေခါင္းကီး"/>
    <n v="1"/>
    <n v="3500"/>
    <n v="3500"/>
    <n v="2600"/>
    <x v="1"/>
  </r>
  <r>
    <n v="2013"/>
    <x v="2012"/>
    <s v="စကူဂန္းခ်က္ေခါင္း"/>
    <n v="1"/>
    <n v="3500"/>
    <n v="3500"/>
    <n v="2640"/>
    <x v="1"/>
  </r>
  <r>
    <n v="2014"/>
    <x v="2013"/>
    <s v="4လက္မ(လည္ေခ်ာင္းပိုက္မာ)"/>
    <n v="20"/>
    <n v="4500"/>
    <n v="4500"/>
    <n v="83000"/>
    <x v="1"/>
  </r>
  <r>
    <n v="2015"/>
    <x v="2014"/>
    <s v="ကားေရေဆးေခါင္း"/>
    <n v="10"/>
    <n v="2000"/>
    <n v="2000"/>
    <n v="13000"/>
    <x v="1"/>
  </r>
  <r>
    <n v="2016"/>
    <x v="2015"/>
    <s v=" ေဆးျဖန္းပံုး(စက္)battery"/>
    <n v="1"/>
    <n v="57000"/>
    <n v="57000"/>
    <n v="49500"/>
    <x v="1"/>
  </r>
  <r>
    <n v="2017"/>
    <x v="2016"/>
    <s v="13ေကာင္ အဝိုင္းစီး"/>
    <n v="8"/>
    <n v="500"/>
    <n v="500"/>
    <n v="2800"/>
    <x v="1"/>
  </r>
  <r>
    <n v="2018"/>
    <x v="2017"/>
    <s v="9ေကာင္ အဝိုင္းစီး"/>
    <n v="10"/>
    <n v="500"/>
    <n v="500"/>
    <n v="3000"/>
    <x v="1"/>
  </r>
  <r>
    <n v="2019"/>
    <x v="2018"/>
    <s v="16ေကာင္ P+R (STD)"/>
    <n v="2"/>
    <n v="10000"/>
    <n v="10000"/>
    <n v="16400"/>
    <x v="1"/>
  </r>
  <r>
    <n v="2020"/>
    <x v="2019"/>
    <s v="12PCS ဂြင္းဂြကဒ္(ၾကီး)"/>
    <n v="1"/>
    <n v="28000"/>
    <n v="28000"/>
    <n v="22000"/>
    <x v="1"/>
  </r>
  <r>
    <n v="2021"/>
    <x v="2020"/>
    <s v="ဂီယာဝိုင္ (1Li)"/>
    <n v="63"/>
    <n v="2500"/>
    <n v="2500"/>
    <n v="148050"/>
    <x v="1"/>
  </r>
  <r>
    <n v="2022"/>
    <x v="2021"/>
    <s v="SU80 ေရအုပ္"/>
    <n v="2"/>
    <n v="12000"/>
    <n v="12000"/>
    <n v="17600"/>
    <x v="1"/>
  </r>
  <r>
    <n v="2023"/>
    <x v="2022"/>
    <s v="16 လိုင္နာ"/>
    <n v="3"/>
    <n v="6000"/>
    <n v="6000"/>
    <n v="12000"/>
    <x v="1"/>
  </r>
  <r>
    <n v="2024"/>
    <x v="2023"/>
    <s v="ကားေရေဆးလက္ညွစ္ Gun"/>
    <n v="1"/>
    <n v="5000"/>
    <n v="5000"/>
    <n v="4500"/>
    <x v="1"/>
  </r>
  <r>
    <n v="2025"/>
    <x v="2024"/>
    <s v="ဆီစုတ္ပန္႕(ၾကီး)"/>
    <n v="1"/>
    <n v="55000"/>
    <n v="55000"/>
    <n v="42000"/>
    <x v="1"/>
  </r>
  <r>
    <n v="2026"/>
    <x v="2025"/>
    <s v="အင္ဂ်င္ဝိုင္ (Falcon) 20/50 (1l)"/>
    <n v="13"/>
    <n v="7700"/>
    <n v="7700"/>
    <n v="93600"/>
    <x v="1"/>
  </r>
  <r>
    <n v="2027"/>
    <x v="2026"/>
    <s v="ပါဝါဆီ (Trane) 32 (1l)"/>
    <n v="5"/>
    <n v="5500"/>
    <n v="5500"/>
    <n v="22500"/>
    <x v="1"/>
  </r>
  <r>
    <n v="2028"/>
    <x v="2027"/>
    <s v="အင္ဂ်င္ဝိုင္ (Trane)40 (1l)"/>
    <n v="3"/>
    <n v="6500"/>
    <n v="6500"/>
    <n v="15150"/>
    <x v="1"/>
  </r>
  <r>
    <n v="2029"/>
    <x v="2028"/>
    <s v="ဘာဂ်ာဂ်ိဳင့္"/>
    <n v="3"/>
    <n v="12000"/>
    <n v="12000"/>
    <n v="20100"/>
    <x v="1"/>
  </r>
  <r>
    <n v="2030"/>
    <x v="2029"/>
    <s v="10လက္မ လႊဝိုင္း(ျမက္ျဖတ္)"/>
    <n v="2"/>
    <n v="5200"/>
    <n v="5200"/>
    <n v="8000"/>
    <x v="1"/>
  </r>
  <r>
    <n v="2031"/>
    <x v="2030"/>
    <s v="Kawa220 ဖလိုင္းဝွီး"/>
    <n v="2"/>
    <n v="14000"/>
    <n v="14000"/>
    <n v="18000"/>
    <x v="1"/>
  </r>
  <r>
    <n v="2032"/>
    <x v="2031"/>
    <s v="SU80 အိုးခြံ"/>
    <n v="2"/>
    <n v="23500"/>
    <n v="23500"/>
    <n v="37600"/>
    <x v="1"/>
  </r>
  <r>
    <n v="2033"/>
    <x v="2032"/>
    <s v="6303 DD(J)"/>
    <n v="15"/>
    <n v="4000"/>
    <n v="4000"/>
    <n v="54750"/>
    <x v="1"/>
  </r>
  <r>
    <n v="2034"/>
    <x v="2033"/>
    <s v="2T (1 Li)"/>
    <n v="1"/>
    <n v="5500"/>
    <n v="5500"/>
    <n v="4500"/>
    <x v="1"/>
  </r>
  <r>
    <n v="2035"/>
    <x v="2034"/>
    <s v="8&quot; ဂြရွင္ နီကယ္"/>
    <n v="1"/>
    <n v="4000"/>
    <n v="4000"/>
    <n v="2850"/>
    <x v="1"/>
  </r>
  <r>
    <n v="2036"/>
    <x v="2035"/>
    <s v="55.75.8/12 အဝိုင္းစီး"/>
    <n v="11"/>
    <n v="800"/>
    <n v="800"/>
    <n v="6325"/>
    <x v="1"/>
  </r>
  <r>
    <n v="2037"/>
    <x v="2036"/>
    <s v="ဆီဖစ္တာခ်ိန္း"/>
    <n v="1"/>
    <n v="5000"/>
    <n v="5000"/>
    <n v="3900"/>
    <x v="1"/>
  </r>
  <r>
    <n v="2038"/>
    <x v="2037"/>
    <s v="1.5စူးသြား(ေကာင္း)"/>
    <n v="6"/>
    <n v="2000"/>
    <n v="2000"/>
    <n v="9000"/>
    <x v="1"/>
  </r>
  <r>
    <n v="2039"/>
    <x v="2038"/>
    <s v="4&quot;ေက်ာက္စက္(BS-100)"/>
    <n v="1"/>
    <n v="40000"/>
    <n v="40000"/>
    <n v="31000"/>
    <x v="1"/>
  </r>
  <r>
    <n v="2040"/>
    <x v="2039"/>
    <s v="ပုလင္းေက်ာက္စက္(ေသးေကာ္)"/>
    <n v="1"/>
    <n v="48000"/>
    <n v="48000"/>
    <n v="42000"/>
    <x v="1"/>
  </r>
  <r>
    <n v="2041"/>
    <x v="2040"/>
    <s v="SB58 ခ်ိန္း"/>
    <n v="1"/>
    <n v="17500"/>
    <n v="17500"/>
    <n v="15660"/>
    <x v="1"/>
  </r>
  <r>
    <n v="2042"/>
    <x v="2041"/>
    <s v="ေလထိုးတံ ပိုက္+ေခါင္း"/>
    <n v="2"/>
    <n v="1200"/>
    <n v="1200"/>
    <n v="1500"/>
    <x v="1"/>
  </r>
  <r>
    <n v="2043"/>
    <x v="2042"/>
    <s v="12ရက္ခ်က္ဂြ"/>
    <n v="2"/>
    <n v="6500"/>
    <n v="6500"/>
    <n v="11000"/>
    <x v="1"/>
  </r>
  <r>
    <n v="2044"/>
    <x v="2043"/>
    <s v="50 UF"/>
    <n v="2"/>
    <n v="3500"/>
    <n v="3500"/>
    <n v="5800"/>
    <x v="1"/>
  </r>
  <r>
    <n v="2045"/>
    <x v="2044"/>
    <s v="G x 35 ပလပ္"/>
    <n v="1"/>
    <n v="1000"/>
    <n v="1000"/>
    <n v="550"/>
    <x v="1"/>
  </r>
  <r>
    <n v="2046"/>
    <x v="2045"/>
    <s v="နွစ္ဆင့္ခလုပ္"/>
    <n v="3"/>
    <n v="4000"/>
    <n v="4000"/>
    <n v="8400"/>
    <x v="1"/>
  </r>
  <r>
    <n v="2047"/>
    <x v="2046"/>
    <s v="4ဆ ေသာ့အံု"/>
    <n v="2"/>
    <n v="6000"/>
    <n v="6000"/>
    <n v="9000"/>
    <x v="1"/>
  </r>
  <r>
    <n v="2048"/>
    <x v="2047"/>
    <s v="Blower ကြိဳင္"/>
    <n v="2"/>
    <n v="5500"/>
    <n v="5500"/>
    <n v="7000"/>
    <x v="1"/>
  </r>
  <r>
    <n v="2049"/>
    <x v="2048"/>
    <s v="Blower ကာပရိုက္တာ"/>
    <n v="3"/>
    <n v="9000"/>
    <n v="9000"/>
    <n v="21000"/>
    <x v="1"/>
  </r>
  <r>
    <n v="2050"/>
    <x v="2049"/>
    <s v="6 1/2 အိတ္ေဇာနတ္"/>
    <n v="15"/>
    <n v="300"/>
    <n v="300"/>
    <n v="1500"/>
    <x v="1"/>
  </r>
  <r>
    <n v="2051"/>
    <x v="2050"/>
    <s v="2ေပ ခ်ိန္းေစာပါကင္(5800)"/>
    <n v="11"/>
    <n v="2000"/>
    <n v="2000"/>
    <n v="13200"/>
    <x v="1"/>
  </r>
  <r>
    <n v="2052"/>
    <x v="2051"/>
    <s v="6009DD"/>
    <n v="2"/>
    <n v="3000"/>
    <n v="3000"/>
    <n v="5100"/>
    <x v="1"/>
  </r>
  <r>
    <n v="2053"/>
    <x v="2052"/>
    <s v="တိတ္(ေသး)"/>
    <n v="1"/>
    <n v="1500"/>
    <n v="1500"/>
    <n v="1200"/>
    <x v="1"/>
  </r>
  <r>
    <n v="2054"/>
    <x v="2053"/>
    <s v="တိတ္(ၾကီး)"/>
    <n v="4"/>
    <n v="4500"/>
    <n v="4500"/>
    <n v="14000"/>
    <x v="1"/>
  </r>
  <r>
    <n v="2055"/>
    <x v="2054"/>
    <s v="7 1/2×2 ရြက္ပန္ကာ"/>
    <n v="3"/>
    <n v="2200"/>
    <n v="2200"/>
    <n v="4200"/>
    <x v="1"/>
  </r>
  <r>
    <n v="2056"/>
    <x v="2055"/>
    <s v="ဂီယာဝိုင္(Trane)90(1L)"/>
    <n v="3"/>
    <n v="6500"/>
    <n v="6500"/>
    <n v="15000"/>
    <x v="1"/>
  </r>
  <r>
    <n v="2057"/>
    <x v="2056"/>
    <s v="ဘတၳရီ Charger(6-12v/Auto)"/>
    <n v="2"/>
    <n v="25000"/>
    <n v="25000"/>
    <n v="33000"/>
    <x v="1"/>
  </r>
  <r>
    <n v="2058"/>
    <x v="2057"/>
    <s v="ဘတၳရီ Charger(7-12v/Auto)"/>
    <n v="1"/>
    <n v="12500"/>
    <n v="12500"/>
    <n v="9000"/>
    <x v="1"/>
  </r>
  <r>
    <n v="2059"/>
    <x v="2058"/>
    <s v="5/8 စကူဂန္း(BOSHENG)(ေဖာက္စက္အေသး)"/>
    <n v="1"/>
    <n v="28000"/>
    <n v="28000"/>
    <n v="23000"/>
    <x v="1"/>
  </r>
  <r>
    <n v="2060"/>
    <x v="2059"/>
    <s v="139 ကာ/တာ (ျမက္ရိတ္)"/>
    <n v="6"/>
    <n v="10000"/>
    <n v="10000"/>
    <n v="45000"/>
    <x v="1"/>
  </r>
  <r>
    <n v="2061"/>
    <x v="2060"/>
    <s v="13ေကာင္ ဆီတိုင္ကီ KAWA"/>
    <n v="3"/>
    <n v="19000"/>
    <n v="19000"/>
    <n v="42000"/>
    <x v="1"/>
  </r>
  <r>
    <n v="2062"/>
    <x v="2061"/>
    <s v="သံေၾကးခၽြတ္ေဆး (လတ္)"/>
    <n v="2"/>
    <n v="4300"/>
    <n v="4300"/>
    <n v="6700"/>
    <x v="1"/>
  </r>
  <r>
    <n v="2063"/>
    <x v="2062"/>
    <s v="9 Pcs Lကီး SET"/>
    <n v="2"/>
    <n v="4500"/>
    <n v="4500"/>
    <n v="5400"/>
    <x v="1"/>
  </r>
  <r>
    <n v="2064"/>
    <x v="2063"/>
    <s v="6 1/2 ေျပာင္းေျဖာင့္"/>
    <n v="1"/>
    <n v="2500"/>
    <n v="2500"/>
    <n v="1800"/>
    <x v="1"/>
  </r>
  <r>
    <n v="2065"/>
    <x v="2064"/>
    <s v="30.40.7ဝိုက္စီး"/>
    <n v="20"/>
    <n v="600"/>
    <n v="600"/>
    <n v="8000"/>
    <x v="1"/>
  </r>
  <r>
    <n v="2066"/>
    <x v="2065"/>
    <s v="ဘရိတ္ဆီ (Trane)(0.5 L)"/>
    <n v="6"/>
    <n v="6000"/>
    <n v="6000"/>
    <n v="34500"/>
    <x v="1"/>
  </r>
  <r>
    <n v="2067"/>
    <x v="2066"/>
    <s v="35 ရိန္း"/>
    <n v="20"/>
    <n v="2000"/>
    <n v="2000"/>
    <n v="26000"/>
    <x v="1"/>
  </r>
  <r>
    <n v="2068"/>
    <x v="2067"/>
    <s v="Jet pump (1.5 hp)"/>
    <n v="1"/>
    <n v="135000"/>
    <n v="135000"/>
    <n v="110000"/>
    <x v="1"/>
  </r>
  <r>
    <n v="2069"/>
    <x v="2068"/>
    <s v="32.50.8"/>
    <n v="19"/>
    <n v="600"/>
    <n v="600"/>
    <n v="7600"/>
    <x v="1"/>
  </r>
  <r>
    <n v="2070"/>
    <x v="2069"/>
    <s v="ကားေရေဆးပိုက္"/>
    <n v="1"/>
    <n v="50000"/>
    <n v="50000"/>
    <n v="45000"/>
    <x v="1"/>
  </r>
  <r>
    <n v="2071"/>
    <x v="2070"/>
    <s v="ကစလပန္႔ 5×2"/>
    <n v="2"/>
    <n v="10000"/>
    <n v="10000"/>
    <n v="18000"/>
    <x v="1"/>
  </r>
  <r>
    <n v="2072"/>
    <x v="2071"/>
    <s v="ဓါးေခါင္း (26)"/>
    <n v="2"/>
    <n v="9500"/>
    <n v="9500"/>
    <n v="15000"/>
    <x v="1"/>
  </r>
  <r>
    <n v="2073"/>
    <x v="2072"/>
    <s v="6 1/2 ေကာ္ဘီးဝိုင္း"/>
    <n v="2"/>
    <n v="1500"/>
    <n v="1500"/>
    <n v="1600"/>
    <x v="1"/>
  </r>
  <r>
    <n v="2074"/>
    <x v="2073"/>
    <s v="30206ေဘာ"/>
    <n v="11"/>
    <n v="3500"/>
    <n v="3500"/>
    <n v="30250"/>
    <x v="1"/>
  </r>
  <r>
    <n v="2075"/>
    <x v="2074"/>
    <s v="အင္ဂ်င္ထိုင္ ဖရိန္"/>
    <n v="2"/>
    <n v="17000"/>
    <n v="17000"/>
    <n v="22000"/>
    <x v="1"/>
  </r>
  <r>
    <n v="2076"/>
    <x v="2075"/>
    <s v="12&quot; ဟက္ဒရမ္ 7×8"/>
    <n v="1"/>
    <n v="45000"/>
    <n v="45000"/>
    <n v="33000"/>
    <x v="1"/>
  </r>
  <r>
    <n v="2077"/>
    <x v="2076"/>
    <s v="မီးသတ္ေနာ္ဇယ္ 3လက္မ"/>
    <n v="1"/>
    <n v="20000"/>
    <n v="20000"/>
    <n v="16500"/>
    <x v="1"/>
  </r>
  <r>
    <n v="2078"/>
    <x v="2077"/>
    <s v="ေမာ္တာ(1/4)အုန္းျခစ္"/>
    <n v="1"/>
    <n v="42000"/>
    <n v="42000"/>
    <n v="35000"/>
    <x v="1"/>
  </r>
  <r>
    <n v="2079"/>
    <x v="2078"/>
    <s v="အုန္းျခစ္ဆူးလံုး"/>
    <n v="2"/>
    <n v="10000"/>
    <n v="10000"/>
    <n v="16000"/>
    <x v="1"/>
  </r>
  <r>
    <n v="2080"/>
    <x v="2079"/>
    <s v="မီးစက္တြဲ ဆီေကာ့"/>
    <n v="8"/>
    <n v="1000"/>
    <n v="1000"/>
    <n v="6400"/>
    <x v="1"/>
  </r>
  <r>
    <n v="2081"/>
    <x v="2080"/>
    <s v="ေလပစ္ဂန္း နွစ္ဖက္ညွပ္"/>
    <n v="1"/>
    <n v="11000"/>
    <n v="11000"/>
    <n v="8500"/>
    <x v="1"/>
  </r>
  <r>
    <n v="2082"/>
    <x v="2081"/>
    <s v="ေလဗစ္ဆံ 4.4(ယိုး)"/>
    <n v="1"/>
    <n v="6500"/>
    <n v="6500"/>
    <n v="5000"/>
    <x v="1"/>
  </r>
  <r>
    <n v="2083"/>
    <x v="2082"/>
    <s v="ကက္ေတာက္ 12V"/>
    <n v="5"/>
    <n v="3000"/>
    <n v="3000"/>
    <n v="9000"/>
    <x v="1"/>
  </r>
  <r>
    <n v="2084"/>
    <x v="2083"/>
    <s v="DF ေဂြစြပ္(R)Type42"/>
    <n v="1"/>
    <n v="5500"/>
    <n v="5500"/>
    <n v="3000"/>
    <x v="1"/>
  </r>
  <r>
    <n v="2085"/>
    <x v="2084"/>
    <s v="မီးေဆာ့ကဒ္ ေၾကြ"/>
    <n v="4"/>
    <n v="1500"/>
    <n v="1500"/>
    <n v="3200"/>
    <x v="1"/>
  </r>
  <r>
    <n v="2086"/>
    <x v="2085"/>
    <s v="စပိုက္တာေဘာဖံုး(ေပါက္ပါ)"/>
    <n v="4"/>
    <n v="9000"/>
    <n v="9000"/>
    <n v="20000"/>
    <x v="1"/>
  </r>
  <r>
    <n v="2087"/>
    <x v="2086"/>
    <s v="H ကေတာ့ (ရိုးရိုး)"/>
    <n v="9"/>
    <n v="3700"/>
    <n v="3700"/>
    <n v="22500"/>
    <x v="1"/>
  </r>
  <r>
    <n v="2088"/>
    <x v="2087"/>
    <s v="Kawa 7 1/2 ပင္စတင္+ရိန္း STD"/>
    <n v="5"/>
    <n v="8000"/>
    <n v="8000"/>
    <n v="30000"/>
    <x v="1"/>
  </r>
  <r>
    <n v="2089"/>
    <x v="2088"/>
    <s v="3ေပခြဲ ခ်ိန္းေစာ မီးကြိဳင္စံု"/>
    <n v="3"/>
    <n v="19000"/>
    <n v="19000"/>
    <n v="48000"/>
    <x v="1"/>
  </r>
  <r>
    <n v="2090"/>
    <x v="2089"/>
    <s v="3ေပခြဲ ခ်ိန္းေစာ ရိန္း"/>
    <n v="2"/>
    <n v="2500"/>
    <n v="2500"/>
    <n v="3600"/>
    <x v="1"/>
  </r>
  <r>
    <n v="2091"/>
    <x v="2090"/>
    <s v="30207ေဘာ"/>
    <n v="2"/>
    <n v="4500"/>
    <n v="4500"/>
    <n v="6900"/>
    <x v="1"/>
  </r>
  <r>
    <n v="2092"/>
    <x v="2091"/>
    <s v="30208ေဘာ"/>
    <n v="2"/>
    <n v="5000"/>
    <n v="5000"/>
    <n v="7500"/>
    <x v="1"/>
  </r>
  <r>
    <n v="2093"/>
    <x v="2092"/>
    <s v="30209ေဘာ"/>
    <n v="2"/>
    <n v="6000"/>
    <n v="6000"/>
    <n v="9500"/>
    <x v="1"/>
  </r>
  <r>
    <n v="2094"/>
    <x v="2093"/>
    <s v="6202DD"/>
    <n v="5"/>
    <n v="1300"/>
    <n v="1300"/>
    <n v="3750"/>
    <x v="1"/>
  </r>
  <r>
    <n v="2095"/>
    <x v="2094"/>
    <s v="12&quot; ဟက္ဒရမ္ 8×9"/>
    <n v="1"/>
    <n v="45000"/>
    <n v="45000"/>
    <n v="34000"/>
    <x v="1"/>
  </r>
  <r>
    <n v="2096"/>
    <x v="2095"/>
    <s v="4လက္မ(ကစလ)ပန္႔အင္ပါယ္လာ(4)"/>
    <n v="1"/>
    <n v="16000"/>
    <n v="16000"/>
    <n v="13000"/>
    <x v="1"/>
  </r>
  <r>
    <n v="2097"/>
    <x v="2096"/>
    <s v="CF R180 Engine"/>
    <n v="2"/>
    <n v="440000"/>
    <n v="440000"/>
    <n v="790000"/>
    <x v="1"/>
  </r>
  <r>
    <n v="2098"/>
    <x v="2097"/>
    <s v="တိုင္ပင္ႀကိဳး (35)"/>
    <n v="1"/>
    <n v="4000"/>
    <n v="4000"/>
    <n v="3000"/>
    <x v="1"/>
  </r>
  <r>
    <n v="2099"/>
    <x v="2098"/>
    <s v="3ေပခြဲ ခ်ိန္းေစာပါကင္စံု"/>
    <n v="5"/>
    <n v="1500"/>
    <n v="1500"/>
    <n v="4250"/>
    <x v="1"/>
  </r>
  <r>
    <n v="2100"/>
    <x v="2099"/>
    <s v="BLower ပလပ္"/>
    <n v="21"/>
    <n v="3000"/>
    <n v="3000"/>
    <n v="52500"/>
    <x v="1"/>
  </r>
  <r>
    <n v="2101"/>
    <x v="2100"/>
    <s v="2ေပ ခ်ိန္းေစာကရိုင္း"/>
    <n v="2"/>
    <n v="23000"/>
    <n v="23000"/>
    <n v="36000"/>
    <x v="1"/>
  </r>
  <r>
    <n v="2102"/>
    <x v="2101"/>
    <s v="3 ေပခ်ိန္းေစာကရိုင္း"/>
    <n v="1"/>
    <n v="20000"/>
    <n v="20000"/>
    <n v="15500"/>
    <x v="1"/>
  </r>
  <r>
    <n v="2103"/>
    <x v="2102"/>
    <s v="3ေပခြဲ ခ်ိန္းေစာကရိုင္း"/>
    <n v="1"/>
    <n v="24000"/>
    <n v="24000"/>
    <n v="19000"/>
    <x v="1"/>
  </r>
  <r>
    <n v="2104"/>
    <x v="2103"/>
    <s v="5/8 ခ်က္ေခါင္း"/>
    <n v="1"/>
    <n v="13000"/>
    <n v="13000"/>
    <n v="10000"/>
    <x v="1"/>
  </r>
  <r>
    <n v="2105"/>
    <x v="2104"/>
    <s v="3&quot; ပိုက္ဆက္"/>
    <n v="2"/>
    <n v="2200"/>
    <n v="2200"/>
    <n v="3300"/>
    <x v="1"/>
  </r>
  <r>
    <n v="2106"/>
    <x v="2105"/>
    <s v="2&quot; ပိုက္ဆက္"/>
    <n v="3"/>
    <n v="1500"/>
    <n v="1500"/>
    <n v="2550"/>
    <x v="1"/>
  </r>
  <r>
    <n v="2107"/>
    <x v="2106"/>
    <s v="4&quot; ပိုက္ဆက္"/>
    <n v="1"/>
    <n v="3000"/>
    <n v="3000"/>
    <n v="2550"/>
    <x v="1"/>
  </r>
  <r>
    <n v="2108"/>
    <x v="2107"/>
    <s v="ကက္ေတာက္ 24V"/>
    <n v="2"/>
    <n v="3000"/>
    <n v="3000"/>
    <n v="3600"/>
    <x v="1"/>
  </r>
  <r>
    <n v="2109"/>
    <x v="2108"/>
    <s v="ဆီလံုဝါရွာ 5မူး1ပဲ"/>
    <n v="95"/>
    <n v="100"/>
    <n v="100"/>
    <n v="4750"/>
    <x v="1"/>
  </r>
  <r>
    <n v="2110"/>
    <x v="2109"/>
    <s v="ဆီလံုဝါရွာ 6မူး"/>
    <n v="95"/>
    <n v="100"/>
    <n v="100"/>
    <n v="4275"/>
    <x v="1"/>
  </r>
  <r>
    <n v="2111"/>
    <x v="2110"/>
    <s v="3ေပခြဲခ်ိန္း စလစ္စံု"/>
    <n v="1"/>
    <n v="35000"/>
    <n v="35000"/>
    <n v="30000"/>
    <x v="1"/>
  </r>
  <r>
    <n v="2112"/>
    <x v="2111"/>
    <s v="4&quot;ေက်ာက္စက္ (BODA)G-21"/>
    <n v="2"/>
    <n v="50000"/>
    <n v="50000"/>
    <n v="72000"/>
    <x v="1"/>
  </r>
  <r>
    <n v="2113"/>
    <x v="2112"/>
    <s v="UPC 211ေဘာ"/>
    <n v="2"/>
    <n v="22000"/>
    <n v="22000"/>
    <n v="29600"/>
    <x v="1"/>
  </r>
  <r>
    <n v="2114"/>
    <x v="2113"/>
    <s v="22ေကာင္ 7×4လိုင္းပူလီ"/>
    <n v="1"/>
    <n v="24000"/>
    <n v="24000"/>
    <n v="18500"/>
    <x v="1"/>
  </r>
  <r>
    <n v="2115"/>
    <x v="2114"/>
    <s v="6 1/2 ေကာ္နတင္း နတ္"/>
    <n v="10"/>
    <n v="500"/>
    <n v="500"/>
    <n v="3000"/>
    <x v="1"/>
  </r>
  <r>
    <n v="2116"/>
    <x v="2115"/>
    <s v="Hydrometer"/>
    <n v="1"/>
    <n v="3500"/>
    <n v="3500"/>
    <n v="2000"/>
    <x v="1"/>
  </r>
  <r>
    <n v="2117"/>
    <x v="2116"/>
    <s v="ခ်ိန္းေစာ ေစာင္းဘြတ္"/>
    <n v="4"/>
    <n v="1500"/>
    <n v="1500"/>
    <n v="5200"/>
    <x v="1"/>
  </r>
  <r>
    <n v="2118"/>
    <x v="2117"/>
    <s v="2ေပ ခ်ိန္းေစာဆြဲအံု(ထူ)"/>
    <n v="1"/>
    <n v="11500"/>
    <n v="11500"/>
    <n v="7500"/>
    <x v="1"/>
  </r>
  <r>
    <n v="2119"/>
    <x v="2118"/>
    <s v="2ေပ ခ်ိန္းေစာဆြဲအံု(စိမ္း)"/>
    <n v="2"/>
    <n v="12000"/>
    <n v="12000"/>
    <n v="18000"/>
    <x v="1"/>
  </r>
  <r>
    <n v="2120"/>
    <x v="2119"/>
    <s v="2ေပ ခ်ိန္းေစာပစၥတင္(5800)"/>
    <n v="6"/>
    <n v="6000"/>
    <n v="6000"/>
    <n v="24000"/>
    <x v="1"/>
  </r>
  <r>
    <n v="2121"/>
    <x v="2120"/>
    <s v="1&quot; ပိုက္ဆက္"/>
    <n v="4"/>
    <n v="1000"/>
    <n v="1000"/>
    <n v="1600"/>
    <x v="1"/>
  </r>
  <r>
    <n v="2122"/>
    <x v="2121"/>
    <s v="စတီးဝရိန္ေခ်ာင္း(10)"/>
    <n v="47"/>
    <n v="500"/>
    <n v="500"/>
    <n v="13160"/>
    <x v="1"/>
  </r>
  <r>
    <n v="2123"/>
    <x v="2122"/>
    <s v="10သစ္သားေဖာက္လြန္"/>
    <n v="1"/>
    <n v="4000"/>
    <n v="4000"/>
    <n v="2500"/>
    <x v="1"/>
  </r>
  <r>
    <n v="2124"/>
    <x v="2123"/>
    <s v="12သစ္သားေဖာက္လြန္"/>
    <n v="1"/>
    <n v="4000"/>
    <n v="4000"/>
    <n v="2500"/>
    <x v="1"/>
  </r>
  <r>
    <n v="2125"/>
    <x v="2124"/>
    <s v="Su 50/80ပန္႔ အဝိုင္းစီးရွည္"/>
    <n v="5"/>
    <n v="2500"/>
    <n v="2500"/>
    <n v="9750"/>
    <x v="1"/>
  </r>
  <r>
    <n v="2126"/>
    <x v="2125"/>
    <s v="ၾကိဳးထိုးသြား 5011"/>
    <n v="1"/>
    <n v="8700"/>
    <n v="8700"/>
    <n v="6800"/>
    <x v="1"/>
  </r>
  <r>
    <n v="2127"/>
    <x v="2126"/>
    <s v="ေလပိုက္အဝါ1(ေပ)"/>
    <n v="12"/>
    <n v="600"/>
    <n v="600"/>
    <n v="3600"/>
    <x v="1"/>
  </r>
  <r>
    <n v="2128"/>
    <x v="2127"/>
    <s v="2အဝင္ 2အထြက္ေဆာ့ကဒ္"/>
    <n v="7"/>
    <n v="2000"/>
    <n v="2000"/>
    <n v="8400"/>
    <x v="1"/>
  </r>
  <r>
    <n v="2129"/>
    <x v="2128"/>
    <s v="2လက္မကပ္ပန္႔ သေရကြင္း"/>
    <n v="6"/>
    <n v="1500"/>
    <n v="1500"/>
    <n v="7200"/>
    <x v="1"/>
  </r>
  <r>
    <n v="2130"/>
    <x v="2129"/>
    <s v="SU 80ေရတံခါးဝါရွာစံု"/>
    <n v="10"/>
    <n v="3200"/>
    <n v="3200"/>
    <n v="23500"/>
    <x v="1"/>
  </r>
  <r>
    <n v="2131"/>
    <x v="2130"/>
    <s v="Double Tape 5မူး"/>
    <n v="3"/>
    <n v="1500"/>
    <n v="1500"/>
    <n v="2400"/>
    <x v="1"/>
  </r>
  <r>
    <n v="2132"/>
    <x v="2131"/>
    <s v="ဝက္အူလွည့္ 6&quot;(Haiboshi)"/>
    <n v="2"/>
    <n v="2500"/>
    <n v="2500"/>
    <n v="4000"/>
    <x v="1"/>
  </r>
  <r>
    <n v="2133"/>
    <x v="2132"/>
    <s v="ဝက္အူလွည့္ 8&quot; (Haiboshi)"/>
    <n v="3"/>
    <n v="3000"/>
    <n v="3000"/>
    <n v="7500"/>
    <x v="1"/>
  </r>
  <r>
    <n v="2134"/>
    <x v="2133"/>
    <s v="3ေပခြဲ ခ်ိန္းေစာစေပါ့ကဒ္ကြင္း"/>
    <n v="3"/>
    <n v="3000"/>
    <n v="3000"/>
    <n v="6900"/>
    <x v="1"/>
  </r>
  <r>
    <n v="2135"/>
    <x v="2134"/>
    <s v="35.62.12 အဝိုင္းစီး "/>
    <n v="12"/>
    <n v="500"/>
    <n v="500"/>
    <n v="3600"/>
    <x v="1"/>
  </r>
  <r>
    <n v="2136"/>
    <x v="2135"/>
    <s v="2ေပ ခ်ိန္းေကာင္း(5800)"/>
    <n v="3"/>
    <n v="31000"/>
    <n v="31000"/>
    <n v="79500"/>
    <x v="1"/>
  </r>
  <r>
    <n v="2137"/>
    <x v="2136"/>
    <s v="2ေပ ခ်ိန္းေစာခ်ိန္းဆက္"/>
    <n v="16"/>
    <n v="500"/>
    <n v="500"/>
    <n v="4800"/>
    <x v="1"/>
  </r>
  <r>
    <n v="2138"/>
    <x v="2137"/>
    <s v="6 1/2 ဂါဗနာသံျပား"/>
    <n v="2"/>
    <n v="1000"/>
    <n v="1000"/>
    <n v="1000"/>
    <x v="1"/>
  </r>
  <r>
    <n v="2139"/>
    <x v="2138"/>
    <s v="2ေပ ခ်ိန္းေစာရာဘာစံုထုပ္"/>
    <n v="3"/>
    <n v="10000"/>
    <n v="10000"/>
    <n v="17400"/>
    <x v="1"/>
  </r>
  <r>
    <n v="2140"/>
    <x v="2139"/>
    <s v="3ေပခြဲ ခ်ိန္းေစာကရိုင္းေဘာ"/>
    <n v="10"/>
    <n v="1500"/>
    <n v="1500"/>
    <n v="8000"/>
    <x v="1"/>
  </r>
  <r>
    <n v="2141"/>
    <x v="2140"/>
    <s v="အမိုးကိုင္းဘက္မွန္(ၾကီး)"/>
    <n v="5"/>
    <n v="8000"/>
    <n v="8000"/>
    <n v="18750"/>
    <x v="1"/>
  </r>
  <r>
    <n v="2142"/>
    <x v="2141"/>
    <s v="9ေကာင္ လီဘာကိုင္း(KW270)"/>
    <n v="4"/>
    <n v="7000"/>
    <n v="7000"/>
    <n v="19200"/>
    <x v="1"/>
  </r>
  <r>
    <n v="2143"/>
    <x v="2142"/>
    <s v="20.40.10 အဝိုင္းစီး "/>
    <n v="39"/>
    <n v="700"/>
    <n v="700"/>
    <n v="15600"/>
    <x v="1"/>
  </r>
  <r>
    <n v="2144"/>
    <x v="2143"/>
    <s v="အမိုးကိုင္း ဘက္မွန္(ေသး)"/>
    <n v="3"/>
    <n v="3500"/>
    <n v="3500"/>
    <n v="7200"/>
    <x v="1"/>
  </r>
  <r>
    <n v="2145"/>
    <x v="2144"/>
    <s v="L32 ဘယ္ရင္"/>
    <n v="3"/>
    <n v="1800"/>
    <n v="1800"/>
    <n v="3750"/>
    <x v="1"/>
  </r>
  <r>
    <n v="2146"/>
    <x v="2145"/>
    <s v="5ေပါက္ ေနာ္ဇယ္"/>
    <n v="2"/>
    <n v="7000"/>
    <n v="7000"/>
    <n v="7000"/>
    <x v="1"/>
  </r>
  <r>
    <n v="2147"/>
    <x v="2146"/>
    <s v="အရစ္တိုင္းဂိတ္"/>
    <n v="1"/>
    <n v="6000"/>
    <n v="6000"/>
    <n v="4500"/>
    <x v="1"/>
  </r>
  <r>
    <n v="2148"/>
    <x v="2147"/>
    <s v="L32 ကစ္ဆက္"/>
    <n v="1"/>
    <n v="70000"/>
    <n v="70000"/>
    <n v="60000"/>
    <x v="1"/>
  </r>
  <r>
    <n v="2149"/>
    <x v="2148"/>
    <s v="L32 ရိန္း"/>
    <n v="4"/>
    <n v="7000"/>
    <n v="7000"/>
    <n v="19000"/>
    <x v="1"/>
  </r>
  <r>
    <n v="2150"/>
    <x v="2149"/>
    <s v="L32 ဂါဂ်ီပင္ဘြတ္"/>
    <n v="3"/>
    <n v="3500"/>
    <n v="3500"/>
    <n v="5865"/>
    <x v="1"/>
  </r>
  <r>
    <n v="2151"/>
    <x v="2150"/>
    <s v="25ေကာင္ ဂါဂ်ီပင္ဘြတ္(JD)"/>
    <n v="2"/>
    <n v="3000"/>
    <n v="3000"/>
    <n v="4400"/>
    <x v="1"/>
  </r>
  <r>
    <n v="2152"/>
    <x v="2151"/>
    <s v="L32 ပါကင္စံု"/>
    <n v="2"/>
    <n v="2500"/>
    <n v="2500"/>
    <n v="3600"/>
    <x v="1"/>
  </r>
  <r>
    <n v="2153"/>
    <x v="2152"/>
    <s v="35.55.10/7 အဝိုင္းစီး "/>
    <n v="19"/>
    <n v="700"/>
    <n v="700"/>
    <n v="8550"/>
    <x v="1"/>
  </r>
  <r>
    <n v="2154"/>
    <x v="2153"/>
    <s v="L32 ပစၥတင္(JW)"/>
    <n v="2"/>
    <n v="22000"/>
    <n v="22000"/>
    <n v="36600"/>
    <x v="1"/>
  </r>
  <r>
    <n v="2155"/>
    <x v="2154"/>
    <s v="L32 ဂါဂ်ီပင္(JW)"/>
    <n v="3"/>
    <n v="4500"/>
    <n v="4500"/>
    <n v="9600"/>
    <x v="1"/>
  </r>
  <r>
    <n v="2156"/>
    <x v="2155"/>
    <s v="3ေပခြဲ ပစၥတင္"/>
    <n v="2"/>
    <n v="7000"/>
    <n v="7000"/>
    <n v="10000"/>
    <x v="1"/>
  </r>
  <r>
    <n v="2157"/>
    <x v="2156"/>
    <s v="3ေပ ကာပရိုက္တာ"/>
    <n v="2"/>
    <n v="18500"/>
    <n v="18500"/>
    <n v="27000"/>
    <x v="1"/>
  </r>
  <r>
    <n v="2158"/>
    <x v="2157"/>
    <s v="3ေပခြဲ စလစ္"/>
    <n v="1"/>
    <n v="30000"/>
    <n v="30000"/>
    <n v="22000"/>
    <x v="1"/>
  </r>
  <r>
    <n v="2159"/>
    <x v="2158"/>
    <s v="3ေပခြဲ ခ်ိန္း(ဂ်ာမနီ)"/>
    <n v="1"/>
    <n v="40000"/>
    <n v="40000"/>
    <n v="35000"/>
    <x v="1"/>
  </r>
  <r>
    <n v="2160"/>
    <x v="2159"/>
    <s v="3ေပခြဲ ဆြဲအံု(Hundai)"/>
    <n v="1"/>
    <n v="15000"/>
    <n v="15000"/>
    <n v="11000"/>
    <x v="1"/>
  </r>
  <r>
    <n v="2161"/>
    <x v="2160"/>
    <s v="60.90.10 အဝိုင္းစီး "/>
    <n v="8"/>
    <n v="1200"/>
    <n v="1200"/>
    <n v="7200"/>
    <x v="1"/>
  </r>
  <r>
    <n v="2162"/>
    <x v="2161"/>
    <s v="3ေပခြဲ ဘား"/>
    <n v="1"/>
    <n v="125000"/>
    <n v="125000"/>
    <n v="45000"/>
    <x v="1"/>
  </r>
  <r>
    <n v="2163"/>
    <x v="2162"/>
    <s v="20UF ကြန္နဆာ(4ငုတ္)"/>
    <n v="1"/>
    <n v="3000"/>
    <n v="3000"/>
    <n v="2100"/>
    <x v="1"/>
  </r>
  <r>
    <n v="2164"/>
    <x v="2163"/>
    <s v="16UF ကြန္နဆာ(4ငုတ္)"/>
    <n v="2"/>
    <n v="2500"/>
    <n v="2500"/>
    <n v="3500"/>
    <x v="1"/>
  </r>
  <r>
    <n v="2165"/>
    <x v="2164"/>
    <s v="10UF ကြန္နဆာ(4ငုတ္)"/>
    <n v="2"/>
    <n v="2000"/>
    <n v="2000"/>
    <n v="2600"/>
    <x v="1"/>
  </r>
  <r>
    <n v="2166"/>
    <x v="2165"/>
    <s v="3ေပခြဲ သံပတ္အံု"/>
    <n v="2"/>
    <n v="3500"/>
    <n v="3500"/>
    <n v="4400"/>
    <x v="1"/>
  </r>
  <r>
    <n v="2167"/>
    <x v="2166"/>
    <s v="3ေပ ခ်ိန္းေစာစေပါ့ကဒ္(51)"/>
    <n v="5"/>
    <n v="5000"/>
    <n v="5000"/>
    <n v="15000"/>
    <x v="1"/>
  </r>
  <r>
    <n v="2168"/>
    <x v="2167"/>
    <s v="3ေပခြဲ ခ်ိန္းေစာလီဘာကိုင္း"/>
    <n v="1"/>
    <n v="7500"/>
    <n v="7500"/>
    <n v="5000"/>
    <x v="1"/>
  </r>
  <r>
    <n v="2169"/>
    <x v="2168"/>
    <s v="22ေကာင္ ေဘာထိန္းသံျပားဝိုင္း"/>
    <n v="2"/>
    <n v="1000"/>
    <n v="1000"/>
    <n v="1100"/>
    <x v="1"/>
  </r>
  <r>
    <n v="2170"/>
    <x v="2169"/>
    <s v="22ေကာင္ ေဘာၾကားခံဝါရွာက်ဥ္း"/>
    <n v="2"/>
    <n v="700"/>
    <n v="700"/>
    <n v="700"/>
    <x v="1"/>
  </r>
  <r>
    <n v="2171"/>
    <x v="2170"/>
    <s v="35.60.12 အဝိုင္းစီး "/>
    <n v="90"/>
    <n v="700"/>
    <n v="700"/>
    <n v="40500"/>
    <x v="1"/>
  </r>
  <r>
    <n v="2172"/>
    <x v="2171"/>
    <s v="22ေကာင္ ေဘာၾကားခံဝါရွာက်ယ္"/>
    <n v="2"/>
    <n v="700"/>
    <n v="700"/>
    <n v="700"/>
    <x v="1"/>
  </r>
  <r>
    <n v="2173"/>
    <x v="2172"/>
    <s v="6p ဟက္ဒြမ္ေဘာဖံုး"/>
    <n v="2"/>
    <n v="2000"/>
    <n v="2000"/>
    <n v="2600"/>
    <x v="1"/>
  </r>
  <r>
    <n v="2174"/>
    <x v="2173"/>
    <s v="ေဖာက္စက္ခလုပ္(ဘယ္၊ညာ)"/>
    <n v="5"/>
    <n v="5000"/>
    <n v="5000"/>
    <n v="15000"/>
    <x v="1"/>
  </r>
  <r>
    <n v="2175"/>
    <x v="2174"/>
    <s v="L32 ဂတ္စကတ္(CC)"/>
    <n v="2"/>
    <n v="2000"/>
    <n v="2000"/>
    <n v="2600"/>
    <x v="1"/>
  </r>
  <r>
    <n v="2176"/>
    <x v="2175"/>
    <s v="Blowerပါကင္စံု"/>
    <n v="11"/>
    <n v="1200"/>
    <n v="1200"/>
    <n v="4950"/>
    <x v="1"/>
  </r>
  <r>
    <n v="2177"/>
    <x v="2176"/>
    <s v="30စပန္နာသီး(အရွည္)"/>
    <n v="2"/>
    <n v="8000"/>
    <n v="8000"/>
    <n v="14400"/>
    <x v="1"/>
  </r>
  <r>
    <n v="2178"/>
    <x v="2177"/>
    <s v="3KW ဒိုင္အုပ္ၾကီး"/>
    <n v="3"/>
    <n v="16000"/>
    <n v="16000"/>
    <n v="36000"/>
    <x v="1"/>
  </r>
  <r>
    <n v="2179"/>
    <x v="2178"/>
    <s v="22 ေကာင္စပန္နာ"/>
    <n v="3"/>
    <n v="6000"/>
    <n v="6000"/>
    <n v="12600"/>
    <x v="1"/>
  </r>
  <r>
    <n v="2180"/>
    <x v="2179"/>
    <s v="35.62.10 အဝိုင္းစီး "/>
    <n v="7"/>
    <n v="1000"/>
    <n v="1000"/>
    <n v="4200"/>
    <x v="1"/>
  </r>
  <r>
    <n v="2181"/>
    <x v="2180"/>
    <s v="2ေပ ခ်ိန္းေစာ(Forpark)(5800)"/>
    <n v="1"/>
    <n v="155000"/>
    <n v="155000"/>
    <n v="130000"/>
    <x v="1"/>
  </r>
  <r>
    <n v="2182"/>
    <x v="2181"/>
    <s v="2ေပ ခ်ိန္းေစာစလစ္စံု"/>
    <n v="1"/>
    <n v="15000"/>
    <n v="15000"/>
    <n v="11000"/>
    <x v="1"/>
  </r>
  <r>
    <n v="2183"/>
    <x v="2182"/>
    <s v="2ေပခ်ိန္းေစာ ရိုက္ဘားနတ္"/>
    <n v="4"/>
    <n v="2000"/>
    <n v="2000"/>
    <n v="4800"/>
    <x v="1"/>
  </r>
  <r>
    <n v="2184"/>
    <x v="2183"/>
    <s v="9ေကာင္ဆီေဒါက္(KW270)"/>
    <n v="2"/>
    <n v="6500"/>
    <n v="6500"/>
    <n v="10600"/>
    <x v="1"/>
  </r>
  <r>
    <n v="2185"/>
    <x v="2184"/>
    <s v="16ေကာင္ဆီတိုင္ကီေထာက္(တြင္း+ျပင္)(KW420)"/>
    <n v="2"/>
    <n v="7700"/>
    <n v="7700"/>
    <n v="11400"/>
    <x v="1"/>
  </r>
  <r>
    <n v="2186"/>
    <x v="2185"/>
    <s v="ေက်ာက္စက္ခလုပ္"/>
    <n v="3"/>
    <n v="2800"/>
    <n v="2800"/>
    <n v="4500"/>
    <x v="1"/>
  </r>
  <r>
    <n v="2187"/>
    <x v="2186"/>
    <s v="ျဖတ္စက္ခလုပ္"/>
    <n v="2"/>
    <n v="2500"/>
    <n v="2500"/>
    <n v="2600"/>
    <x v="1"/>
  </r>
  <r>
    <n v="2188"/>
    <x v="2187"/>
    <s v="400စကၠဴေကာ္ပတ္"/>
    <n v="44"/>
    <n v="300"/>
    <n v="300"/>
    <n v="8800"/>
    <x v="1"/>
  </r>
  <r>
    <n v="2189"/>
    <x v="2188"/>
    <s v="1 Lb ထိပ္လံုးတူ"/>
    <n v="1"/>
    <n v="5500"/>
    <n v="5500"/>
    <n v="3500"/>
    <x v="1"/>
  </r>
  <r>
    <n v="2190"/>
    <x v="2189"/>
    <s v="1 1/2  Lbတူ"/>
    <n v="2"/>
    <n v="6000"/>
    <n v="6000"/>
    <n v="8000"/>
    <x v="1"/>
  </r>
  <r>
    <n v="2191"/>
    <x v="2190"/>
    <s v="45.62.12 မိန္းအဝိုင္းစီး "/>
    <n v="30"/>
    <n v="500"/>
    <n v="500"/>
    <n v="5340"/>
    <x v="1"/>
  </r>
  <r>
    <n v="2192"/>
    <x v="2191"/>
    <s v="30.52.10 အဝိုင္းစီး "/>
    <n v="10"/>
    <n v="700"/>
    <n v="700"/>
    <n v="3500"/>
    <x v="1"/>
  </r>
  <r>
    <n v="2193"/>
    <x v="2192"/>
    <s v="ေဖာက္စက္ခလုပ္ျဖဴ"/>
    <n v="3"/>
    <n v="1500"/>
    <n v="1500"/>
    <n v="3000"/>
    <x v="1"/>
  </r>
  <r>
    <n v="2194"/>
    <x v="2193"/>
    <s v="20 စပန္နာသီး"/>
    <n v="3"/>
    <n v="2200"/>
    <n v="2200"/>
    <n v="4500"/>
    <x v="1"/>
  </r>
  <r>
    <n v="2195"/>
    <x v="2194"/>
    <s v="25 စပန္နာသီး"/>
    <n v="2"/>
    <n v="2200"/>
    <n v="2200"/>
    <n v="3000"/>
    <x v="1"/>
  </r>
  <r>
    <n v="2196"/>
    <x v="2195"/>
    <s v="26 စပန္နာသီး"/>
    <n v="2"/>
    <n v="3500"/>
    <n v="3500"/>
    <n v="5400"/>
    <x v="1"/>
  </r>
  <r>
    <n v="2197"/>
    <x v="2196"/>
    <s v="27 စပန္နာသီး"/>
    <n v="2"/>
    <n v="4000"/>
    <n v="4000"/>
    <n v="5600"/>
    <x v="1"/>
  </r>
  <r>
    <n v="2198"/>
    <x v="2197"/>
    <s v="63/29 DD"/>
    <n v="5"/>
    <n v="9000"/>
    <n v="9000"/>
    <n v="37500"/>
    <x v="1"/>
  </r>
  <r>
    <n v="2199"/>
    <x v="2198"/>
    <s v="ေကာ္ပတ္စက္ပူလီၾကိဳး(BODA)"/>
    <n v="1"/>
    <n v="4500"/>
    <n v="4500"/>
    <n v="3000"/>
    <x v="1"/>
  </r>
  <r>
    <n v="2200"/>
    <x v="2199"/>
    <s v="42.55.7"/>
    <n v="15"/>
    <n v="800"/>
    <n v="800"/>
    <n v="9000"/>
    <x v="1"/>
  </r>
  <r>
    <n v="2201"/>
    <x v="2200"/>
    <s v="3ေပခ်ိန္းေစာ ပါကင္စံု"/>
    <n v="8"/>
    <n v="1800"/>
    <n v="1800"/>
    <n v="10000"/>
    <x v="1"/>
  </r>
  <r>
    <n v="2202"/>
    <x v="2201"/>
    <s v="2ေပ ခ်ိန္းေစာဖလိုင္းဝွီး"/>
    <n v="2"/>
    <n v="8000"/>
    <n v="8000"/>
    <n v="12000"/>
    <x v="1"/>
  </r>
  <r>
    <n v="2203"/>
    <x v="2202"/>
    <s v="3ေပခ်ိန္းေစာ ပစၥတင္(50)"/>
    <n v="2"/>
    <n v="5000"/>
    <n v="5000"/>
    <n v="6000"/>
    <x v="1"/>
  </r>
  <r>
    <n v="2204"/>
    <x v="2203"/>
    <s v="24လက္မ ပိုက္ကိုက္"/>
    <n v="1"/>
    <n v="21500"/>
    <n v="21500"/>
    <n v="16500"/>
    <x v="1"/>
  </r>
  <r>
    <n v="2205"/>
    <x v="2204"/>
    <s v="ကြန္ပရဆာ ေခါင္း Y"/>
    <n v="2"/>
    <n v="2500"/>
    <n v="2500"/>
    <n v="2300"/>
    <x v="1"/>
  </r>
  <r>
    <n v="2206"/>
    <x v="2205"/>
    <s v="ကြန္ပရဆာ ေခါင္း  L"/>
    <n v="2"/>
    <n v="2000"/>
    <n v="2000"/>
    <n v="1700"/>
    <x v="1"/>
  </r>
  <r>
    <n v="2207"/>
    <x v="2206"/>
    <s v="ကြန္ပရဆာ ေခါင္း T_x000d__x000a_"/>
    <n v="2"/>
    <n v="2000"/>
    <n v="2000"/>
    <n v="2300"/>
    <x v="1"/>
  </r>
  <r>
    <n v="2208"/>
    <x v="2207"/>
    <s v="ေရေဆးစက္ အဝင္ေခါင္း"/>
    <n v="2"/>
    <n v="2500"/>
    <n v="2500"/>
    <n v="2600"/>
    <x v="1"/>
  </r>
  <r>
    <n v="2209"/>
    <x v="2208"/>
    <s v="Blower 34 စလစ္"/>
    <n v="2"/>
    <n v="18000"/>
    <n v="18000"/>
    <n v="26000"/>
    <x v="1"/>
  </r>
  <r>
    <n v="2210"/>
    <x v="2209"/>
    <s v="Blower 34 ပင္စတင္+ရိန္း"/>
    <n v="1"/>
    <n v="7500"/>
    <n v="7500"/>
    <n v="5000"/>
    <x v="1"/>
  </r>
  <r>
    <n v="2211"/>
    <x v="2210"/>
    <s v="ကြန္ပရဆာ 2065"/>
    <n v="1"/>
    <n v="140000"/>
    <n v="140000"/>
    <n v="106000"/>
    <x v="1"/>
  </r>
  <r>
    <n v="2212"/>
    <x v="2211"/>
    <s v="ကားေပၚလစ္ ( Rubbing )"/>
    <n v="1"/>
    <n v="9000"/>
    <n v="9000"/>
    <n v="6800"/>
    <x v="1"/>
  </r>
  <r>
    <n v="2213"/>
    <x v="2212"/>
    <s v="ေကာ္ပတ္ No.800"/>
    <n v="1"/>
    <n v="700"/>
    <n v="700"/>
    <n v="500"/>
    <x v="1"/>
  </r>
  <r>
    <n v="2214"/>
    <x v="2213"/>
    <s v="6 1/2 ကင္းရွပ္"/>
    <n v="2"/>
    <n v="10000"/>
    <n v="10000"/>
    <n v="14000"/>
    <x v="1"/>
  </r>
  <r>
    <n v="2215"/>
    <x v="2214"/>
    <s v="ပုလင္းေက်ာက္စက္(ေသး)"/>
    <n v="1"/>
    <n v="32000"/>
    <n v="32000"/>
    <n v="26000"/>
    <x v="1"/>
  </r>
  <r>
    <n v="2216"/>
    <x v="2215"/>
    <s v="ေပၚလစ္တိုက္ ဘရွတ္ရွ္ ( 7 &quot; )"/>
    <n v="1"/>
    <n v="16000"/>
    <n v="16000"/>
    <n v="11500"/>
    <x v="1"/>
  </r>
  <r>
    <n v="2217"/>
    <x v="2216"/>
    <s v="ေက်ာက္လံုးကဒ္ (အေခ်ာ)"/>
    <n v="1"/>
    <n v="7000"/>
    <n v="7000"/>
    <n v="5000"/>
    <x v="1"/>
  </r>
  <r>
    <n v="2218"/>
    <x v="2217"/>
    <s v="KW 13 ေကာင္ရိန္း"/>
    <n v="3"/>
    <n v="6000"/>
    <n v="6000"/>
    <n v="12000"/>
    <x v="1"/>
  </r>
  <r>
    <n v="2219"/>
    <x v="2218"/>
    <s v="KW 16 ေကာင္ရိန္း"/>
    <n v="1"/>
    <n v="7500"/>
    <n v="7500"/>
    <n v="5500"/>
    <x v="1"/>
  </r>
  <r>
    <n v="2220"/>
    <x v="2219"/>
    <s v="4&quot; ခြက္ကာဗိုက္"/>
    <n v="2"/>
    <n v="9500"/>
    <n v="9500"/>
    <n v="14000"/>
    <x v="1"/>
  </r>
  <r>
    <n v="2221"/>
    <x v="2220"/>
    <s v="L32 ပါကင္စံု"/>
    <n v="2"/>
    <n v="2500"/>
    <n v="2500"/>
    <n v="3600"/>
    <x v="1"/>
  </r>
  <r>
    <n v="2222"/>
    <x v="2221"/>
    <s v="မီးစမ္းတတ္စတာ"/>
    <n v="2"/>
    <n v="1500"/>
    <n v="1500"/>
    <n v="2000"/>
    <x v="1"/>
  </r>
  <r>
    <n v="2223"/>
    <x v="2222"/>
    <s v="3 1/2ခ်ိန္းေစာ ဆီပိုက္"/>
    <n v="5"/>
    <n v="2500"/>
    <n v="2500"/>
    <n v="8000"/>
    <x v="1"/>
  </r>
  <r>
    <n v="2224"/>
    <x v="2223"/>
    <s v="3ေပခ်ိန္းေစာ ဆီပိုက္"/>
    <n v="5"/>
    <n v="1500"/>
    <n v="1500"/>
    <n v="4000"/>
    <x v="1"/>
  </r>
  <r>
    <n v="2225"/>
    <x v="2224"/>
    <s v="ၾကိဳးစက္"/>
    <n v="1"/>
    <n v="105000"/>
    <n v="105000"/>
    <n v="92000"/>
    <x v="1"/>
  </r>
  <r>
    <n v="2226"/>
    <x v="2225"/>
    <s v="2ေပ ခ်ိန္းေစာဆီပိုက္"/>
    <n v="4"/>
    <n v="1500"/>
    <n v="1500"/>
    <n v="4000"/>
    <x v="1"/>
  </r>
  <r>
    <n v="2227"/>
    <x v="2226"/>
    <s v="3ေပခ်ိန္းေစာ ဘရိတ္ရွူး"/>
    <n v="3"/>
    <n v="3500"/>
    <n v="3500"/>
    <n v="7500"/>
    <x v="1"/>
  </r>
  <r>
    <n v="2228"/>
    <x v="2227"/>
    <s v="3ေပခ်ိန္းေစာ သံပတ္"/>
    <n v="5"/>
    <n v="2500"/>
    <n v="2500"/>
    <n v="7500"/>
    <x v="1"/>
  </r>
  <r>
    <n v="2229"/>
    <x v="2228"/>
    <s v="2ေပ ခ်ိန္းေစာသံပတ္ေသး"/>
    <n v="5"/>
    <n v="2500"/>
    <n v="2500"/>
    <n v="7500"/>
    <x v="1"/>
  </r>
  <r>
    <n v="2230"/>
    <x v="2229"/>
    <s v="2ေပ ခ်ိန္းေစာဆြဲၾကိဳး"/>
    <n v="6"/>
    <n v="700"/>
    <n v="700"/>
    <n v="1800"/>
    <x v="1"/>
  </r>
  <r>
    <n v="2231"/>
    <x v="2230"/>
    <s v="3ေပခြဲ ခ်ိန္းေစာဆြဲၾကိဳး"/>
    <n v="4"/>
    <n v="1000"/>
    <n v="1000"/>
    <n v="1200"/>
    <x v="1"/>
  </r>
  <r>
    <n v="2232"/>
    <x v="2231"/>
    <s v="Coolant (2 l)"/>
    <n v="4"/>
    <n v="3000"/>
    <n v="3000"/>
    <n v="9200"/>
    <x v="1"/>
  </r>
  <r>
    <n v="2233"/>
    <x v="2232"/>
    <s v="ေတာက္ စံုဘူးၾကီး"/>
    <n v="1"/>
    <n v="39000"/>
    <n v="39000"/>
    <n v="30000"/>
    <x v="1"/>
  </r>
  <r>
    <n v="2234"/>
    <x v="2233"/>
    <s v="L32 ေကာ္နတင္း"/>
    <n v="1"/>
    <n v="25000"/>
    <n v="25000"/>
    <n v="20000"/>
    <x v="1"/>
  </r>
  <r>
    <n v="2235"/>
    <x v="2234"/>
    <s v="22ေကာင္ ကရိုင္းကစ္နတ္"/>
    <n v="10"/>
    <n v="700"/>
    <n v="700"/>
    <n v="4000"/>
    <x v="1"/>
  </r>
  <r>
    <n v="2236"/>
    <x v="2235"/>
    <s v="အင္ဂ်င္ဝိုင္ 10/40(1 L)Trane"/>
    <n v="7"/>
    <n v="8000"/>
    <n v="8000"/>
    <n v="48300"/>
    <x v="1"/>
  </r>
  <r>
    <n v="2237"/>
    <x v="2236"/>
    <s v="12ရစ္ပလပ္Kawa ဓာတ္ဆီစက္"/>
    <n v="7"/>
    <n v="2000"/>
    <n v="2000"/>
    <n v="5950"/>
    <x v="1"/>
  </r>
  <r>
    <n v="2238"/>
    <x v="2237"/>
    <s v="2ေပ ခ်ိန္းေစာ စက္မကိုင္း"/>
    <n v="1"/>
    <n v="8000"/>
    <n v="8000"/>
    <n v="5500"/>
    <x v="1"/>
  </r>
  <r>
    <n v="2239"/>
    <x v="2238"/>
    <s v="3ေပခ်ိန္းေစာ ခ်ိန္း(ဗူးနီ)"/>
    <n v="4"/>
    <n v="19000"/>
    <n v="19000"/>
    <n v="60000"/>
    <x v="1"/>
  </r>
  <r>
    <n v="2240"/>
    <x v="2239"/>
    <s v="ဆိုက္ကလစ္ ပလာယာၾကီး"/>
    <n v="2"/>
    <n v="8000"/>
    <n v="8000"/>
    <n v="11000"/>
    <x v="1"/>
  </r>
  <r>
    <n v="2241"/>
    <x v="2240"/>
    <s v="1/2 ခ်က္ေခါင္းကဒ္ (1.5 13 MM)"/>
    <n v="2"/>
    <n v="5500"/>
    <n v="5500"/>
    <n v="7000"/>
    <x v="1"/>
  </r>
  <r>
    <n v="2242"/>
    <x v="2241"/>
    <s v="9 ေကာင္ စပလိန္စံု"/>
    <n v="9"/>
    <n v="1300"/>
    <n v="1300"/>
    <n v="7650"/>
    <x v="1"/>
  </r>
  <r>
    <n v="2243"/>
    <x v="2242"/>
    <s v="6 1/2 ေဖာ္လိုခြက္"/>
    <n v="10"/>
    <n v="1200"/>
    <n v="1200"/>
    <n v="7500"/>
    <x v="1"/>
  </r>
  <r>
    <n v="2244"/>
    <x v="2243"/>
    <s v="2KV အေကြး "/>
    <n v="1"/>
    <n v="4500"/>
    <n v="4500"/>
    <n v="3000"/>
    <x v="1"/>
  </r>
  <r>
    <n v="2245"/>
    <x v="2244"/>
    <s v="3ေပ ခ်ိန္းေစာ စက္မကိုင္း"/>
    <n v="1"/>
    <n v="7000"/>
    <n v="7000"/>
    <n v="4000"/>
    <x v="1"/>
  </r>
  <r>
    <n v="2246"/>
    <x v="2245"/>
    <s v="Kawa 7-5 အိတ္ေဇာဗူး"/>
    <n v="3"/>
    <n v="11000"/>
    <n v="11000"/>
    <n v="25050"/>
    <x v="1"/>
  </r>
  <r>
    <n v="2247"/>
    <x v="2246"/>
    <s v="3ေပခြဲ ခ်ိန္းေစာ စက္မကိုင္း"/>
    <n v="1"/>
    <n v="12000"/>
    <n v="12000"/>
    <n v="8500"/>
    <x v="1"/>
  </r>
  <r>
    <n v="2248"/>
    <x v="2247"/>
    <s v="မီးစက္ 2KV/3KV KVR(ေျဖာင့္)"/>
    <n v="5"/>
    <n v="8000"/>
    <n v="8000"/>
    <n v="30000"/>
    <x v="1"/>
  </r>
  <r>
    <n v="2249"/>
    <x v="2248"/>
    <s v="3ေပ ခ်ိန္းေစာ ရိန္း(51)"/>
    <n v="2"/>
    <n v="1500"/>
    <n v="1500"/>
    <n v="1600"/>
    <x v="1"/>
  </r>
  <r>
    <n v="2250"/>
    <x v="2249"/>
    <s v="MMA400 ဝရိန္ပံုး(YAMA)"/>
    <n v="1"/>
    <n v="170000"/>
    <n v="170000"/>
    <n v="145000"/>
    <x v="1"/>
  </r>
  <r>
    <n v="2251"/>
    <x v="2250"/>
    <s v="2ေပ ခ်ိန္းေစာမီးကြိဳင္"/>
    <n v="4"/>
    <n v="6000"/>
    <n v="6000"/>
    <n v="16000"/>
    <x v="1"/>
  </r>
  <r>
    <n v="2252"/>
    <x v="2251"/>
    <s v="3ေပ ခ်ိန္းေစာေၾကးပိုက္(တို+ရွည္)"/>
    <n v="2"/>
    <n v="2500"/>
    <n v="2500"/>
    <n v="3000"/>
    <x v="1"/>
  </r>
  <r>
    <n v="2253"/>
    <x v="2252"/>
    <s v="Kawa 7.5 ဟက္"/>
    <n v="1"/>
    <n v="18000"/>
    <n v="18000"/>
    <n v="8100"/>
    <x v="1"/>
  </r>
  <r>
    <n v="2254"/>
    <x v="2253"/>
    <s v="3ေပ ခ်ိန္းေစာ ပစၥတင္(51)"/>
    <n v="3"/>
    <n v="5000"/>
    <n v="5000"/>
    <n v="9000"/>
    <x v="1"/>
  </r>
  <r>
    <n v="2255"/>
    <x v="2254"/>
    <s v="ဝက္အူလွည့္ (ေသး)ဆိုဒ္စံု"/>
    <n v="3"/>
    <n v="5000"/>
    <n v="5000"/>
    <n v="10002"/>
    <x v="1"/>
  </r>
  <r>
    <n v="2256"/>
    <x v="2255"/>
    <s v="2ေပ ခ်ိန္းေစာဂါဂ်ီပင္ေဘာ"/>
    <n v="6"/>
    <n v="1000"/>
    <n v="1000"/>
    <n v="3600"/>
    <x v="1"/>
  </r>
  <r>
    <n v="2257"/>
    <x v="2256"/>
    <s v="TB40 ေၾကးအင္ပါယ္လာ(70၀"/>
    <n v="4"/>
    <n v="5000"/>
    <n v="5000"/>
    <n v="13600"/>
    <x v="1"/>
  </r>
  <r>
    <n v="2258"/>
    <x v="2257"/>
    <s v="UPC 208"/>
    <n v="2"/>
    <n v="10000"/>
    <n v="10000"/>
    <n v="17500"/>
    <x v="1"/>
  </r>
  <r>
    <n v="2259"/>
    <x v="2258"/>
    <s v="10.25.7အဝိုင္းစီး"/>
    <n v="9"/>
    <n v="500"/>
    <n v="500"/>
    <n v="3150"/>
    <x v="1"/>
  </r>
  <r>
    <n v="2260"/>
    <x v="2259"/>
    <s v="အပ္ၾကိဳး(ကားၾကီး)"/>
    <n v="2"/>
    <n v="9500"/>
    <n v="9500"/>
    <n v="13000"/>
    <x v="1"/>
  </r>
  <r>
    <n v="2261"/>
    <x v="2260"/>
    <s v="2ေပ ခ်ိန္းေစာအဝိုင္းစီး"/>
    <n v="10"/>
    <n v="1200"/>
    <n v="1200"/>
    <n v="10000"/>
    <x v="1"/>
  </r>
  <r>
    <n v="2262"/>
    <x v="2261"/>
    <s v="3ေပ ဘားစပရိန္"/>
    <n v="4"/>
    <n v="2000"/>
    <n v="2000"/>
    <n v="4000"/>
    <x v="1"/>
  </r>
  <r>
    <n v="2263"/>
    <x v="2262"/>
    <s v="Kawa ဆြဲအံု 7.5"/>
    <n v="3"/>
    <n v="7000"/>
    <n v="7000"/>
    <n v="14850"/>
    <x v="1"/>
  </r>
  <r>
    <n v="2264"/>
    <x v="2263"/>
    <s v="3ေပ ခ်ိန္းေစာအဝိုင္းစီး"/>
    <n v="5"/>
    <n v="1200"/>
    <n v="1200"/>
    <n v="4000"/>
    <x v="1"/>
  </r>
  <r>
    <n v="2265"/>
    <x v="2264"/>
    <s v="3ေပခြဲ ခ်ိန္းေစာအဝိုင္းစီး"/>
    <n v="8"/>
    <n v="1500"/>
    <n v="1500"/>
    <n v="8000"/>
    <x v="1"/>
  </r>
  <r>
    <n v="2266"/>
    <x v="2265"/>
    <s v="3ေပ ခ်ိန္းေစာမီးကြိဳင္"/>
    <n v="2"/>
    <n v="10000"/>
    <n v="10000"/>
    <n v="15000"/>
    <x v="1"/>
  </r>
  <r>
    <n v="2267"/>
    <x v="2266"/>
    <s v="လံုးျဖဴေရေဆးပန့္ပူလီဘီး(L-30)"/>
    <n v="1"/>
    <n v="15000"/>
    <n v="15000"/>
    <n v="11000"/>
    <x v="1"/>
  </r>
  <r>
    <n v="2268"/>
    <x v="2267"/>
    <s v="30လက္မ HVစပန္နာသီး"/>
    <n v="1"/>
    <n v="9000"/>
    <n v="9000"/>
    <n v="7200"/>
    <x v="1"/>
  </r>
  <r>
    <n v="2269"/>
    <x v="2268"/>
    <s v="3ေပခြဲ ခ်ိန္းေစာဘားနတ္"/>
    <n v="6"/>
    <n v="1000"/>
    <n v="1000"/>
    <n v="3600"/>
    <x v="1"/>
  </r>
  <r>
    <n v="2270"/>
    <x v="2269"/>
    <s v="2ေပ ခ်ိန္းေစာEngine(5800)"/>
    <n v="1"/>
    <n v="135000"/>
    <n v="135000"/>
    <n v="110000"/>
    <x v="1"/>
  </r>
  <r>
    <n v="2271"/>
    <x v="2270"/>
    <s v="3ေပ ခ်ိန္းေစာဘားထိပ္ဝိုင္း"/>
    <n v="3"/>
    <n v="4000"/>
    <n v="4000"/>
    <n v="7500"/>
    <x v="1"/>
  </r>
  <r>
    <n v="2272"/>
    <x v="2271"/>
    <s v="2ေပ ခ်ိန္းေစာေကာ္ပင္နီယံ"/>
    <n v="5"/>
    <n v="2500"/>
    <n v="2500"/>
    <n v="7500"/>
    <x v="1"/>
  </r>
  <r>
    <n v="2273"/>
    <x v="2272"/>
    <s v="FD30 တစ္ဘီးထြန္ "/>
    <n v="3"/>
    <n v="650000"/>
    <n v="650000"/>
    <n v="1560000"/>
    <x v="1"/>
  </r>
  <r>
    <n v="2274"/>
    <x v="2273"/>
    <s v="FD 30ကလပ္အံုအစံု"/>
    <n v="1"/>
    <n v="45000"/>
    <n v="45000"/>
    <n v="36500"/>
    <x v="1"/>
  </r>
  <r>
    <n v="2275"/>
    <x v="2274"/>
    <s v="TOYO ကလပ္ရွပ္(ပီနယံ)"/>
    <n v="3"/>
    <n v="20000"/>
    <n v="20000"/>
    <n v="45750"/>
    <x v="1"/>
  </r>
  <r>
    <n v="2276"/>
    <x v="2275"/>
    <s v="ဘတၳရီ ညွပ္ကလစ္ ၾကီး"/>
    <n v="3"/>
    <n v="3000"/>
    <n v="3000"/>
    <n v="7500"/>
    <x v="1"/>
  </r>
  <r>
    <n v="2277"/>
    <x v="2276"/>
    <s v="12V ဇီးသီးမီးလံုး(1စ)"/>
    <n v="20"/>
    <n v="300"/>
    <n v="300"/>
    <n v="3000"/>
    <x v="1"/>
  </r>
  <r>
    <n v="2278"/>
    <x v="2277"/>
    <s v="အင္ဂ်င္ဝိုင္(Trane)10W 40(5L)"/>
    <n v="3"/>
    <n v="40000"/>
    <n v="40000"/>
    <n v="112500"/>
    <x v="1"/>
  </r>
  <r>
    <n v="2279"/>
    <x v="2278"/>
    <s v="5KW 4×2ပူလီ"/>
    <n v="2"/>
    <n v="10000"/>
    <n v="10000"/>
    <n v="13400"/>
    <x v="1"/>
  </r>
  <r>
    <n v="2280"/>
    <x v="2279"/>
    <s v="3ေပခြဲ ခ်ိန္းေစာပြိဳင့္"/>
    <n v="5"/>
    <n v="4000"/>
    <n v="4000"/>
    <n v="12500"/>
    <x v="1"/>
  </r>
  <r>
    <n v="2281"/>
    <x v="2280"/>
    <s v="3ေပခြဲ ခ်ိန္းေစာ ဂါဂ်ီပင္ေဘာ"/>
    <n v="10"/>
    <n v="1500"/>
    <n v="1500"/>
    <n v="8000"/>
    <x v="1"/>
  </r>
  <r>
    <n v="2282"/>
    <x v="2281"/>
    <s v="61/2 ကာတာ(မီးစက္)"/>
    <n v="3"/>
    <n v="7500"/>
    <n v="7500"/>
    <n v="16500"/>
    <x v="1"/>
  </r>
  <r>
    <n v="2283"/>
    <x v="2282"/>
    <s v="6မူး စာပါးစပ္(ပင္နယံ)"/>
    <n v="2"/>
    <n v="6500"/>
    <n v="6500"/>
    <n v="8400"/>
    <x v="1"/>
  </r>
  <r>
    <n v="2284"/>
    <x v="2283"/>
    <s v="DT ဆိုင္ကယ္ ေရွ့ကၽြတ္ "/>
    <n v="1"/>
    <n v="9000"/>
    <n v="9000"/>
    <n v="6000"/>
    <x v="1"/>
  </r>
  <r>
    <n v="2285"/>
    <x v="2284"/>
    <s v="UPG(1702)လိေမၼာ္"/>
    <n v="5"/>
    <n v="8300"/>
    <n v="8300"/>
    <n v="39000"/>
    <x v="1"/>
  </r>
  <r>
    <n v="2286"/>
    <x v="2285"/>
    <s v="UPG(1401)အစိမ္း"/>
    <n v="3"/>
    <n v="8300"/>
    <n v="8300"/>
    <n v="23400"/>
    <x v="1"/>
  </r>
  <r>
    <n v="2287"/>
    <x v="2286"/>
    <s v="550×13 ကၽြတ္"/>
    <n v="2"/>
    <n v="7500"/>
    <n v="7500"/>
    <n v="11000"/>
    <x v="1"/>
  </r>
  <r>
    <n v="2288"/>
    <x v="2287"/>
    <s v="NJ 312(NC)"/>
    <n v="2"/>
    <n v="19500"/>
    <n v="19500"/>
    <n v="37000"/>
    <x v="1"/>
  </r>
  <r>
    <n v="2289"/>
    <x v="2288"/>
    <s v="မီးစက္ 2KV(ေကြး)"/>
    <n v="2"/>
    <n v="10000"/>
    <n v="10000"/>
    <n v="15000"/>
    <x v="1"/>
  </r>
  <r>
    <n v="2290"/>
    <x v="2289"/>
    <s v="မီးစက္ (154)ဘားတံ"/>
    <n v="3"/>
    <n v="2000"/>
    <n v="2000"/>
    <n v="3600"/>
    <x v="1"/>
  </r>
  <r>
    <n v="2291"/>
    <x v="2290"/>
    <s v="3ေပခြဲ ခ်ိန္းေစာကြိဳင္(CDI)"/>
    <n v="1"/>
    <n v="19000"/>
    <n v="19000"/>
    <n v="16000"/>
    <x v="1"/>
  </r>
  <r>
    <n v="2292"/>
    <x v="2291"/>
    <s v="27 HV စပန္နာသီး"/>
    <n v="1"/>
    <n v="5500"/>
    <n v="5500"/>
    <n v="4500"/>
    <x v="1"/>
  </r>
  <r>
    <n v="2293"/>
    <x v="2292"/>
    <s v="အမဲဆီေခါင္း အတို"/>
    <n v="10"/>
    <n v="1400"/>
    <n v="1400"/>
    <n v="9000"/>
    <x v="1"/>
  </r>
  <r>
    <n v="2294"/>
    <x v="2293"/>
    <s v="3ေပခြဲ ခ်ိန္းေစာသံပတ္"/>
    <n v="5"/>
    <n v="3000"/>
    <n v="3000"/>
    <n v="10500"/>
    <x v="1"/>
  </r>
  <r>
    <n v="2295"/>
    <x v="2294"/>
    <s v="30.50.8"/>
    <n v="10"/>
    <n v="700"/>
    <n v="700"/>
    <n v="4500"/>
    <x v="1"/>
  </r>
  <r>
    <n v="2296"/>
    <x v="2295"/>
    <s v="DC ေရျမဳပ္ (220W)"/>
    <n v="7"/>
    <n v="33500"/>
    <n v="33500"/>
    <n v="182000"/>
    <x v="1"/>
  </r>
  <r>
    <n v="2297"/>
    <x v="2296"/>
    <s v="10&quot; ဘက္ၾကိဳး"/>
    <n v="2"/>
    <n v="2500"/>
    <n v="2500"/>
    <n v="4000"/>
    <x v="1"/>
  </r>
  <r>
    <n v="2298"/>
    <x v="2297"/>
    <s v="8လက္မ ၾကိတ္စက္"/>
    <n v="1"/>
    <n v="137000"/>
    <n v="137000"/>
    <n v="107000"/>
    <x v="1"/>
  </r>
  <r>
    <n v="2299"/>
    <x v="2298"/>
    <s v="ဘ/ထ Toyo ပါကင္စံု"/>
    <n v="20"/>
    <n v="1500"/>
    <n v="1500"/>
    <n v="20000"/>
    <x v="1"/>
  </r>
  <r>
    <n v="2300"/>
    <x v="2299"/>
    <s v="BJ ဂ်မ္းနတ္"/>
    <n v="5"/>
    <n v="3500"/>
    <n v="3500"/>
    <n v="12500"/>
    <x v="1"/>
  </r>
  <r>
    <n v="2301"/>
    <x v="2300"/>
    <s v="တင္နာ"/>
    <n v="5"/>
    <n v="2000"/>
    <n v="2000"/>
    <n v="7500"/>
    <x v="1"/>
  </r>
  <r>
    <n v="2302"/>
    <x v="2301"/>
    <s v="ဖ်ဴးျပားၾကီး 30A"/>
    <n v="100"/>
    <n v="200"/>
    <n v="200"/>
    <n v="8000"/>
    <x v="1"/>
  </r>
  <r>
    <n v="2303"/>
    <x v="2302"/>
    <s v="စကၠဴ (အနီ)"/>
    <n v="2"/>
    <n v="12000"/>
    <n v="12000"/>
    <n v="18000"/>
    <x v="1"/>
  </r>
  <r>
    <n v="2304"/>
    <x v="2303"/>
    <s v="စကၠဴ (အဝါ)"/>
    <n v="2"/>
    <n v="10000"/>
    <n v="10000"/>
    <n v="15000"/>
    <x v="1"/>
  </r>
  <r>
    <n v="2305"/>
    <x v="2304"/>
    <s v="180W ေရးေဆးပိုက္(ေခါင္းၾကီးနွစ္ဖက္)"/>
    <n v="1"/>
    <n v="12000"/>
    <n v="12000"/>
    <n v="9000"/>
    <x v="1"/>
  </r>
  <r>
    <n v="2306"/>
    <x v="2305"/>
    <s v="AC/ DCကားေဆးပန္႔"/>
    <n v="1"/>
    <n v="45000"/>
    <n v="45000"/>
    <n v="38500"/>
    <x v="1"/>
  </r>
  <r>
    <n v="2307"/>
    <x v="2306"/>
    <s v="ဘားနတ္(ေသး)"/>
    <n v="5"/>
    <n v="1500"/>
    <n v="1500"/>
    <n v="5000"/>
    <x v="1"/>
  </r>
  <r>
    <n v="2308"/>
    <x v="2307"/>
    <s v="ဒိုင္နမို  4&quot; ပူလီ 3KW"/>
    <n v="5"/>
    <n v="7000"/>
    <n v="7000"/>
    <n v="19000"/>
    <x v="1"/>
  </r>
  <r>
    <n v="2309"/>
    <x v="2308"/>
    <s v=" Honda ပူလီ3 x 2 လိုင္း"/>
    <n v="11"/>
    <n v="7500"/>
    <n v="7500"/>
    <n v="52800"/>
    <x v="1"/>
  </r>
  <r>
    <n v="2310"/>
    <x v="2309"/>
    <s v="7 1/2 ရိန္း STD KAWA"/>
    <n v="7"/>
    <n v="4000"/>
    <n v="4000"/>
    <n v="19600"/>
    <x v="1"/>
  </r>
  <r>
    <n v="2311"/>
    <x v="2310"/>
    <s v="4လက္မ Li Li အင္ပါယ္လာ"/>
    <n v="2"/>
    <n v="15000"/>
    <n v="15000"/>
    <n v="24000"/>
    <x v="1"/>
  </r>
  <r>
    <n v="2312"/>
    <x v="2311"/>
    <s v="9ေကာင္ ေလကာဘာ(KW270)"/>
    <n v="4"/>
    <n v="13500"/>
    <n v="13500"/>
    <n v="42000"/>
    <x v="1"/>
  </r>
  <r>
    <n v="2313"/>
    <x v="2312"/>
    <s v="Su 50 ပူလီ အလြတ္ /2&quot; ပန္႔ ပူလီ"/>
    <n v="2"/>
    <n v="5500"/>
    <n v="5500"/>
    <n v="7000"/>
    <x v="1"/>
  </r>
  <r>
    <n v="2314"/>
    <x v="2313"/>
    <s v="Su50 ရွပ္"/>
    <n v="5"/>
    <n v="10000"/>
    <n v="10000"/>
    <n v="34000"/>
    <x v="1"/>
  </r>
  <r>
    <n v="2315"/>
    <x v="2314"/>
    <s v="L-32 ဆီပို႕ကြင္း"/>
    <n v="1"/>
    <n v="3500"/>
    <n v="3500"/>
    <n v="2500"/>
    <x v="1"/>
  </r>
  <r>
    <n v="2316"/>
    <x v="2315"/>
    <s v="Kawa 220 ပါကင္စံု"/>
    <n v="7"/>
    <n v="3500"/>
    <n v="3500"/>
    <n v="17850"/>
    <x v="1"/>
  </r>
  <r>
    <n v="2317"/>
    <x v="2316"/>
    <s v="7 1/2ကာဗရိုက္တာ(ဆီေဂါက္ပါ)KAWA220"/>
    <n v="10"/>
    <n v="11700"/>
    <n v="11700"/>
    <n v="88000"/>
    <x v="1"/>
  </r>
  <r>
    <n v="2318"/>
    <x v="2317"/>
    <s v="ထြန္ေဒါက္တို"/>
    <n v="1"/>
    <n v="1000"/>
    <n v="1000"/>
    <n v="800"/>
    <x v="1"/>
  </r>
  <r>
    <n v="2319"/>
    <x v="2318"/>
    <s v="ကိုင္းမွကၽြဲေခါင္းသီး"/>
    <n v="1"/>
    <n v="800"/>
    <n v="800"/>
    <n v="400"/>
    <x v="1"/>
  </r>
  <r>
    <n v="2320"/>
    <x v="2319"/>
    <s v="ဘားကရိုင္း ခြက္ႀကီး"/>
    <n v="59"/>
    <n v="300"/>
    <n v="300"/>
    <n v="7080"/>
    <x v="1"/>
  </r>
  <r>
    <n v="2321"/>
    <x v="2320"/>
    <s v="ဘားကရိုင္း ခြက္လတ္"/>
    <n v="13"/>
    <n v="200"/>
    <n v="200"/>
    <n v="1560"/>
    <x v="1"/>
  </r>
  <r>
    <n v="2322"/>
    <x v="2321"/>
    <s v="ဘားကရိုင္း ခြက္ေသး"/>
    <n v="95"/>
    <n v="300"/>
    <n v="300"/>
    <n v="19000"/>
    <x v="1"/>
  </r>
  <r>
    <n v="2323"/>
    <x v="2322"/>
    <s v="ဆီလံုဝါရွာ အစံု F"/>
    <n v="35"/>
    <n v="700"/>
    <n v="700"/>
    <n v="15750"/>
    <x v="1"/>
  </r>
  <r>
    <n v="2324"/>
    <x v="2323"/>
    <s v="ေၾကးဆီဝါရွာ အစံု F"/>
    <n v="29"/>
    <n v="800"/>
    <n v="800"/>
    <n v="14500"/>
    <x v="1"/>
  </r>
  <r>
    <n v="2325"/>
    <x v="2324"/>
    <s v="ေပါင္းရွင္းေခါင္း"/>
    <n v="209"/>
    <n v="38000"/>
    <n v="38000"/>
    <n v="6479000"/>
    <x v="1"/>
  </r>
  <r>
    <n v="2326"/>
    <x v="2325"/>
    <s v="6 1/2  ဆီဖံုး (သံ)"/>
    <n v="10"/>
    <n v="1000"/>
    <n v="1000"/>
    <n v="6750"/>
    <x v="1"/>
  </r>
  <r>
    <n v="2327"/>
    <x v="2326"/>
    <s v="6.5 HP Gasoline Engine honda ဆီတိုင္ကီ"/>
    <n v="1"/>
    <n v="8000"/>
    <n v="8000"/>
    <n v="5200"/>
    <x v="1"/>
  </r>
  <r>
    <n v="2328"/>
    <x v="2327"/>
    <s v="6 1/2 ဆြဲအံု"/>
    <n v="5"/>
    <n v="4500"/>
    <n v="4500"/>
    <n v="15000"/>
    <x v="1"/>
  </r>
  <r>
    <n v="2329"/>
    <x v="2328"/>
    <s v="DF ေရႊကၽြဲ ရင္အံု အေပၚအုပ္ "/>
    <n v="2"/>
    <n v="40000"/>
    <n v="40000"/>
    <n v="56000"/>
    <x v="1"/>
  </r>
  <r>
    <n v="2330"/>
    <x v="2329"/>
    <s v="DF ေရႊကၽြဲ ဂီယာ နီကယ္"/>
    <n v="2"/>
    <n v="6500"/>
    <n v="6500"/>
    <n v="9000"/>
    <x v="1"/>
  </r>
  <r>
    <n v="2331"/>
    <x v="2330"/>
    <s v="3Lb တူ"/>
    <n v="2"/>
    <n v="8000"/>
    <n v="8000"/>
    <n v="12000"/>
    <x v="1"/>
  </r>
  <r>
    <n v="2332"/>
    <x v="2331"/>
    <s v="ဓားအဝိုင္း"/>
    <n v="2"/>
    <n v="8000"/>
    <n v="8000"/>
    <n v="12000"/>
    <x v="1"/>
  </r>
  <r>
    <n v="2333"/>
    <x v="2332"/>
    <s v="10လက္မ ဂစ္ပလာယာ(ေကာင္း)"/>
    <n v="2"/>
    <n v="6500"/>
    <n v="6500"/>
    <n v="9600"/>
    <x v="1"/>
  </r>
  <r>
    <n v="2334"/>
    <x v="2333"/>
    <s v="3&quot; ေဆာ့ကဒ္ ဝါရွာ"/>
    <n v="12"/>
    <n v="300"/>
    <n v="300"/>
    <n v="2400"/>
    <x v="1"/>
  </r>
  <r>
    <n v="2335"/>
    <x v="2334"/>
    <s v="6 မူးကရိုင္းကစ္နတ္"/>
    <n v="24"/>
    <n v="500"/>
    <n v="500"/>
    <n v="5520"/>
    <x v="1"/>
  </r>
  <r>
    <n v="2336"/>
    <x v="2335"/>
    <s v="50.80.12အဝိုင္းစိး"/>
    <n v="2"/>
    <n v="700"/>
    <n v="700"/>
    <n v="800"/>
    <x v="1"/>
  </r>
  <r>
    <n v="2337"/>
    <x v="2336"/>
    <s v="65.90.10အဝိုင္းစီး"/>
    <n v="4"/>
    <n v="800"/>
    <n v="800"/>
    <n v="2000"/>
    <x v="1"/>
  </r>
  <r>
    <n v="2338"/>
    <x v="2337"/>
    <s v="60.80.12အဝိုင္းစီး"/>
    <n v="10"/>
    <n v="900"/>
    <n v="900"/>
    <n v="7000"/>
    <x v="1"/>
  </r>
  <r>
    <n v="2339"/>
    <x v="2338"/>
    <s v="45.70.12အဝိုင္းစီး (1 စံု)"/>
    <n v="23"/>
    <n v="1200"/>
    <n v="1200"/>
    <n v="19550"/>
    <x v="1"/>
  </r>
  <r>
    <n v="2340"/>
    <x v="2339"/>
    <s v="208ေဇာင္းေဘာ"/>
    <n v="1"/>
    <n v="5000"/>
    <n v="5000"/>
    <n v="3500"/>
    <x v="1"/>
  </r>
  <r>
    <n v="2341"/>
    <x v="2340"/>
    <s v="210ေဘာ(Roller)"/>
    <n v="1"/>
    <n v="7500"/>
    <n v="7500"/>
    <n v="6250"/>
    <x v="1"/>
  </r>
  <r>
    <n v="2342"/>
    <x v="2341"/>
    <s v="စက္မကြင္းအရွည္ႀကီး"/>
    <n v="1"/>
    <n v="1500"/>
    <n v="1500"/>
    <n v="1000"/>
    <x v="1"/>
  </r>
  <r>
    <n v="2343"/>
    <x v="2342"/>
    <s v="DFကလပ္ခ်ိန္း"/>
    <n v="2"/>
    <n v="6500"/>
    <n v="6500"/>
    <n v="9200"/>
    <x v="1"/>
  </r>
  <r>
    <n v="2344"/>
    <x v="2343"/>
    <s v="DFကလပ္ထိုင္ေအာက္ပင္နီယံႀကီး"/>
    <n v="1"/>
    <n v="5000"/>
    <n v="5000"/>
    <n v="4000"/>
    <x v="1"/>
  </r>
  <r>
    <n v="2345"/>
    <x v="2344"/>
    <s v="ဓါတ္ဆီဆီတိုင္ဂီအဖုံး"/>
    <n v="1"/>
    <n v="1500"/>
    <n v="1500"/>
    <n v="1000"/>
    <x v="1"/>
  </r>
  <r>
    <n v="2346"/>
    <x v="2345"/>
    <s v="စက္ေလွခ်ိန္း2လိုင္းဆြဲ"/>
    <n v="1"/>
    <n v="3500"/>
    <n v="3500"/>
    <n v="2800"/>
    <x v="1"/>
  </r>
  <r>
    <n v="2347"/>
    <x v="2346"/>
    <s v="ပဲ့ေထာင္အမဲဆီရစ္"/>
    <n v="10"/>
    <n v="1500"/>
    <n v="1500"/>
    <n v="6500"/>
    <x v="1"/>
  </r>
  <r>
    <n v="2348"/>
    <x v="2347"/>
    <s v="ဒိုင္နမိုဒိုင္အုပ္(3K)"/>
    <n v="4"/>
    <n v="5000"/>
    <n v="5000"/>
    <n v="16000"/>
    <x v="1"/>
  </r>
  <r>
    <n v="2349"/>
    <x v="2348"/>
    <s v="DFဂီယာပီနီယံ"/>
    <n v="2"/>
    <n v="9600"/>
    <n v="9600"/>
    <n v="8000"/>
    <x v="1"/>
  </r>
  <r>
    <n v="2350"/>
    <x v="2349"/>
    <s v="10&quot;စပန္နာဟန္တယ္(1/2)"/>
    <n v="6"/>
    <n v="3300"/>
    <n v="3300"/>
    <n v="13500"/>
    <x v="1"/>
  </r>
  <r>
    <n v="2351"/>
    <x v="2350"/>
    <s v="35.58.12အဝိုင္းစီး"/>
    <n v="9"/>
    <n v="600"/>
    <n v="600"/>
    <n v="4050"/>
    <x v="1"/>
  </r>
  <r>
    <n v="2352"/>
    <x v="2351"/>
    <s v="Honda7.5အရစ္ပါဆီအိုးဖုံး"/>
    <n v="2"/>
    <n v="2000"/>
    <n v="2000"/>
    <n v="2800"/>
    <x v="1"/>
  </r>
  <r>
    <n v="2353"/>
    <x v="2352"/>
    <s v="ေထြလာဂ်ီဘရိတ္အမ္း"/>
    <n v="2"/>
    <n v="1000"/>
    <n v="1000"/>
    <n v="1000"/>
    <x v="1"/>
  </r>
  <r>
    <n v="2354"/>
    <x v="2353"/>
    <s v="2&quot;ပူလီ2လိုင္းဆြဲ"/>
    <n v="7"/>
    <n v="7000"/>
    <n v="7000"/>
    <n v="26600"/>
    <x v="1"/>
  </r>
  <r>
    <n v="2355"/>
    <x v="2354"/>
    <s v="10Pcs စပန္နာဗူး (KT)"/>
    <n v="1"/>
    <n v="18500"/>
    <n v="18500"/>
    <n v="13500"/>
    <x v="1"/>
  </r>
  <r>
    <n v="2356"/>
    <x v="2355"/>
    <s v="ေရေဆးပန္႔(အဝိုင္းစီး+ဝါရွာစုံ)"/>
    <n v="2"/>
    <n v="7500"/>
    <n v="7500"/>
    <n v="12000"/>
    <x v="1"/>
  </r>
  <r>
    <n v="2357"/>
    <x v="2356"/>
    <s v="13×3 ရြက္(စက္ေလွပန္ကာ)"/>
    <n v="4"/>
    <n v="6000"/>
    <n v="6000"/>
    <n v="16400"/>
    <x v="1"/>
  </r>
  <r>
    <n v="2358"/>
    <x v="2357"/>
    <s v="14×2ရြက္(စက္ေလွပန္ကာ)"/>
    <n v="3"/>
    <n v="9500"/>
    <n v="9500"/>
    <n v="19800"/>
    <x v="1"/>
  </r>
  <r>
    <n v="2359"/>
    <x v="2358"/>
    <s v="ဓါးအုံသံခြက္"/>
    <n v="10"/>
    <n v="1000"/>
    <n v="1000"/>
    <n v="5000"/>
    <x v="1"/>
  </r>
  <r>
    <n v="2360"/>
    <x v="2359"/>
    <s v="9T ရွပ္တန္း(ျမတ္ရိတ္စက္ရွပ္လိုင္း)"/>
    <n v="3"/>
    <n v="6000"/>
    <n v="6000"/>
    <n v="10500"/>
    <x v="1"/>
  </r>
  <r>
    <n v="2361"/>
    <x v="2360"/>
    <s v="9ေကာင္ ကာပရုိက္တာ"/>
    <n v="5"/>
    <n v="14500"/>
    <n v="14500"/>
    <n v="60000"/>
    <x v="1"/>
  </r>
  <r>
    <n v="2362"/>
    <x v="2361"/>
    <s v="6 1/2 ကာပရုိက္တာ"/>
    <n v="6"/>
    <n v="7000"/>
    <n v="7000"/>
    <n v="33000"/>
    <x v="1"/>
  </r>
  <r>
    <n v="2363"/>
    <x v="2362"/>
    <s v="1P-G×270 ေကာ္နတ္တင္း STD Kawa"/>
    <n v="1"/>
    <n v="7500"/>
    <n v="7500"/>
    <n v="4200"/>
    <x v="1"/>
  </r>
  <r>
    <n v="2364"/>
    <x v="2363"/>
    <s v="7 1/2 12 ရစ္ပလပ္"/>
    <n v="1"/>
    <n v="1000"/>
    <n v="1000"/>
    <n v="575"/>
    <x v="1"/>
  </r>
  <r>
    <n v="2365"/>
    <x v="2364"/>
    <s v="ကားဒိုင္နမို"/>
    <n v="1"/>
    <n v="25000"/>
    <n v="25000"/>
    <n v="20000"/>
    <x v="1"/>
  </r>
  <r>
    <n v="2366"/>
    <x v="2365"/>
    <s v="KW 390 ဆြဲႀကိဳး KAWA"/>
    <n v="13"/>
    <n v="1200"/>
    <n v="1200"/>
    <n v="8450"/>
    <x v="1"/>
  </r>
  <r>
    <n v="2367"/>
    <x v="2366"/>
    <s v="KW220အဝိုင္းဆီးလ္ KAWA"/>
    <n v="7"/>
    <n v="500"/>
    <n v="500"/>
    <n v="1890"/>
    <x v="1"/>
  </r>
  <r>
    <n v="2368"/>
    <x v="2367"/>
    <s v="G× 390 လီဗာကိုင္းစုံ"/>
    <n v="1"/>
    <n v="3000"/>
    <n v="3000"/>
    <n v="2100"/>
    <x v="1"/>
  </r>
  <r>
    <n v="2369"/>
    <x v="2368"/>
    <s v="KW220 ဆီတိုင္ကီ KAWA"/>
    <n v="3"/>
    <n v="12000"/>
    <n v="12000"/>
    <n v="25800"/>
    <x v="1"/>
  </r>
  <r>
    <n v="2370"/>
    <x v="2369"/>
    <s v="6 1/2 ကရုိင္း"/>
    <n v="1"/>
    <n v="15000"/>
    <n v="15000"/>
    <n v="11000"/>
    <x v="1"/>
  </r>
  <r>
    <n v="2371"/>
    <x v="2370"/>
    <s v="6 1/2 ေကာ္နတ္တင္း (YY)"/>
    <n v="2"/>
    <n v="2000"/>
    <n v="2000"/>
    <n v="2900"/>
    <x v="1"/>
  </r>
  <r>
    <n v="2372"/>
    <x v="2371"/>
    <s v="ဓါးေခါင္း (28)"/>
    <n v="1"/>
    <n v="9500"/>
    <n v="9500"/>
    <n v="7500"/>
    <x v="1"/>
  </r>
  <r>
    <n v="2373"/>
    <x v="2372"/>
    <s v="ကလပ္ခြက္စံု (26)"/>
    <n v="2"/>
    <n v="11000"/>
    <n v="11000"/>
    <n v="14500"/>
    <x v="1"/>
  </r>
  <r>
    <n v="2374"/>
    <x v="2373"/>
    <s v="6 1/2 ဆီတိုင္ကီ"/>
    <n v="6"/>
    <n v="12000"/>
    <n v="12000"/>
    <n v="46800"/>
    <x v="1"/>
  </r>
  <r>
    <n v="2375"/>
    <x v="2374"/>
    <s v="7 1/2 ဆီတိုင္ကီ"/>
    <n v="2"/>
    <n v="14000"/>
    <n v="14000"/>
    <n v="22000"/>
    <x v="1"/>
  </r>
  <r>
    <n v="2376"/>
    <x v="2375"/>
    <s v="KW220 ဆြဲၾကိဳး KAWA"/>
    <n v="7"/>
    <n v="1000"/>
    <n v="1000"/>
    <n v="3850"/>
    <x v="1"/>
  </r>
  <r>
    <n v="2377"/>
    <x v="2376"/>
    <s v="SU50 အိုးခြံ"/>
    <n v="4"/>
    <n v="20000"/>
    <n v="20000"/>
    <n v="59200"/>
    <x v="1"/>
  </r>
  <r>
    <n v="2378"/>
    <x v="2377"/>
    <s v="Su 50 အထြက္ေဂါက္"/>
    <n v="3"/>
    <n v="8500"/>
    <n v="8500"/>
    <n v="20700"/>
    <x v="1"/>
  </r>
  <r>
    <n v="2379"/>
    <x v="2378"/>
    <s v="Su 50 ဝါရွာစုံ"/>
    <n v="2"/>
    <n v="2000"/>
    <n v="2000"/>
    <n v="2500"/>
    <x v="1"/>
  </r>
  <r>
    <n v="2380"/>
    <x v="2379"/>
    <s v="500 × 12 တာယာ YGN"/>
    <n v="5"/>
    <n v="56000"/>
    <n v="56000"/>
    <n v="262500"/>
    <x v="1"/>
  </r>
  <r>
    <n v="2381"/>
    <x v="2380"/>
    <s v="6 1/2 ဘားတံ"/>
    <n v="5"/>
    <n v="1500"/>
    <n v="1500"/>
    <n v="5500"/>
    <x v="1"/>
  </r>
  <r>
    <n v="2382"/>
    <x v="2381"/>
    <s v="139  အဝိုက္စီး"/>
    <n v="4"/>
    <n v="550"/>
    <n v="550"/>
    <n v="1600"/>
    <x v="1"/>
  </r>
  <r>
    <n v="2383"/>
    <x v="2382"/>
    <s v="ဖလိုင္းဝွီးနတ္"/>
    <n v="9"/>
    <n v="1000"/>
    <n v="1000"/>
    <n v="3861"/>
    <x v="1"/>
  </r>
  <r>
    <n v="2384"/>
    <x v="2383"/>
    <s v="6 1/2 ပါကင္စုံ"/>
    <n v="7"/>
    <n v="1500"/>
    <n v="1500"/>
    <n v="6300"/>
    <x v="1"/>
  </r>
  <r>
    <n v="2385"/>
    <x v="2384"/>
    <s v="6 1/2 ပစၥတင္+ ရိန္းSTD ဗူးျပာ"/>
    <n v="4"/>
    <n v="5000"/>
    <n v="5000"/>
    <n v="15400"/>
    <x v="1"/>
  </r>
  <r>
    <n v="2386"/>
    <x v="2385"/>
    <s v="6 1/2 ရိန္း STD"/>
    <n v="8"/>
    <n v="1500"/>
    <n v="1500"/>
    <n v="6800"/>
    <x v="1"/>
  </r>
  <r>
    <n v="2387"/>
    <x v="2386"/>
    <s v="စပါးေလွ႕ပန္ကာ(အထူ)"/>
    <n v="1"/>
    <n v="12000"/>
    <n v="12000"/>
    <n v="6000"/>
    <x v="1"/>
  </r>
  <r>
    <n v="2388"/>
    <x v="2387"/>
    <s v="139 ဆြဲအုံ (ပံုေဟာင္း)"/>
    <n v="5"/>
    <n v="4500"/>
    <n v="4500"/>
    <n v="17500"/>
    <x v="1"/>
  </r>
  <r>
    <n v="2389"/>
    <x v="2388"/>
    <s v="L-32 ဟက္ဘားစုံ (JW)"/>
    <n v="1"/>
    <n v="7000"/>
    <n v="7000"/>
    <n v="3921"/>
    <x v="1"/>
  </r>
  <r>
    <n v="2390"/>
    <x v="2389"/>
    <s v="6 1/2 အိတ္ေဇာေျပာင္းေဂါက္စတီး"/>
    <n v="3"/>
    <n v="2300"/>
    <n v="2300"/>
    <n v="4170"/>
    <x v="1"/>
  </r>
  <r>
    <n v="2391"/>
    <x v="2390"/>
    <s v="3လက္မ × 2လိုင္းဟြန္ဒါပူလီ"/>
    <n v="2"/>
    <n v="6000"/>
    <n v="6000"/>
    <n v="9600"/>
    <x v="1"/>
  </r>
  <r>
    <n v="2392"/>
    <x v="2391"/>
    <s v="KW 220 ဟတ္ဘား KAWA"/>
    <n v="4"/>
    <n v="3500"/>
    <n v="3500"/>
    <n v="10800"/>
    <x v="1"/>
  </r>
  <r>
    <n v="2393"/>
    <x v="2392"/>
    <s v="2 လက္မပန္႕ဒလတ္ (ကပ္ပန္႔)"/>
    <n v="1"/>
    <n v="5000"/>
    <n v="5000"/>
    <n v="3500"/>
    <x v="1"/>
  </r>
  <r>
    <n v="2394"/>
    <x v="2393"/>
    <s v="2/3လက္မ ကပ္ပန္႕အဝိုင္းစီး တို"/>
    <n v="9"/>
    <n v="2500"/>
    <n v="2500"/>
    <n v="17550"/>
    <x v="1"/>
  </r>
  <r>
    <n v="2395"/>
    <x v="2394"/>
    <s v="ကိုင္းမွ ရွပ္"/>
    <n v="2"/>
    <n v="16200"/>
    <n v="16200"/>
    <n v="16000"/>
    <x v="1"/>
  </r>
  <r>
    <n v="2396"/>
    <x v="2395"/>
    <s v="2ေပ ခ်ိန္းေစာကာပရုိက္တာ(5800)"/>
    <n v="4"/>
    <n v="10000"/>
    <n v="10000"/>
    <n v="28000"/>
    <x v="1"/>
  </r>
  <r>
    <n v="2397"/>
    <x v="2396"/>
    <s v="600 × 12 တာယာ+က်ြတ္"/>
    <n v="3"/>
    <n v="48000"/>
    <n v="48000"/>
    <n v="120000"/>
    <x v="1"/>
  </r>
  <r>
    <n v="2398"/>
    <x v="2397"/>
    <s v="SF 600 × 12 ေဂြ"/>
    <n v="2"/>
    <n v="25000"/>
    <n v="25000"/>
    <n v="36000"/>
    <x v="1"/>
  </r>
  <r>
    <n v="2399"/>
    <x v="2398"/>
    <s v="1မီလီေက်ာက္ျပား(1ခ်ပ္ႏွဳန္း)"/>
    <n v="127"/>
    <n v="700"/>
    <n v="700"/>
    <n v="60960"/>
    <x v="1"/>
  </r>
  <r>
    <n v="2400"/>
    <x v="2399"/>
    <s v="4လက္မေက်ာက္ျပား ထူ"/>
    <n v="34"/>
    <n v="800"/>
    <n v="800"/>
    <n v="17680"/>
    <x v="1"/>
  </r>
  <r>
    <n v="2401"/>
    <x v="2400"/>
    <s v="ဆူးသြား  "/>
    <n v="2"/>
    <n v="30000"/>
    <n v="30000"/>
    <n v="50000"/>
    <x v="1"/>
  </r>
  <r>
    <n v="2402"/>
    <x v="2401"/>
    <s v="ေက်ာက္စက္ကာပြန္"/>
    <n v="29"/>
    <n v="1000"/>
    <n v="1000"/>
    <n v="13050"/>
    <x v="1"/>
  </r>
  <r>
    <n v="2403"/>
    <x v="2402"/>
    <s v="J38 10 ဝရိန္ထုပ္"/>
    <n v="6"/>
    <n v="15000"/>
    <n v="15000"/>
    <n v="75000"/>
    <x v="1"/>
  </r>
  <r>
    <n v="2404"/>
    <x v="2403"/>
    <s v="အုတ္ေဖာက္   6mm"/>
    <n v="1"/>
    <n v="1000"/>
    <n v="1000"/>
    <n v="750"/>
    <x v="1"/>
  </r>
  <r>
    <n v="2405"/>
    <x v="2404"/>
    <s v="အုတ္ေဖာက္   8mm"/>
    <n v="1"/>
    <n v="3500"/>
    <n v="3500"/>
    <n v="2300"/>
    <x v="1"/>
  </r>
  <r>
    <n v="2406"/>
    <x v="2405"/>
    <s v="အုတ္ေဖာက္   10mm"/>
    <n v="1"/>
    <n v="3500"/>
    <n v="3500"/>
    <n v="2300"/>
    <x v="1"/>
  </r>
  <r>
    <n v="2407"/>
    <x v="2406"/>
    <s v="အုတ္ေဖာက္   12mm"/>
    <n v="3"/>
    <n v="2500"/>
    <n v="2500"/>
    <n v="5400"/>
    <x v="1"/>
  </r>
  <r>
    <n v="2408"/>
    <x v="2407"/>
    <s v="မီးတိပ္"/>
    <n v="80"/>
    <n v="300"/>
    <n v="300"/>
    <n v="14640"/>
    <x v="1"/>
  </r>
  <r>
    <n v="2409"/>
    <x v="2408"/>
    <s v="139 ျမက္ရိတ္စက္ပလပ္"/>
    <n v="6"/>
    <n v="1200"/>
    <n v="1200"/>
    <n v="3300"/>
    <x v="1"/>
  </r>
  <r>
    <n v="2410"/>
    <x v="2409"/>
    <s v="Blower ဆြဲအုံ"/>
    <n v="3"/>
    <n v="3500"/>
    <n v="3500"/>
    <n v="7500"/>
    <x v="1"/>
  </r>
  <r>
    <n v="2411"/>
    <x v="2410"/>
    <s v="ဘတၳရီ ညွပ္ကလစ္(စံု)"/>
    <n v="12"/>
    <n v="500"/>
    <n v="500"/>
    <n v="3516"/>
    <x v="1"/>
  </r>
  <r>
    <n v="2412"/>
    <x v="2411"/>
    <s v="ဝရိန္ႀကိဳး "/>
    <n v="52"/>
    <n v="2000"/>
    <n v="2000"/>
    <n v="78000"/>
    <x v="1"/>
  </r>
  <r>
    <n v="2413"/>
    <x v="2412"/>
    <s v="ခ်ိန္းပူလာ(ခ်ိန္းျဖတ္)"/>
    <n v="3"/>
    <n v="8500"/>
    <n v="8500"/>
    <n v="19662"/>
    <x v="1"/>
  </r>
  <r>
    <n v="2414"/>
    <x v="2413"/>
    <s v="ေလေခါင္း (ႏွစ္ခုတစ္စုံ)20 SIZE"/>
    <n v="14"/>
    <n v="2300"/>
    <n v="2300"/>
    <n v="18200"/>
    <x v="1"/>
  </r>
  <r>
    <n v="2415"/>
    <x v="2414"/>
    <s v="6310 ေဘာ"/>
    <n v="11"/>
    <n v="9500"/>
    <n v="9500"/>
    <n v="88000"/>
    <x v="1"/>
  </r>
  <r>
    <n v="2416"/>
    <x v="2415"/>
    <s v="ကာ/တာ ၿဂိဳလ္တု"/>
    <n v="9"/>
    <n v="1000"/>
    <n v="1000"/>
    <n v="4500"/>
    <x v="1"/>
  </r>
  <r>
    <n v="2417"/>
    <x v="2416"/>
    <s v="SU 50အဝင္ဖလန္း"/>
    <n v="8"/>
    <n v="3800"/>
    <n v="3800"/>
    <n v="22400"/>
    <x v="1"/>
  </r>
  <r>
    <n v="2418"/>
    <x v="2417"/>
    <s v="SU50 အဖုံးမဲ"/>
    <n v="30"/>
    <n v="600"/>
    <n v="600"/>
    <n v="12000"/>
    <x v="1"/>
  </r>
  <r>
    <n v="2419"/>
    <x v="2418"/>
    <s v="SU 50 ေရအုပ္"/>
    <n v="3"/>
    <n v="8000"/>
    <n v="8000"/>
    <n v="20400"/>
    <x v="1"/>
  </r>
  <r>
    <n v="2420"/>
    <x v="2419"/>
    <s v="SU 50 အင္ပယ္လာ"/>
    <n v="2"/>
    <n v="8700"/>
    <n v="8700"/>
    <n v="13400"/>
    <x v="1"/>
  </r>
  <r>
    <n v="2421"/>
    <x v="2420"/>
    <s v="2 လက္မကပ္ပန္႕ေရအုပ္"/>
    <n v="3"/>
    <n v="8000"/>
    <n v="8000"/>
    <n v="13950"/>
    <x v="1"/>
  </r>
  <r>
    <n v="2422"/>
    <x v="2421"/>
    <s v="2 လက္မကပ္ပန္႕အင္ပါယ္ယာ"/>
    <n v="2"/>
    <n v="9000"/>
    <n v="9000"/>
    <n v="13800"/>
    <x v="1"/>
  </r>
  <r>
    <n v="2423"/>
    <x v="2422"/>
    <s v="ကစလခ်ည္ခင္ဖလန္း"/>
    <n v="6"/>
    <n v="4500"/>
    <n v="4500"/>
    <n v="21000"/>
    <x v="1"/>
  </r>
  <r>
    <n v="2424"/>
    <x v="2423"/>
    <s v="4လက္မLi Li ပန္႕ ေၾကြးစီး"/>
    <n v="7"/>
    <n v="6500"/>
    <n v="6500"/>
    <n v="33600"/>
    <x v="1"/>
  </r>
  <r>
    <n v="2425"/>
    <x v="2424"/>
    <s v="4လက္မကစလရွပ္"/>
    <n v="4"/>
    <n v="13000"/>
    <n v="13000"/>
    <n v="39200"/>
    <x v="1"/>
  </r>
  <r>
    <n v="2426"/>
    <x v="2425"/>
    <s v="4လက္မကစလဘယ္ေခါင္း"/>
    <n v="3"/>
    <n v="2000"/>
    <n v="2000"/>
    <n v="3900"/>
    <x v="1"/>
  </r>
  <r>
    <n v="2427"/>
    <x v="2426"/>
    <s v="9ေကာင္ဆြဲအုံစုံ(KW270)"/>
    <n v="5"/>
    <n v="14000"/>
    <n v="14000"/>
    <n v="54000"/>
    <x v="1"/>
  </r>
  <r>
    <n v="2428"/>
    <x v="2427"/>
    <s v="6 1/2 ဂတ္စကတ္မီးခံ"/>
    <n v="1"/>
    <n v="500"/>
    <n v="500"/>
    <n v="250"/>
    <x v="1"/>
  </r>
  <r>
    <n v="2429"/>
    <x v="2428"/>
    <s v="4လက္မ Li Li ပန္႕ရွပ္"/>
    <n v="3"/>
    <n v="15000"/>
    <n v="15000"/>
    <n v="36000"/>
    <x v="1"/>
  </r>
  <r>
    <n v="2430"/>
    <x v="2429"/>
    <s v="25.60.10 အဝိုက္းစီး"/>
    <n v="7"/>
    <n v="400"/>
    <n v="400"/>
    <n v="1813"/>
    <x v="1"/>
  </r>
  <r>
    <n v="2431"/>
    <x v="2430"/>
    <s v="3M AC မီးႀကိဳး"/>
    <n v="1"/>
    <n v="5800"/>
    <n v="5800"/>
    <n v="2700"/>
    <x v="1"/>
  </r>
  <r>
    <n v="2432"/>
    <x v="2431"/>
    <s v="စကူပစ္အေကာင္း (OSAKA)"/>
    <n v="2"/>
    <n v="1500"/>
    <n v="1500"/>
    <n v="1300"/>
    <x v="1"/>
  </r>
  <r>
    <n v="2433"/>
    <x v="2432"/>
    <s v="အမိုးစကူေခါင္း  8"/>
    <n v="13"/>
    <n v="800"/>
    <n v="800"/>
    <n v="5850"/>
    <x v="1"/>
  </r>
  <r>
    <n v="2434"/>
    <x v="2433"/>
    <s v="အမိုးစကူေခါင္း 10"/>
    <n v="9"/>
    <n v="1000"/>
    <n v="1000"/>
    <n v="5400"/>
    <x v="1"/>
  </r>
  <r>
    <n v="2435"/>
    <x v="2434"/>
    <s v="Honda ဆြဲအုံ ျမတ္ရိတ္စက္"/>
    <n v="1"/>
    <n v="4000"/>
    <n v="4000"/>
    <n v="2750"/>
    <x v="1"/>
  </r>
  <r>
    <n v="2436"/>
    <x v="2435"/>
    <s v="6&quot; ပလပ္စပန္နာ(ယိုး)"/>
    <n v="2"/>
    <n v="3000"/>
    <n v="3000"/>
    <n v="4400"/>
    <x v="1"/>
  </r>
  <r>
    <n v="2437"/>
    <x v="2436"/>
    <s v="7 ရစ္ပလပ္ GL"/>
    <n v="2"/>
    <n v="1300"/>
    <n v="1300"/>
    <n v="1600"/>
    <x v="1"/>
  </r>
  <r>
    <n v="2438"/>
    <x v="2437"/>
    <s v="7 1/2  Xေဇာဘူး"/>
    <n v="1"/>
    <n v="5000"/>
    <n v="5000"/>
    <n v="3750"/>
    <x v="1"/>
  </r>
  <r>
    <n v="2439"/>
    <x v="2438"/>
    <s v="Kw220 စက္သတ္ခလုတ္"/>
    <n v="9"/>
    <n v="1200"/>
    <n v="1200"/>
    <n v="6750"/>
    <x v="1"/>
  </r>
  <r>
    <n v="2440"/>
    <x v="2439"/>
    <s v="6 1/2 ေအာက္စစ္(သံ)/ဆီတိုင္ဂီဆီေခါင္း"/>
    <n v="3"/>
    <n v="500"/>
    <n v="500"/>
    <n v="600"/>
    <x v="1"/>
  </r>
  <r>
    <n v="2441"/>
    <x v="2440"/>
    <s v="DC ေရျမဳပ္ကာဗြန္"/>
    <n v="1"/>
    <n v="1500"/>
    <n v="1500"/>
    <n v="600"/>
    <x v="1"/>
  </r>
  <r>
    <n v="2442"/>
    <x v="2441"/>
    <s v="8ဆိုဒ္္သံပိတ္အဝိုင္းစီး"/>
    <n v="1"/>
    <n v="3500"/>
    <n v="3500"/>
    <n v="2500"/>
    <x v="1"/>
  </r>
  <r>
    <n v="2443"/>
    <x v="2442"/>
    <s v="13ေကာင္ဆီတိုင္ကီ"/>
    <n v="2"/>
    <n v="17000"/>
    <n v="17000"/>
    <n v="28000"/>
    <x v="1"/>
  </r>
  <r>
    <n v="2444"/>
    <x v="2443"/>
    <s v="R175 ကရုိင္း "/>
    <n v="1"/>
    <n v="28000"/>
    <n v="28000"/>
    <n v="13000"/>
    <x v="1"/>
  </r>
  <r>
    <n v="2445"/>
    <x v="2444"/>
    <s v="ေၾကးကလစ္ၾကီး"/>
    <n v="18"/>
    <n v="300"/>
    <n v="300"/>
    <n v="3420"/>
    <x v="1"/>
  </r>
  <r>
    <n v="2446"/>
    <x v="2445"/>
    <s v="185 ပင္စတင္ 10ေကာင္"/>
    <n v="1"/>
    <n v="9500"/>
    <n v="9500"/>
    <n v="6500"/>
    <x v="1"/>
  </r>
  <r>
    <n v="2447"/>
    <x v="2446"/>
    <s v="ႏွစ္ဖက္ပိုက္ဆက္"/>
    <n v="5"/>
    <n v="1000"/>
    <n v="1000"/>
    <n v="1750"/>
    <x v="1"/>
  </r>
  <r>
    <n v="2448"/>
    <x v="2447"/>
    <s v="Su-80 အထြက္ေဂါက္"/>
    <n v="2"/>
    <n v="8500"/>
    <n v="8500"/>
    <n v="13600"/>
    <x v="1"/>
  </r>
  <r>
    <n v="2449"/>
    <x v="2448"/>
    <s v="ေရခ်ဴေခါင္း"/>
    <n v="2"/>
    <n v="600"/>
    <n v="600"/>
    <n v="800"/>
    <x v="1"/>
  </r>
  <r>
    <n v="2450"/>
    <x v="2449"/>
    <s v="R175 ကီးစံု(56)"/>
    <n v="23"/>
    <n v="800"/>
    <n v="800"/>
    <n v="16100"/>
    <x v="1"/>
  </r>
  <r>
    <n v="2451"/>
    <x v="2450"/>
    <s v="3မက္ ေရေမာ္တာ အဝိုင္းစီး "/>
    <n v="67"/>
    <n v="1500"/>
    <n v="1500"/>
    <n v="53600"/>
    <x v="1"/>
  </r>
  <r>
    <n v="2452"/>
    <x v="2451"/>
    <s v="တေကာင္ ေရေမာ္တာ အဝိုင္းစီး"/>
    <n v="2"/>
    <n v="1200"/>
    <n v="1200"/>
    <n v="1400"/>
    <x v="1"/>
  </r>
  <r>
    <n v="2453"/>
    <x v="2452"/>
    <s v="6203 ေဘာ"/>
    <n v="3"/>
    <n v="1000"/>
    <n v="1000"/>
    <n v="1500"/>
    <x v="1"/>
  </r>
  <r>
    <n v="2454"/>
    <x v="2453"/>
    <s v="Lကီး Set (အေသး)"/>
    <n v="11"/>
    <n v="1900"/>
    <n v="1900"/>
    <n v="15400"/>
    <x v="1"/>
  </r>
  <r>
    <n v="2455"/>
    <x v="2454"/>
    <s v="12×13 ဂြဂြ"/>
    <n v="12"/>
    <n v="1800"/>
    <n v="1800"/>
    <n v="13800"/>
    <x v="1"/>
  </r>
  <r>
    <n v="2456"/>
    <x v="2455"/>
    <s v="14×15 ဂြဂြ"/>
    <n v="10"/>
    <n v="2000"/>
    <n v="2000"/>
    <n v="14500"/>
    <x v="1"/>
  </r>
  <r>
    <n v="2457"/>
    <x v="2456"/>
    <s v="16×17 ဂြဂြ"/>
    <n v="6"/>
    <n v="2000"/>
    <n v="2000"/>
    <n v="9900"/>
    <x v="1"/>
  </r>
  <r>
    <n v="2458"/>
    <x v="2457"/>
    <s v="8×10 ဂြဂြ"/>
    <n v="5"/>
    <n v="1200"/>
    <n v="1200"/>
    <n v="3500"/>
    <x v="1"/>
  </r>
  <r>
    <n v="2459"/>
    <x v="2458"/>
    <s v="608 DD (ေရျမဳပ္)"/>
    <n v="8"/>
    <n v="1000"/>
    <n v="1000"/>
    <n v="4000"/>
    <x v="1"/>
  </r>
  <r>
    <n v="2460"/>
    <x v="2459"/>
    <s v="8 လက္မ ပူလာ"/>
    <n v="1"/>
    <n v="13500"/>
    <n v="13500"/>
    <n v="10500"/>
    <x v="1"/>
  </r>
  <r>
    <n v="2461"/>
    <x v="2460"/>
    <s v="8လက္မ ပလာယာ"/>
    <n v="2"/>
    <n v="5000"/>
    <n v="5000"/>
    <n v="7000"/>
    <x v="1"/>
  </r>
  <r>
    <n v="2462"/>
    <x v="2461"/>
    <s v="8×10×12 သံုးဘက္စပန္နာ"/>
    <n v="3"/>
    <n v="2300"/>
    <n v="2300"/>
    <n v="4050"/>
    <x v="1"/>
  </r>
  <r>
    <n v="2463"/>
    <x v="2462"/>
    <s v="12×14×17 သံုးဘက္စပန္နာ"/>
    <n v="3"/>
    <n v="2000"/>
    <n v="2000"/>
    <n v="4950"/>
    <x v="1"/>
  </r>
  <r>
    <n v="2464"/>
    <x v="2463"/>
    <s v=" 5/6 ေရေကာ္  MSD"/>
    <n v="10"/>
    <n v="2000"/>
    <n v="2000"/>
    <n v="14000"/>
    <x v="1"/>
  </r>
  <r>
    <n v="2465"/>
    <x v="2464"/>
    <s v=" 13 ေရေကာ္  MSD"/>
    <n v="2"/>
    <n v="3000"/>
    <n v="3000"/>
    <n v="2400"/>
    <x v="1"/>
  </r>
  <r>
    <n v="2466"/>
    <x v="2465"/>
    <s v="7 1/2 ဘားတံ"/>
    <n v="6"/>
    <n v="1600"/>
    <n v="1600"/>
    <n v="6600"/>
    <x v="1"/>
  </r>
  <r>
    <n v="2467"/>
    <x v="2466"/>
    <s v="7 1/2  ပစၥတင္+ရိန္း"/>
    <n v="6"/>
    <n v="6000"/>
    <n v="6000"/>
    <n v="24000"/>
    <x v="1"/>
  </r>
  <r>
    <n v="2468"/>
    <x v="2467"/>
    <s v="3ပင္ေခါင္းၾကီး"/>
    <n v="7"/>
    <n v="1500"/>
    <n v="1500"/>
    <n v="5600"/>
    <x v="1"/>
  </r>
  <r>
    <n v="2469"/>
    <x v="2468"/>
    <s v="4 လက္မ ရိန္းကလစ္"/>
    <n v="4"/>
    <n v="7500"/>
    <n v="7500"/>
    <n v="24000"/>
    <x v="1"/>
  </r>
  <r>
    <n v="2470"/>
    <x v="2469"/>
    <s v="10 ပြန္က်ဴတမတ္ 6MM"/>
    <n v="11"/>
    <n v="1500"/>
    <n v="1500"/>
    <n v="8800"/>
    <x v="1"/>
  </r>
  <r>
    <n v="2471"/>
    <x v="2470"/>
    <s v="5/16 ပြန္က်ဴငါးပဲ"/>
    <n v="2"/>
    <n v="1500"/>
    <n v="1500"/>
    <n v="2400"/>
    <x v="1"/>
  </r>
  <r>
    <n v="2472"/>
    <x v="2471"/>
    <s v="ခ်ိန္းေစာ တံစဥ္း"/>
    <n v="1"/>
    <n v="2000"/>
    <n v="2000"/>
    <n v="950"/>
    <x v="1"/>
  </r>
  <r>
    <n v="2473"/>
    <x v="2472"/>
    <s v="10 PCS ေက်ာက္တိုင္ (ေက်ာက္လံုးကဒ္)"/>
    <n v="4"/>
    <n v="4500"/>
    <n v="4500"/>
    <n v="12800"/>
    <x v="1"/>
  </r>
  <r>
    <n v="2474"/>
    <x v="2473"/>
    <s v="6PC တံစဥ္းကတ္ / စိန္ကတ္"/>
    <n v="1"/>
    <n v="6000"/>
    <n v="6000"/>
    <n v="4300"/>
    <x v="1"/>
  </r>
  <r>
    <n v="2475"/>
    <x v="2474"/>
    <s v="500×12 ေဂြ+တာယာစံု"/>
    <n v="1"/>
    <n v="50000"/>
    <n v="50000"/>
    <n v="45000"/>
    <x v="1"/>
  </r>
  <r>
    <n v="2476"/>
    <x v="2475"/>
    <s v="ကရိုင္ေပါင္ဒါ "/>
    <n v="25"/>
    <n v="1000"/>
    <n v="1000"/>
    <n v="16250"/>
    <x v="1"/>
  </r>
  <r>
    <n v="2477"/>
    <x v="2476"/>
    <s v="6 1/2 သံပတ္"/>
    <n v="11"/>
    <n v="1000"/>
    <n v="1000"/>
    <n v="7700"/>
    <x v="1"/>
  </r>
  <r>
    <n v="2478"/>
    <x v="2477"/>
    <s v="3 မတ္ ပိုက္ကလစ္"/>
    <n v="104"/>
    <n v="300"/>
    <n v="300"/>
    <n v="4680"/>
    <x v="1"/>
  </r>
  <r>
    <n v="2479"/>
    <x v="2478"/>
    <s v="1 HP  AC ေရျမဳပ္ပန့္္"/>
    <n v="1"/>
    <n v="97000"/>
    <n v="97000"/>
    <n v="75000"/>
    <x v="1"/>
  </r>
  <r>
    <n v="2480"/>
    <x v="2479"/>
    <s v="35.60.10 အဝိုင္းစီး "/>
    <n v="15"/>
    <n v="600"/>
    <n v="600"/>
    <n v="4500"/>
    <x v="1"/>
  </r>
  <r>
    <n v="2481"/>
    <x v="2480"/>
    <s v="Super Glue(အလတ္)"/>
    <n v="1"/>
    <n v="300"/>
    <n v="300"/>
    <n v="250"/>
    <x v="1"/>
  </r>
  <r>
    <n v="2482"/>
    <x v="2481"/>
    <s v="DF-24သြား ဂဲကာသံျပား"/>
    <n v="2"/>
    <n v="18000"/>
    <n v="18000"/>
    <n v="17980"/>
    <x v="1"/>
  </r>
  <r>
    <n v="2483"/>
    <x v="2482"/>
    <s v="10 ဂြင္းဂြ"/>
    <n v="6"/>
    <n v="1500"/>
    <n v="1500"/>
    <n v="6300"/>
    <x v="1"/>
  </r>
  <r>
    <n v="2484"/>
    <x v="2483"/>
    <s v="12 ဂြင္းဂြ"/>
    <n v="9"/>
    <n v="1700"/>
    <n v="1700"/>
    <n v="10800"/>
    <x v="1"/>
  </r>
  <r>
    <n v="2485"/>
    <x v="2484"/>
    <s v="13 ဂြင္းဂြ"/>
    <n v="5"/>
    <n v="1500"/>
    <n v="1500"/>
    <n v="5000"/>
    <x v="1"/>
  </r>
  <r>
    <n v="2486"/>
    <x v="2485"/>
    <s v="16 ဂြင္းဂြ"/>
    <n v="7"/>
    <n v="1700"/>
    <n v="1700"/>
    <n v="8750"/>
    <x v="1"/>
  </r>
  <r>
    <n v="2487"/>
    <x v="2486"/>
    <s v="17 ဂြင္းဂြ"/>
    <n v="8"/>
    <n v="2200"/>
    <n v="2200"/>
    <n v="15200"/>
    <x v="1"/>
  </r>
  <r>
    <n v="2488"/>
    <x v="2487"/>
    <s v="19 ဂြင္းဂြ"/>
    <n v="10"/>
    <n v="3000"/>
    <n v="3000"/>
    <n v="22000"/>
    <x v="1"/>
  </r>
  <r>
    <n v="2489"/>
    <x v="2488"/>
    <s v="ဆီလံုဝါရွာ 5မူး"/>
    <n v="129"/>
    <n v="50"/>
    <n v="50"/>
    <n v="3870"/>
    <x v="1"/>
  </r>
  <r>
    <n v="2490"/>
    <x v="2489"/>
    <s v="5 ပဲဆီလံုဝါရွာ (သံ) (JW)"/>
    <n v="89"/>
    <n v="50"/>
    <n v="50"/>
    <n v="1246"/>
    <x v="1"/>
  </r>
  <r>
    <n v="2491"/>
    <x v="2490"/>
    <s v="ေတာက္_x000d__x000a_"/>
    <n v="2"/>
    <n v="2000"/>
    <n v="2000"/>
    <n v="2000"/>
    <x v="1"/>
  </r>
  <r>
    <n v="2492"/>
    <x v="2491"/>
    <s v="ငွက္လႊ"/>
    <n v="7"/>
    <n v="400"/>
    <n v="400"/>
    <n v="2100"/>
    <x v="1"/>
  </r>
  <r>
    <n v="2493"/>
    <x v="2492"/>
    <s v="1 မီလီ ေက်ာက္ျပား"/>
    <n v="6"/>
    <n v="500"/>
    <n v="500"/>
    <n v="2016"/>
    <x v="1"/>
  </r>
  <r>
    <n v="2494"/>
    <x v="2493"/>
    <s v="KKK ပဲ့ေထာင္ဘြတ္(3မတ္)"/>
    <n v="10"/>
    <n v="1000"/>
    <n v="1000"/>
    <n v="7000"/>
    <x v="1"/>
  </r>
  <r>
    <n v="2495"/>
    <x v="2494"/>
    <s v="50.72.12 အဝိုင္းစီး"/>
    <n v="12"/>
    <n v="600"/>
    <n v="600"/>
    <n v="4800"/>
    <x v="1"/>
  </r>
  <r>
    <n v="2496"/>
    <x v="2495"/>
    <s v="13/16 ေကာင္ကာဗရိုက္တာ(KAWA)"/>
    <n v="2"/>
    <n v="15000"/>
    <n v="15000"/>
    <n v="24000"/>
    <x v="1"/>
  </r>
  <r>
    <n v="2497"/>
    <x v="2496"/>
    <s v="18 × 19 ဂြဂြ"/>
    <n v="4"/>
    <n v="2200"/>
    <n v="2200"/>
    <n v="5800"/>
    <x v="1"/>
  </r>
  <r>
    <n v="2498"/>
    <x v="2497"/>
    <s v="10 T (CH)"/>
    <n v="10"/>
    <n v="2000"/>
    <n v="2000"/>
    <n v="13500"/>
    <x v="1"/>
  </r>
  <r>
    <n v="2499"/>
    <x v="2498"/>
    <s v="12 T (CH)"/>
    <n v="10"/>
    <n v="2000"/>
    <n v="2000"/>
    <n v="13500"/>
    <x v="1"/>
  </r>
  <r>
    <n v="2500"/>
    <x v="2499"/>
    <s v="နီ 5/6 ကင္းမရွပ္နတ္"/>
    <n v="9"/>
    <n v="500"/>
    <n v="500"/>
    <n v="2700"/>
    <x v="1"/>
  </r>
  <r>
    <n v="2501"/>
    <x v="2500"/>
    <s v="DF စီယာတိုင္ေဂြ (JW)"/>
    <n v="1"/>
    <n v="10500"/>
    <n v="10500"/>
    <n v="7500"/>
    <x v="1"/>
  </r>
  <r>
    <n v="2502"/>
    <x v="2501"/>
    <s v="7 1/2 ဘားကိုက္"/>
    <n v="12"/>
    <n v="1000"/>
    <n v="1000"/>
    <n v="7200"/>
    <x v="1"/>
  </r>
  <r>
    <n v="2503"/>
    <x v="2502"/>
    <s v="J38 12 ဝရိန္ထုပ္"/>
    <n v="3"/>
    <n v="9000"/>
    <n v="9000"/>
    <n v="19500"/>
    <x v="1"/>
  </r>
  <r>
    <n v="2504"/>
    <x v="2503"/>
    <s v="DF ဖင္ထိုင္ရွပ္တန္း_x000d__x000a_ွ"/>
    <n v="2"/>
    <n v="10000"/>
    <n v="10000"/>
    <n v="10000"/>
    <x v="1"/>
  </r>
  <r>
    <n v="2505"/>
    <x v="2504"/>
    <s v="DF ခရင္းဂြ"/>
    <n v="1"/>
    <n v="54000"/>
    <n v="54000"/>
    <n v="26829"/>
    <x v="1"/>
  </r>
  <r>
    <n v="2506"/>
    <x v="2505"/>
    <s v="DF လိုက္သံဘီး"/>
    <n v="3"/>
    <n v="15000"/>
    <n v="15000"/>
    <n v="30000"/>
    <x v="1"/>
  </r>
  <r>
    <n v="2507"/>
    <x v="2506"/>
    <s v="သြားတိုက္ သံဗရပ္"/>
    <n v="1"/>
    <n v="600"/>
    <n v="600"/>
    <n v="480"/>
    <x v="1"/>
  </r>
  <r>
    <n v="2508"/>
    <x v="2507"/>
    <s v="လက္ကိုင္ သံဗရပ္"/>
    <n v="15"/>
    <n v="350"/>
    <n v="350"/>
    <n v="3495"/>
    <x v="1"/>
  </r>
  <r>
    <n v="2509"/>
    <x v="2508"/>
    <s v="တစ္ဖက္ထီးရိုး ဗရပ္"/>
    <n v="5"/>
    <n v="300"/>
    <n v="300"/>
    <n v="900"/>
    <x v="1"/>
  </r>
  <r>
    <n v="2510"/>
    <x v="2509"/>
    <s v="13 T (CH)"/>
    <n v="7"/>
    <n v="1800"/>
    <n v="1800"/>
    <n v="9100"/>
    <x v="1"/>
  </r>
  <r>
    <n v="2511"/>
    <x v="2510"/>
    <s v="8 T (CH)"/>
    <n v="6"/>
    <n v="2000"/>
    <n v="2000"/>
    <n v="7500"/>
    <x v="1"/>
  </r>
  <r>
    <n v="2512"/>
    <x v="2511"/>
    <s v="ေကာ္နီ"/>
    <n v="19"/>
    <n v="3500"/>
    <n v="3500"/>
    <n v="58577"/>
    <x v="1"/>
  </r>
  <r>
    <n v="2513"/>
    <x v="2512"/>
    <s v="ခဲကြင္းၾကီး"/>
    <n v="15"/>
    <n v="500"/>
    <n v="500"/>
    <n v="3300"/>
    <x v="1"/>
  </r>
  <r>
    <n v="2514"/>
    <x v="2513"/>
    <s v="ခဲကြင္းေသး"/>
    <n v="14"/>
    <n v="200"/>
    <n v="200"/>
    <n v="1960"/>
    <x v="1"/>
  </r>
  <r>
    <n v="2515"/>
    <x v="2514"/>
    <s v="အမိုးကိုင္းဘက္မွန္အေသး"/>
    <n v="2"/>
    <n v="6500"/>
    <n v="6500"/>
    <n v="10000"/>
    <x v="1"/>
  </r>
  <r>
    <n v="2516"/>
    <x v="2515"/>
    <s v="အမိုးကိုင္းဘက္မွန္ အႀကီး"/>
    <n v="3"/>
    <n v="8000"/>
    <n v="8000"/>
    <n v="18000"/>
    <x v="1"/>
  </r>
  <r>
    <n v="2517"/>
    <x v="2516"/>
    <s v="DF 24 သြားထြန္ခံုဖုံး"/>
    <n v="3"/>
    <n v="36000"/>
    <n v="36000"/>
    <n v="60300"/>
    <x v="1"/>
  </r>
  <r>
    <n v="2518"/>
    <x v="2517"/>
    <s v="DF သဲကာသားေရျပား"/>
    <n v="2"/>
    <n v="10200"/>
    <n v="10200"/>
    <n v="10000"/>
    <x v="1"/>
  </r>
  <r>
    <n v="2519"/>
    <x v="2518"/>
    <s v="ဝက္အူလွည့္ အျပား"/>
    <n v="1"/>
    <n v="1200"/>
    <n v="1200"/>
    <n v="975"/>
    <x v="1"/>
  </r>
  <r>
    <n v="2520"/>
    <x v="2519"/>
    <s v="ပလန္ခ်ာ ေခြးသြားစိတ္_x000d__x000a_"/>
    <n v="40"/>
    <n v="2000"/>
    <n v="2000"/>
    <n v="60000"/>
    <x v="1"/>
  </r>
  <r>
    <n v="2521"/>
    <x v="2520"/>
    <s v="12 စပန္နာသီး"/>
    <n v="8"/>
    <n v="1500"/>
    <n v="1500"/>
    <n v="8800"/>
    <x v="1"/>
  </r>
  <r>
    <n v="2522"/>
    <x v="2521"/>
    <s v="14 စပန္နာသီး"/>
    <n v="4"/>
    <n v="1200"/>
    <n v="1200"/>
    <n v="3000"/>
    <x v="1"/>
  </r>
  <r>
    <n v="2523"/>
    <x v="2522"/>
    <s v="17 စပန္နာသီး"/>
    <n v="6"/>
    <n v="1400"/>
    <n v="1400"/>
    <n v="5400"/>
    <x v="1"/>
  </r>
  <r>
    <n v="2524"/>
    <x v="2523"/>
    <s v="19 စပန္နာသီး"/>
    <n v="16"/>
    <n v="1700"/>
    <n v="1700"/>
    <n v="16000"/>
    <x v="1"/>
  </r>
  <r>
    <n v="2525"/>
    <x v="2524"/>
    <s v="21 စပန္နာသီး"/>
    <n v="3"/>
    <n v="2000"/>
    <n v="2000"/>
    <n v="3450"/>
    <x v="1"/>
  </r>
  <r>
    <n v="2526"/>
    <x v="2525"/>
    <s v="10 စပန္နာသီး"/>
    <n v="3"/>
    <n v="850"/>
    <n v="850"/>
    <n v="1950"/>
    <x v="1"/>
  </r>
  <r>
    <n v="2527"/>
    <x v="2526"/>
    <s v="စက္တံတို"/>
    <n v="2"/>
    <n v="2500"/>
    <n v="2500"/>
    <n v="3400"/>
    <x v="1"/>
  </r>
  <r>
    <n v="2528"/>
    <x v="2527"/>
    <s v="6210  HCH ေဘာ"/>
    <n v="2"/>
    <n v="8500"/>
    <n v="8500"/>
    <n v="15000"/>
    <x v="1"/>
  </r>
  <r>
    <n v="2529"/>
    <x v="2528"/>
    <s v="ရစ္ခ်က္ "/>
    <n v="1"/>
    <n v="11500"/>
    <n v="11500"/>
    <n v="9500"/>
    <x v="1"/>
  </r>
  <r>
    <n v="2530"/>
    <x v="2529"/>
    <s v="22 ×24 ဂြဂြ"/>
    <n v="2"/>
    <n v="2350"/>
    <n v="2350"/>
    <n v="3600"/>
    <x v="1"/>
  </r>
  <r>
    <n v="2531"/>
    <x v="2530"/>
    <s v="အင္ဂ်င္ပူလီ 185 . 4x 3"/>
    <n v="5"/>
    <n v="8200"/>
    <n v="8200"/>
    <n v="24000"/>
    <x v="1"/>
  </r>
  <r>
    <n v="2532"/>
    <x v="2531"/>
    <s v="မီးစက္ကာဗြန္အိမ္ CH"/>
    <n v="7"/>
    <n v="1200"/>
    <n v="1200"/>
    <n v="3500"/>
    <x v="1"/>
  </r>
  <r>
    <n v="2533"/>
    <x v="2532"/>
    <s v="3KW ကာဗြန္အိမ္ ကလစ္"/>
    <n v="119"/>
    <n v="500"/>
    <n v="500"/>
    <n v="29750"/>
    <x v="1"/>
  </r>
  <r>
    <n v="2534"/>
    <x v="2533"/>
    <s v="14-ဘတ္ၾကိဳး"/>
    <n v="1"/>
    <n v="3500"/>
    <n v="3500"/>
    <n v="1500"/>
    <x v="1"/>
  </r>
  <r>
    <n v="2535"/>
    <x v="2534"/>
    <s v="ေရေပၚပန့္ဒလတ္ (Pump Impeller)"/>
    <n v="3"/>
    <n v="3500"/>
    <n v="3500"/>
    <n v="5550"/>
    <x v="1"/>
  </r>
  <r>
    <n v="2536"/>
    <x v="2535"/>
    <s v="QF-30A1 ကားေရေဆးပန္႔(ေဘာ္ဒီအလြတ္)"/>
    <n v="1"/>
    <n v="90000"/>
    <n v="90000"/>
    <n v="72000"/>
    <x v="1"/>
  </r>
  <r>
    <n v="2537"/>
    <x v="2536"/>
    <s v="တူးေဘာက္ (အၾကီး)"/>
    <n v="1"/>
    <n v="15000"/>
    <n v="15000"/>
    <n v="11000"/>
    <x v="1"/>
  </r>
  <r>
    <n v="2538"/>
    <x v="2537"/>
    <s v="6&quot;CLAPPER သစ္သားဘူး"/>
    <n v="1"/>
    <n v="7000"/>
    <n v="7000"/>
    <n v="5000"/>
    <x v="1"/>
  </r>
  <r>
    <n v="2539"/>
    <x v="2538"/>
    <s v="Kawa 7 1/2 (လက္ေဟာင္း)"/>
    <n v="1"/>
    <n v="198000"/>
    <n v="198000"/>
    <n v="183000"/>
    <x v="1"/>
  </r>
  <r>
    <n v="2540"/>
    <x v="2539"/>
    <s v="မီးစက္တြဲ 1500W"/>
    <n v="1"/>
    <n v="225000"/>
    <n v="225000"/>
    <n v="195000"/>
    <x v="1"/>
  </r>
  <r>
    <n v="2541"/>
    <x v="2540"/>
    <s v="4လက္မ(ကစလ)ပန္႔အင္ပါယ္လာ(8)"/>
    <n v="1"/>
    <n v="19000"/>
    <n v="19000"/>
    <n v="15600"/>
    <x v="1"/>
  </r>
  <r>
    <n v="2542"/>
    <x v="2541"/>
    <s v="4&quot; ပိုက္ကလစ္ ပါး 2 ျခမ္း/ထူ"/>
    <n v="1"/>
    <n v="1000"/>
    <n v="1000"/>
    <n v="700"/>
    <x v="1"/>
  </r>
  <r>
    <n v="2543"/>
    <x v="2542"/>
    <s v="11.5ခ်ိန္းေစာ(4&quot;ေက်ာက္စက္)"/>
    <n v="3"/>
    <n v="20000"/>
    <n v="20000"/>
    <n v="40500"/>
    <x v="1"/>
  </r>
  <r>
    <n v="2544"/>
    <x v="2543"/>
    <s v="6 1/2  ကိြဳင္"/>
    <n v="3"/>
    <n v="5000"/>
    <n v="5000"/>
    <n v="10500"/>
    <x v="1"/>
  </r>
  <r>
    <n v="2545"/>
    <x v="2544"/>
    <s v="4&quot;အဝင္ 2&quot; အထြက္ ေဆာ့ကက္"/>
    <n v="1"/>
    <n v="2000"/>
    <n v="2000"/>
    <n v="1500"/>
    <x v="1"/>
  </r>
  <r>
    <n v="2546"/>
    <x v="2545"/>
    <s v="4လက္မဘီလူးေခါင္းသေရျပား"/>
    <n v="11"/>
    <n v="1000"/>
    <n v="1000"/>
    <n v="5500"/>
    <x v="1"/>
  </r>
  <r>
    <n v="2547"/>
    <x v="2546"/>
    <s v="SU 50 ရွပ္ ဘယ္ရစ္ေခါင္း"/>
    <n v="9"/>
    <n v="800"/>
    <n v="800"/>
    <n v="2700"/>
    <x v="1"/>
  </r>
  <r>
    <n v="2548"/>
    <x v="2547"/>
    <s v="3 1/2 ကလစ္"/>
    <n v="1"/>
    <n v="700"/>
    <n v="700"/>
    <n v="450"/>
    <x v="1"/>
  </r>
  <r>
    <n v="2549"/>
    <x v="2548"/>
    <s v="ခ်က္ေခါင္းကီး (ေသး)_x000d__x000a_"/>
    <n v="5"/>
    <n v="1500"/>
    <n v="1500"/>
    <n v="5000"/>
    <x v="1"/>
  </r>
  <r>
    <n v="2550"/>
    <x v="2549"/>
    <s v="3 လက္မ ပိုက္ကလစ္(၂ျခမ္း)"/>
    <n v="8"/>
    <n v="1000"/>
    <n v="1000"/>
    <n v="4800"/>
    <x v="1"/>
  </r>
  <r>
    <n v="2551"/>
    <x v="2550"/>
    <s v="6 1/2 စက္သတ္ခလုတ္"/>
    <n v="1"/>
    <n v="1000"/>
    <n v="1000"/>
    <n v="600"/>
    <x v="1"/>
  </r>
  <r>
    <n v="2552"/>
    <x v="2551"/>
    <s v="Kawa 7 1/2 ဘေလာက္အိုး"/>
    <n v="2"/>
    <n v="43000"/>
    <n v="43000"/>
    <n v="47400"/>
    <x v="1"/>
  </r>
  <r>
    <n v="2553"/>
    <x v="2552"/>
    <s v="6 1/2 X 2ရြက္ပန္ကာ"/>
    <n v="7"/>
    <n v="2000"/>
    <n v="2000"/>
    <n v="9100"/>
    <x v="1"/>
  </r>
  <r>
    <n v="2554"/>
    <x v="2553"/>
    <s v="45x3  6.5 အထိုင္ပီနီယံ"/>
    <n v="12"/>
    <n v="7000"/>
    <n v="7000"/>
    <n v="61200"/>
    <x v="1"/>
  </r>
  <r>
    <n v="2555"/>
    <x v="2554"/>
    <s v="62ဆစ္X 3လိုင္းခ်ိန္း"/>
    <n v="1"/>
    <n v="10000"/>
    <n v="10000"/>
    <n v="7500"/>
    <x v="1"/>
  </r>
  <r>
    <n v="2556"/>
    <x v="2555"/>
    <s v="15x3 6.5အထိုင္ပီနီယံ(စက္ေလွ)"/>
    <n v="11"/>
    <n v="3000"/>
    <n v="3000"/>
    <n v="23837"/>
    <x v="1"/>
  </r>
  <r>
    <n v="2557"/>
    <x v="2556"/>
    <s v="9ေကာင္ပါကင္စံု_x000d__x000a_"/>
    <n v="3"/>
    <n v="3000"/>
    <n v="3000"/>
    <n v="7500"/>
    <x v="1"/>
  </r>
  <r>
    <n v="2558"/>
    <x v="2557"/>
    <s v="9ေကာင္ ဘားတံ"/>
    <n v="2"/>
    <n v="2300"/>
    <n v="2300"/>
    <n v="3200"/>
    <x v="1"/>
  </r>
  <r>
    <n v="2559"/>
    <x v="2558"/>
    <s v="9ေကာင္ _x000d__x000a_ဘားကိုက္ "/>
    <n v="1"/>
    <n v="1500"/>
    <n v="1500"/>
    <n v="1000"/>
    <x v="1"/>
  </r>
  <r>
    <n v="2560"/>
    <x v="2559"/>
    <s v="GX390 13/16ကာဗရိုက္တာ_x000d__x000a_"/>
    <n v="2"/>
    <n v="12000"/>
    <n v="12000"/>
    <n v="17600"/>
    <x v="1"/>
  </r>
  <r>
    <n v="2561"/>
    <x v="2560"/>
    <s v="7 1/2  အဲယားဘူး (မဲ)"/>
    <n v="5"/>
    <n v="3500"/>
    <n v="3500"/>
    <n v="10750"/>
    <x v="1"/>
  </r>
  <r>
    <n v="2562"/>
    <x v="2561"/>
    <s v="390 (13ေကာင္ ပါကင္စံု) NGN"/>
    <n v="1"/>
    <n v="1800"/>
    <n v="1800"/>
    <n v="1300"/>
    <x v="1"/>
  </r>
  <r>
    <n v="2563"/>
    <x v="2562"/>
    <s v="Kawa 7-5 ကိြဳင္"/>
    <n v="3"/>
    <n v="8000"/>
    <n v="8000"/>
    <n v="16050"/>
    <x v="1"/>
  </r>
  <r>
    <n v="2564"/>
    <x v="2563"/>
    <s v="1 လက္မကလစ္ (၁၅၀)"/>
    <n v="20"/>
    <n v="250"/>
    <n v="250"/>
    <n v="3000"/>
    <x v="1"/>
  </r>
  <r>
    <n v="2565"/>
    <x v="2564"/>
    <s v="8.10.12 (သံုးဘက္)"/>
    <n v="13"/>
    <n v="2500"/>
    <n v="2500"/>
    <n v="22750"/>
    <x v="1"/>
  </r>
  <r>
    <n v="2566"/>
    <x v="2565"/>
    <s v="139 လီဘာကိုင္း ညာ "/>
    <n v="7"/>
    <n v="6000"/>
    <n v="6000"/>
    <n v="35315"/>
    <x v="1"/>
  </r>
  <r>
    <n v="2567"/>
    <x v="2566"/>
    <s v="ျမတ္ရိတ္စက္ လြယ္ၾကိဳး (အေသး)"/>
    <n v="3"/>
    <n v="2300"/>
    <n v="2300"/>
    <n v="3600"/>
    <x v="1"/>
  </r>
  <r>
    <n v="2568"/>
    <x v="2567"/>
    <s v="6 1/2 /(7 1/2) အိတ္ေဇာမီးခံကြင္း"/>
    <n v="14"/>
    <n v="100"/>
    <n v="100"/>
    <n v="840"/>
    <x v="1"/>
  </r>
  <r>
    <n v="2569"/>
    <x v="2568"/>
    <s v="Kawa7-5 ေလကာဘာ "/>
    <n v="3"/>
    <n v="7500"/>
    <n v="7500"/>
    <n v="16200"/>
    <x v="1"/>
  </r>
  <r>
    <n v="2570"/>
    <x v="2569"/>
    <s v="3KW ဒိုင္နမို ကာပြန္"/>
    <n v="13"/>
    <n v="1200"/>
    <n v="1200"/>
    <n v="6500"/>
    <x v="1"/>
  </r>
  <r>
    <n v="2571"/>
    <x v="2570"/>
    <s v=" 35 ကာ/တာ (ျမက္ရိတ္)"/>
    <n v="2"/>
    <n v="8500"/>
    <n v="8500"/>
    <n v="14000"/>
    <x v="1"/>
  </r>
  <r>
    <n v="2572"/>
    <x v="2571"/>
    <s v="ျမတ္ရိတ္စက္ ဘယ္ရစ္နတ္"/>
    <n v="5"/>
    <n v="500"/>
    <n v="500"/>
    <n v="1150"/>
    <x v="1"/>
  </r>
  <r>
    <n v="2573"/>
    <x v="2572"/>
    <s v="6 1/2 ကာပရိုက္တာ ဖလန္း"/>
    <n v="3"/>
    <n v="1000"/>
    <n v="1000"/>
    <n v="1050"/>
    <x v="1"/>
  </r>
  <r>
    <n v="2574"/>
    <x v="2573"/>
    <s v="ျမတ္ရိတ္စက္ ဖလွိဳင္းဝွီး"/>
    <n v="1"/>
    <n v="8500"/>
    <n v="8500"/>
    <n v="4000"/>
    <x v="1"/>
  </r>
  <r>
    <n v="2575"/>
    <x v="2574"/>
    <s v="8လက္မ တံစဥ္း"/>
    <n v="5"/>
    <n v="2000"/>
    <n v="2000"/>
    <n v="6670"/>
    <x v="1"/>
  </r>
  <r>
    <n v="2576"/>
    <x v="2575"/>
    <s v="UCP 207 ေဘာ"/>
    <n v="2"/>
    <n v="8000"/>
    <n v="8000"/>
    <n v="13000"/>
    <x v="1"/>
  </r>
  <r>
    <n v="2577"/>
    <x v="2576"/>
    <s v="ျမက္ရိတ္စက္ ေဘာ"/>
    <n v="3"/>
    <n v="550"/>
    <n v="550"/>
    <n v="1050"/>
    <x v="1"/>
  </r>
  <r>
    <n v="2578"/>
    <x v="2577"/>
    <s v="3 Kw ေၾကးကြင္းႀကီး"/>
    <n v="2"/>
    <n v="9000"/>
    <n v="9000"/>
    <n v="11000"/>
    <x v="1"/>
  </r>
  <r>
    <n v="2579"/>
    <x v="2578"/>
    <s v="3Kw ဖိုက္ဗာတန္းတို"/>
    <n v="6"/>
    <n v="1000"/>
    <n v="1000"/>
    <n v="1560"/>
    <x v="1"/>
  </r>
  <r>
    <n v="2580"/>
    <x v="2579"/>
    <s v="ျမက္ရိတ္စက္ ေဘာ(6002)"/>
    <n v="10"/>
    <n v="1200"/>
    <n v="1200"/>
    <n v="8000"/>
    <x v="1"/>
  </r>
  <r>
    <n v="2581"/>
    <x v="2580"/>
    <s v="DC 12V 500W ဒိုင္နမုိ"/>
    <n v="1"/>
    <n v="35000"/>
    <n v="35000"/>
    <n v="26000"/>
    <x v="1"/>
  </r>
  <r>
    <n v="2582"/>
    <x v="2581"/>
    <s v="ျမတ္ ။လီဘာကိုင္း အထိုင္ (ေရာ္ဘာပါ)"/>
    <n v="1"/>
    <n v="3000"/>
    <n v="3000"/>
    <n v="2000"/>
    <x v="1"/>
  </r>
  <r>
    <n v="2583"/>
    <x v="2582"/>
    <s v="L ကီးနတ္ 1လက္မ (ျမတ္ရိတ္စက္)"/>
    <n v="2"/>
    <n v="200"/>
    <n v="200"/>
    <n v="200"/>
    <x v="1"/>
  </r>
  <r>
    <n v="2584"/>
    <x v="2583"/>
    <s v="KW 390 ပါကင္စံု KAWA"/>
    <n v="3"/>
    <n v="4000"/>
    <n v="4000"/>
    <n v="9000"/>
    <x v="1"/>
  </r>
  <r>
    <n v="2585"/>
    <x v="2584"/>
    <s v="ျမတ္ရိတ္စက္ ဆီပိုက္တို"/>
    <n v="15"/>
    <n v="1500"/>
    <n v="1500"/>
    <n v="9750"/>
    <x v="1"/>
  </r>
  <r>
    <n v="2586"/>
    <x v="2585"/>
    <s v="7 1/2 ရိန္း(STD) ဓါတ္ဆီ"/>
    <n v="9"/>
    <n v="2000"/>
    <n v="2000"/>
    <n v="11700"/>
    <x v="1"/>
  </r>
  <r>
    <n v="2587"/>
    <x v="2586"/>
    <s v="4ဘီလူးဝါရွာ ေရႊေရာင္"/>
    <n v="1"/>
    <n v="2000"/>
    <n v="2000"/>
    <n v="1450"/>
    <x v="1"/>
  </r>
  <r>
    <n v="2588"/>
    <x v="2587"/>
    <s v="139ျမက္ရိတ္စက္(ဘရိတ္ရွဴး)"/>
    <n v="4"/>
    <n v="3000"/>
    <n v="3000"/>
    <n v="8400"/>
    <x v="1"/>
  </r>
  <r>
    <n v="2589"/>
    <x v="2588"/>
    <s v="ျမက္ရိတ္စက္္(ကလပ္ခြက္)"/>
    <n v="3"/>
    <n v="3000"/>
    <n v="3000"/>
    <n v="6000"/>
    <x v="1"/>
  </r>
  <r>
    <n v="2590"/>
    <x v="2589"/>
    <s v="14 ဂြင္းဂြ"/>
    <n v="11"/>
    <n v="2000"/>
    <n v="2000"/>
    <n v="15950"/>
    <x v="1"/>
  </r>
  <r>
    <n v="2591"/>
    <x v="2590"/>
    <s v="4လက္မ ဘီလူးေခါင္း(သံကၽြတ္)"/>
    <n v="2"/>
    <n v="16000"/>
    <n v="16000"/>
    <n v="29000"/>
    <x v="1"/>
  </r>
  <r>
    <n v="2592"/>
    <x v="2591"/>
    <s v="4လက္မ(လည္ေခ်ာင္းပိုက္)"/>
    <n v="1"/>
    <n v="68000"/>
    <n v="68000"/>
    <n v="45500"/>
    <x v="1"/>
  </r>
  <r>
    <n v="2593"/>
    <x v="2592"/>
    <s v="N0- 4 စူးသြား"/>
    <n v="8"/>
    <n v="1000"/>
    <n v="1000"/>
    <n v="3200"/>
    <x v="1"/>
  </r>
  <r>
    <n v="2594"/>
    <x v="2593"/>
    <s v="No- 5 စူးသြား"/>
    <n v="6"/>
    <n v="1200"/>
    <n v="1200"/>
    <n v="3000"/>
    <x v="1"/>
  </r>
  <r>
    <n v="2595"/>
    <x v="2594"/>
    <s v="No- 6  စူးသြား"/>
    <n v="7"/>
    <n v="1700"/>
    <n v="1700"/>
    <n v="5250"/>
    <x v="1"/>
  </r>
  <r>
    <n v="2596"/>
    <x v="2595"/>
    <s v="No- 8 စူးသြား"/>
    <n v="2"/>
    <n v="2200"/>
    <n v="2200"/>
    <n v="1600"/>
    <x v="1"/>
  </r>
  <r>
    <n v="2597"/>
    <x v="2596"/>
    <s v="18လက္မ ပိုက္ကိုက္"/>
    <n v="1"/>
    <n v="17000"/>
    <n v="17000"/>
    <n v="13000"/>
    <x v="1"/>
  </r>
  <r>
    <n v="2598"/>
    <x v="2597"/>
    <s v="2လက္ကပ္ပန္႔ေနာက္ျခမ္း"/>
    <n v="1"/>
    <n v="12000"/>
    <n v="12000"/>
    <n v="8800"/>
    <x v="1"/>
  </r>
  <r>
    <n v="2599"/>
    <x v="2598"/>
    <s v="4 လက္မ ေဆာ့ကဒ္ဝါရွာ"/>
    <n v="5"/>
    <n v="500"/>
    <n v="500"/>
    <n v="1500"/>
    <x v="1"/>
  </r>
  <r>
    <n v="2600"/>
    <x v="2599"/>
    <s v="3 ဝင္ 1 ထြက္ သတၳဳေဆာ့ကဒ္"/>
    <n v="6"/>
    <n v="3500"/>
    <n v="3500"/>
    <n v="13800"/>
    <x v="1"/>
  </r>
  <r>
    <n v="2601"/>
    <x v="2600"/>
    <s v="SU 80 အဝိုင္းစီး ေၾကြ"/>
    <n v="2"/>
    <n v="2500"/>
    <n v="2500"/>
    <n v="3100"/>
    <x v="1"/>
  </r>
  <r>
    <n v="2602"/>
    <x v="2601"/>
    <s v="3 လက္မ ဘီလူးေခါင္းဝါရွာ"/>
    <n v="10"/>
    <n v="1500"/>
    <n v="1500"/>
    <n v="10000"/>
    <x v="1"/>
  </r>
  <r>
    <n v="2603"/>
    <x v="2602"/>
    <s v="6 -7 ဂြဂြ_x000d__x000a__x000d__x000a_"/>
    <n v="10"/>
    <n v="1300"/>
    <n v="1300"/>
    <n v="9500"/>
    <x v="1"/>
  </r>
  <r>
    <n v="2604"/>
    <x v="2603"/>
    <s v="6 1/2 ဆီပိုက္( 1 )ေပ"/>
    <n v="37"/>
    <n v="300"/>
    <n v="300"/>
    <n v="6179"/>
    <x v="1"/>
  </r>
  <r>
    <n v="2605"/>
    <x v="2604"/>
    <s v="61/2 /(71/2) ဖလိုင္းဝီွး"/>
    <n v="1"/>
    <n v="10000"/>
    <n v="10000"/>
    <n v="6500"/>
    <x v="1"/>
  </r>
  <r>
    <n v="2606"/>
    <x v="2605"/>
    <s v="SU 100 ( 4 )လက္မပန္႔"/>
    <n v="1"/>
    <n v="90000"/>
    <n v="90000"/>
    <n v="77500"/>
    <x v="1"/>
  </r>
  <r>
    <n v="2607"/>
    <x v="2606"/>
    <s v="9ေကာင္ ပစၥတင္+ရိန္း (0-10)"/>
    <n v="2"/>
    <n v="8000"/>
    <n v="8000"/>
    <n v="10400"/>
    <x v="1"/>
  </r>
  <r>
    <n v="2608"/>
    <x v="2607"/>
    <s v="အမဲဆီဂန္း (450CC)"/>
    <n v="2"/>
    <n v="15000"/>
    <n v="15000"/>
    <n v="22000"/>
    <x v="1"/>
  </r>
  <r>
    <n v="2609"/>
    <x v="2608"/>
    <s v="3KWကာပြန္အိမ္"/>
    <n v="51"/>
    <n v="1000"/>
    <n v="1000"/>
    <n v="20400"/>
    <x v="1"/>
  </r>
  <r>
    <n v="2610"/>
    <x v="2609"/>
    <s v="18 ဂြင္းဂြ"/>
    <n v="11"/>
    <n v="2500"/>
    <n v="2500"/>
    <n v="22000"/>
    <x v="1"/>
  </r>
  <r>
    <n v="2611"/>
    <x v="2610"/>
    <s v="4လက္မေၾကြျပားျဖတ္"/>
    <n v="3"/>
    <n v="5000"/>
    <n v="5000"/>
    <n v="10500"/>
    <x v="1"/>
  </r>
  <r>
    <n v="2612"/>
    <x v="2611"/>
    <s v="4လက္မ သစ္ျဖတ္(သိန္းငွက္)"/>
    <n v="4"/>
    <n v="3500"/>
    <n v="3500"/>
    <n v="10000"/>
    <x v="1"/>
  </r>
  <r>
    <n v="2613"/>
    <x v="2612"/>
    <s v="အမဲဆီေသး (ဇီး)"/>
    <n v="8"/>
    <n v="300"/>
    <n v="300"/>
    <n v="1336"/>
    <x v="1"/>
  </r>
  <r>
    <n v="2614"/>
    <x v="2613"/>
    <s v="4X2 ကစလပန္႔ပူလီ"/>
    <n v="9"/>
    <n v="8000"/>
    <n v="8000"/>
    <n v="72000"/>
    <x v="1"/>
  </r>
  <r>
    <n v="2615"/>
    <x v="2614"/>
    <s v="12V DC ေရေပၚပန္႔(Peacock)"/>
    <n v="2"/>
    <n v="50000"/>
    <n v="50000"/>
    <n v="84000"/>
    <x v="1"/>
  </r>
  <r>
    <n v="2616"/>
    <x v="2615"/>
    <s v="ကားေရေဆးေခါင္း (အထစ္)"/>
    <n v="7"/>
    <n v="2000"/>
    <n v="2000"/>
    <n v="9100"/>
    <x v="1"/>
  </r>
  <r>
    <n v="2617"/>
    <x v="2616"/>
    <s v="25 ေကာင္ စလစ္ကစ္ဆက္"/>
    <n v="1"/>
    <n v="50000"/>
    <n v="50000"/>
    <n v="44250"/>
    <x v="1"/>
  </r>
  <r>
    <n v="2618"/>
    <x v="2617"/>
    <s v="Kawa ပံုသစ္ (မက္ဂနစ္ကိြဳင္)"/>
    <n v="2"/>
    <n v="11500"/>
    <n v="11500"/>
    <n v="16000"/>
    <x v="1"/>
  </r>
  <r>
    <n v="2619"/>
    <x v="2618"/>
    <s v="SU 80 ပူလီဆြဲပန္႔"/>
    <n v="1"/>
    <n v="70000"/>
    <n v="70000"/>
    <n v="63500"/>
    <x v="1"/>
  </r>
  <r>
    <n v="2620"/>
    <x v="2619"/>
    <s v="SU 50 ပူလီဆြဲပန္႔"/>
    <n v="3"/>
    <n v="60000"/>
    <n v="60000"/>
    <n v="160050"/>
    <x v="1"/>
  </r>
  <r>
    <n v="2621"/>
    <x v="2620"/>
    <s v="6006 ေဘာ"/>
    <n v="5"/>
    <n v="2300"/>
    <n v="2300"/>
    <n v="9000"/>
    <x v="1"/>
  </r>
  <r>
    <n v="2622"/>
    <x v="2621"/>
    <s v="S 80 ပန္႔ရွပ္"/>
    <n v="1"/>
    <n v="8000"/>
    <n v="8000"/>
    <n v="3950"/>
    <x v="1"/>
  </r>
  <r>
    <n v="2623"/>
    <x v="2622"/>
    <s v="3.5mm စူးသြား"/>
    <n v="9"/>
    <n v="600"/>
    <n v="600"/>
    <n v="2925"/>
    <x v="1"/>
  </r>
  <r>
    <n v="2624"/>
    <x v="2623"/>
    <s v="6.5mm စူးသြား_x000d__x000a__x000d__x000a_"/>
    <n v="3"/>
    <n v="1500"/>
    <n v="1500"/>
    <n v="1500"/>
    <x v="1"/>
  </r>
  <r>
    <n v="2625"/>
    <x v="2624"/>
    <s v="8.5mm စူးသြား"/>
    <n v="4"/>
    <n v="2500"/>
    <n v="2500"/>
    <n v="7200"/>
    <x v="1"/>
  </r>
  <r>
    <n v="2626"/>
    <x v="2625"/>
    <s v="10.5mm စူးသြား"/>
    <n v="1"/>
    <n v="2800"/>
    <n v="2800"/>
    <n v="2500"/>
    <x v="1"/>
  </r>
  <r>
    <n v="2627"/>
    <x v="2626"/>
    <s v="11.5mm စူးသြား"/>
    <n v="3"/>
    <n v="4000"/>
    <n v="4000"/>
    <n v="9000"/>
    <x v="1"/>
  </r>
  <r>
    <n v="2628"/>
    <x v="2627"/>
    <s v="M8 ေတာက္"/>
    <n v="6"/>
    <n v="3300"/>
    <n v="3300"/>
    <n v="6000"/>
    <x v="1"/>
  </r>
  <r>
    <n v="2629"/>
    <x v="2628"/>
    <s v="M10×1.25ေတာက္(စိပ္)"/>
    <n v="12"/>
    <n v="3000"/>
    <n v="3000"/>
    <n v="21600"/>
    <x v="1"/>
  </r>
  <r>
    <n v="2630"/>
    <x v="2629"/>
    <s v="M12 ေတာက္"/>
    <n v="5"/>
    <n v="4200"/>
    <n v="4200"/>
    <n v="15000"/>
    <x v="1"/>
  </r>
  <r>
    <n v="2631"/>
    <x v="2630"/>
    <s v="4&quot;သံုးေျမွာင့္ တံစဥ္း"/>
    <n v="15"/>
    <n v="1000"/>
    <n v="1000"/>
    <n v="9000"/>
    <x v="1"/>
  </r>
  <r>
    <n v="2632"/>
    <x v="2631"/>
    <s v="4  1/2    တံစီးခံုး"/>
    <n v="8"/>
    <n v="1400"/>
    <n v="1400"/>
    <n v="6400"/>
    <x v="1"/>
  </r>
  <r>
    <n v="2633"/>
    <x v="2632"/>
    <s v="24 စပန္နာသီး_x000d__x000a_"/>
    <n v="3"/>
    <n v="2000"/>
    <n v="2000"/>
    <n v="4350"/>
    <x v="1"/>
  </r>
  <r>
    <n v="2634"/>
    <x v="2633"/>
    <s v="6306 ဆီပိတ္ေဘာ"/>
    <n v="7"/>
    <n v="4000"/>
    <n v="4000"/>
    <n v="25025"/>
    <x v="1"/>
  </r>
  <r>
    <n v="2635"/>
    <x v="2634"/>
    <s v="4လက္မ ကလစ္ကြင္း(ေၾကး)_x000d__x000a_"/>
    <n v="2"/>
    <n v="800"/>
    <n v="800"/>
    <n v="1200"/>
    <x v="1"/>
  </r>
  <r>
    <n v="2636"/>
    <x v="2635"/>
    <s v="3လက္မ ကလစ္ကြင္း(ေၾကး)_x000d__x000a_"/>
    <n v="7"/>
    <n v="600"/>
    <n v="600"/>
    <n v="2800"/>
    <x v="1"/>
  </r>
  <r>
    <n v="2637"/>
    <x v="2636"/>
    <s v="2လက္မ ကလစ္ကြင္း(ေၾကး)_x000d__x000a_"/>
    <n v="15"/>
    <n v="500"/>
    <n v="500"/>
    <n v="4500"/>
    <x v="1"/>
  </r>
  <r>
    <n v="2638"/>
    <x v="2637"/>
    <s v="ေရျမဳပ္ေဖာ့"/>
    <n v="10"/>
    <n v="100"/>
    <n v="100"/>
    <n v="560"/>
    <x v="1"/>
  </r>
  <r>
    <n v="2639"/>
    <x v="2638"/>
    <s v="5/6 စပုလိန္ေပ်ာ့"/>
    <n v="1"/>
    <n v="300"/>
    <n v="300"/>
    <n v="110"/>
    <x v="1"/>
  </r>
  <r>
    <n v="2640"/>
    <x v="2639"/>
    <s v="16 စပန္နာသီး"/>
    <n v="6"/>
    <n v="1500"/>
    <n v="1500"/>
    <n v="6600"/>
    <x v="1"/>
  </r>
  <r>
    <n v="2641"/>
    <x v="2640"/>
    <s v="18 စပန္နာသီး"/>
    <n v="1"/>
    <n v="1500"/>
    <n v="1500"/>
    <n v="950"/>
    <x v="1"/>
  </r>
  <r>
    <n v="2642"/>
    <x v="2641"/>
    <s v="3×2ပူလီ အတြင္း(20mm)တစ္ဘီး(ခံုျပာ)"/>
    <n v="10"/>
    <n v="8500"/>
    <n v="8500"/>
    <n v="67000"/>
    <x v="1"/>
  </r>
  <r>
    <n v="2643"/>
    <x v="2642"/>
    <s v="25.35.7"/>
    <n v="8"/>
    <n v="500"/>
    <n v="500"/>
    <n v="2000"/>
    <x v="1"/>
  </r>
  <r>
    <n v="2644"/>
    <x v="2643"/>
    <s v="34X50X7"/>
    <n v="12"/>
    <n v="900"/>
    <n v="900"/>
    <n v="6000"/>
    <x v="1"/>
  </r>
  <r>
    <n v="2645"/>
    <x v="2644"/>
    <s v="ကာပြန္ အေသး"/>
    <n v="1"/>
    <n v="1000"/>
    <n v="1000"/>
    <n v="500"/>
    <x v="1"/>
  </r>
  <r>
    <n v="2646"/>
    <x v="2645"/>
    <s v="10 အသီးဂြ"/>
    <n v="4"/>
    <n v="3800"/>
    <n v="3800"/>
    <n v="11200"/>
    <x v="1"/>
  </r>
  <r>
    <n v="2647"/>
    <x v="2646"/>
    <s v="ေရထြက္ေကာ္"/>
    <n v="13"/>
    <n v="300"/>
    <n v="300"/>
    <n v="1625"/>
    <x v="1"/>
  </r>
  <r>
    <n v="2648"/>
    <x v="2647"/>
    <s v="ေရေဆးစက္ ဝိုင္းစိး"/>
    <n v="7"/>
    <n v="400"/>
    <n v="400"/>
    <n v="1050"/>
    <x v="1"/>
  </r>
  <r>
    <n v="2649"/>
    <x v="2648"/>
    <s v="2လက္မပိုက္ေပ်ာ့ (ဝါ)"/>
    <n v="1"/>
    <n v="35000"/>
    <n v="35000"/>
    <n v="29000"/>
    <x v="1"/>
  </r>
  <r>
    <n v="2650"/>
    <x v="2649"/>
    <s v="တစ္ဘီးဖလန္း(နတ္မပါ)"/>
    <n v="3"/>
    <n v="22500"/>
    <n v="22500"/>
    <n v="42000"/>
    <x v="1"/>
  </r>
  <r>
    <n v="2651"/>
    <x v="2650"/>
    <s v="R175 ေရေကာ့(ေၾကး)"/>
    <n v="19"/>
    <n v="1000"/>
    <n v="1000"/>
    <n v="10450"/>
    <x v="1"/>
  </r>
  <r>
    <n v="2652"/>
    <x v="2651"/>
    <s v="AB ေကာ္ၾကီး"/>
    <n v="15"/>
    <n v="3300"/>
    <n v="3300"/>
    <n v="46245"/>
    <x v="1"/>
  </r>
  <r>
    <n v="2653"/>
    <x v="2652"/>
    <s v="4လက္မ LiLi ပန္"/>
    <n v="3"/>
    <n v="109000"/>
    <n v="109000"/>
    <n v="276000"/>
    <x v="1"/>
  </r>
  <r>
    <n v="2654"/>
    <x v="2653"/>
    <s v="UCP 206 ေဘာ"/>
    <n v="3"/>
    <n v="7000"/>
    <n v="7000"/>
    <n v="16500"/>
    <x v="1"/>
  </r>
  <r>
    <n v="2655"/>
    <x v="2654"/>
    <s v="ေလပိုက္ဝါ (ေရေဆးပန္႔)"/>
    <n v="1"/>
    <n v="15000"/>
    <n v="15000"/>
    <n v="11500"/>
    <x v="1"/>
  </r>
  <r>
    <n v="2656"/>
    <x v="2655"/>
    <s v="ဆပ္ျပာမႈန္႔ (70kg)"/>
    <n v="26"/>
    <n v="100"/>
    <n v="100"/>
    <n v="2262"/>
    <x v="1"/>
  </r>
  <r>
    <n v="2657"/>
    <x v="2656"/>
    <s v="10M ေပဗူး(အၾကည္)KST"/>
    <n v="2"/>
    <n v="6000"/>
    <n v="6000"/>
    <n v="9000"/>
    <x v="1"/>
  </r>
  <r>
    <n v="2658"/>
    <x v="2657"/>
    <s v="ဝရိန္ မွန္ အမဲ"/>
    <n v="40"/>
    <n v="300"/>
    <n v="300"/>
    <n v="6000"/>
    <x v="1"/>
  </r>
  <r>
    <n v="2659"/>
    <x v="2658"/>
    <s v="4လက္မပန္႔ေရျပန္ေခါင္း"/>
    <n v="9"/>
    <n v="800"/>
    <n v="800"/>
    <n v="4050"/>
    <x v="1"/>
  </r>
  <r>
    <n v="2660"/>
    <x v="2659"/>
    <s v="ဝက္အူလွည့္ 8လက္မ"/>
    <n v="5"/>
    <n v="2000"/>
    <n v="2000"/>
    <n v="6000"/>
    <x v="1"/>
  </r>
  <r>
    <n v="2661"/>
    <x v="2660"/>
    <s v="21 စပန္နာသီး (အရွည္)"/>
    <n v="4"/>
    <n v="3500"/>
    <n v="3500"/>
    <n v="10800"/>
    <x v="1"/>
  </r>
  <r>
    <n v="2662"/>
    <x v="2661"/>
    <s v="25 ေကာင္ ဂတ္စကက္"/>
    <n v="4"/>
    <n v="1500"/>
    <n v="1500"/>
    <n v="3400"/>
    <x v="1"/>
  </r>
  <r>
    <n v="2663"/>
    <x v="2662"/>
    <s v="3လက္မပိုက္ေပ်ာ့(100ေပ)"/>
    <n v="2"/>
    <n v="40000"/>
    <n v="40000"/>
    <n v="67070"/>
    <x v="1"/>
  </r>
  <r>
    <n v="2664"/>
    <x v="2663"/>
    <s v="UCP205 ေဘာ"/>
    <n v="3"/>
    <n v="5000"/>
    <n v="5000"/>
    <n v="10650"/>
    <x v="1"/>
  </r>
  <r>
    <n v="2665"/>
    <x v="2664"/>
    <s v="UCP 207 (က်ဥ္း)"/>
    <n v="2"/>
    <n v="8000"/>
    <n v="8000"/>
    <n v="13000"/>
    <x v="1"/>
  </r>
  <r>
    <n v="2666"/>
    <x v="2665"/>
    <s v="20အုတ္ေဖာက္စက္ (Zhongtai)"/>
    <n v="1"/>
    <n v="85000"/>
    <n v="85000"/>
    <n v="65000"/>
    <x v="1"/>
  </r>
  <r>
    <n v="2667"/>
    <x v="2666"/>
    <s v="6ကီးဆူးအတို(Bosch)"/>
    <n v="1"/>
    <n v="1800"/>
    <n v="1800"/>
    <n v="1300"/>
    <x v="1"/>
  </r>
  <r>
    <n v="2668"/>
    <x v="2667"/>
    <s v="7ကီးဆူးအတို(Bosch)"/>
    <n v="1"/>
    <n v="1900"/>
    <n v="1900"/>
    <n v="1400"/>
    <x v="1"/>
  </r>
  <r>
    <n v="2669"/>
    <x v="2668"/>
    <s v="SU 100 ေၾကြအဝိုင္းစီး"/>
    <n v="6"/>
    <n v="5000"/>
    <n v="5000"/>
    <n v="17100"/>
    <x v="1"/>
  </r>
  <r>
    <n v="2670"/>
    <x v="2669"/>
    <s v="SU 100 ေရတံခါး ဝါရွာအစံု"/>
    <n v="10"/>
    <n v="3300"/>
    <n v="3300"/>
    <n v="14500"/>
    <x v="1"/>
  </r>
  <r>
    <n v="2671"/>
    <x v="2670"/>
    <s v="SU 100 ရွပ္"/>
    <n v="4"/>
    <n v="20000"/>
    <n v="20000"/>
    <n v="64000"/>
    <x v="1"/>
  </r>
  <r>
    <n v="2672"/>
    <x v="2671"/>
    <s v="SU 100 အင္ပယ္လာ"/>
    <n v="1"/>
    <n v="10000"/>
    <n v="10000"/>
    <n v="7500"/>
    <x v="1"/>
  </r>
  <r>
    <n v="2673"/>
    <x v="2672"/>
    <s v="180 ထပ္ရိန္း"/>
    <n v="2"/>
    <n v="3500"/>
    <n v="3500"/>
    <n v="4500"/>
    <x v="1"/>
  </r>
  <r>
    <n v="2674"/>
    <x v="2673"/>
    <s v="175 ထပ္ရိန္း"/>
    <n v="2"/>
    <n v="4000"/>
    <n v="4000"/>
    <n v="4010"/>
    <x v="1"/>
  </r>
  <r>
    <n v="2675"/>
    <x v="2674"/>
    <s v="4&quot;ေက်ာက္စက္(TOTAL)"/>
    <n v="1"/>
    <n v="37500"/>
    <n v="37500"/>
    <n v="31500"/>
    <x v="1"/>
  </r>
  <r>
    <n v="2676"/>
    <x v="2675"/>
    <s v="Kawa 7-5 အင္းလက္ဗူး"/>
    <n v="7"/>
    <n v="6500"/>
    <n v="6500"/>
    <n v="29400"/>
    <x v="1"/>
  </r>
  <r>
    <n v="2677"/>
    <x v="2676"/>
    <s v="ဝိုင္းစီး 40-54-7"/>
    <n v="20"/>
    <n v="800"/>
    <n v="800"/>
    <n v="7000"/>
    <x v="1"/>
  </r>
  <r>
    <n v="2678"/>
    <x v="2677"/>
    <s v="6 1/2 အင္ဂ်င္ဝိုင္တိုင္းတံ"/>
    <n v="10"/>
    <n v="800"/>
    <n v="800"/>
    <n v="3000"/>
    <x v="1"/>
  </r>
  <r>
    <n v="2679"/>
    <x v="2678"/>
    <s v="Kawa 7-5 ကရိုင္း"/>
    <n v="1"/>
    <n v="22000"/>
    <n v="22000"/>
    <n v="11500"/>
    <x v="1"/>
  </r>
  <r>
    <n v="2680"/>
    <x v="2679"/>
    <s v="24 စပန္နာသီးအရွည္"/>
    <n v="3"/>
    <n v="3400"/>
    <n v="3400"/>
    <n v="8100"/>
    <x v="1"/>
  </r>
  <r>
    <n v="2681"/>
    <x v="2680"/>
    <s v="ဝိုက္စီး 27-37-7"/>
    <n v="16"/>
    <n v="1000"/>
    <n v="1000"/>
    <n v="6400"/>
    <x v="1"/>
  </r>
  <r>
    <n v="2682"/>
    <x v="2681"/>
    <s v="ဝိုက္စီး 30/40-5/10-5"/>
    <n v="14"/>
    <n v="1000"/>
    <n v="1000"/>
    <n v="8400"/>
    <x v="1"/>
  </r>
  <r>
    <n v="2683"/>
    <x v="2682"/>
    <s v="B40 ေျပာင္"/>
    <n v="6"/>
    <n v="1700"/>
    <n v="1700"/>
    <n v="6960"/>
    <x v="1"/>
  </r>
  <r>
    <n v="2684"/>
    <x v="2683"/>
    <s v="6 1/2 လီဘာကိုင္း"/>
    <n v="5"/>
    <n v="2000"/>
    <n v="2000"/>
    <n v="6500"/>
    <x v="1"/>
  </r>
  <r>
    <n v="2685"/>
    <x v="2684"/>
    <s v="6 1/2 မိန္းဝိုက္စီး"/>
    <n v="11"/>
    <n v="500"/>
    <n v="500"/>
    <n v="1980"/>
    <x v="1"/>
  </r>
  <r>
    <n v="2686"/>
    <x v="2685"/>
    <s v="ဒိုင္နမို W-6000"/>
    <n v="1"/>
    <n v="75000"/>
    <n v="75000"/>
    <n v="51342"/>
    <x v="1"/>
  </r>
  <r>
    <n v="2687"/>
    <x v="2686"/>
    <s v="ျမက္ရိတ္စက္ ဘားတံ(1စံု)"/>
    <n v="7"/>
    <n v="4500"/>
    <n v="4500"/>
    <n v="18900"/>
    <x v="1"/>
  </r>
  <r>
    <n v="2688"/>
    <x v="2687"/>
    <s v="ျမက္ရိတ္စက္ ( ကိြဳင္)"/>
    <n v="6"/>
    <n v="5000"/>
    <n v="5000"/>
    <n v="18000"/>
    <x v="1"/>
  </r>
  <r>
    <n v="2689"/>
    <x v="2688"/>
    <s v="ျမက္ရိတ္စက္( ပါကင္စံု )"/>
    <n v="11"/>
    <n v="1200"/>
    <n v="1200"/>
    <n v="4950"/>
    <x v="1"/>
  </r>
  <r>
    <n v="2690"/>
    <x v="2689"/>
    <s v="5 မတ္ ပိုက္ကလစ္"/>
    <n v="23"/>
    <n v="300"/>
    <n v="300"/>
    <n v="3220"/>
    <x v="1"/>
  </r>
  <r>
    <n v="2691"/>
    <x v="2690"/>
    <s v="AC ေရျမဳပ္(0.5HP)Arrman"/>
    <n v="3"/>
    <n v="55000"/>
    <n v="55000"/>
    <n v="125700"/>
    <x v="1"/>
  </r>
  <r>
    <n v="2692"/>
    <x v="2691"/>
    <s v="22 စပန္နာသီး"/>
    <n v="2"/>
    <n v="1500"/>
    <n v="1500"/>
    <n v="2200"/>
    <x v="1"/>
  </r>
  <r>
    <n v="2693"/>
    <x v="2692"/>
    <s v="8 OK ပလာယာ (အက်ား)"/>
    <n v="1"/>
    <n v="4200"/>
    <n v="4200"/>
    <n v="3000"/>
    <x v="1"/>
  </r>
  <r>
    <n v="2694"/>
    <x v="2693"/>
    <s v="ေတာက္ဟန္တယ္"/>
    <n v="3"/>
    <n v="6000"/>
    <n v="6000"/>
    <n v="12750"/>
    <x v="1"/>
  </r>
  <r>
    <n v="2695"/>
    <x v="2694"/>
    <s v="3×2ပူလီ 3KW "/>
    <n v="3"/>
    <n v="5500"/>
    <n v="5500"/>
    <n v="8850"/>
    <x v="1"/>
  </r>
  <r>
    <n v="2696"/>
    <x v="2695"/>
    <s v="Honda ပူလီ4x2"/>
    <n v="4"/>
    <n v="8000"/>
    <n v="8000"/>
    <n v="26800"/>
    <x v="1"/>
  </r>
  <r>
    <n v="2697"/>
    <x v="2696"/>
    <s v="9 ေကာင္ ကိြဳင္"/>
    <n v="2"/>
    <n v="6000"/>
    <n v="6000"/>
    <n v="5000"/>
    <x v="1"/>
  </r>
  <r>
    <n v="2698"/>
    <x v="2697"/>
    <s v="13 ေကာင္ပါကင္စံု"/>
    <n v="1"/>
    <n v="1500"/>
    <n v="1500"/>
    <n v="1150"/>
    <x v="1"/>
  </r>
  <r>
    <n v="2699"/>
    <x v="2698"/>
    <s v="JD R180 Engine"/>
    <n v="2"/>
    <n v="430000"/>
    <n v="430000"/>
    <n v="790000"/>
    <x v="1"/>
  </r>
  <r>
    <n v="2700"/>
    <x v="2699"/>
    <s v="3x2 3KW ဒိုင္နမိုပူလီ"/>
    <n v="4"/>
    <n v="4500"/>
    <n v="4500"/>
    <n v="13200"/>
    <x v="1"/>
  </r>
  <r>
    <n v="2701"/>
    <x v="2700"/>
    <s v="4x2 10KW ဒိုင္နမိုပူလီ"/>
    <n v="1"/>
    <n v="6500"/>
    <n v="6500"/>
    <n v="4000"/>
    <x v="1"/>
  </r>
  <r>
    <n v="2702"/>
    <x v="2701"/>
    <s v="7 ရစ္ပလပ္"/>
    <n v="10"/>
    <n v="3000"/>
    <n v="3000"/>
    <n v="25000"/>
    <x v="1"/>
  </r>
  <r>
    <n v="2703"/>
    <x v="2702"/>
    <s v="SU50 သားေရကြင္းအက်ယ္"/>
    <n v="3"/>
    <n v="1000"/>
    <n v="1000"/>
    <n v="2100"/>
    <x v="1"/>
  </r>
  <r>
    <n v="2704"/>
    <x v="2703"/>
    <s v="SU80 သားေရကြင္းအက်ယ္"/>
    <n v="5"/>
    <n v="700"/>
    <n v="700"/>
    <n v="1750"/>
    <x v="1"/>
  </r>
  <r>
    <n v="2705"/>
    <x v="2704"/>
    <s v="SU100 သားေရကြင္းအက်ယ္"/>
    <n v="7"/>
    <n v="900"/>
    <n v="900"/>
    <n v="2800"/>
    <x v="1"/>
  </r>
  <r>
    <n v="2706"/>
    <x v="2705"/>
    <s v="GX35 ကရိုင္း Set"/>
    <n v="2"/>
    <n v="14500"/>
    <n v="14500"/>
    <n v="18600"/>
    <x v="1"/>
  </r>
  <r>
    <n v="2707"/>
    <x v="2706"/>
    <s v="3M ေပဗူး (EAGE)"/>
    <n v="1"/>
    <n v="2000"/>
    <n v="2000"/>
    <n v="1600"/>
    <x v="1"/>
  </r>
  <r>
    <n v="2708"/>
    <x v="2707"/>
    <s v="5M ေပဗူး(USA)ရာဘာအျပာ"/>
    <n v="1"/>
    <n v="4500"/>
    <n v="4500"/>
    <n v="2800"/>
    <x v="1"/>
  </r>
  <r>
    <n v="2709"/>
    <x v="2708"/>
    <s v="R175 ေနာ္ဇယ္ေအဂ်က္ ေခါင္းဝိုင္း"/>
    <n v="21"/>
    <n v="700"/>
    <n v="700"/>
    <n v="6468"/>
    <x v="1"/>
  </r>
  <r>
    <n v="2710"/>
    <x v="2709"/>
    <s v="Malaysia အင္ဂ်င္ဝိုင္(1 L)"/>
    <n v="164"/>
    <n v="2600"/>
    <n v="2600"/>
    <n v="401800"/>
    <x v="1"/>
  </r>
  <r>
    <n v="2711"/>
    <x v="2710"/>
    <s v="Malaysia ဂီယာဝိုင္ (1 L)"/>
    <n v="5"/>
    <n v="2000"/>
    <n v="2000"/>
    <n v="8250"/>
    <x v="1"/>
  </r>
  <r>
    <n v="2712"/>
    <x v="2711"/>
    <s v="6 1/2 ဆီတိုင္ကီေအာက္ဆီစစ္"/>
    <n v="6"/>
    <n v="500"/>
    <n v="500"/>
    <n v="1200"/>
    <x v="1"/>
  </r>
  <r>
    <n v="2713"/>
    <x v="2712"/>
    <s v="110 ဂီယာေပါက္ပါကင္စံု"/>
    <n v="4"/>
    <n v="2000"/>
    <n v="2000"/>
    <n v="6680"/>
    <x v="1"/>
  </r>
  <r>
    <n v="2714"/>
    <x v="2713"/>
    <s v="3 1/2 ဆြဲအံု"/>
    <n v="4"/>
    <n v="3500"/>
    <n v="3500"/>
    <n v="10000"/>
    <x v="1"/>
  </r>
  <r>
    <n v="2715"/>
    <x v="2714"/>
    <s v="3 1/2 ပစၥတင္+ရိန္း (154)"/>
    <n v="1"/>
    <n v="5200"/>
    <n v="5200"/>
    <n v="4000"/>
    <x v="1"/>
  </r>
  <r>
    <n v="2716"/>
    <x v="2715"/>
    <s v="သံလိုက္ေခ်ာင္း"/>
    <n v="5"/>
    <n v="1800"/>
    <n v="1800"/>
    <n v="5000"/>
    <x v="1"/>
  </r>
  <r>
    <n v="2717"/>
    <x v="2716"/>
    <s v="Q185 ပလန္ခ်ာ(အႀကီး)"/>
    <n v="10"/>
    <n v="4500"/>
    <n v="4500"/>
    <n v="25000"/>
    <x v="1"/>
  </r>
  <r>
    <n v="2718"/>
    <x v="2717"/>
    <s v="ဆြဲသီး Kawa "/>
    <n v="16"/>
    <n v="1000"/>
    <n v="1000"/>
    <n v="7200"/>
    <x v="1"/>
  </r>
  <r>
    <n v="2719"/>
    <x v="2718"/>
    <s v="12&quot; စပန္နာဟန္တယ္(1/2)"/>
    <n v="2"/>
    <n v="3800"/>
    <n v="3800"/>
    <n v="5100"/>
    <x v="1"/>
  </r>
  <r>
    <n v="2720"/>
    <x v="2719"/>
    <s v="ေဟာ္လန္စကၠဴ(ထူ)"/>
    <n v="7"/>
    <n v="800"/>
    <n v="800"/>
    <n v="4200"/>
    <x v="1"/>
  </r>
  <r>
    <n v="2721"/>
    <x v="2720"/>
    <s v="20mm O Ring"/>
    <n v="18"/>
    <n v="200"/>
    <n v="200"/>
    <n v="2700"/>
    <x v="1"/>
  </r>
  <r>
    <n v="2722"/>
    <x v="2721"/>
    <s v="11.5 ခ်ိန္းေစာ ခ်ိန္း"/>
    <n v="2"/>
    <n v="9000"/>
    <n v="9000"/>
    <n v="11000"/>
    <x v="1"/>
  </r>
  <r>
    <n v="2723"/>
    <x v="2722"/>
    <s v="6 1/2  စပလိန္စံု"/>
    <n v="30"/>
    <n v="700"/>
    <n v="700"/>
    <n v="15000"/>
    <x v="1"/>
  </r>
  <r>
    <n v="2724"/>
    <x v="2723"/>
    <s v="DF ေပါင္အံု (ဘယ္)"/>
    <n v="1"/>
    <n v="43000"/>
    <n v="43000"/>
    <n v="34000"/>
    <x v="1"/>
  </r>
  <r>
    <n v="2725"/>
    <x v="2724"/>
    <s v="22ေကာင္ ဂါဗနာပင္နယံ"/>
    <n v="5"/>
    <n v="9000"/>
    <n v="9000"/>
    <n v="32500"/>
    <x v="1"/>
  </r>
  <r>
    <n v="2726"/>
    <x v="2725"/>
    <s v="22 ေကာင္ ဂါဗနာဘြတ္_x000d__x000a_"/>
    <n v="7"/>
    <n v="500"/>
    <n v="500"/>
    <n v="1470"/>
    <x v="1"/>
  </r>
  <r>
    <n v="2727"/>
    <x v="2726"/>
    <s v="22 ေကာင္ဂါဗနာျခင္း"/>
    <n v="4"/>
    <n v="2000"/>
    <n v="2000"/>
    <n v="3556"/>
    <x v="1"/>
  </r>
  <r>
    <n v="2728"/>
    <x v="2727"/>
    <s v="DF 24ထြန္ခံု အတြင္းခဲကာ"/>
    <n v="1"/>
    <n v="18000"/>
    <n v="18000"/>
    <n v="9000"/>
    <x v="1"/>
  </r>
  <r>
    <n v="2729"/>
    <x v="2728"/>
    <s v="500X12 ကၽြတ္"/>
    <n v="10"/>
    <n v="6500"/>
    <n v="6500"/>
    <n v="50000"/>
    <x v="1"/>
  </r>
  <r>
    <n v="2730"/>
    <x v="2729"/>
    <s v="DF ႏႈတ္သီး"/>
    <n v="1"/>
    <n v="62400"/>
    <n v="62400"/>
    <n v="45000"/>
    <x v="1"/>
  </r>
  <r>
    <n v="2731"/>
    <x v="2730"/>
    <s v="B55 ပူလီႀကီး (ေျပာင္)"/>
    <n v="5"/>
    <n v="1800"/>
    <n v="1800"/>
    <n v="6600"/>
    <x v="1"/>
  </r>
  <r>
    <n v="2732"/>
    <x v="2731"/>
    <s v="အမိုးစကူေခါင္းအတို"/>
    <n v="5"/>
    <n v="1000"/>
    <n v="1000"/>
    <n v="2250"/>
    <x v="1"/>
  </r>
  <r>
    <n v="2733"/>
    <x v="2732"/>
    <s v="ကီးတို (တစ္ဘီး)_x000d__x000a_"/>
    <n v="17"/>
    <n v="500"/>
    <n v="500"/>
    <n v="2465"/>
    <x v="1"/>
  </r>
  <r>
    <n v="2734"/>
    <x v="2733"/>
    <s v="ကီးရွည္(တစ္ဘီး)"/>
    <n v="40"/>
    <n v="600"/>
    <n v="600"/>
    <n v="18000"/>
    <x v="1"/>
  </r>
  <r>
    <n v="2735"/>
    <x v="2734"/>
    <s v="R175 ဆီတုိင္ကီပံုေဟာင္း"/>
    <n v="3"/>
    <n v="18000"/>
    <n v="18000"/>
    <n v="38367"/>
    <x v="1"/>
  </r>
  <r>
    <n v="2736"/>
    <x v="2735"/>
    <s v="R175 မိန္းဖလန္း"/>
    <n v="5"/>
    <n v="7500"/>
    <n v="7500"/>
    <n v="22500"/>
    <x v="1"/>
  </r>
  <r>
    <n v="2737"/>
    <x v="2736"/>
    <s v="မီးခံျပား အပါး"/>
    <n v="16"/>
    <n v="1400"/>
    <n v="1400"/>
    <n v="13344"/>
    <x v="1"/>
  </r>
  <r>
    <n v="2738"/>
    <x v="2737"/>
    <s v="26 FM ပူလီႀကိဳး"/>
    <n v="5"/>
    <n v="1000"/>
    <n v="1000"/>
    <n v="1950"/>
    <x v="1"/>
  </r>
  <r>
    <n v="2739"/>
    <x v="2738"/>
    <s v="3 မူး ပြန္က်ဴ"/>
    <n v="9"/>
    <n v="1500"/>
    <n v="1500"/>
    <n v="10800"/>
    <x v="1"/>
  </r>
  <r>
    <n v="2740"/>
    <x v="2739"/>
    <s v="5 မူး ပြန္က်ဴ"/>
    <n v="4"/>
    <n v="1300"/>
    <n v="1300"/>
    <n v="3600"/>
    <x v="1"/>
  </r>
  <r>
    <n v="2741"/>
    <x v="2740"/>
    <s v="400X8 ကၽြတ္"/>
    <n v="4"/>
    <n v="7000"/>
    <n v="7000"/>
    <n v="16400"/>
    <x v="1"/>
  </r>
  <r>
    <n v="2742"/>
    <x v="2741"/>
    <s v="DF 24သြား ဂဲကာသံျပား"/>
    <n v="3"/>
    <n v="9500"/>
    <n v="9500"/>
    <n v="15000"/>
    <x v="1"/>
  </r>
  <r>
    <n v="2743"/>
    <x v="2742"/>
    <s v="DF ကလပ္ျပား(ေကာင္း)"/>
    <n v="9"/>
    <n v="4500"/>
    <n v="4500"/>
    <n v="21285"/>
    <x v="1"/>
  </r>
  <r>
    <n v="2744"/>
    <x v="2743"/>
    <s v="DF ေျခနင္းျပား"/>
    <n v="4"/>
    <n v="7200"/>
    <n v="7200"/>
    <n v="13800"/>
    <x v="1"/>
  </r>
  <r>
    <n v="2745"/>
    <x v="2744"/>
    <s v="DF ဂီယာေဘာက္ဖံုး"/>
    <n v="6"/>
    <n v="23500"/>
    <n v="23500"/>
    <n v="111000"/>
    <x v="1"/>
  </r>
  <r>
    <n v="2746"/>
    <x v="2745"/>
    <s v="DF ကလပ္ေဘာထိုင္"/>
    <n v="4"/>
    <n v="3000"/>
    <n v="3000"/>
    <n v="7200"/>
    <x v="1"/>
  </r>
  <r>
    <n v="2747"/>
    <x v="2746"/>
    <s v="DF လက္လွည့္သီး_x000d__x000a_"/>
    <n v="4"/>
    <n v="7000"/>
    <n v="7000"/>
    <n v="22000"/>
    <x v="1"/>
  </r>
  <r>
    <n v="2748"/>
    <x v="2747"/>
    <s v="DF ေႏွးျမန္ဘြတ္က်ယ္"/>
    <n v="4"/>
    <n v="1400"/>
    <n v="1400"/>
    <n v="2000"/>
    <x v="1"/>
  </r>
  <r>
    <n v="2749"/>
    <x v="2748"/>
    <s v="209 ေဘာ"/>
    <n v="6"/>
    <n v="5000"/>
    <n v="5000"/>
    <n v="17700"/>
    <x v="1"/>
  </r>
  <r>
    <n v="2750"/>
    <x v="2749"/>
    <s v="6 1/2 သံပူလီ"/>
    <n v="7"/>
    <n v="1500"/>
    <n v="1500"/>
    <n v="4900"/>
    <x v="1"/>
  </r>
  <r>
    <n v="2751"/>
    <x v="2750"/>
    <s v="DF ကလပ္မွန္ျပင္"/>
    <n v="7"/>
    <n v="5400"/>
    <n v="5400"/>
    <n v="20650"/>
    <x v="1"/>
  </r>
  <r>
    <n v="2752"/>
    <x v="2751"/>
    <s v="DF ကလပ္နတ္(1 ေခ်ာင္း)"/>
    <n v="29"/>
    <n v="400"/>
    <n v="400"/>
    <n v="5800"/>
    <x v="1"/>
  </r>
  <r>
    <n v="2753"/>
    <x v="2752"/>
    <s v="DF ကလပ္စပုလိမ္ႀကီး"/>
    <n v="10"/>
    <n v="500"/>
    <n v="500"/>
    <n v="1400"/>
    <x v="1"/>
  </r>
  <r>
    <n v="2754"/>
    <x v="2753"/>
    <s v="DF ဂီယာထိုးတံ"/>
    <n v="1"/>
    <n v="6000"/>
    <n v="6000"/>
    <n v="2800"/>
    <x v="1"/>
  </r>
  <r>
    <n v="2755"/>
    <x v="2754"/>
    <s v="ဘားကာတာ(5)မ်ိဳး"/>
    <n v="1"/>
    <n v="18000"/>
    <n v="18000"/>
    <n v="13500"/>
    <x v="1"/>
  </r>
  <r>
    <n v="2756"/>
    <x v="2755"/>
    <s v="ဆီညွစ္ဗူး(အၾကည္)"/>
    <n v="15"/>
    <n v="2500"/>
    <n v="2500"/>
    <n v="21750"/>
    <x v="1"/>
  </r>
  <r>
    <n v="2757"/>
    <x v="2756"/>
    <s v="တိတ္ (ႏွစ္ဖက္)"/>
    <n v="2"/>
    <n v="300"/>
    <n v="300"/>
    <n v="300"/>
    <x v="1"/>
  </r>
  <r>
    <n v="2758"/>
    <x v="2757"/>
    <s v="3KW ဖို္က္ဗာတန္းရွည္"/>
    <n v="9"/>
    <n v="1000"/>
    <n v="1000"/>
    <n v="2520"/>
    <x v="1"/>
  </r>
  <r>
    <n v="2759"/>
    <x v="2758"/>
    <s v="ကြန္နဆာ 10uF"/>
    <n v="4"/>
    <n v="3000"/>
    <n v="3000"/>
    <n v="6000"/>
    <x v="1"/>
  </r>
  <r>
    <n v="2760"/>
    <x v="2759"/>
    <s v="ကြန္နဆာ 8uF"/>
    <n v="9"/>
    <n v="2500"/>
    <n v="2500"/>
    <n v="16200"/>
    <x v="1"/>
  </r>
  <r>
    <n v="2761"/>
    <x v="2760"/>
    <s v="ကြန္နဆာ 16uF"/>
    <n v="6"/>
    <n v="3500"/>
    <n v="3500"/>
    <n v="12600"/>
    <x v="1"/>
  </r>
  <r>
    <n v="2762"/>
    <x v="2761"/>
    <s v="ကြန္နဆာ 20uF"/>
    <n v="1"/>
    <n v="3500"/>
    <n v="3500"/>
    <n v="1600"/>
    <x v="1"/>
  </r>
  <r>
    <n v="2763"/>
    <x v="2762"/>
    <s v="ကြန္နဆာ 12uF"/>
    <n v="6"/>
    <n v="3000"/>
    <n v="3000"/>
    <n v="12000"/>
    <x v="1"/>
  </r>
  <r>
    <n v="2764"/>
    <x v="2763"/>
    <s v="4.5 စူးသြား"/>
    <n v="4"/>
    <n v="600"/>
    <n v="600"/>
    <n v="1120"/>
    <x v="1"/>
  </r>
  <r>
    <n v="2765"/>
    <x v="2764"/>
    <s v="5.5 စူးသြား"/>
    <n v="10"/>
    <n v="1000"/>
    <n v="1000"/>
    <n v="4500"/>
    <x v="1"/>
  </r>
  <r>
    <n v="2766"/>
    <x v="2765"/>
    <s v="7 စူးသြား"/>
    <n v="4"/>
    <n v="2000"/>
    <n v="2000"/>
    <n v="5200"/>
    <x v="1"/>
  </r>
  <r>
    <n v="2767"/>
    <x v="2766"/>
    <s v="10.5 စူးသြား"/>
    <n v="3"/>
    <n v="3000"/>
    <n v="3000"/>
    <n v="6900"/>
    <x v="1"/>
  </r>
  <r>
    <n v="2768"/>
    <x v="2767"/>
    <s v="1 စူးသြား"/>
    <n v="5"/>
    <n v="400"/>
    <n v="400"/>
    <n v="750"/>
    <x v="1"/>
  </r>
  <r>
    <n v="2769"/>
    <x v="2768"/>
    <s v="1.5 စူးသြား"/>
    <n v="3"/>
    <n v="500"/>
    <n v="500"/>
    <n v="510"/>
    <x v="1"/>
  </r>
  <r>
    <n v="2770"/>
    <x v="2769"/>
    <s v="3 စူးသြား"/>
    <n v="5"/>
    <n v="800"/>
    <n v="800"/>
    <n v="1250"/>
    <x v="1"/>
  </r>
  <r>
    <n v="2771"/>
    <x v="2770"/>
    <s v="DF ဆိုက္ကလစ္ဂြ"/>
    <n v="4"/>
    <n v="4200"/>
    <n v="4200"/>
    <n v="8000"/>
    <x v="1"/>
  </r>
  <r>
    <n v="2772"/>
    <x v="2771"/>
    <s v="DF ထရန္စဖာအံု"/>
    <n v="2"/>
    <n v="146400"/>
    <n v="146400"/>
    <n v="158740"/>
    <x v="1"/>
  </r>
  <r>
    <n v="2773"/>
    <x v="2772"/>
    <s v="18 ေကာင္မိန္းဘြတ္ STD (ခု)"/>
    <n v="10"/>
    <n v="4000"/>
    <n v="4000"/>
    <n v="30000"/>
    <x v="1"/>
  </r>
  <r>
    <n v="2774"/>
    <x v="2773"/>
    <s v="18 ဂိတ္ျပပစၥတင္"/>
    <n v="1"/>
    <n v="1200"/>
    <n v="1200"/>
    <n v="550"/>
    <x v="1"/>
  </r>
  <r>
    <n v="2775"/>
    <x v="2774"/>
    <s v="DF 2 ေပါက္ ဓားအိမ္လြတ္"/>
    <n v="35"/>
    <n v="3600"/>
    <n v="3600"/>
    <n v="52500"/>
    <x v="1"/>
  </r>
  <r>
    <n v="2776"/>
    <x v="2775"/>
    <s v="TB 40ခရုပန္႔(ေခါင္းဝိုင္း)"/>
    <n v="1"/>
    <n v="23000"/>
    <n v="23000"/>
    <n v="18200"/>
    <x v="1"/>
  </r>
  <r>
    <n v="2777"/>
    <x v="2776"/>
    <s v="M6 10 ေတာက္"/>
    <n v="10"/>
    <n v="3000"/>
    <n v="3000"/>
    <n v="18000"/>
    <x v="1"/>
  </r>
  <r>
    <n v="2778"/>
    <x v="2777"/>
    <s v="M 9/16×12 ေတာက္"/>
    <n v="1"/>
    <n v="9000"/>
    <n v="9000"/>
    <n v="7000"/>
    <x v="1"/>
  </r>
  <r>
    <n v="2779"/>
    <x v="2778"/>
    <s v="DF ဂီယာ ေဘးပိတ္"/>
    <n v="1"/>
    <n v="7800"/>
    <n v="7800"/>
    <n v="4500"/>
    <x v="1"/>
  </r>
  <r>
    <n v="2780"/>
    <x v="2779"/>
    <s v="DF ေပါင္ေအာက္ပိတ္"/>
    <n v="4"/>
    <n v="6000"/>
    <n v="6000"/>
    <n v="8600"/>
    <x v="1"/>
  </r>
  <r>
    <n v="2781"/>
    <x v="2780"/>
    <s v="DF ဆိုက္ကလပ္လက္ညွစ္"/>
    <n v="7"/>
    <n v="4800"/>
    <n v="4800"/>
    <n v="10500"/>
    <x v="1"/>
  </r>
  <r>
    <n v="2782"/>
    <x v="2781"/>
    <s v="205 သံပိတ္"/>
    <n v="1"/>
    <n v="1700"/>
    <n v="1700"/>
    <n v="1000"/>
    <x v="1"/>
  </r>
  <r>
    <n v="2783"/>
    <x v="2782"/>
    <s v="6009  HCH"/>
    <n v="5"/>
    <n v="3800"/>
    <n v="3800"/>
    <n v="10500"/>
    <x v="1"/>
  </r>
  <r>
    <n v="2784"/>
    <x v="2783"/>
    <s v="Kawa 7 1/2  ေကာ္နတင္း "/>
    <n v="4"/>
    <n v="6000"/>
    <n v="6000"/>
    <n v="13600"/>
    <x v="1"/>
  </r>
  <r>
    <n v="2785"/>
    <x v="2784"/>
    <s v="9 ေကာင္သံပါတ္"/>
    <n v="4"/>
    <n v="1500"/>
    <n v="1500"/>
    <n v="2400"/>
    <x v="1"/>
  </r>
  <r>
    <n v="2786"/>
    <x v="2785"/>
    <s v="14 T"/>
    <n v="5"/>
    <n v="1700"/>
    <n v="1700"/>
    <n v="5000"/>
    <x v="1"/>
  </r>
  <r>
    <n v="2787"/>
    <x v="2786"/>
    <s v="6 1/2 ဆီဖုံး ေကာ္"/>
    <n v="6"/>
    <n v="850"/>
    <n v="850"/>
    <n v="3300"/>
    <x v="1"/>
  </r>
  <r>
    <n v="2788"/>
    <x v="2787"/>
    <s v="SU80 အင္ပယ္လာ"/>
    <n v="3"/>
    <n v="9000"/>
    <n v="9000"/>
    <n v="20700"/>
    <x v="1"/>
  </r>
  <r>
    <n v="2789"/>
    <x v="2788"/>
    <s v="13 လက္မ 2 ရြက္ပန္ကာ"/>
    <n v="6"/>
    <n v="9000"/>
    <n v="9000"/>
    <n v="37800"/>
    <x v="1"/>
  </r>
  <r>
    <n v="2790"/>
    <x v="2789"/>
    <s v="6 1/2 ကိြဳင္ႀကိဳး"/>
    <n v="16"/>
    <n v="300"/>
    <n v="300"/>
    <n v="2400"/>
    <x v="1"/>
  </r>
  <r>
    <n v="2791"/>
    <x v="2790"/>
    <s v="40.60.10"/>
    <n v="20"/>
    <n v="800"/>
    <n v="800"/>
    <n v="8000"/>
    <x v="1"/>
  </r>
  <r>
    <n v="2792"/>
    <x v="2791"/>
    <s v="500 X 12တာယာ+ကၽြတ္(YGN)"/>
    <n v="1"/>
    <n v="55000"/>
    <n v="55000"/>
    <n v="49500"/>
    <x v="1"/>
  </r>
  <r>
    <n v="2793"/>
    <x v="2792"/>
    <s v="Kawa ျမက္ရိတ္စက္"/>
    <n v="1"/>
    <n v="180000"/>
    <n v="180000"/>
    <n v="148000"/>
    <x v="1"/>
  </r>
  <r>
    <n v="2794"/>
    <x v="2793"/>
    <s v="6 1/2 ဟက္"/>
    <n v="1"/>
    <n v="18000"/>
    <n v="18000"/>
    <n v="12600"/>
    <x v="1"/>
  </r>
  <r>
    <n v="2795"/>
    <x v="2794"/>
    <s v="7 1/2 ဟက္"/>
    <n v="1"/>
    <n v="18000"/>
    <n v="18000"/>
    <n v="8500"/>
    <x v="1"/>
  </r>
  <r>
    <n v="2796"/>
    <x v="2795"/>
    <s v="626 DD ေဘာ"/>
    <n v="8"/>
    <n v="1000"/>
    <n v="1000"/>
    <n v="3200"/>
    <x v="1"/>
  </r>
  <r>
    <n v="2797"/>
    <x v="2796"/>
    <s v="629 DD "/>
    <n v="9"/>
    <n v="1000"/>
    <n v="1000"/>
    <n v="3600"/>
    <x v="1"/>
  </r>
  <r>
    <n v="2798"/>
    <x v="2797"/>
    <s v="ဗို႔ မီီတာ"/>
    <n v="4"/>
    <n v="7000"/>
    <n v="7000"/>
    <n v="13600"/>
    <x v="1"/>
  </r>
  <r>
    <n v="2799"/>
    <x v="2798"/>
    <s v="28x47x10"/>
    <n v="12"/>
    <n v="1000"/>
    <n v="1000"/>
    <n v="6000"/>
    <x v="1"/>
  </r>
  <r>
    <n v="2800"/>
    <x v="2799"/>
    <s v="မီးစက္တြဲ (154)ကာဗရိုက္တာ"/>
    <n v="5"/>
    <n v="11500"/>
    <n v="11500"/>
    <n v="42500"/>
    <x v="1"/>
  </r>
  <r>
    <n v="2801"/>
    <x v="2800"/>
    <s v="(154)3 1/2 ပါကင္စံု"/>
    <n v="5"/>
    <n v="1500"/>
    <n v="1500"/>
    <n v="5500"/>
    <x v="1"/>
  </r>
  <r>
    <n v="2802"/>
    <x v="2801"/>
    <s v="22 စပန္နာသီးအရွည္"/>
    <n v="11"/>
    <n v="4000"/>
    <n v="4000"/>
    <n v="34100"/>
    <x v="1"/>
  </r>
  <r>
    <n v="2803"/>
    <x v="2802"/>
    <s v="3 1/2 ေကာ္နတင္း"/>
    <n v="1"/>
    <n v="3000"/>
    <n v="3000"/>
    <n v="2000"/>
    <x v="1"/>
  </r>
  <r>
    <n v="2804"/>
    <x v="2803"/>
    <s v="9 ေကာင္း အဲယားဗူး"/>
    <n v="4"/>
    <n v="10000"/>
    <n v="10000"/>
    <n v="30400"/>
    <x v="1"/>
  </r>
  <r>
    <n v="2805"/>
    <x v="2804"/>
    <s v="52 B ခ်ိန္း"/>
    <n v="5"/>
    <n v="4000"/>
    <n v="4000"/>
    <n v="13780"/>
    <x v="1"/>
  </r>
  <r>
    <n v="2806"/>
    <x v="2805"/>
    <s v="9 ေကာင္အဝိုင္းစီး"/>
    <n v="13"/>
    <n v="700"/>
    <n v="700"/>
    <n v="3250"/>
    <x v="1"/>
  </r>
  <r>
    <n v="2807"/>
    <x v="2806"/>
    <s v="6 1/2 ကီးရွည္"/>
    <n v="3"/>
    <n v="300"/>
    <n v="300"/>
    <n v="300"/>
    <x v="1"/>
  </r>
  <r>
    <n v="2808"/>
    <x v="2807"/>
    <s v="7 1/2 ဂတ္စကက္"/>
    <n v="5"/>
    <n v="600"/>
    <n v="600"/>
    <n v="1750"/>
    <x v="1"/>
  </r>
  <r>
    <n v="2809"/>
    <x v="2808"/>
    <s v="16 ေကာင္ ကိြဳင္"/>
    <n v="4"/>
    <n v="8000"/>
    <n v="8000"/>
    <n v="16200"/>
    <x v="1"/>
  </r>
  <r>
    <n v="2810"/>
    <x v="2809"/>
    <s v="SU 100 ဘီလူး ေရတံခါး"/>
    <n v="8"/>
    <n v="2500"/>
    <n v="2500"/>
    <n v="7840"/>
    <x v="1"/>
  </r>
  <r>
    <n v="2811"/>
    <x v="2810"/>
    <s v="4 လက္မ ကစလ ဖလန္း"/>
    <n v="1"/>
    <n v="16500"/>
    <n v="16500"/>
    <n v="9800"/>
    <x v="1"/>
  </r>
  <r>
    <n v="2812"/>
    <x v="2811"/>
    <s v="ဝက္အူလွည့္ (နန္းေသး)"/>
    <n v="18"/>
    <n v="800"/>
    <n v="800"/>
    <n v="5400"/>
    <x v="1"/>
  </r>
  <r>
    <n v="2813"/>
    <x v="2812"/>
    <s v="KW ဆီတိုင္ကီ ေဒါက္"/>
    <n v="3"/>
    <n v="6000"/>
    <n v="6000"/>
    <n v="12600"/>
    <x v="1"/>
  </r>
  <r>
    <n v="2814"/>
    <x v="2813"/>
    <s v="KW စတီးေျပာင္း"/>
    <n v="5"/>
    <n v="4000"/>
    <n v="4000"/>
    <n v="12500"/>
    <x v="1"/>
  </r>
  <r>
    <n v="2815"/>
    <x v="2814"/>
    <s v="6 1/2 ဂါဗနာသီး"/>
    <n v="12"/>
    <n v="1500"/>
    <n v="1500"/>
    <n v="9456"/>
    <x v="1"/>
  </r>
  <r>
    <n v="2816"/>
    <x v="2815"/>
    <s v="6 1/2 ဆြဲႀကိဳးမဲ_x000d__x000a_ "/>
    <n v="1"/>
    <n v="600"/>
    <n v="600"/>
    <n v="350"/>
    <x v="1"/>
  </r>
  <r>
    <n v="2817"/>
    <x v="2816"/>
    <s v="13 ေကာင္ သံပတ္"/>
    <n v="7"/>
    <n v="1500"/>
    <n v="1500"/>
    <n v="3850"/>
    <x v="1"/>
  </r>
  <r>
    <n v="2818"/>
    <x v="2817"/>
    <s v="ပန္းေကာ္ပတ္"/>
    <n v="15"/>
    <n v="800"/>
    <n v="800"/>
    <n v="7500"/>
    <x v="1"/>
  </r>
  <r>
    <n v="2819"/>
    <x v="2818"/>
    <s v="LS-30 ေလအိုး"/>
    <n v="2"/>
    <n v="8000"/>
    <n v="8000"/>
    <n v="10000"/>
    <x v="1"/>
  </r>
  <r>
    <n v="2820"/>
    <x v="2819"/>
    <s v="ျမက္ရိတ္စက္ ရိန္း"/>
    <n v="4"/>
    <n v="3000"/>
    <n v="3000"/>
    <n v="7680"/>
    <x v="1"/>
  </r>
  <r>
    <n v="2821"/>
    <x v="2820"/>
    <s v="LS-30 ဘားစပလိန္"/>
    <n v="29"/>
    <n v="1000"/>
    <n v="1000"/>
    <n v="17400"/>
    <x v="1"/>
  </r>
  <r>
    <n v="2822"/>
    <x v="2821"/>
    <s v="13/16 ေကာင္ ေျပာင္း"/>
    <n v="3"/>
    <n v="3500"/>
    <n v="3500"/>
    <n v="5400"/>
    <x v="1"/>
  </r>
  <r>
    <n v="2823"/>
    <x v="2822"/>
    <s v="Kawa 7 1/2 လီဘာကိုင္း"/>
    <n v="6"/>
    <n v="4000"/>
    <n v="4000"/>
    <n v="13800"/>
    <x v="1"/>
  </r>
  <r>
    <n v="2824"/>
    <x v="2823"/>
    <s v="DC ေရျမႈပ္ပန္႔ (180W)"/>
    <n v="4"/>
    <n v="32000"/>
    <n v="32000"/>
    <n v="96000"/>
    <x v="1"/>
  </r>
  <r>
    <n v="2825"/>
    <x v="2824"/>
    <s v="ကာပရိုက္တာ ဆီညွစ္ဗူး"/>
    <n v="10"/>
    <n v="500"/>
    <n v="500"/>
    <n v="2300"/>
    <x v="1"/>
  </r>
  <r>
    <n v="2826"/>
    <x v="2825"/>
    <s v="139 အဝိုင္းစီး"/>
    <n v="10"/>
    <n v="1000"/>
    <n v="1000"/>
    <n v="4000"/>
    <x v="1"/>
  </r>
  <r>
    <n v="2827"/>
    <x v="2826"/>
    <s v="35    P+R"/>
    <n v="1"/>
    <n v="4500"/>
    <n v="4500"/>
    <n v="2700"/>
    <x v="1"/>
  </r>
  <r>
    <n v="2828"/>
    <x v="2827"/>
    <s v="10   Lကီးနတ္ (1 1/2)"/>
    <n v="16"/>
    <n v="200"/>
    <n v="200"/>
    <n v="1600"/>
    <x v="1"/>
  </r>
  <r>
    <n v="2829"/>
    <x v="2828"/>
    <s v="12 ဓါး (စတီး)"/>
    <n v="1"/>
    <n v="4000"/>
    <n v="4000"/>
    <n v="2200"/>
    <x v="1"/>
  </r>
  <r>
    <n v="2830"/>
    <x v="2829"/>
    <s v="6 1/2 ဘားလိပ္ျပာ"/>
    <n v="7"/>
    <n v="500"/>
    <n v="500"/>
    <n v="1400"/>
    <x v="1"/>
  </r>
  <r>
    <n v="2831"/>
    <x v="2830"/>
    <s v="13 Hp ဘားလိပ္ျပာ"/>
    <n v="7"/>
    <n v="600"/>
    <n v="600"/>
    <n v="2100"/>
    <x v="1"/>
  </r>
  <r>
    <n v="2832"/>
    <x v="2831"/>
    <s v="6 1/2 ဖူးစေတာ့တံ"/>
    <n v="3"/>
    <n v="600"/>
    <n v="600"/>
    <n v="900"/>
    <x v="1"/>
  </r>
  <r>
    <n v="2833"/>
    <x v="2832"/>
    <s v="50 uf ကြန္ဒင္ဆာ"/>
    <n v="8"/>
    <n v="5000"/>
    <n v="5000"/>
    <n v="19200"/>
    <x v="1"/>
  </r>
  <r>
    <n v="2834"/>
    <x v="2833"/>
    <s v="ဘကၳရီ ေခါင္း"/>
    <n v="2"/>
    <n v="1500"/>
    <n v="1500"/>
    <n v="1650"/>
    <x v="1"/>
  </r>
  <r>
    <n v="2835"/>
    <x v="2834"/>
    <s v="28 ရွပ္ပိုက္"/>
    <n v="2"/>
    <n v="7500"/>
    <n v="7500"/>
    <n v="11000"/>
    <x v="1"/>
  </r>
  <r>
    <n v="2836"/>
    <x v="2835"/>
    <s v="1ေခ်ာင္းဆြဲဘရိတ္ရွဴး"/>
    <n v="3"/>
    <n v="3500"/>
    <n v="3500"/>
    <n v="6900"/>
    <x v="1"/>
  </r>
  <r>
    <n v="2837"/>
    <x v="2836"/>
    <s v="ဘရိတ္ရွဴးစပလိန္"/>
    <n v="6"/>
    <n v="300"/>
    <n v="300"/>
    <n v="900"/>
    <x v="1"/>
  </r>
  <r>
    <n v="2838"/>
    <x v="2837"/>
    <s v="1 လက္မေရျဖန္းေခါင္း"/>
    <n v="11"/>
    <n v="2000"/>
    <n v="2000"/>
    <n v="16500"/>
    <x v="1"/>
  </r>
  <r>
    <n v="2839"/>
    <x v="2838"/>
    <s v="6 1/2 ဘားဖံုး(စံု)"/>
    <n v="10"/>
    <n v="1000"/>
    <n v="1000"/>
    <n v="7000"/>
    <x v="1"/>
  </r>
  <r>
    <n v="2840"/>
    <x v="2839"/>
    <s v="35 တိုက္ပစ္ေမာင္း"/>
    <n v="9"/>
    <n v="6000"/>
    <n v="6000"/>
    <n v="31500"/>
    <x v="1"/>
  </r>
  <r>
    <n v="2841"/>
    <x v="2840"/>
    <s v="GX 35 Engine"/>
    <n v="1"/>
    <n v="100000"/>
    <n v="100000"/>
    <n v="65000"/>
    <x v="1"/>
  </r>
  <r>
    <n v="2842"/>
    <x v="2841"/>
    <s v="53 ပလပ္စြတ္"/>
    <n v="4"/>
    <n v="1200"/>
    <n v="1200"/>
    <n v="2400"/>
    <x v="1"/>
  </r>
  <r>
    <n v="2843"/>
    <x v="2842"/>
    <s v="ခ်ိန္းေစာ(ျမက္ရိတ္စက္)"/>
    <n v="1"/>
    <n v="35000"/>
    <n v="35000"/>
    <n v="25000"/>
    <x v="1"/>
  </r>
  <r>
    <n v="2844"/>
    <x v="2843"/>
    <s v="139 ဘားဖုံး_x000d__x000a_"/>
    <n v="5"/>
    <n v="800"/>
    <n v="800"/>
    <n v="2500"/>
    <x v="1"/>
  </r>
  <r>
    <n v="2845"/>
    <x v="2844"/>
    <s v="35 ဘားဖံုး"/>
    <n v="4"/>
    <n v="800"/>
    <n v="800"/>
    <n v="2000"/>
    <x v="1"/>
  </r>
  <r>
    <n v="2846"/>
    <x v="2845"/>
    <s v="12 X 2ရြက္ ပန္ကာ"/>
    <n v="5"/>
    <n v="4500"/>
    <n v="4500"/>
    <n v="18000"/>
    <x v="1"/>
  </r>
  <r>
    <n v="2847"/>
    <x v="2846"/>
    <s v="35 ဆီတိုင္ကီ"/>
    <n v="1"/>
    <n v="5500"/>
    <n v="5500"/>
    <n v="3000"/>
    <x v="1"/>
  </r>
  <r>
    <n v="2848"/>
    <x v="2847"/>
    <s v="950 ပလပ္ကိြဳင္"/>
    <n v="1"/>
    <n v="3000"/>
    <n v="3000"/>
    <n v="850"/>
    <x v="1"/>
  </r>
  <r>
    <n v="2849"/>
    <x v="2848"/>
    <s v="28 ရွဴးအံု (အစံု)"/>
    <n v="1"/>
    <n v="8000"/>
    <n v="8000"/>
    <n v="4150"/>
    <x v="1"/>
  </r>
  <r>
    <n v="2850"/>
    <x v="2849"/>
    <s v="24 uf ကြန္ဒင္ဆာ"/>
    <n v="2"/>
    <n v="3000"/>
    <n v="3000"/>
    <n v="2200"/>
    <x v="1"/>
  </r>
  <r>
    <n v="2851"/>
    <x v="2850"/>
    <s v="Kawa 9 ေကာင္ အိတ္ေဇာဗူး"/>
    <n v="3"/>
    <n v="13000"/>
    <n v="13000"/>
    <n v="27450"/>
    <x v="1"/>
  </r>
  <r>
    <n v="2852"/>
    <x v="2851"/>
    <s v="Kawa 16 ေကာင္ အိတ္ေဇာဗူး"/>
    <n v="2"/>
    <n v="13000"/>
    <n v="13000"/>
    <n v="19900"/>
    <x v="1"/>
  </r>
  <r>
    <n v="2853"/>
    <x v="2852"/>
    <s v="Kawa 9ေကာင္ဆီအိုး"/>
    <n v="3"/>
    <n v="16500"/>
    <n v="16500"/>
    <n v="36600"/>
    <x v="1"/>
  </r>
  <r>
    <n v="2854"/>
    <x v="2853"/>
    <s v="Kawa 9ေကာင္ပါကင္စံု"/>
    <n v="4"/>
    <n v="4000"/>
    <n v="4000"/>
    <n v="12000"/>
    <x v="1"/>
  </r>
  <r>
    <n v="2855"/>
    <x v="2854"/>
    <s v="Kawa 7 1/2 ဆြဲအံု( ပံုသစ္)_x000d__x000a_"/>
    <n v="1"/>
    <n v="5000"/>
    <n v="5000"/>
    <n v="1850"/>
    <x v="1"/>
  </r>
  <r>
    <n v="2856"/>
    <x v="2855"/>
    <s v="ေရႊ ခရာ (8 လက္မ ဓါတ္ဆီ)"/>
    <n v="1"/>
    <n v="65000"/>
    <n v="65000"/>
    <n v="50000"/>
    <x v="1"/>
  </r>
  <r>
    <n v="2857"/>
    <x v="2856"/>
    <s v="6 1/2 ဆြဲသီး"/>
    <n v="1"/>
    <n v="400"/>
    <n v="400"/>
    <n v="150"/>
    <x v="1"/>
  </r>
  <r>
    <n v="2858"/>
    <x v="2857"/>
    <s v="9ေကာင္ဆြဲအံု"/>
    <n v="1"/>
    <n v="6000"/>
    <n v="6000"/>
    <n v="3300"/>
    <x v="1"/>
  </r>
  <r>
    <n v="2859"/>
    <x v="2858"/>
    <s v="35 ပလပ္ "/>
    <n v="4"/>
    <n v="1500"/>
    <n v="1500"/>
    <n v="2600"/>
    <x v="1"/>
  </r>
  <r>
    <n v="2860"/>
    <x v="2859"/>
    <s v="3လက္မကပ္ပန္႔အင္ပယ္လာ"/>
    <n v="6"/>
    <n v="9000"/>
    <n v="9000"/>
    <n v="41400"/>
    <x v="1"/>
  </r>
  <r>
    <n v="2861"/>
    <x v="2860"/>
    <s v="6 1/2 နတ္စံု"/>
    <n v="1"/>
    <n v="5000"/>
    <n v="5000"/>
    <n v="2550"/>
    <x v="1"/>
  </r>
  <r>
    <n v="2862"/>
    <x v="2861"/>
    <s v="35 ဝိုင္းစီး(စံု)"/>
    <n v="3"/>
    <n v="1000"/>
    <n v="1000"/>
    <n v="870"/>
    <x v="1"/>
  </r>
  <r>
    <n v="2863"/>
    <x v="2862"/>
    <s v="4 လက္မသားေရျပား"/>
    <n v="5"/>
    <n v="2000"/>
    <n v="2000"/>
    <n v="4715"/>
    <x v="1"/>
  </r>
  <r>
    <n v="2864"/>
    <x v="2863"/>
    <s v="လြယ္ႀကိဳးခ်ိတ္ကြင္း"/>
    <n v="7"/>
    <n v="800"/>
    <n v="800"/>
    <n v="3500"/>
    <x v="1"/>
  </r>
  <r>
    <n v="2865"/>
    <x v="2864"/>
    <s v="Kawa 9 ေကာင္ေကာ္နတင္း"/>
    <n v="1"/>
    <n v="7500"/>
    <n v="7500"/>
    <n v="4200"/>
    <x v="1"/>
  </r>
  <r>
    <n v="2866"/>
    <x v="2865"/>
    <s v="တံစဥ္းျပား 12လက္မ"/>
    <n v="12"/>
    <n v="3000"/>
    <n v="3000"/>
    <n v="18000"/>
    <x v="1"/>
  </r>
  <r>
    <n v="2867"/>
    <x v="2866"/>
    <s v="139 တိုက္ပစ္ဖံုး "/>
    <n v="2"/>
    <n v="3000"/>
    <n v="3000"/>
    <n v="3000"/>
    <x v="1"/>
  </r>
  <r>
    <n v="2868"/>
    <x v="2867"/>
    <s v="6 1/2 ဟက္ဖံုး"/>
    <n v="2"/>
    <n v="2500"/>
    <n v="2500"/>
    <n v="2400"/>
    <x v="1"/>
  </r>
  <r>
    <n v="2869"/>
    <x v="2868"/>
    <s v="MBT 6.5 အထိုင္ x 10ေပ"/>
    <n v="1"/>
    <n v="120000"/>
    <n v="120000"/>
    <n v="95000"/>
    <x v="8"/>
  </r>
  <r>
    <n v="2870"/>
    <x v="2869"/>
    <s v="6.5 အထိုင္(စက္ေလွ) SPS"/>
    <n v="1"/>
    <n v="165000"/>
    <n v="165000"/>
    <n v="145000"/>
    <x v="8"/>
  </r>
  <r>
    <n v="2871"/>
    <x v="2870"/>
    <s v="3လက္မ Royal 20 (လည္ေခ်ာင္းပိုက္မာ)"/>
    <n v="2"/>
    <n v="72000"/>
    <n v="72000"/>
    <n v="124000"/>
    <x v="8"/>
  </r>
  <r>
    <n v="2872"/>
    <x v="2871"/>
    <s v="4လက္မ Royal  (လည္ေခ်ာင္းပိုက္မာ)"/>
    <n v="2"/>
    <n v="95000"/>
    <n v="95000"/>
    <n v="124000"/>
    <x v="8"/>
  </r>
  <r>
    <n v="2873"/>
    <x v="2872"/>
    <s v="Engine 7.5hp(NiSun)"/>
    <n v="1"/>
    <n v="120000"/>
    <n v="120000"/>
    <n v="99000"/>
    <x v="8"/>
  </r>
  <r>
    <n v="2874"/>
    <x v="2873"/>
    <s v="FD 30 တစ္ဘီးထြန္"/>
    <n v="1"/>
    <n v="650000"/>
    <n v="650000"/>
    <n v="530000"/>
    <x v="8"/>
  </r>
  <r>
    <n v="2875"/>
    <x v="2874"/>
    <s v="ဒိုင္နမို W-4000"/>
    <n v="1"/>
    <n v="61000"/>
    <n v="61000"/>
    <n v="42000"/>
    <x v="8"/>
  </r>
  <r>
    <n v="2876"/>
    <x v="2875"/>
    <s v="ပန္႕ အထိုင္ (ကားေရေဆးပန္႔)"/>
    <n v="2"/>
    <n v="8000"/>
    <n v="8000"/>
    <n v="12000"/>
    <x v="8"/>
  </r>
  <r>
    <n v="2877"/>
    <x v="2876"/>
    <s v="4လက္မ Li Li ပန္႔ "/>
    <n v="1"/>
    <n v="109000"/>
    <n v="109000"/>
    <n v="95000"/>
    <x v="8"/>
  </r>
  <r>
    <n v="2878"/>
    <x v="2877"/>
    <s v="ပန္႕ 4 လက္မသံျပားကစလ"/>
    <n v="3"/>
    <n v="10000"/>
    <n v="10000"/>
    <n v="21000"/>
    <x v="8"/>
  </r>
  <r>
    <n v="2879"/>
    <x v="2878"/>
    <s v="10 လက္မ ပီနံပိုက္ (1ေပ)"/>
    <n v="354"/>
    <n v="500"/>
    <n v="500"/>
    <n v="92040"/>
    <x v="8"/>
  </r>
  <r>
    <n v="2880"/>
    <x v="2879"/>
    <s v="Honda 4st(ျမတ္ရိတ္စက္)"/>
    <n v="2"/>
    <n v="145000"/>
    <n v="145000"/>
    <n v="256000"/>
    <x v="8"/>
  </r>
  <r>
    <n v="2881"/>
    <x v="2880"/>
    <s v="1လက္မႀကိဳးစိမ္း (Clover)"/>
    <n v="5"/>
    <n v="25000"/>
    <n v="25000"/>
    <n v="109000"/>
    <x v="8"/>
  </r>
  <r>
    <n v="2882"/>
    <x v="2881"/>
    <s v="2လက္မကဒ္ပန္႕(SNB) W50"/>
    <n v="2"/>
    <n v="43000"/>
    <n v="43000"/>
    <n v="64000"/>
    <x v="8"/>
  </r>
  <r>
    <n v="2883"/>
    <x v="2882"/>
    <s v="TB40ေခါင္းျပား"/>
    <n v="1"/>
    <n v="23000"/>
    <n v="23000"/>
    <n v="19500"/>
    <x v="8"/>
  </r>
  <r>
    <n v="2884"/>
    <x v="2883"/>
    <s v="ဒိုင္နမို  W3000"/>
    <n v="1"/>
    <n v="42000"/>
    <n v="42000"/>
    <n v="37000"/>
    <x v="8"/>
  </r>
  <r>
    <n v="2885"/>
    <x v="2884"/>
    <s v="0.5 Prato Auto ပန္႔"/>
    <n v="1"/>
    <n v="98000"/>
    <n v="98000"/>
    <n v="70000"/>
    <x v="8"/>
  </r>
  <r>
    <n v="2886"/>
    <x v="2885"/>
    <s v="PK DC 12V  ေရေပၚ"/>
    <n v="1"/>
    <n v="35000"/>
    <n v="35000"/>
    <n v="28500"/>
    <x v="8"/>
  </r>
  <r>
    <n v="2887"/>
    <x v="2886"/>
    <s v="4 လက္မ ပိုက္ကလစ္"/>
    <n v="2"/>
    <n v="1300"/>
    <n v="1300"/>
    <n v="1600"/>
    <x v="8"/>
  </r>
  <r>
    <n v="2888"/>
    <x v="2887"/>
    <s v="4လက္မ ကစလ ကလစ္"/>
    <n v="3"/>
    <n v="1300"/>
    <n v="1300"/>
    <n v="2400"/>
    <x v="8"/>
  </r>
  <r>
    <n v="2889"/>
    <x v="2888"/>
    <s v="8mm Royal  330ေပ"/>
    <n v="9"/>
    <n v="200"/>
    <n v="200"/>
    <n v="1350"/>
    <x v="8"/>
  </r>
  <r>
    <n v="2890"/>
    <x v="2889"/>
    <s v="NT80 ဂတ္စကတ္"/>
    <n v="1"/>
    <n v="1200"/>
    <n v="1200"/>
    <n v="1000"/>
    <x v="8"/>
  </r>
  <r>
    <n v="2891"/>
    <x v="2890"/>
    <s v="Daewoo 1800W ကားေရေဆးပန္႕"/>
    <n v="2"/>
    <n v="130000"/>
    <n v="130000"/>
    <n v="230000"/>
    <x v="8"/>
  </r>
  <r>
    <n v="2892"/>
    <x v="2891"/>
    <s v="2&quot; ေရပန္႔တြဲ(WP50) Power One"/>
    <n v="1"/>
    <n v="173000"/>
    <n v="173000"/>
    <n v="152000"/>
    <x v="8"/>
  </r>
  <r>
    <n v="2893"/>
    <x v="2892"/>
    <s v="DC Battery Blower"/>
    <n v="1"/>
    <n v="45000"/>
    <n v="45000"/>
    <n v="37000"/>
    <x v="8"/>
  </r>
  <r>
    <n v="2894"/>
    <x v="2893"/>
    <s v="CC1110(Old)A2 Diesel Engine"/>
    <n v="1"/>
    <n v="625000"/>
    <n v="625000"/>
    <n v="585000"/>
    <x v="8"/>
  </r>
  <r>
    <n v="2895"/>
    <x v="2894"/>
    <s v="4လက္မ3X ဘီလူးေခါင္း"/>
    <n v="1"/>
    <n v="16000"/>
    <n v="16000"/>
    <n v="13500"/>
    <x v="8"/>
  </r>
  <r>
    <n v="2896"/>
    <x v="2895"/>
    <s v="4&quot; ေၾကးဘီလူးေခါင္း"/>
    <n v="1"/>
    <n v="17000"/>
    <n v="17000"/>
    <n v="13500"/>
    <x v="8"/>
  </r>
  <r>
    <n v="2897"/>
    <x v="2896"/>
    <s v="2 ပိုက္ေပ်ာ့(100ေပ)"/>
    <n v="5"/>
    <n v="35000"/>
    <n v="35000"/>
    <n v="140000"/>
    <x v="8"/>
  </r>
  <r>
    <n v="2898"/>
    <x v="2897"/>
    <s v="Romon  SU 80 ပန္႕တြဲ"/>
    <n v="1"/>
    <n v="167000"/>
    <n v="167000"/>
    <n v="152000"/>
    <x v="8"/>
  </r>
  <r>
    <n v="2899"/>
    <x v="2898"/>
    <s v="BOSCH ကားေရဆးပန္႔"/>
    <n v="1"/>
    <n v="135000"/>
    <n v="135000"/>
    <n v="125000"/>
    <x v="8"/>
  </r>
  <r>
    <n v="2900"/>
    <x v="2899"/>
    <s v="0.5 HP ေမာ္တာလြတ္ SG"/>
    <n v="1"/>
    <n v="146000"/>
    <n v="146000"/>
    <n v="95000"/>
    <x v="8"/>
  </r>
  <r>
    <n v="2901"/>
    <x v="2900"/>
    <s v="3 လက္မ ကပ္ပန္႔"/>
    <n v="1"/>
    <n v="50000"/>
    <n v="50000"/>
    <n v="43000"/>
    <x v="8"/>
  </r>
  <r>
    <n v="2902"/>
    <x v="2901"/>
    <s v="4 လက္မကလစ္ (ပါး)"/>
    <n v="9"/>
    <n v="1000"/>
    <n v="1000"/>
    <n v="5850"/>
    <x v="8"/>
  </r>
  <r>
    <n v="2903"/>
    <x v="2902"/>
    <s v="3လက္မေရပန္႔တြဲ JN(7.5)Hp"/>
    <n v="2"/>
    <n v="225000"/>
    <n v="225000"/>
    <n v="286000"/>
    <x v="8"/>
  </r>
  <r>
    <n v="2904"/>
    <x v="2903"/>
    <s v="SU100ပူလီပန္႔"/>
    <n v="2"/>
    <n v="115000"/>
    <n v="115000"/>
    <n v="196000"/>
    <x v="8"/>
  </r>
  <r>
    <n v="2905"/>
    <x v="2904"/>
    <s v="SNB 80(3လက္မကပ္ပန္႔)"/>
    <n v="1"/>
    <n v="50000"/>
    <n v="50000"/>
    <n v="39000"/>
    <x v="8"/>
  </r>
  <r>
    <n v="2906"/>
    <x v="2905"/>
    <s v="SU50 အိုးခြံ"/>
    <n v="1"/>
    <n v="20000"/>
    <n v="20000"/>
    <n v="15000"/>
    <x v="8"/>
  </r>
  <r>
    <n v="2907"/>
    <x v="2906"/>
    <s v="2အဝင္ 2အထြက္ေဆာ့ကဒ္"/>
    <n v="1"/>
    <n v="2000"/>
    <n v="2000"/>
    <n v="1200"/>
    <x v="8"/>
  </r>
  <r>
    <n v="2908"/>
    <x v="2907"/>
    <s v="2အဝင္ 1ခြဲအထြက္ေဆာ့ကဒ္"/>
    <n v="8"/>
    <n v="2000"/>
    <n v="2000"/>
    <n v="9600"/>
    <x v="8"/>
  </r>
  <r>
    <n v="2909"/>
    <x v="2908"/>
    <s v="3အဝင္ 1ခြဲသတၱဳေဆာ့ကဒ္"/>
    <n v="5"/>
    <n v="3700"/>
    <n v="3700"/>
    <n v="13500"/>
    <x v="8"/>
  </r>
  <r>
    <n v="2910"/>
    <x v="2909"/>
    <s v="4 T 1 liter"/>
    <n v="1"/>
    <n v="5000"/>
    <n v="5000"/>
    <n v="4631"/>
    <x v="9"/>
  </r>
  <r>
    <n v="2911"/>
    <x v="2910"/>
    <s v="Q185 ဟက္"/>
    <n v="1"/>
    <n v="22000"/>
    <n v="22000"/>
    <n v="12500"/>
    <x v="1"/>
  </r>
  <r>
    <n v="2912"/>
    <x v="2911"/>
    <s v="သုံးဘီးခေရာ့ေဘာ(လတ္)250CC 44"/>
    <n v="1"/>
    <n v="2000"/>
    <n v="2000"/>
    <n v="1500"/>
    <x v="0"/>
  </r>
  <r>
    <n v="2913"/>
    <x v="2912"/>
    <s v="သုံးဘီးဆိုင္ကယ္္ပါကင္စုံ 250CC"/>
    <n v="1"/>
    <n v="4500"/>
    <n v="4500"/>
    <n v="3200"/>
    <x v="0"/>
  </r>
  <r>
    <n v="2914"/>
    <x v="2913"/>
    <s v="22X55 ဂၽြိဳင္းေဘာ"/>
    <n v="1"/>
    <n v="2500"/>
    <n v="2500"/>
    <n v="2200"/>
    <x v="1"/>
  </r>
  <r>
    <n v="2915"/>
    <x v="2914"/>
    <s v="မီးခြက္စံု ZS1110 (JN) "/>
    <n v="1"/>
    <n v="15000"/>
    <n v="15000"/>
    <n v="9350"/>
    <x v="1"/>
  </r>
  <r>
    <n v="2916"/>
    <x v="2915"/>
    <s v="18လံုးေဘာစံတိုင္"/>
    <n v="1"/>
    <n v="10000"/>
    <n v="10000"/>
    <n v="7000"/>
    <x v="1"/>
  </r>
  <r>
    <n v="2917"/>
    <x v="2916"/>
    <s v="ထရန္စဖာေဘာထိုင္"/>
    <n v="1"/>
    <n v="8500"/>
    <n v="8500"/>
    <n v="3500"/>
    <x v="1"/>
  </r>
  <r>
    <n v="2918"/>
    <x v="2917"/>
    <s v="ဆိုလိုနိုက္"/>
    <n v="1"/>
    <n v="5000"/>
    <n v="5000"/>
    <n v="2100"/>
    <x v="1"/>
  </r>
  <r>
    <n v="2919"/>
    <x v="2918"/>
    <s v="ဆီဘရိတ္ရွဴးျခမ္း"/>
    <n v="1"/>
    <n v="6000"/>
    <n v="6000"/>
    <n v="5000"/>
    <x v="1"/>
  </r>
  <r>
    <n v="2920"/>
    <x v="2919"/>
    <s v="သံုးဘီးကရိုင္းSet ေရ 150CC"/>
    <n v="1"/>
    <n v="35000"/>
    <n v="35000"/>
    <n v="28350"/>
    <x v="0"/>
  </r>
  <r>
    <n v="2921"/>
    <x v="2920"/>
    <s v="ဘေလာက္  Set (130 CC)"/>
    <n v="1"/>
    <n v="30000"/>
    <n v="30000"/>
    <n v="24792"/>
    <x v="0"/>
  </r>
  <r>
    <n v="2922"/>
    <x v="2921"/>
    <s v="ေရွ႕မီးသီး ကာဘာလြတ္"/>
    <n v="2"/>
    <n v="33500"/>
    <n v="33500"/>
    <n v="53000"/>
    <x v="0"/>
  </r>
  <r>
    <n v="2923"/>
    <x v="2922"/>
    <s v="Diesel Engine Changchai Brand Model Q-185_x000d__x000a_"/>
    <n v="2"/>
    <n v="520000"/>
    <n v="520000"/>
    <n v="966000"/>
    <x v="1"/>
  </r>
  <r>
    <n v="2924"/>
    <x v="2923"/>
    <s v="Wheel Mountaing Adapter Local Made Model 6 inches (Pairs) MildSteel_x000d__x000a_"/>
    <n v="1"/>
    <n v="40000"/>
    <n v="40000"/>
    <n v="28000"/>
    <x v="1"/>
  </r>
  <r>
    <n v="2925"/>
    <x v="2924"/>
    <s v="One Wheel Tractor 1LB-4_x000d__x000a_"/>
    <n v="2"/>
    <n v="580000"/>
    <n v="580000"/>
    <n v="976000"/>
    <x v="1"/>
  </r>
  <r>
    <n v="2926"/>
    <x v="2925"/>
    <s v="LF.SH လက္ကိုင္ခလုတ္ (R.A)"/>
    <n v="2"/>
    <n v="4500"/>
    <n v="4500"/>
    <n v="4236"/>
    <x v="10"/>
  </r>
  <r>
    <n v="2927"/>
    <x v="2926"/>
    <s v="LF.SH ကရုိင္း Set (300 D/Cတြင္းရစ္)"/>
    <n v="3"/>
    <n v="55000"/>
    <n v="55000"/>
    <n v="103410"/>
    <x v="10"/>
  </r>
  <r>
    <n v="2928"/>
    <x v="2927"/>
    <s v="NNJ ေဘာ 6209"/>
    <n v="1"/>
    <n v="4200"/>
    <n v="4200"/>
    <n v="3208"/>
    <x v="10"/>
  </r>
  <r>
    <n v="2929"/>
    <x v="2928"/>
    <s v="LF.SH ရိန္း STD (250 D/C)"/>
    <n v="1"/>
    <n v="4500"/>
    <n v="4500"/>
    <n v="2410"/>
    <x v="10"/>
  </r>
  <r>
    <n v="2930"/>
    <x v="2929"/>
    <s v="LF.SH ပစၥတင္ STD (250 D/C)"/>
    <n v="7"/>
    <n v="7000"/>
    <n v="7000"/>
    <n v="29274"/>
    <x v="10"/>
  </r>
  <r>
    <n v="2931"/>
    <x v="2930"/>
    <s v="LF.SH ပစၥတင္ 0.25 (150/175)"/>
    <n v="3"/>
    <n v="5500"/>
    <n v="5500"/>
    <n v="7851"/>
    <x v="10"/>
  </r>
  <r>
    <n v="2932"/>
    <x v="2931"/>
    <s v="NNJ ဆီဘရိတ္ရွဴးစပရိန္ အစုံထုပ္ (ႀကီး)"/>
    <n v="1"/>
    <n v="1500"/>
    <n v="1500"/>
    <n v="1020"/>
    <x v="10"/>
  </r>
  <r>
    <n v="2933"/>
    <x v="2932"/>
    <s v="NNJ ဆီဘရိတ္ရွဴးစပရိန္ အစုံထုပ္ (ေသး)"/>
    <n v="3"/>
    <n v="2000"/>
    <n v="2000"/>
    <n v="2685"/>
    <x v="10"/>
  </r>
  <r>
    <n v="2934"/>
    <x v="2933"/>
    <s v="သံလိုက္တုံး (12 ထုပ္၊ႀကီး၊ေဘာထိုင္မပါ)"/>
    <n v="2"/>
    <n v="10000"/>
    <n v="10000"/>
    <n v="9636"/>
    <x v="10"/>
  </r>
  <r>
    <n v="2935"/>
    <x v="2934"/>
    <s v="အိတ္ေဇာပိုက္ (ထူ၊ ရွည္)"/>
    <n v="1"/>
    <n v="8000"/>
    <n v="8000"/>
    <n v="5625"/>
    <x v="10"/>
  </r>
  <r>
    <n v="2936"/>
    <x v="2935"/>
    <s v="အိတ္ေဇာပိုက္ (ထူ၊ တို)"/>
    <n v="1"/>
    <n v="7000"/>
    <n v="7000"/>
    <n v="5050"/>
    <x v="10"/>
  </r>
  <r>
    <n v="2937"/>
    <x v="2936"/>
    <s v="ေသာ့လြတ္ေသး"/>
    <n v="1"/>
    <n v="1500"/>
    <n v="1500"/>
    <n v="950"/>
    <x v="10"/>
  </r>
  <r>
    <n v="2938"/>
    <x v="2937"/>
    <s v="LLL ဘေလာက္ set (250 D/C LF သံ"/>
    <n v="1"/>
    <n v="45000"/>
    <n v="45000"/>
    <n v="34440"/>
    <x v="10"/>
  </r>
  <r>
    <n v="2939"/>
    <x v="2938"/>
    <s v="လီဗာႀကိဳး (1ပင္၊ ရွည္)"/>
    <n v="1"/>
    <n v="2000"/>
    <n v="2000"/>
    <n v="918"/>
    <x v="10"/>
  </r>
  <r>
    <n v="2940"/>
    <x v="2939"/>
    <s v="ကလပ္ႀကိဳး (126 cm)"/>
    <n v="3"/>
    <n v="2500"/>
    <n v="2500"/>
    <n v="3000"/>
    <x v="10"/>
  </r>
  <r>
    <n v="2941"/>
    <x v="2940"/>
    <s v="NNJ ဘထၳရီ (12 × 32)"/>
    <n v="1"/>
    <n v="37000"/>
    <n v="37000"/>
    <n v="28300"/>
    <x v="10"/>
  </r>
  <r>
    <n v="2942"/>
    <x v="2941"/>
    <s v="ေနာက္တံခါး ပတ္တာ"/>
    <n v="1"/>
    <n v="2000"/>
    <n v="2000"/>
    <n v="930"/>
    <x v="10"/>
  </r>
  <r>
    <n v="2943"/>
    <x v="2942"/>
    <s v="ေရွ႕အခ်က္ျပမီး set (ဖိုက္တာေခါင္း)"/>
    <n v="4"/>
    <n v="2500"/>
    <n v="2500"/>
    <n v="5280"/>
    <x v="10"/>
  </r>
  <r>
    <n v="2944"/>
    <x v="2943"/>
    <s v="NNJ Full Set (250 W LF၊ သံ 3 ခ်ပ္)"/>
    <n v="1"/>
    <n v="4000"/>
    <n v="4000"/>
    <n v="2520"/>
    <x v="10"/>
  </r>
  <r>
    <n v="2945"/>
    <x v="2944"/>
    <s v="ေဘာ 698909 ၊ ေစာင္း"/>
    <n v="1"/>
    <n v="3500"/>
    <n v="3500"/>
    <n v="2230"/>
    <x v="10"/>
  </r>
  <r>
    <n v="2946"/>
    <x v="2945"/>
    <s v="ေနာက္တံခါးဂ်က္"/>
    <n v="1"/>
    <n v="2000"/>
    <n v="2000"/>
    <n v="1270"/>
    <x v="10"/>
  </r>
  <r>
    <n v="2947"/>
    <x v="2946"/>
    <s v="ဆီ Master ပန္႔(2 ပိုက္ သတၱဴ)"/>
    <n v="5"/>
    <n v="18000"/>
    <n v="18000"/>
    <n v="46140"/>
    <x v="10"/>
  </r>
  <r>
    <n v="2948"/>
    <x v="2947"/>
    <s v="လက္ကိုင္းကိုင္း (နိမ့္ ၊150)"/>
    <n v="7"/>
    <n v="7000"/>
    <n v="7000"/>
    <n v="24920"/>
    <x v="10"/>
  </r>
  <r>
    <n v="2949"/>
    <x v="2948"/>
    <s v="လက္ကိုင္းကိုင္း (ျမင့္ ၊ 200)"/>
    <n v="2"/>
    <n v="7000"/>
    <n v="7000"/>
    <n v="7604"/>
    <x v="10"/>
  </r>
  <r>
    <n v="2950"/>
    <x v="2949"/>
    <s v="ႏႈတ္ခမ္းေမႊးတန္းဘြတ္"/>
    <n v="9"/>
    <n v="500"/>
    <n v="500"/>
    <n v="1620"/>
    <x v="10"/>
  </r>
  <r>
    <n v="2951"/>
    <x v="2950"/>
    <s v="ဝိုက္စီး 27×38 ×7"/>
    <n v="11"/>
    <n v="700"/>
    <n v="700"/>
    <n v="3850"/>
    <x v="10"/>
  </r>
  <r>
    <n v="2952"/>
    <x v="2951"/>
    <s v="ဝိုက္စီး 28×38 ×7"/>
    <n v="18"/>
    <n v="500"/>
    <n v="500"/>
    <n v="3024"/>
    <x v="10"/>
  </r>
  <r>
    <n v="2953"/>
    <x v="2952"/>
    <s v="ဝိုက္စီး 30×40 ×10.8"/>
    <n v="67"/>
    <n v="1000"/>
    <n v="1000"/>
    <n v="43550"/>
    <x v="10"/>
  </r>
  <r>
    <n v="2954"/>
    <x v="2953"/>
    <s v="ဝိုက္စီး 16×28 ×7"/>
    <n v="28"/>
    <n v="400"/>
    <n v="400"/>
    <n v="3612"/>
    <x v="10"/>
  </r>
  <r>
    <n v="2955"/>
    <x v="2954"/>
    <s v="ဝိုက္စီး 20×35 ×7"/>
    <n v="7"/>
    <n v="400"/>
    <n v="400"/>
    <n v="1750"/>
    <x v="10"/>
  </r>
  <r>
    <n v="2956"/>
    <x v="2955"/>
    <s v="ဝိုက္စီး 30×40.5 ×10.5"/>
    <n v="8"/>
    <n v="1000"/>
    <n v="1000"/>
    <n v="2600"/>
    <x v="10"/>
  </r>
  <r>
    <n v="2957"/>
    <x v="2956"/>
    <s v="NNJ 1/2set (250D/C LF ၊ သံ3 ခ်ပ္)"/>
    <n v="4"/>
    <n v="2500"/>
    <n v="2500"/>
    <n v="3120"/>
    <x v="10"/>
  </r>
  <r>
    <n v="2958"/>
    <x v="2957"/>
    <s v="U ဘိုး (ဝိုင္း 22 cm၊ တုတ္)"/>
    <n v="5"/>
    <n v="2000"/>
    <n v="2000"/>
    <n v="5600"/>
    <x v="10"/>
  </r>
  <r>
    <n v="2959"/>
    <x v="2958"/>
    <s v="U ဘိုး (ဝိုင္း 20 cm၊ တုတ္)"/>
    <n v="1"/>
    <n v="2000"/>
    <n v="2000"/>
    <n v="1006"/>
    <x v="10"/>
  </r>
  <r>
    <n v="2960"/>
    <x v="2959"/>
    <s v="U ဘိုး (ေလးေထာင့္ 22cm)"/>
    <n v="2"/>
    <n v="2500"/>
    <n v="2500"/>
    <n v="1800"/>
    <x v="10"/>
  </r>
  <r>
    <n v="2961"/>
    <x v="2960"/>
    <s v="စတပ္ေမာ္တာပင္နီယံ set (14/49)"/>
    <n v="8"/>
    <n v="6000"/>
    <n v="6000"/>
    <n v="27280"/>
    <x v="10"/>
  </r>
  <r>
    <n v="2962"/>
    <x v="2961"/>
    <s v="ဘက္ဂီယာေပါက္ အဖုံးရွပ္ပါ(တုံးပ)"/>
    <n v="5"/>
    <n v="7000"/>
    <n v="7000"/>
    <n v="21660"/>
    <x v="10"/>
  </r>
  <r>
    <n v="2963"/>
    <x v="2962"/>
    <s v="အဝိုက္စီး  28× 47 × 10"/>
    <n v="3"/>
    <n v="800"/>
    <n v="800"/>
    <n v="1500"/>
    <x v="10"/>
  </r>
  <r>
    <n v="2964"/>
    <x v="2963"/>
    <s v="သံလိုက္အုံဖုံး (ဝိုင္း ထူ စာပါ)"/>
    <n v="1"/>
    <n v="15000"/>
    <n v="15000"/>
    <n v="8280"/>
    <x v="10"/>
  </r>
  <r>
    <n v="2965"/>
    <x v="2964"/>
    <s v="LF.SH အင္ဂ်င္ ဟက္ set (300 D/C)"/>
    <n v="1"/>
    <n v="60000"/>
    <n v="60000"/>
    <n v="44842"/>
    <x v="10"/>
  </r>
  <r>
    <n v="2966"/>
    <x v="2965"/>
    <s v="Hand ဘရိတ္ဆြဲႀကိဳး (40 cm)"/>
    <n v="10"/>
    <n v="1200"/>
    <n v="1200"/>
    <n v="8450"/>
    <x v="10"/>
  </r>
  <r>
    <n v="2967"/>
    <x v="2966"/>
    <s v="Hand ဘရိတ္ဆြဲႀကိဳး (114 cm)"/>
    <n v="20"/>
    <n v="6000"/>
    <n v="6000"/>
    <n v="120000"/>
    <x v="10"/>
  </r>
  <r>
    <n v="2968"/>
    <x v="2967"/>
    <s v="တန္းေဘာ   1010"/>
    <n v="13"/>
    <n v="400"/>
    <n v="400"/>
    <n v="2769"/>
    <x v="10"/>
  </r>
  <r>
    <n v="2969"/>
    <x v="2968"/>
    <s v="LF.SH ကင္းရွပ္ပင္ႏိယံ set (ဂါဘနာပါ)"/>
    <n v="2"/>
    <n v="15000"/>
    <n v="15000"/>
    <n v="21942"/>
    <x v="10"/>
  </r>
  <r>
    <n v="2970"/>
    <x v="2969"/>
    <s v="NNJ ေဘာထိုင္ 6 လုံး"/>
    <n v="6"/>
    <n v="6500"/>
    <n v="6500"/>
    <n v="20820"/>
    <x v="10"/>
  </r>
  <r>
    <n v="2971"/>
    <x v="2970"/>
    <s v="ခါးဆက္မီးခံကြင္း ရုိးရုိး"/>
    <n v="8"/>
    <n v="400"/>
    <n v="400"/>
    <n v="1528"/>
    <x v="10"/>
  </r>
  <r>
    <n v="2972"/>
    <x v="2971"/>
    <s v="ထရန္စဖာႀကိဳး (140 cm ၊ကြင္း +ဂြ)"/>
    <n v="1"/>
    <n v="2500"/>
    <n v="2500"/>
    <n v="1961"/>
    <x v="10"/>
  </r>
  <r>
    <n v="2973"/>
    <x v="2972"/>
    <s v="NNJ ဂၽြိဳင္းေဘာ 20 ×55"/>
    <n v="22"/>
    <n v="2800"/>
    <n v="2800"/>
    <n v="30800"/>
    <x v="10"/>
  </r>
  <r>
    <n v="2974"/>
    <x v="2973"/>
    <s v="NNJ စတပ္ပင္နီယံဝိုင္းႀကီး(250CC)"/>
    <n v="1"/>
    <n v="5500"/>
    <n v="5500"/>
    <n v="3520"/>
    <x v="10"/>
  </r>
  <r>
    <n v="2975"/>
    <x v="2974"/>
    <s v="ေနာက္ဘရိတ္ရွဴး (ေသး၊ေကာင္း)ရုိးရုိး"/>
    <n v="2"/>
    <n v="5000"/>
    <n v="5000"/>
    <n v="5526"/>
    <x v="10"/>
  </r>
  <r>
    <n v="2976"/>
    <x v="2975"/>
    <s v="LF.SH စတပ္ေမာ္တာ(11 သြား၊ျမင့္၊ခဲျဖဴ)"/>
    <n v="1"/>
    <n v="23000"/>
    <n v="23000"/>
    <n v="17317"/>
    <x v="10"/>
  </r>
  <r>
    <n v="2977"/>
    <x v="2976"/>
    <s v="(3a) ကစ္တံ(နတ္ 2 ၊ေရႊေရာင္၊S ေကြး)"/>
    <n v="1"/>
    <n v="5000"/>
    <n v="5000"/>
    <n v="2860"/>
    <x v="10"/>
  </r>
  <r>
    <n v="2978"/>
    <x v="2977"/>
    <s v="စပိုက္တာပင္နီယံ Set (11 × 16 က်ဲ ၊ကေရာင္း၊မျပည့္)"/>
    <n v="10"/>
    <n v="6000"/>
    <n v="6000"/>
    <n v="33840"/>
    <x v="10"/>
  </r>
  <r>
    <n v="2979"/>
    <x v="2978"/>
    <s v="(3I) ဘက္ဂီယာမိန္းပင္နီယံ (13 သြား၊တို)"/>
    <n v="2"/>
    <n v="4000"/>
    <n v="4000"/>
    <n v="4104"/>
    <x v="10"/>
  </r>
  <r>
    <n v="2980"/>
    <x v="2979"/>
    <s v="(3I) ဘက္ဂီယာမိန္းပင္နီယံ (13 သြား၊ရွည္)"/>
    <n v="6"/>
    <n v="4000"/>
    <n v="4000"/>
    <n v="11538"/>
    <x v="10"/>
  </r>
  <r>
    <n v="2981"/>
    <x v="2980"/>
    <s v="ေနာက္ဆီဘရိတ္ရွဴး (ေသး ၊ေကာင္း)"/>
    <n v="1"/>
    <n v="5000"/>
    <n v="5000"/>
    <n v="3631"/>
    <x v="10"/>
  </r>
  <r>
    <n v="2982"/>
    <x v="2981"/>
    <s v="NNJ ဘက္ဂီယာေပါက္ (ေကာင္း ၊ 110 Cc)"/>
    <n v="2"/>
    <n v="35000"/>
    <n v="35000"/>
    <n v="52274"/>
    <x v="10"/>
  </r>
  <r>
    <n v="2983"/>
    <x v="2982"/>
    <s v="NNJ ကရုိင္း set (250 D/C LF)"/>
    <n v="3"/>
    <n v="31000"/>
    <n v="31000"/>
    <n v="83490"/>
    <x v="10"/>
  </r>
  <r>
    <n v="2984"/>
    <x v="2983"/>
    <s v="LF.SH ဘေလာက္ set (150 D/C LF)"/>
    <n v="1"/>
    <n v="25000"/>
    <n v="25000"/>
    <n v="17200"/>
    <x v="10"/>
  </r>
  <r>
    <n v="2985"/>
    <x v="2984"/>
    <s v="NNJ အင္ဂ်င္ဟက္ set (250 D/C LF)"/>
    <n v="2"/>
    <n v="50000"/>
    <n v="50000"/>
    <n v="80624"/>
    <x v="10"/>
  </r>
  <r>
    <n v="2986"/>
    <x v="2985"/>
    <s v="(3a)  SR 6 ထုပ္ကြိဳင္ (ဝါ 2 ပင္)"/>
    <n v="8"/>
    <n v="7000"/>
    <n v="7000"/>
    <n v="36400"/>
    <x v="10"/>
  </r>
  <r>
    <n v="2987"/>
    <x v="2986"/>
    <s v="(3h) ဒစၥဝွီးနတ္ (L 5ေပါက္ ၊ 5 ဘီး)"/>
    <n v="13"/>
    <n v="700"/>
    <n v="700"/>
    <n v="5720"/>
    <x v="10"/>
  </r>
  <r>
    <n v="2988"/>
    <x v="2987"/>
    <s v="(3h) ဒစၥဝွီးနတ္ (L 4ေပါက္ ၊ 150Cc)"/>
    <n v="1"/>
    <n v="500"/>
    <n v="500"/>
    <n v="337"/>
    <x v="10"/>
  </r>
  <r>
    <n v="2989"/>
    <x v="2988"/>
    <s v="(3s)အိတ္ေဇာအထိန္း (ရာဘာ)"/>
    <n v="3"/>
    <n v="700"/>
    <n v="700"/>
    <n v="1200"/>
    <x v="10"/>
  </r>
  <r>
    <n v="2990"/>
    <x v="2989"/>
    <s v="(3i) ဘက္ရွပ္ 72 cm (23 သြား၊ 6009)"/>
    <n v="4"/>
    <n v="20000"/>
    <n v="20000"/>
    <n v="42840"/>
    <x v="10"/>
  </r>
  <r>
    <n v="2991"/>
    <x v="2990"/>
    <s v="(3i) ဘက္ရွပ္ 71 cm (23 သြား၊ 6209)"/>
    <n v="1"/>
    <n v="21500"/>
    <n v="21500"/>
    <n v="10710"/>
    <x v="10"/>
  </r>
  <r>
    <n v="2992"/>
    <x v="2991"/>
    <s v="(3f) NNJတိုက္ပစ္ေမာင္း(ေပၚ ၊150 Cc)"/>
    <n v="1"/>
    <n v="8000"/>
    <n v="8000"/>
    <n v="3848"/>
    <x v="10"/>
  </r>
  <r>
    <n v="2993"/>
    <x v="2992"/>
    <s v="(3f) NNJတိုက္ပစ္အေပၚေမာင္း(200၊250၊ SR/ZS)"/>
    <n v="8"/>
    <n v="8500"/>
    <n v="8500"/>
    <n v="46600"/>
    <x v="10"/>
  </r>
  <r>
    <n v="2994"/>
    <x v="2993"/>
    <s v="(3p) ဝိုက္စီး 27× 37 × 7"/>
    <n v="40"/>
    <n v="600"/>
    <n v="600"/>
    <n v="16000"/>
    <x v="10"/>
  </r>
  <r>
    <n v="2995"/>
    <x v="2994"/>
    <s v="(3i) NNJ ဂၽြိဳင္းေဘာ 22 × 55"/>
    <n v="4"/>
    <n v="2500"/>
    <n v="2500"/>
    <n v="6280"/>
    <x v="10"/>
  </r>
  <r>
    <n v="2996"/>
    <x v="2995"/>
    <s v="(3h) LF.SH ဒိုင္အုပ္ (250 ၊ 5 ပင္ ၊ 2 ေခါင္း)"/>
    <n v="2"/>
    <n v="6000"/>
    <n v="6000"/>
    <n v="7460"/>
    <x v="10"/>
  </r>
  <r>
    <n v="2997"/>
    <x v="2996"/>
    <s v="(3s)LF.SH အင္ဂ်င္ဝိုင္ Fiter ဗူး အတြင္းဇကာပါ (300 D/C)"/>
    <n v="9"/>
    <n v="3500"/>
    <n v="3500"/>
    <n v="18414"/>
    <x v="10"/>
  </r>
  <r>
    <n v="2998"/>
    <x v="2997"/>
    <s v="(3d)LF.SH စတပ္ပင္နီယံဝိုင္ႀကီး (250 Cc)"/>
    <n v="1"/>
    <n v="5500"/>
    <n v="5500"/>
    <n v="3520"/>
    <x v="10"/>
  </r>
  <r>
    <n v="2999"/>
    <x v="2998"/>
    <s v="LF.SH 12ထုပ္ကြိဳင္(200W ၊ႀကီး)"/>
    <n v="1"/>
    <n v="13000"/>
    <n v="13000"/>
    <n v="8040"/>
    <x v="10"/>
  </r>
  <r>
    <n v="3000"/>
    <x v="2999"/>
    <s v="(3n) ေရွ႕ဘရိတ္ရွဴး (304 ၊ ႀကီး)"/>
    <n v="3"/>
    <n v="3500"/>
    <n v="3500"/>
    <n v="8151"/>
    <x v="10"/>
  </r>
  <r>
    <n v="3001"/>
    <x v="3000"/>
    <s v="(3l) ဘက္ဂီယာေပါက္ ေျခနင္းတံ"/>
    <n v="1"/>
    <n v="1500"/>
    <n v="1500"/>
    <n v="827"/>
    <x v="10"/>
  </r>
  <r>
    <n v="3002"/>
    <x v="3001"/>
    <s v="(3i) ေနာက္က်ဴပင္နတ္ (ဘယ္ ၊ထူ)"/>
    <n v="7"/>
    <n v="1000"/>
    <n v="1000"/>
    <n v="4620"/>
    <x v="10"/>
  </r>
  <r>
    <n v="3003"/>
    <x v="3002"/>
    <s v="LF.SH ဒိုင္အုပ္ (150 ၊ 5 ပင္ ၊ 1 ေခါင္း)"/>
    <n v="4"/>
    <n v="5000"/>
    <n v="5000"/>
    <n v="12412"/>
    <x v="10"/>
  </r>
  <r>
    <n v="3004"/>
    <x v="3003"/>
    <s v="(3c) ဂီယာပိုဆက္ရွင္ႀကိဳး (ေပၚ)"/>
    <n v="13"/>
    <n v="1500"/>
    <n v="1500"/>
    <n v="9750"/>
    <x v="10"/>
  </r>
  <r>
    <n v="3005"/>
    <x v="3004"/>
    <s v="(3s) အင္ဂ်င္ထိုင္ စပရိန္ (က်ဲ)"/>
    <n v="7"/>
    <n v="3000"/>
    <n v="3000"/>
    <n v="13300"/>
    <x v="10"/>
  </r>
  <r>
    <n v="3006"/>
    <x v="3005"/>
    <s v="(3q) ေသာ့ set (ဝိုင္း L ကီးနတ္ဆြဲ)"/>
    <n v="4"/>
    <n v="12000"/>
    <n v="12000"/>
    <n v="23772"/>
    <x v="10"/>
  </r>
  <r>
    <n v="3007"/>
    <x v="3006"/>
    <s v="(3s) အိတ္ေဇာ နတ္တုိင္(14 ဆိုဒ္)ေခါင္းပါ"/>
    <n v="5"/>
    <n v="700"/>
    <n v="700"/>
    <n v="875"/>
    <x v="10"/>
  </r>
  <r>
    <n v="3008"/>
    <x v="3007"/>
    <s v="(3a) ကလပ္ကိုင္း(ထိုင္ပါ ၊ပါး)"/>
    <n v="2"/>
    <n v="2500"/>
    <n v="2500"/>
    <n v="2860"/>
    <x v="10"/>
  </r>
  <r>
    <n v="3009"/>
    <x v="3008"/>
    <s v="(3l) ဘရိတ္ကိုင္း (ထိုင္ပါ ၊ ပါး)"/>
    <n v="5"/>
    <n v="3500"/>
    <n v="3500"/>
    <n v="7615"/>
    <x v="10"/>
  </r>
  <r>
    <n v="3010"/>
    <x v="3009"/>
    <s v="(3o) လီဗာႀကိဳး (2 ပင္၊ရွည္၊ 120 cm)"/>
    <n v="10"/>
    <n v="2500"/>
    <n v="2500"/>
    <n v="11880"/>
    <x v="10"/>
  </r>
  <r>
    <n v="3011"/>
    <x v="3010"/>
    <s v="(3o) လီဗာႀကိဳး (2 ပင္တို္၊ 120 cm)"/>
    <n v="5"/>
    <n v="2000"/>
    <n v="2000"/>
    <n v="5805"/>
    <x v="10"/>
  </r>
  <r>
    <n v="3012"/>
    <x v="3011"/>
    <s v="(3s) အင္ဂ်င္ဝိုင္ဂိတ္မွန္"/>
    <n v="8"/>
    <n v="300"/>
    <n v="300"/>
    <n v="1568"/>
    <x v="10"/>
  </r>
  <r>
    <n v="3013"/>
    <x v="3012"/>
    <s v="(3s) အင္ဂ်င္ဝိုင္ဆီဂိတ္တံ"/>
    <n v="3"/>
    <n v="500"/>
    <n v="500"/>
    <n v="609"/>
    <x v="10"/>
  </r>
  <r>
    <n v="3014"/>
    <x v="3013"/>
    <s v="(3l) ဘက္ဂီယာေပါက္ ဆီဂိတ္တံ"/>
    <n v="5"/>
    <n v="500"/>
    <n v="500"/>
    <n v="1015"/>
    <x v="10"/>
  </r>
  <r>
    <n v="3015"/>
    <x v="3014"/>
    <s v="(3c) ဂၽြိဳင္းဂြ ဖလန္းပါ ေသး(က်ဲ)"/>
    <n v="2"/>
    <n v="3000"/>
    <n v="3000"/>
    <n v="4254"/>
    <x v="10"/>
  </r>
  <r>
    <n v="3016"/>
    <x v="3015"/>
    <s v="(3n) ေရွ႕ဝင္ရုိး (304 ၊34cm ဘြတ္ပါ)"/>
    <n v="1"/>
    <n v="7000"/>
    <n v="7000"/>
    <n v="2324"/>
    <x v="10"/>
  </r>
  <r>
    <n v="3017"/>
    <x v="3016"/>
    <s v="(3n) ေရပန္႕ (175/200 WLF)ေခါင္းႀကီး"/>
    <n v="1"/>
    <n v="9000"/>
    <n v="9000"/>
    <n v="4728"/>
    <x v="10"/>
  </r>
  <r>
    <n v="3018"/>
    <x v="3017"/>
    <s v="(3a)ကစ္တံ (နတ္ 1 ၊ေရႊေရာင္ ၊S ေကြး)"/>
    <n v="1"/>
    <n v="5000"/>
    <n v="5000"/>
    <n v="2740"/>
    <x v="10"/>
  </r>
  <r>
    <n v="3019"/>
    <x v="3018"/>
    <s v="(3i) ေနာက္ေရွာ့ဘား ဘြတ္(ႀကီး၊ေသး)"/>
    <n v="36"/>
    <n v="700"/>
    <n v="700"/>
    <n v="12744"/>
    <x v="10"/>
  </r>
  <r>
    <n v="3020"/>
    <x v="3019"/>
    <s v="(3l) NNJ ေဘာ 6003"/>
    <n v="4"/>
    <n v="1500"/>
    <n v="1500"/>
    <n v="2364"/>
    <x v="10"/>
  </r>
  <r>
    <n v="3021"/>
    <x v="3020"/>
    <s v="(3a) ကလပ္ျပားဖိ (5 ေပါက္ ၊ က်ယ္)"/>
    <n v="3"/>
    <n v="1000"/>
    <n v="1000"/>
    <n v="1608"/>
    <x v="10"/>
  </r>
  <r>
    <n v="3022"/>
    <x v="3021"/>
    <s v="(3e) ဆီဘရိတ္ရွဴးအိတ္ဂ်က္(ဒုံးဂ်ီပုံ)"/>
    <n v="16"/>
    <n v="2300"/>
    <n v="2300"/>
    <n v="15200"/>
    <x v="10"/>
  </r>
  <r>
    <n v="3023"/>
    <x v="3022"/>
    <s v="(3p) ဝိုက္စီး 28×37×7"/>
    <n v="2"/>
    <n v="800"/>
    <n v="800"/>
    <n v="1000"/>
    <x v="10"/>
  </r>
  <r>
    <n v="3024"/>
    <x v="3023"/>
    <s v="(3o) Second ေလး (7  cm)"/>
    <n v="7"/>
    <n v="12000"/>
    <n v="12000"/>
    <n v="39760"/>
    <x v="10"/>
  </r>
  <r>
    <n v="3025"/>
    <x v="3024"/>
    <s v="(3l) ေဘာ 32008"/>
    <n v="2"/>
    <n v="5000"/>
    <n v="5000"/>
    <n v="3840"/>
    <x v="10"/>
  </r>
  <r>
    <n v="3026"/>
    <x v="3025"/>
    <s v="(3c) 5 ေပါက္ေဂြ (500 ×12 ၊5ဘီး၊ ပါး)"/>
    <n v="4"/>
    <n v="19000"/>
    <n v="19000"/>
    <n v="76000"/>
    <x v="10"/>
  </r>
  <r>
    <n v="3027"/>
    <x v="3026"/>
    <s v="(3d) CTI ေဆာ့ကဒ္ (ဝိုင္း)"/>
    <n v="1"/>
    <n v="350"/>
    <n v="350"/>
    <n v="236"/>
    <x v="10"/>
  </r>
  <r>
    <n v="3028"/>
    <x v="3027"/>
    <s v="(3d) CTI ေဆာ့ကဒ္ (ေလးေဒါင့္)"/>
    <n v="8"/>
    <n v="1000"/>
    <n v="1000"/>
    <n v="2000"/>
    <x v="10"/>
  </r>
  <r>
    <n v="3029"/>
    <x v="3028"/>
    <s v="(3S) အင္ဂ်င္ ဆီကေတာ့ (150)"/>
    <n v="11"/>
    <n v="2500"/>
    <n v="2500"/>
    <n v="13794"/>
    <x v="10"/>
  </r>
  <r>
    <n v="3030"/>
    <x v="3029"/>
    <s v="(3S) အင္ဂ်င္ ဆီကေတာ့ (200)"/>
    <n v="6"/>
    <n v="2500"/>
    <n v="2500"/>
    <n v="7200"/>
    <x v="10"/>
  </r>
  <r>
    <n v="3031"/>
    <x v="3030"/>
    <s v="(3l) NNJ ေဘာ 6205"/>
    <n v="1"/>
    <n v="1700"/>
    <n v="1700"/>
    <n v="1277"/>
    <x v="10"/>
  </r>
  <r>
    <n v="3032"/>
    <x v="3031"/>
    <s v="(3C) ဂၽြိဳင္းဂြ Set (20 × 50၊ ႀကီး ၊စိပ္၊ဖလန္းမပါ)"/>
    <n v="1"/>
    <n v="8000"/>
    <n v="8000"/>
    <n v="6231"/>
    <x v="10"/>
  </r>
  <r>
    <n v="3033"/>
    <x v="3032"/>
    <s v="(3f) တာယာ 500 × 12 (တရုတ္)"/>
    <n v="1"/>
    <n v="27000"/>
    <n v="27000"/>
    <n v="20410"/>
    <x v="10"/>
  </r>
  <r>
    <n v="3034"/>
    <x v="3033"/>
    <s v="(3d) LF.SH စီတီအိုင္ (ေလးေဒါင့္ ၊W၊ ဘထၳရီ  SH)"/>
    <n v="2"/>
    <n v="4500"/>
    <n v="4500"/>
    <n v="3120"/>
    <x v="10"/>
  </r>
  <r>
    <n v="3035"/>
    <x v="3034"/>
    <s v="(3p) ဝိုက္စီး 30 × 45/ 62 × 10"/>
    <n v="3"/>
    <n v="1000"/>
    <n v="1000"/>
    <n v="1344"/>
    <x v="10"/>
  </r>
  <r>
    <n v="3036"/>
    <x v="3035"/>
    <s v="အိတ္ေဇာနတ္ေခါင္း 12 ဆိုဒ္"/>
    <n v="9"/>
    <n v="200"/>
    <n v="200"/>
    <n v="1071"/>
    <x v="10"/>
  </r>
  <r>
    <n v="3037"/>
    <x v="3036"/>
    <s v="ေနာက္ဘရိတ္ရူးျခမ္းႀကီး ရုိးရုိးေဟာင္း"/>
    <n v="1"/>
    <n v="5500"/>
    <n v="5500"/>
    <n v="4032"/>
    <x v="10"/>
  </r>
  <r>
    <n v="3038"/>
    <x v="3037"/>
    <s v="(3s)Air ကလင္ဒါ Set (250 ဝိုင္း)"/>
    <n v="5"/>
    <n v="10000"/>
    <n v="10000"/>
    <n v="30700"/>
    <x v="10"/>
  </r>
  <r>
    <n v="3039"/>
    <x v="3038"/>
    <s v="(3s)Air ကလင္ဒါ Set (210 ဝိုင္း)"/>
    <n v="1"/>
    <n v="4000"/>
    <n v="4000"/>
    <n v="2744"/>
    <x v="10"/>
  </r>
  <r>
    <n v="3040"/>
    <x v="3039"/>
    <s v="(3c) ဂၽြိဳင္းဂြဖလန္းပါႀကီး(အလယ္လိုင္း၊22×55)"/>
    <n v="1"/>
    <n v="8000"/>
    <n v="8000"/>
    <n v="3103"/>
    <x v="10"/>
  </r>
  <r>
    <n v="3041"/>
    <x v="3040"/>
    <s v="(3l)LF.SHဘားတံ(250၊ရွည္၊2ေခ်ာင္းစတီး)"/>
    <n v="3"/>
    <n v="5000"/>
    <n v="5000"/>
    <n v="10260"/>
    <x v="10"/>
  </r>
  <r>
    <n v="3042"/>
    <x v="3041"/>
    <s v="(3l) NNJ ေဘာ 30305"/>
    <n v="7"/>
    <n v="5000"/>
    <n v="5000"/>
    <n v="13440"/>
    <x v="10"/>
  </r>
  <r>
    <n v="3043"/>
    <x v="3042"/>
    <s v="(3l0ဘက္ဂီယာေရွ႕ပင္နီယံ(ျပင္၊14၊တြင္း17၊က်ယ္)"/>
    <n v="1"/>
    <n v="2500"/>
    <n v="2500"/>
    <n v="1972"/>
    <x v="10"/>
  </r>
  <r>
    <n v="3044"/>
    <x v="3043"/>
    <s v="(3l)ဘက္ဂီယာမိန္းပင္နီယံ(13သြား၊ကလစ္လိုင္းပါ၊လတ္)"/>
    <n v="9"/>
    <n v="4000"/>
    <n v="4000"/>
    <n v="25047"/>
    <x v="10"/>
  </r>
  <r>
    <n v="3045"/>
    <x v="3044"/>
    <s v="(3l)ဘက္ဂီယာမိန္းပင္နီယံ(13သြား၊ကလစ္လိုင္းပါ၊ထူ)"/>
    <n v="4"/>
    <n v="4000"/>
    <n v="4000"/>
    <n v="11132"/>
    <x v="10"/>
  </r>
  <r>
    <n v="3046"/>
    <x v="3045"/>
    <s v="(3c)ဂၽြိဳင္းဂြဖလန္းပါေသး(စိပ္)"/>
    <n v="7"/>
    <n v="3000"/>
    <n v="3000"/>
    <n v="14889"/>
    <x v="10"/>
  </r>
  <r>
    <n v="3047"/>
    <x v="3046"/>
    <s v="(3l) ေဘာ 16003"/>
    <n v="14"/>
    <n v="1500"/>
    <n v="1500"/>
    <n v="8372"/>
    <x v="10"/>
  </r>
  <r>
    <n v="3048"/>
    <x v="3047"/>
    <s v="(3p) ဝိုက္စီး 28 × 55 × 10"/>
    <n v="5"/>
    <n v="800"/>
    <n v="800"/>
    <n v="1195"/>
    <x v="10"/>
  </r>
  <r>
    <n v="3049"/>
    <x v="3048"/>
    <s v="(3p) ဝိုက္စီး 32 × 50 × 7"/>
    <n v="16"/>
    <n v="600"/>
    <n v="600"/>
    <n v="3776"/>
    <x v="10"/>
  </r>
  <r>
    <n v="3050"/>
    <x v="3049"/>
    <s v="(3e)  ဆီေဂါက္ (က်ဲ)"/>
    <n v="3"/>
    <n v="1200"/>
    <n v="1200"/>
    <n v="2634"/>
    <x v="10"/>
  </r>
  <r>
    <n v="3051"/>
    <x v="3050"/>
    <s v="(3n) ေရွ႕ဟပ္အုံ (4ေပါက္)"/>
    <n v="1"/>
    <n v="16000"/>
    <n v="16000"/>
    <n v="8520"/>
    <x v="10"/>
  </r>
  <r>
    <n v="3052"/>
    <x v="3051"/>
    <s v="(3o) NNJ လက္ကိုင္ခလုတ္ (L ၊ Air)"/>
    <n v="3"/>
    <n v="5000"/>
    <n v="5000"/>
    <n v="6624"/>
    <x v="10"/>
  </r>
  <r>
    <n v="3053"/>
    <x v="3052"/>
    <s v="(3p) NNJ ဝါယာရိန္း Set (150/175A)"/>
    <n v="4"/>
    <n v="23000"/>
    <n v="23000"/>
    <n v="32564"/>
    <x v="10"/>
  </r>
  <r>
    <n v="3054"/>
    <x v="3053"/>
    <s v="(3l) NNJ ဘက္ဂီယာေပါက္ (ရိုးရိုး၊A)-ဂၽြိဳင္းပါ"/>
    <n v="1"/>
    <n v="32000"/>
    <n v="32000"/>
    <n v="24485"/>
    <x v="10"/>
  </r>
  <r>
    <n v="3055"/>
    <x v="3054"/>
    <s v="ထရန္စဖာ စပလိန္(က်ဥ္း)"/>
    <n v="10"/>
    <n v="500"/>
    <n v="500"/>
    <n v="2600"/>
    <x v="10"/>
  </r>
  <r>
    <n v="3056"/>
    <x v="3055"/>
    <s v="ထရန္စဖာ စပလိန္(က်ယ္)"/>
    <n v="9"/>
    <n v="800"/>
    <n v="800"/>
    <n v="3600"/>
    <x v="10"/>
  </r>
  <r>
    <n v="3057"/>
    <x v="3056"/>
    <s v="ေလး Set (7cm)"/>
    <n v="3"/>
    <n v="32000"/>
    <n v="32000"/>
    <n v="55110"/>
    <x v="10"/>
  </r>
  <r>
    <n v="3058"/>
    <x v="3057"/>
    <s v="ေလး Set (8cm/1ဖက္လိပ္)"/>
    <n v="2"/>
    <n v="40000"/>
    <n v="40000"/>
    <n v="46340"/>
    <x v="10"/>
  </r>
  <r>
    <n v="3059"/>
    <x v="3058"/>
    <s v="ဂၽြိဳင္းဂြ Set (က်ဲ၊ ဖလန္းပါ၊ တုတ္)"/>
    <n v="1"/>
    <n v="10000"/>
    <n v="10000"/>
    <n v="6130"/>
    <x v="10"/>
  </r>
  <r>
    <n v="3060"/>
    <x v="3059"/>
    <s v="ကလပ္အံုပါကင္KSK(300)"/>
    <n v="8"/>
    <n v="600"/>
    <n v="600"/>
    <n v="2960"/>
    <x v="10"/>
  </r>
  <r>
    <n v="3061"/>
    <x v="3060"/>
    <s v="ကလပ္အံုပါကင္KSK(W)"/>
    <n v="20"/>
    <n v="400"/>
    <n v="400"/>
    <n v="3800"/>
    <x v="10"/>
  </r>
  <r>
    <n v="3062"/>
    <x v="3061"/>
    <s v="သံလိုက္အံုပါကင္KSK"/>
    <n v="1"/>
    <n v="300"/>
    <n v="300"/>
    <n v="160"/>
    <x v="10"/>
  </r>
  <r>
    <n v="3063"/>
    <x v="3062"/>
    <s v="ကေရာင္းအံုပါကင္(8 ေပါက္)"/>
    <n v="13"/>
    <n v="1500"/>
    <n v="1500"/>
    <n v="11700"/>
    <x v="10"/>
  </r>
  <r>
    <n v="3064"/>
    <x v="3063"/>
    <s v="ကေရာင္းအံုပါကင္(10 ေပါက္)"/>
    <n v="18"/>
    <n v="1500"/>
    <n v="1500"/>
    <n v="16200"/>
    <x v="10"/>
  </r>
  <r>
    <n v="3065"/>
    <x v="3064"/>
    <s v="ကေရာင္းအံုပါကင္(4ေပါက္)"/>
    <n v="20"/>
    <n v="800"/>
    <n v="800"/>
    <n v="8800"/>
    <x v="10"/>
  </r>
  <r>
    <n v="3066"/>
    <x v="3065"/>
    <s v="စတပ္ေဘာထိုင္(3 လံုး)"/>
    <n v="1"/>
    <n v="4500"/>
    <n v="4500"/>
    <n v="2090"/>
    <x v="10"/>
  </r>
  <r>
    <n v="3067"/>
    <x v="3066"/>
    <s v="LF ပလပ္ကိြဳင္"/>
    <n v="1"/>
    <n v="3500"/>
    <n v="3500"/>
    <n v="1580"/>
    <x v="10"/>
  </r>
  <r>
    <n v="3068"/>
    <x v="3067"/>
    <s v="ဘက္ဂီယာ ေနာက္ပင္နီယံ(ျပင္14၊တြင္း17၊က်ယ္)"/>
    <n v="5"/>
    <n v="3500"/>
    <n v="3500"/>
    <n v="8900"/>
    <x v="10"/>
  </r>
  <r>
    <n v="3069"/>
    <x v="3068"/>
    <s v="NNJ ေဘာ 32009"/>
    <n v="10"/>
    <n v="5000"/>
    <n v="5000"/>
    <n v="23300"/>
    <x v="10"/>
  </r>
  <r>
    <n v="3070"/>
    <x v="3069"/>
    <s v="(3e) ဆီတိုင္ကီခံ ရာဘာ"/>
    <n v="50"/>
    <n v="300"/>
    <n v="300"/>
    <n v="8000"/>
    <x v="10"/>
  </r>
  <r>
    <n v="3071"/>
    <x v="3070"/>
    <s v="(3p) ဝိုက္စီး 28 × 47 ×8"/>
    <n v="24"/>
    <n v="900"/>
    <n v="900"/>
    <n v="12000"/>
    <x v="10"/>
  </r>
  <r>
    <n v="3072"/>
    <x v="3071"/>
    <s v="(3P)ဝိုက္စီး 16×28×7 "/>
    <n v="30"/>
    <n v="200"/>
    <n v="200"/>
    <n v="3960"/>
    <x v="10"/>
  </r>
  <r>
    <n v="3073"/>
    <x v="3072"/>
    <s v="(3O)LF.SHလက္ကိုင္ခလုတ္(R၊A)"/>
    <n v="1"/>
    <n v="3000"/>
    <n v="3000"/>
    <n v="2118"/>
    <x v="10"/>
  </r>
  <r>
    <n v="3074"/>
    <x v="3073"/>
    <s v="(3L)NNJေဘာ6328အပါးေဘာ"/>
    <n v="25"/>
    <n v="4500"/>
    <n v="4500"/>
    <n v="43825"/>
    <x v="10"/>
  </r>
  <r>
    <n v="3075"/>
    <x v="3074"/>
    <s v="(3l)NNJေဘာ6328R"/>
    <n v="15"/>
    <n v="4000"/>
    <n v="4000"/>
    <n v="40005"/>
    <x v="10"/>
  </r>
  <r>
    <n v="3076"/>
    <x v="3075"/>
    <s v="(3l)NNJေဘာ6008"/>
    <n v="13"/>
    <n v="3700"/>
    <n v="3700"/>
    <n v="27846"/>
    <x v="10"/>
  </r>
  <r>
    <n v="3077"/>
    <x v="3076"/>
    <s v="(3p)ဝိုက္စီး 25×34×7_x000d__x000a_"/>
    <n v="14"/>
    <n v="500"/>
    <n v="500"/>
    <n v="2226"/>
    <x v="10"/>
  </r>
  <r>
    <n v="3078"/>
    <x v="3077"/>
    <s v="(3d) စတပ္ေမာ္တာပင္နီယံ Set(16/49)"/>
    <n v="3"/>
    <n v="5000"/>
    <n v="5000"/>
    <n v="11463"/>
    <x v="10"/>
  </r>
  <r>
    <n v="3079"/>
    <x v="3078"/>
    <s v="(3p) ဝိုက္စီး 42.55.7"/>
    <n v="1"/>
    <n v="300"/>
    <n v="300"/>
    <n v="232"/>
    <x v="10"/>
  </r>
  <r>
    <n v="3080"/>
    <x v="3079"/>
    <s v="(3p) ဝိုက္စီး 20.42.7"/>
    <n v="4"/>
    <n v="500"/>
    <n v="500"/>
    <n v="608"/>
    <x v="10"/>
  </r>
  <r>
    <n v="3081"/>
    <x v="3080"/>
    <s v="(3a)LF.SH ကလပ္အံု Set (5ေပါက္၊ W 6 ခ်ပ္ စပရိန္ပါ)"/>
    <n v="1"/>
    <n v="21000"/>
    <n v="21000"/>
    <n v="15966"/>
    <x v="10"/>
  </r>
  <r>
    <n v="3082"/>
    <x v="3081"/>
    <s v="(3a) LF.SH ကာဗရိုက္တာ(2ပင္၊ 200)"/>
    <n v="1"/>
    <n v="22000"/>
    <n v="22000"/>
    <n v="17182"/>
    <x v="10"/>
  </r>
  <r>
    <n v="3083"/>
    <x v="3082"/>
    <s v="(3g) ထရန္စဗာၾကိဳး (154cm ၊ကြင္း+ဂြ)"/>
    <n v="2"/>
    <n v="3000"/>
    <n v="3000"/>
    <n v="4554"/>
    <x v="10"/>
  </r>
  <r>
    <n v="3084"/>
    <x v="3083"/>
    <s v="(3n)ေရပန့္ (150 ၊ 200လံုးစင္း)"/>
    <n v="3"/>
    <n v="8000"/>
    <n v="8000"/>
    <n v="18858"/>
    <x v="10"/>
  </r>
  <r>
    <n v="3085"/>
    <x v="3084"/>
    <s v="(3i)ေနာက္ေရွာ့ဘား(မဲ၊တုတ္)"/>
    <n v="1"/>
    <n v="15000"/>
    <n v="15000"/>
    <n v="8461"/>
    <x v="10"/>
  </r>
  <r>
    <n v="3086"/>
    <x v="3085"/>
    <s v="စတပ္ေမာ္တာပင္နီယံ SET(16/60ထူ)_x000d__x000a__x000d__x000a_"/>
    <n v="2"/>
    <n v="4000"/>
    <n v="4000"/>
    <n v="6358"/>
    <x v="10"/>
  </r>
  <r>
    <n v="3087"/>
    <x v="3086"/>
    <s v="LF.SH ဘားတံ(150၊2ေခ်ာင္း စတီး)_x000d__x000a__x000d__x000a_"/>
    <n v="1"/>
    <n v="4500"/>
    <n v="4500"/>
    <n v="3342"/>
    <x v="10"/>
  </r>
  <r>
    <n v="3088"/>
    <x v="3087"/>
    <s v="NNJေအာက္တိုက္ပစ္ေမာင္း(ရိုးရိုး)"/>
    <n v="2"/>
    <n v="4500"/>
    <n v="4500"/>
    <n v="4460"/>
    <x v="10"/>
  </r>
  <r>
    <n v="3089"/>
    <x v="3088"/>
    <s v="NNJ ေဘာ 6228"/>
    <n v="2"/>
    <n v="3500"/>
    <n v="3500"/>
    <n v="3812"/>
    <x v="10"/>
  </r>
  <r>
    <n v="3090"/>
    <x v="3089"/>
    <s v="(3c)ဂ်ိဳင္းမစြတ္(က်ဥ္း)_x000d__x000a_"/>
    <n v="3"/>
    <n v="2000"/>
    <n v="2000"/>
    <n v="3345"/>
    <x v="10"/>
  </r>
  <r>
    <n v="3091"/>
    <x v="3090"/>
    <s v="(3c)ဂ်ိဳင္းမစြတ္(က်ယ္)_x000d__x000a_"/>
    <n v="3"/>
    <n v="2000"/>
    <n v="2000"/>
    <n v="3537"/>
    <x v="10"/>
  </r>
  <r>
    <n v="3092"/>
    <x v="3091"/>
    <s v="(3p) ဝိုက္စီး 55×75×8"/>
    <n v="4"/>
    <n v="800"/>
    <n v="800"/>
    <n v="2000"/>
    <x v="10"/>
  </r>
  <r>
    <n v="3093"/>
    <x v="3092"/>
    <s v="(3d) စပယ္ဖူးနတ္ေခါင္း "/>
    <n v="2"/>
    <n v="300"/>
    <n v="300"/>
    <n v="298"/>
    <x v="10"/>
  </r>
  <r>
    <n v="3094"/>
    <x v="3093"/>
    <s v="(3p) ဝိုက္စီး 20.34.7"/>
    <n v="10"/>
    <n v="300"/>
    <n v="300"/>
    <n v="1550"/>
    <x v="10"/>
  </r>
  <r>
    <n v="3095"/>
    <x v="3094"/>
    <s v="Air ကလင္ဒါ တြင္း ေလစစ္(250၊ဝိုင္း)"/>
    <n v="2"/>
    <n v="2800"/>
    <n v="2800"/>
    <n v="4280"/>
    <x v="10"/>
  </r>
  <r>
    <n v="3096"/>
    <x v="3095"/>
    <s v="(3d) NNJ စတပ္ေမာ္တာ(11သြား၊ျမင့္)"/>
    <n v="1"/>
    <n v="22000"/>
    <n v="22000"/>
    <n v="11436"/>
    <x v="10"/>
  </r>
  <r>
    <n v="3097"/>
    <x v="3096"/>
    <s v="NNJ ဝါယာရိန္းဆက္(175/200W)"/>
    <n v="3"/>
    <n v="12000"/>
    <n v="12000"/>
    <n v="27597"/>
    <x v="10"/>
  </r>
  <r>
    <n v="3098"/>
    <x v="3097"/>
    <s v="(3I)ဘားစပုလိန္_x000d__x000a_"/>
    <n v="7"/>
    <n v="2000"/>
    <n v="2000"/>
    <n v="4809"/>
    <x v="10"/>
  </r>
  <r>
    <n v="3099"/>
    <x v="3098"/>
    <s v="NNJ 1/2 Set( 250 W LF GSK သား)"/>
    <n v="4"/>
    <n v="2500"/>
    <n v="2500"/>
    <n v="3120"/>
    <x v="10"/>
  </r>
  <r>
    <n v="3100"/>
    <x v="3099"/>
    <s v="(3n)ေရွ႕ body ေဘးတြဲမီးလံုး"/>
    <n v="6"/>
    <n v="3500"/>
    <n v="3500"/>
    <n v="8580"/>
    <x v="10"/>
  </r>
  <r>
    <n v="3101"/>
    <x v="3100"/>
    <s v="ဝိုက္စီး 30x42x10- 5"/>
    <n v="9"/>
    <n v="900"/>
    <n v="900"/>
    <n v="2925"/>
    <x v="10"/>
  </r>
  <r>
    <n v="3102"/>
    <x v="3101"/>
    <s v="(3a)ကလပ္ဖို့စေတာ့တံ (200W)"/>
    <n v="4"/>
    <n v="1500"/>
    <n v="1500"/>
    <n v="2272"/>
    <x v="10"/>
  </r>
  <r>
    <n v="3103"/>
    <x v="3102"/>
    <s v="(3a)ကလပ္ဖို့စေတာ့တံ (250W)"/>
    <n v="3"/>
    <n v="1500"/>
    <n v="1500"/>
    <n v="1704"/>
    <x v="10"/>
  </r>
  <r>
    <n v="3104"/>
    <x v="3103"/>
    <s v="(3I)ဘက္ရွပ္74cm(23သြား/6009)"/>
    <n v="1"/>
    <n v="16000"/>
    <n v="16000"/>
    <n v="11479"/>
    <x v="10"/>
  </r>
  <r>
    <n v="3105"/>
    <x v="3104"/>
    <s v="ဂီယာတံဂၽြိဳင္းေရထမ္းပံုး"/>
    <n v="3"/>
    <n v="2500"/>
    <n v="2500"/>
    <n v="4680"/>
    <x v="10"/>
  </r>
  <r>
    <n v="3106"/>
    <x v="3105"/>
    <s v="ဘားစိ(လည္တို)_x000d__x000a_"/>
    <n v="16"/>
    <n v="400"/>
    <n v="400"/>
    <n v="3632"/>
    <x v="10"/>
  </r>
  <r>
    <n v="3107"/>
    <x v="3106"/>
    <s v="ဘားစိ(လည္ရွည္)"/>
    <n v="10"/>
    <n v="400"/>
    <n v="400"/>
    <n v="2270"/>
    <x v="10"/>
  </r>
  <r>
    <n v="3108"/>
    <x v="3107"/>
    <s v="ဘားခေမာက္"/>
    <n v="17"/>
    <n v="400"/>
    <n v="400"/>
    <n v="3196"/>
    <x v="10"/>
  </r>
  <r>
    <n v="3109"/>
    <x v="3108"/>
    <s v="ဘားကြင္း(150)"/>
    <n v="9"/>
    <n v="2000"/>
    <n v="2000"/>
    <n v="8604"/>
    <x v="10"/>
  </r>
  <r>
    <n v="3110"/>
    <x v="3109"/>
    <s v="NNJဘားကိုက္"/>
    <n v="9"/>
    <n v="2000"/>
    <n v="2000"/>
    <n v="8550"/>
    <x v="10"/>
  </r>
  <r>
    <n v="3111"/>
    <x v="3110"/>
    <s v="ဘက္ဂီယာလို္င္း ပီနီယံ(ျပင္17၊တြင္း6၊က်ယ္)"/>
    <n v="4"/>
    <n v="3000"/>
    <n v="3000"/>
    <n v="5496"/>
    <x v="10"/>
  </r>
  <r>
    <n v="3112"/>
    <x v="3111"/>
    <s v="ကစ္တံ(နတ္2၊နီကယ္)"/>
    <n v="2"/>
    <n v="4000"/>
    <n v="4000"/>
    <n v="5400"/>
    <x v="10"/>
  </r>
  <r>
    <n v="3113"/>
    <x v="3112"/>
    <s v="(3I)JJN ဘေလာက္Set(175W LF)"/>
    <n v="1"/>
    <n v="28000"/>
    <n v="28000"/>
    <n v="21443"/>
    <x v="10"/>
  </r>
  <r>
    <n v="3114"/>
    <x v="3113"/>
    <s v="(3a)ကလပ္ဖိျပား(5ေပါက္-က်ဲ)"/>
    <n v="9"/>
    <n v="1000"/>
    <n v="1000"/>
    <n v="4500"/>
    <x v="10"/>
  </r>
  <r>
    <n v="3115"/>
    <x v="3114"/>
    <s v="ဂီယာတံ(2)ဆင့္ေလာ့"/>
    <n v="7"/>
    <n v="2800"/>
    <n v="2800"/>
    <n v="10360"/>
    <x v="10"/>
  </r>
  <r>
    <n v="3116"/>
    <x v="3115"/>
    <s v="(3q) သံလိုက္တုံး 8 ထုပ္"/>
    <n v="2"/>
    <n v="7500"/>
    <n v="7500"/>
    <n v="12000"/>
    <x v="10"/>
  </r>
  <r>
    <n v="3117"/>
    <x v="3116"/>
    <s v="ဘက္ရွပ္ေဘာေထာက္"/>
    <n v="4"/>
    <n v="2000"/>
    <n v="2000"/>
    <n v="2584"/>
    <x v="10"/>
  </r>
  <r>
    <n v="3118"/>
    <x v="3117"/>
    <s v="စတပ္ေဘာကပ္ (ေဘာ 6လုံး)"/>
    <n v="4"/>
    <n v="2000"/>
    <n v="2000"/>
    <n v="3728"/>
    <x v="10"/>
  </r>
  <r>
    <n v="3119"/>
    <x v="3118"/>
    <s v="(3q) B သံလိုက္အုံး ဘဲဥဖုံး(ေသး)"/>
    <n v="5"/>
    <n v="3000"/>
    <n v="3000"/>
    <n v="5685"/>
    <x v="10"/>
  </r>
  <r>
    <n v="3120"/>
    <x v="3119"/>
    <s v="(3i)ဘားကြင္း ၊200"/>
    <n v="10"/>
    <n v="2000"/>
    <n v="2000"/>
    <n v="14360"/>
    <x v="10"/>
  </r>
  <r>
    <n v="3121"/>
    <x v="3120"/>
    <s v="(3i)ဘားကြင္း ၊250"/>
    <n v="16"/>
    <n v="3000"/>
    <n v="3000"/>
    <n v="22080"/>
    <x v="10"/>
  </r>
  <r>
    <n v="3122"/>
    <x v="3121"/>
    <s v="(3f) တိုက္ပစ္ဖို့စေတာ့တံ(250CC၊ZS၊မဲ)"/>
    <n v="1"/>
    <n v="2000"/>
    <n v="2000"/>
    <n v="968"/>
    <x v="10"/>
  </r>
  <r>
    <n v="3123"/>
    <x v="3122"/>
    <s v="(3p)ဝါယာရိန္းset(250CC)"/>
    <n v="1"/>
    <n v="12500"/>
    <n v="12500"/>
    <n v="8004"/>
    <x v="10"/>
  </r>
  <r>
    <n v="3124"/>
    <x v="3123"/>
    <s v="1/2  Set (175 W LF သံ 3ခ်ပ္)"/>
    <n v="1"/>
    <n v="3000"/>
    <n v="3000"/>
    <n v="1752"/>
    <x v="10"/>
  </r>
  <r>
    <n v="3125"/>
    <x v="3124"/>
    <s v="ဂီယာပင္နယံ Set (200CC)_x000d__x000a_"/>
    <n v="2"/>
    <n v="28000"/>
    <n v="28000"/>
    <n v="30310"/>
    <x v="10"/>
  </r>
  <r>
    <n v="3126"/>
    <x v="3125"/>
    <s v="ဂီယာပင္နယံ Set (250CC)_x000d__x000a_"/>
    <n v="1"/>
    <n v="22000"/>
    <n v="22000"/>
    <n v="16983"/>
    <x v="10"/>
  </r>
  <r>
    <n v="3127"/>
    <x v="3126"/>
    <s v="ကလပ္အံု Set ( 5 ေပါက္၊ W 6 ခ်ပ္ စပလိန္ပါ)"/>
    <n v="1"/>
    <n v="21000"/>
    <n v="21000"/>
    <n v="15966"/>
    <x v="10"/>
  </r>
  <r>
    <n v="3128"/>
    <x v="3127"/>
    <s v="Full Set (150/175 LF GSK သား)"/>
    <n v="2"/>
    <n v="4000"/>
    <n v="4000"/>
    <n v="3266"/>
    <x v="10"/>
  </r>
  <r>
    <n v="3129"/>
    <x v="3128"/>
    <s v="ကလပ္ျပားအထိုင္ပင္နီယံပါ(7ခ်ပ္စပရိန္ထိုင္)"/>
    <n v="3"/>
    <n v="14000"/>
    <n v="14000"/>
    <n v="20850"/>
    <x v="10"/>
  </r>
  <r>
    <n v="3130"/>
    <x v="3129"/>
    <s v="ကလပ္ျပားအထိုင္သံပါ(5ေပါက္7ခ်ပ္)"/>
    <n v="3"/>
    <n v="8500"/>
    <n v="8500"/>
    <n v="12420"/>
    <x v="10"/>
  </r>
  <r>
    <n v="3131"/>
    <x v="3130"/>
    <s v="ဂီယာတံ(2)ဆင့္ဘြြတ္"/>
    <n v="2"/>
    <n v="150"/>
    <n v="150"/>
    <n v="124"/>
    <x v="10"/>
  </r>
  <r>
    <n v="3132"/>
    <x v="3131"/>
    <s v="ဆီမာစတာပန္႔ဝါရွာ(သံ၊2အိုး)"/>
    <n v="1"/>
    <n v="2000"/>
    <n v="2000"/>
    <n v="1214"/>
    <x v="10"/>
  </r>
  <r>
    <n v="3133"/>
    <x v="3132"/>
    <s v="ေနာက္ဘရိတ္ဆြိ စပလိန္"/>
    <n v="5"/>
    <n v="250"/>
    <n v="250"/>
    <n v="600"/>
    <x v="10"/>
  </r>
  <r>
    <n v="3134"/>
    <x v="3133"/>
    <s v="ေနာက္ဟက္အံု Set ( L 6009 အထိုင္)"/>
    <n v="3"/>
    <n v="22500"/>
    <n v="22500"/>
    <n v="36540"/>
    <x v="10"/>
  </r>
  <r>
    <n v="3135"/>
    <x v="3134"/>
    <s v="ေနာက္ဟက္အံု Set ( R 6009 အထိုင္)"/>
    <n v="1"/>
    <n v="16500"/>
    <n v="16500"/>
    <n v="12180"/>
    <x v="10"/>
  </r>
  <r>
    <n v="3136"/>
    <x v="3135"/>
    <s v="(3F)တိုက္ပစ္ဖို႔စေတာ့တံ (175CC)"/>
    <n v="2"/>
    <n v="1500"/>
    <n v="1500"/>
    <n v="1912"/>
    <x v="10"/>
  </r>
  <r>
    <n v="3137"/>
    <x v="3136"/>
    <s v="(3F)တိုက္ပစ္ဖို႔စေတာ့တံ (150CC)"/>
    <n v="7"/>
    <n v="1500"/>
    <n v="1500"/>
    <n v="6580"/>
    <x v="10"/>
  </r>
  <r>
    <n v="3138"/>
    <x v="3137"/>
    <s v="(3S)အင္ဂ်င္ဝိုင္ပန္႔ (39သြား၊အိမ္ပါ)"/>
    <n v="9"/>
    <n v="6000"/>
    <n v="6000"/>
    <n v="30006"/>
    <x v="10"/>
  </r>
  <r>
    <n v="3139"/>
    <x v="3138"/>
    <s v="(3n) ေရွ႕ဝင္ရိုး (304 36cm ဘြတ္ပါ )"/>
    <n v="3"/>
    <n v="7000"/>
    <n v="7000"/>
    <n v="6120"/>
    <x v="10"/>
  </r>
  <r>
    <n v="3140"/>
    <x v="3139"/>
    <s v="ေနာက္ဘရိတ္ဆြဲႀကိဳး"/>
    <n v="1"/>
    <n v="700"/>
    <n v="700"/>
    <n v="390"/>
    <x v="10"/>
  </r>
  <r>
    <n v="3141"/>
    <x v="3140"/>
    <s v="(3a) ကလပ္ႀကိဳး (140cm)"/>
    <n v="3"/>
    <n v="3000"/>
    <n v="3000"/>
    <n v="3210"/>
    <x v="10"/>
  </r>
  <r>
    <n v="3142"/>
    <x v="3141"/>
    <s v="(3i) ေနာက္က်ဴပင္နတ္(ညာ၊ပါး)"/>
    <n v="3"/>
    <n v="1000"/>
    <n v="1000"/>
    <n v="1875"/>
    <x v="10"/>
  </r>
  <r>
    <n v="3143"/>
    <x v="3142"/>
    <s v="(3a)LF SH ကလပ္ျပား(6 ခ်ပ္၊W၊ဆီစိမ္)"/>
    <n v="1"/>
    <n v="3700"/>
    <n v="3700"/>
    <n v="2280"/>
    <x v="10"/>
  </r>
  <r>
    <n v="3144"/>
    <x v="3143"/>
    <s v="(3I) NNJ ေဘာ 30206"/>
    <n v="5"/>
    <n v="4500"/>
    <n v="4500"/>
    <n v="9350"/>
    <x v="10"/>
  </r>
  <r>
    <n v="3145"/>
    <x v="3144"/>
    <s v="(3a) ကရိုင္းနတ္ေခါင္း(14M)"/>
    <n v="21"/>
    <n v="700"/>
    <n v="700"/>
    <n v="9450"/>
    <x v="10"/>
  </r>
  <r>
    <n v="3146"/>
    <x v="3145"/>
    <s v="(3a)ကာပြန္အထိုင္"/>
    <n v="4"/>
    <n v="2000"/>
    <n v="2000"/>
    <n v="3800"/>
    <x v="10"/>
  </r>
  <r>
    <n v="3147"/>
    <x v="3146"/>
    <s v="(3n)ေရဗူးေကာ္ အဖံုး"/>
    <n v="2"/>
    <n v="700"/>
    <n v="700"/>
    <n v="1180"/>
    <x v="10"/>
  </r>
  <r>
    <n v="3148"/>
    <x v="3147"/>
    <s v="(3N)ေရွ႕ဘရိတ္ရွဳး(304 ၊ ႀကီး)"/>
    <n v="2"/>
    <n v="2500"/>
    <n v="2500"/>
    <n v="3740"/>
    <x v="10"/>
  </r>
  <r>
    <n v="3149"/>
    <x v="3148"/>
    <s v="NNJ 1/2 Set (250 W LF၊ သံ 3 ခ်ပ္)"/>
    <n v="1"/>
    <n v="3500"/>
    <n v="3500"/>
    <n v="1640"/>
    <x v="10"/>
  </r>
  <r>
    <n v="3150"/>
    <x v="3149"/>
    <s v="အင္ဂ်င္ဟက္နတ္တိုင္(12ဆိုဒ္၊17၊17-5cm၊အရွည္"/>
    <n v="5"/>
    <n v="6000"/>
    <n v="6000"/>
    <n v="16600"/>
    <x v="10"/>
  </r>
  <r>
    <n v="3151"/>
    <x v="3150"/>
    <s v="အိတ္ေဇာ စလင္ဒါအထိန္း_x000d__x000a_"/>
    <n v="1"/>
    <n v="1500"/>
    <n v="1500"/>
    <n v="760"/>
    <x v="10"/>
  </r>
  <r>
    <n v="3152"/>
    <x v="3151"/>
    <s v="အင္ဂ်င္ဟက္နတ္တိုင္(12ဆိုဒ္၊13၊150)"/>
    <n v="3"/>
    <n v="3000"/>
    <n v="3000"/>
    <n v="5250"/>
    <x v="10"/>
  </r>
  <r>
    <n v="3153"/>
    <x v="3152"/>
    <s v="အင္ဂ်င္ဟက္နတ္တိုင္(14ဆိုဒ္၊18-5cm၊ မဲ ရွည္ 250"/>
    <n v="3"/>
    <n v="6000"/>
    <n v="6000"/>
    <n v="10830"/>
    <x v="10"/>
  </r>
  <r>
    <n v="3154"/>
    <x v="3153"/>
    <s v="NNJ 1/2 Set(300 D/C LF၊ သံ 3 ခ်ပ္)_x000d__x000a_"/>
    <n v="1"/>
    <n v="3500"/>
    <n v="3500"/>
    <n v="1680"/>
    <x v="10"/>
  </r>
  <r>
    <n v="3155"/>
    <x v="3154"/>
    <s v="(3n) ေရွ႕မီးသီးလြတ္(Ta Ta)_x000d__x000a_"/>
    <n v="1"/>
    <n v="2000"/>
    <n v="2000"/>
    <n v="830"/>
    <x v="10"/>
  </r>
  <r>
    <n v="3156"/>
    <x v="3155"/>
    <s v="(3n) ေရွ႕မီးသီ အထိုင္(Ta Taအထိုင္)_x000d__x000a_"/>
    <n v="5"/>
    <n v="1500"/>
    <n v="1500"/>
    <n v="3100"/>
    <x v="10"/>
  </r>
  <r>
    <n v="3157"/>
    <x v="3156"/>
    <s v="(3n) ေရွ႕မီးသီ အထိုင္(ဝိုင္း)"/>
    <n v="15"/>
    <n v="800"/>
    <n v="800"/>
    <n v="6450"/>
    <x v="10"/>
  </r>
  <r>
    <n v="3158"/>
    <x v="3157"/>
    <s v="(3n) ေရွ႕မီးသီးလြတ္( LED)_x000d__x000a_"/>
    <n v="14"/>
    <n v="4000"/>
    <n v="4000"/>
    <n v="33600"/>
    <x v="10"/>
  </r>
  <r>
    <n v="3159"/>
    <x v="3158"/>
    <s v="(3n) ေရွ႕မီးသီးလြတ္( 2စ  ဝိုင္း)_x000d__x000a_"/>
    <n v="9"/>
    <n v="2000"/>
    <n v="2000"/>
    <n v="7650"/>
    <x v="10"/>
  </r>
  <r>
    <n v="3160"/>
    <x v="3159"/>
    <s v="(3C) ဂၽြိဳင္းဂြ Set (19x44 ေသး ၊က်ဲ)"/>
    <n v="3"/>
    <n v="6000"/>
    <n v="6000"/>
    <n v="10929"/>
    <x v="10"/>
  </r>
  <r>
    <n v="3161"/>
    <x v="3160"/>
    <s v="ေလးဘြတ္(သံ)"/>
    <n v="16"/>
    <n v="2000"/>
    <n v="2000"/>
    <n v="14400"/>
    <x v="10"/>
  </r>
  <r>
    <n v="3162"/>
    <x v="3161"/>
    <s v="LF B စတပ္ေမာ္တာ(9သြား ေသး)"/>
    <n v="3"/>
    <n v="22000"/>
    <n v="22000"/>
    <n v="66000"/>
    <x v="10"/>
  </r>
  <r>
    <n v="3163"/>
    <x v="3162"/>
    <s v="(3d)စတပ္ေဘာထိုင္ Lကီးနတ္"/>
    <n v="5"/>
    <n v="400"/>
    <n v="400"/>
    <n v="550"/>
    <x v="10"/>
  </r>
  <r>
    <n v="3164"/>
    <x v="3163"/>
    <s v="(3I)ေနာက္ဟက္အံု Set ( L 6209 အထိုင္)"/>
    <n v="10"/>
    <n v="22500"/>
    <n v="22500"/>
    <n v="127800"/>
    <x v="10"/>
  </r>
  <r>
    <n v="3165"/>
    <x v="3164"/>
    <s v="(3I)ေနာက္ဟက္အံု Set ( R  6209 အထိုင္)"/>
    <n v="8"/>
    <n v="22500"/>
    <n v="22500"/>
    <n v="131200"/>
    <x v="10"/>
  </r>
  <r>
    <n v="3166"/>
    <x v="3165"/>
    <s v="(3O)လက္ကိုင္စြပ္(သိန္းငွက္ပံု)_x000d__x000a_"/>
    <n v="1"/>
    <n v="3000"/>
    <n v="3000"/>
    <n v="1220"/>
    <x v="10"/>
  </r>
  <r>
    <n v="3167"/>
    <x v="3166"/>
    <s v="(3n)ေရွ႕ဘရိတ္ႀကိဳး"/>
    <n v="2"/>
    <n v="3500"/>
    <n v="3500"/>
    <n v="2340"/>
    <x v="10"/>
  </r>
  <r>
    <n v="3168"/>
    <x v="3167"/>
    <s v="(3n) ေရပန္႔ (150/200 လံုးစင္း)"/>
    <n v="23"/>
    <n v="9000"/>
    <n v="9000"/>
    <n v="129720"/>
    <x v="10"/>
  </r>
  <r>
    <n v="3169"/>
    <x v="3168"/>
    <s v="(3n) ေရပန္႔ 300"/>
    <n v="5"/>
    <n v="7500"/>
    <n v="7500"/>
    <n v="28465"/>
    <x v="10"/>
  </r>
  <r>
    <n v="3170"/>
    <x v="3169"/>
    <s v="(3C) NNJ ဂီယာ စေပါ့ကက္ရွပ္(150)"/>
    <n v="1"/>
    <n v="4000"/>
    <n v="4000"/>
    <n v="1990"/>
    <x v="10"/>
  </r>
  <r>
    <n v="3171"/>
    <x v="3170"/>
    <s v="(3c) 4ေပါက္ေဂြ(400X12 သစ္၊မဲ)"/>
    <n v="2"/>
    <n v="12500"/>
    <n v="12500"/>
    <n v="19100"/>
    <x v="10"/>
  </r>
  <r>
    <n v="3172"/>
    <x v="3171"/>
    <s v="(3I)ေနာက္ဟက္ဒရမ္(250 ဆိုဒ္ ေသး ရွပ္_x000d__x000a_တန္း110)_x000d__x000a_"/>
    <n v="1"/>
    <n v="10000"/>
    <n v="10000"/>
    <n v="7570"/>
    <x v="10"/>
  </r>
  <r>
    <n v="3173"/>
    <x v="3172"/>
    <s v="စလင္ဒါ (ထူ ရွည္)_x000d__x000a_"/>
    <n v="2"/>
    <n v="12000"/>
    <n v="12000"/>
    <n v="10580"/>
    <x v="10"/>
  </r>
  <r>
    <n v="3174"/>
    <x v="3173"/>
    <s v="ႏွစ္ဖက္လိပ္ေလး(7 Cm)"/>
    <n v="1"/>
    <n v="12000"/>
    <n v="12000"/>
    <n v="6551"/>
    <x v="10"/>
  </r>
  <r>
    <n v="3175"/>
    <x v="3174"/>
    <s v="မာန္တိုင္ အရွည္ (698909 ေဘာ)"/>
    <n v="1"/>
    <n v="45000"/>
    <n v="45000"/>
    <n v="26386"/>
    <x v="10"/>
  </r>
  <r>
    <n v="3176"/>
    <x v="3175"/>
    <s v="မာန္တိုင္ အတို (698909ေဘာ)"/>
    <n v="2"/>
    <n v="40000"/>
    <n v="40000"/>
    <n v="48676"/>
    <x v="10"/>
  </r>
  <r>
    <n v="3177"/>
    <x v="3176"/>
    <s v="(3I) ဘက္ရွပ္ 48cm(6 သြား ၊ 6009)"/>
    <n v="3"/>
    <n v="18000"/>
    <n v="18000"/>
    <n v="29730"/>
    <x v="10"/>
  </r>
  <r>
    <n v="3178"/>
    <x v="3177"/>
    <s v="ေရွ႕ေဖာက္လြတ္(4 ေခ်ာင္းပတ္လည္ ၃၀ဆိုဒ္ေကာင္း)"/>
    <n v="1"/>
    <n v="100000"/>
    <n v="100000"/>
    <n v="78900"/>
    <x v="10"/>
  </r>
  <r>
    <n v="3179"/>
    <x v="3178"/>
    <s v="ဘရိတ္ေၾကးပိုက္"/>
    <n v="1"/>
    <n v="1500"/>
    <n v="1500"/>
    <n v="1157"/>
    <x v="10"/>
  </r>
  <r>
    <n v="3180"/>
    <x v="3179"/>
    <s v="ဘက္ရွပ္ 60 Cm"/>
    <n v="1"/>
    <n v="16000"/>
    <n v="16000"/>
    <n v="8190"/>
    <x v="10"/>
  </r>
  <r>
    <n v="3181"/>
    <x v="3180"/>
    <s v="ဘက္ရွပ္ 65 Cm_x000d__x000a_"/>
    <n v="1"/>
    <n v="19000"/>
    <n v="19000"/>
    <n v="8190"/>
    <x v="10"/>
  </r>
  <r>
    <n v="3182"/>
    <x v="3181"/>
    <s v="ဘက္ရွပ္ 50 Cm_x000d__x000a_"/>
    <n v="1"/>
    <n v="14500"/>
    <n v="14500"/>
    <n v="7090"/>
    <x v="10"/>
  </r>
  <r>
    <n v="3183"/>
    <x v="3182"/>
    <s v="ဘက္ရွပ္ 40 Cm_x000d__x000a_"/>
    <n v="1"/>
    <n v="13000"/>
    <n v="13000"/>
    <n v="6120"/>
    <x v="10"/>
  </r>
  <r>
    <n v="3184"/>
    <x v="3183"/>
    <s v="ဂၽြိဳင္းပိုက္ရွည္ Set (150 Cm)"/>
    <n v="1"/>
    <n v="26000"/>
    <n v="26000"/>
    <n v="13420"/>
    <x v="10"/>
  </r>
  <r>
    <n v="3185"/>
    <x v="3184"/>
    <s v="ဂီယာပင္နီယံ Set (200CC)"/>
    <n v="3"/>
    <n v="28000"/>
    <n v="28000"/>
    <n v="45345"/>
    <x v="10"/>
  </r>
  <r>
    <n v="3186"/>
    <x v="3185"/>
    <s v="NNJ ကရိုင္း Set (200 W / F)"/>
    <n v="1"/>
    <n v="40000"/>
    <n v="40000"/>
    <n v="21859"/>
    <x v="10"/>
  </r>
  <r>
    <n v="3187"/>
    <x v="3186"/>
    <s v="NNJေဘာ32909"/>
    <n v="8"/>
    <n v="4000"/>
    <n v="4000"/>
    <n v="18392"/>
    <x v="10"/>
  </r>
  <r>
    <n v="3188"/>
    <x v="3187"/>
    <s v="ဘက္ဂီယာမိန္းပင္နယံ(11သြားတို)"/>
    <n v="5"/>
    <n v="3000"/>
    <n v="3000"/>
    <n v="8300"/>
    <x v="10"/>
  </r>
  <r>
    <n v="3189"/>
    <x v="3188"/>
    <s v="(3l)ဘက္ဂီယာမိန္းပင္နီယံ(13သြား၊ကလစ္လိုင္းမပါ)"/>
    <n v="5"/>
    <n v="4000"/>
    <n v="4000"/>
    <n v="13915"/>
    <x v="10"/>
  </r>
  <r>
    <n v="3190"/>
    <x v="3189"/>
    <s v="ဂၽြိဳင္းေဘာ 20x45"/>
    <n v="2"/>
    <n v="2500"/>
    <n v="2500"/>
    <n v="2652"/>
    <x v="10"/>
  </r>
  <r>
    <n v="3191"/>
    <x v="3190"/>
    <s v="စတပ္ေဘာ ( 16 လံုး)"/>
    <n v="4"/>
    <n v="4500"/>
    <n v="4500"/>
    <n v="10080"/>
    <x v="10"/>
  </r>
  <r>
    <n v="3192"/>
    <x v="3191"/>
    <s v="အင္ဂ်င္ဝိုင္ပန္႕37တန္း"/>
    <n v="4"/>
    <n v="5000"/>
    <n v="5000"/>
    <n v="10080"/>
    <x v="10"/>
  </r>
  <r>
    <n v="3193"/>
    <x v="3192"/>
    <s v="ဘားတံ(250 CCတိုစတီး)"/>
    <n v="12"/>
    <n v="5500"/>
    <n v="5500"/>
    <n v="42936"/>
    <x v="10"/>
  </r>
  <r>
    <n v="3194"/>
    <x v="3193"/>
    <s v="စပိုက္တာပင္နယံset (10x44 စိပ္)"/>
    <n v="4"/>
    <n v="6000"/>
    <n v="6000"/>
    <n v="13856"/>
    <x v="10"/>
  </r>
  <r>
    <n v="3195"/>
    <x v="3194"/>
    <s v="LF SH ရိန္း 0-25(250W)"/>
    <n v="3"/>
    <n v="4000"/>
    <n v="4000"/>
    <n v="7260"/>
    <x v="10"/>
  </r>
  <r>
    <n v="3196"/>
    <x v="3195"/>
    <s v="(3n)LF SH ရိန္း 0-25 (300 D/C)"/>
    <n v="1"/>
    <n v="4500"/>
    <n v="4500"/>
    <n v="2671"/>
    <x v="10"/>
  </r>
  <r>
    <n v="3197"/>
    <x v="3196"/>
    <s v="ရိန္း 0-25 (150/175)"/>
    <n v="3"/>
    <n v="3000"/>
    <n v="3000"/>
    <n v="5250"/>
    <x v="10"/>
  </r>
  <r>
    <n v="3198"/>
    <x v="3197"/>
    <s v="LF SHဂီယာစေပါ့ကတ္ရွပ္ (300)"/>
    <n v="5"/>
    <n v="6000"/>
    <n v="6000"/>
    <n v="14950"/>
    <x v="10"/>
  </r>
  <r>
    <n v="3199"/>
    <x v="3198"/>
    <s v="NNJကစ္စတပ္ရွပ္ (ေစာင္း/150)"/>
    <n v="5"/>
    <n v="6000"/>
    <n v="6000"/>
    <n v="11690"/>
    <x v="10"/>
  </r>
  <r>
    <n v="3200"/>
    <x v="3199"/>
    <s v="(3j)LF SH ပစၥတင္0-25 (300 D/C)"/>
    <n v="7"/>
    <n v="8500"/>
    <n v="8500"/>
    <n v="37590"/>
    <x v="10"/>
  </r>
  <r>
    <n v="3201"/>
    <x v="3200"/>
    <s v="LF SHပစၥတင္ 0-25 (250 D/C)_x000d__x000a_"/>
    <n v="1"/>
    <n v="7000"/>
    <n v="7000"/>
    <n v="4197"/>
    <x v="10"/>
  </r>
  <r>
    <n v="3202"/>
    <x v="3201"/>
    <s v="ပစၥတင္ 0-25 (150/175)"/>
    <n v="7"/>
    <n v="5500"/>
    <n v="5500"/>
    <n v="18550"/>
    <x v="10"/>
  </r>
  <r>
    <n v="3203"/>
    <x v="3202"/>
    <s v="LF SH ရိန္း STD (200CC)"/>
    <n v="7"/>
    <n v="4500"/>
    <n v="4500"/>
    <n v="13930"/>
    <x v="10"/>
  </r>
  <r>
    <n v="3204"/>
    <x v="3203"/>
    <s v="LF SH ရိန္း 0-25 (200CC)"/>
    <n v="8"/>
    <n v="4500"/>
    <n v="4500"/>
    <n v="15920"/>
    <x v="10"/>
  </r>
  <r>
    <n v="3205"/>
    <x v="3204"/>
    <s v="ပစၥတင္ 0-25( 200 CC)"/>
    <n v="8"/>
    <n v="7000"/>
    <n v="7000"/>
    <n v="21120"/>
    <x v="10"/>
  </r>
  <r>
    <n v="3206"/>
    <x v="3205"/>
    <s v="ပစၥတင္ STD (200 CC)"/>
    <n v="5"/>
    <n v="5000"/>
    <n v="5000"/>
    <n v="13200"/>
    <x v="10"/>
  </r>
  <r>
    <n v="3207"/>
    <x v="3206"/>
    <s v="NNJ ကစ္စတပ္ရွပ္ ( ဒဲ့) 250 CC"/>
    <n v="2"/>
    <n v="6000"/>
    <n v="6000"/>
    <n v="8364"/>
    <x v="10"/>
  </r>
  <r>
    <n v="3208"/>
    <x v="3207"/>
    <s v="NNJ ကစ္စတပ္ရွပ္ ( ဒဲ့) 150 CC"/>
    <n v="4"/>
    <n v="4000"/>
    <n v="4000"/>
    <n v="9352"/>
    <x v="10"/>
  </r>
  <r>
    <n v="3209"/>
    <x v="3208"/>
    <s v="ဂီယာေပါက္ရွပ္ ( 175 / 200W)"/>
    <n v="7"/>
    <n v="4000"/>
    <n v="4000"/>
    <n v="17185"/>
    <x v="10"/>
  </r>
  <r>
    <n v="3210"/>
    <x v="3209"/>
    <s v="10:35 လင္ဗန္း ေဘာထိုင္ပါ"/>
    <n v="1"/>
    <n v="15000"/>
    <n v="15000"/>
    <n v="10100"/>
    <x v="10"/>
  </r>
  <r>
    <n v="3211"/>
    <x v="3210"/>
    <s v="စပယ္ဖူးလင္ဗန္း( 10:35 T)"/>
    <n v="4"/>
    <n v="22000"/>
    <n v="22000"/>
    <n v="60000"/>
    <x v="10"/>
  </r>
  <r>
    <n v="3212"/>
    <x v="3211"/>
    <s v="လင္ဗန္းနတ္ဆြဲပါ ေဘာထိုင္မပါ"/>
    <n v="4"/>
    <n v="12000"/>
    <n v="12000"/>
    <n v="27336"/>
    <x v="10"/>
  </r>
  <r>
    <n v="3213"/>
    <x v="3212"/>
    <s v="12:38 လင္ဗန္းေဘာထိုင္ပါ"/>
    <n v="1"/>
    <n v="13000"/>
    <n v="13000"/>
    <n v="5512"/>
    <x v="10"/>
  </r>
  <r>
    <n v="3214"/>
    <x v="3213"/>
    <s v="ဂၽြိဳင္းဂြ (22X55 အလယ္လိုင္း)"/>
    <n v="2"/>
    <n v="3500"/>
    <n v="3500"/>
    <n v="3684"/>
    <x v="10"/>
  </r>
  <r>
    <n v="3215"/>
    <x v="3214"/>
    <s v="ဂၽြိဳင္းဂြ ဖလန္းႀကီး (20x55 အလယ္လိုင္း)"/>
    <n v="5"/>
    <n v="3000"/>
    <n v="3000"/>
    <n v="9285"/>
    <x v="10"/>
  </r>
  <r>
    <n v="3216"/>
    <x v="3215"/>
    <s v="ဂၽြိဳင္းဂြ (22×55)"/>
    <n v="2"/>
    <n v="2500"/>
    <n v="2500"/>
    <n v="3140"/>
    <x v="10"/>
  </r>
  <r>
    <n v="3217"/>
    <x v="3216"/>
    <s v="ဂၽြိဳင္းမစြပ္(စိပ္)"/>
    <n v="9"/>
    <n v="2000"/>
    <n v="2000"/>
    <n v="9810"/>
    <x v="10"/>
  </r>
  <r>
    <n v="3218"/>
    <x v="3217"/>
    <s v="ေရွ႕ဝင္ရိုး (304 ၊ 28cm ဘြတ္ပါ)"/>
    <n v="3"/>
    <n v="7000"/>
    <n v="7000"/>
    <n v="6117"/>
    <x v="10"/>
  </r>
  <r>
    <n v="3219"/>
    <x v="3218"/>
    <s v="ဝင္ရိုး (304 ၊ 23cm)ဘြတ္မပါ_x000d__x000a_့"/>
    <n v="3"/>
    <n v="13500"/>
    <n v="13500"/>
    <n v="27300"/>
    <x v="10"/>
  </r>
  <r>
    <n v="3220"/>
    <x v="3219"/>
    <s v="10:35 စပယ္ဖူးတို နတ္အရစ္မပါ"/>
    <n v="1"/>
    <n v="12000"/>
    <n v="12000"/>
    <n v="9100"/>
    <x v="10"/>
  </r>
  <r>
    <n v="3221"/>
    <x v="3220"/>
    <s v="စပယ္ဖူးရွပ္( 10/35 T)"/>
    <n v="5"/>
    <n v="15000"/>
    <n v="15000"/>
    <n v="60000"/>
    <x v="10"/>
  </r>
  <r>
    <n v="3222"/>
    <x v="3221"/>
    <s v="စပယ္ဖူးရွပ္ (9:35 T)250CC"/>
    <n v="5"/>
    <n v="18000"/>
    <n v="18000"/>
    <n v="65000"/>
    <x v="10"/>
  </r>
  <r>
    <n v="3223"/>
    <x v="3222"/>
    <s v="ေနာက္ကေရာင္း Set (6206)ေဘာ (4) ေပါက္တန္း"/>
    <n v="1"/>
    <n v="42000"/>
    <n v="42000"/>
    <n v="32453"/>
    <x v="10"/>
  </r>
  <r>
    <n v="3224"/>
    <x v="3223"/>
    <s v="Engine အျခမ္းေသး 150 က်ယ္"/>
    <n v="1"/>
    <n v="20000"/>
    <n v="20000"/>
    <n v="13300"/>
    <x v="10"/>
  </r>
  <r>
    <n v="3225"/>
    <x v="3224"/>
    <s v="Engine အျခမ္းႀကီး 150 (နတ္ 2)"/>
    <n v="1"/>
    <n v="25000"/>
    <n v="25000"/>
    <n v="17130"/>
    <x v="10"/>
  </r>
  <r>
    <n v="3226"/>
    <x v="3225"/>
    <s v="ထရန္စဖာႀကိဳး (181Cm ၊ 2ကြင္း)"/>
    <n v="1"/>
    <n v="5500"/>
    <n v="5500"/>
    <n v="3570"/>
    <x v="10"/>
  </r>
  <r>
    <n v="3227"/>
    <x v="3226"/>
    <s v="ထရန္စဖာႀကိဳး 140Cm ကြင္း ဂြ"/>
    <n v="1"/>
    <n v="2500"/>
    <n v="2500"/>
    <n v="1961"/>
    <x v="10"/>
  </r>
  <r>
    <n v="3228"/>
    <x v="3227"/>
    <s v="ေရွ႕ဟက္အံု (4 ေပါက္)"/>
    <n v="3"/>
    <n v="16000"/>
    <n v="16000"/>
    <n v="25560"/>
    <x v="10"/>
  </r>
  <r>
    <n v="3229"/>
    <x v="3228"/>
    <s v="NNJ Engine ဟက္ Set(150/175)"/>
    <n v="2"/>
    <n v="40000"/>
    <n v="40000"/>
    <n v="39642"/>
    <x v="10"/>
  </r>
  <r>
    <n v="3230"/>
    <x v="3229"/>
    <s v="ဘေလာက္ Set (150cc)"/>
    <n v="1"/>
    <n v="40000"/>
    <n v="40000"/>
    <n v="35000"/>
    <x v="10"/>
  </r>
  <r>
    <n v="3231"/>
    <x v="3230"/>
    <s v="ဘေလာက္ Set (250cc ကစ္ Set စံု)"/>
    <n v="1"/>
    <n v="50000"/>
    <n v="50000"/>
    <n v="38000"/>
    <x v="10"/>
  </r>
  <r>
    <n v="3232"/>
    <x v="3231"/>
    <s v="လီဗာႀကိဳး (2 ပင္ တို 110cm)"/>
    <n v="3"/>
    <n v="2000"/>
    <n v="2000"/>
    <n v="3138"/>
    <x v="10"/>
  </r>
  <r>
    <n v="3233"/>
    <x v="3232"/>
    <s v=" ကလပ္ႀကီဳး 117 Cm_x000d__x000a_"/>
    <n v="3"/>
    <n v="2000"/>
    <n v="2000"/>
    <n v="3042"/>
    <x v="10"/>
  </r>
  <r>
    <n v="3234"/>
    <x v="3233"/>
    <s v="25×52×8.6"/>
    <n v="13"/>
    <n v="600"/>
    <n v="600"/>
    <n v="5304"/>
    <x v="10"/>
  </r>
  <r>
    <n v="3235"/>
    <x v="3234"/>
    <s v="28×45/58×10"/>
    <n v="13"/>
    <n v="500"/>
    <n v="500"/>
    <n v="5304"/>
    <x v="10"/>
  </r>
  <r>
    <n v="3236"/>
    <x v="3235"/>
    <s v="20×42×7"/>
    <n v="14"/>
    <n v="300"/>
    <n v="300"/>
    <n v="2226"/>
    <x v="10"/>
  </r>
  <r>
    <n v="3237"/>
    <x v="3236"/>
    <s v="32×50×7"/>
    <n v="1"/>
    <n v="400"/>
    <n v="400"/>
    <n v="227"/>
    <x v="10"/>
  </r>
  <r>
    <n v="3238"/>
    <x v="3237"/>
    <s v="30×45/62×10"/>
    <n v="10"/>
    <n v="600"/>
    <n v="600"/>
    <n v="4000"/>
    <x v="10"/>
  </r>
  <r>
    <n v="3239"/>
    <x v="3238"/>
    <s v="20×34×7"/>
    <n v="4"/>
    <n v="350"/>
    <n v="350"/>
    <n v="800"/>
    <x v="10"/>
  </r>
  <r>
    <n v="3240"/>
    <x v="3239"/>
    <s v="42×55×7"/>
    <n v="16"/>
    <n v="350"/>
    <n v="350"/>
    <n v="3200"/>
    <x v="10"/>
  </r>
  <r>
    <n v="3241"/>
    <x v="3240"/>
    <s v="25×55×7"/>
    <n v="20"/>
    <n v="600"/>
    <n v="600"/>
    <n v="3000"/>
    <x v="10"/>
  </r>
  <r>
    <n v="3242"/>
    <x v="3241"/>
    <s v="ဂီယာေဘာက္ ပါကင္(GSK တံုးပိတ္)"/>
    <n v="8"/>
    <n v="400"/>
    <n v="400"/>
    <n v="1496"/>
    <x v="10"/>
  </r>
  <r>
    <n v="3243"/>
    <x v="3242"/>
    <s v="ဒစၥဝွီးနတ္ (5 ေပါက္ 3 ဘီး)"/>
    <n v="28"/>
    <n v="400"/>
    <n v="400"/>
    <n v="4900"/>
    <x v="10"/>
  </r>
  <r>
    <n v="3244"/>
    <x v="3243"/>
    <s v="လီဘာပိုက္"/>
    <n v="9"/>
    <n v="500"/>
    <n v="500"/>
    <n v="1890"/>
    <x v="10"/>
  </r>
  <r>
    <n v="3245"/>
    <x v="3244"/>
    <s v="ေလးပင္ နတ္ 8.5Cm(တို)"/>
    <n v="35"/>
    <n v="600"/>
    <n v="600"/>
    <n v="11900"/>
    <x v="10"/>
  </r>
  <r>
    <n v="3246"/>
    <x v="3245"/>
    <s v="(3o) ေလးပင္နတ္(13Cm ၊ရွည္)_x000d__x000a_"/>
    <n v="24"/>
    <n v="800"/>
    <n v="800"/>
    <n v="12960"/>
    <x v="10"/>
  </r>
  <r>
    <n v="3247"/>
    <x v="3246"/>
    <s v="(3n) ေရွ႕ဝင္ရိုးနတ္ေခါင္း"/>
    <n v="14"/>
    <n v="600"/>
    <n v="600"/>
    <n v="3220"/>
    <x v="10"/>
  </r>
  <r>
    <n v="3248"/>
    <x v="3247"/>
    <s v="(3d)LF SH စီတီအိုင္ (ဝိုင္း A)"/>
    <n v="2"/>
    <n v="6000"/>
    <n v="6000"/>
    <n v="3120"/>
    <x v="10"/>
  </r>
  <r>
    <n v="3249"/>
    <x v="3248"/>
    <s v="ေရွ႕ဝင္ရိုး(304၊32Cm၊ဘြတ္ပါ)"/>
    <n v="1"/>
    <n v="7000"/>
    <n v="7000"/>
    <n v="1990"/>
    <x v="10"/>
  </r>
  <r>
    <n v="3250"/>
    <x v="3249"/>
    <s v="အင္ဂ်င္ျခမ္း(250 ႀကီး)"/>
    <n v="1"/>
    <n v="40000"/>
    <n v="40000"/>
    <n v="30000"/>
    <x v="10"/>
  </r>
  <r>
    <n v="3251"/>
    <x v="3250"/>
    <s v="ဘက္ရွပ္ 42 cm (6သြား32009 4ေပါက္)"/>
    <n v="2"/>
    <n v="20000"/>
    <n v="20000"/>
    <n v="19820"/>
    <x v="10"/>
  </r>
  <r>
    <n v="3252"/>
    <x v="3251"/>
    <s v="အင္ဂ်င္နတ္စံုထုပ္"/>
    <n v="2"/>
    <n v="4500"/>
    <n v="4500"/>
    <n v="4800"/>
    <x v="10"/>
  </r>
  <r>
    <n v="3253"/>
    <x v="3252"/>
    <s v="တိုက္ပစ္အေပၚေမာင္း(200၊250)"/>
    <n v="2"/>
    <n v="8000"/>
    <n v="8000"/>
    <n v="10460"/>
    <x v="10"/>
  </r>
  <r>
    <n v="3254"/>
    <x v="3253"/>
    <s v="တိုက္ပစ္နတ္"/>
    <n v="12"/>
    <n v="500"/>
    <n v="500"/>
    <n v="2160"/>
    <x v="10"/>
  </r>
  <r>
    <n v="3255"/>
    <x v="3254"/>
    <s v="စတပ္ေမာ္တာ 11 သြားျမင့္"/>
    <n v="2"/>
    <n v="22000"/>
    <n v="22000"/>
    <n v="19020"/>
    <x v="10"/>
  </r>
  <r>
    <n v="3256"/>
    <x v="3255"/>
    <s v="ထရမ္စဖာႀကိဳး(130cm2ဖက္ကြင္းေခါင္းႀကီး)"/>
    <n v="1"/>
    <n v="4500"/>
    <n v="4500"/>
    <n v="2810"/>
    <x v="10"/>
  </r>
  <r>
    <n v="3257"/>
    <x v="3256"/>
    <s v="ေဘာ္ဒီ ပင္"/>
    <n v="9"/>
    <n v="800"/>
    <n v="800"/>
    <n v="1980"/>
    <x v="10"/>
  </r>
  <r>
    <n v="3258"/>
    <x v="3257"/>
    <s v="ဘရိတ္ဆီ ေသး"/>
    <n v="1"/>
    <n v="400"/>
    <n v="400"/>
    <n v="300"/>
    <x v="10"/>
  </r>
  <r>
    <n v="3259"/>
    <x v="3258"/>
    <s v="Airကလင္ဒါ Set(150 ရွည္)"/>
    <n v="1"/>
    <n v="5500"/>
    <n v="5500"/>
    <n v="2750"/>
    <x v="10"/>
  </r>
  <r>
    <n v="3260"/>
    <x v="3259"/>
    <s v="အင္ဂ်င္ျခမ္း 250 ေသး"/>
    <n v="1"/>
    <n v="28000"/>
    <n v="28000"/>
    <n v="20250"/>
    <x v="10"/>
  </r>
  <r>
    <n v="3261"/>
    <x v="3260"/>
    <s v="အိတ္ေဇာပရိုက္ကစ္ေသး"/>
    <n v="1"/>
    <n v="700"/>
    <n v="700"/>
    <n v="400"/>
    <x v="10"/>
  </r>
  <r>
    <n v="3262"/>
    <x v="3261"/>
    <s v="ေရေအးတိုင္ကီအဖုံုး"/>
    <n v="2"/>
    <n v="1500"/>
    <n v="1500"/>
    <n v="1500"/>
    <x v="10"/>
  </r>
  <r>
    <n v="3263"/>
    <x v="3262"/>
    <s v="5/6 ဂါဘနာဂြ ဘြတ္သံ"/>
    <n v="23"/>
    <n v="500"/>
    <n v="500"/>
    <n v="6210"/>
    <x v="1"/>
  </r>
</pivotCacheRecords>
</file>

<file path=xl/pivotCache/pivotCacheRecords8.xml><?xml version="1.0" encoding="utf-8"?>
<pivotCacheRecords xmlns="http://schemas.openxmlformats.org/spreadsheetml/2006/main" xmlns:r="http://schemas.openxmlformats.org/officeDocument/2006/relationships" count="12">
  <r>
    <x v="0"/>
    <n v="5596988"/>
    <n v="1513550"/>
    <n v="4083438"/>
  </r>
  <r>
    <x v="1"/>
    <n v="4422515"/>
    <n v="1430650"/>
    <n v="2991865"/>
  </r>
  <r>
    <x v="2"/>
    <n v="6200928"/>
    <n v="1395250"/>
    <n v="4805678"/>
  </r>
  <r>
    <x v="3"/>
    <n v="6029435"/>
    <n v="1718150"/>
    <n v="4311285"/>
  </r>
  <r>
    <x v="4"/>
    <m/>
    <m/>
    <n v="0"/>
  </r>
  <r>
    <x v="5"/>
    <m/>
    <m/>
    <n v="0"/>
  </r>
  <r>
    <x v="6"/>
    <m/>
    <m/>
    <n v="0"/>
  </r>
  <r>
    <x v="7"/>
    <m/>
    <m/>
    <n v="0"/>
  </r>
  <r>
    <x v="8"/>
    <m/>
    <m/>
    <n v="0"/>
  </r>
  <r>
    <x v="9"/>
    <m/>
    <m/>
    <n v="0"/>
  </r>
  <r>
    <x v="10"/>
    <m/>
    <m/>
    <n v="0"/>
  </r>
  <r>
    <x v="11"/>
    <m/>
    <m/>
    <n v="0"/>
  </r>
</pivotCacheRecords>
</file>

<file path=xl/pivotCache/pivotCacheRecords9.xml><?xml version="1.0" encoding="utf-8"?>
<pivotCacheRecords xmlns="http://schemas.openxmlformats.org/spreadsheetml/2006/main" xmlns:r="http://schemas.openxmlformats.org/officeDocument/2006/relationships" count="18">
  <r>
    <n v="1"/>
    <x v="0"/>
    <n v="0"/>
    <n v="0"/>
    <n v="0"/>
    <n v="0"/>
  </r>
  <r>
    <n v="2"/>
    <x v="1"/>
    <n v="0"/>
    <n v="0"/>
    <n v="0"/>
    <n v="0"/>
  </r>
  <r>
    <n v="3"/>
    <x v="2"/>
    <n v="411000"/>
    <n v="1053000"/>
    <n v="411000"/>
    <n v="1053000"/>
  </r>
  <r>
    <n v="6"/>
    <x v="3"/>
    <n v="2487066"/>
    <n v="0"/>
    <n v="0"/>
    <n v="2487066"/>
  </r>
  <r>
    <n v="7"/>
    <x v="4"/>
    <n v="0"/>
    <n v="40000"/>
    <n v="40000"/>
    <n v="0"/>
  </r>
  <r>
    <n v="8"/>
    <x v="5"/>
    <n v="0"/>
    <n v="0"/>
    <n v="0"/>
    <n v="0"/>
  </r>
  <r>
    <n v="9"/>
    <x v="6"/>
    <n v="0"/>
    <n v="0"/>
    <n v="0"/>
    <n v="0"/>
  </r>
  <r>
    <n v="10"/>
    <x v="7"/>
    <n v="0"/>
    <n v="0"/>
    <n v="0"/>
    <n v="0"/>
  </r>
  <r>
    <n v="11"/>
    <x v="8"/>
    <n v="0"/>
    <n v="0"/>
    <n v="0"/>
    <n v="0"/>
  </r>
  <r>
    <n v="12"/>
    <x v="9"/>
    <n v="0"/>
    <n v="0"/>
    <n v="0"/>
    <n v="0"/>
  </r>
  <r>
    <n v="13"/>
    <x v="10"/>
    <n v="0"/>
    <n v="0"/>
    <n v="0"/>
    <n v="0"/>
  </r>
  <r>
    <n v="14"/>
    <x v="11"/>
    <n v="0"/>
    <n v="292000"/>
    <n v="0"/>
    <n v="292000"/>
  </r>
  <r>
    <n v="15"/>
    <x v="12"/>
    <n v="0"/>
    <n v="0"/>
    <n v="0"/>
    <n v="0"/>
  </r>
  <r>
    <n v="16"/>
    <x v="13"/>
    <n v="0"/>
    <n v="0"/>
    <n v="0"/>
    <n v="0"/>
  </r>
  <r>
    <n v="17"/>
    <x v="14"/>
    <n v="0"/>
    <n v="0"/>
    <n v="0"/>
    <n v="0"/>
  </r>
  <r>
    <n v="18"/>
    <x v="15"/>
    <n v="1560000"/>
    <n v="4540500"/>
    <n v="3978000"/>
    <n v="2122500"/>
  </r>
  <r>
    <n v="19"/>
    <x v="16"/>
    <n v="438000"/>
    <n v="522000"/>
    <n v="438000"/>
    <n v="522000"/>
  </r>
  <r>
    <n v="20"/>
    <x v="17"/>
    <n v="674325"/>
    <n v="636920"/>
    <n v="0"/>
    <n v="131124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pivotTable1.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5" minRefreshableVersion="5" useAutoFormatting="1" itemPrintTitles="1" createdVersion="6" indent="0" compact="0" compactData="0" multipleFieldFilters="0">
  <location ref="A3:E11" firstHeaderRow="0" firstDataRow="1" firstDataCol="3"/>
  <pivotFields count="9">
    <pivotField axis="axisRow" compact="0" outline="0" showAll="0" defaultSubtotal="0">
      <items count="125">
        <item x="0"/>
        <item m="1" x="68"/>
        <item m="1" x="108"/>
        <item m="1" x="52"/>
        <item m="1" x="92"/>
        <item m="1" x="36"/>
        <item m="1" x="78"/>
        <item m="1" x="118"/>
        <item m="1" x="63"/>
        <item m="1" x="104"/>
        <item m="1" x="47"/>
        <item m="1" x="88"/>
        <item m="1" x="32"/>
        <item m="1" x="74"/>
        <item m="1" x="114"/>
        <item m="1" x="59"/>
        <item m="1" x="100"/>
        <item m="1" x="44"/>
        <item m="1" x="85"/>
        <item m="1" x="29"/>
        <item m="1" x="71"/>
        <item m="1" x="111"/>
        <item m="1" x="55"/>
        <item m="1" x="95"/>
        <item m="1" x="39"/>
        <item m="1" x="80"/>
        <item m="1" x="121"/>
        <item m="1" x="66"/>
        <item m="1" x="107"/>
        <item m="1" x="51"/>
        <item m="1" x="58"/>
        <item m="1" x="99"/>
        <item m="1" x="43"/>
        <item m="1" x="84"/>
        <item m="1" x="124"/>
        <item m="1" x="70"/>
        <item m="1" x="110"/>
        <item m="1" x="54"/>
        <item m="1" x="94"/>
        <item m="1" x="38"/>
        <item m="1" x="79"/>
        <item m="1" x="120"/>
        <item m="1" x="65"/>
        <item m="1" x="106"/>
        <item m="1" x="50"/>
        <item m="1" x="91"/>
        <item m="1" x="35"/>
        <item m="1" x="77"/>
        <item m="1" x="117"/>
        <item m="1" x="62"/>
        <item m="1" x="103"/>
        <item m="1" x="46"/>
        <item m="1" x="87"/>
        <item m="1" x="31"/>
        <item m="1" x="73"/>
        <item m="1" x="113"/>
        <item m="1" x="57"/>
        <item m="1" x="97"/>
        <item m="1" x="41"/>
        <item m="1" x="82"/>
        <item m="1" x="48"/>
        <item m="1" x="89"/>
        <item m="1" x="33"/>
        <item m="1" x="75"/>
        <item m="1" x="115"/>
        <item m="1" x="60"/>
        <item m="1" x="101"/>
        <item m="1" x="98"/>
        <item m="1" x="42"/>
        <item m="1" x="83"/>
        <item m="1" x="123"/>
        <item m="1" x="69"/>
        <item m="1" x="109"/>
        <item m="1" x="53"/>
        <item m="1" x="93"/>
        <item m="1" x="37"/>
        <item m="1" x="119"/>
        <item m="1" x="64"/>
        <item m="1" x="105"/>
        <item m="1" x="49"/>
        <item m="1" x="90"/>
        <item m="1" x="34"/>
        <item m="1" x="76"/>
        <item m="1" x="116"/>
        <item m="1" x="61"/>
        <item m="1" x="102"/>
        <item m="1" x="45"/>
        <item m="1" x="86"/>
        <item m="1" x="30"/>
        <item m="1" x="72"/>
        <item m="1" x="112"/>
        <item m="1" x="56"/>
        <item m="1" x="96"/>
        <item m="1" x="40"/>
        <item m="1" x="81"/>
        <item m="1" x="122"/>
        <item m="1" x="67"/>
        <item x="1"/>
        <item x="2"/>
        <item x="3"/>
        <item x="4"/>
        <item x="5"/>
        <item x="6"/>
        <item x="7"/>
        <item x="8"/>
        <item x="9"/>
        <item x="10"/>
        <item x="11"/>
        <item x="12"/>
        <item x="13"/>
        <item x="14"/>
        <item x="15"/>
        <item x="16"/>
        <item x="17"/>
        <item x="18"/>
        <item x="19"/>
        <item x="20"/>
        <item x="21"/>
        <item x="22"/>
        <item x="23"/>
        <item x="24"/>
        <item x="25"/>
        <item x="26"/>
        <item x="27"/>
        <item x="28"/>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45">
        <item h="1" x="3"/>
        <item h="1" m="1" x="40"/>
        <item h="1" x="17"/>
        <item h="1" x="10"/>
        <item h="1" x="5"/>
        <item h="1" x="16"/>
        <item h="1" x="8"/>
        <item h="1" x="2"/>
        <item h="1" x="4"/>
        <item h="1" x="11"/>
        <item h="1" m="1" x="33"/>
        <item h="1" x="14"/>
        <item h="1" m="1" x="37"/>
        <item h="1" x="6"/>
        <item x="12"/>
        <item h="1" x="0"/>
        <item h="1" x="15"/>
        <item h="1" m="1" x="44"/>
        <item h="1" m="1" x="41"/>
        <item h="1" x="19"/>
        <item h="1" m="1" x="28"/>
        <item h="1" x="9"/>
        <item h="1" m="1" x="27"/>
        <item h="1" m="1" x="42"/>
        <item h="1" x="7"/>
        <item h="1" m="1" x="29"/>
        <item h="1" m="1" x="32"/>
        <item h="1" x="22"/>
        <item h="1" m="1" x="34"/>
        <item h="1" x="21"/>
        <item h="1" m="1" x="31"/>
        <item h="1" m="1" x="30"/>
        <item h="1" m="1" x="35"/>
        <item h="1" m="1" x="36"/>
        <item h="1" m="1" x="39"/>
        <item h="1" x="24"/>
        <item h="1" m="1" x="26"/>
        <item h="1" m="1" x="43"/>
        <item h="1" m="1" x="25"/>
        <item h="1" x="23"/>
        <item h="1" m="1" x="38"/>
        <item h="1" x="13"/>
        <item h="1" x="1"/>
        <item h="1" x="18"/>
        <item h="1" x="20"/>
      </items>
      <extLst>
        <ext xmlns:x14="http://schemas.microsoft.com/office/spreadsheetml/2009/9/main" uri="{2946ED86-A175-432a-8AC1-64E0C546D7DE}">
          <x14:pivotField fillDownLabels="1"/>
        </ext>
      </extLst>
    </pivotField>
    <pivotField axis="axisRow" compact="0" outline="0" showAll="0" defaultSubtotal="0">
      <items count="1163">
        <item x="0"/>
        <item m="1" x="824"/>
        <item m="1" x="814"/>
        <item m="1" x="492"/>
        <item m="1" x="937"/>
        <item m="1" x="414"/>
        <item m="1" x="230"/>
        <item m="1" x="902"/>
        <item m="1" x="296"/>
        <item m="1" x="594"/>
        <item m="1" x="953"/>
        <item m="1" x="637"/>
        <item m="1" x="271"/>
        <item m="1" x="971"/>
        <item m="1" x="753"/>
        <item m="1" x="486"/>
        <item m="1" x="462"/>
        <item m="1" x="1123"/>
        <item m="1" x="221"/>
        <item m="1" x="926"/>
        <item m="1" x="873"/>
        <item m="1" x="700"/>
        <item m="1" x="751"/>
        <item m="1" x="1127"/>
        <item m="1" x="889"/>
        <item m="1" x="1135"/>
        <item m="1" x="638"/>
        <item m="1" x="474"/>
        <item m="1" x="393"/>
        <item m="1" x="884"/>
        <item m="1" x="875"/>
        <item m="1" x="773"/>
        <item m="1" x="604"/>
        <item m="1" x="845"/>
        <item m="1" x="432"/>
        <item m="1" x="480"/>
        <item m="1" x="624"/>
        <item m="1" x="494"/>
        <item m="1" x="1101"/>
        <item m="1" x="960"/>
        <item m="1" x="975"/>
        <item m="1" x="619"/>
        <item m="1" x="375"/>
        <item m="1" x="1125"/>
        <item m="1" x="466"/>
        <item m="1" x="1080"/>
        <item m="1" x="868"/>
        <item m="1" x="1107"/>
        <item m="1" x="353"/>
        <item m="1" x="602"/>
        <item m="1" x="350"/>
        <item m="1" x="208"/>
        <item m="1" x="1051"/>
        <item m="1" x="743"/>
        <item m="1" x="477"/>
        <item m="1" x="636"/>
        <item m="1" x="1022"/>
        <item m="1" x="190"/>
        <item m="1" x="1027"/>
        <item m="1" x="983"/>
        <item m="1" x="620"/>
        <item m="1" x="1126"/>
        <item m="1" x="883"/>
        <item m="1" x="481"/>
        <item m="1" x="571"/>
        <item m="1" x="809"/>
        <item m="1" x="1102"/>
        <item m="1" x="211"/>
        <item m="1" x="544"/>
        <item m="1" x="390"/>
        <item m="1" x="967"/>
        <item m="1" x="537"/>
        <item m="1" x="344"/>
        <item m="1" x="1034"/>
        <item m="1" x="746"/>
        <item m="1" x="1070"/>
        <item m="1" x="539"/>
        <item m="1" x="282"/>
        <item m="1" x="626"/>
        <item m="1" x="250"/>
        <item m="1" x="829"/>
        <item m="1" x="446"/>
        <item m="1" x="1018"/>
        <item m="1" x="251"/>
        <item m="1" x="707"/>
        <item m="1" x="519"/>
        <item m="1" x="858"/>
        <item m="1" x="696"/>
        <item m="1" x="340"/>
        <item m="1" x="701"/>
        <item m="1" x="325"/>
        <item m="1" x="234"/>
        <item m="1" x="837"/>
        <item m="1" x="1002"/>
        <item m="1" x="1104"/>
        <item m="1" x="472"/>
        <item m="1" x="661"/>
        <item m="1" x="1048"/>
        <item m="1" x="985"/>
        <item m="1" x="993"/>
        <item m="1" x="252"/>
        <item m="1" x="283"/>
        <item m="1" x="281"/>
        <item m="1" x="423"/>
        <item m="1" x="420"/>
        <item m="1" x="611"/>
        <item m="1" x="768"/>
        <item m="1" x="831"/>
        <item m="1" x="528"/>
        <item m="1" x="841"/>
        <item m="1" x="258"/>
        <item m="1" x="438"/>
        <item m="1" x="915"/>
        <item m="1" x="322"/>
        <item m="1" x="367"/>
        <item m="1" x="408"/>
        <item m="1" x="358"/>
        <item m="1" x="1097"/>
        <item m="1" x="923"/>
        <item m="1" x="854"/>
        <item m="1" x="610"/>
        <item m="1" x="275"/>
        <item m="1" x="441"/>
        <item m="1" x="931"/>
        <item m="1" x="713"/>
        <item m="1" x="998"/>
        <item m="1" x="844"/>
        <item m="1" x="1114"/>
        <item m="1" x="232"/>
        <item m="1" x="737"/>
        <item m="1" x="673"/>
        <item m="1" x="898"/>
        <item m="1" x="559"/>
        <item m="1" x="552"/>
        <item m="1" x="356"/>
        <item m="1" x="633"/>
        <item m="1" x="214"/>
        <item m="1" x="355"/>
        <item m="1" x="706"/>
        <item m="1" x="828"/>
        <item m="1" x="444"/>
        <item m="1" x="191"/>
        <item m="1" x="1136"/>
        <item m="1" x="457"/>
        <item m="1" x="667"/>
        <item m="1" x="699"/>
        <item m="1" x="374"/>
        <item m="1" x="272"/>
        <item m="1" x="801"/>
        <item m="1" x="288"/>
        <item m="1" x="287"/>
        <item m="1" x="1035"/>
        <item m="1" x="705"/>
        <item m="1" x="1151"/>
        <item m="1" x="987"/>
        <item m="1" x="456"/>
        <item m="1" x="618"/>
        <item m="1" x="254"/>
        <item m="1" x="1031"/>
        <item m="1" x="748"/>
        <item m="1" x="231"/>
        <item m="1" x="764"/>
        <item m="1" x="956"/>
        <item m="1" x="888"/>
        <item m="1" x="475"/>
        <item m="1" x="545"/>
        <item m="1" x="796"/>
        <item m="1" x="194"/>
        <item m="1" x="401"/>
        <item m="1" x="827"/>
        <item m="1" x="212"/>
        <item m="1" x="411"/>
        <item m="1" x="243"/>
        <item m="1" x="694"/>
        <item m="1" x="324"/>
        <item m="1" x="439"/>
        <item m="1" x="659"/>
        <item m="1" x="574"/>
        <item m="1" x="578"/>
        <item m="1" x="708"/>
        <item m="1" x="469"/>
        <item m="1" x="1103"/>
        <item m="1" x="342"/>
        <item m="1" x="588"/>
        <item m="1" x="704"/>
        <item m="1" x="795"/>
        <item m="1" x="248"/>
        <item m="1" x="635"/>
        <item m="1" x="418"/>
        <item m="1" x="329"/>
        <item m="1" x="777"/>
        <item m="1" x="309"/>
        <item m="1" x="947"/>
        <item m="1" x="1069"/>
        <item m="1" x="276"/>
        <item m="1" x="600"/>
        <item m="1" x="907"/>
        <item m="1" x="435"/>
        <item m="1" x="779"/>
        <item m="1" x="979"/>
        <item m="1" x="679"/>
        <item m="1" x="553"/>
        <item m="1" x="197"/>
        <item m="1" x="938"/>
        <item m="1" x="319"/>
        <item m="1" x="912"/>
        <item m="1" x="1006"/>
        <item m="1" x="236"/>
        <item m="1" x="1116"/>
        <item m="1" x="818"/>
        <item m="1" x="686"/>
        <item m="1" x="406"/>
        <item m="1" x="1086"/>
        <item m="1" x="219"/>
        <item m="1" x="1085"/>
        <item m="1" x="859"/>
        <item m="1" x="1024"/>
        <item m="1" x="399"/>
        <item m="1" x="590"/>
        <item m="1" x="986"/>
        <item m="1" x="758"/>
        <item m="1" x="565"/>
        <item m="1" x="508"/>
        <item m="1" x="961"/>
        <item m="1" x="683"/>
        <item m="1" x="1156"/>
        <item m="1" x="496"/>
        <item m="1" x="531"/>
        <item m="1" x="429"/>
        <item m="1" x="654"/>
        <item m="1" x="650"/>
        <item m="1" x="731"/>
        <item m="1" x="621"/>
        <item m="1" x="1100"/>
        <item m="1" x="1117"/>
        <item m="1" x="693"/>
        <item m="1" x="660"/>
        <item m="1" x="402"/>
        <item m="1" x="524"/>
        <item m="1" x="598"/>
        <item m="1" x="348"/>
        <item m="1" x="447"/>
        <item m="1" x="834"/>
        <item m="1" x="471"/>
        <item m="1" x="756"/>
        <item m="1" x="627"/>
        <item m="1" x="421"/>
        <item m="1" x="608"/>
        <item m="1" x="285"/>
        <item m="1" x="675"/>
        <item m="1" x="1095"/>
        <item m="1" x="647"/>
        <item m="1" x="436"/>
        <item m="1" x="270"/>
        <item m="1" x="688"/>
        <item m="1" x="747"/>
        <item m="1" x="256"/>
        <item m="1" x="895"/>
        <item m="1" x="425"/>
        <item m="1" x="357"/>
        <item m="1" x="905"/>
        <item m="1" x="601"/>
        <item m="1" x="1015"/>
        <item m="1" x="277"/>
        <item m="1" x="308"/>
        <item m="1" x="1038"/>
        <item m="1" x="964"/>
        <item m="1" x="663"/>
        <item m="1" x="615"/>
        <item m="1" x="560"/>
        <item m="1" x="729"/>
        <item m="1" x="584"/>
        <item m="1" x="687"/>
        <item m="1" x="1120"/>
        <item m="1" x="229"/>
        <item m="1" x="554"/>
        <item m="1" x="992"/>
        <item m="1" x="603"/>
        <item m="1" x="720"/>
        <item m="1" x="826"/>
        <item m="1" x="255"/>
        <item m="1" x="957"/>
        <item m="1" x="266"/>
        <item m="1" x="1068"/>
        <item m="1" x="273"/>
        <item m="1" x="239"/>
        <item m="1" x="395"/>
        <item m="1" x="577"/>
        <item m="1" x="996"/>
        <item m="1" x="718"/>
        <item m="1" x="587"/>
        <item m="1" x="1019"/>
        <item m="1" x="1010"/>
        <item m="1" x="484"/>
        <item m="1" x="453"/>
        <item m="1" x="1011"/>
        <item m="1" x="670"/>
        <item m="1" x="502"/>
        <item m="1" x="1089"/>
        <item m="1" x="609"/>
        <item m="1" x="267"/>
        <item m="1" x="934"/>
        <item m="1" x="973"/>
        <item m="1" x="866"/>
        <item m="1" x="1148"/>
        <item m="1" x="911"/>
        <item m="1" x="419"/>
        <item m="1" x="744"/>
        <item m="1" x="426"/>
        <item m="1" x="933"/>
        <item m="1" x="596"/>
        <item m="1" x="946"/>
        <item m="1" x="1039"/>
        <item m="1" x="489"/>
        <item m="1" x="920"/>
        <item m="1" x="382"/>
        <item m="1" x="805"/>
        <item m="1" x="962"/>
        <item m="1" x="404"/>
        <item m="1" x="424"/>
        <item m="1" x="253"/>
        <item m="1" x="614"/>
        <item m="1" x="242"/>
        <item m="1" x="518"/>
        <item m="1" x="517"/>
        <item m="1" x="800"/>
        <item m="1" x="909"/>
        <item m="1" x="896"/>
        <item m="1" x="945"/>
        <item m="1" x="384"/>
        <item m="1" x="1119"/>
        <item m="1" x="301"/>
        <item m="1" x="563"/>
        <item m="1" x="740"/>
        <item m="1" x="794"/>
        <item m="1" x="853"/>
        <item m="1" x="1157"/>
        <item m="1" x="1081"/>
        <item m="1" x="643"/>
        <item m="1" x="785"/>
        <item m="1" x="613"/>
        <item m="1" x="1033"/>
        <item m="1" x="422"/>
        <item m="1" x="274"/>
        <item m="1" x="921"/>
        <item m="1" x="821"/>
        <item m="1" x="464"/>
        <item m="1" x="1021"/>
        <item m="1" x="950"/>
        <item m="1" x="378"/>
        <item m="1" x="536"/>
        <item m="1" x="1004"/>
        <item m="1" x="1046"/>
        <item m="1" x="815"/>
        <item m="1" x="482"/>
        <item m="1" x="575"/>
        <item m="1" x="569"/>
        <item m="1" x="607"/>
        <item m="1" x="664"/>
        <item m="1" x="222"/>
        <item m="1" x="658"/>
        <item m="1" x="692"/>
        <item m="1" x="1017"/>
        <item m="1" x="695"/>
        <item m="1" x="284"/>
        <item m="1" x="557"/>
        <item m="1" x="244"/>
        <item m="1" x="612"/>
        <item m="1" x="387"/>
        <item m="1" x="1008"/>
        <item m="1" x="728"/>
        <item m="1" x="568"/>
        <item m="1" x="364"/>
        <item m="1" x="501"/>
        <item m="1" x="592"/>
        <item m="1" x="1041"/>
        <item m="1" x="564"/>
        <item m="1" x="759"/>
        <item m="1" x="490"/>
        <item m="1" x="1134"/>
        <item m="1" x="807"/>
        <item m="1" x="1091"/>
        <item m="1" x="235"/>
        <item m="1" x="717"/>
        <item m="1" x="507"/>
        <item m="1" x="680"/>
        <item m="1" x="580"/>
        <item m="1" x="268"/>
        <item m="1" x="302"/>
        <item m="1" x="1042"/>
        <item m="1" x="1109"/>
        <item m="1" x="871"/>
        <item m="1" x="386"/>
        <item m="1" x="648"/>
        <item m="1" x="925"/>
        <item m="1" x="538"/>
        <item m="1" x="1032"/>
        <item m="1" x="377"/>
        <item m="1" x="981"/>
        <item m="1" x="622"/>
        <item m="1" x="1007"/>
        <item m="1" x="968"/>
        <item m="1" x="823"/>
        <item m="1" x="1005"/>
        <item m="1" x="509"/>
        <item m="1" x="359"/>
        <item m="1" x="396"/>
        <item m="1" x="265"/>
        <item m="1" x="1030"/>
        <item m="1" x="269"/>
        <item m="1" x="257"/>
        <item m="1" x="579"/>
        <item m="1" x="1160"/>
        <item m="1" x="709"/>
        <item m="1" x="734"/>
        <item m="1" x="631"/>
        <item m="1" x="388"/>
        <item m="1" x="662"/>
        <item m="1" x="576"/>
        <item m="1" x="860"/>
        <item m="1" x="703"/>
        <item m="1" x="412"/>
        <item m="1" x="351"/>
        <item m="1" x="506"/>
        <item m="1" x="249"/>
        <item m="1" x="634"/>
        <item m="1" x="838"/>
        <item m="1" x="804"/>
        <item m="1" x="337"/>
        <item m="1" x="1025"/>
        <item m="1" x="735"/>
        <item m="1" x="286"/>
        <item m="1" x="1115"/>
        <item m="1" x="665"/>
        <item m="1" x="929"/>
        <item m="1" x="904"/>
        <item m="1" x="988"/>
        <item m="1" x="1066"/>
        <item m="1" x="311"/>
        <item m="1" x="314"/>
        <item m="1" x="1000"/>
        <item m="1" x="345"/>
        <item m="1" x="199"/>
        <item m="1" x="189"/>
        <item m="1" x="204"/>
        <item m="1" x="347"/>
        <item m="1" x="897"/>
        <item m="1" x="310"/>
        <item m="1" x="702"/>
        <item m="1" x="742"/>
        <item m="1" x="963"/>
        <item m="1" x="783"/>
        <item m="1" x="305"/>
        <item m="1" x="451"/>
        <item m="1" x="835"/>
        <item x="187"/>
        <item m="1" x="1152"/>
        <item m="1" x="725"/>
        <item m="1" x="778"/>
        <item m="1" x="760"/>
        <item m="1" x="1001"/>
        <item m="1" x="458"/>
        <item m="1" x="1056"/>
        <item m="1" x="280"/>
        <item m="1" x="431"/>
        <item m="1" x="336"/>
        <item m="1" x="919"/>
        <item m="1" x="935"/>
        <item m="1" x="995"/>
        <item m="1" x="385"/>
        <item m="1" x="870"/>
        <item m="1" x="990"/>
        <item m="1" x="551"/>
        <item m="1" x="762"/>
        <item m="1" x="476"/>
        <item m="1" x="832"/>
        <item m="1" x="188"/>
        <item m="1" x="865"/>
        <item m="1" x="495"/>
        <item m="1" x="228"/>
        <item m="1" x="1132"/>
        <item m="1" x="1058"/>
        <item m="1" x="991"/>
        <item m="1" x="1050"/>
        <item m="1" x="207"/>
        <item x="141"/>
        <item m="1" x="279"/>
        <item x="76"/>
        <item m="1" x="672"/>
        <item m="1" x="209"/>
        <item m="1" x="343"/>
        <item m="1" x="312"/>
        <item m="1" x="320"/>
        <item m="1" x="1057"/>
        <item m="1" x="403"/>
        <item m="1" x="899"/>
        <item x="35"/>
        <item m="1" x="922"/>
        <item m="1" x="330"/>
        <item m="1" x="917"/>
        <item m="1" x="754"/>
        <item m="1" x="450"/>
        <item m="1" x="291"/>
        <item m="1" x="570"/>
        <item m="1" x="440"/>
        <item m="1" x="562"/>
        <item x="84"/>
        <item m="1" x="334"/>
        <item m="1" x="1074"/>
        <item m="1" x="1113"/>
        <item m="1" x="303"/>
        <item m="1" x="1073"/>
        <item m="1" x="1158"/>
        <item m="1" x="1088"/>
        <item m="1" x="820"/>
        <item m="1" x="468"/>
        <item m="1" x="793"/>
        <item m="1" x="548"/>
        <item m="1" x="383"/>
        <item m="1" x="825"/>
        <item m="1" x="217"/>
        <item m="1" x="389"/>
        <item m="1" x="776"/>
        <item m="1" x="245"/>
        <item x="33"/>
        <item m="1" x="851"/>
        <item m="1" x="628"/>
        <item m="1" x="547"/>
        <item m="1" x="914"/>
        <item m="1" x="855"/>
        <item m="1" x="966"/>
        <item m="1" x="405"/>
        <item m="1" x="366"/>
        <item m="1" x="473"/>
        <item m="1" x="767"/>
        <item m="1" x="512"/>
        <item m="1" x="674"/>
        <item m="1" x="210"/>
        <item m="1" x="526"/>
        <item m="1" x="1077"/>
        <item m="1" x="362"/>
        <item m="1" x="397"/>
        <item m="1" x="974"/>
        <item m="1" x="1012"/>
        <item m="1" x="856"/>
        <item m="1" x="1118"/>
        <item m="1" x="372"/>
        <item m="1" x="371"/>
        <item m="1" x="522"/>
        <item m="1" x="652"/>
        <item m="1" x="1154"/>
        <item m="1" x="668"/>
        <item m="1" x="641"/>
        <item m="1" x="328"/>
        <item m="1" x="625"/>
        <item m="1" x="470"/>
        <item m="1" x="292"/>
        <item m="1" x="443"/>
        <item m="1" x="749"/>
        <item m="1" x="848"/>
        <item m="1" x="392"/>
        <item m="1" x="644"/>
        <item m="1" x="653"/>
        <item m="1" x="877"/>
        <item m="1" x="1124"/>
        <item m="1" x="839"/>
        <item m="1" x="1147"/>
        <item m="1" x="1065"/>
        <item m="1" x="913"/>
        <item m="1" x="840"/>
        <item m="1" x="799"/>
        <item m="1" x="259"/>
        <item m="1" x="315"/>
        <item m="1" x="684"/>
        <item m="1" x="1146"/>
        <item m="1" x="887"/>
        <item m="1" x="200"/>
        <item m="1" x="1064"/>
        <item m="1" x="561"/>
        <item m="1" x="1141"/>
        <item m="1" x="1083"/>
        <item m="1" x="811"/>
        <item m="1" x="360"/>
        <item m="1" x="1143"/>
        <item m="1" x="368"/>
        <item m="1" x="878"/>
        <item m="1" x="970"/>
        <item m="1" x="224"/>
        <item m="1" x="409"/>
        <item m="1" x="690"/>
        <item m="1" x="999"/>
        <item m="1" x="363"/>
        <item m="1" x="656"/>
        <item m="1" x="969"/>
        <item m="1" x="304"/>
        <item m="1" x="784"/>
        <item m="1" x="1106"/>
        <item m="1" x="290"/>
        <item m="1" x="525"/>
        <item m="1" x="727"/>
        <item m="1" x="677"/>
        <item m="1" x="1145"/>
        <item m="1" x="861"/>
        <item m="1" x="192"/>
        <item m="1" x="262"/>
        <item m="1" x="763"/>
        <item m="1" x="1045"/>
        <item m="1" x="546"/>
        <item m="1" x="352"/>
        <item m="1" x="550"/>
        <item m="1" x="455"/>
        <item m="1" x="1052"/>
        <item m="1" x="263"/>
        <item m="1" x="965"/>
        <item m="1" x="830"/>
        <item m="1" x="413"/>
        <item m="1" x="949"/>
        <item m="1" x="982"/>
        <item m="1" x="944"/>
        <item m="1" x="465"/>
        <item m="1" x="872"/>
        <item m="1" x="1078"/>
        <item m="1" x="817"/>
        <item m="1" x="918"/>
        <item m="1" x="193"/>
        <item m="1" x="916"/>
        <item m="1" x="428"/>
        <item m="1" x="541"/>
        <item m="1" x="741"/>
        <item m="1" x="606"/>
        <item m="1" x="943"/>
        <item m="1" x="629"/>
        <item m="1" x="1053"/>
        <item m="1" x="581"/>
        <item m="1" x="1090"/>
        <item m="1" x="226"/>
        <item m="1" x="1047"/>
        <item m="1" x="454"/>
        <item m="1" x="847"/>
        <item m="1" x="781"/>
        <item m="1" x="1092"/>
        <item m="1" x="1054"/>
        <item m="1" x="685"/>
        <item m="1" x="755"/>
        <item m="1" x="380"/>
        <item m="1" x="365"/>
        <item m="1" x="381"/>
        <item m="1" x="770"/>
        <item m="1" x="1040"/>
        <item m="1" x="894"/>
        <item m="1" x="951"/>
        <item m="1" x="948"/>
        <item m="1" x="910"/>
        <item m="1" x="850"/>
        <item m="1" x="1149"/>
        <item m="1" x="786"/>
        <item m="1" x="316"/>
        <item m="1" x="341"/>
        <item m="1" x="261"/>
        <item m="1" x="1028"/>
        <item m="1" x="724"/>
        <item m="1" x="775"/>
        <item m="1" x="299"/>
        <item m="1" x="1060"/>
        <item m="1" x="1099"/>
        <item m="1" x="196"/>
        <item m="1" x="220"/>
        <item m="1" x="1144"/>
        <item m="1" x="1093"/>
        <item m="1" x="782"/>
        <item m="1" x="555"/>
        <item m="1" x="882"/>
        <item m="1" x="376"/>
        <item m="1" x="1049"/>
        <item m="1" x="681"/>
        <item m="1" x="369"/>
        <item m="1" x="264"/>
        <item m="1" x="335"/>
        <item m="1" x="732"/>
        <item m="1" x="354"/>
        <item m="1" x="630"/>
        <item m="1" x="463"/>
        <item m="1" x="822"/>
        <item m="1" x="467"/>
        <item m="1" x="1020"/>
        <item m="1" x="1043"/>
        <item m="1" x="710"/>
        <item m="1" x="646"/>
        <item m="1" x="593"/>
        <item m="1" x="774"/>
        <item m="1" x="1108"/>
        <item m="1" x="339"/>
        <item m="1" x="689"/>
        <item m="1" x="765"/>
        <item m="1" x="864"/>
        <item m="1" x="523"/>
        <item m="1" x="567"/>
        <item m="1" x="833"/>
        <item m="1" x="445"/>
        <item m="1" x="682"/>
        <item m="1" x="712"/>
        <item m="1" x="289"/>
        <item m="1" x="976"/>
        <item m="1" x="890"/>
        <item m="1" x="819"/>
        <item m="1" x="216"/>
        <item m="1" x="591"/>
        <item m="1" x="529"/>
        <item m="1" x="678"/>
        <item m="1" x="730"/>
        <item m="1" x="849"/>
        <item m="1" x="415"/>
        <item m="1" x="201"/>
        <item m="1" x="535"/>
        <item m="1" x="582"/>
        <item m="1" x="532"/>
        <item m="1" x="407"/>
        <item m="1" x="434"/>
        <item m="1" x="1096"/>
        <item m="1" x="313"/>
        <item m="1" x="1084"/>
        <item m="1" x="599"/>
        <item m="1" x="1111"/>
        <item m="1" x="924"/>
        <item m="1" x="1130"/>
        <item m="1" x="449"/>
        <item m="1" x="857"/>
        <item m="1" x="540"/>
        <item m="1" x="583"/>
        <item m="1" x="958"/>
        <item m="1" x="300"/>
        <item m="1" x="549"/>
        <item m="1" x="908"/>
        <item m="1" x="485"/>
        <item m="1" x="433"/>
        <item m="1" x="1110"/>
        <item m="1" x="318"/>
        <item m="1" x="1003"/>
        <item m="1" x="932"/>
        <item m="1" x="791"/>
        <item m="1" x="533"/>
        <item m="1" x="623"/>
        <item m="1" x="1140"/>
        <item m="1" x="295"/>
        <item m="1" x="327"/>
        <item m="1" x="941"/>
        <item m="1" x="205"/>
        <item m="1" x="812"/>
        <item m="1" x="715"/>
        <item m="1" x="803"/>
        <item m="1" x="349"/>
        <item m="1" x="1112"/>
        <item m="1" x="543"/>
        <item m="1" x="761"/>
        <item m="1" x="497"/>
        <item m="1" x="1063"/>
        <item m="1" x="585"/>
        <item m="1" x="1155"/>
        <item m="1" x="955"/>
        <item m="1" x="901"/>
        <item m="1" x="843"/>
        <item m="1" x="1159"/>
        <item m="1" x="1142"/>
        <item m="1" x="595"/>
        <item m="1" x="504"/>
        <item m="1" x="1062"/>
        <item m="1" x="769"/>
        <item m="1" x="398"/>
        <item m="1" x="505"/>
        <item m="1" x="1087"/>
        <item m="1" x="651"/>
        <item m="1" x="892"/>
        <item m="1" x="1061"/>
        <item m="1" x="719"/>
        <item m="1" x="597"/>
        <item m="1" x="260"/>
        <item m="1" x="642"/>
        <item m="1" x="566"/>
        <item m="1" x="373"/>
        <item m="1" x="1071"/>
        <item m="1" x="237"/>
        <item m="1" x="240"/>
        <item m="1" x="772"/>
        <item m="1" x="836"/>
        <item m="1" x="534"/>
        <item m="1" x="503"/>
        <item m="1" x="645"/>
        <item m="1" x="978"/>
        <item m="1" x="394"/>
        <item m="1" x="488"/>
        <item m="1" x="900"/>
        <item m="1" x="530"/>
        <item m="1" x="321"/>
        <item m="1" x="994"/>
        <item m="1" x="203"/>
        <item m="1" x="586"/>
        <item m="1" x="278"/>
        <item m="1" x="942"/>
        <item m="1" x="1075"/>
        <item m="1" x="1044"/>
        <item m="1" x="1082"/>
        <item m="1" x="416"/>
        <item m="1" x="479"/>
        <item m="1" x="666"/>
        <item m="1" x="862"/>
        <item m="1" x="676"/>
        <item m="1" x="789"/>
        <item m="1" x="478"/>
        <item m="1" x="218"/>
        <item m="1" x="1076"/>
        <item m="1" x="792"/>
        <item m="1" x="879"/>
        <item m="1" x="780"/>
        <item m="1" x="1131"/>
        <item m="1" x="459"/>
        <item m="1" x="736"/>
        <item m="1" x="669"/>
        <item m="1" x="427"/>
        <item m="1" x="223"/>
        <item m="1" x="499"/>
        <item m="1" x="733"/>
        <item m="1" x="972"/>
        <item m="1" x="893"/>
        <item m="1" x="297"/>
        <item m="1" x="936"/>
        <item m="1" x="867"/>
        <item m="1" x="213"/>
        <item m="1" x="671"/>
        <item m="1" x="572"/>
        <item m="1" x="1162"/>
        <item m="1" x="1079"/>
        <item m="1" x="493"/>
        <item m="1" x="515"/>
        <item m="1" x="1129"/>
        <item m="1" x="483"/>
        <item m="1" x="332"/>
        <item m="1" x="442"/>
        <item m="1" x="298"/>
        <item m="1" x="1139"/>
        <item m="1" x="852"/>
        <item m="1" x="930"/>
        <item x="81"/>
        <item x="80"/>
        <item m="1" x="498"/>
        <item x="79"/>
        <item m="1" x="771"/>
        <item m="1" x="511"/>
        <item m="1" x="788"/>
        <item m="1" x="655"/>
        <item m="1" x="787"/>
        <item m="1" x="331"/>
        <item m="1" x="750"/>
        <item m="1" x="1153"/>
        <item m="1" x="1016"/>
        <item m="1" x="487"/>
        <item m="1" x="657"/>
        <item m="1" x="573"/>
        <item m="1" x="808"/>
        <item m="1" x="238"/>
        <item m="1" x="293"/>
        <item m="1" x="391"/>
        <item m="1" x="977"/>
        <item m="1" x="745"/>
        <item m="1" x="691"/>
        <item m="1" x="461"/>
        <item m="1" x="307"/>
        <item m="1" x="726"/>
        <item m="1" x="711"/>
        <item m="1" x="516"/>
        <item m="1" x="1059"/>
        <item m="1" x="1013"/>
        <item m="1" x="954"/>
        <item m="1" x="639"/>
        <item m="1" x="1023"/>
        <item m="1" x="797"/>
        <item m="1" x="400"/>
        <item m="1" x="206"/>
        <item m="1" x="806"/>
        <item m="1" x="1055"/>
        <item m="1" x="1009"/>
        <item m="1" x="880"/>
        <item m="1" x="558"/>
        <item m="1" x="225"/>
        <item m="1" x="1037"/>
        <item m="1" x="952"/>
        <item m="1" x="452"/>
        <item m="1" x="757"/>
        <item x="36"/>
        <item m="1" x="1036"/>
        <item m="1" x="1121"/>
        <item m="1" x="766"/>
        <item m="1" x="1128"/>
        <item m="1" x="460"/>
        <item m="1" x="247"/>
        <item m="1" x="1122"/>
        <item m="1" x="294"/>
        <item m="1" x="891"/>
        <item m="1" x="980"/>
        <item m="1" x="514"/>
        <item m="1" x="1105"/>
        <item m="1" x="417"/>
        <item m="1" x="869"/>
        <item m="1" x="790"/>
        <item m="1" x="338"/>
        <item m="1" x="632"/>
        <item m="1" x="500"/>
        <item m="1" x="1029"/>
        <item m="1" x="906"/>
        <item m="1" x="410"/>
        <item m="1" x="361"/>
        <item m="1" x="1137"/>
        <item m="1" x="1150"/>
        <item m="1" x="959"/>
        <item m="1" x="227"/>
        <item m="1" x="346"/>
        <item m="1" x="798"/>
        <item m="1" x="876"/>
        <item m="1" x="510"/>
        <item m="1" x="903"/>
        <item m="1" x="198"/>
        <item m="1" x="1094"/>
        <item m="1" x="698"/>
        <item m="1" x="984"/>
        <item m="1" x="202"/>
        <item m="1" x="542"/>
        <item m="1" x="874"/>
        <item m="1" x="816"/>
        <item m="1" x="617"/>
        <item m="1" x="430"/>
        <item m="1" x="589"/>
        <item m="1" x="697"/>
        <item m="1" x="437"/>
        <item m="1" x="846"/>
        <item m="1" x="752"/>
        <item m="1" x="527"/>
        <item m="1" x="317"/>
        <item m="1" x="842"/>
        <item m="1" x="521"/>
        <item m="1" x="739"/>
        <item m="1" x="333"/>
        <item m="1" x="885"/>
        <item m="1" x="1161"/>
        <item m="1" x="1133"/>
        <item m="1" x="738"/>
        <item m="1" x="605"/>
        <item m="1" x="723"/>
        <item m="1" x="306"/>
        <item m="1" x="215"/>
        <item m="1" x="1026"/>
        <item m="1" x="513"/>
        <item m="1" x="939"/>
        <item m="1" x="1072"/>
        <item m="1" x="927"/>
        <item m="1" x="810"/>
        <item m="1" x="649"/>
        <item m="1" x="813"/>
        <item m="1" x="233"/>
        <item m="1" x="491"/>
        <item m="1" x="886"/>
        <item m="1" x="863"/>
        <item m="1" x="520"/>
        <item m="1" x="721"/>
        <item m="1" x="1138"/>
        <item m="1" x="881"/>
        <item m="1" x="1067"/>
        <item m="1" x="370"/>
        <item m="1" x="640"/>
        <item m="1" x="989"/>
        <item m="1" x="323"/>
        <item m="1" x="326"/>
        <item m="1" x="940"/>
        <item m="1" x="195"/>
        <item m="1" x="556"/>
        <item m="1" x="928"/>
        <item m="1" x="722"/>
        <item m="1" x="246"/>
        <item m="1" x="716"/>
        <item m="1" x="1014"/>
        <item m="1" x="448"/>
        <item m="1" x="997"/>
        <item m="1" x="379"/>
        <item m="1" x="714"/>
        <item m="1" x="616"/>
        <item m="1" x="241"/>
        <item m="1" x="1098"/>
        <item m="1" x="802"/>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4"/>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7"/>
        <item x="78"/>
        <item x="82"/>
        <item x="83"/>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numFmtId="181" outline="0" showAll="0" defaultSubtotal="0">
      <extLst>
        <ext xmlns:x14="http://schemas.microsoft.com/office/spreadsheetml/2009/9/main" uri="{2946ED86-A175-432a-8AC1-64E0C546D7DE}">
          <x14:pivotField fillDownLabels="1"/>
        </ext>
      </extLst>
    </pivotField>
  </pivotFields>
  <rowFields count="3">
    <field x="0"/>
    <field x="2"/>
    <field x="3"/>
  </rowFields>
  <rowItems count="8">
    <i>
      <x v="98"/>
      <x v="14"/>
      <x v="1000"/>
    </i>
    <i>
      <x v="112"/>
      <x v="14"/>
      <x v="1088"/>
    </i>
    <i>
      <x v="114"/>
      <x v="14"/>
      <x v="1094"/>
    </i>
    <i r="2">
      <x v="1095"/>
    </i>
    <i>
      <x v="116"/>
      <x v="14"/>
      <x v="1000"/>
    </i>
    <i r="2">
      <x v="1110"/>
    </i>
    <i>
      <x v="124"/>
      <x v="14"/>
      <x v="1088"/>
    </i>
    <i t="grand">
      <x/>
    </i>
  </rowItems>
  <colFields count="1">
    <field x="-2"/>
  </colFields>
  <colItems count="2">
    <i>
      <x/>
    </i>
    <i i="1">
      <x v="1"/>
    </i>
  </colItems>
  <dataFields count="2">
    <dataField name="Sum of Debit" fld="6" baseField="3" baseItem="2"/>
    <dataField name="Sum of Credit" fld="7" baseField="3" baseItem="22"/>
  </dataFields>
  <formats count="27">
    <format dxfId="993">
      <pivotArea outline="0" collapsedLevelsAreSubtotals="1" fieldPosition="0"/>
    </format>
    <format dxfId="992">
      <pivotArea dataOnly="0" labelOnly="1" outline="0" fieldPosition="0">
        <references count="1">
          <reference field="4294967294" count="2">
            <x v="0"/>
            <x v="1"/>
          </reference>
        </references>
      </pivotArea>
    </format>
    <format dxfId="991">
      <pivotArea outline="0" collapsedLevelsAreSubtotals="1" fieldPosition="0"/>
    </format>
    <format dxfId="990">
      <pivotArea dataOnly="0" labelOnly="1" outline="0" fieldPosition="0">
        <references count="1">
          <reference field="4294967294" count="2">
            <x v="0"/>
            <x v="1"/>
          </reference>
        </references>
      </pivotArea>
    </format>
    <format dxfId="989">
      <pivotArea type="all" dataOnly="0" outline="0" fieldPosition="0"/>
    </format>
    <format dxfId="988">
      <pivotArea field="0" type="button" dataOnly="0" labelOnly="1" outline="0" axis="axisRow" fieldPosition="0"/>
    </format>
    <format dxfId="987">
      <pivotArea dataOnly="0" labelOnly="1" fieldPosition="0">
        <references count="1">
          <reference field="0" count="0"/>
        </references>
      </pivotArea>
    </format>
    <format dxfId="986">
      <pivotArea dataOnly="0" labelOnly="1" fieldPosition="0">
        <references count="2">
          <reference field="0" count="1" selected="0">
            <x v="0"/>
          </reference>
          <reference field="2" count="1">
            <x v="15"/>
          </reference>
        </references>
      </pivotArea>
    </format>
    <format dxfId="985">
      <pivotArea dataOnly="0" labelOnly="1" outline="0" fieldPosition="0">
        <references count="1">
          <reference field="4294967294" count="2">
            <x v="0"/>
            <x v="1"/>
          </reference>
        </references>
      </pivotArea>
    </format>
    <format dxfId="984">
      <pivotArea dataOnly="0" labelOnly="1" outline="0" fieldPosition="0">
        <references count="1">
          <reference field="3" count="0"/>
        </references>
      </pivotArea>
    </format>
    <format dxfId="983">
      <pivotArea dataOnly="0" labelOnly="1" outline="0" fieldPosition="0">
        <references count="1">
          <reference field="4294967294" count="1">
            <x v="0"/>
          </reference>
        </references>
      </pivotArea>
    </format>
    <format dxfId="982">
      <pivotArea type="all" dataOnly="0" outline="0" fieldPosition="0"/>
    </format>
    <format dxfId="981">
      <pivotArea outline="0" collapsedLevelsAreSubtotals="1" fieldPosition="0"/>
    </format>
    <format dxfId="980">
      <pivotArea dataOnly="0" labelOnly="1" outline="0" fieldPosition="0">
        <references count="1">
          <reference field="0" count="10">
            <x v="98"/>
            <x v="99"/>
            <x v="101"/>
            <x v="109"/>
            <x v="111"/>
            <x v="113"/>
            <x v="114"/>
            <x v="115"/>
            <x v="116"/>
            <x v="120"/>
          </reference>
        </references>
      </pivotArea>
    </format>
    <format dxfId="979">
      <pivotArea dataOnly="0" labelOnly="1" grandRow="1" outline="0" fieldPosition="0"/>
    </format>
    <format dxfId="978">
      <pivotArea dataOnly="0" labelOnly="1" outline="0" fieldPosition="0">
        <references count="2">
          <reference field="0" count="1" selected="0">
            <x v="98"/>
          </reference>
          <reference field="2" count="0"/>
        </references>
      </pivotArea>
    </format>
    <format dxfId="977">
      <pivotArea dataOnly="0" labelOnly="1" outline="0" fieldPosition="0">
        <references count="3">
          <reference field="0" count="1" selected="0">
            <x v="98"/>
          </reference>
          <reference field="2" count="0" selected="0"/>
          <reference field="3" count="1">
            <x v="999"/>
          </reference>
        </references>
      </pivotArea>
    </format>
    <format dxfId="976">
      <pivotArea dataOnly="0" labelOnly="1" outline="0" fieldPosition="0">
        <references count="3">
          <reference field="0" count="1" selected="0">
            <x v="99"/>
          </reference>
          <reference field="2" count="0" selected="0"/>
          <reference field="3" count="1">
            <x v="1005"/>
          </reference>
        </references>
      </pivotArea>
    </format>
    <format dxfId="975">
      <pivotArea dataOnly="0" labelOnly="1" outline="0" fieldPosition="0">
        <references count="3">
          <reference field="0" count="1" selected="0">
            <x v="101"/>
          </reference>
          <reference field="2" count="0" selected="0"/>
          <reference field="3" count="1">
            <x v="1005"/>
          </reference>
        </references>
      </pivotArea>
    </format>
    <format dxfId="974">
      <pivotArea dataOnly="0" labelOnly="1" outline="0" fieldPosition="0">
        <references count="3">
          <reference field="0" count="1" selected="0">
            <x v="109"/>
          </reference>
          <reference field="2" count="0" selected="0"/>
          <reference field="3" count="1">
            <x v="1005"/>
          </reference>
        </references>
      </pivotArea>
    </format>
    <format dxfId="973">
      <pivotArea dataOnly="0" labelOnly="1" outline="0" fieldPosition="0">
        <references count="3">
          <reference field="0" count="1" selected="0">
            <x v="111"/>
          </reference>
          <reference field="2" count="0" selected="0"/>
          <reference field="3" count="1">
            <x v="1005"/>
          </reference>
        </references>
      </pivotArea>
    </format>
    <format dxfId="972">
      <pivotArea dataOnly="0" labelOnly="1" outline="0" fieldPosition="0">
        <references count="3">
          <reference field="0" count="1" selected="0">
            <x v="113"/>
          </reference>
          <reference field="2" count="0" selected="0"/>
          <reference field="3" count="1">
            <x v="1005"/>
          </reference>
        </references>
      </pivotArea>
    </format>
    <format dxfId="971">
      <pivotArea dataOnly="0" labelOnly="1" outline="0" fieldPosition="0">
        <references count="3">
          <reference field="0" count="1" selected="0">
            <x v="114"/>
          </reference>
          <reference field="2" count="0" selected="0"/>
          <reference field="3" count="1">
            <x v="1005"/>
          </reference>
        </references>
      </pivotArea>
    </format>
    <format dxfId="970">
      <pivotArea dataOnly="0" labelOnly="1" outline="0" fieldPosition="0">
        <references count="3">
          <reference field="0" count="1" selected="0">
            <x v="115"/>
          </reference>
          <reference field="2" count="0" selected="0"/>
          <reference field="3" count="2">
            <x v="1005"/>
            <x v="1098"/>
          </reference>
        </references>
      </pivotArea>
    </format>
    <format dxfId="969">
      <pivotArea dataOnly="0" labelOnly="1" outline="0" fieldPosition="0">
        <references count="3">
          <reference field="0" count="1" selected="0">
            <x v="116"/>
          </reference>
          <reference field="2" count="0" selected="0"/>
          <reference field="3" count="1">
            <x v="1005"/>
          </reference>
        </references>
      </pivotArea>
    </format>
    <format dxfId="968">
      <pivotArea dataOnly="0" labelOnly="1" outline="0" fieldPosition="0">
        <references count="3">
          <reference field="0" count="1" selected="0">
            <x v="120"/>
          </reference>
          <reference field="2" count="0" selected="0"/>
          <reference field="3" count="1">
            <x v="1005"/>
          </reference>
        </references>
      </pivotArea>
    </format>
    <format dxfId="967">
      <pivotArea dataOnly="0" labelOnly="1" outline="0" fieldPosition="0">
        <references count="1">
          <reference field="4294967294" count="2">
            <x v="0"/>
            <x v="1"/>
          </reference>
        </references>
      </pivotArea>
    </format>
  </formats>
  <pivotTableStyleInfo name="PivotStyleLight21" showRowHeaders="0" showColHeaders="1" showRowStripes="0" showColStripes="0" showLastColumn="1"/>
  <filters count="1">
    <filter fld="0" type="dateBetween" evalOrder="-1" id="14" name="Date">
      <autoFilter ref="A1">
        <filterColumn colId="0">
          <customFilters and="1">
            <customFilter operator="greaterThanOrEqual" val="44593"/>
            <customFilter operator="lessThanOrEqual" val="44620"/>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2.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O2:R6" firstHeaderRow="1" firstDataRow="1" firstDataCol="3"/>
  <pivotFields count="9">
    <pivotField axis="axisRow" compact="0" outline="0" showAll="0" defaultSubtotal="0">
      <items count="32">
        <item m="1" x="10"/>
        <item m="1" x="22"/>
        <item m="1" x="5"/>
        <item m="1" x="16"/>
        <item m="1" x="30"/>
        <item m="1" x="13"/>
        <item m="1" x="26"/>
        <item m="1" x="9"/>
        <item m="1" x="20"/>
        <item x="0"/>
        <item m="1" x="2"/>
        <item m="1" x="21"/>
        <item m="1" x="4"/>
        <item m="1" x="29"/>
        <item m="1" x="25"/>
        <item m="1" x="8"/>
        <item m="1" x="19"/>
        <item m="1" x="3"/>
        <item m="1" x="15"/>
        <item m="1" x="28"/>
        <item m="1" x="12"/>
        <item m="1" x="24"/>
        <item m="1" x="7"/>
        <item m="1" x="18"/>
        <item m="1" x="31"/>
        <item m="1" x="14"/>
        <item m="1" x="27"/>
        <item m="1" x="11"/>
        <item m="1" x="23"/>
        <item m="1" x="6"/>
        <item m="1" x="17"/>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38">
        <item m="1" x="30"/>
        <item m="1" x="35"/>
        <item m="1" x="3"/>
        <item m="1" x="24"/>
        <item m="1" x="27"/>
        <item m="1" x="31"/>
        <item m="1" x="21"/>
        <item m="1" x="23"/>
        <item m="1" x="8"/>
        <item m="1" x="10"/>
        <item m="1" x="1"/>
        <item m="1" x="32"/>
        <item m="1" x="7"/>
        <item m="1" x="36"/>
        <item m="1" x="5"/>
        <item m="1" x="37"/>
        <item m="1" x="14"/>
        <item m="1" x="29"/>
        <item m="1" x="9"/>
        <item m="1" x="6"/>
        <item m="1" x="33"/>
        <item m="1" x="19"/>
        <item m="1" x="12"/>
        <item m="1" x="16"/>
        <item m="1" x="28"/>
        <item m="1" x="22"/>
        <item x="0"/>
        <item m="1" x="17"/>
        <item m="1" x="25"/>
        <item m="1" x="15"/>
        <item m="1" x="20"/>
        <item m="1" x="2"/>
        <item m="1" x="18"/>
        <item m="1" x="34"/>
        <item m="1" x="26"/>
        <item m="1" x="11"/>
        <item m="1" x="4"/>
        <item m="1" x="13"/>
      </items>
      <extLst>
        <ext xmlns:x14="http://schemas.microsoft.com/office/spreadsheetml/2009/9/main" uri="{2946ED86-A175-432a-8AC1-64E0C546D7DE}">
          <x14:pivotField fillDownLabels="1"/>
        </ext>
      </extLst>
    </pivotField>
    <pivotField axis="axisRow" compact="0" outline="0" showAll="0" defaultSubtotal="0">
      <items count="213">
        <item m="1" x="181"/>
        <item x="0"/>
        <item m="1" x="15"/>
        <item m="1" x="182"/>
        <item m="1" x="8"/>
        <item m="1" x="148"/>
        <item m="1" x="171"/>
        <item m="1" x="191"/>
        <item m="1" x="99"/>
        <item m="1" x="49"/>
        <item m="1" x="68"/>
        <item m="1" x="183"/>
        <item m="1" x="47"/>
        <item m="1" x="88"/>
        <item m="1" x="152"/>
        <item m="1" x="58"/>
        <item m="1" x="61"/>
        <item m="1" x="133"/>
        <item m="1" x="125"/>
        <item m="1" x="189"/>
        <item m="1" x="66"/>
        <item m="1" x="80"/>
        <item m="1" x="4"/>
        <item m="1" x="142"/>
        <item m="1" x="108"/>
        <item m="1" x="193"/>
        <item m="1" x="158"/>
        <item m="1" x="3"/>
        <item m="1" x="29"/>
        <item m="1" x="17"/>
        <item m="1" x="118"/>
        <item m="1" x="160"/>
        <item m="1" x="175"/>
        <item m="1" x="212"/>
        <item m="1" x="23"/>
        <item m="1" x="204"/>
        <item m="1" x="144"/>
        <item m="1" x="9"/>
        <item m="1" x="115"/>
        <item m="1" x="109"/>
        <item m="1" x="184"/>
        <item m="1" x="156"/>
        <item m="1" x="81"/>
        <item m="1" x="123"/>
        <item m="1" x="44"/>
        <item m="1" x="205"/>
        <item m="1" x="62"/>
        <item m="1" x="124"/>
        <item m="1" x="186"/>
        <item m="1" x="194"/>
        <item m="1" x="94"/>
        <item m="1" x="202"/>
        <item m="1" x="166"/>
        <item m="1" x="177"/>
        <item m="1" x="26"/>
        <item m="1" x="174"/>
        <item m="1" x="146"/>
        <item m="1" x="16"/>
        <item m="1" x="127"/>
        <item m="1" x="197"/>
        <item m="1" x="180"/>
        <item m="1" x="98"/>
        <item m="1" x="134"/>
        <item m="1" x="39"/>
        <item m="1" x="75"/>
        <item m="1" x="50"/>
        <item m="1" x="163"/>
        <item m="1" x="92"/>
        <item m="1" x="137"/>
        <item m="1" x="51"/>
        <item m="1" x="53"/>
        <item m="1" x="136"/>
        <item m="1" x="128"/>
        <item m="1" x="13"/>
        <item m="1" x="135"/>
        <item m="1" x="22"/>
        <item m="1" x="85"/>
        <item m="1" x="84"/>
        <item m="1" x="6"/>
        <item m="1" x="41"/>
        <item m="1" x="7"/>
        <item m="1" x="33"/>
        <item m="1" x="18"/>
        <item m="1" x="11"/>
        <item m="1" x="138"/>
        <item m="1" x="79"/>
        <item m="1" x="207"/>
        <item m="1" x="40"/>
        <item m="1" x="173"/>
        <item m="1" x="25"/>
        <item m="1" x="34"/>
        <item x="1"/>
        <item m="1" x="100"/>
        <item m="1" x="116"/>
        <item m="1" x="159"/>
        <item m="1" x="38"/>
        <item m="1" x="76"/>
        <item m="1" x="210"/>
        <item m="1" x="93"/>
        <item m="1" x="107"/>
        <item m="1" x="97"/>
        <item m="1" x="162"/>
        <item m="1" x="70"/>
        <item m="1" x="55"/>
        <item m="1" x="169"/>
        <item m="1" x="71"/>
        <item m="1" x="149"/>
        <item m="1" x="187"/>
        <item m="1" x="64"/>
        <item m="1" x="45"/>
        <item m="1" x="143"/>
        <item m="1" x="74"/>
        <item m="1" x="89"/>
        <item m="1" x="69"/>
        <item m="1" x="131"/>
        <item m="1" x="95"/>
        <item m="1" x="31"/>
        <item m="1" x="32"/>
        <item m="1" x="164"/>
        <item m="1" x="196"/>
        <item m="1" x="57"/>
        <item m="1" x="21"/>
        <item m="1" x="209"/>
        <item m="1" x="165"/>
        <item m="1" x="60"/>
        <item m="1" x="121"/>
        <item m="1" x="83"/>
        <item m="1" x="102"/>
        <item m="1" x="203"/>
        <item m="1" x="54"/>
        <item m="1" x="168"/>
        <item m="1" x="72"/>
        <item m="1" x="24"/>
        <item m="1" x="111"/>
        <item m="1" x="103"/>
        <item m="1" x="30"/>
        <item m="1" x="42"/>
        <item m="1" x="73"/>
        <item m="1" x="106"/>
        <item m="1" x="179"/>
        <item m="1" x="5"/>
        <item m="1" x="56"/>
        <item m="1" x="105"/>
        <item m="1" x="161"/>
        <item m="1" x="67"/>
        <item m="1" x="129"/>
        <item m="1" x="167"/>
        <item m="1" x="211"/>
        <item m="1" x="28"/>
        <item m="1" x="43"/>
        <item m="1" x="190"/>
        <item m="1" x="12"/>
        <item m="1" x="157"/>
        <item m="1" x="91"/>
        <item m="1" x="35"/>
        <item m="1" x="155"/>
        <item m="1" x="104"/>
        <item m="1" x="176"/>
        <item m="1" x="20"/>
        <item m="1" x="36"/>
        <item m="1" x="119"/>
        <item m="1" x="46"/>
        <item m="1" x="110"/>
        <item m="1" x="120"/>
        <item m="1" x="200"/>
        <item m="1" x="63"/>
        <item m="1" x="154"/>
        <item m="1" x="153"/>
        <item m="1" x="195"/>
        <item m="1" x="206"/>
        <item m="1" x="82"/>
        <item m="1" x="130"/>
        <item m="1" x="208"/>
        <item m="1" x="10"/>
        <item m="1" x="96"/>
        <item m="1" x="14"/>
        <item m="1" x="139"/>
        <item m="1" x="114"/>
        <item m="1" x="117"/>
        <item m="1" x="192"/>
        <item m="1" x="78"/>
        <item m="1" x="65"/>
        <item m="1" x="52"/>
        <item m="1" x="140"/>
        <item m="1" x="37"/>
        <item m="1" x="147"/>
        <item m="1" x="126"/>
        <item m="1" x="178"/>
        <item m="1" x="112"/>
        <item m="1" x="185"/>
        <item m="1" x="77"/>
        <item m="1" x="113"/>
        <item m="1" x="2"/>
        <item m="1" x="27"/>
        <item m="1" x="86"/>
        <item m="1" x="141"/>
        <item m="1" x="188"/>
        <item m="1" x="19"/>
        <item m="1" x="201"/>
        <item m="1" x="170"/>
        <item m="1" x="48"/>
        <item m="1" x="122"/>
        <item m="1" x="90"/>
        <item m="1" x="132"/>
        <item m="1" x="198"/>
        <item m="1" x="101"/>
        <item m="1" x="87"/>
        <item m="1" x="199"/>
        <item m="1" x="59"/>
        <item m="1" x="151"/>
        <item m="1" x="145"/>
        <item m="1" x="150"/>
        <item m="1" x="17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numFmtId="181" outline="0" showAll="0" defaultSubtotal="0">
      <extLst>
        <ext xmlns:x14="http://schemas.microsoft.com/office/spreadsheetml/2009/9/main" uri="{2946ED86-A175-432a-8AC1-64E0C546D7DE}">
          <x14:pivotField fillDownLabels="1"/>
        </ext>
      </extLst>
    </pivotField>
  </pivotFields>
  <rowFields count="3">
    <field x="0"/>
    <field x="3"/>
    <field x="2"/>
  </rowFields>
  <rowItems count="4">
    <i>
      <x v="9"/>
      <x v="1"/>
      <x v="26"/>
    </i>
    <i r="1">
      <x v="91"/>
      <x v="26"/>
    </i>
    <i>
      <x v="31"/>
      <x v="91"/>
      <x v="26"/>
    </i>
    <i t="grand">
      <x/>
    </i>
  </rowItems>
  <colItems count="1">
    <i/>
  </colItems>
  <dataFields count="1">
    <dataField name="Sum of Credit" fld="7" baseField="0" baseItem="0" numFmtId="164"/>
  </dataFields>
  <formats count="167">
    <format dxfId="934">
      <pivotArea type="all" dataOnly="0" outline="0" fieldPosition="0"/>
    </format>
    <format dxfId="933">
      <pivotArea outline="0" collapsedLevelsAreSubtotals="1" fieldPosition="0"/>
    </format>
    <format dxfId="932">
      <pivotArea field="0" type="button" dataOnly="0" labelOnly="1" outline="0" axis="axisRow" fieldPosition="0"/>
    </format>
    <format dxfId="931">
      <pivotArea dataOnly="0" labelOnly="1" outline="0" axis="axisValues" fieldPosition="0"/>
    </format>
    <format dxfId="930">
      <pivotArea dataOnly="0" labelOnly="1" fieldPosition="0">
        <references count="1">
          <reference field="0" count="0"/>
        </references>
      </pivotArea>
    </format>
    <format dxfId="929">
      <pivotArea dataOnly="0" labelOnly="1" grandRow="1" outline="0" fieldPosition="0"/>
    </format>
    <format dxfId="928">
      <pivotArea dataOnly="0" labelOnly="1" fieldPosition="0">
        <references count="2">
          <reference field="0" count="1" selected="0">
            <x v="0"/>
          </reference>
          <reference field="3" count="15">
            <x v="0"/>
            <x v="6"/>
            <x v="12"/>
            <x v="13"/>
            <x v="15"/>
            <x v="23"/>
            <x v="24"/>
            <x v="31"/>
            <x v="39"/>
            <x v="41"/>
            <x v="65"/>
            <x v="67"/>
            <x v="76"/>
            <x v="77"/>
            <x v="79"/>
          </reference>
        </references>
      </pivotArea>
    </format>
    <format dxfId="927">
      <pivotArea dataOnly="0" labelOnly="1" fieldPosition="0">
        <references count="2">
          <reference field="0" count="1" selected="0">
            <x v="1"/>
          </reference>
          <reference field="3" count="14">
            <x v="6"/>
            <x v="22"/>
            <x v="32"/>
            <x v="37"/>
            <x v="38"/>
            <x v="39"/>
            <x v="40"/>
            <x v="42"/>
            <x v="54"/>
            <x v="57"/>
            <x v="67"/>
            <x v="70"/>
            <x v="80"/>
            <x v="84"/>
          </reference>
        </references>
      </pivotArea>
    </format>
    <format dxfId="926">
      <pivotArea dataOnly="0" labelOnly="1" fieldPosition="0">
        <references count="2">
          <reference field="0" count="1" selected="0">
            <x v="2"/>
          </reference>
          <reference field="3" count="14">
            <x v="6"/>
            <x v="7"/>
            <x v="22"/>
            <x v="38"/>
            <x v="45"/>
            <x v="50"/>
            <x v="52"/>
            <x v="55"/>
            <x v="58"/>
            <x v="64"/>
            <x v="67"/>
            <x v="70"/>
            <x v="80"/>
            <x v="85"/>
          </reference>
        </references>
      </pivotArea>
    </format>
    <format dxfId="925">
      <pivotArea dataOnly="0" labelOnly="1" fieldPosition="0">
        <references count="2">
          <reference field="0" count="1" selected="0">
            <x v="3"/>
          </reference>
          <reference field="3" count="10">
            <x v="6"/>
            <x v="20"/>
            <x v="39"/>
            <x v="47"/>
            <x v="51"/>
            <x v="53"/>
            <x v="67"/>
            <x v="68"/>
            <x v="71"/>
            <x v="85"/>
          </reference>
        </references>
      </pivotArea>
    </format>
    <format dxfId="924">
      <pivotArea dataOnly="0" labelOnly="1" fieldPosition="0">
        <references count="2">
          <reference field="0" count="1" selected="0">
            <x v="4"/>
          </reference>
          <reference field="3" count="31">
            <x v="2"/>
            <x v="3"/>
            <x v="5"/>
            <x v="6"/>
            <x v="10"/>
            <x v="14"/>
            <x v="16"/>
            <x v="17"/>
            <x v="18"/>
            <x v="19"/>
            <x v="26"/>
            <x v="27"/>
            <x v="28"/>
            <x v="29"/>
            <x v="30"/>
            <x v="33"/>
            <x v="46"/>
            <x v="49"/>
            <x v="57"/>
            <x v="67"/>
            <x v="69"/>
            <x v="70"/>
            <x v="72"/>
            <x v="75"/>
            <x v="82"/>
            <x v="83"/>
            <x v="85"/>
            <x v="86"/>
            <x v="87"/>
            <x v="88"/>
            <x v="89"/>
          </reference>
        </references>
      </pivotArea>
    </format>
    <format dxfId="923">
      <pivotArea dataOnly="0" labelOnly="1" fieldPosition="0">
        <references count="2">
          <reference field="0" count="1" selected="0">
            <x v="5"/>
          </reference>
          <reference field="3" count="13">
            <x v="6"/>
            <x v="8"/>
            <x v="9"/>
            <x v="20"/>
            <x v="22"/>
            <x v="34"/>
            <x v="35"/>
            <x v="36"/>
            <x v="44"/>
            <x v="67"/>
            <x v="80"/>
            <x v="84"/>
            <x v="85"/>
          </reference>
        </references>
      </pivotArea>
    </format>
    <format dxfId="922">
      <pivotArea dataOnly="0" labelOnly="1" fieldPosition="0">
        <references count="2">
          <reference field="0" count="1" selected="0">
            <x v="6"/>
          </reference>
          <reference field="3" count="15">
            <x v="6"/>
            <x v="20"/>
            <x v="21"/>
            <x v="25"/>
            <x v="43"/>
            <x v="48"/>
            <x v="56"/>
            <x v="57"/>
            <x v="60"/>
            <x v="66"/>
            <x v="67"/>
            <x v="73"/>
            <x v="78"/>
            <x v="81"/>
            <x v="85"/>
          </reference>
        </references>
      </pivotArea>
    </format>
    <format dxfId="921">
      <pivotArea dataOnly="0" labelOnly="1" fieldPosition="0">
        <references count="2">
          <reference field="0" count="1" selected="0">
            <x v="7"/>
          </reference>
          <reference field="3" count="19">
            <x v="2"/>
            <x v="3"/>
            <x v="4"/>
            <x v="6"/>
            <x v="11"/>
            <x v="18"/>
            <x v="39"/>
            <x v="59"/>
            <x v="61"/>
            <x v="62"/>
            <x v="63"/>
            <x v="67"/>
            <x v="69"/>
            <x v="74"/>
            <x v="80"/>
            <x v="85"/>
            <x v="86"/>
            <x v="88"/>
            <x v="90"/>
          </reference>
        </references>
      </pivotArea>
    </format>
    <format dxfId="920">
      <pivotArea dataOnly="0" labelOnly="1" fieldPosition="0">
        <references count="2">
          <reference field="0" count="1" selected="0">
            <x v="8"/>
          </reference>
          <reference field="3" count="1">
            <x v="91"/>
          </reference>
        </references>
      </pivotArea>
    </format>
    <format dxfId="919">
      <pivotArea dataOnly="0" labelOnly="1" fieldPosition="0">
        <references count="2">
          <reference field="0" count="1" selected="0">
            <x v="9"/>
          </reference>
          <reference field="3" count="2">
            <x v="1"/>
            <x v="91"/>
          </reference>
        </references>
      </pivotArea>
    </format>
    <format dxfId="918">
      <pivotArea dataOnly="0" labelOnly="1" fieldPosition="0">
        <references count="3">
          <reference field="0" count="1" selected="0">
            <x v="0"/>
          </reference>
          <reference field="2" count="1">
            <x v="15"/>
          </reference>
          <reference field="3" count="1" selected="0">
            <x v="0"/>
          </reference>
        </references>
      </pivotArea>
    </format>
    <format dxfId="917">
      <pivotArea dataOnly="0" labelOnly="1" fieldPosition="0">
        <references count="3">
          <reference field="0" count="1" selected="0">
            <x v="0"/>
          </reference>
          <reference field="2" count="1">
            <x v="0"/>
          </reference>
          <reference field="3" count="1" selected="0">
            <x v="6"/>
          </reference>
        </references>
      </pivotArea>
    </format>
    <format dxfId="916">
      <pivotArea dataOnly="0" labelOnly="1" fieldPosition="0">
        <references count="3">
          <reference field="0" count="1" selected="0">
            <x v="0"/>
          </reference>
          <reference field="2" count="1">
            <x v="21"/>
          </reference>
          <reference field="3" count="1" selected="0">
            <x v="12"/>
          </reference>
        </references>
      </pivotArea>
    </format>
    <format dxfId="915">
      <pivotArea dataOnly="0" labelOnly="1" fieldPosition="0">
        <references count="3">
          <reference field="0" count="1" selected="0">
            <x v="0"/>
          </reference>
          <reference field="2" count="1">
            <x v="21"/>
          </reference>
          <reference field="3" count="1" selected="0">
            <x v="13"/>
          </reference>
        </references>
      </pivotArea>
    </format>
    <format dxfId="914">
      <pivotArea dataOnly="0" labelOnly="1" fieldPosition="0">
        <references count="3">
          <reference field="0" count="1" selected="0">
            <x v="0"/>
          </reference>
          <reference field="2" count="1">
            <x v="21"/>
          </reference>
          <reference field="3" count="1" selected="0">
            <x v="15"/>
          </reference>
        </references>
      </pivotArea>
    </format>
    <format dxfId="913">
      <pivotArea dataOnly="0" labelOnly="1" fieldPosition="0">
        <references count="3">
          <reference field="0" count="1" selected="0">
            <x v="0"/>
          </reference>
          <reference field="2" count="1">
            <x v="11"/>
          </reference>
          <reference field="3" count="1" selected="0">
            <x v="23"/>
          </reference>
        </references>
      </pivotArea>
    </format>
    <format dxfId="912">
      <pivotArea dataOnly="0" labelOnly="1" fieldPosition="0">
        <references count="3">
          <reference field="0" count="1" selected="0">
            <x v="0"/>
          </reference>
          <reference field="2" count="1">
            <x v="11"/>
          </reference>
          <reference field="3" count="1" selected="0">
            <x v="24"/>
          </reference>
        </references>
      </pivotArea>
    </format>
    <format dxfId="911">
      <pivotArea dataOnly="0" labelOnly="1" fieldPosition="0">
        <references count="3">
          <reference field="0" count="1" selected="0">
            <x v="0"/>
          </reference>
          <reference field="2" count="1">
            <x v="6"/>
          </reference>
          <reference field="3" count="1" selected="0">
            <x v="31"/>
          </reference>
        </references>
      </pivotArea>
    </format>
    <format dxfId="910">
      <pivotArea dataOnly="0" labelOnly="1" fieldPosition="0">
        <references count="3">
          <reference field="0" count="1" selected="0">
            <x v="0"/>
          </reference>
          <reference field="2" count="1">
            <x v="4"/>
          </reference>
          <reference field="3" count="1" selected="0">
            <x v="39"/>
          </reference>
        </references>
      </pivotArea>
    </format>
    <format dxfId="909">
      <pivotArea dataOnly="0" labelOnly="1" fieldPosition="0">
        <references count="3">
          <reference field="0" count="1" selected="0">
            <x v="0"/>
          </reference>
          <reference field="2" count="1">
            <x v="5"/>
          </reference>
          <reference field="3" count="1" selected="0">
            <x v="41"/>
          </reference>
        </references>
      </pivotArea>
    </format>
    <format dxfId="908">
      <pivotArea dataOnly="0" labelOnly="1" fieldPosition="0">
        <references count="3">
          <reference field="0" count="1" selected="0">
            <x v="0"/>
          </reference>
          <reference field="2" count="1">
            <x v="3"/>
          </reference>
          <reference field="3" count="1" selected="0">
            <x v="65"/>
          </reference>
        </references>
      </pivotArea>
    </format>
    <format dxfId="907">
      <pivotArea dataOnly="0" labelOnly="1" fieldPosition="0">
        <references count="3">
          <reference field="0" count="1" selected="0">
            <x v="0"/>
          </reference>
          <reference field="2" count="1">
            <x v="9"/>
          </reference>
          <reference field="3" count="1" selected="0">
            <x v="67"/>
          </reference>
        </references>
      </pivotArea>
    </format>
    <format dxfId="906">
      <pivotArea dataOnly="0" labelOnly="1" fieldPosition="0">
        <references count="3">
          <reference field="0" count="1" selected="0">
            <x v="0"/>
          </reference>
          <reference field="2" count="1">
            <x v="13"/>
          </reference>
          <reference field="3" count="1" selected="0">
            <x v="76"/>
          </reference>
        </references>
      </pivotArea>
    </format>
    <format dxfId="905">
      <pivotArea dataOnly="0" labelOnly="1" fieldPosition="0">
        <references count="3">
          <reference field="0" count="1" selected="0">
            <x v="0"/>
          </reference>
          <reference field="2" count="1">
            <x v="13"/>
          </reference>
          <reference field="3" count="1" selected="0">
            <x v="77"/>
          </reference>
        </references>
      </pivotArea>
    </format>
    <format dxfId="904">
      <pivotArea dataOnly="0" labelOnly="1" fieldPosition="0">
        <references count="3">
          <reference field="0" count="1" selected="0">
            <x v="0"/>
          </reference>
          <reference field="2" count="1">
            <x v="13"/>
          </reference>
          <reference field="3" count="1" selected="0">
            <x v="79"/>
          </reference>
        </references>
      </pivotArea>
    </format>
    <format dxfId="903">
      <pivotArea dataOnly="0" labelOnly="1" fieldPosition="0">
        <references count="3">
          <reference field="0" count="1" selected="0">
            <x v="1"/>
          </reference>
          <reference field="2" count="1">
            <x v="0"/>
          </reference>
          <reference field="3" count="1" selected="0">
            <x v="6"/>
          </reference>
        </references>
      </pivotArea>
    </format>
    <format dxfId="902">
      <pivotArea dataOnly="0" labelOnly="1" fieldPosition="0">
        <references count="3">
          <reference field="0" count="1" selected="0">
            <x v="1"/>
          </reference>
          <reference field="2" count="1">
            <x v="11"/>
          </reference>
          <reference field="3" count="1" selected="0">
            <x v="22"/>
          </reference>
        </references>
      </pivotArea>
    </format>
    <format dxfId="901">
      <pivotArea dataOnly="0" labelOnly="1" fieldPosition="0">
        <references count="3">
          <reference field="0" count="1" selected="0">
            <x v="1"/>
          </reference>
          <reference field="2" count="1">
            <x v="6"/>
          </reference>
          <reference field="3" count="1" selected="0">
            <x v="32"/>
          </reference>
        </references>
      </pivotArea>
    </format>
    <format dxfId="900">
      <pivotArea dataOnly="0" labelOnly="1" fieldPosition="0">
        <references count="3">
          <reference field="0" count="1" selected="0">
            <x v="1"/>
          </reference>
          <reference field="2" count="1">
            <x v="4"/>
          </reference>
          <reference field="3" count="1" selected="0">
            <x v="37"/>
          </reference>
        </references>
      </pivotArea>
    </format>
    <format dxfId="899">
      <pivotArea dataOnly="0" labelOnly="1" fieldPosition="0">
        <references count="3">
          <reference field="0" count="1" selected="0">
            <x v="1"/>
          </reference>
          <reference field="2" count="1">
            <x v="23"/>
          </reference>
          <reference field="3" count="1" selected="0">
            <x v="38"/>
          </reference>
        </references>
      </pivotArea>
    </format>
    <format dxfId="898">
      <pivotArea dataOnly="0" labelOnly="1" fieldPosition="0">
        <references count="3">
          <reference field="0" count="1" selected="0">
            <x v="1"/>
          </reference>
          <reference field="2" count="1">
            <x v="4"/>
          </reference>
          <reference field="3" count="1" selected="0">
            <x v="39"/>
          </reference>
        </references>
      </pivotArea>
    </format>
    <format dxfId="897">
      <pivotArea dataOnly="0" labelOnly="1" fieldPosition="0">
        <references count="3">
          <reference field="0" count="1" selected="0">
            <x v="1"/>
          </reference>
          <reference field="2" count="1">
            <x v="5"/>
          </reference>
          <reference field="3" count="1" selected="0">
            <x v="40"/>
          </reference>
        </references>
      </pivotArea>
    </format>
    <format dxfId="896">
      <pivotArea dataOnly="0" labelOnly="1" fieldPosition="0">
        <references count="3">
          <reference field="0" count="1" selected="0">
            <x v="1"/>
          </reference>
          <reference field="2" count="1">
            <x v="4"/>
          </reference>
          <reference field="3" count="1" selected="0">
            <x v="42"/>
          </reference>
        </references>
      </pivotArea>
    </format>
    <format dxfId="895">
      <pivotArea dataOnly="0" labelOnly="1" fieldPosition="0">
        <references count="3">
          <reference field="0" count="1" selected="0">
            <x v="1"/>
          </reference>
          <reference field="2" count="1">
            <x v="4"/>
          </reference>
          <reference field="3" count="1" selected="0">
            <x v="54"/>
          </reference>
        </references>
      </pivotArea>
    </format>
    <format dxfId="894">
      <pivotArea dataOnly="0" labelOnly="1" fieldPosition="0">
        <references count="3">
          <reference field="0" count="1" selected="0">
            <x v="1"/>
          </reference>
          <reference field="2" count="1">
            <x v="8"/>
          </reference>
          <reference field="3" count="1" selected="0">
            <x v="57"/>
          </reference>
        </references>
      </pivotArea>
    </format>
    <format dxfId="893">
      <pivotArea dataOnly="0" labelOnly="1" fieldPosition="0">
        <references count="3">
          <reference field="0" count="1" selected="0">
            <x v="1"/>
          </reference>
          <reference field="2" count="1">
            <x v="9"/>
          </reference>
          <reference field="3" count="1" selected="0">
            <x v="67"/>
          </reference>
        </references>
      </pivotArea>
    </format>
    <format dxfId="892">
      <pivotArea dataOnly="0" labelOnly="1" fieldPosition="0">
        <references count="3">
          <reference field="0" count="1" selected="0">
            <x v="1"/>
          </reference>
          <reference field="2" count="1">
            <x v="17"/>
          </reference>
          <reference field="3" count="1" selected="0">
            <x v="70"/>
          </reference>
        </references>
      </pivotArea>
    </format>
    <format dxfId="891">
      <pivotArea dataOnly="0" labelOnly="1" fieldPosition="0">
        <references count="3">
          <reference field="0" count="1" selected="0">
            <x v="1"/>
          </reference>
          <reference field="2" count="1">
            <x v="13"/>
          </reference>
          <reference field="3" count="1" selected="0">
            <x v="80"/>
          </reference>
        </references>
      </pivotArea>
    </format>
    <format dxfId="890">
      <pivotArea dataOnly="0" labelOnly="1" fieldPosition="0">
        <references count="3">
          <reference field="0" count="1" selected="0">
            <x v="1"/>
          </reference>
          <reference field="2" count="1">
            <x v="16"/>
          </reference>
          <reference field="3" count="1" selected="0">
            <x v="84"/>
          </reference>
        </references>
      </pivotArea>
    </format>
    <format dxfId="889">
      <pivotArea dataOnly="0" labelOnly="1" fieldPosition="0">
        <references count="3">
          <reference field="0" count="1" selected="0">
            <x v="2"/>
          </reference>
          <reference field="2" count="1">
            <x v="0"/>
          </reference>
          <reference field="3" count="1" selected="0">
            <x v="6"/>
          </reference>
        </references>
      </pivotArea>
    </format>
    <format dxfId="888">
      <pivotArea dataOnly="0" labelOnly="1" fieldPosition="0">
        <references count="3">
          <reference field="0" count="1" selected="0">
            <x v="2"/>
          </reference>
          <reference field="2" count="1">
            <x v="2"/>
          </reference>
          <reference field="3" count="1" selected="0">
            <x v="7"/>
          </reference>
        </references>
      </pivotArea>
    </format>
    <format dxfId="887">
      <pivotArea dataOnly="0" labelOnly="1" fieldPosition="0">
        <references count="3">
          <reference field="0" count="1" selected="0">
            <x v="2"/>
          </reference>
          <reference field="2" count="1">
            <x v="11"/>
          </reference>
          <reference field="3" count="1" selected="0">
            <x v="22"/>
          </reference>
        </references>
      </pivotArea>
    </format>
    <format dxfId="886">
      <pivotArea dataOnly="0" labelOnly="1" fieldPosition="0">
        <references count="3">
          <reference field="0" count="1" selected="0">
            <x v="2"/>
          </reference>
          <reference field="2" count="1">
            <x v="23"/>
          </reference>
          <reference field="3" count="1" selected="0">
            <x v="38"/>
          </reference>
        </references>
      </pivotArea>
    </format>
    <format dxfId="885">
      <pivotArea dataOnly="0" labelOnly="1" fieldPosition="0">
        <references count="3">
          <reference field="0" count="1" selected="0">
            <x v="2"/>
          </reference>
          <reference field="2" count="1">
            <x v="5"/>
          </reference>
          <reference field="3" count="1" selected="0">
            <x v="45"/>
          </reference>
        </references>
      </pivotArea>
    </format>
    <format dxfId="884">
      <pivotArea dataOnly="0" labelOnly="1" fieldPosition="0">
        <references count="3">
          <reference field="0" count="1" selected="0">
            <x v="2"/>
          </reference>
          <reference field="2" count="1">
            <x v="6"/>
          </reference>
          <reference field="3" count="1" selected="0">
            <x v="50"/>
          </reference>
        </references>
      </pivotArea>
    </format>
    <format dxfId="883">
      <pivotArea dataOnly="0" labelOnly="1" fieldPosition="0">
        <references count="3">
          <reference field="0" count="1" selected="0">
            <x v="2"/>
          </reference>
          <reference field="2" count="1">
            <x v="22"/>
          </reference>
          <reference field="3" count="1" selected="0">
            <x v="52"/>
          </reference>
        </references>
      </pivotArea>
    </format>
    <format dxfId="882">
      <pivotArea dataOnly="0" labelOnly="1" fieldPosition="0">
        <references count="3">
          <reference field="0" count="1" selected="0">
            <x v="2"/>
          </reference>
          <reference field="2" count="1">
            <x v="3"/>
          </reference>
          <reference field="3" count="1" selected="0">
            <x v="55"/>
          </reference>
        </references>
      </pivotArea>
    </format>
    <format dxfId="881">
      <pivotArea dataOnly="0" labelOnly="1" fieldPosition="0">
        <references count="3">
          <reference field="0" count="1" selected="0">
            <x v="2"/>
          </reference>
          <reference field="2" count="1">
            <x v="6"/>
          </reference>
          <reference field="3" count="1" selected="0">
            <x v="58"/>
          </reference>
        </references>
      </pivotArea>
    </format>
    <format dxfId="880">
      <pivotArea dataOnly="0" labelOnly="1" fieldPosition="0">
        <references count="3">
          <reference field="0" count="1" selected="0">
            <x v="2"/>
          </reference>
          <reference field="2" count="1">
            <x v="3"/>
          </reference>
          <reference field="3" count="1" selected="0">
            <x v="64"/>
          </reference>
        </references>
      </pivotArea>
    </format>
    <format dxfId="879">
      <pivotArea dataOnly="0" labelOnly="1" fieldPosition="0">
        <references count="3">
          <reference field="0" count="1" selected="0">
            <x v="2"/>
          </reference>
          <reference field="2" count="1">
            <x v="9"/>
          </reference>
          <reference field="3" count="1" selected="0">
            <x v="67"/>
          </reference>
        </references>
      </pivotArea>
    </format>
    <format dxfId="878">
      <pivotArea dataOnly="0" labelOnly="1" fieldPosition="0">
        <references count="3">
          <reference field="0" count="1" selected="0">
            <x v="2"/>
          </reference>
          <reference field="2" count="1">
            <x v="17"/>
          </reference>
          <reference field="3" count="1" selected="0">
            <x v="70"/>
          </reference>
        </references>
      </pivotArea>
    </format>
    <format dxfId="877">
      <pivotArea dataOnly="0" labelOnly="1" fieldPosition="0">
        <references count="3">
          <reference field="0" count="1" selected="0">
            <x v="2"/>
          </reference>
          <reference field="2" count="1">
            <x v="13"/>
          </reference>
          <reference field="3" count="1" selected="0">
            <x v="80"/>
          </reference>
        </references>
      </pivotArea>
    </format>
    <format dxfId="876">
      <pivotArea dataOnly="0" labelOnly="1" fieldPosition="0">
        <references count="3">
          <reference field="0" count="1" selected="0">
            <x v="2"/>
          </reference>
          <reference field="2" count="1">
            <x v="10"/>
          </reference>
          <reference field="3" count="1" selected="0">
            <x v="85"/>
          </reference>
        </references>
      </pivotArea>
    </format>
    <format dxfId="875">
      <pivotArea dataOnly="0" labelOnly="1" fieldPosition="0">
        <references count="3">
          <reference field="0" count="1" selected="0">
            <x v="3"/>
          </reference>
          <reference field="2" count="1">
            <x v="0"/>
          </reference>
          <reference field="3" count="1" selected="0">
            <x v="6"/>
          </reference>
        </references>
      </pivotArea>
    </format>
    <format dxfId="874">
      <pivotArea dataOnly="0" labelOnly="1" fieldPosition="0">
        <references count="3">
          <reference field="0" count="1" selected="0">
            <x v="3"/>
          </reference>
          <reference field="2" count="1">
            <x v="24"/>
          </reference>
          <reference field="3" count="1" selected="0">
            <x v="20"/>
          </reference>
        </references>
      </pivotArea>
    </format>
    <format dxfId="873">
      <pivotArea dataOnly="0" labelOnly="1" fieldPosition="0">
        <references count="3">
          <reference field="0" count="1" selected="0">
            <x v="3"/>
          </reference>
          <reference field="2" count="1">
            <x v="4"/>
          </reference>
          <reference field="3" count="1" selected="0">
            <x v="39"/>
          </reference>
        </references>
      </pivotArea>
    </format>
    <format dxfId="872">
      <pivotArea dataOnly="0" labelOnly="1" fieldPosition="0">
        <references count="3">
          <reference field="0" count="1" selected="0">
            <x v="3"/>
          </reference>
          <reference field="2" count="1">
            <x v="3"/>
          </reference>
          <reference field="3" count="1" selected="0">
            <x v="47"/>
          </reference>
        </references>
      </pivotArea>
    </format>
    <format dxfId="871">
      <pivotArea dataOnly="0" labelOnly="1" fieldPosition="0">
        <references count="3">
          <reference field="0" count="1" selected="0">
            <x v="3"/>
          </reference>
          <reference field="2" count="1">
            <x v="6"/>
          </reference>
          <reference field="3" count="1" selected="0">
            <x v="51"/>
          </reference>
        </references>
      </pivotArea>
    </format>
    <format dxfId="870">
      <pivotArea dataOnly="0" labelOnly="1" fieldPosition="0">
        <references count="3">
          <reference field="0" count="1" selected="0">
            <x v="3"/>
          </reference>
          <reference field="2" count="1">
            <x v="4"/>
          </reference>
          <reference field="3" count="1" selected="0">
            <x v="53"/>
          </reference>
        </references>
      </pivotArea>
    </format>
    <format dxfId="869">
      <pivotArea dataOnly="0" labelOnly="1" fieldPosition="0">
        <references count="3">
          <reference field="0" count="1" selected="0">
            <x v="3"/>
          </reference>
          <reference field="2" count="1">
            <x v="9"/>
          </reference>
          <reference field="3" count="1" selected="0">
            <x v="67"/>
          </reference>
        </references>
      </pivotArea>
    </format>
    <format dxfId="868">
      <pivotArea dataOnly="0" labelOnly="1" fieldPosition="0">
        <references count="3">
          <reference field="0" count="1" selected="0">
            <x v="3"/>
          </reference>
          <reference field="2" count="1">
            <x v="8"/>
          </reference>
          <reference field="3" count="1" selected="0">
            <x v="68"/>
          </reference>
        </references>
      </pivotArea>
    </format>
    <format dxfId="867">
      <pivotArea dataOnly="0" labelOnly="1" fieldPosition="0">
        <references count="3">
          <reference field="0" count="1" selected="0">
            <x v="3"/>
          </reference>
          <reference field="2" count="1">
            <x v="19"/>
          </reference>
          <reference field="3" count="1" selected="0">
            <x v="71"/>
          </reference>
        </references>
      </pivotArea>
    </format>
    <format dxfId="866">
      <pivotArea dataOnly="0" labelOnly="1" fieldPosition="0">
        <references count="3">
          <reference field="0" count="1" selected="0">
            <x v="3"/>
          </reference>
          <reference field="2" count="1">
            <x v="10"/>
          </reference>
          <reference field="3" count="1" selected="0">
            <x v="85"/>
          </reference>
        </references>
      </pivotArea>
    </format>
    <format dxfId="865">
      <pivotArea dataOnly="0" labelOnly="1" fieldPosition="0">
        <references count="3">
          <reference field="0" count="1" selected="0">
            <x v="4"/>
          </reference>
          <reference field="2" count="1">
            <x v="16"/>
          </reference>
          <reference field="3" count="1" selected="0">
            <x v="2"/>
          </reference>
        </references>
      </pivotArea>
    </format>
    <format dxfId="864">
      <pivotArea dataOnly="0" labelOnly="1" fieldPosition="0">
        <references count="3">
          <reference field="0" count="1" selected="0">
            <x v="4"/>
          </reference>
          <reference field="2" count="1">
            <x v="17"/>
          </reference>
          <reference field="3" count="1" selected="0">
            <x v="3"/>
          </reference>
        </references>
      </pivotArea>
    </format>
    <format dxfId="863">
      <pivotArea dataOnly="0" labelOnly="1" fieldPosition="0">
        <references count="3">
          <reference field="0" count="1" selected="0">
            <x v="4"/>
          </reference>
          <reference field="2" count="1">
            <x v="17"/>
          </reference>
          <reference field="3" count="1" selected="0">
            <x v="5"/>
          </reference>
        </references>
      </pivotArea>
    </format>
    <format dxfId="862">
      <pivotArea dataOnly="0" labelOnly="1" fieldPosition="0">
        <references count="3">
          <reference field="0" count="1" selected="0">
            <x v="4"/>
          </reference>
          <reference field="2" count="1">
            <x v="0"/>
          </reference>
          <reference field="3" count="1" selected="0">
            <x v="6"/>
          </reference>
        </references>
      </pivotArea>
    </format>
    <format dxfId="861">
      <pivotArea dataOnly="0" labelOnly="1" fieldPosition="0">
        <references count="3">
          <reference field="0" count="1" selected="0">
            <x v="4"/>
          </reference>
          <reference field="2" count="1">
            <x v="1"/>
          </reference>
          <reference field="3" count="1" selected="0">
            <x v="10"/>
          </reference>
        </references>
      </pivotArea>
    </format>
    <format dxfId="860">
      <pivotArea dataOnly="0" labelOnly="1" fieldPosition="0">
        <references count="3">
          <reference field="0" count="1" selected="0">
            <x v="4"/>
          </reference>
          <reference field="2" count="1">
            <x v="21"/>
          </reference>
          <reference field="3" count="1" selected="0">
            <x v="14"/>
          </reference>
        </references>
      </pivotArea>
    </format>
    <format dxfId="859">
      <pivotArea dataOnly="0" labelOnly="1" fieldPosition="0">
        <references count="3">
          <reference field="0" count="1" selected="0">
            <x v="4"/>
          </reference>
          <reference field="2" count="1">
            <x v="25"/>
          </reference>
          <reference field="3" count="1" selected="0">
            <x v="16"/>
          </reference>
        </references>
      </pivotArea>
    </format>
    <format dxfId="858">
      <pivotArea dataOnly="0" labelOnly="1" fieldPosition="0">
        <references count="3">
          <reference field="0" count="1" selected="0">
            <x v="4"/>
          </reference>
          <reference field="2" count="1">
            <x v="15"/>
          </reference>
          <reference field="3" count="1" selected="0">
            <x v="17"/>
          </reference>
        </references>
      </pivotArea>
    </format>
    <format dxfId="857">
      <pivotArea dataOnly="0" labelOnly="1" fieldPosition="0">
        <references count="3">
          <reference field="0" count="1" selected="0">
            <x v="4"/>
          </reference>
          <reference field="2" count="1">
            <x v="17"/>
          </reference>
          <reference field="3" count="1" selected="0">
            <x v="18"/>
          </reference>
        </references>
      </pivotArea>
    </format>
    <format dxfId="856">
      <pivotArea dataOnly="0" labelOnly="1" fieldPosition="0">
        <references count="3">
          <reference field="0" count="1" selected="0">
            <x v="4"/>
          </reference>
          <reference field="2" count="1">
            <x v="18"/>
          </reference>
          <reference field="3" count="1" selected="0">
            <x v="19"/>
          </reference>
        </references>
      </pivotArea>
    </format>
    <format dxfId="855">
      <pivotArea dataOnly="0" labelOnly="1" fieldPosition="0">
        <references count="3">
          <reference field="0" count="1" selected="0">
            <x v="4"/>
          </reference>
          <reference field="2" count="1">
            <x v="11"/>
          </reference>
          <reference field="3" count="1" selected="0">
            <x v="26"/>
          </reference>
        </references>
      </pivotArea>
    </format>
    <format dxfId="854">
      <pivotArea dataOnly="0" labelOnly="1" fieldPosition="0">
        <references count="3">
          <reference field="0" count="1" selected="0">
            <x v="4"/>
          </reference>
          <reference field="2" count="1">
            <x v="14"/>
          </reference>
          <reference field="3" count="1" selected="0">
            <x v="27"/>
          </reference>
        </references>
      </pivotArea>
    </format>
    <format dxfId="853">
      <pivotArea dataOnly="0" labelOnly="1" fieldPosition="0">
        <references count="3">
          <reference field="0" count="1" selected="0">
            <x v="4"/>
          </reference>
          <reference field="2" count="1">
            <x v="17"/>
          </reference>
          <reference field="3" count="1" selected="0">
            <x v="28"/>
          </reference>
        </references>
      </pivotArea>
    </format>
    <format dxfId="852">
      <pivotArea dataOnly="0" labelOnly="1" fieldPosition="0">
        <references count="3">
          <reference field="0" count="1" selected="0">
            <x v="4"/>
          </reference>
          <reference field="2" count="1">
            <x v="14"/>
          </reference>
          <reference field="3" count="1" selected="0">
            <x v="29"/>
          </reference>
        </references>
      </pivotArea>
    </format>
    <format dxfId="851">
      <pivotArea dataOnly="0" labelOnly="1" fieldPosition="0">
        <references count="3">
          <reference field="0" count="1" selected="0">
            <x v="4"/>
          </reference>
          <reference field="2" count="1">
            <x v="14"/>
          </reference>
          <reference field="3" count="1" selected="0">
            <x v="30"/>
          </reference>
        </references>
      </pivotArea>
    </format>
    <format dxfId="850">
      <pivotArea dataOnly="0" labelOnly="1" fieldPosition="0">
        <references count="3">
          <reference field="0" count="1" selected="0">
            <x v="4"/>
          </reference>
          <reference field="2" count="1">
            <x v="6"/>
          </reference>
          <reference field="3" count="1" selected="0">
            <x v="33"/>
          </reference>
        </references>
      </pivotArea>
    </format>
    <format dxfId="849">
      <pivotArea dataOnly="0" labelOnly="1" fieldPosition="0">
        <references count="3">
          <reference field="0" count="1" selected="0">
            <x v="4"/>
          </reference>
          <reference field="2" count="1">
            <x v="3"/>
          </reference>
          <reference field="3" count="1" selected="0">
            <x v="46"/>
          </reference>
        </references>
      </pivotArea>
    </format>
    <format dxfId="848">
      <pivotArea dataOnly="0" labelOnly="1" fieldPosition="0">
        <references count="3">
          <reference field="0" count="1" selected="0">
            <x v="4"/>
          </reference>
          <reference field="2" count="1">
            <x v="3"/>
          </reference>
          <reference field="3" count="1" selected="0">
            <x v="49"/>
          </reference>
        </references>
      </pivotArea>
    </format>
    <format dxfId="847">
      <pivotArea dataOnly="0" labelOnly="1" fieldPosition="0">
        <references count="3">
          <reference field="0" count="1" selected="0">
            <x v="4"/>
          </reference>
          <reference field="2" count="1">
            <x v="8"/>
          </reference>
          <reference field="3" count="1" selected="0">
            <x v="57"/>
          </reference>
        </references>
      </pivotArea>
    </format>
    <format dxfId="846">
      <pivotArea dataOnly="0" labelOnly="1" fieldPosition="0">
        <references count="3">
          <reference field="0" count="1" selected="0">
            <x v="4"/>
          </reference>
          <reference field="2" count="1">
            <x v="9"/>
          </reference>
          <reference field="3" count="1" selected="0">
            <x v="67"/>
          </reference>
        </references>
      </pivotArea>
    </format>
    <format dxfId="845">
      <pivotArea dataOnly="0" labelOnly="1" fieldPosition="0">
        <references count="3">
          <reference field="0" count="1" selected="0">
            <x v="4"/>
          </reference>
          <reference field="2" count="1">
            <x v="17"/>
          </reference>
          <reference field="3" count="1" selected="0">
            <x v="69"/>
          </reference>
        </references>
      </pivotArea>
    </format>
    <format dxfId="844">
      <pivotArea dataOnly="0" labelOnly="1" fieldPosition="0">
        <references count="3">
          <reference field="0" count="1" selected="0">
            <x v="4"/>
          </reference>
          <reference field="2" count="1">
            <x v="17"/>
          </reference>
          <reference field="3" count="1" selected="0">
            <x v="70"/>
          </reference>
        </references>
      </pivotArea>
    </format>
    <format dxfId="843">
      <pivotArea dataOnly="0" labelOnly="1" fieldPosition="0">
        <references count="3">
          <reference field="0" count="1" selected="0">
            <x v="4"/>
          </reference>
          <reference field="2" count="1">
            <x v="19"/>
          </reference>
          <reference field="3" count="1" selected="0">
            <x v="72"/>
          </reference>
        </references>
      </pivotArea>
    </format>
    <format dxfId="842">
      <pivotArea dataOnly="0" labelOnly="1" fieldPosition="0">
        <references count="3">
          <reference field="0" count="1" selected="0">
            <x v="4"/>
          </reference>
          <reference field="2" count="1">
            <x v="13"/>
          </reference>
          <reference field="3" count="1" selected="0">
            <x v="75"/>
          </reference>
        </references>
      </pivotArea>
    </format>
    <format dxfId="841">
      <pivotArea dataOnly="0" labelOnly="1" fieldPosition="0">
        <references count="3">
          <reference field="0" count="1" selected="0">
            <x v="4"/>
          </reference>
          <reference field="2" count="1">
            <x v="17"/>
          </reference>
          <reference field="3" count="1" selected="0">
            <x v="82"/>
          </reference>
        </references>
      </pivotArea>
    </format>
    <format dxfId="840">
      <pivotArea dataOnly="0" labelOnly="1" fieldPosition="0">
        <references count="3">
          <reference field="0" count="1" selected="0">
            <x v="4"/>
          </reference>
          <reference field="2" count="1">
            <x v="17"/>
          </reference>
          <reference field="3" count="1" selected="0">
            <x v="83"/>
          </reference>
        </references>
      </pivotArea>
    </format>
    <format dxfId="839">
      <pivotArea dataOnly="0" labelOnly="1" fieldPosition="0">
        <references count="3">
          <reference field="0" count="1" selected="0">
            <x v="4"/>
          </reference>
          <reference field="2" count="1">
            <x v="10"/>
          </reference>
          <reference field="3" count="1" selected="0">
            <x v="85"/>
          </reference>
        </references>
      </pivotArea>
    </format>
    <format dxfId="838">
      <pivotArea dataOnly="0" labelOnly="1" fieldPosition="0">
        <references count="3">
          <reference field="0" count="1" selected="0">
            <x v="4"/>
          </reference>
          <reference field="2" count="1">
            <x v="17"/>
          </reference>
          <reference field="3" count="1" selected="0">
            <x v="86"/>
          </reference>
        </references>
      </pivotArea>
    </format>
    <format dxfId="837">
      <pivotArea dataOnly="0" labelOnly="1" fieldPosition="0">
        <references count="3">
          <reference field="0" count="1" selected="0">
            <x v="4"/>
          </reference>
          <reference field="2" count="1">
            <x v="17"/>
          </reference>
          <reference field="3" count="1" selected="0">
            <x v="87"/>
          </reference>
        </references>
      </pivotArea>
    </format>
    <format dxfId="836">
      <pivotArea dataOnly="0" labelOnly="1" fieldPosition="0">
        <references count="3">
          <reference field="0" count="1" selected="0">
            <x v="4"/>
          </reference>
          <reference field="2" count="1">
            <x v="17"/>
          </reference>
          <reference field="3" count="1" selected="0">
            <x v="88"/>
          </reference>
        </references>
      </pivotArea>
    </format>
    <format dxfId="835">
      <pivotArea dataOnly="0" labelOnly="1" fieldPosition="0">
        <references count="3">
          <reference field="0" count="1" selected="0">
            <x v="4"/>
          </reference>
          <reference field="2" count="1">
            <x v="15"/>
          </reference>
          <reference field="3" count="1" selected="0">
            <x v="89"/>
          </reference>
        </references>
      </pivotArea>
    </format>
    <format dxfId="834">
      <pivotArea dataOnly="0" labelOnly="1" fieldPosition="0">
        <references count="3">
          <reference field="0" count="1" selected="0">
            <x v="5"/>
          </reference>
          <reference field="2" count="1">
            <x v="0"/>
          </reference>
          <reference field="3" count="1" selected="0">
            <x v="6"/>
          </reference>
        </references>
      </pivotArea>
    </format>
    <format dxfId="833">
      <pivotArea dataOnly="0" labelOnly="1" fieldPosition="0">
        <references count="3">
          <reference field="0" count="1" selected="0">
            <x v="5"/>
          </reference>
          <reference field="2" count="1">
            <x v="2"/>
          </reference>
          <reference field="3" count="1" selected="0">
            <x v="8"/>
          </reference>
        </references>
      </pivotArea>
    </format>
    <format dxfId="832">
      <pivotArea dataOnly="0" labelOnly="1" fieldPosition="0">
        <references count="3">
          <reference field="0" count="1" selected="0">
            <x v="5"/>
          </reference>
          <reference field="2" count="1">
            <x v="2"/>
          </reference>
          <reference field="3" count="1" selected="0">
            <x v="9"/>
          </reference>
        </references>
      </pivotArea>
    </format>
    <format dxfId="831">
      <pivotArea dataOnly="0" labelOnly="1" fieldPosition="0">
        <references count="3">
          <reference field="0" count="1" selected="0">
            <x v="5"/>
          </reference>
          <reference field="2" count="1">
            <x v="24"/>
          </reference>
          <reference field="3" count="1" selected="0">
            <x v="20"/>
          </reference>
        </references>
      </pivotArea>
    </format>
    <format dxfId="830">
      <pivotArea dataOnly="0" labelOnly="1" fieldPosition="0">
        <references count="3">
          <reference field="0" count="1" selected="0">
            <x v="5"/>
          </reference>
          <reference field="2" count="1">
            <x v="11"/>
          </reference>
          <reference field="3" count="1" selected="0">
            <x v="22"/>
          </reference>
        </references>
      </pivotArea>
    </format>
    <format dxfId="829">
      <pivotArea dataOnly="0" labelOnly="1" fieldPosition="0">
        <references count="3">
          <reference field="0" count="1" selected="0">
            <x v="5"/>
          </reference>
          <reference field="2" count="1">
            <x v="6"/>
          </reference>
          <reference field="3" count="1" selected="0">
            <x v="34"/>
          </reference>
        </references>
      </pivotArea>
    </format>
    <format dxfId="828">
      <pivotArea dataOnly="0" labelOnly="1" fieldPosition="0">
        <references count="3">
          <reference field="0" count="1" selected="0">
            <x v="5"/>
          </reference>
          <reference field="2" count="1">
            <x v="6"/>
          </reference>
          <reference field="3" count="1" selected="0">
            <x v="35"/>
          </reference>
        </references>
      </pivotArea>
    </format>
    <format dxfId="827">
      <pivotArea dataOnly="0" labelOnly="1" fieldPosition="0">
        <references count="3">
          <reference field="0" count="1" selected="0">
            <x v="5"/>
          </reference>
          <reference field="2" count="1">
            <x v="6"/>
          </reference>
          <reference field="3" count="1" selected="0">
            <x v="36"/>
          </reference>
        </references>
      </pivotArea>
    </format>
    <format dxfId="826">
      <pivotArea dataOnly="0" labelOnly="1" fieldPosition="0">
        <references count="3">
          <reference field="0" count="1" selected="0">
            <x v="5"/>
          </reference>
          <reference field="2" count="1">
            <x v="3"/>
          </reference>
          <reference field="3" count="1" selected="0">
            <x v="44"/>
          </reference>
        </references>
      </pivotArea>
    </format>
    <format dxfId="825">
      <pivotArea dataOnly="0" labelOnly="1" fieldPosition="0">
        <references count="3">
          <reference field="0" count="1" selected="0">
            <x v="5"/>
          </reference>
          <reference field="2" count="1">
            <x v="9"/>
          </reference>
          <reference field="3" count="1" selected="0">
            <x v="67"/>
          </reference>
        </references>
      </pivotArea>
    </format>
    <format dxfId="824">
      <pivotArea dataOnly="0" labelOnly="1" fieldPosition="0">
        <references count="3">
          <reference field="0" count="1" selected="0">
            <x v="5"/>
          </reference>
          <reference field="2" count="1">
            <x v="13"/>
          </reference>
          <reference field="3" count="1" selected="0">
            <x v="80"/>
          </reference>
        </references>
      </pivotArea>
    </format>
    <format dxfId="823">
      <pivotArea dataOnly="0" labelOnly="1" fieldPosition="0">
        <references count="3">
          <reference field="0" count="1" selected="0">
            <x v="5"/>
          </reference>
          <reference field="2" count="1">
            <x v="16"/>
          </reference>
          <reference field="3" count="1" selected="0">
            <x v="84"/>
          </reference>
        </references>
      </pivotArea>
    </format>
    <format dxfId="822">
      <pivotArea dataOnly="0" labelOnly="1" fieldPosition="0">
        <references count="3">
          <reference field="0" count="1" selected="0">
            <x v="5"/>
          </reference>
          <reference field="2" count="1">
            <x v="10"/>
          </reference>
          <reference field="3" count="1" selected="0">
            <x v="85"/>
          </reference>
        </references>
      </pivotArea>
    </format>
    <format dxfId="821">
      <pivotArea dataOnly="0" labelOnly="1" fieldPosition="0">
        <references count="3">
          <reference field="0" count="1" selected="0">
            <x v="6"/>
          </reference>
          <reference field="2" count="1">
            <x v="0"/>
          </reference>
          <reference field="3" count="1" selected="0">
            <x v="6"/>
          </reference>
        </references>
      </pivotArea>
    </format>
    <format dxfId="820">
      <pivotArea dataOnly="0" labelOnly="1" fieldPosition="0">
        <references count="3">
          <reference field="0" count="1" selected="0">
            <x v="6"/>
          </reference>
          <reference field="2" count="1">
            <x v="24"/>
          </reference>
          <reference field="3" count="1" selected="0">
            <x v="20"/>
          </reference>
        </references>
      </pivotArea>
    </format>
    <format dxfId="819">
      <pivotArea dataOnly="0" labelOnly="1" fieldPosition="0">
        <references count="3">
          <reference field="0" count="1" selected="0">
            <x v="6"/>
          </reference>
          <reference field="2" count="1">
            <x v="12"/>
          </reference>
          <reference field="3" count="1" selected="0">
            <x v="21"/>
          </reference>
        </references>
      </pivotArea>
    </format>
    <format dxfId="818">
      <pivotArea dataOnly="0" labelOnly="1" fieldPosition="0">
        <references count="3">
          <reference field="0" count="1" selected="0">
            <x v="6"/>
          </reference>
          <reference field="2" count="1">
            <x v="11"/>
          </reference>
          <reference field="3" count="1" selected="0">
            <x v="25"/>
          </reference>
        </references>
      </pivotArea>
    </format>
    <format dxfId="817">
      <pivotArea dataOnly="0" labelOnly="1" fieldPosition="0">
        <references count="3">
          <reference field="0" count="1" selected="0">
            <x v="6"/>
          </reference>
          <reference field="2" count="1">
            <x v="6"/>
          </reference>
          <reference field="3" count="1" selected="0">
            <x v="43"/>
          </reference>
        </references>
      </pivotArea>
    </format>
    <format dxfId="816">
      <pivotArea dataOnly="0" labelOnly="1" fieldPosition="0">
        <references count="3">
          <reference field="0" count="1" selected="0">
            <x v="6"/>
          </reference>
          <reference field="2" count="1">
            <x v="6"/>
          </reference>
          <reference field="3" count="1" selected="0">
            <x v="48"/>
          </reference>
        </references>
      </pivotArea>
    </format>
    <format dxfId="815">
      <pivotArea dataOnly="0" labelOnly="1" fieldPosition="0">
        <references count="3">
          <reference field="0" count="1" selected="0">
            <x v="6"/>
          </reference>
          <reference field="2" count="1">
            <x v="4"/>
          </reference>
          <reference field="3" count="1" selected="0">
            <x v="56"/>
          </reference>
        </references>
      </pivotArea>
    </format>
    <format dxfId="814">
      <pivotArea dataOnly="0" labelOnly="1" fieldPosition="0">
        <references count="3">
          <reference field="0" count="1" selected="0">
            <x v="6"/>
          </reference>
          <reference field="2" count="1">
            <x v="8"/>
          </reference>
          <reference field="3" count="1" selected="0">
            <x v="57"/>
          </reference>
        </references>
      </pivotArea>
    </format>
    <format dxfId="813">
      <pivotArea dataOnly="0" labelOnly="1" fieldPosition="0">
        <references count="3">
          <reference field="0" count="1" selected="0">
            <x v="6"/>
          </reference>
          <reference field="2" count="1">
            <x v="3"/>
          </reference>
          <reference field="3" count="1" selected="0">
            <x v="60"/>
          </reference>
        </references>
      </pivotArea>
    </format>
    <format dxfId="812">
      <pivotArea dataOnly="0" labelOnly="1" fieldPosition="0">
        <references count="3">
          <reference field="0" count="1" selected="0">
            <x v="6"/>
          </reference>
          <reference field="2" count="1">
            <x v="6"/>
          </reference>
          <reference field="3" count="1" selected="0">
            <x v="66"/>
          </reference>
        </references>
      </pivotArea>
    </format>
    <format dxfId="811">
      <pivotArea dataOnly="0" labelOnly="1" fieldPosition="0">
        <references count="3">
          <reference field="0" count="1" selected="0">
            <x v="6"/>
          </reference>
          <reference field="2" count="1">
            <x v="9"/>
          </reference>
          <reference field="3" count="1" selected="0">
            <x v="67"/>
          </reference>
        </references>
      </pivotArea>
    </format>
    <format dxfId="810">
      <pivotArea dataOnly="0" labelOnly="1" fieldPosition="0">
        <references count="3">
          <reference field="0" count="1" selected="0">
            <x v="6"/>
          </reference>
          <reference field="2" count="1">
            <x v="20"/>
          </reference>
          <reference field="3" count="1" selected="0">
            <x v="73"/>
          </reference>
        </references>
      </pivotArea>
    </format>
    <format dxfId="809">
      <pivotArea dataOnly="0" labelOnly="1" fieldPosition="0">
        <references count="3">
          <reference field="0" count="1" selected="0">
            <x v="6"/>
          </reference>
          <reference field="2" count="1">
            <x v="13"/>
          </reference>
          <reference field="3" count="1" selected="0">
            <x v="78"/>
          </reference>
        </references>
      </pivotArea>
    </format>
    <format dxfId="808">
      <pivotArea dataOnly="0" labelOnly="1" fieldPosition="0">
        <references count="3">
          <reference field="0" count="1" selected="0">
            <x v="6"/>
          </reference>
          <reference field="2" count="1">
            <x v="13"/>
          </reference>
          <reference field="3" count="1" selected="0">
            <x v="81"/>
          </reference>
        </references>
      </pivotArea>
    </format>
    <format dxfId="807">
      <pivotArea dataOnly="0" labelOnly="1" fieldPosition="0">
        <references count="3">
          <reference field="0" count="1" selected="0">
            <x v="6"/>
          </reference>
          <reference field="2" count="1">
            <x v="10"/>
          </reference>
          <reference field="3" count="1" selected="0">
            <x v="85"/>
          </reference>
        </references>
      </pivotArea>
    </format>
    <format dxfId="806">
      <pivotArea dataOnly="0" labelOnly="1" fieldPosition="0">
        <references count="3">
          <reference field="0" count="1" selected="0">
            <x v="7"/>
          </reference>
          <reference field="2" count="1">
            <x v="16"/>
          </reference>
          <reference field="3" count="1" selected="0">
            <x v="2"/>
          </reference>
        </references>
      </pivotArea>
    </format>
    <format dxfId="805">
      <pivotArea dataOnly="0" labelOnly="1" fieldPosition="0">
        <references count="3">
          <reference field="0" count="1" selected="0">
            <x v="7"/>
          </reference>
          <reference field="2" count="1">
            <x v="17"/>
          </reference>
          <reference field="3" count="1" selected="0">
            <x v="3"/>
          </reference>
        </references>
      </pivotArea>
    </format>
    <format dxfId="804">
      <pivotArea dataOnly="0" labelOnly="1" fieldPosition="0">
        <references count="3">
          <reference field="0" count="1" selected="0">
            <x v="7"/>
          </reference>
          <reference field="2" count="1">
            <x v="16"/>
          </reference>
          <reference field="3" count="1" selected="0">
            <x v="4"/>
          </reference>
        </references>
      </pivotArea>
    </format>
    <format dxfId="803">
      <pivotArea dataOnly="0" labelOnly="1" fieldPosition="0">
        <references count="3">
          <reference field="0" count="1" selected="0">
            <x v="7"/>
          </reference>
          <reference field="2" count="1">
            <x v="0"/>
          </reference>
          <reference field="3" count="1" selected="0">
            <x v="6"/>
          </reference>
        </references>
      </pivotArea>
    </format>
    <format dxfId="802">
      <pivotArea dataOnly="0" labelOnly="1" fieldPosition="0">
        <references count="3">
          <reference field="0" count="1" selected="0">
            <x v="7"/>
          </reference>
          <reference field="2" count="1">
            <x v="21"/>
          </reference>
          <reference field="3" count="1" selected="0">
            <x v="11"/>
          </reference>
        </references>
      </pivotArea>
    </format>
    <format dxfId="801">
      <pivotArea dataOnly="0" labelOnly="1" fieldPosition="0">
        <references count="3">
          <reference field="0" count="1" selected="0">
            <x v="7"/>
          </reference>
          <reference field="2" count="1">
            <x v="17"/>
          </reference>
          <reference field="3" count="1" selected="0">
            <x v="18"/>
          </reference>
        </references>
      </pivotArea>
    </format>
    <format dxfId="800">
      <pivotArea dataOnly="0" labelOnly="1" fieldPosition="0">
        <references count="3">
          <reference field="0" count="1" selected="0">
            <x v="7"/>
          </reference>
          <reference field="2" count="1">
            <x v="4"/>
          </reference>
          <reference field="3" count="1" selected="0">
            <x v="39"/>
          </reference>
        </references>
      </pivotArea>
    </format>
    <format dxfId="799">
      <pivotArea dataOnly="0" labelOnly="1" fieldPosition="0">
        <references count="3">
          <reference field="0" count="1" selected="0">
            <x v="7"/>
          </reference>
          <reference field="2" count="1">
            <x v="5"/>
          </reference>
          <reference field="3" count="1" selected="0">
            <x v="59"/>
          </reference>
        </references>
      </pivotArea>
    </format>
    <format dxfId="798">
      <pivotArea dataOnly="0" labelOnly="1" fieldPosition="0">
        <references count="3">
          <reference field="0" count="1" selected="0">
            <x v="7"/>
          </reference>
          <reference field="2" count="1">
            <x v="7"/>
          </reference>
          <reference field="3" count="1" selected="0">
            <x v="61"/>
          </reference>
        </references>
      </pivotArea>
    </format>
    <format dxfId="797">
      <pivotArea dataOnly="0" labelOnly="1" fieldPosition="0">
        <references count="3">
          <reference field="0" count="1" selected="0">
            <x v="7"/>
          </reference>
          <reference field="2" count="1">
            <x v="7"/>
          </reference>
          <reference field="3" count="1" selected="0">
            <x v="62"/>
          </reference>
        </references>
      </pivotArea>
    </format>
    <format dxfId="796">
      <pivotArea dataOnly="0" labelOnly="1" fieldPosition="0">
        <references count="3">
          <reference field="0" count="1" selected="0">
            <x v="7"/>
          </reference>
          <reference field="2" count="1">
            <x v="6"/>
          </reference>
          <reference field="3" count="1" selected="0">
            <x v="63"/>
          </reference>
        </references>
      </pivotArea>
    </format>
    <format dxfId="795">
      <pivotArea dataOnly="0" labelOnly="1" fieldPosition="0">
        <references count="3">
          <reference field="0" count="1" selected="0">
            <x v="7"/>
          </reference>
          <reference field="2" count="1">
            <x v="9"/>
          </reference>
          <reference field="3" count="1" selected="0">
            <x v="67"/>
          </reference>
        </references>
      </pivotArea>
    </format>
    <format dxfId="794">
      <pivotArea dataOnly="0" labelOnly="1" fieldPosition="0">
        <references count="3">
          <reference field="0" count="1" selected="0">
            <x v="7"/>
          </reference>
          <reference field="2" count="1">
            <x v="17"/>
          </reference>
          <reference field="3" count="1" selected="0">
            <x v="69"/>
          </reference>
        </references>
      </pivotArea>
    </format>
    <format dxfId="793">
      <pivotArea dataOnly="0" labelOnly="1" fieldPosition="0">
        <references count="3">
          <reference field="0" count="1" selected="0">
            <x v="7"/>
          </reference>
          <reference field="2" count="1">
            <x v="13"/>
          </reference>
          <reference field="3" count="1" selected="0">
            <x v="74"/>
          </reference>
        </references>
      </pivotArea>
    </format>
    <format dxfId="792">
      <pivotArea dataOnly="0" labelOnly="1" fieldPosition="0">
        <references count="3">
          <reference field="0" count="1" selected="0">
            <x v="7"/>
          </reference>
          <reference field="2" count="1">
            <x v="13"/>
          </reference>
          <reference field="3" count="1" selected="0">
            <x v="80"/>
          </reference>
        </references>
      </pivotArea>
    </format>
    <format dxfId="791">
      <pivotArea dataOnly="0" labelOnly="1" fieldPosition="0">
        <references count="3">
          <reference field="0" count="1" selected="0">
            <x v="7"/>
          </reference>
          <reference field="2" count="1">
            <x v="10"/>
          </reference>
          <reference field="3" count="1" selected="0">
            <x v="85"/>
          </reference>
        </references>
      </pivotArea>
    </format>
    <format dxfId="790">
      <pivotArea dataOnly="0" labelOnly="1" fieldPosition="0">
        <references count="3">
          <reference field="0" count="1" selected="0">
            <x v="7"/>
          </reference>
          <reference field="2" count="1">
            <x v="17"/>
          </reference>
          <reference field="3" count="1" selected="0">
            <x v="86"/>
          </reference>
        </references>
      </pivotArea>
    </format>
    <format dxfId="789">
      <pivotArea dataOnly="0" labelOnly="1" fieldPosition="0">
        <references count="3">
          <reference field="0" count="1" selected="0">
            <x v="7"/>
          </reference>
          <reference field="2" count="1">
            <x v="17"/>
          </reference>
          <reference field="3" count="1" selected="0">
            <x v="88"/>
          </reference>
        </references>
      </pivotArea>
    </format>
    <format dxfId="788">
      <pivotArea dataOnly="0" labelOnly="1" fieldPosition="0">
        <references count="3">
          <reference field="0" count="1" selected="0">
            <x v="7"/>
          </reference>
          <reference field="2" count="1">
            <x v="16"/>
          </reference>
          <reference field="3" count="1" selected="0">
            <x v="90"/>
          </reference>
        </references>
      </pivotArea>
    </format>
    <format dxfId="787">
      <pivotArea dataOnly="0" labelOnly="1" fieldPosition="0">
        <references count="3">
          <reference field="0" count="1" selected="0">
            <x v="8"/>
          </reference>
          <reference field="2" count="1">
            <x v="26"/>
          </reference>
          <reference field="3" count="1" selected="0">
            <x v="91"/>
          </reference>
        </references>
      </pivotArea>
    </format>
    <format dxfId="786">
      <pivotArea dataOnly="0" labelOnly="1" fieldPosition="0">
        <references count="3">
          <reference field="0" count="1" selected="0">
            <x v="9"/>
          </reference>
          <reference field="2" count="1">
            <x v="26"/>
          </reference>
          <reference field="3" count="1" selected="0">
            <x v="1"/>
          </reference>
        </references>
      </pivotArea>
    </format>
    <format dxfId="785">
      <pivotArea dataOnly="0" labelOnly="1" fieldPosition="0">
        <references count="3">
          <reference field="0" count="1" selected="0">
            <x v="9"/>
          </reference>
          <reference field="2" count="1">
            <x v="26"/>
          </reference>
          <reference field="3" count="1" selected="0">
            <x v="91"/>
          </reference>
        </references>
      </pivotArea>
    </format>
    <format dxfId="784">
      <pivotArea dataOnly="0" labelOnly="1" outline="0" axis="axisValues" fieldPosition="0"/>
    </format>
    <format dxfId="783">
      <pivotArea field="0" type="button" dataOnly="0" labelOnly="1" outline="0" axis="axisRow" fieldPosition="0"/>
    </format>
    <format dxfId="782">
      <pivotArea field="3" type="button" dataOnly="0" labelOnly="1" outline="0" axis="axisRow" fieldPosition="1"/>
    </format>
    <format dxfId="781">
      <pivotArea field="2" type="button" dataOnly="0" labelOnly="1" outline="0" axis="axisRow" fieldPosition="2"/>
    </format>
    <format dxfId="780">
      <pivotArea dataOnly="0" labelOnly="1" outline="0" axis="axisValues" fieldPosition="0"/>
    </format>
    <format dxfId="779">
      <pivotArea dataOnly="0" labelOnly="1" outline="0" axis="axisValues" fieldPosition="0"/>
    </format>
    <format dxfId="778">
      <pivotArea dataOnly="0" labelOnly="1" outline="0" axis="axisValues" fieldPosition="0"/>
    </format>
    <format dxfId="777">
      <pivotArea dataOnly="0" labelOnly="1" outline="0" axis="axisValues" fieldPosition="0"/>
    </format>
    <format dxfId="776">
      <pivotArea field="2" type="button" dataOnly="0" labelOnly="1" outline="0" axis="axisRow" fieldPosition="2"/>
    </format>
    <format dxfId="775">
      <pivotArea field="3" type="button" dataOnly="0" labelOnly="1" outline="0" axis="axisRow" fieldPosition="1"/>
    </format>
    <format dxfId="774">
      <pivotArea field="0" type="button" dataOnly="0" labelOnly="1" outline="0" axis="axisRow" fieldPosition="0"/>
    </format>
    <format dxfId="773">
      <pivotArea outline="0" collapsedLevelsAreSubtotals="1" fieldPosition="0"/>
    </format>
    <format dxfId="772">
      <pivotArea dataOnly="0" labelOnly="1" outline="0" axis="axisValues" fieldPosition="0"/>
    </format>
    <format dxfId="771">
      <pivotArea dataOnly="0" labelOnly="1" outline="0" axis="axisValues" fieldPosition="0"/>
    </format>
    <format dxfId="770">
      <pivotArea outline="0" collapsedLevelsAreSubtotals="1" fieldPosition="0"/>
    </format>
    <format dxfId="769">
      <pivotArea dataOnly="0" labelOnly="1" outline="0" axis="axisValues" fieldPosition="0"/>
    </format>
    <format dxfId="768">
      <pivotArea dataOnly="0" labelOnly="1" outline="0" axis="axisValues" fieldPosition="0"/>
    </format>
  </formats>
  <pivotTableStyleInfo name="PivotStyleLight15"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3.xml><?xml version="1.0" encoding="utf-8"?>
<pivotTableDefinition xmlns="http://schemas.openxmlformats.org/spreadsheetml/2006/main" name="PivotTable3" cacheId="8" applyNumberFormats="0" applyBorderFormats="0" applyFontFormats="0" applyPatternFormats="0" applyAlignmentFormats="0" applyWidthHeightFormats="1" dataCaption="Values" updatedVersion="5" minRefreshableVersion="3" useAutoFormatting="1" itemPrintTitles="1" createdVersion="5" indent="0" compact="0" compactData="0" multipleFieldFilters="0">
  <location ref="A3:B22" firstHeaderRow="1" firstDataRow="1" firstDataCol="1"/>
  <pivotFields count="6">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8">
        <item x="0"/>
        <item x="1"/>
        <item x="2"/>
        <item x="3"/>
        <item x="4"/>
        <item x="5"/>
        <item x="6"/>
        <item x="7"/>
        <item x="9"/>
        <item x="8"/>
        <item x="10"/>
        <item x="11"/>
        <item x="12"/>
        <item x="13"/>
        <item x="14"/>
        <item x="16"/>
        <item x="17"/>
        <item x="15"/>
      </items>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dataField="1" compact="0" numFmtId="164" outline="0" showAll="0" defaultSubtotal="0">
      <extLst>
        <ext xmlns:x14="http://schemas.microsoft.com/office/spreadsheetml/2009/9/main" uri="{2946ED86-A175-432a-8AC1-64E0C546D7DE}">
          <x14:pivotField fillDownLabels="1"/>
        </ext>
      </extLst>
    </pivotField>
  </pivotFields>
  <rowFields count="1">
    <field x="1"/>
  </rowFields>
  <rowItems count="19">
    <i>
      <x/>
    </i>
    <i>
      <x v="1"/>
    </i>
    <i>
      <x v="2"/>
    </i>
    <i>
      <x v="3"/>
    </i>
    <i>
      <x v="4"/>
    </i>
    <i>
      <x v="5"/>
    </i>
    <i>
      <x v="6"/>
    </i>
    <i>
      <x v="7"/>
    </i>
    <i>
      <x v="8"/>
    </i>
    <i>
      <x v="9"/>
    </i>
    <i>
      <x v="10"/>
    </i>
    <i>
      <x v="11"/>
    </i>
    <i>
      <x v="12"/>
    </i>
    <i>
      <x v="13"/>
    </i>
    <i>
      <x v="14"/>
    </i>
    <i>
      <x v="15"/>
    </i>
    <i>
      <x v="16"/>
    </i>
    <i>
      <x v="17"/>
    </i>
    <i t="grand">
      <x/>
    </i>
  </rowItems>
  <colItems count="1">
    <i/>
  </colItems>
  <dataFields count="1">
    <dataField name="Sum of Balance" fld="5" baseField="0" baseItem="0" numFmtId="164"/>
  </dataFields>
  <formats count="8">
    <format dxfId="752">
      <pivotArea outline="0" collapsedLevelsAreSubtotals="1" fieldPosition="0"/>
    </format>
    <format dxfId="751">
      <pivotArea dataOnly="0" labelOnly="1" outline="0" axis="axisValues" fieldPosition="0"/>
    </format>
    <format dxfId="750">
      <pivotArea type="all" dataOnly="0" outline="0" fieldPosition="0"/>
    </format>
    <format dxfId="749">
      <pivotArea outline="0" collapsedLevelsAreSubtotals="1" fieldPosition="0"/>
    </format>
    <format dxfId="748">
      <pivotArea field="1" type="button" dataOnly="0" labelOnly="1" outline="0" axis="axisRow" fieldPosition="0"/>
    </format>
    <format dxfId="747">
      <pivotArea dataOnly="0" labelOnly="1" outline="0" axis="axisValues" fieldPosition="0"/>
    </format>
    <format dxfId="746">
      <pivotArea dataOnly="0" labelOnly="1" outline="0" fieldPosition="0">
        <references count="1">
          <reference field="1" count="0"/>
        </references>
      </pivotArea>
    </format>
    <format dxfId="745">
      <pivotArea dataOnly="0" labelOnly="1" grandRow="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4.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5" minRefreshableVersion="3" useAutoFormatting="1" itemPrintTitles="1" createdVersion="6" indent="0" compact="0" compactData="0" multipleFieldFilters="0">
  <location ref="A3:B15" firstHeaderRow="1" firstDataRow="1" firstDataCol="1"/>
  <pivotFields count="8">
    <pivotField compact="0" outline="0" showAll="0">
      <extLst>
        <ext xmlns:x14="http://schemas.microsoft.com/office/spreadsheetml/2009/9/main" uri="{2946ED86-A175-432a-8AC1-64E0C546D7DE}">
          <x14:pivotField fillDownLabels="1"/>
        </ext>
      </extLst>
    </pivotField>
    <pivotField compact="0" outline="0" showAll="0">
      <items count="3264">
        <item x="0"/>
        <item x="17"/>
        <item x="20"/>
        <item x="21"/>
        <item x="23"/>
        <item x="25"/>
        <item x="71"/>
        <item x="169"/>
        <item x="170"/>
        <item x="171"/>
        <item x="27"/>
        <item x="31"/>
        <item x="34"/>
        <item x="35"/>
        <item x="36"/>
        <item x="38"/>
        <item x="41"/>
        <item x="42"/>
        <item x="44"/>
        <item x="47"/>
        <item x="50"/>
        <item x="51"/>
        <item x="52"/>
        <item x="53"/>
        <item x="54"/>
        <item x="56"/>
        <item x="58"/>
        <item x="59"/>
        <item x="60"/>
        <item x="61"/>
        <item x="62"/>
        <item x="64"/>
        <item x="65"/>
        <item x="66"/>
        <item x="67"/>
        <item x="68"/>
        <item x="69"/>
        <item x="72"/>
        <item x="73"/>
        <item x="77"/>
        <item x="79"/>
        <item x="80"/>
        <item x="81"/>
        <item x="82"/>
        <item x="83"/>
        <item x="84"/>
        <item x="85"/>
        <item x="86"/>
        <item x="87"/>
        <item x="88"/>
        <item x="89"/>
        <item x="92"/>
        <item x="93"/>
        <item x="94"/>
        <item x="155"/>
        <item x="156"/>
        <item x="158"/>
        <item x="28"/>
        <item x="185"/>
        <item x="186"/>
        <item x="187"/>
        <item x="174"/>
        <item x="179"/>
        <item x="180"/>
        <item x="181"/>
        <item x="189"/>
        <item x="191"/>
        <item x="192"/>
        <item x="193"/>
        <item x="198"/>
        <item x="208"/>
        <item x="215"/>
        <item x="216"/>
        <item x="239"/>
        <item x="240"/>
        <item x="242"/>
        <item x="243"/>
        <item x="244"/>
        <item x="257"/>
        <item x="268"/>
        <item x="279"/>
        <item x="282"/>
        <item x="283"/>
        <item x="284"/>
        <item x="291"/>
        <item x="292"/>
        <item x="293"/>
        <item x="296"/>
        <item x="297"/>
        <item x="300"/>
        <item x="301"/>
        <item x="304"/>
        <item x="305"/>
        <item x="439"/>
        <item x="450"/>
        <item x="451"/>
        <item x="452"/>
        <item x="454"/>
        <item x="455"/>
        <item x="456"/>
        <item x="457"/>
        <item x="458"/>
        <item x="460"/>
        <item x="495"/>
        <item x="496"/>
        <item x="497"/>
        <item x="498"/>
        <item x="555"/>
        <item x="557"/>
        <item x="558"/>
        <item x="559"/>
        <item x="560"/>
        <item x="561"/>
        <item x="563"/>
        <item x="564"/>
        <item x="565"/>
        <item x="566"/>
        <item x="567"/>
        <item x="568"/>
        <item x="569"/>
        <item x="570"/>
        <item x="571"/>
        <item x="572"/>
        <item x="573"/>
        <item x="574"/>
        <item x="640"/>
        <item x="642"/>
        <item x="643"/>
        <item x="644"/>
        <item x="647"/>
        <item x="648"/>
        <item x="649"/>
        <item x="650"/>
        <item x="653"/>
        <item x="654"/>
        <item x="656"/>
        <item x="658"/>
        <item x="660"/>
        <item x="661"/>
        <item x="662"/>
        <item x="663"/>
        <item x="664"/>
        <item x="665"/>
        <item x="666"/>
        <item x="667"/>
        <item x="669"/>
        <item x="670"/>
        <item x="671"/>
        <item x="672"/>
        <item x="673"/>
        <item x="674"/>
        <item x="675"/>
        <item x="676"/>
        <item x="682"/>
        <item x="683"/>
        <item x="684"/>
        <item x="739"/>
        <item x="769"/>
        <item x="777"/>
        <item x="787"/>
        <item x="805"/>
        <item x="814"/>
        <item x="823"/>
        <item x="831"/>
        <item x="840"/>
        <item x="851"/>
        <item x="861"/>
        <item x="870"/>
        <item x="910"/>
        <item x="944"/>
        <item x="955"/>
        <item x="960"/>
        <item x="961"/>
        <item x="968"/>
        <item x="970"/>
        <item x="971"/>
        <item x="972"/>
        <item x="974"/>
        <item x="975"/>
        <item x="977"/>
        <item x="979"/>
        <item x="982"/>
        <item x="985"/>
        <item x="987"/>
        <item x="988"/>
        <item x="989"/>
        <item x="990"/>
        <item x="992"/>
        <item x="993"/>
        <item x="994"/>
        <item x="995"/>
        <item x="996"/>
        <item x="997"/>
        <item x="1002"/>
        <item x="1003"/>
        <item x="1071"/>
        <item x="1074"/>
        <item x="1075"/>
        <item x="1076"/>
        <item x="1077"/>
        <item x="1078"/>
        <item x="1080"/>
        <item x="1081"/>
        <item x="1082"/>
        <item x="1083"/>
        <item x="1084"/>
        <item x="1085"/>
        <item x="1095"/>
        <item x="1096"/>
        <item x="1097"/>
        <item x="1099"/>
        <item x="1102"/>
        <item x="1103"/>
        <item x="1104"/>
        <item x="1107"/>
        <item x="1109"/>
        <item x="1112"/>
        <item x="1113"/>
        <item x="1114"/>
        <item x="1115"/>
        <item x="1118"/>
        <item x="1119"/>
        <item x="1120"/>
        <item x="1121"/>
        <item x="1122"/>
        <item x="1123"/>
        <item x="1132"/>
        <item x="1133"/>
        <item x="1134"/>
        <item x="1135"/>
        <item x="1136"/>
        <item x="1138"/>
        <item x="1139"/>
        <item x="1140"/>
        <item x="1141"/>
        <item x="1143"/>
        <item x="1145"/>
        <item x="1146"/>
        <item x="1147"/>
        <item x="1150"/>
        <item x="1152"/>
        <item x="1153"/>
        <item x="1154"/>
        <item x="1158"/>
        <item x="1159"/>
        <item x="1160"/>
        <item x="1161"/>
        <item x="1164"/>
        <item x="1167"/>
        <item x="1170"/>
        <item x="1172"/>
        <item x="1173"/>
        <item x="1174"/>
        <item x="1176"/>
        <item x="1178"/>
        <item x="1179"/>
        <item x="1180"/>
        <item x="1181"/>
        <item x="1182"/>
        <item x="1183"/>
        <item x="1184"/>
        <item x="1185"/>
        <item x="1188"/>
        <item x="1189"/>
        <item x="1190"/>
        <item x="1191"/>
        <item x="1192"/>
        <item x="1193"/>
        <item x="1194"/>
        <item x="1195"/>
        <item x="1196"/>
        <item x="1197"/>
        <item x="1198"/>
        <item x="1199"/>
        <item x="1200"/>
        <item x="1201"/>
        <item x="1202"/>
        <item x="1203"/>
        <item x="1204"/>
        <item x="1205"/>
        <item x="1206"/>
        <item x="1209"/>
        <item x="1210"/>
        <item x="1211"/>
        <item x="1213"/>
        <item x="1214"/>
        <item x="1215"/>
        <item x="1216"/>
        <item x="1217"/>
        <item x="1218"/>
        <item x="1219"/>
        <item x="1221"/>
        <item x="1223"/>
        <item x="1224"/>
        <item x="1225"/>
        <item x="1226"/>
        <item x="1227"/>
        <item x="1228"/>
        <item x="1229"/>
        <item x="1230"/>
        <item x="1231"/>
        <item x="1232"/>
        <item x="1233"/>
        <item x="1234"/>
        <item x="1236"/>
        <item x="1237"/>
        <item x="1238"/>
        <item x="1239"/>
        <item x="1241"/>
        <item x="1242"/>
        <item x="1243"/>
        <item x="1244"/>
        <item x="1245"/>
        <item x="1246"/>
        <item x="1247"/>
        <item x="1248"/>
        <item x="1250"/>
        <item x="1251"/>
        <item x="1252"/>
        <item x="1253"/>
        <item x="1254"/>
        <item x="1256"/>
        <item x="1259"/>
        <item x="1260"/>
        <item x="1261"/>
        <item x="1263"/>
        <item x="1265"/>
        <item x="1266"/>
        <item x="1268"/>
        <item x="1269"/>
        <item x="1270"/>
        <item x="1271"/>
        <item x="1273"/>
        <item x="1274"/>
        <item x="1275"/>
        <item x="1276"/>
        <item x="1277"/>
        <item x="1279"/>
        <item x="1280"/>
        <item x="1282"/>
        <item x="1285"/>
        <item x="1286"/>
        <item x="1288"/>
        <item x="1321"/>
        <item x="1322"/>
        <item x="1324"/>
        <item x="1325"/>
        <item x="1326"/>
        <item x="1327"/>
        <item x="1328"/>
        <item x="1329"/>
        <item x="1330"/>
        <item x="1331"/>
        <item x="1332"/>
        <item x="1333"/>
        <item x="1335"/>
        <item x="1336"/>
        <item x="1337"/>
        <item x="1338"/>
        <item x="1339"/>
        <item x="1340"/>
        <item x="1341"/>
        <item x="1346"/>
        <item x="1348"/>
        <item x="1354"/>
        <item x="1356"/>
        <item x="1357"/>
        <item x="1358"/>
        <item x="1360"/>
        <item x="1361"/>
        <item x="1362"/>
        <item x="1364"/>
        <item x="1368"/>
        <item x="1369"/>
        <item x="1370"/>
        <item x="1371"/>
        <item x="1372"/>
        <item x="1373"/>
        <item x="1375"/>
        <item x="1376"/>
        <item x="1377"/>
        <item x="1378"/>
        <item x="1379"/>
        <item x="1380"/>
        <item x="1381"/>
        <item x="1382"/>
        <item x="1383"/>
        <item x="1384"/>
        <item x="1385"/>
        <item x="1387"/>
        <item x="1389"/>
        <item x="1391"/>
        <item x="1392"/>
        <item x="1393"/>
        <item x="1394"/>
        <item x="1395"/>
        <item x="1397"/>
        <item x="1398"/>
        <item x="1399"/>
        <item x="1400"/>
        <item x="1402"/>
        <item x="1403"/>
        <item x="1404"/>
        <item x="1405"/>
        <item x="1407"/>
        <item x="1408"/>
        <item x="1409"/>
        <item x="1411"/>
        <item x="1412"/>
        <item x="1415"/>
        <item x="1416"/>
        <item x="1418"/>
        <item x="1419"/>
        <item x="1421"/>
        <item x="1422"/>
        <item x="1425"/>
        <item x="1427"/>
        <item x="1428"/>
        <item x="1429"/>
        <item x="1430"/>
        <item x="1431"/>
        <item x="1432"/>
        <item x="1433"/>
        <item x="1434"/>
        <item x="1435"/>
        <item x="1437"/>
        <item x="1439"/>
        <item x="1440"/>
        <item x="1441"/>
        <item x="1442"/>
        <item x="1443"/>
        <item x="1444"/>
        <item x="1446"/>
        <item x="1447"/>
        <item x="1448"/>
        <item x="1449"/>
        <item x="1450"/>
        <item x="1451"/>
        <item x="1452"/>
        <item x="1453"/>
        <item x="1455"/>
        <item x="1456"/>
        <item x="1457"/>
        <item x="1458"/>
        <item x="1460"/>
        <item x="1461"/>
        <item x="1462"/>
        <item x="1463"/>
        <item x="1464"/>
        <item x="1467"/>
        <item x="1469"/>
        <item x="1470"/>
        <item x="1471"/>
        <item x="1472"/>
        <item x="1473"/>
        <item x="1474"/>
        <item x="1476"/>
        <item x="1477"/>
        <item x="1478"/>
        <item x="1479"/>
        <item x="1480"/>
        <item x="1481"/>
        <item x="1482"/>
        <item x="1483"/>
        <item x="1484"/>
        <item x="1485"/>
        <item x="1486"/>
        <item x="1487"/>
        <item x="1488"/>
        <item x="1489"/>
        <item x="1490"/>
        <item x="1491"/>
        <item x="1506"/>
        <item x="1508"/>
        <item x="1517"/>
        <item x="1519"/>
        <item x="1521"/>
        <item x="1522"/>
        <item x="1523"/>
        <item x="1524"/>
        <item x="1527"/>
        <item x="1529"/>
        <item x="1530"/>
        <item x="1531"/>
        <item x="1534"/>
        <item x="1536"/>
        <item x="1537"/>
        <item x="1539"/>
        <item x="1542"/>
        <item x="1544"/>
        <item x="1548"/>
        <item x="1549"/>
        <item x="1550"/>
        <item x="1551"/>
        <item x="1558"/>
        <item x="1559"/>
        <item x="1560"/>
        <item x="1561"/>
        <item x="1562"/>
        <item x="1565"/>
        <item x="1568"/>
        <item x="1571"/>
        <item x="1573"/>
        <item x="1574"/>
        <item x="1575"/>
        <item x="1577"/>
        <item x="1580"/>
        <item x="1582"/>
        <item x="1583"/>
        <item x="1584"/>
        <item x="1586"/>
        <item x="1587"/>
        <item x="1588"/>
        <item x="1589"/>
        <item x="1590"/>
        <item x="1591"/>
        <item x="1592"/>
        <item x="1594"/>
        <item x="1595"/>
        <item x="1596"/>
        <item x="1597"/>
        <item x="1599"/>
        <item x="1600"/>
        <item x="1602"/>
        <item x="1603"/>
        <item x="1604"/>
        <item x="1605"/>
        <item x="1606"/>
        <item x="1607"/>
        <item x="1608"/>
        <item x="1609"/>
        <item x="1610"/>
        <item x="1611"/>
        <item x="1613"/>
        <item x="1615"/>
        <item x="1619"/>
        <item x="1621"/>
        <item x="1628"/>
        <item x="1630"/>
        <item x="1632"/>
        <item x="1633"/>
        <item x="1634"/>
        <item x="1637"/>
        <item x="1639"/>
        <item x="1640"/>
        <item x="1641"/>
        <item x="1642"/>
        <item x="1643"/>
        <item x="1646"/>
        <item x="1647"/>
        <item x="1648"/>
        <item x="1649"/>
        <item x="1650"/>
        <item x="1651"/>
        <item x="1654"/>
        <item x="1655"/>
        <item x="1656"/>
        <item x="1658"/>
        <item x="1659"/>
        <item x="1661"/>
        <item x="1663"/>
        <item x="1665"/>
        <item x="1666"/>
        <item x="1667"/>
        <item x="1669"/>
        <item x="1673"/>
        <item x="1674"/>
        <item x="1675"/>
        <item x="1678"/>
        <item x="1679"/>
        <item x="1680"/>
        <item x="1681"/>
        <item x="1683"/>
        <item x="1684"/>
        <item x="1685"/>
        <item x="1686"/>
        <item x="1687"/>
        <item x="1688"/>
        <item x="1689"/>
        <item x="1690"/>
        <item x="1691"/>
        <item x="1692"/>
        <item x="1693"/>
        <item x="1694"/>
        <item x="1696"/>
        <item x="1698"/>
        <item x="1700"/>
        <item x="1701"/>
        <item x="1703"/>
        <item x="1704"/>
        <item x="1706"/>
        <item x="1712"/>
        <item x="1717"/>
        <item x="1718"/>
        <item x="1720"/>
        <item x="1721"/>
        <item x="1722"/>
        <item x="1723"/>
        <item x="1728"/>
        <item x="1735"/>
        <item x="1757"/>
        <item x="1786"/>
        <item x="1799"/>
        <item x="1805"/>
        <item x="1822"/>
        <item x="1830"/>
        <item x="1838"/>
        <item x="2007"/>
        <item x="2023"/>
        <item x="2044"/>
        <item x="2097"/>
        <item x="2124"/>
        <item x="2134"/>
        <item x="2142"/>
        <item x="2152"/>
        <item x="2179"/>
        <item x="2190"/>
        <item x="2191"/>
        <item x="2245"/>
        <item x="2252"/>
        <item x="2262"/>
        <item x="2283"/>
        <item x="2307"/>
        <item x="2309"/>
        <item x="2310"/>
        <item x="2311"/>
        <item x="2312"/>
        <item x="2314"/>
        <item x="2317"/>
        <item x="2318"/>
        <item x="2319"/>
        <item x="2320"/>
        <item x="2321"/>
        <item x="2322"/>
        <item x="2323"/>
        <item x="2325"/>
        <item x="2326"/>
        <item x="2327"/>
        <item x="2329"/>
        <item x="2331"/>
        <item x="2333"/>
        <item x="2334"/>
        <item x="2336"/>
        <item x="2338"/>
        <item x="2339"/>
        <item x="2341"/>
        <item x="2342"/>
        <item x="2343"/>
        <item x="2344"/>
        <item x="2345"/>
        <item x="2346"/>
        <item x="2347"/>
        <item x="2348"/>
        <item x="2349"/>
        <item x="2351"/>
        <item x="2352"/>
        <item x="2355"/>
        <item x="2358"/>
        <item x="2360"/>
        <item x="2361"/>
        <item x="2362"/>
        <item x="2363"/>
        <item x="2364"/>
        <item x="2367"/>
        <item x="2368"/>
        <item x="2370"/>
        <item x="2373"/>
        <item x="2374"/>
        <item x="2377"/>
        <item x="2378"/>
        <item x="2380"/>
        <item x="2381"/>
        <item x="2382"/>
        <item x="2383"/>
        <item x="2385"/>
        <item x="2386"/>
        <item x="2387"/>
        <item x="2388"/>
        <item x="2389"/>
        <item x="2392"/>
        <item x="2393"/>
        <item x="2397"/>
        <item x="2398"/>
        <item x="2399"/>
        <item x="2400"/>
        <item x="2401"/>
        <item x="2402"/>
        <item x="2403"/>
        <item x="2407"/>
        <item x="2408"/>
        <item x="2409"/>
        <item x="2410"/>
        <item x="2411"/>
        <item x="2413"/>
        <item x="2416"/>
        <item x="2418"/>
        <item x="2420"/>
        <item x="2422"/>
        <item x="2425"/>
        <item x="2426"/>
        <item x="2427"/>
        <item x="2428"/>
        <item x="2429"/>
        <item x="2430"/>
        <item x="2431"/>
        <item x="2432"/>
        <item x="2434"/>
        <item x="2435"/>
        <item x="2437"/>
        <item x="2438"/>
        <item x="2439"/>
        <item x="2440"/>
        <item x="2441"/>
        <item x="2443"/>
        <item x="2445"/>
        <item x="2446"/>
        <item x="2447"/>
        <item x="2450"/>
        <item x="2451"/>
        <item x="2452"/>
        <item x="2453"/>
        <item x="2454"/>
        <item x="2455"/>
        <item x="2456"/>
        <item x="2457"/>
        <item x="2458"/>
        <item x="2459"/>
        <item x="2462"/>
        <item x="2464"/>
        <item x="2465"/>
        <item x="2467"/>
        <item x="2468"/>
        <item x="2469"/>
        <item x="2471"/>
        <item x="2472"/>
        <item x="2473"/>
        <item x="2474"/>
        <item x="2475"/>
        <item x="2476"/>
        <item x="2477"/>
        <item x="2479"/>
        <item x="2482"/>
        <item x="2483"/>
        <item x="2484"/>
        <item x="2486"/>
        <item x="2487"/>
        <item x="2488"/>
        <item x="2489"/>
        <item x="2490"/>
        <item x="2491"/>
        <item x="2494"/>
        <item x="2496"/>
        <item x="2497"/>
        <item x="2498"/>
        <item x="2499"/>
        <item x="2501"/>
        <item x="2502"/>
        <item x="2503"/>
        <item x="2505"/>
        <item x="2506"/>
        <item x="2507"/>
        <item x="2508"/>
        <item x="2510"/>
        <item x="2511"/>
        <item x="2512"/>
        <item x="2513"/>
        <item x="2515"/>
        <item x="2516"/>
        <item x="2517"/>
        <item x="2518"/>
        <item x="2519"/>
        <item x="2520"/>
        <item x="2521"/>
        <item x="2522"/>
        <item x="2523"/>
        <item x="2524"/>
        <item x="2525"/>
        <item x="2526"/>
        <item x="2529"/>
        <item x="2531"/>
        <item x="2532"/>
        <item x="2533"/>
        <item x="2534"/>
        <item x="2536"/>
        <item x="2537"/>
        <item x="2541"/>
        <item x="2543"/>
        <item x="2544"/>
        <item x="2545"/>
        <item x="2546"/>
        <item x="2547"/>
        <item x="2549"/>
        <item x="2551"/>
        <item x="2552"/>
        <item x="2553"/>
        <item x="2555"/>
        <item x="2557"/>
        <item x="2558"/>
        <item x="2562"/>
        <item x="2563"/>
        <item x="2564"/>
        <item x="2565"/>
        <item x="2566"/>
        <item x="2567"/>
        <item x="2568"/>
        <item x="2569"/>
        <item x="2570"/>
        <item x="2571"/>
        <item x="2572"/>
        <item x="2573"/>
        <item x="2574"/>
        <item x="2575"/>
        <item x="2576"/>
        <item x="2577"/>
        <item x="2578"/>
        <item x="2579"/>
        <item x="2581"/>
        <item x="2582"/>
        <item x="2584"/>
        <item x="2585"/>
        <item x="2588"/>
        <item x="2589"/>
        <item x="2591"/>
        <item x="2592"/>
        <item x="2593"/>
        <item x="2594"/>
        <item x="2595"/>
        <item x="2597"/>
        <item x="2598"/>
        <item x="2599"/>
        <item x="2601"/>
        <item x="2602"/>
        <item x="2604"/>
        <item x="2605"/>
        <item x="2606"/>
        <item x="2607"/>
        <item x="2608"/>
        <item x="2609"/>
        <item x="2611"/>
        <item x="2617"/>
        <item x="2620"/>
        <item x="2621"/>
        <item x="2622"/>
        <item x="2623"/>
        <item x="2624"/>
        <item x="2625"/>
        <item x="2626"/>
        <item x="2627"/>
        <item x="2628"/>
        <item x="2630"/>
        <item x="2631"/>
        <item x="2633"/>
        <item x="2634"/>
        <item x="2635"/>
        <item x="2636"/>
        <item x="2637"/>
        <item x="2638"/>
        <item x="2639"/>
        <item x="2640"/>
        <item x="2642"/>
        <item x="2643"/>
        <item x="2644"/>
        <item x="2645"/>
        <item x="2646"/>
        <item x="2647"/>
        <item x="2648"/>
        <item x="2649"/>
        <item x="2650"/>
        <item x="2651"/>
        <item x="2653"/>
        <item x="2655"/>
        <item x="2657"/>
        <item x="2658"/>
        <item x="2660"/>
        <item x="2666"/>
        <item x="2667"/>
        <item x="2668"/>
        <item x="2669"/>
        <item x="2670"/>
        <item x="2671"/>
        <item x="2672"/>
        <item x="2673"/>
        <item x="2675"/>
        <item x="2676"/>
        <item x="2677"/>
        <item x="2678"/>
        <item x="2679"/>
        <item x="2680"/>
        <item x="2681"/>
        <item x="2682"/>
        <item x="2683"/>
        <item x="2684"/>
        <item x="2686"/>
        <item x="2687"/>
        <item x="2688"/>
        <item x="2689"/>
        <item x="2692"/>
        <item x="2693"/>
        <item x="2694"/>
        <item x="2696"/>
        <item x="2699"/>
        <item x="2700"/>
        <item x="2701"/>
        <item x="2702"/>
        <item x="2703"/>
        <item x="2704"/>
        <item x="2705"/>
        <item x="2706"/>
        <item x="2708"/>
        <item x="2709"/>
        <item x="2711"/>
        <item x="2712"/>
        <item x="2714"/>
        <item x="2715"/>
        <item x="2716"/>
        <item x="2717"/>
        <item x="2720"/>
        <item x="2721"/>
        <item x="2725"/>
        <item x="2727"/>
        <item x="2729"/>
        <item x="2730"/>
        <item x="2731"/>
        <item x="2733"/>
        <item x="2734"/>
        <item x="2735"/>
        <item x="2736"/>
        <item x="2737"/>
        <item x="2738"/>
        <item x="2739"/>
        <item x="2744"/>
        <item x="2746"/>
        <item x="2747"/>
        <item x="2749"/>
        <item x="2750"/>
        <item x="2751"/>
        <item x="2752"/>
        <item x="2755"/>
        <item x="2756"/>
        <item x="2757"/>
        <item x="2758"/>
        <item x="2759"/>
        <item x="2760"/>
        <item x="2761"/>
        <item x="2762"/>
        <item x="2763"/>
        <item x="2764"/>
        <item x="2765"/>
        <item x="2766"/>
        <item x="2767"/>
        <item x="2768"/>
        <item x="2769"/>
        <item x="2773"/>
        <item x="2774"/>
        <item x="2778"/>
        <item x="2779"/>
        <item x="2780"/>
        <item x="2781"/>
        <item x="2782"/>
        <item x="2784"/>
        <item x="2785"/>
        <item x="2786"/>
        <item x="2787"/>
        <item x="2788"/>
        <item x="2789"/>
        <item x="2790"/>
        <item x="2793"/>
        <item x="2794"/>
        <item x="2795"/>
        <item x="2797"/>
        <item x="2800"/>
        <item x="2801"/>
        <item x="2802"/>
        <item x="2803"/>
        <item x="2804"/>
        <item x="2805"/>
        <item x="2807"/>
        <item x="2808"/>
        <item x="2809"/>
        <item x="2810"/>
        <item x="2811"/>
        <item x="2812"/>
        <item x="2813"/>
        <item x="2814"/>
        <item x="2816"/>
        <item x="2818"/>
        <item x="2819"/>
        <item x="2820"/>
        <item x="2821"/>
        <item x="2822"/>
        <item x="2823"/>
        <item x="2824"/>
        <item x="2825"/>
        <item x="2826"/>
        <item x="2827"/>
        <item x="2828"/>
        <item x="2829"/>
        <item x="2830"/>
        <item x="2831"/>
        <item x="2832"/>
        <item x="2833"/>
        <item x="2835"/>
        <item x="2836"/>
        <item x="2838"/>
        <item x="2839"/>
        <item x="2840"/>
        <item x="2841"/>
        <item x="2843"/>
        <item x="2844"/>
        <item x="2845"/>
        <item x="2846"/>
        <item x="2847"/>
        <item x="2848"/>
        <item x="2849"/>
        <item x="2850"/>
        <item x="2851"/>
        <item x="2852"/>
        <item x="2854"/>
        <item x="2855"/>
        <item x="2856"/>
        <item x="2857"/>
        <item x="2858"/>
        <item x="2860"/>
        <item x="2861"/>
        <item x="2863"/>
        <item x="2864"/>
        <item x="2865"/>
        <item x="2866"/>
        <item x="2867"/>
        <item x="2871"/>
        <item x="2874"/>
        <item x="2875"/>
        <item x="2877"/>
        <item x="2883"/>
        <item x="2885"/>
        <item x="2888"/>
        <item x="2889"/>
        <item x="2890"/>
        <item x="2893"/>
        <item x="2895"/>
        <item x="2897"/>
        <item x="2898"/>
        <item x="2899"/>
        <item x="2900"/>
        <item x="2901"/>
        <item x="2909"/>
        <item x="2910"/>
        <item x="2911"/>
        <item x="2912"/>
        <item x="2914"/>
        <item x="2919"/>
        <item x="2920"/>
        <item x="2921"/>
        <item x="2926"/>
        <item x="2927"/>
        <item x="2929"/>
        <item x="2930"/>
        <item x="2931"/>
        <item x="2932"/>
        <item x="2933"/>
        <item x="2934"/>
        <item x="2935"/>
        <item x="2936"/>
        <item x="2937"/>
        <item x="2938"/>
        <item x="2939"/>
        <item x="2940"/>
        <item x="2941"/>
        <item x="2942"/>
        <item x="2943"/>
        <item x="2944"/>
        <item x="2945"/>
        <item x="2946"/>
        <item x="2947"/>
        <item x="2948"/>
        <item x="2950"/>
        <item x="2951"/>
        <item x="2952"/>
        <item x="2953"/>
        <item x="2954"/>
        <item x="2955"/>
        <item x="2956"/>
        <item x="2957"/>
        <item x="2958"/>
        <item x="2960"/>
        <item x="2961"/>
        <item x="2962"/>
        <item x="2963"/>
        <item x="2964"/>
        <item x="2965"/>
        <item x="2966"/>
        <item x="2967"/>
        <item x="2968"/>
        <item x="2969"/>
        <item x="2970"/>
        <item x="2971"/>
        <item x="2972"/>
        <item x="2973"/>
        <item x="2975"/>
        <item x="2976"/>
        <item x="2977"/>
        <item x="2978"/>
        <item x="2979"/>
        <item x="2980"/>
        <item x="2981"/>
        <item x="2982"/>
        <item x="2983"/>
        <item x="2984"/>
        <item x="2985"/>
        <item x="2986"/>
        <item x="2987"/>
        <item x="2988"/>
        <item x="2989"/>
        <item x="2990"/>
        <item x="2992"/>
        <item x="2993"/>
        <item x="2994"/>
        <item x="2995"/>
        <item x="2996"/>
        <item x="2997"/>
        <item x="2998"/>
        <item x="2999"/>
        <item x="3000"/>
        <item x="3001"/>
        <item x="3002"/>
        <item x="3003"/>
        <item x="3004"/>
        <item x="3005"/>
        <item x="3006"/>
        <item x="3008"/>
        <item x="3009"/>
        <item x="3010"/>
        <item x="3011"/>
        <item x="3012"/>
        <item x="3013"/>
        <item x="3014"/>
        <item x="3015"/>
        <item x="3016"/>
        <item x="3017"/>
        <item x="3018"/>
        <item x="3019"/>
        <item x="3021"/>
        <item x="3022"/>
        <item x="3023"/>
        <item x="3024"/>
        <item x="3025"/>
        <item x="3026"/>
        <item x="3027"/>
        <item x="3028"/>
        <item x="3029"/>
        <item x="3030"/>
        <item x="3031"/>
        <item x="3032"/>
        <item x="3033"/>
        <item x="3035"/>
        <item x="3036"/>
        <item x="3037"/>
        <item x="3038"/>
        <item x="3040"/>
        <item x="3041"/>
        <item x="3042"/>
        <item x="3043"/>
        <item x="3044"/>
        <item x="3045"/>
        <item x="3046"/>
        <item x="3047"/>
        <item x="3048"/>
        <item x="3049"/>
        <item x="3050"/>
        <item x="3052"/>
        <item x="3054"/>
        <item x="3055"/>
        <item x="3056"/>
        <item x="3057"/>
        <item x="3058"/>
        <item x="3059"/>
        <item x="3060"/>
        <item x="3061"/>
        <item x="3062"/>
        <item x="3063"/>
        <item x="3064"/>
        <item x="3065"/>
        <item x="3066"/>
        <item x="3067"/>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3"/>
        <item x="3124"/>
        <item x="3125"/>
        <item x="3126"/>
        <item x="3127"/>
        <item x="3130"/>
        <item x="3131"/>
        <item x="3132"/>
        <item x="3133"/>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3"/>
        <item x="3164"/>
        <item x="3165"/>
        <item x="3166"/>
        <item x="3167"/>
        <item x="3168"/>
        <item x="3169"/>
        <item x="3170"/>
        <item x="3171"/>
        <item x="3172"/>
        <item x="3173"/>
        <item x="3174"/>
        <item x="3175"/>
        <item x="3176"/>
        <item x="3177"/>
        <item x="3178"/>
        <item x="3179"/>
        <item x="3180"/>
        <item x="3181"/>
        <item x="3182"/>
        <item x="43"/>
        <item x="70"/>
        <item x="120"/>
        <item x="137"/>
        <item x="159"/>
        <item x="160"/>
        <item x="161"/>
        <item x="162"/>
        <item x="175"/>
        <item x="182"/>
        <item x="183"/>
        <item x="184"/>
        <item x="201"/>
        <item x="245"/>
        <item x="309"/>
        <item x="310"/>
        <item x="311"/>
        <item x="314"/>
        <item x="315"/>
        <item x="316"/>
        <item x="317"/>
        <item x="318"/>
        <item x="319"/>
        <item x="320"/>
        <item x="321"/>
        <item x="322"/>
        <item x="323"/>
        <item x="324"/>
        <item x="325"/>
        <item x="326"/>
        <item x="327"/>
        <item x="328"/>
        <item x="329"/>
        <item x="330"/>
        <item x="332"/>
        <item x="334"/>
        <item x="335"/>
        <item x="336"/>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7"/>
        <item x="368"/>
        <item x="369"/>
        <item x="370"/>
        <item x="371"/>
        <item x="372"/>
        <item x="373"/>
        <item x="374"/>
        <item x="375"/>
        <item x="376"/>
        <item x="377"/>
        <item x="378"/>
        <item x="379"/>
        <item x="441"/>
        <item x="442"/>
        <item x="443"/>
        <item x="453"/>
        <item x="500"/>
        <item x="501"/>
        <item x="502"/>
        <item x="503"/>
        <item x="504"/>
        <item x="505"/>
        <item x="506"/>
        <item x="685"/>
        <item x="976"/>
        <item x="999"/>
        <item x="1005"/>
        <item x="1006"/>
        <item x="1007"/>
        <item x="1008"/>
        <item x="1009"/>
        <item x="1010"/>
        <item x="1011"/>
        <item x="1012"/>
        <item x="1013"/>
        <item x="1014"/>
        <item x="1015"/>
        <item x="1016"/>
        <item x="1018"/>
        <item x="1019"/>
        <item x="1020"/>
        <item x="1022"/>
        <item x="1023"/>
        <item x="1025"/>
        <item x="1026"/>
        <item x="1027"/>
        <item x="1028"/>
        <item x="1029"/>
        <item x="1030"/>
        <item x="1032"/>
        <item x="1171"/>
        <item x="1235"/>
        <item x="1386"/>
        <item x="1492"/>
        <item x="1543"/>
        <item x="1601"/>
        <item x="1631"/>
        <item x="1671"/>
        <item x="1724"/>
        <item x="1726"/>
        <item x="1727"/>
        <item x="1730"/>
        <item x="1734"/>
        <item x="1736"/>
        <item x="1738"/>
        <item x="1739"/>
        <item x="1743"/>
        <item x="1744"/>
        <item x="1745"/>
        <item x="1746"/>
        <item x="1747"/>
        <item x="1748"/>
        <item x="1750"/>
        <item x="1751"/>
        <item x="2170"/>
        <item x="2350"/>
        <item x="2365"/>
        <item x="2371"/>
        <item x="2372"/>
        <item x="2423"/>
        <item x="2424"/>
        <item x="2463"/>
        <item x="2466"/>
        <item x="2478"/>
        <item x="2509"/>
        <item x="2615"/>
        <item x="2691"/>
        <item x="2732"/>
        <item x="2753"/>
        <item x="2796"/>
        <item x="2837"/>
        <item x="2913"/>
        <item x="3007"/>
        <item x="3068"/>
        <item x="3069"/>
        <item x="3128"/>
        <item x="3129"/>
        <item x="147"/>
        <item x="173"/>
        <item x="176"/>
        <item x="177"/>
        <item x="202"/>
        <item x="444"/>
        <item x="507"/>
        <item x="508"/>
        <item x="509"/>
        <item x="510"/>
        <item x="511"/>
        <item x="512"/>
        <item x="514"/>
        <item x="515"/>
        <item x="986"/>
        <item x="1034"/>
        <item x="1035"/>
        <item x="1036"/>
        <item x="1037"/>
        <item x="1039"/>
        <item x="1040"/>
        <item x="1041"/>
        <item x="1042"/>
        <item x="1043"/>
        <item x="1044"/>
        <item x="1046"/>
        <item x="1047"/>
        <item x="1048"/>
        <item x="1049"/>
        <item x="1057"/>
        <item x="1086"/>
        <item x="1087"/>
        <item x="1089"/>
        <item x="1289"/>
        <item x="1290"/>
        <item x="1291"/>
        <item x="1292"/>
        <item x="1293"/>
        <item x="1374"/>
        <item x="1563"/>
        <item x="1579"/>
        <item x="1657"/>
        <item x="1697"/>
        <item x="1752"/>
        <item x="1753"/>
        <item x="1754"/>
        <item x="1755"/>
        <item x="1760"/>
        <item x="1761"/>
        <item x="1762"/>
        <item x="1763"/>
        <item x="1764"/>
        <item x="1765"/>
        <item x="1766"/>
        <item x="1769"/>
        <item x="1770"/>
        <item x="1771"/>
        <item x="1772"/>
        <item x="1773"/>
        <item x="1774"/>
        <item x="1776"/>
        <item x="2313"/>
        <item x="2395"/>
        <item x="2448"/>
        <item x="2659"/>
        <item x="2674"/>
        <item x="2685"/>
        <item x="2722"/>
        <item x="2862"/>
        <item x="2882"/>
        <item x="96"/>
        <item x="97"/>
        <item x="200"/>
        <item x="203"/>
        <item x="294"/>
        <item x="516"/>
        <item x="517"/>
        <item x="518"/>
        <item x="524"/>
        <item x="525"/>
        <item x="526"/>
        <item x="687"/>
        <item x="688"/>
        <item x="691"/>
        <item x="692"/>
        <item x="693"/>
        <item x="694"/>
        <item x="695"/>
        <item x="696"/>
        <item x="698"/>
        <item x="699"/>
        <item x="701"/>
        <item x="702"/>
        <item x="703"/>
        <item x="704"/>
        <item x="705"/>
        <item x="706"/>
        <item x="963"/>
        <item x="1050"/>
        <item x="1334"/>
        <item x="1401"/>
        <item x="1438"/>
        <item x="1507"/>
        <item x="1532"/>
        <item x="1617"/>
        <item x="1731"/>
        <item x="1733"/>
        <item x="1777"/>
        <item x="1778"/>
        <item x="1779"/>
        <item x="1780"/>
        <item x="1781"/>
        <item x="1784"/>
        <item x="1785"/>
        <item x="1787"/>
        <item x="1788"/>
        <item x="1791"/>
        <item x="1792"/>
        <item x="1793"/>
        <item x="1794"/>
        <item x="1795"/>
        <item x="1800"/>
        <item x="1801"/>
        <item x="1802"/>
        <item x="1973"/>
        <item x="2353"/>
        <item x="2415"/>
        <item x="2461"/>
        <item x="2514"/>
        <item x="2612"/>
        <item x="2613"/>
        <item x="2664"/>
        <item x="2690"/>
        <item x="2884"/>
        <item x="3134"/>
        <item x="49"/>
        <item x="90"/>
        <item x="91"/>
        <item x="98"/>
        <item x="99"/>
        <item x="100"/>
        <item x="101"/>
        <item x="103"/>
        <item x="165"/>
        <item x="217"/>
        <item x="218"/>
        <item x="246"/>
        <item x="247"/>
        <item x="248"/>
        <item x="249"/>
        <item x="250"/>
        <item x="251"/>
        <item x="252"/>
        <item x="308"/>
        <item x="380"/>
        <item x="381"/>
        <item x="382"/>
        <item x="449"/>
        <item x="461"/>
        <item x="491"/>
        <item x="519"/>
        <item x="520"/>
        <item x="708"/>
        <item x="709"/>
        <item x="710"/>
        <item x="711"/>
        <item x="714"/>
        <item x="715"/>
        <item x="717"/>
        <item x="718"/>
        <item x="719"/>
        <item x="720"/>
        <item x="721"/>
        <item x="722"/>
        <item x="723"/>
        <item x="724"/>
        <item x="725"/>
        <item x="726"/>
        <item x="727"/>
        <item x="728"/>
        <item x="729"/>
        <item x="730"/>
        <item x="731"/>
        <item x="733"/>
        <item x="734"/>
        <item x="797"/>
        <item x="798"/>
        <item x="1051"/>
        <item x="1053"/>
        <item x="1054"/>
        <item x="1060"/>
        <item x="1090"/>
        <item x="1094"/>
        <item x="1106"/>
        <item x="1108"/>
        <item x="1111"/>
        <item x="1168"/>
        <item x="1169"/>
        <item x="1175"/>
        <item x="1177"/>
        <item x="1258"/>
        <item x="1283"/>
        <item x="1342"/>
        <item x="1406"/>
        <item x="1436"/>
        <item x="1493"/>
        <item x="1494"/>
        <item x="1495"/>
        <item x="1496"/>
        <item x="1520"/>
        <item x="1525"/>
        <item x="1526"/>
        <item x="1564"/>
        <item x="1593"/>
        <item x="1695"/>
        <item x="1804"/>
        <item x="1806"/>
        <item x="1807"/>
        <item x="1808"/>
        <item x="1810"/>
        <item x="1813"/>
        <item x="1814"/>
        <item x="1815"/>
        <item x="1819"/>
        <item x="1820"/>
        <item x="1821"/>
        <item x="1823"/>
        <item x="1824"/>
        <item x="1825"/>
        <item x="1826"/>
        <item x="1827"/>
        <item x="1828"/>
        <item x="1829"/>
        <item x="1832"/>
        <item x="1833"/>
        <item x="1834"/>
        <item x="1835"/>
        <item x="1836"/>
        <item x="1841"/>
        <item x="1842"/>
        <item x="1843"/>
        <item x="1844"/>
        <item x="1845"/>
        <item x="1983"/>
        <item x="2406"/>
        <item x="2586"/>
        <item x="2629"/>
        <item x="2710"/>
        <item x="2713"/>
        <item x="2748"/>
        <item x="2754"/>
        <item x="3183"/>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1"/>
        <item x="2"/>
        <item x="3"/>
        <item x="5"/>
        <item x="6"/>
        <item x="7"/>
        <item x="10"/>
        <item x="13"/>
        <item x="24"/>
        <item x="32"/>
        <item x="55"/>
        <item x="76"/>
        <item x="102"/>
        <item x="106"/>
        <item x="107"/>
        <item x="108"/>
        <item x="109"/>
        <item x="110"/>
        <item x="111"/>
        <item x="112"/>
        <item x="113"/>
        <item x="114"/>
        <item x="115"/>
        <item x="117"/>
        <item x="118"/>
        <item x="119"/>
        <item x="122"/>
        <item x="123"/>
        <item x="124"/>
        <item x="125"/>
        <item x="126"/>
        <item x="149"/>
        <item x="197"/>
        <item x="241"/>
        <item x="253"/>
        <item x="254"/>
        <item x="281"/>
        <item x="295"/>
        <item x="306"/>
        <item x="383"/>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45"/>
        <item x="446"/>
        <item x="447"/>
        <item x="448"/>
        <item x="521"/>
        <item x="522"/>
        <item x="677"/>
        <item x="679"/>
        <item x="736"/>
        <item x="737"/>
        <item x="741"/>
        <item x="743"/>
        <item x="745"/>
        <item x="747"/>
        <item x="748"/>
        <item x="749"/>
        <item x="750"/>
        <item x="751"/>
        <item x="752"/>
        <item x="753"/>
        <item x="755"/>
        <item x="756"/>
        <item x="757"/>
        <item x="984"/>
        <item x="1045"/>
        <item x="1062"/>
        <item x="1063"/>
        <item x="1065"/>
        <item x="1068"/>
        <item x="1110"/>
        <item x="1124"/>
        <item x="1186"/>
        <item x="1207"/>
        <item x="1212"/>
        <item x="1222"/>
        <item x="1281"/>
        <item x="1287"/>
        <item x="1295"/>
        <item x="1296"/>
        <item x="1297"/>
        <item x="1298"/>
        <item x="1299"/>
        <item x="1300"/>
        <item x="1323"/>
        <item x="1343"/>
        <item x="1347"/>
        <item x="1353"/>
        <item x="1388"/>
        <item x="1396"/>
        <item x="1410"/>
        <item x="1413"/>
        <item x="1414"/>
        <item x="1417"/>
        <item x="1420"/>
        <item x="1424"/>
        <item x="1426"/>
        <item x="1445"/>
        <item x="1454"/>
        <item x="1468"/>
        <item x="1475"/>
        <item x="1498"/>
        <item x="1499"/>
        <item x="1509"/>
        <item x="1510"/>
        <item x="1535"/>
        <item x="1540"/>
        <item x="1552"/>
        <item x="1553"/>
        <item x="1557"/>
        <item x="1566"/>
        <item x="1567"/>
        <item x="1578"/>
        <item x="1614"/>
        <item x="1616"/>
        <item x="1629"/>
        <item x="1699"/>
        <item x="1705"/>
        <item x="1719"/>
        <item x="1741"/>
        <item x="1749"/>
        <item x="1759"/>
        <item x="1818"/>
        <item x="1846"/>
        <item x="1847"/>
        <item x="1848"/>
        <item x="1849"/>
        <item x="1850"/>
        <item x="1852"/>
        <item x="1853"/>
        <item x="1854"/>
        <item x="1855"/>
        <item x="1856"/>
        <item x="1857"/>
        <item x="1859"/>
        <item x="1860"/>
        <item x="1861"/>
        <item x="1862"/>
        <item x="1865"/>
        <item x="1866"/>
        <item x="1867"/>
        <item x="1868"/>
        <item x="1869"/>
        <item x="1870"/>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2"/>
        <item x="1913"/>
        <item x="1914"/>
        <item x="1915"/>
        <item x="2328"/>
        <item x="2340"/>
        <item x="2394"/>
        <item x="2414"/>
        <item x="2421"/>
        <item x="2504"/>
        <item x="2527"/>
        <item x="2548"/>
        <item x="2632"/>
        <item x="2724"/>
        <item x="2741"/>
        <item x="2798"/>
        <item x="2815"/>
        <item x="2922"/>
        <item x="2923"/>
        <item x="2924"/>
        <item x="2925"/>
        <item x="9"/>
        <item x="26"/>
        <item x="46"/>
        <item x="121"/>
        <item x="127"/>
        <item x="128"/>
        <item x="129"/>
        <item x="130"/>
        <item x="131"/>
        <item x="132"/>
        <item x="150"/>
        <item x="151"/>
        <item x="152"/>
        <item x="153"/>
        <item x="166"/>
        <item x="172"/>
        <item x="178"/>
        <item x="194"/>
        <item x="255"/>
        <item x="256"/>
        <item x="258"/>
        <item x="259"/>
        <item x="260"/>
        <item x="261"/>
        <item x="263"/>
        <item x="264"/>
        <item x="265"/>
        <item x="266"/>
        <item x="267"/>
        <item x="269"/>
        <item x="285"/>
        <item x="286"/>
        <item x="303"/>
        <item x="366"/>
        <item x="384"/>
        <item x="417"/>
        <item x="418"/>
        <item x="419"/>
        <item x="420"/>
        <item x="421"/>
        <item x="422"/>
        <item x="423"/>
        <item x="424"/>
        <item x="425"/>
        <item x="426"/>
        <item x="427"/>
        <item x="428"/>
        <item x="429"/>
        <item x="430"/>
        <item x="431"/>
        <item x="432"/>
        <item x="433"/>
        <item x="435"/>
        <item x="462"/>
        <item x="463"/>
        <item x="464"/>
        <item x="465"/>
        <item x="466"/>
        <item x="467"/>
        <item x="468"/>
        <item x="469"/>
        <item x="470"/>
        <item x="471"/>
        <item x="472"/>
        <item x="473"/>
        <item x="474"/>
        <item x="527"/>
        <item x="758"/>
        <item x="759"/>
        <item x="760"/>
        <item x="761"/>
        <item x="763"/>
        <item x="765"/>
        <item x="1024"/>
        <item x="1069"/>
        <item x="1070"/>
        <item x="1072"/>
        <item x="1073"/>
        <item x="1101"/>
        <item x="1137"/>
        <item x="1144"/>
        <item x="1156"/>
        <item x="1157"/>
        <item x="1249"/>
        <item x="1255"/>
        <item x="1301"/>
        <item x="1302"/>
        <item x="1303"/>
        <item x="1304"/>
        <item x="1305"/>
        <item x="1306"/>
        <item x="1307"/>
        <item x="1390"/>
        <item x="1423"/>
        <item x="1500"/>
        <item x="1501"/>
        <item x="1502"/>
        <item x="1503"/>
        <item x="1518"/>
        <item x="1554"/>
        <item x="1569"/>
        <item x="1576"/>
        <item x="1585"/>
        <item x="1598"/>
        <item x="1612"/>
        <item x="1620"/>
        <item x="1624"/>
        <item x="1635"/>
        <item x="1636"/>
        <item x="1916"/>
        <item x="1917"/>
        <item x="1919"/>
        <item x="1920"/>
        <item x="1921"/>
        <item x="1922"/>
        <item x="1923"/>
        <item x="1924"/>
        <item x="1925"/>
        <item x="1927"/>
        <item x="1928"/>
        <item x="1929"/>
        <item x="1930"/>
        <item x="1931"/>
        <item x="1932"/>
        <item x="1933"/>
        <item x="1934"/>
        <item x="1936"/>
        <item x="1937"/>
        <item x="1938"/>
        <item x="1942"/>
        <item x="1992"/>
        <item x="2356"/>
        <item x="2375"/>
        <item x="2470"/>
        <item x="2481"/>
        <item x="2495"/>
        <item x="2530"/>
        <item x="2600"/>
        <item x="2697"/>
        <item x="2726"/>
        <item x="2740"/>
        <item x="2743"/>
        <item x="2770"/>
        <item x="2771"/>
        <item x="2776"/>
        <item x="2834"/>
        <item x="2876"/>
        <item x="2887"/>
        <item x="2894"/>
        <item x="2915"/>
        <item x="2916"/>
        <item x="19"/>
        <item x="22"/>
        <item x="188"/>
        <item x="214"/>
        <item x="499"/>
        <item x="556"/>
        <item x="740"/>
        <item x="766"/>
        <item x="964"/>
        <item x="1017"/>
        <item x="1021"/>
        <item x="1079"/>
        <item x="1278"/>
        <item x="1465"/>
        <item x="1664"/>
        <item x="1729"/>
        <item x="1816"/>
        <item x="1939"/>
        <item x="1940"/>
        <item x="1941"/>
        <item x="1943"/>
        <item x="1944"/>
        <item x="1945"/>
        <item x="1947"/>
        <item x="1948"/>
        <item x="1949"/>
        <item x="1950"/>
        <item x="1951"/>
        <item x="1952"/>
        <item x="1953"/>
        <item x="1954"/>
        <item x="1955"/>
        <item x="1956"/>
        <item x="2308"/>
        <item x="2542"/>
        <item x="2596"/>
        <item x="2772"/>
        <item x="2792"/>
        <item x="2806"/>
        <item x="2842"/>
        <item x="2886"/>
        <item x="2917"/>
        <item x="2918"/>
        <item x="74"/>
        <item x="645"/>
        <item x="768"/>
        <item x="770"/>
        <item x="771"/>
        <item x="772"/>
        <item x="773"/>
        <item x="775"/>
        <item x="881"/>
        <item x="967"/>
        <item x="969"/>
        <item x="1058"/>
        <item x="1105"/>
        <item x="1142"/>
        <item x="1151"/>
        <item x="1320"/>
        <item x="1946"/>
        <item x="1957"/>
        <item x="2359"/>
        <item x="2493"/>
        <item x="2550"/>
        <item x="2783"/>
        <item x="2868"/>
        <item x="2878"/>
        <item x="2879"/>
        <item x="2902"/>
        <item x="2903"/>
        <item x="29"/>
        <item x="75"/>
        <item x="196"/>
        <item x="459"/>
        <item x="655"/>
        <item x="716"/>
        <item x="746"/>
        <item x="778"/>
        <item x="781"/>
        <item x="782"/>
        <item x="783"/>
        <item x="980"/>
        <item x="983"/>
        <item x="1004"/>
        <item x="1052"/>
        <item x="1262"/>
        <item x="1267"/>
        <item x="1359"/>
        <item x="1505"/>
        <item x="1572"/>
        <item x="1767"/>
        <item x="1958"/>
        <item x="1959"/>
        <item x="1960"/>
        <item x="2059"/>
        <item x="2357"/>
        <item x="2859"/>
        <item x="2928"/>
        <item x="2949"/>
        <item x="2959"/>
        <item x="2991"/>
        <item x="3039"/>
        <item x="3051"/>
        <item x="3184"/>
        <item x="3221"/>
        <item x="3255"/>
        <item x="3256"/>
        <item x="3257"/>
        <item x="3258"/>
        <item x="3259"/>
        <item x="3260"/>
        <item x="3261"/>
        <item x="3262"/>
        <item x="195"/>
        <item x="434"/>
        <item x="436"/>
        <item x="575"/>
        <item x="784"/>
        <item x="785"/>
        <item x="786"/>
        <item x="788"/>
        <item x="789"/>
        <item x="790"/>
        <item x="791"/>
        <item x="793"/>
        <item x="794"/>
        <item x="795"/>
        <item x="799"/>
        <item x="800"/>
        <item x="801"/>
        <item x="802"/>
        <item x="978"/>
        <item x="1000"/>
        <item x="1038"/>
        <item x="1257"/>
        <item x="1626"/>
        <item x="1627"/>
        <item x="1652"/>
        <item x="1708"/>
        <item x="1709"/>
        <item x="1710"/>
        <item x="1711"/>
        <item x="1812"/>
        <item x="1962"/>
        <item x="1963"/>
        <item x="1965"/>
        <item x="1966"/>
        <item x="1967"/>
        <item x="1968"/>
        <item x="1969"/>
        <item x="1970"/>
        <item x="1971"/>
        <item x="1974"/>
        <item x="1975"/>
        <item x="1976"/>
        <item x="1977"/>
        <item x="1978"/>
        <item x="1979"/>
        <item x="1981"/>
        <item x="1982"/>
        <item x="1984"/>
        <item x="1987"/>
        <item x="1988"/>
        <item x="2315"/>
        <item x="2316"/>
        <item x="2366"/>
        <item x="2436"/>
        <item x="2492"/>
        <item x="2560"/>
        <item x="2853"/>
        <item x="3122"/>
        <item x="133"/>
        <item x="157"/>
        <item x="163"/>
        <item x="199"/>
        <item x="204"/>
        <item x="205"/>
        <item x="206"/>
        <item x="207"/>
        <item x="287"/>
        <item x="288"/>
        <item x="307"/>
        <item x="528"/>
        <item x="529"/>
        <item x="576"/>
        <item x="577"/>
        <item x="578"/>
        <item x="579"/>
        <item x="580"/>
        <item x="582"/>
        <item x="584"/>
        <item x="585"/>
        <item x="586"/>
        <item x="587"/>
        <item x="588"/>
        <item x="668"/>
        <item x="678"/>
        <item x="697"/>
        <item x="707"/>
        <item x="804"/>
        <item x="806"/>
        <item x="807"/>
        <item x="808"/>
        <item x="809"/>
        <item x="810"/>
        <item x="811"/>
        <item x="812"/>
        <item x="813"/>
        <item x="815"/>
        <item x="816"/>
        <item x="817"/>
        <item x="818"/>
        <item x="819"/>
        <item x="820"/>
        <item x="821"/>
        <item x="892"/>
        <item x="1055"/>
        <item x="1220"/>
        <item x="1308"/>
        <item x="1497"/>
        <item x="1556"/>
        <item x="1581"/>
        <item x="1677"/>
        <item x="1713"/>
        <item x="1737"/>
        <item x="1740"/>
        <item x="1796"/>
        <item x="1809"/>
        <item x="1989"/>
        <item x="1990"/>
        <item x="1991"/>
        <item x="1993"/>
        <item x="1994"/>
        <item x="1995"/>
        <item x="1996"/>
        <item x="1998"/>
        <item x="1999"/>
        <item x="2000"/>
        <item x="2001"/>
        <item x="2002"/>
        <item x="2003"/>
        <item x="2004"/>
        <item x="2006"/>
        <item x="2008"/>
        <item x="2009"/>
        <item x="2010"/>
        <item x="2011"/>
        <item x="2012"/>
        <item x="2013"/>
        <item x="2015"/>
        <item x="2016"/>
        <item x="2017"/>
        <item x="2018"/>
        <item x="2019"/>
        <item x="2020"/>
        <item x="2021"/>
        <item x="2022"/>
        <item x="2025"/>
        <item x="2026"/>
        <item x="2027"/>
        <item x="2029"/>
        <item x="2030"/>
        <item x="2031"/>
        <item x="2032"/>
        <item x="2034"/>
        <item x="2035"/>
        <item x="2036"/>
        <item x="2037"/>
        <item x="2038"/>
        <item x="2039"/>
        <item x="2087"/>
        <item x="2236"/>
        <item x="2324"/>
        <item x="2391"/>
        <item x="2404"/>
        <item x="2405"/>
        <item x="2460"/>
        <item x="2500"/>
        <item x="2528"/>
        <item x="2554"/>
        <item x="2556"/>
        <item x="2561"/>
        <item x="2583"/>
        <item x="2587"/>
        <item x="2614"/>
        <item x="2652"/>
        <item x="2656"/>
        <item x="2661"/>
        <item x="2663"/>
        <item x="2665"/>
        <item x="2707"/>
        <item x="2718"/>
        <item x="2742"/>
        <item x="2870"/>
        <item x="2892"/>
        <item x="2974"/>
        <item x="3162"/>
        <item x="18"/>
        <item x="30"/>
        <item x="33"/>
        <item x="95"/>
        <item x="134"/>
        <item x="135"/>
        <item x="136"/>
        <item x="220"/>
        <item x="222"/>
        <item x="223"/>
        <item x="224"/>
        <item x="225"/>
        <item x="226"/>
        <item x="227"/>
        <item x="228"/>
        <item x="229"/>
        <item x="230"/>
        <item x="231"/>
        <item x="233"/>
        <item x="236"/>
        <item x="270"/>
        <item x="271"/>
        <item x="272"/>
        <item x="274"/>
        <item x="302"/>
        <item x="475"/>
        <item x="476"/>
        <item x="513"/>
        <item x="530"/>
        <item x="531"/>
        <item x="532"/>
        <item x="533"/>
        <item x="534"/>
        <item x="535"/>
        <item x="536"/>
        <item x="537"/>
        <item x="538"/>
        <item x="562"/>
        <item x="591"/>
        <item x="592"/>
        <item x="593"/>
        <item x="594"/>
        <item x="595"/>
        <item x="596"/>
        <item x="597"/>
        <item x="599"/>
        <item x="601"/>
        <item x="602"/>
        <item x="603"/>
        <item x="605"/>
        <item x="606"/>
        <item x="657"/>
        <item x="659"/>
        <item x="680"/>
        <item x="686"/>
        <item x="689"/>
        <item x="735"/>
        <item x="738"/>
        <item x="744"/>
        <item x="792"/>
        <item x="822"/>
        <item x="824"/>
        <item x="825"/>
        <item x="826"/>
        <item x="827"/>
        <item x="828"/>
        <item x="829"/>
        <item x="830"/>
        <item x="832"/>
        <item x="834"/>
        <item x="835"/>
        <item x="836"/>
        <item x="837"/>
        <item x="838"/>
        <item x="839"/>
        <item x="841"/>
        <item x="842"/>
        <item x="843"/>
        <item x="844"/>
        <item x="845"/>
        <item x="846"/>
        <item x="848"/>
        <item x="849"/>
        <item x="850"/>
        <item x="852"/>
        <item x="853"/>
        <item x="854"/>
        <item x="855"/>
        <item x="856"/>
        <item x="857"/>
        <item x="858"/>
        <item x="859"/>
        <item x="860"/>
        <item x="862"/>
        <item x="863"/>
        <item x="864"/>
        <item x="865"/>
        <item x="866"/>
        <item x="867"/>
        <item x="868"/>
        <item x="869"/>
        <item x="871"/>
        <item x="872"/>
        <item x="873"/>
        <item x="874"/>
        <item x="962"/>
        <item x="991"/>
        <item x="1031"/>
        <item x="1033"/>
        <item x="1098"/>
        <item x="1100"/>
        <item x="1116"/>
        <item x="1117"/>
        <item x="1125"/>
        <item x="1126"/>
        <item x="1127"/>
        <item x="1128"/>
        <item x="1149"/>
        <item x="1155"/>
        <item x="1162"/>
        <item x="1163"/>
        <item x="1240"/>
        <item x="1264"/>
        <item x="1314"/>
        <item x="1345"/>
        <item x="1350"/>
        <item x="1545"/>
        <item x="1622"/>
        <item x="1625"/>
        <item x="1644"/>
        <item x="1653"/>
        <item x="1662"/>
        <item x="1676"/>
        <item x="1707"/>
        <item x="1768"/>
        <item x="1782"/>
        <item x="1790"/>
        <item x="1840"/>
        <item x="1961"/>
        <item x="1986"/>
        <item x="2014"/>
        <item x="2028"/>
        <item x="2033"/>
        <item x="2040"/>
        <item x="2041"/>
        <item x="2042"/>
        <item x="2043"/>
        <item x="2045"/>
        <item x="2046"/>
        <item x="2047"/>
        <item x="2048"/>
        <item x="2049"/>
        <item x="2050"/>
        <item x="2051"/>
        <item x="2052"/>
        <item x="2053"/>
        <item x="2054"/>
        <item x="2055"/>
        <item x="2057"/>
        <item x="2058"/>
        <item x="2060"/>
        <item x="2061"/>
        <item x="2062"/>
        <item x="2063"/>
        <item x="2064"/>
        <item x="2065"/>
        <item x="2066"/>
        <item x="2068"/>
        <item x="2069"/>
        <item x="2070"/>
        <item x="2071"/>
        <item x="2072"/>
        <item x="2073"/>
        <item x="2074"/>
        <item x="2075"/>
        <item x="2076"/>
        <item x="2077"/>
        <item x="2078"/>
        <item x="2079"/>
        <item x="2080"/>
        <item x="2081"/>
        <item x="2082"/>
        <item x="2083"/>
        <item x="2084"/>
        <item x="2085"/>
        <item x="2086"/>
        <item x="2088"/>
        <item x="2089"/>
        <item x="2090"/>
        <item x="2091"/>
        <item x="2092"/>
        <item x="2093"/>
        <item x="2094"/>
        <item x="2095"/>
        <item x="2332"/>
        <item x="2390"/>
        <item x="2396"/>
        <item x="2412"/>
        <item x="2417"/>
        <item x="2442"/>
        <item x="2444"/>
        <item x="2485"/>
        <item x="2540"/>
        <item x="2580"/>
        <item x="2590"/>
        <item x="2616"/>
        <item x="2641"/>
        <item x="2695"/>
        <item x="2719"/>
        <item x="2728"/>
        <item x="2745"/>
        <item x="2881"/>
        <item x="2904"/>
        <item x="2905"/>
        <item x="2906"/>
        <item x="2907"/>
        <item x="2908"/>
        <item x="3020"/>
        <item x="3053"/>
        <item x="40"/>
        <item x="104"/>
        <item x="164"/>
        <item x="190"/>
        <item x="209"/>
        <item x="210"/>
        <item x="221"/>
        <item x="273"/>
        <item x="275"/>
        <item x="276"/>
        <item x="277"/>
        <item x="539"/>
        <item x="540"/>
        <item x="541"/>
        <item x="542"/>
        <item x="589"/>
        <item x="607"/>
        <item x="608"/>
        <item x="609"/>
        <item x="610"/>
        <item x="611"/>
        <item x="612"/>
        <item x="613"/>
        <item x="614"/>
        <item x="616"/>
        <item x="617"/>
        <item x="618"/>
        <item x="619"/>
        <item x="620"/>
        <item x="621"/>
        <item x="622"/>
        <item x="623"/>
        <item x="641"/>
        <item x="742"/>
        <item x="767"/>
        <item x="796"/>
        <item x="803"/>
        <item x="875"/>
        <item x="876"/>
        <item x="877"/>
        <item x="878"/>
        <item x="879"/>
        <item x="880"/>
        <item x="882"/>
        <item x="883"/>
        <item x="884"/>
        <item x="885"/>
        <item x="886"/>
        <item x="887"/>
        <item x="888"/>
        <item x="889"/>
        <item x="890"/>
        <item x="891"/>
        <item x="893"/>
        <item x="894"/>
        <item x="895"/>
        <item x="896"/>
        <item x="897"/>
        <item x="898"/>
        <item x="899"/>
        <item x="900"/>
        <item x="901"/>
        <item x="902"/>
        <item x="903"/>
        <item x="904"/>
        <item x="905"/>
        <item x="906"/>
        <item x="998"/>
        <item x="1056"/>
        <item x="1092"/>
        <item x="1093"/>
        <item x="1165"/>
        <item x="1187"/>
        <item x="1208"/>
        <item x="1309"/>
        <item x="1316"/>
        <item x="1317"/>
        <item x="1318"/>
        <item x="1319"/>
        <item x="1349"/>
        <item x="1352"/>
        <item x="1363"/>
        <item x="1533"/>
        <item x="1546"/>
        <item x="1555"/>
        <item x="1714"/>
        <item x="1758"/>
        <item x="1789"/>
        <item x="1803"/>
        <item x="1817"/>
        <item x="1837"/>
        <item x="1871"/>
        <item x="1918"/>
        <item x="1964"/>
        <item x="1980"/>
        <item x="2024"/>
        <item x="2096"/>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5"/>
        <item x="2126"/>
        <item x="2127"/>
        <item x="2128"/>
        <item x="2129"/>
        <item x="2130"/>
        <item x="2131"/>
        <item x="2132"/>
        <item x="2133"/>
        <item x="2135"/>
        <item x="2136"/>
        <item x="2137"/>
        <item x="2138"/>
        <item x="2140"/>
        <item x="2141"/>
        <item x="2143"/>
        <item x="2144"/>
        <item x="2145"/>
        <item x="2146"/>
        <item x="2148"/>
        <item x="2149"/>
        <item x="2150"/>
        <item x="2151"/>
        <item x="2153"/>
        <item x="2154"/>
        <item x="2155"/>
        <item x="2156"/>
        <item x="2157"/>
        <item x="2159"/>
        <item x="2161"/>
        <item x="2162"/>
        <item x="2163"/>
        <item x="2164"/>
        <item x="2165"/>
        <item x="2166"/>
        <item x="2167"/>
        <item x="2168"/>
        <item x="2169"/>
        <item x="2171"/>
        <item x="2172"/>
        <item x="2173"/>
        <item x="2174"/>
        <item x="2369"/>
        <item x="2384"/>
        <item x="2419"/>
        <item x="2539"/>
        <item x="2662"/>
        <item x="2698"/>
        <item x="2777"/>
        <item x="2791"/>
        <item x="2872"/>
        <item x="2891"/>
        <item x="3034"/>
        <item x="45"/>
        <item x="105"/>
        <item x="116"/>
        <item x="138"/>
        <item x="139"/>
        <item x="140"/>
        <item x="211"/>
        <item x="212"/>
        <item x="213"/>
        <item x="219"/>
        <item x="289"/>
        <item x="298"/>
        <item x="312"/>
        <item x="313"/>
        <item x="331"/>
        <item x="333"/>
        <item x="337"/>
        <item x="440"/>
        <item x="477"/>
        <item x="478"/>
        <item x="490"/>
        <item x="543"/>
        <item x="544"/>
        <item x="545"/>
        <item x="546"/>
        <item x="547"/>
        <item x="548"/>
        <item x="549"/>
        <item x="590"/>
        <item x="624"/>
        <item x="625"/>
        <item x="626"/>
        <item x="627"/>
        <item x="628"/>
        <item x="629"/>
        <item x="907"/>
        <item x="908"/>
        <item x="909"/>
        <item x="911"/>
        <item x="912"/>
        <item x="913"/>
        <item x="914"/>
        <item x="915"/>
        <item x="916"/>
        <item x="917"/>
        <item x="918"/>
        <item x="919"/>
        <item x="920"/>
        <item x="921"/>
        <item x="922"/>
        <item x="923"/>
        <item x="924"/>
        <item x="966"/>
        <item x="1064"/>
        <item x="1272"/>
        <item x="1284"/>
        <item x="1310"/>
        <item x="1315"/>
        <item x="1459"/>
        <item x="1528"/>
        <item x="1541"/>
        <item x="1547"/>
        <item x="1570"/>
        <item x="1618"/>
        <item x="1668"/>
        <item x="1702"/>
        <item x="1742"/>
        <item x="1797"/>
        <item x="1851"/>
        <item x="1858"/>
        <item x="1985"/>
        <item x="2056"/>
        <item x="2175"/>
        <item x="2176"/>
        <item x="2177"/>
        <item x="2178"/>
        <item x="2182"/>
        <item x="2183"/>
        <item x="2184"/>
        <item x="2185"/>
        <item x="2186"/>
        <item x="2187"/>
        <item x="2189"/>
        <item x="2192"/>
        <item x="2193"/>
        <item x="2194"/>
        <item x="2195"/>
        <item x="2196"/>
        <item x="2197"/>
        <item x="2198"/>
        <item x="2199"/>
        <item x="2200"/>
        <item x="2201"/>
        <item x="2202"/>
        <item x="2203"/>
        <item x="2204"/>
        <item x="2205"/>
        <item x="2206"/>
        <item x="2207"/>
        <item x="2208"/>
        <item x="2209"/>
        <item x="2211"/>
        <item x="2212"/>
        <item x="2213"/>
        <item x="2214"/>
        <item x="2215"/>
        <item x="2216"/>
        <item x="2217"/>
        <item x="2218"/>
        <item x="2219"/>
        <item x="2220"/>
        <item x="2221"/>
        <item x="2222"/>
        <item x="2223"/>
        <item x="2224"/>
        <item x="2225"/>
        <item x="2226"/>
        <item x="2227"/>
        <item x="2228"/>
        <item x="2229"/>
        <item x="2230"/>
        <item x="2330"/>
        <item x="2354"/>
        <item x="2433"/>
        <item x="2480"/>
        <item x="2538"/>
        <item x="2618"/>
        <item x="2619"/>
        <item x="2723"/>
        <item x="2817"/>
        <item x="39"/>
        <item x="57"/>
        <item x="78"/>
        <item x="141"/>
        <item x="142"/>
        <item x="143"/>
        <item x="144"/>
        <item x="145"/>
        <item x="146"/>
        <item x="262"/>
        <item x="278"/>
        <item x="280"/>
        <item x="290"/>
        <item x="299"/>
        <item x="479"/>
        <item x="492"/>
        <item x="493"/>
        <item x="523"/>
        <item x="554"/>
        <item x="598"/>
        <item x="604"/>
        <item x="615"/>
        <item x="630"/>
        <item x="631"/>
        <item x="632"/>
        <item x="633"/>
        <item x="634"/>
        <item x="635"/>
        <item x="636"/>
        <item x="651"/>
        <item x="681"/>
        <item x="700"/>
        <item x="762"/>
        <item x="764"/>
        <item x="776"/>
        <item x="925"/>
        <item x="926"/>
        <item x="927"/>
        <item x="928"/>
        <item x="929"/>
        <item x="930"/>
        <item x="931"/>
        <item x="932"/>
        <item x="933"/>
        <item x="934"/>
        <item x="965"/>
        <item x="1059"/>
        <item x="1061"/>
        <item x="1091"/>
        <item x="1166"/>
        <item x="1638"/>
        <item x="1645"/>
        <item x="1715"/>
        <item x="1716"/>
        <item x="1725"/>
        <item x="1732"/>
        <item x="1756"/>
        <item x="1775"/>
        <item x="1798"/>
        <item x="1811"/>
        <item x="1839"/>
        <item x="1911"/>
        <item x="1997"/>
        <item x="2005"/>
        <item x="2067"/>
        <item x="2123"/>
        <item x="2147"/>
        <item x="2188"/>
        <item x="2231"/>
        <item x="2232"/>
        <item x="2233"/>
        <item x="2234"/>
        <item x="2235"/>
        <item x="2237"/>
        <item x="2238"/>
        <item x="2239"/>
        <item x="2240"/>
        <item x="2241"/>
        <item x="2242"/>
        <item x="2243"/>
        <item x="2244"/>
        <item x="2246"/>
        <item x="2247"/>
        <item x="2248"/>
        <item x="2249"/>
        <item x="2250"/>
        <item x="2251"/>
        <item x="2253"/>
        <item x="2254"/>
        <item x="2255"/>
        <item x="2256"/>
        <item x="2257"/>
        <item x="2258"/>
        <item x="2259"/>
        <item x="2260"/>
        <item x="2261"/>
        <item x="2263"/>
        <item x="2264"/>
        <item x="2265"/>
        <item x="2266"/>
        <item x="2267"/>
        <item x="2268"/>
        <item x="2270"/>
        <item x="2271"/>
        <item x="2272"/>
        <item x="2273"/>
        <item x="2274"/>
        <item x="2275"/>
        <item x="2276"/>
        <item x="2277"/>
        <item x="2278"/>
        <item x="2279"/>
        <item x="2335"/>
        <item x="2337"/>
        <item x="2610"/>
        <item x="2775"/>
        <item x="2880"/>
        <item x="4"/>
        <item x="8"/>
        <item x="11"/>
        <item x="12"/>
        <item x="14"/>
        <item x="15"/>
        <item x="16"/>
        <item x="37"/>
        <item x="48"/>
        <item x="63"/>
        <item x="148"/>
        <item x="154"/>
        <item x="167"/>
        <item x="168"/>
        <item x="232"/>
        <item x="234"/>
        <item x="235"/>
        <item x="237"/>
        <item x="238"/>
        <item x="437"/>
        <item x="438"/>
        <item x="480"/>
        <item x="481"/>
        <item x="482"/>
        <item x="483"/>
        <item x="484"/>
        <item x="485"/>
        <item x="486"/>
        <item x="487"/>
        <item x="488"/>
        <item x="489"/>
        <item x="494"/>
        <item x="550"/>
        <item x="551"/>
        <item x="552"/>
        <item x="553"/>
        <item x="581"/>
        <item x="583"/>
        <item x="600"/>
        <item x="637"/>
        <item x="638"/>
        <item x="639"/>
        <item x="646"/>
        <item x="652"/>
        <item x="690"/>
        <item x="712"/>
        <item x="713"/>
        <item x="732"/>
        <item x="754"/>
        <item x="774"/>
        <item x="779"/>
        <item x="780"/>
        <item x="833"/>
        <item x="847"/>
        <item x="935"/>
        <item x="936"/>
        <item x="937"/>
        <item x="938"/>
        <item x="939"/>
        <item x="940"/>
        <item x="941"/>
        <item x="942"/>
        <item x="943"/>
        <item x="945"/>
        <item x="946"/>
        <item x="947"/>
        <item x="948"/>
        <item x="949"/>
        <item x="950"/>
        <item x="951"/>
        <item x="952"/>
        <item x="953"/>
        <item x="954"/>
        <item x="956"/>
        <item x="957"/>
        <item x="958"/>
        <item x="959"/>
        <item x="973"/>
        <item x="981"/>
        <item x="1001"/>
        <item x="1066"/>
        <item x="1067"/>
        <item x="1088"/>
        <item x="1129"/>
        <item x="1130"/>
        <item x="1131"/>
        <item x="1148"/>
        <item x="1294"/>
        <item x="1311"/>
        <item x="1312"/>
        <item x="1313"/>
        <item x="1344"/>
        <item x="1351"/>
        <item x="1355"/>
        <item x="1365"/>
        <item x="1366"/>
        <item x="1367"/>
        <item x="1466"/>
        <item x="1504"/>
        <item x="1511"/>
        <item x="1512"/>
        <item x="1513"/>
        <item x="1514"/>
        <item x="1515"/>
        <item x="1516"/>
        <item x="1538"/>
        <item x="1623"/>
        <item x="1660"/>
        <item x="1670"/>
        <item x="1672"/>
        <item x="1682"/>
        <item x="1783"/>
        <item x="1831"/>
        <item x="1863"/>
        <item x="1864"/>
        <item x="1926"/>
        <item x="1935"/>
        <item x="1972"/>
        <item x="2139"/>
        <item x="2158"/>
        <item x="2160"/>
        <item x="2180"/>
        <item x="2181"/>
        <item x="2210"/>
        <item x="2269"/>
        <item x="2280"/>
        <item x="2281"/>
        <item x="2282"/>
        <item x="2284"/>
        <item x="2285"/>
        <item x="2286"/>
        <item x="2287"/>
        <item x="2288"/>
        <item x="2289"/>
        <item x="2290"/>
        <item x="2291"/>
        <item x="2292"/>
        <item x="2293"/>
        <item x="2294"/>
        <item x="2295"/>
        <item x="2296"/>
        <item x="2297"/>
        <item x="2298"/>
        <item x="2299"/>
        <item x="2300"/>
        <item x="2301"/>
        <item x="2302"/>
        <item x="2303"/>
        <item x="2304"/>
        <item x="2305"/>
        <item x="2306"/>
        <item x="2376"/>
        <item x="2379"/>
        <item x="2449"/>
        <item x="2535"/>
        <item x="2559"/>
        <item x="2603"/>
        <item x="2654"/>
        <item x="2799"/>
        <item x="2869"/>
        <item x="2873"/>
        <item x="2896"/>
        <item t="default"/>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1">
        <item x="2"/>
        <item x="3"/>
        <item x="4"/>
        <item x="0"/>
        <item x="5"/>
        <item x="6"/>
        <item x="1"/>
        <item x="7"/>
        <item x="9"/>
        <item x="8"/>
        <item x="10"/>
      </items>
      <extLst>
        <ext xmlns:x14="http://schemas.microsoft.com/office/spreadsheetml/2009/9/main" uri="{2946ED86-A175-432a-8AC1-64E0C546D7DE}">
          <x14:pivotField fillDownLabels="1"/>
        </ext>
      </extLst>
    </pivotField>
  </pivotFields>
  <rowFields count="1">
    <field x="7"/>
  </rowFields>
  <rowItems count="12">
    <i>
      <x/>
    </i>
    <i>
      <x v="1"/>
    </i>
    <i>
      <x v="2"/>
    </i>
    <i>
      <x v="3"/>
    </i>
    <i>
      <x v="4"/>
    </i>
    <i>
      <x v="5"/>
    </i>
    <i>
      <x v="6"/>
    </i>
    <i>
      <x v="7"/>
    </i>
    <i>
      <x v="8"/>
    </i>
    <i>
      <x v="9"/>
    </i>
    <i>
      <x v="10"/>
    </i>
    <i t="grand">
      <x/>
    </i>
  </rowItems>
  <colItems count="1">
    <i/>
  </colItems>
  <dataFields count="1">
    <dataField name="Sum of TotaL Amount" fld="6" baseField="0" baseItem="0"/>
  </dataFields>
  <formats count="4">
    <format dxfId="708">
      <pivotArea type="all" dataOnly="0" outline="0" fieldPosition="0"/>
    </format>
    <format dxfId="707">
      <pivotArea field="1" type="button" dataOnly="0" labelOnly="1" outline="0"/>
    </format>
    <format dxfId="706">
      <pivotArea outline="0" collapsedLevelsAreSubtotals="1" fieldPosition="0"/>
    </format>
    <format dxfId="705">
      <pivotArea dataOnly="0" labelOnly="1" outline="0" axis="axisValues" fieldPosition="0"/>
    </format>
  </formats>
  <pivotTableStyleInfo name="PivotStyleLight22" showRowHeaders="0" showColHeaders="1" showRowStripes="1"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5.xml><?xml version="1.0" encoding="utf-8"?>
<pivotTableDefinition xmlns="http://schemas.openxmlformats.org/spreadsheetml/2006/main" name="PivotTable3" cacheId="5" applyNumberFormats="0" applyBorderFormats="0" applyFontFormats="0" applyPatternFormats="0" applyAlignmentFormats="0" applyWidthHeightFormats="1" dataCaption="Values" updatedVersion="5" minRefreshableVersion="3" useAutoFormatting="1" itemPrintTitles="1" createdVersion="6" indent="0" outline="1" outlineData="1" multipleFieldFilters="0" rowHeaderCaption="Store Name">
  <location ref="A3:B11" firstHeaderRow="1" firstDataRow="1" firstDataCol="1"/>
  <pivotFields count="8">
    <pivotField showAll="0"/>
    <pivotField showAll="0"/>
    <pivotField showAll="0"/>
    <pivotField numFmtId="164" showAll="0"/>
    <pivotField showAll="0"/>
    <pivotField numFmtId="164" showAll="0"/>
    <pivotField dataField="1" numFmtId="164" showAll="0"/>
    <pivotField axis="axisRow" showAll="0">
      <items count="8">
        <item x="3"/>
        <item x="1"/>
        <item x="0"/>
        <item x="4"/>
        <item x="5"/>
        <item x="6"/>
        <item x="2"/>
        <item t="default"/>
      </items>
    </pivotField>
  </pivotFields>
  <rowFields count="1">
    <field x="7"/>
  </rowFields>
  <rowItems count="8">
    <i>
      <x/>
    </i>
    <i>
      <x v="1"/>
    </i>
    <i>
      <x v="2"/>
    </i>
    <i>
      <x v="3"/>
    </i>
    <i>
      <x v="4"/>
    </i>
    <i>
      <x v="5"/>
    </i>
    <i>
      <x v="6"/>
    </i>
    <i t="grand">
      <x/>
    </i>
  </rowItems>
  <colItems count="1">
    <i/>
  </colItems>
  <dataFields count="1">
    <dataField name="Sum of Profit" fld="6" baseField="7" baseItem="9" numFmtId="164"/>
  </dataFields>
  <formats count="16">
    <format dxfId="694">
      <pivotArea outline="0" collapsedLevelsAreSubtotals="1" fieldPosition="0"/>
    </format>
    <format dxfId="693">
      <pivotArea dataOnly="0" labelOnly="1" outline="0" axis="axisValues" fieldPosition="0"/>
    </format>
    <format dxfId="692">
      <pivotArea type="all" dataOnly="0" outline="0" fieldPosition="0"/>
    </format>
    <format dxfId="691">
      <pivotArea outline="0" collapsedLevelsAreSubtotals="1" fieldPosition="0"/>
    </format>
    <format dxfId="690">
      <pivotArea field="7" type="button" dataOnly="0" labelOnly="1" outline="0" axis="axisRow" fieldPosition="0"/>
    </format>
    <format dxfId="689">
      <pivotArea dataOnly="0" labelOnly="1" fieldPosition="0">
        <references count="1">
          <reference field="7" count="0"/>
        </references>
      </pivotArea>
    </format>
    <format dxfId="688">
      <pivotArea dataOnly="0" labelOnly="1" grandRow="1" outline="0" fieldPosition="0"/>
    </format>
    <format dxfId="687">
      <pivotArea dataOnly="0" labelOnly="1" outline="0" axis="axisValues" fieldPosition="0"/>
    </format>
    <format dxfId="686">
      <pivotArea field="7" type="button" dataOnly="0" labelOnly="1" outline="0" axis="axisRow" fieldPosition="0"/>
    </format>
    <format dxfId="685">
      <pivotArea dataOnly="0" labelOnly="1" outline="0" axis="axisValues" fieldPosition="0"/>
    </format>
    <format dxfId="684">
      <pivotArea type="all" dataOnly="0" outline="0" fieldPosition="0"/>
    </format>
    <format dxfId="683">
      <pivotArea outline="0" collapsedLevelsAreSubtotals="1" fieldPosition="0"/>
    </format>
    <format dxfId="682">
      <pivotArea field="7" type="button" dataOnly="0" labelOnly="1" outline="0" axis="axisRow" fieldPosition="0"/>
    </format>
    <format dxfId="681">
      <pivotArea dataOnly="0" labelOnly="1" fieldPosition="0">
        <references count="1">
          <reference field="7" count="0"/>
        </references>
      </pivotArea>
    </format>
    <format dxfId="680">
      <pivotArea dataOnly="0" labelOnly="1" grandRow="1" outline="0" fieldPosition="0"/>
    </format>
    <format dxfId="679">
      <pivotArea dataOnly="0" labelOnly="1" outline="0" axis="axisValues" fieldPosition="0"/>
    </format>
  </formats>
  <pivotTableStyleInfo name="PivotStyleLight22" showRowHeaders="0" showColHeaders="1" showRowStripes="1"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6" minRefreshableVersion="5" useAutoFormatting="1" itemPrintTitles="1" createdVersion="6" indent="0" compact="0" compactData="0" multipleFieldFilters="0">
  <location ref="A3:H13" firstHeaderRow="0" firstDataRow="1" firstDataCol="6"/>
  <pivotFields count="39">
    <pivotField compact="0" outline="0" showAll="0" defaultSubtotal="0">
      <extLst>
        <ext xmlns:x14="http://schemas.microsoft.com/office/spreadsheetml/2009/9/main" uri="{2946ED86-A175-432a-8AC1-64E0C546D7DE}">
          <x14:pivotField fillDownLabels="1"/>
        </ext>
      </extLst>
    </pivotField>
    <pivotField name="Date" axis="axisRow" compact="0" numFmtId="177" outline="0" showAll="0" defaultSubtotal="0">
      <items count="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s>
      <extLst>
        <ext xmlns:x14="http://schemas.microsoft.com/office/spreadsheetml/2009/9/main" uri="{2946ED86-A175-432a-8AC1-64E0C546D7DE}">
          <x14:pivotField fillDownLabels="1"/>
        </ext>
      </extLst>
    </pivotField>
    <pivotField axis="axisRow" compact="0" outline="0" showAll="0" defaultSubtotal="0">
      <items count="59">
        <item x="39"/>
        <item x="54"/>
        <item x="48"/>
        <item x="46"/>
        <item x="25"/>
        <item x="13"/>
        <item x="44"/>
        <item x="42"/>
        <item x="20"/>
        <item x="22"/>
        <item x="53"/>
        <item x="28"/>
        <item x="41"/>
        <item x="23"/>
        <item x="43"/>
        <item x="26"/>
        <item x="47"/>
        <item x="31"/>
        <item x="56"/>
        <item x="0"/>
        <item x="35"/>
        <item x="57"/>
        <item m="1" x="58"/>
        <item x="3"/>
        <item x="49"/>
        <item x="45"/>
        <item x="32"/>
        <item x="34"/>
        <item x="8"/>
        <item x="36"/>
        <item x="19"/>
        <item x="16"/>
        <item x="33"/>
        <item x="52"/>
        <item x="5"/>
        <item x="10"/>
        <item x="37"/>
        <item x="12"/>
        <item x="4"/>
        <item x="51"/>
        <item x="55"/>
        <item x="29"/>
        <item x="9"/>
        <item x="27"/>
        <item x="2"/>
        <item x="11"/>
        <item x="38"/>
        <item x="6"/>
        <item x="30"/>
        <item x="18"/>
        <item x="7"/>
        <item x="50"/>
        <item x="1"/>
        <item x="24"/>
        <item x="21"/>
        <item x="17"/>
        <item x="14"/>
        <item x="40"/>
        <item x="15"/>
      </items>
      <extLst>
        <ext xmlns:x14="http://schemas.microsoft.com/office/spreadsheetml/2009/9/main" uri="{2946ED86-A175-432a-8AC1-64E0C546D7DE}">
          <x14:pivotField fillDownLabels="1"/>
        </ext>
      </extLst>
    </pivotField>
    <pivotField axis="axisRow" compact="0" outline="0" showAll="0" defaultSubtotal="0">
      <items count="47">
        <item x="20"/>
        <item x="17"/>
        <item x="4"/>
        <item x="24"/>
        <item x="35"/>
        <item x="15"/>
        <item x="29"/>
        <item x="33"/>
        <item x="45"/>
        <item x="8"/>
        <item x="1"/>
        <item x="14"/>
        <item x="31"/>
        <item x="37"/>
        <item x="32"/>
        <item x="43"/>
        <item x="3"/>
        <item x="9"/>
        <item x="13"/>
        <item x="46"/>
        <item x="10"/>
        <item x="18"/>
        <item x="19"/>
        <item x="22"/>
        <item x="38"/>
        <item x="11"/>
        <item x="42"/>
        <item x="40"/>
        <item x="0"/>
        <item x="7"/>
        <item x="30"/>
        <item x="25"/>
        <item x="41"/>
        <item x="23"/>
        <item x="36"/>
        <item x="21"/>
        <item x="39"/>
        <item x="5"/>
        <item x="44"/>
        <item x="16"/>
        <item x="6"/>
        <item x="28"/>
        <item x="26"/>
        <item x="12"/>
        <item x="34"/>
        <item x="27"/>
        <item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58">
        <item x="32"/>
        <item x="28"/>
        <item x="33"/>
        <item x="36"/>
        <item x="22"/>
        <item x="50"/>
        <item x="30"/>
        <item x="47"/>
        <item x="10"/>
        <item x="57"/>
        <item x="8"/>
        <item x="51"/>
        <item x="34"/>
        <item x="39"/>
        <item x="18"/>
        <item x="11"/>
        <item x="53"/>
        <item x="26"/>
        <item x="21"/>
        <item x="54"/>
        <item x="42"/>
        <item x="43"/>
        <item x="49"/>
        <item x="19"/>
        <item x="48"/>
        <item x="17"/>
        <item x="56"/>
        <item x="6"/>
        <item x="25"/>
        <item x="27"/>
        <item x="44"/>
        <item x="15"/>
        <item x="40"/>
        <item x="55"/>
        <item x="7"/>
        <item x="9"/>
        <item x="13"/>
        <item x="46"/>
        <item x="35"/>
        <item x="45"/>
        <item x="5"/>
        <item x="12"/>
        <item x="14"/>
        <item x="29"/>
        <item x="41"/>
        <item x="2"/>
        <item x="52"/>
        <item x="24"/>
        <item x="20"/>
        <item x="31"/>
        <item x="4"/>
        <item x="1"/>
        <item x="0"/>
        <item x="38"/>
        <item x="16"/>
        <item x="23"/>
        <item x="37"/>
        <item x="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47">
        <item x="35"/>
        <item x="36"/>
        <item x="19"/>
        <item x="17"/>
        <item x="7"/>
        <item x="8"/>
        <item x="33"/>
        <item x="42"/>
        <item x="26"/>
        <item x="25"/>
        <item x="18"/>
        <item x="31"/>
        <item x="29"/>
        <item x="45"/>
        <item x="30"/>
        <item x="40"/>
        <item x="14"/>
        <item x="13"/>
        <item x="16"/>
        <item x="32"/>
        <item x="21"/>
        <item x="22"/>
        <item x="28"/>
        <item x="11"/>
        <item x="20"/>
        <item x="39"/>
        <item x="27"/>
        <item x="10"/>
        <item x="34"/>
        <item x="24"/>
        <item x="6"/>
        <item x="12"/>
        <item x="15"/>
        <item x="44"/>
        <item x="41"/>
        <item x="46"/>
        <item x="37"/>
        <item x="1"/>
        <item x="5"/>
        <item x="2"/>
        <item x="0"/>
        <item x="3"/>
        <item x="4"/>
        <item x="38"/>
        <item x="23"/>
        <item x="9"/>
        <item x="4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3"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dataField="1" compact="0" numFmtId="14" outline="0" showAll="0" defaultSubtotal="0">
      <items count="14">
        <item x="0"/>
        <item x="1"/>
        <item x="2"/>
        <item x="3"/>
        <item x="4"/>
        <item x="5"/>
        <item x="6"/>
        <item x="7"/>
        <item x="8"/>
        <item x="9"/>
        <item x="10"/>
        <item x="11"/>
        <item x="12"/>
        <item x="13"/>
      </items>
      <extLst>
        <ext xmlns:x14="http://schemas.microsoft.com/office/spreadsheetml/2009/9/main" uri="{2946ED86-A175-432a-8AC1-64E0C546D7DE}">
          <x14:pivotField fillDownLabels="1"/>
        </ext>
      </extLst>
    </pivotField>
    <pivotField dataField="1" compact="0" numFmtId="164"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4"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items count="6">
        <item sd="0" x="0"/>
        <item sd="0" x="1"/>
        <item sd="0" x="2"/>
        <item sd="0" x="3"/>
        <item sd="0" x="4"/>
        <item sd="0" x="5"/>
      </items>
      <extLst>
        <ext xmlns:x14="http://schemas.microsoft.com/office/spreadsheetml/2009/9/main" uri="{2946ED86-A175-432a-8AC1-64E0C546D7DE}">
          <x14:pivotField fillDownLabels="1"/>
        </ext>
      </extLst>
    </pivotField>
    <pivotField compact="0" outline="0" showAll="0" defaultSubtotal="0">
      <items count="4">
        <item sd="0" x="0"/>
        <item sd="0" x="1"/>
        <item sd="0" x="2"/>
        <item sd="0" x="3"/>
      </items>
      <extLst>
        <ext xmlns:x14="http://schemas.microsoft.com/office/spreadsheetml/2009/9/main" uri="{2946ED86-A175-432a-8AC1-64E0C546D7DE}">
          <x14:pivotField fillDownLabels="1"/>
        </ext>
      </extLst>
    </pivotField>
  </pivotFields>
  <rowFields count="6">
    <field x="1"/>
    <field x="2"/>
    <field x="3"/>
    <field x="6"/>
    <field x="10"/>
    <field x="11"/>
  </rowFields>
  <rowItems count="10">
    <i>
      <x v="19"/>
      <x v="8"/>
      <x v="11"/>
      <x v="48"/>
      <x/>
      <x v="45"/>
    </i>
    <i>
      <x v="20"/>
      <x v="54"/>
      <x v="39"/>
      <x v="18"/>
      <x/>
      <x v="27"/>
    </i>
    <i>
      <x v="21"/>
      <x v="9"/>
      <x v="28"/>
      <x v="4"/>
      <x/>
      <x v="23"/>
    </i>
    <i>
      <x v="22"/>
      <x v="13"/>
      <x v="17"/>
      <x v="55"/>
      <x/>
      <x v="31"/>
    </i>
    <i r="1">
      <x v="53"/>
      <x v="1"/>
      <x v="47"/>
      <x/>
      <x v="17"/>
    </i>
    <i>
      <x v="23"/>
      <x v="4"/>
      <x v="21"/>
      <x v="28"/>
      <x/>
      <x v="16"/>
    </i>
    <i>
      <x v="24"/>
      <x v="15"/>
      <x v="22"/>
      <x v="17"/>
      <x/>
      <x v="32"/>
    </i>
    <i r="1">
      <x v="43"/>
      <x/>
      <x v="29"/>
      <x/>
      <x v="18"/>
    </i>
    <i>
      <x v="25"/>
      <x v="11"/>
      <x v="28"/>
      <x v="1"/>
      <x/>
      <x v="3"/>
    </i>
    <i t="grand">
      <x/>
    </i>
  </rowItems>
  <colFields count="1">
    <field x="-2"/>
  </colFields>
  <colItems count="2">
    <i>
      <x/>
    </i>
    <i i="1">
      <x v="1"/>
    </i>
  </colItems>
  <dataFields count="2">
    <dataField name=" First Date" fld="32" baseField="11" baseItem="40" numFmtId="176"/>
    <dataField name=" First Amount" fld="33" baseField="11" baseItem="40" numFmtId="164"/>
  </dataFields>
  <formats count="68">
    <format dxfId="566">
      <pivotArea type="all" dataOnly="0" outline="0" fieldPosition="0"/>
    </format>
    <format dxfId="565">
      <pivotArea field="1" type="button" dataOnly="0" labelOnly="1" outline="0" axis="axisRow" fieldPosition="0"/>
    </format>
    <format dxfId="564">
      <pivotArea dataOnly="0" labelOnly="1" fieldPosition="0">
        <references count="1">
          <reference field="1" count="0"/>
        </references>
      </pivotArea>
    </format>
    <format dxfId="563">
      <pivotArea dataOnly="0" labelOnly="1" grandRow="1" outline="0" fieldPosition="0"/>
    </format>
    <format dxfId="562">
      <pivotArea dataOnly="0" labelOnly="1" fieldPosition="0">
        <references count="2">
          <reference field="1" count="1" selected="0">
            <x v="0"/>
          </reference>
          <reference field="2" count="1">
            <x v="19"/>
          </reference>
        </references>
      </pivotArea>
    </format>
    <format dxfId="561">
      <pivotArea dataOnly="0" labelOnly="1" fieldPosition="0">
        <references count="2">
          <reference field="1" count="1" selected="0">
            <x v="1"/>
          </reference>
          <reference field="2" count="1">
            <x v="52"/>
          </reference>
        </references>
      </pivotArea>
    </format>
    <format dxfId="560">
      <pivotArea dataOnly="0" labelOnly="1" fieldPosition="0">
        <references count="2">
          <reference field="1" count="1" selected="0">
            <x v="2"/>
          </reference>
          <reference field="2" count="1">
            <x v="44"/>
          </reference>
        </references>
      </pivotArea>
    </format>
    <format dxfId="559">
      <pivotArea dataOnly="0" labelOnly="1" fieldPosition="0">
        <references count="2">
          <reference field="1" count="1" selected="0">
            <x v="3"/>
          </reference>
          <reference field="2" count="1">
            <x v="23"/>
          </reference>
        </references>
      </pivotArea>
    </format>
    <format dxfId="558">
      <pivotArea dataOnly="0" labelOnly="1" fieldPosition="0">
        <references count="2">
          <reference field="1" count="1" selected="0">
            <x v="4"/>
          </reference>
          <reference field="2" count="1">
            <x v="38"/>
          </reference>
        </references>
      </pivotArea>
    </format>
    <format dxfId="557">
      <pivotArea dataOnly="0" labelOnly="1" fieldPosition="0">
        <references count="2">
          <reference field="1" count="1" selected="0">
            <x v="5"/>
          </reference>
          <reference field="2" count="1">
            <x v="34"/>
          </reference>
        </references>
      </pivotArea>
    </format>
    <format dxfId="556">
      <pivotArea dataOnly="0" labelOnly="1" fieldPosition="0">
        <references count="2">
          <reference field="1" count="1" selected="0">
            <x v="6"/>
          </reference>
          <reference field="2" count="1">
            <x v="47"/>
          </reference>
        </references>
      </pivotArea>
    </format>
    <format dxfId="555">
      <pivotArea dataOnly="0" labelOnly="1" fieldPosition="0">
        <references count="2">
          <reference field="1" count="1" selected="0">
            <x v="7"/>
          </reference>
          <reference field="2" count="1">
            <x v="50"/>
          </reference>
        </references>
      </pivotArea>
    </format>
    <format dxfId="554">
      <pivotArea dataOnly="0" labelOnly="1" fieldPosition="0">
        <references count="2">
          <reference field="1" count="1" selected="0">
            <x v="8"/>
          </reference>
          <reference field="2" count="1">
            <x v="28"/>
          </reference>
        </references>
      </pivotArea>
    </format>
    <format dxfId="553">
      <pivotArea dataOnly="0" labelOnly="1" fieldPosition="0">
        <references count="2">
          <reference field="1" count="1" selected="0">
            <x v="9"/>
          </reference>
          <reference field="2" count="1">
            <x v="42"/>
          </reference>
        </references>
      </pivotArea>
    </format>
    <format dxfId="552">
      <pivotArea dataOnly="0" labelOnly="1" fieldPosition="0">
        <references count="2">
          <reference field="1" count="1" selected="0">
            <x v="10"/>
          </reference>
          <reference field="2" count="2">
            <x v="35"/>
            <x v="45"/>
          </reference>
        </references>
      </pivotArea>
    </format>
    <format dxfId="551">
      <pivotArea dataOnly="0" labelOnly="1" fieldPosition="0">
        <references count="2">
          <reference field="1" count="1" selected="0">
            <x v="11"/>
          </reference>
          <reference field="2" count="1">
            <x v="37"/>
          </reference>
        </references>
      </pivotArea>
    </format>
    <format dxfId="550">
      <pivotArea dataOnly="0" labelOnly="1" fieldPosition="0">
        <references count="2">
          <reference field="1" count="1" selected="0">
            <x v="12"/>
          </reference>
          <reference field="2" count="1">
            <x v="5"/>
          </reference>
        </references>
      </pivotArea>
    </format>
    <format dxfId="549">
      <pivotArea dataOnly="0" labelOnly="1" fieldPosition="0">
        <references count="2">
          <reference field="1" count="1" selected="0">
            <x v="13"/>
          </reference>
          <reference field="2" count="1">
            <x v="56"/>
          </reference>
        </references>
      </pivotArea>
    </format>
    <format dxfId="548">
      <pivotArea dataOnly="0" labelOnly="1" fieldPosition="0">
        <references count="2">
          <reference field="1" count="1" selected="0">
            <x v="14"/>
          </reference>
          <reference field="2" count="1">
            <x v="22"/>
          </reference>
        </references>
      </pivotArea>
    </format>
    <format dxfId="547">
      <pivotArea dataOnly="0" labelOnly="1" fieldPosition="0">
        <references count="2">
          <reference field="1" count="1" selected="0">
            <x v="15"/>
          </reference>
          <reference field="2" count="1">
            <x v="31"/>
          </reference>
        </references>
      </pivotArea>
    </format>
    <format dxfId="546">
      <pivotArea dataOnly="0" labelOnly="1" fieldPosition="0">
        <references count="2">
          <reference field="1" count="1" selected="0">
            <x v="16"/>
          </reference>
          <reference field="2" count="1">
            <x v="55"/>
          </reference>
        </references>
      </pivotArea>
    </format>
    <format dxfId="545">
      <pivotArea dataOnly="0" labelOnly="1" fieldPosition="0">
        <references count="2">
          <reference field="1" count="1" selected="0">
            <x v="17"/>
          </reference>
          <reference field="2" count="1">
            <x v="49"/>
          </reference>
        </references>
      </pivotArea>
    </format>
    <format dxfId="544">
      <pivotArea dataOnly="0" labelOnly="1" fieldPosition="0">
        <references count="2">
          <reference field="1" count="1" selected="0">
            <x v="18"/>
          </reference>
          <reference field="2" count="1">
            <x v="30"/>
          </reference>
        </references>
      </pivotArea>
    </format>
    <format dxfId="543">
      <pivotArea dataOnly="0" labelOnly="1" fieldPosition="0">
        <references count="2">
          <reference field="1" count="1" selected="0">
            <x v="19"/>
          </reference>
          <reference field="2" count="1">
            <x v="8"/>
          </reference>
        </references>
      </pivotArea>
    </format>
    <format dxfId="542">
      <pivotArea dataOnly="0" labelOnly="1" fieldPosition="0">
        <references count="2">
          <reference field="1" count="1" selected="0">
            <x v="20"/>
          </reference>
          <reference field="2" count="1">
            <x v="54"/>
          </reference>
        </references>
      </pivotArea>
    </format>
    <format dxfId="541">
      <pivotArea dataOnly="0" labelOnly="1" fieldPosition="0">
        <references count="2">
          <reference field="1" count="1" selected="0">
            <x v="21"/>
          </reference>
          <reference field="2" count="1">
            <x v="9"/>
          </reference>
        </references>
      </pivotArea>
    </format>
    <format dxfId="540">
      <pivotArea dataOnly="0" labelOnly="1" fieldPosition="0">
        <references count="2">
          <reference field="1" count="1" selected="0">
            <x v="22"/>
          </reference>
          <reference field="2" count="2">
            <x v="13"/>
            <x v="53"/>
          </reference>
        </references>
      </pivotArea>
    </format>
    <format dxfId="539">
      <pivotArea dataOnly="0" labelOnly="1" fieldPosition="0">
        <references count="2">
          <reference field="1" count="1" selected="0">
            <x v="23"/>
          </reference>
          <reference field="2" count="1">
            <x v="4"/>
          </reference>
        </references>
      </pivotArea>
    </format>
    <format dxfId="538">
      <pivotArea dataOnly="0" labelOnly="1" fieldPosition="0">
        <references count="2">
          <reference field="1" count="1" selected="0">
            <x v="24"/>
          </reference>
          <reference field="2" count="2">
            <x v="15"/>
            <x v="43"/>
          </reference>
        </references>
      </pivotArea>
    </format>
    <format dxfId="537">
      <pivotArea dataOnly="0" labelOnly="1" fieldPosition="0">
        <references count="2">
          <reference field="1" count="1" selected="0">
            <x v="25"/>
          </reference>
          <reference field="2" count="1">
            <x v="11"/>
          </reference>
        </references>
      </pivotArea>
    </format>
    <format dxfId="536">
      <pivotArea dataOnly="0" labelOnly="1" fieldPosition="0">
        <references count="2">
          <reference field="1" count="1" selected="0">
            <x v="26"/>
          </reference>
          <reference field="2" count="2">
            <x v="41"/>
            <x v="48"/>
          </reference>
        </references>
      </pivotArea>
    </format>
    <format dxfId="535">
      <pivotArea dataOnly="0" labelOnly="1" fieldPosition="0">
        <references count="2">
          <reference field="1" count="1" selected="0">
            <x v="27"/>
          </reference>
          <reference field="2" count="1">
            <x v="17"/>
          </reference>
        </references>
      </pivotArea>
    </format>
    <format dxfId="534">
      <pivotArea dataOnly="0" labelOnly="1" fieldPosition="0">
        <references count="2">
          <reference field="1" count="1" selected="0">
            <x v="28"/>
          </reference>
          <reference field="2" count="1">
            <x v="26"/>
          </reference>
        </references>
      </pivotArea>
    </format>
    <format dxfId="533">
      <pivotArea dataOnly="0" labelOnly="1" fieldPosition="0">
        <references count="2">
          <reference field="1" count="1" selected="0">
            <x v="29"/>
          </reference>
          <reference field="2" count="2">
            <x v="27"/>
            <x v="32"/>
          </reference>
        </references>
      </pivotArea>
    </format>
    <format dxfId="532">
      <pivotArea dataOnly="0" labelOnly="1" fieldPosition="0">
        <references count="2">
          <reference field="1" count="1" selected="0">
            <x v="30"/>
          </reference>
          <reference field="2" count="1">
            <x v="20"/>
          </reference>
        </references>
      </pivotArea>
    </format>
    <format dxfId="531">
      <pivotArea dataOnly="0" labelOnly="1" fieldPosition="0">
        <references count="2">
          <reference field="1" count="1" selected="0">
            <x v="31"/>
          </reference>
          <reference field="2" count="1">
            <x v="29"/>
          </reference>
        </references>
      </pivotArea>
    </format>
    <format dxfId="530">
      <pivotArea dataOnly="0" labelOnly="1" fieldPosition="0">
        <references count="2">
          <reference field="1" count="1" selected="0">
            <x v="32"/>
          </reference>
          <reference field="2" count="1">
            <x v="36"/>
          </reference>
        </references>
      </pivotArea>
    </format>
    <format dxfId="529">
      <pivotArea dataOnly="0" labelOnly="1" fieldPosition="0">
        <references count="2">
          <reference field="1" count="1" selected="0">
            <x v="33"/>
          </reference>
          <reference field="2" count="1">
            <x v="46"/>
          </reference>
        </references>
      </pivotArea>
    </format>
    <format dxfId="528">
      <pivotArea dataOnly="0" labelOnly="1" fieldPosition="0">
        <references count="2">
          <reference field="1" count="1" selected="0">
            <x v="34"/>
          </reference>
          <reference field="2" count="1">
            <x v="0"/>
          </reference>
        </references>
      </pivotArea>
    </format>
    <format dxfId="527">
      <pivotArea dataOnly="0" labelOnly="1" fieldPosition="0">
        <references count="2">
          <reference field="1" count="1" selected="0">
            <x v="35"/>
          </reference>
          <reference field="2" count="1">
            <x v="57"/>
          </reference>
        </references>
      </pivotArea>
    </format>
    <format dxfId="526">
      <pivotArea dataOnly="0" labelOnly="1" fieldPosition="0">
        <references count="2">
          <reference field="1" count="1" selected="0">
            <x v="36"/>
          </reference>
          <reference field="2" count="2">
            <x v="7"/>
            <x v="12"/>
          </reference>
        </references>
      </pivotArea>
    </format>
    <format dxfId="525">
      <pivotArea dataOnly="0" labelOnly="1" fieldPosition="0">
        <references count="2">
          <reference field="1" count="1" selected="0">
            <x v="37"/>
          </reference>
          <reference field="2" count="1">
            <x v="14"/>
          </reference>
        </references>
      </pivotArea>
    </format>
    <format dxfId="524">
      <pivotArea dataOnly="0" labelOnly="1" fieldPosition="0">
        <references count="2">
          <reference field="1" count="1" selected="0">
            <x v="38"/>
          </reference>
          <reference field="2" count="1">
            <x v="6"/>
          </reference>
        </references>
      </pivotArea>
    </format>
    <format dxfId="523">
      <pivotArea dataOnly="0" labelOnly="1" fieldPosition="0">
        <references count="2">
          <reference field="1" count="1" selected="0">
            <x v="39"/>
          </reference>
          <reference field="2" count="1">
            <x v="25"/>
          </reference>
        </references>
      </pivotArea>
    </format>
    <format dxfId="522">
      <pivotArea dataOnly="0" labelOnly="1" fieldPosition="0">
        <references count="2">
          <reference field="1" count="1" selected="0">
            <x v="40"/>
          </reference>
          <reference field="2" count="3">
            <x v="2"/>
            <x v="3"/>
            <x v="16"/>
          </reference>
        </references>
      </pivotArea>
    </format>
    <format dxfId="521">
      <pivotArea dataOnly="0" labelOnly="1" fieldPosition="0">
        <references count="2">
          <reference field="1" count="1" selected="0">
            <x v="41"/>
          </reference>
          <reference field="2" count="2">
            <x v="24"/>
            <x v="51"/>
          </reference>
        </references>
      </pivotArea>
    </format>
    <format dxfId="520">
      <pivotArea dataOnly="0" labelOnly="1" fieldPosition="0">
        <references count="2">
          <reference field="1" count="1" selected="0">
            <x v="42"/>
          </reference>
          <reference field="2" count="1">
            <x v="39"/>
          </reference>
        </references>
      </pivotArea>
    </format>
    <format dxfId="519">
      <pivotArea dataOnly="0" labelOnly="1" fieldPosition="0">
        <references count="2">
          <reference field="1" count="1" selected="0">
            <x v="43"/>
          </reference>
          <reference field="2" count="1">
            <x v="33"/>
          </reference>
        </references>
      </pivotArea>
    </format>
    <format dxfId="518">
      <pivotArea dataOnly="0" labelOnly="1" fieldPosition="0">
        <references count="2">
          <reference field="1" count="1" selected="0">
            <x v="44"/>
          </reference>
          <reference field="2" count="2">
            <x v="1"/>
            <x v="10"/>
          </reference>
        </references>
      </pivotArea>
    </format>
    <format dxfId="517">
      <pivotArea dataOnly="0" labelOnly="1" fieldPosition="0">
        <references count="2">
          <reference field="1" count="1" selected="0">
            <x v="45"/>
          </reference>
          <reference field="2" count="1">
            <x v="40"/>
          </reference>
        </references>
      </pivotArea>
    </format>
    <format dxfId="516">
      <pivotArea dataOnly="0" labelOnly="1" fieldPosition="0">
        <references count="2">
          <reference field="1" count="1" selected="0">
            <x v="46"/>
          </reference>
          <reference field="2" count="1">
            <x v="18"/>
          </reference>
        </references>
      </pivotArea>
    </format>
    <format dxfId="515">
      <pivotArea dataOnly="0" labelOnly="1" fieldPosition="0">
        <references count="2">
          <reference field="1" count="1" selected="0">
            <x v="47"/>
          </reference>
          <reference field="2" count="1">
            <x v="21"/>
          </reference>
        </references>
      </pivotArea>
    </format>
    <format dxfId="514">
      <pivotArea outline="0" fieldPosition="0">
        <references count="1">
          <reference field="4294967294" count="1" selected="0">
            <x v="0"/>
          </reference>
        </references>
      </pivotArea>
    </format>
    <format dxfId="513">
      <pivotArea dataOnly="0" labelOnly="1" outline="0" fieldPosition="0">
        <references count="1">
          <reference field="4294967294" count="1">
            <x v="0"/>
          </reference>
        </references>
      </pivotArea>
    </format>
    <format dxfId="512">
      <pivotArea outline="0" fieldPosition="0">
        <references count="1">
          <reference field="4294967294" count="1" selected="0">
            <x v="1"/>
          </reference>
        </references>
      </pivotArea>
    </format>
    <format dxfId="511">
      <pivotArea dataOnly="0" labelOnly="1" outline="0" fieldPosition="0">
        <references count="1">
          <reference field="4294967294" count="1">
            <x v="1"/>
          </reference>
        </references>
      </pivotArea>
    </format>
    <format dxfId="510">
      <pivotArea outline="0" fieldPosition="0">
        <references count="1">
          <reference field="4294967294" count="1" selected="0">
            <x v="1"/>
          </reference>
        </references>
      </pivotArea>
    </format>
    <format dxfId="509">
      <pivotArea dataOnly="0" labelOnly="1" outline="0" fieldPosition="0">
        <references count="1">
          <reference field="4294967294" count="1">
            <x v="1"/>
          </reference>
        </references>
      </pivotArea>
    </format>
    <format dxfId="508">
      <pivotArea field="6" type="button" dataOnly="0" labelOnly="1" outline="0" axis="axisRow" fieldPosition="3"/>
    </format>
    <format dxfId="507">
      <pivotArea field="1" type="button" dataOnly="0" labelOnly="1" outline="0" axis="axisRow" fieldPosition="0"/>
    </format>
    <format dxfId="506">
      <pivotArea outline="0" fieldPosition="0">
        <references count="1">
          <reference field="4294967294" count="1" selected="0">
            <x v="1"/>
          </reference>
        </references>
      </pivotArea>
    </format>
    <format dxfId="505">
      <pivotArea dataOnly="0" labelOnly="1" outline="0" fieldPosition="0">
        <references count="1">
          <reference field="4294967294" count="1">
            <x v="1"/>
          </reference>
        </references>
      </pivotArea>
    </format>
    <format dxfId="504">
      <pivotArea outline="0" fieldPosition="0">
        <references count="1">
          <reference field="4294967294" count="1" selected="0">
            <x v="1"/>
          </reference>
        </references>
      </pivotArea>
    </format>
    <format dxfId="503">
      <pivotArea dataOnly="0" labelOnly="1" outline="0" fieldPosition="0">
        <references count="1">
          <reference field="4294967294" count="1">
            <x v="1"/>
          </reference>
        </references>
      </pivotArea>
    </format>
    <format dxfId="502">
      <pivotArea field="6" type="button" dataOnly="0" labelOnly="1" outline="0" axis="axisRow" fieldPosition="3"/>
    </format>
    <format dxfId="501">
      <pivotArea field="6" type="button" dataOnly="0" labelOnly="1" outline="0" axis="axisRow" fieldPosition="3"/>
    </format>
    <format dxfId="500">
      <pivotArea outline="0" fieldPosition="0">
        <references count="1">
          <reference field="4294967294" count="1" selected="0">
            <x v="0"/>
          </reference>
        </references>
      </pivotArea>
    </format>
    <format dxfId="499">
      <pivotArea dataOnly="0" labelOnly="1" outline="0" fieldPosition="0">
        <references count="1">
          <reference field="4294967294" count="1">
            <x v="0"/>
          </reference>
        </references>
      </pivotArea>
    </format>
  </formats>
  <pivotTableStyleInfo name="PivotStyleLight22" showRowHeaders="0" showColHeaders="1" showRowStripes="1" showColStripes="0" showLastColumn="1"/>
  <filters count="1">
    <filter fld="32" type="dateBetween" evalOrder="-1" id="39" name="First Date">
      <autoFilter ref="A1">
        <filterColumn colId="0">
          <customFilters and="1">
            <customFilter operator="greaterThanOrEqual" val="44317"/>
            <customFilter operator="lessThanOrEqual" val="4434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7.xml><?xml version="1.0" encoding="utf-8"?>
<pivotTableDefinition xmlns="http://schemas.openxmlformats.org/spreadsheetml/2006/main" name="PivotTable2" cacheId="1" applyNumberFormats="0" applyBorderFormats="0" applyFontFormats="0" applyPatternFormats="0" applyAlignmentFormats="0" applyWidthHeightFormats="1" dataCaption="Values" updatedVersion="6" minRefreshableVersion="5" useAutoFormatting="1" itemPrintTitles="1" createdVersion="6" indent="0" compact="0" compactData="0" multipleFieldFilters="0">
  <location ref="A15:H19" firstHeaderRow="0" firstDataRow="1" firstDataCol="6"/>
  <pivotFields count="39">
    <pivotField compact="0" outline="0" showAll="0" defaultSubtotal="0">
      <extLst>
        <ext xmlns:x14="http://schemas.microsoft.com/office/spreadsheetml/2009/9/main" uri="{2946ED86-A175-432a-8AC1-64E0C546D7DE}">
          <x14:pivotField fillDownLabels="1"/>
        </ext>
      </extLst>
    </pivotField>
    <pivotField name="Date" axis="axisRow" compact="0" numFmtId="177" outline="0" showAll="0" defaultSubtotal="0">
      <items count="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s>
      <extLst>
        <ext xmlns:x14="http://schemas.microsoft.com/office/spreadsheetml/2009/9/main" uri="{2946ED86-A175-432a-8AC1-64E0C546D7DE}">
          <x14:pivotField fillDownLabels="1"/>
        </ext>
      </extLst>
    </pivotField>
    <pivotField axis="axisRow" compact="0" outline="0" showAll="0" defaultSubtotal="0">
      <items count="59">
        <item x="39"/>
        <item x="54"/>
        <item x="48"/>
        <item x="46"/>
        <item x="25"/>
        <item x="13"/>
        <item x="44"/>
        <item x="42"/>
        <item x="20"/>
        <item x="22"/>
        <item x="53"/>
        <item x="28"/>
        <item x="41"/>
        <item x="23"/>
        <item x="43"/>
        <item x="26"/>
        <item x="47"/>
        <item x="31"/>
        <item x="56"/>
        <item x="0"/>
        <item x="35"/>
        <item x="57"/>
        <item m="1" x="58"/>
        <item x="3"/>
        <item x="49"/>
        <item x="45"/>
        <item x="32"/>
        <item x="34"/>
        <item x="8"/>
        <item x="36"/>
        <item x="19"/>
        <item x="16"/>
        <item x="33"/>
        <item x="52"/>
        <item x="5"/>
        <item x="10"/>
        <item x="37"/>
        <item x="12"/>
        <item x="4"/>
        <item x="51"/>
        <item x="55"/>
        <item x="29"/>
        <item x="9"/>
        <item x="27"/>
        <item x="2"/>
        <item x="11"/>
        <item x="38"/>
        <item x="6"/>
        <item x="30"/>
        <item x="18"/>
        <item x="7"/>
        <item x="50"/>
        <item x="1"/>
        <item x="24"/>
        <item x="21"/>
        <item x="17"/>
        <item x="14"/>
        <item x="40"/>
        <item x="15"/>
      </items>
      <extLst>
        <ext xmlns:x14="http://schemas.microsoft.com/office/spreadsheetml/2009/9/main" uri="{2946ED86-A175-432a-8AC1-64E0C546D7DE}">
          <x14:pivotField fillDownLabels="1"/>
        </ext>
      </extLst>
    </pivotField>
    <pivotField axis="axisRow" compact="0" outline="0" showAll="0" defaultSubtotal="0">
      <items count="47">
        <item x="20"/>
        <item x="17"/>
        <item x="4"/>
        <item x="24"/>
        <item x="35"/>
        <item x="15"/>
        <item x="29"/>
        <item x="33"/>
        <item x="45"/>
        <item x="8"/>
        <item x="1"/>
        <item x="14"/>
        <item x="31"/>
        <item x="37"/>
        <item x="32"/>
        <item x="43"/>
        <item x="3"/>
        <item x="9"/>
        <item x="13"/>
        <item x="46"/>
        <item x="10"/>
        <item x="18"/>
        <item x="19"/>
        <item x="22"/>
        <item x="38"/>
        <item x="11"/>
        <item x="42"/>
        <item x="40"/>
        <item x="0"/>
        <item x="7"/>
        <item x="30"/>
        <item x="25"/>
        <item x="41"/>
        <item x="23"/>
        <item x="36"/>
        <item x="21"/>
        <item x="39"/>
        <item x="5"/>
        <item x="44"/>
        <item x="16"/>
        <item x="6"/>
        <item x="28"/>
        <item x="26"/>
        <item x="12"/>
        <item x="34"/>
        <item x="27"/>
        <item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58">
        <item x="32"/>
        <item x="28"/>
        <item x="33"/>
        <item x="36"/>
        <item x="22"/>
        <item x="50"/>
        <item x="30"/>
        <item x="47"/>
        <item x="10"/>
        <item x="57"/>
        <item x="8"/>
        <item x="51"/>
        <item x="34"/>
        <item x="39"/>
        <item x="18"/>
        <item x="11"/>
        <item x="53"/>
        <item x="26"/>
        <item x="21"/>
        <item x="54"/>
        <item x="42"/>
        <item x="43"/>
        <item x="49"/>
        <item x="19"/>
        <item x="48"/>
        <item x="17"/>
        <item x="56"/>
        <item x="6"/>
        <item x="25"/>
        <item x="27"/>
        <item x="44"/>
        <item x="15"/>
        <item x="40"/>
        <item x="55"/>
        <item x="7"/>
        <item x="9"/>
        <item x="13"/>
        <item x="46"/>
        <item x="35"/>
        <item x="45"/>
        <item x="5"/>
        <item x="12"/>
        <item x="14"/>
        <item x="29"/>
        <item x="41"/>
        <item x="2"/>
        <item x="52"/>
        <item x="24"/>
        <item x="20"/>
        <item x="31"/>
        <item x="4"/>
        <item x="1"/>
        <item x="0"/>
        <item x="38"/>
        <item x="16"/>
        <item x="23"/>
        <item x="37"/>
        <item x="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47">
        <item x="35"/>
        <item x="36"/>
        <item x="19"/>
        <item x="17"/>
        <item x="7"/>
        <item x="8"/>
        <item x="33"/>
        <item x="42"/>
        <item x="26"/>
        <item x="25"/>
        <item x="18"/>
        <item x="31"/>
        <item x="29"/>
        <item x="45"/>
        <item x="30"/>
        <item x="40"/>
        <item x="14"/>
        <item x="13"/>
        <item x="16"/>
        <item x="32"/>
        <item x="21"/>
        <item x="22"/>
        <item x="28"/>
        <item x="11"/>
        <item x="20"/>
        <item x="39"/>
        <item x="27"/>
        <item x="10"/>
        <item x="34"/>
        <item x="24"/>
        <item x="6"/>
        <item x="12"/>
        <item x="15"/>
        <item x="44"/>
        <item x="41"/>
        <item x="46"/>
        <item x="37"/>
        <item x="1"/>
        <item x="5"/>
        <item x="2"/>
        <item x="0"/>
        <item x="3"/>
        <item x="4"/>
        <item x="38"/>
        <item x="23"/>
        <item x="9"/>
        <item x="4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3"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4" outline="0" showAll="0" defaultSubtotal="0">
      <items count="14">
        <item x="0"/>
        <item x="1"/>
        <item x="2"/>
        <item x="3"/>
        <item x="4"/>
        <item x="5"/>
        <item x="6"/>
        <item x="7"/>
        <item x="8"/>
        <item x="9"/>
        <item x="10"/>
        <item x="11"/>
        <item x="12"/>
        <item x="13"/>
      </items>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dataField="1" compact="0" numFmtId="14" outline="0" showAll="0" defaultSubtotal="0">
      <items count="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s>
      <extLst>
        <ext xmlns:x14="http://schemas.microsoft.com/office/spreadsheetml/2009/9/main" uri="{2946ED86-A175-432a-8AC1-64E0C546D7DE}">
          <x14:pivotField fillDownLabels="1"/>
        </ext>
      </extLst>
    </pivotField>
    <pivotField dataField="1" compact="0" numFmtId="164" outline="0" showAll="0" defaultSubtotal="0">
      <extLst>
        <ext xmlns:x14="http://schemas.microsoft.com/office/spreadsheetml/2009/9/main" uri="{2946ED86-A175-432a-8AC1-64E0C546D7DE}">
          <x14:pivotField fillDownLabels="1"/>
        </ext>
      </extLst>
    </pivotField>
    <pivotField compact="0" outline="0" showAll="0" defaultSubtotal="0">
      <items count="6">
        <item sd="0" x="0"/>
        <item sd="0" x="1"/>
        <item sd="0" x="2"/>
        <item sd="0" x="3"/>
        <item sd="0" x="4"/>
        <item sd="0" x="5"/>
      </items>
      <extLst>
        <ext xmlns:x14="http://schemas.microsoft.com/office/spreadsheetml/2009/9/main" uri="{2946ED86-A175-432a-8AC1-64E0C546D7DE}">
          <x14:pivotField fillDownLabels="1"/>
        </ext>
      </extLst>
    </pivotField>
    <pivotField compact="0" outline="0" showAll="0" defaultSubtotal="0">
      <items count="4">
        <item sd="0" x="0"/>
        <item sd="0" x="1"/>
        <item sd="0" x="2"/>
        <item sd="0" x="3"/>
      </items>
      <extLst>
        <ext xmlns:x14="http://schemas.microsoft.com/office/spreadsheetml/2009/9/main" uri="{2946ED86-A175-432a-8AC1-64E0C546D7DE}">
          <x14:pivotField fillDownLabels="1"/>
        </ext>
      </extLst>
    </pivotField>
  </pivotFields>
  <rowFields count="6">
    <field x="1"/>
    <field x="2"/>
    <field x="3"/>
    <field x="6"/>
    <field x="10"/>
    <field x="11"/>
  </rowFields>
  <rowItems count="4">
    <i>
      <x/>
      <x v="19"/>
      <x v="28"/>
      <x v="52"/>
      <x/>
      <x v="40"/>
    </i>
    <i>
      <x v="1"/>
      <x v="52"/>
      <x v="10"/>
      <x v="51"/>
      <x/>
      <x v="40"/>
    </i>
    <i>
      <x v="2"/>
      <x v="44"/>
      <x v="46"/>
      <x v="45"/>
      <x/>
      <x v="40"/>
    </i>
    <i t="grand">
      <x/>
    </i>
  </rowItems>
  <colFields count="1">
    <field x="-2"/>
  </colFields>
  <colItems count="2">
    <i>
      <x/>
    </i>
    <i i="1">
      <x v="1"/>
    </i>
  </colItems>
  <dataFields count="2">
    <dataField name="Sum of Second  Date" fld="35" baseField="11" baseItem="40" numFmtId="176"/>
    <dataField name=" Second Amount" fld="36" baseField="1" baseItem="0" numFmtId="164"/>
  </dataFields>
  <formats count="66">
    <format dxfId="632">
      <pivotArea type="all" dataOnly="0" outline="0" fieldPosition="0"/>
    </format>
    <format dxfId="631">
      <pivotArea field="1" type="button" dataOnly="0" labelOnly="1" outline="0" axis="axisRow" fieldPosition="0"/>
    </format>
    <format dxfId="630">
      <pivotArea dataOnly="0" labelOnly="1" fieldPosition="0">
        <references count="1">
          <reference field="1" count="0"/>
        </references>
      </pivotArea>
    </format>
    <format dxfId="629">
      <pivotArea dataOnly="0" labelOnly="1" grandRow="1" outline="0" fieldPosition="0"/>
    </format>
    <format dxfId="628">
      <pivotArea dataOnly="0" labelOnly="1" fieldPosition="0">
        <references count="2">
          <reference field="1" count="1" selected="0">
            <x v="0"/>
          </reference>
          <reference field="2" count="1">
            <x v="19"/>
          </reference>
        </references>
      </pivotArea>
    </format>
    <format dxfId="627">
      <pivotArea dataOnly="0" labelOnly="1" fieldPosition="0">
        <references count="2">
          <reference field="1" count="1" selected="0">
            <x v="1"/>
          </reference>
          <reference field="2" count="1">
            <x v="52"/>
          </reference>
        </references>
      </pivotArea>
    </format>
    <format dxfId="626">
      <pivotArea dataOnly="0" labelOnly="1" fieldPosition="0">
        <references count="2">
          <reference field="1" count="1" selected="0">
            <x v="2"/>
          </reference>
          <reference field="2" count="1">
            <x v="44"/>
          </reference>
        </references>
      </pivotArea>
    </format>
    <format dxfId="625">
      <pivotArea dataOnly="0" labelOnly="1" fieldPosition="0">
        <references count="2">
          <reference field="1" count="1" selected="0">
            <x v="3"/>
          </reference>
          <reference field="2" count="1">
            <x v="23"/>
          </reference>
        </references>
      </pivotArea>
    </format>
    <format dxfId="624">
      <pivotArea dataOnly="0" labelOnly="1" fieldPosition="0">
        <references count="2">
          <reference field="1" count="1" selected="0">
            <x v="4"/>
          </reference>
          <reference field="2" count="1">
            <x v="38"/>
          </reference>
        </references>
      </pivotArea>
    </format>
    <format dxfId="623">
      <pivotArea dataOnly="0" labelOnly="1" fieldPosition="0">
        <references count="2">
          <reference field="1" count="1" selected="0">
            <x v="5"/>
          </reference>
          <reference field="2" count="1">
            <x v="34"/>
          </reference>
        </references>
      </pivotArea>
    </format>
    <format dxfId="622">
      <pivotArea dataOnly="0" labelOnly="1" fieldPosition="0">
        <references count="2">
          <reference field="1" count="1" selected="0">
            <x v="6"/>
          </reference>
          <reference field="2" count="1">
            <x v="47"/>
          </reference>
        </references>
      </pivotArea>
    </format>
    <format dxfId="621">
      <pivotArea dataOnly="0" labelOnly="1" fieldPosition="0">
        <references count="2">
          <reference field="1" count="1" selected="0">
            <x v="7"/>
          </reference>
          <reference field="2" count="1">
            <x v="50"/>
          </reference>
        </references>
      </pivotArea>
    </format>
    <format dxfId="620">
      <pivotArea dataOnly="0" labelOnly="1" fieldPosition="0">
        <references count="2">
          <reference field="1" count="1" selected="0">
            <x v="8"/>
          </reference>
          <reference field="2" count="1">
            <x v="28"/>
          </reference>
        </references>
      </pivotArea>
    </format>
    <format dxfId="619">
      <pivotArea dataOnly="0" labelOnly="1" fieldPosition="0">
        <references count="2">
          <reference field="1" count="1" selected="0">
            <x v="9"/>
          </reference>
          <reference field="2" count="1">
            <x v="42"/>
          </reference>
        </references>
      </pivotArea>
    </format>
    <format dxfId="618">
      <pivotArea dataOnly="0" labelOnly="1" fieldPosition="0">
        <references count="2">
          <reference field="1" count="1" selected="0">
            <x v="10"/>
          </reference>
          <reference field="2" count="2">
            <x v="35"/>
            <x v="45"/>
          </reference>
        </references>
      </pivotArea>
    </format>
    <format dxfId="617">
      <pivotArea dataOnly="0" labelOnly="1" fieldPosition="0">
        <references count="2">
          <reference field="1" count="1" selected="0">
            <x v="11"/>
          </reference>
          <reference field="2" count="1">
            <x v="37"/>
          </reference>
        </references>
      </pivotArea>
    </format>
    <format dxfId="616">
      <pivotArea dataOnly="0" labelOnly="1" fieldPosition="0">
        <references count="2">
          <reference field="1" count="1" selected="0">
            <x v="12"/>
          </reference>
          <reference field="2" count="1">
            <x v="5"/>
          </reference>
        </references>
      </pivotArea>
    </format>
    <format dxfId="615">
      <pivotArea dataOnly="0" labelOnly="1" fieldPosition="0">
        <references count="2">
          <reference field="1" count="1" selected="0">
            <x v="13"/>
          </reference>
          <reference field="2" count="1">
            <x v="56"/>
          </reference>
        </references>
      </pivotArea>
    </format>
    <format dxfId="614">
      <pivotArea dataOnly="0" labelOnly="1" fieldPosition="0">
        <references count="2">
          <reference field="1" count="1" selected="0">
            <x v="14"/>
          </reference>
          <reference field="2" count="1">
            <x v="22"/>
          </reference>
        </references>
      </pivotArea>
    </format>
    <format dxfId="613">
      <pivotArea dataOnly="0" labelOnly="1" fieldPosition="0">
        <references count="2">
          <reference field="1" count="1" selected="0">
            <x v="15"/>
          </reference>
          <reference field="2" count="1">
            <x v="31"/>
          </reference>
        </references>
      </pivotArea>
    </format>
    <format dxfId="612">
      <pivotArea dataOnly="0" labelOnly="1" fieldPosition="0">
        <references count="2">
          <reference field="1" count="1" selected="0">
            <x v="16"/>
          </reference>
          <reference field="2" count="1">
            <x v="55"/>
          </reference>
        </references>
      </pivotArea>
    </format>
    <format dxfId="611">
      <pivotArea dataOnly="0" labelOnly="1" fieldPosition="0">
        <references count="2">
          <reference field="1" count="1" selected="0">
            <x v="17"/>
          </reference>
          <reference field="2" count="1">
            <x v="49"/>
          </reference>
        </references>
      </pivotArea>
    </format>
    <format dxfId="610">
      <pivotArea dataOnly="0" labelOnly="1" fieldPosition="0">
        <references count="2">
          <reference field="1" count="1" selected="0">
            <x v="18"/>
          </reference>
          <reference field="2" count="1">
            <x v="30"/>
          </reference>
        </references>
      </pivotArea>
    </format>
    <format dxfId="609">
      <pivotArea dataOnly="0" labelOnly="1" fieldPosition="0">
        <references count="2">
          <reference field="1" count="1" selected="0">
            <x v="19"/>
          </reference>
          <reference field="2" count="1">
            <x v="8"/>
          </reference>
        </references>
      </pivotArea>
    </format>
    <format dxfId="608">
      <pivotArea dataOnly="0" labelOnly="1" fieldPosition="0">
        <references count="2">
          <reference field="1" count="1" selected="0">
            <x v="20"/>
          </reference>
          <reference field="2" count="1">
            <x v="54"/>
          </reference>
        </references>
      </pivotArea>
    </format>
    <format dxfId="607">
      <pivotArea dataOnly="0" labelOnly="1" fieldPosition="0">
        <references count="2">
          <reference field="1" count="1" selected="0">
            <x v="21"/>
          </reference>
          <reference field="2" count="1">
            <x v="9"/>
          </reference>
        </references>
      </pivotArea>
    </format>
    <format dxfId="606">
      <pivotArea dataOnly="0" labelOnly="1" fieldPosition="0">
        <references count="2">
          <reference field="1" count="1" selected="0">
            <x v="22"/>
          </reference>
          <reference field="2" count="2">
            <x v="13"/>
            <x v="53"/>
          </reference>
        </references>
      </pivotArea>
    </format>
    <format dxfId="605">
      <pivotArea dataOnly="0" labelOnly="1" fieldPosition="0">
        <references count="2">
          <reference field="1" count="1" selected="0">
            <x v="23"/>
          </reference>
          <reference field="2" count="1">
            <x v="4"/>
          </reference>
        </references>
      </pivotArea>
    </format>
    <format dxfId="604">
      <pivotArea dataOnly="0" labelOnly="1" fieldPosition="0">
        <references count="2">
          <reference field="1" count="1" selected="0">
            <x v="24"/>
          </reference>
          <reference field="2" count="2">
            <x v="15"/>
            <x v="43"/>
          </reference>
        </references>
      </pivotArea>
    </format>
    <format dxfId="603">
      <pivotArea dataOnly="0" labelOnly="1" fieldPosition="0">
        <references count="2">
          <reference field="1" count="1" selected="0">
            <x v="25"/>
          </reference>
          <reference field="2" count="1">
            <x v="11"/>
          </reference>
        </references>
      </pivotArea>
    </format>
    <format dxfId="602">
      <pivotArea dataOnly="0" labelOnly="1" fieldPosition="0">
        <references count="2">
          <reference field="1" count="1" selected="0">
            <x v="26"/>
          </reference>
          <reference field="2" count="2">
            <x v="41"/>
            <x v="48"/>
          </reference>
        </references>
      </pivotArea>
    </format>
    <format dxfId="601">
      <pivotArea dataOnly="0" labelOnly="1" fieldPosition="0">
        <references count="2">
          <reference field="1" count="1" selected="0">
            <x v="27"/>
          </reference>
          <reference field="2" count="1">
            <x v="17"/>
          </reference>
        </references>
      </pivotArea>
    </format>
    <format dxfId="600">
      <pivotArea dataOnly="0" labelOnly="1" fieldPosition="0">
        <references count="2">
          <reference field="1" count="1" selected="0">
            <x v="28"/>
          </reference>
          <reference field="2" count="1">
            <x v="26"/>
          </reference>
        </references>
      </pivotArea>
    </format>
    <format dxfId="599">
      <pivotArea dataOnly="0" labelOnly="1" fieldPosition="0">
        <references count="2">
          <reference field="1" count="1" selected="0">
            <x v="29"/>
          </reference>
          <reference field="2" count="2">
            <x v="27"/>
            <x v="32"/>
          </reference>
        </references>
      </pivotArea>
    </format>
    <format dxfId="598">
      <pivotArea dataOnly="0" labelOnly="1" fieldPosition="0">
        <references count="2">
          <reference field="1" count="1" selected="0">
            <x v="30"/>
          </reference>
          <reference field="2" count="1">
            <x v="20"/>
          </reference>
        </references>
      </pivotArea>
    </format>
    <format dxfId="597">
      <pivotArea dataOnly="0" labelOnly="1" fieldPosition="0">
        <references count="2">
          <reference field="1" count="1" selected="0">
            <x v="31"/>
          </reference>
          <reference field="2" count="1">
            <x v="29"/>
          </reference>
        </references>
      </pivotArea>
    </format>
    <format dxfId="596">
      <pivotArea dataOnly="0" labelOnly="1" fieldPosition="0">
        <references count="2">
          <reference field="1" count="1" selected="0">
            <x v="32"/>
          </reference>
          <reference field="2" count="1">
            <x v="36"/>
          </reference>
        </references>
      </pivotArea>
    </format>
    <format dxfId="595">
      <pivotArea dataOnly="0" labelOnly="1" fieldPosition="0">
        <references count="2">
          <reference field="1" count="1" selected="0">
            <x v="33"/>
          </reference>
          <reference field="2" count="1">
            <x v="46"/>
          </reference>
        </references>
      </pivotArea>
    </format>
    <format dxfId="594">
      <pivotArea dataOnly="0" labelOnly="1" fieldPosition="0">
        <references count="2">
          <reference field="1" count="1" selected="0">
            <x v="34"/>
          </reference>
          <reference field="2" count="1">
            <x v="0"/>
          </reference>
        </references>
      </pivotArea>
    </format>
    <format dxfId="593">
      <pivotArea dataOnly="0" labelOnly="1" fieldPosition="0">
        <references count="2">
          <reference field="1" count="1" selected="0">
            <x v="35"/>
          </reference>
          <reference field="2" count="1">
            <x v="57"/>
          </reference>
        </references>
      </pivotArea>
    </format>
    <format dxfId="592">
      <pivotArea dataOnly="0" labelOnly="1" fieldPosition="0">
        <references count="2">
          <reference field="1" count="1" selected="0">
            <x v="36"/>
          </reference>
          <reference field="2" count="2">
            <x v="7"/>
            <x v="12"/>
          </reference>
        </references>
      </pivotArea>
    </format>
    <format dxfId="591">
      <pivotArea dataOnly="0" labelOnly="1" fieldPosition="0">
        <references count="2">
          <reference field="1" count="1" selected="0">
            <x v="37"/>
          </reference>
          <reference field="2" count="1">
            <x v="14"/>
          </reference>
        </references>
      </pivotArea>
    </format>
    <format dxfId="590">
      <pivotArea dataOnly="0" labelOnly="1" fieldPosition="0">
        <references count="2">
          <reference field="1" count="1" selected="0">
            <x v="38"/>
          </reference>
          <reference field="2" count="1">
            <x v="6"/>
          </reference>
        </references>
      </pivotArea>
    </format>
    <format dxfId="589">
      <pivotArea dataOnly="0" labelOnly="1" fieldPosition="0">
        <references count="2">
          <reference field="1" count="1" selected="0">
            <x v="39"/>
          </reference>
          <reference field="2" count="1">
            <x v="25"/>
          </reference>
        </references>
      </pivotArea>
    </format>
    <format dxfId="588">
      <pivotArea dataOnly="0" labelOnly="1" fieldPosition="0">
        <references count="2">
          <reference field="1" count="1" selected="0">
            <x v="40"/>
          </reference>
          <reference field="2" count="3">
            <x v="2"/>
            <x v="3"/>
            <x v="16"/>
          </reference>
        </references>
      </pivotArea>
    </format>
    <format dxfId="587">
      <pivotArea dataOnly="0" labelOnly="1" fieldPosition="0">
        <references count="2">
          <reference field="1" count="1" selected="0">
            <x v="41"/>
          </reference>
          <reference field="2" count="2">
            <x v="24"/>
            <x v="51"/>
          </reference>
        </references>
      </pivotArea>
    </format>
    <format dxfId="586">
      <pivotArea dataOnly="0" labelOnly="1" fieldPosition="0">
        <references count="2">
          <reference field="1" count="1" selected="0">
            <x v="42"/>
          </reference>
          <reference field="2" count="1">
            <x v="39"/>
          </reference>
        </references>
      </pivotArea>
    </format>
    <format dxfId="585">
      <pivotArea dataOnly="0" labelOnly="1" fieldPosition="0">
        <references count="2">
          <reference field="1" count="1" selected="0">
            <x v="43"/>
          </reference>
          <reference field="2" count="1">
            <x v="33"/>
          </reference>
        </references>
      </pivotArea>
    </format>
    <format dxfId="584">
      <pivotArea dataOnly="0" labelOnly="1" fieldPosition="0">
        <references count="2">
          <reference field="1" count="1" selected="0">
            <x v="44"/>
          </reference>
          <reference field="2" count="2">
            <x v="1"/>
            <x v="10"/>
          </reference>
        </references>
      </pivotArea>
    </format>
    <format dxfId="583">
      <pivotArea dataOnly="0" labelOnly="1" fieldPosition="0">
        <references count="2">
          <reference field="1" count="1" selected="0">
            <x v="45"/>
          </reference>
          <reference field="2" count="1">
            <x v="40"/>
          </reference>
        </references>
      </pivotArea>
    </format>
    <format dxfId="582">
      <pivotArea dataOnly="0" labelOnly="1" fieldPosition="0">
        <references count="2">
          <reference field="1" count="1" selected="0">
            <x v="46"/>
          </reference>
          <reference field="2" count="1">
            <x v="18"/>
          </reference>
        </references>
      </pivotArea>
    </format>
    <format dxfId="581">
      <pivotArea dataOnly="0" labelOnly="1" fieldPosition="0">
        <references count="2">
          <reference field="1" count="1" selected="0">
            <x v="47"/>
          </reference>
          <reference field="2" count="1">
            <x v="21"/>
          </reference>
        </references>
      </pivotArea>
    </format>
    <format dxfId="580">
      <pivotArea field="6" type="button" dataOnly="0" labelOnly="1" outline="0" axis="axisRow" fieldPosition="3"/>
    </format>
    <format dxfId="579">
      <pivotArea field="1" type="button" dataOnly="0" labelOnly="1" outline="0" axis="axisRow" fieldPosition="0"/>
    </format>
    <format dxfId="578">
      <pivotArea outline="0" fieldPosition="0">
        <references count="7">
          <reference field="4294967294" count="1" selected="0">
            <x v="0"/>
          </reference>
          <reference field="1" count="1" selected="0">
            <x v="0"/>
          </reference>
          <reference field="2" count="1" selected="0">
            <x v="19"/>
          </reference>
          <reference field="3" count="1" selected="0">
            <x v="28"/>
          </reference>
          <reference field="6" count="1" selected="0">
            <x v="52"/>
          </reference>
          <reference field="10" count="0" selected="0"/>
          <reference field="11" count="1" selected="0">
            <x v="40"/>
          </reference>
        </references>
      </pivotArea>
    </format>
    <format dxfId="577">
      <pivotArea outline="0" fieldPosition="0">
        <references count="1">
          <reference field="4294967294" count="1" selected="0">
            <x v="0"/>
          </reference>
        </references>
      </pivotArea>
    </format>
    <format dxfId="576">
      <pivotArea outline="0" fieldPosition="0">
        <references count="1">
          <reference field="4294967294" count="1" selected="0">
            <x v="1"/>
          </reference>
        </references>
      </pivotArea>
    </format>
    <format dxfId="575">
      <pivotArea dataOnly="0" labelOnly="1" outline="0" fieldPosition="0">
        <references count="1">
          <reference field="4294967294" count="1">
            <x v="1"/>
          </reference>
        </references>
      </pivotArea>
    </format>
    <format dxfId="574">
      <pivotArea outline="0" fieldPosition="0">
        <references count="1">
          <reference field="4294967294" count="1" selected="0">
            <x v="1"/>
          </reference>
        </references>
      </pivotArea>
    </format>
    <format dxfId="573">
      <pivotArea dataOnly="0" labelOnly="1" outline="0" fieldPosition="0">
        <references count="1">
          <reference field="4294967294" count="1">
            <x v="1"/>
          </reference>
        </references>
      </pivotArea>
    </format>
    <format dxfId="572">
      <pivotArea field="6" type="button" dataOnly="0" labelOnly="1" outline="0" axis="axisRow" fieldPosition="3"/>
    </format>
    <format dxfId="571">
      <pivotArea field="6" type="button" dataOnly="0" labelOnly="1" outline="0" axis="axisRow" fieldPosition="3"/>
    </format>
    <format dxfId="570">
      <pivotArea outline="0" fieldPosition="0">
        <references count="1">
          <reference field="4294967294" count="1" selected="0">
            <x v="0"/>
          </reference>
        </references>
      </pivotArea>
    </format>
    <format dxfId="569">
      <pivotArea dataOnly="0" labelOnly="1" outline="0" fieldPosition="0">
        <references count="1">
          <reference field="4294967294" count="1">
            <x v="0"/>
          </reference>
        </references>
      </pivotArea>
    </format>
    <format dxfId="568">
      <pivotArea field="6" type="button" dataOnly="0" labelOnly="1" outline="0" axis="axisRow" fieldPosition="3"/>
    </format>
    <format dxfId="567">
      <pivotArea field="6" type="button" dataOnly="0" labelOnly="1" outline="0" axis="axisRow" fieldPosition="3"/>
    </format>
  </formats>
  <pivotTableStyleInfo name="PivotStyleLight22" showRowHeaders="0" showColHeaders="1" showRowStripes="1" showColStripes="0" showLastColumn="1"/>
  <filters count="1">
    <filter fld="35" type="dateBetween" evalOrder="-1" id="60" name="Second  Date">
      <autoFilter ref="A1">
        <filterColumn colId="0">
          <customFilters and="1">
            <customFilter operator="greaterThanOrEqual" val="44317"/>
            <customFilter operator="lessThanOrEqual" val="4434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8.xml><?xml version="1.0" encoding="utf-8"?>
<pivotTableDefinition xmlns="http://schemas.openxmlformats.org/spreadsheetml/2006/main" name="PivotTable2" cacheId="2" applyNumberFormats="0" applyBorderFormats="0" applyFontFormats="0" applyPatternFormats="0" applyAlignmentFormats="0" applyWidthHeightFormats="1" dataCaption="Values" updatedVersion="5" minRefreshableVersion="3" useAutoFormatting="1" itemPrintTitles="1" createdVersion="6" indent="0" compact="0" compactData="0" multipleFieldFilters="0">
  <location ref="F14:I15" firstHeaderRow="1" firstDataRow="1" firstDataCol="3"/>
  <pivotFields count="9">
    <pivotField axis="axisRow" compact="0" outline="0" showAll="0" defaultSubtotal="0">
      <items count="12">
        <item m="1" x="6"/>
        <item m="1" x="9"/>
        <item m="1" x="11"/>
        <item m="1" x="3"/>
        <item m="1" x="5"/>
        <item m="1" x="8"/>
        <item m="1" x="10"/>
        <item m="1" x="2"/>
        <item m="1" x="4"/>
        <item m="1" x="7"/>
        <item x="0"/>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28">
        <item h="1" m="1" x="21"/>
        <item h="1" m="1" x="25"/>
        <item h="1" m="1" x="12"/>
        <item h="1" m="1" x="2"/>
        <item h="1" m="1" x="17"/>
        <item h="1" m="1" x="18"/>
        <item h="1" m="1" x="22"/>
        <item h="1" m="1" x="14"/>
        <item h="1" m="1" x="16"/>
        <item h="1" m="1" x="6"/>
        <item h="1" m="1" x="8"/>
        <item h="1" m="1" x="1"/>
        <item h="1" m="1" x="23"/>
        <item h="1" m="1" x="5"/>
        <item h="1" m="1" x="26"/>
        <item m="1" x="3"/>
        <item h="1" m="1" x="27"/>
        <item h="1" m="1" x="10"/>
        <item h="1" m="1" x="20"/>
        <item h="1" m="1" x="7"/>
        <item h="1" m="1" x="4"/>
        <item h="1" m="1" x="24"/>
        <item h="1" m="1" x="13"/>
        <item h="1" m="1" x="9"/>
        <item h="1" m="1" x="11"/>
        <item h="1" m="1" x="19"/>
        <item h="1" m="1" x="15"/>
        <item h="1" x="0"/>
      </items>
      <extLst>
        <ext xmlns:x14="http://schemas.microsoft.com/office/spreadsheetml/2009/9/main" uri="{2946ED86-A175-432a-8AC1-64E0C546D7DE}">
          <x14:pivotField fillDownLabels="1"/>
        </ext>
      </extLst>
    </pivotField>
    <pivotField axis="axisRow" compact="0" outline="0" showAll="0" defaultSubtotal="0">
      <items count="106">
        <item m="1" x="90"/>
        <item x="0"/>
        <item m="1" x="10"/>
        <item m="1" x="91"/>
        <item m="1" x="6"/>
        <item m="1" x="75"/>
        <item m="1" x="84"/>
        <item m="1" x="96"/>
        <item m="1" x="52"/>
        <item m="1" x="28"/>
        <item m="1" x="16"/>
        <item m="1" x="37"/>
        <item m="1" x="92"/>
        <item m="1" x="27"/>
        <item m="1" x="46"/>
        <item m="1" x="76"/>
        <item m="1" x="33"/>
        <item m="1" x="34"/>
        <item m="1" x="66"/>
        <item m="1" x="63"/>
        <item m="1" x="95"/>
        <item m="1" x="36"/>
        <item m="1" x="42"/>
        <item m="1" x="3"/>
        <item m="1" x="72"/>
        <item m="1" x="56"/>
        <item m="1" x="97"/>
        <item m="1" x="78"/>
        <item m="1" x="2"/>
        <item m="1" x="19"/>
        <item m="1" x="12"/>
        <item m="1" x="60"/>
        <item m="1" x="80"/>
        <item m="1" x="87"/>
        <item m="1" x="105"/>
        <item m="1" x="15"/>
        <item m="1" x="101"/>
        <item m="1" x="79"/>
        <item m="1" x="73"/>
        <item m="1" x="7"/>
        <item m="1" x="58"/>
        <item m="1" x="57"/>
        <item m="1" x="93"/>
        <item m="1" x="77"/>
        <item m="1" x="43"/>
        <item m="1" x="61"/>
        <item m="1" x="26"/>
        <item m="1" x="40"/>
        <item m="1" x="102"/>
        <item m="1" x="35"/>
        <item m="1" x="62"/>
        <item m="1" x="94"/>
        <item m="1" x="98"/>
        <item m="1" x="49"/>
        <item m="1" x="100"/>
        <item m="1" x="83"/>
        <item m="1" x="88"/>
        <item m="1" x="81"/>
        <item m="1" x="18"/>
        <item m="1" x="86"/>
        <item m="1" x="74"/>
        <item m="1" x="11"/>
        <item m="1" x="32"/>
        <item m="1" x="55"/>
        <item m="1" x="64"/>
        <item m="1" x="99"/>
        <item m="1" x="89"/>
        <item m="1" x="38"/>
        <item m="1" x="51"/>
        <item m="1" x="67"/>
        <item m="1" x="23"/>
        <item m="1" x="39"/>
        <item m="1" x="29"/>
        <item m="1" x="82"/>
        <item m="1" x="47"/>
        <item m="1" x="70"/>
        <item m="1" x="30"/>
        <item m="1" x="31"/>
        <item m="1" x="53"/>
        <item m="1" x="69"/>
        <item m="1" x="54"/>
        <item m="1" x="50"/>
        <item m="1" x="65"/>
        <item m="1" x="59"/>
        <item m="1" x="9"/>
        <item m="1" x="68"/>
        <item m="1" x="14"/>
        <item m="1" x="45"/>
        <item m="1" x="44"/>
        <item m="1" x="4"/>
        <item m="1" x="25"/>
        <item m="1" x="5"/>
        <item m="1" x="20"/>
        <item m="1" x="13"/>
        <item m="1" x="8"/>
        <item m="1" x="71"/>
        <item m="1" x="41"/>
        <item m="1" x="22"/>
        <item m="1" x="103"/>
        <item m="1" x="24"/>
        <item m="1" x="85"/>
        <item m="1" x="17"/>
        <item m="1" x="21"/>
        <item m="1" x="104"/>
        <item m="1" x="48"/>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numFmtId="181" outline="0" showAll="0" defaultSubtotal="0">
      <extLst>
        <ext xmlns:x14="http://schemas.microsoft.com/office/spreadsheetml/2009/9/main" uri="{2946ED86-A175-432a-8AC1-64E0C546D7DE}">
          <x14:pivotField fillDownLabels="1"/>
        </ext>
      </extLst>
    </pivotField>
  </pivotFields>
  <rowFields count="3">
    <field x="0"/>
    <field x="2"/>
    <field x="3"/>
  </rowFields>
  <rowItems count="1">
    <i t="grand">
      <x/>
    </i>
  </rowItems>
  <colItems count="1">
    <i/>
  </colItems>
  <dataFields count="1">
    <dataField name="Sum of Credit" fld="7" baseField="3" baseItem="28" numFmtId="164"/>
  </dataFields>
  <formats count="154">
    <format dxfId="313">
      <pivotArea type="all" dataOnly="0" outline="0" fieldPosition="0"/>
    </format>
    <format dxfId="312">
      <pivotArea outline="0" collapsedLevelsAreSubtotals="1" fieldPosition="0"/>
    </format>
    <format dxfId="311">
      <pivotArea field="0" type="button" dataOnly="0" labelOnly="1" outline="0" axis="axisRow" fieldPosition="0"/>
    </format>
    <format dxfId="310">
      <pivotArea field="2" type="button" dataOnly="0" labelOnly="1" outline="0" axis="axisRow" fieldPosition="1"/>
    </format>
    <format dxfId="309">
      <pivotArea field="3" type="button" dataOnly="0" labelOnly="1" outline="0" axis="axisRow" fieldPosition="2"/>
    </format>
    <format dxfId="308">
      <pivotArea dataOnly="0" labelOnly="1" outline="0" axis="axisValues" fieldPosition="0"/>
    </format>
    <format dxfId="307">
      <pivotArea dataOnly="0" labelOnly="1" outline="0" fieldPosition="0">
        <references count="1">
          <reference field="0" count="0"/>
        </references>
      </pivotArea>
    </format>
    <format dxfId="306">
      <pivotArea dataOnly="0" labelOnly="1" grandRow="1" outline="0" fieldPosition="0"/>
    </format>
    <format dxfId="305">
      <pivotArea dataOnly="0" labelOnly="1" outline="0" fieldPosition="0">
        <references count="2">
          <reference field="0" count="1" selected="0">
            <x v="0"/>
          </reference>
          <reference field="2" count="10">
            <x v="0"/>
            <x v="4"/>
            <x v="5"/>
            <x v="6"/>
            <x v="7"/>
            <x v="10"/>
            <x v="12"/>
            <x v="14"/>
            <x v="16"/>
            <x v="22"/>
          </reference>
        </references>
      </pivotArea>
    </format>
    <format dxfId="304">
      <pivotArea dataOnly="0" labelOnly="1" outline="0" fieldPosition="0">
        <references count="2">
          <reference field="0" count="1" selected="0">
            <x v="1"/>
          </reference>
          <reference field="2" count="11">
            <x v="0"/>
            <x v="5"/>
            <x v="6"/>
            <x v="7"/>
            <x v="9"/>
            <x v="10"/>
            <x v="12"/>
            <x v="14"/>
            <x v="17"/>
            <x v="18"/>
            <x v="24"/>
          </reference>
        </references>
      </pivotArea>
    </format>
    <format dxfId="303">
      <pivotArea dataOnly="0" labelOnly="1" outline="0" fieldPosition="0">
        <references count="2">
          <reference field="0" count="1" selected="0">
            <x v="2"/>
          </reference>
          <reference field="2" count="12">
            <x v="0"/>
            <x v="3"/>
            <x v="4"/>
            <x v="6"/>
            <x v="7"/>
            <x v="10"/>
            <x v="11"/>
            <x v="12"/>
            <x v="14"/>
            <x v="18"/>
            <x v="23"/>
            <x v="24"/>
          </reference>
        </references>
      </pivotArea>
    </format>
    <format dxfId="302">
      <pivotArea dataOnly="0" labelOnly="1" outline="0" fieldPosition="0">
        <references count="2">
          <reference field="0" count="1" selected="0">
            <x v="3"/>
          </reference>
          <reference field="2" count="9">
            <x v="0"/>
            <x v="4"/>
            <x v="5"/>
            <x v="7"/>
            <x v="9"/>
            <x v="10"/>
            <x v="11"/>
            <x v="20"/>
            <x v="25"/>
          </reference>
        </references>
      </pivotArea>
    </format>
    <format dxfId="301">
      <pivotArea dataOnly="0" labelOnly="1" outline="0" fieldPosition="0">
        <references count="2">
          <reference field="0" count="1" selected="0">
            <x v="4"/>
          </reference>
          <reference field="2" count="17">
            <x v="0"/>
            <x v="1"/>
            <x v="4"/>
            <x v="7"/>
            <x v="9"/>
            <x v="10"/>
            <x v="11"/>
            <x v="12"/>
            <x v="14"/>
            <x v="15"/>
            <x v="16"/>
            <x v="17"/>
            <x v="18"/>
            <x v="19"/>
            <x v="20"/>
            <x v="22"/>
            <x v="26"/>
          </reference>
        </references>
      </pivotArea>
    </format>
    <format dxfId="300">
      <pivotArea dataOnly="0" labelOnly="1" outline="0" fieldPosition="0">
        <references count="2">
          <reference field="0" count="1" selected="0">
            <x v="5"/>
          </reference>
          <reference field="2" count="10">
            <x v="0"/>
            <x v="3"/>
            <x v="4"/>
            <x v="7"/>
            <x v="10"/>
            <x v="11"/>
            <x v="12"/>
            <x v="14"/>
            <x v="17"/>
            <x v="25"/>
          </reference>
        </references>
      </pivotArea>
    </format>
    <format dxfId="299">
      <pivotArea dataOnly="0" labelOnly="1" outline="0" fieldPosition="0">
        <references count="2">
          <reference field="0" count="1" selected="0">
            <x v="6"/>
          </reference>
          <reference field="2" count="12">
            <x v="0"/>
            <x v="4"/>
            <x v="5"/>
            <x v="7"/>
            <x v="9"/>
            <x v="10"/>
            <x v="11"/>
            <x v="12"/>
            <x v="13"/>
            <x v="14"/>
            <x v="21"/>
            <x v="25"/>
          </reference>
        </references>
      </pivotArea>
    </format>
    <format dxfId="298">
      <pivotArea dataOnly="0" labelOnly="1" outline="0" fieldPosition="0">
        <references count="2">
          <reference field="0" count="1" selected="0">
            <x v="7"/>
          </reference>
          <reference field="2" count="11">
            <x v="0"/>
            <x v="5"/>
            <x v="6"/>
            <x v="7"/>
            <x v="8"/>
            <x v="10"/>
            <x v="11"/>
            <x v="14"/>
            <x v="17"/>
            <x v="18"/>
            <x v="22"/>
          </reference>
        </references>
      </pivotArea>
    </format>
    <format dxfId="297">
      <pivotArea dataOnly="0" labelOnly="1" outline="0" fieldPosition="0">
        <references count="2">
          <reference field="0" count="1" selected="0">
            <x v="8"/>
          </reference>
          <reference field="2" count="11">
            <x v="0"/>
            <x v="2"/>
            <x v="4"/>
            <x v="7"/>
            <x v="9"/>
            <x v="10"/>
            <x v="11"/>
            <x v="14"/>
            <x v="17"/>
            <x v="21"/>
            <x v="23"/>
          </reference>
        </references>
      </pivotArea>
    </format>
    <format dxfId="296">
      <pivotArea dataOnly="0" labelOnly="1" outline="0" fieldPosition="0">
        <references count="2">
          <reference field="0" count="1" selected="0">
            <x v="9"/>
          </reference>
          <reference field="2" count="9">
            <x v="0"/>
            <x v="5"/>
            <x v="7"/>
            <x v="8"/>
            <x v="11"/>
            <x v="18"/>
            <x v="20"/>
            <x v="21"/>
            <x v="26"/>
          </reference>
        </references>
      </pivotArea>
    </format>
    <format dxfId="295">
      <pivotArea dataOnly="0" labelOnly="1" outline="0" fieldPosition="0">
        <references count="2">
          <reference field="0" count="1" selected="0">
            <x v="10"/>
          </reference>
          <reference field="2" count="1">
            <x v="27"/>
          </reference>
        </references>
      </pivotArea>
    </format>
    <format dxfId="294">
      <pivotArea dataOnly="0" labelOnly="1" outline="0" fieldPosition="0">
        <references count="3">
          <reference field="0" count="1" selected="0">
            <x v="0"/>
          </reference>
          <reference field="2" count="1" selected="0">
            <x v="0"/>
          </reference>
          <reference field="3" count="1">
            <x v="6"/>
          </reference>
        </references>
      </pivotArea>
    </format>
    <format dxfId="293">
      <pivotArea dataOnly="0" labelOnly="1" outline="0" fieldPosition="0">
        <references count="3">
          <reference field="0" count="1" selected="0">
            <x v="0"/>
          </reference>
          <reference field="2" count="1" selected="0">
            <x v="4"/>
          </reference>
          <reference field="3" count="1">
            <x v="72"/>
          </reference>
        </references>
      </pivotArea>
    </format>
    <format dxfId="292">
      <pivotArea dataOnly="0" labelOnly="1" outline="0" fieldPosition="0">
        <references count="3">
          <reference field="0" count="1" selected="0">
            <x v="0"/>
          </reference>
          <reference field="2" count="1" selected="0">
            <x v="5"/>
          </reference>
          <reference field="3" count="1">
            <x v="41"/>
          </reference>
        </references>
      </pivotArea>
    </format>
    <format dxfId="291">
      <pivotArea dataOnly="0" labelOnly="1" outline="0" fieldPosition="0">
        <references count="3">
          <reference field="0" count="1" selected="0">
            <x v="0"/>
          </reference>
          <reference field="2" count="1" selected="0">
            <x v="6"/>
          </reference>
          <reference field="3" count="1">
            <x v="43"/>
          </reference>
        </references>
      </pivotArea>
    </format>
    <format dxfId="290">
      <pivotArea dataOnly="0" labelOnly="1" outline="0" fieldPosition="0">
        <references count="3">
          <reference field="0" count="1" selected="0">
            <x v="0"/>
          </reference>
          <reference field="2" count="1" selected="0">
            <x v="7"/>
          </reference>
          <reference field="3" count="1">
            <x v="32"/>
          </reference>
        </references>
      </pivotArea>
    </format>
    <format dxfId="289">
      <pivotArea dataOnly="0" labelOnly="1" outline="0" fieldPosition="0">
        <references count="3">
          <reference field="0" count="1" selected="0">
            <x v="0"/>
          </reference>
          <reference field="2" count="1" selected="0">
            <x v="10"/>
          </reference>
          <reference field="3" count="1">
            <x v="74"/>
          </reference>
        </references>
      </pivotArea>
    </format>
    <format dxfId="288">
      <pivotArea dataOnly="0" labelOnly="1" outline="0" fieldPosition="0">
        <references count="3">
          <reference field="0" count="1" selected="0">
            <x v="0"/>
          </reference>
          <reference field="2" count="1" selected="0">
            <x v="12"/>
          </reference>
          <reference field="3" count="2">
            <x v="24"/>
            <x v="25"/>
          </reference>
        </references>
      </pivotArea>
    </format>
    <format dxfId="287">
      <pivotArea dataOnly="0" labelOnly="1" outline="0" fieldPosition="0">
        <references count="3">
          <reference field="0" count="1" selected="0">
            <x v="0"/>
          </reference>
          <reference field="2" count="1" selected="0">
            <x v="14"/>
          </reference>
          <reference field="3" count="3">
            <x v="87"/>
            <x v="88"/>
            <x v="90"/>
          </reference>
        </references>
      </pivotArea>
    </format>
    <format dxfId="286">
      <pivotArea dataOnly="0" labelOnly="1" outline="0" fieldPosition="0">
        <references count="3">
          <reference field="0" count="1" selected="0">
            <x v="0"/>
          </reference>
          <reference field="2" count="1" selected="0">
            <x v="16"/>
          </reference>
          <reference field="3" count="1">
            <x v="0"/>
          </reference>
        </references>
      </pivotArea>
    </format>
    <format dxfId="285">
      <pivotArea dataOnly="0" labelOnly="1" outline="0" fieldPosition="0">
        <references count="3">
          <reference field="0" count="1" selected="0">
            <x v="0"/>
          </reference>
          <reference field="2" count="1" selected="0">
            <x v="22"/>
          </reference>
          <reference field="3" count="3">
            <x v="13"/>
            <x v="14"/>
            <x v="16"/>
          </reference>
        </references>
      </pivotArea>
    </format>
    <format dxfId="284">
      <pivotArea dataOnly="0" labelOnly="1" outline="0" fieldPosition="0">
        <references count="3">
          <reference field="0" count="1" selected="0">
            <x v="1"/>
          </reference>
          <reference field="2" count="1" selected="0">
            <x v="0"/>
          </reference>
          <reference field="3" count="1">
            <x v="6"/>
          </reference>
        </references>
      </pivotArea>
    </format>
    <format dxfId="283">
      <pivotArea dataOnly="0" labelOnly="1" outline="0" fieldPosition="0">
        <references count="3">
          <reference field="0" count="1" selected="0">
            <x v="1"/>
          </reference>
          <reference field="2" count="1" selected="0">
            <x v="5"/>
          </reference>
          <reference field="3" count="4">
            <x v="39"/>
            <x v="41"/>
            <x v="44"/>
            <x v="58"/>
          </reference>
        </references>
      </pivotArea>
    </format>
    <format dxfId="282">
      <pivotArea dataOnly="0" labelOnly="1" outline="0" fieldPosition="0">
        <references count="3">
          <reference field="0" count="1" selected="0">
            <x v="1"/>
          </reference>
          <reference field="2" count="1" selected="0">
            <x v="6"/>
          </reference>
          <reference field="3" count="1">
            <x v="42"/>
          </reference>
        </references>
      </pivotArea>
    </format>
    <format dxfId="281">
      <pivotArea dataOnly="0" labelOnly="1" outline="0" fieldPosition="0">
        <references count="3">
          <reference field="0" count="1" selected="0">
            <x v="1"/>
          </reference>
          <reference field="2" count="1" selected="0">
            <x v="7"/>
          </reference>
          <reference field="3" count="1">
            <x v="33"/>
          </reference>
        </references>
      </pivotArea>
    </format>
    <format dxfId="280">
      <pivotArea dataOnly="0" labelOnly="1" outline="0" fieldPosition="0">
        <references count="3">
          <reference field="0" count="1" selected="0">
            <x v="1"/>
          </reference>
          <reference field="2" count="1" selected="0">
            <x v="9"/>
          </reference>
          <reference field="3" count="1">
            <x v="61"/>
          </reference>
        </references>
      </pivotArea>
    </format>
    <format dxfId="279">
      <pivotArea dataOnly="0" labelOnly="1" outline="0" fieldPosition="0">
        <references count="3">
          <reference field="0" count="1" selected="0">
            <x v="1"/>
          </reference>
          <reference field="2" count="1" selected="0">
            <x v="10"/>
          </reference>
          <reference field="3" count="1">
            <x v="74"/>
          </reference>
        </references>
      </pivotArea>
    </format>
    <format dxfId="278">
      <pivotArea dataOnly="0" labelOnly="1" outline="0" fieldPosition="0">
        <references count="3">
          <reference field="0" count="1" selected="0">
            <x v="1"/>
          </reference>
          <reference field="2" count="1" selected="0">
            <x v="12"/>
          </reference>
          <reference field="3" count="1">
            <x v="23"/>
          </reference>
        </references>
      </pivotArea>
    </format>
    <format dxfId="277">
      <pivotArea dataOnly="0" labelOnly="1" outline="0" fieldPosition="0">
        <references count="3">
          <reference field="0" count="1" selected="0">
            <x v="1"/>
          </reference>
          <reference field="2" count="1" selected="0">
            <x v="14"/>
          </reference>
          <reference field="3" count="1">
            <x v="91"/>
          </reference>
        </references>
      </pivotArea>
    </format>
    <format dxfId="276">
      <pivotArea dataOnly="0" labelOnly="1" outline="0" fieldPosition="0">
        <references count="3">
          <reference field="0" count="1" selected="0">
            <x v="1"/>
          </reference>
          <reference field="2" count="1" selected="0">
            <x v="17"/>
          </reference>
          <reference field="3" count="1">
            <x v="95"/>
          </reference>
        </references>
      </pivotArea>
    </format>
    <format dxfId="275">
      <pivotArea dataOnly="0" labelOnly="1" outline="0" fieldPosition="0">
        <references count="3">
          <reference field="0" count="1" selected="0">
            <x v="1"/>
          </reference>
          <reference field="2" count="1" selected="0">
            <x v="18"/>
          </reference>
          <reference field="3" count="1">
            <x v="77"/>
          </reference>
        </references>
      </pivotArea>
    </format>
    <format dxfId="274">
      <pivotArea dataOnly="0" labelOnly="1" outline="0" fieldPosition="0">
        <references count="3">
          <reference field="0" count="1" selected="0">
            <x v="1"/>
          </reference>
          <reference field="2" count="1" selected="0">
            <x v="24"/>
          </reference>
          <reference field="3" count="1">
            <x v="40"/>
          </reference>
        </references>
      </pivotArea>
    </format>
    <format dxfId="273">
      <pivotArea dataOnly="0" labelOnly="1" outline="0" fieldPosition="0">
        <references count="3">
          <reference field="0" count="1" selected="0">
            <x v="2"/>
          </reference>
          <reference field="2" count="1" selected="0">
            <x v="0"/>
          </reference>
          <reference field="3" count="1">
            <x v="6"/>
          </reference>
        </references>
      </pivotArea>
    </format>
    <format dxfId="272">
      <pivotArea dataOnly="0" labelOnly="1" outline="0" fieldPosition="0">
        <references count="3">
          <reference field="0" count="1" selected="0">
            <x v="2"/>
          </reference>
          <reference field="2" count="1" selected="0">
            <x v="3"/>
          </reference>
          <reference field="3" count="1">
            <x v="7"/>
          </reference>
        </references>
      </pivotArea>
    </format>
    <format dxfId="271">
      <pivotArea dataOnly="0" labelOnly="1" outline="0" fieldPosition="0">
        <references count="3">
          <reference field="0" count="1" selected="0">
            <x v="2"/>
          </reference>
          <reference field="2" count="1" selected="0">
            <x v="4"/>
          </reference>
          <reference field="3" count="2">
            <x v="59"/>
            <x v="71"/>
          </reference>
        </references>
      </pivotArea>
    </format>
    <format dxfId="270">
      <pivotArea dataOnly="0" labelOnly="1" outline="0" fieldPosition="0">
        <references count="3">
          <reference field="0" count="1" selected="0">
            <x v="2"/>
          </reference>
          <reference field="2" count="1" selected="0">
            <x v="6"/>
          </reference>
          <reference field="3" count="1">
            <x v="48"/>
          </reference>
        </references>
      </pivotArea>
    </format>
    <format dxfId="269">
      <pivotArea dataOnly="0" labelOnly="1" outline="0" fieldPosition="0">
        <references count="3">
          <reference field="0" count="1" selected="0">
            <x v="2"/>
          </reference>
          <reference field="2" count="1" selected="0">
            <x v="7"/>
          </reference>
          <reference field="3" count="2">
            <x v="53"/>
            <x v="64"/>
          </reference>
        </references>
      </pivotArea>
    </format>
    <format dxfId="268">
      <pivotArea dataOnly="0" labelOnly="1" outline="0" fieldPosition="0">
        <references count="3">
          <reference field="0" count="1" selected="0">
            <x v="2"/>
          </reference>
          <reference field="2" count="1" selected="0">
            <x v="10"/>
          </reference>
          <reference field="3" count="1">
            <x v="74"/>
          </reference>
        </references>
      </pivotArea>
    </format>
    <format dxfId="267">
      <pivotArea dataOnly="0" labelOnly="1" outline="0" fieldPosition="0">
        <references count="3">
          <reference field="0" count="1" selected="0">
            <x v="2"/>
          </reference>
          <reference field="2" count="1" selected="0">
            <x v="11"/>
          </reference>
          <reference field="3" count="1">
            <x v="96"/>
          </reference>
        </references>
      </pivotArea>
    </format>
    <format dxfId="266">
      <pivotArea dataOnly="0" labelOnly="1" outline="0" fieldPosition="0">
        <references count="3">
          <reference field="0" count="1" selected="0">
            <x v="2"/>
          </reference>
          <reference field="2" count="1" selected="0">
            <x v="12"/>
          </reference>
          <reference field="3" count="1">
            <x v="23"/>
          </reference>
        </references>
      </pivotArea>
    </format>
    <format dxfId="265">
      <pivotArea dataOnly="0" labelOnly="1" outline="0" fieldPosition="0">
        <references count="3">
          <reference field="0" count="1" selected="0">
            <x v="2"/>
          </reference>
          <reference field="2" count="1" selected="0">
            <x v="14"/>
          </reference>
          <reference field="3" count="1">
            <x v="91"/>
          </reference>
        </references>
      </pivotArea>
    </format>
    <format dxfId="264">
      <pivotArea dataOnly="0" labelOnly="1" outline="0" fieldPosition="0">
        <references count="3">
          <reference field="0" count="1" selected="0">
            <x v="2"/>
          </reference>
          <reference field="2" count="1" selected="0">
            <x v="18"/>
          </reference>
          <reference field="3" count="1">
            <x v="77"/>
          </reference>
        </references>
      </pivotArea>
    </format>
    <format dxfId="263">
      <pivotArea dataOnly="0" labelOnly="1" outline="0" fieldPosition="0">
        <references count="3">
          <reference field="0" count="1" selected="0">
            <x v="2"/>
          </reference>
          <reference field="2" count="1" selected="0">
            <x v="23"/>
          </reference>
          <reference field="3" count="1">
            <x v="55"/>
          </reference>
        </references>
      </pivotArea>
    </format>
    <format dxfId="262">
      <pivotArea dataOnly="0" labelOnly="1" outline="0" fieldPosition="0">
        <references count="3">
          <reference field="0" count="1" selected="0">
            <x v="2"/>
          </reference>
          <reference field="2" count="1" selected="0">
            <x v="24"/>
          </reference>
          <reference field="3" count="1">
            <x v="40"/>
          </reference>
        </references>
      </pivotArea>
    </format>
    <format dxfId="261">
      <pivotArea dataOnly="0" labelOnly="1" outline="0" fieldPosition="0">
        <references count="3">
          <reference field="0" count="1" selected="0">
            <x v="3"/>
          </reference>
          <reference field="2" count="1" selected="0">
            <x v="0"/>
          </reference>
          <reference field="3" count="1">
            <x v="6"/>
          </reference>
        </references>
      </pivotArea>
    </format>
    <format dxfId="260">
      <pivotArea dataOnly="0" labelOnly="1" outline="0" fieldPosition="0">
        <references count="3">
          <reference field="0" count="1" selected="0">
            <x v="3"/>
          </reference>
          <reference field="2" count="1" selected="0">
            <x v="4"/>
          </reference>
          <reference field="3" count="1">
            <x v="50"/>
          </reference>
        </references>
      </pivotArea>
    </format>
    <format dxfId="259">
      <pivotArea dataOnly="0" labelOnly="1" outline="0" fieldPosition="0">
        <references count="3">
          <reference field="0" count="1" selected="0">
            <x v="3"/>
          </reference>
          <reference field="2" count="1" selected="0">
            <x v="5"/>
          </reference>
          <reference field="3" count="2">
            <x v="41"/>
            <x v="56"/>
          </reference>
        </references>
      </pivotArea>
    </format>
    <format dxfId="258">
      <pivotArea dataOnly="0" labelOnly="1" outline="0" fieldPosition="0">
        <references count="3">
          <reference field="0" count="1" selected="0">
            <x v="3"/>
          </reference>
          <reference field="2" count="1" selected="0">
            <x v="7"/>
          </reference>
          <reference field="3" count="1">
            <x v="54"/>
          </reference>
        </references>
      </pivotArea>
    </format>
    <format dxfId="257">
      <pivotArea dataOnly="0" labelOnly="1" outline="0" fieldPosition="0">
        <references count="3">
          <reference field="0" count="1" selected="0">
            <x v="3"/>
          </reference>
          <reference field="2" count="1" selected="0">
            <x v="9"/>
          </reference>
          <reference field="3" count="1">
            <x v="75"/>
          </reference>
        </references>
      </pivotArea>
    </format>
    <format dxfId="256">
      <pivotArea dataOnly="0" labelOnly="1" outline="0" fieldPosition="0">
        <references count="3">
          <reference field="0" count="1" selected="0">
            <x v="3"/>
          </reference>
          <reference field="2" count="1" selected="0">
            <x v="10"/>
          </reference>
          <reference field="3" count="1">
            <x v="74"/>
          </reference>
        </references>
      </pivotArea>
    </format>
    <format dxfId="255">
      <pivotArea dataOnly="0" labelOnly="1" outline="0" fieldPosition="0">
        <references count="3">
          <reference field="0" count="1" selected="0">
            <x v="3"/>
          </reference>
          <reference field="2" count="1" selected="0">
            <x v="11"/>
          </reference>
          <reference field="3" count="1">
            <x v="96"/>
          </reference>
        </references>
      </pivotArea>
    </format>
    <format dxfId="254">
      <pivotArea dataOnly="0" labelOnly="1" outline="0" fieldPosition="0">
        <references count="3">
          <reference field="0" count="1" selected="0">
            <x v="3"/>
          </reference>
          <reference field="2" count="1" selected="0">
            <x v="20"/>
          </reference>
          <reference field="3" count="1">
            <x v="79"/>
          </reference>
        </references>
      </pivotArea>
    </format>
    <format dxfId="253">
      <pivotArea dataOnly="0" labelOnly="1" outline="0" fieldPosition="0">
        <references count="3">
          <reference field="0" count="1" selected="0">
            <x v="3"/>
          </reference>
          <reference field="2" count="1" selected="0">
            <x v="25"/>
          </reference>
          <reference field="3" count="1">
            <x v="21"/>
          </reference>
        </references>
      </pivotArea>
    </format>
    <format dxfId="252">
      <pivotArea dataOnly="0" labelOnly="1" outline="0" fieldPosition="0">
        <references count="3">
          <reference field="0" count="1" selected="0">
            <x v="4"/>
          </reference>
          <reference field="2" count="1" selected="0">
            <x v="0"/>
          </reference>
          <reference field="3" count="1">
            <x v="6"/>
          </reference>
        </references>
      </pivotArea>
    </format>
    <format dxfId="251">
      <pivotArea dataOnly="0" labelOnly="1" outline="0" fieldPosition="0">
        <references count="3">
          <reference field="0" count="1" selected="0">
            <x v="4"/>
          </reference>
          <reference field="2" count="1" selected="0">
            <x v="1"/>
          </reference>
          <reference field="3" count="1">
            <x v="11"/>
          </reference>
        </references>
      </pivotArea>
    </format>
    <format dxfId="250">
      <pivotArea dataOnly="0" labelOnly="1" outline="0" fieldPosition="0">
        <references count="3">
          <reference field="0" count="1" selected="0">
            <x v="4"/>
          </reference>
          <reference field="2" count="1" selected="0">
            <x v="4"/>
          </reference>
          <reference field="3" count="2">
            <x v="49"/>
            <x v="52"/>
          </reference>
        </references>
      </pivotArea>
    </format>
    <format dxfId="249">
      <pivotArea dataOnly="0" labelOnly="1" outline="0" fieldPosition="0">
        <references count="3">
          <reference field="0" count="1" selected="0">
            <x v="4"/>
          </reference>
          <reference field="2" count="1" selected="0">
            <x v="7"/>
          </reference>
          <reference field="3" count="1">
            <x v="34"/>
          </reference>
        </references>
      </pivotArea>
    </format>
    <format dxfId="248">
      <pivotArea dataOnly="0" labelOnly="1" outline="0" fieldPosition="0">
        <references count="3">
          <reference field="0" count="1" selected="0">
            <x v="4"/>
          </reference>
          <reference field="2" count="1" selected="0">
            <x v="9"/>
          </reference>
          <reference field="3" count="1">
            <x v="61"/>
          </reference>
        </references>
      </pivotArea>
    </format>
    <format dxfId="247">
      <pivotArea dataOnly="0" labelOnly="1" outline="0" fieldPosition="0">
        <references count="3">
          <reference field="0" count="1" selected="0">
            <x v="4"/>
          </reference>
          <reference field="2" count="1" selected="0">
            <x v="10"/>
          </reference>
          <reference field="3" count="1">
            <x v="74"/>
          </reference>
        </references>
      </pivotArea>
    </format>
    <format dxfId="246">
      <pivotArea dataOnly="0" labelOnly="1" outline="0" fieldPosition="0">
        <references count="3">
          <reference field="0" count="1" selected="0">
            <x v="4"/>
          </reference>
          <reference field="2" count="1" selected="0">
            <x v="11"/>
          </reference>
          <reference field="3" count="1">
            <x v="96"/>
          </reference>
        </references>
      </pivotArea>
    </format>
    <format dxfId="245">
      <pivotArea dataOnly="0" labelOnly="1" outline="0" fieldPosition="0">
        <references count="3">
          <reference field="0" count="1" selected="0">
            <x v="4"/>
          </reference>
          <reference field="2" count="1" selected="0">
            <x v="12"/>
          </reference>
          <reference field="3" count="1">
            <x v="27"/>
          </reference>
        </references>
      </pivotArea>
    </format>
    <format dxfId="244">
      <pivotArea dataOnly="0" labelOnly="1" outline="0" fieldPosition="0">
        <references count="3">
          <reference field="0" count="1" selected="0">
            <x v="4"/>
          </reference>
          <reference field="2" count="1" selected="0">
            <x v="14"/>
          </reference>
          <reference field="3" count="1">
            <x v="86"/>
          </reference>
        </references>
      </pivotArea>
    </format>
    <format dxfId="243">
      <pivotArea dataOnly="0" labelOnly="1" outline="0" fieldPosition="0">
        <references count="3">
          <reference field="0" count="1" selected="0">
            <x v="4"/>
          </reference>
          <reference field="2" count="1" selected="0">
            <x v="15"/>
          </reference>
          <reference field="3" count="3">
            <x v="28"/>
            <x v="30"/>
            <x v="31"/>
          </reference>
        </references>
      </pivotArea>
    </format>
    <format dxfId="242">
      <pivotArea dataOnly="0" labelOnly="1" outline="0" fieldPosition="0">
        <references count="3">
          <reference field="0" count="1" selected="0">
            <x v="4"/>
          </reference>
          <reference field="2" count="1" selected="0">
            <x v="16"/>
          </reference>
          <reference field="3" count="2">
            <x v="18"/>
            <x v="101"/>
          </reference>
        </references>
      </pivotArea>
    </format>
    <format dxfId="241">
      <pivotArea dataOnly="0" labelOnly="1" outline="0" fieldPosition="0">
        <references count="3">
          <reference field="0" count="1" selected="0">
            <x v="4"/>
          </reference>
          <reference field="2" count="1" selected="0">
            <x v="17"/>
          </reference>
          <reference field="3" count="1">
            <x v="2"/>
          </reference>
        </references>
      </pivotArea>
    </format>
    <format dxfId="240">
      <pivotArea dataOnly="0" labelOnly="1" outline="0" fieldPosition="0">
        <references count="3">
          <reference field="0" count="1" selected="0">
            <x v="4"/>
          </reference>
          <reference field="2" count="1" selected="0">
            <x v="18"/>
          </reference>
          <reference field="3" count="11">
            <x v="3"/>
            <x v="5"/>
            <x v="19"/>
            <x v="29"/>
            <x v="76"/>
            <x v="77"/>
            <x v="93"/>
            <x v="94"/>
            <x v="98"/>
            <x v="99"/>
            <x v="100"/>
          </reference>
        </references>
      </pivotArea>
    </format>
    <format dxfId="239">
      <pivotArea dataOnly="0" labelOnly="1" outline="0" fieldPosition="0">
        <references count="3">
          <reference field="0" count="1" selected="0">
            <x v="4"/>
          </reference>
          <reference field="2" count="1" selected="0">
            <x v="19"/>
          </reference>
          <reference field="3" count="1">
            <x v="20"/>
          </reference>
        </references>
      </pivotArea>
    </format>
    <format dxfId="238">
      <pivotArea dataOnly="0" labelOnly="1" outline="0" fieldPosition="0">
        <references count="3">
          <reference field="0" count="1" selected="0">
            <x v="4"/>
          </reference>
          <reference field="2" count="1" selected="0">
            <x v="20"/>
          </reference>
          <reference field="3" count="1">
            <x v="82"/>
          </reference>
        </references>
      </pivotArea>
    </format>
    <format dxfId="237">
      <pivotArea dataOnly="0" labelOnly="1" outline="0" fieldPosition="0">
        <references count="3">
          <reference field="0" count="1" selected="0">
            <x v="4"/>
          </reference>
          <reference field="2" count="1" selected="0">
            <x v="22"/>
          </reference>
          <reference field="3" count="1">
            <x v="15"/>
          </reference>
        </references>
      </pivotArea>
    </format>
    <format dxfId="236">
      <pivotArea dataOnly="0" labelOnly="1" outline="0" fieldPosition="0">
        <references count="3">
          <reference field="0" count="1" selected="0">
            <x v="4"/>
          </reference>
          <reference field="2" count="1" selected="0">
            <x v="26"/>
          </reference>
          <reference field="3" count="1">
            <x v="17"/>
          </reference>
        </references>
      </pivotArea>
    </format>
    <format dxfId="235">
      <pivotArea dataOnly="0" labelOnly="1" outline="0" fieldPosition="0">
        <references count="3">
          <reference field="0" count="1" selected="0">
            <x v="5"/>
          </reference>
          <reference field="2" count="1" selected="0">
            <x v="0"/>
          </reference>
          <reference field="3" count="1">
            <x v="6"/>
          </reference>
        </references>
      </pivotArea>
    </format>
    <format dxfId="234">
      <pivotArea dataOnly="0" labelOnly="1" outline="0" fieldPosition="0">
        <references count="3">
          <reference field="0" count="1" selected="0">
            <x v="5"/>
          </reference>
          <reference field="2" count="1" selected="0">
            <x v="3"/>
          </reference>
          <reference field="3" count="2">
            <x v="8"/>
            <x v="9"/>
          </reference>
        </references>
      </pivotArea>
    </format>
    <format dxfId="233">
      <pivotArea dataOnly="0" labelOnly="1" outline="0" fieldPosition="0">
        <references count="3">
          <reference field="0" count="1" selected="0">
            <x v="5"/>
          </reference>
          <reference field="2" count="1" selected="0">
            <x v="4"/>
          </reference>
          <reference field="3" count="1">
            <x v="46"/>
          </reference>
        </references>
      </pivotArea>
    </format>
    <format dxfId="232">
      <pivotArea dataOnly="0" labelOnly="1" outline="0" fieldPosition="0">
        <references count="3">
          <reference field="0" count="1" selected="0">
            <x v="5"/>
          </reference>
          <reference field="2" count="1" selected="0">
            <x v="7"/>
          </reference>
          <reference field="3" count="3">
            <x v="35"/>
            <x v="36"/>
            <x v="38"/>
          </reference>
        </references>
      </pivotArea>
    </format>
    <format dxfId="231">
      <pivotArea dataOnly="0" labelOnly="1" outline="0" fieldPosition="0">
        <references count="3">
          <reference field="0" count="1" selected="0">
            <x v="5"/>
          </reference>
          <reference field="2" count="1" selected="0">
            <x v="10"/>
          </reference>
          <reference field="3" count="1">
            <x v="74"/>
          </reference>
        </references>
      </pivotArea>
    </format>
    <format dxfId="230">
      <pivotArea dataOnly="0" labelOnly="1" outline="0" fieldPosition="0">
        <references count="3">
          <reference field="0" count="1" selected="0">
            <x v="5"/>
          </reference>
          <reference field="2" count="1" selected="0">
            <x v="11"/>
          </reference>
          <reference field="3" count="1">
            <x v="96"/>
          </reference>
        </references>
      </pivotArea>
    </format>
    <format dxfId="229">
      <pivotArea dataOnly="0" labelOnly="1" outline="0" fieldPosition="0">
        <references count="3">
          <reference field="0" count="1" selected="0">
            <x v="5"/>
          </reference>
          <reference field="2" count="1" selected="0">
            <x v="12"/>
          </reference>
          <reference field="3" count="1">
            <x v="23"/>
          </reference>
        </references>
      </pivotArea>
    </format>
    <format dxfId="228">
      <pivotArea dataOnly="0" labelOnly="1" outline="0" fieldPosition="0">
        <references count="3">
          <reference field="0" count="1" selected="0">
            <x v="5"/>
          </reference>
          <reference field="2" count="1" selected="0">
            <x v="14"/>
          </reference>
          <reference field="3" count="1">
            <x v="91"/>
          </reference>
        </references>
      </pivotArea>
    </format>
    <format dxfId="227">
      <pivotArea dataOnly="0" labelOnly="1" outline="0" fieldPosition="0">
        <references count="3">
          <reference field="0" count="1" selected="0">
            <x v="5"/>
          </reference>
          <reference field="2" count="1" selected="0">
            <x v="17"/>
          </reference>
          <reference field="3" count="1">
            <x v="95"/>
          </reference>
        </references>
      </pivotArea>
    </format>
    <format dxfId="226">
      <pivotArea dataOnly="0" labelOnly="1" outline="0" fieldPosition="0">
        <references count="3">
          <reference field="0" count="1" selected="0">
            <x v="5"/>
          </reference>
          <reference field="2" count="1" selected="0">
            <x v="25"/>
          </reference>
          <reference field="3" count="1">
            <x v="21"/>
          </reference>
        </references>
      </pivotArea>
    </format>
    <format dxfId="225">
      <pivotArea dataOnly="0" labelOnly="1" outline="0" fieldPosition="0">
        <references count="3">
          <reference field="0" count="1" selected="0">
            <x v="6"/>
          </reference>
          <reference field="2" count="1" selected="0">
            <x v="0"/>
          </reference>
          <reference field="3" count="1">
            <x v="6"/>
          </reference>
        </references>
      </pivotArea>
    </format>
    <format dxfId="224">
      <pivotArea dataOnly="0" labelOnly="1" outline="0" fieldPosition="0">
        <references count="3">
          <reference field="0" count="1" selected="0">
            <x v="6"/>
          </reference>
          <reference field="2" count="1" selected="0">
            <x v="4"/>
          </reference>
          <reference field="3" count="1">
            <x v="66"/>
          </reference>
        </references>
      </pivotArea>
    </format>
    <format dxfId="223">
      <pivotArea dataOnly="0" labelOnly="1" outline="0" fieldPosition="0">
        <references count="3">
          <reference field="0" count="1" selected="0">
            <x v="6"/>
          </reference>
          <reference field="2" count="1" selected="0">
            <x v="5"/>
          </reference>
          <reference field="3" count="1">
            <x v="60"/>
          </reference>
        </references>
      </pivotArea>
    </format>
    <format dxfId="222">
      <pivotArea dataOnly="0" labelOnly="1" outline="0" fieldPosition="0">
        <references count="3">
          <reference field="0" count="1" selected="0">
            <x v="6"/>
          </reference>
          <reference field="2" count="1" selected="0">
            <x v="7"/>
          </reference>
          <reference field="3" count="3">
            <x v="45"/>
            <x v="51"/>
            <x v="73"/>
          </reference>
        </references>
      </pivotArea>
    </format>
    <format dxfId="221">
      <pivotArea dataOnly="0" labelOnly="1" outline="0" fieldPosition="0">
        <references count="3">
          <reference field="0" count="1" selected="0">
            <x v="6"/>
          </reference>
          <reference field="2" count="1" selected="0">
            <x v="9"/>
          </reference>
          <reference field="3" count="1">
            <x v="61"/>
          </reference>
        </references>
      </pivotArea>
    </format>
    <format dxfId="220">
      <pivotArea dataOnly="0" labelOnly="1" outline="0" fieldPosition="0">
        <references count="3">
          <reference field="0" count="1" selected="0">
            <x v="6"/>
          </reference>
          <reference field="2" count="1" selected="0">
            <x v="10"/>
          </reference>
          <reference field="3" count="1">
            <x v="74"/>
          </reference>
        </references>
      </pivotArea>
    </format>
    <format dxfId="219">
      <pivotArea dataOnly="0" labelOnly="1" outline="0" fieldPosition="0">
        <references count="3">
          <reference field="0" count="1" selected="0">
            <x v="6"/>
          </reference>
          <reference field="2" count="1" selected="0">
            <x v="11"/>
          </reference>
          <reference field="3" count="1">
            <x v="96"/>
          </reference>
        </references>
      </pivotArea>
    </format>
    <format dxfId="218">
      <pivotArea dataOnly="0" labelOnly="1" outline="0" fieldPosition="0">
        <references count="3">
          <reference field="0" count="1" selected="0">
            <x v="6"/>
          </reference>
          <reference field="2" count="1" selected="0">
            <x v="12"/>
          </reference>
          <reference field="3" count="1">
            <x v="26"/>
          </reference>
        </references>
      </pivotArea>
    </format>
    <format dxfId="217">
      <pivotArea dataOnly="0" labelOnly="1" outline="0" fieldPosition="0">
        <references count="3">
          <reference field="0" count="1" selected="0">
            <x v="6"/>
          </reference>
          <reference field="2" count="1" selected="0">
            <x v="13"/>
          </reference>
          <reference field="3" count="1">
            <x v="22"/>
          </reference>
        </references>
      </pivotArea>
    </format>
    <format dxfId="216">
      <pivotArea dataOnly="0" labelOnly="1" outline="0" fieldPosition="0">
        <references count="3">
          <reference field="0" count="1" selected="0">
            <x v="6"/>
          </reference>
          <reference field="2" count="1" selected="0">
            <x v="14"/>
          </reference>
          <reference field="3" count="2">
            <x v="89"/>
            <x v="92"/>
          </reference>
        </references>
      </pivotArea>
    </format>
    <format dxfId="215">
      <pivotArea dataOnly="0" labelOnly="1" outline="0" fieldPosition="0">
        <references count="3">
          <reference field="0" count="1" selected="0">
            <x v="6"/>
          </reference>
          <reference field="2" count="1" selected="0">
            <x v="21"/>
          </reference>
          <reference field="3" count="1">
            <x v="84"/>
          </reference>
        </references>
      </pivotArea>
    </format>
    <format dxfId="214">
      <pivotArea dataOnly="0" labelOnly="1" outline="0" fieldPosition="0">
        <references count="3">
          <reference field="0" count="1" selected="0">
            <x v="6"/>
          </reference>
          <reference field="2" count="1" selected="0">
            <x v="25"/>
          </reference>
          <reference field="3" count="1">
            <x v="21"/>
          </reference>
        </references>
      </pivotArea>
    </format>
    <format dxfId="213">
      <pivotArea dataOnly="0" labelOnly="1" outline="0" fieldPosition="0">
        <references count="3">
          <reference field="0" count="1" selected="0">
            <x v="7"/>
          </reference>
          <reference field="2" count="1" selected="0">
            <x v="0"/>
          </reference>
          <reference field="3" count="1">
            <x v="6"/>
          </reference>
        </references>
      </pivotArea>
    </format>
    <format dxfId="212">
      <pivotArea dataOnly="0" labelOnly="1" outline="0" fieldPosition="0">
        <references count="3">
          <reference field="0" count="1" selected="0">
            <x v="7"/>
          </reference>
          <reference field="2" count="1" selected="0">
            <x v="5"/>
          </reference>
          <reference field="3" count="1">
            <x v="41"/>
          </reference>
        </references>
      </pivotArea>
    </format>
    <format dxfId="211">
      <pivotArea dataOnly="0" labelOnly="1" outline="0" fieldPosition="0">
        <references count="3">
          <reference field="0" count="1" selected="0">
            <x v="7"/>
          </reference>
          <reference field="2" count="1" selected="0">
            <x v="6"/>
          </reference>
          <reference field="3" count="1">
            <x v="65"/>
          </reference>
        </references>
      </pivotArea>
    </format>
    <format dxfId="210">
      <pivotArea dataOnly="0" labelOnly="1" outline="0" fieldPosition="0">
        <references count="3">
          <reference field="0" count="1" selected="0">
            <x v="7"/>
          </reference>
          <reference field="2" count="1" selected="0">
            <x v="7"/>
          </reference>
          <reference field="3" count="1">
            <x v="70"/>
          </reference>
        </references>
      </pivotArea>
    </format>
    <format dxfId="209">
      <pivotArea dataOnly="0" labelOnly="1" outline="0" fieldPosition="0">
        <references count="3">
          <reference field="0" count="1" selected="0">
            <x v="7"/>
          </reference>
          <reference field="2" count="1" selected="0">
            <x v="8"/>
          </reference>
          <reference field="3" count="2">
            <x v="68"/>
            <x v="69"/>
          </reference>
        </references>
      </pivotArea>
    </format>
    <format dxfId="208">
      <pivotArea dataOnly="0" labelOnly="1" outline="0" fieldPosition="0">
        <references count="3">
          <reference field="0" count="1" selected="0">
            <x v="7"/>
          </reference>
          <reference field="2" count="1" selected="0">
            <x v="10"/>
          </reference>
          <reference field="3" count="1">
            <x v="74"/>
          </reference>
        </references>
      </pivotArea>
    </format>
    <format dxfId="207">
      <pivotArea dataOnly="0" labelOnly="1" outline="0" fieldPosition="0">
        <references count="3">
          <reference field="0" count="1" selected="0">
            <x v="7"/>
          </reference>
          <reference field="2" count="1" selected="0">
            <x v="11"/>
          </reference>
          <reference field="3" count="1">
            <x v="96"/>
          </reference>
        </references>
      </pivotArea>
    </format>
    <format dxfId="206">
      <pivotArea dataOnly="0" labelOnly="1" outline="0" fieldPosition="0">
        <references count="3">
          <reference field="0" count="1" selected="0">
            <x v="7"/>
          </reference>
          <reference field="2" count="1" selected="0">
            <x v="14"/>
          </reference>
          <reference field="3" count="2">
            <x v="85"/>
            <x v="91"/>
          </reference>
        </references>
      </pivotArea>
    </format>
    <format dxfId="205">
      <pivotArea dataOnly="0" labelOnly="1" outline="0" fieldPosition="0">
        <references count="3">
          <reference field="0" count="1" selected="0">
            <x v="7"/>
          </reference>
          <reference field="2" count="1" selected="0">
            <x v="17"/>
          </reference>
          <reference field="3" count="3">
            <x v="2"/>
            <x v="4"/>
            <x v="102"/>
          </reference>
        </references>
      </pivotArea>
    </format>
    <format dxfId="204">
      <pivotArea dataOnly="0" labelOnly="1" outline="0" fieldPosition="0">
        <references count="3">
          <reference field="0" count="1" selected="0">
            <x v="7"/>
          </reference>
          <reference field="2" count="1" selected="0">
            <x v="18"/>
          </reference>
          <reference field="3" count="5">
            <x v="3"/>
            <x v="19"/>
            <x v="76"/>
            <x v="98"/>
            <x v="100"/>
          </reference>
        </references>
      </pivotArea>
    </format>
    <format dxfId="203">
      <pivotArea dataOnly="0" labelOnly="1" outline="0" fieldPosition="0">
        <references count="3">
          <reference field="0" count="1" selected="0">
            <x v="7"/>
          </reference>
          <reference field="2" count="1" selected="0">
            <x v="22"/>
          </reference>
          <reference field="3" count="1">
            <x v="12"/>
          </reference>
        </references>
      </pivotArea>
    </format>
    <format dxfId="202">
      <pivotArea dataOnly="0" labelOnly="1" outline="0" fieldPosition="0">
        <references count="3">
          <reference field="0" count="1" selected="0">
            <x v="8"/>
          </reference>
          <reference field="2" count="1" selected="0">
            <x v="0"/>
          </reference>
          <reference field="3" count="1">
            <x v="6"/>
          </reference>
        </references>
      </pivotArea>
    </format>
    <format dxfId="201">
      <pivotArea dataOnly="0" labelOnly="1" outline="0" fieldPosition="0">
        <references count="3">
          <reference field="0" count="1" selected="0">
            <x v="8"/>
          </reference>
          <reference field="2" count="1" selected="0">
            <x v="2"/>
          </reference>
          <reference field="3" count="1">
            <x v="97"/>
          </reference>
        </references>
      </pivotArea>
    </format>
    <format dxfId="200">
      <pivotArea dataOnly="0" labelOnly="1" outline="0" fieldPosition="0">
        <references count="3">
          <reference field="0" count="1" selected="0">
            <x v="8"/>
          </reference>
          <reference field="2" count="1" selected="0">
            <x v="4"/>
          </reference>
          <reference field="3" count="1">
            <x v="37"/>
          </reference>
        </references>
      </pivotArea>
    </format>
    <format dxfId="199">
      <pivotArea dataOnly="0" labelOnly="1" outline="0" fieldPosition="0">
        <references count="3">
          <reference field="0" count="1" selected="0">
            <x v="8"/>
          </reference>
          <reference field="2" count="1" selected="0">
            <x v="7"/>
          </reference>
          <reference field="3" count="1">
            <x v="47"/>
          </reference>
        </references>
      </pivotArea>
    </format>
    <format dxfId="198">
      <pivotArea dataOnly="0" labelOnly="1" outline="0" fieldPosition="0">
        <references count="3">
          <reference field="0" count="1" selected="0">
            <x v="8"/>
          </reference>
          <reference field="2" count="1" selected="0">
            <x v="9"/>
          </reference>
          <reference field="3" count="1">
            <x v="75"/>
          </reference>
        </references>
      </pivotArea>
    </format>
    <format dxfId="197">
      <pivotArea dataOnly="0" labelOnly="1" outline="0" fieldPosition="0">
        <references count="3">
          <reference field="0" count="1" selected="0">
            <x v="8"/>
          </reference>
          <reference field="2" count="1" selected="0">
            <x v="10"/>
          </reference>
          <reference field="3" count="1">
            <x v="74"/>
          </reference>
        </references>
      </pivotArea>
    </format>
    <format dxfId="196">
      <pivotArea dataOnly="0" labelOnly="1" outline="0" fieldPosition="0">
        <references count="3">
          <reference field="0" count="1" selected="0">
            <x v="8"/>
          </reference>
          <reference field="2" count="1" selected="0">
            <x v="11"/>
          </reference>
          <reference field="3" count="1">
            <x v="96"/>
          </reference>
        </references>
      </pivotArea>
    </format>
    <format dxfId="195">
      <pivotArea dataOnly="0" labelOnly="1" outline="0" fieldPosition="0">
        <references count="3">
          <reference field="0" count="1" selected="0">
            <x v="8"/>
          </reference>
          <reference field="2" count="1" selected="0">
            <x v="14"/>
          </reference>
          <reference field="3" count="1">
            <x v="91"/>
          </reference>
        </references>
      </pivotArea>
    </format>
    <format dxfId="194">
      <pivotArea dataOnly="0" labelOnly="1" outline="0" fieldPosition="0">
        <references count="3">
          <reference field="0" count="1" selected="0">
            <x v="8"/>
          </reference>
          <reference field="2" count="1" selected="0">
            <x v="17"/>
          </reference>
          <reference field="3" count="1">
            <x v="102"/>
          </reference>
        </references>
      </pivotArea>
    </format>
    <format dxfId="193">
      <pivotArea dataOnly="0" labelOnly="1" outline="0" fieldPosition="0">
        <references count="3">
          <reference field="0" count="1" selected="0">
            <x v="8"/>
          </reference>
          <reference field="2" count="1" selected="0">
            <x v="21"/>
          </reference>
          <reference field="3" count="2">
            <x v="78"/>
            <x v="83"/>
          </reference>
        </references>
      </pivotArea>
    </format>
    <format dxfId="192">
      <pivotArea dataOnly="0" labelOnly="1" outline="0" fieldPosition="0">
        <references count="3">
          <reference field="0" count="1" selected="0">
            <x v="8"/>
          </reference>
          <reference field="2" count="1" selected="0">
            <x v="23"/>
          </reference>
          <reference field="3" count="1">
            <x v="55"/>
          </reference>
        </references>
      </pivotArea>
    </format>
    <format dxfId="191">
      <pivotArea dataOnly="0" labelOnly="1" outline="0" fieldPosition="0">
        <references count="3">
          <reference field="0" count="1" selected="0">
            <x v="9"/>
          </reference>
          <reference field="2" count="1" selected="0">
            <x v="0"/>
          </reference>
          <reference field="3" count="1">
            <x v="6"/>
          </reference>
        </references>
      </pivotArea>
    </format>
    <format dxfId="190">
      <pivotArea dataOnly="0" labelOnly="1" outline="0" fieldPosition="0">
        <references count="3">
          <reference field="0" count="1" selected="0">
            <x v="9"/>
          </reference>
          <reference field="2" count="1" selected="0">
            <x v="5"/>
          </reference>
          <reference field="3" count="2">
            <x v="41"/>
            <x v="57"/>
          </reference>
        </references>
      </pivotArea>
    </format>
    <format dxfId="189">
      <pivotArea dataOnly="0" labelOnly="1" outline="0" fieldPosition="0">
        <references count="3">
          <reference field="0" count="1" selected="0">
            <x v="9"/>
          </reference>
          <reference field="2" count="1" selected="0">
            <x v="7"/>
          </reference>
          <reference field="3" count="2">
            <x v="62"/>
            <x v="63"/>
          </reference>
        </references>
      </pivotArea>
    </format>
    <format dxfId="188">
      <pivotArea dataOnly="0" labelOnly="1" outline="0" fieldPosition="0">
        <references count="3">
          <reference field="0" count="1" selected="0">
            <x v="9"/>
          </reference>
          <reference field="2" count="1" selected="0">
            <x v="8"/>
          </reference>
          <reference field="3" count="2">
            <x v="67"/>
            <x v="68"/>
          </reference>
        </references>
      </pivotArea>
    </format>
    <format dxfId="187">
      <pivotArea dataOnly="0" labelOnly="1" outline="0" fieldPosition="0">
        <references count="3">
          <reference field="0" count="1" selected="0">
            <x v="9"/>
          </reference>
          <reference field="2" count="1" selected="0">
            <x v="11"/>
          </reference>
          <reference field="3" count="1">
            <x v="96"/>
          </reference>
        </references>
      </pivotArea>
    </format>
    <format dxfId="186">
      <pivotArea dataOnly="0" labelOnly="1" outline="0" fieldPosition="0">
        <references count="3">
          <reference field="0" count="1" selected="0">
            <x v="9"/>
          </reference>
          <reference field="2" count="1" selected="0">
            <x v="18"/>
          </reference>
          <reference field="3" count="1">
            <x v="77"/>
          </reference>
        </references>
      </pivotArea>
    </format>
    <format dxfId="185">
      <pivotArea dataOnly="0" labelOnly="1" outline="0" fieldPosition="0">
        <references count="3">
          <reference field="0" count="1" selected="0">
            <x v="9"/>
          </reference>
          <reference field="2" count="1" selected="0">
            <x v="20"/>
          </reference>
          <reference field="3" count="1">
            <x v="81"/>
          </reference>
        </references>
      </pivotArea>
    </format>
    <format dxfId="184">
      <pivotArea dataOnly="0" labelOnly="1" outline="0" fieldPosition="0">
        <references count="3">
          <reference field="0" count="1" selected="0">
            <x v="9"/>
          </reference>
          <reference field="2" count="1" selected="0">
            <x v="21"/>
          </reference>
          <reference field="3" count="1">
            <x v="80"/>
          </reference>
        </references>
      </pivotArea>
    </format>
    <format dxfId="183">
      <pivotArea dataOnly="0" labelOnly="1" outline="0" fieldPosition="0">
        <references count="3">
          <reference field="0" count="1" selected="0">
            <x v="9"/>
          </reference>
          <reference field="2" count="1" selected="0">
            <x v="26"/>
          </reference>
          <reference field="3" count="1">
            <x v="10"/>
          </reference>
        </references>
      </pivotArea>
    </format>
    <format dxfId="182">
      <pivotArea dataOnly="0" labelOnly="1" outline="0" fieldPosition="0">
        <references count="3">
          <reference field="0" count="1" selected="0">
            <x v="10"/>
          </reference>
          <reference field="2" count="1" selected="0">
            <x v="27"/>
          </reference>
          <reference field="3" count="1">
            <x v="1"/>
          </reference>
        </references>
      </pivotArea>
    </format>
    <format dxfId="181">
      <pivotArea dataOnly="0" labelOnly="1" outline="0" axis="axisValues" fieldPosition="0"/>
    </format>
    <format dxfId="180">
      <pivotArea outline="0" collapsedLevelsAreSubtotals="1" fieldPosition="0"/>
    </format>
    <format dxfId="179">
      <pivotArea dataOnly="0" labelOnly="1" outline="0" axis="axisValues" fieldPosition="0"/>
    </format>
    <format dxfId="178">
      <pivotArea dataOnly="0" labelOnly="1" outline="0" axis="axisValues" fieldPosition="0"/>
    </format>
    <format dxfId="177">
      <pivotArea outline="0" collapsedLevelsAreSubtotals="1" fieldPosition="0"/>
    </format>
    <format dxfId="176">
      <pivotArea dataOnly="0" labelOnly="1" outline="0" axis="axisValues" fieldPosition="0"/>
    </format>
    <format dxfId="175">
      <pivotArea dataOnly="0" labelOnly="1" outline="0" axis="axisValues" fieldPosition="0"/>
    </format>
    <format dxfId="174">
      <pivotArea field="0" type="button" dataOnly="0" labelOnly="1" outline="0" axis="axisRow" fieldPosition="0"/>
    </format>
    <format dxfId="173">
      <pivotArea field="2" type="button" dataOnly="0" labelOnly="1" outline="0" axis="axisRow" fieldPosition="1"/>
    </format>
    <format dxfId="172">
      <pivotArea field="3" type="button" dataOnly="0" labelOnly="1" outline="0" axis="axisRow" fieldPosition="2"/>
    </format>
    <format dxfId="171">
      <pivotArea dataOnly="0" labelOnly="1" outline="0" axis="axisValues" fieldPosition="0"/>
    </format>
    <format dxfId="170">
      <pivotArea dataOnly="0" labelOnly="1" outline="0" axis="axisValues" fieldPosition="0"/>
    </format>
    <format dxfId="169">
      <pivotArea field="0" type="button" dataOnly="0" labelOnly="1" outline="0" axis="axisRow" fieldPosition="0"/>
    </format>
    <format dxfId="168">
      <pivotArea field="2" type="button" dataOnly="0" labelOnly="1" outline="0" axis="axisRow" fieldPosition="1"/>
    </format>
    <format dxfId="167">
      <pivotArea field="3" type="button" dataOnly="0" labelOnly="1" outline="0" axis="axisRow" fieldPosition="2"/>
    </format>
    <format dxfId="166">
      <pivotArea dataOnly="0" labelOnly="1" outline="0" axis="axisValues" fieldPosition="0"/>
    </format>
    <format dxfId="165">
      <pivotArea dataOnly="0" labelOnly="1" outline="0" axis="axisValues" fieldPosition="0"/>
    </format>
    <format dxfId="164">
      <pivotArea field="0" type="button" dataOnly="0" labelOnly="1" outline="0" axis="axisRow" fieldPosition="0"/>
    </format>
    <format dxfId="163">
      <pivotArea field="2" type="button" dataOnly="0" labelOnly="1" outline="0" axis="axisRow" fieldPosition="1"/>
    </format>
    <format dxfId="162">
      <pivotArea field="3" type="button" dataOnly="0" labelOnly="1" outline="0" axis="axisRow" fieldPosition="2"/>
    </format>
    <format dxfId="161">
      <pivotArea dataOnly="0" labelOnly="1" outline="0" axis="axisValues" fieldPosition="0"/>
    </format>
    <format dxfId="160">
      <pivotArea dataOnly="0" labelOnly="1" outline="0" axis="axisValues" fieldPosition="0"/>
    </format>
  </formats>
  <pivotTableStyleInfo name="PivotStyleDark6"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9.xml><?xml version="1.0" encoding="utf-8"?>
<pivotTableDefinition xmlns="http://schemas.openxmlformats.org/spreadsheetml/2006/main" name="PivotTable1" cacheId="2"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F2:I6" firstHeaderRow="1" firstDataRow="1" firstDataCol="3"/>
  <pivotFields count="9">
    <pivotField axis="axisRow" compact="0" outline="0" showAll="0" defaultSubtotal="0">
      <items count="12">
        <item m="1" x="6"/>
        <item m="1" x="9"/>
        <item m="1" x="11"/>
        <item m="1" x="3"/>
        <item m="1" x="5"/>
        <item m="1" x="8"/>
        <item m="1" x="10"/>
        <item m="1" x="2"/>
        <item m="1" x="4"/>
        <item m="1" x="7"/>
        <item x="0"/>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28">
        <item m="1" x="21"/>
        <item m="1" x="25"/>
        <item m="1" x="12"/>
        <item m="1" x="2"/>
        <item m="1" x="17"/>
        <item m="1" x="18"/>
        <item m="1" x="22"/>
        <item m="1" x="14"/>
        <item m="1" x="16"/>
        <item m="1" x="6"/>
        <item m="1" x="8"/>
        <item m="1" x="1"/>
        <item m="1" x="23"/>
        <item m="1" x="5"/>
        <item m="1" x="26"/>
        <item m="1" x="3"/>
        <item m="1" x="27"/>
        <item m="1" x="10"/>
        <item m="1" x="20"/>
        <item m="1" x="7"/>
        <item m="1" x="4"/>
        <item m="1" x="24"/>
        <item m="1" x="13"/>
        <item m="1" x="9"/>
        <item m="1" x="11"/>
        <item m="1" x="19"/>
        <item m="1" x="15"/>
        <item x="0"/>
      </items>
      <extLst>
        <ext xmlns:x14="http://schemas.microsoft.com/office/spreadsheetml/2009/9/main" uri="{2946ED86-A175-432a-8AC1-64E0C546D7DE}">
          <x14:pivotField fillDownLabels="1"/>
        </ext>
      </extLst>
    </pivotField>
    <pivotField axis="axisRow" compact="0" outline="0" showAll="0" defaultSubtotal="0">
      <items count="106">
        <item m="1" x="90"/>
        <item x="0"/>
        <item m="1" x="10"/>
        <item m="1" x="91"/>
        <item m="1" x="6"/>
        <item m="1" x="75"/>
        <item m="1" x="84"/>
        <item m="1" x="96"/>
        <item m="1" x="52"/>
        <item m="1" x="28"/>
        <item m="1" x="16"/>
        <item m="1" x="37"/>
        <item m="1" x="92"/>
        <item m="1" x="27"/>
        <item m="1" x="46"/>
        <item m="1" x="76"/>
        <item m="1" x="33"/>
        <item m="1" x="34"/>
        <item m="1" x="66"/>
        <item m="1" x="63"/>
        <item m="1" x="95"/>
        <item m="1" x="36"/>
        <item m="1" x="42"/>
        <item m="1" x="3"/>
        <item m="1" x="72"/>
        <item m="1" x="56"/>
        <item m="1" x="97"/>
        <item m="1" x="78"/>
        <item m="1" x="2"/>
        <item m="1" x="19"/>
        <item m="1" x="12"/>
        <item m="1" x="60"/>
        <item m="1" x="80"/>
        <item m="1" x="87"/>
        <item m="1" x="105"/>
        <item m="1" x="15"/>
        <item m="1" x="101"/>
        <item m="1" x="79"/>
        <item m="1" x="73"/>
        <item m="1" x="7"/>
        <item m="1" x="58"/>
        <item m="1" x="57"/>
        <item m="1" x="93"/>
        <item m="1" x="77"/>
        <item m="1" x="43"/>
        <item m="1" x="61"/>
        <item m="1" x="26"/>
        <item m="1" x="40"/>
        <item m="1" x="102"/>
        <item m="1" x="35"/>
        <item m="1" x="62"/>
        <item m="1" x="94"/>
        <item m="1" x="98"/>
        <item m="1" x="49"/>
        <item m="1" x="100"/>
        <item m="1" x="83"/>
        <item m="1" x="88"/>
        <item m="1" x="81"/>
        <item m="1" x="18"/>
        <item m="1" x="86"/>
        <item m="1" x="74"/>
        <item m="1" x="11"/>
        <item m="1" x="32"/>
        <item m="1" x="55"/>
        <item m="1" x="64"/>
        <item m="1" x="99"/>
        <item m="1" x="89"/>
        <item m="1" x="38"/>
        <item m="1" x="51"/>
        <item m="1" x="67"/>
        <item m="1" x="23"/>
        <item m="1" x="39"/>
        <item m="1" x="29"/>
        <item m="1" x="82"/>
        <item m="1" x="47"/>
        <item m="1" x="70"/>
        <item m="1" x="30"/>
        <item m="1" x="31"/>
        <item m="1" x="53"/>
        <item m="1" x="69"/>
        <item m="1" x="54"/>
        <item m="1" x="50"/>
        <item m="1" x="65"/>
        <item m="1" x="59"/>
        <item m="1" x="9"/>
        <item m="1" x="68"/>
        <item m="1" x="14"/>
        <item m="1" x="45"/>
        <item m="1" x="44"/>
        <item m="1" x="4"/>
        <item m="1" x="25"/>
        <item m="1" x="5"/>
        <item m="1" x="20"/>
        <item m="1" x="13"/>
        <item m="1" x="8"/>
        <item m="1" x="71"/>
        <item m="1" x="41"/>
        <item m="1" x="22"/>
        <item m="1" x="103"/>
        <item m="1" x="24"/>
        <item m="1" x="85"/>
        <item m="1" x="17"/>
        <item m="1" x="21"/>
        <item m="1" x="104"/>
        <item m="1" x="48"/>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81" outline="0" showAll="0" defaultSubtotal="0">
      <extLst>
        <ext xmlns:x14="http://schemas.microsoft.com/office/spreadsheetml/2009/9/main" uri="{2946ED86-A175-432a-8AC1-64E0C546D7DE}">
          <x14:pivotField fillDownLabels="1"/>
        </ext>
      </extLst>
    </pivotField>
  </pivotFields>
  <rowFields count="3">
    <field x="0"/>
    <field x="2"/>
    <field x="3"/>
  </rowFields>
  <rowItems count="4">
    <i>
      <x v="10"/>
      <x v="27"/>
      <x v="1"/>
    </i>
    <i r="2">
      <x v="105"/>
    </i>
    <i>
      <x v="11"/>
      <x v="27"/>
      <x v="105"/>
    </i>
    <i t="grand">
      <x/>
    </i>
  </rowItems>
  <colItems count="1">
    <i/>
  </colItems>
  <dataFields count="1">
    <dataField name="Sum of Debit" fld="6" baseField="3" baseItem="0" numFmtId="164"/>
  </dataFields>
  <formats count="174">
    <format dxfId="487">
      <pivotArea type="all" dataOnly="0" outline="0" fieldPosition="0"/>
    </format>
    <format dxfId="486">
      <pivotArea outline="0" collapsedLevelsAreSubtotals="1" fieldPosition="0"/>
    </format>
    <format dxfId="485">
      <pivotArea field="0" type="button" dataOnly="0" labelOnly="1" outline="0" axis="axisRow" fieldPosition="0"/>
    </format>
    <format dxfId="484">
      <pivotArea dataOnly="0" labelOnly="1" outline="0" axis="axisValues" fieldPosition="0"/>
    </format>
    <format dxfId="483">
      <pivotArea dataOnly="0" labelOnly="1" fieldPosition="0">
        <references count="1">
          <reference field="0" count="0"/>
        </references>
      </pivotArea>
    </format>
    <format dxfId="482">
      <pivotArea dataOnly="0" labelOnly="1" grandRow="1" outline="0" fieldPosition="0"/>
    </format>
    <format dxfId="481">
      <pivotArea dataOnly="0" labelOnly="1" fieldPosition="0">
        <references count="2">
          <reference field="0" count="1" selected="0">
            <x v="0"/>
          </reference>
          <reference field="2" count="10">
            <x v="0"/>
            <x v="4"/>
            <x v="5"/>
            <x v="6"/>
            <x v="7"/>
            <x v="10"/>
            <x v="12"/>
            <x v="14"/>
            <x v="16"/>
            <x v="22"/>
          </reference>
        </references>
      </pivotArea>
    </format>
    <format dxfId="480">
      <pivotArea dataOnly="0" labelOnly="1" fieldPosition="0">
        <references count="2">
          <reference field="0" count="1" selected="0">
            <x v="1"/>
          </reference>
          <reference field="2" count="11">
            <x v="0"/>
            <x v="5"/>
            <x v="6"/>
            <x v="7"/>
            <x v="9"/>
            <x v="10"/>
            <x v="12"/>
            <x v="14"/>
            <x v="17"/>
            <x v="18"/>
            <x v="24"/>
          </reference>
        </references>
      </pivotArea>
    </format>
    <format dxfId="479">
      <pivotArea dataOnly="0" labelOnly="1" fieldPosition="0">
        <references count="2">
          <reference field="0" count="1" selected="0">
            <x v="2"/>
          </reference>
          <reference field="2" count="12">
            <x v="0"/>
            <x v="3"/>
            <x v="4"/>
            <x v="6"/>
            <x v="7"/>
            <x v="10"/>
            <x v="11"/>
            <x v="12"/>
            <x v="14"/>
            <x v="18"/>
            <x v="23"/>
            <x v="24"/>
          </reference>
        </references>
      </pivotArea>
    </format>
    <format dxfId="478">
      <pivotArea dataOnly="0" labelOnly="1" fieldPosition="0">
        <references count="2">
          <reference field="0" count="1" selected="0">
            <x v="3"/>
          </reference>
          <reference field="2" count="9">
            <x v="0"/>
            <x v="4"/>
            <x v="5"/>
            <x v="7"/>
            <x v="9"/>
            <x v="10"/>
            <x v="11"/>
            <x v="20"/>
            <x v="25"/>
          </reference>
        </references>
      </pivotArea>
    </format>
    <format dxfId="477">
      <pivotArea dataOnly="0" labelOnly="1" fieldPosition="0">
        <references count="2">
          <reference field="0" count="1" selected="0">
            <x v="4"/>
          </reference>
          <reference field="2" count="17">
            <x v="0"/>
            <x v="1"/>
            <x v="4"/>
            <x v="7"/>
            <x v="9"/>
            <x v="10"/>
            <x v="11"/>
            <x v="12"/>
            <x v="14"/>
            <x v="15"/>
            <x v="16"/>
            <x v="17"/>
            <x v="18"/>
            <x v="19"/>
            <x v="20"/>
            <x v="22"/>
            <x v="26"/>
          </reference>
        </references>
      </pivotArea>
    </format>
    <format dxfId="476">
      <pivotArea dataOnly="0" labelOnly="1" fieldPosition="0">
        <references count="2">
          <reference field="0" count="1" selected="0">
            <x v="5"/>
          </reference>
          <reference field="2" count="10">
            <x v="0"/>
            <x v="3"/>
            <x v="4"/>
            <x v="7"/>
            <x v="10"/>
            <x v="11"/>
            <x v="12"/>
            <x v="14"/>
            <x v="17"/>
            <x v="25"/>
          </reference>
        </references>
      </pivotArea>
    </format>
    <format dxfId="475">
      <pivotArea dataOnly="0" labelOnly="1" fieldPosition="0">
        <references count="2">
          <reference field="0" count="1" selected="0">
            <x v="6"/>
          </reference>
          <reference field="2" count="12">
            <x v="0"/>
            <x v="4"/>
            <x v="5"/>
            <x v="7"/>
            <x v="9"/>
            <x v="10"/>
            <x v="11"/>
            <x v="12"/>
            <x v="13"/>
            <x v="14"/>
            <x v="21"/>
            <x v="25"/>
          </reference>
        </references>
      </pivotArea>
    </format>
    <format dxfId="474">
      <pivotArea dataOnly="0" labelOnly="1" fieldPosition="0">
        <references count="2">
          <reference field="0" count="1" selected="0">
            <x v="7"/>
          </reference>
          <reference field="2" count="11">
            <x v="0"/>
            <x v="5"/>
            <x v="6"/>
            <x v="7"/>
            <x v="8"/>
            <x v="10"/>
            <x v="11"/>
            <x v="14"/>
            <x v="17"/>
            <x v="18"/>
            <x v="22"/>
          </reference>
        </references>
      </pivotArea>
    </format>
    <format dxfId="473">
      <pivotArea dataOnly="0" labelOnly="1" fieldPosition="0">
        <references count="2">
          <reference field="0" count="1" selected="0">
            <x v="8"/>
          </reference>
          <reference field="2" count="11">
            <x v="0"/>
            <x v="2"/>
            <x v="4"/>
            <x v="7"/>
            <x v="9"/>
            <x v="10"/>
            <x v="11"/>
            <x v="14"/>
            <x v="17"/>
            <x v="21"/>
            <x v="23"/>
          </reference>
        </references>
      </pivotArea>
    </format>
    <format dxfId="472">
      <pivotArea dataOnly="0" labelOnly="1" fieldPosition="0">
        <references count="2">
          <reference field="0" count="1" selected="0">
            <x v="9"/>
          </reference>
          <reference field="2" count="9">
            <x v="0"/>
            <x v="5"/>
            <x v="7"/>
            <x v="8"/>
            <x v="11"/>
            <x v="18"/>
            <x v="20"/>
            <x v="21"/>
            <x v="26"/>
          </reference>
        </references>
      </pivotArea>
    </format>
    <format dxfId="471">
      <pivotArea dataOnly="0" labelOnly="1" fieldPosition="0">
        <references count="2">
          <reference field="0" count="1" selected="0">
            <x v="10"/>
          </reference>
          <reference field="2" count="1">
            <x v="27"/>
          </reference>
        </references>
      </pivotArea>
    </format>
    <format dxfId="470">
      <pivotArea dataOnly="0" labelOnly="1" fieldPosition="0">
        <references count="3">
          <reference field="0" count="1" selected="0">
            <x v="0"/>
          </reference>
          <reference field="2" count="1" selected="0">
            <x v="0"/>
          </reference>
          <reference field="3" count="1">
            <x v="6"/>
          </reference>
        </references>
      </pivotArea>
    </format>
    <format dxfId="469">
      <pivotArea dataOnly="0" labelOnly="1" fieldPosition="0">
        <references count="3">
          <reference field="0" count="1" selected="0">
            <x v="0"/>
          </reference>
          <reference field="2" count="1" selected="0">
            <x v="4"/>
          </reference>
          <reference field="3" count="1">
            <x v="72"/>
          </reference>
        </references>
      </pivotArea>
    </format>
    <format dxfId="468">
      <pivotArea dataOnly="0" labelOnly="1" fieldPosition="0">
        <references count="3">
          <reference field="0" count="1" selected="0">
            <x v="0"/>
          </reference>
          <reference field="2" count="1" selected="0">
            <x v="5"/>
          </reference>
          <reference field="3" count="1">
            <x v="41"/>
          </reference>
        </references>
      </pivotArea>
    </format>
    <format dxfId="467">
      <pivotArea dataOnly="0" labelOnly="1" fieldPosition="0">
        <references count="3">
          <reference field="0" count="1" selected="0">
            <x v="0"/>
          </reference>
          <reference field="2" count="1" selected="0">
            <x v="6"/>
          </reference>
          <reference field="3" count="1">
            <x v="43"/>
          </reference>
        </references>
      </pivotArea>
    </format>
    <format dxfId="466">
      <pivotArea dataOnly="0" labelOnly="1" fieldPosition="0">
        <references count="3">
          <reference field="0" count="1" selected="0">
            <x v="0"/>
          </reference>
          <reference field="2" count="1" selected="0">
            <x v="7"/>
          </reference>
          <reference field="3" count="1">
            <x v="32"/>
          </reference>
        </references>
      </pivotArea>
    </format>
    <format dxfId="465">
      <pivotArea dataOnly="0" labelOnly="1" fieldPosition="0">
        <references count="3">
          <reference field="0" count="1" selected="0">
            <x v="0"/>
          </reference>
          <reference field="2" count="1" selected="0">
            <x v="10"/>
          </reference>
          <reference field="3" count="1">
            <x v="74"/>
          </reference>
        </references>
      </pivotArea>
    </format>
    <format dxfId="464">
      <pivotArea dataOnly="0" labelOnly="1" fieldPosition="0">
        <references count="3">
          <reference field="0" count="1" selected="0">
            <x v="0"/>
          </reference>
          <reference field="2" count="1" selected="0">
            <x v="12"/>
          </reference>
          <reference field="3" count="2">
            <x v="24"/>
            <x v="25"/>
          </reference>
        </references>
      </pivotArea>
    </format>
    <format dxfId="463">
      <pivotArea dataOnly="0" labelOnly="1" fieldPosition="0">
        <references count="3">
          <reference field="0" count="1" selected="0">
            <x v="0"/>
          </reference>
          <reference field="2" count="1" selected="0">
            <x v="14"/>
          </reference>
          <reference field="3" count="3">
            <x v="87"/>
            <x v="88"/>
            <x v="90"/>
          </reference>
        </references>
      </pivotArea>
    </format>
    <format dxfId="462">
      <pivotArea dataOnly="0" labelOnly="1" fieldPosition="0">
        <references count="3">
          <reference field="0" count="1" selected="0">
            <x v="0"/>
          </reference>
          <reference field="2" count="1" selected="0">
            <x v="16"/>
          </reference>
          <reference field="3" count="1">
            <x v="0"/>
          </reference>
        </references>
      </pivotArea>
    </format>
    <format dxfId="461">
      <pivotArea dataOnly="0" labelOnly="1" fieldPosition="0">
        <references count="3">
          <reference field="0" count="1" selected="0">
            <x v="0"/>
          </reference>
          <reference field="2" count="1" selected="0">
            <x v="22"/>
          </reference>
          <reference field="3" count="3">
            <x v="13"/>
            <x v="14"/>
            <x v="16"/>
          </reference>
        </references>
      </pivotArea>
    </format>
    <format dxfId="460">
      <pivotArea dataOnly="0" labelOnly="1" fieldPosition="0">
        <references count="3">
          <reference field="0" count="1" selected="0">
            <x v="1"/>
          </reference>
          <reference field="2" count="1" selected="0">
            <x v="0"/>
          </reference>
          <reference field="3" count="1">
            <x v="6"/>
          </reference>
        </references>
      </pivotArea>
    </format>
    <format dxfId="459">
      <pivotArea dataOnly="0" labelOnly="1" fieldPosition="0">
        <references count="3">
          <reference field="0" count="1" selected="0">
            <x v="1"/>
          </reference>
          <reference field="2" count="1" selected="0">
            <x v="5"/>
          </reference>
          <reference field="3" count="4">
            <x v="39"/>
            <x v="41"/>
            <x v="44"/>
            <x v="58"/>
          </reference>
        </references>
      </pivotArea>
    </format>
    <format dxfId="458">
      <pivotArea dataOnly="0" labelOnly="1" fieldPosition="0">
        <references count="3">
          <reference field="0" count="1" selected="0">
            <x v="1"/>
          </reference>
          <reference field="2" count="1" selected="0">
            <x v="6"/>
          </reference>
          <reference field="3" count="1">
            <x v="42"/>
          </reference>
        </references>
      </pivotArea>
    </format>
    <format dxfId="457">
      <pivotArea dataOnly="0" labelOnly="1" fieldPosition="0">
        <references count="3">
          <reference field="0" count="1" selected="0">
            <x v="1"/>
          </reference>
          <reference field="2" count="1" selected="0">
            <x v="7"/>
          </reference>
          <reference field="3" count="1">
            <x v="33"/>
          </reference>
        </references>
      </pivotArea>
    </format>
    <format dxfId="456">
      <pivotArea dataOnly="0" labelOnly="1" fieldPosition="0">
        <references count="3">
          <reference field="0" count="1" selected="0">
            <x v="1"/>
          </reference>
          <reference field="2" count="1" selected="0">
            <x v="9"/>
          </reference>
          <reference field="3" count="1">
            <x v="61"/>
          </reference>
        </references>
      </pivotArea>
    </format>
    <format dxfId="455">
      <pivotArea dataOnly="0" labelOnly="1" fieldPosition="0">
        <references count="3">
          <reference field="0" count="1" selected="0">
            <x v="1"/>
          </reference>
          <reference field="2" count="1" selected="0">
            <x v="10"/>
          </reference>
          <reference field="3" count="1">
            <x v="74"/>
          </reference>
        </references>
      </pivotArea>
    </format>
    <format dxfId="454">
      <pivotArea dataOnly="0" labelOnly="1" fieldPosition="0">
        <references count="3">
          <reference field="0" count="1" selected="0">
            <x v="1"/>
          </reference>
          <reference field="2" count="1" selected="0">
            <x v="12"/>
          </reference>
          <reference field="3" count="1">
            <x v="23"/>
          </reference>
        </references>
      </pivotArea>
    </format>
    <format dxfId="453">
      <pivotArea dataOnly="0" labelOnly="1" fieldPosition="0">
        <references count="3">
          <reference field="0" count="1" selected="0">
            <x v="1"/>
          </reference>
          <reference field="2" count="1" selected="0">
            <x v="14"/>
          </reference>
          <reference field="3" count="1">
            <x v="91"/>
          </reference>
        </references>
      </pivotArea>
    </format>
    <format dxfId="452">
      <pivotArea dataOnly="0" labelOnly="1" fieldPosition="0">
        <references count="3">
          <reference field="0" count="1" selected="0">
            <x v="1"/>
          </reference>
          <reference field="2" count="1" selected="0">
            <x v="17"/>
          </reference>
          <reference field="3" count="1">
            <x v="95"/>
          </reference>
        </references>
      </pivotArea>
    </format>
    <format dxfId="451">
      <pivotArea dataOnly="0" labelOnly="1" fieldPosition="0">
        <references count="3">
          <reference field="0" count="1" selected="0">
            <x v="1"/>
          </reference>
          <reference field="2" count="1" selected="0">
            <x v="18"/>
          </reference>
          <reference field="3" count="1">
            <x v="77"/>
          </reference>
        </references>
      </pivotArea>
    </format>
    <format dxfId="450">
      <pivotArea dataOnly="0" labelOnly="1" fieldPosition="0">
        <references count="3">
          <reference field="0" count="1" selected="0">
            <x v="1"/>
          </reference>
          <reference field="2" count="1" selected="0">
            <x v="24"/>
          </reference>
          <reference field="3" count="1">
            <x v="40"/>
          </reference>
        </references>
      </pivotArea>
    </format>
    <format dxfId="449">
      <pivotArea dataOnly="0" labelOnly="1" fieldPosition="0">
        <references count="3">
          <reference field="0" count="1" selected="0">
            <x v="2"/>
          </reference>
          <reference field="2" count="1" selected="0">
            <x v="0"/>
          </reference>
          <reference field="3" count="1">
            <x v="6"/>
          </reference>
        </references>
      </pivotArea>
    </format>
    <format dxfId="448">
      <pivotArea dataOnly="0" labelOnly="1" fieldPosition="0">
        <references count="3">
          <reference field="0" count="1" selected="0">
            <x v="2"/>
          </reference>
          <reference field="2" count="1" selected="0">
            <x v="3"/>
          </reference>
          <reference field="3" count="1">
            <x v="7"/>
          </reference>
        </references>
      </pivotArea>
    </format>
    <format dxfId="447">
      <pivotArea dataOnly="0" labelOnly="1" fieldPosition="0">
        <references count="3">
          <reference field="0" count="1" selected="0">
            <x v="2"/>
          </reference>
          <reference field="2" count="1" selected="0">
            <x v="4"/>
          </reference>
          <reference field="3" count="2">
            <x v="59"/>
            <x v="71"/>
          </reference>
        </references>
      </pivotArea>
    </format>
    <format dxfId="446">
      <pivotArea dataOnly="0" labelOnly="1" fieldPosition="0">
        <references count="3">
          <reference field="0" count="1" selected="0">
            <x v="2"/>
          </reference>
          <reference field="2" count="1" selected="0">
            <x v="6"/>
          </reference>
          <reference field="3" count="1">
            <x v="48"/>
          </reference>
        </references>
      </pivotArea>
    </format>
    <format dxfId="445">
      <pivotArea dataOnly="0" labelOnly="1" fieldPosition="0">
        <references count="3">
          <reference field="0" count="1" selected="0">
            <x v="2"/>
          </reference>
          <reference field="2" count="1" selected="0">
            <x v="7"/>
          </reference>
          <reference field="3" count="2">
            <x v="53"/>
            <x v="64"/>
          </reference>
        </references>
      </pivotArea>
    </format>
    <format dxfId="444">
      <pivotArea dataOnly="0" labelOnly="1" fieldPosition="0">
        <references count="3">
          <reference field="0" count="1" selected="0">
            <x v="2"/>
          </reference>
          <reference field="2" count="1" selected="0">
            <x v="10"/>
          </reference>
          <reference field="3" count="1">
            <x v="74"/>
          </reference>
        </references>
      </pivotArea>
    </format>
    <format dxfId="443">
      <pivotArea dataOnly="0" labelOnly="1" fieldPosition="0">
        <references count="3">
          <reference field="0" count="1" selected="0">
            <x v="2"/>
          </reference>
          <reference field="2" count="1" selected="0">
            <x v="11"/>
          </reference>
          <reference field="3" count="1">
            <x v="96"/>
          </reference>
        </references>
      </pivotArea>
    </format>
    <format dxfId="442">
      <pivotArea dataOnly="0" labelOnly="1" fieldPosition="0">
        <references count="3">
          <reference field="0" count="1" selected="0">
            <x v="2"/>
          </reference>
          <reference field="2" count="1" selected="0">
            <x v="12"/>
          </reference>
          <reference field="3" count="1">
            <x v="23"/>
          </reference>
        </references>
      </pivotArea>
    </format>
    <format dxfId="441">
      <pivotArea dataOnly="0" labelOnly="1" fieldPosition="0">
        <references count="3">
          <reference field="0" count="1" selected="0">
            <x v="2"/>
          </reference>
          <reference field="2" count="1" selected="0">
            <x v="14"/>
          </reference>
          <reference field="3" count="1">
            <x v="91"/>
          </reference>
        </references>
      </pivotArea>
    </format>
    <format dxfId="440">
      <pivotArea dataOnly="0" labelOnly="1" fieldPosition="0">
        <references count="3">
          <reference field="0" count="1" selected="0">
            <x v="2"/>
          </reference>
          <reference field="2" count="1" selected="0">
            <x v="18"/>
          </reference>
          <reference field="3" count="1">
            <x v="77"/>
          </reference>
        </references>
      </pivotArea>
    </format>
    <format dxfId="439">
      <pivotArea dataOnly="0" labelOnly="1" fieldPosition="0">
        <references count="3">
          <reference field="0" count="1" selected="0">
            <x v="2"/>
          </reference>
          <reference field="2" count="1" selected="0">
            <x v="23"/>
          </reference>
          <reference field="3" count="1">
            <x v="55"/>
          </reference>
        </references>
      </pivotArea>
    </format>
    <format dxfId="438">
      <pivotArea dataOnly="0" labelOnly="1" fieldPosition="0">
        <references count="3">
          <reference field="0" count="1" selected="0">
            <x v="2"/>
          </reference>
          <reference field="2" count="1" selected="0">
            <x v="24"/>
          </reference>
          <reference field="3" count="1">
            <x v="40"/>
          </reference>
        </references>
      </pivotArea>
    </format>
    <format dxfId="437">
      <pivotArea dataOnly="0" labelOnly="1" fieldPosition="0">
        <references count="3">
          <reference field="0" count="1" selected="0">
            <x v="3"/>
          </reference>
          <reference field="2" count="1" selected="0">
            <x v="0"/>
          </reference>
          <reference field="3" count="1">
            <x v="6"/>
          </reference>
        </references>
      </pivotArea>
    </format>
    <format dxfId="436">
      <pivotArea dataOnly="0" labelOnly="1" fieldPosition="0">
        <references count="3">
          <reference field="0" count="1" selected="0">
            <x v="3"/>
          </reference>
          <reference field="2" count="1" selected="0">
            <x v="4"/>
          </reference>
          <reference field="3" count="1">
            <x v="50"/>
          </reference>
        </references>
      </pivotArea>
    </format>
    <format dxfId="435">
      <pivotArea dataOnly="0" labelOnly="1" fieldPosition="0">
        <references count="3">
          <reference field="0" count="1" selected="0">
            <x v="3"/>
          </reference>
          <reference field="2" count="1" selected="0">
            <x v="5"/>
          </reference>
          <reference field="3" count="2">
            <x v="41"/>
            <x v="56"/>
          </reference>
        </references>
      </pivotArea>
    </format>
    <format dxfId="434">
      <pivotArea dataOnly="0" labelOnly="1" fieldPosition="0">
        <references count="3">
          <reference field="0" count="1" selected="0">
            <x v="3"/>
          </reference>
          <reference field="2" count="1" selected="0">
            <x v="7"/>
          </reference>
          <reference field="3" count="1">
            <x v="54"/>
          </reference>
        </references>
      </pivotArea>
    </format>
    <format dxfId="433">
      <pivotArea dataOnly="0" labelOnly="1" fieldPosition="0">
        <references count="3">
          <reference field="0" count="1" selected="0">
            <x v="3"/>
          </reference>
          <reference field="2" count="1" selected="0">
            <x v="9"/>
          </reference>
          <reference field="3" count="1">
            <x v="75"/>
          </reference>
        </references>
      </pivotArea>
    </format>
    <format dxfId="432">
      <pivotArea dataOnly="0" labelOnly="1" fieldPosition="0">
        <references count="3">
          <reference field="0" count="1" selected="0">
            <x v="3"/>
          </reference>
          <reference field="2" count="1" selected="0">
            <x v="10"/>
          </reference>
          <reference field="3" count="1">
            <x v="74"/>
          </reference>
        </references>
      </pivotArea>
    </format>
    <format dxfId="431">
      <pivotArea dataOnly="0" labelOnly="1" fieldPosition="0">
        <references count="3">
          <reference field="0" count="1" selected="0">
            <x v="3"/>
          </reference>
          <reference field="2" count="1" selected="0">
            <x v="11"/>
          </reference>
          <reference field="3" count="1">
            <x v="96"/>
          </reference>
        </references>
      </pivotArea>
    </format>
    <format dxfId="430">
      <pivotArea dataOnly="0" labelOnly="1" fieldPosition="0">
        <references count="3">
          <reference field="0" count="1" selected="0">
            <x v="3"/>
          </reference>
          <reference field="2" count="1" selected="0">
            <x v="20"/>
          </reference>
          <reference field="3" count="1">
            <x v="79"/>
          </reference>
        </references>
      </pivotArea>
    </format>
    <format dxfId="429">
      <pivotArea dataOnly="0" labelOnly="1" fieldPosition="0">
        <references count="3">
          <reference field="0" count="1" selected="0">
            <x v="3"/>
          </reference>
          <reference field="2" count="1" selected="0">
            <x v="25"/>
          </reference>
          <reference field="3" count="1">
            <x v="21"/>
          </reference>
        </references>
      </pivotArea>
    </format>
    <format dxfId="428">
      <pivotArea dataOnly="0" labelOnly="1" fieldPosition="0">
        <references count="3">
          <reference field="0" count="1" selected="0">
            <x v="4"/>
          </reference>
          <reference field="2" count="1" selected="0">
            <x v="0"/>
          </reference>
          <reference field="3" count="1">
            <x v="6"/>
          </reference>
        </references>
      </pivotArea>
    </format>
    <format dxfId="427">
      <pivotArea dataOnly="0" labelOnly="1" fieldPosition="0">
        <references count="3">
          <reference field="0" count="1" selected="0">
            <x v="4"/>
          </reference>
          <reference field="2" count="1" selected="0">
            <x v="1"/>
          </reference>
          <reference field="3" count="1">
            <x v="11"/>
          </reference>
        </references>
      </pivotArea>
    </format>
    <format dxfId="426">
      <pivotArea dataOnly="0" labelOnly="1" fieldPosition="0">
        <references count="3">
          <reference field="0" count="1" selected="0">
            <x v="4"/>
          </reference>
          <reference field="2" count="1" selected="0">
            <x v="4"/>
          </reference>
          <reference field="3" count="2">
            <x v="49"/>
            <x v="52"/>
          </reference>
        </references>
      </pivotArea>
    </format>
    <format dxfId="425">
      <pivotArea dataOnly="0" labelOnly="1" fieldPosition="0">
        <references count="3">
          <reference field="0" count="1" selected="0">
            <x v="4"/>
          </reference>
          <reference field="2" count="1" selected="0">
            <x v="7"/>
          </reference>
          <reference field="3" count="1">
            <x v="34"/>
          </reference>
        </references>
      </pivotArea>
    </format>
    <format dxfId="424">
      <pivotArea dataOnly="0" labelOnly="1" fieldPosition="0">
        <references count="3">
          <reference field="0" count="1" selected="0">
            <x v="4"/>
          </reference>
          <reference field="2" count="1" selected="0">
            <x v="9"/>
          </reference>
          <reference field="3" count="1">
            <x v="61"/>
          </reference>
        </references>
      </pivotArea>
    </format>
    <format dxfId="423">
      <pivotArea dataOnly="0" labelOnly="1" fieldPosition="0">
        <references count="3">
          <reference field="0" count="1" selected="0">
            <x v="4"/>
          </reference>
          <reference field="2" count="1" selected="0">
            <x v="10"/>
          </reference>
          <reference field="3" count="1">
            <x v="74"/>
          </reference>
        </references>
      </pivotArea>
    </format>
    <format dxfId="422">
      <pivotArea dataOnly="0" labelOnly="1" fieldPosition="0">
        <references count="3">
          <reference field="0" count="1" selected="0">
            <x v="4"/>
          </reference>
          <reference field="2" count="1" selected="0">
            <x v="11"/>
          </reference>
          <reference field="3" count="1">
            <x v="96"/>
          </reference>
        </references>
      </pivotArea>
    </format>
    <format dxfId="421">
      <pivotArea dataOnly="0" labelOnly="1" fieldPosition="0">
        <references count="3">
          <reference field="0" count="1" selected="0">
            <x v="4"/>
          </reference>
          <reference field="2" count="1" selected="0">
            <x v="12"/>
          </reference>
          <reference field="3" count="1">
            <x v="27"/>
          </reference>
        </references>
      </pivotArea>
    </format>
    <format dxfId="420">
      <pivotArea dataOnly="0" labelOnly="1" fieldPosition="0">
        <references count="3">
          <reference field="0" count="1" selected="0">
            <x v="4"/>
          </reference>
          <reference field="2" count="1" selected="0">
            <x v="14"/>
          </reference>
          <reference field="3" count="1">
            <x v="86"/>
          </reference>
        </references>
      </pivotArea>
    </format>
    <format dxfId="419">
      <pivotArea dataOnly="0" labelOnly="1" fieldPosition="0">
        <references count="3">
          <reference field="0" count="1" selected="0">
            <x v="4"/>
          </reference>
          <reference field="2" count="1" selected="0">
            <x v="15"/>
          </reference>
          <reference field="3" count="3">
            <x v="28"/>
            <x v="30"/>
            <x v="31"/>
          </reference>
        </references>
      </pivotArea>
    </format>
    <format dxfId="418">
      <pivotArea dataOnly="0" labelOnly="1" fieldPosition="0">
        <references count="3">
          <reference field="0" count="1" selected="0">
            <x v="4"/>
          </reference>
          <reference field="2" count="1" selected="0">
            <x v="16"/>
          </reference>
          <reference field="3" count="2">
            <x v="18"/>
            <x v="101"/>
          </reference>
        </references>
      </pivotArea>
    </format>
    <format dxfId="417">
      <pivotArea dataOnly="0" labelOnly="1" fieldPosition="0">
        <references count="3">
          <reference field="0" count="1" selected="0">
            <x v="4"/>
          </reference>
          <reference field="2" count="1" selected="0">
            <x v="17"/>
          </reference>
          <reference field="3" count="1">
            <x v="2"/>
          </reference>
        </references>
      </pivotArea>
    </format>
    <format dxfId="416">
      <pivotArea dataOnly="0" labelOnly="1" fieldPosition="0">
        <references count="3">
          <reference field="0" count="1" selected="0">
            <x v="4"/>
          </reference>
          <reference field="2" count="1" selected="0">
            <x v="18"/>
          </reference>
          <reference field="3" count="11">
            <x v="3"/>
            <x v="5"/>
            <x v="19"/>
            <x v="29"/>
            <x v="76"/>
            <x v="77"/>
            <x v="93"/>
            <x v="94"/>
            <x v="98"/>
            <x v="99"/>
            <x v="100"/>
          </reference>
        </references>
      </pivotArea>
    </format>
    <format dxfId="415">
      <pivotArea dataOnly="0" labelOnly="1" fieldPosition="0">
        <references count="3">
          <reference field="0" count="1" selected="0">
            <x v="4"/>
          </reference>
          <reference field="2" count="1" selected="0">
            <x v="19"/>
          </reference>
          <reference field="3" count="1">
            <x v="20"/>
          </reference>
        </references>
      </pivotArea>
    </format>
    <format dxfId="414">
      <pivotArea dataOnly="0" labelOnly="1" fieldPosition="0">
        <references count="3">
          <reference field="0" count="1" selected="0">
            <x v="4"/>
          </reference>
          <reference field="2" count="1" selected="0">
            <x v="20"/>
          </reference>
          <reference field="3" count="1">
            <x v="82"/>
          </reference>
        </references>
      </pivotArea>
    </format>
    <format dxfId="413">
      <pivotArea dataOnly="0" labelOnly="1" fieldPosition="0">
        <references count="3">
          <reference field="0" count="1" selected="0">
            <x v="4"/>
          </reference>
          <reference field="2" count="1" selected="0">
            <x v="22"/>
          </reference>
          <reference field="3" count="1">
            <x v="15"/>
          </reference>
        </references>
      </pivotArea>
    </format>
    <format dxfId="412">
      <pivotArea dataOnly="0" labelOnly="1" fieldPosition="0">
        <references count="3">
          <reference field="0" count="1" selected="0">
            <x v="4"/>
          </reference>
          <reference field="2" count="1" selected="0">
            <x v="26"/>
          </reference>
          <reference field="3" count="1">
            <x v="17"/>
          </reference>
        </references>
      </pivotArea>
    </format>
    <format dxfId="411">
      <pivotArea dataOnly="0" labelOnly="1" fieldPosition="0">
        <references count="3">
          <reference field="0" count="1" selected="0">
            <x v="5"/>
          </reference>
          <reference field="2" count="1" selected="0">
            <x v="0"/>
          </reference>
          <reference field="3" count="1">
            <x v="6"/>
          </reference>
        </references>
      </pivotArea>
    </format>
    <format dxfId="410">
      <pivotArea dataOnly="0" labelOnly="1" fieldPosition="0">
        <references count="3">
          <reference field="0" count="1" selected="0">
            <x v="5"/>
          </reference>
          <reference field="2" count="1" selected="0">
            <x v="3"/>
          </reference>
          <reference field="3" count="2">
            <x v="8"/>
            <x v="9"/>
          </reference>
        </references>
      </pivotArea>
    </format>
    <format dxfId="409">
      <pivotArea dataOnly="0" labelOnly="1" fieldPosition="0">
        <references count="3">
          <reference field="0" count="1" selected="0">
            <x v="5"/>
          </reference>
          <reference field="2" count="1" selected="0">
            <x v="4"/>
          </reference>
          <reference field="3" count="1">
            <x v="46"/>
          </reference>
        </references>
      </pivotArea>
    </format>
    <format dxfId="408">
      <pivotArea dataOnly="0" labelOnly="1" fieldPosition="0">
        <references count="3">
          <reference field="0" count="1" selected="0">
            <x v="5"/>
          </reference>
          <reference field="2" count="1" selected="0">
            <x v="7"/>
          </reference>
          <reference field="3" count="3">
            <x v="35"/>
            <x v="36"/>
            <x v="38"/>
          </reference>
        </references>
      </pivotArea>
    </format>
    <format dxfId="407">
      <pivotArea dataOnly="0" labelOnly="1" fieldPosition="0">
        <references count="3">
          <reference field="0" count="1" selected="0">
            <x v="5"/>
          </reference>
          <reference field="2" count="1" selected="0">
            <x v="10"/>
          </reference>
          <reference field="3" count="1">
            <x v="74"/>
          </reference>
        </references>
      </pivotArea>
    </format>
    <format dxfId="406">
      <pivotArea dataOnly="0" labelOnly="1" fieldPosition="0">
        <references count="3">
          <reference field="0" count="1" selected="0">
            <x v="5"/>
          </reference>
          <reference field="2" count="1" selected="0">
            <x v="11"/>
          </reference>
          <reference field="3" count="1">
            <x v="96"/>
          </reference>
        </references>
      </pivotArea>
    </format>
    <format dxfId="405">
      <pivotArea dataOnly="0" labelOnly="1" fieldPosition="0">
        <references count="3">
          <reference field="0" count="1" selected="0">
            <x v="5"/>
          </reference>
          <reference field="2" count="1" selected="0">
            <x v="12"/>
          </reference>
          <reference field="3" count="1">
            <x v="23"/>
          </reference>
        </references>
      </pivotArea>
    </format>
    <format dxfId="404">
      <pivotArea dataOnly="0" labelOnly="1" fieldPosition="0">
        <references count="3">
          <reference field="0" count="1" selected="0">
            <x v="5"/>
          </reference>
          <reference field="2" count="1" selected="0">
            <x v="14"/>
          </reference>
          <reference field="3" count="1">
            <x v="91"/>
          </reference>
        </references>
      </pivotArea>
    </format>
    <format dxfId="403">
      <pivotArea dataOnly="0" labelOnly="1" fieldPosition="0">
        <references count="3">
          <reference field="0" count="1" selected="0">
            <x v="5"/>
          </reference>
          <reference field="2" count="1" selected="0">
            <x v="17"/>
          </reference>
          <reference field="3" count="1">
            <x v="95"/>
          </reference>
        </references>
      </pivotArea>
    </format>
    <format dxfId="402">
      <pivotArea dataOnly="0" labelOnly="1" fieldPosition="0">
        <references count="3">
          <reference field="0" count="1" selected="0">
            <x v="5"/>
          </reference>
          <reference field="2" count="1" selected="0">
            <x v="25"/>
          </reference>
          <reference field="3" count="1">
            <x v="21"/>
          </reference>
        </references>
      </pivotArea>
    </format>
    <format dxfId="401">
      <pivotArea dataOnly="0" labelOnly="1" fieldPosition="0">
        <references count="3">
          <reference field="0" count="1" selected="0">
            <x v="6"/>
          </reference>
          <reference field="2" count="1" selected="0">
            <x v="0"/>
          </reference>
          <reference field="3" count="1">
            <x v="6"/>
          </reference>
        </references>
      </pivotArea>
    </format>
    <format dxfId="400">
      <pivotArea dataOnly="0" labelOnly="1" fieldPosition="0">
        <references count="3">
          <reference field="0" count="1" selected="0">
            <x v="6"/>
          </reference>
          <reference field="2" count="1" selected="0">
            <x v="4"/>
          </reference>
          <reference field="3" count="1">
            <x v="66"/>
          </reference>
        </references>
      </pivotArea>
    </format>
    <format dxfId="399">
      <pivotArea dataOnly="0" labelOnly="1" fieldPosition="0">
        <references count="3">
          <reference field="0" count="1" selected="0">
            <x v="6"/>
          </reference>
          <reference field="2" count="1" selected="0">
            <x v="5"/>
          </reference>
          <reference field="3" count="1">
            <x v="60"/>
          </reference>
        </references>
      </pivotArea>
    </format>
    <format dxfId="398">
      <pivotArea dataOnly="0" labelOnly="1" fieldPosition="0">
        <references count="3">
          <reference field="0" count="1" selected="0">
            <x v="6"/>
          </reference>
          <reference field="2" count="1" selected="0">
            <x v="7"/>
          </reference>
          <reference field="3" count="3">
            <x v="45"/>
            <x v="51"/>
            <x v="73"/>
          </reference>
        </references>
      </pivotArea>
    </format>
    <format dxfId="397">
      <pivotArea dataOnly="0" labelOnly="1" fieldPosition="0">
        <references count="3">
          <reference field="0" count="1" selected="0">
            <x v="6"/>
          </reference>
          <reference field="2" count="1" selected="0">
            <x v="9"/>
          </reference>
          <reference field="3" count="1">
            <x v="61"/>
          </reference>
        </references>
      </pivotArea>
    </format>
    <format dxfId="396">
      <pivotArea dataOnly="0" labelOnly="1" fieldPosition="0">
        <references count="3">
          <reference field="0" count="1" selected="0">
            <x v="6"/>
          </reference>
          <reference field="2" count="1" selected="0">
            <x v="10"/>
          </reference>
          <reference field="3" count="1">
            <x v="74"/>
          </reference>
        </references>
      </pivotArea>
    </format>
    <format dxfId="395">
      <pivotArea dataOnly="0" labelOnly="1" fieldPosition="0">
        <references count="3">
          <reference field="0" count="1" selected="0">
            <x v="6"/>
          </reference>
          <reference field="2" count="1" selected="0">
            <x v="11"/>
          </reference>
          <reference field="3" count="1">
            <x v="96"/>
          </reference>
        </references>
      </pivotArea>
    </format>
    <format dxfId="394">
      <pivotArea dataOnly="0" labelOnly="1" fieldPosition="0">
        <references count="3">
          <reference field="0" count="1" selected="0">
            <x v="6"/>
          </reference>
          <reference field="2" count="1" selected="0">
            <x v="12"/>
          </reference>
          <reference field="3" count="1">
            <x v="26"/>
          </reference>
        </references>
      </pivotArea>
    </format>
    <format dxfId="393">
      <pivotArea dataOnly="0" labelOnly="1" fieldPosition="0">
        <references count="3">
          <reference field="0" count="1" selected="0">
            <x v="6"/>
          </reference>
          <reference field="2" count="1" selected="0">
            <x v="13"/>
          </reference>
          <reference field="3" count="1">
            <x v="22"/>
          </reference>
        </references>
      </pivotArea>
    </format>
    <format dxfId="392">
      <pivotArea dataOnly="0" labelOnly="1" fieldPosition="0">
        <references count="3">
          <reference field="0" count="1" selected="0">
            <x v="6"/>
          </reference>
          <reference field="2" count="1" selected="0">
            <x v="14"/>
          </reference>
          <reference field="3" count="2">
            <x v="89"/>
            <x v="92"/>
          </reference>
        </references>
      </pivotArea>
    </format>
    <format dxfId="391">
      <pivotArea dataOnly="0" labelOnly="1" fieldPosition="0">
        <references count="3">
          <reference field="0" count="1" selected="0">
            <x v="6"/>
          </reference>
          <reference field="2" count="1" selected="0">
            <x v="21"/>
          </reference>
          <reference field="3" count="1">
            <x v="84"/>
          </reference>
        </references>
      </pivotArea>
    </format>
    <format dxfId="390">
      <pivotArea dataOnly="0" labelOnly="1" fieldPosition="0">
        <references count="3">
          <reference field="0" count="1" selected="0">
            <x v="6"/>
          </reference>
          <reference field="2" count="1" selected="0">
            <x v="25"/>
          </reference>
          <reference field="3" count="1">
            <x v="21"/>
          </reference>
        </references>
      </pivotArea>
    </format>
    <format dxfId="389">
      <pivotArea dataOnly="0" labelOnly="1" fieldPosition="0">
        <references count="3">
          <reference field="0" count="1" selected="0">
            <x v="7"/>
          </reference>
          <reference field="2" count="1" selected="0">
            <x v="0"/>
          </reference>
          <reference field="3" count="1">
            <x v="6"/>
          </reference>
        </references>
      </pivotArea>
    </format>
    <format dxfId="388">
      <pivotArea dataOnly="0" labelOnly="1" fieldPosition="0">
        <references count="3">
          <reference field="0" count="1" selected="0">
            <x v="7"/>
          </reference>
          <reference field="2" count="1" selected="0">
            <x v="5"/>
          </reference>
          <reference field="3" count="1">
            <x v="41"/>
          </reference>
        </references>
      </pivotArea>
    </format>
    <format dxfId="387">
      <pivotArea dataOnly="0" labelOnly="1" fieldPosition="0">
        <references count="3">
          <reference field="0" count="1" selected="0">
            <x v="7"/>
          </reference>
          <reference field="2" count="1" selected="0">
            <x v="6"/>
          </reference>
          <reference field="3" count="1">
            <x v="65"/>
          </reference>
        </references>
      </pivotArea>
    </format>
    <format dxfId="386">
      <pivotArea dataOnly="0" labelOnly="1" fieldPosition="0">
        <references count="3">
          <reference field="0" count="1" selected="0">
            <x v="7"/>
          </reference>
          <reference field="2" count="1" selected="0">
            <x v="7"/>
          </reference>
          <reference field="3" count="1">
            <x v="70"/>
          </reference>
        </references>
      </pivotArea>
    </format>
    <format dxfId="385">
      <pivotArea dataOnly="0" labelOnly="1" fieldPosition="0">
        <references count="3">
          <reference field="0" count="1" selected="0">
            <x v="7"/>
          </reference>
          <reference field="2" count="1" selected="0">
            <x v="8"/>
          </reference>
          <reference field="3" count="2">
            <x v="68"/>
            <x v="69"/>
          </reference>
        </references>
      </pivotArea>
    </format>
    <format dxfId="384">
      <pivotArea dataOnly="0" labelOnly="1" fieldPosition="0">
        <references count="3">
          <reference field="0" count="1" selected="0">
            <x v="7"/>
          </reference>
          <reference field="2" count="1" selected="0">
            <x v="10"/>
          </reference>
          <reference field="3" count="1">
            <x v="74"/>
          </reference>
        </references>
      </pivotArea>
    </format>
    <format dxfId="383">
      <pivotArea dataOnly="0" labelOnly="1" fieldPosition="0">
        <references count="3">
          <reference field="0" count="1" selected="0">
            <x v="7"/>
          </reference>
          <reference field="2" count="1" selected="0">
            <x v="11"/>
          </reference>
          <reference field="3" count="1">
            <x v="96"/>
          </reference>
        </references>
      </pivotArea>
    </format>
    <format dxfId="382">
      <pivotArea dataOnly="0" labelOnly="1" fieldPosition="0">
        <references count="3">
          <reference field="0" count="1" selected="0">
            <x v="7"/>
          </reference>
          <reference field="2" count="1" selected="0">
            <x v="14"/>
          </reference>
          <reference field="3" count="2">
            <x v="85"/>
            <x v="91"/>
          </reference>
        </references>
      </pivotArea>
    </format>
    <format dxfId="381">
      <pivotArea dataOnly="0" labelOnly="1" fieldPosition="0">
        <references count="3">
          <reference field="0" count="1" selected="0">
            <x v="7"/>
          </reference>
          <reference field="2" count="1" selected="0">
            <x v="17"/>
          </reference>
          <reference field="3" count="3">
            <x v="2"/>
            <x v="4"/>
            <x v="102"/>
          </reference>
        </references>
      </pivotArea>
    </format>
    <format dxfId="380">
      <pivotArea dataOnly="0" labelOnly="1" fieldPosition="0">
        <references count="3">
          <reference field="0" count="1" selected="0">
            <x v="7"/>
          </reference>
          <reference field="2" count="1" selected="0">
            <x v="18"/>
          </reference>
          <reference field="3" count="5">
            <x v="3"/>
            <x v="19"/>
            <x v="76"/>
            <x v="98"/>
            <x v="100"/>
          </reference>
        </references>
      </pivotArea>
    </format>
    <format dxfId="379">
      <pivotArea dataOnly="0" labelOnly="1" fieldPosition="0">
        <references count="3">
          <reference field="0" count="1" selected="0">
            <x v="7"/>
          </reference>
          <reference field="2" count="1" selected="0">
            <x v="22"/>
          </reference>
          <reference field="3" count="1">
            <x v="12"/>
          </reference>
        </references>
      </pivotArea>
    </format>
    <format dxfId="378">
      <pivotArea dataOnly="0" labelOnly="1" fieldPosition="0">
        <references count="3">
          <reference field="0" count="1" selected="0">
            <x v="8"/>
          </reference>
          <reference field="2" count="1" selected="0">
            <x v="0"/>
          </reference>
          <reference field="3" count="1">
            <x v="6"/>
          </reference>
        </references>
      </pivotArea>
    </format>
    <format dxfId="377">
      <pivotArea dataOnly="0" labelOnly="1" fieldPosition="0">
        <references count="3">
          <reference field="0" count="1" selected="0">
            <x v="8"/>
          </reference>
          <reference field="2" count="1" selected="0">
            <x v="2"/>
          </reference>
          <reference field="3" count="1">
            <x v="97"/>
          </reference>
        </references>
      </pivotArea>
    </format>
    <format dxfId="376">
      <pivotArea dataOnly="0" labelOnly="1" fieldPosition="0">
        <references count="3">
          <reference field="0" count="1" selected="0">
            <x v="8"/>
          </reference>
          <reference field="2" count="1" selected="0">
            <x v="4"/>
          </reference>
          <reference field="3" count="1">
            <x v="37"/>
          </reference>
        </references>
      </pivotArea>
    </format>
    <format dxfId="375">
      <pivotArea dataOnly="0" labelOnly="1" fieldPosition="0">
        <references count="3">
          <reference field="0" count="1" selected="0">
            <x v="8"/>
          </reference>
          <reference field="2" count="1" selected="0">
            <x v="7"/>
          </reference>
          <reference field="3" count="1">
            <x v="47"/>
          </reference>
        </references>
      </pivotArea>
    </format>
    <format dxfId="374">
      <pivotArea dataOnly="0" labelOnly="1" fieldPosition="0">
        <references count="3">
          <reference field="0" count="1" selected="0">
            <x v="8"/>
          </reference>
          <reference field="2" count="1" selected="0">
            <x v="9"/>
          </reference>
          <reference field="3" count="1">
            <x v="75"/>
          </reference>
        </references>
      </pivotArea>
    </format>
    <format dxfId="373">
      <pivotArea dataOnly="0" labelOnly="1" fieldPosition="0">
        <references count="3">
          <reference field="0" count="1" selected="0">
            <x v="8"/>
          </reference>
          <reference field="2" count="1" selected="0">
            <x v="10"/>
          </reference>
          <reference field="3" count="1">
            <x v="74"/>
          </reference>
        </references>
      </pivotArea>
    </format>
    <format dxfId="372">
      <pivotArea dataOnly="0" labelOnly="1" fieldPosition="0">
        <references count="3">
          <reference field="0" count="1" selected="0">
            <x v="8"/>
          </reference>
          <reference field="2" count="1" selected="0">
            <x v="11"/>
          </reference>
          <reference field="3" count="1">
            <x v="96"/>
          </reference>
        </references>
      </pivotArea>
    </format>
    <format dxfId="371">
      <pivotArea dataOnly="0" labelOnly="1" fieldPosition="0">
        <references count="3">
          <reference field="0" count="1" selected="0">
            <x v="8"/>
          </reference>
          <reference field="2" count="1" selected="0">
            <x v="14"/>
          </reference>
          <reference field="3" count="1">
            <x v="91"/>
          </reference>
        </references>
      </pivotArea>
    </format>
    <format dxfId="370">
      <pivotArea dataOnly="0" labelOnly="1" fieldPosition="0">
        <references count="3">
          <reference field="0" count="1" selected="0">
            <x v="8"/>
          </reference>
          <reference field="2" count="1" selected="0">
            <x v="17"/>
          </reference>
          <reference field="3" count="1">
            <x v="102"/>
          </reference>
        </references>
      </pivotArea>
    </format>
    <format dxfId="369">
      <pivotArea dataOnly="0" labelOnly="1" fieldPosition="0">
        <references count="3">
          <reference field="0" count="1" selected="0">
            <x v="8"/>
          </reference>
          <reference field="2" count="1" selected="0">
            <x v="21"/>
          </reference>
          <reference field="3" count="2">
            <x v="78"/>
            <x v="83"/>
          </reference>
        </references>
      </pivotArea>
    </format>
    <format dxfId="368">
      <pivotArea dataOnly="0" labelOnly="1" fieldPosition="0">
        <references count="3">
          <reference field="0" count="1" selected="0">
            <x v="8"/>
          </reference>
          <reference field="2" count="1" selected="0">
            <x v="23"/>
          </reference>
          <reference field="3" count="1">
            <x v="55"/>
          </reference>
        </references>
      </pivotArea>
    </format>
    <format dxfId="367">
      <pivotArea dataOnly="0" labelOnly="1" fieldPosition="0">
        <references count="3">
          <reference field="0" count="1" selected="0">
            <x v="9"/>
          </reference>
          <reference field="2" count="1" selected="0">
            <x v="0"/>
          </reference>
          <reference field="3" count="1">
            <x v="6"/>
          </reference>
        </references>
      </pivotArea>
    </format>
    <format dxfId="366">
      <pivotArea dataOnly="0" labelOnly="1" fieldPosition="0">
        <references count="3">
          <reference field="0" count="1" selected="0">
            <x v="9"/>
          </reference>
          <reference field="2" count="1" selected="0">
            <x v="5"/>
          </reference>
          <reference field="3" count="2">
            <x v="41"/>
            <x v="57"/>
          </reference>
        </references>
      </pivotArea>
    </format>
    <format dxfId="365">
      <pivotArea dataOnly="0" labelOnly="1" fieldPosition="0">
        <references count="3">
          <reference field="0" count="1" selected="0">
            <x v="9"/>
          </reference>
          <reference field="2" count="1" selected="0">
            <x v="7"/>
          </reference>
          <reference field="3" count="2">
            <x v="62"/>
            <x v="63"/>
          </reference>
        </references>
      </pivotArea>
    </format>
    <format dxfId="364">
      <pivotArea dataOnly="0" labelOnly="1" fieldPosition="0">
        <references count="3">
          <reference field="0" count="1" selected="0">
            <x v="9"/>
          </reference>
          <reference field="2" count="1" selected="0">
            <x v="8"/>
          </reference>
          <reference field="3" count="2">
            <x v="67"/>
            <x v="68"/>
          </reference>
        </references>
      </pivotArea>
    </format>
    <format dxfId="363">
      <pivotArea dataOnly="0" labelOnly="1" fieldPosition="0">
        <references count="3">
          <reference field="0" count="1" selected="0">
            <x v="9"/>
          </reference>
          <reference field="2" count="1" selected="0">
            <x v="11"/>
          </reference>
          <reference field="3" count="1">
            <x v="96"/>
          </reference>
        </references>
      </pivotArea>
    </format>
    <format dxfId="362">
      <pivotArea dataOnly="0" labelOnly="1" fieldPosition="0">
        <references count="3">
          <reference field="0" count="1" selected="0">
            <x v="9"/>
          </reference>
          <reference field="2" count="1" selected="0">
            <x v="18"/>
          </reference>
          <reference field="3" count="1">
            <x v="77"/>
          </reference>
        </references>
      </pivotArea>
    </format>
    <format dxfId="361">
      <pivotArea dataOnly="0" labelOnly="1" fieldPosition="0">
        <references count="3">
          <reference field="0" count="1" selected="0">
            <x v="9"/>
          </reference>
          <reference field="2" count="1" selected="0">
            <x v="20"/>
          </reference>
          <reference field="3" count="1">
            <x v="81"/>
          </reference>
        </references>
      </pivotArea>
    </format>
    <format dxfId="360">
      <pivotArea dataOnly="0" labelOnly="1" fieldPosition="0">
        <references count="3">
          <reference field="0" count="1" selected="0">
            <x v="9"/>
          </reference>
          <reference field="2" count="1" selected="0">
            <x v="21"/>
          </reference>
          <reference field="3" count="1">
            <x v="80"/>
          </reference>
        </references>
      </pivotArea>
    </format>
    <format dxfId="359">
      <pivotArea dataOnly="0" labelOnly="1" fieldPosition="0">
        <references count="3">
          <reference field="0" count="1" selected="0">
            <x v="9"/>
          </reference>
          <reference field="2" count="1" selected="0">
            <x v="26"/>
          </reference>
          <reference field="3" count="1">
            <x v="10"/>
          </reference>
        </references>
      </pivotArea>
    </format>
    <format dxfId="358">
      <pivotArea dataOnly="0" labelOnly="1" fieldPosition="0">
        <references count="3">
          <reference field="0" count="1" selected="0">
            <x v="10"/>
          </reference>
          <reference field="2" count="1" selected="0">
            <x v="27"/>
          </reference>
          <reference field="3" count="1">
            <x v="1"/>
          </reference>
        </references>
      </pivotArea>
    </format>
    <format dxfId="357">
      <pivotArea dataOnly="0" labelOnly="1" outline="0" axis="axisValues" fieldPosition="0"/>
    </format>
    <format dxfId="356">
      <pivotArea outline="0" collapsedLevelsAreSubtotals="1" fieldPosition="0"/>
    </format>
    <format dxfId="355">
      <pivotArea dataOnly="0" labelOnly="1" outline="0" axis="axisValues" fieldPosition="0"/>
    </format>
    <format dxfId="354">
      <pivotArea dataOnly="0" labelOnly="1" outline="0" axis="axisValues" fieldPosition="0"/>
    </format>
    <format dxfId="353">
      <pivotArea outline="0" collapsedLevelsAreSubtotals="1" fieldPosition="0"/>
    </format>
    <format dxfId="352">
      <pivotArea dataOnly="0" labelOnly="1" outline="0" axis="axisValues" fieldPosition="0"/>
    </format>
    <format dxfId="351">
      <pivotArea dataOnly="0" labelOnly="1" outline="0" axis="axisValues" fieldPosition="0"/>
    </format>
    <format dxfId="350">
      <pivotArea field="0" type="button" dataOnly="0" labelOnly="1" outline="0" axis="axisRow" fieldPosition="0"/>
    </format>
    <format dxfId="349">
      <pivotArea field="0" type="button" dataOnly="0" labelOnly="1" outline="0" axis="axisRow" fieldPosition="0"/>
    </format>
    <format dxfId="348">
      <pivotArea field="0" type="button" dataOnly="0" labelOnly="1" outline="0" axis="axisRow" fieldPosition="0"/>
    </format>
    <format dxfId="347">
      <pivotArea field="2" type="button" dataOnly="0" labelOnly="1" outline="0" axis="axisRow" fieldPosition="1"/>
    </format>
    <format dxfId="346">
      <pivotArea field="2" type="button" dataOnly="0" labelOnly="1" outline="0" axis="axisRow" fieldPosition="1"/>
    </format>
    <format dxfId="345">
      <pivotArea field="2" type="button" dataOnly="0" labelOnly="1" outline="0" axis="axisRow" fieldPosition="1"/>
    </format>
    <format dxfId="344">
      <pivotArea field="3" type="button" dataOnly="0" labelOnly="1" outline="0" axis="axisRow" fieldPosition="2"/>
    </format>
    <format dxfId="343">
      <pivotArea field="3" type="button" dataOnly="0" labelOnly="1" outline="0" axis="axisRow" fieldPosition="2"/>
    </format>
    <format dxfId="342">
      <pivotArea field="3" type="button" dataOnly="0" labelOnly="1" outline="0" axis="axisRow" fieldPosition="2"/>
    </format>
    <format dxfId="341">
      <pivotArea dataOnly="0" labelOnly="1" outline="0" axis="axisValues" fieldPosition="0"/>
    </format>
    <format dxfId="340">
      <pivotArea dataOnly="0" labelOnly="1" outline="0" axis="axisValues" fieldPosition="0"/>
    </format>
    <format dxfId="339">
      <pivotArea dataOnly="0" labelOnly="1" outline="0" axis="axisValues" fieldPosition="0"/>
    </format>
    <format dxfId="338">
      <pivotArea dataOnly="0" labelOnly="1" outline="0" axis="axisValues" fieldPosition="0"/>
    </format>
    <format dxfId="337">
      <pivotArea type="all" dataOnly="0" outline="0" fieldPosition="0"/>
    </format>
    <format dxfId="336">
      <pivotArea outline="0" collapsedLevelsAreSubtotals="1" fieldPosition="0"/>
    </format>
    <format dxfId="335">
      <pivotArea field="0" type="button" dataOnly="0" labelOnly="1" outline="0" axis="axisRow" fieldPosition="0"/>
    </format>
    <format dxfId="334">
      <pivotArea field="2" type="button" dataOnly="0" labelOnly="1" outline="0" axis="axisRow" fieldPosition="1"/>
    </format>
    <format dxfId="333">
      <pivotArea field="3" type="button" dataOnly="0" labelOnly="1" outline="0" axis="axisRow" fieldPosition="2"/>
    </format>
    <format dxfId="332">
      <pivotArea dataOnly="0" labelOnly="1" outline="0" axis="axisValues" fieldPosition="0"/>
    </format>
    <format dxfId="331">
      <pivotArea dataOnly="0" labelOnly="1" outline="0" fieldPosition="0">
        <references count="1">
          <reference field="0" count="5">
            <x v="3"/>
            <x v="4"/>
            <x v="6"/>
            <x v="8"/>
            <x v="9"/>
          </reference>
        </references>
      </pivotArea>
    </format>
    <format dxfId="330">
      <pivotArea dataOnly="0" labelOnly="1" grandRow="1" outline="0" fieldPosition="0"/>
    </format>
    <format dxfId="329">
      <pivotArea dataOnly="0" labelOnly="1" outline="0" fieldPosition="0">
        <references count="2">
          <reference field="0" count="1" selected="0">
            <x v="3"/>
          </reference>
          <reference field="2" count="1">
            <x v="20"/>
          </reference>
        </references>
      </pivotArea>
    </format>
    <format dxfId="328">
      <pivotArea dataOnly="0" labelOnly="1" outline="0" fieldPosition="0">
        <references count="2">
          <reference field="0" count="1" selected="0">
            <x v="6"/>
          </reference>
          <reference field="2" count="1">
            <x v="21"/>
          </reference>
        </references>
      </pivotArea>
    </format>
    <format dxfId="327">
      <pivotArea dataOnly="0" labelOnly="1" outline="0" fieldPosition="0">
        <references count="2">
          <reference field="0" count="1" selected="0">
            <x v="9"/>
          </reference>
          <reference field="2" count="0"/>
        </references>
      </pivotArea>
    </format>
    <format dxfId="326">
      <pivotArea dataOnly="0" labelOnly="1" outline="0" fieldPosition="0">
        <references count="3">
          <reference field="0" count="1" selected="0">
            <x v="3"/>
          </reference>
          <reference field="2" count="1" selected="0">
            <x v="20"/>
          </reference>
          <reference field="3" count="1">
            <x v="79"/>
          </reference>
        </references>
      </pivotArea>
    </format>
    <format dxfId="325">
      <pivotArea dataOnly="0" labelOnly="1" outline="0" fieldPosition="0">
        <references count="3">
          <reference field="0" count="1" selected="0">
            <x v="4"/>
          </reference>
          <reference field="2" count="1" selected="0">
            <x v="20"/>
          </reference>
          <reference field="3" count="1">
            <x v="82"/>
          </reference>
        </references>
      </pivotArea>
    </format>
    <format dxfId="324">
      <pivotArea dataOnly="0" labelOnly="1" outline="0" fieldPosition="0">
        <references count="3">
          <reference field="0" count="1" selected="0">
            <x v="6"/>
          </reference>
          <reference field="2" count="1" selected="0">
            <x v="21"/>
          </reference>
          <reference field="3" count="1">
            <x v="84"/>
          </reference>
        </references>
      </pivotArea>
    </format>
    <format dxfId="323">
      <pivotArea dataOnly="0" labelOnly="1" outline="0" fieldPosition="0">
        <references count="3">
          <reference field="0" count="1" selected="0">
            <x v="8"/>
          </reference>
          <reference field="2" count="1" selected="0">
            <x v="21"/>
          </reference>
          <reference field="3" count="2">
            <x v="78"/>
            <x v="83"/>
          </reference>
        </references>
      </pivotArea>
    </format>
    <format dxfId="322">
      <pivotArea dataOnly="0" labelOnly="1" outline="0" fieldPosition="0">
        <references count="3">
          <reference field="0" count="1" selected="0">
            <x v="9"/>
          </reference>
          <reference field="2" count="1" selected="0">
            <x v="20"/>
          </reference>
          <reference field="3" count="1">
            <x v="81"/>
          </reference>
        </references>
      </pivotArea>
    </format>
    <format dxfId="321">
      <pivotArea dataOnly="0" labelOnly="1" outline="0" fieldPosition="0">
        <references count="3">
          <reference field="0" count="1" selected="0">
            <x v="9"/>
          </reference>
          <reference field="2" count="1" selected="0">
            <x v="21"/>
          </reference>
          <reference field="3" count="1">
            <x v="80"/>
          </reference>
        </references>
      </pivotArea>
    </format>
    <format dxfId="320">
      <pivotArea dataOnly="0" labelOnly="1" outline="0" axis="axisValues" fieldPosition="0"/>
    </format>
    <format dxfId="319">
      <pivotArea outline="0" collapsedLevelsAreSubtotals="1" fieldPosition="0"/>
    </format>
    <format dxfId="318">
      <pivotArea dataOnly="0" labelOnly="1" outline="0" axis="axisValues" fieldPosition="0"/>
    </format>
    <format dxfId="317">
      <pivotArea dataOnly="0" labelOnly="1" outline="0" axis="axisValues" fieldPosition="0"/>
    </format>
    <format dxfId="316">
      <pivotArea outline="0" collapsedLevelsAreSubtotals="1" fieldPosition="0"/>
    </format>
    <format dxfId="315">
      <pivotArea dataOnly="0" labelOnly="1" outline="0" axis="axisValues" fieldPosition="0"/>
    </format>
    <format dxfId="314">
      <pivotArea dataOnly="0" labelOnly="1" outline="0" axis="axisValues" fieldPosition="0"/>
    </format>
  </formats>
  <pivotTableStyleInfo name="PivotStyleDark1"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0.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5" useAutoFormatting="1" itemPrintTitles="1" createdVersion="6" indent="0" compact="0" compactData="0" multipleFieldFilters="0">
  <location ref="A3:L8" firstHeaderRow="0" firstDataRow="1" firstDataCol="10"/>
  <pivotFields count="38">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368">
        <item x="10"/>
        <item x="11"/>
        <item x="12"/>
        <item x="13"/>
        <item x="14"/>
        <item x="15"/>
        <item x="16"/>
        <item x="17"/>
        <item x="18"/>
        <item x="19"/>
        <item x="20"/>
        <item x="21"/>
        <item x="22"/>
        <item x="23"/>
        <item x="24"/>
        <item x="25"/>
        <item x="26"/>
        <item x="27"/>
        <item x="28"/>
        <item x="29"/>
        <item x="30"/>
        <item x="31"/>
        <item x="41"/>
        <item x="42"/>
        <item x="43"/>
        <item x="44"/>
        <item x="45"/>
        <item x="46"/>
        <item x="47"/>
        <item x="48"/>
        <item x="49"/>
        <item x="50"/>
        <item x="51"/>
        <item x="52"/>
        <item x="53"/>
        <item x="54"/>
        <item x="55"/>
        <item x="56"/>
        <item x="57"/>
        <item x="58"/>
        <item x="59"/>
        <item x="60"/>
        <item x="70"/>
        <item x="71"/>
        <item x="72"/>
        <item x="73"/>
        <item x="74"/>
        <item x="75"/>
        <item x="76"/>
        <item x="77"/>
        <item x="78"/>
        <item x="79"/>
        <item x="80"/>
        <item x="81"/>
        <item x="82"/>
        <item x="83"/>
        <item x="84"/>
        <item x="85"/>
        <item x="86"/>
        <item x="87"/>
        <item x="88"/>
        <item x="89"/>
        <item x="90"/>
        <item x="91"/>
        <item x="101"/>
        <item x="102"/>
        <item x="103"/>
        <item x="104"/>
        <item x="105"/>
        <item x="106"/>
        <item x="107"/>
        <item x="108"/>
        <item x="109"/>
        <item x="110"/>
        <item x="111"/>
        <item x="112"/>
        <item x="113"/>
        <item x="114"/>
        <item x="115"/>
        <item x="116"/>
        <item x="117"/>
        <item x="118"/>
        <item x="119"/>
        <item x="120"/>
        <item x="121"/>
        <item x="131"/>
        <item x="132"/>
        <item x="133"/>
        <item x="134"/>
        <item x="135"/>
        <item x="136"/>
        <item x="137"/>
        <item x="138"/>
        <item x="139"/>
        <item x="140"/>
        <item x="141"/>
        <item x="142"/>
        <item x="143"/>
        <item x="144"/>
        <item x="145"/>
        <item x="146"/>
        <item x="147"/>
        <item x="148"/>
        <item x="149"/>
        <item x="150"/>
        <item x="151"/>
        <item x="152"/>
        <item x="162"/>
        <item x="163"/>
        <item x="164"/>
        <item x="165"/>
        <item x="166"/>
        <item x="167"/>
        <item x="168"/>
        <item x="169"/>
        <item x="170"/>
        <item x="171"/>
        <item x="172"/>
        <item x="173"/>
        <item x="174"/>
        <item x="175"/>
        <item x="176"/>
        <item x="177"/>
        <item x="178"/>
        <item x="179"/>
        <item x="180"/>
        <item x="181"/>
        <item x="182"/>
        <item x="192"/>
        <item x="193"/>
        <item x="194"/>
        <item x="195"/>
        <item x="196"/>
        <item x="197"/>
        <item x="198"/>
        <item x="199"/>
        <item x="200"/>
        <item x="201"/>
        <item x="202"/>
        <item x="203"/>
        <item x="204"/>
        <item x="205"/>
        <item x="206"/>
        <item x="207"/>
        <item x="208"/>
        <item x="209"/>
        <item x="210"/>
        <item x="211"/>
        <item x="212"/>
        <item x="213"/>
        <item x="223"/>
        <item x="224"/>
        <item x="225"/>
        <item x="226"/>
        <item x="227"/>
        <item x="228"/>
        <item x="229"/>
        <item x="230"/>
        <item x="231"/>
        <item x="232"/>
        <item x="233"/>
        <item x="234"/>
        <item x="235"/>
        <item x="236"/>
        <item x="237"/>
        <item x="238"/>
        <item x="239"/>
        <item x="240"/>
        <item x="241"/>
        <item x="242"/>
        <item x="243"/>
        <item x="244"/>
        <item x="254"/>
        <item x="255"/>
        <item x="256"/>
        <item x="257"/>
        <item x="258"/>
        <item x="259"/>
        <item x="260"/>
        <item x="261"/>
        <item x="262"/>
        <item x="263"/>
        <item x="264"/>
        <item x="265"/>
        <item x="266"/>
        <item x="267"/>
        <item x="268"/>
        <item x="269"/>
        <item x="270"/>
        <item x="271"/>
        <item x="272"/>
        <item x="273"/>
        <item x="274"/>
        <item x="284"/>
        <item x="285"/>
        <item x="286"/>
        <item x="287"/>
        <item x="288"/>
        <item x="289"/>
        <item x="290"/>
        <item x="291"/>
        <item x="292"/>
        <item x="293"/>
        <item x="294"/>
        <item x="295"/>
        <item x="296"/>
        <item x="297"/>
        <item x="298"/>
        <item x="299"/>
        <item x="300"/>
        <item x="301"/>
        <item x="302"/>
        <item x="303"/>
        <item x="304"/>
        <item x="305"/>
        <item x="315"/>
        <item x="316"/>
        <item x="317"/>
        <item x="318"/>
        <item x="319"/>
        <item x="320"/>
        <item x="321"/>
        <item x="322"/>
        <item x="323"/>
        <item x="324"/>
        <item x="325"/>
        <item x="326"/>
        <item x="327"/>
        <item x="328"/>
        <item x="329"/>
        <item x="330"/>
        <item x="331"/>
        <item x="332"/>
        <item x="333"/>
        <item x="334"/>
        <item x="335"/>
        <item x="345"/>
        <item x="346"/>
        <item x="347"/>
        <item x="348"/>
        <item x="349"/>
        <item x="350"/>
        <item x="351"/>
        <item x="352"/>
        <item x="353"/>
        <item x="354"/>
        <item x="355"/>
        <item x="356"/>
        <item x="357"/>
        <item x="358"/>
        <item x="359"/>
        <item x="360"/>
        <item x="361"/>
        <item x="362"/>
        <item x="363"/>
        <item x="364"/>
        <item x="365"/>
        <item x="366"/>
        <item x="0"/>
        <item x="1"/>
        <item x="2"/>
        <item x="3"/>
        <item x="4"/>
        <item x="5"/>
        <item x="6"/>
        <item x="7"/>
        <item x="8"/>
        <item x="9"/>
        <item x="32"/>
        <item x="33"/>
        <item x="34"/>
        <item x="35"/>
        <item x="36"/>
        <item x="37"/>
        <item x="38"/>
        <item x="39"/>
        <item x="40"/>
        <item x="61"/>
        <item x="62"/>
        <item x="63"/>
        <item x="64"/>
        <item x="65"/>
        <item x="66"/>
        <item x="67"/>
        <item x="68"/>
        <item x="69"/>
        <item x="92"/>
        <item x="93"/>
        <item x="94"/>
        <item x="95"/>
        <item x="96"/>
        <item x="97"/>
        <item x="98"/>
        <item x="99"/>
        <item x="100"/>
        <item x="122"/>
        <item x="123"/>
        <item x="124"/>
        <item x="125"/>
        <item x="126"/>
        <item x="127"/>
        <item x="128"/>
        <item x="129"/>
        <item x="130"/>
        <item x="153"/>
        <item x="154"/>
        <item x="155"/>
        <item x="156"/>
        <item x="157"/>
        <item x="158"/>
        <item x="159"/>
        <item x="160"/>
        <item x="161"/>
        <item x="183"/>
        <item x="184"/>
        <item x="185"/>
        <item x="186"/>
        <item x="187"/>
        <item x="188"/>
        <item x="189"/>
        <item x="190"/>
        <item x="191"/>
        <item x="214"/>
        <item x="215"/>
        <item x="216"/>
        <item x="217"/>
        <item x="218"/>
        <item x="219"/>
        <item x="220"/>
        <item x="221"/>
        <item x="222"/>
        <item x="245"/>
        <item x="246"/>
        <item x="247"/>
        <item x="248"/>
        <item x="249"/>
        <item x="250"/>
        <item x="251"/>
        <item x="252"/>
        <item x="253"/>
        <item x="275"/>
        <item x="276"/>
        <item x="277"/>
        <item x="278"/>
        <item x="279"/>
        <item x="280"/>
        <item x="281"/>
        <item x="282"/>
        <item x="283"/>
        <item x="306"/>
        <item x="307"/>
        <item x="308"/>
        <item x="309"/>
        <item x="310"/>
        <item x="311"/>
        <item x="312"/>
        <item x="313"/>
        <item x="314"/>
        <item x="336"/>
        <item x="337"/>
        <item x="338"/>
        <item x="339"/>
        <item x="340"/>
        <item x="341"/>
        <item x="342"/>
        <item x="343"/>
        <item x="344"/>
        <item x="367"/>
      </items>
      <extLst>
        <ext xmlns:x14="http://schemas.microsoft.com/office/spreadsheetml/2009/9/main" uri="{2946ED86-A175-432a-8AC1-64E0C546D7DE}">
          <x14:pivotField fillDownLabels="1"/>
        </ext>
      </extLst>
    </pivotField>
    <pivotField axis="axisRow" compact="0" outline="0" showAll="0" defaultSubtotal="0">
      <items count="58">
        <item x="0"/>
        <item x="9"/>
        <item x="1"/>
        <item x="5"/>
        <item x="7"/>
        <item x="3"/>
        <item x="6"/>
        <item x="2"/>
        <item x="4"/>
        <item x="8"/>
        <item x="11"/>
        <item x="12"/>
        <item x="10"/>
        <item x="52"/>
        <item x="38"/>
        <item x="26"/>
        <item x="57"/>
        <item x="55"/>
        <item x="33"/>
        <item x="35"/>
        <item x="41"/>
        <item x="54"/>
        <item x="36"/>
        <item x="56"/>
        <item x="39"/>
        <item x="44"/>
        <item x="13"/>
        <item x="48"/>
        <item x="28"/>
        <item x="16"/>
        <item x="45"/>
        <item x="47"/>
        <item x="21"/>
        <item x="49"/>
        <item x="32"/>
        <item x="29"/>
        <item x="46"/>
        <item x="18"/>
        <item x="23"/>
        <item x="50"/>
        <item x="25"/>
        <item x="17"/>
        <item x="42"/>
        <item x="22"/>
        <item x="40"/>
        <item x="15"/>
        <item x="24"/>
        <item x="51"/>
        <item x="19"/>
        <item x="43"/>
        <item x="31"/>
        <item x="20"/>
        <item x="14"/>
        <item x="37"/>
        <item x="34"/>
        <item x="30"/>
        <item x="27"/>
        <item x="53"/>
      </items>
      <extLst>
        <ext xmlns:x14="http://schemas.microsoft.com/office/spreadsheetml/2009/9/main" uri="{2946ED86-A175-432a-8AC1-64E0C546D7DE}">
          <x14:pivotField fillDownLabels="1"/>
        </ext>
      </extLst>
    </pivotField>
    <pivotField axis="axisRow" compact="0" outline="0" showAll="0" defaultSubtotal="0">
      <items count="38">
        <item x="22"/>
        <item x="19"/>
        <item x="6"/>
        <item x="26"/>
        <item x="37"/>
        <item x="17"/>
        <item x="31"/>
        <item x="35"/>
        <item x="1"/>
        <item x="10"/>
        <item x="2"/>
        <item x="16"/>
        <item x="33"/>
        <item x="34"/>
        <item x="5"/>
        <item x="11"/>
        <item x="15"/>
        <item x="12"/>
        <item x="20"/>
        <item x="21"/>
        <item x="24"/>
        <item x="13"/>
        <item x="4"/>
        <item x="9"/>
        <item x="32"/>
        <item x="27"/>
        <item x="25"/>
        <item x="23"/>
        <item x="7"/>
        <item x="18"/>
        <item x="8"/>
        <item x="30"/>
        <item x="28"/>
        <item x="14"/>
        <item x="36"/>
        <item x="29"/>
        <item x="3"/>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45">
        <item x="32"/>
        <item x="28"/>
        <item x="33"/>
        <item x="36"/>
        <item x="22"/>
        <item x="30"/>
        <item x="8"/>
        <item x="34"/>
        <item x="39"/>
        <item x="18"/>
        <item x="11"/>
        <item x="26"/>
        <item x="21"/>
        <item x="42"/>
        <item x="43"/>
        <item x="19"/>
        <item x="17"/>
        <item x="6"/>
        <item x="25"/>
        <item x="27"/>
        <item x="44"/>
        <item x="15"/>
        <item x="40"/>
        <item x="7"/>
        <item x="9"/>
        <item x="13"/>
        <item x="35"/>
        <item x="5"/>
        <item x="12"/>
        <item x="14"/>
        <item x="29"/>
        <item x="41"/>
        <item x="3"/>
        <item x="24"/>
        <item x="20"/>
        <item x="31"/>
        <item x="4"/>
        <item x="2"/>
        <item x="1"/>
        <item x="38"/>
        <item x="16"/>
        <item x="23"/>
        <item x="37"/>
        <item x="10"/>
        <item x="0"/>
      </items>
      <extLst>
        <ext xmlns:x14="http://schemas.microsoft.com/office/spreadsheetml/2009/9/main" uri="{2946ED86-A175-432a-8AC1-64E0C546D7DE}">
          <x14:pivotField fillDownLabels="1"/>
        </ext>
      </extLst>
    </pivotField>
    <pivotField axis="axisRow" compact="0" outline="0" showAll="0" defaultSubtotal="0">
      <items count="45">
        <item x="41"/>
        <item x="27"/>
        <item x="39"/>
        <item x="16"/>
        <item x="35"/>
        <item x="25"/>
        <item x="28"/>
        <item x="26"/>
        <item x="18"/>
        <item x="31"/>
        <item x="9"/>
        <item x="13"/>
        <item x="43"/>
        <item x="30"/>
        <item x="5"/>
        <item x="17"/>
        <item x="19"/>
        <item x="21"/>
        <item x="24"/>
        <item x="20"/>
        <item x="1"/>
        <item x="38"/>
        <item x="33"/>
        <item x="10"/>
        <item x="40"/>
        <item x="3"/>
        <item x="15"/>
        <item x="36"/>
        <item x="7"/>
        <item x="6"/>
        <item x="32"/>
        <item x="23"/>
        <item x="34"/>
        <item x="4"/>
        <item x="11"/>
        <item x="42"/>
        <item x="22"/>
        <item x="8"/>
        <item x="2"/>
        <item x="29"/>
        <item x="44"/>
        <item x="37"/>
        <item x="12"/>
        <item x="14"/>
        <item x="0"/>
      </items>
      <extLst>
        <ext xmlns:x14="http://schemas.microsoft.com/office/spreadsheetml/2009/9/main" uri="{2946ED86-A175-432a-8AC1-64E0C546D7DE}">
          <x14:pivotField fillDownLabels="1"/>
        </ext>
      </extLst>
    </pivotField>
    <pivotField axis="axisRow" compact="0" outline="0" showAll="0" defaultSubtotal="0">
      <items count="42">
        <item x="29"/>
        <item x="26"/>
        <item x="31"/>
        <item x="25"/>
        <item x="41"/>
        <item x="39"/>
        <item x="14"/>
        <item x="38"/>
        <item x="40"/>
        <item x="20"/>
        <item x="16"/>
        <item x="5"/>
        <item x="3"/>
        <item x="19"/>
        <item x="33"/>
        <item x="36"/>
        <item x="21"/>
        <item x="13"/>
        <item x="11"/>
        <item x="35"/>
        <item x="15"/>
        <item x="37"/>
        <item x="18"/>
        <item x="1"/>
        <item x="27"/>
        <item x="23"/>
        <item x="2"/>
        <item x="28"/>
        <item x="22"/>
        <item x="10"/>
        <item x="9"/>
        <item x="12"/>
        <item x="32"/>
        <item x="8"/>
        <item x="7"/>
        <item x="24"/>
        <item x="34"/>
        <item x="30"/>
        <item x="4"/>
        <item x="6"/>
        <item x="17"/>
        <item x="0"/>
      </items>
      <extLst>
        <ext xmlns:x14="http://schemas.microsoft.com/office/spreadsheetml/2009/9/main" uri="{2946ED86-A175-432a-8AC1-64E0C546D7DE}">
          <x14:pivotField fillDownLabels="1"/>
        </ext>
      </extLst>
    </pivotField>
    <pivotField axis="axisRow" compact="0" outline="0" showAll="0" defaultSubtotal="0">
      <items count="26">
        <item x="14"/>
        <item x="19"/>
        <item x="12"/>
        <item x="6"/>
        <item x="5"/>
        <item x="22"/>
        <item x="20"/>
        <item x="17"/>
        <item x="7"/>
        <item x="13"/>
        <item x="1"/>
        <item x="23"/>
        <item x="11"/>
        <item x="25"/>
        <item x="10"/>
        <item x="24"/>
        <item x="15"/>
        <item x="2"/>
        <item x="18"/>
        <item x="21"/>
        <item x="16"/>
        <item x="4"/>
        <item x="9"/>
        <item x="8"/>
        <item x="3"/>
        <item x="0"/>
      </items>
      <extLst>
        <ext xmlns:x14="http://schemas.microsoft.com/office/spreadsheetml/2009/9/main" uri="{2946ED86-A175-432a-8AC1-64E0C546D7DE}">
          <x14:pivotField fillDownLabels="1"/>
        </ext>
      </extLst>
    </pivotField>
    <pivotField axis="axisRow" compact="0" outline="0" showAll="0" defaultSubtotal="0">
      <items count="2">
        <item x="1"/>
        <item x="0"/>
      </items>
      <extLst>
        <ext xmlns:x14="http://schemas.microsoft.com/office/spreadsheetml/2009/9/main" uri="{2946ED86-A175-432a-8AC1-64E0C546D7DE}">
          <x14:pivotField fillDownLabels="1"/>
        </ext>
      </extLst>
    </pivotField>
    <pivotField axis="axisRow" compact="0" outline="0" showAll="0" defaultSubtotal="0">
      <items count="39">
        <item x="24"/>
        <item x="22"/>
        <item x="12"/>
        <item x="13"/>
        <item x="38"/>
        <item x="31"/>
        <item x="30"/>
        <item x="23"/>
        <item x="36"/>
        <item x="34"/>
        <item x="35"/>
        <item x="19"/>
        <item x="18"/>
        <item x="21"/>
        <item x="37"/>
        <item x="26"/>
        <item x="27"/>
        <item x="33"/>
        <item x="16"/>
        <item x="25"/>
        <item x="32"/>
        <item x="15"/>
        <item x="29"/>
        <item x="11"/>
        <item x="17"/>
        <item x="20"/>
        <item x="4"/>
        <item x="0"/>
        <item x="2"/>
        <item x="1"/>
        <item x="6"/>
        <item x="10"/>
        <item x="7"/>
        <item x="5"/>
        <item x="8"/>
        <item x="9"/>
        <item x="28"/>
        <item x="14"/>
        <item x="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numFmtId="165" outline="0" showAll="0" defaultSubtotal="0">
      <items count="14">
        <item x="0"/>
        <item x="1"/>
        <item x="2"/>
        <item x="3"/>
        <item x="4"/>
        <item x="5"/>
        <item x="6"/>
        <item x="7"/>
        <item x="8"/>
        <item x="9"/>
        <item x="10"/>
        <item x="11"/>
        <item x="12"/>
        <item x="13"/>
      </items>
      <extLst>
        <ext xmlns:x14="http://schemas.microsoft.com/office/spreadsheetml/2009/9/main" uri="{2946ED86-A175-432a-8AC1-64E0C546D7DE}">
          <x14:pivotField fillDownLabels="1"/>
        </ext>
      </extLst>
    </pivotField>
    <pivotField dataField="1" compact="0" numFmtId="164"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axis="axisRow" compact="0" numFmtId="165" outline="0" showAll="0" defaultSubtotal="0">
      <items count="4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s>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items count="14">
        <item sd="0" x="0"/>
        <item sd="0" x="1"/>
        <item sd="0" x="2"/>
        <item sd="0" x="3"/>
        <item sd="0" x="4"/>
        <item sd="0" x="5"/>
        <item sd="0" x="6"/>
        <item sd="0" x="7"/>
        <item sd="0" x="8"/>
        <item sd="0" x="9"/>
        <item sd="0" x="10"/>
        <item sd="0" x="11"/>
        <item sd="0" x="12"/>
        <item sd="0" x="13"/>
      </items>
      <extLst>
        <ext xmlns:x14="http://schemas.microsoft.com/office/spreadsheetml/2009/9/main" uri="{2946ED86-A175-432a-8AC1-64E0C546D7DE}">
          <x14:pivotField fillDownLabels="1"/>
        </ext>
      </extLst>
    </pivotField>
    <pivotField compact="0" outline="0" subtotalTop="0" showAll="0" defaultSubtotal="0">
      <items count="6">
        <item sd="0" x="1"/>
        <item sd="0" x="2"/>
        <item sd="0" x="3"/>
        <item sd="0" x="4"/>
        <item x="0"/>
        <item x="5"/>
      </items>
      <extLst>
        <ext xmlns:x14="http://schemas.microsoft.com/office/spreadsheetml/2009/9/main" uri="{2946ED86-A175-432a-8AC1-64E0C546D7DE}">
          <x14:pivotField fillDownLabels="1"/>
        </ext>
      </extLst>
    </pivotField>
    <pivotField compact="0" outline="0" subtotalTop="0" showAll="0" defaultSubtotal="0">
      <items count="4">
        <item sd="0" x="1"/>
        <item sd="0" x="2"/>
        <item x="0"/>
        <item x="3"/>
      </items>
      <extLst>
        <ext xmlns:x14="http://schemas.microsoft.com/office/spreadsheetml/2009/9/main" uri="{2946ED86-A175-432a-8AC1-64E0C546D7DE}">
          <x14:pivotField fillDownLabels="1"/>
        </ext>
      </extLst>
    </pivotField>
  </pivotFields>
  <rowFields count="10">
    <field x="1"/>
    <field x="33"/>
    <field x="2"/>
    <field x="3"/>
    <field x="6"/>
    <field x="7"/>
    <field x="8"/>
    <field x="9"/>
    <field x="10"/>
    <field x="11"/>
  </rowFields>
  <rowItems count="5">
    <i>
      <x v="107"/>
      <x v="7"/>
      <x v="37"/>
      <x v="2"/>
      <x v="27"/>
      <x v="29"/>
      <x v="11"/>
      <x v="25"/>
      <x/>
      <x v="32"/>
    </i>
    <i>
      <x v="121"/>
      <x v="8"/>
      <x v="48"/>
      <x v="28"/>
      <x v="17"/>
      <x v="28"/>
      <x v="39"/>
      <x v="25"/>
      <x/>
      <x v="30"/>
    </i>
    <i>
      <x v="307"/>
      <x v="5"/>
      <x v="29"/>
      <x v="22"/>
      <x v="44"/>
      <x v="33"/>
      <x v="41"/>
      <x v="25"/>
      <x/>
      <x v="33"/>
    </i>
    <i>
      <x v="312"/>
      <x v="6"/>
      <x v="41"/>
      <x v="14"/>
      <x v="36"/>
      <x v="14"/>
      <x v="38"/>
      <x v="25"/>
      <x/>
      <x v="30"/>
    </i>
    <i t="grand">
      <x/>
    </i>
  </rowItems>
  <colFields count="1">
    <field x="-2"/>
  </colFields>
  <colItems count="2">
    <i>
      <x/>
    </i>
    <i i="1">
      <x v="1"/>
    </i>
  </colItems>
  <dataFields count="2">
    <dataField name="Sum of First Amount" fld="31" baseField="0" baseItem="0"/>
    <dataField name="Sum of First Date" fld="30" baseField="11" baseItem="30" numFmtId="14"/>
  </dataFields>
  <formats count="11">
    <format dxfId="123">
      <pivotArea type="all" dataOnly="0" outline="0" fieldPosition="0"/>
    </format>
    <format dxfId="122">
      <pivotArea field="1" type="button" dataOnly="0" labelOnly="1" outline="0" axis="axisRow" fieldPosition="0"/>
    </format>
    <format dxfId="121">
      <pivotArea dataOnly="0" labelOnly="1" grandRow="1" outline="0" fieldPosition="0"/>
    </format>
    <format dxfId="120">
      <pivotArea field="6" type="button" dataOnly="0" labelOnly="1" outline="0" axis="axisRow" fieldPosition="4"/>
    </format>
    <format dxfId="119">
      <pivotArea field="6" type="button" dataOnly="0" labelOnly="1" outline="0" axis="axisRow" fieldPosition="4"/>
    </format>
    <format dxfId="118">
      <pivotArea field="9" type="button" dataOnly="0" labelOnly="1" outline="0" axis="axisRow" fieldPosition="7"/>
    </format>
    <format dxfId="117">
      <pivotArea dataOnly="0" labelOnly="1" grandRow="1" outline="0" fieldPosition="0"/>
    </format>
    <format dxfId="116">
      <pivotArea outline="0" collapsedLevelsAreSubtotals="1" fieldPosition="0"/>
    </format>
    <format dxfId="115">
      <pivotArea dataOnly="0" labelOnly="1" outline="0" axis="axisValues" fieldPosition="0"/>
    </format>
    <format dxfId="114">
      <pivotArea outline="0" fieldPosition="0">
        <references count="1">
          <reference field="4294967294" count="1" selected="0">
            <x v="1"/>
          </reference>
        </references>
      </pivotArea>
    </format>
    <format dxfId="113">
      <pivotArea dataOnly="0" labelOnly="1" outline="0" fieldPosition="0">
        <references count="1">
          <reference field="4294967294" count="1">
            <x v="1"/>
          </reference>
        </references>
      </pivotArea>
    </format>
  </formats>
  <pivotTableStyleInfo name="PivotStyleLight16" showRowHeaders="0" showColHeaders="1" showRowStripes="0" showColStripes="0" showLastColumn="1"/>
  <filters count="1">
    <filter fld="30" type="dateBetween" evalOrder="-1" id="90" name="First Date">
      <autoFilter ref="A1">
        <filterColumn colId="0">
          <customFilters and="1">
            <customFilter operator="greaterThanOrEqual" val="44166"/>
            <customFilter operator="lessThanOrEqual" val="44196"/>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1.xml><?xml version="1.0" encoding="utf-8"?>
<pivotTableDefinition xmlns="http://schemas.openxmlformats.org/spreadsheetml/2006/main" name="PivotTable1" cacheId="7" applyNumberFormats="0" applyBorderFormats="0" applyFontFormats="0" applyPatternFormats="0" applyAlignmentFormats="0" applyWidthHeightFormats="1" dataCaption="Values" updatedVersion="5" minRefreshableVersion="3" useAutoFormatting="1" itemPrintTitles="1" createdVersion="6" indent="0" outline="1" outlineData="1" multipleFieldFilters="0">
  <location ref="G3:J16" firstHeaderRow="0" firstDataRow="1" firstDataCol="1"/>
  <pivotFields count="4">
    <pivotField axis="axisRow" numFmtId="182" showAll="0">
      <items count="25">
        <item m="1" x="18"/>
        <item m="1" x="14"/>
        <item m="1" x="16"/>
        <item m="1" x="21"/>
        <item m="1" x="13"/>
        <item m="1" x="19"/>
        <item m="1" x="23"/>
        <item m="1" x="22"/>
        <item m="1" x="15"/>
        <item m="1" x="20"/>
        <item m="1" x="12"/>
        <item m="1" x="17"/>
        <item x="0"/>
        <item x="1"/>
        <item x="2"/>
        <item x="3"/>
        <item x="4"/>
        <item x="5"/>
        <item x="6"/>
        <item x="7"/>
        <item x="8"/>
        <item x="9"/>
        <item x="10"/>
        <item x="11"/>
        <item t="default"/>
      </items>
    </pivotField>
    <pivotField showAll="0"/>
    <pivotField showAll="0"/>
    <pivotField dataField="1" numFmtId="164" showAll="0" defaultSubtotal="0"/>
  </pivotFields>
  <rowFields count="1">
    <field x="0"/>
  </rowFields>
  <rowItems count="13">
    <i>
      <x v="12"/>
    </i>
    <i>
      <x v="13"/>
    </i>
    <i>
      <x v="14"/>
    </i>
    <i>
      <x v="15"/>
    </i>
    <i>
      <x v="16"/>
    </i>
    <i>
      <x v="17"/>
    </i>
    <i>
      <x v="18"/>
    </i>
    <i>
      <x v="19"/>
    </i>
    <i>
      <x v="20"/>
    </i>
    <i>
      <x v="21"/>
    </i>
    <i>
      <x v="22"/>
    </i>
    <i>
      <x v="23"/>
    </i>
    <i t="grand">
      <x/>
    </i>
  </rowItems>
  <colFields count="1">
    <field x="-2"/>
  </colFields>
  <colItems count="3">
    <i>
      <x/>
    </i>
    <i i="1">
      <x v="1"/>
    </i>
    <i i="2">
      <x v="2"/>
    </i>
  </colItems>
  <dataFields count="3">
    <dataField name="Sum of Net Profit" fld="3" baseField="0" baseItem="0" numFmtId="164"/>
    <dataField name="Bar Net Profit" fld="3" baseField="0" baseItem="0"/>
    <dataField name="% Net Profit" fld="3" showDataAs="percentOfTotal" baseField="0" baseItem="0" numFmtId="10"/>
  </dataFields>
  <formats count="15">
    <format dxfId="24">
      <pivotArea collapsedLevelsAreSubtotals="1" fieldPosition="0">
        <references count="2">
          <reference field="4294967294" count="1" selected="0">
            <x v="2"/>
          </reference>
          <reference field="0" count="1">
            <x v="0"/>
          </reference>
        </references>
      </pivotArea>
    </format>
    <format dxfId="23">
      <pivotArea collapsedLevelsAreSubtotals="1" fieldPosition="0">
        <references count="2">
          <reference field="4294967294" count="1" selected="0">
            <x v="2"/>
          </reference>
          <reference field="0" count="0"/>
        </references>
      </pivotArea>
    </format>
    <format dxfId="22">
      <pivotArea outline="0" collapsedLevelsAreSubtotals="1" fieldPosition="0">
        <references count="1">
          <reference field="4294967294" count="1" selected="0">
            <x v="0"/>
          </reference>
        </references>
      </pivotArea>
    </format>
    <format dxfId="21">
      <pivotArea dataOnly="0" labelOnly="1" outline="0" fieldPosition="0">
        <references count="1">
          <reference field="4294967294" count="1">
            <x v="0"/>
          </reference>
        </references>
      </pivotArea>
    </format>
    <format dxfId="20">
      <pivotArea outline="0" collapsedLevelsAreSubtotals="1" fieldPosition="0">
        <references count="1">
          <reference field="4294967294" count="1" selected="0">
            <x v="0"/>
          </reference>
        </references>
      </pivotArea>
    </format>
    <format dxfId="19">
      <pivotArea dataOnly="0" labelOnly="1" outline="0" fieldPosition="0">
        <references count="1">
          <reference field="4294967294" count="1">
            <x v="0"/>
          </reference>
        </references>
      </pivotArea>
    </format>
    <format dxfId="18">
      <pivotArea field="0" grandRow="1" outline="0" collapsedLevelsAreSubtotals="1" axis="axisRow" fieldPosition="0">
        <references count="1">
          <reference field="4294967294" count="1" selected="0">
            <x v="1"/>
          </reference>
        </references>
      </pivotArea>
    </format>
    <format dxfId="17">
      <pivotArea field="0" grandRow="1" outline="0" collapsedLevelsAreSubtotals="1" axis="axisRow" fieldPosition="0">
        <references count="1">
          <reference field="4294967294" count="1" selected="0">
            <x v="1"/>
          </reference>
        </references>
      </pivotArea>
    </format>
    <format dxfId="16">
      <pivotArea field="0" grandRow="1" outline="0" collapsedLevelsAreSubtotals="1" axis="axisRow" fieldPosition="0">
        <references count="1">
          <reference field="4294967294" count="1" selected="0">
            <x v="1"/>
          </reference>
        </references>
      </pivotArea>
    </format>
    <format dxfId="15">
      <pivotArea type="all" dataOnly="0" outline="0" fieldPosition="0"/>
    </format>
    <format dxfId="14">
      <pivotArea outline="0" collapsedLevelsAreSubtotals="1" fieldPosition="0"/>
    </format>
    <format dxfId="13">
      <pivotArea field="0" type="button" dataOnly="0" labelOnly="1" outline="0" axis="axisRow" fieldPosition="0"/>
    </format>
    <format dxfId="12">
      <pivotArea dataOnly="0" labelOnly="1" fieldPosition="0">
        <references count="1">
          <reference field="0" count="0"/>
        </references>
      </pivotArea>
    </format>
    <format dxfId="11">
      <pivotArea dataOnly="0" labelOnly="1" grandRow="1" outline="0" fieldPosition="0"/>
    </format>
    <format dxfId="10">
      <pivotArea dataOnly="0" labelOnly="1" outline="0" fieldPosition="0">
        <references count="1">
          <reference field="4294967294" count="3">
            <x v="0"/>
            <x v="1"/>
            <x v="2"/>
          </reference>
        </references>
      </pivotArea>
    </format>
  </formats>
  <conditionalFormats count="4">
    <conditionalFormat priority="1">
      <pivotAreas count="1">
        <pivotArea type="data" collapsedLevelsAreSubtotals="1" fieldPosition="0">
          <references count="2">
            <reference field="4294967294" count="1" selected="0">
              <x v="1"/>
            </reference>
            <reference field="0" count="12">
              <x v="12"/>
              <x v="13"/>
              <x v="14"/>
              <x v="15"/>
              <x v="16"/>
              <x v="17"/>
              <x v="18"/>
              <x v="19"/>
              <x v="20"/>
              <x v="21"/>
              <x v="22"/>
              <x v="23"/>
            </reference>
          </references>
        </pivotArea>
      </pivotAreas>
    </conditionalFormat>
    <conditionalFormat priority="8">
      <pivotAreas count="1">
        <pivotArea type="data" collapsedLevelsAreSubtotals="1" fieldPosition="0">
          <references count="2">
            <reference field="4294967294" count="1" selected="0">
              <x v="1"/>
            </reference>
            <reference field="0" count="12">
              <x v="0"/>
              <x v="1"/>
              <x v="2"/>
              <x v="3"/>
              <x v="4"/>
              <x v="5"/>
              <x v="6"/>
              <x v="7"/>
              <x v="8"/>
              <x v="9"/>
              <x v="10"/>
              <x v="11"/>
            </reference>
          </references>
        </pivotArea>
      </pivotAreas>
    </conditionalFormat>
    <conditionalFormat priority="7">
      <pivotAreas count="1">
        <pivotArea type="data" collapsedLevelsAreSubtotals="1" fieldPosition="0">
          <references count="2">
            <reference field="4294967294" count="1" selected="0">
              <x v="1"/>
            </reference>
            <reference field="0" count="12">
              <x v="0"/>
              <x v="1"/>
              <x v="2"/>
              <x v="3"/>
              <x v="4"/>
              <x v="5"/>
              <x v="6"/>
              <x v="7"/>
              <x v="8"/>
              <x v="9"/>
              <x v="10"/>
              <x v="11"/>
            </reference>
          </references>
        </pivotArea>
      </pivotAreas>
    </conditionalFormat>
    <conditionalFormat priority="2">
      <pivotAreas count="1">
        <pivotArea type="data" grandRow="1" outline="0" collapsedLevelsAreSubtotals="1" fieldPosition="0">
          <references count="1">
            <reference field="4294967294" count="1" selected="0">
              <x v="1"/>
            </reference>
          </references>
        </pivotArea>
      </pivotAreas>
    </conditionalFormat>
  </conditionalFormats>
  <pivotTableStyleInfo name="PivotStyleMedium1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Creditor Purhase &amp; Payment(5 လပိုင္း 2022) " connectionId="1" autoFormatId="16" applyNumberFormats="0" applyBorderFormats="0" applyFontFormats="0" applyPatternFormats="0" applyAlignmentFormats="0" applyWidthHeightFormats="0">
  <queryTableRefresh nextId="12">
    <queryTableFields count="6">
      <queryTableField id="1" name="No" tableColumnId="1"/>
      <queryTableField id="2" name="Supplier Name" tableColumnId="2"/>
      <queryTableField id="3" name="Opening" tableColumnId="3"/>
      <queryTableField id="4" name="Purchase" tableColumnId="4"/>
      <queryTableField id="5" name="Payment" tableColumnId="5"/>
      <queryTableField id="6" name="Balance" tableColumnId="6"/>
    </queryTableFields>
    <queryTableDeletedFields count="5">
      <deletedField name="F7"/>
      <deletedField name="F8"/>
      <deletedField name="F9"/>
      <deletedField name="F10"/>
      <deletedField name="F11"/>
    </queryTableDeleted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Folio" sourceName="Folio">
  <pivotTables>
    <pivotTable tabId="251" name="PivotTable1"/>
  </pivotTables>
  <data>
    <tabular pivotCacheId="2047302495">
      <items count="45">
        <i x="3"/>
        <i x="20"/>
        <i x="17"/>
        <i x="10"/>
        <i x="5"/>
        <i x="16"/>
        <i x="8"/>
        <i x="2"/>
        <i x="4"/>
        <i x="18"/>
        <i x="11"/>
        <i x="22"/>
        <i x="7"/>
        <i x="13"/>
        <i x="15"/>
        <i x="14"/>
        <i x="9"/>
        <i x="1"/>
        <i x="19"/>
        <i x="6"/>
        <i x="24"/>
        <i x="23"/>
        <i x="12" s="1"/>
        <i x="21"/>
        <i x="40" nd="1"/>
        <i x="30" nd="1"/>
        <i x="27" nd="1"/>
        <i x="31" nd="1"/>
        <i x="34" nd="1"/>
        <i x="35" nd="1"/>
        <i x="25" nd="1"/>
        <i x="36" nd="1"/>
        <i x="43" nd="1"/>
        <i x="33" nd="1"/>
        <i x="32" nd="1"/>
        <i x="37" nd="1"/>
        <i x="41" nd="1"/>
        <i x="38" nd="1"/>
        <i x="39" nd="1"/>
        <i x="42" nd="1"/>
        <i x="44" nd="1"/>
        <i x="26" nd="1"/>
        <i x="28" nd="1"/>
        <i x="29" nd="1"/>
        <i x="0"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Folio1" sourceName="Folio">
  <pivotTables>
    <pivotTable tabId="260" name="PivotTable1"/>
  </pivotTables>
  <data>
    <tabular pivotCacheId="2047302497">
      <items count="38">
        <i x="30" s="1" nd="1"/>
        <i x="35" s="1" nd="1"/>
        <i x="17" s="1" nd="1"/>
        <i x="3" s="1" nd="1"/>
        <i x="24" s="1" nd="1"/>
        <i x="27" s="1" nd="1"/>
        <i x="31" s="1" nd="1"/>
        <i x="21" s="1" nd="1"/>
        <i x="18" s="1" nd="1"/>
        <i x="23" s="1" nd="1"/>
        <i x="8" s="1" nd="1"/>
        <i x="10" s="1" nd="1"/>
        <i x="25" s="1" nd="1"/>
        <i x="26" s="1" nd="1"/>
        <i x="1" s="1" nd="1"/>
        <i x="2" s="1" nd="1"/>
        <i x="32" s="1" nd="1"/>
        <i x="7" s="1" nd="1"/>
        <i x="36" s="1" nd="1"/>
        <i x="5" s="1" nd="1"/>
        <i x="37" s="1" nd="1"/>
        <i x="14" s="1" nd="1"/>
        <i x="13" s="1" nd="1"/>
        <i x="29" s="1" nd="1"/>
        <i x="9" s="1" nd="1"/>
        <i x="6" s="1" nd="1"/>
        <i x="33" s="1" nd="1"/>
        <i x="19" s="1" nd="1"/>
        <i x="12" s="1" nd="1"/>
        <i x="16" s="1" nd="1"/>
        <i x="20" s="1" nd="1"/>
        <i x="34" s="1" nd="1"/>
        <i x="28" s="1" nd="1"/>
        <i x="4" s="1" nd="1"/>
        <i x="11" s="1" nd="1"/>
        <i x="15" s="1" nd="1"/>
        <i x="22" s="1" nd="1"/>
        <i x="0"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Folio2" sourceName="Folio">
  <pivotTables>
    <pivotTable tabId="257" name="PivotTable1"/>
  </pivotTables>
  <data>
    <tabular pivotCacheId="2047302498">
      <items count="28">
        <i x="21" s="1" nd="1"/>
        <i x="25" s="1" nd="1"/>
        <i x="12" s="1" nd="1"/>
        <i x="2" s="1" nd="1"/>
        <i x="17" s="1" nd="1"/>
        <i x="18" s="1" nd="1"/>
        <i x="22" s="1" nd="1"/>
        <i x="14" s="1" nd="1"/>
        <i x="16" s="1" nd="1"/>
        <i x="6" s="1" nd="1"/>
        <i x="8" s="1" nd="1"/>
        <i x="1" s="1" nd="1"/>
        <i x="23" s="1" nd="1"/>
        <i x="5" s="1" nd="1"/>
        <i x="26" s="1" nd="1"/>
        <i x="3" s="1" nd="1"/>
        <i x="27" s="1" nd="1"/>
        <i x="10" s="1" nd="1"/>
        <i x="20" s="1" nd="1"/>
        <i x="7" s="1" nd="1"/>
        <i x="4" s="1" nd="1"/>
        <i x="24" s="1" nd="1"/>
        <i x="13" s="1" nd="1"/>
        <i x="9" s="1" nd="1"/>
        <i x="11" s="1" nd="1"/>
        <i x="19" s="1" nd="1"/>
        <i x="15" s="1" nd="1"/>
        <i x="0"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Folio3" sourceName="Folio">
  <pivotTables>
    <pivotTable tabId="257" name="PivotTable2"/>
  </pivotTables>
  <data>
    <tabular pivotCacheId="2047302498">
      <items count="28">
        <i x="21" nd="1"/>
        <i x="25" nd="1"/>
        <i x="12" nd="1"/>
        <i x="2" nd="1"/>
        <i x="17" nd="1"/>
        <i x="18" nd="1"/>
        <i x="22" nd="1"/>
        <i x="14" nd="1"/>
        <i x="16" nd="1"/>
        <i x="6" nd="1"/>
        <i x="8" nd="1"/>
        <i x="1" nd="1"/>
        <i x="23" nd="1"/>
        <i x="5" nd="1"/>
        <i x="26" nd="1"/>
        <i x="3" s="1" nd="1"/>
        <i x="27" nd="1"/>
        <i x="10" nd="1"/>
        <i x="20" nd="1"/>
        <i x="7" nd="1"/>
        <i x="4" nd="1"/>
        <i x="24" nd="1"/>
        <i x="13" nd="1"/>
        <i x="9" nd="1"/>
        <i x="11" nd="1"/>
        <i x="19" nd="1"/>
        <i x="15" nd="1"/>
        <i x="0"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Folio" cache="Slicer_Folio" caption="Folio" startItem="15"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Folio 1" cache="Slicer_Folio1" caption="Folio" startItem="9"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Folio 2" cache="Slicer_Folio2" caption="Folio" startItem="23" rowHeight="241300"/>
  <slicer name="Folio 3" cache="Slicer_Folio3" caption="Folio" startItem="13" rowHeight="241300"/>
</slicers>
</file>

<file path=xl/tables/_rels/table6.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7" name="Table98" displayName="Table98" ref="S3:Y111" totalsRowShown="0" headerRowDxfId="966" dataDxfId="964" headerRowBorderDxfId="965" tableBorderDxfId="963" headerRowCellStyle="Comma">
  <autoFilter ref="S3:Y111"/>
  <tableColumns count="7">
    <tableColumn id="1" name="Code" dataDxfId="962"/>
    <tableColumn id="2" name="Folio" dataDxfId="961"/>
    <tableColumn id="3" name="Particular" dataDxfId="960"/>
    <tableColumn id="4" name="Opening" dataDxfId="959" dataCellStyle="Comma"/>
    <tableColumn id="5" name="Debit" dataDxfId="958" dataCellStyle="Comma"/>
    <tableColumn id="6" name="Credit" dataDxfId="957" dataCellStyle="Comma"/>
    <tableColumn id="7" name="Balance" dataDxfId="956" dataCellStyle="Comma">
      <calculatedColumnFormula>Table98[[#This Row],[Opening]]+Table98[[#This Row],[Debit]]-Table98[[#This Row],[Credit]]</calculatedColumnFormula>
    </tableColumn>
  </tableColumns>
  <tableStyleInfo name="TableStyleMedium9" showFirstColumn="0" showLastColumn="0" showRowStripes="1" showColumnStripes="0"/>
</table>
</file>

<file path=xl/tables/table2.xml><?xml version="1.0" encoding="utf-8"?>
<table xmlns="http://schemas.openxmlformats.org/spreadsheetml/2006/main" id="2" name="Table2" displayName="Table2" ref="A1:I1188" headerRowDxfId="955" dataDxfId="954" totalsRowDxfId="952" tableBorderDxfId="953">
  <autoFilter ref="A1:I1188"/>
  <tableColumns count="9">
    <tableColumn id="1" name="Date" totalsRowLabel="Total" dataDxfId="951" totalsRowDxfId="950"/>
    <tableColumn id="2" name="Code" dataDxfId="949" totalsRowDxfId="948"/>
    <tableColumn id="3" name="Folio" dataDxfId="947" totalsRowDxfId="946"/>
    <tableColumn id="4" name="Particular" dataDxfId="945" totalsRowDxfId="944"/>
    <tableColumn id="9" name="Transction Type" dataDxfId="943" totalsRowDxfId="942"/>
    <tableColumn id="5" name="Opening" dataDxfId="941" totalsRowDxfId="940" dataCellStyle="Comma"/>
    <tableColumn id="6" name="Debit" dataDxfId="939" dataCellStyle="Comma"/>
    <tableColumn id="7" name="Credit" dataDxfId="938" totalsRowDxfId="937" dataCellStyle="Comma"/>
    <tableColumn id="8" name="Balance" totalsRowFunction="sum" dataDxfId="936" totalsRowDxfId="935" dataCellStyle="Comma">
      <calculatedColumnFormula>'Daily Cash Book'!$G2-'Daily Cash Book'!$H$2:$H$1188</calculatedColumnFormula>
    </tableColumn>
  </tableColumns>
  <tableStyleInfo name="TableStyleLight9" showFirstColumn="0" showLastColumn="1" showRowStripes="0" showColumnStripes="0"/>
</table>
</file>

<file path=xl/tables/table3.xml><?xml version="1.0" encoding="utf-8"?>
<table xmlns="http://schemas.openxmlformats.org/spreadsheetml/2006/main" id="10" name="Table10" displayName="Table10" ref="F2:M4" totalsRowShown="0" headerRowDxfId="767" dataDxfId="766">
  <autoFilter ref="F2:M4"/>
  <sortState ref="F3:M13">
    <sortCondition ref="G2:G13"/>
  </sortState>
  <tableColumns count="8">
    <tableColumn id="1" name="No" dataDxfId="765">
      <calculatedColumnFormula>IF(Table10[[#This Row],[Date]]="","",ROW(1:1))</calculatedColumnFormula>
    </tableColumn>
    <tableColumn id="2" name="Date" dataDxfId="764"/>
    <tableColumn id="8" name="Vr No" dataDxfId="763"/>
    <tableColumn id="3" name="Supplier Name" dataDxfId="762"/>
    <tableColumn id="4" name="Fer Name" dataDxfId="761"/>
    <tableColumn id="5" name="Qty" dataDxfId="760"/>
    <tableColumn id="6" name="Rate" dataDxfId="759"/>
    <tableColumn id="7" name="Amt" dataDxfId="758">
      <calculatedColumnFormula>Table10[[#This Row],[Qty]]*Table10[[#This Row],[Rate]]</calculatedColumnFormula>
    </tableColumn>
  </tableColumns>
  <tableStyleInfo name="TableStyleMedium12" showFirstColumn="0" showLastColumn="0" showRowStripes="1" showColumnStripes="0"/>
</table>
</file>

<file path=xl/tables/table4.xml><?xml version="1.0" encoding="utf-8"?>
<table xmlns="http://schemas.openxmlformats.org/spreadsheetml/2006/main" id="23" name="Table23" displayName="Table23" ref="P13:Q16" totalsRowShown="0" headerRowDxfId="757" dataDxfId="756" tableBorderDxfId="755">
  <tableColumns count="2">
    <tableColumn id="1" name="Description" dataDxfId="754"/>
    <tableColumn id="2" name="Amount" dataDxfId="753" dataCellStyle="Comma">
      <calculatedColumnFormula>GETPIVOTDATA("Credit",$O$2)</calculatedColumnFormula>
    </tableColumn>
  </tableColumns>
  <tableStyleInfo name="TableStyleMedium12" showFirstColumn="0" showLastColumn="0" showRowStripes="1" showColumnStripes="0"/>
</table>
</file>

<file path=xl/tables/table5.xml><?xml version="1.0" encoding="utf-8"?>
<table xmlns="http://schemas.openxmlformats.org/spreadsheetml/2006/main" id="19" name="Table19" displayName="Table19" ref="A1:F20" totalsRowShown="0">
  <autoFilter ref="A1:F20"/>
  <tableColumns count="6">
    <tableColumn id="1" name="No"/>
    <tableColumn id="2" name="Supplier Name"/>
    <tableColumn id="3" name="Opening"/>
    <tableColumn id="4" name="Purchase"/>
    <tableColumn id="5" name="Payment"/>
    <tableColumn id="6" name="Balance"/>
  </tableColumns>
  <tableStyleInfo name="TableStyleMedium9" showFirstColumn="0" showLastColumn="0" showRowStripes="1" showColumnStripes="0"/>
</table>
</file>

<file path=xl/tables/table6.xml><?xml version="1.0" encoding="utf-8"?>
<table xmlns="http://schemas.openxmlformats.org/spreadsheetml/2006/main" id="1" name="Table_Creditor_Purhase___Payment_5_လပိုင္း_2022" displayName="Table_Creditor_Purhase___Payment_5_လပိုင္း_2022" ref="A1:F20" tableType="queryTable" totalsRowShown="0" headerRowDxfId="744" dataDxfId="743">
  <autoFilter ref="A1:F20"/>
  <tableColumns count="6">
    <tableColumn id="1" uniqueName="1" name="No" queryTableFieldId="1" dataDxfId="742"/>
    <tableColumn id="2" uniqueName="2" name="Supplier Name" queryTableFieldId="2" dataDxfId="741"/>
    <tableColumn id="3" uniqueName="3" name="Opening" queryTableFieldId="3" dataDxfId="740" dataCellStyle="Comma"/>
    <tableColumn id="4" uniqueName="4" name="Purchase" queryTableFieldId="4" dataDxfId="739" dataCellStyle="Comma"/>
    <tableColumn id="5" uniqueName="5" name="Payment" queryTableFieldId="5" dataDxfId="738" dataCellStyle="Comma"/>
    <tableColumn id="6" uniqueName="6" name="Balance" queryTableFieldId="6" dataDxfId="737" dataCellStyle="Comma"/>
  </tableColumns>
  <tableStyleInfo name="TableStyleMedium9" showFirstColumn="0" showLastColumn="0" showRowStripes="1" showColumnStripes="0"/>
</table>
</file>

<file path=xl/tables/table7.xml><?xml version="1.0" encoding="utf-8"?>
<table xmlns="http://schemas.openxmlformats.org/spreadsheetml/2006/main" id="25" name="ZAN_26" displayName="ZAN_26" ref="A2:I5" totalsRowShown="0" headerRowDxfId="736" dataDxfId="735">
  <sortState ref="A3:I6">
    <sortCondition ref="A2:A6"/>
  </sortState>
  <tableColumns count="9">
    <tableColumn id="1" name="Date" dataDxfId="734"/>
    <tableColumn id="2" name="Vr.No" dataDxfId="733"/>
    <tableColumn id="4" name="Supplier Name" dataDxfId="732"/>
    <tableColumn id="3" name="Section" dataDxfId="731"/>
    <tableColumn id="5" name="Item Name" dataDxfId="730"/>
    <tableColumn id="7" name="Purchase Amt" dataDxfId="729" dataCellStyle="Comma"/>
    <tableColumn id="6" name="Payment  Date" dataDxfId="728" dataCellStyle="Comma"/>
    <tableColumn id="8" name="Payment Amt" dataDxfId="727" dataCellStyle="Comma"/>
    <tableColumn id="9" name="Balance Amt" dataDxfId="726" dataCellStyle="Comma">
      <calculatedColumnFormula>ZAN_26[[#This Row],[Purchase Amt]]-ZAN_26[[#This Row],[Payment Amt]]</calculatedColumnFormula>
    </tableColumn>
  </tableColumns>
  <tableStyleInfo name="TableStyleMedium10" showFirstColumn="0" showLastColumn="0" showRowStripes="1" showColumnStripes="0"/>
</table>
</file>

<file path=xl/tables/table8.xml><?xml version="1.0" encoding="utf-8"?>
<table xmlns="http://schemas.openxmlformats.org/spreadsheetml/2006/main" id="11" name="Table11" displayName="Table11" ref="C1:N16" totalsRowShown="0" headerRowDxfId="725" dataDxfId="723" headerRowBorderDxfId="724" tableBorderDxfId="722" totalsRowBorderDxfId="721" headerRowCellStyle="Comma" dataCellStyle="Comma">
  <autoFilter ref="C1:N16"/>
  <tableColumns count="12">
    <tableColumn id="1" name="End Daate" dataDxfId="720"/>
    <tableColumn id="2" name="Account " dataDxfId="719"/>
    <tableColumn id="3" name="Account Name" dataDxfId="718"/>
    <tableColumn id="4" name="Vr.No" dataDxfId="717"/>
    <tableColumn id="5" name="Company (or) Bank Name" dataDxfId="716"/>
    <tableColumn id="6" name="Loan Amt" dataDxfId="715" dataCellStyle="Comma"/>
    <tableColumn id="7" name="Credit period" dataDxfId="714" dataCellStyle="Comma"/>
    <tableColumn id="8" name="Interest" dataDxfId="713" dataCellStyle="Comma"/>
    <tableColumn id="9" name="interest Amt" dataDxfId="712" dataCellStyle="Comma"/>
    <tableColumn id="10" name="Interest+Loan" dataDxfId="711"/>
    <tableColumn id="11" name="Paid Amt" dataDxfId="710" dataCellStyle="Comma">
      <calculatedColumnFormula>Table11[[#This Row],[Interest+Loan]]</calculatedColumnFormula>
    </tableColumn>
    <tableColumn id="12" name="Paid Date" dataDxfId="709" dataCellStyle="Comma"/>
  </tableColumns>
  <tableStyleInfo name="TableStyleMedium9" showFirstColumn="0" showLastColumn="0" showRowStripes="1" showColumnStripes="0"/>
</table>
</file>

<file path=xl/tables/table9.xml><?xml version="1.0" encoding="utf-8"?>
<table xmlns="http://schemas.openxmlformats.org/spreadsheetml/2006/main" id="5" name="Table5" displayName="Table5" ref="A1:H3265" totalsRowShown="0" headerRowDxfId="704" dataDxfId="703">
  <autoFilter ref="A1:H3265"/>
  <tableColumns count="8">
    <tableColumn id="1" name="စဥ္" dataDxfId="702"/>
    <tableColumn id="2" name="ITEM ID" dataDxfId="701"/>
    <tableColumn id="3" name="Name" dataDxfId="700"/>
    <tableColumn id="4" name="Qty" dataDxfId="699"/>
    <tableColumn id="5" name="ေရာင္းေစ်း (လက္လီ)" dataDxfId="698" dataCellStyle="Comma"/>
    <tableColumn id="6" name="ေရာင္းေစ်း (လက္ကား)" dataDxfId="697" dataCellStyle="Comma"/>
    <tableColumn id="7" name="TotaL Amount" dataDxfId="696" dataCellStyle="Comma"/>
    <tableColumn id="8" name="Store" dataDxfId="695"/>
  </tableColumns>
  <tableStyleInfo name="TableStyleMedium9" showFirstColumn="0" showLastColumn="0" showRowStripes="1" showColumnStripes="0"/>
</table>
</file>

<file path=xl/tables/table10.xml><?xml version="1.0" encoding="utf-8"?>
<table xmlns="http://schemas.openxmlformats.org/spreadsheetml/2006/main" id="4" name="Table4" displayName="Table4" ref="A1:H1026" totalsRowShown="0" headerRowDxfId="678" dataDxfId="677" dataCellStyle="Comma">
  <autoFilter ref="A1:H1026"/>
  <sortState ref="A2:H1199">
    <sortCondition ref="F1:F1199"/>
  </sortState>
  <tableColumns count="8">
    <tableColumn id="1" name="No" dataDxfId="676" dataCellStyle="styleRows"/>
    <tableColumn id="2" name="Item ID" dataDxfId="675" dataCellStyle="styleRows"/>
    <tableColumn id="3" name="Item Name" dataDxfId="674" dataCellStyle="styleRows"/>
    <tableColumn id="4" name="Purchase Price" dataDxfId="673" dataCellStyle="Comma"/>
    <tableColumn id="5" name="Sell Qty" dataDxfId="672" dataCellStyle="Comma"/>
    <tableColumn id="6" name="Sale Amount" dataDxfId="671" dataCellStyle="Comma"/>
    <tableColumn id="7" name="Profit" dataDxfId="670" dataCellStyle="Comma"/>
    <tableColumn id="8" name="Store" dataDxfId="669" dataCellStyle="styleRows"/>
  </tableColumns>
  <tableStyleInfo name="TableStyleMedium9" showFirstColumn="0" showLastColumn="0" showRowStripes="1" showColumnStripes="0"/>
</table>
</file>

<file path=xl/tables/table11.xml><?xml version="1.0" encoding="utf-8"?>
<table xmlns="http://schemas.openxmlformats.org/spreadsheetml/2006/main" id="12" name="Table131613" displayName="Table131613" ref="A1:AF27" totalsRowShown="0" headerRowDxfId="668" dataDxfId="666" headerRowBorderDxfId="667" tableBorderDxfId="665">
  <autoFilter ref="A1:AF27"/>
  <tableColumns count="32">
    <tableColumn id="1" name="No." dataDxfId="664"/>
    <tableColumn id="2" name="Date" dataDxfId="663"/>
    <tableColumn id="3" name="Custormer" dataDxfId="662"/>
    <tableColumn id="4" name="Adds" dataDxfId="661"/>
    <tableColumn id="5" name="Ph" dataDxfId="660"/>
    <tableColumn id="6" name="Father" dataDxfId="659"/>
    <tableColumn id="7" name="ကိုယ္စားလွယ္အမည္" dataDxfId="658"/>
    <tableColumn id="8" name="ကိုယ္စာလွယ္ဖုန္းနံပါတ္" dataDxfId="657"/>
    <tableColumn id="9" name="Product Name" dataDxfId="656"/>
    <tableColumn id="10" name="Checel No." dataDxfId="655"/>
    <tableColumn id="11" name="Colour" dataDxfId="654"/>
    <tableColumn id="12" name="House Power" dataDxfId="653"/>
    <tableColumn id="13" name="Qty" dataDxfId="652"/>
    <tableColumn id="14" name="Total Amount" dataDxfId="651" dataCellStyle="Comma">
      <calculatedColumnFormula>IFERROR(VLOOKUP(L2,[2]COA!E:F,2,0),"-")</calculatedColumnFormula>
    </tableColumn>
    <tableColumn id="15" name="Charges %" dataDxfId="650"/>
    <tableColumn id="16" name="Interest %" dataDxfId="649"/>
    <tableColumn id="17" name="Column1" dataDxfId="648"/>
    <tableColumn id="18" name="စာရြက္စာတမ္းေၾကး" dataDxfId="647" dataCellStyle="Comma"/>
    <tableColumn id="19" name="D/ P %" dataDxfId="646"/>
    <tableColumn id="20" name="B/ L %" dataDxfId="645"/>
    <tableColumn id="21" name="Down Payment" dataDxfId="644">
      <calculatedColumnFormula>IFERROR(N2*O2+N2*T2*Q2+N2*S2,"-")</calculatedColumnFormula>
    </tableColumn>
    <tableColumn id="22" name="Down Payment ေပးေငြ" dataDxfId="643"/>
    <tableColumn id="23" name="Down Payment က်န္ေငြ " dataDxfId="642"/>
    <tableColumn id="24" name="Down Payment က်န္ေငြ Date" dataDxfId="641"/>
    <tableColumn id="25" name="က်န္ေငြ စုစုေပါင္း" dataDxfId="640">
      <calculatedColumnFormula>IFERROR(N2*T2,"-")</calculatedColumnFormula>
    </tableColumn>
    <tableColumn id="26" name="ေပးဆပ္ရမည့္ အရစ္" dataDxfId="639"/>
    <tableColumn id="27" name="(1) Time %" dataDxfId="638">
      <calculatedColumnFormula>T2/2</calculatedColumnFormula>
    </tableColumn>
    <tableColumn id="28" name="First Paid Date" dataDxfId="637"/>
    <tableColumn id="29" name="First Paid Amount" dataDxfId="636">
      <calculatedColumnFormula>IFERROR(N2*AA2,"-")</calculatedColumnFormula>
    </tableColumn>
    <tableColumn id="30" name="(2) Time %" dataDxfId="635">
      <calculatedColumnFormula>T2/2</calculatedColumnFormula>
    </tableColumn>
    <tableColumn id="31" name="Second Paid Date" dataDxfId="634"/>
    <tableColumn id="32" name="Second Paid Amount" dataDxfId="633">
      <calculatedColumnFormula>IFERROR(N2*AD2,"-")</calculatedColumnFormula>
    </tableColumn>
  </tableColumns>
  <tableStyleInfo name="TableStyleLight9" showFirstColumn="0" showLastColumn="0" showRowStripes="1" showColumnStripes="0"/>
</table>
</file>

<file path=xl/tables/table12.xml><?xml version="1.0" encoding="utf-8"?>
<table xmlns="http://schemas.openxmlformats.org/spreadsheetml/2006/main" id="22" name="Table22" displayName="Table22" ref="A1:I4" totalsRowShown="0" headerRowDxfId="498" dataDxfId="497">
  <autoFilter ref="A1:I4"/>
  <tableColumns count="9">
    <tableColumn id="1" name="Date" dataDxfId="496"/>
    <tableColumn id="2" name="Code" dataDxfId="495"/>
    <tableColumn id="3" name="Folio" dataDxfId="494"/>
    <tableColumn id="4" name="Particular" dataDxfId="493"/>
    <tableColumn id="5" name="Transction Type" dataDxfId="492"/>
    <tableColumn id="6" name="Opening" dataDxfId="491"/>
    <tableColumn id="7" name="Debit" dataDxfId="490"/>
    <tableColumn id="8" name="Credit" dataDxfId="489"/>
    <tableColumn id="9" name="Balance" dataDxfId="488"/>
  </tableColumns>
  <tableStyleInfo name="TableStyleMedium9" showFirstColumn="0" showLastColumn="0" showRowStripes="1" showColumnStripes="0"/>
</table>
</file>

<file path=xl/tables/table13.xml><?xml version="1.0" encoding="utf-8"?>
<table xmlns="http://schemas.openxmlformats.org/spreadsheetml/2006/main" id="16" name="Table13" displayName="Table13" ref="A1:AF27" totalsRowShown="0" headerRowDxfId="159" dataDxfId="157" headerRowBorderDxfId="158" tableBorderDxfId="156">
  <autoFilter ref="A1:AF27"/>
  <tableColumns count="32">
    <tableColumn id="1" name="No." dataDxfId="155"/>
    <tableColumn id="2" name="Date" dataDxfId="154"/>
    <tableColumn id="3" name="Customer Name" dataDxfId="153"/>
    <tableColumn id="4" name="Adds" dataDxfId="152"/>
    <tableColumn id="5" name="Ph" dataDxfId="151"/>
    <tableColumn id="6" name="father Name" dataDxfId="150"/>
    <tableColumn id="7" name="ကိုယ္စားလွယ္အမည္" dataDxfId="149"/>
    <tableColumn id="8" name="ကိုယ္စာလွယ္ဖုန္းနံပါတ္" dataDxfId="148"/>
    <tableColumn id="9" name="Product Name" dataDxfId="147"/>
    <tableColumn id="10" name="Checel No." dataDxfId="146"/>
    <tableColumn id="11" name="Colour" dataDxfId="145"/>
    <tableColumn id="12" name="House Power" dataDxfId="144"/>
    <tableColumn id="13" name="Qty" dataDxfId="143"/>
    <tableColumn id="14" name="Total Amount" dataDxfId="142" dataCellStyle="Comma">
      <calculatedColumnFormula>IFERROR(VLOOKUP(L2,[4]COA!E:F,2,0),"-")</calculatedColumnFormula>
    </tableColumn>
    <tableColumn id="15" name="Charges %" dataDxfId="141"/>
    <tableColumn id="16" name="Interest %" dataDxfId="140"/>
    <tableColumn id="17" name="Column1" dataDxfId="139"/>
    <tableColumn id="18" name="စာရြက္စာတမ္းေၾကး" dataDxfId="138" dataCellStyle="Comma"/>
    <tableColumn id="19" name="D/ P %" dataDxfId="137"/>
    <tableColumn id="20" name="B/ L %" dataDxfId="136"/>
    <tableColumn id="21" name="Down Payment" dataDxfId="135">
      <calculatedColumnFormula>IFERROR(N2*O2+N2*T2*Q2+N2*S2,"-")</calculatedColumnFormula>
    </tableColumn>
    <tableColumn id="22" name="Down Payment ေပးေငြ" dataDxfId="134"/>
    <tableColumn id="23" name="Down Payment က်န္ေငြ " dataDxfId="133"/>
    <tableColumn id="24" name="Down Payment က်န္ေငြ Date" dataDxfId="132"/>
    <tableColumn id="25" name="က်န္ေငြ စုစုေပါင္း" dataDxfId="131">
      <calculatedColumnFormula>IFERROR(N2*T2,"-")</calculatedColumnFormula>
    </tableColumn>
    <tableColumn id="26" name="ေပးဆပ္ရမည့္ အရစ္" dataDxfId="130"/>
    <tableColumn id="27" name="(1) Time %" dataDxfId="129">
      <calculatedColumnFormula>T2/2</calculatedColumnFormula>
    </tableColumn>
    <tableColumn id="28" name="First Paid Date" dataDxfId="128"/>
    <tableColumn id="29" name="First Paid Amount" dataDxfId="127">
      <calculatedColumnFormula>IFERROR(N2*AA2,"-")</calculatedColumnFormula>
    </tableColumn>
    <tableColumn id="30" name="(2) Time %" dataDxfId="126">
      <calculatedColumnFormula>T2/2</calculatedColumnFormula>
    </tableColumn>
    <tableColumn id="31" name="Second Paid Date" dataDxfId="125"/>
    <tableColumn id="32" name="Second Paid Amount" dataDxfId="124">
      <calculatedColumnFormula>IFERROR(N2*AD2,"-")</calculatedColumnFormula>
    </tableColumn>
  </tableColumns>
  <tableStyleInfo name="TableStyleLight9" showFirstColumn="0" showLastColumn="0" showRowStripes="1" showColumnStripes="0"/>
</table>
</file>

<file path=xl/tables/table14.xml><?xml version="1.0" encoding="utf-8"?>
<table xmlns="http://schemas.openxmlformats.org/spreadsheetml/2006/main" id="14" name="Table1315" displayName="Table1315" ref="A3:AF29" totalsRowShown="0" headerRowDxfId="112" dataDxfId="110" headerRowBorderDxfId="111" tableBorderDxfId="109">
  <autoFilter ref="A3:AF29"/>
  <tableColumns count="32">
    <tableColumn id="1" name="No." dataDxfId="108"/>
    <tableColumn id="2" name="ေန႔စြဲ" dataDxfId="107"/>
    <tableColumn id="3" name="ဝယ္သူအမည္" dataDxfId="106"/>
    <tableColumn id="4" name="ေနရပ္" dataDxfId="105"/>
    <tableColumn id="5" name="ဖုန္းနံပါတ္" dataDxfId="104"/>
    <tableColumn id="6" name="အဘအမည္" dataDxfId="103"/>
    <tableColumn id="7" name="ကိုယ္စားလွယ္အမည္" dataDxfId="102"/>
    <tableColumn id="8" name="ကိုယ္စာလွယ္ဖုန္းနံပါတ္" dataDxfId="101"/>
    <tableColumn id="9" name="Product Name" dataDxfId="100"/>
    <tableColumn id="10" name="Checel No." dataDxfId="99"/>
    <tableColumn id="11" name="Colour" dataDxfId="98"/>
    <tableColumn id="12" name="House Power" dataDxfId="97"/>
    <tableColumn id="13" name="Qty" dataDxfId="96"/>
    <tableColumn id="14" name="Total Amount" dataDxfId="95" dataCellStyle="Comma">
      <calculatedColumnFormula>IFERROR(VLOOKUP(L4,[2]COA!E:F,2,0),"-")</calculatedColumnFormula>
    </tableColumn>
    <tableColumn id="15" name="Charges %" dataDxfId="94"/>
    <tableColumn id="16" name="Interest %" dataDxfId="93"/>
    <tableColumn id="17" name="Column1" dataDxfId="92"/>
    <tableColumn id="18" name="စာရြက္စာတမ္းေၾကး" dataDxfId="91" dataCellStyle="Comma"/>
    <tableColumn id="19" name="D/ P %" dataDxfId="90"/>
    <tableColumn id="20" name="B/ L %" dataDxfId="89"/>
    <tableColumn id="21" name="Down Payment" dataDxfId="88">
      <calculatedColumnFormula>IFERROR(N4*O4+N4*T4*Q4+N4*S4,"-")</calculatedColumnFormula>
    </tableColumn>
    <tableColumn id="22" name="Down Payment ေပးေငြ" dataDxfId="87"/>
    <tableColumn id="23" name="Down Payment က်န္ေငြ " dataDxfId="86"/>
    <tableColumn id="24" name="Down Payment က်န္ေငြ Date" dataDxfId="85"/>
    <tableColumn id="25" name="က်န္ေငြ စုစုေပါင္း" dataDxfId="84">
      <calculatedColumnFormula>IFERROR(N4*T4,"-")</calculatedColumnFormula>
    </tableColumn>
    <tableColumn id="26" name="ေပးဆပ္ရမည့္ အရစ္" dataDxfId="83"/>
    <tableColumn id="27" name="(1) Time %" dataDxfId="82">
      <calculatedColumnFormula>T4/2</calculatedColumnFormula>
    </tableColumn>
    <tableColumn id="28" name="First Paid Date" dataDxfId="81"/>
    <tableColumn id="29" name="First Paid Amount" dataDxfId="80">
      <calculatedColumnFormula>IFERROR(N4*AA4,"-")</calculatedColumnFormula>
    </tableColumn>
    <tableColumn id="30" name="(2) Time %" dataDxfId="79">
      <calculatedColumnFormula>T4/2</calculatedColumnFormula>
    </tableColumn>
    <tableColumn id="31" name="Second Paid Date" dataDxfId="78"/>
    <tableColumn id="32" name="Second Paid Amount" dataDxfId="77">
      <calculatedColumnFormula>IFERROR(N4*AD4,"-")</calculatedColumnFormula>
    </tableColumn>
  </tableColumns>
  <tableStyleInfo name="TableStyleLight9" showFirstColumn="0" showLastColumn="0" showRowStripes="1" showColumnStripes="0"/>
</table>
</file>

<file path=xl/tables/table15.xml><?xml version="1.0" encoding="utf-8"?>
<table xmlns="http://schemas.openxmlformats.org/spreadsheetml/2006/main" id="6" name="Table6" displayName="Table6" ref="A2:C22" insertRowShift="1" totalsRowShown="0" headerRowDxfId="76" dataDxfId="74" headerRowBorderDxfId="75" tableBorderDxfId="73" totalsRowBorderDxfId="72">
  <autoFilter ref="A2:C22"/>
  <tableColumns count="3">
    <tableColumn id="1" name="No." dataDxfId="71"/>
    <tableColumn id="2" name="Company Name" dataDxfId="70"/>
    <tableColumn id="3" name="Amount" dataDxfId="69" dataCellStyle="Comma"/>
  </tableColumns>
  <tableStyleInfo name="TableStyleMedium9" showFirstColumn="0" showLastColumn="0" showRowStripes="1" showColumnStripes="0"/>
</table>
</file>

<file path=xl/tables/table16.xml><?xml version="1.0" encoding="utf-8"?>
<table xmlns="http://schemas.openxmlformats.org/spreadsheetml/2006/main" id="8" name="Table8" displayName="Table8" ref="E2:G6" totalsRowShown="0" headerRowDxfId="68" dataDxfId="66" headerRowBorderDxfId="67" tableBorderDxfId="65" totalsRowBorderDxfId="64">
  <autoFilter ref="E2:G6"/>
  <tableColumns count="3">
    <tableColumn id="1" name="No" dataDxfId="63"/>
    <tableColumn id="2" name="Year" dataDxfId="62"/>
    <tableColumn id="3" name="Amt" dataDxfId="61" dataCellStyle="Comma"/>
  </tableColumns>
  <tableStyleInfo name="TableStyleMedium9" showFirstColumn="0" showLastColumn="0" showRowStripes="1" showColumnStripes="0"/>
</table>
</file>

<file path=xl/tables/table17.xml><?xml version="1.0" encoding="utf-8"?>
<table xmlns="http://schemas.openxmlformats.org/spreadsheetml/2006/main" id="13" name="Table14" displayName="Table14" ref="A27:C30" totalsRowShown="0" headerRowDxfId="60" dataDxfId="58" headerRowBorderDxfId="59" tableBorderDxfId="57" totalsRowBorderDxfId="56">
  <autoFilter ref="A27:C30"/>
  <tableColumns count="3">
    <tableColumn id="1" name="No." dataDxfId="55"/>
    <tableColumn id="2" name="Company Name" dataDxfId="54"/>
    <tableColumn id="3" name="Amount" dataDxfId="53"/>
  </tableColumns>
  <tableStyleInfo name="TableStyleMedium9" showFirstColumn="0" showLastColumn="0" showRowStripes="1" showColumnStripes="0"/>
</table>
</file>

<file path=xl/tables/table18.xml><?xml version="1.0" encoding="utf-8"?>
<table xmlns="http://schemas.openxmlformats.org/spreadsheetml/2006/main" id="21" name="Table21" displayName="Table21" ref="A33:C36" totalsRowShown="0" headerRowDxfId="52" dataDxfId="50" headerRowBorderDxfId="51" tableBorderDxfId="49" totalsRowBorderDxfId="48">
  <autoFilter ref="A33:C36"/>
  <tableColumns count="3">
    <tableColumn id="1" name="No." dataDxfId="47"/>
    <tableColumn id="2" name="Company Name" dataDxfId="46"/>
    <tableColumn id="3" name="Amount" dataDxfId="45"/>
  </tableColumns>
  <tableStyleInfo name="TableStyleMedium9" showFirstColumn="0" showLastColumn="0" showRowStripes="1" showColumnStripes="0"/>
</table>
</file>

<file path=xl/tables/table19.xml><?xml version="1.0" encoding="utf-8"?>
<table xmlns="http://schemas.openxmlformats.org/spreadsheetml/2006/main" id="18" name="Table18" displayName="Table18" ref="B2:D22" totalsRowShown="0" headerRowDxfId="44" dataDxfId="42" headerRowBorderDxfId="43" tableBorderDxfId="41" totalsRowBorderDxfId="40">
  <tableColumns count="3">
    <tableColumn id="1" name="No" dataDxfId="39"/>
    <tableColumn id="2" name="Co, Name" dataDxfId="38"/>
    <tableColumn id="3" name="Amount" dataDxfId="37" dataCellStyle="Comma"/>
  </tableColumns>
  <tableStyleInfo name="TableStyleMedium11" showFirstColumn="0" showLastColumn="0" showRowStripes="1" showColumnStripes="0"/>
</table>
</file>

<file path=xl/tables/table20.xml><?xml version="1.0" encoding="utf-8"?>
<table xmlns="http://schemas.openxmlformats.org/spreadsheetml/2006/main" id="3" name="Table3" displayName="Table3" ref="C24:D27" totalsRowShown="0" headerRowDxfId="36" dataDxfId="34" headerRowBorderDxfId="35" tableBorderDxfId="33" totalsRowBorderDxfId="32">
  <tableColumns count="2">
    <tableColumn id="1" name="Description" dataDxfId="31"/>
    <tableColumn id="2" name="Balance" dataDxfId="30"/>
  </tableColumns>
  <tableStyleInfo name="TableStyleMedium13" showFirstColumn="0" showLastColumn="0" showRowStripes="1" showColumnStripes="0"/>
</table>
</file>

<file path=xl/tables/table21.xml><?xml version="1.0" encoding="utf-8"?>
<table xmlns="http://schemas.openxmlformats.org/spreadsheetml/2006/main" id="17" name="Table17" displayName="Table17" ref="G25:H27" totalsRowShown="0" headerRowDxfId="29" dataDxfId="28">
  <autoFilter ref="G25:H27"/>
  <tableColumns count="2">
    <tableColumn id="1" name="Ended Of The monthly" dataDxfId="27"/>
    <tableColumn id="2" name="Amount" dataDxfId="26">
      <calculatedColumnFormula>H23-L23</calculatedColumnFormula>
    </tableColumn>
  </tableColumns>
  <tableStyleInfo name="TableStyleMedium6" showFirstColumn="0" showLastColumn="0" showRowStripes="1" showColumnStripes="0"/>
</table>
</file>

<file path=xl/tables/table22.xml><?xml version="1.0" encoding="utf-8"?>
<table xmlns="http://schemas.openxmlformats.org/spreadsheetml/2006/main" id="15" name="Table15" displayName="Table15" ref="A1:D2" totalsRowShown="0">
  <autoFilter ref="A1:D2"/>
  <tableColumns count="4">
    <tableColumn id="1" name="End of Month" dataDxfId="25"/>
    <tableColumn id="2" name="Sale Profit"/>
    <tableColumn id="3" name="Expense"/>
    <tableColumn id="4" name="Net Profit"/>
  </tableColumns>
  <tableStyleInfo name="TableStyleMedium9" showFirstColumn="0" showLastColumn="0" showRowStripes="1" showColumnStripes="0"/>
</table>
</file>

<file path=xl/tables/table23.xml><?xml version="1.0" encoding="utf-8"?>
<table xmlns="http://schemas.openxmlformats.org/spreadsheetml/2006/main" id="24" name="Table24" displayName="Table24" ref="B3:E15" totalsRowShown="0" headerRowDxfId="9" dataDxfId="8">
  <autoFilter ref="B3:E15"/>
  <tableColumns count="4">
    <tableColumn id="1" name="End of Month" dataDxfId="7"/>
    <tableColumn id="2" name="Sale Profit" dataDxfId="6"/>
    <tableColumn id="3" name="Expense" dataDxfId="5"/>
    <tableColumn id="4" name="Net Profit" dataDxfId="4">
      <calculatedColumnFormula>Table24[[#This Row],[Sale Profit]]-Table24[[#This Row],[Expense]]</calculatedColumnFormula>
    </tableColumn>
  </tableColumns>
  <tableStyleInfo name="TableStyleMedium9" showFirstColumn="0" showLastColumn="0" showRowStripes="1" showColumnStripes="0"/>
</table>
</file>

<file path=xl/tables/table24.xml><?xml version="1.0" encoding="utf-8"?>
<table xmlns="http://schemas.openxmlformats.org/spreadsheetml/2006/main" id="28" name="Table28" displayName="Table28" ref="L3:M4" totalsRowShown="0" headerRowDxfId="3" dataDxfId="2">
  <tableColumns count="2">
    <tableColumn id="1" name="လ" dataDxfId="1">
      <calculatedColumnFormula>COUNT(Table24[Sale Profit])</calculatedColumnFormula>
    </tableColumn>
    <tableColumn id="2" name="၁ လ ပျမ်းမျှအမြတ်" dataDxfId="0" dataCellStyle="Comma">
      <calculatedColumnFormula>GETPIVOTDATA("Sum of Net Profit",$G$3)/COUNT(Table24[Sale Profit])</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imelineCaches/timelineCache1.xml><?xml version="1.0" encoding="utf-8"?>
<timelineCacheDefinition xmlns="http://schemas.microsoft.com/office/spreadsheetml/2010/11/main" xmlns:x15="http://schemas.microsoft.com/office/spreadsheetml/2010/11/main" name="NativeTimeline_First_Date" sourceName="First Date">
  <pivotTables>
    <pivotTable tabId="231" name="PivotTable1"/>
  </pivotTables>
  <state minimalRefreshVersion="6" lastRefreshVersion="6" pivotCacheId="498476817" filterType="dateBetween">
    <selection startDate="2020-12-01T00:00:00" endDate="2020-12-31T00:00:00"/>
    <bounds startDate="2020-01-01T00:00:00" endDate="2022-01-01T00:00:00"/>
  </state>
</timelineCacheDefinition>
</file>

<file path=xl/timelineCaches/timelineCache2.xml><?xml version="1.0" encoding="utf-8"?>
<timelineCacheDefinition xmlns="http://schemas.microsoft.com/office/spreadsheetml/2010/11/main" xmlns:x15="http://schemas.microsoft.com/office/spreadsheetml/2010/11/main" name="NativeTimeline_Second__Date" sourceName="Second  Date">
  <pivotTables>
    <pivotTable tabId="231" name="PivotTable1"/>
  </pivotTables>
  <state minimalRefreshVersion="6" lastRefreshVersion="6" pivotCacheId="498476817" filterType="unknown">
    <bounds startDate="2021-01-01T00:00:00" endDate="2022-01-01T00:00:00"/>
  </state>
</timelineCacheDefinition>
</file>

<file path=xl/timelineCaches/timelineCache3.xml><?xml version="1.0" encoding="utf-8"?>
<timelineCacheDefinition xmlns="http://schemas.microsoft.com/office/spreadsheetml/2010/11/main" xmlns:x15="http://schemas.microsoft.com/office/spreadsheetml/2010/11/main" name="NativeTimeline_Second__Date1" sourceName="Second  Date">
  <pivotTables>
    <pivotTable tabId="247" name="PivotTable2"/>
  </pivotTables>
  <state minimalRefreshVersion="6" lastRefreshVersion="6" pivotCacheId="2047302483" filterType="dateBetween">
    <selection startDate="2021-05-01T00:00:00" endDate="2021-05-31T00:00:00"/>
    <bounds startDate="2021-01-01T00:00:00" endDate="2023-01-01T00:00:00"/>
  </state>
</timelineCacheDefinition>
</file>

<file path=xl/timelineCaches/timelineCache4.xml><?xml version="1.0" encoding="utf-8"?>
<timelineCacheDefinition xmlns="http://schemas.microsoft.com/office/spreadsheetml/2010/11/main" xmlns:x15="http://schemas.microsoft.com/office/spreadsheetml/2010/11/main" name="NativeTimeline_First_Date1" sourceName="First Date">
  <pivotTables>
    <pivotTable tabId="247" name="PivotTable1"/>
  </pivotTables>
  <state minimalRefreshVersion="6" lastRefreshVersion="6" pivotCacheId="2047302483" filterType="dateBetween">
    <selection startDate="2021-05-01T00:00:00" endDate="2021-05-31T00:00:00"/>
    <bounds startDate="2020-01-01T00:00:00" endDate="2022-01-01T00:00:00"/>
  </state>
</timelineCacheDefinition>
</file>

<file path=xl/timelineCaches/timelineCache5.xml><?xml version="1.0" encoding="utf-8"?>
<timelineCacheDefinition xmlns="http://schemas.microsoft.com/office/spreadsheetml/2010/11/main" xmlns:x15="http://schemas.microsoft.com/office/spreadsheetml/2010/11/main" name="NativeTimeline_Date" sourceName="Date">
  <pivotTables>
    <pivotTable tabId="251" name="PivotTable1"/>
  </pivotTables>
  <state minimalRefreshVersion="6" lastRefreshVersion="6" pivotCacheId="2047302495" filterType="dateBetween">
    <selection startDate="2022-02-01T00:00:00" endDate="2022-02-28T00:00:00"/>
    <bounds startDate="2021-01-01T00:00:00" endDate="2023-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mc:Ignorable="x">
  <timeline name="Date" cache="NativeTimeline_Date" caption="Date" level="2" selectionLevel="2" scrollPosition="2021-09-01T00:00:00"/>
</timelines>
</file>

<file path=xl/timelines/timeline2.xml><?xml version="1.0" encoding="utf-8"?>
<timelines xmlns="http://schemas.microsoft.com/office/spreadsheetml/2010/11/main" xmlns:mc="http://schemas.openxmlformats.org/markup-compatibility/2006" xmlns:x="http://schemas.openxmlformats.org/spreadsheetml/2006/main" mc:Ignorable="x">
  <timeline name="Second  Date 1" cache="NativeTimeline_Second__Date1" caption="Second  Date" level="2" selectionLevel="2" scrollPosition="2021-01-01T00:00:00"/>
  <timeline name="First Date 1" cache="NativeTimeline_First_Date1" caption="First Date" level="2" selectionLevel="2" scrollPosition="2021-02-01T00:00:00"/>
</timelines>
</file>

<file path=xl/timelines/timeline3.xml><?xml version="1.0" encoding="utf-8"?>
<timelines xmlns="http://schemas.microsoft.com/office/spreadsheetml/2010/11/main" xmlns:mc="http://schemas.openxmlformats.org/markup-compatibility/2006" xmlns:x="http://schemas.openxmlformats.org/spreadsheetml/2006/main" mc:Ignorable="x">
  <timeline name="First Date" cache="NativeTimeline_First_Date" caption="First Date" level="2" selectionLevel="2" scrollPosition="2020-09-01T00:00:00"/>
  <timeline name="Second  Date" cache="NativeTimeline_Second__Date" caption="Second  Date" level="2" selectionLevel="2" scrollPosition="2021-06-07T00:00:00" style="TimeSlicerStyleLight2"/>
</timeline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5" Type="http://schemas.microsoft.com/office/2011/relationships/timeline" Target="../timelines/timeline1.xml"/><Relationship Id="rId4" Type="http://schemas.microsoft.com/office/2007/relationships/slicer" Target="../slicers/slicer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2.bin"/><Relationship Id="rId1" Type="http://schemas.openxmlformats.org/officeDocument/2006/relationships/pivotTable" Target="../pivotTables/pivotTable2.xml"/><Relationship Id="rId6" Type="http://schemas.microsoft.com/office/2007/relationships/slicer" Target="../slicers/slicer2.xml"/><Relationship Id="rId5" Type="http://schemas.openxmlformats.org/officeDocument/2006/relationships/table" Target="../tables/table4.xml"/><Relationship Id="rId4" Type="http://schemas.openxmlformats.org/officeDocument/2006/relationships/table" Target="../tables/table3.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0.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3.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13.bin"/></Relationships>
</file>

<file path=xl/worksheets/_rels/sheet24.xml.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openxmlformats.org/officeDocument/2006/relationships/pivotTable" Target="../pivotTables/pivotTable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6.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8.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9.xml"/><Relationship Id="rId1" Type="http://schemas.openxmlformats.org/officeDocument/2006/relationships/printerSettings" Target="../printerSettings/printerSettings15.bin"/></Relationships>
</file>

<file path=xl/worksheets/_rels/sheet29.xml.rels><?xml version="1.0" encoding="UTF-8" standalone="yes"?>
<Relationships xmlns="http://schemas.openxmlformats.org/package/2006/relationships"><Relationship Id="rId3" Type="http://schemas.openxmlformats.org/officeDocument/2006/relationships/printerSettings" Target="../printerSettings/printerSettings16.bin"/><Relationship Id="rId2" Type="http://schemas.openxmlformats.org/officeDocument/2006/relationships/pivotTable" Target="../pivotTables/pivotTable7.xml"/><Relationship Id="rId1" Type="http://schemas.openxmlformats.org/officeDocument/2006/relationships/pivotTable" Target="../pivotTables/pivotTable6.xml"/><Relationship Id="rId5" Type="http://schemas.microsoft.com/office/2011/relationships/timeline" Target="../timelines/timeline2.xml"/><Relationship Id="rId4" Type="http://schemas.openxmlformats.org/officeDocument/2006/relationships/drawing" Target="../drawings/drawing10.xml"/></Relationships>
</file>

<file path=xl/worksheets/_rels/sheet30.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1.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17.bin"/></Relationships>
</file>

<file path=xl/worksheets/_rels/sheet32.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33.xml.rels><?xml version="1.0" encoding="UTF-8" standalone="yes"?>
<Relationships xmlns="http://schemas.openxmlformats.org/package/2006/relationships"><Relationship Id="rId3" Type="http://schemas.openxmlformats.org/officeDocument/2006/relationships/printerSettings" Target="../printerSettings/printerSettings18.bin"/><Relationship Id="rId7" Type="http://schemas.openxmlformats.org/officeDocument/2006/relationships/comments" Target="../comments4.xml"/><Relationship Id="rId2" Type="http://schemas.openxmlformats.org/officeDocument/2006/relationships/pivotTable" Target="../pivotTables/pivotTable9.xml"/><Relationship Id="rId1" Type="http://schemas.openxmlformats.org/officeDocument/2006/relationships/pivotTable" Target="../pivotTables/pivotTable8.xml"/><Relationship Id="rId6" Type="http://schemas.microsoft.com/office/2007/relationships/slicer" Target="../slicers/slicer3.xml"/><Relationship Id="rId5" Type="http://schemas.openxmlformats.org/officeDocument/2006/relationships/vmlDrawing" Target="../drawings/vmlDrawing4.vml"/><Relationship Id="rId4" Type="http://schemas.openxmlformats.org/officeDocument/2006/relationships/drawing" Target="../drawings/drawing11.xml"/></Relationships>
</file>

<file path=xl/worksheets/_rels/sheet34.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9.bin"/><Relationship Id="rId1" Type="http://schemas.openxmlformats.org/officeDocument/2006/relationships/pivotTable" Target="../pivotTables/pivotTable10.xml"/><Relationship Id="rId4" Type="http://schemas.microsoft.com/office/2011/relationships/timeline" Target="../timelines/timeline3.xm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13.xml"/></Relationships>
</file>

<file path=xl/worksheets/_rels/sheet38.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table" Target="../tables/table15.xml"/><Relationship Id="rId1" Type="http://schemas.openxmlformats.org/officeDocument/2006/relationships/printerSettings" Target="../printerSettings/printerSettings21.bin"/><Relationship Id="rId5" Type="http://schemas.openxmlformats.org/officeDocument/2006/relationships/table" Target="../tables/table18.xml"/><Relationship Id="rId4" Type="http://schemas.openxmlformats.org/officeDocument/2006/relationships/table" Target="../tables/table17.xml"/></Relationships>
</file>

<file path=xl/worksheets/_rels/sheet39.xml.rels><?xml version="1.0" encoding="UTF-8" standalone="yes"?>
<Relationships xmlns="http://schemas.openxmlformats.org/package/2006/relationships"><Relationship Id="rId3" Type="http://schemas.openxmlformats.org/officeDocument/2006/relationships/table" Target="../tables/table20.xml"/><Relationship Id="rId2" Type="http://schemas.openxmlformats.org/officeDocument/2006/relationships/table" Target="../tables/table19.xml"/><Relationship Id="rId1" Type="http://schemas.openxmlformats.org/officeDocument/2006/relationships/printerSettings" Target="../printerSettings/printerSettings22.bin"/><Relationship Id="rId4" Type="http://schemas.openxmlformats.org/officeDocument/2006/relationships/table" Target="../tables/table21.xml"/></Relationships>
</file>

<file path=xl/worksheets/_rels/sheet40.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41.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23.bin"/><Relationship Id="rId1" Type="http://schemas.openxmlformats.org/officeDocument/2006/relationships/pivotTable" Target="../pivotTables/pivotTable11.xml"/><Relationship Id="rId5" Type="http://schemas.openxmlformats.org/officeDocument/2006/relationships/table" Target="../tables/table24.xml"/><Relationship Id="rId4" Type="http://schemas.openxmlformats.org/officeDocument/2006/relationships/table" Target="../tables/table2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B2:F27"/>
  <sheetViews>
    <sheetView workbookViewId="0">
      <selection activeCell="C8" sqref="C8"/>
    </sheetView>
  </sheetViews>
  <sheetFormatPr defaultColWidth="9.28515625" defaultRowHeight="21.75" x14ac:dyDescent="0.55000000000000004"/>
  <cols>
    <col min="1" max="1" width="9.28515625" style="23"/>
    <col min="2" max="2" width="15.5703125" style="115" bestFit="1" customWidth="1"/>
    <col min="3" max="3" width="26.28515625" style="23" customWidth="1"/>
    <col min="4" max="5" width="9.28515625" style="23"/>
    <col min="6" max="6" width="23.5703125" style="23" bestFit="1" customWidth="1"/>
    <col min="7" max="16384" width="9.28515625" style="23"/>
  </cols>
  <sheetData>
    <row r="2" spans="2:6" x14ac:dyDescent="0.55000000000000004">
      <c r="B2" s="113" t="s">
        <v>2064</v>
      </c>
      <c r="C2" s="113" t="s">
        <v>2065</v>
      </c>
      <c r="F2" s="113" t="s">
        <v>2103</v>
      </c>
    </row>
    <row r="3" spans="2:6" x14ac:dyDescent="0.55000000000000004">
      <c r="B3" s="114" t="s">
        <v>2084</v>
      </c>
      <c r="C3" s="15" t="s">
        <v>2078</v>
      </c>
      <c r="F3" s="24" t="s">
        <v>2104</v>
      </c>
    </row>
    <row r="4" spans="2:6" x14ac:dyDescent="0.55000000000000004">
      <c r="B4" s="114" t="s">
        <v>2085</v>
      </c>
      <c r="C4" s="15" t="s">
        <v>2079</v>
      </c>
      <c r="F4" s="24" t="s">
        <v>2105</v>
      </c>
    </row>
    <row r="5" spans="2:6" x14ac:dyDescent="0.55000000000000004">
      <c r="B5" s="114" t="s">
        <v>2086</v>
      </c>
      <c r="C5" s="15" t="s">
        <v>2076</v>
      </c>
      <c r="F5" s="24" t="s">
        <v>2106</v>
      </c>
    </row>
    <row r="6" spans="2:6" x14ac:dyDescent="0.55000000000000004">
      <c r="B6" s="114" t="s">
        <v>2087</v>
      </c>
      <c r="C6" s="15" t="s">
        <v>1420</v>
      </c>
      <c r="F6" s="24" t="s">
        <v>2107</v>
      </c>
    </row>
    <row r="7" spans="2:6" x14ac:dyDescent="0.55000000000000004">
      <c r="B7" s="114" t="s">
        <v>2088</v>
      </c>
      <c r="C7" s="15" t="s">
        <v>2067</v>
      </c>
      <c r="F7" s="24" t="s">
        <v>2108</v>
      </c>
    </row>
    <row r="8" spans="2:6" x14ac:dyDescent="0.55000000000000004">
      <c r="B8" s="114" t="s">
        <v>2089</v>
      </c>
      <c r="C8" s="15" t="s">
        <v>2080</v>
      </c>
      <c r="F8" s="24" t="s">
        <v>2109</v>
      </c>
    </row>
    <row r="9" spans="2:6" x14ac:dyDescent="0.55000000000000004">
      <c r="B9" s="114" t="s">
        <v>2090</v>
      </c>
      <c r="C9" s="15" t="s">
        <v>933</v>
      </c>
      <c r="F9" s="24" t="s">
        <v>2110</v>
      </c>
    </row>
    <row r="10" spans="2:6" x14ac:dyDescent="0.55000000000000004">
      <c r="B10" s="114" t="s">
        <v>2091</v>
      </c>
      <c r="C10" s="15" t="s">
        <v>2081</v>
      </c>
      <c r="F10" s="24" t="s">
        <v>878</v>
      </c>
    </row>
    <row r="11" spans="2:6" x14ac:dyDescent="0.55000000000000004">
      <c r="B11" s="114" t="s">
        <v>2092</v>
      </c>
      <c r="C11" s="15" t="s">
        <v>2072</v>
      </c>
      <c r="F11" s="24" t="s">
        <v>2111</v>
      </c>
    </row>
    <row r="12" spans="2:6" x14ac:dyDescent="0.55000000000000004">
      <c r="B12" s="114" t="s">
        <v>2093</v>
      </c>
      <c r="C12" s="15" t="s">
        <v>2071</v>
      </c>
    </row>
    <row r="13" spans="2:6" x14ac:dyDescent="0.55000000000000004">
      <c r="B13" s="114" t="s">
        <v>2094</v>
      </c>
      <c r="C13" s="15" t="s">
        <v>2082</v>
      </c>
    </row>
    <row r="14" spans="2:6" x14ac:dyDescent="0.55000000000000004">
      <c r="B14" s="114" t="s">
        <v>2095</v>
      </c>
      <c r="C14" s="15" t="s">
        <v>2074</v>
      </c>
    </row>
    <row r="15" spans="2:6" x14ac:dyDescent="0.55000000000000004">
      <c r="B15" s="114" t="s">
        <v>2096</v>
      </c>
      <c r="C15" s="15" t="s">
        <v>2069</v>
      </c>
    </row>
    <row r="16" spans="2:6" x14ac:dyDescent="0.55000000000000004">
      <c r="B16" s="114" t="s">
        <v>2097</v>
      </c>
      <c r="C16" s="15" t="s">
        <v>2073</v>
      </c>
    </row>
    <row r="17" spans="2:3" x14ac:dyDescent="0.55000000000000004">
      <c r="B17" s="114" t="s">
        <v>2098</v>
      </c>
      <c r="C17" s="15" t="s">
        <v>2068</v>
      </c>
    </row>
    <row r="18" spans="2:3" x14ac:dyDescent="0.55000000000000004">
      <c r="B18" s="114" t="s">
        <v>2099</v>
      </c>
      <c r="C18" s="15" t="s">
        <v>2077</v>
      </c>
    </row>
    <row r="19" spans="2:3" x14ac:dyDescent="0.55000000000000004">
      <c r="B19" s="114" t="s">
        <v>2100</v>
      </c>
      <c r="C19" s="15" t="s">
        <v>2083</v>
      </c>
    </row>
    <row r="20" spans="2:3" x14ac:dyDescent="0.55000000000000004">
      <c r="B20" s="114" t="s">
        <v>2101</v>
      </c>
      <c r="C20" s="15" t="s">
        <v>2070</v>
      </c>
    </row>
    <row r="21" spans="2:3" x14ac:dyDescent="0.55000000000000004">
      <c r="B21" s="114" t="s">
        <v>2102</v>
      </c>
      <c r="C21" s="15" t="s">
        <v>2075</v>
      </c>
    </row>
    <row r="22" spans="2:3" x14ac:dyDescent="0.55000000000000004">
      <c r="B22" s="208" t="s">
        <v>2270</v>
      </c>
      <c r="C22" s="40" t="s">
        <v>2271</v>
      </c>
    </row>
    <row r="23" spans="2:3" x14ac:dyDescent="0.55000000000000004">
      <c r="B23" s="374" t="s">
        <v>2461</v>
      </c>
      <c r="C23" s="40" t="s">
        <v>2462</v>
      </c>
    </row>
    <row r="24" spans="2:3" x14ac:dyDescent="0.55000000000000004">
      <c r="B24" s="494" t="s">
        <v>2924</v>
      </c>
      <c r="C24" s="40" t="s">
        <v>2925</v>
      </c>
    </row>
    <row r="25" spans="2:3" x14ac:dyDescent="0.55000000000000004">
      <c r="B25" s="496" t="s">
        <v>2960</v>
      </c>
      <c r="C25" s="40" t="s">
        <v>2980</v>
      </c>
    </row>
    <row r="26" spans="2:3" x14ac:dyDescent="0.55000000000000004">
      <c r="B26" s="496" t="s">
        <v>2961</v>
      </c>
      <c r="C26" s="40" t="s">
        <v>1372</v>
      </c>
    </row>
    <row r="27" spans="2:3" x14ac:dyDescent="0.55000000000000004">
      <c r="B27" s="504" t="s">
        <v>2962</v>
      </c>
      <c r="C27" s="40" t="s">
        <v>2963</v>
      </c>
    </row>
  </sheetData>
  <autoFilter ref="B2:C2">
    <sortState ref="B3:C22">
      <sortCondition ref="C2"/>
    </sortState>
  </autoFilter>
  <phoneticPr fontId="45"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C2:R18"/>
  <sheetViews>
    <sheetView showGridLines="0" showRowColHeaders="0" zoomScaleNormal="100" workbookViewId="0"/>
  </sheetViews>
  <sheetFormatPr defaultColWidth="9.28515625" defaultRowHeight="21.75" x14ac:dyDescent="0.55000000000000004"/>
  <cols>
    <col min="1" max="16384" width="9.28515625" style="23"/>
  </cols>
  <sheetData>
    <row r="2" spans="3:18" ht="26.25" x14ac:dyDescent="0.65">
      <c r="C2" s="1277" t="s">
        <v>2299</v>
      </c>
      <c r="D2" s="1278"/>
      <c r="E2" s="1278"/>
      <c r="F2" s="1278"/>
      <c r="G2" s="1278"/>
      <c r="H2" s="1278"/>
      <c r="I2" s="1278"/>
      <c r="J2" s="1278"/>
      <c r="K2" s="1278"/>
      <c r="L2" s="1278"/>
      <c r="M2" s="1278"/>
      <c r="N2" s="1278"/>
      <c r="O2" s="1278"/>
      <c r="P2" s="1278"/>
      <c r="Q2" s="1278"/>
      <c r="R2" s="1278"/>
    </row>
    <row r="3" spans="3:18" ht="22.5" thickBot="1" x14ac:dyDescent="0.6"/>
    <row r="4" spans="3:18" ht="22.5" thickTop="1" x14ac:dyDescent="0.55000000000000004">
      <c r="C4" s="214"/>
      <c r="D4" s="215"/>
      <c r="E4" s="215"/>
      <c r="F4" s="215"/>
      <c r="G4" s="215"/>
      <c r="H4" s="215"/>
      <c r="I4" s="215"/>
      <c r="J4" s="215"/>
      <c r="K4" s="215"/>
      <c r="L4" s="215"/>
      <c r="M4" s="215"/>
      <c r="N4" s="215"/>
      <c r="O4" s="215"/>
      <c r="P4" s="215"/>
      <c r="Q4" s="215"/>
      <c r="R4" s="216"/>
    </row>
    <row r="5" spans="3:18" x14ac:dyDescent="0.55000000000000004">
      <c r="C5" s="217"/>
      <c r="D5" s="218"/>
      <c r="E5" s="218"/>
      <c r="F5" s="218"/>
      <c r="G5" s="218"/>
      <c r="H5" s="218"/>
      <c r="I5" s="218"/>
      <c r="J5" s="218"/>
      <c r="K5" s="218"/>
      <c r="L5" s="218"/>
      <c r="M5" s="218"/>
      <c r="N5" s="218"/>
      <c r="O5" s="218"/>
      <c r="P5" s="218"/>
      <c r="Q5" s="218"/>
      <c r="R5" s="219"/>
    </row>
    <row r="6" spans="3:18" x14ac:dyDescent="0.55000000000000004">
      <c r="C6" s="217"/>
      <c r="D6" s="218"/>
      <c r="E6" s="218"/>
      <c r="F6" s="218"/>
      <c r="G6" s="218"/>
      <c r="H6" s="218"/>
      <c r="I6" s="218"/>
      <c r="J6" s="218"/>
      <c r="K6" s="218"/>
      <c r="L6" s="218"/>
      <c r="M6" s="218"/>
      <c r="N6" s="218"/>
      <c r="O6" s="218"/>
      <c r="P6" s="218"/>
      <c r="Q6" s="218"/>
      <c r="R6" s="219"/>
    </row>
    <row r="7" spans="3:18" x14ac:dyDescent="0.55000000000000004">
      <c r="C7" s="217"/>
      <c r="D7" s="218"/>
      <c r="E7" s="218"/>
      <c r="F7" s="218"/>
      <c r="G7" s="218"/>
      <c r="H7" s="218"/>
      <c r="I7" s="218"/>
      <c r="J7" s="218"/>
      <c r="K7" s="218"/>
      <c r="L7" s="218"/>
      <c r="M7" s="218"/>
      <c r="N7" s="218"/>
      <c r="O7" s="218"/>
      <c r="P7" s="218"/>
      <c r="Q7" s="218"/>
      <c r="R7" s="219"/>
    </row>
    <row r="8" spans="3:18" x14ac:dyDescent="0.55000000000000004">
      <c r="C8" s="217"/>
      <c r="D8" s="218"/>
      <c r="E8" s="218"/>
      <c r="F8" s="218"/>
      <c r="G8" s="218"/>
      <c r="H8" s="218"/>
      <c r="I8" s="218"/>
      <c r="J8" s="218"/>
      <c r="K8" s="218"/>
      <c r="L8" s="218"/>
      <c r="M8" s="218"/>
      <c r="N8" s="218"/>
      <c r="O8" s="218"/>
      <c r="P8" s="218"/>
      <c r="Q8" s="218"/>
      <c r="R8" s="219"/>
    </row>
    <row r="9" spans="3:18" x14ac:dyDescent="0.55000000000000004">
      <c r="C9" s="217"/>
      <c r="D9" s="218"/>
      <c r="E9" s="218"/>
      <c r="F9" s="218"/>
      <c r="G9" s="218"/>
      <c r="H9" s="218"/>
      <c r="I9" s="218"/>
      <c r="J9" s="218"/>
      <c r="K9" s="218"/>
      <c r="L9" s="218"/>
      <c r="M9" s="218"/>
      <c r="N9" s="218"/>
      <c r="O9" s="218"/>
      <c r="P9" s="218"/>
      <c r="Q9" s="218"/>
      <c r="R9" s="219"/>
    </row>
    <row r="10" spans="3:18" x14ac:dyDescent="0.55000000000000004">
      <c r="C10" s="217"/>
      <c r="D10" s="218"/>
      <c r="E10" s="218"/>
      <c r="F10" s="218"/>
      <c r="G10" s="218"/>
      <c r="H10" s="218"/>
      <c r="I10" s="218"/>
      <c r="J10" s="218"/>
      <c r="K10" s="218"/>
      <c r="L10" s="218"/>
      <c r="M10" s="218"/>
      <c r="N10" s="218"/>
      <c r="O10" s="218"/>
      <c r="P10" s="218"/>
      <c r="Q10" s="218"/>
      <c r="R10" s="219"/>
    </row>
    <row r="11" spans="3:18" x14ac:dyDescent="0.55000000000000004">
      <c r="C11" s="217"/>
      <c r="D11" s="218"/>
      <c r="E11" s="218"/>
      <c r="F11" s="218"/>
      <c r="G11" s="218"/>
      <c r="H11" s="218"/>
      <c r="I11" s="218"/>
      <c r="J11" s="218"/>
      <c r="K11" s="218"/>
      <c r="L11" s="218"/>
      <c r="M11" s="218"/>
      <c r="N11" s="218"/>
      <c r="O11" s="218"/>
      <c r="P11" s="218"/>
      <c r="Q11" s="218"/>
      <c r="R11" s="219"/>
    </row>
    <row r="12" spans="3:18" x14ac:dyDescent="0.55000000000000004">
      <c r="C12" s="217"/>
      <c r="D12" s="218"/>
      <c r="E12" s="218"/>
      <c r="F12" s="218"/>
      <c r="G12" s="218"/>
      <c r="H12" s="218"/>
      <c r="I12" s="218"/>
      <c r="J12" s="218"/>
      <c r="K12" s="218"/>
      <c r="L12" s="218"/>
      <c r="M12" s="218"/>
      <c r="N12" s="218"/>
      <c r="O12" s="218"/>
      <c r="P12" s="218"/>
      <c r="Q12" s="218"/>
      <c r="R12" s="219"/>
    </row>
    <row r="13" spans="3:18" x14ac:dyDescent="0.55000000000000004">
      <c r="C13" s="217"/>
      <c r="D13" s="218"/>
      <c r="E13" s="218"/>
      <c r="F13" s="218"/>
      <c r="G13" s="218"/>
      <c r="H13" s="218"/>
      <c r="I13" s="218"/>
      <c r="J13" s="218"/>
      <c r="K13" s="218"/>
      <c r="L13" s="218"/>
      <c r="M13" s="218"/>
      <c r="N13" s="218"/>
      <c r="O13" s="218"/>
      <c r="P13" s="218"/>
      <c r="Q13" s="218"/>
      <c r="R13" s="219"/>
    </row>
    <row r="14" spans="3:18" x14ac:dyDescent="0.55000000000000004">
      <c r="C14" s="217"/>
      <c r="D14" s="218"/>
      <c r="E14" s="218"/>
      <c r="F14" s="218"/>
      <c r="G14" s="218"/>
      <c r="H14" s="218"/>
      <c r="I14" s="218"/>
      <c r="J14" s="218"/>
      <c r="K14" s="218"/>
      <c r="L14" s="218"/>
      <c r="M14" s="218"/>
      <c r="N14" s="218"/>
      <c r="O14" s="218"/>
      <c r="P14" s="218"/>
      <c r="Q14" s="218"/>
      <c r="R14" s="219"/>
    </row>
    <row r="15" spans="3:18" x14ac:dyDescent="0.55000000000000004">
      <c r="C15" s="217"/>
      <c r="D15" s="218"/>
      <c r="E15" s="218"/>
      <c r="F15" s="218"/>
      <c r="G15" s="218"/>
      <c r="H15" s="218"/>
      <c r="I15" s="218"/>
      <c r="J15" s="218"/>
      <c r="K15" s="218"/>
      <c r="L15" s="218"/>
      <c r="M15" s="218"/>
      <c r="N15" s="218"/>
      <c r="O15" s="218"/>
      <c r="P15" s="218"/>
      <c r="Q15" s="218"/>
      <c r="R15" s="219"/>
    </row>
    <row r="16" spans="3:18" x14ac:dyDescent="0.55000000000000004">
      <c r="C16" s="217"/>
      <c r="D16" s="218"/>
      <c r="E16" s="218"/>
      <c r="F16" s="218"/>
      <c r="G16" s="218"/>
      <c r="H16" s="218"/>
      <c r="I16" s="218"/>
      <c r="J16" s="218"/>
      <c r="K16" s="218"/>
      <c r="L16" s="218"/>
      <c r="M16" s="218"/>
      <c r="N16" s="218"/>
      <c r="O16" s="218"/>
      <c r="P16" s="218"/>
      <c r="Q16" s="218"/>
      <c r="R16" s="219"/>
    </row>
    <row r="17" spans="3:18" ht="22.5" thickBot="1" x14ac:dyDescent="0.6">
      <c r="C17" s="220"/>
      <c r="D17" s="221"/>
      <c r="E17" s="221"/>
      <c r="F17" s="221"/>
      <c r="G17" s="221"/>
      <c r="H17" s="221"/>
      <c r="I17" s="221"/>
      <c r="J17" s="221"/>
      <c r="K17" s="221"/>
      <c r="L17" s="221"/>
      <c r="M17" s="221"/>
      <c r="N17" s="221"/>
      <c r="O17" s="221"/>
      <c r="P17" s="221"/>
      <c r="Q17" s="221"/>
      <c r="R17" s="222"/>
    </row>
    <row r="18" spans="3:18" ht="22.5" thickTop="1" x14ac:dyDescent="0.55000000000000004"/>
  </sheetData>
  <mergeCells count="1">
    <mergeCell ref="C2:R2"/>
  </mergeCells>
  <pageMargins left="0.7" right="0.7" top="0.75" bottom="0.75" header="0.3" footer="0.3"/>
  <pageSetup paperSize="9"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FF0000"/>
  </sheetPr>
  <dimension ref="A1:V106"/>
  <sheetViews>
    <sheetView topLeftCell="A14" workbookViewId="0">
      <selection activeCell="F10" sqref="F10"/>
    </sheetView>
  </sheetViews>
  <sheetFormatPr defaultRowHeight="15" x14ac:dyDescent="0.25"/>
  <cols>
    <col min="1" max="1" width="12.28515625" customWidth="1"/>
    <col min="2" max="2" width="9" bestFit="1" customWidth="1"/>
    <col min="3" max="3" width="10.42578125" bestFit="1" customWidth="1"/>
    <col min="4" max="4" width="13.28515625" bestFit="1" customWidth="1"/>
    <col min="5" max="5" width="51.42578125" customWidth="1"/>
    <col min="6" max="6" width="5.7109375" customWidth="1"/>
    <col min="7" max="7" width="13.7109375" customWidth="1"/>
    <col min="8" max="8" width="13.42578125" bestFit="1" customWidth="1"/>
    <col min="9" max="9" width="14.7109375" customWidth="1"/>
    <col min="10" max="12" width="13.5703125" customWidth="1"/>
    <col min="13" max="13" width="13.42578125" customWidth="1"/>
    <col min="14" max="14" width="12" bestFit="1" customWidth="1"/>
    <col min="15" max="15" width="10.42578125" customWidth="1"/>
    <col min="16" max="16" width="12.28515625" bestFit="1" customWidth="1"/>
  </cols>
  <sheetData>
    <row r="1" spans="1:22" s="20" customFormat="1" ht="26.25" hidden="1" x14ac:dyDescent="0.65">
      <c r="A1" s="1283" t="s">
        <v>1095</v>
      </c>
      <c r="B1" s="1283"/>
      <c r="C1" s="1283"/>
      <c r="D1" s="1283"/>
      <c r="E1" s="1283"/>
      <c r="F1" s="1283"/>
      <c r="G1" s="1283"/>
      <c r="H1" s="1283"/>
      <c r="I1" s="1283"/>
      <c r="J1" s="1283"/>
      <c r="K1" s="1283"/>
      <c r="L1" s="1283"/>
      <c r="M1" s="1283"/>
      <c r="N1" s="1283"/>
      <c r="O1" s="1283"/>
      <c r="P1" s="1283"/>
    </row>
    <row r="2" spans="1:22" ht="30" hidden="1" customHeight="1" x14ac:dyDescent="0.55000000000000004">
      <c r="A2" s="21" t="s">
        <v>9</v>
      </c>
      <c r="B2" s="21" t="s">
        <v>926</v>
      </c>
      <c r="C2" s="21" t="s">
        <v>12</v>
      </c>
      <c r="D2" s="21" t="s">
        <v>3</v>
      </c>
      <c r="E2" s="21" t="s">
        <v>13</v>
      </c>
      <c r="F2" s="21" t="s">
        <v>917</v>
      </c>
      <c r="G2" s="21" t="s">
        <v>1059</v>
      </c>
      <c r="H2" s="21" t="s">
        <v>925</v>
      </c>
      <c r="I2" s="21" t="s">
        <v>1079</v>
      </c>
      <c r="J2" s="21" t="s">
        <v>925</v>
      </c>
      <c r="K2" s="21" t="s">
        <v>1080</v>
      </c>
      <c r="L2" s="21" t="s">
        <v>925</v>
      </c>
      <c r="M2" s="21" t="s">
        <v>919</v>
      </c>
      <c r="N2" s="35" t="s">
        <v>927</v>
      </c>
      <c r="O2" s="41" t="s">
        <v>975</v>
      </c>
      <c r="P2" s="21" t="s">
        <v>928</v>
      </c>
      <c r="R2" s="19"/>
      <c r="S2" s="19"/>
      <c r="T2" s="19"/>
      <c r="U2" s="19"/>
      <c r="V2" s="19"/>
    </row>
    <row r="3" spans="1:22" ht="22.5" hidden="1" x14ac:dyDescent="0.55000000000000004">
      <c r="A3" s="24">
        <v>1</v>
      </c>
      <c r="B3" s="60"/>
      <c r="C3" s="61"/>
      <c r="D3" s="32"/>
      <c r="E3" s="2"/>
      <c r="F3" s="59"/>
      <c r="G3" s="14"/>
      <c r="H3" s="57">
        <f t="shared" ref="H3:H11" si="0">G3*F3</f>
        <v>0</v>
      </c>
      <c r="I3" s="14"/>
      <c r="J3" s="31">
        <f t="shared" ref="J3:J11" si="1">I3*F3</f>
        <v>0</v>
      </c>
      <c r="K3" s="31"/>
      <c r="L3" s="31">
        <f>K3*F3</f>
        <v>0</v>
      </c>
      <c r="M3" s="31">
        <f>H3-J3</f>
        <v>0</v>
      </c>
      <c r="N3" s="37"/>
      <c r="O3" s="39"/>
      <c r="P3" s="31">
        <f>M3+N3+O3</f>
        <v>0</v>
      </c>
      <c r="Q3" s="19"/>
      <c r="R3" s="19"/>
      <c r="S3" s="19"/>
      <c r="T3" s="19"/>
    </row>
    <row r="4" spans="1:22" ht="22.5" hidden="1" x14ac:dyDescent="0.55000000000000004">
      <c r="A4" s="24">
        <v>2</v>
      </c>
      <c r="B4" s="60"/>
      <c r="C4" s="61"/>
      <c r="D4" s="6"/>
      <c r="E4" s="2"/>
      <c r="F4" s="59"/>
      <c r="G4" s="14"/>
      <c r="H4" s="57">
        <f t="shared" si="0"/>
        <v>0</v>
      </c>
      <c r="I4" s="14"/>
      <c r="J4" s="31">
        <f t="shared" si="1"/>
        <v>0</v>
      </c>
      <c r="K4" s="31"/>
      <c r="L4" s="31">
        <f>K4*F4</f>
        <v>0</v>
      </c>
      <c r="M4" s="31">
        <f t="shared" ref="M4:M11" si="2">H4-J4</f>
        <v>0</v>
      </c>
      <c r="N4" s="37"/>
      <c r="O4" s="39"/>
      <c r="P4" s="31">
        <f t="shared" ref="P4:P11" si="3">M4+N4+O4</f>
        <v>0</v>
      </c>
      <c r="Q4" s="19"/>
      <c r="R4" s="19"/>
      <c r="S4" s="19"/>
      <c r="T4" s="19"/>
    </row>
    <row r="5" spans="1:22" ht="22.5" hidden="1" x14ac:dyDescent="0.55000000000000004">
      <c r="A5" s="24">
        <v>3</v>
      </c>
      <c r="B5" s="60"/>
      <c r="C5" s="28"/>
      <c r="D5" s="6"/>
      <c r="E5" s="2"/>
      <c r="F5" s="59"/>
      <c r="G5" s="14"/>
      <c r="H5" s="57">
        <f t="shared" si="0"/>
        <v>0</v>
      </c>
      <c r="I5" s="14"/>
      <c r="J5" s="31">
        <f t="shared" si="1"/>
        <v>0</v>
      </c>
      <c r="K5" s="31"/>
      <c r="L5" s="31">
        <f t="shared" ref="L5:L11" si="4">K5*F5</f>
        <v>0</v>
      </c>
      <c r="M5" s="31">
        <f t="shared" si="2"/>
        <v>0</v>
      </c>
      <c r="N5" s="37"/>
      <c r="O5" s="39"/>
      <c r="P5" s="31">
        <f t="shared" si="3"/>
        <v>0</v>
      </c>
      <c r="Q5" s="19"/>
      <c r="R5" s="19"/>
      <c r="S5" s="19"/>
      <c r="T5" s="19"/>
    </row>
    <row r="6" spans="1:22" ht="22.5" hidden="1" x14ac:dyDescent="0.55000000000000004">
      <c r="A6" s="24">
        <v>4</v>
      </c>
      <c r="B6" s="60"/>
      <c r="C6" s="28"/>
      <c r="D6" s="6"/>
      <c r="E6" s="2"/>
      <c r="F6" s="59"/>
      <c r="G6" s="14"/>
      <c r="H6" s="31">
        <f t="shared" si="0"/>
        <v>0</v>
      </c>
      <c r="I6" s="14"/>
      <c r="J6" s="31">
        <f t="shared" si="1"/>
        <v>0</v>
      </c>
      <c r="K6" s="31"/>
      <c r="L6" s="31">
        <f t="shared" si="4"/>
        <v>0</v>
      </c>
      <c r="M6" s="31">
        <f t="shared" si="2"/>
        <v>0</v>
      </c>
      <c r="N6" s="37"/>
      <c r="O6" s="39"/>
      <c r="P6" s="31">
        <f t="shared" si="3"/>
        <v>0</v>
      </c>
      <c r="Q6" s="19"/>
      <c r="R6" s="19"/>
      <c r="S6" s="19"/>
      <c r="T6" s="19"/>
    </row>
    <row r="7" spans="1:22" ht="22.5" hidden="1" x14ac:dyDescent="0.55000000000000004">
      <c r="A7" s="24">
        <v>5</v>
      </c>
      <c r="B7" s="60"/>
      <c r="C7" s="47"/>
      <c r="D7" s="6"/>
      <c r="E7" s="2"/>
      <c r="F7" s="59"/>
      <c r="G7" s="42"/>
      <c r="H7" s="31">
        <f t="shared" si="0"/>
        <v>0</v>
      </c>
      <c r="I7" s="9"/>
      <c r="J7" s="31">
        <f t="shared" si="1"/>
        <v>0</v>
      </c>
      <c r="K7" s="31"/>
      <c r="L7" s="31">
        <f t="shared" si="4"/>
        <v>0</v>
      </c>
      <c r="M7" s="31">
        <f t="shared" si="2"/>
        <v>0</v>
      </c>
      <c r="N7" s="37"/>
      <c r="O7" s="39"/>
      <c r="P7" s="31">
        <f t="shared" si="3"/>
        <v>0</v>
      </c>
      <c r="Q7" s="19"/>
      <c r="R7" s="19"/>
      <c r="S7" s="19"/>
      <c r="T7" s="19"/>
    </row>
    <row r="8" spans="1:22" ht="22.5" hidden="1" x14ac:dyDescent="0.55000000000000004">
      <c r="A8" s="24">
        <v>6</v>
      </c>
      <c r="B8" s="60"/>
      <c r="C8" s="47"/>
      <c r="D8" s="6"/>
      <c r="E8" s="2"/>
      <c r="F8" s="59"/>
      <c r="G8" s="42"/>
      <c r="H8" s="31">
        <f t="shared" si="0"/>
        <v>0</v>
      </c>
      <c r="I8" s="14"/>
      <c r="J8" s="31">
        <f t="shared" si="1"/>
        <v>0</v>
      </c>
      <c r="K8" s="31"/>
      <c r="L8" s="31">
        <f t="shared" si="4"/>
        <v>0</v>
      </c>
      <c r="M8" s="31">
        <f t="shared" si="2"/>
        <v>0</v>
      </c>
      <c r="N8" s="37"/>
      <c r="O8" s="39"/>
      <c r="P8" s="31">
        <f t="shared" si="3"/>
        <v>0</v>
      </c>
      <c r="Q8" s="19"/>
      <c r="R8" s="19"/>
      <c r="S8" s="19"/>
      <c r="T8" s="19"/>
    </row>
    <row r="9" spans="1:22" ht="22.5" hidden="1" x14ac:dyDescent="0.55000000000000004">
      <c r="A9" s="24">
        <v>7</v>
      </c>
      <c r="B9" s="60"/>
      <c r="C9" s="47"/>
      <c r="D9" s="3"/>
      <c r="E9" s="4"/>
      <c r="F9" s="59"/>
      <c r="G9" s="14"/>
      <c r="H9" s="31">
        <f t="shared" si="0"/>
        <v>0</v>
      </c>
      <c r="I9" s="14"/>
      <c r="J9" s="31">
        <f t="shared" si="1"/>
        <v>0</v>
      </c>
      <c r="K9" s="31"/>
      <c r="L9" s="31">
        <f t="shared" si="4"/>
        <v>0</v>
      </c>
      <c r="M9" s="31">
        <f t="shared" si="2"/>
        <v>0</v>
      </c>
      <c r="N9" s="37"/>
      <c r="O9" s="39"/>
      <c r="P9" s="31">
        <f t="shared" si="3"/>
        <v>0</v>
      </c>
      <c r="Q9" s="19"/>
      <c r="R9" s="19"/>
      <c r="S9" s="19"/>
      <c r="T9" s="19"/>
    </row>
    <row r="10" spans="1:22" ht="22.5" hidden="1" x14ac:dyDescent="0.55000000000000004">
      <c r="A10" s="24"/>
      <c r="B10" s="33"/>
      <c r="C10" s="28"/>
      <c r="D10" s="3"/>
      <c r="E10" s="4"/>
      <c r="F10" s="29"/>
      <c r="G10" s="14"/>
      <c r="H10" s="31">
        <f t="shared" si="0"/>
        <v>0</v>
      </c>
      <c r="I10" s="14"/>
      <c r="J10" s="31">
        <f t="shared" si="1"/>
        <v>0</v>
      </c>
      <c r="K10" s="31"/>
      <c r="L10" s="31">
        <f t="shared" si="4"/>
        <v>0</v>
      </c>
      <c r="M10" s="31">
        <f t="shared" si="2"/>
        <v>0</v>
      </c>
      <c r="N10" s="37"/>
      <c r="O10" s="39"/>
      <c r="P10" s="31">
        <f t="shared" si="3"/>
        <v>0</v>
      </c>
      <c r="Q10" s="19"/>
      <c r="R10" s="19"/>
      <c r="S10" s="19"/>
      <c r="T10" s="19"/>
    </row>
    <row r="11" spans="1:22" ht="22.5" hidden="1" x14ac:dyDescent="0.55000000000000004">
      <c r="A11" s="24"/>
      <c r="B11" s="33"/>
      <c r="C11" s="28"/>
      <c r="D11" s="3"/>
      <c r="E11" s="4"/>
      <c r="F11" s="29"/>
      <c r="G11" s="14"/>
      <c r="H11" s="31">
        <f t="shared" si="0"/>
        <v>0</v>
      </c>
      <c r="I11" s="14"/>
      <c r="J11" s="31">
        <f t="shared" si="1"/>
        <v>0</v>
      </c>
      <c r="K11" s="31"/>
      <c r="L11" s="31">
        <f t="shared" si="4"/>
        <v>0</v>
      </c>
      <c r="M11" s="31">
        <f t="shared" si="2"/>
        <v>0</v>
      </c>
      <c r="N11" s="37"/>
      <c r="O11" s="39"/>
      <c r="P11" s="31">
        <f t="shared" si="3"/>
        <v>0</v>
      </c>
      <c r="Q11" s="19"/>
      <c r="R11" s="19"/>
      <c r="S11" s="19"/>
      <c r="T11" s="19"/>
    </row>
    <row r="12" spans="1:22" ht="22.5" hidden="1" x14ac:dyDescent="0.55000000000000004">
      <c r="A12" s="10"/>
      <c r="B12" s="10"/>
      <c r="C12" s="10"/>
      <c r="D12" s="10"/>
      <c r="E12" s="10"/>
      <c r="F12" s="58">
        <f>SUM(F3:F11)</f>
        <v>0</v>
      </c>
      <c r="G12" s="10"/>
      <c r="H12" s="30">
        <f>SUM(H3:H11)</f>
        <v>0</v>
      </c>
      <c r="I12" s="10"/>
      <c r="J12" s="30">
        <f>SUM(J3:J11)</f>
        <v>0</v>
      </c>
      <c r="K12" s="30"/>
      <c r="L12" s="30">
        <f>SUM(L3:L11)</f>
        <v>0</v>
      </c>
      <c r="M12" s="25">
        <f>SUM(M3:M11)</f>
        <v>0</v>
      </c>
      <c r="N12" s="36">
        <f>SUM(N3:N11)</f>
        <v>0</v>
      </c>
      <c r="O12" s="36">
        <f>SUM(O3:O7)</f>
        <v>0</v>
      </c>
      <c r="P12" s="38">
        <f>SUM(P3:P7)</f>
        <v>0</v>
      </c>
      <c r="Q12" s="19"/>
      <c r="R12" s="19"/>
      <c r="S12" s="19"/>
      <c r="T12" s="19"/>
    </row>
    <row r="13" spans="1:22" ht="22.5" hidden="1" x14ac:dyDescent="0.55000000000000004">
      <c r="A13" s="10"/>
      <c r="B13" s="10"/>
      <c r="C13" s="10"/>
      <c r="D13" s="10"/>
      <c r="E13" s="10"/>
      <c r="F13" s="22"/>
      <c r="G13" s="10"/>
      <c r="H13" s="10"/>
      <c r="I13" s="10"/>
      <c r="J13" s="10"/>
      <c r="K13" s="10"/>
      <c r="L13" s="10"/>
      <c r="M13" s="10"/>
      <c r="N13" s="8"/>
      <c r="O13" s="8"/>
      <c r="P13" s="10"/>
      <c r="Q13" s="19"/>
      <c r="R13" s="19"/>
      <c r="S13" s="19"/>
      <c r="T13" s="19"/>
    </row>
    <row r="14" spans="1:22" ht="21.75" x14ac:dyDescent="0.55000000000000004">
      <c r="A14" s="1281" t="s">
        <v>1275</v>
      </c>
      <c r="B14" s="1281"/>
      <c r="C14" s="1281"/>
      <c r="D14" s="1281"/>
      <c r="E14" s="1281"/>
      <c r="F14" s="1281"/>
      <c r="G14" s="1281"/>
      <c r="H14" s="1281"/>
      <c r="I14" s="1281"/>
      <c r="J14" s="1281"/>
      <c r="K14" s="1281"/>
      <c r="L14" s="1281"/>
      <c r="M14" s="1281"/>
    </row>
    <row r="15" spans="1:22" ht="21.75" x14ac:dyDescent="0.55000000000000004">
      <c r="A15" s="21" t="s">
        <v>9</v>
      </c>
      <c r="B15" s="21" t="s">
        <v>926</v>
      </c>
      <c r="C15" s="21" t="s">
        <v>12</v>
      </c>
      <c r="D15" s="21" t="s">
        <v>3</v>
      </c>
      <c r="E15" s="21" t="s">
        <v>13</v>
      </c>
      <c r="F15" s="21" t="s">
        <v>917</v>
      </c>
      <c r="G15" s="21" t="s">
        <v>924</v>
      </c>
      <c r="H15" s="21" t="s">
        <v>925</v>
      </c>
      <c r="I15" s="21" t="s">
        <v>918</v>
      </c>
      <c r="J15" s="21" t="s">
        <v>925</v>
      </c>
      <c r="K15" s="21" t="s">
        <v>919</v>
      </c>
      <c r="L15" s="35"/>
      <c r="M15" s="35"/>
    </row>
    <row r="16" spans="1:22" ht="21.75" x14ac:dyDescent="0.45">
      <c r="A16" s="24"/>
      <c r="B16" s="60"/>
      <c r="C16" s="61"/>
      <c r="D16" s="3"/>
      <c r="E16" s="12"/>
      <c r="F16" s="29"/>
      <c r="G16" s="14"/>
      <c r="H16" s="36">
        <f>F16*G16</f>
        <v>0</v>
      </c>
      <c r="I16" s="14"/>
      <c r="J16" s="25">
        <f>F16*I16</f>
        <v>0</v>
      </c>
      <c r="K16" s="31">
        <f>H16-J16</f>
        <v>0</v>
      </c>
      <c r="L16" s="36"/>
      <c r="M16" s="36"/>
    </row>
    <row r="17" spans="1:17" ht="26.25" x14ac:dyDescent="0.65">
      <c r="A17" s="24"/>
      <c r="B17" s="60"/>
      <c r="C17" s="28"/>
      <c r="D17" s="3"/>
      <c r="E17" s="12"/>
      <c r="F17" s="29"/>
      <c r="G17" s="14"/>
      <c r="H17" s="36">
        <f>F17*G17</f>
        <v>0</v>
      </c>
      <c r="I17" s="14"/>
      <c r="J17" s="25">
        <f>F17*I17</f>
        <v>0</v>
      </c>
      <c r="K17" s="31">
        <f>H17-J17</f>
        <v>0</v>
      </c>
      <c r="L17" s="36"/>
      <c r="M17" s="36"/>
      <c r="N17" s="66"/>
      <c r="O17" s="66"/>
      <c r="P17" s="66"/>
    </row>
    <row r="18" spans="1:17" ht="21.75" x14ac:dyDescent="0.55000000000000004">
      <c r="A18" s="24"/>
      <c r="B18" s="3"/>
      <c r="C18" s="18"/>
      <c r="D18" s="3"/>
      <c r="E18" s="74"/>
      <c r="F18" s="58">
        <f>SUM(F16:F17)</f>
        <v>0</v>
      </c>
      <c r="G18" s="26"/>
      <c r="H18" s="36">
        <f>SUM(H16:H17)</f>
        <v>0</v>
      </c>
      <c r="I18" s="26"/>
      <c r="J18" s="30">
        <f>SUM(J16:J17)</f>
        <v>0</v>
      </c>
      <c r="K18" s="38">
        <f>SUM(K16:K17)</f>
        <v>0</v>
      </c>
      <c r="L18" s="36"/>
      <c r="M18" s="56"/>
      <c r="N18" s="71"/>
      <c r="O18" s="67"/>
      <c r="P18" s="67"/>
    </row>
    <row r="19" spans="1:17" ht="18" x14ac:dyDescent="0.45">
      <c r="A19" s="48"/>
      <c r="B19" s="49"/>
      <c r="C19" s="50"/>
      <c r="D19" s="49"/>
      <c r="E19" s="51"/>
      <c r="F19" s="52"/>
      <c r="G19" s="53"/>
      <c r="H19" s="54"/>
      <c r="I19" s="53"/>
      <c r="J19" s="54"/>
      <c r="K19" s="54"/>
      <c r="L19" s="54"/>
      <c r="M19" s="55"/>
      <c r="N19" s="68"/>
      <c r="O19" s="68"/>
      <c r="P19" s="54"/>
      <c r="Q19" s="65"/>
    </row>
    <row r="20" spans="1:17" ht="18" x14ac:dyDescent="0.45">
      <c r="A20" s="48"/>
      <c r="B20" s="49"/>
      <c r="C20" s="50"/>
      <c r="D20" s="49"/>
      <c r="E20" s="51"/>
      <c r="F20" s="52"/>
      <c r="G20" s="53"/>
      <c r="H20" s="54"/>
      <c r="I20" s="53"/>
      <c r="J20" s="54"/>
      <c r="K20" s="54"/>
      <c r="L20" s="54"/>
      <c r="M20" s="55"/>
      <c r="N20" s="68"/>
      <c r="O20" s="68"/>
      <c r="P20" s="54"/>
    </row>
    <row r="21" spans="1:17" ht="18" x14ac:dyDescent="0.45">
      <c r="A21" s="48"/>
      <c r="B21" s="49"/>
      <c r="C21" s="50"/>
      <c r="D21" s="49"/>
      <c r="E21" s="51"/>
      <c r="F21" s="52"/>
      <c r="G21" s="53"/>
      <c r="H21" s="54"/>
      <c r="I21" s="53"/>
      <c r="J21" s="54"/>
      <c r="K21" s="54"/>
      <c r="L21" s="54"/>
      <c r="M21" s="55"/>
      <c r="N21" s="72"/>
      <c r="O21" s="55"/>
      <c r="P21" s="55"/>
    </row>
    <row r="22" spans="1:17" ht="26.25" x14ac:dyDescent="0.65">
      <c r="A22" s="1282" t="s">
        <v>1276</v>
      </c>
      <c r="B22" s="1282"/>
      <c r="C22" s="1282"/>
      <c r="D22" s="1282"/>
      <c r="E22" s="1282"/>
      <c r="F22" s="64"/>
      <c r="G22" s="64"/>
      <c r="H22" s="64"/>
      <c r="I22" s="64"/>
      <c r="J22" s="64"/>
      <c r="K22" s="64"/>
      <c r="L22" s="64"/>
      <c r="M22" s="73"/>
      <c r="N22" s="69"/>
      <c r="O22" s="69"/>
      <c r="P22" s="70"/>
    </row>
    <row r="23" spans="1:17" ht="21.75" x14ac:dyDescent="0.55000000000000004">
      <c r="A23" s="21" t="s">
        <v>9</v>
      </c>
      <c r="B23" s="21" t="s">
        <v>926</v>
      </c>
      <c r="C23" s="21" t="s">
        <v>12</v>
      </c>
      <c r="D23" s="21" t="s">
        <v>3</v>
      </c>
      <c r="E23" s="21" t="s">
        <v>13</v>
      </c>
      <c r="F23" s="21" t="s">
        <v>917</v>
      </c>
      <c r="G23" s="21" t="s">
        <v>924</v>
      </c>
      <c r="H23" s="21" t="s">
        <v>925</v>
      </c>
      <c r="I23" s="21" t="s">
        <v>918</v>
      </c>
      <c r="J23" s="21" t="s">
        <v>925</v>
      </c>
      <c r="K23" s="21" t="s">
        <v>919</v>
      </c>
      <c r="L23" s="35" t="s">
        <v>1082</v>
      </c>
      <c r="M23" s="21" t="s">
        <v>928</v>
      </c>
    </row>
    <row r="24" spans="1:17" ht="23.25" customHeight="1" x14ac:dyDescent="0.65">
      <c r="A24" s="24"/>
      <c r="B24" s="60"/>
      <c r="C24" s="61"/>
      <c r="D24" s="5"/>
      <c r="E24" s="13"/>
      <c r="F24" s="27"/>
      <c r="G24" s="14"/>
      <c r="H24" s="36">
        <f>G24*F24</f>
        <v>0</v>
      </c>
      <c r="I24" s="14"/>
      <c r="J24" s="25">
        <f>I24*F24</f>
        <v>0</v>
      </c>
      <c r="K24" s="25">
        <f>H24-J24</f>
        <v>0</v>
      </c>
      <c r="L24" s="25"/>
      <c r="M24" s="25">
        <f>K24+L24</f>
        <v>0</v>
      </c>
      <c r="N24" s="78"/>
      <c r="O24" s="78"/>
      <c r="P24" s="78"/>
    </row>
    <row r="25" spans="1:17" ht="21.75" x14ac:dyDescent="0.45">
      <c r="A25" s="24"/>
      <c r="B25" s="60"/>
      <c r="C25" s="61"/>
      <c r="D25" s="5"/>
      <c r="E25" s="13"/>
      <c r="F25" s="27"/>
      <c r="G25" s="14"/>
      <c r="H25" s="36">
        <f>G25*F25</f>
        <v>0</v>
      </c>
      <c r="I25" s="14"/>
      <c r="J25" s="25">
        <f>I25*F25</f>
        <v>0</v>
      </c>
      <c r="K25" s="25">
        <f>H25-J25</f>
        <v>0</v>
      </c>
      <c r="L25" s="25"/>
      <c r="M25" s="25">
        <f>K25+L25</f>
        <v>0</v>
      </c>
      <c r="N25" s="75"/>
      <c r="O25" s="55"/>
      <c r="P25" s="55"/>
    </row>
    <row r="26" spans="1:17" ht="18" x14ac:dyDescent="0.45">
      <c r="A26" s="24"/>
      <c r="B26" s="10"/>
      <c r="C26" s="10"/>
      <c r="D26" s="7"/>
      <c r="E26" s="2"/>
      <c r="F26" s="27">
        <f>SUM(F24:F25)</f>
        <v>0</v>
      </c>
      <c r="G26" s="10"/>
      <c r="H26" s="36">
        <f>SUM(H24:H25)</f>
        <v>0</v>
      </c>
      <c r="I26" s="10"/>
      <c r="J26" s="30">
        <f>SUM(J24:J25)</f>
        <v>0</v>
      </c>
      <c r="K26" s="25">
        <f>H26-J26</f>
        <v>0</v>
      </c>
      <c r="L26" s="30">
        <f>SUM(L24:L25)</f>
        <v>0</v>
      </c>
      <c r="M26" s="56"/>
      <c r="N26" s="76"/>
      <c r="O26" s="69"/>
      <c r="P26" s="70"/>
    </row>
    <row r="27" spans="1:17" ht="18" x14ac:dyDescent="0.45">
      <c r="A27" s="10"/>
      <c r="B27" s="10"/>
      <c r="C27" s="10"/>
      <c r="D27" s="10"/>
      <c r="E27" s="10"/>
      <c r="F27" s="22"/>
      <c r="G27" s="10"/>
      <c r="H27" s="10"/>
      <c r="I27" s="10"/>
      <c r="J27" s="10"/>
      <c r="K27" s="10"/>
      <c r="L27" s="10"/>
      <c r="M27" s="81">
        <f>SUM(M24:M26)</f>
        <v>0</v>
      </c>
    </row>
    <row r="28" spans="1:17" ht="18" x14ac:dyDescent="0.45">
      <c r="A28" s="48"/>
      <c r="B28" s="49"/>
      <c r="C28" s="50"/>
      <c r="D28" s="49"/>
      <c r="E28" s="51"/>
      <c r="F28" s="52"/>
      <c r="G28" s="53"/>
      <c r="H28" s="54"/>
      <c r="I28" s="53"/>
      <c r="J28" s="54"/>
      <c r="K28" s="54"/>
      <c r="L28" s="54"/>
      <c r="M28" s="55"/>
    </row>
    <row r="29" spans="1:17" ht="26.25" x14ac:dyDescent="0.65">
      <c r="A29" s="1283" t="s">
        <v>1277</v>
      </c>
      <c r="B29" s="1283"/>
      <c r="C29" s="1283"/>
      <c r="D29" s="1283"/>
      <c r="E29" s="1283"/>
      <c r="F29" s="77"/>
      <c r="G29" s="77"/>
      <c r="H29" s="77"/>
      <c r="I29" s="77"/>
      <c r="J29" s="77"/>
      <c r="K29" s="77"/>
      <c r="L29" s="77"/>
      <c r="M29" s="77"/>
    </row>
    <row r="30" spans="1:17" ht="21.75" x14ac:dyDescent="0.55000000000000004">
      <c r="A30" s="21" t="s">
        <v>9</v>
      </c>
      <c r="B30" s="21" t="s">
        <v>926</v>
      </c>
      <c r="C30" s="21" t="s">
        <v>12</v>
      </c>
      <c r="D30" s="21" t="s">
        <v>3</v>
      </c>
      <c r="E30" s="21" t="s">
        <v>13</v>
      </c>
      <c r="F30" s="21" t="s">
        <v>917</v>
      </c>
      <c r="G30" s="21" t="s">
        <v>924</v>
      </c>
      <c r="H30" s="21" t="s">
        <v>925</v>
      </c>
      <c r="I30" s="21" t="s">
        <v>918</v>
      </c>
      <c r="J30" s="21" t="s">
        <v>925</v>
      </c>
      <c r="K30" s="21" t="s">
        <v>919</v>
      </c>
      <c r="L30" s="35" t="s">
        <v>1082</v>
      </c>
      <c r="M30" s="21" t="s">
        <v>928</v>
      </c>
    </row>
    <row r="31" spans="1:17" ht="21.75" x14ac:dyDescent="0.45">
      <c r="A31" s="24"/>
      <c r="B31" s="60"/>
      <c r="C31" s="61"/>
      <c r="D31" s="6"/>
      <c r="E31" s="13"/>
      <c r="F31" s="29"/>
      <c r="G31" s="14"/>
      <c r="H31" s="36">
        <f>G31*F31</f>
        <v>0</v>
      </c>
      <c r="I31" s="14"/>
      <c r="J31" s="25">
        <f>I31*F31</f>
        <v>0</v>
      </c>
      <c r="K31" s="25">
        <f>H31-J31</f>
        <v>0</v>
      </c>
      <c r="L31" s="25"/>
      <c r="M31" s="25">
        <f>K31+L31</f>
        <v>0</v>
      </c>
    </row>
    <row r="32" spans="1:17" ht="18" x14ac:dyDescent="0.45">
      <c r="A32" s="10"/>
      <c r="B32" s="10"/>
      <c r="C32" s="10"/>
      <c r="D32" s="10"/>
      <c r="E32" s="10"/>
      <c r="F32" s="27">
        <f>SUM(F31:F31)</f>
        <v>0</v>
      </c>
      <c r="G32" s="10"/>
      <c r="H32" s="30">
        <f>SUM(H31:H31)</f>
        <v>0</v>
      </c>
      <c r="I32" s="10"/>
      <c r="J32" s="30">
        <f>SUM(J31:J31)</f>
        <v>0</v>
      </c>
      <c r="K32" s="30">
        <f>SUM(K31:K31)</f>
        <v>0</v>
      </c>
      <c r="L32" s="30">
        <f>SUM(L31:L31)</f>
        <v>0</v>
      </c>
      <c r="M32" s="38">
        <f>SUM(M31:M31)</f>
        <v>0</v>
      </c>
    </row>
    <row r="33" spans="1:13" ht="18" x14ac:dyDescent="0.45">
      <c r="A33" s="10"/>
      <c r="B33" s="10"/>
      <c r="C33" s="10"/>
      <c r="D33" s="10"/>
      <c r="E33" s="10"/>
      <c r="F33" s="22"/>
      <c r="G33" s="10"/>
      <c r="H33" s="10"/>
      <c r="I33" s="10"/>
      <c r="J33" s="10"/>
      <c r="K33" s="10"/>
      <c r="L33" s="10"/>
      <c r="M33" s="10"/>
    </row>
    <row r="34" spans="1:13" ht="18" x14ac:dyDescent="0.25">
      <c r="A34" s="1284"/>
      <c r="B34" s="1280"/>
      <c r="C34" s="50"/>
      <c r="D34" s="49"/>
      <c r="E34" s="51"/>
    </row>
    <row r="35" spans="1:13" x14ac:dyDescent="0.25">
      <c r="C35" s="1280" t="s">
        <v>962</v>
      </c>
      <c r="D35" s="1280"/>
      <c r="E35" s="45"/>
    </row>
    <row r="36" spans="1:13" x14ac:dyDescent="0.25">
      <c r="C36" s="1280" t="s">
        <v>963</v>
      </c>
      <c r="D36" s="1280"/>
      <c r="E36" s="45"/>
    </row>
    <row r="37" spans="1:13" x14ac:dyDescent="0.25">
      <c r="C37" s="1280" t="s">
        <v>1083</v>
      </c>
      <c r="D37" s="1280"/>
      <c r="E37" s="45"/>
    </row>
    <row r="38" spans="1:13" ht="18" x14ac:dyDescent="0.45">
      <c r="C38" s="1285" t="s">
        <v>1094</v>
      </c>
      <c r="D38" s="1285"/>
      <c r="E38" s="45"/>
    </row>
    <row r="39" spans="1:13" x14ac:dyDescent="0.25">
      <c r="C39" s="1280" t="s">
        <v>1093</v>
      </c>
      <c r="D39" s="1280"/>
      <c r="E39" s="45">
        <v>3390</v>
      </c>
    </row>
    <row r="40" spans="1:13" x14ac:dyDescent="0.25">
      <c r="C40" s="1280" t="s">
        <v>57</v>
      </c>
      <c r="D40" s="1280"/>
      <c r="E40" s="45">
        <v>210260</v>
      </c>
    </row>
    <row r="41" spans="1:13" x14ac:dyDescent="0.25">
      <c r="C41" s="1280" t="s">
        <v>1081</v>
      </c>
      <c r="D41" s="1280"/>
      <c r="E41" s="45">
        <v>5680</v>
      </c>
    </row>
    <row r="42" spans="1:13" x14ac:dyDescent="0.25">
      <c r="C42" s="1280" t="s">
        <v>1058</v>
      </c>
      <c r="D42" s="1280"/>
      <c r="E42" s="45"/>
    </row>
    <row r="43" spans="1:13" x14ac:dyDescent="0.25">
      <c r="A43" s="79"/>
      <c r="B43" s="80"/>
      <c r="C43" s="1280" t="s">
        <v>1078</v>
      </c>
      <c r="D43" s="1280"/>
      <c r="E43" s="45"/>
    </row>
    <row r="44" spans="1:13" x14ac:dyDescent="0.25">
      <c r="A44" s="79"/>
      <c r="B44" s="79"/>
      <c r="C44" s="1280" t="s">
        <v>1084</v>
      </c>
      <c r="D44" s="1280"/>
      <c r="E44" s="45">
        <v>19227</v>
      </c>
    </row>
    <row r="45" spans="1:13" x14ac:dyDescent="0.25">
      <c r="C45" s="1280" t="s">
        <v>1085</v>
      </c>
      <c r="D45" s="1280"/>
      <c r="E45" s="45">
        <v>364609</v>
      </c>
    </row>
    <row r="46" spans="1:13" x14ac:dyDescent="0.25">
      <c r="C46" s="1280" t="s">
        <v>933</v>
      </c>
      <c r="D46" s="1280"/>
      <c r="E46" s="45">
        <v>179560</v>
      </c>
    </row>
    <row r="47" spans="1:13" x14ac:dyDescent="0.25">
      <c r="C47" s="82"/>
      <c r="D47" s="83" t="s">
        <v>1145</v>
      </c>
      <c r="E47" s="45"/>
    </row>
    <row r="48" spans="1:13" x14ac:dyDescent="0.25">
      <c r="C48" s="1280" t="s">
        <v>1278</v>
      </c>
      <c r="D48" s="1280"/>
      <c r="E48" s="45">
        <v>1569078</v>
      </c>
    </row>
    <row r="49" spans="3:5" x14ac:dyDescent="0.25">
      <c r="E49" s="43"/>
    </row>
    <row r="50" spans="3:5" ht="15.75" thickBot="1" x14ac:dyDescent="0.3">
      <c r="C50" s="1280" t="s">
        <v>919</v>
      </c>
      <c r="D50" s="1280"/>
      <c r="E50" s="44">
        <f>SUM(E39:E48)</f>
        <v>2351804</v>
      </c>
    </row>
    <row r="51" spans="3:5" ht="15.75" thickTop="1" x14ac:dyDescent="0.25">
      <c r="C51" s="80" t="s">
        <v>878</v>
      </c>
      <c r="D51" s="80"/>
      <c r="E51" s="46">
        <v>1335800</v>
      </c>
    </row>
    <row r="52" spans="3:5" x14ac:dyDescent="0.25">
      <c r="C52" s="80"/>
      <c r="D52" s="80"/>
      <c r="E52" s="46"/>
    </row>
    <row r="53" spans="3:5" ht="15.75" thickBot="1" x14ac:dyDescent="0.3">
      <c r="C53" s="1279" t="s">
        <v>964</v>
      </c>
      <c r="D53" s="1279"/>
      <c r="E53" s="63">
        <f>E50+E51</f>
        <v>3687604</v>
      </c>
    </row>
    <row r="54" spans="3:5" ht="15.75" thickTop="1" x14ac:dyDescent="0.25"/>
    <row r="73" spans="3:3" x14ac:dyDescent="0.25">
      <c r="C73" t="s">
        <v>1279</v>
      </c>
    </row>
    <row r="102" spans="1:7" x14ac:dyDescent="0.25">
      <c r="A102" s="95"/>
      <c r="B102" s="95"/>
      <c r="C102" s="95"/>
      <c r="D102" s="95"/>
      <c r="E102" s="95"/>
      <c r="F102" s="95">
        <v>217700</v>
      </c>
      <c r="G102" s="95"/>
    </row>
    <row r="103" spans="1:7" x14ac:dyDescent="0.25">
      <c r="A103" s="101">
        <v>43938</v>
      </c>
      <c r="B103" t="s">
        <v>19</v>
      </c>
      <c r="C103" s="100" t="s">
        <v>919</v>
      </c>
      <c r="D103" t="s">
        <v>1368</v>
      </c>
      <c r="E103">
        <v>22000</v>
      </c>
    </row>
    <row r="104" spans="1:7" x14ac:dyDescent="0.25">
      <c r="A104" s="101">
        <v>43938</v>
      </c>
      <c r="B104" t="s">
        <v>19</v>
      </c>
      <c r="E104">
        <v>400500</v>
      </c>
    </row>
    <row r="105" spans="1:7" x14ac:dyDescent="0.25">
      <c r="A105" s="101">
        <v>43938</v>
      </c>
      <c r="B105" t="s">
        <v>19</v>
      </c>
      <c r="D105" t="s">
        <v>1369</v>
      </c>
      <c r="F105">
        <v>2500</v>
      </c>
    </row>
    <row r="106" spans="1:7" x14ac:dyDescent="0.25">
      <c r="A106" s="102">
        <v>43938</v>
      </c>
      <c r="B106" s="95" t="s">
        <v>19</v>
      </c>
      <c r="C106" s="95"/>
      <c r="D106" s="95"/>
      <c r="E106" s="95"/>
      <c r="F106" s="95">
        <v>420000</v>
      </c>
      <c r="G106" s="95"/>
    </row>
  </sheetData>
  <mergeCells count="20">
    <mergeCell ref="A14:M14"/>
    <mergeCell ref="A22:E22"/>
    <mergeCell ref="C39:D39"/>
    <mergeCell ref="A1:P1"/>
    <mergeCell ref="A34:B34"/>
    <mergeCell ref="C37:D37"/>
    <mergeCell ref="C38:D38"/>
    <mergeCell ref="A29:E29"/>
    <mergeCell ref="C53:D53"/>
    <mergeCell ref="C35:D35"/>
    <mergeCell ref="C36:D36"/>
    <mergeCell ref="C44:D44"/>
    <mergeCell ref="C48:D48"/>
    <mergeCell ref="C50:D50"/>
    <mergeCell ref="C43:D43"/>
    <mergeCell ref="C45:D45"/>
    <mergeCell ref="C46:D46"/>
    <mergeCell ref="C41:D41"/>
    <mergeCell ref="C42:D42"/>
    <mergeCell ref="C40:D40"/>
  </mergeCells>
  <pageMargins left="0.22" right="0.19" top="0.2" bottom="0.43" header="0.2" footer="0.2"/>
  <pageSetup paperSize="9" scale="75" orientation="landscape" horizontalDpi="4294967293" verticalDpi="0" r:id="rId1"/>
  <ignoredErrors>
    <ignoredError sqref="K26" formula="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2:I48"/>
  <sheetViews>
    <sheetView zoomScale="89" zoomScaleNormal="89" workbookViewId="0">
      <selection activeCell="C36" sqref="C36"/>
    </sheetView>
  </sheetViews>
  <sheetFormatPr defaultColWidth="9.28515625" defaultRowHeight="21.75" x14ac:dyDescent="0.55000000000000004"/>
  <cols>
    <col min="1" max="1" width="48.85546875" style="23" customWidth="1"/>
    <col min="2" max="2" width="23.85546875" style="84" customWidth="1"/>
    <col min="3" max="3" width="21.85546875" style="109" customWidth="1"/>
    <col min="4" max="4" width="25.7109375" style="542" customWidth="1"/>
    <col min="5" max="5" width="9.28515625" style="23"/>
    <col min="6" max="6" width="14" style="23" customWidth="1"/>
    <col min="7" max="7" width="32" style="371" customWidth="1"/>
    <col min="8" max="8" width="31.42578125" style="84" customWidth="1"/>
    <col min="9" max="9" width="12.28515625" style="84" customWidth="1"/>
    <col min="10" max="10" width="9.28515625" style="23"/>
    <col min="11" max="11" width="27.5703125" style="23" bestFit="1" customWidth="1"/>
    <col min="12" max="16384" width="9.28515625" style="23"/>
  </cols>
  <sheetData>
    <row r="2" spans="1:8" ht="22.5" thickBot="1" x14ac:dyDescent="0.6">
      <c r="A2" s="1286" t="s">
        <v>3082</v>
      </c>
      <c r="B2" s="1286"/>
      <c r="C2" s="518">
        <v>44712</v>
      </c>
      <c r="D2" s="532"/>
      <c r="G2" s="371">
        <v>44712</v>
      </c>
    </row>
    <row r="3" spans="1:8" ht="23.25" thickBot="1" x14ac:dyDescent="0.6">
      <c r="A3" s="223"/>
      <c r="B3" s="511" t="s">
        <v>1364</v>
      </c>
      <c r="C3" s="511" t="s">
        <v>1365</v>
      </c>
      <c r="D3" s="533" t="s">
        <v>1366</v>
      </c>
    </row>
    <row r="4" spans="1:8" ht="22.5" thickBot="1" x14ac:dyDescent="0.6">
      <c r="A4" s="224" t="s">
        <v>919</v>
      </c>
      <c r="C4" s="232"/>
      <c r="D4" s="534"/>
    </row>
    <row r="5" spans="1:8" ht="22.5" thickBot="1" x14ac:dyDescent="0.6">
      <c r="A5" s="225" t="s">
        <v>2204</v>
      </c>
      <c r="B5" s="257"/>
      <c r="C5" s="233"/>
      <c r="D5" s="535"/>
      <c r="G5" s="23"/>
    </row>
    <row r="6" spans="1:8" ht="22.5" thickBot="1" x14ac:dyDescent="0.6">
      <c r="A6" s="226" t="s">
        <v>1420</v>
      </c>
      <c r="B6" s="84">
        <v>111500</v>
      </c>
      <c r="C6" s="233"/>
      <c r="D6" s="535"/>
      <c r="F6" s="90"/>
      <c r="G6" s="1030" t="s">
        <v>2454</v>
      </c>
      <c r="H6" s="1031" t="s">
        <v>7204</v>
      </c>
    </row>
    <row r="7" spans="1:8" ht="22.5" thickBot="1" x14ac:dyDescent="0.6">
      <c r="A7" s="226" t="s">
        <v>933</v>
      </c>
      <c r="B7" s="232">
        <v>941825</v>
      </c>
      <c r="C7" s="232"/>
      <c r="D7" s="534"/>
      <c r="G7" s="1217" t="s">
        <v>1420</v>
      </c>
      <c r="H7" s="1218">
        <v>111500</v>
      </c>
    </row>
    <row r="8" spans="1:8" ht="22.5" thickBot="1" x14ac:dyDescent="0.6">
      <c r="A8" s="226" t="s">
        <v>1397</v>
      </c>
      <c r="B8" s="232">
        <v>4269940</v>
      </c>
      <c r="C8" s="232"/>
      <c r="D8" s="534"/>
      <c r="G8" s="1219" t="s">
        <v>933</v>
      </c>
      <c r="H8" s="1220">
        <v>941825</v>
      </c>
    </row>
    <row r="9" spans="1:8" ht="22.5" thickBot="1" x14ac:dyDescent="0.6">
      <c r="A9" s="226" t="s">
        <v>1093</v>
      </c>
      <c r="B9" s="232">
        <v>328725</v>
      </c>
      <c r="C9" s="232"/>
      <c r="D9" s="534"/>
      <c r="G9" s="1217" t="s">
        <v>1397</v>
      </c>
      <c r="H9" s="1218">
        <v>4269940</v>
      </c>
    </row>
    <row r="10" spans="1:8" ht="22.5" thickBot="1" x14ac:dyDescent="0.6">
      <c r="A10" s="226" t="s">
        <v>57</v>
      </c>
      <c r="B10" s="232">
        <v>60800</v>
      </c>
      <c r="C10" s="232"/>
      <c r="D10" s="534"/>
      <c r="G10" s="1219" t="s">
        <v>1093</v>
      </c>
      <c r="H10" s="1220">
        <v>328725</v>
      </c>
    </row>
    <row r="11" spans="1:8" ht="22.5" thickBot="1" x14ac:dyDescent="0.6">
      <c r="A11" s="226" t="s">
        <v>1877</v>
      </c>
      <c r="B11" s="232">
        <v>167780</v>
      </c>
      <c r="C11" s="232"/>
      <c r="D11" s="534"/>
      <c r="G11" s="1217" t="s">
        <v>57</v>
      </c>
      <c r="H11" s="1218">
        <v>60800</v>
      </c>
    </row>
    <row r="12" spans="1:8" ht="22.5" thickBot="1" x14ac:dyDescent="0.6">
      <c r="A12" s="226" t="s">
        <v>2470</v>
      </c>
      <c r="B12" s="232">
        <v>1200</v>
      </c>
      <c r="C12" s="232"/>
      <c r="D12" s="232"/>
      <c r="G12" s="1219" t="s">
        <v>1877</v>
      </c>
      <c r="H12" s="1220">
        <v>167780</v>
      </c>
    </row>
    <row r="13" spans="1:8" ht="22.5" thickBot="1" x14ac:dyDescent="0.6">
      <c r="A13" s="226"/>
      <c r="B13" s="230"/>
      <c r="C13" s="232"/>
      <c r="D13" s="534"/>
      <c r="G13" s="1217" t="s">
        <v>2470</v>
      </c>
      <c r="H13" s="1218">
        <v>1200</v>
      </c>
    </row>
    <row r="14" spans="1:8" ht="22.5" thickBot="1" x14ac:dyDescent="0.6">
      <c r="A14" s="226"/>
      <c r="B14" s="1032"/>
      <c r="C14" s="1033"/>
      <c r="D14" s="1034"/>
      <c r="G14" s="23"/>
    </row>
    <row r="15" spans="1:8" ht="22.5" thickBot="1" x14ac:dyDescent="0.6">
      <c r="A15" s="226" t="s">
        <v>2258</v>
      </c>
      <c r="B15" s="1021">
        <f>SUM(B6:B14)</f>
        <v>5881770</v>
      </c>
      <c r="C15" s="1022"/>
      <c r="D15" s="1021">
        <f>B15-C15</f>
        <v>5881770</v>
      </c>
      <c r="G15" s="1028" t="s">
        <v>6</v>
      </c>
      <c r="H15" s="1029">
        <f>SUM(H7:H14)</f>
        <v>5881770</v>
      </c>
    </row>
    <row r="16" spans="1:8" ht="22.5" thickBot="1" x14ac:dyDescent="0.6">
      <c r="A16" s="226"/>
      <c r="B16" s="257"/>
      <c r="C16" s="232"/>
      <c r="D16" s="534"/>
      <c r="G16" s="23"/>
    </row>
    <row r="17" spans="1:7" ht="22.5" thickBot="1" x14ac:dyDescent="0.6">
      <c r="A17" s="691" t="s">
        <v>3201</v>
      </c>
      <c r="B17" s="257"/>
      <c r="C17" s="232"/>
      <c r="D17" s="534"/>
      <c r="G17" s="23"/>
    </row>
    <row r="18" spans="1:7" ht="22.5" thickBot="1" x14ac:dyDescent="0.6">
      <c r="A18" s="1215" t="s">
        <v>912</v>
      </c>
      <c r="B18" s="1216">
        <f>'Daily Cash Book'!W56</f>
        <v>0</v>
      </c>
      <c r="C18" s="663"/>
      <c r="D18" s="538"/>
      <c r="G18" s="23"/>
    </row>
    <row r="19" spans="1:7" ht="22.5" thickBot="1" x14ac:dyDescent="0.6">
      <c r="A19" s="228" t="s">
        <v>3202</v>
      </c>
      <c r="B19" s="259">
        <f>'Daily Cash Book'!W62</f>
        <v>2000</v>
      </c>
      <c r="C19" s="234"/>
      <c r="D19" s="536"/>
      <c r="G19" s="23"/>
    </row>
    <row r="20" spans="1:7" ht="22.5" thickBot="1" x14ac:dyDescent="0.6">
      <c r="A20" s="226" t="s">
        <v>2122</v>
      </c>
      <c r="B20" s="260">
        <f>SUM(B18:B19)</f>
        <v>2000</v>
      </c>
      <c r="C20" s="235"/>
      <c r="D20" s="537">
        <f>B20-C20</f>
        <v>2000</v>
      </c>
      <c r="G20" s="23"/>
    </row>
    <row r="21" spans="1:7" ht="22.5" thickBot="1" x14ac:dyDescent="0.6">
      <c r="A21" s="226"/>
      <c r="B21" s="258"/>
      <c r="C21" s="233"/>
      <c r="D21" s="535"/>
      <c r="G21" s="23"/>
    </row>
    <row r="22" spans="1:7" ht="22.5" thickBot="1" x14ac:dyDescent="0.6">
      <c r="A22" s="227" t="s">
        <v>2118</v>
      </c>
      <c r="B22" s="257"/>
      <c r="C22" s="232"/>
      <c r="D22" s="534"/>
      <c r="G22" s="23"/>
    </row>
    <row r="23" spans="1:7" ht="22.5" thickBot="1" x14ac:dyDescent="0.6">
      <c r="A23" s="229" t="s">
        <v>88</v>
      </c>
      <c r="C23" s="236">
        <f>'Daily Cash Book'!X86</f>
        <v>1079950</v>
      </c>
      <c r="D23" s="535"/>
      <c r="G23" s="23"/>
    </row>
    <row r="24" spans="1:7" ht="22.5" thickBot="1" x14ac:dyDescent="0.6">
      <c r="A24" s="228" t="s">
        <v>1185</v>
      </c>
      <c r="B24" s="257"/>
      <c r="C24" s="237">
        <f>'Daily Cash Book'!X89</f>
        <v>1055200</v>
      </c>
      <c r="D24" s="534"/>
      <c r="G24" s="23"/>
    </row>
    <row r="25" spans="1:7" ht="22.5" thickBot="1" x14ac:dyDescent="0.6">
      <c r="A25" s="228" t="s">
        <v>6376</v>
      </c>
      <c r="B25" s="372"/>
      <c r="C25" s="373">
        <f>'Daily Cash Book'!X97</f>
        <v>34000</v>
      </c>
      <c r="D25" s="538"/>
      <c r="G25" s="23"/>
    </row>
    <row r="26" spans="1:7" ht="22.5" thickBot="1" x14ac:dyDescent="0.6">
      <c r="A26" s="228" t="s">
        <v>3194</v>
      </c>
      <c r="B26" s="372"/>
      <c r="C26" s="373">
        <f>'Daily Cash Book'!X93</f>
        <v>515000</v>
      </c>
      <c r="D26" s="538"/>
      <c r="G26" s="23"/>
    </row>
    <row r="27" spans="1:7" ht="22.5" thickBot="1" x14ac:dyDescent="0.6">
      <c r="A27" s="228" t="s">
        <v>1087</v>
      </c>
      <c r="B27" s="259"/>
      <c r="C27" s="238">
        <f>'Daily Cash Book'!X96</f>
        <v>0</v>
      </c>
      <c r="D27" s="536"/>
      <c r="G27" s="23"/>
    </row>
    <row r="28" spans="1:7" ht="22.5" thickBot="1" x14ac:dyDescent="0.6">
      <c r="A28" s="226" t="s">
        <v>2123</v>
      </c>
      <c r="B28" s="260"/>
      <c r="C28" s="239">
        <f>SUM(C23:C27)</f>
        <v>2684150</v>
      </c>
      <c r="D28" s="539">
        <f>B28-C28</f>
        <v>-2684150</v>
      </c>
      <c r="G28" s="23"/>
    </row>
    <row r="29" spans="1:7" ht="22.5" thickBot="1" x14ac:dyDescent="0.6">
      <c r="A29" s="226"/>
      <c r="B29" s="257"/>
      <c r="C29" s="257"/>
      <c r="D29" s="257"/>
      <c r="G29" s="84"/>
    </row>
    <row r="30" spans="1:7" ht="22.5" thickBot="1" x14ac:dyDescent="0.6">
      <c r="A30" s="227" t="s">
        <v>6217</v>
      </c>
      <c r="B30" s="257"/>
      <c r="C30" s="257"/>
      <c r="D30" s="257"/>
      <c r="G30" s="84"/>
    </row>
    <row r="31" spans="1:7" ht="22.5" thickBot="1" x14ac:dyDescent="0.6">
      <c r="A31" s="226" t="s">
        <v>6218</v>
      </c>
      <c r="B31" s="598"/>
      <c r="C31" s="722"/>
      <c r="D31" s="598"/>
      <c r="F31" s="174"/>
      <c r="G31" s="84"/>
    </row>
    <row r="32" spans="1:7" ht="22.5" thickBot="1" x14ac:dyDescent="0.6">
      <c r="A32" s="226" t="s">
        <v>2123</v>
      </c>
      <c r="B32" s="260">
        <f>B31</f>
        <v>0</v>
      </c>
      <c r="C32" s="723">
        <f>C31</f>
        <v>0</v>
      </c>
      <c r="D32" s="599">
        <f>B32-C32</f>
        <v>0</v>
      </c>
      <c r="F32" s="724"/>
      <c r="G32" s="84"/>
    </row>
    <row r="33" spans="1:9" ht="22.5" thickBot="1" x14ac:dyDescent="0.6">
      <c r="A33" s="226"/>
      <c r="B33" s="257"/>
      <c r="C33" s="257"/>
      <c r="D33" s="257"/>
      <c r="F33" s="724"/>
      <c r="G33" s="84"/>
    </row>
    <row r="34" spans="1:9" ht="22.5" thickBot="1" x14ac:dyDescent="0.6">
      <c r="A34" s="227" t="s">
        <v>2395</v>
      </c>
      <c r="B34" s="258"/>
      <c r="C34" s="233"/>
      <c r="D34" s="535"/>
      <c r="F34" s="725"/>
    </row>
    <row r="35" spans="1:9" ht="22.5" thickBot="1" x14ac:dyDescent="0.6">
      <c r="A35" s="228" t="s">
        <v>2120</v>
      </c>
      <c r="B35" s="257"/>
      <c r="C35" s="237">
        <f>'Daily Cash Book'!X13</f>
        <v>150000</v>
      </c>
      <c r="D35" s="534"/>
      <c r="F35" s="174"/>
      <c r="G35" s="661"/>
      <c r="H35" s="662"/>
    </row>
    <row r="36" spans="1:9" ht="22.5" thickBot="1" x14ac:dyDescent="0.6">
      <c r="A36" s="228" t="s">
        <v>2121</v>
      </c>
      <c r="B36" s="258"/>
      <c r="C36" s="237">
        <f>'Daily Cash Book'!X14</f>
        <v>150000</v>
      </c>
      <c r="D36" s="535"/>
      <c r="E36"/>
      <c r="I36" s="662"/>
    </row>
    <row r="37" spans="1:9" ht="22.5" thickBot="1" x14ac:dyDescent="0.6">
      <c r="A37" s="228" t="s">
        <v>2766</v>
      </c>
      <c r="B37" s="259"/>
      <c r="C37" s="238">
        <f>'Daily Cash Book'!X15</f>
        <v>0</v>
      </c>
      <c r="D37" s="536"/>
      <c r="E37"/>
      <c r="F37" s="660"/>
    </row>
    <row r="38" spans="1:9" ht="22.5" thickBot="1" x14ac:dyDescent="0.6">
      <c r="A38" s="226" t="s">
        <v>2124</v>
      </c>
      <c r="B38" s="260"/>
      <c r="C38" s="239">
        <f>SUM(C35:C37)</f>
        <v>300000</v>
      </c>
      <c r="D38" s="539">
        <f>B38-C38</f>
        <v>-300000</v>
      </c>
      <c r="E38"/>
    </row>
    <row r="39" spans="1:9" ht="22.5" thickBot="1" x14ac:dyDescent="0.6">
      <c r="A39" s="226"/>
      <c r="B39" s="260"/>
      <c r="C39" s="325"/>
      <c r="D39" s="540"/>
      <c r="E39"/>
    </row>
    <row r="40" spans="1:9" ht="22.5" thickBot="1" x14ac:dyDescent="0.6">
      <c r="A40" s="226" t="s">
        <v>2388</v>
      </c>
      <c r="B40" s="260"/>
      <c r="C40" s="325"/>
      <c r="D40" s="540">
        <f>'Daily Cash Book'!W85*20%</f>
        <v>117560</v>
      </c>
      <c r="E40"/>
    </row>
    <row r="41" spans="1:9" ht="22.5" thickBot="1" x14ac:dyDescent="0.6">
      <c r="A41" s="226" t="s">
        <v>2907</v>
      </c>
      <c r="B41" s="258"/>
      <c r="C41" s="240"/>
      <c r="D41" s="231">
        <f>'Daily Cash Book'!W67*15%</f>
        <v>74295</v>
      </c>
      <c r="E41"/>
    </row>
    <row r="42" spans="1:9" ht="22.5" thickBot="1" x14ac:dyDescent="0.6">
      <c r="A42" s="227" t="s">
        <v>2119</v>
      </c>
      <c r="B42" s="257"/>
      <c r="C42" s="241"/>
      <c r="D42" s="1023">
        <f>SUM(D15:D41)</f>
        <v>3091475</v>
      </c>
      <c r="E42"/>
    </row>
    <row r="43" spans="1:9" x14ac:dyDescent="0.55000000000000004">
      <c r="A43" s="261"/>
      <c r="B43" s="109"/>
      <c r="C43" s="23"/>
      <c r="D43" s="23"/>
    </row>
    <row r="44" spans="1:9" x14ac:dyDescent="0.55000000000000004">
      <c r="B44" s="261"/>
      <c r="C44" s="23"/>
      <c r="D44" s="541"/>
    </row>
    <row r="45" spans="1:9" x14ac:dyDescent="0.55000000000000004">
      <c r="B45" s="261"/>
      <c r="C45" s="112"/>
      <c r="D45" s="541"/>
    </row>
    <row r="46" spans="1:9" x14ac:dyDescent="0.55000000000000004">
      <c r="A46" s="1224"/>
      <c r="B46" s="261"/>
      <c r="C46" s="112"/>
      <c r="D46" s="541"/>
      <c r="G46" s="84"/>
    </row>
    <row r="47" spans="1:9" x14ac:dyDescent="0.55000000000000004">
      <c r="B47" s="261"/>
      <c r="C47" s="112"/>
      <c r="D47" s="541"/>
    </row>
    <row r="48" spans="1:9" x14ac:dyDescent="0.55000000000000004">
      <c r="F48" s="371"/>
    </row>
  </sheetData>
  <mergeCells count="1">
    <mergeCell ref="A2:B2"/>
  </mergeCells>
  <pageMargins left="0.12" right="0.12" top="0.51" bottom="0.54" header="0.39" footer="0.12"/>
  <pageSetup paperSize="9" scale="84" orientation="portrait" verticalDpi="1200" r:id="rId1"/>
  <rowBreaks count="1" manualBreakCount="1">
    <brk id="42" max="3" man="1"/>
  </row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0070C0"/>
  </sheetPr>
  <dimension ref="A1:V985"/>
  <sheetViews>
    <sheetView workbookViewId="0">
      <pane ySplit="1" topLeftCell="A687" activePane="bottomLeft" state="frozen"/>
      <selection activeCell="F10" sqref="F10"/>
      <selection pane="bottomLeft" activeCell="C692" sqref="C692"/>
    </sheetView>
  </sheetViews>
  <sheetFormatPr defaultColWidth="9.28515625" defaultRowHeight="20.100000000000001" customHeight="1" x14ac:dyDescent="0.25"/>
  <cols>
    <col min="1" max="1" width="9" style="333" customWidth="1"/>
    <col min="2" max="2" width="28.5703125" style="333" customWidth="1"/>
    <col min="3" max="3" width="39.42578125" style="333" bestFit="1" customWidth="1"/>
    <col min="4" max="4" width="27.42578125" style="333" bestFit="1" customWidth="1"/>
    <col min="5" max="5" width="18" style="333" customWidth="1"/>
    <col min="6" max="6" width="16.7109375" style="333" customWidth="1"/>
    <col min="7" max="7" width="18.5703125" style="333" customWidth="1"/>
    <col min="8" max="8" width="18.42578125" style="337" customWidth="1"/>
    <col min="9" max="16384" width="9.28515625" style="333"/>
  </cols>
  <sheetData>
    <row r="1" spans="2:8" ht="20.100000000000001" customHeight="1" x14ac:dyDescent="0.25">
      <c r="B1" s="329" t="s">
        <v>0</v>
      </c>
      <c r="C1" s="330" t="s">
        <v>1</v>
      </c>
      <c r="D1" s="330"/>
      <c r="E1" s="331" t="s">
        <v>55</v>
      </c>
      <c r="F1" s="332" t="s">
        <v>46</v>
      </c>
      <c r="G1" s="331" t="s">
        <v>56</v>
      </c>
      <c r="H1" s="332" t="s">
        <v>382</v>
      </c>
    </row>
    <row r="2" spans="2:8" ht="20.100000000000001" customHeight="1" x14ac:dyDescent="0.25">
      <c r="B2" s="334" t="s">
        <v>29</v>
      </c>
      <c r="C2" s="335" t="s">
        <v>30</v>
      </c>
      <c r="D2" s="335" t="s">
        <v>31</v>
      </c>
      <c r="F2" s="335"/>
      <c r="G2" s="336"/>
    </row>
    <row r="3" spans="2:8" ht="20.100000000000001" customHeight="1" x14ac:dyDescent="0.25">
      <c r="B3" s="338" t="s">
        <v>41</v>
      </c>
      <c r="C3" s="333" t="s">
        <v>381</v>
      </c>
      <c r="F3" s="336"/>
      <c r="G3" s="339"/>
    </row>
    <row r="4" spans="2:8" ht="20.100000000000001" customHeight="1" x14ac:dyDescent="0.25">
      <c r="B4" s="338" t="s">
        <v>42</v>
      </c>
      <c r="C4" s="333" t="s">
        <v>44</v>
      </c>
      <c r="F4" s="336">
        <v>0</v>
      </c>
      <c r="G4" s="339"/>
    </row>
    <row r="5" spans="2:8" ht="20.100000000000001" customHeight="1" x14ac:dyDescent="0.25">
      <c r="B5" s="338" t="s">
        <v>43</v>
      </c>
      <c r="C5" s="333" t="s">
        <v>45</v>
      </c>
      <c r="F5" s="336">
        <v>0</v>
      </c>
      <c r="G5" s="339"/>
    </row>
    <row r="6" spans="2:8" ht="20.100000000000001" customHeight="1" x14ac:dyDescent="0.25">
      <c r="B6" s="334" t="s">
        <v>25</v>
      </c>
      <c r="C6" s="335" t="s">
        <v>26</v>
      </c>
      <c r="D6" s="335" t="s">
        <v>27</v>
      </c>
      <c r="F6" s="335"/>
      <c r="G6" s="336"/>
    </row>
    <row r="7" spans="2:8" ht="20.100000000000001" customHeight="1" x14ac:dyDescent="0.25">
      <c r="B7" s="338" t="s">
        <v>47</v>
      </c>
      <c r="C7" s="333" t="s">
        <v>2061</v>
      </c>
      <c r="D7" s="333" t="s">
        <v>2060</v>
      </c>
      <c r="F7" s="336"/>
      <c r="G7" s="339"/>
    </row>
    <row r="8" spans="2:8" ht="20.100000000000001" customHeight="1" x14ac:dyDescent="0.55000000000000004">
      <c r="B8" s="326" t="s">
        <v>2084</v>
      </c>
      <c r="C8" s="23" t="s">
        <v>2078</v>
      </c>
      <c r="F8" s="336"/>
      <c r="G8" s="339"/>
    </row>
    <row r="9" spans="2:8" ht="20.100000000000001" customHeight="1" x14ac:dyDescent="0.55000000000000004">
      <c r="B9" s="326" t="s">
        <v>2085</v>
      </c>
      <c r="C9" s="23" t="s">
        <v>2079</v>
      </c>
      <c r="F9" s="336"/>
      <c r="G9" s="339"/>
    </row>
    <row r="10" spans="2:8" ht="20.100000000000001" customHeight="1" x14ac:dyDescent="0.55000000000000004">
      <c r="B10" s="326" t="s">
        <v>2086</v>
      </c>
      <c r="C10" s="23" t="s">
        <v>2076</v>
      </c>
      <c r="F10" s="336"/>
      <c r="G10" s="339"/>
    </row>
    <row r="11" spans="2:8" ht="20.100000000000001" customHeight="1" x14ac:dyDescent="0.55000000000000004">
      <c r="B11" s="326" t="s">
        <v>2087</v>
      </c>
      <c r="C11" s="23" t="s">
        <v>1420</v>
      </c>
      <c r="F11" s="336"/>
      <c r="G11" s="339"/>
    </row>
    <row r="12" spans="2:8" ht="20.100000000000001" customHeight="1" x14ac:dyDescent="0.55000000000000004">
      <c r="B12" s="326" t="s">
        <v>2302</v>
      </c>
      <c r="C12" s="23" t="s">
        <v>2067</v>
      </c>
      <c r="F12" s="336"/>
      <c r="G12" s="339"/>
    </row>
    <row r="13" spans="2:8" ht="20.100000000000001" customHeight="1" x14ac:dyDescent="0.55000000000000004">
      <c r="B13" s="326" t="s">
        <v>2089</v>
      </c>
      <c r="C13" s="23" t="s">
        <v>2080</v>
      </c>
      <c r="F13" s="336"/>
      <c r="G13" s="339"/>
    </row>
    <row r="14" spans="2:8" ht="20.100000000000001" customHeight="1" x14ac:dyDescent="0.55000000000000004">
      <c r="B14" s="326" t="s">
        <v>2090</v>
      </c>
      <c r="C14" s="23" t="s">
        <v>933</v>
      </c>
      <c r="F14" s="336"/>
      <c r="G14" s="339"/>
    </row>
    <row r="15" spans="2:8" ht="20.100000000000001" customHeight="1" x14ac:dyDescent="0.55000000000000004">
      <c r="B15" s="326" t="s">
        <v>2303</v>
      </c>
      <c r="C15" s="23" t="s">
        <v>2081</v>
      </c>
      <c r="F15" s="336"/>
      <c r="G15" s="339"/>
    </row>
    <row r="16" spans="2:8" ht="20.100000000000001" customHeight="1" x14ac:dyDescent="0.55000000000000004">
      <c r="B16" s="326" t="s">
        <v>2092</v>
      </c>
      <c r="C16" s="23" t="s">
        <v>2072</v>
      </c>
      <c r="F16" s="336"/>
      <c r="G16" s="339"/>
    </row>
    <row r="17" spans="2:7" ht="20.100000000000001" customHeight="1" x14ac:dyDescent="0.55000000000000004">
      <c r="B17" s="326" t="s">
        <v>2093</v>
      </c>
      <c r="C17" s="23" t="s">
        <v>2071</v>
      </c>
      <c r="F17" s="336"/>
      <c r="G17" s="339"/>
    </row>
    <row r="18" spans="2:7" ht="20.100000000000001" customHeight="1" x14ac:dyDescent="0.55000000000000004">
      <c r="B18" s="326" t="s">
        <v>2094</v>
      </c>
      <c r="C18" s="23" t="s">
        <v>2082</v>
      </c>
      <c r="F18" s="336"/>
      <c r="G18" s="339"/>
    </row>
    <row r="19" spans="2:7" ht="20.100000000000001" customHeight="1" x14ac:dyDescent="0.55000000000000004">
      <c r="B19" s="326" t="s">
        <v>2095</v>
      </c>
      <c r="C19" s="23" t="s">
        <v>2074</v>
      </c>
      <c r="F19" s="336"/>
      <c r="G19" s="339"/>
    </row>
    <row r="20" spans="2:7" ht="20.100000000000001" customHeight="1" x14ac:dyDescent="0.55000000000000004">
      <c r="B20" s="326" t="s">
        <v>2096</v>
      </c>
      <c r="C20" s="23" t="s">
        <v>2069</v>
      </c>
      <c r="F20" s="336"/>
      <c r="G20" s="339"/>
    </row>
    <row r="21" spans="2:7" ht="20.100000000000001" customHeight="1" x14ac:dyDescent="0.55000000000000004">
      <c r="B21" s="326" t="s">
        <v>2097</v>
      </c>
      <c r="C21" s="23" t="s">
        <v>2073</v>
      </c>
      <c r="F21" s="336"/>
      <c r="G21" s="339"/>
    </row>
    <row r="22" spans="2:7" ht="20.100000000000001" customHeight="1" x14ac:dyDescent="0.55000000000000004">
      <c r="B22" s="326" t="s">
        <v>2098</v>
      </c>
      <c r="C22" s="23" t="s">
        <v>2068</v>
      </c>
      <c r="F22" s="336"/>
      <c r="G22" s="339"/>
    </row>
    <row r="23" spans="2:7" ht="20.100000000000001" customHeight="1" x14ac:dyDescent="0.55000000000000004">
      <c r="B23" s="326" t="s">
        <v>2099</v>
      </c>
      <c r="C23" s="23" t="s">
        <v>2077</v>
      </c>
      <c r="F23" s="336"/>
      <c r="G23" s="339"/>
    </row>
    <row r="24" spans="2:7" ht="20.100000000000001" customHeight="1" x14ac:dyDescent="0.55000000000000004">
      <c r="B24" s="326" t="s">
        <v>2100</v>
      </c>
      <c r="C24" s="23" t="s">
        <v>2083</v>
      </c>
      <c r="F24" s="336"/>
      <c r="G24" s="339"/>
    </row>
    <row r="25" spans="2:7" ht="20.100000000000001" customHeight="1" x14ac:dyDescent="0.55000000000000004">
      <c r="B25" s="326" t="s">
        <v>2101</v>
      </c>
      <c r="C25" s="23" t="s">
        <v>2070</v>
      </c>
      <c r="F25" s="336"/>
      <c r="G25" s="339"/>
    </row>
    <row r="26" spans="2:7" ht="20.100000000000001" customHeight="1" x14ac:dyDescent="0.55000000000000004">
      <c r="B26" s="326" t="s">
        <v>2102</v>
      </c>
      <c r="C26" s="23" t="s">
        <v>2075</v>
      </c>
      <c r="F26" s="336"/>
      <c r="G26" s="339"/>
    </row>
    <row r="27" spans="2:7" ht="20.100000000000001" customHeight="1" x14ac:dyDescent="0.55000000000000004">
      <c r="B27" s="326" t="s">
        <v>2295</v>
      </c>
      <c r="C27" s="23" t="s">
        <v>2297</v>
      </c>
      <c r="F27" s="336"/>
      <c r="G27" s="339"/>
    </row>
    <row r="28" spans="2:7" ht="20.100000000000001" customHeight="1" x14ac:dyDescent="0.55000000000000004">
      <c r="B28" s="326" t="s">
        <v>2296</v>
      </c>
      <c r="C28" s="23" t="s">
        <v>2298</v>
      </c>
      <c r="F28" s="336"/>
      <c r="G28" s="339"/>
    </row>
    <row r="29" spans="2:7" ht="20.100000000000001" customHeight="1" x14ac:dyDescent="0.55000000000000004">
      <c r="B29" s="326" t="s">
        <v>3080</v>
      </c>
      <c r="C29" s="23" t="s">
        <v>3081</v>
      </c>
      <c r="F29" s="336"/>
      <c r="G29" s="339"/>
    </row>
    <row r="30" spans="2:7" ht="20.100000000000001" customHeight="1" x14ac:dyDescent="0.25">
      <c r="B30" s="334" t="s">
        <v>24</v>
      </c>
      <c r="C30" s="335" t="s">
        <v>22</v>
      </c>
      <c r="D30" s="335" t="s">
        <v>23</v>
      </c>
      <c r="F30" s="336"/>
      <c r="G30" s="336"/>
    </row>
    <row r="31" spans="2:7" ht="20.100000000000001" customHeight="1" x14ac:dyDescent="0.25">
      <c r="B31" s="334" t="s">
        <v>833</v>
      </c>
      <c r="C31" s="335" t="s">
        <v>834</v>
      </c>
      <c r="D31" s="335" t="s">
        <v>859</v>
      </c>
      <c r="F31" s="336"/>
      <c r="G31" s="336"/>
    </row>
    <row r="32" spans="2:7" ht="20.100000000000001" customHeight="1" x14ac:dyDescent="0.25">
      <c r="B32" s="340" t="s">
        <v>835</v>
      </c>
      <c r="C32" s="341" t="s">
        <v>2120</v>
      </c>
      <c r="D32" s="342"/>
      <c r="E32" s="341"/>
      <c r="F32" s="343" t="e">
        <f>#REF!</f>
        <v>#REF!</v>
      </c>
      <c r="G32" s="343" t="e">
        <f>#REF!</f>
        <v>#REF!</v>
      </c>
    </row>
    <row r="33" spans="2:7" ht="20.100000000000001" customHeight="1" x14ac:dyDescent="0.25">
      <c r="B33" s="340" t="s">
        <v>836</v>
      </c>
      <c r="C33" s="341" t="s">
        <v>2121</v>
      </c>
      <c r="D33" s="342"/>
      <c r="E33" s="341"/>
      <c r="F33" s="343" t="e">
        <f>#REF!</f>
        <v>#REF!</v>
      </c>
      <c r="G33" s="343" t="e">
        <f>#REF!</f>
        <v>#REF!</v>
      </c>
    </row>
    <row r="34" spans="2:7" ht="20.100000000000001" customHeight="1" x14ac:dyDescent="0.25">
      <c r="B34" s="340" t="s">
        <v>837</v>
      </c>
      <c r="C34" s="341" t="s">
        <v>2766</v>
      </c>
      <c r="D34" s="342"/>
      <c r="E34" s="341"/>
      <c r="F34" s="343" t="e">
        <f>#REF!</f>
        <v>#REF!</v>
      </c>
      <c r="G34" s="343" t="e">
        <f>#REF!</f>
        <v>#REF!</v>
      </c>
    </row>
    <row r="35" spans="2:7" ht="20.25" customHeight="1" x14ac:dyDescent="0.25">
      <c r="B35" s="340" t="s">
        <v>838</v>
      </c>
      <c r="C35" s="341" t="s">
        <v>48</v>
      </c>
      <c r="D35" s="342"/>
      <c r="E35" s="341"/>
      <c r="F35" s="343" t="e">
        <f>#REF!</f>
        <v>#REF!</v>
      </c>
      <c r="G35" s="343" t="e">
        <f>#REF!</f>
        <v>#REF!</v>
      </c>
    </row>
    <row r="36" spans="2:7" ht="20.100000000000001" customHeight="1" x14ac:dyDescent="0.25">
      <c r="B36" s="340" t="s">
        <v>839</v>
      </c>
      <c r="C36" s="341" t="s">
        <v>49</v>
      </c>
      <c r="D36" s="342"/>
      <c r="E36" s="341"/>
      <c r="F36" s="343" t="e">
        <f>#REF!</f>
        <v>#REF!</v>
      </c>
      <c r="G36" s="343" t="e">
        <f>#REF!</f>
        <v>#REF!</v>
      </c>
    </row>
    <row r="37" spans="2:7" ht="20.100000000000001" customHeight="1" x14ac:dyDescent="0.25">
      <c r="B37" s="340" t="s">
        <v>840</v>
      </c>
      <c r="C37" s="341" t="s">
        <v>50</v>
      </c>
      <c r="D37" s="342"/>
      <c r="E37" s="341"/>
      <c r="F37" s="343" t="e">
        <f>#REF!</f>
        <v>#REF!</v>
      </c>
      <c r="G37" s="343" t="e">
        <f>#REF!</f>
        <v>#REF!</v>
      </c>
    </row>
    <row r="38" spans="2:7" ht="20.100000000000001" customHeight="1" x14ac:dyDescent="0.25">
      <c r="B38" s="340" t="s">
        <v>841</v>
      </c>
      <c r="C38" s="341" t="s">
        <v>51</v>
      </c>
      <c r="D38" s="342"/>
      <c r="E38" s="341"/>
      <c r="F38" s="344">
        <v>0</v>
      </c>
      <c r="G38" s="343" t="e">
        <f>#REF!</f>
        <v>#REF!</v>
      </c>
    </row>
    <row r="39" spans="2:7" ht="20.100000000000001" customHeight="1" x14ac:dyDescent="0.25">
      <c r="B39" s="340" t="s">
        <v>842</v>
      </c>
      <c r="C39" s="341" t="s">
        <v>52</v>
      </c>
      <c r="D39" s="342"/>
      <c r="E39" s="341"/>
      <c r="F39" s="344">
        <v>0</v>
      </c>
      <c r="G39" s="343" t="e">
        <f>#REF!</f>
        <v>#REF!</v>
      </c>
    </row>
    <row r="40" spans="2:7" ht="20.100000000000001" customHeight="1" x14ac:dyDescent="0.25">
      <c r="B40" s="340" t="s">
        <v>843</v>
      </c>
      <c r="C40" s="341" t="s">
        <v>53</v>
      </c>
      <c r="D40" s="342"/>
      <c r="E40" s="341"/>
      <c r="F40" s="344">
        <v>0</v>
      </c>
      <c r="G40" s="343" t="e">
        <f>#REF!</f>
        <v>#REF!</v>
      </c>
    </row>
    <row r="41" spans="2:7" ht="20.100000000000001" customHeight="1" x14ac:dyDescent="0.25">
      <c r="B41" s="340" t="s">
        <v>844</v>
      </c>
      <c r="C41" s="341" t="s">
        <v>54</v>
      </c>
      <c r="D41" s="342"/>
      <c r="E41" s="341"/>
      <c r="F41" s="344">
        <v>0</v>
      </c>
      <c r="G41" s="343" t="e">
        <f>#REF!</f>
        <v>#REF!</v>
      </c>
    </row>
    <row r="42" spans="2:7" ht="20.100000000000001" customHeight="1" x14ac:dyDescent="0.25">
      <c r="B42" s="340" t="s">
        <v>845</v>
      </c>
      <c r="C42" s="341" t="s">
        <v>680</v>
      </c>
      <c r="D42" s="342"/>
      <c r="E42" s="341"/>
      <c r="F42" s="344">
        <v>0</v>
      </c>
      <c r="G42" s="343" t="e">
        <f>#REF!</f>
        <v>#REF!</v>
      </c>
    </row>
    <row r="43" spans="2:7" ht="20.100000000000001" customHeight="1" x14ac:dyDescent="0.25">
      <c r="B43" s="340" t="s">
        <v>846</v>
      </c>
      <c r="C43" s="341" t="s">
        <v>681</v>
      </c>
      <c r="D43" s="342"/>
      <c r="E43" s="341"/>
      <c r="F43" s="344">
        <v>0</v>
      </c>
      <c r="G43" s="343" t="e">
        <f>#REF!</f>
        <v>#REF!</v>
      </c>
    </row>
    <row r="44" spans="2:7" ht="20.100000000000001" customHeight="1" x14ac:dyDescent="0.25">
      <c r="B44" s="340" t="s">
        <v>847</v>
      </c>
      <c r="C44" s="341" t="s">
        <v>682</v>
      </c>
      <c r="D44" s="342"/>
      <c r="E44" s="341"/>
      <c r="F44" s="344">
        <v>0</v>
      </c>
      <c r="G44" s="343" t="e">
        <f>#REF!</f>
        <v>#REF!</v>
      </c>
    </row>
    <row r="45" spans="2:7" ht="20.100000000000001" customHeight="1" x14ac:dyDescent="0.25">
      <c r="B45" s="340" t="s">
        <v>848</v>
      </c>
      <c r="C45" s="341" t="s">
        <v>683</v>
      </c>
      <c r="D45" s="342"/>
      <c r="E45" s="341"/>
      <c r="F45" s="344">
        <v>0</v>
      </c>
      <c r="G45" s="343" t="e">
        <f>#REF!</f>
        <v>#REF!</v>
      </c>
    </row>
    <row r="46" spans="2:7" ht="20.100000000000001" customHeight="1" x14ac:dyDescent="0.25">
      <c r="B46" s="340" t="s">
        <v>849</v>
      </c>
      <c r="C46" s="341" t="s">
        <v>684</v>
      </c>
      <c r="D46" s="342"/>
      <c r="E46" s="341"/>
      <c r="F46" s="344">
        <v>0</v>
      </c>
      <c r="G46" s="343" t="e">
        <f>#REF!</f>
        <v>#REF!</v>
      </c>
    </row>
    <row r="47" spans="2:7" ht="20.100000000000001" customHeight="1" x14ac:dyDescent="0.25">
      <c r="B47" s="340" t="s">
        <v>850</v>
      </c>
      <c r="C47" s="341" t="s">
        <v>685</v>
      </c>
      <c r="D47" s="342"/>
      <c r="E47" s="341"/>
      <c r="F47" s="344">
        <v>0</v>
      </c>
      <c r="G47" s="343" t="e">
        <f>#REF!</f>
        <v>#REF!</v>
      </c>
    </row>
    <row r="48" spans="2:7" ht="20.100000000000001" customHeight="1" x14ac:dyDescent="0.25">
      <c r="B48" s="340" t="s">
        <v>851</v>
      </c>
      <c r="C48" s="341" t="s">
        <v>686</v>
      </c>
      <c r="D48" s="342"/>
      <c r="E48" s="341"/>
      <c r="F48" s="344">
        <v>0</v>
      </c>
      <c r="G48" s="343" t="e">
        <f>#REF!</f>
        <v>#REF!</v>
      </c>
    </row>
    <row r="49" spans="2:7" ht="20.100000000000001" customHeight="1" x14ac:dyDescent="0.25">
      <c r="B49" s="340" t="s">
        <v>852</v>
      </c>
      <c r="C49" s="341" t="s">
        <v>687</v>
      </c>
      <c r="D49" s="342"/>
      <c r="E49" s="341"/>
      <c r="F49" s="344">
        <v>0</v>
      </c>
      <c r="G49" s="343" t="e">
        <f>#REF!</f>
        <v>#REF!</v>
      </c>
    </row>
    <row r="50" spans="2:7" ht="20.100000000000001" customHeight="1" x14ac:dyDescent="0.25">
      <c r="B50" s="340" t="s">
        <v>853</v>
      </c>
      <c r="C50" s="341" t="s">
        <v>688</v>
      </c>
      <c r="D50" s="342"/>
      <c r="E50" s="341"/>
      <c r="F50" s="344">
        <v>0</v>
      </c>
      <c r="G50" s="343" t="e">
        <f>#REF!</f>
        <v>#REF!</v>
      </c>
    </row>
    <row r="51" spans="2:7" ht="20.100000000000001" customHeight="1" x14ac:dyDescent="0.25">
      <c r="B51" s="340" t="s">
        <v>854</v>
      </c>
      <c r="C51" s="341" t="s">
        <v>689</v>
      </c>
      <c r="D51" s="342"/>
      <c r="E51" s="341"/>
      <c r="F51" s="344">
        <v>0</v>
      </c>
      <c r="G51" s="343" t="e">
        <f>#REF!</f>
        <v>#REF!</v>
      </c>
    </row>
    <row r="52" spans="2:7" ht="20.100000000000001" customHeight="1" x14ac:dyDescent="0.25">
      <c r="B52" s="340" t="s">
        <v>837</v>
      </c>
      <c r="C52" s="346" t="s">
        <v>2765</v>
      </c>
      <c r="D52" s="347"/>
      <c r="E52" s="346"/>
      <c r="F52" s="348"/>
      <c r="G52" s="349"/>
    </row>
    <row r="53" spans="2:7" ht="20.100000000000001" customHeight="1" x14ac:dyDescent="0.25">
      <c r="B53" s="334" t="s">
        <v>981</v>
      </c>
      <c r="C53" s="335" t="s">
        <v>834</v>
      </c>
      <c r="D53" s="335" t="s">
        <v>982</v>
      </c>
      <c r="F53" s="336"/>
      <c r="G53" s="336"/>
    </row>
    <row r="54" spans="2:7" ht="20.100000000000001" customHeight="1" x14ac:dyDescent="0.25">
      <c r="B54" s="340" t="s">
        <v>985</v>
      </c>
      <c r="C54" s="342" t="s">
        <v>1370</v>
      </c>
      <c r="D54" s="342" t="s">
        <v>1222</v>
      </c>
      <c r="E54" s="341"/>
      <c r="F54" s="343" t="e">
        <f>#REF!</f>
        <v>#REF!</v>
      </c>
      <c r="G54" s="343"/>
    </row>
    <row r="55" spans="2:7" ht="20.100000000000001" customHeight="1" x14ac:dyDescent="0.25">
      <c r="B55" s="340" t="s">
        <v>986</v>
      </c>
      <c r="C55" s="341" t="s">
        <v>1005</v>
      </c>
      <c r="D55" s="342"/>
      <c r="E55" s="341"/>
      <c r="F55" s="343" t="e">
        <f>#REF!</f>
        <v>#REF!</v>
      </c>
      <c r="G55" s="343"/>
    </row>
    <row r="56" spans="2:7" ht="20.100000000000001" customHeight="1" x14ac:dyDescent="0.25">
      <c r="B56" s="340" t="s">
        <v>987</v>
      </c>
      <c r="C56" s="341" t="s">
        <v>983</v>
      </c>
      <c r="D56" s="342"/>
      <c r="E56" s="341"/>
      <c r="F56" s="343" t="e">
        <f>#REF!</f>
        <v>#REF!</v>
      </c>
      <c r="G56" s="343"/>
    </row>
    <row r="57" spans="2:7" ht="20.100000000000001" customHeight="1" x14ac:dyDescent="0.25">
      <c r="B57" s="340" t="s">
        <v>988</v>
      </c>
      <c r="C57" s="341" t="s">
        <v>984</v>
      </c>
      <c r="D57" s="342"/>
      <c r="E57" s="341"/>
      <c r="F57" s="343" t="e">
        <f>#REF!</f>
        <v>#REF!</v>
      </c>
      <c r="G57" s="343"/>
    </row>
    <row r="58" spans="2:7" ht="20.100000000000001" customHeight="1" x14ac:dyDescent="0.25">
      <c r="B58" s="340" t="s">
        <v>989</v>
      </c>
      <c r="C58" s="341" t="s">
        <v>1046</v>
      </c>
      <c r="D58" s="342"/>
      <c r="E58" s="341"/>
      <c r="F58" s="343" t="e">
        <f>#REF!</f>
        <v>#REF!</v>
      </c>
      <c r="G58" s="343"/>
    </row>
    <row r="59" spans="2:7" ht="20.100000000000001" customHeight="1" x14ac:dyDescent="0.25">
      <c r="B59" s="340" t="s">
        <v>990</v>
      </c>
      <c r="C59" s="341" t="s">
        <v>1065</v>
      </c>
      <c r="D59" s="342"/>
      <c r="E59" s="341"/>
      <c r="F59" s="343" t="e">
        <f>#REF!</f>
        <v>#REF!</v>
      </c>
      <c r="G59" s="343"/>
    </row>
    <row r="60" spans="2:7" ht="20.100000000000001" customHeight="1" x14ac:dyDescent="0.25">
      <c r="B60" s="340" t="s">
        <v>991</v>
      </c>
      <c r="C60" s="341" t="s">
        <v>1077</v>
      </c>
      <c r="D60" s="342"/>
      <c r="E60" s="341"/>
      <c r="F60" s="344">
        <v>0</v>
      </c>
      <c r="G60" s="343" t="e">
        <f>#REF!</f>
        <v>#REF!</v>
      </c>
    </row>
    <row r="61" spans="2:7" ht="20.100000000000001" customHeight="1" x14ac:dyDescent="0.25">
      <c r="B61" s="340" t="s">
        <v>992</v>
      </c>
      <c r="C61" s="341" t="s">
        <v>1223</v>
      </c>
      <c r="D61" s="342"/>
      <c r="E61" s="341"/>
      <c r="F61" s="344">
        <v>0</v>
      </c>
      <c r="G61" s="343" t="e">
        <f>#REF!</f>
        <v>#REF!</v>
      </c>
    </row>
    <row r="62" spans="2:7" ht="20.100000000000001" customHeight="1" x14ac:dyDescent="0.25">
      <c r="B62" s="340" t="s">
        <v>993</v>
      </c>
      <c r="C62" s="341" t="s">
        <v>1142</v>
      </c>
      <c r="D62" s="342"/>
      <c r="E62" s="341"/>
      <c r="F62" s="344">
        <v>0</v>
      </c>
      <c r="G62" s="343" t="e">
        <f>#REF!</f>
        <v>#REF!</v>
      </c>
    </row>
    <row r="63" spans="2:7" ht="20.100000000000001" customHeight="1" x14ac:dyDescent="0.25">
      <c r="B63" s="340" t="s">
        <v>994</v>
      </c>
      <c r="C63" s="341" t="s">
        <v>54</v>
      </c>
      <c r="D63" s="342"/>
      <c r="E63" s="341"/>
      <c r="F63" s="344">
        <v>0</v>
      </c>
      <c r="G63" s="343" t="e">
        <f>#REF!</f>
        <v>#REF!</v>
      </c>
    </row>
    <row r="64" spans="2:7" ht="20.100000000000001" customHeight="1" x14ac:dyDescent="0.25">
      <c r="B64" s="340" t="s">
        <v>995</v>
      </c>
      <c r="C64" s="341" t="s">
        <v>680</v>
      </c>
      <c r="D64" s="342"/>
      <c r="E64" s="341"/>
      <c r="F64" s="344">
        <v>0</v>
      </c>
      <c r="G64" s="343" t="e">
        <f>#REF!</f>
        <v>#REF!</v>
      </c>
    </row>
    <row r="65" spans="2:22" ht="20.100000000000001" customHeight="1" x14ac:dyDescent="0.25">
      <c r="B65" s="340" t="s">
        <v>996</v>
      </c>
      <c r="C65" s="341" t="s">
        <v>681</v>
      </c>
      <c r="D65" s="342"/>
      <c r="E65" s="341"/>
      <c r="F65" s="344">
        <v>0</v>
      </c>
      <c r="G65" s="343" t="e">
        <f>#REF!</f>
        <v>#REF!</v>
      </c>
    </row>
    <row r="66" spans="2:22" ht="20.100000000000001" customHeight="1" x14ac:dyDescent="0.25">
      <c r="B66" s="340" t="s">
        <v>997</v>
      </c>
      <c r="C66" s="341" t="s">
        <v>682</v>
      </c>
      <c r="D66" s="342"/>
      <c r="E66" s="341"/>
      <c r="F66" s="344">
        <v>0</v>
      </c>
      <c r="G66" s="343" t="e">
        <f>#REF!</f>
        <v>#REF!</v>
      </c>
    </row>
    <row r="67" spans="2:22" ht="20.100000000000001" customHeight="1" x14ac:dyDescent="0.25">
      <c r="B67" s="340" t="s">
        <v>998</v>
      </c>
      <c r="C67" s="341" t="s">
        <v>683</v>
      </c>
      <c r="D67" s="342"/>
      <c r="E67" s="341"/>
      <c r="F67" s="344">
        <v>0</v>
      </c>
      <c r="G67" s="343" t="e">
        <f>#REF!</f>
        <v>#REF!</v>
      </c>
      <c r="V67" s="333">
        <v>1</v>
      </c>
    </row>
    <row r="68" spans="2:22" ht="20.100000000000001" customHeight="1" x14ac:dyDescent="0.25">
      <c r="B68" s="340" t="s">
        <v>999</v>
      </c>
      <c r="C68" s="341" t="s">
        <v>684</v>
      </c>
      <c r="D68" s="342"/>
      <c r="E68" s="341"/>
      <c r="F68" s="344">
        <v>0</v>
      </c>
      <c r="G68" s="343" t="e">
        <f>#REF!</f>
        <v>#REF!</v>
      </c>
      <c r="V68" s="333">
        <v>1</v>
      </c>
    </row>
    <row r="69" spans="2:22" ht="20.100000000000001" customHeight="1" x14ac:dyDescent="0.25">
      <c r="B69" s="340" t="s">
        <v>1000</v>
      </c>
      <c r="C69" s="341" t="s">
        <v>685</v>
      </c>
      <c r="D69" s="342"/>
      <c r="E69" s="341"/>
      <c r="F69" s="344">
        <v>0</v>
      </c>
      <c r="G69" s="343" t="e">
        <f>#REF!</f>
        <v>#REF!</v>
      </c>
    </row>
    <row r="70" spans="2:22" ht="20.100000000000001" customHeight="1" x14ac:dyDescent="0.25">
      <c r="B70" s="340" t="s">
        <v>1001</v>
      </c>
      <c r="C70" s="341" t="s">
        <v>686</v>
      </c>
      <c r="D70" s="342"/>
      <c r="E70" s="341"/>
      <c r="F70" s="344">
        <v>0</v>
      </c>
      <c r="G70" s="343" t="e">
        <f>#REF!</f>
        <v>#REF!</v>
      </c>
    </row>
    <row r="71" spans="2:22" ht="20.100000000000001" customHeight="1" x14ac:dyDescent="0.25">
      <c r="B71" s="340" t="s">
        <v>1002</v>
      </c>
      <c r="C71" s="341" t="s">
        <v>687</v>
      </c>
      <c r="D71" s="342"/>
      <c r="E71" s="341"/>
      <c r="F71" s="344">
        <v>0</v>
      </c>
      <c r="G71" s="343" t="e">
        <f>#REF!</f>
        <v>#REF!</v>
      </c>
    </row>
    <row r="72" spans="2:22" ht="20.100000000000001" customHeight="1" x14ac:dyDescent="0.25">
      <c r="B72" s="340" t="s">
        <v>1003</v>
      </c>
      <c r="C72" s="341" t="s">
        <v>688</v>
      </c>
      <c r="D72" s="342"/>
      <c r="E72" s="341"/>
      <c r="F72" s="344">
        <v>0</v>
      </c>
      <c r="G72" s="343" t="e">
        <f>#REF!</f>
        <v>#REF!</v>
      </c>
    </row>
    <row r="73" spans="2:22" ht="20.100000000000001" customHeight="1" x14ac:dyDescent="0.25">
      <c r="B73" s="340" t="s">
        <v>1004</v>
      </c>
      <c r="C73" s="341" t="s">
        <v>689</v>
      </c>
      <c r="D73" s="342"/>
      <c r="E73" s="341"/>
      <c r="F73" s="344">
        <v>0</v>
      </c>
      <c r="G73" s="343" t="e">
        <f>#REF!</f>
        <v>#REF!</v>
      </c>
    </row>
    <row r="74" spans="2:22" ht="20.100000000000001" customHeight="1" x14ac:dyDescent="0.25">
      <c r="B74" s="345"/>
      <c r="C74" s="346"/>
      <c r="D74" s="347"/>
      <c r="E74" s="346"/>
      <c r="F74" s="348"/>
      <c r="G74" s="349"/>
    </row>
    <row r="75" spans="2:22" ht="20.100000000000001" customHeight="1" x14ac:dyDescent="0.25">
      <c r="B75" s="345"/>
      <c r="C75" s="346"/>
      <c r="D75" s="347"/>
      <c r="E75" s="346"/>
      <c r="F75" s="348"/>
      <c r="G75" s="349"/>
    </row>
    <row r="76" spans="2:22" ht="20.100000000000001" customHeight="1" x14ac:dyDescent="0.25">
      <c r="B76" s="345"/>
      <c r="C76" s="346"/>
      <c r="D76" s="347"/>
      <c r="E76" s="346"/>
      <c r="F76" s="348"/>
      <c r="G76" s="349"/>
    </row>
    <row r="77" spans="2:22" ht="20.100000000000001" customHeight="1" x14ac:dyDescent="0.25">
      <c r="B77" s="345"/>
      <c r="C77" s="346"/>
      <c r="D77" s="347"/>
      <c r="E77" s="346"/>
      <c r="F77" s="348"/>
      <c r="G77" s="349"/>
    </row>
    <row r="78" spans="2:22" ht="20.100000000000001" customHeight="1" x14ac:dyDescent="0.25">
      <c r="B78" s="345"/>
      <c r="C78" s="346"/>
      <c r="D78" s="347"/>
      <c r="E78" s="346"/>
      <c r="F78" s="348"/>
      <c r="G78" s="349"/>
    </row>
    <row r="79" spans="2:22" ht="20.100000000000001" customHeight="1" x14ac:dyDescent="0.25">
      <c r="B79" s="345"/>
      <c r="C79" s="346"/>
      <c r="D79" s="347"/>
      <c r="E79" s="346"/>
      <c r="F79" s="348"/>
      <c r="G79" s="349"/>
    </row>
    <row r="80" spans="2:22" ht="20.100000000000001" customHeight="1" x14ac:dyDescent="0.25">
      <c r="B80" s="334"/>
      <c r="C80" s="335"/>
      <c r="D80" s="335"/>
      <c r="F80" s="336"/>
      <c r="G80" s="336"/>
    </row>
    <row r="81" spans="2:7" ht="20.100000000000001" customHeight="1" x14ac:dyDescent="0.25">
      <c r="B81" s="350" t="s">
        <v>800</v>
      </c>
      <c r="C81" s="342" t="s">
        <v>801</v>
      </c>
      <c r="D81" s="342" t="s">
        <v>860</v>
      </c>
      <c r="E81" s="341"/>
      <c r="F81" s="344"/>
      <c r="G81" s="344"/>
    </row>
    <row r="82" spans="2:7" ht="20.100000000000001" customHeight="1" x14ac:dyDescent="0.25">
      <c r="B82" s="351" t="s">
        <v>700</v>
      </c>
      <c r="C82" s="341" t="s">
        <v>1331</v>
      </c>
      <c r="D82" s="342"/>
      <c r="E82" s="341"/>
      <c r="F82" s="343"/>
      <c r="G82" s="343" t="e">
        <f>#REF!</f>
        <v>#REF!</v>
      </c>
    </row>
    <row r="83" spans="2:7" ht="20.100000000000001" customHeight="1" x14ac:dyDescent="0.25">
      <c r="B83" s="13" t="s">
        <v>701</v>
      </c>
      <c r="C83" s="341" t="s">
        <v>1376</v>
      </c>
      <c r="D83" s="342"/>
      <c r="E83" s="341"/>
      <c r="F83" s="343"/>
      <c r="G83" s="343" t="e">
        <f>#REF!</f>
        <v>#REF!</v>
      </c>
    </row>
    <row r="84" spans="2:7" ht="20.100000000000001" customHeight="1" x14ac:dyDescent="0.25">
      <c r="B84" s="340" t="s">
        <v>702</v>
      </c>
      <c r="C84" s="341" t="s">
        <v>1377</v>
      </c>
      <c r="D84" s="352"/>
      <c r="E84" s="341"/>
      <c r="F84" s="343"/>
      <c r="G84" s="343" t="e">
        <f>#REF!</f>
        <v>#REF!</v>
      </c>
    </row>
    <row r="85" spans="2:7" ht="20.100000000000001" customHeight="1" x14ac:dyDescent="0.25">
      <c r="B85" s="340" t="s">
        <v>703</v>
      </c>
      <c r="C85" s="341" t="s">
        <v>1288</v>
      </c>
      <c r="D85" s="341"/>
      <c r="E85" s="341"/>
      <c r="F85" s="343"/>
      <c r="G85" s="343" t="e">
        <f>#REF!</f>
        <v>#REF!</v>
      </c>
    </row>
    <row r="86" spans="2:7" ht="20.100000000000001" customHeight="1" x14ac:dyDescent="0.25">
      <c r="B86" s="340" t="s">
        <v>704</v>
      </c>
      <c r="C86" s="341" t="s">
        <v>1289</v>
      </c>
      <c r="D86" s="341"/>
      <c r="E86" s="341"/>
      <c r="F86" s="343"/>
      <c r="G86" s="343" t="e">
        <f>#REF!</f>
        <v>#REF!</v>
      </c>
    </row>
    <row r="87" spans="2:7" ht="20.100000000000001" customHeight="1" x14ac:dyDescent="0.25">
      <c r="B87" s="340" t="s">
        <v>705</v>
      </c>
      <c r="C87" s="341" t="s">
        <v>1290</v>
      </c>
      <c r="D87" s="341"/>
      <c r="E87" s="341"/>
      <c r="F87" s="343"/>
      <c r="G87" s="343" t="e">
        <f>#REF!</f>
        <v>#REF!</v>
      </c>
    </row>
    <row r="88" spans="2:7" ht="20.100000000000001" customHeight="1" x14ac:dyDescent="0.25">
      <c r="B88" s="340" t="s">
        <v>706</v>
      </c>
      <c r="C88" s="341" t="s">
        <v>1291</v>
      </c>
      <c r="D88" s="341"/>
      <c r="E88" s="341"/>
      <c r="F88" s="343"/>
      <c r="G88" s="343" t="e">
        <f>#REF!</f>
        <v>#REF!</v>
      </c>
    </row>
    <row r="89" spans="2:7" ht="20.100000000000001" customHeight="1" x14ac:dyDescent="0.25">
      <c r="B89" s="340" t="s">
        <v>707</v>
      </c>
      <c r="C89" s="341" t="s">
        <v>1292</v>
      </c>
      <c r="D89" s="341"/>
      <c r="E89" s="341"/>
      <c r="F89" s="343"/>
      <c r="G89" s="343" t="e">
        <f>#REF!</f>
        <v>#REF!</v>
      </c>
    </row>
    <row r="90" spans="2:7" ht="20.100000000000001" customHeight="1" x14ac:dyDescent="0.25">
      <c r="B90" s="340" t="s">
        <v>708</v>
      </c>
      <c r="C90" s="341" t="s">
        <v>1293</v>
      </c>
      <c r="D90" s="341"/>
      <c r="E90" s="341"/>
      <c r="F90" s="343"/>
      <c r="G90" s="343" t="e">
        <f>#REF!</f>
        <v>#REF!</v>
      </c>
    </row>
    <row r="91" spans="2:7" ht="20.100000000000001" customHeight="1" x14ac:dyDescent="0.25">
      <c r="B91" s="340" t="s">
        <v>709</v>
      </c>
      <c r="C91" s="341" t="s">
        <v>1294</v>
      </c>
      <c r="D91" s="341"/>
      <c r="E91" s="341"/>
      <c r="F91" s="343"/>
      <c r="G91" s="343" t="e">
        <f>#REF!</f>
        <v>#REF!</v>
      </c>
    </row>
    <row r="92" spans="2:7" ht="20.100000000000001" customHeight="1" x14ac:dyDescent="0.25">
      <c r="B92" s="340" t="s">
        <v>710</v>
      </c>
      <c r="C92" s="341" t="s">
        <v>1295</v>
      </c>
      <c r="D92" s="353"/>
      <c r="E92" s="341"/>
      <c r="F92" s="344"/>
      <c r="G92" s="343" t="e">
        <f>#REF!</f>
        <v>#REF!</v>
      </c>
    </row>
    <row r="93" spans="2:7" ht="20.100000000000001" customHeight="1" x14ac:dyDescent="0.25">
      <c r="B93" s="340" t="s">
        <v>711</v>
      </c>
      <c r="C93" s="341" t="s">
        <v>1296</v>
      </c>
      <c r="D93" s="353"/>
      <c r="E93" s="341"/>
      <c r="F93" s="344"/>
      <c r="G93" s="343" t="e">
        <f>#REF!</f>
        <v>#REF!</v>
      </c>
    </row>
    <row r="94" spans="2:7" ht="20.100000000000001" customHeight="1" x14ac:dyDescent="0.25">
      <c r="B94" s="340" t="s">
        <v>712</v>
      </c>
      <c r="C94" s="341" t="s">
        <v>1297</v>
      </c>
      <c r="D94" s="341"/>
      <c r="E94" s="341"/>
      <c r="F94" s="344"/>
      <c r="G94" s="343" t="e">
        <f>#REF!</f>
        <v>#REF!</v>
      </c>
    </row>
    <row r="95" spans="2:7" ht="20.100000000000001" customHeight="1" x14ac:dyDescent="0.25">
      <c r="B95" s="340" t="s">
        <v>713</v>
      </c>
      <c r="C95" s="341" t="s">
        <v>1298</v>
      </c>
      <c r="D95" s="341"/>
      <c r="E95" s="341"/>
      <c r="F95" s="344"/>
      <c r="G95" s="343" t="e">
        <f>#REF!</f>
        <v>#REF!</v>
      </c>
    </row>
    <row r="96" spans="2:7" ht="20.100000000000001" customHeight="1" x14ac:dyDescent="0.25">
      <c r="B96" s="340" t="s">
        <v>714</v>
      </c>
      <c r="C96" s="341" t="s">
        <v>1299</v>
      </c>
      <c r="D96" s="341"/>
      <c r="F96" s="344"/>
      <c r="G96" s="343" t="e">
        <f>#REF!</f>
        <v>#REF!</v>
      </c>
    </row>
    <row r="97" spans="2:7" ht="20.100000000000001" customHeight="1" x14ac:dyDescent="0.25">
      <c r="B97" s="340" t="s">
        <v>715</v>
      </c>
      <c r="C97" s="341" t="s">
        <v>1300</v>
      </c>
      <c r="D97" s="341"/>
      <c r="E97" s="341"/>
      <c r="F97" s="344"/>
      <c r="G97" s="343" t="e">
        <f>#REF!</f>
        <v>#REF!</v>
      </c>
    </row>
    <row r="98" spans="2:7" ht="20.100000000000001" customHeight="1" x14ac:dyDescent="0.25">
      <c r="B98" s="340" t="s">
        <v>716</v>
      </c>
      <c r="C98" s="341" t="s">
        <v>1301</v>
      </c>
      <c r="D98" s="353"/>
      <c r="E98" s="341"/>
      <c r="F98" s="344"/>
      <c r="G98" s="343" t="e">
        <f>#REF!</f>
        <v>#REF!</v>
      </c>
    </row>
    <row r="99" spans="2:7" ht="20.100000000000001" customHeight="1" x14ac:dyDescent="0.25">
      <c r="B99" s="340" t="s">
        <v>717</v>
      </c>
      <c r="C99" s="341" t="s">
        <v>1302</v>
      </c>
      <c r="D99" s="353"/>
      <c r="E99" s="341"/>
      <c r="F99" s="344"/>
      <c r="G99" s="343" t="e">
        <f>#REF!</f>
        <v>#REF!</v>
      </c>
    </row>
    <row r="100" spans="2:7" ht="20.100000000000001" customHeight="1" x14ac:dyDescent="0.25">
      <c r="B100" s="340" t="s">
        <v>718</v>
      </c>
      <c r="C100" s="341" t="s">
        <v>1303</v>
      </c>
      <c r="D100" s="341"/>
      <c r="E100" s="341"/>
      <c r="F100" s="344"/>
      <c r="G100" s="343" t="e">
        <f>#REF!</f>
        <v>#REF!</v>
      </c>
    </row>
    <row r="101" spans="2:7" ht="20.100000000000001" customHeight="1" x14ac:dyDescent="0.25">
      <c r="B101" s="340" t="s">
        <v>719</v>
      </c>
      <c r="C101" s="341" t="s">
        <v>1304</v>
      </c>
      <c r="D101" s="341"/>
      <c r="E101" s="341"/>
      <c r="F101" s="344"/>
      <c r="G101" s="343" t="e">
        <f>#REF!</f>
        <v>#REF!</v>
      </c>
    </row>
    <row r="102" spans="2:7" ht="20.100000000000001" customHeight="1" x14ac:dyDescent="0.25">
      <c r="B102" s="340" t="s">
        <v>720</v>
      </c>
      <c r="C102" s="341" t="s">
        <v>1305</v>
      </c>
      <c r="D102" s="353"/>
      <c r="E102" s="341"/>
      <c r="F102" s="344"/>
      <c r="G102" s="343" t="e">
        <f>#REF!</f>
        <v>#REF!</v>
      </c>
    </row>
    <row r="103" spans="2:7" ht="20.100000000000001" customHeight="1" x14ac:dyDescent="0.25">
      <c r="B103" s="340" t="s">
        <v>721</v>
      </c>
      <c r="C103" s="341" t="s">
        <v>1306</v>
      </c>
      <c r="D103" s="353"/>
      <c r="E103" s="341"/>
      <c r="F103" s="344"/>
      <c r="G103" s="343" t="e">
        <f>#REF!</f>
        <v>#REF!</v>
      </c>
    </row>
    <row r="104" spans="2:7" ht="20.100000000000001" customHeight="1" x14ac:dyDescent="0.25">
      <c r="B104" s="340" t="s">
        <v>722</v>
      </c>
      <c r="C104" s="341" t="s">
        <v>1307</v>
      </c>
      <c r="D104" s="353"/>
      <c r="E104" s="341"/>
      <c r="F104" s="344"/>
      <c r="G104" s="343" t="e">
        <f>#REF!</f>
        <v>#REF!</v>
      </c>
    </row>
    <row r="105" spans="2:7" ht="20.100000000000001" customHeight="1" x14ac:dyDescent="0.25">
      <c r="B105" s="340" t="s">
        <v>723</v>
      </c>
      <c r="C105" s="341" t="s">
        <v>1308</v>
      </c>
      <c r="D105" s="341"/>
      <c r="E105" s="341"/>
      <c r="F105" s="344"/>
      <c r="G105" s="343" t="e">
        <f>#REF!</f>
        <v>#REF!</v>
      </c>
    </row>
    <row r="106" spans="2:7" ht="20.100000000000001" customHeight="1" x14ac:dyDescent="0.25">
      <c r="B106" s="340" t="s">
        <v>724</v>
      </c>
      <c r="C106" s="341" t="s">
        <v>1309</v>
      </c>
      <c r="D106" s="341"/>
      <c r="E106" s="341"/>
      <c r="F106" s="344"/>
      <c r="G106" s="343" t="e">
        <f>#REF!</f>
        <v>#REF!</v>
      </c>
    </row>
    <row r="107" spans="2:7" ht="20.100000000000001" customHeight="1" x14ac:dyDescent="0.25">
      <c r="B107" s="340" t="s">
        <v>725</v>
      </c>
      <c r="C107" s="341" t="s">
        <v>1310</v>
      </c>
      <c r="D107" s="353"/>
      <c r="E107" s="341"/>
      <c r="F107" s="344"/>
      <c r="G107" s="343" t="e">
        <f>#REF!</f>
        <v>#REF!</v>
      </c>
    </row>
    <row r="108" spans="2:7" ht="20.100000000000001" customHeight="1" x14ac:dyDescent="0.25">
      <c r="B108" s="340" t="s">
        <v>726</v>
      </c>
      <c r="C108" s="341" t="s">
        <v>1311</v>
      </c>
      <c r="D108" s="353"/>
      <c r="E108" s="341"/>
      <c r="F108" s="344"/>
      <c r="G108" s="343" t="e">
        <f>#REF!</f>
        <v>#REF!</v>
      </c>
    </row>
    <row r="109" spans="2:7" ht="20.100000000000001" customHeight="1" x14ac:dyDescent="0.25">
      <c r="B109" s="340" t="s">
        <v>727</v>
      </c>
      <c r="C109" s="341" t="s">
        <v>1312</v>
      </c>
      <c r="D109" s="353"/>
      <c r="E109" s="341"/>
      <c r="F109" s="344"/>
      <c r="G109" s="343" t="e">
        <f>#REF!</f>
        <v>#REF!</v>
      </c>
    </row>
    <row r="110" spans="2:7" ht="20.100000000000001" customHeight="1" x14ac:dyDescent="0.25">
      <c r="B110" s="340" t="s">
        <v>728</v>
      </c>
      <c r="C110" s="341" t="s">
        <v>1313</v>
      </c>
      <c r="D110" s="353"/>
      <c r="E110" s="341"/>
      <c r="F110" s="344"/>
      <c r="G110" s="343" t="e">
        <f>#REF!</f>
        <v>#REF!</v>
      </c>
    </row>
    <row r="111" spans="2:7" ht="20.100000000000001" customHeight="1" x14ac:dyDescent="0.25">
      <c r="B111" s="340" t="s">
        <v>729</v>
      </c>
      <c r="C111" s="341" t="s">
        <v>1314</v>
      </c>
      <c r="D111" s="353"/>
      <c r="E111" s="341"/>
      <c r="F111" s="344"/>
      <c r="G111" s="343" t="e">
        <f>#REF!</f>
        <v>#REF!</v>
      </c>
    </row>
    <row r="112" spans="2:7" ht="20.100000000000001" customHeight="1" x14ac:dyDescent="0.25">
      <c r="B112" s="340" t="s">
        <v>730</v>
      </c>
      <c r="C112" s="341" t="s">
        <v>1315</v>
      </c>
      <c r="D112" s="353"/>
      <c r="E112" s="341"/>
      <c r="F112" s="344"/>
      <c r="G112" s="343" t="e">
        <f>#REF!</f>
        <v>#REF!</v>
      </c>
    </row>
    <row r="113" spans="2:7" ht="20.100000000000001" customHeight="1" x14ac:dyDescent="0.25">
      <c r="B113" s="340" t="s">
        <v>731</v>
      </c>
      <c r="C113" s="341" t="s">
        <v>1316</v>
      </c>
      <c r="D113" s="353"/>
      <c r="E113" s="341"/>
      <c r="F113" s="344"/>
      <c r="G113" s="343" t="e">
        <f>#REF!</f>
        <v>#REF!</v>
      </c>
    </row>
    <row r="114" spans="2:7" ht="20.100000000000001" customHeight="1" x14ac:dyDescent="0.25">
      <c r="B114" s="340" t="s">
        <v>732</v>
      </c>
      <c r="C114" s="341" t="s">
        <v>1317</v>
      </c>
      <c r="D114" s="341"/>
      <c r="E114" s="341"/>
      <c r="F114" s="344"/>
      <c r="G114" s="343" t="e">
        <f>#REF!</f>
        <v>#REF!</v>
      </c>
    </row>
    <row r="115" spans="2:7" ht="20.100000000000001" customHeight="1" x14ac:dyDescent="0.25">
      <c r="B115" s="340" t="s">
        <v>733</v>
      </c>
      <c r="C115" s="341" t="s">
        <v>1318</v>
      </c>
      <c r="D115" s="341"/>
      <c r="E115" s="341"/>
      <c r="F115" s="344"/>
      <c r="G115" s="343" t="e">
        <f>#REF!</f>
        <v>#REF!</v>
      </c>
    </row>
    <row r="116" spans="2:7" ht="20.100000000000001" customHeight="1" x14ac:dyDescent="0.25">
      <c r="B116" s="340" t="s">
        <v>734</v>
      </c>
      <c r="C116" s="341" t="s">
        <v>1319</v>
      </c>
      <c r="D116" s="341"/>
      <c r="E116" s="341"/>
      <c r="F116" s="344"/>
      <c r="G116" s="343" t="e">
        <f>#REF!</f>
        <v>#REF!</v>
      </c>
    </row>
    <row r="117" spans="2:7" ht="20.100000000000001" customHeight="1" x14ac:dyDescent="0.25">
      <c r="B117" s="340" t="s">
        <v>735</v>
      </c>
      <c r="C117" s="341" t="s">
        <v>1320</v>
      </c>
      <c r="D117" s="341"/>
      <c r="E117" s="341"/>
      <c r="F117" s="344"/>
      <c r="G117" s="343" t="e">
        <f>#REF!</f>
        <v>#REF!</v>
      </c>
    </row>
    <row r="118" spans="2:7" ht="20.100000000000001" customHeight="1" x14ac:dyDescent="0.25">
      <c r="B118" s="340" t="s">
        <v>736</v>
      </c>
      <c r="C118" s="341" t="s">
        <v>1321</v>
      </c>
      <c r="D118" s="341"/>
      <c r="E118" s="341"/>
      <c r="F118" s="344"/>
      <c r="G118" s="343" t="e">
        <f>#REF!</f>
        <v>#REF!</v>
      </c>
    </row>
    <row r="119" spans="2:7" ht="20.100000000000001" customHeight="1" x14ac:dyDescent="0.25">
      <c r="B119" s="340" t="s">
        <v>737</v>
      </c>
      <c r="C119" s="341" t="s">
        <v>1322</v>
      </c>
      <c r="D119" s="341"/>
      <c r="E119" s="341"/>
      <c r="F119" s="344"/>
      <c r="G119" s="343" t="e">
        <f>#REF!</f>
        <v>#REF!</v>
      </c>
    </row>
    <row r="120" spans="2:7" ht="20.100000000000001" customHeight="1" x14ac:dyDescent="0.25">
      <c r="B120" s="340" t="s">
        <v>738</v>
      </c>
      <c r="C120" s="341" t="s">
        <v>1323</v>
      </c>
      <c r="D120" s="341"/>
      <c r="E120" s="341"/>
      <c r="F120" s="344"/>
      <c r="G120" s="343" t="e">
        <f>#REF!</f>
        <v>#REF!</v>
      </c>
    </row>
    <row r="121" spans="2:7" ht="20.100000000000001" customHeight="1" x14ac:dyDescent="0.25">
      <c r="B121" s="340" t="s">
        <v>739</v>
      </c>
      <c r="C121" s="341" t="s">
        <v>1324</v>
      </c>
      <c r="D121" s="341"/>
      <c r="E121" s="341"/>
      <c r="F121" s="344"/>
      <c r="G121" s="343" t="e">
        <f>#REF!</f>
        <v>#REF!</v>
      </c>
    </row>
    <row r="122" spans="2:7" ht="20.100000000000001" customHeight="1" x14ac:dyDescent="0.25">
      <c r="B122" s="340" t="s">
        <v>740</v>
      </c>
      <c r="C122" s="341" t="s">
        <v>1325</v>
      </c>
      <c r="D122" s="341"/>
      <c r="E122" s="341"/>
      <c r="F122" s="344"/>
      <c r="G122" s="343" t="e">
        <f>#REF!</f>
        <v>#REF!</v>
      </c>
    </row>
    <row r="123" spans="2:7" ht="20.100000000000001" customHeight="1" x14ac:dyDescent="0.25">
      <c r="B123" s="340" t="s">
        <v>741</v>
      </c>
      <c r="C123" s="341" t="s">
        <v>1326</v>
      </c>
      <c r="D123" s="341"/>
      <c r="E123" s="341"/>
      <c r="F123" s="344"/>
      <c r="G123" s="343"/>
    </row>
    <row r="124" spans="2:7" ht="20.100000000000001" customHeight="1" x14ac:dyDescent="0.25">
      <c r="B124" s="340" t="s">
        <v>742</v>
      </c>
      <c r="C124" s="341" t="s">
        <v>1327</v>
      </c>
      <c r="D124" s="341"/>
      <c r="E124" s="341"/>
      <c r="F124" s="341"/>
      <c r="G124" s="341"/>
    </row>
    <row r="125" spans="2:7" ht="20.100000000000001" customHeight="1" x14ac:dyDescent="0.25">
      <c r="B125" s="340" t="s">
        <v>743</v>
      </c>
      <c r="C125" s="341" t="s">
        <v>1328</v>
      </c>
      <c r="D125" s="341"/>
      <c r="E125" s="341"/>
      <c r="F125" s="344"/>
      <c r="G125" s="343"/>
    </row>
    <row r="126" spans="2:7" ht="20.100000000000001" customHeight="1" x14ac:dyDescent="0.25">
      <c r="B126" s="340" t="s">
        <v>744</v>
      </c>
      <c r="C126" s="341" t="s">
        <v>1329</v>
      </c>
      <c r="D126" s="341"/>
      <c r="E126" s="341"/>
      <c r="F126" s="341"/>
      <c r="G126" s="343"/>
    </row>
    <row r="127" spans="2:7" ht="20.100000000000001" customHeight="1" x14ac:dyDescent="0.25">
      <c r="B127" s="340" t="s">
        <v>745</v>
      </c>
      <c r="C127" s="341" t="s">
        <v>1330</v>
      </c>
      <c r="D127" s="341"/>
      <c r="E127" s="341"/>
      <c r="F127" s="344"/>
      <c r="G127" s="343"/>
    </row>
    <row r="128" spans="2:7" ht="20.100000000000001" customHeight="1" x14ac:dyDescent="0.25">
      <c r="B128" s="340" t="s">
        <v>746</v>
      </c>
      <c r="C128" s="341" t="s">
        <v>1265</v>
      </c>
      <c r="D128" s="341"/>
      <c r="E128" s="341"/>
      <c r="F128" s="341"/>
      <c r="G128" s="343" t="e">
        <f>#REF!</f>
        <v>#REF!</v>
      </c>
    </row>
    <row r="129" spans="2:7" ht="20.100000000000001" customHeight="1" x14ac:dyDescent="0.25">
      <c r="B129" s="340" t="s">
        <v>747</v>
      </c>
      <c r="C129" s="341" t="s">
        <v>1266</v>
      </c>
      <c r="D129" s="341"/>
      <c r="E129" s="341"/>
      <c r="F129" s="341"/>
      <c r="G129" s="343"/>
    </row>
    <row r="130" spans="2:7" ht="20.100000000000001" customHeight="1" x14ac:dyDescent="0.25">
      <c r="B130" s="340" t="s">
        <v>748</v>
      </c>
      <c r="C130" s="341" t="s">
        <v>1263</v>
      </c>
      <c r="E130" s="341"/>
      <c r="F130" s="344"/>
      <c r="G130" s="343" t="e">
        <f>#REF!</f>
        <v>#REF!</v>
      </c>
    </row>
    <row r="131" spans="2:7" ht="20.100000000000001" customHeight="1" x14ac:dyDescent="0.25">
      <c r="B131" s="340" t="s">
        <v>749</v>
      </c>
      <c r="C131" s="341" t="s">
        <v>1264</v>
      </c>
      <c r="D131" s="341"/>
      <c r="E131" s="341"/>
      <c r="F131" s="344"/>
      <c r="G131" s="343" t="e">
        <f>#REF!</f>
        <v>#REF!</v>
      </c>
    </row>
    <row r="132" spans="2:7" ht="20.100000000000001" customHeight="1" x14ac:dyDescent="0.25">
      <c r="B132" s="340" t="s">
        <v>750</v>
      </c>
      <c r="C132" s="341" t="s">
        <v>1224</v>
      </c>
      <c r="D132" s="341"/>
      <c r="E132" s="341"/>
      <c r="F132" s="344"/>
      <c r="G132" s="343" t="e">
        <f>#REF!</f>
        <v>#REF!</v>
      </c>
    </row>
    <row r="133" spans="2:7" ht="20.100000000000001" customHeight="1" x14ac:dyDescent="0.25">
      <c r="B133" s="340" t="s">
        <v>751</v>
      </c>
      <c r="C133" s="341" t="s">
        <v>1225</v>
      </c>
      <c r="D133" s="341"/>
      <c r="E133" s="341"/>
      <c r="F133" s="344"/>
      <c r="G133" s="343" t="e">
        <f>#REF!</f>
        <v>#REF!</v>
      </c>
    </row>
    <row r="134" spans="2:7" ht="20.100000000000001" customHeight="1" x14ac:dyDescent="0.25">
      <c r="B134" s="340" t="s">
        <v>752</v>
      </c>
      <c r="C134" s="341" t="s">
        <v>1226</v>
      </c>
      <c r="D134" s="341"/>
      <c r="E134" s="341"/>
      <c r="F134" s="344"/>
      <c r="G134" s="343" t="e">
        <f>#REF!</f>
        <v>#REF!</v>
      </c>
    </row>
    <row r="135" spans="2:7" ht="20.100000000000001" customHeight="1" x14ac:dyDescent="0.25">
      <c r="B135" s="340" t="s">
        <v>753</v>
      </c>
      <c r="C135" s="341" t="s">
        <v>1227</v>
      </c>
      <c r="D135" s="341"/>
      <c r="E135" s="341"/>
      <c r="F135" s="344"/>
      <c r="G135" s="343" t="e">
        <f>#REF!</f>
        <v>#REF!</v>
      </c>
    </row>
    <row r="136" spans="2:7" ht="20.100000000000001" customHeight="1" x14ac:dyDescent="0.25">
      <c r="B136" s="340" t="s">
        <v>754</v>
      </c>
      <c r="C136" s="341" t="s">
        <v>1228</v>
      </c>
      <c r="D136" s="341"/>
      <c r="E136" s="341"/>
      <c r="F136" s="341"/>
      <c r="G136" s="341"/>
    </row>
    <row r="137" spans="2:7" ht="20.100000000000001" customHeight="1" x14ac:dyDescent="0.25">
      <c r="B137" s="340" t="s">
        <v>755</v>
      </c>
      <c r="C137" s="341" t="s">
        <v>1229</v>
      </c>
      <c r="D137" s="341"/>
      <c r="E137" s="341"/>
      <c r="F137" s="344"/>
      <c r="G137" s="343" t="e">
        <f>#REF!</f>
        <v>#REF!</v>
      </c>
    </row>
    <row r="138" spans="2:7" ht="20.100000000000001" customHeight="1" x14ac:dyDescent="0.25">
      <c r="B138" s="340" t="s">
        <v>756</v>
      </c>
      <c r="C138" s="341" t="s">
        <v>1230</v>
      </c>
      <c r="D138" s="341"/>
      <c r="E138" s="341"/>
      <c r="F138" s="344"/>
      <c r="G138" s="354" t="e">
        <f>#REF!</f>
        <v>#REF!</v>
      </c>
    </row>
    <row r="139" spans="2:7" ht="20.100000000000001" customHeight="1" x14ac:dyDescent="0.25">
      <c r="B139" s="340" t="s">
        <v>757</v>
      </c>
      <c r="C139" s="341" t="s">
        <v>1231</v>
      </c>
      <c r="D139" s="341"/>
      <c r="E139" s="341"/>
      <c r="F139" s="344"/>
      <c r="G139" s="354" t="e">
        <f>#REF!</f>
        <v>#REF!</v>
      </c>
    </row>
    <row r="140" spans="2:7" ht="20.100000000000001" customHeight="1" x14ac:dyDescent="0.25">
      <c r="B140" s="340" t="s">
        <v>758</v>
      </c>
      <c r="C140" s="341" t="s">
        <v>1232</v>
      </c>
      <c r="D140" s="341"/>
      <c r="E140" s="341"/>
      <c r="F140" s="344"/>
      <c r="G140" s="354" t="e">
        <f>#REF!</f>
        <v>#REF!</v>
      </c>
    </row>
    <row r="141" spans="2:7" ht="20.100000000000001" customHeight="1" x14ac:dyDescent="0.25">
      <c r="B141" s="340" t="s">
        <v>759</v>
      </c>
      <c r="C141" s="341" t="s">
        <v>1233</v>
      </c>
      <c r="D141" s="341"/>
      <c r="E141" s="341"/>
      <c r="F141" s="341"/>
    </row>
    <row r="142" spans="2:7" ht="20.100000000000001" customHeight="1" x14ac:dyDescent="0.25">
      <c r="B142" s="340" t="s">
        <v>760</v>
      </c>
      <c r="C142" s="341" t="s">
        <v>1234</v>
      </c>
      <c r="D142" s="341"/>
      <c r="E142" s="341"/>
      <c r="F142" s="344"/>
      <c r="G142" s="354" t="e">
        <f>#REF!</f>
        <v>#REF!</v>
      </c>
    </row>
    <row r="143" spans="2:7" ht="20.100000000000001" customHeight="1" x14ac:dyDescent="0.25">
      <c r="B143" s="340" t="s">
        <v>761</v>
      </c>
      <c r="C143" s="341" t="s">
        <v>1235</v>
      </c>
      <c r="D143" s="341"/>
      <c r="E143" s="341"/>
      <c r="F143" s="344"/>
      <c r="G143" s="354" t="e">
        <f>#REF!</f>
        <v>#REF!</v>
      </c>
    </row>
    <row r="144" spans="2:7" ht="20.100000000000001" customHeight="1" x14ac:dyDescent="0.25">
      <c r="B144" s="340" t="s">
        <v>762</v>
      </c>
      <c r="C144" s="341" t="s">
        <v>1236</v>
      </c>
      <c r="D144" s="341"/>
      <c r="E144" s="341"/>
      <c r="F144" s="344"/>
      <c r="G144" s="354" t="e">
        <f>#REF!</f>
        <v>#REF!</v>
      </c>
    </row>
    <row r="145" spans="2:7" ht="20.100000000000001" customHeight="1" x14ac:dyDescent="0.25">
      <c r="B145" s="340" t="s">
        <v>763</v>
      </c>
      <c r="C145" s="341" t="s">
        <v>1237</v>
      </c>
      <c r="D145" s="341"/>
      <c r="E145" s="341"/>
      <c r="F145" s="344"/>
      <c r="G145" s="354" t="e">
        <f>#REF!</f>
        <v>#REF!</v>
      </c>
    </row>
    <row r="146" spans="2:7" ht="20.100000000000001" customHeight="1" x14ac:dyDescent="0.25">
      <c r="B146" s="340" t="s">
        <v>764</v>
      </c>
      <c r="C146" s="341" t="s">
        <v>1238</v>
      </c>
      <c r="D146" s="341"/>
      <c r="E146" s="341"/>
      <c r="F146" s="344"/>
      <c r="G146" s="354" t="e">
        <f>#REF!</f>
        <v>#REF!</v>
      </c>
    </row>
    <row r="147" spans="2:7" ht="20.100000000000001" customHeight="1" x14ac:dyDescent="0.25">
      <c r="B147" s="340" t="s">
        <v>765</v>
      </c>
      <c r="C147" s="341" t="s">
        <v>1192</v>
      </c>
      <c r="D147" s="341"/>
      <c r="E147" s="341"/>
      <c r="F147" s="344"/>
      <c r="G147" s="354" t="e">
        <f>#REF!</f>
        <v>#REF!</v>
      </c>
    </row>
    <row r="148" spans="2:7" ht="20.100000000000001" customHeight="1" x14ac:dyDescent="0.25">
      <c r="B148" s="340" t="s">
        <v>766</v>
      </c>
      <c r="C148" s="341" t="s">
        <v>1193</v>
      </c>
      <c r="D148" s="341"/>
      <c r="E148" s="341"/>
      <c r="F148" s="344"/>
      <c r="G148" s="354" t="e">
        <f>#REF!</f>
        <v>#REF!</v>
      </c>
    </row>
    <row r="149" spans="2:7" ht="20.100000000000001" customHeight="1" x14ac:dyDescent="0.25">
      <c r="B149" s="340" t="s">
        <v>767</v>
      </c>
      <c r="C149" s="341" t="s">
        <v>1194</v>
      </c>
      <c r="D149" s="341"/>
      <c r="E149" s="341"/>
      <c r="F149" s="344"/>
      <c r="G149" s="343" t="e">
        <f>#REF!</f>
        <v>#REF!</v>
      </c>
    </row>
    <row r="150" spans="2:7" ht="20.100000000000001" customHeight="1" x14ac:dyDescent="0.25">
      <c r="B150" s="340" t="s">
        <v>768</v>
      </c>
      <c r="C150" s="341" t="s">
        <v>1195</v>
      </c>
      <c r="D150" s="341"/>
      <c r="E150" s="341"/>
      <c r="F150" s="344"/>
      <c r="G150" s="343" t="e">
        <f>#REF!</f>
        <v>#REF!</v>
      </c>
    </row>
    <row r="151" spans="2:7" ht="20.100000000000001" customHeight="1" x14ac:dyDescent="0.25">
      <c r="B151" s="340" t="s">
        <v>769</v>
      </c>
      <c r="C151" s="341" t="s">
        <v>1196</v>
      </c>
      <c r="D151" s="341"/>
      <c r="E151" s="341"/>
      <c r="F151" s="344"/>
      <c r="G151" s="343" t="e">
        <f>#REF!</f>
        <v>#REF!</v>
      </c>
    </row>
    <row r="152" spans="2:7" ht="20.100000000000001" customHeight="1" x14ac:dyDescent="0.25">
      <c r="B152" s="340" t="s">
        <v>770</v>
      </c>
      <c r="C152" s="341" t="s">
        <v>1197</v>
      </c>
      <c r="D152" s="341"/>
      <c r="E152" s="341"/>
      <c r="F152" s="344"/>
      <c r="G152" s="343" t="e">
        <f>#REF!</f>
        <v>#REF!</v>
      </c>
    </row>
    <row r="153" spans="2:7" ht="20.100000000000001" customHeight="1" x14ac:dyDescent="0.25">
      <c r="B153" s="340" t="s">
        <v>771</v>
      </c>
      <c r="C153" s="341" t="s">
        <v>1198</v>
      </c>
      <c r="D153" s="341"/>
      <c r="E153" s="341"/>
      <c r="F153" s="344"/>
      <c r="G153" s="343" t="e">
        <f>#REF!</f>
        <v>#REF!</v>
      </c>
    </row>
    <row r="154" spans="2:7" ht="20.100000000000001" customHeight="1" x14ac:dyDescent="0.25">
      <c r="B154" s="340" t="s">
        <v>772</v>
      </c>
      <c r="C154" s="341" t="s">
        <v>1199</v>
      </c>
      <c r="D154" s="341"/>
      <c r="E154" s="341"/>
      <c r="F154" s="344"/>
      <c r="G154" s="343" t="e">
        <f>#REF!</f>
        <v>#REF!</v>
      </c>
    </row>
    <row r="155" spans="2:7" ht="20.100000000000001" customHeight="1" x14ac:dyDescent="0.25">
      <c r="B155" s="340" t="s">
        <v>773</v>
      </c>
      <c r="C155" s="341" t="s">
        <v>1200</v>
      </c>
      <c r="D155" s="341"/>
      <c r="E155" s="341"/>
      <c r="F155" s="344">
        <v>0</v>
      </c>
      <c r="G155" s="343" t="e">
        <f>#REF!</f>
        <v>#REF!</v>
      </c>
    </row>
    <row r="156" spans="2:7" ht="20.100000000000001" customHeight="1" x14ac:dyDescent="0.25">
      <c r="B156" s="340" t="s">
        <v>774</v>
      </c>
      <c r="C156" s="341" t="s">
        <v>1201</v>
      </c>
      <c r="D156" s="341"/>
      <c r="E156" s="341"/>
      <c r="F156" s="344"/>
      <c r="G156" s="343" t="e">
        <f>#REF!</f>
        <v>#REF!</v>
      </c>
    </row>
    <row r="157" spans="2:7" ht="20.100000000000001" customHeight="1" x14ac:dyDescent="0.25">
      <c r="B157" s="340" t="s">
        <v>775</v>
      </c>
      <c r="C157" s="341" t="s">
        <v>1202</v>
      </c>
      <c r="D157" s="341"/>
      <c r="E157" s="341"/>
      <c r="F157" s="344">
        <v>0</v>
      </c>
      <c r="G157" s="343" t="e">
        <f>#REF!</f>
        <v>#REF!</v>
      </c>
    </row>
    <row r="158" spans="2:7" ht="20.100000000000001" customHeight="1" x14ac:dyDescent="0.25">
      <c r="B158" s="340" t="s">
        <v>776</v>
      </c>
      <c r="C158" s="341" t="s">
        <v>1203</v>
      </c>
      <c r="D158" s="341"/>
      <c r="E158" s="341"/>
      <c r="F158" s="344">
        <v>0</v>
      </c>
      <c r="G158" s="343" t="e">
        <f>#REF!</f>
        <v>#REF!</v>
      </c>
    </row>
    <row r="159" spans="2:7" ht="20.100000000000001" customHeight="1" x14ac:dyDescent="0.25">
      <c r="B159" s="340" t="s">
        <v>777</v>
      </c>
      <c r="C159" s="341" t="s">
        <v>1204</v>
      </c>
      <c r="D159" s="341"/>
      <c r="E159" s="341"/>
      <c r="F159" s="344">
        <v>0</v>
      </c>
      <c r="G159" s="343" t="e">
        <f>#REF!</f>
        <v>#REF!</v>
      </c>
    </row>
    <row r="160" spans="2:7" ht="20.100000000000001" customHeight="1" x14ac:dyDescent="0.25">
      <c r="B160" s="340" t="s">
        <v>778</v>
      </c>
      <c r="C160" s="341" t="s">
        <v>1205</v>
      </c>
      <c r="D160" s="341"/>
      <c r="E160" s="341"/>
      <c r="F160" s="344">
        <v>0</v>
      </c>
      <c r="G160" s="343" t="e">
        <f>#REF!</f>
        <v>#REF!</v>
      </c>
    </row>
    <row r="161" spans="2:7" ht="20.100000000000001" customHeight="1" x14ac:dyDescent="0.25">
      <c r="B161" s="340" t="s">
        <v>779</v>
      </c>
      <c r="C161" s="341" t="s">
        <v>1206</v>
      </c>
      <c r="D161" s="341"/>
      <c r="E161" s="341"/>
      <c r="F161" s="344">
        <v>0</v>
      </c>
      <c r="G161" s="343" t="e">
        <f>#REF!</f>
        <v>#REF!</v>
      </c>
    </row>
    <row r="162" spans="2:7" ht="20.100000000000001" customHeight="1" x14ac:dyDescent="0.25">
      <c r="B162" s="340" t="s">
        <v>780</v>
      </c>
      <c r="C162" s="341" t="s">
        <v>1207</v>
      </c>
      <c r="D162" s="341"/>
      <c r="E162" s="341"/>
      <c r="F162" s="344"/>
      <c r="G162" s="343" t="e">
        <f>#REF!</f>
        <v>#REF!</v>
      </c>
    </row>
    <row r="163" spans="2:7" ht="20.100000000000001" customHeight="1" x14ac:dyDescent="0.25">
      <c r="B163" s="13" t="s">
        <v>781</v>
      </c>
      <c r="C163" s="341" t="s">
        <v>1208</v>
      </c>
      <c r="D163" s="341"/>
      <c r="E163" s="341"/>
      <c r="F163" s="344">
        <v>0</v>
      </c>
      <c r="G163" s="354" t="e">
        <f>#REF!</f>
        <v>#REF!</v>
      </c>
    </row>
    <row r="164" spans="2:7" ht="20.100000000000001" customHeight="1" x14ac:dyDescent="0.25">
      <c r="B164" s="340" t="s">
        <v>782</v>
      </c>
      <c r="C164" s="341" t="s">
        <v>1209</v>
      </c>
      <c r="D164" s="341"/>
      <c r="E164" s="341"/>
      <c r="F164" s="344">
        <v>0</v>
      </c>
      <c r="G164" s="354" t="e">
        <f>#REF!</f>
        <v>#REF!</v>
      </c>
    </row>
    <row r="165" spans="2:7" ht="20.100000000000001" customHeight="1" x14ac:dyDescent="0.25">
      <c r="B165" s="340" t="s">
        <v>783</v>
      </c>
      <c r="C165" s="341" t="s">
        <v>1210</v>
      </c>
      <c r="D165" s="341"/>
      <c r="E165" s="341"/>
      <c r="F165" s="344">
        <v>0</v>
      </c>
      <c r="G165" s="354" t="e">
        <f>#REF!</f>
        <v>#REF!</v>
      </c>
    </row>
    <row r="166" spans="2:7" ht="20.100000000000001" customHeight="1" x14ac:dyDescent="0.25">
      <c r="B166" s="340" t="s">
        <v>784</v>
      </c>
      <c r="C166" s="341" t="s">
        <v>1211</v>
      </c>
      <c r="D166" s="341"/>
      <c r="E166" s="341"/>
      <c r="F166" s="344">
        <v>0</v>
      </c>
      <c r="G166" s="354" t="e">
        <f>#REF!</f>
        <v>#REF!</v>
      </c>
    </row>
    <row r="167" spans="2:7" ht="20.100000000000001" customHeight="1" x14ac:dyDescent="0.25">
      <c r="B167" s="340" t="s">
        <v>785</v>
      </c>
      <c r="C167" s="341" t="s">
        <v>1212</v>
      </c>
      <c r="D167" s="341"/>
      <c r="E167" s="341"/>
      <c r="F167" s="344">
        <v>0</v>
      </c>
      <c r="G167" s="354" t="e">
        <f>#REF!</f>
        <v>#REF!</v>
      </c>
    </row>
    <row r="168" spans="2:7" ht="20.100000000000001" customHeight="1" x14ac:dyDescent="0.25">
      <c r="B168" s="340" t="s">
        <v>786</v>
      </c>
      <c r="C168" s="341" t="s">
        <v>1213</v>
      </c>
      <c r="D168" s="341"/>
      <c r="E168" s="341"/>
      <c r="F168" s="344">
        <v>0</v>
      </c>
      <c r="G168" s="354" t="e">
        <f>#REF!</f>
        <v>#REF!</v>
      </c>
    </row>
    <row r="169" spans="2:7" ht="20.100000000000001" customHeight="1" x14ac:dyDescent="0.25">
      <c r="B169" s="340" t="s">
        <v>787</v>
      </c>
      <c r="C169" s="341" t="s">
        <v>1214</v>
      </c>
      <c r="D169" s="341"/>
      <c r="E169" s="341"/>
      <c r="F169" s="344">
        <v>0</v>
      </c>
      <c r="G169" s="354" t="e">
        <f>#REF!</f>
        <v>#REF!</v>
      </c>
    </row>
    <row r="170" spans="2:7" ht="20.100000000000001" customHeight="1" x14ac:dyDescent="0.25">
      <c r="B170" s="340" t="s">
        <v>788</v>
      </c>
      <c r="C170" s="341" t="s">
        <v>1215</v>
      </c>
      <c r="D170" s="341"/>
      <c r="E170" s="341"/>
      <c r="F170" s="344">
        <v>0</v>
      </c>
      <c r="G170" s="354" t="e">
        <f>#REF!</f>
        <v>#REF!</v>
      </c>
    </row>
    <row r="171" spans="2:7" ht="20.100000000000001" customHeight="1" x14ac:dyDescent="0.25">
      <c r="B171" s="340" t="s">
        <v>789</v>
      </c>
      <c r="C171" s="341" t="s">
        <v>1216</v>
      </c>
      <c r="D171" s="341"/>
      <c r="E171" s="341"/>
      <c r="F171" s="344">
        <v>0</v>
      </c>
      <c r="G171" s="354" t="e">
        <f>#REF!</f>
        <v>#REF!</v>
      </c>
    </row>
    <row r="172" spans="2:7" ht="20.100000000000001" customHeight="1" x14ac:dyDescent="0.25">
      <c r="B172" s="340" t="s">
        <v>790</v>
      </c>
      <c r="C172" s="341" t="s">
        <v>1217</v>
      </c>
      <c r="D172" s="341"/>
      <c r="E172" s="341"/>
      <c r="F172" s="344">
        <v>0</v>
      </c>
      <c r="G172" s="354" t="e">
        <f>#REF!</f>
        <v>#REF!</v>
      </c>
    </row>
    <row r="173" spans="2:7" ht="20.100000000000001" customHeight="1" x14ac:dyDescent="0.25">
      <c r="B173" s="340" t="s">
        <v>791</v>
      </c>
      <c r="C173" s="341" t="s">
        <v>1218</v>
      </c>
      <c r="D173" s="341"/>
      <c r="E173" s="341"/>
      <c r="F173" s="344">
        <v>0</v>
      </c>
      <c r="G173" s="354" t="e">
        <f>#REF!</f>
        <v>#REF!</v>
      </c>
    </row>
    <row r="174" spans="2:7" ht="20.100000000000001" customHeight="1" x14ac:dyDescent="0.25">
      <c r="B174" s="340" t="s">
        <v>792</v>
      </c>
      <c r="C174" s="341" t="s">
        <v>1219</v>
      </c>
      <c r="D174" s="341"/>
      <c r="E174" s="341"/>
      <c r="F174" s="344">
        <v>0</v>
      </c>
      <c r="G174" s="354" t="e">
        <f>#REF!</f>
        <v>#REF!</v>
      </c>
    </row>
    <row r="175" spans="2:7" ht="20.100000000000001" customHeight="1" x14ac:dyDescent="0.25">
      <c r="B175" s="340" t="s">
        <v>793</v>
      </c>
      <c r="C175" s="341" t="s">
        <v>1220</v>
      </c>
      <c r="D175" s="341"/>
      <c r="E175" s="341"/>
      <c r="F175" s="344">
        <v>0</v>
      </c>
      <c r="G175" s="354" t="e">
        <f>#REF!</f>
        <v>#REF!</v>
      </c>
    </row>
    <row r="176" spans="2:7" ht="20.100000000000001" customHeight="1" x14ac:dyDescent="0.25">
      <c r="B176" s="340" t="s">
        <v>794</v>
      </c>
      <c r="C176" s="341" t="s">
        <v>1221</v>
      </c>
      <c r="D176" s="341"/>
      <c r="E176" s="341"/>
      <c r="F176" s="344">
        <v>0</v>
      </c>
      <c r="G176" s="354" t="e">
        <f>#REF!</f>
        <v>#REF!</v>
      </c>
    </row>
    <row r="177" spans="2:7" ht="20.100000000000001" customHeight="1" x14ac:dyDescent="0.25">
      <c r="B177" s="340" t="s">
        <v>795</v>
      </c>
      <c r="C177" s="341" t="s">
        <v>1156</v>
      </c>
      <c r="D177" s="341"/>
      <c r="E177" s="341"/>
      <c r="F177" s="344">
        <v>0</v>
      </c>
      <c r="G177" s="354" t="e">
        <f>#REF!</f>
        <v>#REF!</v>
      </c>
    </row>
    <row r="178" spans="2:7" ht="20.100000000000001" customHeight="1" x14ac:dyDescent="0.25">
      <c r="B178" s="340" t="s">
        <v>796</v>
      </c>
      <c r="C178" s="341" t="s">
        <v>1157</v>
      </c>
      <c r="D178" s="341"/>
      <c r="E178" s="341"/>
      <c r="F178" s="344">
        <v>0</v>
      </c>
      <c r="G178" s="354" t="e">
        <f>#REF!</f>
        <v>#REF!</v>
      </c>
    </row>
    <row r="179" spans="2:7" ht="20.100000000000001" customHeight="1" x14ac:dyDescent="0.25">
      <c r="B179" s="340" t="s">
        <v>797</v>
      </c>
      <c r="C179" s="341" t="s">
        <v>1158</v>
      </c>
      <c r="D179" s="341"/>
      <c r="E179" s="341"/>
      <c r="F179" s="344">
        <v>0</v>
      </c>
      <c r="G179" s="354" t="e">
        <f>#REF!</f>
        <v>#REF!</v>
      </c>
    </row>
    <row r="180" spans="2:7" ht="20.100000000000001" customHeight="1" x14ac:dyDescent="0.25">
      <c r="B180" s="340" t="s">
        <v>798</v>
      </c>
      <c r="C180" s="341" t="s">
        <v>1159</v>
      </c>
      <c r="D180" s="341"/>
      <c r="E180" s="341"/>
      <c r="F180" s="344">
        <v>0</v>
      </c>
      <c r="G180" s="354"/>
    </row>
    <row r="181" spans="2:7" ht="20.100000000000001" customHeight="1" x14ac:dyDescent="0.25">
      <c r="B181" s="340" t="s">
        <v>799</v>
      </c>
      <c r="C181" s="341" t="s">
        <v>1160</v>
      </c>
      <c r="D181" s="341"/>
      <c r="E181" s="341"/>
      <c r="F181" s="344">
        <v>0</v>
      </c>
      <c r="G181" s="354"/>
    </row>
    <row r="182" spans="2:7" ht="20.100000000000001" customHeight="1" x14ac:dyDescent="0.25">
      <c r="B182" s="340" t="s">
        <v>1052</v>
      </c>
      <c r="C182" s="341" t="s">
        <v>1161</v>
      </c>
      <c r="D182" s="341"/>
      <c r="E182" s="341"/>
      <c r="F182" s="344">
        <v>0</v>
      </c>
      <c r="G182" s="354"/>
    </row>
    <row r="183" spans="2:7" ht="20.100000000000001" customHeight="1" x14ac:dyDescent="0.25">
      <c r="B183" s="340" t="s">
        <v>1053</v>
      </c>
      <c r="C183" s="341" t="s">
        <v>1162</v>
      </c>
      <c r="D183" s="341"/>
      <c r="E183" s="341"/>
      <c r="F183" s="344">
        <v>0</v>
      </c>
      <c r="G183" s="354"/>
    </row>
    <row r="184" spans="2:7" ht="20.100000000000001" customHeight="1" x14ac:dyDescent="0.25">
      <c r="B184" s="340" t="s">
        <v>1054</v>
      </c>
      <c r="C184" s="341" t="s">
        <v>1163</v>
      </c>
      <c r="D184" s="341"/>
      <c r="E184" s="341"/>
      <c r="F184" s="344">
        <v>0</v>
      </c>
      <c r="G184" s="354"/>
    </row>
    <row r="185" spans="2:7" ht="20.100000000000001" customHeight="1" x14ac:dyDescent="0.25">
      <c r="B185" s="340" t="s">
        <v>1055</v>
      </c>
      <c r="C185" s="341" t="s">
        <v>1164</v>
      </c>
      <c r="D185" s="341"/>
      <c r="E185" s="341"/>
      <c r="F185" s="344">
        <v>0</v>
      </c>
      <c r="G185" s="354"/>
    </row>
    <row r="186" spans="2:7" ht="20.100000000000001" customHeight="1" x14ac:dyDescent="0.25">
      <c r="B186" s="340" t="s">
        <v>1056</v>
      </c>
      <c r="C186" s="341" t="s">
        <v>1165</v>
      </c>
      <c r="D186" s="341"/>
      <c r="E186" s="341"/>
      <c r="F186" s="344">
        <v>0</v>
      </c>
      <c r="G186" s="354"/>
    </row>
    <row r="187" spans="2:7" ht="20.100000000000001" customHeight="1" x14ac:dyDescent="0.25">
      <c r="B187" s="340" t="s">
        <v>1057</v>
      </c>
      <c r="C187" s="341" t="s">
        <v>1166</v>
      </c>
      <c r="D187" s="341"/>
      <c r="E187" s="341"/>
      <c r="F187" s="344">
        <v>0</v>
      </c>
      <c r="G187" s="354"/>
    </row>
    <row r="188" spans="2:7" ht="20.100000000000001" customHeight="1" x14ac:dyDescent="0.25">
      <c r="B188" s="340" t="s">
        <v>1066</v>
      </c>
      <c r="C188" s="341" t="s">
        <v>1167</v>
      </c>
      <c r="D188" s="341"/>
      <c r="E188" s="341"/>
      <c r="F188" s="344">
        <v>0</v>
      </c>
      <c r="G188" s="354"/>
    </row>
    <row r="189" spans="2:7" ht="20.100000000000001" customHeight="1" x14ac:dyDescent="0.25">
      <c r="B189" s="340" t="s">
        <v>1067</v>
      </c>
      <c r="C189" s="341" t="s">
        <v>1168</v>
      </c>
      <c r="D189" s="341"/>
      <c r="E189" s="341"/>
      <c r="F189" s="344">
        <v>0</v>
      </c>
      <c r="G189" s="354"/>
    </row>
    <row r="190" spans="2:7" ht="20.100000000000001" customHeight="1" x14ac:dyDescent="0.25">
      <c r="B190" s="340" t="s">
        <v>1068</v>
      </c>
      <c r="C190" s="341" t="s">
        <v>1169</v>
      </c>
      <c r="D190" s="341"/>
      <c r="E190" s="341"/>
      <c r="F190" s="344">
        <v>0</v>
      </c>
      <c r="G190" s="354"/>
    </row>
    <row r="191" spans="2:7" ht="20.100000000000001" customHeight="1" x14ac:dyDescent="0.25">
      <c r="B191" s="340" t="s">
        <v>1069</v>
      </c>
      <c r="C191" s="341" t="s">
        <v>1170</v>
      </c>
      <c r="D191" s="341"/>
      <c r="E191" s="341"/>
      <c r="F191" s="344">
        <v>0</v>
      </c>
      <c r="G191" s="354"/>
    </row>
    <row r="192" spans="2:7" ht="20.100000000000001" customHeight="1" x14ac:dyDescent="0.25">
      <c r="B192" s="340" t="s">
        <v>1070</v>
      </c>
      <c r="C192" s="341" t="s">
        <v>1171</v>
      </c>
      <c r="D192" s="341"/>
      <c r="E192" s="341"/>
      <c r="F192" s="344">
        <v>0</v>
      </c>
      <c r="G192" s="354"/>
    </row>
    <row r="193" spans="2:8" ht="20.100000000000001" customHeight="1" x14ac:dyDescent="0.25">
      <c r="B193" s="340" t="s">
        <v>1071</v>
      </c>
      <c r="C193" s="341" t="s">
        <v>1172</v>
      </c>
      <c r="D193" s="341"/>
      <c r="E193" s="341"/>
      <c r="F193" s="344">
        <v>0</v>
      </c>
      <c r="G193" s="354"/>
    </row>
    <row r="194" spans="2:8" ht="20.100000000000001" customHeight="1" x14ac:dyDescent="0.25">
      <c r="B194" s="340" t="s">
        <v>1072</v>
      </c>
      <c r="C194" s="341" t="s">
        <v>1173</v>
      </c>
      <c r="D194" s="341"/>
      <c r="E194" s="341"/>
      <c r="F194" s="344">
        <v>0</v>
      </c>
      <c r="G194" s="354"/>
    </row>
    <row r="195" spans="2:8" ht="20.100000000000001" customHeight="1" x14ac:dyDescent="0.25">
      <c r="B195" s="340" t="s">
        <v>1073</v>
      </c>
      <c r="C195" s="341" t="s">
        <v>1174</v>
      </c>
      <c r="D195" s="341"/>
      <c r="E195" s="341"/>
      <c r="F195" s="344">
        <v>0</v>
      </c>
      <c r="G195" s="354"/>
    </row>
    <row r="196" spans="2:8" ht="20.100000000000001" customHeight="1" x14ac:dyDescent="0.25">
      <c r="B196" s="340" t="s">
        <v>1074</v>
      </c>
      <c r="C196" s="341" t="s">
        <v>1175</v>
      </c>
      <c r="D196" s="341"/>
      <c r="E196" s="341"/>
      <c r="F196" s="344">
        <v>0</v>
      </c>
      <c r="G196" s="354"/>
    </row>
    <row r="197" spans="2:8" ht="20.100000000000001" customHeight="1" x14ac:dyDescent="0.25">
      <c r="B197" s="340" t="s">
        <v>1075</v>
      </c>
      <c r="C197" s="341" t="s">
        <v>1176</v>
      </c>
      <c r="D197" s="341"/>
      <c r="E197" s="341"/>
      <c r="F197" s="344">
        <v>0</v>
      </c>
      <c r="G197" s="354"/>
    </row>
    <row r="198" spans="2:8" ht="20.100000000000001" customHeight="1" x14ac:dyDescent="0.25">
      <c r="B198" s="340" t="s">
        <v>1076</v>
      </c>
      <c r="C198" s="341" t="s">
        <v>1177</v>
      </c>
      <c r="D198" s="341"/>
      <c r="E198" s="341"/>
      <c r="F198" s="344">
        <v>0</v>
      </c>
      <c r="G198" s="354"/>
    </row>
    <row r="199" spans="2:8" ht="20.100000000000001" customHeight="1" x14ac:dyDescent="0.25">
      <c r="B199" s="355" t="s">
        <v>1152</v>
      </c>
      <c r="C199" s="341" t="s">
        <v>1178</v>
      </c>
      <c r="E199" s="356"/>
      <c r="F199" s="344"/>
      <c r="G199" s="343"/>
    </row>
    <row r="200" spans="2:8" ht="20.100000000000001" customHeight="1" x14ac:dyDescent="0.25">
      <c r="B200" s="340" t="s">
        <v>1153</v>
      </c>
      <c r="C200" s="341" t="s">
        <v>1179</v>
      </c>
      <c r="D200" s="341"/>
      <c r="E200" s="341"/>
      <c r="F200" s="344"/>
      <c r="G200" s="343"/>
    </row>
    <row r="201" spans="2:8" ht="20.100000000000001" customHeight="1" x14ac:dyDescent="0.25">
      <c r="B201" s="340" t="s">
        <v>1154</v>
      </c>
      <c r="C201" s="341" t="s">
        <v>1155</v>
      </c>
      <c r="D201" s="341"/>
      <c r="E201" s="341"/>
      <c r="F201" s="344"/>
      <c r="G201" s="343"/>
    </row>
    <row r="202" spans="2:8" ht="20.100000000000001" customHeight="1" x14ac:dyDescent="0.55000000000000004">
      <c r="B202" s="340" t="s">
        <v>1358</v>
      </c>
      <c r="C202" s="341" t="s">
        <v>1273</v>
      </c>
      <c r="D202" s="341"/>
      <c r="E202" s="341"/>
      <c r="F202" s="344"/>
      <c r="G202" s="343"/>
      <c r="H202" s="35"/>
    </row>
    <row r="203" spans="2:8" ht="20.100000000000001" customHeight="1" x14ac:dyDescent="0.55000000000000004">
      <c r="B203" s="340" t="s">
        <v>1359</v>
      </c>
      <c r="C203" s="341" t="s">
        <v>1274</v>
      </c>
      <c r="D203" s="341"/>
      <c r="E203" s="341"/>
      <c r="F203" s="344"/>
      <c r="G203" s="343"/>
      <c r="H203" s="35"/>
    </row>
    <row r="204" spans="2:8" ht="20.100000000000001" customHeight="1" x14ac:dyDescent="0.55000000000000004">
      <c r="B204" s="340"/>
      <c r="C204" s="341"/>
      <c r="D204" s="341"/>
      <c r="E204" s="341"/>
      <c r="F204" s="344"/>
      <c r="G204" s="343"/>
      <c r="H204" s="35"/>
    </row>
    <row r="205" spans="2:8" ht="20.100000000000001" customHeight="1" x14ac:dyDescent="0.55000000000000004">
      <c r="B205" s="340"/>
      <c r="C205" s="341"/>
      <c r="D205" s="341"/>
      <c r="E205" s="341"/>
      <c r="F205" s="344"/>
      <c r="G205" s="343" t="e">
        <f>#REF!</f>
        <v>#REF!</v>
      </c>
      <c r="H205" s="35"/>
    </row>
    <row r="206" spans="2:8" ht="20.100000000000001" customHeight="1" x14ac:dyDescent="0.55000000000000004">
      <c r="B206" s="350" t="s">
        <v>802</v>
      </c>
      <c r="C206" s="342" t="s">
        <v>2059</v>
      </c>
      <c r="D206" s="342" t="s">
        <v>861</v>
      </c>
      <c r="E206" s="341"/>
      <c r="F206" s="344"/>
      <c r="G206" s="354"/>
      <c r="H206" s="35"/>
    </row>
    <row r="207" spans="2:8" ht="20.100000000000001" customHeight="1" x14ac:dyDescent="0.55000000000000004">
      <c r="B207" s="340" t="s">
        <v>803</v>
      </c>
      <c r="C207" s="341" t="s">
        <v>892</v>
      </c>
      <c r="D207" s="341"/>
      <c r="E207" s="341"/>
      <c r="F207" s="344"/>
      <c r="G207" s="354" t="e">
        <f>#REF!</f>
        <v>#REF!</v>
      </c>
      <c r="H207" s="35"/>
    </row>
    <row r="208" spans="2:8" ht="20.100000000000001" customHeight="1" x14ac:dyDescent="0.55000000000000004">
      <c r="B208" s="340" t="s">
        <v>804</v>
      </c>
      <c r="C208" s="341" t="s">
        <v>893</v>
      </c>
      <c r="D208" s="341"/>
      <c r="E208" s="341"/>
      <c r="F208" s="344"/>
      <c r="G208" s="354" t="e">
        <f>#REF!</f>
        <v>#REF!</v>
      </c>
      <c r="H208" s="35"/>
    </row>
    <row r="209" spans="2:8" ht="20.100000000000001" customHeight="1" x14ac:dyDescent="0.55000000000000004">
      <c r="B209" s="340" t="s">
        <v>805</v>
      </c>
      <c r="C209" s="341" t="s">
        <v>954</v>
      </c>
      <c r="D209" s="341"/>
      <c r="E209" s="341"/>
      <c r="F209" s="344"/>
      <c r="G209" s="354" t="e">
        <f>#REF!</f>
        <v>#REF!</v>
      </c>
      <c r="H209" s="35"/>
    </row>
    <row r="210" spans="2:8" ht="20.100000000000001" customHeight="1" x14ac:dyDescent="0.55000000000000004">
      <c r="B210" s="340" t="s">
        <v>806</v>
      </c>
      <c r="C210" s="341" t="s">
        <v>48</v>
      </c>
      <c r="D210" s="341"/>
      <c r="E210" s="341"/>
      <c r="F210" s="344"/>
      <c r="G210" s="354" t="e">
        <f>#REF!</f>
        <v>#REF!</v>
      </c>
      <c r="H210" s="35"/>
    </row>
    <row r="211" spans="2:8" ht="20.100000000000001" customHeight="1" x14ac:dyDescent="0.55000000000000004">
      <c r="B211" s="340" t="s">
        <v>807</v>
      </c>
      <c r="C211" s="341" t="s">
        <v>49</v>
      </c>
      <c r="D211" s="341"/>
      <c r="E211" s="341"/>
      <c r="F211" s="344"/>
      <c r="G211" s="354" t="e">
        <f>#REF!</f>
        <v>#REF!</v>
      </c>
      <c r="H211" s="35"/>
    </row>
    <row r="212" spans="2:8" ht="20.100000000000001" customHeight="1" x14ac:dyDescent="0.55000000000000004">
      <c r="B212" s="340" t="s">
        <v>808</v>
      </c>
      <c r="C212" s="341" t="s">
        <v>50</v>
      </c>
      <c r="D212" s="341"/>
      <c r="E212" s="341"/>
      <c r="F212" s="344"/>
      <c r="G212" s="354" t="e">
        <f>#REF!</f>
        <v>#REF!</v>
      </c>
      <c r="H212" s="35"/>
    </row>
    <row r="213" spans="2:8" ht="20.100000000000001" customHeight="1" x14ac:dyDescent="0.55000000000000004">
      <c r="B213" s="340" t="s">
        <v>809</v>
      </c>
      <c r="C213" s="341" t="s">
        <v>51</v>
      </c>
      <c r="D213" s="341"/>
      <c r="E213" s="341"/>
      <c r="F213" s="344"/>
      <c r="G213" s="354" t="e">
        <f>#REF!</f>
        <v>#REF!</v>
      </c>
      <c r="H213" s="35"/>
    </row>
    <row r="214" spans="2:8" ht="20.100000000000001" customHeight="1" x14ac:dyDescent="0.55000000000000004">
      <c r="B214" s="340" t="s">
        <v>810</v>
      </c>
      <c r="C214" s="341" t="s">
        <v>52</v>
      </c>
      <c r="D214" s="341"/>
      <c r="E214" s="341"/>
      <c r="F214" s="344"/>
      <c r="G214" s="354" t="e">
        <f>#REF!</f>
        <v>#REF!</v>
      </c>
      <c r="H214" s="35"/>
    </row>
    <row r="215" spans="2:8" ht="20.100000000000001" customHeight="1" x14ac:dyDescent="0.55000000000000004">
      <c r="B215" s="340" t="s">
        <v>811</v>
      </c>
      <c r="C215" s="341" t="s">
        <v>53</v>
      </c>
      <c r="D215" s="341"/>
      <c r="E215" s="341"/>
      <c r="F215" s="344"/>
      <c r="G215" s="354" t="e">
        <f>#REF!</f>
        <v>#REF!</v>
      </c>
      <c r="H215" s="35"/>
    </row>
    <row r="216" spans="2:8" ht="20.100000000000001" customHeight="1" x14ac:dyDescent="0.55000000000000004">
      <c r="B216" s="340" t="s">
        <v>812</v>
      </c>
      <c r="C216" s="341" t="s">
        <v>54</v>
      </c>
      <c r="D216" s="341"/>
      <c r="E216" s="341"/>
      <c r="F216" s="344"/>
      <c r="G216" s="354" t="e">
        <f>#REF!</f>
        <v>#REF!</v>
      </c>
      <c r="H216" s="35"/>
    </row>
    <row r="217" spans="2:8" ht="20.100000000000001" customHeight="1" x14ac:dyDescent="0.55000000000000004">
      <c r="B217" s="340" t="s">
        <v>813</v>
      </c>
      <c r="C217" s="341" t="s">
        <v>680</v>
      </c>
      <c r="D217" s="341"/>
      <c r="E217" s="341"/>
      <c r="F217" s="344"/>
      <c r="G217" s="354" t="e">
        <f>#REF!</f>
        <v>#REF!</v>
      </c>
      <c r="H217" s="35"/>
    </row>
    <row r="218" spans="2:8" ht="20.100000000000001" customHeight="1" x14ac:dyDescent="0.55000000000000004">
      <c r="B218" s="340" t="s">
        <v>814</v>
      </c>
      <c r="C218" s="341" t="s">
        <v>681</v>
      </c>
      <c r="D218" s="341"/>
      <c r="E218" s="341"/>
      <c r="F218" s="344"/>
      <c r="G218" s="354" t="e">
        <f>#REF!</f>
        <v>#REF!</v>
      </c>
      <c r="H218" s="35"/>
    </row>
    <row r="219" spans="2:8" ht="20.100000000000001" customHeight="1" x14ac:dyDescent="0.55000000000000004">
      <c r="B219" s="340" t="s">
        <v>815</v>
      </c>
      <c r="C219" s="341" t="s">
        <v>682</v>
      </c>
      <c r="D219" s="341"/>
      <c r="E219" s="341"/>
      <c r="F219" s="344"/>
      <c r="G219" s="354" t="e">
        <f>#REF!</f>
        <v>#REF!</v>
      </c>
      <c r="H219" s="35"/>
    </row>
    <row r="220" spans="2:8" ht="20.100000000000001" customHeight="1" x14ac:dyDescent="0.55000000000000004">
      <c r="B220" s="340" t="s">
        <v>816</v>
      </c>
      <c r="C220" s="341" t="s">
        <v>683</v>
      </c>
      <c r="D220" s="341"/>
      <c r="E220" s="341"/>
      <c r="F220" s="344"/>
      <c r="G220" s="354" t="e">
        <f>#REF!</f>
        <v>#REF!</v>
      </c>
      <c r="H220" s="357"/>
    </row>
    <row r="221" spans="2:8" ht="20.100000000000001" customHeight="1" x14ac:dyDescent="0.55000000000000004">
      <c r="B221" s="340" t="s">
        <v>817</v>
      </c>
      <c r="C221" s="341" t="s">
        <v>684</v>
      </c>
      <c r="D221" s="341"/>
      <c r="E221" s="341"/>
      <c r="F221" s="344"/>
      <c r="G221" s="354" t="e">
        <f>#REF!</f>
        <v>#REF!</v>
      </c>
      <c r="H221" s="35"/>
    </row>
    <row r="222" spans="2:8" ht="20.100000000000001" customHeight="1" x14ac:dyDescent="0.55000000000000004">
      <c r="B222" s="340" t="s">
        <v>818</v>
      </c>
      <c r="C222" s="341" t="s">
        <v>685</v>
      </c>
      <c r="D222" s="341"/>
      <c r="E222" s="341"/>
      <c r="F222" s="344"/>
      <c r="G222" s="354" t="e">
        <f>#REF!</f>
        <v>#REF!</v>
      </c>
      <c r="H222" s="35"/>
    </row>
    <row r="223" spans="2:8" ht="20.100000000000001" customHeight="1" x14ac:dyDescent="0.55000000000000004">
      <c r="B223" s="340" t="s">
        <v>819</v>
      </c>
      <c r="C223" s="341" t="s">
        <v>686</v>
      </c>
      <c r="D223" s="341"/>
      <c r="E223" s="341"/>
      <c r="F223" s="344"/>
      <c r="G223" s="354" t="e">
        <f>#REF!</f>
        <v>#REF!</v>
      </c>
      <c r="H223" s="35"/>
    </row>
    <row r="224" spans="2:8" ht="20.100000000000001" customHeight="1" x14ac:dyDescent="0.55000000000000004">
      <c r="B224" s="340" t="s">
        <v>820</v>
      </c>
      <c r="C224" s="341" t="s">
        <v>687</v>
      </c>
      <c r="D224" s="341"/>
      <c r="E224" s="341"/>
      <c r="F224" s="344"/>
      <c r="G224" s="354" t="e">
        <f>#REF!</f>
        <v>#REF!</v>
      </c>
      <c r="H224" s="35"/>
    </row>
    <row r="225" spans="2:8" ht="20.100000000000001" customHeight="1" x14ac:dyDescent="0.55000000000000004">
      <c r="B225" s="340" t="s">
        <v>821</v>
      </c>
      <c r="C225" s="341" t="s">
        <v>688</v>
      </c>
      <c r="D225" s="341"/>
      <c r="E225" s="341"/>
      <c r="F225" s="344"/>
      <c r="G225" s="354" t="e">
        <f>#REF!</f>
        <v>#REF!</v>
      </c>
      <c r="H225" s="35"/>
    </row>
    <row r="226" spans="2:8" ht="20.100000000000001" customHeight="1" x14ac:dyDescent="0.55000000000000004">
      <c r="B226" s="340" t="s">
        <v>822</v>
      </c>
      <c r="C226" s="341" t="s">
        <v>689</v>
      </c>
      <c r="D226" s="341"/>
      <c r="E226" s="341"/>
      <c r="F226" s="344"/>
      <c r="G226" s="354" t="e">
        <f>#REF!</f>
        <v>#REF!</v>
      </c>
      <c r="H226" s="35"/>
    </row>
    <row r="227" spans="2:8" ht="20.100000000000001" customHeight="1" x14ac:dyDescent="0.55000000000000004">
      <c r="B227" s="340" t="s">
        <v>823</v>
      </c>
      <c r="C227" s="341" t="s">
        <v>690</v>
      </c>
      <c r="D227" s="341"/>
      <c r="E227" s="341"/>
      <c r="F227" s="344"/>
      <c r="G227" s="354" t="e">
        <f>#REF!</f>
        <v>#REF!</v>
      </c>
      <c r="H227" s="35"/>
    </row>
    <row r="228" spans="2:8" ht="20.100000000000001" customHeight="1" x14ac:dyDescent="0.55000000000000004">
      <c r="B228" s="340" t="s">
        <v>824</v>
      </c>
      <c r="C228" s="341" t="s">
        <v>691</v>
      </c>
      <c r="D228" s="341"/>
      <c r="E228" s="341"/>
      <c r="F228" s="344"/>
      <c r="G228" s="354" t="e">
        <f>#REF!</f>
        <v>#REF!</v>
      </c>
      <c r="H228" s="35"/>
    </row>
    <row r="229" spans="2:8" ht="20.100000000000001" customHeight="1" x14ac:dyDescent="0.55000000000000004">
      <c r="B229" s="340" t="s">
        <v>825</v>
      </c>
      <c r="C229" s="341" t="s">
        <v>692</v>
      </c>
      <c r="D229" s="341"/>
      <c r="E229" s="341"/>
      <c r="F229" s="344"/>
      <c r="G229" s="354" t="e">
        <f>#REF!</f>
        <v>#REF!</v>
      </c>
      <c r="H229" s="35"/>
    </row>
    <row r="230" spans="2:8" ht="20.100000000000001" customHeight="1" x14ac:dyDescent="0.55000000000000004">
      <c r="B230" s="340" t="s">
        <v>826</v>
      </c>
      <c r="C230" s="341" t="s">
        <v>693</v>
      </c>
      <c r="D230" s="341"/>
      <c r="E230" s="341"/>
      <c r="F230" s="344"/>
      <c r="G230" s="354" t="e">
        <f>#REF!</f>
        <v>#REF!</v>
      </c>
      <c r="H230" s="35"/>
    </row>
    <row r="231" spans="2:8" ht="20.100000000000001" customHeight="1" x14ac:dyDescent="0.55000000000000004">
      <c r="B231" s="340" t="s">
        <v>827</v>
      </c>
      <c r="C231" s="341" t="s">
        <v>694</v>
      </c>
      <c r="D231" s="341"/>
      <c r="E231" s="341"/>
      <c r="F231" s="344"/>
      <c r="G231" s="354" t="e">
        <f>#REF!</f>
        <v>#REF!</v>
      </c>
      <c r="H231" s="35"/>
    </row>
    <row r="232" spans="2:8" ht="20.100000000000001" customHeight="1" x14ac:dyDescent="0.55000000000000004">
      <c r="B232" s="340" t="s">
        <v>828</v>
      </c>
      <c r="C232" s="341" t="s">
        <v>695</v>
      </c>
      <c r="D232" s="341"/>
      <c r="E232" s="341"/>
      <c r="F232" s="344"/>
      <c r="G232" s="354" t="e">
        <f>#REF!</f>
        <v>#REF!</v>
      </c>
      <c r="H232" s="35"/>
    </row>
    <row r="233" spans="2:8" ht="20.100000000000001" customHeight="1" x14ac:dyDescent="0.55000000000000004">
      <c r="B233" s="340" t="s">
        <v>829</v>
      </c>
      <c r="C233" s="341" t="s">
        <v>696</v>
      </c>
      <c r="D233" s="341"/>
      <c r="E233" s="341"/>
      <c r="F233" s="344"/>
      <c r="G233" s="343" t="e">
        <f>#REF!</f>
        <v>#REF!</v>
      </c>
      <c r="H233" s="35"/>
    </row>
    <row r="234" spans="2:8" ht="20.100000000000001" customHeight="1" x14ac:dyDescent="0.55000000000000004">
      <c r="B234" s="340" t="s">
        <v>830</v>
      </c>
      <c r="C234" s="341" t="s">
        <v>697</v>
      </c>
      <c r="D234" s="341"/>
      <c r="E234" s="341"/>
      <c r="F234" s="344"/>
      <c r="G234" s="343" t="e">
        <f>#REF!</f>
        <v>#REF!</v>
      </c>
      <c r="H234" s="35"/>
    </row>
    <row r="235" spans="2:8" ht="20.100000000000001" customHeight="1" x14ac:dyDescent="0.55000000000000004">
      <c r="B235" s="340" t="s">
        <v>831</v>
      </c>
      <c r="C235" s="341" t="s">
        <v>698</v>
      </c>
      <c r="D235" s="341"/>
      <c r="E235" s="341"/>
      <c r="F235" s="344"/>
      <c r="G235" s="344" t="e">
        <f>SUM(G82:G234)</f>
        <v>#REF!</v>
      </c>
      <c r="H235" s="35"/>
    </row>
    <row r="236" spans="2:8" ht="20.100000000000001" customHeight="1" x14ac:dyDescent="0.55000000000000004">
      <c r="B236" s="340" t="s">
        <v>832</v>
      </c>
      <c r="C236" s="341" t="s">
        <v>699</v>
      </c>
      <c r="D236" s="341"/>
      <c r="E236" s="341"/>
      <c r="F236" s="344"/>
      <c r="G236" s="344"/>
      <c r="H236" s="35"/>
    </row>
    <row r="237" spans="2:8" ht="20.100000000000001" customHeight="1" x14ac:dyDescent="0.55000000000000004">
      <c r="B237" s="338"/>
      <c r="F237" s="336"/>
      <c r="G237" s="336"/>
      <c r="H237" s="35"/>
    </row>
    <row r="238" spans="2:8" ht="20.100000000000001" customHeight="1" x14ac:dyDescent="0.55000000000000004">
      <c r="B238" s="334" t="s">
        <v>484</v>
      </c>
      <c r="C238" s="335" t="s">
        <v>485</v>
      </c>
      <c r="D238" s="335" t="s">
        <v>23</v>
      </c>
      <c r="F238" s="344"/>
      <c r="G238" s="343"/>
      <c r="H238" s="35"/>
    </row>
    <row r="239" spans="2:8" ht="20.100000000000001" customHeight="1" x14ac:dyDescent="0.55000000000000004">
      <c r="B239" s="334" t="s">
        <v>907</v>
      </c>
      <c r="C239" s="335" t="s">
        <v>1360</v>
      </c>
      <c r="D239" s="335"/>
      <c r="F239" s="344"/>
      <c r="G239" s="343"/>
      <c r="H239" s="35"/>
    </row>
    <row r="240" spans="2:8" ht="20.100000000000001" customHeight="1" x14ac:dyDescent="0.55000000000000004">
      <c r="B240" s="334" t="s">
        <v>1242</v>
      </c>
      <c r="C240" s="335" t="s">
        <v>967</v>
      </c>
      <c r="D240" s="335"/>
      <c r="F240" s="344"/>
      <c r="G240" s="343"/>
      <c r="H240" s="35"/>
    </row>
    <row r="241" spans="2:8" ht="20.100000000000001" customHeight="1" x14ac:dyDescent="0.55000000000000004">
      <c r="B241" s="334" t="s">
        <v>2723</v>
      </c>
      <c r="C241" s="335" t="s">
        <v>2724</v>
      </c>
      <c r="D241" s="335"/>
      <c r="F241" s="344"/>
      <c r="G241" s="343"/>
      <c r="H241" s="35"/>
    </row>
    <row r="242" spans="2:8" ht="20.100000000000001" customHeight="1" x14ac:dyDescent="0.55000000000000004">
      <c r="B242" s="340" t="s">
        <v>383</v>
      </c>
      <c r="C242" s="341"/>
      <c r="D242" s="15"/>
      <c r="E242" s="15"/>
      <c r="F242" s="344"/>
      <c r="G242" s="343"/>
      <c r="H242" s="35"/>
    </row>
    <row r="243" spans="2:8" ht="20.100000000000001" customHeight="1" x14ac:dyDescent="0.55000000000000004">
      <c r="B243" s="340" t="s">
        <v>384</v>
      </c>
      <c r="C243" s="15"/>
      <c r="D243" s="15"/>
      <c r="E243" s="15"/>
      <c r="F243" s="344"/>
      <c r="G243" s="343"/>
      <c r="H243" s="35"/>
    </row>
    <row r="244" spans="2:8" ht="20.100000000000001" customHeight="1" x14ac:dyDescent="0.55000000000000004">
      <c r="B244" s="340" t="s">
        <v>385</v>
      </c>
      <c r="C244" s="15"/>
      <c r="D244" s="15"/>
      <c r="E244" s="15"/>
      <c r="F244" s="344"/>
      <c r="G244" s="343"/>
      <c r="H244" s="35"/>
    </row>
    <row r="245" spans="2:8" ht="20.100000000000001" customHeight="1" x14ac:dyDescent="0.55000000000000004">
      <c r="B245" s="340" t="s">
        <v>386</v>
      </c>
      <c r="C245" s="15"/>
      <c r="D245" s="15"/>
      <c r="E245" s="15"/>
      <c r="F245" s="344"/>
      <c r="G245" s="343"/>
      <c r="H245" s="35"/>
    </row>
    <row r="246" spans="2:8" ht="20.100000000000001" customHeight="1" x14ac:dyDescent="0.55000000000000004">
      <c r="B246" s="340" t="s">
        <v>387</v>
      </c>
      <c r="C246" s="15"/>
      <c r="D246" s="15"/>
      <c r="E246" s="15"/>
      <c r="F246" s="344"/>
      <c r="G246" s="343"/>
      <c r="H246" s="35"/>
    </row>
    <row r="247" spans="2:8" ht="20.100000000000001" customHeight="1" x14ac:dyDescent="0.55000000000000004">
      <c r="B247" s="340" t="s">
        <v>388</v>
      </c>
      <c r="C247" s="15"/>
      <c r="D247" s="15"/>
      <c r="E247" s="15"/>
      <c r="F247" s="344"/>
      <c r="G247" s="343"/>
      <c r="H247" s="35"/>
    </row>
    <row r="248" spans="2:8" ht="20.100000000000001" customHeight="1" x14ac:dyDescent="0.55000000000000004">
      <c r="B248" s="340" t="s">
        <v>389</v>
      </c>
      <c r="C248" s="15"/>
      <c r="D248" s="15"/>
      <c r="E248" s="15"/>
      <c r="F248" s="344"/>
      <c r="G248" s="343"/>
      <c r="H248" s="35"/>
    </row>
    <row r="249" spans="2:8" ht="20.100000000000001" customHeight="1" x14ac:dyDescent="0.55000000000000004">
      <c r="B249" s="340" t="s">
        <v>390</v>
      </c>
      <c r="C249" s="15"/>
      <c r="D249" s="15"/>
      <c r="E249" s="15"/>
      <c r="F249" s="344"/>
      <c r="G249" s="343"/>
      <c r="H249" s="35"/>
    </row>
    <row r="250" spans="2:8" ht="20.100000000000001" customHeight="1" x14ac:dyDescent="0.55000000000000004">
      <c r="B250" s="340" t="s">
        <v>391</v>
      </c>
      <c r="C250" s="15"/>
      <c r="D250" s="15"/>
      <c r="E250" s="15"/>
      <c r="F250" s="344"/>
      <c r="G250" s="343"/>
      <c r="H250" s="35"/>
    </row>
    <row r="251" spans="2:8" ht="20.100000000000001" customHeight="1" x14ac:dyDescent="0.55000000000000004">
      <c r="B251" s="340" t="s">
        <v>392</v>
      </c>
      <c r="C251" s="15"/>
      <c r="D251" s="15"/>
      <c r="E251" s="15"/>
      <c r="F251" s="344"/>
      <c r="G251" s="343"/>
      <c r="H251" s="35"/>
    </row>
    <row r="252" spans="2:8" ht="20.100000000000001" customHeight="1" x14ac:dyDescent="0.55000000000000004">
      <c r="B252" s="340" t="s">
        <v>393</v>
      </c>
      <c r="C252" s="15"/>
      <c r="D252" s="15"/>
      <c r="E252" s="15"/>
      <c r="F252" s="344"/>
      <c r="G252" s="343"/>
      <c r="H252" s="35"/>
    </row>
    <row r="253" spans="2:8" ht="20.100000000000001" customHeight="1" x14ac:dyDescent="0.55000000000000004">
      <c r="B253" s="340" t="s">
        <v>394</v>
      </c>
      <c r="C253" s="15"/>
      <c r="D253" s="15"/>
      <c r="E253" s="15"/>
      <c r="F253" s="344"/>
      <c r="G253" s="343"/>
      <c r="H253" s="35"/>
    </row>
    <row r="254" spans="2:8" ht="20.100000000000001" customHeight="1" x14ac:dyDescent="0.55000000000000004">
      <c r="B254" s="340" t="s">
        <v>395</v>
      </c>
      <c r="C254" s="15"/>
      <c r="D254" s="15"/>
      <c r="E254" s="15"/>
      <c r="F254" s="344"/>
      <c r="G254" s="343"/>
      <c r="H254" s="35"/>
    </row>
    <row r="255" spans="2:8" ht="20.100000000000001" customHeight="1" x14ac:dyDescent="0.55000000000000004">
      <c r="B255" s="340" t="s">
        <v>396</v>
      </c>
      <c r="C255" s="15"/>
      <c r="D255" s="15"/>
      <c r="E255" s="15"/>
      <c r="F255" s="344"/>
      <c r="G255" s="343"/>
      <c r="H255" s="35"/>
    </row>
    <row r="256" spans="2:8" ht="20.100000000000001" customHeight="1" x14ac:dyDescent="0.55000000000000004">
      <c r="B256" s="340" t="s">
        <v>397</v>
      </c>
      <c r="C256" s="15"/>
      <c r="D256" s="15"/>
      <c r="E256" s="15"/>
      <c r="F256" s="344"/>
      <c r="G256" s="343"/>
      <c r="H256" s="35"/>
    </row>
    <row r="257" spans="2:8" ht="20.100000000000001" customHeight="1" x14ac:dyDescent="0.55000000000000004">
      <c r="B257" s="340" t="s">
        <v>398</v>
      </c>
      <c r="C257" s="15"/>
      <c r="D257" s="15"/>
      <c r="E257" s="15"/>
      <c r="F257" s="344"/>
      <c r="G257" s="343"/>
      <c r="H257" s="35"/>
    </row>
    <row r="258" spans="2:8" ht="20.100000000000001" customHeight="1" x14ac:dyDescent="0.55000000000000004">
      <c r="B258" s="340" t="s">
        <v>399</v>
      </c>
      <c r="C258" s="15"/>
      <c r="D258" s="15"/>
      <c r="E258" s="15"/>
      <c r="F258" s="344"/>
      <c r="G258" s="343"/>
      <c r="H258" s="35"/>
    </row>
    <row r="259" spans="2:8" ht="20.100000000000001" customHeight="1" x14ac:dyDescent="0.55000000000000004">
      <c r="B259" s="340" t="s">
        <v>400</v>
      </c>
      <c r="C259" s="15"/>
      <c r="D259" s="15"/>
      <c r="E259" s="15"/>
      <c r="F259" s="344"/>
      <c r="G259" s="343"/>
      <c r="H259" s="35"/>
    </row>
    <row r="260" spans="2:8" ht="20.100000000000001" customHeight="1" x14ac:dyDescent="0.55000000000000004">
      <c r="B260" s="340" t="s">
        <v>401</v>
      </c>
      <c r="C260" s="15"/>
      <c r="D260" s="15"/>
      <c r="E260" s="15"/>
      <c r="F260" s="344"/>
      <c r="G260" s="343"/>
      <c r="H260" s="35"/>
    </row>
    <row r="261" spans="2:8" ht="20.100000000000001" customHeight="1" x14ac:dyDescent="0.55000000000000004">
      <c r="B261" s="340" t="s">
        <v>402</v>
      </c>
      <c r="C261" s="15"/>
      <c r="D261" s="15"/>
      <c r="E261" s="15"/>
      <c r="F261" s="344"/>
      <c r="G261" s="343"/>
      <c r="H261" s="35"/>
    </row>
    <row r="262" spans="2:8" ht="20.100000000000001" customHeight="1" x14ac:dyDescent="0.55000000000000004">
      <c r="B262" s="340" t="s">
        <v>403</v>
      </c>
      <c r="C262" s="15"/>
      <c r="D262" s="15"/>
      <c r="E262" s="15"/>
      <c r="F262" s="344"/>
      <c r="G262" s="343"/>
      <c r="H262" s="35"/>
    </row>
    <row r="263" spans="2:8" ht="20.100000000000001" customHeight="1" x14ac:dyDescent="0.55000000000000004">
      <c r="B263" s="340" t="s">
        <v>404</v>
      </c>
      <c r="C263" s="15"/>
      <c r="D263" s="15"/>
      <c r="E263" s="15"/>
      <c r="F263" s="344"/>
      <c r="G263" s="343"/>
      <c r="H263" s="35"/>
    </row>
    <row r="264" spans="2:8" ht="20.100000000000001" customHeight="1" x14ac:dyDescent="0.55000000000000004">
      <c r="B264" s="340" t="s">
        <v>405</v>
      </c>
      <c r="C264" s="15"/>
      <c r="D264" s="15"/>
      <c r="E264" s="15"/>
      <c r="F264" s="344"/>
      <c r="G264" s="343"/>
      <c r="H264" s="35"/>
    </row>
    <row r="265" spans="2:8" ht="20.100000000000001" customHeight="1" x14ac:dyDescent="0.55000000000000004">
      <c r="B265" s="340" t="s">
        <v>406</v>
      </c>
      <c r="C265" s="15"/>
      <c r="D265" s="15"/>
      <c r="E265" s="15"/>
      <c r="F265" s="344"/>
      <c r="G265" s="343"/>
      <c r="H265" s="35"/>
    </row>
    <row r="266" spans="2:8" ht="20.100000000000001" customHeight="1" x14ac:dyDescent="0.55000000000000004">
      <c r="B266" s="340" t="s">
        <v>407</v>
      </c>
      <c r="C266" s="15"/>
      <c r="D266" s="15"/>
      <c r="E266" s="15"/>
      <c r="F266" s="344"/>
      <c r="G266" s="343"/>
      <c r="H266" s="35"/>
    </row>
    <row r="267" spans="2:8" ht="20.100000000000001" customHeight="1" x14ac:dyDescent="0.55000000000000004">
      <c r="B267" s="340" t="s">
        <v>408</v>
      </c>
      <c r="C267" s="15"/>
      <c r="D267" s="15"/>
      <c r="E267" s="15"/>
      <c r="F267" s="344"/>
      <c r="G267" s="343"/>
      <c r="H267" s="35"/>
    </row>
    <row r="268" spans="2:8" ht="20.100000000000001" customHeight="1" x14ac:dyDescent="0.55000000000000004">
      <c r="B268" s="340" t="s">
        <v>409</v>
      </c>
      <c r="C268" s="15"/>
      <c r="D268" s="15"/>
      <c r="E268" s="15"/>
      <c r="F268" s="344"/>
      <c r="G268" s="343"/>
      <c r="H268" s="35"/>
    </row>
    <row r="269" spans="2:8" ht="20.100000000000001" customHeight="1" x14ac:dyDescent="0.55000000000000004">
      <c r="B269" s="340" t="s">
        <v>410</v>
      </c>
      <c r="C269" s="15"/>
      <c r="D269" s="15"/>
      <c r="E269" s="15"/>
      <c r="F269" s="344"/>
      <c r="G269" s="343"/>
      <c r="H269" s="35"/>
    </row>
    <row r="270" spans="2:8" ht="20.100000000000001" customHeight="1" x14ac:dyDescent="0.55000000000000004">
      <c r="B270" s="340" t="s">
        <v>411</v>
      </c>
      <c r="C270" s="15"/>
      <c r="D270" s="15"/>
      <c r="E270" s="15"/>
      <c r="F270" s="344"/>
      <c r="G270" s="343"/>
      <c r="H270" s="35"/>
    </row>
    <row r="271" spans="2:8" ht="20.100000000000001" customHeight="1" x14ac:dyDescent="0.55000000000000004">
      <c r="B271" s="340" t="s">
        <v>412</v>
      </c>
      <c r="C271" s="15"/>
      <c r="D271" s="16"/>
      <c r="E271" s="15"/>
      <c r="F271" s="344"/>
      <c r="G271" s="343"/>
      <c r="H271" s="35"/>
    </row>
    <row r="272" spans="2:8" ht="20.100000000000001" customHeight="1" x14ac:dyDescent="0.55000000000000004">
      <c r="B272" s="340" t="s">
        <v>413</v>
      </c>
      <c r="C272" s="15"/>
      <c r="D272" s="16"/>
      <c r="E272" s="15"/>
      <c r="F272" s="344"/>
      <c r="G272" s="343"/>
      <c r="H272" s="35"/>
    </row>
    <row r="273" spans="2:8" ht="20.100000000000001" customHeight="1" x14ac:dyDescent="0.55000000000000004">
      <c r="B273" s="340" t="s">
        <v>414</v>
      </c>
      <c r="C273" s="15"/>
      <c r="D273" s="16"/>
      <c r="E273" s="15"/>
      <c r="F273" s="344"/>
      <c r="G273" s="343"/>
      <c r="H273" s="35"/>
    </row>
    <row r="274" spans="2:8" ht="20.100000000000001" customHeight="1" x14ac:dyDescent="0.55000000000000004">
      <c r="B274" s="340" t="s">
        <v>415</v>
      </c>
      <c r="C274" s="15"/>
      <c r="D274" s="16"/>
      <c r="E274" s="16"/>
      <c r="F274" s="344"/>
      <c r="G274" s="343"/>
      <c r="H274" s="35"/>
    </row>
    <row r="275" spans="2:8" ht="20.100000000000001" customHeight="1" x14ac:dyDescent="0.55000000000000004">
      <c r="B275" s="340" t="s">
        <v>416</v>
      </c>
      <c r="C275" s="15"/>
      <c r="D275" s="16"/>
      <c r="E275" s="16"/>
      <c r="F275" s="344"/>
      <c r="G275" s="343"/>
      <c r="H275" s="35"/>
    </row>
    <row r="276" spans="2:8" ht="20.100000000000001" customHeight="1" x14ac:dyDescent="0.55000000000000004">
      <c r="B276" s="340" t="s">
        <v>417</v>
      </c>
      <c r="C276" s="15"/>
      <c r="D276" s="16"/>
      <c r="E276" s="16"/>
      <c r="F276" s="344"/>
      <c r="G276" s="343"/>
      <c r="H276" s="35"/>
    </row>
    <row r="277" spans="2:8" ht="20.100000000000001" customHeight="1" x14ac:dyDescent="0.55000000000000004">
      <c r="B277" s="340" t="s">
        <v>418</v>
      </c>
      <c r="C277" s="15"/>
      <c r="D277" s="16"/>
      <c r="E277" s="16"/>
      <c r="F277" s="344"/>
      <c r="G277" s="343"/>
      <c r="H277" s="35"/>
    </row>
    <row r="278" spans="2:8" ht="20.100000000000001" customHeight="1" x14ac:dyDescent="0.55000000000000004">
      <c r="B278" s="340" t="s">
        <v>419</v>
      </c>
      <c r="C278" s="15"/>
      <c r="D278" s="16"/>
      <c r="E278" s="16"/>
      <c r="F278" s="344"/>
      <c r="G278" s="343"/>
      <c r="H278" s="35"/>
    </row>
    <row r="279" spans="2:8" ht="20.100000000000001" customHeight="1" x14ac:dyDescent="0.55000000000000004">
      <c r="B279" s="340" t="s">
        <v>420</v>
      </c>
      <c r="C279" s="15"/>
      <c r="D279" s="16"/>
      <c r="E279" s="16"/>
      <c r="F279" s="344"/>
      <c r="G279" s="343"/>
      <c r="H279" s="35"/>
    </row>
    <row r="280" spans="2:8" ht="20.100000000000001" customHeight="1" x14ac:dyDescent="0.55000000000000004">
      <c r="B280" s="340" t="s">
        <v>421</v>
      </c>
      <c r="C280" s="15"/>
      <c r="D280" s="16"/>
      <c r="E280" s="16"/>
      <c r="F280" s="344"/>
      <c r="G280" s="343"/>
      <c r="H280" s="35"/>
    </row>
    <row r="281" spans="2:8" ht="20.100000000000001" customHeight="1" x14ac:dyDescent="0.55000000000000004">
      <c r="B281" s="340" t="s">
        <v>422</v>
      </c>
      <c r="C281" s="15"/>
      <c r="D281" s="16"/>
      <c r="E281" s="16"/>
      <c r="F281" s="344"/>
      <c r="G281" s="343"/>
      <c r="H281" s="35"/>
    </row>
    <row r="282" spans="2:8" ht="20.100000000000001" customHeight="1" x14ac:dyDescent="0.55000000000000004">
      <c r="B282" s="340" t="s">
        <v>423</v>
      </c>
      <c r="C282" s="15"/>
      <c r="D282" s="16"/>
      <c r="E282" s="16"/>
      <c r="F282" s="344"/>
      <c r="G282" s="343"/>
      <c r="H282" s="35"/>
    </row>
    <row r="283" spans="2:8" ht="20.100000000000001" customHeight="1" x14ac:dyDescent="0.55000000000000004">
      <c r="B283" s="340" t="s">
        <v>424</v>
      </c>
      <c r="C283" s="327"/>
      <c r="D283" s="358"/>
      <c r="E283" s="327"/>
      <c r="F283" s="344"/>
      <c r="G283" s="343"/>
      <c r="H283" s="35"/>
    </row>
    <row r="284" spans="2:8" ht="20.100000000000001" customHeight="1" x14ac:dyDescent="0.55000000000000004">
      <c r="B284" s="340" t="s">
        <v>425</v>
      </c>
      <c r="C284" s="15"/>
      <c r="D284" s="15"/>
      <c r="E284" s="15"/>
      <c r="F284" s="344"/>
      <c r="G284" s="343"/>
      <c r="H284" s="35"/>
    </row>
    <row r="285" spans="2:8" ht="20.100000000000001" customHeight="1" x14ac:dyDescent="0.55000000000000004">
      <c r="B285" s="340" t="s">
        <v>426</v>
      </c>
      <c r="C285" s="327"/>
      <c r="D285" s="358"/>
      <c r="E285" s="327"/>
      <c r="F285" s="344"/>
      <c r="G285" s="343"/>
      <c r="H285" s="35"/>
    </row>
    <row r="286" spans="2:8" ht="20.100000000000001" customHeight="1" x14ac:dyDescent="0.55000000000000004">
      <c r="B286" s="340" t="s">
        <v>427</v>
      </c>
      <c r="C286" s="327"/>
      <c r="D286" s="358"/>
      <c r="E286" s="327"/>
      <c r="F286" s="344"/>
      <c r="G286" s="343"/>
      <c r="H286" s="35"/>
    </row>
    <row r="287" spans="2:8" ht="20.100000000000001" customHeight="1" x14ac:dyDescent="0.55000000000000004">
      <c r="B287" s="340" t="s">
        <v>428</v>
      </c>
      <c r="C287" s="327"/>
      <c r="D287" s="358"/>
      <c r="E287" s="327"/>
      <c r="F287" s="344"/>
      <c r="G287" s="343"/>
      <c r="H287" s="35"/>
    </row>
    <row r="288" spans="2:8" ht="20.100000000000001" customHeight="1" x14ac:dyDescent="0.55000000000000004">
      <c r="B288" s="340" t="s">
        <v>429</v>
      </c>
      <c r="C288" s="327"/>
      <c r="D288" s="358"/>
      <c r="E288" s="327"/>
      <c r="F288" s="344"/>
      <c r="G288" s="343"/>
      <c r="H288" s="35"/>
    </row>
    <row r="289" spans="2:8" ht="20.100000000000001" customHeight="1" x14ac:dyDescent="0.55000000000000004">
      <c r="B289" s="340" t="s">
        <v>430</v>
      </c>
      <c r="C289" s="327"/>
      <c r="D289" s="358"/>
      <c r="E289" s="327"/>
      <c r="F289" s="344"/>
      <c r="G289" s="343"/>
      <c r="H289" s="35"/>
    </row>
    <row r="290" spans="2:8" ht="20.100000000000001" customHeight="1" x14ac:dyDescent="0.55000000000000004">
      <c r="B290" s="340" t="s">
        <v>431</v>
      </c>
      <c r="C290" s="327"/>
      <c r="D290" s="358"/>
      <c r="E290" s="327"/>
      <c r="F290" s="344"/>
      <c r="G290" s="343"/>
      <c r="H290" s="35"/>
    </row>
    <row r="291" spans="2:8" ht="20.100000000000001" customHeight="1" x14ac:dyDescent="0.55000000000000004">
      <c r="B291" s="340" t="s">
        <v>432</v>
      </c>
      <c r="C291" s="327"/>
      <c r="D291" s="358"/>
      <c r="E291" s="327"/>
      <c r="F291" s="344"/>
      <c r="G291" s="343"/>
    </row>
    <row r="292" spans="2:8" ht="20.100000000000001" customHeight="1" x14ac:dyDescent="0.55000000000000004">
      <c r="B292" s="340" t="s">
        <v>433</v>
      </c>
      <c r="C292" s="15"/>
      <c r="D292" s="15"/>
      <c r="E292" s="327"/>
      <c r="F292" s="344"/>
      <c r="G292" s="343"/>
    </row>
    <row r="293" spans="2:8" ht="20.100000000000001" customHeight="1" x14ac:dyDescent="0.55000000000000004">
      <c r="B293" s="340" t="s">
        <v>434</v>
      </c>
      <c r="C293" s="327"/>
      <c r="D293" s="358"/>
      <c r="E293" s="327"/>
      <c r="F293" s="344"/>
      <c r="G293" s="343"/>
    </row>
    <row r="294" spans="2:8" ht="20.100000000000001" customHeight="1" x14ac:dyDescent="0.55000000000000004">
      <c r="B294" s="340" t="s">
        <v>435</v>
      </c>
      <c r="C294" s="327"/>
      <c r="D294" s="358"/>
      <c r="E294" s="327"/>
      <c r="F294" s="344"/>
      <c r="G294" s="343"/>
    </row>
    <row r="295" spans="2:8" ht="20.100000000000001" customHeight="1" x14ac:dyDescent="0.55000000000000004">
      <c r="B295" s="340" t="s">
        <v>436</v>
      </c>
      <c r="C295" s="15"/>
      <c r="D295" s="15"/>
      <c r="E295" s="327"/>
      <c r="F295" s="344"/>
      <c r="G295" s="343"/>
    </row>
    <row r="296" spans="2:8" ht="20.100000000000001" customHeight="1" x14ac:dyDescent="0.55000000000000004">
      <c r="B296" s="340" t="s">
        <v>437</v>
      </c>
      <c r="C296" s="15"/>
      <c r="D296" s="15"/>
      <c r="E296" s="15"/>
      <c r="F296" s="344"/>
      <c r="G296" s="343"/>
    </row>
    <row r="297" spans="2:8" ht="20.100000000000001" customHeight="1" x14ac:dyDescent="0.55000000000000004">
      <c r="B297" s="340" t="s">
        <v>438</v>
      </c>
      <c r="C297" s="327"/>
      <c r="D297" s="358"/>
      <c r="E297" s="327"/>
      <c r="F297" s="344"/>
      <c r="G297" s="343"/>
    </row>
    <row r="298" spans="2:8" ht="20.100000000000001" customHeight="1" x14ac:dyDescent="0.55000000000000004">
      <c r="B298" s="340" t="s">
        <v>439</v>
      </c>
      <c r="C298" s="327"/>
      <c r="D298" s="358"/>
      <c r="E298" s="327"/>
      <c r="F298" s="344"/>
      <c r="G298" s="343"/>
    </row>
    <row r="299" spans="2:8" ht="20.100000000000001" customHeight="1" x14ac:dyDescent="0.55000000000000004">
      <c r="B299" s="340" t="s">
        <v>440</v>
      </c>
      <c r="C299" s="327"/>
      <c r="D299" s="358"/>
      <c r="E299" s="327"/>
      <c r="F299" s="344"/>
      <c r="G299" s="343"/>
    </row>
    <row r="300" spans="2:8" ht="20.100000000000001" customHeight="1" x14ac:dyDescent="0.55000000000000004">
      <c r="B300" s="340" t="s">
        <v>441</v>
      </c>
      <c r="C300" s="327"/>
      <c r="D300" s="358"/>
      <c r="E300" s="327"/>
      <c r="F300" s="344"/>
      <c r="G300" s="343"/>
    </row>
    <row r="301" spans="2:8" ht="20.100000000000001" customHeight="1" x14ac:dyDescent="0.55000000000000004">
      <c r="B301" s="340" t="s">
        <v>442</v>
      </c>
      <c r="C301" s="327"/>
      <c r="D301" s="358"/>
      <c r="E301" s="327"/>
      <c r="F301" s="344"/>
      <c r="G301" s="343"/>
    </row>
    <row r="302" spans="2:8" ht="20.100000000000001" customHeight="1" x14ac:dyDescent="0.55000000000000004">
      <c r="B302" s="340" t="s">
        <v>443</v>
      </c>
      <c r="C302" s="15"/>
      <c r="D302" s="15"/>
      <c r="E302" s="15"/>
      <c r="F302" s="344"/>
      <c r="G302" s="343"/>
    </row>
    <row r="303" spans="2:8" ht="20.100000000000001" customHeight="1" x14ac:dyDescent="0.55000000000000004">
      <c r="B303" s="340" t="s">
        <v>444</v>
      </c>
      <c r="C303" s="15"/>
      <c r="D303" s="15"/>
      <c r="E303" s="15"/>
      <c r="F303" s="344"/>
      <c r="G303" s="343"/>
    </row>
    <row r="304" spans="2:8" ht="20.100000000000001" customHeight="1" x14ac:dyDescent="0.55000000000000004">
      <c r="B304" s="340" t="s">
        <v>445</v>
      </c>
      <c r="C304" s="327"/>
      <c r="D304" s="358"/>
      <c r="E304" s="327"/>
      <c r="F304" s="344"/>
      <c r="G304" s="343"/>
    </row>
    <row r="305" spans="2:8" ht="20.100000000000001" customHeight="1" x14ac:dyDescent="0.55000000000000004">
      <c r="B305" s="340" t="s">
        <v>446</v>
      </c>
      <c r="C305" s="15"/>
      <c r="D305" s="15"/>
      <c r="E305" s="15"/>
      <c r="F305" s="344"/>
      <c r="G305" s="343"/>
      <c r="H305" s="35"/>
    </row>
    <row r="306" spans="2:8" ht="20.100000000000001" customHeight="1" x14ac:dyDescent="0.55000000000000004">
      <c r="B306" s="340" t="s">
        <v>447</v>
      </c>
      <c r="C306" s="327"/>
      <c r="D306" s="358"/>
      <c r="E306" s="327"/>
      <c r="F306" s="344"/>
      <c r="G306" s="343"/>
      <c r="H306" s="35"/>
    </row>
    <row r="307" spans="2:8" ht="20.100000000000001" customHeight="1" x14ac:dyDescent="0.55000000000000004">
      <c r="B307" s="340" t="s">
        <v>448</v>
      </c>
      <c r="C307" s="327"/>
      <c r="D307" s="358"/>
      <c r="E307" s="327"/>
      <c r="F307" s="344"/>
      <c r="G307" s="343"/>
      <c r="H307" s="35"/>
    </row>
    <row r="308" spans="2:8" ht="20.100000000000001" customHeight="1" x14ac:dyDescent="0.55000000000000004">
      <c r="B308" s="340" t="s">
        <v>449</v>
      </c>
      <c r="C308" s="15"/>
      <c r="D308" s="15"/>
      <c r="E308" s="15"/>
      <c r="F308" s="344"/>
      <c r="G308" s="343"/>
      <c r="H308" s="35"/>
    </row>
    <row r="309" spans="2:8" ht="20.100000000000001" customHeight="1" x14ac:dyDescent="0.55000000000000004">
      <c r="B309" s="340" t="s">
        <v>450</v>
      </c>
      <c r="C309" s="15"/>
      <c r="D309" s="15"/>
      <c r="E309" s="327"/>
      <c r="F309" s="344"/>
      <c r="G309" s="343"/>
      <c r="H309" s="35"/>
    </row>
    <row r="310" spans="2:8" ht="20.100000000000001" customHeight="1" x14ac:dyDescent="0.55000000000000004">
      <c r="B310" s="340" t="s">
        <v>451</v>
      </c>
      <c r="C310" s="327"/>
      <c r="D310" s="358"/>
      <c r="E310" s="327"/>
      <c r="F310" s="344"/>
      <c r="G310" s="343"/>
    </row>
    <row r="311" spans="2:8" ht="20.100000000000001" customHeight="1" x14ac:dyDescent="0.55000000000000004">
      <c r="B311" s="340" t="s">
        <v>452</v>
      </c>
      <c r="C311" s="327"/>
      <c r="D311" s="358"/>
      <c r="E311" s="327"/>
      <c r="F311" s="344"/>
      <c r="G311" s="343"/>
    </row>
    <row r="312" spans="2:8" ht="20.100000000000001" customHeight="1" x14ac:dyDescent="0.55000000000000004">
      <c r="B312" s="340" t="s">
        <v>453</v>
      </c>
      <c r="C312" s="15"/>
      <c r="D312" s="15"/>
      <c r="E312" s="15"/>
      <c r="F312" s="344"/>
      <c r="G312" s="343"/>
    </row>
    <row r="313" spans="2:8" ht="20.100000000000001" customHeight="1" x14ac:dyDescent="0.55000000000000004">
      <c r="B313" s="340" t="s">
        <v>454</v>
      </c>
      <c r="C313" s="15"/>
      <c r="D313" s="15"/>
      <c r="E313" s="328"/>
      <c r="F313" s="344"/>
      <c r="G313" s="343"/>
    </row>
    <row r="314" spans="2:8" ht="20.100000000000001" customHeight="1" x14ac:dyDescent="0.55000000000000004">
      <c r="B314" s="340" t="s">
        <v>455</v>
      </c>
      <c r="C314" s="15"/>
      <c r="D314" s="15"/>
      <c r="E314" s="15"/>
      <c r="F314" s="344"/>
      <c r="G314" s="343"/>
    </row>
    <row r="315" spans="2:8" ht="20.100000000000001" customHeight="1" x14ac:dyDescent="0.55000000000000004">
      <c r="B315" s="340" t="s">
        <v>456</v>
      </c>
      <c r="C315" s="15"/>
      <c r="D315" s="15"/>
      <c r="E315" s="15"/>
      <c r="F315" s="344"/>
      <c r="G315" s="343"/>
    </row>
    <row r="316" spans="2:8" ht="20.100000000000001" customHeight="1" x14ac:dyDescent="0.55000000000000004">
      <c r="B316" s="340" t="s">
        <v>457</v>
      </c>
      <c r="C316" s="15"/>
      <c r="D316" s="15"/>
      <c r="E316" s="15"/>
      <c r="F316" s="344"/>
      <c r="G316" s="343"/>
    </row>
    <row r="317" spans="2:8" ht="20.100000000000001" customHeight="1" x14ac:dyDescent="0.55000000000000004">
      <c r="B317" s="340" t="s">
        <v>458</v>
      </c>
      <c r="C317" s="15"/>
      <c r="D317" s="15"/>
      <c r="E317" s="328"/>
      <c r="F317" s="344"/>
      <c r="G317" s="343"/>
    </row>
    <row r="318" spans="2:8" ht="20.100000000000001" customHeight="1" x14ac:dyDescent="0.55000000000000004">
      <c r="B318" s="340" t="s">
        <v>459</v>
      </c>
      <c r="C318" s="15"/>
      <c r="D318" s="15"/>
      <c r="E318" s="15"/>
      <c r="F318" s="344"/>
      <c r="G318" s="343"/>
    </row>
    <row r="319" spans="2:8" ht="20.100000000000001" customHeight="1" x14ac:dyDescent="0.55000000000000004">
      <c r="B319" s="340" t="s">
        <v>460</v>
      </c>
      <c r="C319" s="15"/>
      <c r="D319" s="15"/>
      <c r="E319" s="327"/>
      <c r="F319" s="344"/>
      <c r="G319" s="343"/>
    </row>
    <row r="320" spans="2:8" ht="20.100000000000001" customHeight="1" x14ac:dyDescent="0.55000000000000004">
      <c r="B320" s="340" t="s">
        <v>461</v>
      </c>
      <c r="C320" s="327"/>
      <c r="D320" s="358"/>
      <c r="E320" s="327"/>
      <c r="F320" s="344"/>
      <c r="G320" s="343"/>
    </row>
    <row r="321" spans="2:7" ht="20.100000000000001" customHeight="1" x14ac:dyDescent="0.55000000000000004">
      <c r="B321" s="340" t="s">
        <v>462</v>
      </c>
      <c r="C321" s="327"/>
      <c r="D321" s="358"/>
      <c r="E321" s="327"/>
      <c r="F321" s="344"/>
      <c r="G321" s="343"/>
    </row>
    <row r="322" spans="2:7" ht="20.100000000000001" customHeight="1" x14ac:dyDescent="0.55000000000000004">
      <c r="B322" s="340" t="s">
        <v>463</v>
      </c>
      <c r="C322" s="15"/>
      <c r="D322" s="15"/>
      <c r="E322" s="15"/>
      <c r="F322" s="344"/>
      <c r="G322" s="343"/>
    </row>
    <row r="323" spans="2:7" ht="20.100000000000001" customHeight="1" x14ac:dyDescent="0.55000000000000004">
      <c r="B323" s="340" t="s">
        <v>464</v>
      </c>
      <c r="C323" s="15"/>
      <c r="D323" s="15"/>
      <c r="E323" s="328"/>
      <c r="F323" s="344"/>
      <c r="G323" s="343"/>
    </row>
    <row r="324" spans="2:7" ht="20.100000000000001" customHeight="1" x14ac:dyDescent="0.55000000000000004">
      <c r="B324" s="340" t="s">
        <v>465</v>
      </c>
      <c r="C324" s="15"/>
      <c r="D324" s="15"/>
      <c r="E324" s="15"/>
      <c r="F324" s="344"/>
      <c r="G324" s="343"/>
    </row>
    <row r="325" spans="2:7" ht="20.100000000000001" customHeight="1" x14ac:dyDescent="0.55000000000000004">
      <c r="B325" s="340" t="s">
        <v>466</v>
      </c>
      <c r="C325" s="327"/>
      <c r="D325" s="358"/>
      <c r="E325" s="327"/>
      <c r="F325" s="344"/>
      <c r="G325" s="343"/>
    </row>
    <row r="326" spans="2:7" ht="20.100000000000001" customHeight="1" x14ac:dyDescent="0.55000000000000004">
      <c r="B326" s="340" t="s">
        <v>467</v>
      </c>
      <c r="C326" s="327"/>
      <c r="D326" s="358"/>
      <c r="E326" s="327"/>
      <c r="F326" s="344"/>
      <c r="G326" s="343"/>
    </row>
    <row r="327" spans="2:7" ht="20.100000000000001" customHeight="1" x14ac:dyDescent="0.55000000000000004">
      <c r="B327" s="340" t="s">
        <v>468</v>
      </c>
      <c r="C327" s="15"/>
      <c r="D327" s="15"/>
      <c r="E327" s="15"/>
      <c r="F327" s="344"/>
      <c r="G327" s="343" t="e">
        <f>#REF!</f>
        <v>#REF!</v>
      </c>
    </row>
    <row r="328" spans="2:7" ht="20.100000000000001" customHeight="1" x14ac:dyDescent="0.55000000000000004">
      <c r="B328" s="340" t="s">
        <v>469</v>
      </c>
      <c r="C328" s="15"/>
      <c r="D328" s="15"/>
      <c r="E328" s="328"/>
      <c r="F328" s="344"/>
      <c r="G328" s="343" t="e">
        <f>#REF!</f>
        <v>#REF!</v>
      </c>
    </row>
    <row r="329" spans="2:7" ht="20.100000000000001" customHeight="1" x14ac:dyDescent="0.55000000000000004">
      <c r="B329" s="340" t="s">
        <v>470</v>
      </c>
      <c r="C329" s="15"/>
      <c r="D329" s="15"/>
      <c r="E329" s="15"/>
      <c r="F329" s="344"/>
      <c r="G329" s="343" t="e">
        <f>#REF!</f>
        <v>#REF!</v>
      </c>
    </row>
    <row r="330" spans="2:7" ht="20.100000000000001" customHeight="1" x14ac:dyDescent="0.55000000000000004">
      <c r="B330" s="340" t="s">
        <v>471</v>
      </c>
      <c r="C330" s="341" t="s">
        <v>169</v>
      </c>
      <c r="D330" s="341"/>
      <c r="E330" s="15"/>
      <c r="F330" s="344"/>
      <c r="G330" s="343" t="e">
        <f>#REF!</f>
        <v>#REF!</v>
      </c>
    </row>
    <row r="331" spans="2:7" ht="20.100000000000001" customHeight="1" x14ac:dyDescent="0.25">
      <c r="B331" s="340" t="s">
        <v>472</v>
      </c>
      <c r="C331" s="341" t="s">
        <v>170</v>
      </c>
      <c r="D331" s="341"/>
      <c r="E331" s="341"/>
      <c r="F331" s="344"/>
      <c r="G331" s="343" t="e">
        <f>#REF!</f>
        <v>#REF!</v>
      </c>
    </row>
    <row r="332" spans="2:7" ht="20.100000000000001" customHeight="1" x14ac:dyDescent="0.25">
      <c r="B332" s="340" t="s">
        <v>473</v>
      </c>
      <c r="C332" s="341" t="s">
        <v>171</v>
      </c>
      <c r="D332" s="341"/>
      <c r="E332" s="341"/>
      <c r="F332" s="344"/>
      <c r="G332" s="343" t="e">
        <f>#REF!</f>
        <v>#REF!</v>
      </c>
    </row>
    <row r="333" spans="2:7" ht="20.100000000000001" customHeight="1" x14ac:dyDescent="0.25">
      <c r="B333" s="340" t="s">
        <v>474</v>
      </c>
      <c r="C333" s="341" t="s">
        <v>172</v>
      </c>
      <c r="D333" s="341"/>
      <c r="E333" s="341"/>
      <c r="F333" s="344"/>
      <c r="G333" s="343" t="e">
        <f>#REF!</f>
        <v>#REF!</v>
      </c>
    </row>
    <row r="334" spans="2:7" ht="20.100000000000001" customHeight="1" x14ac:dyDescent="0.25">
      <c r="B334" s="340" t="s">
        <v>475</v>
      </c>
      <c r="C334" s="341" t="s">
        <v>173</v>
      </c>
      <c r="D334" s="341"/>
      <c r="E334" s="341"/>
      <c r="F334" s="344"/>
      <c r="G334" s="343" t="e">
        <f>#REF!</f>
        <v>#REF!</v>
      </c>
    </row>
    <row r="335" spans="2:7" ht="20.100000000000001" customHeight="1" x14ac:dyDescent="0.25">
      <c r="B335" s="340" t="s">
        <v>476</v>
      </c>
      <c r="C335" s="341" t="s">
        <v>174</v>
      </c>
      <c r="D335" s="341"/>
      <c r="E335" s="341"/>
      <c r="F335" s="344"/>
      <c r="G335" s="343" t="e">
        <f>#REF!</f>
        <v>#REF!</v>
      </c>
    </row>
    <row r="336" spans="2:7" ht="20.100000000000001" customHeight="1" x14ac:dyDescent="0.25">
      <c r="B336" s="340" t="s">
        <v>477</v>
      </c>
      <c r="C336" s="341" t="s">
        <v>175</v>
      </c>
      <c r="D336" s="341"/>
      <c r="E336" s="341"/>
      <c r="F336" s="344"/>
      <c r="G336" s="343" t="e">
        <f>#REF!</f>
        <v>#REF!</v>
      </c>
    </row>
    <row r="337" spans="2:7" ht="20.100000000000001" customHeight="1" x14ac:dyDescent="0.25">
      <c r="B337" s="340" t="s">
        <v>478</v>
      </c>
      <c r="C337" s="341" t="s">
        <v>176</v>
      </c>
      <c r="D337" s="341"/>
      <c r="E337" s="341"/>
      <c r="F337" s="344"/>
      <c r="G337" s="343" t="e">
        <f>#REF!</f>
        <v>#REF!</v>
      </c>
    </row>
    <row r="338" spans="2:7" ht="20.100000000000001" customHeight="1" x14ac:dyDescent="0.25">
      <c r="B338" s="340" t="s">
        <v>479</v>
      </c>
      <c r="C338" s="341" t="s">
        <v>177</v>
      </c>
      <c r="D338" s="341"/>
      <c r="E338" s="341"/>
      <c r="F338" s="348"/>
      <c r="G338" s="349"/>
    </row>
    <row r="339" spans="2:7" ht="20.100000000000001" customHeight="1" x14ac:dyDescent="0.25">
      <c r="B339" s="340" t="s">
        <v>480</v>
      </c>
      <c r="C339" s="341" t="s">
        <v>178</v>
      </c>
      <c r="D339" s="341"/>
      <c r="E339" s="341"/>
      <c r="F339" s="348"/>
      <c r="G339" s="349"/>
    </row>
    <row r="340" spans="2:7" ht="20.100000000000001" customHeight="1" x14ac:dyDescent="0.25">
      <c r="B340" s="340" t="s">
        <v>481</v>
      </c>
      <c r="C340" s="341" t="s">
        <v>179</v>
      </c>
      <c r="D340" s="341"/>
      <c r="E340" s="341"/>
      <c r="F340" s="348"/>
      <c r="G340" s="349"/>
    </row>
    <row r="341" spans="2:7" ht="20.100000000000001" customHeight="1" x14ac:dyDescent="0.25">
      <c r="B341" s="340" t="s">
        <v>482</v>
      </c>
      <c r="F341" s="336" t="s">
        <v>1125</v>
      </c>
      <c r="G341" s="336"/>
    </row>
    <row r="342" spans="2:7" ht="20.100000000000001" customHeight="1" x14ac:dyDescent="0.25">
      <c r="B342" s="335" t="s">
        <v>1120</v>
      </c>
      <c r="F342" s="336"/>
      <c r="G342" s="336"/>
    </row>
    <row r="343" spans="2:7" ht="20.100000000000001" customHeight="1" x14ac:dyDescent="0.25">
      <c r="B343" s="334" t="s">
        <v>1113</v>
      </c>
      <c r="C343" s="335" t="s">
        <v>1121</v>
      </c>
      <c r="D343" s="335"/>
      <c r="F343" s="336"/>
      <c r="G343" s="336"/>
    </row>
    <row r="344" spans="2:7" ht="20.100000000000001" customHeight="1" x14ac:dyDescent="0.25">
      <c r="B344" s="334" t="s">
        <v>1114</v>
      </c>
      <c r="C344" s="335" t="s">
        <v>1122</v>
      </c>
      <c r="D344" s="335"/>
      <c r="F344" s="336"/>
      <c r="G344" s="336"/>
    </row>
    <row r="345" spans="2:7" ht="20.100000000000001" customHeight="1" x14ac:dyDescent="0.25">
      <c r="B345" s="334" t="s">
        <v>1111</v>
      </c>
      <c r="C345" s="335" t="s">
        <v>1123</v>
      </c>
      <c r="D345" s="335"/>
      <c r="F345" s="336"/>
      <c r="G345" s="336"/>
    </row>
    <row r="346" spans="2:7" ht="20.100000000000001" customHeight="1" x14ac:dyDescent="0.25">
      <c r="B346" s="334" t="s">
        <v>1115</v>
      </c>
      <c r="C346" s="335" t="s">
        <v>1124</v>
      </c>
      <c r="D346" s="335"/>
      <c r="F346" s="336"/>
      <c r="G346" s="336"/>
    </row>
    <row r="347" spans="2:7" ht="20.100000000000001" customHeight="1" x14ac:dyDescent="0.25">
      <c r="B347" s="334" t="s">
        <v>1110</v>
      </c>
      <c r="C347" s="335" t="s">
        <v>1126</v>
      </c>
      <c r="D347" s="335"/>
      <c r="F347" s="336"/>
      <c r="G347" s="336"/>
    </row>
    <row r="348" spans="2:7" ht="20.100000000000001" customHeight="1" x14ac:dyDescent="0.25">
      <c r="B348" s="334" t="s">
        <v>1116</v>
      </c>
      <c r="C348" s="335" t="s">
        <v>1127</v>
      </c>
      <c r="D348" s="335"/>
      <c r="F348" s="336"/>
      <c r="G348" s="336"/>
    </row>
    <row r="349" spans="2:7" ht="20.100000000000001" customHeight="1" x14ac:dyDescent="0.25">
      <c r="B349" s="334" t="s">
        <v>1117</v>
      </c>
      <c r="C349" s="335" t="s">
        <v>1128</v>
      </c>
      <c r="D349" s="335"/>
      <c r="F349" s="336"/>
      <c r="G349" s="336"/>
    </row>
    <row r="350" spans="2:7" ht="20.100000000000001" customHeight="1" x14ac:dyDescent="0.25">
      <c r="B350" s="334" t="s">
        <v>1118</v>
      </c>
      <c r="C350" s="335" t="s">
        <v>1129</v>
      </c>
      <c r="D350" s="335"/>
      <c r="F350" s="336"/>
      <c r="G350" s="336"/>
    </row>
    <row r="351" spans="2:7" ht="20.100000000000001" customHeight="1" x14ac:dyDescent="0.25">
      <c r="B351" s="334" t="s">
        <v>1119</v>
      </c>
      <c r="C351" s="335" t="s">
        <v>1130</v>
      </c>
      <c r="D351" s="335"/>
      <c r="F351" s="336"/>
      <c r="G351" s="336"/>
    </row>
    <row r="352" spans="2:7" ht="20.100000000000001" customHeight="1" x14ac:dyDescent="0.25">
      <c r="B352" s="334" t="s">
        <v>1186</v>
      </c>
      <c r="C352" s="335" t="s">
        <v>1187</v>
      </c>
      <c r="D352" s="335"/>
      <c r="F352" s="336"/>
      <c r="G352" s="336"/>
    </row>
    <row r="353" spans="2:7" ht="20.100000000000001" customHeight="1" x14ac:dyDescent="0.25">
      <c r="B353" s="334" t="s">
        <v>1112</v>
      </c>
      <c r="C353" s="335" t="s">
        <v>1131</v>
      </c>
      <c r="D353" s="335"/>
      <c r="F353" s="348"/>
      <c r="G353" s="336"/>
    </row>
    <row r="354" spans="2:7" ht="20.100000000000001" customHeight="1" x14ac:dyDescent="0.25">
      <c r="B354" s="335" t="s">
        <v>2125</v>
      </c>
      <c r="C354" s="335"/>
      <c r="D354" s="335"/>
      <c r="F354" s="348"/>
      <c r="G354" s="336"/>
    </row>
    <row r="355" spans="2:7" ht="20.100000000000001" customHeight="1" x14ac:dyDescent="0.25">
      <c r="B355" s="334" t="s">
        <v>2128</v>
      </c>
      <c r="C355" s="335" t="s">
        <v>2129</v>
      </c>
      <c r="D355" s="335"/>
      <c r="F355" s="348"/>
      <c r="G355" s="336"/>
    </row>
    <row r="356" spans="2:7" ht="20.100000000000001" customHeight="1" x14ac:dyDescent="0.25">
      <c r="B356" s="334" t="s">
        <v>2245</v>
      </c>
      <c r="C356" s="335" t="s">
        <v>2246</v>
      </c>
      <c r="D356" s="335"/>
      <c r="F356" s="348"/>
      <c r="G356" s="336"/>
    </row>
    <row r="357" spans="2:7" ht="20.100000000000001" customHeight="1" x14ac:dyDescent="0.25">
      <c r="B357" s="335" t="s">
        <v>2130</v>
      </c>
      <c r="C357" s="346"/>
      <c r="D357" s="346"/>
      <c r="E357" s="346"/>
      <c r="F357" s="348"/>
      <c r="G357" s="336"/>
    </row>
    <row r="358" spans="2:7" ht="20.100000000000001" customHeight="1" x14ac:dyDescent="0.25">
      <c r="B358" s="334" t="s">
        <v>1332</v>
      </c>
      <c r="C358" s="335" t="s">
        <v>1333</v>
      </c>
      <c r="D358" s="335"/>
      <c r="F358" s="336" t="s">
        <v>1352</v>
      </c>
      <c r="G358" s="336"/>
    </row>
    <row r="359" spans="2:7" ht="20.100000000000001" customHeight="1" x14ac:dyDescent="0.25">
      <c r="B359" s="334" t="s">
        <v>1334</v>
      </c>
      <c r="C359" s="335" t="s">
        <v>1335</v>
      </c>
      <c r="D359" s="335"/>
      <c r="F359" s="336" t="s">
        <v>1353</v>
      </c>
      <c r="G359" s="336"/>
    </row>
    <row r="360" spans="2:7" ht="20.100000000000001" customHeight="1" x14ac:dyDescent="0.25">
      <c r="B360" s="334" t="s">
        <v>1355</v>
      </c>
      <c r="C360" s="335" t="s">
        <v>1356</v>
      </c>
      <c r="D360" s="335"/>
      <c r="F360" s="336" t="s">
        <v>1354</v>
      </c>
      <c r="G360" s="336"/>
    </row>
    <row r="361" spans="2:7" ht="20.100000000000001" customHeight="1" x14ac:dyDescent="0.25">
      <c r="B361" s="334" t="s">
        <v>1336</v>
      </c>
      <c r="C361" s="335" t="s">
        <v>1337</v>
      </c>
      <c r="D361" s="335"/>
      <c r="F361" s="336" t="s">
        <v>1090</v>
      </c>
      <c r="G361" s="336"/>
    </row>
    <row r="362" spans="2:7" ht="20.100000000000001" customHeight="1" x14ac:dyDescent="0.25">
      <c r="B362" s="334" t="s">
        <v>1338</v>
      </c>
      <c r="C362" s="335" t="s">
        <v>1339</v>
      </c>
      <c r="D362" s="335"/>
      <c r="F362" s="336" t="s">
        <v>57</v>
      </c>
      <c r="G362" s="336"/>
    </row>
    <row r="363" spans="2:7" ht="20.100000000000001" customHeight="1" x14ac:dyDescent="0.25">
      <c r="B363" s="334" t="s">
        <v>1340</v>
      </c>
      <c r="C363" s="335" t="s">
        <v>1341</v>
      </c>
      <c r="D363" s="335"/>
      <c r="F363" s="336" t="s">
        <v>1091</v>
      </c>
      <c r="G363" s="336"/>
    </row>
    <row r="364" spans="2:7" ht="20.100000000000001" customHeight="1" x14ac:dyDescent="0.25">
      <c r="B364" s="334" t="s">
        <v>1342</v>
      </c>
      <c r="C364" s="335" t="s">
        <v>1343</v>
      </c>
      <c r="D364" s="335"/>
      <c r="F364" s="336" t="s">
        <v>1058</v>
      </c>
      <c r="G364" s="336"/>
    </row>
    <row r="365" spans="2:7" ht="20.100000000000001" customHeight="1" x14ac:dyDescent="0.25">
      <c r="B365" s="334" t="s">
        <v>1344</v>
      </c>
      <c r="C365" s="335" t="s">
        <v>1345</v>
      </c>
      <c r="D365" s="335"/>
      <c r="F365" s="336" t="s">
        <v>1092</v>
      </c>
      <c r="G365" s="336"/>
    </row>
    <row r="366" spans="2:7" ht="20.100000000000001" customHeight="1" x14ac:dyDescent="0.25">
      <c r="B366" s="334" t="s">
        <v>1346</v>
      </c>
      <c r="C366" s="335" t="s">
        <v>1347</v>
      </c>
      <c r="D366" s="335"/>
      <c r="F366" s="336" t="s">
        <v>1093</v>
      </c>
      <c r="G366" s="336"/>
    </row>
    <row r="367" spans="2:7" ht="20.100000000000001" customHeight="1" x14ac:dyDescent="0.25">
      <c r="B367" s="334" t="s">
        <v>1348</v>
      </c>
      <c r="C367" s="335" t="s">
        <v>1349</v>
      </c>
      <c r="D367" s="335"/>
      <c r="F367" s="336" t="s">
        <v>1188</v>
      </c>
      <c r="G367" s="336"/>
    </row>
    <row r="368" spans="2:7" ht="20.100000000000001" customHeight="1" x14ac:dyDescent="0.25">
      <c r="B368" s="334" t="s">
        <v>1350</v>
      </c>
      <c r="C368" s="335" t="s">
        <v>1351</v>
      </c>
      <c r="D368" s="335"/>
      <c r="F368" s="336" t="s">
        <v>890</v>
      </c>
    </row>
    <row r="369" spans="2:7" ht="20.100000000000001" customHeight="1" x14ac:dyDescent="0.25">
      <c r="B369" s="335" t="s">
        <v>2131</v>
      </c>
      <c r="C369" s="335"/>
      <c r="D369" s="335"/>
      <c r="F369" s="336"/>
    </row>
    <row r="370" spans="2:7" ht="20.100000000000001" customHeight="1" x14ac:dyDescent="0.25">
      <c r="B370" s="334" t="s">
        <v>2126</v>
      </c>
      <c r="C370" s="335" t="s">
        <v>2127</v>
      </c>
      <c r="D370" s="335"/>
      <c r="F370" s="336"/>
      <c r="G370" s="343"/>
    </row>
    <row r="371" spans="2:7" ht="20.100000000000001" customHeight="1" x14ac:dyDescent="0.25">
      <c r="B371" s="334"/>
      <c r="C371" s="335"/>
      <c r="D371" s="335"/>
      <c r="F371" s="336"/>
      <c r="G371" s="349"/>
    </row>
    <row r="372" spans="2:7" ht="20.100000000000001" customHeight="1" x14ac:dyDescent="0.25">
      <c r="B372" s="334" t="s">
        <v>2730</v>
      </c>
      <c r="C372" s="335" t="s">
        <v>2725</v>
      </c>
      <c r="D372" s="335"/>
      <c r="F372" s="336"/>
      <c r="G372" s="349"/>
    </row>
    <row r="373" spans="2:7" ht="20.100000000000001" customHeight="1" x14ac:dyDescent="0.25">
      <c r="B373" s="334" t="s">
        <v>2735</v>
      </c>
      <c r="C373" s="335" t="s">
        <v>2726</v>
      </c>
      <c r="D373" s="335"/>
      <c r="F373" s="336"/>
      <c r="G373" s="349"/>
    </row>
    <row r="374" spans="2:7" ht="20.100000000000001" customHeight="1" x14ac:dyDescent="0.25">
      <c r="B374" s="334" t="s">
        <v>2731</v>
      </c>
      <c r="C374" s="335" t="s">
        <v>2727</v>
      </c>
      <c r="D374" s="335"/>
      <c r="F374" s="336"/>
      <c r="G374" s="349"/>
    </row>
    <row r="375" spans="2:7" ht="20.100000000000001" customHeight="1" x14ac:dyDescent="0.25">
      <c r="B375" s="334" t="s">
        <v>2732</v>
      </c>
      <c r="C375" s="335" t="s">
        <v>2728</v>
      </c>
      <c r="D375" s="335"/>
      <c r="F375" s="336"/>
      <c r="G375" s="349"/>
    </row>
    <row r="376" spans="2:7" ht="20.100000000000001" customHeight="1" x14ac:dyDescent="0.25">
      <c r="B376" s="334" t="s">
        <v>2733</v>
      </c>
      <c r="C376" s="335" t="s">
        <v>2729</v>
      </c>
      <c r="D376" s="335"/>
      <c r="F376" s="336"/>
      <c r="G376" s="349"/>
    </row>
    <row r="377" spans="2:7" ht="20.100000000000001" customHeight="1" x14ac:dyDescent="0.25">
      <c r="B377" s="334" t="s">
        <v>7281</v>
      </c>
      <c r="C377" s="335" t="s">
        <v>7282</v>
      </c>
      <c r="D377" s="335"/>
      <c r="F377" s="336"/>
      <c r="G377" s="349"/>
    </row>
    <row r="378" spans="2:7" ht="20.100000000000001" customHeight="1" x14ac:dyDescent="0.55000000000000004">
      <c r="B378" s="340" t="s">
        <v>970</v>
      </c>
      <c r="C378" s="341"/>
      <c r="D378" s="15"/>
      <c r="E378" s="15"/>
      <c r="F378" s="344"/>
      <c r="G378" s="349"/>
    </row>
    <row r="379" spans="2:7" ht="20.100000000000001" customHeight="1" x14ac:dyDescent="0.55000000000000004">
      <c r="B379" s="340" t="s">
        <v>971</v>
      </c>
      <c r="C379" s="15"/>
      <c r="D379" s="15"/>
      <c r="E379" s="15"/>
      <c r="F379" s="344"/>
      <c r="G379" s="336"/>
    </row>
    <row r="380" spans="2:7" ht="20.100000000000001" customHeight="1" x14ac:dyDescent="0.55000000000000004">
      <c r="B380" s="340" t="s">
        <v>972</v>
      </c>
      <c r="C380" s="15"/>
      <c r="D380" s="15"/>
      <c r="E380" s="15"/>
      <c r="F380" s="344"/>
      <c r="G380" s="336"/>
    </row>
    <row r="381" spans="2:7" ht="20.100000000000001" customHeight="1" x14ac:dyDescent="0.55000000000000004">
      <c r="B381" s="340" t="s">
        <v>973</v>
      </c>
      <c r="C381" s="15"/>
      <c r="D381" s="15"/>
      <c r="E381" s="15"/>
      <c r="F381" s="344"/>
      <c r="G381" s="343" t="e">
        <f>#REF!</f>
        <v>#REF!</v>
      </c>
    </row>
    <row r="382" spans="2:7" ht="20.100000000000001" customHeight="1" x14ac:dyDescent="0.55000000000000004">
      <c r="B382" s="340" t="s">
        <v>974</v>
      </c>
      <c r="C382" s="15"/>
      <c r="D382" s="15"/>
      <c r="E382" s="15"/>
      <c r="F382" s="344"/>
      <c r="G382" s="343" t="e">
        <f>#REF!</f>
        <v>#REF!</v>
      </c>
    </row>
    <row r="383" spans="2:7" ht="20.100000000000001" customHeight="1" x14ac:dyDescent="0.25">
      <c r="B383" s="345"/>
      <c r="C383" s="346"/>
      <c r="D383" s="346"/>
      <c r="E383" s="346"/>
      <c r="F383" s="348"/>
      <c r="G383" s="343" t="e">
        <f>#REF!</f>
        <v>#REF!</v>
      </c>
    </row>
    <row r="384" spans="2:7" ht="20.100000000000001" customHeight="1" x14ac:dyDescent="0.25">
      <c r="B384" s="345"/>
      <c r="C384" s="346"/>
      <c r="D384" s="346"/>
      <c r="E384" s="346"/>
      <c r="F384" s="348"/>
      <c r="G384" s="343" t="e">
        <f>#REF!</f>
        <v>#REF!</v>
      </c>
    </row>
    <row r="385" spans="2:7" ht="20.100000000000001" customHeight="1" x14ac:dyDescent="0.25">
      <c r="B385" s="334" t="s">
        <v>976</v>
      </c>
      <c r="C385" s="335" t="s">
        <v>1096</v>
      </c>
      <c r="D385" s="346"/>
      <c r="E385" s="346"/>
      <c r="F385" s="348"/>
      <c r="G385" s="343" t="e">
        <f>#REF!</f>
        <v>#REF!</v>
      </c>
    </row>
    <row r="386" spans="2:7" ht="20.100000000000001" customHeight="1" x14ac:dyDescent="0.25">
      <c r="B386" s="334" t="s">
        <v>968</v>
      </c>
      <c r="C386" s="335" t="s">
        <v>969</v>
      </c>
      <c r="F386" s="336"/>
      <c r="G386" s="343" t="e">
        <f>#REF!</f>
        <v>#REF!</v>
      </c>
    </row>
    <row r="387" spans="2:7" ht="20.100000000000001" customHeight="1" x14ac:dyDescent="0.25">
      <c r="B387" s="334" t="s">
        <v>1133</v>
      </c>
      <c r="C387" s="335" t="s">
        <v>1132</v>
      </c>
      <c r="F387" s="336"/>
      <c r="G387" s="343" t="e">
        <f>#REF!</f>
        <v>#REF!</v>
      </c>
    </row>
    <row r="388" spans="2:7" ht="20.100000000000001" customHeight="1" x14ac:dyDescent="0.25">
      <c r="B388" s="334" t="s">
        <v>2433</v>
      </c>
      <c r="C388" s="335" t="s">
        <v>2434</v>
      </c>
      <c r="F388" s="336"/>
      <c r="G388" s="343"/>
    </row>
    <row r="389" spans="2:7" ht="20.100000000000001" customHeight="1" x14ac:dyDescent="0.25">
      <c r="B389" s="340" t="s">
        <v>486</v>
      </c>
      <c r="C389" s="341" t="s">
        <v>483</v>
      </c>
      <c r="D389" s="341"/>
      <c r="E389" s="341"/>
      <c r="F389" s="344"/>
      <c r="G389" s="343" t="e">
        <f>#REF!</f>
        <v>#REF!</v>
      </c>
    </row>
    <row r="390" spans="2:7" ht="20.100000000000001" customHeight="1" x14ac:dyDescent="0.25">
      <c r="B390" s="340" t="s">
        <v>487</v>
      </c>
      <c r="C390" s="341" t="s">
        <v>75</v>
      </c>
      <c r="D390" s="341"/>
      <c r="E390" s="341"/>
      <c r="F390" s="344"/>
      <c r="G390" s="343" t="e">
        <f>#REF!</f>
        <v>#REF!</v>
      </c>
    </row>
    <row r="391" spans="2:7" ht="20.100000000000001" customHeight="1" x14ac:dyDescent="0.25">
      <c r="B391" s="340" t="s">
        <v>488</v>
      </c>
      <c r="C391" s="341" t="s">
        <v>76</v>
      </c>
      <c r="D391" s="341"/>
      <c r="E391" s="341"/>
      <c r="F391" s="344"/>
      <c r="G391" s="343" t="e">
        <f>#REF!</f>
        <v>#REF!</v>
      </c>
    </row>
    <row r="392" spans="2:7" ht="20.100000000000001" customHeight="1" x14ac:dyDescent="0.25">
      <c r="B392" s="340" t="s">
        <v>489</v>
      </c>
      <c r="C392" s="341" t="s">
        <v>77</v>
      </c>
      <c r="D392" s="341"/>
      <c r="E392" s="341"/>
      <c r="F392" s="344"/>
      <c r="G392" s="343" t="e">
        <f>#REF!</f>
        <v>#REF!</v>
      </c>
    </row>
    <row r="393" spans="2:7" ht="20.100000000000001" customHeight="1" x14ac:dyDescent="0.25">
      <c r="B393" s="340" t="s">
        <v>490</v>
      </c>
      <c r="C393" s="341" t="s">
        <v>78</v>
      </c>
      <c r="D393" s="341"/>
      <c r="E393" s="341"/>
      <c r="F393" s="344"/>
      <c r="G393" s="343" t="e">
        <f>#REF!</f>
        <v>#REF!</v>
      </c>
    </row>
    <row r="394" spans="2:7" ht="20.100000000000001" customHeight="1" x14ac:dyDescent="0.25">
      <c r="B394" s="340" t="s">
        <v>491</v>
      </c>
      <c r="C394" s="341" t="s">
        <v>79</v>
      </c>
      <c r="D394" s="341"/>
      <c r="E394" s="341"/>
      <c r="F394" s="344"/>
      <c r="G394" s="343" t="e">
        <f>#REF!</f>
        <v>#REF!</v>
      </c>
    </row>
    <row r="395" spans="2:7" ht="20.100000000000001" customHeight="1" x14ac:dyDescent="0.25">
      <c r="B395" s="340" t="s">
        <v>492</v>
      </c>
      <c r="C395" s="341" t="s">
        <v>80</v>
      </c>
      <c r="D395" s="341"/>
      <c r="E395" s="341"/>
      <c r="F395" s="344"/>
      <c r="G395" s="343" t="e">
        <f>#REF!</f>
        <v>#REF!</v>
      </c>
    </row>
    <row r="396" spans="2:7" ht="20.100000000000001" customHeight="1" x14ac:dyDescent="0.25">
      <c r="B396" s="340" t="s">
        <v>493</v>
      </c>
      <c r="C396" s="341" t="s">
        <v>81</v>
      </c>
      <c r="D396" s="341"/>
      <c r="E396" s="341"/>
      <c r="F396" s="344"/>
      <c r="G396" s="343" t="e">
        <f>#REF!</f>
        <v>#REF!</v>
      </c>
    </row>
    <row r="397" spans="2:7" ht="20.100000000000001" customHeight="1" x14ac:dyDescent="0.25">
      <c r="B397" s="340" t="s">
        <v>494</v>
      </c>
      <c r="C397" s="341" t="s">
        <v>82</v>
      </c>
      <c r="D397" s="341"/>
      <c r="E397" s="341"/>
      <c r="F397" s="344"/>
      <c r="G397" s="343" t="e">
        <f>#REF!</f>
        <v>#REF!</v>
      </c>
    </row>
    <row r="398" spans="2:7" ht="20.100000000000001" customHeight="1" x14ac:dyDescent="0.25">
      <c r="B398" s="340" t="s">
        <v>495</v>
      </c>
      <c r="C398" s="341" t="s">
        <v>83</v>
      </c>
      <c r="D398" s="341"/>
      <c r="E398" s="341"/>
      <c r="F398" s="344"/>
      <c r="G398" s="343" t="e">
        <f>#REF!</f>
        <v>#REF!</v>
      </c>
    </row>
    <row r="399" spans="2:7" ht="20.100000000000001" customHeight="1" x14ac:dyDescent="0.25">
      <c r="B399" s="340" t="s">
        <v>496</v>
      </c>
      <c r="C399" s="341" t="s">
        <v>91</v>
      </c>
      <c r="D399" s="341"/>
      <c r="E399" s="341"/>
      <c r="F399" s="344"/>
      <c r="G399" s="343" t="e">
        <f>#REF!</f>
        <v>#REF!</v>
      </c>
    </row>
    <row r="400" spans="2:7" ht="20.100000000000001" customHeight="1" x14ac:dyDescent="0.25">
      <c r="B400" s="340" t="s">
        <v>497</v>
      </c>
      <c r="C400" s="341" t="s">
        <v>92</v>
      </c>
      <c r="D400" s="341"/>
      <c r="E400" s="341"/>
      <c r="F400" s="344"/>
      <c r="G400" s="343" t="e">
        <f>#REF!</f>
        <v>#REF!</v>
      </c>
    </row>
    <row r="401" spans="2:7" ht="20.100000000000001" customHeight="1" x14ac:dyDescent="0.25">
      <c r="B401" s="340" t="s">
        <v>498</v>
      </c>
      <c r="C401" s="341" t="s">
        <v>93</v>
      </c>
      <c r="D401" s="341"/>
      <c r="E401" s="341"/>
      <c r="F401" s="344"/>
      <c r="G401" s="343" t="e">
        <f>#REF!</f>
        <v>#REF!</v>
      </c>
    </row>
    <row r="402" spans="2:7" ht="20.100000000000001" customHeight="1" x14ac:dyDescent="0.25">
      <c r="B402" s="340" t="s">
        <v>499</v>
      </c>
      <c r="C402" s="341" t="s">
        <v>94</v>
      </c>
      <c r="D402" s="341"/>
      <c r="E402" s="341"/>
      <c r="F402" s="344"/>
      <c r="G402" s="343" t="e">
        <f>#REF!</f>
        <v>#REF!</v>
      </c>
    </row>
    <row r="403" spans="2:7" ht="20.100000000000001" customHeight="1" x14ac:dyDescent="0.25">
      <c r="B403" s="340" t="s">
        <v>500</v>
      </c>
      <c r="C403" s="341" t="s">
        <v>95</v>
      </c>
      <c r="D403" s="341"/>
      <c r="E403" s="341"/>
      <c r="F403" s="344"/>
      <c r="G403" s="343" t="e">
        <f>#REF!</f>
        <v>#REF!</v>
      </c>
    </row>
    <row r="404" spans="2:7" ht="20.100000000000001" customHeight="1" x14ac:dyDescent="0.25">
      <c r="B404" s="340" t="s">
        <v>501</v>
      </c>
      <c r="C404" s="341" t="s">
        <v>96</v>
      </c>
      <c r="D404" s="341"/>
      <c r="E404" s="341"/>
      <c r="F404" s="344"/>
      <c r="G404" s="343" t="e">
        <f>#REF!</f>
        <v>#REF!</v>
      </c>
    </row>
    <row r="405" spans="2:7" ht="20.100000000000001" customHeight="1" x14ac:dyDescent="0.25">
      <c r="B405" s="340" t="s">
        <v>502</v>
      </c>
      <c r="C405" s="341" t="s">
        <v>97</v>
      </c>
      <c r="D405" s="341"/>
      <c r="E405" s="341"/>
      <c r="F405" s="344"/>
      <c r="G405" s="343" t="e">
        <f>#REF!</f>
        <v>#REF!</v>
      </c>
    </row>
    <row r="406" spans="2:7" ht="20.100000000000001" customHeight="1" x14ac:dyDescent="0.25">
      <c r="B406" s="340" t="s">
        <v>503</v>
      </c>
      <c r="C406" s="341" t="s">
        <v>98</v>
      </c>
      <c r="D406" s="341"/>
      <c r="E406" s="341"/>
      <c r="F406" s="344"/>
      <c r="G406" s="343" t="e">
        <f>#REF!</f>
        <v>#REF!</v>
      </c>
    </row>
    <row r="407" spans="2:7" ht="20.100000000000001" customHeight="1" x14ac:dyDescent="0.25">
      <c r="B407" s="340" t="s">
        <v>504</v>
      </c>
      <c r="C407" s="341" t="s">
        <v>99</v>
      </c>
      <c r="D407" s="341"/>
      <c r="E407" s="341"/>
      <c r="F407" s="344"/>
      <c r="G407" s="343" t="e">
        <f>#REF!</f>
        <v>#REF!</v>
      </c>
    </row>
    <row r="408" spans="2:7" ht="20.100000000000001" customHeight="1" x14ac:dyDescent="0.25">
      <c r="B408" s="340" t="s">
        <v>505</v>
      </c>
      <c r="C408" s="341" t="s">
        <v>100</v>
      </c>
      <c r="D408" s="341"/>
      <c r="E408" s="341"/>
      <c r="F408" s="344"/>
      <c r="G408" s="343" t="e">
        <f>#REF!</f>
        <v>#REF!</v>
      </c>
    </row>
    <row r="409" spans="2:7" ht="20.100000000000001" customHeight="1" x14ac:dyDescent="0.25">
      <c r="B409" s="340" t="s">
        <v>506</v>
      </c>
      <c r="C409" s="341" t="s">
        <v>101</v>
      </c>
      <c r="D409" s="341"/>
      <c r="E409" s="341"/>
      <c r="F409" s="344"/>
      <c r="G409" s="343" t="e">
        <f>#REF!</f>
        <v>#REF!</v>
      </c>
    </row>
    <row r="410" spans="2:7" ht="20.100000000000001" customHeight="1" x14ac:dyDescent="0.25">
      <c r="B410" s="340" t="s">
        <v>507</v>
      </c>
      <c r="C410" s="341" t="s">
        <v>102</v>
      </c>
      <c r="D410" s="341"/>
      <c r="E410" s="341"/>
      <c r="F410" s="344"/>
      <c r="G410" s="343" t="e">
        <f>#REF!</f>
        <v>#REF!</v>
      </c>
    </row>
    <row r="411" spans="2:7" ht="20.100000000000001" customHeight="1" x14ac:dyDescent="0.25">
      <c r="B411" s="340" t="s">
        <v>508</v>
      </c>
      <c r="C411" s="341" t="s">
        <v>103</v>
      </c>
      <c r="D411" s="341"/>
      <c r="E411" s="341"/>
      <c r="F411" s="344"/>
      <c r="G411" s="343" t="e">
        <f>#REF!</f>
        <v>#REF!</v>
      </c>
    </row>
    <row r="412" spans="2:7" ht="20.100000000000001" customHeight="1" x14ac:dyDescent="0.25">
      <c r="B412" s="340" t="s">
        <v>509</v>
      </c>
      <c r="C412" s="341" t="s">
        <v>104</v>
      </c>
      <c r="D412" s="341"/>
      <c r="E412" s="341"/>
      <c r="F412" s="344"/>
      <c r="G412" s="343" t="e">
        <f>#REF!</f>
        <v>#REF!</v>
      </c>
    </row>
    <row r="413" spans="2:7" ht="20.100000000000001" customHeight="1" x14ac:dyDescent="0.25">
      <c r="B413" s="340" t="s">
        <v>510</v>
      </c>
      <c r="C413" s="341" t="s">
        <v>105</v>
      </c>
      <c r="D413" s="341"/>
      <c r="E413" s="341"/>
      <c r="F413" s="344"/>
      <c r="G413" s="343" t="e">
        <f>#REF!</f>
        <v>#REF!</v>
      </c>
    </row>
    <row r="414" spans="2:7" ht="20.100000000000001" customHeight="1" x14ac:dyDescent="0.25">
      <c r="B414" s="340" t="s">
        <v>511</v>
      </c>
      <c r="C414" s="341" t="s">
        <v>106</v>
      </c>
      <c r="D414" s="341"/>
      <c r="E414" s="341"/>
      <c r="F414" s="344"/>
      <c r="G414" s="343" t="e">
        <f>#REF!</f>
        <v>#REF!</v>
      </c>
    </row>
    <row r="415" spans="2:7" ht="20.100000000000001" customHeight="1" x14ac:dyDescent="0.25">
      <c r="B415" s="340" t="s">
        <v>512</v>
      </c>
      <c r="C415" s="341" t="s">
        <v>107</v>
      </c>
      <c r="D415" s="341"/>
      <c r="E415" s="341"/>
      <c r="F415" s="344"/>
      <c r="G415" s="343" t="e">
        <f>#REF!</f>
        <v>#REF!</v>
      </c>
    </row>
    <row r="416" spans="2:7" ht="20.100000000000001" customHeight="1" x14ac:dyDescent="0.25">
      <c r="B416" s="340" t="s">
        <v>513</v>
      </c>
      <c r="C416" s="341" t="s">
        <v>108</v>
      </c>
      <c r="D416" s="341"/>
      <c r="E416" s="341"/>
      <c r="F416" s="344"/>
      <c r="G416" s="343" t="e">
        <f>#REF!</f>
        <v>#REF!</v>
      </c>
    </row>
    <row r="417" spans="2:7" ht="20.100000000000001" customHeight="1" x14ac:dyDescent="0.25">
      <c r="B417" s="340" t="s">
        <v>514</v>
      </c>
      <c r="C417" s="341" t="s">
        <v>109</v>
      </c>
      <c r="D417" s="341"/>
      <c r="E417" s="341"/>
      <c r="F417" s="344"/>
      <c r="G417" s="343" t="e">
        <f>#REF!</f>
        <v>#REF!</v>
      </c>
    </row>
    <row r="418" spans="2:7" ht="20.100000000000001" customHeight="1" x14ac:dyDescent="0.25">
      <c r="B418" s="340" t="s">
        <v>515</v>
      </c>
      <c r="C418" s="341" t="s">
        <v>110</v>
      </c>
      <c r="D418" s="341"/>
      <c r="E418" s="341"/>
      <c r="F418" s="344"/>
      <c r="G418" s="343" t="e">
        <f>#REF!</f>
        <v>#REF!</v>
      </c>
    </row>
    <row r="419" spans="2:7" ht="20.100000000000001" customHeight="1" x14ac:dyDescent="0.25">
      <c r="B419" s="340" t="s">
        <v>516</v>
      </c>
      <c r="C419" s="341" t="s">
        <v>111</v>
      </c>
      <c r="D419" s="341"/>
      <c r="E419" s="341"/>
      <c r="F419" s="344"/>
      <c r="G419" s="343" t="e">
        <f>#REF!</f>
        <v>#REF!</v>
      </c>
    </row>
    <row r="420" spans="2:7" ht="20.100000000000001" customHeight="1" x14ac:dyDescent="0.25">
      <c r="B420" s="340" t="s">
        <v>517</v>
      </c>
      <c r="C420" s="341" t="s">
        <v>112</v>
      </c>
      <c r="D420" s="341"/>
      <c r="E420" s="341"/>
      <c r="F420" s="344"/>
      <c r="G420" s="343" t="e">
        <f>#REF!</f>
        <v>#REF!</v>
      </c>
    </row>
    <row r="421" spans="2:7" ht="20.100000000000001" customHeight="1" x14ac:dyDescent="0.25">
      <c r="B421" s="340" t="s">
        <v>518</v>
      </c>
      <c r="C421" s="341" t="s">
        <v>113</v>
      </c>
      <c r="D421" s="341"/>
      <c r="E421" s="341"/>
      <c r="F421" s="344"/>
      <c r="G421" s="343" t="e">
        <f>#REF!</f>
        <v>#REF!</v>
      </c>
    </row>
    <row r="422" spans="2:7" ht="20.100000000000001" customHeight="1" x14ac:dyDescent="0.25">
      <c r="B422" s="340" t="s">
        <v>519</v>
      </c>
      <c r="C422" s="341" t="s">
        <v>114</v>
      </c>
      <c r="D422" s="341"/>
      <c r="E422" s="341"/>
      <c r="F422" s="344"/>
      <c r="G422" s="343" t="e">
        <f>#REF!</f>
        <v>#REF!</v>
      </c>
    </row>
    <row r="423" spans="2:7" ht="20.100000000000001" customHeight="1" x14ac:dyDescent="0.25">
      <c r="B423" s="340" t="s">
        <v>520</v>
      </c>
      <c r="C423" s="341" t="s">
        <v>115</v>
      </c>
      <c r="D423" s="341"/>
      <c r="E423" s="341"/>
      <c r="F423" s="344"/>
      <c r="G423" s="343" t="e">
        <f>#REF!</f>
        <v>#REF!</v>
      </c>
    </row>
    <row r="424" spans="2:7" ht="20.100000000000001" customHeight="1" x14ac:dyDescent="0.25">
      <c r="B424" s="340" t="s">
        <v>521</v>
      </c>
      <c r="C424" s="341" t="s">
        <v>116</v>
      </c>
      <c r="D424" s="341"/>
      <c r="E424" s="341"/>
      <c r="F424" s="344"/>
      <c r="G424" s="343" t="e">
        <f>#REF!</f>
        <v>#REF!</v>
      </c>
    </row>
    <row r="425" spans="2:7" ht="20.100000000000001" customHeight="1" x14ac:dyDescent="0.25">
      <c r="B425" s="340" t="s">
        <v>522</v>
      </c>
      <c r="C425" s="341" t="s">
        <v>117</v>
      </c>
      <c r="D425" s="341"/>
      <c r="E425" s="341"/>
      <c r="F425" s="344"/>
      <c r="G425" s="343" t="e">
        <f>#REF!</f>
        <v>#REF!</v>
      </c>
    </row>
    <row r="426" spans="2:7" ht="20.100000000000001" customHeight="1" x14ac:dyDescent="0.25">
      <c r="B426" s="340" t="s">
        <v>523</v>
      </c>
      <c r="C426" s="341" t="s">
        <v>118</v>
      </c>
      <c r="D426" s="341"/>
      <c r="E426" s="341"/>
      <c r="F426" s="344"/>
      <c r="G426" s="343" t="e">
        <f>#REF!</f>
        <v>#REF!</v>
      </c>
    </row>
    <row r="427" spans="2:7" ht="20.100000000000001" customHeight="1" x14ac:dyDescent="0.25">
      <c r="B427" s="340" t="s">
        <v>524</v>
      </c>
      <c r="C427" s="341" t="s">
        <v>119</v>
      </c>
      <c r="D427" s="341"/>
      <c r="E427" s="341"/>
      <c r="F427" s="344"/>
      <c r="G427" s="343" t="e">
        <f>#REF!</f>
        <v>#REF!</v>
      </c>
    </row>
    <row r="428" spans="2:7" ht="20.100000000000001" customHeight="1" x14ac:dyDescent="0.25">
      <c r="B428" s="340" t="s">
        <v>525</v>
      </c>
      <c r="C428" s="341" t="s">
        <v>120</v>
      </c>
      <c r="D428" s="341"/>
      <c r="E428" s="341"/>
      <c r="F428" s="344"/>
      <c r="G428" s="343" t="e">
        <f>#REF!</f>
        <v>#REF!</v>
      </c>
    </row>
    <row r="429" spans="2:7" ht="20.100000000000001" customHeight="1" x14ac:dyDescent="0.25">
      <c r="B429" s="340" t="s">
        <v>526</v>
      </c>
      <c r="C429" s="341" t="s">
        <v>121</v>
      </c>
      <c r="D429" s="341"/>
      <c r="E429" s="341"/>
      <c r="F429" s="344"/>
      <c r="G429" s="343" t="e">
        <f>#REF!</f>
        <v>#REF!</v>
      </c>
    </row>
    <row r="430" spans="2:7" ht="20.100000000000001" customHeight="1" x14ac:dyDescent="0.25">
      <c r="B430" s="340" t="s">
        <v>527</v>
      </c>
      <c r="C430" s="341" t="s">
        <v>122</v>
      </c>
      <c r="D430" s="341"/>
      <c r="E430" s="341"/>
      <c r="F430" s="344"/>
      <c r="G430" s="343" t="e">
        <f>#REF!</f>
        <v>#REF!</v>
      </c>
    </row>
    <row r="431" spans="2:7" ht="20.100000000000001" customHeight="1" x14ac:dyDescent="0.25">
      <c r="B431" s="340" t="s">
        <v>528</v>
      </c>
      <c r="C431" s="341" t="s">
        <v>123</v>
      </c>
      <c r="D431" s="341"/>
      <c r="E431" s="341"/>
      <c r="F431" s="344"/>
      <c r="G431" s="343" t="e">
        <f>#REF!</f>
        <v>#REF!</v>
      </c>
    </row>
    <row r="432" spans="2:7" ht="20.100000000000001" customHeight="1" x14ac:dyDescent="0.25">
      <c r="B432" s="340" t="s">
        <v>529</v>
      </c>
      <c r="C432" s="341" t="s">
        <v>124</v>
      </c>
      <c r="D432" s="341"/>
      <c r="E432" s="341"/>
      <c r="F432" s="344"/>
      <c r="G432" s="343" t="e">
        <f>#REF!</f>
        <v>#REF!</v>
      </c>
    </row>
    <row r="433" spans="2:7" ht="20.100000000000001" customHeight="1" x14ac:dyDescent="0.25">
      <c r="B433" s="340" t="s">
        <v>530</v>
      </c>
      <c r="C433" s="341" t="s">
        <v>125</v>
      </c>
      <c r="D433" s="341"/>
      <c r="E433" s="341"/>
      <c r="F433" s="344"/>
      <c r="G433" s="343" t="e">
        <f>#REF!</f>
        <v>#REF!</v>
      </c>
    </row>
    <row r="434" spans="2:7" ht="20.100000000000001" customHeight="1" x14ac:dyDescent="0.25">
      <c r="B434" s="340" t="s">
        <v>531</v>
      </c>
      <c r="C434" s="341" t="s">
        <v>126</v>
      </c>
      <c r="D434" s="341"/>
      <c r="E434" s="341"/>
      <c r="F434" s="344"/>
      <c r="G434" s="343" t="e">
        <f>#REF!</f>
        <v>#REF!</v>
      </c>
    </row>
    <row r="435" spans="2:7" ht="20.100000000000001" customHeight="1" x14ac:dyDescent="0.25">
      <c r="B435" s="340" t="s">
        <v>532</v>
      </c>
      <c r="C435" s="341" t="s">
        <v>127</v>
      </c>
      <c r="D435" s="341"/>
      <c r="E435" s="341"/>
      <c r="F435" s="344"/>
      <c r="G435" s="343" t="e">
        <f>#REF!</f>
        <v>#REF!</v>
      </c>
    </row>
    <row r="436" spans="2:7" ht="20.100000000000001" customHeight="1" x14ac:dyDescent="0.25">
      <c r="B436" s="340" t="s">
        <v>533</v>
      </c>
      <c r="C436" s="341" t="s">
        <v>128</v>
      </c>
      <c r="D436" s="341"/>
      <c r="E436" s="341"/>
      <c r="F436" s="344"/>
      <c r="G436" s="343" t="e">
        <f>#REF!</f>
        <v>#REF!</v>
      </c>
    </row>
    <row r="437" spans="2:7" ht="20.100000000000001" customHeight="1" x14ac:dyDescent="0.25">
      <c r="B437" s="340" t="s">
        <v>534</v>
      </c>
      <c r="C437" s="341" t="s">
        <v>129</v>
      </c>
      <c r="D437" s="341"/>
      <c r="E437" s="341"/>
      <c r="F437" s="344"/>
      <c r="G437" s="343" t="e">
        <f>#REF!</f>
        <v>#REF!</v>
      </c>
    </row>
    <row r="438" spans="2:7" ht="20.100000000000001" customHeight="1" x14ac:dyDescent="0.25">
      <c r="B438" s="340" t="s">
        <v>535</v>
      </c>
      <c r="C438" s="341" t="s">
        <v>130</v>
      </c>
      <c r="D438" s="341"/>
      <c r="E438" s="341"/>
      <c r="F438" s="344"/>
      <c r="G438" s="343" t="e">
        <f>#REF!</f>
        <v>#REF!</v>
      </c>
    </row>
    <row r="439" spans="2:7" ht="20.100000000000001" customHeight="1" x14ac:dyDescent="0.25">
      <c r="B439" s="340" t="s">
        <v>536</v>
      </c>
      <c r="C439" s="341" t="s">
        <v>131</v>
      </c>
      <c r="D439" s="341"/>
      <c r="E439" s="341"/>
      <c r="F439" s="344"/>
      <c r="G439" s="343" t="e">
        <f>#REF!</f>
        <v>#REF!</v>
      </c>
    </row>
    <row r="440" spans="2:7" ht="20.100000000000001" customHeight="1" x14ac:dyDescent="0.25">
      <c r="B440" s="340" t="s">
        <v>537</v>
      </c>
      <c r="C440" s="341" t="s">
        <v>132</v>
      </c>
      <c r="D440" s="341"/>
      <c r="E440" s="341"/>
      <c r="F440" s="344"/>
      <c r="G440" s="343" t="e">
        <f>#REF!</f>
        <v>#REF!</v>
      </c>
    </row>
    <row r="441" spans="2:7" ht="20.100000000000001" customHeight="1" x14ac:dyDescent="0.25">
      <c r="B441" s="340" t="s">
        <v>538</v>
      </c>
      <c r="C441" s="341" t="s">
        <v>133</v>
      </c>
      <c r="D441" s="341"/>
      <c r="E441" s="341"/>
      <c r="F441" s="344"/>
      <c r="G441" s="343" t="e">
        <f>#REF!</f>
        <v>#REF!</v>
      </c>
    </row>
    <row r="442" spans="2:7" ht="20.100000000000001" customHeight="1" x14ac:dyDescent="0.25">
      <c r="B442" s="340" t="s">
        <v>539</v>
      </c>
      <c r="C442" s="341" t="s">
        <v>134</v>
      </c>
      <c r="D442" s="341"/>
      <c r="E442" s="341"/>
      <c r="F442" s="344"/>
      <c r="G442" s="343" t="e">
        <f>#REF!</f>
        <v>#REF!</v>
      </c>
    </row>
    <row r="443" spans="2:7" ht="20.100000000000001" customHeight="1" x14ac:dyDescent="0.25">
      <c r="B443" s="340" t="s">
        <v>540</v>
      </c>
      <c r="C443" s="341" t="s">
        <v>135</v>
      </c>
      <c r="D443" s="341"/>
      <c r="E443" s="341"/>
      <c r="F443" s="344"/>
      <c r="G443" s="343" t="e">
        <f>#REF!</f>
        <v>#REF!</v>
      </c>
    </row>
    <row r="444" spans="2:7" ht="20.100000000000001" customHeight="1" x14ac:dyDescent="0.25">
      <c r="B444" s="340" t="s">
        <v>541</v>
      </c>
      <c r="C444" s="341" t="s">
        <v>136</v>
      </c>
      <c r="D444" s="341"/>
      <c r="E444" s="341"/>
      <c r="F444" s="344"/>
      <c r="G444" s="343" t="e">
        <f>#REF!</f>
        <v>#REF!</v>
      </c>
    </row>
    <row r="445" spans="2:7" ht="20.100000000000001" customHeight="1" x14ac:dyDescent="0.25">
      <c r="B445" s="340" t="s">
        <v>542</v>
      </c>
      <c r="C445" s="341" t="s">
        <v>137</v>
      </c>
      <c r="D445" s="341"/>
      <c r="E445" s="341"/>
      <c r="F445" s="344"/>
      <c r="G445" s="343" t="e">
        <f>#REF!</f>
        <v>#REF!</v>
      </c>
    </row>
    <row r="446" spans="2:7" ht="20.100000000000001" customHeight="1" x14ac:dyDescent="0.25">
      <c r="B446" s="340" t="s">
        <v>543</v>
      </c>
      <c r="C446" s="341" t="s">
        <v>138</v>
      </c>
      <c r="D446" s="341"/>
      <c r="E446" s="341"/>
      <c r="F446" s="344"/>
      <c r="G446" s="343" t="e">
        <f>#REF!</f>
        <v>#REF!</v>
      </c>
    </row>
    <row r="447" spans="2:7" ht="20.100000000000001" customHeight="1" x14ac:dyDescent="0.25">
      <c r="B447" s="340" t="s">
        <v>544</v>
      </c>
      <c r="C447" s="341" t="s">
        <v>139</v>
      </c>
      <c r="D447" s="341"/>
      <c r="E447" s="341"/>
      <c r="F447" s="344"/>
      <c r="G447" s="343" t="e">
        <f>#REF!</f>
        <v>#REF!</v>
      </c>
    </row>
    <row r="448" spans="2:7" ht="20.100000000000001" customHeight="1" x14ac:dyDescent="0.25">
      <c r="B448" s="340" t="s">
        <v>545</v>
      </c>
      <c r="C448" s="341" t="s">
        <v>140</v>
      </c>
      <c r="D448" s="341"/>
      <c r="E448" s="341"/>
      <c r="F448" s="344"/>
      <c r="G448" s="343" t="e">
        <f>#REF!</f>
        <v>#REF!</v>
      </c>
    </row>
    <row r="449" spans="2:7" ht="20.100000000000001" customHeight="1" x14ac:dyDescent="0.25">
      <c r="B449" s="340" t="s">
        <v>546</v>
      </c>
      <c r="C449" s="341" t="s">
        <v>141</v>
      </c>
      <c r="D449" s="341"/>
      <c r="E449" s="341"/>
      <c r="F449" s="344"/>
      <c r="G449" s="343" t="e">
        <f>#REF!</f>
        <v>#REF!</v>
      </c>
    </row>
    <row r="450" spans="2:7" ht="20.100000000000001" customHeight="1" x14ac:dyDescent="0.25">
      <c r="B450" s="340" t="s">
        <v>547</v>
      </c>
      <c r="C450" s="341" t="s">
        <v>142</v>
      </c>
      <c r="D450" s="341"/>
      <c r="E450" s="341"/>
      <c r="F450" s="344"/>
      <c r="G450" s="343" t="e">
        <f>#REF!</f>
        <v>#REF!</v>
      </c>
    </row>
    <row r="451" spans="2:7" ht="20.100000000000001" customHeight="1" x14ac:dyDescent="0.25">
      <c r="B451" s="340" t="s">
        <v>548</v>
      </c>
      <c r="C451" s="341" t="s">
        <v>143</v>
      </c>
      <c r="D451" s="341"/>
      <c r="E451" s="341"/>
      <c r="F451" s="344"/>
      <c r="G451" s="343" t="e">
        <f>#REF!</f>
        <v>#REF!</v>
      </c>
    </row>
    <row r="452" spans="2:7" ht="20.100000000000001" customHeight="1" x14ac:dyDescent="0.25">
      <c r="B452" s="340" t="s">
        <v>549</v>
      </c>
      <c r="C452" s="341" t="s">
        <v>144</v>
      </c>
      <c r="D452" s="341"/>
      <c r="E452" s="341"/>
      <c r="F452" s="344"/>
      <c r="G452" s="343" t="e">
        <f>#REF!</f>
        <v>#REF!</v>
      </c>
    </row>
    <row r="453" spans="2:7" ht="20.100000000000001" customHeight="1" x14ac:dyDescent="0.25">
      <c r="B453" s="340" t="s">
        <v>550</v>
      </c>
      <c r="C453" s="341" t="s">
        <v>145</v>
      </c>
      <c r="D453" s="341"/>
      <c r="E453" s="341"/>
      <c r="F453" s="344"/>
      <c r="G453" s="343" t="e">
        <f>#REF!</f>
        <v>#REF!</v>
      </c>
    </row>
    <row r="454" spans="2:7" ht="20.100000000000001" customHeight="1" x14ac:dyDescent="0.25">
      <c r="B454" s="340" t="s">
        <v>551</v>
      </c>
      <c r="C454" s="341" t="s">
        <v>146</v>
      </c>
      <c r="D454" s="341"/>
      <c r="E454" s="341"/>
      <c r="F454" s="344"/>
      <c r="G454" s="343" t="e">
        <f>#REF!</f>
        <v>#REF!</v>
      </c>
    </row>
    <row r="455" spans="2:7" ht="20.100000000000001" customHeight="1" x14ac:dyDescent="0.25">
      <c r="B455" s="340" t="s">
        <v>552</v>
      </c>
      <c r="C455" s="341" t="s">
        <v>147</v>
      </c>
      <c r="D455" s="341"/>
      <c r="E455" s="341"/>
      <c r="F455" s="344"/>
      <c r="G455" s="343" t="e">
        <f>#REF!</f>
        <v>#REF!</v>
      </c>
    </row>
    <row r="456" spans="2:7" ht="20.100000000000001" customHeight="1" x14ac:dyDescent="0.25">
      <c r="B456" s="340" t="s">
        <v>553</v>
      </c>
      <c r="C456" s="341" t="s">
        <v>148</v>
      </c>
      <c r="D456" s="341"/>
      <c r="E456" s="341"/>
      <c r="F456" s="344"/>
      <c r="G456" s="343" t="e">
        <f>#REF!</f>
        <v>#REF!</v>
      </c>
    </row>
    <row r="457" spans="2:7" ht="20.100000000000001" customHeight="1" x14ac:dyDescent="0.25">
      <c r="B457" s="340" t="s">
        <v>554</v>
      </c>
      <c r="C457" s="341" t="s">
        <v>149</v>
      </c>
      <c r="D457" s="341"/>
      <c r="E457" s="341"/>
      <c r="F457" s="344"/>
      <c r="G457" s="343" t="e">
        <f>#REF!</f>
        <v>#REF!</v>
      </c>
    </row>
    <row r="458" spans="2:7" ht="20.100000000000001" customHeight="1" x14ac:dyDescent="0.25">
      <c r="B458" s="340" t="s">
        <v>555</v>
      </c>
      <c r="C458" s="341" t="s">
        <v>150</v>
      </c>
      <c r="D458" s="341"/>
      <c r="E458" s="341"/>
      <c r="F458" s="344"/>
      <c r="G458" s="343" t="e">
        <f>#REF!</f>
        <v>#REF!</v>
      </c>
    </row>
    <row r="459" spans="2:7" ht="20.100000000000001" customHeight="1" x14ac:dyDescent="0.25">
      <c r="B459" s="340" t="s">
        <v>556</v>
      </c>
      <c r="C459" s="341" t="s">
        <v>151</v>
      </c>
      <c r="D459" s="341"/>
      <c r="E459" s="341"/>
      <c r="F459" s="344"/>
      <c r="G459" s="343" t="e">
        <f>#REF!</f>
        <v>#REF!</v>
      </c>
    </row>
    <row r="460" spans="2:7" ht="20.100000000000001" customHeight="1" x14ac:dyDescent="0.25">
      <c r="B460" s="340" t="s">
        <v>557</v>
      </c>
      <c r="C460" s="341" t="s">
        <v>152</v>
      </c>
      <c r="D460" s="341"/>
      <c r="E460" s="341"/>
      <c r="F460" s="344"/>
      <c r="G460" s="343" t="e">
        <f>#REF!</f>
        <v>#REF!</v>
      </c>
    </row>
    <row r="461" spans="2:7" ht="20.100000000000001" customHeight="1" x14ac:dyDescent="0.25">
      <c r="B461" s="340" t="s">
        <v>558</v>
      </c>
      <c r="C461" s="341" t="s">
        <v>153</v>
      </c>
      <c r="D461" s="341"/>
      <c r="E461" s="341"/>
      <c r="F461" s="344"/>
      <c r="G461" s="343" t="e">
        <f>#REF!</f>
        <v>#REF!</v>
      </c>
    </row>
    <row r="462" spans="2:7" ht="20.100000000000001" customHeight="1" x14ac:dyDescent="0.25">
      <c r="B462" s="340" t="s">
        <v>559</v>
      </c>
      <c r="C462" s="341" t="s">
        <v>154</v>
      </c>
      <c r="D462" s="341"/>
      <c r="E462" s="341"/>
      <c r="F462" s="344"/>
      <c r="G462" s="343" t="e">
        <f>#REF!</f>
        <v>#REF!</v>
      </c>
    </row>
    <row r="463" spans="2:7" ht="20.100000000000001" customHeight="1" x14ac:dyDescent="0.25">
      <c r="B463" s="340" t="s">
        <v>560</v>
      </c>
      <c r="C463" s="341" t="s">
        <v>155</v>
      </c>
      <c r="D463" s="341"/>
      <c r="E463" s="341"/>
      <c r="F463" s="344"/>
      <c r="G463" s="343" t="e">
        <f>#REF!</f>
        <v>#REF!</v>
      </c>
    </row>
    <row r="464" spans="2:7" ht="20.100000000000001" customHeight="1" x14ac:dyDescent="0.25">
      <c r="B464" s="340" t="s">
        <v>561</v>
      </c>
      <c r="C464" s="341" t="s">
        <v>156</v>
      </c>
      <c r="D464" s="341"/>
      <c r="E464" s="341"/>
      <c r="F464" s="344"/>
      <c r="G464" s="343" t="e">
        <f>#REF!</f>
        <v>#REF!</v>
      </c>
    </row>
    <row r="465" spans="2:7" ht="20.100000000000001" customHeight="1" x14ac:dyDescent="0.25">
      <c r="B465" s="340" t="s">
        <v>562</v>
      </c>
      <c r="C465" s="341" t="s">
        <v>157</v>
      </c>
      <c r="D465" s="341"/>
      <c r="E465" s="341"/>
      <c r="F465" s="344"/>
      <c r="G465" s="343" t="e">
        <f>#REF!</f>
        <v>#REF!</v>
      </c>
    </row>
    <row r="466" spans="2:7" ht="20.100000000000001" customHeight="1" x14ac:dyDescent="0.25">
      <c r="B466" s="340" t="s">
        <v>563</v>
      </c>
      <c r="C466" s="341" t="s">
        <v>158</v>
      </c>
      <c r="D466" s="341"/>
      <c r="E466" s="341"/>
      <c r="F466" s="344"/>
      <c r="G466" s="343" t="e">
        <f>#REF!</f>
        <v>#REF!</v>
      </c>
    </row>
    <row r="467" spans="2:7" ht="20.100000000000001" customHeight="1" x14ac:dyDescent="0.25">
      <c r="B467" s="340" t="s">
        <v>564</v>
      </c>
      <c r="C467" s="341" t="s">
        <v>159</v>
      </c>
      <c r="D467" s="341"/>
      <c r="E467" s="341"/>
      <c r="F467" s="344"/>
      <c r="G467" s="343" t="e">
        <f>#REF!</f>
        <v>#REF!</v>
      </c>
    </row>
    <row r="468" spans="2:7" ht="20.100000000000001" customHeight="1" x14ac:dyDescent="0.25">
      <c r="B468" s="340" t="s">
        <v>565</v>
      </c>
      <c r="C468" s="341" t="s">
        <v>160</v>
      </c>
      <c r="D468" s="341"/>
      <c r="E468" s="341"/>
      <c r="F468" s="344"/>
      <c r="G468" s="343" t="e">
        <f>#REF!</f>
        <v>#REF!</v>
      </c>
    </row>
    <row r="469" spans="2:7" ht="20.100000000000001" customHeight="1" x14ac:dyDescent="0.25">
      <c r="B469" s="340" t="s">
        <v>566</v>
      </c>
      <c r="C469" s="341" t="s">
        <v>161</v>
      </c>
      <c r="D469" s="341"/>
      <c r="E469" s="341"/>
      <c r="F469" s="344"/>
      <c r="G469" s="343" t="e">
        <f>#REF!</f>
        <v>#REF!</v>
      </c>
    </row>
    <row r="470" spans="2:7" ht="20.100000000000001" customHeight="1" x14ac:dyDescent="0.25">
      <c r="B470" s="340" t="s">
        <v>567</v>
      </c>
      <c r="C470" s="341" t="s">
        <v>162</v>
      </c>
      <c r="D470" s="341"/>
      <c r="E470" s="341"/>
      <c r="F470" s="344"/>
      <c r="G470" s="343" t="e">
        <f>#REF!</f>
        <v>#REF!</v>
      </c>
    </row>
    <row r="471" spans="2:7" ht="20.100000000000001" customHeight="1" x14ac:dyDescent="0.25">
      <c r="B471" s="340" t="s">
        <v>568</v>
      </c>
      <c r="C471" s="341" t="s">
        <v>163</v>
      </c>
      <c r="D471" s="341"/>
      <c r="E471" s="341"/>
      <c r="F471" s="344"/>
      <c r="G471" s="343" t="e">
        <f>#REF!</f>
        <v>#REF!</v>
      </c>
    </row>
    <row r="472" spans="2:7" ht="20.100000000000001" customHeight="1" x14ac:dyDescent="0.25">
      <c r="B472" s="340" t="s">
        <v>569</v>
      </c>
      <c r="C472" s="341" t="s">
        <v>164</v>
      </c>
      <c r="D472" s="341"/>
      <c r="E472" s="341"/>
      <c r="F472" s="344"/>
      <c r="G472" s="343" t="e">
        <f>#REF!</f>
        <v>#REF!</v>
      </c>
    </row>
    <row r="473" spans="2:7" ht="20.100000000000001" customHeight="1" x14ac:dyDescent="0.25">
      <c r="B473" s="340" t="s">
        <v>570</v>
      </c>
      <c r="C473" s="341" t="s">
        <v>165</v>
      </c>
      <c r="D473" s="341"/>
      <c r="E473" s="341"/>
      <c r="F473" s="344"/>
      <c r="G473" s="343" t="e">
        <f>#REF!</f>
        <v>#REF!</v>
      </c>
    </row>
    <row r="474" spans="2:7" ht="20.100000000000001" customHeight="1" x14ac:dyDescent="0.25">
      <c r="B474" s="340" t="s">
        <v>571</v>
      </c>
      <c r="C474" s="341" t="s">
        <v>166</v>
      </c>
      <c r="D474" s="341"/>
      <c r="E474" s="341"/>
      <c r="F474" s="344"/>
      <c r="G474" s="343" t="e">
        <f>#REF!</f>
        <v>#REF!</v>
      </c>
    </row>
    <row r="475" spans="2:7" ht="20.100000000000001" customHeight="1" x14ac:dyDescent="0.25">
      <c r="B475" s="340" t="s">
        <v>572</v>
      </c>
      <c r="C475" s="341" t="s">
        <v>167</v>
      </c>
      <c r="D475" s="341"/>
      <c r="E475" s="341"/>
      <c r="F475" s="344"/>
      <c r="G475" s="343" t="e">
        <f>#REF!</f>
        <v>#REF!</v>
      </c>
    </row>
    <row r="476" spans="2:7" ht="20.100000000000001" customHeight="1" x14ac:dyDescent="0.25">
      <c r="B476" s="340" t="s">
        <v>573</v>
      </c>
      <c r="C476" s="341" t="s">
        <v>168</v>
      </c>
      <c r="D476" s="341"/>
      <c r="E476" s="341"/>
      <c r="F476" s="344"/>
      <c r="G476" s="343" t="e">
        <f>#REF!</f>
        <v>#REF!</v>
      </c>
    </row>
    <row r="477" spans="2:7" ht="20.100000000000001" customHeight="1" x14ac:dyDescent="0.25">
      <c r="B477" s="340" t="s">
        <v>574</v>
      </c>
      <c r="C477" s="341" t="s">
        <v>169</v>
      </c>
      <c r="D477" s="341"/>
      <c r="E477" s="341"/>
      <c r="F477" s="344"/>
      <c r="G477" s="343" t="e">
        <f>#REF!</f>
        <v>#REF!</v>
      </c>
    </row>
    <row r="478" spans="2:7" ht="20.100000000000001" customHeight="1" x14ac:dyDescent="0.25">
      <c r="B478" s="340" t="s">
        <v>575</v>
      </c>
      <c r="C478" s="341" t="s">
        <v>170</v>
      </c>
      <c r="D478" s="341"/>
      <c r="E478" s="341"/>
      <c r="F478" s="344"/>
      <c r="G478" s="343" t="e">
        <f>#REF!</f>
        <v>#REF!</v>
      </c>
    </row>
    <row r="479" spans="2:7" ht="20.100000000000001" customHeight="1" x14ac:dyDescent="0.25">
      <c r="B479" s="340" t="s">
        <v>576</v>
      </c>
      <c r="C479" s="341" t="s">
        <v>171</v>
      </c>
      <c r="D479" s="341"/>
      <c r="E479" s="341"/>
      <c r="F479" s="344"/>
      <c r="G479" s="343" t="e">
        <f>#REF!</f>
        <v>#REF!</v>
      </c>
    </row>
    <row r="480" spans="2:7" ht="20.100000000000001" customHeight="1" x14ac:dyDescent="0.25">
      <c r="B480" s="340" t="s">
        <v>577</v>
      </c>
      <c r="C480" s="341" t="s">
        <v>172</v>
      </c>
      <c r="D480" s="341"/>
      <c r="E480" s="341"/>
      <c r="F480" s="344"/>
      <c r="G480" s="343" t="e">
        <f>#REF!</f>
        <v>#REF!</v>
      </c>
    </row>
    <row r="481" spans="2:7" ht="20.100000000000001" customHeight="1" x14ac:dyDescent="0.25">
      <c r="B481" s="340" t="s">
        <v>578</v>
      </c>
      <c r="C481" s="341" t="s">
        <v>173</v>
      </c>
      <c r="D481" s="341"/>
      <c r="E481" s="341"/>
      <c r="F481" s="344"/>
      <c r="G481" s="343" t="e">
        <f>#REF!</f>
        <v>#REF!</v>
      </c>
    </row>
    <row r="482" spans="2:7" ht="20.100000000000001" customHeight="1" x14ac:dyDescent="0.25">
      <c r="B482" s="340" t="s">
        <v>579</v>
      </c>
      <c r="C482" s="341" t="s">
        <v>174</v>
      </c>
      <c r="D482" s="341"/>
      <c r="E482" s="341"/>
      <c r="F482" s="344"/>
      <c r="G482" s="336"/>
    </row>
    <row r="483" spans="2:7" ht="20.100000000000001" customHeight="1" x14ac:dyDescent="0.25">
      <c r="B483" s="340" t="s">
        <v>580</v>
      </c>
      <c r="C483" s="341" t="s">
        <v>175</v>
      </c>
      <c r="D483" s="341"/>
      <c r="E483" s="341"/>
      <c r="F483" s="344"/>
      <c r="G483" s="336"/>
    </row>
    <row r="484" spans="2:7" ht="20.100000000000001" customHeight="1" x14ac:dyDescent="0.25">
      <c r="B484" s="340" t="s">
        <v>581</v>
      </c>
      <c r="C484" s="341" t="s">
        <v>176</v>
      </c>
      <c r="D484" s="341"/>
      <c r="E484" s="341"/>
      <c r="F484" s="344"/>
      <c r="G484" s="343" t="e">
        <f>#REF!</f>
        <v>#REF!</v>
      </c>
    </row>
    <row r="485" spans="2:7" ht="20.100000000000001" customHeight="1" x14ac:dyDescent="0.25">
      <c r="B485" s="340" t="s">
        <v>582</v>
      </c>
      <c r="C485" s="341" t="s">
        <v>177</v>
      </c>
      <c r="D485" s="341"/>
      <c r="E485" s="341"/>
      <c r="F485" s="344"/>
      <c r="G485" s="343" t="e">
        <f>#REF!</f>
        <v>#REF!</v>
      </c>
    </row>
    <row r="486" spans="2:7" ht="20.100000000000001" customHeight="1" x14ac:dyDescent="0.25">
      <c r="B486" s="340" t="s">
        <v>583</v>
      </c>
      <c r="C486" s="341" t="s">
        <v>178</v>
      </c>
      <c r="D486" s="341"/>
      <c r="E486" s="341"/>
      <c r="F486" s="344"/>
      <c r="G486" s="343" t="e">
        <f>#REF!</f>
        <v>#REF!</v>
      </c>
    </row>
    <row r="487" spans="2:7" ht="20.100000000000001" customHeight="1" x14ac:dyDescent="0.25">
      <c r="B487" s="340" t="s">
        <v>584</v>
      </c>
      <c r="C487" s="341" t="s">
        <v>179</v>
      </c>
      <c r="D487" s="341"/>
      <c r="E487" s="341"/>
      <c r="F487" s="344"/>
      <c r="G487" s="343" t="e">
        <f>#REF!</f>
        <v>#REF!</v>
      </c>
    </row>
    <row r="488" spans="2:7" ht="20.100000000000001" customHeight="1" x14ac:dyDescent="0.25">
      <c r="B488" s="340" t="s">
        <v>585</v>
      </c>
      <c r="C488" s="341" t="s">
        <v>180</v>
      </c>
      <c r="D488" s="341"/>
      <c r="E488" s="341"/>
      <c r="F488" s="344"/>
      <c r="G488" s="343" t="e">
        <f>#REF!</f>
        <v>#REF!</v>
      </c>
    </row>
    <row r="489" spans="2:7" ht="20.100000000000001" customHeight="1" x14ac:dyDescent="0.25">
      <c r="B489" s="338"/>
      <c r="F489" s="336"/>
      <c r="G489" s="343" t="e">
        <f>#REF!</f>
        <v>#REF!</v>
      </c>
    </row>
    <row r="490" spans="2:7" ht="20.100000000000001" customHeight="1" x14ac:dyDescent="0.25">
      <c r="B490" s="334" t="s">
        <v>907</v>
      </c>
      <c r="C490" s="335" t="s">
        <v>908</v>
      </c>
      <c r="D490" s="335" t="s">
        <v>23</v>
      </c>
      <c r="F490" s="336"/>
      <c r="G490" s="343" t="e">
        <f>#REF!</f>
        <v>#REF!</v>
      </c>
    </row>
    <row r="491" spans="2:7" ht="20.100000000000001" customHeight="1" x14ac:dyDescent="0.25">
      <c r="B491" s="340" t="s">
        <v>181</v>
      </c>
      <c r="C491" s="341" t="s">
        <v>894</v>
      </c>
      <c r="D491" s="341" t="s">
        <v>891</v>
      </c>
      <c r="E491" s="341"/>
      <c r="F491" s="344"/>
      <c r="G491" s="343" t="e">
        <f>#REF!</f>
        <v>#REF!</v>
      </c>
    </row>
    <row r="492" spans="2:7" ht="20.100000000000001" customHeight="1" x14ac:dyDescent="0.25">
      <c r="B492" s="340" t="s">
        <v>182</v>
      </c>
      <c r="C492" s="341" t="s">
        <v>196</v>
      </c>
      <c r="D492" s="341"/>
      <c r="E492" s="341"/>
      <c r="F492" s="344"/>
      <c r="G492" s="343" t="e">
        <f>#REF!</f>
        <v>#REF!</v>
      </c>
    </row>
    <row r="493" spans="2:7" ht="20.100000000000001" customHeight="1" x14ac:dyDescent="0.25">
      <c r="B493" s="340" t="s">
        <v>183</v>
      </c>
      <c r="C493" s="341" t="s">
        <v>197</v>
      </c>
      <c r="D493" s="341"/>
      <c r="E493" s="341"/>
      <c r="F493" s="344"/>
      <c r="G493" s="343" t="e">
        <f>#REF!</f>
        <v>#REF!</v>
      </c>
    </row>
    <row r="494" spans="2:7" ht="20.100000000000001" customHeight="1" x14ac:dyDescent="0.25">
      <c r="B494" s="340" t="s">
        <v>184</v>
      </c>
      <c r="C494" s="341" t="s">
        <v>198</v>
      </c>
      <c r="D494" s="341"/>
      <c r="E494" s="341"/>
      <c r="F494" s="344"/>
      <c r="G494" s="343" t="e">
        <f>#REF!</f>
        <v>#REF!</v>
      </c>
    </row>
    <row r="495" spans="2:7" ht="20.100000000000001" customHeight="1" x14ac:dyDescent="0.25">
      <c r="B495" s="340" t="s">
        <v>185</v>
      </c>
      <c r="C495" s="341" t="s">
        <v>199</v>
      </c>
      <c r="D495" s="341"/>
      <c r="E495" s="341"/>
      <c r="F495" s="344"/>
      <c r="G495" s="343" t="e">
        <f>#REF!</f>
        <v>#REF!</v>
      </c>
    </row>
    <row r="496" spans="2:7" ht="20.100000000000001" customHeight="1" x14ac:dyDescent="0.25">
      <c r="B496" s="340" t="s">
        <v>186</v>
      </c>
      <c r="C496" s="341" t="s">
        <v>200</v>
      </c>
      <c r="D496" s="341"/>
      <c r="E496" s="341"/>
      <c r="F496" s="344"/>
      <c r="G496" s="343" t="e">
        <f>#REF!</f>
        <v>#REF!</v>
      </c>
    </row>
    <row r="497" spans="2:7" ht="20.100000000000001" customHeight="1" x14ac:dyDescent="0.25">
      <c r="B497" s="340" t="s">
        <v>187</v>
      </c>
      <c r="C497" s="341" t="s">
        <v>201</v>
      </c>
      <c r="D497" s="341"/>
      <c r="E497" s="341"/>
      <c r="F497" s="344"/>
      <c r="G497" s="343" t="e">
        <f>#REF!</f>
        <v>#REF!</v>
      </c>
    </row>
    <row r="498" spans="2:7" ht="20.100000000000001" customHeight="1" x14ac:dyDescent="0.25">
      <c r="B498" s="340" t="s">
        <v>188</v>
      </c>
      <c r="C498" s="341" t="s">
        <v>202</v>
      </c>
      <c r="D498" s="341"/>
      <c r="E498" s="341"/>
      <c r="F498" s="344"/>
      <c r="G498" s="343" t="e">
        <f>#REF!</f>
        <v>#REF!</v>
      </c>
    </row>
    <row r="499" spans="2:7" ht="20.100000000000001" customHeight="1" x14ac:dyDescent="0.25">
      <c r="B499" s="340" t="s">
        <v>189</v>
      </c>
      <c r="C499" s="341" t="s">
        <v>203</v>
      </c>
      <c r="D499" s="341"/>
      <c r="E499" s="341"/>
      <c r="F499" s="344"/>
      <c r="G499" s="343" t="e">
        <f>#REF!</f>
        <v>#REF!</v>
      </c>
    </row>
    <row r="500" spans="2:7" ht="20.100000000000001" customHeight="1" x14ac:dyDescent="0.25">
      <c r="B500" s="340" t="s">
        <v>190</v>
      </c>
      <c r="C500" s="341" t="s">
        <v>204</v>
      </c>
      <c r="D500" s="341"/>
      <c r="E500" s="341"/>
      <c r="F500" s="344"/>
      <c r="G500" s="343" t="e">
        <f>#REF!</f>
        <v>#REF!</v>
      </c>
    </row>
    <row r="501" spans="2:7" ht="20.100000000000001" customHeight="1" x14ac:dyDescent="0.25">
      <c r="B501" s="340" t="s">
        <v>191</v>
      </c>
      <c r="C501" s="341" t="s">
        <v>205</v>
      </c>
      <c r="D501" s="341"/>
      <c r="E501" s="341"/>
      <c r="F501" s="344"/>
      <c r="G501" s="343" t="e">
        <f>#REF!</f>
        <v>#REF!</v>
      </c>
    </row>
    <row r="502" spans="2:7" ht="20.100000000000001" customHeight="1" x14ac:dyDescent="0.25">
      <c r="B502" s="340" t="s">
        <v>192</v>
      </c>
      <c r="C502" s="341" t="s">
        <v>206</v>
      </c>
      <c r="D502" s="341"/>
      <c r="E502" s="341"/>
      <c r="F502" s="344"/>
      <c r="G502" s="343" t="e">
        <f>#REF!</f>
        <v>#REF!</v>
      </c>
    </row>
    <row r="503" spans="2:7" ht="20.100000000000001" customHeight="1" x14ac:dyDescent="0.25">
      <c r="B503" s="340" t="s">
        <v>193</v>
      </c>
      <c r="C503" s="341" t="s">
        <v>207</v>
      </c>
      <c r="D503" s="341"/>
      <c r="E503" s="341"/>
      <c r="F503" s="344"/>
      <c r="G503" s="343" t="e">
        <f>#REF!</f>
        <v>#REF!</v>
      </c>
    </row>
    <row r="504" spans="2:7" ht="20.100000000000001" customHeight="1" x14ac:dyDescent="0.25">
      <c r="B504" s="340" t="s">
        <v>194</v>
      </c>
      <c r="C504" s="341" t="s">
        <v>208</v>
      </c>
      <c r="D504" s="341"/>
      <c r="E504" s="341"/>
      <c r="F504" s="344"/>
      <c r="G504" s="343" t="e">
        <f>#REF!</f>
        <v>#REF!</v>
      </c>
    </row>
    <row r="505" spans="2:7" ht="20.100000000000001" customHeight="1" x14ac:dyDescent="0.25">
      <c r="B505" s="340" t="s">
        <v>209</v>
      </c>
      <c r="C505" s="341" t="s">
        <v>210</v>
      </c>
      <c r="D505" s="341"/>
      <c r="E505" s="341"/>
      <c r="F505" s="344"/>
      <c r="G505" s="343" t="e">
        <f>#REF!</f>
        <v>#REF!</v>
      </c>
    </row>
    <row r="506" spans="2:7" ht="20.100000000000001" customHeight="1" x14ac:dyDescent="0.25">
      <c r="B506" s="340" t="s">
        <v>211</v>
      </c>
      <c r="C506" s="341" t="s">
        <v>212</v>
      </c>
      <c r="D506" s="341"/>
      <c r="E506" s="341"/>
      <c r="F506" s="344"/>
      <c r="G506" s="343" t="e">
        <f>#REF!</f>
        <v>#REF!</v>
      </c>
    </row>
    <row r="507" spans="2:7" ht="20.100000000000001" customHeight="1" x14ac:dyDescent="0.25">
      <c r="B507" s="340" t="s">
        <v>213</v>
      </c>
      <c r="C507" s="341" t="s">
        <v>214</v>
      </c>
      <c r="D507" s="341"/>
      <c r="E507" s="341"/>
      <c r="F507" s="344"/>
      <c r="G507" s="343" t="e">
        <f>#REF!</f>
        <v>#REF!</v>
      </c>
    </row>
    <row r="508" spans="2:7" ht="20.100000000000001" customHeight="1" x14ac:dyDescent="0.25">
      <c r="B508" s="340" t="s">
        <v>215</v>
      </c>
      <c r="C508" s="341" t="s">
        <v>216</v>
      </c>
      <c r="D508" s="341"/>
      <c r="E508" s="341"/>
      <c r="F508" s="344"/>
      <c r="G508" s="343" t="e">
        <f>#REF!</f>
        <v>#REF!</v>
      </c>
    </row>
    <row r="509" spans="2:7" ht="20.100000000000001" customHeight="1" x14ac:dyDescent="0.25">
      <c r="B509" s="340" t="s">
        <v>217</v>
      </c>
      <c r="C509" s="341" t="s">
        <v>218</v>
      </c>
      <c r="D509" s="341"/>
      <c r="E509" s="341"/>
      <c r="F509" s="344"/>
      <c r="G509" s="343" t="e">
        <f>#REF!</f>
        <v>#REF!</v>
      </c>
    </row>
    <row r="510" spans="2:7" ht="20.100000000000001" customHeight="1" x14ac:dyDescent="0.25">
      <c r="B510" s="340" t="s">
        <v>219</v>
      </c>
      <c r="C510" s="341" t="s">
        <v>220</v>
      </c>
      <c r="D510" s="341"/>
      <c r="E510" s="341"/>
      <c r="F510" s="344"/>
      <c r="G510" s="343" t="e">
        <f>#REF!</f>
        <v>#REF!</v>
      </c>
    </row>
    <row r="511" spans="2:7" ht="20.100000000000001" customHeight="1" x14ac:dyDescent="0.25">
      <c r="B511" s="340" t="s">
        <v>221</v>
      </c>
      <c r="C511" s="341" t="s">
        <v>222</v>
      </c>
      <c r="D511" s="341"/>
      <c r="E511" s="341"/>
      <c r="F511" s="344"/>
      <c r="G511" s="343" t="e">
        <f>#REF!</f>
        <v>#REF!</v>
      </c>
    </row>
    <row r="512" spans="2:7" ht="20.100000000000001" customHeight="1" x14ac:dyDescent="0.25">
      <c r="B512" s="340" t="s">
        <v>223</v>
      </c>
      <c r="C512" s="341" t="s">
        <v>224</v>
      </c>
      <c r="D512" s="341"/>
      <c r="E512" s="341"/>
      <c r="F512" s="344"/>
      <c r="G512" s="343" t="e">
        <f>#REF!</f>
        <v>#REF!</v>
      </c>
    </row>
    <row r="513" spans="2:7" ht="20.100000000000001" customHeight="1" x14ac:dyDescent="0.25">
      <c r="B513" s="340" t="s">
        <v>225</v>
      </c>
      <c r="C513" s="341" t="s">
        <v>226</v>
      </c>
      <c r="D513" s="341"/>
      <c r="E513" s="341"/>
      <c r="F513" s="344"/>
      <c r="G513" s="343" t="e">
        <f>#REF!</f>
        <v>#REF!</v>
      </c>
    </row>
    <row r="514" spans="2:7" ht="20.100000000000001" customHeight="1" x14ac:dyDescent="0.25">
      <c r="B514" s="340" t="s">
        <v>227</v>
      </c>
      <c r="C514" s="341" t="s">
        <v>228</v>
      </c>
      <c r="D514" s="341"/>
      <c r="E514" s="341"/>
      <c r="F514" s="344"/>
      <c r="G514" s="343" t="e">
        <f>#REF!</f>
        <v>#REF!</v>
      </c>
    </row>
    <row r="515" spans="2:7" ht="20.100000000000001" customHeight="1" x14ac:dyDescent="0.25">
      <c r="B515" s="340" t="s">
        <v>229</v>
      </c>
      <c r="C515" s="341" t="s">
        <v>230</v>
      </c>
      <c r="D515" s="341"/>
      <c r="E515" s="341"/>
      <c r="F515" s="344"/>
      <c r="G515" s="343" t="e">
        <f>#REF!</f>
        <v>#REF!</v>
      </c>
    </row>
    <row r="516" spans="2:7" ht="20.100000000000001" customHeight="1" x14ac:dyDescent="0.25">
      <c r="B516" s="340" t="s">
        <v>231</v>
      </c>
      <c r="C516" s="341" t="s">
        <v>232</v>
      </c>
      <c r="D516" s="341"/>
      <c r="E516" s="341"/>
      <c r="F516" s="344"/>
      <c r="G516" s="343" t="e">
        <f>#REF!</f>
        <v>#REF!</v>
      </c>
    </row>
    <row r="517" spans="2:7" ht="20.100000000000001" customHeight="1" x14ac:dyDescent="0.25">
      <c r="B517" s="340" t="s">
        <v>233</v>
      </c>
      <c r="C517" s="341" t="s">
        <v>234</v>
      </c>
      <c r="D517" s="341"/>
      <c r="E517" s="341"/>
      <c r="F517" s="344"/>
      <c r="G517" s="343" t="e">
        <f>#REF!</f>
        <v>#REF!</v>
      </c>
    </row>
    <row r="518" spans="2:7" ht="20.100000000000001" customHeight="1" x14ac:dyDescent="0.25">
      <c r="B518" s="340" t="s">
        <v>235</v>
      </c>
      <c r="C518" s="341" t="s">
        <v>236</v>
      </c>
      <c r="D518" s="341"/>
      <c r="E518" s="341"/>
      <c r="F518" s="344"/>
      <c r="G518" s="343" t="e">
        <f>#REF!</f>
        <v>#REF!</v>
      </c>
    </row>
    <row r="519" spans="2:7" ht="20.100000000000001" customHeight="1" x14ac:dyDescent="0.25">
      <c r="B519" s="340" t="s">
        <v>237</v>
      </c>
      <c r="C519" s="341" t="s">
        <v>238</v>
      </c>
      <c r="D519" s="341"/>
      <c r="E519" s="341"/>
      <c r="F519" s="344"/>
      <c r="G519" s="343" t="e">
        <f>#REF!</f>
        <v>#REF!</v>
      </c>
    </row>
    <row r="520" spans="2:7" ht="20.100000000000001" customHeight="1" x14ac:dyDescent="0.25">
      <c r="B520" s="340" t="s">
        <v>239</v>
      </c>
      <c r="C520" s="341" t="s">
        <v>240</v>
      </c>
      <c r="D520" s="341"/>
      <c r="E520" s="341"/>
      <c r="F520" s="344"/>
      <c r="G520" s="343" t="e">
        <f>#REF!</f>
        <v>#REF!</v>
      </c>
    </row>
    <row r="521" spans="2:7" ht="20.100000000000001" customHeight="1" x14ac:dyDescent="0.25">
      <c r="B521" s="340" t="s">
        <v>241</v>
      </c>
      <c r="C521" s="341" t="s">
        <v>242</v>
      </c>
      <c r="D521" s="341"/>
      <c r="E521" s="341"/>
      <c r="F521" s="344"/>
      <c r="G521" s="343" t="e">
        <f>#REF!</f>
        <v>#REF!</v>
      </c>
    </row>
    <row r="522" spans="2:7" ht="20.100000000000001" customHeight="1" x14ac:dyDescent="0.25">
      <c r="B522" s="340" t="s">
        <v>243</v>
      </c>
      <c r="C522" s="341" t="s">
        <v>244</v>
      </c>
      <c r="D522" s="341"/>
      <c r="E522" s="341"/>
      <c r="F522" s="344"/>
      <c r="G522" s="343" t="e">
        <f>#REF!</f>
        <v>#REF!</v>
      </c>
    </row>
    <row r="523" spans="2:7" ht="20.100000000000001" customHeight="1" x14ac:dyDescent="0.25">
      <c r="B523" s="340" t="s">
        <v>245</v>
      </c>
      <c r="C523" s="341" t="s">
        <v>246</v>
      </c>
      <c r="D523" s="341"/>
      <c r="E523" s="341"/>
      <c r="F523" s="344"/>
      <c r="G523" s="343" t="e">
        <f>#REF!</f>
        <v>#REF!</v>
      </c>
    </row>
    <row r="524" spans="2:7" ht="20.100000000000001" customHeight="1" x14ac:dyDescent="0.25">
      <c r="B524" s="340" t="s">
        <v>247</v>
      </c>
      <c r="C524" s="341" t="s">
        <v>248</v>
      </c>
      <c r="D524" s="341"/>
      <c r="E524" s="341"/>
      <c r="F524" s="344"/>
      <c r="G524" s="343" t="e">
        <f>#REF!</f>
        <v>#REF!</v>
      </c>
    </row>
    <row r="525" spans="2:7" ht="20.100000000000001" customHeight="1" x14ac:dyDescent="0.25">
      <c r="B525" s="340" t="s">
        <v>249</v>
      </c>
      <c r="C525" s="341" t="s">
        <v>250</v>
      </c>
      <c r="D525" s="341"/>
      <c r="E525" s="341"/>
      <c r="F525" s="344"/>
      <c r="G525" s="343" t="e">
        <f>#REF!</f>
        <v>#REF!</v>
      </c>
    </row>
    <row r="526" spans="2:7" ht="20.100000000000001" customHeight="1" x14ac:dyDescent="0.25">
      <c r="B526" s="340" t="s">
        <v>251</v>
      </c>
      <c r="C526" s="341" t="s">
        <v>252</v>
      </c>
      <c r="D526" s="341"/>
      <c r="E526" s="341"/>
      <c r="F526" s="344"/>
      <c r="G526" s="343" t="e">
        <f>#REF!</f>
        <v>#REF!</v>
      </c>
    </row>
    <row r="527" spans="2:7" ht="20.100000000000001" customHeight="1" x14ac:dyDescent="0.25">
      <c r="B527" s="340" t="s">
        <v>253</v>
      </c>
      <c r="C527" s="341" t="s">
        <v>254</v>
      </c>
      <c r="D527" s="341"/>
      <c r="E527" s="341"/>
      <c r="F527" s="344"/>
      <c r="G527" s="343" t="e">
        <f>#REF!</f>
        <v>#REF!</v>
      </c>
    </row>
    <row r="528" spans="2:7" ht="20.100000000000001" customHeight="1" x14ac:dyDescent="0.25">
      <c r="B528" s="340" t="s">
        <v>255</v>
      </c>
      <c r="C528" s="341" t="s">
        <v>256</v>
      </c>
      <c r="D528" s="341"/>
      <c r="E528" s="341"/>
      <c r="F528" s="344"/>
      <c r="G528" s="343" t="e">
        <f>#REF!</f>
        <v>#REF!</v>
      </c>
    </row>
    <row r="529" spans="2:7" ht="20.100000000000001" customHeight="1" x14ac:dyDescent="0.25">
      <c r="B529" s="340" t="s">
        <v>257</v>
      </c>
      <c r="C529" s="341" t="s">
        <v>258</v>
      </c>
      <c r="D529" s="341"/>
      <c r="E529" s="341"/>
      <c r="F529" s="344"/>
      <c r="G529" s="343" t="e">
        <f>#REF!</f>
        <v>#REF!</v>
      </c>
    </row>
    <row r="530" spans="2:7" ht="20.100000000000001" customHeight="1" x14ac:dyDescent="0.25">
      <c r="B530" s="340" t="s">
        <v>259</v>
      </c>
      <c r="C530" s="341" t="s">
        <v>260</v>
      </c>
      <c r="D530" s="341"/>
      <c r="E530" s="341"/>
      <c r="F530" s="344"/>
      <c r="G530" s="343" t="e">
        <f>#REF!</f>
        <v>#REF!</v>
      </c>
    </row>
    <row r="531" spans="2:7" ht="20.100000000000001" customHeight="1" x14ac:dyDescent="0.25">
      <c r="B531" s="340" t="s">
        <v>261</v>
      </c>
      <c r="C531" s="341" t="s">
        <v>262</v>
      </c>
      <c r="D531" s="341"/>
      <c r="E531" s="341"/>
      <c r="F531" s="344"/>
      <c r="G531" s="343" t="e">
        <f>#REF!</f>
        <v>#REF!</v>
      </c>
    </row>
    <row r="532" spans="2:7" ht="20.100000000000001" customHeight="1" x14ac:dyDescent="0.25">
      <c r="B532" s="340" t="s">
        <v>263</v>
      </c>
      <c r="C532" s="341" t="s">
        <v>264</v>
      </c>
      <c r="D532" s="341"/>
      <c r="E532" s="341"/>
      <c r="F532" s="344"/>
      <c r="G532" s="343" t="e">
        <f>#REF!</f>
        <v>#REF!</v>
      </c>
    </row>
    <row r="533" spans="2:7" ht="20.100000000000001" customHeight="1" x14ac:dyDescent="0.25">
      <c r="B533" s="340" t="s">
        <v>265</v>
      </c>
      <c r="C533" s="341" t="s">
        <v>266</v>
      </c>
      <c r="D533" s="341"/>
      <c r="E533" s="341"/>
      <c r="F533" s="344"/>
      <c r="G533" s="343" t="e">
        <f>#REF!</f>
        <v>#REF!</v>
      </c>
    </row>
    <row r="534" spans="2:7" ht="20.100000000000001" customHeight="1" x14ac:dyDescent="0.25">
      <c r="B534" s="340" t="s">
        <v>267</v>
      </c>
      <c r="C534" s="341" t="s">
        <v>268</v>
      </c>
      <c r="D534" s="341"/>
      <c r="E534" s="341"/>
      <c r="F534" s="344"/>
      <c r="G534" s="343" t="e">
        <f>#REF!</f>
        <v>#REF!</v>
      </c>
    </row>
    <row r="535" spans="2:7" ht="20.100000000000001" customHeight="1" x14ac:dyDescent="0.25">
      <c r="B535" s="340" t="s">
        <v>269</v>
      </c>
      <c r="C535" s="341" t="s">
        <v>270</v>
      </c>
      <c r="D535" s="341"/>
      <c r="E535" s="341"/>
      <c r="F535" s="344"/>
      <c r="G535" s="343" t="e">
        <f>#REF!</f>
        <v>#REF!</v>
      </c>
    </row>
    <row r="536" spans="2:7" ht="20.100000000000001" customHeight="1" x14ac:dyDescent="0.25">
      <c r="B536" s="340" t="s">
        <v>271</v>
      </c>
      <c r="C536" s="341" t="s">
        <v>272</v>
      </c>
      <c r="D536" s="341"/>
      <c r="E536" s="341"/>
      <c r="F536" s="344"/>
      <c r="G536" s="343" t="e">
        <f>#REF!</f>
        <v>#REF!</v>
      </c>
    </row>
    <row r="537" spans="2:7" ht="20.100000000000001" customHeight="1" x14ac:dyDescent="0.25">
      <c r="B537" s="340" t="s">
        <v>273</v>
      </c>
      <c r="C537" s="341" t="s">
        <v>274</v>
      </c>
      <c r="D537" s="341"/>
      <c r="E537" s="341"/>
      <c r="F537" s="344"/>
      <c r="G537" s="343" t="e">
        <f>#REF!</f>
        <v>#REF!</v>
      </c>
    </row>
    <row r="538" spans="2:7" ht="20.100000000000001" customHeight="1" x14ac:dyDescent="0.25">
      <c r="B538" s="340" t="s">
        <v>275</v>
      </c>
      <c r="C538" s="341" t="s">
        <v>276</v>
      </c>
      <c r="D538" s="341"/>
      <c r="E538" s="341"/>
      <c r="F538" s="344"/>
      <c r="G538" s="343" t="e">
        <f>#REF!</f>
        <v>#REF!</v>
      </c>
    </row>
    <row r="539" spans="2:7" ht="20.100000000000001" customHeight="1" x14ac:dyDescent="0.25">
      <c r="B539" s="340" t="s">
        <v>277</v>
      </c>
      <c r="C539" s="341" t="s">
        <v>278</v>
      </c>
      <c r="D539" s="341"/>
      <c r="E539" s="341"/>
      <c r="F539" s="344"/>
      <c r="G539" s="343" t="e">
        <f>#REF!</f>
        <v>#REF!</v>
      </c>
    </row>
    <row r="540" spans="2:7" ht="20.100000000000001" customHeight="1" x14ac:dyDescent="0.25">
      <c r="B540" s="340" t="s">
        <v>279</v>
      </c>
      <c r="C540" s="341" t="s">
        <v>280</v>
      </c>
      <c r="D540" s="341"/>
      <c r="E540" s="341"/>
      <c r="F540" s="344"/>
      <c r="G540" s="343" t="e">
        <f>#REF!</f>
        <v>#REF!</v>
      </c>
    </row>
    <row r="541" spans="2:7" ht="20.100000000000001" customHeight="1" x14ac:dyDescent="0.25">
      <c r="B541" s="340" t="s">
        <v>281</v>
      </c>
      <c r="C541" s="341" t="s">
        <v>282</v>
      </c>
      <c r="D541" s="341"/>
      <c r="E541" s="341"/>
      <c r="F541" s="344"/>
      <c r="G541" s="343" t="e">
        <f>#REF!</f>
        <v>#REF!</v>
      </c>
    </row>
    <row r="542" spans="2:7" ht="20.100000000000001" customHeight="1" x14ac:dyDescent="0.25">
      <c r="B542" s="340" t="s">
        <v>283</v>
      </c>
      <c r="C542" s="341" t="s">
        <v>284</v>
      </c>
      <c r="D542" s="341"/>
      <c r="E542" s="341"/>
      <c r="F542" s="344"/>
      <c r="G542" s="343" t="e">
        <f>#REF!</f>
        <v>#REF!</v>
      </c>
    </row>
    <row r="543" spans="2:7" ht="20.100000000000001" customHeight="1" x14ac:dyDescent="0.25">
      <c r="B543" s="340" t="s">
        <v>285</v>
      </c>
      <c r="C543" s="341" t="s">
        <v>286</v>
      </c>
      <c r="D543" s="341"/>
      <c r="E543" s="341"/>
      <c r="F543" s="344"/>
      <c r="G543" s="343" t="e">
        <f>#REF!</f>
        <v>#REF!</v>
      </c>
    </row>
    <row r="544" spans="2:7" ht="20.100000000000001" customHeight="1" x14ac:dyDescent="0.25">
      <c r="B544" s="340" t="s">
        <v>287</v>
      </c>
      <c r="C544" s="341" t="s">
        <v>288</v>
      </c>
      <c r="D544" s="341"/>
      <c r="E544" s="341"/>
      <c r="F544" s="344"/>
      <c r="G544" s="343" t="e">
        <f>#REF!</f>
        <v>#REF!</v>
      </c>
    </row>
    <row r="545" spans="2:7" ht="20.100000000000001" customHeight="1" x14ac:dyDescent="0.25">
      <c r="B545" s="340" t="s">
        <v>289</v>
      </c>
      <c r="C545" s="341" t="s">
        <v>290</v>
      </c>
      <c r="D545" s="341"/>
      <c r="E545" s="341"/>
      <c r="F545" s="344"/>
      <c r="G545" s="343" t="e">
        <f>#REF!</f>
        <v>#REF!</v>
      </c>
    </row>
    <row r="546" spans="2:7" ht="20.100000000000001" customHeight="1" x14ac:dyDescent="0.25">
      <c r="B546" s="340" t="s">
        <v>291</v>
      </c>
      <c r="C546" s="341" t="s">
        <v>292</v>
      </c>
      <c r="D546" s="341"/>
      <c r="E546" s="341"/>
      <c r="F546" s="344"/>
      <c r="G546" s="343" t="e">
        <f>#REF!</f>
        <v>#REF!</v>
      </c>
    </row>
    <row r="547" spans="2:7" ht="20.100000000000001" customHeight="1" x14ac:dyDescent="0.25">
      <c r="B547" s="340" t="s">
        <v>293</v>
      </c>
      <c r="C547" s="341" t="s">
        <v>294</v>
      </c>
      <c r="D547" s="341"/>
      <c r="E547" s="341"/>
      <c r="F547" s="344"/>
      <c r="G547" s="343" t="e">
        <f>#REF!</f>
        <v>#REF!</v>
      </c>
    </row>
    <row r="548" spans="2:7" ht="20.100000000000001" customHeight="1" x14ac:dyDescent="0.25">
      <c r="B548" s="340" t="s">
        <v>295</v>
      </c>
      <c r="C548" s="341" t="s">
        <v>296</v>
      </c>
      <c r="D548" s="341"/>
      <c r="E548" s="341"/>
      <c r="F548" s="344"/>
      <c r="G548" s="343" t="e">
        <f>#REF!</f>
        <v>#REF!</v>
      </c>
    </row>
    <row r="549" spans="2:7" ht="20.100000000000001" customHeight="1" x14ac:dyDescent="0.25">
      <c r="B549" s="340" t="s">
        <v>297</v>
      </c>
      <c r="C549" s="341" t="s">
        <v>298</v>
      </c>
      <c r="D549" s="341"/>
      <c r="E549" s="341"/>
      <c r="F549" s="344"/>
      <c r="G549" s="343" t="e">
        <f>#REF!</f>
        <v>#REF!</v>
      </c>
    </row>
    <row r="550" spans="2:7" ht="20.100000000000001" customHeight="1" x14ac:dyDescent="0.25">
      <c r="B550" s="340" t="s">
        <v>299</v>
      </c>
      <c r="C550" s="341" t="s">
        <v>300</v>
      </c>
      <c r="D550" s="341"/>
      <c r="E550" s="341"/>
      <c r="F550" s="344"/>
      <c r="G550" s="343" t="e">
        <f>#REF!</f>
        <v>#REF!</v>
      </c>
    </row>
    <row r="551" spans="2:7" ht="20.100000000000001" customHeight="1" x14ac:dyDescent="0.25">
      <c r="B551" s="340" t="s">
        <v>301</v>
      </c>
      <c r="C551" s="341" t="s">
        <v>302</v>
      </c>
      <c r="D551" s="341"/>
      <c r="E551" s="341"/>
      <c r="F551" s="344"/>
      <c r="G551" s="343" t="e">
        <f>#REF!</f>
        <v>#REF!</v>
      </c>
    </row>
    <row r="552" spans="2:7" ht="20.100000000000001" customHeight="1" x14ac:dyDescent="0.25">
      <c r="B552" s="340" t="s">
        <v>303</v>
      </c>
      <c r="C552" s="341" t="s">
        <v>304</v>
      </c>
      <c r="D552" s="341"/>
      <c r="E552" s="341"/>
      <c r="F552" s="344"/>
      <c r="G552" s="343" t="e">
        <f>#REF!</f>
        <v>#REF!</v>
      </c>
    </row>
    <row r="553" spans="2:7" ht="20.100000000000001" customHeight="1" x14ac:dyDescent="0.25">
      <c r="B553" s="340" t="s">
        <v>305</v>
      </c>
      <c r="C553" s="341" t="s">
        <v>306</v>
      </c>
      <c r="D553" s="341"/>
      <c r="E553" s="341"/>
      <c r="F553" s="344"/>
      <c r="G553" s="343" t="e">
        <f>#REF!</f>
        <v>#REF!</v>
      </c>
    </row>
    <row r="554" spans="2:7" ht="20.100000000000001" customHeight="1" x14ac:dyDescent="0.25">
      <c r="B554" s="340" t="s">
        <v>307</v>
      </c>
      <c r="C554" s="341" t="s">
        <v>308</v>
      </c>
      <c r="D554" s="341"/>
      <c r="E554" s="341"/>
      <c r="F554" s="344"/>
      <c r="G554" s="343" t="e">
        <f>#REF!</f>
        <v>#REF!</v>
      </c>
    </row>
    <row r="555" spans="2:7" ht="20.100000000000001" customHeight="1" x14ac:dyDescent="0.25">
      <c r="B555" s="340" t="s">
        <v>309</v>
      </c>
      <c r="C555" s="341" t="s">
        <v>310</v>
      </c>
      <c r="D555" s="341"/>
      <c r="E555" s="341"/>
      <c r="F555" s="344"/>
      <c r="G555" s="343" t="e">
        <f>#REF!</f>
        <v>#REF!</v>
      </c>
    </row>
    <row r="556" spans="2:7" ht="20.100000000000001" customHeight="1" x14ac:dyDescent="0.25">
      <c r="B556" s="340" t="s">
        <v>311</v>
      </c>
      <c r="C556" s="341" t="s">
        <v>312</v>
      </c>
      <c r="D556" s="341"/>
      <c r="E556" s="341"/>
      <c r="F556" s="344"/>
      <c r="G556" s="343" t="e">
        <f>#REF!</f>
        <v>#REF!</v>
      </c>
    </row>
    <row r="557" spans="2:7" ht="20.100000000000001" customHeight="1" x14ac:dyDescent="0.25">
      <c r="B557" s="340" t="s">
        <v>313</v>
      </c>
      <c r="C557" s="341" t="s">
        <v>314</v>
      </c>
      <c r="D557" s="341"/>
      <c r="E557" s="341"/>
      <c r="F557" s="344"/>
      <c r="G557" s="343" t="e">
        <f>#REF!</f>
        <v>#REF!</v>
      </c>
    </row>
    <row r="558" spans="2:7" ht="20.100000000000001" customHeight="1" x14ac:dyDescent="0.25">
      <c r="B558" s="340" t="s">
        <v>315</v>
      </c>
      <c r="C558" s="341" t="s">
        <v>316</v>
      </c>
      <c r="D558" s="341"/>
      <c r="E558" s="341"/>
      <c r="F558" s="344"/>
      <c r="G558" s="343" t="e">
        <f>#REF!</f>
        <v>#REF!</v>
      </c>
    </row>
    <row r="559" spans="2:7" ht="20.100000000000001" customHeight="1" x14ac:dyDescent="0.25">
      <c r="B559" s="340" t="s">
        <v>317</v>
      </c>
      <c r="C559" s="341" t="s">
        <v>318</v>
      </c>
      <c r="D559" s="341"/>
      <c r="E559" s="341"/>
      <c r="F559" s="344"/>
      <c r="G559" s="343" t="e">
        <f>#REF!</f>
        <v>#REF!</v>
      </c>
    </row>
    <row r="560" spans="2:7" ht="20.100000000000001" customHeight="1" x14ac:dyDescent="0.25">
      <c r="B560" s="340" t="s">
        <v>319</v>
      </c>
      <c r="C560" s="341" t="s">
        <v>320</v>
      </c>
      <c r="D560" s="341"/>
      <c r="E560" s="341"/>
      <c r="F560" s="344"/>
      <c r="G560" s="343" t="e">
        <f>#REF!</f>
        <v>#REF!</v>
      </c>
    </row>
    <row r="561" spans="2:7" ht="20.100000000000001" customHeight="1" x14ac:dyDescent="0.25">
      <c r="B561" s="340" t="s">
        <v>321</v>
      </c>
      <c r="C561" s="341" t="s">
        <v>322</v>
      </c>
      <c r="D561" s="341"/>
      <c r="E561" s="341"/>
      <c r="F561" s="344"/>
      <c r="G561" s="343" t="e">
        <f>#REF!</f>
        <v>#REF!</v>
      </c>
    </row>
    <row r="562" spans="2:7" ht="20.100000000000001" customHeight="1" x14ac:dyDescent="0.25">
      <c r="B562" s="340" t="s">
        <v>323</v>
      </c>
      <c r="C562" s="341" t="s">
        <v>324</v>
      </c>
      <c r="D562" s="341"/>
      <c r="E562" s="341"/>
      <c r="F562" s="344"/>
      <c r="G562" s="343" t="e">
        <f>#REF!</f>
        <v>#REF!</v>
      </c>
    </row>
    <row r="563" spans="2:7" ht="20.100000000000001" customHeight="1" x14ac:dyDescent="0.25">
      <c r="B563" s="340" t="s">
        <v>325</v>
      </c>
      <c r="C563" s="341" t="s">
        <v>326</v>
      </c>
      <c r="D563" s="341"/>
      <c r="E563" s="341"/>
      <c r="F563" s="344"/>
      <c r="G563" s="343" t="e">
        <f>#REF!</f>
        <v>#REF!</v>
      </c>
    </row>
    <row r="564" spans="2:7" ht="20.100000000000001" customHeight="1" x14ac:dyDescent="0.25">
      <c r="B564" s="340" t="s">
        <v>327</v>
      </c>
      <c r="C564" s="341" t="s">
        <v>328</v>
      </c>
      <c r="D564" s="341"/>
      <c r="E564" s="341"/>
      <c r="F564" s="344"/>
      <c r="G564" s="343" t="e">
        <f>#REF!</f>
        <v>#REF!</v>
      </c>
    </row>
    <row r="565" spans="2:7" ht="20.100000000000001" customHeight="1" x14ac:dyDescent="0.25">
      <c r="B565" s="340" t="s">
        <v>329</v>
      </c>
      <c r="C565" s="341" t="s">
        <v>330</v>
      </c>
      <c r="D565" s="341"/>
      <c r="E565" s="341"/>
      <c r="F565" s="344"/>
      <c r="G565" s="343" t="e">
        <f>#REF!</f>
        <v>#REF!</v>
      </c>
    </row>
    <row r="566" spans="2:7" ht="20.100000000000001" customHeight="1" x14ac:dyDescent="0.25">
      <c r="B566" s="340" t="s">
        <v>331</v>
      </c>
      <c r="C566" s="341" t="s">
        <v>332</v>
      </c>
      <c r="D566" s="341"/>
      <c r="E566" s="341"/>
      <c r="F566" s="344"/>
      <c r="G566" s="343" t="e">
        <f>#REF!</f>
        <v>#REF!</v>
      </c>
    </row>
    <row r="567" spans="2:7" ht="20.100000000000001" customHeight="1" x14ac:dyDescent="0.25">
      <c r="B567" s="340" t="s">
        <v>333</v>
      </c>
      <c r="C567" s="341" t="s">
        <v>334</v>
      </c>
      <c r="D567" s="341"/>
      <c r="E567" s="341"/>
      <c r="F567" s="344"/>
      <c r="G567" s="343" t="e">
        <f>#REF!</f>
        <v>#REF!</v>
      </c>
    </row>
    <row r="568" spans="2:7" ht="20.100000000000001" customHeight="1" x14ac:dyDescent="0.25">
      <c r="B568" s="340" t="s">
        <v>335</v>
      </c>
      <c r="C568" s="341" t="s">
        <v>336</v>
      </c>
      <c r="D568" s="341"/>
      <c r="E568" s="341"/>
      <c r="F568" s="344"/>
      <c r="G568" s="343" t="e">
        <f>#REF!</f>
        <v>#REF!</v>
      </c>
    </row>
    <row r="569" spans="2:7" ht="20.100000000000001" customHeight="1" x14ac:dyDescent="0.25">
      <c r="B569" s="340" t="s">
        <v>337</v>
      </c>
      <c r="C569" s="341" t="s">
        <v>338</v>
      </c>
      <c r="D569" s="341"/>
      <c r="E569" s="341"/>
      <c r="F569" s="344"/>
      <c r="G569" s="343" t="e">
        <f>#REF!</f>
        <v>#REF!</v>
      </c>
    </row>
    <row r="570" spans="2:7" ht="20.100000000000001" customHeight="1" x14ac:dyDescent="0.25">
      <c r="B570" s="340" t="s">
        <v>339</v>
      </c>
      <c r="C570" s="341" t="s">
        <v>340</v>
      </c>
      <c r="D570" s="341"/>
      <c r="E570" s="341"/>
      <c r="F570" s="344"/>
      <c r="G570" s="343" t="e">
        <f>#REF!</f>
        <v>#REF!</v>
      </c>
    </row>
    <row r="571" spans="2:7" ht="20.100000000000001" customHeight="1" x14ac:dyDescent="0.25">
      <c r="B571" s="340" t="s">
        <v>341</v>
      </c>
      <c r="C571" s="341" t="s">
        <v>342</v>
      </c>
      <c r="D571" s="341"/>
      <c r="E571" s="341"/>
      <c r="F571" s="344"/>
      <c r="G571" s="343" t="e">
        <f>#REF!</f>
        <v>#REF!</v>
      </c>
    </row>
    <row r="572" spans="2:7" ht="20.100000000000001" customHeight="1" x14ac:dyDescent="0.25">
      <c r="B572" s="340" t="s">
        <v>343</v>
      </c>
      <c r="C572" s="341" t="s">
        <v>344</v>
      </c>
      <c r="D572" s="341"/>
      <c r="E572" s="341"/>
      <c r="F572" s="344"/>
      <c r="G572" s="343" t="e">
        <f>#REF!</f>
        <v>#REF!</v>
      </c>
    </row>
    <row r="573" spans="2:7" ht="20.100000000000001" customHeight="1" x14ac:dyDescent="0.25">
      <c r="B573" s="340" t="s">
        <v>345</v>
      </c>
      <c r="C573" s="341" t="s">
        <v>346</v>
      </c>
      <c r="D573" s="341"/>
      <c r="E573" s="341"/>
      <c r="F573" s="344"/>
      <c r="G573" s="343" t="e">
        <f>#REF!</f>
        <v>#REF!</v>
      </c>
    </row>
    <row r="574" spans="2:7" ht="20.100000000000001" customHeight="1" x14ac:dyDescent="0.25">
      <c r="B574" s="340" t="s">
        <v>347</v>
      </c>
      <c r="C574" s="341" t="s">
        <v>348</v>
      </c>
      <c r="D574" s="341"/>
      <c r="E574" s="341"/>
      <c r="F574" s="344"/>
      <c r="G574" s="343" t="e">
        <f>#REF!</f>
        <v>#REF!</v>
      </c>
    </row>
    <row r="575" spans="2:7" ht="20.100000000000001" customHeight="1" x14ac:dyDescent="0.25">
      <c r="B575" s="340" t="s">
        <v>349</v>
      </c>
      <c r="C575" s="341" t="s">
        <v>350</v>
      </c>
      <c r="D575" s="341"/>
      <c r="E575" s="341"/>
      <c r="F575" s="344"/>
      <c r="G575" s="343" t="e">
        <f>#REF!</f>
        <v>#REF!</v>
      </c>
    </row>
    <row r="576" spans="2:7" ht="20.100000000000001" customHeight="1" x14ac:dyDescent="0.25">
      <c r="B576" s="340" t="s">
        <v>351</v>
      </c>
      <c r="C576" s="341" t="s">
        <v>352</v>
      </c>
      <c r="D576" s="341"/>
      <c r="E576" s="341"/>
      <c r="F576" s="344"/>
      <c r="G576" s="343" t="e">
        <f>#REF!</f>
        <v>#REF!</v>
      </c>
    </row>
    <row r="577" spans="2:7" ht="20.100000000000001" customHeight="1" x14ac:dyDescent="0.25">
      <c r="B577" s="340" t="s">
        <v>353</v>
      </c>
      <c r="C577" s="341" t="s">
        <v>354</v>
      </c>
      <c r="D577" s="341"/>
      <c r="E577" s="341"/>
      <c r="F577" s="344"/>
      <c r="G577" s="343" t="e">
        <f>#REF!</f>
        <v>#REF!</v>
      </c>
    </row>
    <row r="578" spans="2:7" ht="20.100000000000001" customHeight="1" x14ac:dyDescent="0.25">
      <c r="B578" s="340" t="s">
        <v>355</v>
      </c>
      <c r="C578" s="341" t="s">
        <v>356</v>
      </c>
      <c r="D578" s="341"/>
      <c r="E578" s="341"/>
      <c r="F578" s="344"/>
      <c r="G578" s="343" t="e">
        <f>#REF!</f>
        <v>#REF!</v>
      </c>
    </row>
    <row r="579" spans="2:7" ht="20.100000000000001" customHeight="1" x14ac:dyDescent="0.25">
      <c r="B579" s="340" t="s">
        <v>357</v>
      </c>
      <c r="C579" s="341" t="s">
        <v>358</v>
      </c>
      <c r="D579" s="341"/>
      <c r="E579" s="341"/>
      <c r="F579" s="344"/>
      <c r="G579" s="343" t="e">
        <f>#REF!</f>
        <v>#REF!</v>
      </c>
    </row>
    <row r="580" spans="2:7" ht="20.100000000000001" customHeight="1" x14ac:dyDescent="0.25">
      <c r="B580" s="340" t="s">
        <v>359</v>
      </c>
      <c r="C580" s="341" t="s">
        <v>360</v>
      </c>
      <c r="D580" s="341"/>
      <c r="E580" s="341"/>
      <c r="F580" s="344"/>
      <c r="G580" s="343" t="e">
        <f>#REF!</f>
        <v>#REF!</v>
      </c>
    </row>
    <row r="581" spans="2:7" ht="20.100000000000001" customHeight="1" x14ac:dyDescent="0.25">
      <c r="B581" s="340" t="s">
        <v>361</v>
      </c>
      <c r="C581" s="341" t="s">
        <v>362</v>
      </c>
      <c r="D581" s="341"/>
      <c r="E581" s="341"/>
      <c r="F581" s="344"/>
      <c r="G581" s="343" t="e">
        <f>#REF!</f>
        <v>#REF!</v>
      </c>
    </row>
    <row r="582" spans="2:7" ht="20.100000000000001" customHeight="1" x14ac:dyDescent="0.25">
      <c r="B582" s="340" t="s">
        <v>363</v>
      </c>
      <c r="C582" s="341" t="s">
        <v>364</v>
      </c>
      <c r="D582" s="341"/>
      <c r="E582" s="341"/>
      <c r="F582" s="344"/>
      <c r="G582" s="343" t="e">
        <f>#REF!</f>
        <v>#REF!</v>
      </c>
    </row>
    <row r="583" spans="2:7" ht="20.100000000000001" customHeight="1" x14ac:dyDescent="0.25">
      <c r="B583" s="340" t="s">
        <v>365</v>
      </c>
      <c r="C583" s="341" t="s">
        <v>366</v>
      </c>
      <c r="D583" s="341"/>
      <c r="E583" s="341"/>
      <c r="F583" s="344"/>
      <c r="G583" s="343" t="e">
        <f>#REF!</f>
        <v>#REF!</v>
      </c>
    </row>
    <row r="584" spans="2:7" ht="20.100000000000001" customHeight="1" x14ac:dyDescent="0.25">
      <c r="B584" s="340" t="s">
        <v>367</v>
      </c>
      <c r="C584" s="341" t="s">
        <v>368</v>
      </c>
      <c r="D584" s="341"/>
      <c r="E584" s="341"/>
      <c r="F584" s="344"/>
      <c r="G584" s="344"/>
    </row>
    <row r="585" spans="2:7" ht="20.100000000000001" customHeight="1" x14ac:dyDescent="0.25">
      <c r="B585" s="340" t="s">
        <v>369</v>
      </c>
      <c r="C585" s="341" t="s">
        <v>370</v>
      </c>
      <c r="D585" s="341"/>
      <c r="E585" s="341"/>
      <c r="F585" s="344"/>
      <c r="G585" s="343" t="e">
        <f>#REF!</f>
        <v>#REF!</v>
      </c>
    </row>
    <row r="586" spans="2:7" ht="20.100000000000001" customHeight="1" x14ac:dyDescent="0.25">
      <c r="B586" s="340" t="s">
        <v>371</v>
      </c>
      <c r="C586" s="341" t="s">
        <v>372</v>
      </c>
      <c r="D586" s="341"/>
      <c r="E586" s="341"/>
      <c r="F586" s="344"/>
      <c r="G586" s="343" t="e">
        <f>#REF!</f>
        <v>#REF!</v>
      </c>
    </row>
    <row r="587" spans="2:7" ht="20.100000000000001" customHeight="1" x14ac:dyDescent="0.25">
      <c r="B587" s="340" t="s">
        <v>373</v>
      </c>
      <c r="C587" s="341" t="s">
        <v>374</v>
      </c>
      <c r="D587" s="341"/>
      <c r="E587" s="341"/>
      <c r="F587" s="344"/>
      <c r="G587" s="343" t="e">
        <f>#REF!</f>
        <v>#REF!</v>
      </c>
    </row>
    <row r="588" spans="2:7" ht="20.100000000000001" customHeight="1" x14ac:dyDescent="0.25">
      <c r="B588" s="340" t="s">
        <v>375</v>
      </c>
      <c r="C588" s="341" t="s">
        <v>376</v>
      </c>
      <c r="D588" s="341"/>
      <c r="E588" s="341"/>
      <c r="F588" s="344"/>
      <c r="G588" s="343" t="e">
        <f>#REF!</f>
        <v>#REF!</v>
      </c>
    </row>
    <row r="589" spans="2:7" ht="20.100000000000001" customHeight="1" x14ac:dyDescent="0.25">
      <c r="B589" s="340" t="s">
        <v>377</v>
      </c>
      <c r="C589" s="341" t="s">
        <v>378</v>
      </c>
      <c r="D589" s="341"/>
      <c r="E589" s="341"/>
      <c r="F589" s="344"/>
      <c r="G589" s="343" t="e">
        <f>#REF!</f>
        <v>#REF!</v>
      </c>
    </row>
    <row r="590" spans="2:7" ht="20.100000000000001" customHeight="1" x14ac:dyDescent="0.25">
      <c r="B590" s="340" t="s">
        <v>379</v>
      </c>
      <c r="C590" s="341" t="s">
        <v>380</v>
      </c>
      <c r="D590" s="341"/>
      <c r="E590" s="341"/>
      <c r="F590" s="344"/>
      <c r="G590" s="343" t="e">
        <f>#REF!</f>
        <v>#REF!</v>
      </c>
    </row>
    <row r="591" spans="2:7" ht="20.100000000000001" customHeight="1" x14ac:dyDescent="0.25">
      <c r="B591" s="350" t="s">
        <v>586</v>
      </c>
      <c r="C591" s="342" t="s">
        <v>679</v>
      </c>
      <c r="D591" s="341"/>
      <c r="E591" s="341"/>
      <c r="F591" s="344"/>
      <c r="G591" s="343" t="e">
        <f>#REF!</f>
        <v>#REF!</v>
      </c>
    </row>
    <row r="592" spans="2:7" ht="20.100000000000001" customHeight="1" x14ac:dyDescent="0.25">
      <c r="B592" s="340" t="s">
        <v>587</v>
      </c>
      <c r="C592" s="341" t="s">
        <v>195</v>
      </c>
      <c r="D592" s="341"/>
      <c r="E592" s="341"/>
      <c r="F592" s="344"/>
      <c r="G592" s="343" t="e">
        <f>#REF!</f>
        <v>#REF!</v>
      </c>
    </row>
    <row r="593" spans="2:7" ht="20.100000000000001" customHeight="1" x14ac:dyDescent="0.25">
      <c r="B593" s="340" t="s">
        <v>588</v>
      </c>
      <c r="C593" s="341" t="s">
        <v>196</v>
      </c>
      <c r="D593" s="341"/>
      <c r="E593" s="341"/>
      <c r="F593" s="344"/>
      <c r="G593" s="343" t="e">
        <f>#REF!</f>
        <v>#REF!</v>
      </c>
    </row>
    <row r="594" spans="2:7" ht="20.100000000000001" customHeight="1" x14ac:dyDescent="0.25">
      <c r="B594" s="340" t="s">
        <v>589</v>
      </c>
      <c r="C594" s="341" t="s">
        <v>197</v>
      </c>
      <c r="D594" s="341"/>
      <c r="E594" s="341"/>
      <c r="F594" s="344"/>
      <c r="G594" s="343" t="e">
        <f>#REF!</f>
        <v>#REF!</v>
      </c>
    </row>
    <row r="595" spans="2:7" ht="20.100000000000001" customHeight="1" x14ac:dyDescent="0.25">
      <c r="B595" s="340" t="s">
        <v>590</v>
      </c>
      <c r="C595" s="341" t="s">
        <v>198</v>
      </c>
      <c r="D595" s="341"/>
      <c r="E595" s="341"/>
      <c r="F595" s="344"/>
      <c r="G595" s="343" t="e">
        <f>#REF!</f>
        <v>#REF!</v>
      </c>
    </row>
    <row r="596" spans="2:7" ht="20.100000000000001" customHeight="1" x14ac:dyDescent="0.25">
      <c r="B596" s="340" t="s">
        <v>591</v>
      </c>
      <c r="C596" s="341" t="s">
        <v>199</v>
      </c>
      <c r="D596" s="341"/>
      <c r="E596" s="341"/>
      <c r="F596" s="344"/>
      <c r="G596" s="343" t="e">
        <f>#REF!</f>
        <v>#REF!</v>
      </c>
    </row>
    <row r="597" spans="2:7" ht="20.100000000000001" customHeight="1" x14ac:dyDescent="0.25">
      <c r="B597" s="340" t="s">
        <v>592</v>
      </c>
      <c r="C597" s="341" t="s">
        <v>200</v>
      </c>
      <c r="D597" s="341"/>
      <c r="E597" s="341"/>
      <c r="F597" s="344"/>
      <c r="G597" s="343" t="e">
        <f>#REF!</f>
        <v>#REF!</v>
      </c>
    </row>
    <row r="598" spans="2:7" ht="20.100000000000001" customHeight="1" x14ac:dyDescent="0.25">
      <c r="B598" s="340" t="s">
        <v>593</v>
      </c>
      <c r="C598" s="341" t="s">
        <v>201</v>
      </c>
      <c r="D598" s="341"/>
      <c r="E598" s="341"/>
      <c r="F598" s="344"/>
      <c r="G598" s="343" t="e">
        <f>#REF!</f>
        <v>#REF!</v>
      </c>
    </row>
    <row r="599" spans="2:7" ht="20.100000000000001" customHeight="1" x14ac:dyDescent="0.25">
      <c r="B599" s="340" t="s">
        <v>594</v>
      </c>
      <c r="C599" s="341" t="s">
        <v>202</v>
      </c>
      <c r="D599" s="341"/>
      <c r="E599" s="341"/>
      <c r="F599" s="344"/>
      <c r="G599" s="343" t="e">
        <f>#REF!</f>
        <v>#REF!</v>
      </c>
    </row>
    <row r="600" spans="2:7" ht="20.100000000000001" customHeight="1" x14ac:dyDescent="0.25">
      <c r="B600" s="340" t="s">
        <v>595</v>
      </c>
      <c r="C600" s="341" t="s">
        <v>203</v>
      </c>
      <c r="D600" s="341"/>
      <c r="E600" s="341"/>
      <c r="F600" s="344"/>
      <c r="G600" s="343" t="e">
        <f>#REF!</f>
        <v>#REF!</v>
      </c>
    </row>
    <row r="601" spans="2:7" ht="20.100000000000001" customHeight="1" x14ac:dyDescent="0.25">
      <c r="B601" s="340" t="s">
        <v>596</v>
      </c>
      <c r="C601" s="341" t="s">
        <v>204</v>
      </c>
      <c r="D601" s="341"/>
      <c r="E601" s="341"/>
      <c r="F601" s="344"/>
      <c r="G601" s="343" t="e">
        <f>#REF!</f>
        <v>#REF!</v>
      </c>
    </row>
    <row r="602" spans="2:7" ht="20.100000000000001" customHeight="1" x14ac:dyDescent="0.25">
      <c r="B602" s="340" t="s">
        <v>597</v>
      </c>
      <c r="C602" s="341" t="s">
        <v>205</v>
      </c>
      <c r="D602" s="341"/>
      <c r="E602" s="341"/>
      <c r="F602" s="344"/>
      <c r="G602" s="343" t="e">
        <f>#REF!</f>
        <v>#REF!</v>
      </c>
    </row>
    <row r="603" spans="2:7" ht="20.100000000000001" customHeight="1" x14ac:dyDescent="0.25">
      <c r="B603" s="340" t="s">
        <v>598</v>
      </c>
      <c r="C603" s="341" t="s">
        <v>206</v>
      </c>
      <c r="D603" s="341"/>
      <c r="E603" s="341"/>
      <c r="F603" s="344"/>
      <c r="G603" s="343" t="e">
        <f>#REF!</f>
        <v>#REF!</v>
      </c>
    </row>
    <row r="604" spans="2:7" ht="20.100000000000001" customHeight="1" x14ac:dyDescent="0.25">
      <c r="B604" s="340" t="s">
        <v>599</v>
      </c>
      <c r="C604" s="341" t="s">
        <v>207</v>
      </c>
      <c r="D604" s="341"/>
      <c r="E604" s="341"/>
      <c r="F604" s="344"/>
      <c r="G604" s="343" t="e">
        <f>#REF!</f>
        <v>#REF!</v>
      </c>
    </row>
    <row r="605" spans="2:7" ht="20.100000000000001" customHeight="1" x14ac:dyDescent="0.25">
      <c r="B605" s="340" t="s">
        <v>600</v>
      </c>
      <c r="C605" s="341" t="s">
        <v>208</v>
      </c>
      <c r="D605" s="341"/>
      <c r="E605" s="341"/>
      <c r="F605" s="344"/>
      <c r="G605" s="343" t="e">
        <f>#REF!</f>
        <v>#REF!</v>
      </c>
    </row>
    <row r="606" spans="2:7" ht="20.100000000000001" customHeight="1" x14ac:dyDescent="0.25">
      <c r="B606" s="340" t="s">
        <v>601</v>
      </c>
      <c r="C606" s="341" t="s">
        <v>210</v>
      </c>
      <c r="D606" s="341"/>
      <c r="E606" s="341"/>
      <c r="F606" s="344"/>
      <c r="G606" s="343" t="e">
        <f>#REF!</f>
        <v>#REF!</v>
      </c>
    </row>
    <row r="607" spans="2:7" ht="20.100000000000001" customHeight="1" x14ac:dyDescent="0.25">
      <c r="B607" s="340" t="s">
        <v>602</v>
      </c>
      <c r="C607" s="341" t="s">
        <v>212</v>
      </c>
      <c r="D607" s="341"/>
      <c r="E607" s="341"/>
      <c r="F607" s="344"/>
      <c r="G607" s="343" t="e">
        <f>#REF!</f>
        <v>#REF!</v>
      </c>
    </row>
    <row r="608" spans="2:7" ht="20.100000000000001" customHeight="1" x14ac:dyDescent="0.25">
      <c r="B608" s="340" t="s">
        <v>603</v>
      </c>
      <c r="C608" s="341" t="s">
        <v>214</v>
      </c>
      <c r="D608" s="341"/>
      <c r="E608" s="341"/>
      <c r="F608" s="344"/>
      <c r="G608" s="343" t="e">
        <f>#REF!</f>
        <v>#REF!</v>
      </c>
    </row>
    <row r="609" spans="2:7" ht="20.100000000000001" customHeight="1" x14ac:dyDescent="0.25">
      <c r="B609" s="340" t="s">
        <v>604</v>
      </c>
      <c r="C609" s="341" t="s">
        <v>216</v>
      </c>
      <c r="D609" s="341"/>
      <c r="E609" s="341"/>
      <c r="F609" s="344"/>
      <c r="G609" s="343" t="e">
        <f>#REF!</f>
        <v>#REF!</v>
      </c>
    </row>
    <row r="610" spans="2:7" ht="20.100000000000001" customHeight="1" x14ac:dyDescent="0.25">
      <c r="B610" s="340" t="s">
        <v>605</v>
      </c>
      <c r="C610" s="341" t="s">
        <v>218</v>
      </c>
      <c r="D610" s="341"/>
      <c r="E610" s="341"/>
      <c r="F610" s="344"/>
      <c r="G610" s="343" t="e">
        <f>#REF!</f>
        <v>#REF!</v>
      </c>
    </row>
    <row r="611" spans="2:7" ht="20.100000000000001" customHeight="1" x14ac:dyDescent="0.25">
      <c r="B611" s="340" t="s">
        <v>606</v>
      </c>
      <c r="C611" s="341" t="s">
        <v>220</v>
      </c>
      <c r="D611" s="341"/>
      <c r="E611" s="341"/>
      <c r="F611" s="344"/>
      <c r="G611" s="343" t="e">
        <f>#REF!</f>
        <v>#REF!</v>
      </c>
    </row>
    <row r="612" spans="2:7" ht="20.100000000000001" customHeight="1" x14ac:dyDescent="0.25">
      <c r="B612" s="340" t="s">
        <v>607</v>
      </c>
      <c r="C612" s="341" t="s">
        <v>222</v>
      </c>
      <c r="D612" s="341"/>
      <c r="E612" s="341"/>
      <c r="F612" s="344"/>
      <c r="G612" s="343" t="e">
        <f>#REF!</f>
        <v>#REF!</v>
      </c>
    </row>
    <row r="613" spans="2:7" ht="20.100000000000001" customHeight="1" x14ac:dyDescent="0.25">
      <c r="B613" s="340" t="s">
        <v>608</v>
      </c>
      <c r="C613" s="341" t="s">
        <v>224</v>
      </c>
      <c r="D613" s="341"/>
      <c r="E613" s="341"/>
      <c r="F613" s="344"/>
      <c r="G613" s="343" t="e">
        <f>#REF!</f>
        <v>#REF!</v>
      </c>
    </row>
    <row r="614" spans="2:7" ht="20.100000000000001" customHeight="1" x14ac:dyDescent="0.25">
      <c r="B614" s="340" t="s">
        <v>609</v>
      </c>
      <c r="C614" s="341" t="s">
        <v>226</v>
      </c>
      <c r="D614" s="341"/>
      <c r="E614" s="341"/>
      <c r="F614" s="344"/>
      <c r="G614" s="343" t="e">
        <f>#REF!</f>
        <v>#REF!</v>
      </c>
    </row>
    <row r="615" spans="2:7" ht="20.100000000000001" customHeight="1" x14ac:dyDescent="0.25">
      <c r="B615" s="340" t="s">
        <v>610</v>
      </c>
      <c r="C615" s="341" t="s">
        <v>228</v>
      </c>
      <c r="D615" s="341"/>
      <c r="E615" s="341"/>
      <c r="F615" s="344"/>
      <c r="G615" s="343" t="e">
        <f>#REF!</f>
        <v>#REF!</v>
      </c>
    </row>
    <row r="616" spans="2:7" ht="20.100000000000001" customHeight="1" x14ac:dyDescent="0.25">
      <c r="B616" s="340" t="s">
        <v>611</v>
      </c>
      <c r="C616" s="341" t="s">
        <v>230</v>
      </c>
      <c r="D616" s="341"/>
      <c r="E616" s="341"/>
      <c r="F616" s="344"/>
      <c r="G616" s="343" t="e">
        <f>#REF!</f>
        <v>#REF!</v>
      </c>
    </row>
    <row r="617" spans="2:7" ht="20.100000000000001" customHeight="1" x14ac:dyDescent="0.25">
      <c r="B617" s="340" t="s">
        <v>612</v>
      </c>
      <c r="C617" s="341" t="s">
        <v>232</v>
      </c>
      <c r="D617" s="341"/>
      <c r="E617" s="341"/>
      <c r="F617" s="344"/>
      <c r="G617" s="343" t="e">
        <f>#REF!</f>
        <v>#REF!</v>
      </c>
    </row>
    <row r="618" spans="2:7" ht="20.100000000000001" customHeight="1" x14ac:dyDescent="0.25">
      <c r="B618" s="340" t="s">
        <v>613</v>
      </c>
      <c r="C618" s="341" t="s">
        <v>234</v>
      </c>
      <c r="D618" s="341"/>
      <c r="E618" s="341"/>
      <c r="F618" s="344"/>
      <c r="G618" s="343" t="e">
        <f>#REF!</f>
        <v>#REF!</v>
      </c>
    </row>
    <row r="619" spans="2:7" ht="20.100000000000001" customHeight="1" x14ac:dyDescent="0.25">
      <c r="B619" s="340" t="s">
        <v>614</v>
      </c>
      <c r="C619" s="341" t="s">
        <v>236</v>
      </c>
      <c r="D619" s="341"/>
      <c r="E619" s="341"/>
      <c r="F619" s="344"/>
      <c r="G619" s="343" t="e">
        <f>#REF!</f>
        <v>#REF!</v>
      </c>
    </row>
    <row r="620" spans="2:7" ht="20.100000000000001" customHeight="1" x14ac:dyDescent="0.25">
      <c r="B620" s="340" t="s">
        <v>615</v>
      </c>
      <c r="C620" s="341" t="s">
        <v>238</v>
      </c>
      <c r="D620" s="341"/>
      <c r="E620" s="341"/>
      <c r="F620" s="344"/>
      <c r="G620" s="343" t="e">
        <f>#REF!</f>
        <v>#REF!</v>
      </c>
    </row>
    <row r="621" spans="2:7" ht="20.100000000000001" customHeight="1" x14ac:dyDescent="0.25">
      <c r="B621" s="340" t="s">
        <v>616</v>
      </c>
      <c r="C621" s="341" t="s">
        <v>240</v>
      </c>
      <c r="D621" s="341"/>
      <c r="E621" s="341"/>
      <c r="F621" s="344"/>
      <c r="G621" s="343" t="e">
        <f>#REF!</f>
        <v>#REF!</v>
      </c>
    </row>
    <row r="622" spans="2:7" ht="20.100000000000001" customHeight="1" x14ac:dyDescent="0.25">
      <c r="B622" s="340" t="s">
        <v>617</v>
      </c>
      <c r="C622" s="341" t="s">
        <v>242</v>
      </c>
      <c r="D622" s="341"/>
      <c r="E622" s="341"/>
      <c r="F622" s="344"/>
      <c r="G622" s="343" t="e">
        <f>#REF!</f>
        <v>#REF!</v>
      </c>
    </row>
    <row r="623" spans="2:7" ht="20.100000000000001" customHeight="1" x14ac:dyDescent="0.25">
      <c r="B623" s="340" t="s">
        <v>618</v>
      </c>
      <c r="C623" s="341" t="s">
        <v>244</v>
      </c>
      <c r="D623" s="341"/>
      <c r="E623" s="341"/>
      <c r="F623" s="344"/>
      <c r="G623" s="343" t="e">
        <f>#REF!</f>
        <v>#REF!</v>
      </c>
    </row>
    <row r="624" spans="2:7" ht="20.100000000000001" customHeight="1" x14ac:dyDescent="0.25">
      <c r="B624" s="340" t="s">
        <v>619</v>
      </c>
      <c r="C624" s="341" t="s">
        <v>246</v>
      </c>
      <c r="D624" s="341"/>
      <c r="E624" s="341"/>
      <c r="F624" s="344"/>
      <c r="G624" s="343" t="e">
        <f>#REF!</f>
        <v>#REF!</v>
      </c>
    </row>
    <row r="625" spans="2:7" ht="20.100000000000001" customHeight="1" x14ac:dyDescent="0.25">
      <c r="B625" s="340" t="s">
        <v>620</v>
      </c>
      <c r="C625" s="341" t="s">
        <v>248</v>
      </c>
      <c r="D625" s="341"/>
      <c r="E625" s="341"/>
      <c r="F625" s="344"/>
      <c r="G625" s="343" t="e">
        <f>#REF!</f>
        <v>#REF!</v>
      </c>
    </row>
    <row r="626" spans="2:7" ht="20.100000000000001" customHeight="1" x14ac:dyDescent="0.25">
      <c r="B626" s="340" t="s">
        <v>621</v>
      </c>
      <c r="C626" s="341" t="s">
        <v>250</v>
      </c>
      <c r="D626" s="341"/>
      <c r="E626" s="341"/>
      <c r="F626" s="344"/>
      <c r="G626" s="343" t="e">
        <f>#REF!</f>
        <v>#REF!</v>
      </c>
    </row>
    <row r="627" spans="2:7" ht="20.100000000000001" customHeight="1" x14ac:dyDescent="0.25">
      <c r="B627" s="340" t="s">
        <v>622</v>
      </c>
      <c r="C627" s="341" t="s">
        <v>252</v>
      </c>
      <c r="D627" s="341"/>
      <c r="E627" s="341"/>
      <c r="F627" s="344"/>
      <c r="G627" s="343" t="e">
        <f>#REF!</f>
        <v>#REF!</v>
      </c>
    </row>
    <row r="628" spans="2:7" ht="20.100000000000001" customHeight="1" x14ac:dyDescent="0.25">
      <c r="B628" s="340" t="s">
        <v>623</v>
      </c>
      <c r="C628" s="341" t="s">
        <v>254</v>
      </c>
      <c r="D628" s="341"/>
      <c r="E628" s="341"/>
      <c r="F628" s="344"/>
      <c r="G628" s="343" t="e">
        <f>#REF!</f>
        <v>#REF!</v>
      </c>
    </row>
    <row r="629" spans="2:7" ht="20.100000000000001" customHeight="1" x14ac:dyDescent="0.25">
      <c r="B629" s="340" t="s">
        <v>624</v>
      </c>
      <c r="C629" s="341" t="s">
        <v>256</v>
      </c>
      <c r="D629" s="341"/>
      <c r="E629" s="341"/>
      <c r="F629" s="344"/>
      <c r="G629" s="343" t="e">
        <f>#REF!</f>
        <v>#REF!</v>
      </c>
    </row>
    <row r="630" spans="2:7" ht="20.100000000000001" customHeight="1" x14ac:dyDescent="0.25">
      <c r="B630" s="340" t="s">
        <v>625</v>
      </c>
      <c r="C630" s="341" t="s">
        <v>258</v>
      </c>
      <c r="D630" s="341"/>
      <c r="E630" s="341"/>
      <c r="F630" s="344"/>
      <c r="G630" s="343" t="e">
        <f>#REF!</f>
        <v>#REF!</v>
      </c>
    </row>
    <row r="631" spans="2:7" ht="20.100000000000001" customHeight="1" x14ac:dyDescent="0.25">
      <c r="B631" s="340" t="s">
        <v>626</v>
      </c>
      <c r="C631" s="341" t="s">
        <v>260</v>
      </c>
      <c r="D631" s="341"/>
      <c r="E631" s="341"/>
      <c r="F631" s="344"/>
      <c r="G631" s="343" t="e">
        <f>#REF!</f>
        <v>#REF!</v>
      </c>
    </row>
    <row r="632" spans="2:7" ht="20.100000000000001" customHeight="1" x14ac:dyDescent="0.25">
      <c r="B632" s="340" t="s">
        <v>627</v>
      </c>
      <c r="C632" s="341" t="s">
        <v>262</v>
      </c>
      <c r="D632" s="341"/>
      <c r="E632" s="341"/>
      <c r="F632" s="344"/>
      <c r="G632" s="343" t="e">
        <f>#REF!</f>
        <v>#REF!</v>
      </c>
    </row>
    <row r="633" spans="2:7" ht="20.100000000000001" customHeight="1" x14ac:dyDescent="0.25">
      <c r="B633" s="340" t="s">
        <v>628</v>
      </c>
      <c r="C633" s="341" t="s">
        <v>264</v>
      </c>
      <c r="D633" s="341"/>
      <c r="E633" s="341"/>
      <c r="F633" s="344"/>
      <c r="G633" s="343" t="e">
        <f>#REF!</f>
        <v>#REF!</v>
      </c>
    </row>
    <row r="634" spans="2:7" ht="20.100000000000001" customHeight="1" x14ac:dyDescent="0.25">
      <c r="B634" s="340" t="s">
        <v>629</v>
      </c>
      <c r="C634" s="341" t="s">
        <v>266</v>
      </c>
      <c r="D634" s="341"/>
      <c r="E634" s="341"/>
      <c r="F634" s="344"/>
      <c r="G634" s="343" t="e">
        <f>#REF!</f>
        <v>#REF!</v>
      </c>
    </row>
    <row r="635" spans="2:7" ht="20.100000000000001" customHeight="1" x14ac:dyDescent="0.25">
      <c r="B635" s="340" t="s">
        <v>630</v>
      </c>
      <c r="C635" s="341" t="s">
        <v>268</v>
      </c>
      <c r="D635" s="341"/>
      <c r="E635" s="341"/>
      <c r="F635" s="344"/>
      <c r="G635" s="343" t="e">
        <f>#REF!</f>
        <v>#REF!</v>
      </c>
    </row>
    <row r="636" spans="2:7" ht="20.100000000000001" customHeight="1" x14ac:dyDescent="0.25">
      <c r="B636" s="340" t="s">
        <v>631</v>
      </c>
      <c r="C636" s="341" t="s">
        <v>270</v>
      </c>
      <c r="D636" s="341"/>
      <c r="E636" s="341"/>
      <c r="F636" s="344"/>
      <c r="G636" s="343" t="e">
        <f>#REF!</f>
        <v>#REF!</v>
      </c>
    </row>
    <row r="637" spans="2:7" ht="20.100000000000001" customHeight="1" x14ac:dyDescent="0.25">
      <c r="B637" s="340" t="s">
        <v>632</v>
      </c>
      <c r="C637" s="341" t="s">
        <v>272</v>
      </c>
      <c r="D637" s="341"/>
      <c r="E637" s="341"/>
      <c r="F637" s="344"/>
      <c r="G637" s="343" t="e">
        <f>#REF!</f>
        <v>#REF!</v>
      </c>
    </row>
    <row r="638" spans="2:7" ht="20.100000000000001" customHeight="1" x14ac:dyDescent="0.25">
      <c r="B638" s="340" t="s">
        <v>633</v>
      </c>
      <c r="C638" s="341" t="s">
        <v>274</v>
      </c>
      <c r="D638" s="341"/>
      <c r="E638" s="341"/>
      <c r="F638" s="344"/>
      <c r="G638" s="343" t="e">
        <f>#REF!</f>
        <v>#REF!</v>
      </c>
    </row>
    <row r="639" spans="2:7" ht="20.100000000000001" customHeight="1" x14ac:dyDescent="0.25">
      <c r="B639" s="340" t="s">
        <v>634</v>
      </c>
      <c r="C639" s="341" t="s">
        <v>276</v>
      </c>
      <c r="D639" s="341"/>
      <c r="E639" s="341"/>
      <c r="F639" s="344"/>
      <c r="G639" s="343" t="e">
        <f>#REF!</f>
        <v>#REF!</v>
      </c>
    </row>
    <row r="640" spans="2:7" ht="20.100000000000001" customHeight="1" x14ac:dyDescent="0.25">
      <c r="B640" s="340" t="s">
        <v>635</v>
      </c>
      <c r="C640" s="341" t="s">
        <v>278</v>
      </c>
      <c r="D640" s="341"/>
      <c r="E640" s="341"/>
      <c r="F640" s="344"/>
      <c r="G640" s="343" t="e">
        <f>#REF!</f>
        <v>#REF!</v>
      </c>
    </row>
    <row r="641" spans="2:7" ht="20.100000000000001" customHeight="1" x14ac:dyDescent="0.25">
      <c r="B641" s="340" t="s">
        <v>636</v>
      </c>
      <c r="C641" s="341" t="s">
        <v>280</v>
      </c>
      <c r="D641" s="341"/>
      <c r="E641" s="341"/>
      <c r="F641" s="344"/>
      <c r="G641" s="343" t="e">
        <f>#REF!</f>
        <v>#REF!</v>
      </c>
    </row>
    <row r="642" spans="2:7" ht="20.100000000000001" customHeight="1" x14ac:dyDescent="0.25">
      <c r="B642" s="340" t="s">
        <v>637</v>
      </c>
      <c r="C642" s="341" t="s">
        <v>282</v>
      </c>
      <c r="D642" s="341"/>
      <c r="E642" s="341"/>
      <c r="F642" s="344"/>
      <c r="G642" s="343" t="e">
        <f>#REF!</f>
        <v>#REF!</v>
      </c>
    </row>
    <row r="643" spans="2:7" ht="20.100000000000001" customHeight="1" x14ac:dyDescent="0.25">
      <c r="B643" s="340" t="s">
        <v>638</v>
      </c>
      <c r="C643" s="341" t="s">
        <v>284</v>
      </c>
      <c r="D643" s="341"/>
      <c r="E643" s="341"/>
      <c r="F643" s="344"/>
      <c r="G643" s="343" t="e">
        <f>#REF!</f>
        <v>#REF!</v>
      </c>
    </row>
    <row r="644" spans="2:7" ht="20.100000000000001" customHeight="1" x14ac:dyDescent="0.25">
      <c r="B644" s="340" t="s">
        <v>639</v>
      </c>
      <c r="C644" s="341" t="s">
        <v>286</v>
      </c>
      <c r="D644" s="341"/>
      <c r="E644" s="341"/>
      <c r="F644" s="344"/>
      <c r="G644" s="343" t="e">
        <f>#REF!</f>
        <v>#REF!</v>
      </c>
    </row>
    <row r="645" spans="2:7" ht="20.100000000000001" customHeight="1" x14ac:dyDescent="0.25">
      <c r="B645" s="340" t="s">
        <v>640</v>
      </c>
      <c r="C645" s="341" t="s">
        <v>288</v>
      </c>
      <c r="D645" s="341"/>
      <c r="E645" s="341"/>
      <c r="F645" s="344"/>
      <c r="G645" s="343" t="e">
        <f>#REF!</f>
        <v>#REF!</v>
      </c>
    </row>
    <row r="646" spans="2:7" ht="20.100000000000001" customHeight="1" x14ac:dyDescent="0.25">
      <c r="B646" s="340" t="s">
        <v>641</v>
      </c>
      <c r="C646" s="341" t="s">
        <v>290</v>
      </c>
      <c r="D646" s="341"/>
      <c r="E646" s="341"/>
      <c r="F646" s="344"/>
      <c r="G646" s="343" t="e">
        <f>#REF!</f>
        <v>#REF!</v>
      </c>
    </row>
    <row r="647" spans="2:7" ht="20.100000000000001" customHeight="1" x14ac:dyDescent="0.25">
      <c r="B647" s="340" t="s">
        <v>642</v>
      </c>
      <c r="C647" s="341" t="s">
        <v>292</v>
      </c>
      <c r="D647" s="341"/>
      <c r="E647" s="341"/>
      <c r="F647" s="344"/>
      <c r="G647" s="343" t="e">
        <f>#REF!</f>
        <v>#REF!</v>
      </c>
    </row>
    <row r="648" spans="2:7" ht="20.100000000000001" customHeight="1" x14ac:dyDescent="0.25">
      <c r="B648" s="340" t="s">
        <v>643</v>
      </c>
      <c r="C648" s="341" t="s">
        <v>294</v>
      </c>
      <c r="D648" s="341"/>
      <c r="E648" s="341"/>
      <c r="F648" s="344"/>
      <c r="G648" s="343" t="e">
        <f>#REF!</f>
        <v>#REF!</v>
      </c>
    </row>
    <row r="649" spans="2:7" ht="20.100000000000001" customHeight="1" x14ac:dyDescent="0.25">
      <c r="B649" s="340" t="s">
        <v>644</v>
      </c>
      <c r="C649" s="341" t="s">
        <v>296</v>
      </c>
      <c r="D649" s="341"/>
      <c r="E649" s="341"/>
      <c r="F649" s="344"/>
      <c r="G649" s="343" t="e">
        <f>#REF!</f>
        <v>#REF!</v>
      </c>
    </row>
    <row r="650" spans="2:7" ht="20.100000000000001" customHeight="1" x14ac:dyDescent="0.25">
      <c r="B650" s="340" t="s">
        <v>645</v>
      </c>
      <c r="C650" s="341" t="s">
        <v>298</v>
      </c>
      <c r="D650" s="341"/>
      <c r="E650" s="341"/>
      <c r="F650" s="344"/>
      <c r="G650" s="343" t="e">
        <f>#REF!</f>
        <v>#REF!</v>
      </c>
    </row>
    <row r="651" spans="2:7" ht="20.100000000000001" customHeight="1" x14ac:dyDescent="0.25">
      <c r="B651" s="340" t="s">
        <v>646</v>
      </c>
      <c r="C651" s="341" t="s">
        <v>300</v>
      </c>
      <c r="D651" s="341"/>
      <c r="E651" s="341"/>
      <c r="F651" s="344"/>
      <c r="G651" s="343" t="e">
        <f>#REF!</f>
        <v>#REF!</v>
      </c>
    </row>
    <row r="652" spans="2:7" ht="20.100000000000001" customHeight="1" x14ac:dyDescent="0.25">
      <c r="B652" s="340" t="s">
        <v>647</v>
      </c>
      <c r="C652" s="341" t="s">
        <v>302</v>
      </c>
      <c r="D652" s="341"/>
      <c r="E652" s="341"/>
      <c r="F652" s="344"/>
      <c r="G652" s="343" t="e">
        <f>#REF!</f>
        <v>#REF!</v>
      </c>
    </row>
    <row r="653" spans="2:7" ht="20.100000000000001" customHeight="1" x14ac:dyDescent="0.25">
      <c r="B653" s="340" t="s">
        <v>648</v>
      </c>
      <c r="C653" s="341" t="s">
        <v>304</v>
      </c>
      <c r="D653" s="341"/>
      <c r="E653" s="341"/>
      <c r="F653" s="344"/>
      <c r="G653" s="343" t="e">
        <f>#REF!</f>
        <v>#REF!</v>
      </c>
    </row>
    <row r="654" spans="2:7" ht="20.100000000000001" customHeight="1" x14ac:dyDescent="0.25">
      <c r="B654" s="340" t="s">
        <v>649</v>
      </c>
      <c r="C654" s="341" t="s">
        <v>306</v>
      </c>
      <c r="D654" s="341"/>
      <c r="E654" s="341"/>
      <c r="F654" s="344"/>
      <c r="G654" s="343" t="e">
        <f>#REF!</f>
        <v>#REF!</v>
      </c>
    </row>
    <row r="655" spans="2:7" ht="20.100000000000001" customHeight="1" x14ac:dyDescent="0.25">
      <c r="B655" s="340" t="s">
        <v>650</v>
      </c>
      <c r="C655" s="341" t="s">
        <v>308</v>
      </c>
      <c r="D655" s="341"/>
      <c r="E655" s="341"/>
      <c r="F655" s="344"/>
      <c r="G655" s="343" t="e">
        <f>#REF!</f>
        <v>#REF!</v>
      </c>
    </row>
    <row r="656" spans="2:7" ht="20.100000000000001" customHeight="1" x14ac:dyDescent="0.25">
      <c r="B656" s="340" t="s">
        <v>651</v>
      </c>
      <c r="C656" s="341" t="s">
        <v>310</v>
      </c>
      <c r="D656" s="341"/>
      <c r="E656" s="341"/>
      <c r="F656" s="344"/>
      <c r="G656" s="343" t="e">
        <f>#REF!</f>
        <v>#REF!</v>
      </c>
    </row>
    <row r="657" spans="2:7" ht="20.100000000000001" customHeight="1" x14ac:dyDescent="0.25">
      <c r="B657" s="340" t="s">
        <v>652</v>
      </c>
      <c r="C657" s="341" t="s">
        <v>312</v>
      </c>
      <c r="D657" s="341"/>
      <c r="E657" s="341"/>
      <c r="F657" s="344"/>
      <c r="G657" s="343" t="e">
        <f>#REF!</f>
        <v>#REF!</v>
      </c>
    </row>
    <row r="658" spans="2:7" ht="20.100000000000001" customHeight="1" x14ac:dyDescent="0.25">
      <c r="B658" s="340" t="s">
        <v>653</v>
      </c>
      <c r="C658" s="341" t="s">
        <v>314</v>
      </c>
      <c r="D658" s="341"/>
      <c r="E658" s="341"/>
      <c r="F658" s="344"/>
      <c r="G658" s="343" t="e">
        <f>#REF!</f>
        <v>#REF!</v>
      </c>
    </row>
    <row r="659" spans="2:7" ht="20.100000000000001" customHeight="1" x14ac:dyDescent="0.25">
      <c r="B659" s="340" t="s">
        <v>654</v>
      </c>
      <c r="C659" s="341" t="s">
        <v>316</v>
      </c>
      <c r="D659" s="341"/>
      <c r="E659" s="341"/>
      <c r="F659" s="344"/>
      <c r="G659" s="343" t="e">
        <f>#REF!</f>
        <v>#REF!</v>
      </c>
    </row>
    <row r="660" spans="2:7" ht="20.100000000000001" customHeight="1" x14ac:dyDescent="0.25">
      <c r="B660" s="340" t="s">
        <v>655</v>
      </c>
      <c r="C660" s="341" t="s">
        <v>318</v>
      </c>
      <c r="D660" s="341"/>
      <c r="E660" s="341"/>
      <c r="F660" s="344"/>
      <c r="G660" s="343" t="e">
        <f>#REF!</f>
        <v>#REF!</v>
      </c>
    </row>
    <row r="661" spans="2:7" ht="20.100000000000001" customHeight="1" x14ac:dyDescent="0.25">
      <c r="B661" s="340" t="s">
        <v>656</v>
      </c>
      <c r="C661" s="341" t="s">
        <v>320</v>
      </c>
      <c r="D661" s="341"/>
      <c r="E661" s="341"/>
      <c r="F661" s="344"/>
      <c r="G661" s="343" t="e">
        <f>#REF!</f>
        <v>#REF!</v>
      </c>
    </row>
    <row r="662" spans="2:7" ht="20.100000000000001" customHeight="1" x14ac:dyDescent="0.25">
      <c r="B662" s="340" t="s">
        <v>657</v>
      </c>
      <c r="C662" s="341" t="s">
        <v>322</v>
      </c>
      <c r="D662" s="341"/>
      <c r="E662" s="341"/>
      <c r="F662" s="344"/>
      <c r="G662" s="343" t="e">
        <f>#REF!</f>
        <v>#REF!</v>
      </c>
    </row>
    <row r="663" spans="2:7" ht="20.100000000000001" customHeight="1" x14ac:dyDescent="0.25">
      <c r="B663" s="340" t="s">
        <v>658</v>
      </c>
      <c r="C663" s="341" t="s">
        <v>324</v>
      </c>
      <c r="D663" s="341"/>
      <c r="E663" s="341"/>
      <c r="F663" s="344"/>
      <c r="G663" s="343" t="e">
        <f>#REF!</f>
        <v>#REF!</v>
      </c>
    </row>
    <row r="664" spans="2:7" ht="20.100000000000001" customHeight="1" x14ac:dyDescent="0.25">
      <c r="B664" s="340" t="s">
        <v>659</v>
      </c>
      <c r="C664" s="341" t="s">
        <v>326</v>
      </c>
      <c r="D664" s="341"/>
      <c r="E664" s="341"/>
      <c r="F664" s="344"/>
      <c r="G664" s="343" t="e">
        <f>#REF!</f>
        <v>#REF!</v>
      </c>
    </row>
    <row r="665" spans="2:7" ht="20.100000000000001" customHeight="1" x14ac:dyDescent="0.25">
      <c r="B665" s="340" t="s">
        <v>660</v>
      </c>
      <c r="C665" s="341" t="s">
        <v>328</v>
      </c>
      <c r="D665" s="341"/>
      <c r="E665" s="341"/>
      <c r="F665" s="344"/>
      <c r="G665" s="343" t="e">
        <f>#REF!</f>
        <v>#REF!</v>
      </c>
    </row>
    <row r="666" spans="2:7" ht="20.100000000000001" customHeight="1" x14ac:dyDescent="0.25">
      <c r="B666" s="340" t="s">
        <v>661</v>
      </c>
      <c r="C666" s="341" t="s">
        <v>330</v>
      </c>
      <c r="D666" s="341"/>
      <c r="E666" s="341"/>
      <c r="F666" s="344"/>
      <c r="G666" s="343" t="e">
        <f>#REF!</f>
        <v>#REF!</v>
      </c>
    </row>
    <row r="667" spans="2:7" ht="20.100000000000001" customHeight="1" x14ac:dyDescent="0.25">
      <c r="B667" s="340" t="s">
        <v>662</v>
      </c>
      <c r="C667" s="341" t="s">
        <v>332</v>
      </c>
      <c r="D667" s="341"/>
      <c r="E667" s="341"/>
      <c r="F667" s="344"/>
      <c r="G667" s="343" t="e">
        <f>#REF!</f>
        <v>#REF!</v>
      </c>
    </row>
    <row r="668" spans="2:7" ht="20.100000000000001" customHeight="1" x14ac:dyDescent="0.25">
      <c r="B668" s="340" t="s">
        <v>663</v>
      </c>
      <c r="C668" s="341" t="s">
        <v>334</v>
      </c>
      <c r="D668" s="341"/>
      <c r="E668" s="341"/>
      <c r="F668" s="344"/>
      <c r="G668" s="343" t="e">
        <f>#REF!</f>
        <v>#REF!</v>
      </c>
    </row>
    <row r="669" spans="2:7" ht="20.100000000000001" customHeight="1" x14ac:dyDescent="0.25">
      <c r="B669" s="340" t="s">
        <v>664</v>
      </c>
      <c r="C669" s="341" t="s">
        <v>336</v>
      </c>
      <c r="D669" s="341"/>
      <c r="E669" s="341"/>
      <c r="F669" s="344"/>
      <c r="G669" s="343" t="e">
        <f>#REF!</f>
        <v>#REF!</v>
      </c>
    </row>
    <row r="670" spans="2:7" ht="20.100000000000001" customHeight="1" x14ac:dyDescent="0.25">
      <c r="B670" s="340" t="s">
        <v>665</v>
      </c>
      <c r="C670" s="341" t="s">
        <v>338</v>
      </c>
      <c r="D670" s="341"/>
      <c r="E670" s="341"/>
      <c r="F670" s="344"/>
      <c r="G670" s="343" t="e">
        <f>#REF!</f>
        <v>#REF!</v>
      </c>
    </row>
    <row r="671" spans="2:7" ht="20.100000000000001" customHeight="1" x14ac:dyDescent="0.25">
      <c r="B671" s="340" t="s">
        <v>666</v>
      </c>
      <c r="C671" s="341" t="s">
        <v>340</v>
      </c>
      <c r="D671" s="341"/>
      <c r="E671" s="341"/>
      <c r="F671" s="344"/>
      <c r="G671" s="343" t="e">
        <f>#REF!</f>
        <v>#REF!</v>
      </c>
    </row>
    <row r="672" spans="2:7" ht="20.100000000000001" customHeight="1" x14ac:dyDescent="0.25">
      <c r="B672" s="340" t="s">
        <v>667</v>
      </c>
      <c r="C672" s="341" t="s">
        <v>342</v>
      </c>
      <c r="D672" s="341"/>
      <c r="E672" s="341"/>
      <c r="F672" s="344"/>
      <c r="G672" s="343" t="e">
        <f>#REF!</f>
        <v>#REF!</v>
      </c>
    </row>
    <row r="673" spans="2:7" ht="20.100000000000001" customHeight="1" x14ac:dyDescent="0.25">
      <c r="B673" s="340" t="s">
        <v>668</v>
      </c>
      <c r="C673" s="341" t="s">
        <v>344</v>
      </c>
      <c r="D673" s="341"/>
      <c r="E673" s="341"/>
      <c r="F673" s="344"/>
      <c r="G673" s="343" t="e">
        <f>#REF!</f>
        <v>#REF!</v>
      </c>
    </row>
    <row r="674" spans="2:7" ht="20.100000000000001" customHeight="1" x14ac:dyDescent="0.25">
      <c r="B674" s="340" t="s">
        <v>669</v>
      </c>
      <c r="C674" s="341" t="s">
        <v>346</v>
      </c>
      <c r="D674" s="341"/>
      <c r="E674" s="341"/>
      <c r="F674" s="344"/>
      <c r="G674" s="343" t="e">
        <f>#REF!</f>
        <v>#REF!</v>
      </c>
    </row>
    <row r="675" spans="2:7" ht="20.100000000000001" customHeight="1" x14ac:dyDescent="0.25">
      <c r="B675" s="340" t="s">
        <v>670</v>
      </c>
      <c r="C675" s="341" t="s">
        <v>348</v>
      </c>
      <c r="D675" s="341"/>
      <c r="E675" s="341"/>
      <c r="F675" s="344"/>
      <c r="G675" s="343" t="e">
        <f>#REF!</f>
        <v>#REF!</v>
      </c>
    </row>
    <row r="676" spans="2:7" ht="20.100000000000001" customHeight="1" x14ac:dyDescent="0.25">
      <c r="B676" s="340" t="s">
        <v>671</v>
      </c>
      <c r="C676" s="341" t="s">
        <v>350</v>
      </c>
      <c r="D676" s="341"/>
      <c r="E676" s="341"/>
      <c r="F676" s="344"/>
      <c r="G676" s="343" t="e">
        <f>#REF!</f>
        <v>#REF!</v>
      </c>
    </row>
    <row r="677" spans="2:7" ht="20.100000000000001" customHeight="1" x14ac:dyDescent="0.25">
      <c r="B677" s="340" t="s">
        <v>672</v>
      </c>
      <c r="C677" s="341" t="s">
        <v>352</v>
      </c>
      <c r="D677" s="341"/>
      <c r="E677" s="341"/>
      <c r="F677" s="344"/>
      <c r="G677" s="343" t="e">
        <f>#REF!</f>
        <v>#REF!</v>
      </c>
    </row>
    <row r="678" spans="2:7" ht="20.100000000000001" customHeight="1" x14ac:dyDescent="0.25">
      <c r="B678" s="340" t="s">
        <v>673</v>
      </c>
      <c r="C678" s="341" t="s">
        <v>354</v>
      </c>
      <c r="D678" s="341"/>
      <c r="E678" s="341"/>
      <c r="F678" s="344"/>
      <c r="G678" s="343" t="e">
        <f>#REF!</f>
        <v>#REF!</v>
      </c>
    </row>
    <row r="679" spans="2:7" ht="20.100000000000001" customHeight="1" x14ac:dyDescent="0.25">
      <c r="B679" s="340" t="s">
        <v>674</v>
      </c>
      <c r="C679" s="341" t="s">
        <v>356</v>
      </c>
      <c r="D679" s="341"/>
      <c r="E679" s="341"/>
      <c r="F679" s="344"/>
      <c r="G679" s="343" t="e">
        <f>#REF!</f>
        <v>#REF!</v>
      </c>
    </row>
    <row r="680" spans="2:7" ht="20.100000000000001" customHeight="1" x14ac:dyDescent="0.25">
      <c r="B680" s="340" t="s">
        <v>675</v>
      </c>
      <c r="C680" s="341" t="s">
        <v>358</v>
      </c>
      <c r="D680" s="341"/>
      <c r="E680" s="341"/>
      <c r="F680" s="344"/>
      <c r="G680" s="343" t="e">
        <f>#REF!</f>
        <v>#REF!</v>
      </c>
    </row>
    <row r="681" spans="2:7" ht="20.100000000000001" customHeight="1" x14ac:dyDescent="0.25">
      <c r="B681" s="340" t="s">
        <v>676</v>
      </c>
      <c r="C681" s="341" t="s">
        <v>360</v>
      </c>
      <c r="D681" s="341"/>
      <c r="E681" s="341"/>
      <c r="F681" s="344"/>
      <c r="G681" s="343" t="e">
        <f>#REF!</f>
        <v>#REF!</v>
      </c>
    </row>
    <row r="682" spans="2:7" ht="20.100000000000001" customHeight="1" x14ac:dyDescent="0.25">
      <c r="B682" s="340" t="s">
        <v>677</v>
      </c>
      <c r="C682" s="341" t="s">
        <v>362</v>
      </c>
      <c r="D682" s="341"/>
      <c r="E682" s="341"/>
      <c r="F682" s="344"/>
      <c r="G682" s="343" t="e">
        <f>#REF!</f>
        <v>#REF!</v>
      </c>
    </row>
    <row r="683" spans="2:7" ht="20.100000000000001" customHeight="1" x14ac:dyDescent="0.25">
      <c r="B683" s="340" t="s">
        <v>678</v>
      </c>
      <c r="C683" s="341" t="s">
        <v>364</v>
      </c>
      <c r="D683" s="341"/>
      <c r="E683" s="341"/>
      <c r="F683" s="344"/>
      <c r="G683" s="343" t="e">
        <f>#REF!</f>
        <v>#REF!</v>
      </c>
    </row>
    <row r="684" spans="2:7" ht="20.100000000000001" customHeight="1" x14ac:dyDescent="0.25">
      <c r="B684" s="340" t="s">
        <v>2917</v>
      </c>
      <c r="C684" s="341" t="s">
        <v>7289</v>
      </c>
      <c r="D684" s="341"/>
      <c r="E684" s="341"/>
      <c r="F684" s="344"/>
      <c r="G684" s="343" t="e">
        <f>#REF!</f>
        <v>#REF!</v>
      </c>
    </row>
    <row r="685" spans="2:7" ht="20.100000000000001" customHeight="1" x14ac:dyDescent="0.25">
      <c r="B685" s="340" t="s">
        <v>2922</v>
      </c>
      <c r="C685" s="341" t="s">
        <v>7284</v>
      </c>
      <c r="D685" s="341"/>
      <c r="E685" s="341"/>
      <c r="F685" s="344"/>
      <c r="G685" s="336"/>
    </row>
    <row r="686" spans="2:7" ht="20.100000000000001" customHeight="1" x14ac:dyDescent="0.25">
      <c r="B686" s="340" t="s">
        <v>2918</v>
      </c>
      <c r="C686" s="341" t="s">
        <v>7285</v>
      </c>
      <c r="D686" s="341"/>
      <c r="E686" s="341"/>
      <c r="F686" s="344"/>
      <c r="G686" s="336" t="e">
        <f>#REF!</f>
        <v>#REF!</v>
      </c>
    </row>
    <row r="687" spans="2:7" ht="20.100000000000001" customHeight="1" x14ac:dyDescent="0.25">
      <c r="B687" s="340" t="s">
        <v>2921</v>
      </c>
      <c r="C687" s="341" t="s">
        <v>7286</v>
      </c>
      <c r="D687" s="341"/>
      <c r="E687" s="341"/>
      <c r="F687" s="344"/>
      <c r="G687" s="339"/>
    </row>
    <row r="688" spans="2:7" ht="20.100000000000001" customHeight="1" x14ac:dyDescent="0.25">
      <c r="B688" s="340" t="s">
        <v>2919</v>
      </c>
      <c r="C688" s="341" t="s">
        <v>7287</v>
      </c>
      <c r="D688" s="341"/>
      <c r="E688" s="341"/>
      <c r="F688" s="344"/>
      <c r="G688" s="336"/>
    </row>
    <row r="689" spans="2:11" ht="20.100000000000001" customHeight="1" x14ac:dyDescent="0.25">
      <c r="B689" s="340" t="s">
        <v>2923</v>
      </c>
      <c r="C689" s="341" t="s">
        <v>7290</v>
      </c>
      <c r="D689" s="341"/>
      <c r="E689" s="341"/>
      <c r="F689" s="344"/>
      <c r="G689" s="336"/>
    </row>
    <row r="690" spans="2:11" ht="20.100000000000001" customHeight="1" x14ac:dyDescent="0.25">
      <c r="B690" s="340" t="s">
        <v>2920</v>
      </c>
      <c r="C690" s="341" t="s">
        <v>7288</v>
      </c>
      <c r="D690" s="341"/>
      <c r="E690" s="341"/>
      <c r="F690" s="344"/>
      <c r="G690" s="336"/>
    </row>
    <row r="691" spans="2:11" ht="20.100000000000001" customHeight="1" x14ac:dyDescent="0.25">
      <c r="B691" s="340" t="s">
        <v>3086</v>
      </c>
      <c r="C691" s="341" t="s">
        <v>9072</v>
      </c>
      <c r="D691" s="341"/>
      <c r="E691" s="341"/>
      <c r="F691" s="344"/>
      <c r="G691" s="336"/>
    </row>
    <row r="692" spans="2:11" ht="20.100000000000001" customHeight="1" x14ac:dyDescent="0.25">
      <c r="B692" s="340" t="s">
        <v>8494</v>
      </c>
      <c r="C692" s="341" t="s">
        <v>8495</v>
      </c>
      <c r="D692" s="341"/>
      <c r="E692" s="341"/>
      <c r="F692" s="344"/>
      <c r="G692" s="336"/>
    </row>
    <row r="693" spans="2:11" ht="20.100000000000001" customHeight="1" x14ac:dyDescent="0.25">
      <c r="B693" s="340" t="s">
        <v>9070</v>
      </c>
      <c r="C693" s="341" t="s">
        <v>9071</v>
      </c>
      <c r="D693" s="341"/>
      <c r="E693" s="341"/>
      <c r="F693" s="344"/>
      <c r="G693" s="336"/>
    </row>
    <row r="694" spans="2:11" ht="20.100000000000001" customHeight="1" x14ac:dyDescent="0.25">
      <c r="B694" s="334" t="s">
        <v>28</v>
      </c>
      <c r="C694" s="335" t="s">
        <v>20</v>
      </c>
      <c r="D694" s="335" t="s">
        <v>21</v>
      </c>
      <c r="F694" s="336"/>
      <c r="G694" s="336"/>
    </row>
    <row r="695" spans="2:11" ht="20.100000000000001" customHeight="1" x14ac:dyDescent="0.25">
      <c r="B695" s="338" t="s">
        <v>886</v>
      </c>
      <c r="C695" s="333" t="s">
        <v>887</v>
      </c>
      <c r="F695" s="336"/>
      <c r="G695" s="336"/>
    </row>
    <row r="696" spans="2:11" ht="20.100000000000001" customHeight="1" x14ac:dyDescent="0.25">
      <c r="B696" s="334" t="s">
        <v>32</v>
      </c>
      <c r="C696" s="335" t="s">
        <v>33</v>
      </c>
      <c r="D696" s="335" t="s">
        <v>34</v>
      </c>
      <c r="F696" s="336"/>
      <c r="G696" s="336"/>
    </row>
    <row r="697" spans="2:11" ht="20.100000000000001" customHeight="1" x14ac:dyDescent="0.25">
      <c r="F697" s="336"/>
      <c r="G697" s="336"/>
    </row>
    <row r="698" spans="2:11" ht="20.100000000000001" customHeight="1" x14ac:dyDescent="0.25">
      <c r="B698" s="334" t="s">
        <v>38</v>
      </c>
      <c r="C698" s="335" t="s">
        <v>11</v>
      </c>
      <c r="D698" s="335" t="s">
        <v>40</v>
      </c>
      <c r="F698" s="336"/>
      <c r="G698" s="336"/>
      <c r="J698" s="333" t="s">
        <v>2356</v>
      </c>
      <c r="K698" s="333">
        <v>3290000</v>
      </c>
    </row>
    <row r="699" spans="2:11" ht="20.100000000000001" customHeight="1" x14ac:dyDescent="0.25">
      <c r="B699" s="333" t="s">
        <v>14</v>
      </c>
      <c r="C699" s="338" t="s">
        <v>898</v>
      </c>
      <c r="D699" s="335"/>
      <c r="E699" s="338"/>
      <c r="F699" s="336"/>
      <c r="G699" s="336"/>
      <c r="J699" s="333" t="s">
        <v>2357</v>
      </c>
      <c r="K699" s="333">
        <v>3210000</v>
      </c>
    </row>
    <row r="700" spans="2:11" ht="20.100000000000001" customHeight="1" x14ac:dyDescent="0.25">
      <c r="B700" s="359" t="s">
        <v>901</v>
      </c>
      <c r="C700" s="359" t="s">
        <v>896</v>
      </c>
      <c r="F700" s="336"/>
      <c r="G700" s="336"/>
      <c r="J700" s="333" t="s">
        <v>2348</v>
      </c>
      <c r="K700" s="333">
        <v>2480000</v>
      </c>
    </row>
    <row r="701" spans="2:11" ht="20.100000000000001" customHeight="1" x14ac:dyDescent="0.25">
      <c r="B701" s="359" t="s">
        <v>1064</v>
      </c>
      <c r="C701" s="359" t="s">
        <v>1063</v>
      </c>
      <c r="D701" s="335"/>
      <c r="F701" s="336"/>
      <c r="G701" s="336"/>
      <c r="J701" s="333" t="s">
        <v>2351</v>
      </c>
      <c r="K701" s="333">
        <v>2290000</v>
      </c>
    </row>
    <row r="702" spans="2:11" ht="20.100000000000001" customHeight="1" x14ac:dyDescent="0.25">
      <c r="B702" s="338" t="s">
        <v>888</v>
      </c>
      <c r="C702" s="338" t="s">
        <v>897</v>
      </c>
      <c r="F702" s="336"/>
      <c r="G702" s="336"/>
    </row>
    <row r="703" spans="2:11" ht="20.100000000000001" customHeight="1" x14ac:dyDescent="0.25">
      <c r="B703" s="338" t="s">
        <v>15</v>
      </c>
      <c r="C703" s="338" t="s">
        <v>899</v>
      </c>
      <c r="F703" s="336"/>
      <c r="G703" s="336"/>
    </row>
    <row r="704" spans="2:11" ht="20.100000000000001" customHeight="1" x14ac:dyDescent="0.25">
      <c r="B704" s="338" t="s">
        <v>889</v>
      </c>
      <c r="C704" s="338" t="s">
        <v>900</v>
      </c>
      <c r="F704" s="336"/>
      <c r="G704" s="336"/>
    </row>
    <row r="705" spans="1:8" ht="20.100000000000001" customHeight="1" x14ac:dyDescent="0.25">
      <c r="B705" s="359" t="s">
        <v>902</v>
      </c>
      <c r="C705" s="359" t="s">
        <v>1151</v>
      </c>
      <c r="F705" s="336"/>
      <c r="G705" s="336"/>
    </row>
    <row r="706" spans="1:8" ht="20.100000000000001" customHeight="1" x14ac:dyDescent="0.25">
      <c r="B706" s="359" t="s">
        <v>1051</v>
      </c>
      <c r="C706" s="359" t="s">
        <v>1050</v>
      </c>
      <c r="F706" s="336"/>
      <c r="G706" s="336"/>
    </row>
    <row r="707" spans="1:8" ht="20.100000000000001" customHeight="1" x14ac:dyDescent="0.25">
      <c r="B707" s="338" t="s">
        <v>895</v>
      </c>
      <c r="C707" s="338" t="s">
        <v>903</v>
      </c>
      <c r="F707" s="336"/>
      <c r="G707" s="336"/>
    </row>
    <row r="708" spans="1:8" ht="20.100000000000001" customHeight="1" x14ac:dyDescent="0.25">
      <c r="B708" s="338" t="s">
        <v>1135</v>
      </c>
      <c r="C708" s="338" t="s">
        <v>1109</v>
      </c>
      <c r="D708" s="333" t="s">
        <v>1134</v>
      </c>
      <c r="F708" s="336"/>
      <c r="G708" s="336"/>
    </row>
    <row r="709" spans="1:8" ht="20.100000000000001" customHeight="1" x14ac:dyDescent="0.25">
      <c r="B709" s="338"/>
      <c r="C709" s="338"/>
      <c r="F709" s="336"/>
      <c r="G709" s="336"/>
    </row>
    <row r="710" spans="1:8" ht="20.100000000000001" customHeight="1" x14ac:dyDescent="0.25">
      <c r="B710" s="338" t="s">
        <v>7</v>
      </c>
      <c r="C710" s="338" t="s">
        <v>8</v>
      </c>
      <c r="F710" s="336"/>
      <c r="G710" s="336"/>
    </row>
    <row r="711" spans="1:8" ht="20.100000000000001" customHeight="1" x14ac:dyDescent="0.25">
      <c r="B711" s="338" t="s">
        <v>1279</v>
      </c>
      <c r="C711" s="338" t="s">
        <v>1060</v>
      </c>
      <c r="F711" s="336"/>
      <c r="G711" s="336"/>
    </row>
    <row r="712" spans="1:8" s="346" customFormat="1" ht="20.100000000000001" customHeight="1" x14ac:dyDescent="0.25">
      <c r="A712" s="333"/>
      <c r="B712" s="338" t="s">
        <v>2722</v>
      </c>
      <c r="C712" s="338" t="s">
        <v>1060</v>
      </c>
      <c r="D712" s="333"/>
      <c r="E712" s="333"/>
      <c r="F712" s="336"/>
      <c r="G712" s="336"/>
      <c r="H712" s="337"/>
    </row>
    <row r="713" spans="1:8" s="346" customFormat="1" ht="20.100000000000001" customHeight="1" x14ac:dyDescent="0.25">
      <c r="A713" s="333"/>
      <c r="B713" s="338" t="s">
        <v>7280</v>
      </c>
      <c r="C713" s="338" t="s">
        <v>1060</v>
      </c>
      <c r="D713" s="333"/>
      <c r="E713" s="333"/>
      <c r="F713" s="336"/>
      <c r="G713" s="336"/>
      <c r="H713" s="337"/>
    </row>
    <row r="714" spans="1:8" s="346" customFormat="1" ht="20.100000000000001" customHeight="1" x14ac:dyDescent="0.25">
      <c r="A714" s="333"/>
      <c r="B714" s="360" t="s">
        <v>1267</v>
      </c>
      <c r="C714" s="333" t="s">
        <v>1268</v>
      </c>
      <c r="D714" s="333" t="s">
        <v>1269</v>
      </c>
      <c r="E714" s="333"/>
      <c r="F714" s="336"/>
      <c r="G714" s="336"/>
      <c r="H714" s="337"/>
    </row>
    <row r="715" spans="1:8" s="346" customFormat="1" ht="20.100000000000001" customHeight="1" x14ac:dyDescent="0.25">
      <c r="A715" s="333"/>
      <c r="B715" s="338" t="s">
        <v>39</v>
      </c>
      <c r="C715" s="333" t="s">
        <v>2063</v>
      </c>
      <c r="D715" s="333" t="s">
        <v>2062</v>
      </c>
      <c r="E715" s="333"/>
      <c r="F715" s="336"/>
      <c r="G715" s="336"/>
      <c r="H715" s="337"/>
    </row>
    <row r="716" spans="1:8" s="346" customFormat="1" ht="20.100000000000001" customHeight="1" x14ac:dyDescent="0.25">
      <c r="A716" s="333"/>
      <c r="B716" s="338" t="s">
        <v>2352</v>
      </c>
      <c r="C716" s="333" t="s">
        <v>2353</v>
      </c>
      <c r="D716" s="333" t="s">
        <v>2354</v>
      </c>
      <c r="E716" s="333"/>
      <c r="F716" s="336"/>
      <c r="G716" s="336"/>
      <c r="H716" s="337"/>
    </row>
    <row r="717" spans="1:8" s="346" customFormat="1" ht="20.100000000000001" customHeight="1" x14ac:dyDescent="0.25">
      <c r="A717" s="333"/>
      <c r="B717" s="338" t="s">
        <v>8490</v>
      </c>
      <c r="C717" s="333" t="s">
        <v>8491</v>
      </c>
      <c r="D717" s="333" t="s">
        <v>8492</v>
      </c>
      <c r="E717" s="333"/>
      <c r="F717" s="336"/>
      <c r="G717" s="336"/>
      <c r="H717" s="337"/>
    </row>
    <row r="718" spans="1:8" s="346" customFormat="1" ht="20.100000000000001" customHeight="1" x14ac:dyDescent="0.25">
      <c r="A718" s="333"/>
      <c r="B718" s="338" t="s">
        <v>37</v>
      </c>
      <c r="C718" s="333" t="s">
        <v>35</v>
      </c>
      <c r="D718" s="333" t="s">
        <v>36</v>
      </c>
      <c r="E718" s="333"/>
      <c r="F718" s="336"/>
      <c r="G718" s="336"/>
      <c r="H718" s="337"/>
    </row>
    <row r="719" spans="1:8" s="346" customFormat="1" ht="20.100000000000001" customHeight="1" x14ac:dyDescent="0.25">
      <c r="A719" s="333"/>
      <c r="B719" s="338" t="s">
        <v>86</v>
      </c>
      <c r="C719" s="333" t="s">
        <v>88</v>
      </c>
      <c r="D719" s="333" t="s">
        <v>857</v>
      </c>
      <c r="E719" s="333"/>
      <c r="F719" s="336"/>
      <c r="G719" s="336"/>
      <c r="H719" s="337"/>
    </row>
    <row r="720" spans="1:8" s="346" customFormat="1" ht="20.100000000000001" customHeight="1" x14ac:dyDescent="0.25">
      <c r="A720" s="333"/>
      <c r="B720" s="338" t="s">
        <v>89</v>
      </c>
      <c r="C720" s="333" t="s">
        <v>879</v>
      </c>
      <c r="D720" s="333" t="s">
        <v>885</v>
      </c>
      <c r="E720" s="333"/>
      <c r="F720" s="336"/>
      <c r="G720" s="336"/>
      <c r="H720" s="337"/>
    </row>
    <row r="721" spans="1:8" s="346" customFormat="1" ht="20.100000000000001" customHeight="1" x14ac:dyDescent="0.25">
      <c r="A721" s="333"/>
      <c r="B721" s="338" t="s">
        <v>1180</v>
      </c>
      <c r="C721" s="333" t="s">
        <v>1181</v>
      </c>
      <c r="D721" s="333" t="s">
        <v>1182</v>
      </c>
      <c r="E721" s="333"/>
      <c r="F721" s="336"/>
      <c r="G721" s="336"/>
      <c r="H721" s="337"/>
    </row>
    <row r="722" spans="1:8" s="346" customFormat="1" ht="20.100000000000001" customHeight="1" x14ac:dyDescent="0.25">
      <c r="A722" s="333"/>
      <c r="B722" s="338" t="s">
        <v>1183</v>
      </c>
      <c r="C722" s="333" t="s">
        <v>1185</v>
      </c>
      <c r="D722" s="333" t="s">
        <v>1184</v>
      </c>
      <c r="E722" s="333"/>
      <c r="F722" s="336"/>
      <c r="G722" s="336"/>
      <c r="H722" s="337"/>
    </row>
    <row r="723" spans="1:8" s="346" customFormat="1" ht="20.100000000000001" customHeight="1" x14ac:dyDescent="0.25">
      <c r="A723" s="333"/>
      <c r="B723" s="338" t="s">
        <v>1103</v>
      </c>
      <c r="C723" s="333" t="s">
        <v>1105</v>
      </c>
      <c r="D723" s="333" t="s">
        <v>1106</v>
      </c>
      <c r="E723" s="333"/>
      <c r="F723" s="336"/>
      <c r="G723" s="336"/>
      <c r="H723" s="337"/>
    </row>
    <row r="724" spans="1:8" s="346" customFormat="1" ht="20.100000000000001" customHeight="1" x14ac:dyDescent="0.25">
      <c r="A724" s="333"/>
      <c r="B724" s="338" t="s">
        <v>1104</v>
      </c>
      <c r="C724" s="333" t="s">
        <v>1108</v>
      </c>
      <c r="D724" s="333" t="s">
        <v>1107</v>
      </c>
      <c r="E724" s="333"/>
      <c r="F724" s="336"/>
      <c r="G724" s="336"/>
      <c r="H724" s="333"/>
    </row>
    <row r="725" spans="1:8" s="346" customFormat="1" ht="20.100000000000001" customHeight="1" x14ac:dyDescent="0.25">
      <c r="A725" s="333"/>
      <c r="B725" s="338" t="s">
        <v>1136</v>
      </c>
      <c r="C725" s="333" t="s">
        <v>1138</v>
      </c>
      <c r="D725" s="333" t="s">
        <v>1139</v>
      </c>
      <c r="E725" s="333"/>
      <c r="F725" s="336"/>
      <c r="G725" s="336"/>
      <c r="H725" s="337"/>
    </row>
    <row r="726" spans="1:8" ht="20.100000000000001" customHeight="1" x14ac:dyDescent="0.25">
      <c r="B726" s="338" t="s">
        <v>1137</v>
      </c>
      <c r="C726" s="333" t="s">
        <v>1140</v>
      </c>
      <c r="D726" s="333" t="s">
        <v>1141</v>
      </c>
      <c r="F726" s="336"/>
      <c r="G726" s="336"/>
    </row>
    <row r="727" spans="1:8" ht="20.100000000000001" customHeight="1" x14ac:dyDescent="0.25">
      <c r="B727" s="338" t="s">
        <v>1143</v>
      </c>
      <c r="C727" s="333" t="s">
        <v>1144</v>
      </c>
      <c r="D727" s="333" t="s">
        <v>1270</v>
      </c>
      <c r="F727" s="336"/>
      <c r="G727" s="336"/>
    </row>
    <row r="728" spans="1:8" ht="20.100000000000001" customHeight="1" x14ac:dyDescent="0.25">
      <c r="B728" s="338" t="s">
        <v>1148</v>
      </c>
      <c r="C728" s="333" t="s">
        <v>1149</v>
      </c>
      <c r="D728" s="333" t="s">
        <v>1150</v>
      </c>
      <c r="F728" s="336"/>
      <c r="G728" s="336"/>
    </row>
    <row r="729" spans="1:8" ht="20.100000000000001" customHeight="1" x14ac:dyDescent="0.25">
      <c r="B729" s="338" t="s">
        <v>1240</v>
      </c>
      <c r="C729" s="333" t="s">
        <v>1241</v>
      </c>
      <c r="D729" s="333" t="s">
        <v>1239</v>
      </c>
      <c r="F729" s="336"/>
      <c r="G729" s="336"/>
    </row>
    <row r="730" spans="1:8" ht="20.100000000000001" customHeight="1" x14ac:dyDescent="0.25">
      <c r="B730" s="338" t="s">
        <v>881</v>
      </c>
      <c r="C730" s="333" t="s">
        <v>1146</v>
      </c>
      <c r="D730" s="333" t="s">
        <v>883</v>
      </c>
      <c r="F730" s="336"/>
      <c r="G730" s="336"/>
    </row>
    <row r="731" spans="1:8" ht="20.100000000000001" customHeight="1" x14ac:dyDescent="0.25">
      <c r="B731" s="338" t="s">
        <v>882</v>
      </c>
      <c r="C731" s="333" t="s">
        <v>880</v>
      </c>
      <c r="D731" s="333" t="s">
        <v>884</v>
      </c>
      <c r="F731" s="336"/>
      <c r="G731" s="336"/>
    </row>
    <row r="732" spans="1:8" ht="20.100000000000001" customHeight="1" x14ac:dyDescent="0.25">
      <c r="B732" s="338" t="s">
        <v>1061</v>
      </c>
      <c r="C732" s="333" t="s">
        <v>1062</v>
      </c>
      <c r="D732" s="333" t="s">
        <v>883</v>
      </c>
      <c r="F732" s="336"/>
      <c r="G732" s="336"/>
    </row>
    <row r="733" spans="1:8" ht="20.100000000000001" customHeight="1" x14ac:dyDescent="0.25">
      <c r="B733" s="338" t="s">
        <v>1086</v>
      </c>
      <c r="C733" s="333" t="s">
        <v>1087</v>
      </c>
      <c r="D733" s="333" t="s">
        <v>1088</v>
      </c>
      <c r="F733" s="336"/>
      <c r="G733" s="336"/>
    </row>
    <row r="734" spans="1:8" ht="20.100000000000001" customHeight="1" x14ac:dyDescent="0.25">
      <c r="B734" s="338" t="s">
        <v>1147</v>
      </c>
      <c r="C734" s="333" t="s">
        <v>6375</v>
      </c>
      <c r="D734" s="333" t="s">
        <v>6376</v>
      </c>
      <c r="F734" s="336"/>
      <c r="G734" s="336"/>
    </row>
    <row r="735" spans="1:8" ht="20.100000000000001" customHeight="1" x14ac:dyDescent="0.25">
      <c r="B735" s="338" t="s">
        <v>1280</v>
      </c>
      <c r="C735" s="333" t="s">
        <v>1281</v>
      </c>
      <c r="D735" s="333" t="s">
        <v>883</v>
      </c>
      <c r="F735" s="336"/>
      <c r="G735" s="336"/>
    </row>
    <row r="736" spans="1:8" ht="20.100000000000001" customHeight="1" x14ac:dyDescent="0.25">
      <c r="B736" s="361" t="s">
        <v>2262</v>
      </c>
      <c r="C736" s="362" t="s">
        <v>2283</v>
      </c>
      <c r="D736" s="362" t="s">
        <v>2263</v>
      </c>
      <c r="F736" s="336"/>
      <c r="G736" s="336"/>
    </row>
    <row r="737" spans="1:7" ht="20.100000000000001" customHeight="1" x14ac:dyDescent="0.25">
      <c r="B737" s="361" t="s">
        <v>2264</v>
      </c>
      <c r="C737" s="362" t="s">
        <v>2266</v>
      </c>
      <c r="D737" s="362" t="s">
        <v>2265</v>
      </c>
      <c r="F737" s="336"/>
      <c r="G737" s="336"/>
    </row>
    <row r="738" spans="1:7" ht="20.100000000000001" customHeight="1" x14ac:dyDescent="0.25">
      <c r="B738" s="361" t="s">
        <v>2272</v>
      </c>
      <c r="C738" s="362" t="s">
        <v>2274</v>
      </c>
      <c r="D738" s="362" t="s">
        <v>2273</v>
      </c>
      <c r="F738" s="336"/>
      <c r="G738" s="336"/>
    </row>
    <row r="739" spans="1:7" ht="20.100000000000001" customHeight="1" x14ac:dyDescent="0.25">
      <c r="B739" s="338" t="s">
        <v>3200</v>
      </c>
      <c r="C739" s="338" t="s">
        <v>3200</v>
      </c>
      <c r="D739" s="333" t="s">
        <v>3199</v>
      </c>
      <c r="F739" s="336"/>
      <c r="G739" s="336"/>
    </row>
    <row r="740" spans="1:7" ht="20.100000000000001" customHeight="1" x14ac:dyDescent="0.25">
      <c r="A740" s="346"/>
      <c r="B740" s="334" t="s">
        <v>865</v>
      </c>
      <c r="C740" s="335" t="s">
        <v>866</v>
      </c>
      <c r="D740" s="335" t="s">
        <v>867</v>
      </c>
      <c r="F740" s="336"/>
      <c r="G740" s="336"/>
    </row>
    <row r="741" spans="1:7" ht="20.100000000000001" customHeight="1" x14ac:dyDescent="0.25">
      <c r="A741" s="346"/>
      <c r="B741" s="338" t="s">
        <v>862</v>
      </c>
      <c r="C741" s="333" t="s">
        <v>855</v>
      </c>
      <c r="D741" s="333" t="s">
        <v>856</v>
      </c>
      <c r="F741" s="336"/>
      <c r="G741" s="336"/>
    </row>
    <row r="742" spans="1:7" ht="20.100000000000001" customHeight="1" x14ac:dyDescent="0.25">
      <c r="A742" s="346"/>
      <c r="B742" s="338" t="s">
        <v>863</v>
      </c>
      <c r="C742" s="333" t="s">
        <v>87</v>
      </c>
      <c r="D742" s="333" t="s">
        <v>858</v>
      </c>
      <c r="F742" s="336"/>
      <c r="G742" s="336"/>
    </row>
    <row r="743" spans="1:7" ht="20.100000000000001" customHeight="1" x14ac:dyDescent="0.25">
      <c r="A743" s="346"/>
      <c r="B743" s="338" t="s">
        <v>864</v>
      </c>
      <c r="C743" s="333" t="s">
        <v>2390</v>
      </c>
      <c r="D743" s="333" t="s">
        <v>2389</v>
      </c>
      <c r="F743" s="336"/>
      <c r="G743" s="336"/>
    </row>
    <row r="744" spans="1:7" ht="20.100000000000001" customHeight="1" x14ac:dyDescent="0.25">
      <c r="A744" s="346"/>
      <c r="B744" s="338" t="s">
        <v>6534</v>
      </c>
      <c r="C744" s="333" t="s">
        <v>6535</v>
      </c>
      <c r="D744" s="333" t="s">
        <v>6536</v>
      </c>
      <c r="F744" s="336"/>
      <c r="G744" s="336"/>
    </row>
    <row r="745" spans="1:7" ht="20.100000000000001" customHeight="1" x14ac:dyDescent="0.25">
      <c r="A745" s="346"/>
      <c r="B745" s="334" t="s">
        <v>868</v>
      </c>
      <c r="C745" s="335" t="s">
        <v>878</v>
      </c>
      <c r="D745" s="335" t="s">
        <v>911</v>
      </c>
      <c r="F745" s="336"/>
      <c r="G745" s="336"/>
    </row>
    <row r="746" spans="1:7" ht="20.100000000000001" customHeight="1" x14ac:dyDescent="0.25">
      <c r="A746" s="346"/>
      <c r="B746" s="334" t="s">
        <v>2267</v>
      </c>
      <c r="C746" s="335" t="s">
        <v>2268</v>
      </c>
      <c r="D746" s="335" t="s">
        <v>2269</v>
      </c>
      <c r="F746" s="336"/>
      <c r="G746" s="336"/>
    </row>
    <row r="747" spans="1:7" ht="20.100000000000001" customHeight="1" x14ac:dyDescent="0.25">
      <c r="A747" s="346"/>
      <c r="B747" s="334" t="s">
        <v>2275</v>
      </c>
      <c r="C747" s="335" t="s">
        <v>2277</v>
      </c>
      <c r="D747" s="335" t="s">
        <v>2276</v>
      </c>
      <c r="F747" s="336"/>
      <c r="G747" s="336"/>
    </row>
    <row r="748" spans="1:7" ht="20.100000000000001" customHeight="1" x14ac:dyDescent="0.25">
      <c r="A748" s="346"/>
      <c r="B748" s="334" t="s">
        <v>2280</v>
      </c>
      <c r="C748" s="335" t="s">
        <v>2282</v>
      </c>
      <c r="D748" s="335" t="s">
        <v>2281</v>
      </c>
      <c r="F748" s="336"/>
      <c r="G748" s="336"/>
    </row>
    <row r="749" spans="1:7" ht="20.100000000000001" customHeight="1" x14ac:dyDescent="0.25">
      <c r="A749" s="346"/>
      <c r="B749" s="334" t="s">
        <v>2304</v>
      </c>
      <c r="C749" s="335" t="s">
        <v>2305</v>
      </c>
      <c r="D749" s="335" t="s">
        <v>2306</v>
      </c>
      <c r="F749" s="336"/>
      <c r="G749" s="336"/>
    </row>
    <row r="750" spans="1:7" ht="20.100000000000001" customHeight="1" x14ac:dyDescent="0.25">
      <c r="A750" s="346"/>
      <c r="B750" s="338" t="s">
        <v>869</v>
      </c>
      <c r="C750" s="333" t="s">
        <v>874</v>
      </c>
      <c r="D750" s="333" t="s">
        <v>912</v>
      </c>
      <c r="F750" s="336"/>
      <c r="G750" s="336"/>
    </row>
    <row r="751" spans="1:7" ht="20.100000000000001" customHeight="1" x14ac:dyDescent="0.25">
      <c r="A751" s="346"/>
      <c r="B751" s="338" t="s">
        <v>870</v>
      </c>
      <c r="C751" s="333" t="s">
        <v>875</v>
      </c>
      <c r="D751" s="333" t="s">
        <v>913</v>
      </c>
      <c r="F751" s="336"/>
      <c r="G751" s="336"/>
    </row>
    <row r="752" spans="1:7" ht="20.100000000000001" customHeight="1" x14ac:dyDescent="0.25">
      <c r="A752" s="346"/>
      <c r="B752" s="338" t="s">
        <v>871</v>
      </c>
      <c r="C752" s="333" t="s">
        <v>876</v>
      </c>
      <c r="D752" s="333" t="s">
        <v>914</v>
      </c>
      <c r="F752" s="336"/>
      <c r="G752" s="336"/>
    </row>
    <row r="753" spans="1:7" ht="20.100000000000001" customHeight="1" x14ac:dyDescent="0.25">
      <c r="A753" s="346"/>
      <c r="B753" s="338" t="s">
        <v>1189</v>
      </c>
      <c r="C753" s="333" t="s">
        <v>1190</v>
      </c>
      <c r="D753" s="333" t="s">
        <v>1191</v>
      </c>
      <c r="F753" s="336"/>
      <c r="G753" s="336"/>
    </row>
    <row r="754" spans="1:7" ht="20.100000000000001" customHeight="1" x14ac:dyDescent="0.25">
      <c r="A754" s="346"/>
      <c r="B754" s="338" t="s">
        <v>872</v>
      </c>
      <c r="C754" s="333" t="s">
        <v>6107</v>
      </c>
      <c r="D754" s="333" t="s">
        <v>2278</v>
      </c>
      <c r="F754" s="336"/>
      <c r="G754" s="336"/>
    </row>
    <row r="755" spans="1:7" ht="20.100000000000001" customHeight="1" x14ac:dyDescent="0.25">
      <c r="B755" s="338" t="s">
        <v>904</v>
      </c>
      <c r="C755" s="333" t="s">
        <v>1049</v>
      </c>
      <c r="D755" s="333" t="s">
        <v>6106</v>
      </c>
      <c r="F755" s="336"/>
      <c r="G755" s="336"/>
    </row>
    <row r="756" spans="1:7" ht="20.100000000000001" customHeight="1" x14ac:dyDescent="0.25">
      <c r="B756" s="338" t="s">
        <v>1097</v>
      </c>
      <c r="C756" s="333" t="s">
        <v>1099</v>
      </c>
      <c r="D756" s="333" t="s">
        <v>1098</v>
      </c>
      <c r="F756" s="336"/>
      <c r="G756" s="336"/>
    </row>
    <row r="757" spans="1:7" ht="20.100000000000001" customHeight="1" x14ac:dyDescent="0.25">
      <c r="B757" s="338" t="s">
        <v>1047</v>
      </c>
      <c r="C757" s="333" t="s">
        <v>1048</v>
      </c>
      <c r="D757" s="333" t="s">
        <v>1089</v>
      </c>
      <c r="F757" s="336"/>
      <c r="G757" s="336"/>
    </row>
    <row r="758" spans="1:7" ht="20.100000000000001" customHeight="1" x14ac:dyDescent="0.25">
      <c r="B758" s="338" t="s">
        <v>6530</v>
      </c>
      <c r="C758" s="333" t="s">
        <v>6529</v>
      </c>
      <c r="D758" s="333" t="s">
        <v>6531</v>
      </c>
      <c r="F758" s="336"/>
      <c r="G758" s="336"/>
    </row>
    <row r="759" spans="1:7" ht="20.100000000000001" customHeight="1" x14ac:dyDescent="0.25">
      <c r="B759" s="338" t="s">
        <v>873</v>
      </c>
      <c r="C759" s="333" t="s">
        <v>877</v>
      </c>
      <c r="D759" s="333" t="s">
        <v>1271</v>
      </c>
      <c r="F759" s="336"/>
      <c r="G759" s="336"/>
    </row>
    <row r="760" spans="1:7" ht="20.100000000000001" customHeight="1" x14ac:dyDescent="0.25">
      <c r="B760" s="338" t="s">
        <v>905</v>
      </c>
      <c r="C760" s="333" t="s">
        <v>906</v>
      </c>
      <c r="D760" s="333" t="s">
        <v>915</v>
      </c>
      <c r="F760" s="336"/>
      <c r="G760" s="336"/>
    </row>
    <row r="761" spans="1:7" ht="20.100000000000001" customHeight="1" x14ac:dyDescent="0.25">
      <c r="B761" s="338" t="s">
        <v>909</v>
      </c>
      <c r="C761" s="333" t="s">
        <v>910</v>
      </c>
      <c r="D761" s="333" t="s">
        <v>916</v>
      </c>
      <c r="F761" s="336"/>
      <c r="G761" s="336"/>
    </row>
    <row r="762" spans="1:7" ht="20.100000000000001" customHeight="1" x14ac:dyDescent="0.25">
      <c r="B762" s="338" t="s">
        <v>959</v>
      </c>
      <c r="C762" s="333" t="s">
        <v>960</v>
      </c>
      <c r="D762" s="333" t="s">
        <v>961</v>
      </c>
      <c r="E762" s="346"/>
      <c r="F762" s="336"/>
      <c r="G762" s="336"/>
    </row>
    <row r="763" spans="1:7" ht="20.100000000000001" customHeight="1" x14ac:dyDescent="0.25">
      <c r="B763" s="338" t="s">
        <v>923</v>
      </c>
      <c r="C763" s="333" t="s">
        <v>921</v>
      </c>
      <c r="D763" s="333" t="s">
        <v>922</v>
      </c>
      <c r="E763" s="346"/>
      <c r="F763" s="336"/>
      <c r="G763" s="336"/>
    </row>
    <row r="764" spans="1:7" ht="20.100000000000001" customHeight="1" x14ac:dyDescent="0.25">
      <c r="B764" s="338" t="s">
        <v>2116</v>
      </c>
      <c r="C764" s="333" t="s">
        <v>1100</v>
      </c>
      <c r="D764" s="333" t="s">
        <v>1101</v>
      </c>
      <c r="F764" s="336"/>
      <c r="G764" s="336"/>
    </row>
    <row r="765" spans="1:7" ht="20.100000000000001" customHeight="1" x14ac:dyDescent="0.25">
      <c r="B765" s="338" t="s">
        <v>2362</v>
      </c>
      <c r="C765" s="333" t="s">
        <v>2363</v>
      </c>
      <c r="D765" s="333" t="s">
        <v>2364</v>
      </c>
      <c r="F765" s="336"/>
      <c r="G765" s="336"/>
    </row>
    <row r="766" spans="1:7" ht="20.100000000000001" customHeight="1" x14ac:dyDescent="0.25">
      <c r="B766" s="338" t="s">
        <v>2956</v>
      </c>
      <c r="C766" s="338" t="s">
        <v>2956</v>
      </c>
      <c r="D766" s="333" t="s">
        <v>2957</v>
      </c>
      <c r="F766" s="336"/>
      <c r="G766" s="336"/>
    </row>
    <row r="767" spans="1:7" ht="20.100000000000001" customHeight="1" x14ac:dyDescent="0.25">
      <c r="B767" s="338" t="s">
        <v>2466</v>
      </c>
      <c r="C767" s="333" t="s">
        <v>2463</v>
      </c>
      <c r="D767" s="333" t="s">
        <v>2464</v>
      </c>
      <c r="F767" s="336"/>
      <c r="G767" s="336"/>
    </row>
    <row r="768" spans="1:7" ht="20.100000000000001" customHeight="1" x14ac:dyDescent="0.25">
      <c r="B768" s="338" t="s">
        <v>2467</v>
      </c>
      <c r="C768" s="338" t="s">
        <v>2467</v>
      </c>
      <c r="D768" s="333" t="s">
        <v>2468</v>
      </c>
      <c r="E768" s="346"/>
      <c r="F768" s="336"/>
      <c r="G768" s="336"/>
    </row>
    <row r="769" spans="2:7" ht="20.100000000000001" customHeight="1" x14ac:dyDescent="0.25">
      <c r="B769" s="338"/>
      <c r="E769" s="346"/>
      <c r="F769" s="336"/>
      <c r="G769" s="336"/>
    </row>
    <row r="770" spans="2:7" ht="20.100000000000001" customHeight="1" x14ac:dyDescent="0.25">
      <c r="B770" s="338"/>
      <c r="E770" s="346"/>
      <c r="F770" s="336"/>
      <c r="G770" s="336"/>
    </row>
    <row r="771" spans="2:7" ht="20.100000000000001" customHeight="1" x14ac:dyDescent="0.25">
      <c r="B771" s="740" t="s">
        <v>7269</v>
      </c>
      <c r="E771" s="346"/>
      <c r="F771" s="336"/>
      <c r="G771" s="336"/>
    </row>
    <row r="772" spans="2:7" ht="20.100000000000001" customHeight="1" x14ac:dyDescent="0.25">
      <c r="B772" s="740" t="s">
        <v>7272</v>
      </c>
      <c r="E772" s="346"/>
      <c r="F772" s="336"/>
      <c r="G772" s="336"/>
    </row>
    <row r="773" spans="2:7" ht="20.100000000000001" customHeight="1" x14ac:dyDescent="0.25">
      <c r="B773" s="740" t="s">
        <v>7271</v>
      </c>
      <c r="E773" s="346"/>
      <c r="F773" s="336"/>
      <c r="G773" s="336"/>
    </row>
    <row r="774" spans="2:7" ht="20.100000000000001" customHeight="1" x14ac:dyDescent="0.25">
      <c r="B774" s="740" t="s">
        <v>7270</v>
      </c>
      <c r="E774" s="346"/>
      <c r="F774" s="336"/>
      <c r="G774" s="336"/>
    </row>
    <row r="775" spans="2:7" ht="20.100000000000001" customHeight="1" x14ac:dyDescent="0.25">
      <c r="B775" s="740" t="s">
        <v>7275</v>
      </c>
      <c r="E775" s="346"/>
      <c r="F775" s="336"/>
      <c r="G775" s="336"/>
    </row>
    <row r="776" spans="2:7" ht="20.100000000000001" customHeight="1" x14ac:dyDescent="0.25">
      <c r="B776" s="740" t="s">
        <v>7277</v>
      </c>
      <c r="E776" s="346"/>
      <c r="F776" s="336"/>
      <c r="G776" s="336"/>
    </row>
    <row r="777" spans="2:7" ht="20.100000000000001" customHeight="1" x14ac:dyDescent="0.25">
      <c r="B777" s="740" t="s">
        <v>7276</v>
      </c>
      <c r="E777" s="346"/>
      <c r="F777" s="336"/>
      <c r="G777" s="336"/>
    </row>
    <row r="778" spans="2:7" ht="20.100000000000001" customHeight="1" x14ac:dyDescent="0.25">
      <c r="B778" s="740" t="s">
        <v>7274</v>
      </c>
      <c r="E778" s="346"/>
      <c r="F778" s="336"/>
      <c r="G778" s="336"/>
    </row>
    <row r="779" spans="2:7" ht="20.100000000000001" customHeight="1" x14ac:dyDescent="0.25">
      <c r="B779" s="740" t="s">
        <v>7273</v>
      </c>
      <c r="E779" s="346"/>
      <c r="F779" s="336"/>
      <c r="G779" s="336"/>
    </row>
    <row r="780" spans="2:7" ht="20.100000000000001" customHeight="1" x14ac:dyDescent="0.25">
      <c r="B780" s="740" t="s">
        <v>8503</v>
      </c>
      <c r="E780" s="346"/>
      <c r="F780" s="336"/>
      <c r="G780" s="336"/>
    </row>
    <row r="781" spans="2:7" ht="20.100000000000001" customHeight="1" x14ac:dyDescent="0.25">
      <c r="B781" s="740" t="s">
        <v>8502</v>
      </c>
      <c r="E781" s="346"/>
      <c r="F781" s="336"/>
      <c r="G781" s="336"/>
    </row>
    <row r="782" spans="2:7" ht="20.100000000000001" customHeight="1" x14ac:dyDescent="0.25">
      <c r="B782" s="740" t="s">
        <v>7278</v>
      </c>
      <c r="F782" s="336"/>
      <c r="G782" s="336"/>
    </row>
    <row r="783" spans="2:7" ht="20.100000000000001" customHeight="1" x14ac:dyDescent="0.25">
      <c r="B783" s="740" t="s">
        <v>7279</v>
      </c>
      <c r="F783" s="336"/>
      <c r="G783" s="336"/>
    </row>
    <row r="784" spans="2:7" ht="20.100000000000001" customHeight="1" x14ac:dyDescent="0.25">
      <c r="B784" s="338"/>
      <c r="F784" s="336"/>
      <c r="G784" s="336"/>
    </row>
    <row r="785" spans="2:7" ht="20.100000000000001" customHeight="1" x14ac:dyDescent="0.25">
      <c r="B785" s="338"/>
      <c r="F785" s="336"/>
      <c r="G785" s="336"/>
    </row>
    <row r="786" spans="2:7" ht="20.100000000000001" customHeight="1" x14ac:dyDescent="0.25">
      <c r="B786" s="338"/>
      <c r="F786" s="336"/>
      <c r="G786" s="336"/>
    </row>
    <row r="787" spans="2:7" ht="20.100000000000001" customHeight="1" x14ac:dyDescent="0.25">
      <c r="B787" s="338"/>
      <c r="F787" s="336"/>
      <c r="G787" s="336"/>
    </row>
    <row r="788" spans="2:7" ht="20.100000000000001" customHeight="1" x14ac:dyDescent="0.25">
      <c r="B788" s="338"/>
      <c r="F788" s="336"/>
      <c r="G788" s="336"/>
    </row>
    <row r="789" spans="2:7" ht="20.100000000000001" customHeight="1" x14ac:dyDescent="0.25">
      <c r="B789" s="338"/>
      <c r="F789" s="336"/>
      <c r="G789" s="336"/>
    </row>
    <row r="790" spans="2:7" ht="20.100000000000001" customHeight="1" x14ac:dyDescent="0.25">
      <c r="B790" s="338"/>
      <c r="F790" s="336"/>
    </row>
    <row r="791" spans="2:7" ht="20.100000000000001" customHeight="1" x14ac:dyDescent="0.25">
      <c r="B791" s="338"/>
      <c r="F791" s="336"/>
    </row>
    <row r="792" spans="2:7" ht="20.100000000000001" customHeight="1" x14ac:dyDescent="0.25">
      <c r="B792" s="338"/>
      <c r="F792" s="336"/>
    </row>
    <row r="793" spans="2:7" ht="20.100000000000001" customHeight="1" x14ac:dyDescent="0.25">
      <c r="B793" s="338"/>
      <c r="F793" s="336"/>
    </row>
    <row r="794" spans="2:7" ht="20.100000000000001" customHeight="1" x14ac:dyDescent="0.25">
      <c r="B794" s="338"/>
      <c r="F794" s="336"/>
    </row>
    <row r="795" spans="2:7" ht="20.100000000000001" customHeight="1" x14ac:dyDescent="0.25">
      <c r="B795" s="338"/>
      <c r="F795" s="336"/>
    </row>
    <row r="796" spans="2:7" ht="20.100000000000001" customHeight="1" x14ac:dyDescent="0.25">
      <c r="B796" s="338"/>
      <c r="F796" s="336"/>
    </row>
    <row r="797" spans="2:7" ht="20.100000000000001" customHeight="1" x14ac:dyDescent="0.25">
      <c r="B797" s="338"/>
      <c r="F797" s="336"/>
    </row>
    <row r="798" spans="2:7" ht="20.100000000000001" customHeight="1" x14ac:dyDescent="0.25">
      <c r="B798" s="338"/>
      <c r="F798" s="336"/>
    </row>
    <row r="799" spans="2:7" ht="20.100000000000001" customHeight="1" x14ac:dyDescent="0.25">
      <c r="B799" s="338"/>
      <c r="F799" s="336"/>
    </row>
    <row r="800" spans="2:7" ht="20.100000000000001" customHeight="1" x14ac:dyDescent="0.25">
      <c r="B800" s="338"/>
      <c r="F800" s="336"/>
    </row>
    <row r="801" spans="2:6" ht="20.100000000000001" customHeight="1" x14ac:dyDescent="0.25">
      <c r="B801" s="338"/>
      <c r="F801" s="336"/>
    </row>
    <row r="802" spans="2:6" ht="20.100000000000001" customHeight="1" x14ac:dyDescent="0.25">
      <c r="B802" s="338"/>
      <c r="F802" s="336"/>
    </row>
    <row r="803" spans="2:6" ht="20.100000000000001" customHeight="1" x14ac:dyDescent="0.25">
      <c r="B803" s="338"/>
      <c r="F803" s="336"/>
    </row>
    <row r="804" spans="2:6" ht="20.100000000000001" customHeight="1" x14ac:dyDescent="0.25">
      <c r="B804" s="338"/>
      <c r="F804" s="336"/>
    </row>
    <row r="805" spans="2:6" ht="20.100000000000001" customHeight="1" x14ac:dyDescent="0.25">
      <c r="B805" s="338"/>
      <c r="F805" s="336"/>
    </row>
    <row r="806" spans="2:6" ht="20.100000000000001" customHeight="1" x14ac:dyDescent="0.25">
      <c r="B806" s="338"/>
      <c r="F806" s="336"/>
    </row>
    <row r="807" spans="2:6" ht="20.100000000000001" customHeight="1" x14ac:dyDescent="0.25">
      <c r="B807" s="338"/>
      <c r="F807" s="336"/>
    </row>
    <row r="808" spans="2:6" ht="20.100000000000001" customHeight="1" x14ac:dyDescent="0.25">
      <c r="B808" s="338"/>
      <c r="F808" s="336"/>
    </row>
    <row r="809" spans="2:6" ht="20.100000000000001" customHeight="1" x14ac:dyDescent="0.25">
      <c r="B809" s="338"/>
      <c r="F809" s="336"/>
    </row>
    <row r="810" spans="2:6" ht="20.100000000000001" customHeight="1" x14ac:dyDescent="0.25">
      <c r="B810" s="338"/>
      <c r="F810" s="336"/>
    </row>
    <row r="811" spans="2:6" ht="20.100000000000001" customHeight="1" x14ac:dyDescent="0.25">
      <c r="B811" s="338"/>
      <c r="F811" s="336"/>
    </row>
    <row r="812" spans="2:6" ht="20.100000000000001" customHeight="1" x14ac:dyDescent="0.25">
      <c r="B812" s="338"/>
      <c r="F812" s="336"/>
    </row>
    <row r="813" spans="2:6" ht="20.100000000000001" customHeight="1" x14ac:dyDescent="0.25">
      <c r="B813" s="338"/>
      <c r="F813" s="336"/>
    </row>
    <row r="814" spans="2:6" ht="20.100000000000001" customHeight="1" x14ac:dyDescent="0.25">
      <c r="B814" s="338"/>
      <c r="F814" s="336"/>
    </row>
    <row r="815" spans="2:6" ht="20.100000000000001" customHeight="1" x14ac:dyDescent="0.25">
      <c r="B815" s="338"/>
      <c r="F815" s="336"/>
    </row>
    <row r="816" spans="2:6" ht="20.100000000000001" customHeight="1" x14ac:dyDescent="0.25">
      <c r="B816" s="338"/>
      <c r="F816" s="336"/>
    </row>
    <row r="817" spans="2:6" ht="20.100000000000001" customHeight="1" x14ac:dyDescent="0.25">
      <c r="B817" s="338"/>
      <c r="F817" s="336"/>
    </row>
    <row r="818" spans="2:6" ht="20.100000000000001" customHeight="1" x14ac:dyDescent="0.25">
      <c r="B818" s="338"/>
      <c r="F818" s="336"/>
    </row>
    <row r="819" spans="2:6" ht="20.100000000000001" customHeight="1" x14ac:dyDescent="0.25">
      <c r="B819" s="338"/>
      <c r="F819" s="336"/>
    </row>
    <row r="820" spans="2:6" ht="20.100000000000001" customHeight="1" x14ac:dyDescent="0.25">
      <c r="B820" s="338"/>
      <c r="F820" s="336"/>
    </row>
    <row r="821" spans="2:6" ht="20.100000000000001" customHeight="1" x14ac:dyDescent="0.25">
      <c r="B821" s="338"/>
      <c r="F821" s="336"/>
    </row>
    <row r="822" spans="2:6" ht="20.100000000000001" customHeight="1" x14ac:dyDescent="0.25">
      <c r="B822" s="338"/>
      <c r="F822" s="336"/>
    </row>
    <row r="823" spans="2:6" ht="20.100000000000001" customHeight="1" x14ac:dyDescent="0.25">
      <c r="B823" s="338"/>
      <c r="F823" s="336"/>
    </row>
    <row r="824" spans="2:6" ht="20.100000000000001" customHeight="1" x14ac:dyDescent="0.25">
      <c r="B824" s="338"/>
      <c r="F824" s="336"/>
    </row>
    <row r="825" spans="2:6" ht="20.100000000000001" customHeight="1" x14ac:dyDescent="0.25">
      <c r="B825" s="338"/>
      <c r="F825" s="336"/>
    </row>
    <row r="826" spans="2:6" ht="20.100000000000001" customHeight="1" x14ac:dyDescent="0.25">
      <c r="B826" s="338"/>
      <c r="F826" s="336"/>
    </row>
    <row r="827" spans="2:6" ht="20.100000000000001" customHeight="1" x14ac:dyDescent="0.25">
      <c r="B827" s="338"/>
      <c r="F827" s="336"/>
    </row>
    <row r="828" spans="2:6" ht="20.100000000000001" customHeight="1" x14ac:dyDescent="0.25">
      <c r="B828" s="338"/>
      <c r="F828" s="336"/>
    </row>
    <row r="829" spans="2:6" ht="20.100000000000001" customHeight="1" x14ac:dyDescent="0.25">
      <c r="B829" s="338"/>
      <c r="F829" s="336"/>
    </row>
    <row r="830" spans="2:6" ht="20.100000000000001" customHeight="1" x14ac:dyDescent="0.25">
      <c r="B830" s="338"/>
      <c r="F830" s="336"/>
    </row>
    <row r="831" spans="2:6" ht="20.100000000000001" customHeight="1" x14ac:dyDescent="0.25">
      <c r="B831" s="338"/>
      <c r="F831" s="336"/>
    </row>
    <row r="832" spans="2:6" ht="20.100000000000001" customHeight="1" x14ac:dyDescent="0.25">
      <c r="B832" s="338"/>
      <c r="F832" s="336"/>
    </row>
    <row r="833" spans="2:6" ht="20.100000000000001" customHeight="1" x14ac:dyDescent="0.25">
      <c r="B833" s="338"/>
      <c r="F833" s="336"/>
    </row>
    <row r="834" spans="2:6" ht="20.100000000000001" customHeight="1" x14ac:dyDescent="0.25">
      <c r="B834" s="338"/>
      <c r="F834" s="336"/>
    </row>
    <row r="835" spans="2:6" ht="20.100000000000001" customHeight="1" x14ac:dyDescent="0.25">
      <c r="B835" s="338"/>
      <c r="F835" s="336"/>
    </row>
    <row r="836" spans="2:6" ht="20.100000000000001" customHeight="1" x14ac:dyDescent="0.25">
      <c r="B836" s="338"/>
      <c r="F836" s="336"/>
    </row>
    <row r="837" spans="2:6" ht="20.100000000000001" customHeight="1" x14ac:dyDescent="0.25">
      <c r="B837" s="338"/>
      <c r="F837" s="336"/>
    </row>
    <row r="838" spans="2:6" ht="20.100000000000001" customHeight="1" x14ac:dyDescent="0.25">
      <c r="B838" s="338"/>
      <c r="F838" s="336"/>
    </row>
    <row r="839" spans="2:6" ht="20.100000000000001" customHeight="1" x14ac:dyDescent="0.25">
      <c r="B839" s="338"/>
      <c r="F839" s="336"/>
    </row>
    <row r="840" spans="2:6" ht="20.100000000000001" customHeight="1" x14ac:dyDescent="0.25">
      <c r="B840" s="338"/>
      <c r="F840" s="336"/>
    </row>
    <row r="841" spans="2:6" ht="20.100000000000001" customHeight="1" x14ac:dyDescent="0.25">
      <c r="B841" s="338"/>
      <c r="F841" s="336"/>
    </row>
    <row r="842" spans="2:6" ht="20.100000000000001" customHeight="1" x14ac:dyDescent="0.25">
      <c r="B842" s="338"/>
      <c r="F842" s="336"/>
    </row>
    <row r="843" spans="2:6" ht="20.100000000000001" customHeight="1" x14ac:dyDescent="0.25">
      <c r="B843" s="338"/>
      <c r="F843" s="336"/>
    </row>
    <row r="844" spans="2:6" ht="20.100000000000001" customHeight="1" x14ac:dyDescent="0.25">
      <c r="B844" s="338"/>
      <c r="F844" s="336"/>
    </row>
    <row r="845" spans="2:6" ht="20.100000000000001" customHeight="1" x14ac:dyDescent="0.25">
      <c r="B845" s="338"/>
      <c r="F845" s="336"/>
    </row>
    <row r="846" spans="2:6" ht="20.100000000000001" customHeight="1" x14ac:dyDescent="0.25">
      <c r="B846" s="338"/>
      <c r="F846" s="336"/>
    </row>
    <row r="847" spans="2:6" ht="20.100000000000001" customHeight="1" x14ac:dyDescent="0.25">
      <c r="B847" s="338"/>
      <c r="F847" s="336"/>
    </row>
    <row r="848" spans="2:6" ht="20.100000000000001" customHeight="1" x14ac:dyDescent="0.25">
      <c r="B848" s="338"/>
      <c r="F848" s="336"/>
    </row>
    <row r="849" spans="6:6" ht="20.100000000000001" customHeight="1" x14ac:dyDescent="0.25">
      <c r="F849" s="336"/>
    </row>
    <row r="850" spans="6:6" ht="20.100000000000001" customHeight="1" x14ac:dyDescent="0.25">
      <c r="F850" s="336"/>
    </row>
    <row r="851" spans="6:6" ht="20.100000000000001" customHeight="1" x14ac:dyDescent="0.25">
      <c r="F851" s="336"/>
    </row>
    <row r="852" spans="6:6" ht="20.100000000000001" customHeight="1" x14ac:dyDescent="0.25">
      <c r="F852" s="336"/>
    </row>
    <row r="853" spans="6:6" ht="20.100000000000001" customHeight="1" x14ac:dyDescent="0.25">
      <c r="F853" s="336"/>
    </row>
    <row r="854" spans="6:6" ht="20.100000000000001" customHeight="1" x14ac:dyDescent="0.25">
      <c r="F854" s="336"/>
    </row>
    <row r="855" spans="6:6" ht="20.100000000000001" customHeight="1" x14ac:dyDescent="0.25">
      <c r="F855" s="336"/>
    </row>
    <row r="856" spans="6:6" ht="20.100000000000001" customHeight="1" x14ac:dyDescent="0.25">
      <c r="F856" s="336"/>
    </row>
    <row r="857" spans="6:6" ht="20.100000000000001" customHeight="1" x14ac:dyDescent="0.25">
      <c r="F857" s="336"/>
    </row>
    <row r="858" spans="6:6" ht="20.100000000000001" customHeight="1" x14ac:dyDescent="0.25">
      <c r="F858" s="336"/>
    </row>
    <row r="859" spans="6:6" ht="20.100000000000001" customHeight="1" x14ac:dyDescent="0.25">
      <c r="F859" s="336"/>
    </row>
    <row r="860" spans="6:6" ht="20.100000000000001" customHeight="1" x14ac:dyDescent="0.25">
      <c r="F860" s="336"/>
    </row>
    <row r="861" spans="6:6" ht="20.100000000000001" customHeight="1" x14ac:dyDescent="0.25">
      <c r="F861" s="336"/>
    </row>
    <row r="862" spans="6:6" ht="20.100000000000001" customHeight="1" x14ac:dyDescent="0.25">
      <c r="F862" s="336"/>
    </row>
    <row r="863" spans="6:6" ht="20.100000000000001" customHeight="1" x14ac:dyDescent="0.25">
      <c r="F863" s="336"/>
    </row>
    <row r="864" spans="6:6" ht="20.100000000000001" customHeight="1" x14ac:dyDescent="0.25">
      <c r="F864" s="336"/>
    </row>
    <row r="865" spans="6:6" ht="20.100000000000001" customHeight="1" x14ac:dyDescent="0.25">
      <c r="F865" s="336"/>
    </row>
    <row r="866" spans="6:6" ht="20.100000000000001" customHeight="1" x14ac:dyDescent="0.25">
      <c r="F866" s="336"/>
    </row>
    <row r="867" spans="6:6" ht="20.100000000000001" customHeight="1" x14ac:dyDescent="0.25">
      <c r="F867" s="336"/>
    </row>
    <row r="868" spans="6:6" ht="20.100000000000001" customHeight="1" x14ac:dyDescent="0.25">
      <c r="F868" s="336"/>
    </row>
    <row r="869" spans="6:6" ht="20.100000000000001" customHeight="1" x14ac:dyDescent="0.25">
      <c r="F869" s="336"/>
    </row>
    <row r="870" spans="6:6" ht="20.100000000000001" customHeight="1" x14ac:dyDescent="0.25">
      <c r="F870" s="336"/>
    </row>
    <row r="871" spans="6:6" ht="20.100000000000001" customHeight="1" x14ac:dyDescent="0.25">
      <c r="F871" s="336"/>
    </row>
    <row r="872" spans="6:6" ht="20.100000000000001" customHeight="1" x14ac:dyDescent="0.25">
      <c r="F872" s="336"/>
    </row>
    <row r="873" spans="6:6" ht="20.100000000000001" customHeight="1" x14ac:dyDescent="0.25">
      <c r="F873" s="336"/>
    </row>
    <row r="874" spans="6:6" ht="20.100000000000001" customHeight="1" x14ac:dyDescent="0.25">
      <c r="F874" s="336"/>
    </row>
    <row r="875" spans="6:6" ht="20.100000000000001" customHeight="1" x14ac:dyDescent="0.25">
      <c r="F875" s="336"/>
    </row>
    <row r="876" spans="6:6" ht="20.100000000000001" customHeight="1" x14ac:dyDescent="0.25">
      <c r="F876" s="336"/>
    </row>
    <row r="877" spans="6:6" ht="20.100000000000001" customHeight="1" x14ac:dyDescent="0.25">
      <c r="F877" s="336"/>
    </row>
    <row r="878" spans="6:6" ht="20.100000000000001" customHeight="1" x14ac:dyDescent="0.25">
      <c r="F878" s="336"/>
    </row>
    <row r="879" spans="6:6" ht="20.100000000000001" customHeight="1" x14ac:dyDescent="0.25">
      <c r="F879" s="336"/>
    </row>
    <row r="880" spans="6:6" ht="20.100000000000001" customHeight="1" x14ac:dyDescent="0.25">
      <c r="F880" s="336"/>
    </row>
    <row r="881" spans="6:6" ht="20.100000000000001" customHeight="1" x14ac:dyDescent="0.25">
      <c r="F881" s="336"/>
    </row>
    <row r="882" spans="6:6" ht="20.100000000000001" customHeight="1" x14ac:dyDescent="0.25">
      <c r="F882" s="336"/>
    </row>
    <row r="883" spans="6:6" ht="20.100000000000001" customHeight="1" x14ac:dyDescent="0.25">
      <c r="F883" s="336"/>
    </row>
    <row r="884" spans="6:6" ht="20.100000000000001" customHeight="1" x14ac:dyDescent="0.25">
      <c r="F884" s="336"/>
    </row>
    <row r="885" spans="6:6" ht="20.100000000000001" customHeight="1" x14ac:dyDescent="0.25">
      <c r="F885" s="336"/>
    </row>
    <row r="886" spans="6:6" ht="20.100000000000001" customHeight="1" x14ac:dyDescent="0.25">
      <c r="F886" s="336"/>
    </row>
    <row r="887" spans="6:6" ht="20.100000000000001" customHeight="1" x14ac:dyDescent="0.25">
      <c r="F887" s="336"/>
    </row>
    <row r="888" spans="6:6" ht="20.100000000000001" customHeight="1" x14ac:dyDescent="0.25">
      <c r="F888" s="336"/>
    </row>
    <row r="889" spans="6:6" ht="20.100000000000001" customHeight="1" x14ac:dyDescent="0.25">
      <c r="F889" s="336"/>
    </row>
    <row r="890" spans="6:6" ht="20.100000000000001" customHeight="1" x14ac:dyDescent="0.25">
      <c r="F890" s="336"/>
    </row>
    <row r="891" spans="6:6" ht="20.100000000000001" customHeight="1" x14ac:dyDescent="0.25">
      <c r="F891" s="336"/>
    </row>
    <row r="892" spans="6:6" ht="20.100000000000001" customHeight="1" x14ac:dyDescent="0.25">
      <c r="F892" s="336"/>
    </row>
    <row r="893" spans="6:6" ht="20.100000000000001" customHeight="1" x14ac:dyDescent="0.25">
      <c r="F893" s="336"/>
    </row>
    <row r="894" spans="6:6" ht="20.100000000000001" customHeight="1" x14ac:dyDescent="0.25">
      <c r="F894" s="336"/>
    </row>
    <row r="895" spans="6:6" ht="20.100000000000001" customHeight="1" x14ac:dyDescent="0.25">
      <c r="F895" s="336"/>
    </row>
    <row r="896" spans="6:6" ht="20.100000000000001" customHeight="1" x14ac:dyDescent="0.25">
      <c r="F896" s="336"/>
    </row>
    <row r="897" spans="6:6" ht="20.100000000000001" customHeight="1" x14ac:dyDescent="0.25">
      <c r="F897" s="336"/>
    </row>
    <row r="898" spans="6:6" ht="20.100000000000001" customHeight="1" x14ac:dyDescent="0.25">
      <c r="F898" s="336"/>
    </row>
    <row r="899" spans="6:6" ht="20.100000000000001" customHeight="1" x14ac:dyDescent="0.25">
      <c r="F899" s="336"/>
    </row>
    <row r="900" spans="6:6" ht="20.100000000000001" customHeight="1" x14ac:dyDescent="0.25">
      <c r="F900" s="336"/>
    </row>
    <row r="901" spans="6:6" ht="20.100000000000001" customHeight="1" x14ac:dyDescent="0.25">
      <c r="F901" s="336"/>
    </row>
    <row r="902" spans="6:6" ht="20.100000000000001" customHeight="1" x14ac:dyDescent="0.25">
      <c r="F902" s="336"/>
    </row>
    <row r="903" spans="6:6" ht="20.100000000000001" customHeight="1" x14ac:dyDescent="0.25">
      <c r="F903" s="336"/>
    </row>
    <row r="904" spans="6:6" ht="20.100000000000001" customHeight="1" x14ac:dyDescent="0.25">
      <c r="F904" s="336"/>
    </row>
    <row r="905" spans="6:6" ht="20.100000000000001" customHeight="1" x14ac:dyDescent="0.25">
      <c r="F905" s="336"/>
    </row>
    <row r="906" spans="6:6" ht="20.100000000000001" customHeight="1" x14ac:dyDescent="0.25">
      <c r="F906" s="336"/>
    </row>
    <row r="907" spans="6:6" ht="20.100000000000001" customHeight="1" x14ac:dyDescent="0.25">
      <c r="F907" s="336"/>
    </row>
    <row r="908" spans="6:6" ht="20.100000000000001" customHeight="1" x14ac:dyDescent="0.25">
      <c r="F908" s="336"/>
    </row>
    <row r="909" spans="6:6" ht="20.100000000000001" customHeight="1" x14ac:dyDescent="0.25">
      <c r="F909" s="336"/>
    </row>
    <row r="910" spans="6:6" ht="20.100000000000001" customHeight="1" x14ac:dyDescent="0.25">
      <c r="F910" s="336"/>
    </row>
    <row r="911" spans="6:6" ht="20.100000000000001" customHeight="1" x14ac:dyDescent="0.25">
      <c r="F911" s="336"/>
    </row>
    <row r="912" spans="6:6" ht="20.100000000000001" customHeight="1" x14ac:dyDescent="0.25">
      <c r="F912" s="336"/>
    </row>
    <row r="913" spans="6:6" ht="20.100000000000001" customHeight="1" x14ac:dyDescent="0.25">
      <c r="F913" s="336"/>
    </row>
    <row r="914" spans="6:6" ht="20.100000000000001" customHeight="1" x14ac:dyDescent="0.25">
      <c r="F914" s="336"/>
    </row>
    <row r="915" spans="6:6" ht="20.100000000000001" customHeight="1" x14ac:dyDescent="0.25">
      <c r="F915" s="336"/>
    </row>
    <row r="916" spans="6:6" ht="20.100000000000001" customHeight="1" x14ac:dyDescent="0.25">
      <c r="F916" s="336"/>
    </row>
    <row r="917" spans="6:6" ht="20.100000000000001" customHeight="1" x14ac:dyDescent="0.25">
      <c r="F917" s="336"/>
    </row>
    <row r="918" spans="6:6" ht="20.100000000000001" customHeight="1" x14ac:dyDescent="0.25">
      <c r="F918" s="336"/>
    </row>
    <row r="919" spans="6:6" ht="20.100000000000001" customHeight="1" x14ac:dyDescent="0.25">
      <c r="F919" s="336"/>
    </row>
    <row r="920" spans="6:6" ht="20.100000000000001" customHeight="1" x14ac:dyDescent="0.25">
      <c r="F920" s="336"/>
    </row>
    <row r="921" spans="6:6" ht="20.100000000000001" customHeight="1" x14ac:dyDescent="0.25">
      <c r="F921" s="336"/>
    </row>
    <row r="922" spans="6:6" ht="20.100000000000001" customHeight="1" x14ac:dyDescent="0.25">
      <c r="F922" s="336"/>
    </row>
    <row r="923" spans="6:6" ht="20.100000000000001" customHeight="1" x14ac:dyDescent="0.25">
      <c r="F923" s="336"/>
    </row>
    <row r="924" spans="6:6" ht="20.100000000000001" customHeight="1" x14ac:dyDescent="0.25">
      <c r="F924" s="336"/>
    </row>
    <row r="925" spans="6:6" ht="20.100000000000001" customHeight="1" x14ac:dyDescent="0.25">
      <c r="F925" s="336"/>
    </row>
    <row r="926" spans="6:6" ht="20.100000000000001" customHeight="1" x14ac:dyDescent="0.25">
      <c r="F926" s="336"/>
    </row>
    <row r="927" spans="6:6" ht="20.100000000000001" customHeight="1" x14ac:dyDescent="0.25">
      <c r="F927" s="336"/>
    </row>
    <row r="928" spans="6:6" ht="20.100000000000001" customHeight="1" x14ac:dyDescent="0.25">
      <c r="F928" s="336"/>
    </row>
    <row r="929" spans="6:6" ht="20.100000000000001" customHeight="1" x14ac:dyDescent="0.25">
      <c r="F929" s="336"/>
    </row>
    <row r="930" spans="6:6" ht="20.100000000000001" customHeight="1" x14ac:dyDescent="0.25">
      <c r="F930" s="336"/>
    </row>
    <row r="931" spans="6:6" ht="20.100000000000001" customHeight="1" x14ac:dyDescent="0.25">
      <c r="F931" s="336"/>
    </row>
    <row r="932" spans="6:6" ht="20.100000000000001" customHeight="1" x14ac:dyDescent="0.25">
      <c r="F932" s="336"/>
    </row>
    <row r="933" spans="6:6" ht="20.100000000000001" customHeight="1" x14ac:dyDescent="0.25">
      <c r="F933" s="336"/>
    </row>
    <row r="934" spans="6:6" ht="20.100000000000001" customHeight="1" x14ac:dyDescent="0.25">
      <c r="F934" s="336"/>
    </row>
    <row r="935" spans="6:6" ht="20.100000000000001" customHeight="1" x14ac:dyDescent="0.25">
      <c r="F935" s="336"/>
    </row>
    <row r="936" spans="6:6" ht="20.100000000000001" customHeight="1" x14ac:dyDescent="0.25">
      <c r="F936" s="336"/>
    </row>
    <row r="937" spans="6:6" ht="20.100000000000001" customHeight="1" x14ac:dyDescent="0.25">
      <c r="F937" s="336"/>
    </row>
    <row r="938" spans="6:6" ht="20.100000000000001" customHeight="1" x14ac:dyDescent="0.25">
      <c r="F938" s="336"/>
    </row>
    <row r="939" spans="6:6" ht="20.100000000000001" customHeight="1" x14ac:dyDescent="0.25">
      <c r="F939" s="336"/>
    </row>
    <row r="940" spans="6:6" ht="20.100000000000001" customHeight="1" x14ac:dyDescent="0.25">
      <c r="F940" s="336"/>
    </row>
    <row r="941" spans="6:6" ht="20.100000000000001" customHeight="1" x14ac:dyDescent="0.25">
      <c r="F941" s="336"/>
    </row>
    <row r="942" spans="6:6" ht="20.100000000000001" customHeight="1" x14ac:dyDescent="0.25">
      <c r="F942" s="336"/>
    </row>
    <row r="943" spans="6:6" ht="20.100000000000001" customHeight="1" x14ac:dyDescent="0.25">
      <c r="F943" s="336"/>
    </row>
    <row r="944" spans="6:6" ht="20.100000000000001" customHeight="1" x14ac:dyDescent="0.25">
      <c r="F944" s="336"/>
    </row>
    <row r="945" spans="6:6" ht="20.100000000000001" customHeight="1" x14ac:dyDescent="0.25">
      <c r="F945" s="336"/>
    </row>
    <row r="946" spans="6:6" ht="20.100000000000001" customHeight="1" x14ac:dyDescent="0.25">
      <c r="F946" s="336"/>
    </row>
    <row r="947" spans="6:6" ht="20.100000000000001" customHeight="1" x14ac:dyDescent="0.25">
      <c r="F947" s="336"/>
    </row>
    <row r="948" spans="6:6" ht="20.100000000000001" customHeight="1" x14ac:dyDescent="0.25">
      <c r="F948" s="336"/>
    </row>
    <row r="949" spans="6:6" ht="20.100000000000001" customHeight="1" x14ac:dyDescent="0.25">
      <c r="F949" s="336"/>
    </row>
    <row r="950" spans="6:6" ht="20.100000000000001" customHeight="1" x14ac:dyDescent="0.25">
      <c r="F950" s="336"/>
    </row>
    <row r="951" spans="6:6" ht="20.100000000000001" customHeight="1" x14ac:dyDescent="0.25">
      <c r="F951" s="336"/>
    </row>
    <row r="952" spans="6:6" ht="20.100000000000001" customHeight="1" x14ac:dyDescent="0.25">
      <c r="F952" s="336"/>
    </row>
    <row r="953" spans="6:6" ht="20.100000000000001" customHeight="1" x14ac:dyDescent="0.25">
      <c r="F953" s="336"/>
    </row>
    <row r="954" spans="6:6" ht="20.100000000000001" customHeight="1" x14ac:dyDescent="0.25">
      <c r="F954" s="336"/>
    </row>
    <row r="955" spans="6:6" ht="20.100000000000001" customHeight="1" x14ac:dyDescent="0.25">
      <c r="F955" s="336"/>
    </row>
    <row r="956" spans="6:6" ht="20.100000000000001" customHeight="1" x14ac:dyDescent="0.25">
      <c r="F956" s="336"/>
    </row>
    <row r="957" spans="6:6" ht="20.100000000000001" customHeight="1" x14ac:dyDescent="0.25">
      <c r="F957" s="336"/>
    </row>
    <row r="958" spans="6:6" ht="20.100000000000001" customHeight="1" x14ac:dyDescent="0.25">
      <c r="F958" s="336"/>
    </row>
    <row r="959" spans="6:6" ht="20.100000000000001" customHeight="1" x14ac:dyDescent="0.25">
      <c r="F959" s="336"/>
    </row>
    <row r="960" spans="6:6" ht="20.100000000000001" customHeight="1" x14ac:dyDescent="0.25">
      <c r="F960" s="336"/>
    </row>
    <row r="961" spans="6:6" ht="20.100000000000001" customHeight="1" x14ac:dyDescent="0.25">
      <c r="F961" s="336"/>
    </row>
    <row r="962" spans="6:6" ht="20.100000000000001" customHeight="1" x14ac:dyDescent="0.25">
      <c r="F962" s="336"/>
    </row>
    <row r="963" spans="6:6" ht="20.100000000000001" customHeight="1" x14ac:dyDescent="0.25">
      <c r="F963" s="336"/>
    </row>
    <row r="964" spans="6:6" ht="20.100000000000001" customHeight="1" x14ac:dyDescent="0.25">
      <c r="F964" s="336"/>
    </row>
    <row r="965" spans="6:6" ht="20.100000000000001" customHeight="1" x14ac:dyDescent="0.25">
      <c r="F965" s="336"/>
    </row>
    <row r="966" spans="6:6" ht="20.100000000000001" customHeight="1" x14ac:dyDescent="0.25">
      <c r="F966" s="336"/>
    </row>
    <row r="967" spans="6:6" ht="20.100000000000001" customHeight="1" x14ac:dyDescent="0.25">
      <c r="F967" s="336"/>
    </row>
    <row r="968" spans="6:6" ht="20.100000000000001" customHeight="1" x14ac:dyDescent="0.25">
      <c r="F968" s="336"/>
    </row>
    <row r="969" spans="6:6" ht="20.100000000000001" customHeight="1" x14ac:dyDescent="0.25">
      <c r="F969" s="336"/>
    </row>
    <row r="970" spans="6:6" ht="20.100000000000001" customHeight="1" x14ac:dyDescent="0.25">
      <c r="F970" s="336"/>
    </row>
    <row r="971" spans="6:6" ht="20.100000000000001" customHeight="1" x14ac:dyDescent="0.25">
      <c r="F971" s="336"/>
    </row>
    <row r="972" spans="6:6" ht="20.100000000000001" customHeight="1" x14ac:dyDescent="0.25">
      <c r="F972" s="336"/>
    </row>
    <row r="973" spans="6:6" ht="20.100000000000001" customHeight="1" x14ac:dyDescent="0.25">
      <c r="F973" s="336"/>
    </row>
    <row r="974" spans="6:6" ht="20.100000000000001" customHeight="1" x14ac:dyDescent="0.25">
      <c r="F974" s="336"/>
    </row>
    <row r="975" spans="6:6" ht="20.100000000000001" customHeight="1" x14ac:dyDescent="0.25">
      <c r="F975" s="336"/>
    </row>
    <row r="976" spans="6:6" ht="20.100000000000001" customHeight="1" x14ac:dyDescent="0.25">
      <c r="F976" s="336"/>
    </row>
    <row r="977" spans="6:6" ht="20.100000000000001" customHeight="1" x14ac:dyDescent="0.25">
      <c r="F977" s="336"/>
    </row>
    <row r="978" spans="6:6" ht="20.100000000000001" customHeight="1" x14ac:dyDescent="0.25">
      <c r="F978" s="336"/>
    </row>
    <row r="979" spans="6:6" ht="20.100000000000001" customHeight="1" x14ac:dyDescent="0.25">
      <c r="F979" s="336"/>
    </row>
    <row r="980" spans="6:6" ht="20.100000000000001" customHeight="1" x14ac:dyDescent="0.25">
      <c r="F980" s="336"/>
    </row>
    <row r="981" spans="6:6" ht="20.100000000000001" customHeight="1" x14ac:dyDescent="0.25">
      <c r="F981" s="336"/>
    </row>
    <row r="982" spans="6:6" ht="20.100000000000001" customHeight="1" x14ac:dyDescent="0.25">
      <c r="F982" s="336"/>
    </row>
    <row r="983" spans="6:6" ht="20.100000000000001" customHeight="1" x14ac:dyDescent="0.25">
      <c r="F983" s="336"/>
    </row>
    <row r="984" spans="6:6" ht="20.100000000000001" customHeight="1" x14ac:dyDescent="0.25">
      <c r="F984" s="336"/>
    </row>
    <row r="985" spans="6:6" ht="20.100000000000001" customHeight="1" x14ac:dyDescent="0.25">
      <c r="F985" s="336"/>
    </row>
  </sheetData>
  <autoFilter ref="B1:H73"/>
  <phoneticPr fontId="45" type="noConversion"/>
  <pageMargins left="0.7" right="0.7" top="0.75" bottom="0.75" header="0.3" footer="0.3"/>
  <pageSetup orientation="portrait" r:id="rId1"/>
  <ignoredErrors>
    <ignoredError sqref="G8" evalError="1"/>
  </ignoredError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3" tint="0.39997558519241921"/>
  </sheetPr>
  <dimension ref="A1:K98"/>
  <sheetViews>
    <sheetView topLeftCell="A37" workbookViewId="0">
      <selection activeCell="I45" sqref="I45"/>
    </sheetView>
  </sheetViews>
  <sheetFormatPr defaultColWidth="9.28515625" defaultRowHeight="21.75" x14ac:dyDescent="0.55000000000000004"/>
  <cols>
    <col min="1" max="1" width="18" style="94" customWidth="1"/>
    <col min="2" max="2" width="12.5703125" style="94" customWidth="1"/>
    <col min="3" max="3" width="14.5703125" style="23" customWidth="1"/>
    <col min="4" max="4" width="24.42578125" style="23" customWidth="1"/>
    <col min="5" max="5" width="15.28515625" style="23" customWidth="1"/>
    <col min="6" max="6" width="3.5703125" style="23" customWidth="1"/>
    <col min="7" max="7" width="23.7109375" style="23" customWidth="1"/>
    <col min="8" max="8" width="20.42578125" style="23" bestFit="1" customWidth="1"/>
    <col min="9" max="9" width="13.42578125" style="23" bestFit="1" customWidth="1"/>
    <col min="10" max="10" width="16.5703125" style="23" customWidth="1"/>
    <col min="11" max="11" width="22.42578125" style="23" customWidth="1"/>
    <col min="12" max="16384" width="9.28515625" style="23"/>
  </cols>
  <sheetData>
    <row r="1" spans="1:11" x14ac:dyDescent="0.55000000000000004">
      <c r="A1" s="93"/>
      <c r="B1" s="93"/>
      <c r="C1" s="40"/>
      <c r="D1" s="91">
        <v>44074</v>
      </c>
      <c r="K1" s="91">
        <v>44074</v>
      </c>
    </row>
    <row r="2" spans="1:11" x14ac:dyDescent="0.55000000000000004">
      <c r="A2" s="1287" t="s">
        <v>2260</v>
      </c>
      <c r="B2" s="1287"/>
      <c r="C2" s="1287"/>
      <c r="D2" s="1287"/>
      <c r="F2" s="1288" t="s">
        <v>2260</v>
      </c>
      <c r="G2" s="1288"/>
      <c r="H2" s="1288"/>
      <c r="I2" s="1288"/>
      <c r="J2" s="1288"/>
      <c r="K2" s="1288"/>
    </row>
    <row r="3" spans="1:11" x14ac:dyDescent="0.55000000000000004">
      <c r="A3" s="85" t="s">
        <v>1243</v>
      </c>
      <c r="B3" s="85" t="s">
        <v>1244</v>
      </c>
      <c r="C3" s="86" t="s">
        <v>1260</v>
      </c>
      <c r="D3" s="86" t="s">
        <v>1261</v>
      </c>
      <c r="F3" s="86" t="s">
        <v>58</v>
      </c>
      <c r="G3" s="86" t="s">
        <v>1245</v>
      </c>
      <c r="H3" s="85" t="s">
        <v>1246</v>
      </c>
      <c r="I3" s="85" t="s">
        <v>2051</v>
      </c>
      <c r="J3" s="85" t="s">
        <v>2051</v>
      </c>
      <c r="K3" s="85" t="s">
        <v>1247</v>
      </c>
    </row>
    <row r="4" spans="1:11" x14ac:dyDescent="0.55000000000000004">
      <c r="A4" s="93"/>
      <c r="B4" s="93"/>
      <c r="C4" s="34"/>
      <c r="D4" s="34"/>
      <c r="F4" s="86"/>
      <c r="G4" s="86"/>
      <c r="H4" s="207">
        <v>44074</v>
      </c>
      <c r="I4" s="85" t="s">
        <v>1248</v>
      </c>
      <c r="J4" s="85" t="s">
        <v>1249</v>
      </c>
      <c r="K4" s="207">
        <v>44074</v>
      </c>
    </row>
    <row r="5" spans="1:11" x14ac:dyDescent="0.55000000000000004">
      <c r="A5" s="93" t="s">
        <v>1250</v>
      </c>
      <c r="B5" s="93" t="s">
        <v>1251</v>
      </c>
      <c r="C5" s="34">
        <v>2839662</v>
      </c>
      <c r="D5" s="34">
        <v>877700</v>
      </c>
      <c r="F5" s="40">
        <v>1</v>
      </c>
      <c r="G5" s="40" t="s">
        <v>1252</v>
      </c>
      <c r="H5" s="34"/>
      <c r="I5" s="34"/>
      <c r="J5" s="34"/>
      <c r="K5" s="34"/>
    </row>
    <row r="6" spans="1:11" x14ac:dyDescent="0.55000000000000004">
      <c r="A6" s="93" t="s">
        <v>1250</v>
      </c>
      <c r="B6" s="93" t="s">
        <v>1287</v>
      </c>
      <c r="C6" s="34"/>
      <c r="D6" s="34">
        <v>314700</v>
      </c>
      <c r="F6" s="40">
        <v>2</v>
      </c>
      <c r="G6" s="40" t="s">
        <v>1253</v>
      </c>
      <c r="H6" s="34">
        <v>1270000</v>
      </c>
      <c r="I6" s="34"/>
      <c r="J6" s="34" t="e">
        <f>#REF!</f>
        <v>#REF!</v>
      </c>
      <c r="K6" s="34" t="e">
        <f>H6+I6-J6</f>
        <v>#REF!</v>
      </c>
    </row>
    <row r="7" spans="1:11" x14ac:dyDescent="0.55000000000000004">
      <c r="A7" s="96" t="s">
        <v>1250</v>
      </c>
      <c r="B7" s="96" t="s">
        <v>1361</v>
      </c>
      <c r="C7" s="34"/>
      <c r="D7" s="34">
        <v>119200</v>
      </c>
      <c r="F7" s="40">
        <v>3</v>
      </c>
      <c r="G7" s="40" t="s">
        <v>1254</v>
      </c>
      <c r="H7" s="34">
        <v>103212</v>
      </c>
      <c r="I7" s="34"/>
      <c r="J7" s="34" t="e">
        <f>#REF!</f>
        <v>#REF!</v>
      </c>
      <c r="K7" s="34" t="e">
        <f t="shared" ref="K7:K15" si="0">H7+I7-J7</f>
        <v>#REF!</v>
      </c>
    </row>
    <row r="8" spans="1:11" x14ac:dyDescent="0.55000000000000004">
      <c r="A8" s="106" t="s">
        <v>1250</v>
      </c>
      <c r="B8" s="106" t="s">
        <v>1371</v>
      </c>
      <c r="C8" s="34"/>
      <c r="D8" s="34">
        <v>79200</v>
      </c>
      <c r="F8" s="40">
        <v>4</v>
      </c>
      <c r="G8" s="40" t="s">
        <v>85</v>
      </c>
      <c r="H8" s="34">
        <v>0</v>
      </c>
      <c r="I8" s="34"/>
      <c r="J8" s="34" t="e">
        <f>#REF!</f>
        <v>#REF!</v>
      </c>
      <c r="K8" s="34" t="e">
        <f t="shared" si="0"/>
        <v>#REF!</v>
      </c>
    </row>
    <row r="9" spans="1:11" x14ac:dyDescent="0.55000000000000004">
      <c r="A9" s="107" t="s">
        <v>1250</v>
      </c>
      <c r="B9" s="107" t="s">
        <v>1381</v>
      </c>
      <c r="C9" s="34"/>
      <c r="D9" s="34"/>
      <c r="F9" s="40">
        <v>5</v>
      </c>
      <c r="G9" s="40" t="s">
        <v>57</v>
      </c>
      <c r="H9" s="34">
        <v>20000</v>
      </c>
      <c r="I9" s="34"/>
      <c r="J9" s="34" t="e">
        <f>#REF!</f>
        <v>#REF!</v>
      </c>
      <c r="K9" s="34" t="e">
        <f t="shared" si="0"/>
        <v>#REF!</v>
      </c>
    </row>
    <row r="10" spans="1:11" x14ac:dyDescent="0.55000000000000004">
      <c r="A10" s="93"/>
      <c r="B10" s="93"/>
      <c r="C10" s="34"/>
      <c r="D10" s="34"/>
      <c r="F10" s="40">
        <v>6</v>
      </c>
      <c r="G10" s="40" t="s">
        <v>1255</v>
      </c>
      <c r="H10" s="34">
        <v>55650</v>
      </c>
      <c r="I10" s="34"/>
      <c r="J10" s="34" t="e">
        <f>#REF!</f>
        <v>#REF!</v>
      </c>
      <c r="K10" s="34" t="e">
        <f t="shared" si="0"/>
        <v>#REF!</v>
      </c>
    </row>
    <row r="11" spans="1:11" x14ac:dyDescent="0.55000000000000004">
      <c r="A11" s="93"/>
      <c r="B11" s="93"/>
      <c r="C11" s="34"/>
      <c r="D11" s="34"/>
      <c r="F11" s="40">
        <v>7</v>
      </c>
      <c r="G11" s="40" t="s">
        <v>1256</v>
      </c>
      <c r="H11" s="34">
        <v>0</v>
      </c>
      <c r="I11" s="34"/>
      <c r="J11" s="34"/>
      <c r="K11" s="34">
        <f t="shared" si="0"/>
        <v>0</v>
      </c>
    </row>
    <row r="12" spans="1:11" x14ac:dyDescent="0.55000000000000004">
      <c r="A12" s="93"/>
      <c r="B12" s="93"/>
      <c r="C12" s="34"/>
      <c r="D12" s="34"/>
      <c r="F12" s="40">
        <v>8</v>
      </c>
      <c r="G12" s="40" t="s">
        <v>1257</v>
      </c>
      <c r="H12" s="34">
        <v>0</v>
      </c>
      <c r="I12" s="34"/>
      <c r="J12" s="34"/>
      <c r="K12" s="34">
        <f t="shared" si="0"/>
        <v>0</v>
      </c>
    </row>
    <row r="13" spans="1:11" x14ac:dyDescent="0.55000000000000004">
      <c r="A13" s="93"/>
      <c r="B13" s="93"/>
      <c r="C13" s="34"/>
      <c r="D13" s="34"/>
      <c r="F13" s="40">
        <v>9</v>
      </c>
      <c r="G13" s="40" t="s">
        <v>1258</v>
      </c>
      <c r="H13" s="34">
        <v>0</v>
      </c>
      <c r="I13" s="34"/>
      <c r="J13" s="34"/>
      <c r="K13" s="34">
        <f t="shared" si="0"/>
        <v>0</v>
      </c>
    </row>
    <row r="14" spans="1:11" x14ac:dyDescent="0.55000000000000004">
      <c r="A14" s="93"/>
      <c r="B14" s="93"/>
      <c r="C14" s="34"/>
      <c r="D14" s="34"/>
      <c r="F14" s="40">
        <v>10</v>
      </c>
      <c r="G14" s="40" t="s">
        <v>933</v>
      </c>
      <c r="H14" s="34">
        <v>0</v>
      </c>
      <c r="I14" s="34"/>
      <c r="J14" s="34"/>
      <c r="K14" s="34">
        <f t="shared" si="0"/>
        <v>0</v>
      </c>
    </row>
    <row r="15" spans="1:11" x14ac:dyDescent="0.55000000000000004">
      <c r="A15" s="93"/>
      <c r="B15" s="93"/>
      <c r="C15" s="34"/>
      <c r="D15" s="34"/>
      <c r="F15" s="40">
        <v>11</v>
      </c>
      <c r="G15" s="40" t="s">
        <v>890</v>
      </c>
      <c r="H15" s="34">
        <v>0</v>
      </c>
      <c r="I15" s="34"/>
      <c r="J15" s="34"/>
      <c r="K15" s="34">
        <f t="shared" si="0"/>
        <v>0</v>
      </c>
    </row>
    <row r="16" spans="1:11" x14ac:dyDescent="0.55000000000000004">
      <c r="A16" s="93"/>
      <c r="B16" s="93"/>
      <c r="C16" s="34"/>
      <c r="D16" s="34"/>
      <c r="F16" s="40"/>
      <c r="G16" s="40"/>
      <c r="H16" s="34"/>
      <c r="I16" s="34"/>
      <c r="J16" s="34"/>
      <c r="K16" s="34"/>
    </row>
    <row r="17" spans="1:11" x14ac:dyDescent="0.55000000000000004">
      <c r="A17" s="93"/>
      <c r="B17" s="93"/>
      <c r="C17" s="34">
        <f>SUM(C5:C16)</f>
        <v>2839662</v>
      </c>
      <c r="D17" s="34">
        <f>SUM(D5:D16)</f>
        <v>1390800</v>
      </c>
      <c r="F17" s="40"/>
      <c r="G17" s="40" t="s">
        <v>6</v>
      </c>
      <c r="H17" s="34">
        <f>SUM(H5:H16)</f>
        <v>1448862</v>
      </c>
      <c r="I17" s="34"/>
      <c r="J17" s="34" t="e">
        <f>SUM(J5:J16)</f>
        <v>#REF!</v>
      </c>
      <c r="K17" s="34" t="e">
        <f>SUM(K5:K15)</f>
        <v>#REF!</v>
      </c>
    </row>
    <row r="18" spans="1:11" x14ac:dyDescent="0.55000000000000004">
      <c r="A18" s="88" t="s">
        <v>1259</v>
      </c>
      <c r="B18" s="88"/>
      <c r="C18" s="62">
        <f>C17-D17</f>
        <v>1448862</v>
      </c>
      <c r="D18" s="62"/>
      <c r="H18" s="84"/>
      <c r="I18" s="84"/>
      <c r="J18" s="84"/>
      <c r="K18" s="84"/>
    </row>
    <row r="19" spans="1:11" x14ac:dyDescent="0.55000000000000004">
      <c r="H19" s="84"/>
      <c r="I19" s="84"/>
      <c r="J19" s="84"/>
      <c r="K19" s="87" t="e">
        <f>C18-K17</f>
        <v>#REF!</v>
      </c>
    </row>
    <row r="29" spans="1:11" s="90" customFormat="1" x14ac:dyDescent="0.55000000000000004">
      <c r="A29" s="94"/>
      <c r="B29" s="94"/>
      <c r="C29" s="23"/>
      <c r="D29" s="23"/>
    </row>
    <row r="30" spans="1:11" s="90" customFormat="1" x14ac:dyDescent="0.55000000000000004">
      <c r="A30" s="89"/>
      <c r="B30" s="89"/>
    </row>
    <row r="31" spans="1:11" s="90" customFormat="1" x14ac:dyDescent="0.55000000000000004">
      <c r="A31" s="89"/>
      <c r="B31" s="89"/>
    </row>
    <row r="32" spans="1:11" s="90" customFormat="1" x14ac:dyDescent="0.55000000000000004">
      <c r="A32" s="89"/>
      <c r="B32" s="89"/>
    </row>
    <row r="33" spans="1:11" s="90" customFormat="1" x14ac:dyDescent="0.55000000000000004">
      <c r="A33" s="89"/>
      <c r="B33" s="89"/>
    </row>
    <row r="34" spans="1:11" s="90" customFormat="1" x14ac:dyDescent="0.55000000000000004">
      <c r="A34" s="89"/>
      <c r="B34" s="89"/>
    </row>
    <row r="35" spans="1:11" s="90" customFormat="1" x14ac:dyDescent="0.55000000000000004">
      <c r="A35" s="89"/>
      <c r="B35" s="89"/>
    </row>
    <row r="36" spans="1:11" s="90" customFormat="1" x14ac:dyDescent="0.55000000000000004">
      <c r="A36" s="89"/>
      <c r="B36" s="89"/>
    </row>
    <row r="37" spans="1:11" x14ac:dyDescent="0.55000000000000004">
      <c r="A37" s="89"/>
      <c r="B37" s="89"/>
      <c r="C37" s="90"/>
      <c r="D37" s="90"/>
    </row>
    <row r="38" spans="1:11" x14ac:dyDescent="0.55000000000000004">
      <c r="D38" s="91">
        <v>44074</v>
      </c>
      <c r="K38" s="91">
        <v>44074</v>
      </c>
    </row>
    <row r="39" spans="1:11" x14ac:dyDescent="0.55000000000000004">
      <c r="A39" s="1288" t="s">
        <v>1389</v>
      </c>
      <c r="B39" s="1288"/>
      <c r="C39" s="1288"/>
      <c r="D39" s="1288"/>
      <c r="F39" s="1288" t="s">
        <v>1389</v>
      </c>
      <c r="G39" s="1288"/>
      <c r="H39" s="1288"/>
      <c r="I39" s="1288"/>
      <c r="J39" s="1288"/>
      <c r="K39" s="1288"/>
    </row>
    <row r="40" spans="1:11" x14ac:dyDescent="0.55000000000000004">
      <c r="A40" s="85" t="s">
        <v>1243</v>
      </c>
      <c r="B40" s="85" t="s">
        <v>1244</v>
      </c>
      <c r="C40" s="86" t="s">
        <v>1362</v>
      </c>
      <c r="D40" s="86" t="s">
        <v>1363</v>
      </c>
      <c r="F40" s="86" t="s">
        <v>58</v>
      </c>
      <c r="G40" s="86" t="s">
        <v>1245</v>
      </c>
      <c r="H40" s="86" t="s">
        <v>1246</v>
      </c>
      <c r="I40" s="86" t="s">
        <v>2051</v>
      </c>
      <c r="J40" s="86" t="s">
        <v>2051</v>
      </c>
      <c r="K40" s="86" t="s">
        <v>1247</v>
      </c>
    </row>
    <row r="41" spans="1:11" x14ac:dyDescent="0.55000000000000004">
      <c r="A41" s="110"/>
      <c r="B41" s="110"/>
      <c r="C41" s="40"/>
      <c r="D41" s="40"/>
      <c r="F41" s="86"/>
      <c r="G41" s="86"/>
      <c r="H41" s="86" t="s">
        <v>2053</v>
      </c>
      <c r="I41" s="86" t="s">
        <v>1248</v>
      </c>
      <c r="J41" s="86" t="s">
        <v>1249</v>
      </c>
      <c r="K41" s="86" t="s">
        <v>2052</v>
      </c>
    </row>
    <row r="42" spans="1:11" x14ac:dyDescent="0.55000000000000004">
      <c r="A42" s="110" t="s">
        <v>1250</v>
      </c>
      <c r="B42" s="110" t="s">
        <v>1251</v>
      </c>
      <c r="C42" s="34"/>
      <c r="D42" s="34"/>
      <c r="F42" s="40">
        <v>1</v>
      </c>
      <c r="G42" s="40" t="s">
        <v>1252</v>
      </c>
      <c r="H42" s="34">
        <v>20709000</v>
      </c>
      <c r="I42" s="16">
        <v>11350000</v>
      </c>
      <c r="J42" s="34"/>
      <c r="K42" s="34">
        <f>H42+I42-J42</f>
        <v>32059000</v>
      </c>
    </row>
    <row r="43" spans="1:11" x14ac:dyDescent="0.55000000000000004">
      <c r="A43" s="110" t="s">
        <v>1250</v>
      </c>
      <c r="B43" s="110" t="s">
        <v>1287</v>
      </c>
      <c r="C43" s="34"/>
      <c r="D43" s="34"/>
      <c r="F43" s="40">
        <v>2</v>
      </c>
      <c r="G43" s="40" t="s">
        <v>1253</v>
      </c>
      <c r="H43" s="34">
        <v>0</v>
      </c>
      <c r="I43" s="34"/>
      <c r="J43" s="34"/>
      <c r="K43" s="34">
        <f t="shared" ref="K43:K55" si="1">H43+I43-J43</f>
        <v>0</v>
      </c>
    </row>
    <row r="44" spans="1:11" x14ac:dyDescent="0.55000000000000004">
      <c r="A44" s="110" t="s">
        <v>1250</v>
      </c>
      <c r="B44" s="110" t="s">
        <v>1361</v>
      </c>
      <c r="C44" s="34">
        <v>1397500</v>
      </c>
      <c r="D44" s="34"/>
      <c r="F44" s="40">
        <v>3</v>
      </c>
      <c r="G44" s="40" t="s">
        <v>1254</v>
      </c>
      <c r="H44" s="34">
        <v>0</v>
      </c>
      <c r="I44" s="34"/>
      <c r="J44" s="34"/>
      <c r="K44" s="34">
        <f t="shared" si="1"/>
        <v>0</v>
      </c>
    </row>
    <row r="45" spans="1:11" x14ac:dyDescent="0.55000000000000004">
      <c r="A45" s="107" t="s">
        <v>1250</v>
      </c>
      <c r="B45" s="107" t="s">
        <v>1381</v>
      </c>
      <c r="C45" s="34">
        <v>3948000</v>
      </c>
      <c r="D45" s="34">
        <v>682500</v>
      </c>
      <c r="F45" s="40">
        <v>4</v>
      </c>
      <c r="G45" s="40" t="s">
        <v>85</v>
      </c>
      <c r="H45" s="34">
        <v>0</v>
      </c>
      <c r="I45" s="34"/>
      <c r="J45" s="34"/>
      <c r="K45" s="34">
        <f t="shared" si="1"/>
        <v>0</v>
      </c>
    </row>
    <row r="46" spans="1:11" x14ac:dyDescent="0.55000000000000004">
      <c r="A46" s="110" t="s">
        <v>1250</v>
      </c>
      <c r="B46" s="110" t="s">
        <v>1388</v>
      </c>
      <c r="C46" s="34">
        <v>11439000</v>
      </c>
      <c r="D46" s="34"/>
      <c r="F46" s="40">
        <v>5</v>
      </c>
      <c r="G46" s="40" t="s">
        <v>57</v>
      </c>
      <c r="H46" s="34">
        <v>0</v>
      </c>
      <c r="I46" s="34"/>
      <c r="J46" s="34"/>
      <c r="K46" s="34">
        <f t="shared" si="1"/>
        <v>0</v>
      </c>
    </row>
    <row r="47" spans="1:11" x14ac:dyDescent="0.55000000000000004">
      <c r="A47" s="111" t="s">
        <v>1250</v>
      </c>
      <c r="B47" s="111" t="s">
        <v>2054</v>
      </c>
      <c r="C47" s="34">
        <v>5322000</v>
      </c>
      <c r="D47" s="34">
        <v>715000</v>
      </c>
      <c r="F47" s="40">
        <v>6</v>
      </c>
      <c r="G47" s="40" t="s">
        <v>1255</v>
      </c>
      <c r="H47" s="34">
        <v>0</v>
      </c>
      <c r="I47" s="34"/>
      <c r="J47" s="34"/>
      <c r="K47" s="34">
        <f t="shared" si="1"/>
        <v>0</v>
      </c>
    </row>
    <row r="48" spans="1:11" x14ac:dyDescent="0.55000000000000004">
      <c r="A48" s="206" t="s">
        <v>1250</v>
      </c>
      <c r="B48" s="206" t="s">
        <v>2261</v>
      </c>
      <c r="C48" s="34">
        <v>11350000</v>
      </c>
      <c r="D48" s="34"/>
      <c r="F48" s="40">
        <v>7</v>
      </c>
      <c r="G48" s="40" t="s">
        <v>1256</v>
      </c>
      <c r="H48" s="34">
        <v>0</v>
      </c>
      <c r="I48" s="34"/>
      <c r="J48" s="34">
        <f>[1]Cash!T28</f>
        <v>0</v>
      </c>
      <c r="K48" s="34">
        <f t="shared" si="1"/>
        <v>0</v>
      </c>
    </row>
    <row r="49" spans="1:11" x14ac:dyDescent="0.55000000000000004">
      <c r="A49" s="93"/>
      <c r="B49" s="93"/>
      <c r="C49" s="34"/>
      <c r="D49" s="34"/>
      <c r="F49" s="40">
        <v>8</v>
      </c>
      <c r="G49" s="40" t="s">
        <v>1257</v>
      </c>
      <c r="H49" s="34">
        <v>0</v>
      </c>
      <c r="I49" s="34"/>
      <c r="J49" s="34">
        <f>[1]Cash!T29</f>
        <v>0</v>
      </c>
      <c r="K49" s="34">
        <f t="shared" si="1"/>
        <v>0</v>
      </c>
    </row>
    <row r="50" spans="1:11" x14ac:dyDescent="0.55000000000000004">
      <c r="A50" s="93"/>
      <c r="B50" s="93"/>
      <c r="C50" s="34"/>
      <c r="D50" s="34"/>
      <c r="F50" s="40">
        <v>9</v>
      </c>
      <c r="G50" s="40" t="s">
        <v>1258</v>
      </c>
      <c r="H50" s="34">
        <v>0</v>
      </c>
      <c r="I50" s="34"/>
      <c r="J50" s="34">
        <f>[1]Cash!T30</f>
        <v>0</v>
      </c>
      <c r="K50" s="34">
        <f>H50+I50-J50</f>
        <v>0</v>
      </c>
    </row>
    <row r="51" spans="1:11" x14ac:dyDescent="0.55000000000000004">
      <c r="A51" s="93"/>
      <c r="B51" s="93"/>
      <c r="C51" s="34"/>
      <c r="D51" s="34"/>
      <c r="F51" s="40">
        <v>10</v>
      </c>
      <c r="G51" s="40" t="s">
        <v>933</v>
      </c>
      <c r="H51" s="34">
        <v>0</v>
      </c>
      <c r="I51" s="34"/>
      <c r="J51" s="34"/>
      <c r="K51" s="34">
        <f t="shared" si="1"/>
        <v>0</v>
      </c>
    </row>
    <row r="52" spans="1:11" x14ac:dyDescent="0.55000000000000004">
      <c r="A52" s="110"/>
      <c r="B52" s="110"/>
      <c r="C52" s="34"/>
      <c r="D52" s="34"/>
      <c r="F52" s="40">
        <v>11</v>
      </c>
      <c r="G52" s="40" t="s">
        <v>890</v>
      </c>
      <c r="H52" s="34">
        <v>0</v>
      </c>
      <c r="I52" s="34"/>
      <c r="J52" s="34"/>
      <c r="K52" s="34">
        <f t="shared" si="1"/>
        <v>0</v>
      </c>
    </row>
    <row r="53" spans="1:11" x14ac:dyDescent="0.55000000000000004">
      <c r="A53" s="110"/>
      <c r="B53" s="110"/>
      <c r="C53" s="34"/>
      <c r="D53" s="34"/>
      <c r="F53" s="40">
        <v>12</v>
      </c>
      <c r="G53" s="40" t="s">
        <v>1262</v>
      </c>
      <c r="H53" s="34">
        <v>0</v>
      </c>
      <c r="I53" s="34"/>
      <c r="J53" s="34"/>
      <c r="K53" s="34">
        <f t="shared" si="1"/>
        <v>0</v>
      </c>
    </row>
    <row r="54" spans="1:11" x14ac:dyDescent="0.55000000000000004">
      <c r="A54" s="93"/>
      <c r="B54" s="93"/>
      <c r="C54" s="34"/>
      <c r="D54" s="34"/>
      <c r="F54" s="40">
        <v>13</v>
      </c>
      <c r="G54" s="40" t="s">
        <v>1272</v>
      </c>
      <c r="H54" s="34">
        <v>0</v>
      </c>
      <c r="I54" s="34"/>
      <c r="J54" s="34"/>
      <c r="K54" s="34">
        <f t="shared" si="1"/>
        <v>0</v>
      </c>
    </row>
    <row r="55" spans="1:11" x14ac:dyDescent="0.55000000000000004">
      <c r="A55" s="93"/>
      <c r="B55" s="93"/>
      <c r="C55" s="34"/>
      <c r="D55" s="34"/>
      <c r="F55" s="40">
        <v>14</v>
      </c>
      <c r="G55" s="40" t="s">
        <v>1145</v>
      </c>
      <c r="H55" s="34">
        <v>0</v>
      </c>
      <c r="I55" s="34"/>
      <c r="J55" s="34">
        <f>[1]Cash!T31</f>
        <v>0</v>
      </c>
      <c r="K55" s="34">
        <f t="shared" si="1"/>
        <v>0</v>
      </c>
    </row>
    <row r="56" spans="1:11" x14ac:dyDescent="0.55000000000000004">
      <c r="A56" s="93"/>
      <c r="B56" s="93"/>
      <c r="C56" s="34">
        <f>SUM(C42:C51)</f>
        <v>33456500</v>
      </c>
      <c r="D56" s="34">
        <f>SUM(D42:D55)</f>
        <v>1397500</v>
      </c>
      <c r="F56" s="40"/>
      <c r="G56" s="40"/>
      <c r="H56" s="34"/>
      <c r="I56" s="34"/>
      <c r="J56" s="34"/>
      <c r="K56" s="34"/>
    </row>
    <row r="57" spans="1:11" x14ac:dyDescent="0.55000000000000004">
      <c r="A57" s="93" t="s">
        <v>1259</v>
      </c>
      <c r="B57" s="93"/>
      <c r="C57" s="34">
        <f>C56-D56</f>
        <v>32059000</v>
      </c>
      <c r="D57" s="34"/>
      <c r="F57" s="40"/>
      <c r="G57" s="40" t="s">
        <v>6</v>
      </c>
      <c r="H57" s="34">
        <f>SUM(H42:H56)</f>
        <v>20709000</v>
      </c>
      <c r="I57" s="34">
        <f>SUM(I42:I56)</f>
        <v>11350000</v>
      </c>
      <c r="J57" s="34">
        <f>SUM(J42:J55)</f>
        <v>0</v>
      </c>
      <c r="K57" s="34">
        <f>SUM(K42:K55)</f>
        <v>32059000</v>
      </c>
    </row>
    <row r="58" spans="1:11" x14ac:dyDescent="0.55000000000000004">
      <c r="H58" s="84"/>
      <c r="I58" s="84"/>
      <c r="J58" s="84"/>
      <c r="K58" s="84"/>
    </row>
    <row r="59" spans="1:11" x14ac:dyDescent="0.55000000000000004">
      <c r="H59" s="84"/>
      <c r="I59" s="84"/>
      <c r="J59" s="84"/>
      <c r="K59" s="87">
        <f>C57-K57</f>
        <v>0</v>
      </c>
    </row>
    <row r="68" spans="9:9" x14ac:dyDescent="0.55000000000000004">
      <c r="I68" s="118"/>
    </row>
    <row r="69" spans="9:9" x14ac:dyDescent="0.55000000000000004">
      <c r="I69" s="118"/>
    </row>
    <row r="70" spans="9:9" x14ac:dyDescent="0.55000000000000004">
      <c r="I70" s="118"/>
    </row>
    <row r="71" spans="9:9" x14ac:dyDescent="0.55000000000000004">
      <c r="I71" s="118"/>
    </row>
    <row r="72" spans="9:9" x14ac:dyDescent="0.55000000000000004">
      <c r="I72" s="118"/>
    </row>
    <row r="73" spans="9:9" x14ac:dyDescent="0.55000000000000004">
      <c r="I73" s="118"/>
    </row>
    <row r="74" spans="9:9" x14ac:dyDescent="0.55000000000000004">
      <c r="I74" s="118"/>
    </row>
    <row r="75" spans="9:9" x14ac:dyDescent="0.55000000000000004">
      <c r="I75" s="118"/>
    </row>
    <row r="76" spans="9:9" x14ac:dyDescent="0.55000000000000004">
      <c r="I76" s="118"/>
    </row>
    <row r="77" spans="9:9" x14ac:dyDescent="0.55000000000000004">
      <c r="I77" s="118"/>
    </row>
    <row r="78" spans="9:9" x14ac:dyDescent="0.55000000000000004">
      <c r="I78" s="118"/>
    </row>
    <row r="79" spans="9:9" x14ac:dyDescent="0.55000000000000004">
      <c r="I79" s="118"/>
    </row>
    <row r="80" spans="9:9" x14ac:dyDescent="0.55000000000000004">
      <c r="I80" s="118"/>
    </row>
    <row r="81" spans="9:9" x14ac:dyDescent="0.55000000000000004">
      <c r="I81" s="118"/>
    </row>
    <row r="82" spans="9:9" x14ac:dyDescent="0.55000000000000004">
      <c r="I82" s="118"/>
    </row>
    <row r="83" spans="9:9" x14ac:dyDescent="0.55000000000000004">
      <c r="I83" s="118"/>
    </row>
    <row r="84" spans="9:9" x14ac:dyDescent="0.55000000000000004">
      <c r="I84" s="118"/>
    </row>
    <row r="85" spans="9:9" x14ac:dyDescent="0.55000000000000004">
      <c r="I85" s="118"/>
    </row>
    <row r="86" spans="9:9" x14ac:dyDescent="0.55000000000000004">
      <c r="I86" s="118"/>
    </row>
    <row r="87" spans="9:9" x14ac:dyDescent="0.55000000000000004">
      <c r="I87" s="118"/>
    </row>
    <row r="88" spans="9:9" x14ac:dyDescent="0.55000000000000004">
      <c r="I88" s="118"/>
    </row>
    <row r="89" spans="9:9" x14ac:dyDescent="0.55000000000000004">
      <c r="I89" s="118"/>
    </row>
    <row r="90" spans="9:9" x14ac:dyDescent="0.55000000000000004">
      <c r="I90" s="118"/>
    </row>
    <row r="91" spans="9:9" x14ac:dyDescent="0.55000000000000004">
      <c r="I91" s="118"/>
    </row>
    <row r="92" spans="9:9" x14ac:dyDescent="0.55000000000000004">
      <c r="I92" s="118"/>
    </row>
    <row r="93" spans="9:9" x14ac:dyDescent="0.55000000000000004">
      <c r="I93" s="118"/>
    </row>
    <row r="94" spans="9:9" x14ac:dyDescent="0.55000000000000004">
      <c r="I94" s="118"/>
    </row>
    <row r="95" spans="9:9" x14ac:dyDescent="0.55000000000000004">
      <c r="I95" s="118"/>
    </row>
    <row r="96" spans="9:9" x14ac:dyDescent="0.55000000000000004">
      <c r="I96" s="118"/>
    </row>
    <row r="97" spans="9:9" x14ac:dyDescent="0.55000000000000004">
      <c r="I97" s="118"/>
    </row>
    <row r="98" spans="9:9" x14ac:dyDescent="0.55000000000000004">
      <c r="I98" s="118"/>
    </row>
  </sheetData>
  <mergeCells count="4">
    <mergeCell ref="A2:D2"/>
    <mergeCell ref="F2:K2"/>
    <mergeCell ref="A39:D39"/>
    <mergeCell ref="F39:K39"/>
  </mergeCells>
  <pageMargins left="0.23622047244094491" right="0.23622047244094491" top="1.1023622047244095" bottom="0.55118110236220474" header="0.47244094488188981" footer="0.31496062992125984"/>
  <pageSetup paperSize="9" scale="75" orientation="landscape"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FF9900"/>
  </sheetPr>
  <dimension ref="A1:N21"/>
  <sheetViews>
    <sheetView workbookViewId="0">
      <selection activeCell="B10" sqref="B10:E10"/>
    </sheetView>
  </sheetViews>
  <sheetFormatPr defaultColWidth="9.28515625" defaultRowHeight="21.75" x14ac:dyDescent="0.55000000000000004"/>
  <cols>
    <col min="1" max="1" width="23.42578125" style="172" bestFit="1" customWidth="1"/>
    <col min="2" max="2" width="16.7109375" style="172" customWidth="1"/>
    <col min="3" max="3" width="17.5703125" style="23" customWidth="1"/>
    <col min="4" max="4" width="24.7109375" style="23" customWidth="1"/>
    <col min="5" max="5" width="4.5703125" style="23" customWidth="1"/>
    <col min="6" max="6" width="42.28515625" style="23" customWidth="1"/>
    <col min="7" max="8" width="19" style="23" customWidth="1"/>
    <col min="9" max="9" width="22.5703125" style="23" customWidth="1"/>
    <col min="10" max="10" width="17.7109375" style="23" customWidth="1"/>
    <col min="11" max="11" width="5" style="23" customWidth="1"/>
    <col min="12" max="12" width="29.28515625" style="23" customWidth="1"/>
    <col min="13" max="13" width="14.42578125" style="23" bestFit="1" customWidth="1"/>
    <col min="14" max="14" width="13.28515625" style="23" customWidth="1"/>
    <col min="15" max="16384" width="9.28515625" style="23"/>
  </cols>
  <sheetData>
    <row r="1" spans="1:14" ht="68.25" customHeight="1" x14ac:dyDescent="0.55000000000000004">
      <c r="A1" s="1299" t="s">
        <v>2207</v>
      </c>
      <c r="B1" s="1300"/>
      <c r="C1" s="1300"/>
      <c r="D1" s="1300"/>
      <c r="E1" s="176"/>
      <c r="F1" s="1289" t="s">
        <v>2208</v>
      </c>
      <c r="G1" s="1290"/>
      <c r="H1" s="1290"/>
      <c r="I1" s="1290"/>
      <c r="J1" s="1290"/>
    </row>
    <row r="2" spans="1:14" ht="25.35" customHeight="1" x14ac:dyDescent="0.55000000000000004">
      <c r="A2" s="177" t="s">
        <v>1243</v>
      </c>
      <c r="B2" s="178" t="s">
        <v>1244</v>
      </c>
      <c r="C2" s="178" t="s">
        <v>2209</v>
      </c>
      <c r="D2" s="178" t="s">
        <v>2210</v>
      </c>
      <c r="E2" s="176"/>
      <c r="F2" s="178" t="s">
        <v>2211</v>
      </c>
      <c r="G2" s="178" t="s">
        <v>2212</v>
      </c>
      <c r="H2" s="178" t="s">
        <v>2132</v>
      </c>
      <c r="I2" s="178" t="s">
        <v>2213</v>
      </c>
      <c r="J2" s="178" t="s">
        <v>2214</v>
      </c>
      <c r="K2" s="179"/>
    </row>
    <row r="3" spans="1:14" ht="25.35" customHeight="1" x14ac:dyDescent="0.55000000000000004">
      <c r="A3" s="180" t="s">
        <v>1250</v>
      </c>
      <c r="B3" s="181" t="s">
        <v>1251</v>
      </c>
      <c r="C3" s="105">
        <v>624936</v>
      </c>
      <c r="D3" s="105">
        <v>82500</v>
      </c>
      <c r="E3" s="176"/>
      <c r="F3" s="40" t="s">
        <v>2215</v>
      </c>
      <c r="G3" s="34">
        <v>9386700</v>
      </c>
      <c r="H3" s="34"/>
      <c r="I3" s="34"/>
      <c r="J3" s="34">
        <f>G3+H3-I3</f>
        <v>9386700</v>
      </c>
      <c r="K3" s="97"/>
      <c r="L3" s="182" t="s">
        <v>2216</v>
      </c>
      <c r="M3" s="183">
        <v>13187034</v>
      </c>
      <c r="N3" s="184"/>
    </row>
    <row r="4" spans="1:14" ht="25.35" customHeight="1" x14ac:dyDescent="0.55000000000000004">
      <c r="A4" s="180" t="s">
        <v>2217</v>
      </c>
      <c r="B4" s="181" t="s">
        <v>1251</v>
      </c>
      <c r="C4" s="105">
        <v>12946488</v>
      </c>
      <c r="D4" s="105">
        <v>8793000</v>
      </c>
      <c r="E4" s="176"/>
      <c r="F4" s="40" t="s">
        <v>2218</v>
      </c>
      <c r="G4" s="34">
        <v>0</v>
      </c>
      <c r="H4" s="34"/>
      <c r="I4" s="105"/>
      <c r="J4" s="34">
        <f>G4+H4-I4</f>
        <v>0</v>
      </c>
      <c r="K4" s="97"/>
      <c r="L4" s="182" t="s">
        <v>2219</v>
      </c>
      <c r="M4" s="182"/>
      <c r="N4" s="184"/>
    </row>
    <row r="5" spans="1:14" ht="25.35" customHeight="1" x14ac:dyDescent="0.55000000000000004">
      <c r="A5" s="180"/>
      <c r="B5" s="181"/>
      <c r="C5" s="105"/>
      <c r="D5" s="105"/>
      <c r="E5" s="176"/>
      <c r="F5" s="40" t="s">
        <v>2220</v>
      </c>
      <c r="G5" s="105">
        <v>0</v>
      </c>
      <c r="H5" s="105"/>
      <c r="I5" s="40"/>
      <c r="J5" s="34">
        <f>G5-I5</f>
        <v>0</v>
      </c>
      <c r="K5" s="97"/>
      <c r="L5" s="1291" t="s">
        <v>2221</v>
      </c>
      <c r="M5" s="1291"/>
      <c r="N5" s="184"/>
    </row>
    <row r="6" spans="1:14" ht="25.35" customHeight="1" x14ac:dyDescent="0.55000000000000004">
      <c r="A6" s="180"/>
      <c r="B6" s="181"/>
      <c r="C6" s="105"/>
      <c r="D6" s="105"/>
      <c r="E6" s="176"/>
      <c r="F6" s="185" t="s">
        <v>2222</v>
      </c>
      <c r="G6" s="105">
        <v>0</v>
      </c>
      <c r="H6" s="186"/>
      <c r="I6" s="185"/>
      <c r="J6" s="34">
        <f>G6-I6</f>
        <v>0</v>
      </c>
      <c r="K6" s="99"/>
      <c r="L6" s="187">
        <v>12600000</v>
      </c>
      <c r="M6" s="188"/>
      <c r="N6" s="184"/>
    </row>
    <row r="7" spans="1:14" ht="25.35" customHeight="1" x14ac:dyDescent="0.55000000000000004">
      <c r="A7" s="180"/>
      <c r="B7" s="181"/>
      <c r="C7" s="105"/>
      <c r="D7" s="105"/>
      <c r="E7" s="176"/>
      <c r="F7" s="185"/>
      <c r="G7" s="185"/>
      <c r="H7" s="185"/>
      <c r="I7" s="185"/>
      <c r="J7" s="103"/>
      <c r="K7" s="99"/>
      <c r="L7" s="70" t="s">
        <v>2223</v>
      </c>
      <c r="M7" s="70"/>
      <c r="N7" s="184"/>
    </row>
    <row r="8" spans="1:14" ht="25.35" customHeight="1" thickBot="1" x14ac:dyDescent="0.75">
      <c r="A8" s="180"/>
      <c r="B8" s="181"/>
      <c r="C8" s="105"/>
      <c r="D8" s="105"/>
      <c r="E8" s="176"/>
      <c r="F8" s="189" t="s">
        <v>2224</v>
      </c>
      <c r="G8" s="190">
        <f>SUM(G3:G7)</f>
        <v>9386700</v>
      </c>
      <c r="H8" s="189"/>
      <c r="I8" s="190">
        <f>SUM(I3:I7)</f>
        <v>0</v>
      </c>
      <c r="J8" s="191">
        <f>SUM(J3:J7)</f>
        <v>9386700</v>
      </c>
      <c r="K8" s="192"/>
      <c r="L8" s="70" t="s">
        <v>2225</v>
      </c>
      <c r="M8" s="70"/>
      <c r="N8" s="184"/>
    </row>
    <row r="9" spans="1:14" ht="25.35" customHeight="1" thickTop="1" x14ac:dyDescent="0.55000000000000004">
      <c r="A9" s="180"/>
      <c r="B9" s="181"/>
      <c r="C9" s="105"/>
      <c r="D9" s="105"/>
      <c r="E9" s="176"/>
      <c r="F9" s="193" t="s">
        <v>2226</v>
      </c>
      <c r="G9" s="40"/>
      <c r="H9" s="40"/>
      <c r="I9" s="40"/>
      <c r="J9" s="194"/>
      <c r="K9" s="1292" t="s">
        <v>2227</v>
      </c>
      <c r="L9" s="1293"/>
      <c r="M9" s="1293"/>
      <c r="N9" s="184"/>
    </row>
    <row r="10" spans="1:14" ht="25.35" customHeight="1" x14ac:dyDescent="0.55000000000000004">
      <c r="A10" s="180"/>
      <c r="B10" s="1296"/>
      <c r="C10" s="1296"/>
      <c r="D10" s="1301"/>
      <c r="E10" s="1301"/>
      <c r="F10" s="40"/>
      <c r="G10" s="40"/>
      <c r="H10" s="40"/>
      <c r="I10" s="40"/>
      <c r="J10" s="34">
        <f>J8-J9</f>
        <v>9386700</v>
      </c>
      <c r="K10" s="97"/>
      <c r="L10" s="70" t="s">
        <v>2228</v>
      </c>
      <c r="M10" s="70"/>
      <c r="N10" s="184"/>
    </row>
    <row r="11" spans="1:14" ht="25.35" customHeight="1" x14ac:dyDescent="0.55000000000000004">
      <c r="A11" s="180"/>
      <c r="B11" s="181"/>
      <c r="C11" s="105"/>
      <c r="D11" s="105"/>
      <c r="E11" s="176"/>
      <c r="K11" s="99"/>
      <c r="L11" s="1293" t="s">
        <v>2229</v>
      </c>
      <c r="M11" s="1293"/>
      <c r="N11" s="184"/>
    </row>
    <row r="12" spans="1:14" ht="25.35" customHeight="1" x14ac:dyDescent="0.55000000000000004">
      <c r="A12" s="180"/>
      <c r="B12" s="181"/>
      <c r="C12" s="105"/>
      <c r="D12" s="105"/>
      <c r="E12" s="176"/>
      <c r="F12" s="181" t="s">
        <v>2230</v>
      </c>
      <c r="G12" s="181"/>
      <c r="H12" s="181"/>
      <c r="I12" s="181"/>
      <c r="J12" s="195">
        <f>J10</f>
        <v>9386700</v>
      </c>
      <c r="K12" s="196"/>
      <c r="L12" s="1293"/>
      <c r="M12" s="1293"/>
      <c r="N12" s="184"/>
    </row>
    <row r="13" spans="1:14" ht="25.35" customHeight="1" x14ac:dyDescent="0.55000000000000004">
      <c r="A13" s="180"/>
      <c r="B13" s="181"/>
      <c r="C13" s="186"/>
      <c r="D13" s="186"/>
      <c r="E13" s="176"/>
      <c r="F13" s="181" t="s">
        <v>2231</v>
      </c>
      <c r="G13" s="197"/>
      <c r="H13" s="197"/>
      <c r="I13" s="197"/>
      <c r="J13" s="195">
        <f>C18</f>
        <v>4695924</v>
      </c>
      <c r="L13" s="184" t="s">
        <v>2232</v>
      </c>
      <c r="M13" s="198">
        <v>12600000</v>
      </c>
      <c r="N13" s="184"/>
    </row>
    <row r="14" spans="1:14" ht="25.35" customHeight="1" thickBot="1" x14ac:dyDescent="0.6">
      <c r="A14" s="180"/>
      <c r="B14" s="181"/>
      <c r="C14" s="186"/>
      <c r="D14" s="186"/>
      <c r="E14" s="176"/>
      <c r="F14" s="199" t="s">
        <v>2233</v>
      </c>
      <c r="G14" s="199"/>
      <c r="H14" s="199"/>
      <c r="I14" s="199"/>
      <c r="J14" s="200">
        <f>J12-J13</f>
        <v>4690776</v>
      </c>
      <c r="L14" s="184" t="s">
        <v>2234</v>
      </c>
      <c r="M14" s="198">
        <v>16632000</v>
      </c>
      <c r="N14" s="184"/>
    </row>
    <row r="15" spans="1:14" ht="25.35" customHeight="1" thickTop="1" thickBot="1" x14ac:dyDescent="0.6">
      <c r="A15" s="180"/>
      <c r="B15" s="181"/>
      <c r="C15" s="186"/>
      <c r="D15" s="186"/>
      <c r="E15" s="176"/>
      <c r="F15" s="199"/>
      <c r="G15" s="199"/>
      <c r="H15" s="199"/>
      <c r="I15" s="199"/>
      <c r="J15" s="201"/>
      <c r="K15" s="173"/>
      <c r="L15" s="184" t="s">
        <v>2235</v>
      </c>
      <c r="M15" s="198">
        <v>10022600</v>
      </c>
      <c r="N15" s="184"/>
    </row>
    <row r="16" spans="1:14" ht="25.35" customHeight="1" thickTop="1" x14ac:dyDescent="0.55000000000000004">
      <c r="A16" s="180"/>
      <c r="B16" s="181"/>
      <c r="C16" s="186"/>
      <c r="D16" s="186"/>
    </row>
    <row r="17" spans="1:4" x14ac:dyDescent="0.55000000000000004">
      <c r="A17" s="193" t="s">
        <v>6</v>
      </c>
      <c r="B17" s="193"/>
      <c r="C17" s="186">
        <f>SUM(C3:C16)</f>
        <v>13571424</v>
      </c>
      <c r="D17" s="186">
        <f>SUM(D3:D16)</f>
        <v>8875500</v>
      </c>
    </row>
    <row r="18" spans="1:4" x14ac:dyDescent="0.55000000000000004">
      <c r="A18" s="181"/>
      <c r="B18" s="181"/>
      <c r="C18" s="1294">
        <f>C17-D17</f>
        <v>4695924</v>
      </c>
      <c r="D18" s="1295"/>
    </row>
    <row r="19" spans="1:4" x14ac:dyDescent="0.55000000000000004">
      <c r="A19" s="1296"/>
      <c r="B19" s="1296"/>
      <c r="C19" s="1296"/>
      <c r="D19" s="1296"/>
    </row>
    <row r="20" spans="1:4" x14ac:dyDescent="0.55000000000000004">
      <c r="A20" s="1297"/>
      <c r="B20" s="1297"/>
      <c r="C20" s="1297"/>
      <c r="D20" s="1297"/>
    </row>
    <row r="21" spans="1:4" x14ac:dyDescent="0.55000000000000004">
      <c r="A21" s="1298"/>
      <c r="B21" s="1298"/>
      <c r="C21" s="1298"/>
      <c r="D21" s="1298"/>
    </row>
  </sheetData>
  <mergeCells count="11">
    <mergeCell ref="C18:D18"/>
    <mergeCell ref="A19:D19"/>
    <mergeCell ref="A20:D20"/>
    <mergeCell ref="A21:D21"/>
    <mergeCell ref="A1:D1"/>
    <mergeCell ref="B10:E10"/>
    <mergeCell ref="F1:J1"/>
    <mergeCell ref="L5:M5"/>
    <mergeCell ref="K9:M9"/>
    <mergeCell ref="L11:M11"/>
    <mergeCell ref="L12:M12"/>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9900"/>
  </sheetPr>
  <dimension ref="A1:J35"/>
  <sheetViews>
    <sheetView topLeftCell="F1" workbookViewId="0">
      <selection activeCell="I8" sqref="I8"/>
    </sheetView>
  </sheetViews>
  <sheetFormatPr defaultColWidth="9.28515625" defaultRowHeight="21.75" x14ac:dyDescent="0.55000000000000004"/>
  <cols>
    <col min="1" max="1" width="23.42578125" style="242" bestFit="1" customWidth="1"/>
    <col min="2" max="2" width="16.7109375" style="242" customWidth="1"/>
    <col min="3" max="3" width="18.42578125" style="84" customWidth="1"/>
    <col min="4" max="4" width="21.5703125" style="251" customWidth="1"/>
    <col min="5" max="5" width="4.5703125" style="23" customWidth="1"/>
    <col min="6" max="6" width="42.28515625" style="23" customWidth="1"/>
    <col min="7" max="8" width="19" style="23" customWidth="1"/>
    <col min="9" max="9" width="22.5703125" style="84" customWidth="1"/>
    <col min="10" max="10" width="17.7109375" style="23" customWidth="1"/>
    <col min="11" max="16384" width="9.28515625" style="23"/>
  </cols>
  <sheetData>
    <row r="1" spans="1:10" ht="26.25" x14ac:dyDescent="0.55000000000000004">
      <c r="A1" s="1303" t="s">
        <v>2565</v>
      </c>
      <c r="B1" s="1304"/>
      <c r="C1" s="1305"/>
      <c r="D1" s="1305"/>
      <c r="E1" s="176"/>
      <c r="F1" s="1289" t="s">
        <v>2564</v>
      </c>
      <c r="G1" s="1290"/>
      <c r="H1" s="1290"/>
      <c r="I1" s="1290"/>
      <c r="J1" s="1290"/>
    </row>
    <row r="2" spans="1:10" x14ac:dyDescent="0.55000000000000004">
      <c r="A2" s="178" t="s">
        <v>1243</v>
      </c>
      <c r="B2" s="178" t="s">
        <v>1244</v>
      </c>
      <c r="C2" s="243" t="s">
        <v>1260</v>
      </c>
      <c r="D2" s="244" t="s">
        <v>1261</v>
      </c>
      <c r="E2" s="176"/>
      <c r="F2" s="178" t="s">
        <v>2211</v>
      </c>
      <c r="G2" s="178" t="s">
        <v>2320</v>
      </c>
      <c r="H2" s="178" t="s">
        <v>2132</v>
      </c>
      <c r="I2" s="243" t="s">
        <v>2321</v>
      </c>
      <c r="J2" s="178" t="s">
        <v>2322</v>
      </c>
    </row>
    <row r="3" spans="1:10" x14ac:dyDescent="0.55000000000000004">
      <c r="A3" s="180" t="s">
        <v>1250</v>
      </c>
      <c r="B3" s="181" t="s">
        <v>2323</v>
      </c>
      <c r="C3" s="105">
        <v>2839662</v>
      </c>
      <c r="D3" s="245">
        <v>877700</v>
      </c>
      <c r="E3" s="176"/>
      <c r="F3" s="40" t="s">
        <v>2324</v>
      </c>
      <c r="G3" s="34"/>
      <c r="H3" s="34"/>
      <c r="I3" s="34"/>
      <c r="J3" s="34"/>
    </row>
    <row r="4" spans="1:10" x14ac:dyDescent="0.55000000000000004">
      <c r="A4" s="180" t="s">
        <v>2217</v>
      </c>
      <c r="B4" s="181" t="s">
        <v>1251</v>
      </c>
      <c r="C4" s="105">
        <v>82762484</v>
      </c>
      <c r="D4" s="245">
        <v>10432632</v>
      </c>
      <c r="E4" s="176"/>
      <c r="F4" s="40" t="s">
        <v>2325</v>
      </c>
      <c r="G4" s="34">
        <v>0</v>
      </c>
      <c r="H4" s="34"/>
      <c r="I4" s="34"/>
      <c r="J4" s="34">
        <f>G4+H4-I4</f>
        <v>0</v>
      </c>
    </row>
    <row r="5" spans="1:10" x14ac:dyDescent="0.55000000000000004">
      <c r="A5" s="180" t="s">
        <v>1250</v>
      </c>
      <c r="B5" s="181" t="s">
        <v>2326</v>
      </c>
      <c r="C5" s="105"/>
      <c r="D5" s="245">
        <v>314700</v>
      </c>
      <c r="E5" s="176"/>
      <c r="F5" s="40" t="s">
        <v>2327</v>
      </c>
      <c r="G5" s="105">
        <v>8848000</v>
      </c>
      <c r="H5" s="105"/>
      <c r="I5" s="34"/>
      <c r="J5" s="34">
        <f>G5+H5-I5</f>
        <v>8848000</v>
      </c>
    </row>
    <row r="6" spans="1:10" x14ac:dyDescent="0.55000000000000004">
      <c r="A6" s="180" t="s">
        <v>2217</v>
      </c>
      <c r="B6" s="181" t="s">
        <v>2326</v>
      </c>
      <c r="C6" s="105"/>
      <c r="D6" s="245">
        <v>3045832</v>
      </c>
      <c r="E6" s="176"/>
      <c r="F6" s="185" t="s">
        <v>2328</v>
      </c>
      <c r="G6" s="105">
        <v>0</v>
      </c>
      <c r="H6" s="186"/>
      <c r="I6" s="103"/>
      <c r="J6" s="34">
        <f>G6+H6-I6</f>
        <v>0</v>
      </c>
    </row>
    <row r="7" spans="1:10" x14ac:dyDescent="0.55000000000000004">
      <c r="A7" s="180" t="s">
        <v>1250</v>
      </c>
      <c r="B7" s="181" t="s">
        <v>1361</v>
      </c>
      <c r="C7" s="105"/>
      <c r="D7" s="245">
        <v>119700</v>
      </c>
      <c r="E7" s="176"/>
      <c r="F7" s="185" t="s">
        <v>2329</v>
      </c>
      <c r="G7" s="186">
        <v>0</v>
      </c>
      <c r="H7" s="186"/>
      <c r="I7" s="103"/>
      <c r="J7" s="34">
        <f>G7+H7-I7</f>
        <v>0</v>
      </c>
    </row>
    <row r="8" spans="1:10" x14ac:dyDescent="0.55000000000000004">
      <c r="A8" s="180" t="s">
        <v>2217</v>
      </c>
      <c r="B8" s="181" t="s">
        <v>1361</v>
      </c>
      <c r="C8" s="105"/>
      <c r="D8" s="245">
        <v>10891776</v>
      </c>
      <c r="E8" s="176"/>
      <c r="F8" s="185"/>
      <c r="G8" s="185"/>
      <c r="H8" s="185"/>
      <c r="I8" s="103"/>
      <c r="J8" s="103"/>
    </row>
    <row r="9" spans="1:10" ht="22.5" thickBot="1" x14ac:dyDescent="0.6">
      <c r="A9" s="180" t="s">
        <v>1250</v>
      </c>
      <c r="B9" s="181" t="s">
        <v>1371</v>
      </c>
      <c r="C9" s="105"/>
      <c r="D9" s="245">
        <v>79200</v>
      </c>
      <c r="E9" s="176"/>
      <c r="F9" s="189" t="s">
        <v>2330</v>
      </c>
      <c r="G9" s="189">
        <v>46673000</v>
      </c>
      <c r="H9" s="190">
        <f>SUM(H3:H8)</f>
        <v>0</v>
      </c>
      <c r="I9" s="246"/>
      <c r="J9" s="191">
        <f>SUM(J3:J8)</f>
        <v>8848000</v>
      </c>
    </row>
    <row r="10" spans="1:10" ht="22.5" thickTop="1" x14ac:dyDescent="0.55000000000000004">
      <c r="A10" s="180" t="s">
        <v>2217</v>
      </c>
      <c r="B10" s="181" t="s">
        <v>1371</v>
      </c>
      <c r="C10" s="105"/>
      <c r="D10" s="245">
        <v>7908256</v>
      </c>
      <c r="E10" s="176"/>
      <c r="F10" s="193" t="s">
        <v>2226</v>
      </c>
      <c r="G10" s="40"/>
      <c r="H10" s="40"/>
      <c r="I10" s="34"/>
      <c r="J10" s="194"/>
    </row>
    <row r="11" spans="1:10" x14ac:dyDescent="0.55000000000000004">
      <c r="A11" s="180" t="s">
        <v>1250</v>
      </c>
      <c r="B11" s="181" t="s">
        <v>1381</v>
      </c>
      <c r="C11" s="104"/>
      <c r="D11" s="245">
        <v>0</v>
      </c>
      <c r="E11" s="176"/>
      <c r="F11" s="40"/>
      <c r="G11" s="40"/>
      <c r="H11" s="40"/>
      <c r="I11" s="34"/>
      <c r="J11" s="34">
        <f>J9-J10</f>
        <v>8848000</v>
      </c>
    </row>
    <row r="12" spans="1:10" x14ac:dyDescent="0.55000000000000004">
      <c r="A12" s="180" t="s">
        <v>2217</v>
      </c>
      <c r="B12" s="181" t="s">
        <v>1381</v>
      </c>
      <c r="C12" s="104"/>
      <c r="D12" s="245">
        <v>7159250</v>
      </c>
      <c r="E12" s="176"/>
    </row>
    <row r="13" spans="1:10" x14ac:dyDescent="0.55000000000000004">
      <c r="A13" s="180" t="s">
        <v>1250</v>
      </c>
      <c r="B13" s="181" t="s">
        <v>1388</v>
      </c>
      <c r="C13" s="105"/>
      <c r="D13" s="245">
        <v>0</v>
      </c>
      <c r="E13" s="176"/>
      <c r="F13" s="181" t="s">
        <v>2230</v>
      </c>
      <c r="G13" s="181"/>
      <c r="H13" s="181"/>
      <c r="I13" s="247"/>
      <c r="J13" s="195">
        <f>J11</f>
        <v>8848000</v>
      </c>
    </row>
    <row r="14" spans="1:10" ht="22.5" x14ac:dyDescent="0.55000000000000004">
      <c r="A14" s="180" t="s">
        <v>2217</v>
      </c>
      <c r="B14" s="181" t="s">
        <v>1388</v>
      </c>
      <c r="C14" s="105"/>
      <c r="D14" s="245">
        <v>7110000</v>
      </c>
      <c r="E14" s="176"/>
      <c r="F14" s="181" t="s">
        <v>2331</v>
      </c>
      <c r="G14" s="197"/>
      <c r="H14" s="197"/>
      <c r="I14" s="248"/>
      <c r="J14" s="195">
        <f>C32</f>
        <v>35787800</v>
      </c>
    </row>
    <row r="15" spans="1:10" ht="22.5" thickBot="1" x14ac:dyDescent="0.6">
      <c r="A15" s="180" t="s">
        <v>1250</v>
      </c>
      <c r="B15" s="181" t="s">
        <v>2054</v>
      </c>
      <c r="C15" s="105"/>
      <c r="D15" s="245">
        <v>0</v>
      </c>
      <c r="E15" s="176"/>
      <c r="F15" s="199" t="s">
        <v>2233</v>
      </c>
      <c r="G15" s="199"/>
      <c r="H15" s="199"/>
      <c r="I15" s="249"/>
      <c r="J15" s="200">
        <f>J13-J14</f>
        <v>-26939800</v>
      </c>
    </row>
    <row r="16" spans="1:10" ht="23.25" thickTop="1" thickBot="1" x14ac:dyDescent="0.6">
      <c r="A16" s="180" t="s">
        <v>2217</v>
      </c>
      <c r="B16" s="181" t="s">
        <v>2054</v>
      </c>
      <c r="C16" s="105"/>
      <c r="D16" s="245">
        <v>1432000</v>
      </c>
      <c r="F16" s="199"/>
      <c r="G16" s="199"/>
      <c r="H16" s="199"/>
      <c r="I16" s="249"/>
      <c r="J16" s="201"/>
    </row>
    <row r="17" spans="1:4" ht="22.5" thickTop="1" x14ac:dyDescent="0.55000000000000004">
      <c r="A17" s="180" t="s">
        <v>1250</v>
      </c>
      <c r="B17" s="181" t="s">
        <v>2261</v>
      </c>
      <c r="C17" s="186"/>
      <c r="D17" s="250"/>
    </row>
    <row r="18" spans="1:4" x14ac:dyDescent="0.55000000000000004">
      <c r="A18" s="180" t="s">
        <v>2217</v>
      </c>
      <c r="B18" s="181" t="s">
        <v>2261</v>
      </c>
      <c r="C18" s="186"/>
      <c r="D18" s="250">
        <v>443300</v>
      </c>
    </row>
    <row r="19" spans="1:4" x14ac:dyDescent="0.55000000000000004">
      <c r="A19" s="180" t="s">
        <v>1250</v>
      </c>
      <c r="B19" s="181" t="s">
        <v>2332</v>
      </c>
      <c r="C19" s="186"/>
      <c r="D19" s="250"/>
    </row>
    <row r="20" spans="1:4" x14ac:dyDescent="0.55000000000000004">
      <c r="A20" s="180" t="s">
        <v>2217</v>
      </c>
      <c r="B20" s="181" t="s">
        <v>2332</v>
      </c>
      <c r="C20" s="186"/>
      <c r="D20" s="250"/>
    </row>
    <row r="21" spans="1:4" x14ac:dyDescent="0.55000000000000004">
      <c r="A21" s="320" t="s">
        <v>1250</v>
      </c>
      <c r="B21" s="193" t="s">
        <v>2380</v>
      </c>
      <c r="C21" s="186"/>
      <c r="D21" s="250"/>
    </row>
    <row r="22" spans="1:4" x14ac:dyDescent="0.55000000000000004">
      <c r="A22" s="320" t="s">
        <v>2217</v>
      </c>
      <c r="B22" s="193" t="s">
        <v>2381</v>
      </c>
      <c r="C22" s="186"/>
      <c r="D22" s="250">
        <v>5880000</v>
      </c>
    </row>
    <row r="23" spans="1:4" x14ac:dyDescent="0.55000000000000004">
      <c r="A23" s="320" t="s">
        <v>1250</v>
      </c>
      <c r="B23" s="193" t="s">
        <v>2382</v>
      </c>
      <c r="C23" s="186"/>
      <c r="D23" s="250"/>
    </row>
    <row r="24" spans="1:4" x14ac:dyDescent="0.55000000000000004">
      <c r="A24" s="320" t="s">
        <v>2217</v>
      </c>
      <c r="B24" s="193" t="s">
        <v>2382</v>
      </c>
      <c r="C24" s="186"/>
      <c r="D24" s="250">
        <v>5935000</v>
      </c>
    </row>
    <row r="25" spans="1:4" x14ac:dyDescent="0.55000000000000004">
      <c r="A25" s="320" t="s">
        <v>1250</v>
      </c>
      <c r="B25" s="193" t="s">
        <v>2561</v>
      </c>
      <c r="C25" s="186"/>
      <c r="D25" s="250"/>
    </row>
    <row r="26" spans="1:4" x14ac:dyDescent="0.55000000000000004">
      <c r="A26" s="320" t="s">
        <v>2217</v>
      </c>
      <c r="B26" s="193" t="s">
        <v>2562</v>
      </c>
      <c r="C26" s="186"/>
      <c r="D26" s="250">
        <v>2205000</v>
      </c>
    </row>
    <row r="27" spans="1:4" x14ac:dyDescent="0.55000000000000004">
      <c r="A27" s="320" t="s">
        <v>1250</v>
      </c>
      <c r="B27" s="193" t="s">
        <v>1251</v>
      </c>
      <c r="C27" s="186"/>
      <c r="D27" s="250"/>
    </row>
    <row r="28" spans="1:4" x14ac:dyDescent="0.55000000000000004">
      <c r="A28" s="320" t="s">
        <v>2217</v>
      </c>
      <c r="B28" s="193" t="s">
        <v>1251</v>
      </c>
      <c r="C28" s="186"/>
      <c r="D28" s="250">
        <v>987000</v>
      </c>
    </row>
    <row r="29" spans="1:4" x14ac:dyDescent="0.55000000000000004">
      <c r="A29" s="320" t="s">
        <v>1250</v>
      </c>
      <c r="B29" s="193" t="s">
        <v>3018</v>
      </c>
      <c r="C29" s="186"/>
      <c r="D29" s="250">
        <v>987000</v>
      </c>
    </row>
    <row r="30" spans="1:4" x14ac:dyDescent="0.55000000000000004">
      <c r="A30" s="320"/>
      <c r="B30" s="193"/>
      <c r="C30" s="186"/>
      <c r="D30" s="250"/>
    </row>
    <row r="31" spans="1:4" x14ac:dyDescent="0.55000000000000004">
      <c r="A31" s="193" t="s">
        <v>6</v>
      </c>
      <c r="B31" s="193"/>
      <c r="C31" s="186">
        <f>SUM(C3:C16)</f>
        <v>85602146</v>
      </c>
      <c r="D31" s="250">
        <f>SUM(D3:D18)</f>
        <v>49814346</v>
      </c>
    </row>
    <row r="32" spans="1:4" x14ac:dyDescent="0.55000000000000004">
      <c r="A32" s="181"/>
      <c r="B32" s="181"/>
      <c r="C32" s="1306">
        <f>C31-D31</f>
        <v>35787800</v>
      </c>
      <c r="D32" s="1307"/>
    </row>
    <row r="33" spans="1:4" x14ac:dyDescent="0.55000000000000004">
      <c r="A33" s="1296"/>
      <c r="B33" s="1296"/>
      <c r="C33" s="1301"/>
      <c r="D33" s="1301"/>
    </row>
    <row r="34" spans="1:4" x14ac:dyDescent="0.55000000000000004">
      <c r="A34" s="1297"/>
      <c r="B34" s="1297"/>
      <c r="C34" s="1308"/>
      <c r="D34" s="1308"/>
    </row>
    <row r="35" spans="1:4" x14ac:dyDescent="0.55000000000000004">
      <c r="A35" s="1298"/>
      <c r="B35" s="1298"/>
      <c r="C35" s="1302"/>
      <c r="D35" s="1302"/>
    </row>
  </sheetData>
  <mergeCells count="6">
    <mergeCell ref="A35:D35"/>
    <mergeCell ref="A1:D1"/>
    <mergeCell ref="F1:J1"/>
    <mergeCell ref="C32:D32"/>
    <mergeCell ref="A33:D33"/>
    <mergeCell ref="A34:D34"/>
  </mergeCells>
  <phoneticPr fontId="45" type="noConversion"/>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FF9900"/>
  </sheetPr>
  <dimension ref="A1:J30"/>
  <sheetViews>
    <sheetView workbookViewId="0">
      <selection activeCell="F1" sqref="F1:J1"/>
    </sheetView>
  </sheetViews>
  <sheetFormatPr defaultColWidth="9.28515625" defaultRowHeight="21.75" x14ac:dyDescent="0.55000000000000004"/>
  <cols>
    <col min="1" max="1" width="23.42578125" style="242" bestFit="1" customWidth="1"/>
    <col min="2" max="2" width="16.7109375" style="242" customWidth="1"/>
    <col min="3" max="3" width="18.42578125" style="84" customWidth="1"/>
    <col min="4" max="4" width="21.5703125" style="251" customWidth="1"/>
    <col min="5" max="5" width="4.5703125" style="23" customWidth="1"/>
    <col min="6" max="6" width="42.28515625" style="23" customWidth="1"/>
    <col min="7" max="8" width="19" style="23" customWidth="1"/>
    <col min="9" max="9" width="22.5703125" style="84" customWidth="1"/>
    <col min="10" max="10" width="17.7109375" style="23" customWidth="1"/>
    <col min="11" max="16384" width="9.28515625" style="23"/>
  </cols>
  <sheetData>
    <row r="1" spans="1:10" ht="26.25" x14ac:dyDescent="0.55000000000000004">
      <c r="A1" s="1303" t="s">
        <v>2563</v>
      </c>
      <c r="B1" s="1304"/>
      <c r="C1" s="1305"/>
      <c r="D1" s="1305"/>
      <c r="E1" s="176"/>
      <c r="F1" s="1289" t="s">
        <v>3370</v>
      </c>
      <c r="G1" s="1290"/>
      <c r="H1" s="1290"/>
      <c r="I1" s="1290"/>
      <c r="J1" s="1290"/>
    </row>
    <row r="2" spans="1:10" x14ac:dyDescent="0.55000000000000004">
      <c r="A2" s="178" t="s">
        <v>1243</v>
      </c>
      <c r="B2" s="178" t="s">
        <v>1244</v>
      </c>
      <c r="C2" s="243" t="s">
        <v>2333</v>
      </c>
      <c r="D2" s="244" t="s">
        <v>2334</v>
      </c>
      <c r="E2" s="176"/>
      <c r="F2" s="178" t="s">
        <v>2211</v>
      </c>
      <c r="G2" s="178" t="s">
        <v>2335</v>
      </c>
      <c r="H2" s="178" t="s">
        <v>2132</v>
      </c>
      <c r="I2" s="243" t="s">
        <v>2336</v>
      </c>
      <c r="J2" s="178" t="s">
        <v>2337</v>
      </c>
    </row>
    <row r="3" spans="1:10" x14ac:dyDescent="0.55000000000000004">
      <c r="A3" s="180" t="s">
        <v>1250</v>
      </c>
      <c r="B3" s="181" t="s">
        <v>2338</v>
      </c>
      <c r="C3" s="105">
        <v>1397500</v>
      </c>
      <c r="D3" s="245"/>
      <c r="E3" s="176"/>
      <c r="F3" s="40" t="s">
        <v>2324</v>
      </c>
      <c r="G3" s="186">
        <v>68156270</v>
      </c>
      <c r="H3" s="34"/>
      <c r="I3" s="34">
        <v>10526945</v>
      </c>
      <c r="J3" s="34">
        <f>G3+H3-I3</f>
        <v>57629325</v>
      </c>
    </row>
    <row r="4" spans="1:10" x14ac:dyDescent="0.55000000000000004">
      <c r="A4" s="180" t="s">
        <v>2217</v>
      </c>
      <c r="B4" s="181" t="s">
        <v>1361</v>
      </c>
      <c r="C4" s="105">
        <v>16512918</v>
      </c>
      <c r="D4" s="245">
        <v>200000</v>
      </c>
      <c r="E4" s="176"/>
      <c r="F4" s="40" t="s">
        <v>2325</v>
      </c>
      <c r="G4" s="186">
        <v>0</v>
      </c>
      <c r="H4" s="34"/>
      <c r="I4" s="105"/>
      <c r="J4" s="34">
        <f>G4+H4-I4</f>
        <v>0</v>
      </c>
    </row>
    <row r="5" spans="1:10" x14ac:dyDescent="0.55000000000000004">
      <c r="A5" s="180" t="s">
        <v>1250</v>
      </c>
      <c r="B5" s="181" t="s">
        <v>1371</v>
      </c>
      <c r="C5" s="105"/>
      <c r="D5" s="245">
        <v>881008</v>
      </c>
      <c r="E5" s="176"/>
      <c r="F5" s="40" t="s">
        <v>2327</v>
      </c>
      <c r="G5" s="186">
        <v>0</v>
      </c>
      <c r="H5" s="105"/>
      <c r="I5" s="34"/>
      <c r="J5" s="34">
        <f>G5+H5-I5</f>
        <v>0</v>
      </c>
    </row>
    <row r="6" spans="1:10" x14ac:dyDescent="0.55000000000000004">
      <c r="A6" s="180" t="s">
        <v>2217</v>
      </c>
      <c r="B6" s="181" t="s">
        <v>1381</v>
      </c>
      <c r="C6" s="105"/>
      <c r="D6" s="245">
        <v>312500</v>
      </c>
      <c r="E6" s="176"/>
      <c r="F6" s="185" t="s">
        <v>2328</v>
      </c>
      <c r="G6" s="186">
        <v>0</v>
      </c>
      <c r="H6" s="186"/>
      <c r="I6" s="103"/>
      <c r="J6" s="34">
        <f>G6+H6-I6</f>
        <v>0</v>
      </c>
    </row>
    <row r="7" spans="1:10" x14ac:dyDescent="0.55000000000000004">
      <c r="A7" s="180" t="s">
        <v>1250</v>
      </c>
      <c r="B7" s="181" t="s">
        <v>1381</v>
      </c>
      <c r="C7" s="105"/>
      <c r="D7" s="245">
        <v>682500</v>
      </c>
      <c r="E7" s="176"/>
      <c r="F7" s="185"/>
      <c r="G7" s="186">
        <v>0</v>
      </c>
      <c r="H7" s="186"/>
      <c r="I7" s="103"/>
      <c r="J7" s="34">
        <f>G7+H7-I7</f>
        <v>0</v>
      </c>
    </row>
    <row r="8" spans="1:10" x14ac:dyDescent="0.55000000000000004">
      <c r="A8" s="180" t="s">
        <v>2217</v>
      </c>
      <c r="B8" s="181" t="s">
        <v>1388</v>
      </c>
      <c r="C8" s="105"/>
      <c r="D8" s="245">
        <v>987000</v>
      </c>
      <c r="E8" s="176"/>
      <c r="F8" s="185"/>
      <c r="G8" s="185"/>
      <c r="H8" s="185"/>
      <c r="I8" s="103"/>
      <c r="J8" s="103"/>
    </row>
    <row r="9" spans="1:10" ht="22.5" thickBot="1" x14ac:dyDescent="0.6">
      <c r="A9" s="180" t="s">
        <v>1250</v>
      </c>
      <c r="B9" s="181" t="s">
        <v>1388</v>
      </c>
      <c r="C9" s="105"/>
      <c r="D9" s="245">
        <v>480700</v>
      </c>
      <c r="E9" s="176"/>
      <c r="F9" s="189" t="s">
        <v>2330</v>
      </c>
      <c r="G9" s="189">
        <v>76639270</v>
      </c>
      <c r="H9" s="190">
        <f>SUM(H3:H8)</f>
        <v>0</v>
      </c>
      <c r="I9" s="246"/>
      <c r="J9" s="191">
        <f>SUM(J3:J8)</f>
        <v>57629325</v>
      </c>
    </row>
    <row r="10" spans="1:10" ht="22.5" thickTop="1" x14ac:dyDescent="0.55000000000000004">
      <c r="A10" s="180" t="s">
        <v>2217</v>
      </c>
      <c r="B10" s="181" t="s">
        <v>2054</v>
      </c>
      <c r="C10" s="105"/>
      <c r="D10" s="245">
        <v>822000</v>
      </c>
      <c r="E10" s="176"/>
      <c r="F10" s="193" t="s">
        <v>2226</v>
      </c>
      <c r="G10" s="40"/>
      <c r="H10" s="40"/>
      <c r="I10" s="34"/>
      <c r="J10" s="194"/>
    </row>
    <row r="11" spans="1:10" x14ac:dyDescent="0.55000000000000004">
      <c r="A11" s="180" t="s">
        <v>1250</v>
      </c>
      <c r="B11" s="181" t="s">
        <v>2054</v>
      </c>
      <c r="C11" s="104"/>
      <c r="D11" s="245"/>
      <c r="E11" s="176"/>
      <c r="F11" s="40"/>
      <c r="G11" s="40"/>
      <c r="H11" s="40"/>
      <c r="I11" s="34"/>
      <c r="J11" s="34">
        <f>J9-J10</f>
        <v>57629325</v>
      </c>
    </row>
    <row r="12" spans="1:10" x14ac:dyDescent="0.55000000000000004">
      <c r="A12" s="180" t="s">
        <v>2217</v>
      </c>
      <c r="B12" s="181" t="s">
        <v>2339</v>
      </c>
      <c r="C12" s="105"/>
      <c r="D12" s="245">
        <v>945000</v>
      </c>
      <c r="E12" s="176"/>
    </row>
    <row r="13" spans="1:10" x14ac:dyDescent="0.55000000000000004">
      <c r="A13" s="180" t="s">
        <v>1250</v>
      </c>
      <c r="B13" s="181" t="s">
        <v>2339</v>
      </c>
      <c r="C13" s="105"/>
      <c r="D13" s="245"/>
      <c r="E13" s="176"/>
      <c r="F13" s="181" t="s">
        <v>2230</v>
      </c>
      <c r="G13" s="181"/>
      <c r="H13" s="181"/>
      <c r="I13" s="247"/>
      <c r="J13" s="195">
        <f>J11</f>
        <v>57629325</v>
      </c>
    </row>
    <row r="14" spans="1:10" ht="22.5" x14ac:dyDescent="0.55000000000000004">
      <c r="A14" s="180" t="s">
        <v>2217</v>
      </c>
      <c r="B14" s="181" t="s">
        <v>2340</v>
      </c>
      <c r="C14" s="105"/>
      <c r="D14" s="245">
        <v>2131000</v>
      </c>
      <c r="E14" s="176"/>
      <c r="F14" s="181" t="s">
        <v>2899</v>
      </c>
      <c r="G14" s="197"/>
      <c r="H14" s="197"/>
      <c r="I14" s="248"/>
      <c r="J14" s="195">
        <f>C27</f>
        <v>10468710</v>
      </c>
    </row>
    <row r="15" spans="1:10" ht="22.5" thickBot="1" x14ac:dyDescent="0.6">
      <c r="A15" s="180" t="s">
        <v>1250</v>
      </c>
      <c r="B15" s="181" t="s">
        <v>2340</v>
      </c>
      <c r="C15" s="105"/>
      <c r="D15" s="245"/>
      <c r="E15" s="176"/>
      <c r="F15" s="199" t="s">
        <v>2233</v>
      </c>
      <c r="G15" s="199"/>
      <c r="H15" s="199"/>
      <c r="I15" s="249"/>
      <c r="J15" s="200">
        <f>J13-J14</f>
        <v>47160615</v>
      </c>
    </row>
    <row r="16" spans="1:10" ht="23.25" thickTop="1" thickBot="1" x14ac:dyDescent="0.6">
      <c r="A16" s="180" t="s">
        <v>2217</v>
      </c>
      <c r="B16" s="181" t="s">
        <v>2383</v>
      </c>
      <c r="C16" s="186"/>
      <c r="D16" s="92">
        <v>1444000</v>
      </c>
      <c r="F16" s="199"/>
      <c r="G16" s="199"/>
      <c r="H16" s="199"/>
      <c r="I16" s="249"/>
      <c r="J16" s="201"/>
    </row>
    <row r="17" spans="1:4" ht="22.5" thickTop="1" x14ac:dyDescent="0.55000000000000004">
      <c r="A17" s="180" t="s">
        <v>1250</v>
      </c>
      <c r="B17" s="181" t="s">
        <v>2383</v>
      </c>
      <c r="C17" s="186"/>
      <c r="D17" s="250"/>
    </row>
    <row r="18" spans="1:4" x14ac:dyDescent="0.55000000000000004">
      <c r="A18" s="180" t="s">
        <v>2217</v>
      </c>
      <c r="B18" s="181" t="s">
        <v>2562</v>
      </c>
      <c r="C18" s="186"/>
      <c r="D18" s="250"/>
    </row>
    <row r="19" spans="1:4" x14ac:dyDescent="0.55000000000000004">
      <c r="A19" s="180" t="s">
        <v>1250</v>
      </c>
      <c r="B19" s="181" t="s">
        <v>2562</v>
      </c>
      <c r="C19" s="186"/>
      <c r="D19" s="250">
        <v>5986500</v>
      </c>
    </row>
    <row r="20" spans="1:4" x14ac:dyDescent="0.55000000000000004">
      <c r="A20" s="180" t="s">
        <v>2217</v>
      </c>
      <c r="B20" s="181" t="s">
        <v>1251</v>
      </c>
      <c r="C20" s="186"/>
      <c r="D20" s="250"/>
    </row>
    <row r="21" spans="1:4" x14ac:dyDescent="0.55000000000000004">
      <c r="A21" s="180" t="s">
        <v>1250</v>
      </c>
      <c r="B21" s="181" t="s">
        <v>1251</v>
      </c>
      <c r="C21" s="186"/>
      <c r="D21" s="250">
        <v>5800000</v>
      </c>
    </row>
    <row r="22" spans="1:4" x14ac:dyDescent="0.55000000000000004">
      <c r="A22" s="180" t="s">
        <v>1250</v>
      </c>
      <c r="B22" s="181" t="s">
        <v>1287</v>
      </c>
      <c r="C22" s="186"/>
      <c r="D22" s="250">
        <v>1892400</v>
      </c>
    </row>
    <row r="23" spans="1:4" x14ac:dyDescent="0.55000000000000004">
      <c r="A23" s="180" t="s">
        <v>1250</v>
      </c>
      <c r="B23" s="181" t="s">
        <v>1361</v>
      </c>
      <c r="C23" s="186"/>
      <c r="D23" s="250">
        <v>3898000</v>
      </c>
    </row>
    <row r="24" spans="1:4" x14ac:dyDescent="0.55000000000000004">
      <c r="A24" s="180" t="s">
        <v>1250</v>
      </c>
      <c r="B24" s="181" t="s">
        <v>1381</v>
      </c>
      <c r="C24" s="186"/>
      <c r="D24" s="250">
        <v>1002940</v>
      </c>
    </row>
    <row r="25" spans="1:4" x14ac:dyDescent="0.55000000000000004">
      <c r="A25" s="320"/>
      <c r="C25" s="186"/>
      <c r="D25" s="250"/>
    </row>
    <row r="26" spans="1:4" x14ac:dyDescent="0.55000000000000004">
      <c r="A26" s="193" t="s">
        <v>6</v>
      </c>
      <c r="B26" s="193"/>
      <c r="C26" s="186">
        <f>SUM(C3:C15)</f>
        <v>17910418</v>
      </c>
      <c r="D26" s="250">
        <f>SUM(D3:D15)</f>
        <v>7441708</v>
      </c>
    </row>
    <row r="27" spans="1:4" x14ac:dyDescent="0.55000000000000004">
      <c r="A27" s="181"/>
      <c r="B27" s="181"/>
      <c r="C27" s="1306">
        <f>C26-D26</f>
        <v>10468710</v>
      </c>
      <c r="D27" s="1307"/>
    </row>
    <row r="28" spans="1:4" x14ac:dyDescent="0.55000000000000004">
      <c r="A28" s="1296"/>
      <c r="B28" s="1296"/>
      <c r="C28" s="1301"/>
      <c r="D28" s="1301"/>
    </row>
    <row r="29" spans="1:4" x14ac:dyDescent="0.55000000000000004">
      <c r="A29" s="1297"/>
      <c r="B29" s="1297"/>
      <c r="C29" s="1308"/>
      <c r="D29" s="1308"/>
    </row>
    <row r="30" spans="1:4" x14ac:dyDescent="0.55000000000000004">
      <c r="A30" s="1298"/>
      <c r="B30" s="1298"/>
      <c r="C30" s="1302"/>
      <c r="D30" s="1302"/>
    </row>
  </sheetData>
  <mergeCells count="6">
    <mergeCell ref="A30:D30"/>
    <mergeCell ref="A1:D1"/>
    <mergeCell ref="F1:J1"/>
    <mergeCell ref="C27:D27"/>
    <mergeCell ref="A28:D28"/>
    <mergeCell ref="A29:D29"/>
  </mergeCell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tabColor rgb="FFFF9900"/>
  </sheetPr>
  <dimension ref="A1:I25"/>
  <sheetViews>
    <sheetView topLeftCell="B1" workbookViewId="0">
      <selection activeCell="G5" sqref="G5"/>
    </sheetView>
  </sheetViews>
  <sheetFormatPr defaultColWidth="9.28515625" defaultRowHeight="21.75" x14ac:dyDescent="0.55000000000000004"/>
  <cols>
    <col min="1" max="1" width="16.7109375" style="470" customWidth="1"/>
    <col min="2" max="2" width="18.42578125" style="84" customWidth="1"/>
    <col min="3" max="3" width="21.5703125" style="251" customWidth="1"/>
    <col min="4" max="4" width="4.5703125" style="23" customWidth="1"/>
    <col min="5" max="5" width="42.28515625" style="23" customWidth="1"/>
    <col min="6" max="7" width="19" style="23" customWidth="1"/>
    <col min="8" max="8" width="22.5703125" style="84" customWidth="1"/>
    <col min="9" max="9" width="17.7109375" style="23" customWidth="1"/>
    <col min="10" max="16384" width="9.28515625" style="23"/>
  </cols>
  <sheetData>
    <row r="1" spans="1:9" ht="26.25" x14ac:dyDescent="0.55000000000000004">
      <c r="A1" s="1304"/>
      <c r="B1" s="1305"/>
      <c r="C1" s="1305"/>
      <c r="D1" s="176"/>
      <c r="E1" s="1289" t="s">
        <v>3371</v>
      </c>
      <c r="F1" s="1290"/>
      <c r="G1" s="1290"/>
      <c r="H1" s="1290"/>
      <c r="I1" s="1290"/>
    </row>
    <row r="2" spans="1:9" x14ac:dyDescent="0.55000000000000004">
      <c r="A2" s="178" t="s">
        <v>1244</v>
      </c>
      <c r="B2" s="243" t="s">
        <v>2901</v>
      </c>
      <c r="C2" s="244" t="s">
        <v>2902</v>
      </c>
      <c r="D2" s="176"/>
      <c r="E2" s="178" t="s">
        <v>2211</v>
      </c>
      <c r="F2" s="178" t="s">
        <v>2335</v>
      </c>
      <c r="G2" s="178" t="s">
        <v>2132</v>
      </c>
      <c r="H2" s="243" t="s">
        <v>2336</v>
      </c>
      <c r="I2" s="178" t="s">
        <v>2337</v>
      </c>
    </row>
    <row r="3" spans="1:9" x14ac:dyDescent="0.55000000000000004">
      <c r="A3" s="181" t="s">
        <v>2323</v>
      </c>
      <c r="B3" s="105">
        <v>20124840</v>
      </c>
      <c r="C3" s="245"/>
      <c r="D3" s="176"/>
      <c r="E3" s="40" t="s">
        <v>2324</v>
      </c>
      <c r="F3" s="186">
        <v>28422840</v>
      </c>
      <c r="G3" s="34"/>
      <c r="H3" s="34"/>
      <c r="I3" s="34">
        <f>F3+G3-H3</f>
        <v>28422840</v>
      </c>
    </row>
    <row r="4" spans="1:9" x14ac:dyDescent="0.55000000000000004">
      <c r="A4" s="181"/>
      <c r="B4" s="105"/>
      <c r="C4" s="245"/>
      <c r="D4" s="176"/>
      <c r="E4" s="40" t="s">
        <v>2325</v>
      </c>
      <c r="F4" s="186">
        <v>0</v>
      </c>
      <c r="G4" s="34"/>
      <c r="H4" s="105"/>
      <c r="I4" s="34">
        <f>F4+G4-H4</f>
        <v>0</v>
      </c>
    </row>
    <row r="5" spans="1:9" x14ac:dyDescent="0.55000000000000004">
      <c r="A5" s="181"/>
      <c r="B5" s="105"/>
      <c r="C5" s="245"/>
      <c r="D5" s="176"/>
      <c r="E5" s="40" t="s">
        <v>2327</v>
      </c>
      <c r="F5" s="186">
        <v>0</v>
      </c>
      <c r="G5" s="105"/>
      <c r="H5" s="34"/>
      <c r="I5" s="34">
        <f>F5+G5-H5</f>
        <v>0</v>
      </c>
    </row>
    <row r="6" spans="1:9" x14ac:dyDescent="0.55000000000000004">
      <c r="A6" s="181"/>
      <c r="B6" s="105"/>
      <c r="C6" s="245"/>
      <c r="D6" s="176"/>
      <c r="E6" s="185" t="s">
        <v>2328</v>
      </c>
      <c r="F6" s="186">
        <v>0</v>
      </c>
      <c r="G6" s="186"/>
      <c r="H6" s="103"/>
      <c r="I6" s="34">
        <f>F6+G6-H6</f>
        <v>0</v>
      </c>
    </row>
    <row r="7" spans="1:9" x14ac:dyDescent="0.55000000000000004">
      <c r="A7" s="181"/>
      <c r="B7" s="105"/>
      <c r="C7" s="245"/>
      <c r="D7" s="176"/>
      <c r="E7" s="185"/>
      <c r="F7" s="186">
        <v>0</v>
      </c>
      <c r="G7" s="186"/>
      <c r="H7" s="103"/>
      <c r="I7" s="34">
        <f>F7+G7-H7</f>
        <v>0</v>
      </c>
    </row>
    <row r="8" spans="1:9" x14ac:dyDescent="0.55000000000000004">
      <c r="A8" s="181"/>
      <c r="B8" s="105"/>
      <c r="C8" s="245"/>
      <c r="D8" s="176"/>
      <c r="E8" s="185"/>
      <c r="F8" s="185"/>
      <c r="G8" s="185"/>
      <c r="H8" s="103"/>
      <c r="I8" s="103"/>
    </row>
    <row r="9" spans="1:9" ht="22.5" thickBot="1" x14ac:dyDescent="0.6">
      <c r="A9" s="181"/>
      <c r="B9" s="105"/>
      <c r="C9" s="245"/>
      <c r="D9" s="176"/>
      <c r="E9" s="189" t="s">
        <v>2330</v>
      </c>
      <c r="F9" s="189"/>
      <c r="G9" s="190">
        <f>SUM(G3:G8)</f>
        <v>0</v>
      </c>
      <c r="H9" s="246"/>
      <c r="I9" s="191">
        <f>SUM(I3:I8)</f>
        <v>28422840</v>
      </c>
    </row>
    <row r="10" spans="1:9" ht="22.5" thickTop="1" x14ac:dyDescent="0.55000000000000004">
      <c r="A10" s="181"/>
      <c r="B10" s="105"/>
      <c r="C10" s="245"/>
      <c r="D10" s="176"/>
      <c r="E10" s="193" t="s">
        <v>2226</v>
      </c>
      <c r="F10" s="40"/>
      <c r="G10" s="40"/>
      <c r="H10" s="34"/>
      <c r="I10" s="194"/>
    </row>
    <row r="11" spans="1:9" x14ac:dyDescent="0.55000000000000004">
      <c r="A11" s="181"/>
      <c r="B11" s="104"/>
      <c r="C11" s="34"/>
      <c r="D11" s="176"/>
      <c r="E11" s="40"/>
      <c r="F11" s="40"/>
      <c r="G11" s="40"/>
      <c r="H11" s="34"/>
      <c r="I11" s="34">
        <f>I9-I10</f>
        <v>28422840</v>
      </c>
    </row>
    <row r="12" spans="1:9" x14ac:dyDescent="0.55000000000000004">
      <c r="A12" s="181"/>
      <c r="B12" s="105"/>
      <c r="C12" s="245"/>
      <c r="D12" s="176"/>
    </row>
    <row r="13" spans="1:9" x14ac:dyDescent="0.55000000000000004">
      <c r="A13" s="181"/>
      <c r="B13" s="105"/>
      <c r="C13" s="245"/>
      <c r="D13" s="176"/>
      <c r="E13" s="181" t="s">
        <v>2230</v>
      </c>
      <c r="F13" s="181"/>
      <c r="G13" s="181"/>
      <c r="H13" s="247"/>
      <c r="I13" s="195">
        <f>I11</f>
        <v>28422840</v>
      </c>
    </row>
    <row r="14" spans="1:9" ht="22.5" x14ac:dyDescent="0.55000000000000004">
      <c r="A14" s="181"/>
      <c r="B14" s="105"/>
      <c r="C14" s="245"/>
      <c r="D14" s="176"/>
      <c r="E14" s="181" t="s">
        <v>2900</v>
      </c>
      <c r="F14" s="197"/>
      <c r="G14" s="197"/>
      <c r="H14" s="248"/>
      <c r="I14" s="195">
        <f>B22</f>
        <v>20124840</v>
      </c>
    </row>
    <row r="15" spans="1:9" ht="22.5" thickBot="1" x14ac:dyDescent="0.6">
      <c r="A15" s="181"/>
      <c r="B15" s="105"/>
      <c r="C15" s="245"/>
      <c r="D15" s="176"/>
      <c r="E15" s="199" t="s">
        <v>2233</v>
      </c>
      <c r="F15" s="199"/>
      <c r="G15" s="199"/>
      <c r="H15" s="249"/>
      <c r="I15" s="200">
        <f>I13-I14</f>
        <v>8298000</v>
      </c>
    </row>
    <row r="16" spans="1:9" ht="23.25" thickTop="1" thickBot="1" x14ac:dyDescent="0.6">
      <c r="A16" s="181"/>
      <c r="B16" s="186"/>
      <c r="C16" s="92"/>
      <c r="E16" s="199"/>
      <c r="F16" s="199"/>
      <c r="G16" s="199"/>
      <c r="H16" s="249"/>
      <c r="I16" s="201"/>
    </row>
    <row r="17" spans="1:3" ht="22.5" thickTop="1" x14ac:dyDescent="0.55000000000000004">
      <c r="A17" s="181"/>
      <c r="B17" s="186"/>
      <c r="C17" s="250"/>
    </row>
    <row r="18" spans="1:3" x14ac:dyDescent="0.55000000000000004">
      <c r="A18" s="181"/>
      <c r="B18" s="186"/>
      <c r="C18" s="250"/>
    </row>
    <row r="19" spans="1:3" x14ac:dyDescent="0.55000000000000004">
      <c r="A19" s="181"/>
      <c r="B19" s="186"/>
      <c r="C19" s="250"/>
    </row>
    <row r="20" spans="1:3" x14ac:dyDescent="0.55000000000000004">
      <c r="A20" s="193"/>
      <c r="B20" s="186"/>
      <c r="C20" s="250"/>
    </row>
    <row r="21" spans="1:3" x14ac:dyDescent="0.55000000000000004">
      <c r="A21" s="193"/>
      <c r="B21" s="186">
        <f>SUM(B3:B15)</f>
        <v>20124840</v>
      </c>
      <c r="C21" s="250">
        <f>SUM(C3:C15)</f>
        <v>0</v>
      </c>
    </row>
    <row r="22" spans="1:3" x14ac:dyDescent="0.55000000000000004">
      <c r="A22" s="181"/>
      <c r="B22" s="1306">
        <f>B21-C21</f>
        <v>20124840</v>
      </c>
      <c r="C22" s="1307"/>
    </row>
    <row r="23" spans="1:3" x14ac:dyDescent="0.55000000000000004">
      <c r="A23" s="1296"/>
      <c r="B23" s="1301"/>
      <c r="C23" s="1301"/>
    </row>
    <row r="24" spans="1:3" x14ac:dyDescent="0.55000000000000004">
      <c r="A24" s="1297"/>
      <c r="B24" s="1308"/>
      <c r="C24" s="1308"/>
    </row>
    <row r="25" spans="1:3" x14ac:dyDescent="0.55000000000000004">
      <c r="A25" s="1298"/>
      <c r="B25" s="1302"/>
      <c r="C25" s="1302"/>
    </row>
  </sheetData>
  <mergeCells count="6">
    <mergeCell ref="A25:C25"/>
    <mergeCell ref="A1:C1"/>
    <mergeCell ref="E1:I1"/>
    <mergeCell ref="B22:C22"/>
    <mergeCell ref="A23:C23"/>
    <mergeCell ref="A24:C24"/>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P177"/>
  <sheetViews>
    <sheetView zoomScaleNormal="100" workbookViewId="0">
      <selection activeCell="C4" sqref="C4"/>
    </sheetView>
  </sheetViews>
  <sheetFormatPr defaultColWidth="9.28515625" defaultRowHeight="21" x14ac:dyDescent="0.6"/>
  <cols>
    <col min="1" max="1" width="13.5703125" style="1061" customWidth="1"/>
    <col min="2" max="2" width="42.42578125" style="739" customWidth="1"/>
    <col min="3" max="3" width="28.140625" style="777" customWidth="1"/>
    <col min="4" max="16384" width="9.28515625" style="739"/>
  </cols>
  <sheetData>
    <row r="1" spans="1:3" x14ac:dyDescent="0.6">
      <c r="A1" s="1042"/>
      <c r="B1" s="1043" t="s">
        <v>8180</v>
      </c>
      <c r="C1" s="739"/>
    </row>
    <row r="2" spans="1:3" x14ac:dyDescent="0.6">
      <c r="A2" s="1042"/>
      <c r="C2" s="739"/>
    </row>
    <row r="3" spans="1:3" x14ac:dyDescent="0.6">
      <c r="A3" s="1044"/>
      <c r="B3" s="1045" t="s">
        <v>8184</v>
      </c>
      <c r="C3" s="1046"/>
    </row>
    <row r="4" spans="1:3" x14ac:dyDescent="0.6">
      <c r="A4" s="1047" t="s">
        <v>8181</v>
      </c>
      <c r="B4" s="1048" t="s">
        <v>8182</v>
      </c>
      <c r="C4" s="1048" t="s">
        <v>8183</v>
      </c>
    </row>
    <row r="5" spans="1:3" s="1051" customFormat="1" ht="21.75" x14ac:dyDescent="0.6">
      <c r="A5" s="1049">
        <v>44593</v>
      </c>
      <c r="B5" s="1050" t="s">
        <v>8189</v>
      </c>
      <c r="C5" s="856">
        <v>50000</v>
      </c>
    </row>
    <row r="6" spans="1:3" s="1051" customFormat="1" ht="21.75" x14ac:dyDescent="0.6">
      <c r="A6" s="1049">
        <v>44597</v>
      </c>
      <c r="B6" s="1050" t="s">
        <v>8189</v>
      </c>
      <c r="C6" s="856">
        <v>50000</v>
      </c>
    </row>
    <row r="7" spans="1:3" s="1051" customFormat="1" ht="21.75" x14ac:dyDescent="0.6">
      <c r="A7" s="1049">
        <v>44600</v>
      </c>
      <c r="B7" s="1050" t="s">
        <v>8189</v>
      </c>
      <c r="C7" s="856">
        <v>100000</v>
      </c>
    </row>
    <row r="8" spans="1:3" s="1051" customFormat="1" ht="21.75" x14ac:dyDescent="0.6">
      <c r="A8" s="1049">
        <v>44601</v>
      </c>
      <c r="B8" s="1050" t="s">
        <v>8190</v>
      </c>
      <c r="C8" s="856">
        <v>27400</v>
      </c>
    </row>
    <row r="9" spans="1:3" s="1051" customFormat="1" ht="21.75" x14ac:dyDescent="0.6">
      <c r="A9" s="1049">
        <v>44606</v>
      </c>
      <c r="B9" s="1050" t="s">
        <v>8189</v>
      </c>
      <c r="C9" s="856">
        <v>30000</v>
      </c>
    </row>
    <row r="10" spans="1:3" s="1051" customFormat="1" ht="21.75" x14ac:dyDescent="0.6">
      <c r="A10" s="1049">
        <v>44613</v>
      </c>
      <c r="B10" s="1050" t="s">
        <v>8189</v>
      </c>
      <c r="C10" s="856">
        <v>50000</v>
      </c>
    </row>
    <row r="11" spans="1:3" s="1051" customFormat="1" ht="21.75" x14ac:dyDescent="0.6">
      <c r="A11" s="1049">
        <v>44617</v>
      </c>
      <c r="B11" s="1050" t="s">
        <v>8189</v>
      </c>
      <c r="C11" s="856">
        <v>50000</v>
      </c>
    </row>
    <row r="12" spans="1:3" s="1051" customFormat="1" ht="21.75" x14ac:dyDescent="0.6">
      <c r="A12" s="1049">
        <v>44619</v>
      </c>
      <c r="B12" s="1050" t="s">
        <v>8191</v>
      </c>
      <c r="C12" s="856">
        <v>50000</v>
      </c>
    </row>
    <row r="13" spans="1:3" s="1051" customFormat="1" x14ac:dyDescent="0.6">
      <c r="A13" s="1049"/>
      <c r="B13" s="1052"/>
      <c r="C13" s="1053"/>
    </row>
    <row r="14" spans="1:3" s="1051" customFormat="1" ht="22.5" thickBot="1" x14ac:dyDescent="0.65">
      <c r="A14" s="1309" t="s">
        <v>8185</v>
      </c>
      <c r="B14" s="1310"/>
      <c r="C14" s="1054">
        <f>SUM(C5:C13)</f>
        <v>407400</v>
      </c>
    </row>
    <row r="15" spans="1:3" s="1051" customFormat="1" ht="21.75" thickTop="1" x14ac:dyDescent="0.6"/>
    <row r="16" spans="1:3" s="1051" customFormat="1" ht="21.75" x14ac:dyDescent="0.6">
      <c r="A16" s="1049"/>
      <c r="B16" s="1055" t="s">
        <v>8186</v>
      </c>
      <c r="C16" s="1052"/>
    </row>
    <row r="17" spans="1:5" s="1051" customFormat="1" x14ac:dyDescent="0.6">
      <c r="A17" s="1047" t="s">
        <v>8181</v>
      </c>
      <c r="B17" s="1048" t="s">
        <v>8182</v>
      </c>
      <c r="C17" s="1048" t="s">
        <v>8183</v>
      </c>
      <c r="D17" s="1056"/>
      <c r="E17" s="1056"/>
    </row>
    <row r="18" spans="1:5" s="1051" customFormat="1" ht="21.75" x14ac:dyDescent="0.6">
      <c r="A18" s="1070">
        <v>44594</v>
      </c>
      <c r="B18" s="851" t="s">
        <v>7878</v>
      </c>
      <c r="C18" s="860">
        <v>8000</v>
      </c>
      <c r="D18" s="1056"/>
      <c r="E18" s="1056"/>
    </row>
    <row r="19" spans="1:5" s="1051" customFormat="1" ht="21.75" x14ac:dyDescent="0.6">
      <c r="A19" s="1070">
        <v>44608</v>
      </c>
      <c r="B19" s="851" t="s">
        <v>7881</v>
      </c>
      <c r="C19" s="844">
        <v>20000</v>
      </c>
      <c r="D19" s="1056"/>
      <c r="E19" s="1056"/>
    </row>
    <row r="20" spans="1:5" s="1051" customFormat="1" ht="21.75" x14ac:dyDescent="0.6">
      <c r="A20" s="1070">
        <v>44610</v>
      </c>
      <c r="B20" s="855" t="s">
        <v>7882</v>
      </c>
      <c r="C20" s="844">
        <v>2000</v>
      </c>
      <c r="D20" s="1056"/>
      <c r="E20" s="1056"/>
    </row>
    <row r="21" spans="1:5" s="1051" customFormat="1" ht="21.75" x14ac:dyDescent="0.6">
      <c r="A21" s="1070">
        <v>44610</v>
      </c>
      <c r="B21" s="855" t="s">
        <v>7883</v>
      </c>
      <c r="C21" s="857">
        <v>5000</v>
      </c>
      <c r="D21" s="1056"/>
      <c r="E21" s="1056"/>
    </row>
    <row r="22" spans="1:5" ht="21.75" x14ac:dyDescent="0.6">
      <c r="A22" s="1071">
        <v>44612</v>
      </c>
      <c r="B22" s="852" t="s">
        <v>7884</v>
      </c>
      <c r="C22" s="860">
        <v>7300</v>
      </c>
    </row>
    <row r="23" spans="1:5" ht="21.75" x14ac:dyDescent="0.6">
      <c r="A23" s="1071">
        <v>44612</v>
      </c>
      <c r="B23" s="852" t="s">
        <v>7878</v>
      </c>
      <c r="C23" s="860">
        <v>10000</v>
      </c>
    </row>
    <row r="24" spans="1:5" ht="21.75" x14ac:dyDescent="0.6">
      <c r="A24" s="1072">
        <v>44620</v>
      </c>
      <c r="B24" s="1068" t="s">
        <v>7881</v>
      </c>
      <c r="C24" s="1069">
        <v>20000</v>
      </c>
    </row>
    <row r="25" spans="1:5" x14ac:dyDescent="0.6">
      <c r="A25" s="1057"/>
      <c r="B25" s="1058"/>
      <c r="C25" s="1059"/>
    </row>
    <row r="26" spans="1:5" ht="22.5" thickBot="1" x14ac:dyDescent="0.65">
      <c r="A26" s="1309" t="s">
        <v>8187</v>
      </c>
      <c r="B26" s="1310"/>
      <c r="C26" s="1060">
        <f>SUM(C18:C25)</f>
        <v>72300</v>
      </c>
    </row>
    <row r="27" spans="1:5" ht="21.75" thickTop="1" x14ac:dyDescent="0.6"/>
    <row r="29" spans="1:5" x14ac:dyDescent="0.6">
      <c r="A29" s="1309" t="s">
        <v>8185</v>
      </c>
      <c r="B29" s="1310"/>
      <c r="C29" s="1059">
        <f>C14</f>
        <v>407400</v>
      </c>
    </row>
    <row r="30" spans="1:5" x14ac:dyDescent="0.6">
      <c r="A30" s="1309" t="s">
        <v>8187</v>
      </c>
      <c r="B30" s="1310"/>
      <c r="C30" s="1059">
        <f>C26</f>
        <v>72300</v>
      </c>
    </row>
    <row r="31" spans="1:5" x14ac:dyDescent="0.6">
      <c r="A31" s="1312"/>
      <c r="B31" s="1313"/>
      <c r="C31" s="1062"/>
    </row>
    <row r="32" spans="1:5" ht="22.5" thickBot="1" x14ac:dyDescent="0.65">
      <c r="A32" s="1311" t="s">
        <v>8188</v>
      </c>
      <c r="B32" s="1311"/>
      <c r="C32" s="1063">
        <f>SUM(C29:C30)</f>
        <v>479700</v>
      </c>
    </row>
    <row r="33" ht="21.75" thickTop="1" x14ac:dyDescent="0.6"/>
    <row r="88" spans="11:16" x14ac:dyDescent="0.6">
      <c r="K88" s="1046"/>
      <c r="L88" s="1046"/>
      <c r="M88" s="1046"/>
      <c r="N88" s="1046"/>
      <c r="O88" s="1046"/>
      <c r="P88" s="1046"/>
    </row>
    <row r="116" spans="1:4" x14ac:dyDescent="0.6">
      <c r="A116" s="1044"/>
      <c r="B116" s="1046"/>
      <c r="C116" s="1046"/>
    </row>
    <row r="117" spans="1:4" x14ac:dyDescent="0.6">
      <c r="A117" s="1044"/>
      <c r="B117" s="1046"/>
      <c r="C117" s="1046"/>
    </row>
    <row r="118" spans="1:4" x14ac:dyDescent="0.6">
      <c r="A118" s="1044"/>
      <c r="B118" s="1046"/>
      <c r="C118" s="1046"/>
    </row>
    <row r="119" spans="1:4" x14ac:dyDescent="0.6">
      <c r="A119" s="1044"/>
      <c r="B119" s="1046"/>
      <c r="C119" s="1046"/>
    </row>
    <row r="120" spans="1:4" x14ac:dyDescent="0.6">
      <c r="A120" s="1044"/>
      <c r="B120" s="1046"/>
      <c r="C120" s="1046"/>
    </row>
    <row r="121" spans="1:4" x14ac:dyDescent="0.6">
      <c r="A121" s="1044"/>
      <c r="B121" s="1046"/>
      <c r="C121" s="1046"/>
      <c r="D121" s="1046"/>
    </row>
    <row r="122" spans="1:4" x14ac:dyDescent="0.6">
      <c r="A122" s="1044"/>
      <c r="B122" s="1046"/>
      <c r="C122" s="1046"/>
      <c r="D122" s="1046"/>
    </row>
    <row r="123" spans="1:4" x14ac:dyDescent="0.6">
      <c r="A123" s="1044"/>
      <c r="B123" s="1046"/>
      <c r="C123" s="1046"/>
      <c r="D123" s="1046"/>
    </row>
    <row r="124" spans="1:4" x14ac:dyDescent="0.6">
      <c r="A124" s="1044"/>
      <c r="B124" s="1046"/>
      <c r="C124" s="1046"/>
      <c r="D124" s="1046"/>
    </row>
    <row r="125" spans="1:4" x14ac:dyDescent="0.6">
      <c r="A125" s="1044"/>
      <c r="B125" s="1046"/>
      <c r="C125" s="1046"/>
      <c r="D125" s="1046"/>
    </row>
    <row r="126" spans="1:4" x14ac:dyDescent="0.6">
      <c r="A126" s="1042"/>
      <c r="C126" s="739"/>
      <c r="D126" s="1046"/>
    </row>
    <row r="127" spans="1:4" x14ac:dyDescent="0.6">
      <c r="A127" s="1042"/>
      <c r="C127" s="739"/>
      <c r="D127" s="1046"/>
    </row>
    <row r="128" spans="1:4" x14ac:dyDescent="0.6">
      <c r="A128" s="1064"/>
      <c r="B128" s="1065"/>
      <c r="C128" s="1066"/>
      <c r="D128" s="1046"/>
    </row>
    <row r="129" spans="1:4" x14ac:dyDescent="0.6">
      <c r="A129" s="1064"/>
      <c r="B129" s="1065"/>
      <c r="C129" s="1066"/>
      <c r="D129" s="1046"/>
    </row>
    <row r="130" spans="1:4" x14ac:dyDescent="0.6">
      <c r="A130" s="1064"/>
      <c r="B130" s="1065"/>
      <c r="C130" s="1066"/>
      <c r="D130" s="1046"/>
    </row>
    <row r="131" spans="1:4" x14ac:dyDescent="0.6">
      <c r="A131" s="1064"/>
      <c r="B131" s="1065"/>
      <c r="C131" s="1066"/>
    </row>
    <row r="132" spans="1:4" x14ac:dyDescent="0.6">
      <c r="A132" s="1064"/>
      <c r="B132" s="1065"/>
      <c r="C132" s="1066"/>
    </row>
    <row r="133" spans="1:4" x14ac:dyDescent="0.6">
      <c r="A133" s="1064"/>
      <c r="B133" s="1065"/>
      <c r="C133" s="1066"/>
      <c r="D133" s="1065"/>
    </row>
    <row r="134" spans="1:4" x14ac:dyDescent="0.6">
      <c r="A134" s="1064"/>
      <c r="B134" s="1065"/>
      <c r="C134" s="1066"/>
      <c r="D134" s="1065"/>
    </row>
    <row r="135" spans="1:4" x14ac:dyDescent="0.6">
      <c r="A135" s="1064"/>
      <c r="B135" s="1065"/>
      <c r="C135" s="1066"/>
      <c r="D135" s="1065"/>
    </row>
    <row r="136" spans="1:4" x14ac:dyDescent="0.6">
      <c r="A136" s="1064"/>
      <c r="B136" s="1065"/>
      <c r="C136" s="1066"/>
      <c r="D136" s="1065"/>
    </row>
    <row r="137" spans="1:4" x14ac:dyDescent="0.6">
      <c r="A137" s="1064"/>
      <c r="B137" s="1065"/>
      <c r="C137" s="1066"/>
      <c r="D137" s="1065"/>
    </row>
    <row r="138" spans="1:4" x14ac:dyDescent="0.6">
      <c r="A138" s="1064"/>
      <c r="B138" s="1065"/>
      <c r="C138" s="1066"/>
      <c r="D138" s="1065"/>
    </row>
    <row r="139" spans="1:4" x14ac:dyDescent="0.6">
      <c r="A139" s="1064"/>
      <c r="B139" s="1065"/>
      <c r="C139" s="1066"/>
      <c r="D139" s="1067"/>
    </row>
    <row r="140" spans="1:4" x14ac:dyDescent="0.6">
      <c r="A140" s="1064"/>
      <c r="B140" s="1065"/>
      <c r="C140" s="1066"/>
      <c r="D140" s="1065"/>
    </row>
    <row r="141" spans="1:4" x14ac:dyDescent="0.6">
      <c r="A141" s="1064"/>
      <c r="B141" s="1065"/>
      <c r="C141" s="1066"/>
      <c r="D141" s="1065"/>
    </row>
    <row r="142" spans="1:4" x14ac:dyDescent="0.6">
      <c r="D142" s="1065"/>
    </row>
    <row r="143" spans="1:4" x14ac:dyDescent="0.6">
      <c r="D143" s="1065"/>
    </row>
    <row r="144" spans="1:4" x14ac:dyDescent="0.6">
      <c r="D144" s="1065"/>
    </row>
    <row r="145" spans="4:4" x14ac:dyDescent="0.6">
      <c r="D145" s="1065"/>
    </row>
    <row r="146" spans="4:4" x14ac:dyDescent="0.6">
      <c r="D146" s="1065"/>
    </row>
    <row r="163" spans="1:4" x14ac:dyDescent="0.6">
      <c r="A163" s="1061" t="s">
        <v>2154</v>
      </c>
    </row>
    <row r="174" spans="1:4" x14ac:dyDescent="0.6">
      <c r="D174" s="739" t="s">
        <v>2391</v>
      </c>
    </row>
    <row r="175" spans="1:4" x14ac:dyDescent="0.6">
      <c r="D175" s="739" t="s">
        <v>2392</v>
      </c>
    </row>
    <row r="176" spans="1:4" x14ac:dyDescent="0.6">
      <c r="D176" s="739" t="s">
        <v>2393</v>
      </c>
    </row>
    <row r="177" spans="4:4" x14ac:dyDescent="0.6">
      <c r="D177" s="739" t="s">
        <v>2394</v>
      </c>
    </row>
  </sheetData>
  <mergeCells count="6">
    <mergeCell ref="A14:B14"/>
    <mergeCell ref="A32:B32"/>
    <mergeCell ref="A30:B30"/>
    <mergeCell ref="A29:B29"/>
    <mergeCell ref="A26:B26"/>
    <mergeCell ref="A31:B31"/>
  </mergeCells>
  <pageMargins left="0.25" right="0.25" top="0.75" bottom="0.75" header="0.3" footer="0.3"/>
  <pageSetup paperSize="9" scale="105"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E288"/>
  <sheetViews>
    <sheetView zoomScale="95" zoomScaleNormal="95" workbookViewId="0">
      <selection activeCell="C4" sqref="C4:C10"/>
    </sheetView>
  </sheetViews>
  <sheetFormatPr defaultColWidth="8.7109375" defaultRowHeight="21" x14ac:dyDescent="0.6"/>
  <cols>
    <col min="1" max="1" width="14.5703125" style="739" customWidth="1"/>
    <col min="2" max="2" width="18.140625" style="777" customWidth="1"/>
    <col min="3" max="3" width="31" style="777" customWidth="1"/>
    <col min="4" max="4" width="14.5703125" style="739" customWidth="1"/>
    <col min="5" max="5" width="15.140625" style="739" customWidth="1"/>
    <col min="6" max="16384" width="8.7109375" style="739"/>
  </cols>
  <sheetData>
    <row r="2" spans="1:5" x14ac:dyDescent="0.6">
      <c r="C2" s="1035"/>
    </row>
    <row r="3" spans="1:5" x14ac:dyDescent="0.6">
      <c r="A3" s="1036" t="s">
        <v>12</v>
      </c>
      <c r="B3" s="1036" t="s">
        <v>84</v>
      </c>
      <c r="C3" s="1036" t="s">
        <v>13</v>
      </c>
      <c r="D3" s="1037" t="s">
        <v>2762</v>
      </c>
      <c r="E3" s="1038" t="s">
        <v>2776</v>
      </c>
    </row>
    <row r="4" spans="1:5" x14ac:dyDescent="0.6">
      <c r="A4" s="1039">
        <v>44594</v>
      </c>
      <c r="B4" s="1040" t="s">
        <v>985</v>
      </c>
      <c r="C4" s="1041" t="s">
        <v>7878</v>
      </c>
      <c r="D4" s="1038"/>
      <c r="E4" s="1038">
        <v>8000</v>
      </c>
    </row>
    <row r="5" spans="1:5" x14ac:dyDescent="0.6">
      <c r="A5" s="1039">
        <v>44608</v>
      </c>
      <c r="B5" s="1040" t="s">
        <v>985</v>
      </c>
      <c r="C5" s="1041" t="s">
        <v>7881</v>
      </c>
      <c r="D5" s="1038"/>
      <c r="E5" s="1038">
        <v>20000</v>
      </c>
    </row>
    <row r="6" spans="1:5" x14ac:dyDescent="0.6">
      <c r="A6" s="1039">
        <v>44610</v>
      </c>
      <c r="B6" s="1040" t="s">
        <v>985</v>
      </c>
      <c r="C6" s="1041" t="s">
        <v>7882</v>
      </c>
      <c r="D6" s="1038"/>
      <c r="E6" s="1038">
        <v>2000</v>
      </c>
    </row>
    <row r="7" spans="1:5" x14ac:dyDescent="0.6">
      <c r="A7" s="1039">
        <v>44610</v>
      </c>
      <c r="B7" s="1040" t="s">
        <v>985</v>
      </c>
      <c r="C7" s="1041" t="s">
        <v>7883</v>
      </c>
      <c r="D7" s="1038"/>
      <c r="E7" s="1038">
        <v>5000</v>
      </c>
    </row>
    <row r="8" spans="1:5" x14ac:dyDescent="0.6">
      <c r="A8" s="1039">
        <v>44612</v>
      </c>
      <c r="B8" s="1040" t="s">
        <v>985</v>
      </c>
      <c r="C8" s="1041" t="s">
        <v>7878</v>
      </c>
      <c r="D8" s="1038"/>
      <c r="E8" s="1038">
        <v>10000</v>
      </c>
    </row>
    <row r="9" spans="1:5" x14ac:dyDescent="0.6">
      <c r="A9" s="1039">
        <v>44612</v>
      </c>
      <c r="B9" s="1040" t="s">
        <v>985</v>
      </c>
      <c r="C9" s="1041" t="s">
        <v>7884</v>
      </c>
      <c r="D9" s="1038"/>
      <c r="E9" s="1038">
        <v>7300</v>
      </c>
    </row>
    <row r="10" spans="1:5" x14ac:dyDescent="0.6">
      <c r="A10" s="1039">
        <v>44620</v>
      </c>
      <c r="B10" s="1040" t="s">
        <v>985</v>
      </c>
      <c r="C10" s="1041" t="s">
        <v>7881</v>
      </c>
      <c r="D10" s="1038"/>
      <c r="E10" s="1038">
        <v>20000</v>
      </c>
    </row>
    <row r="11" spans="1:5" x14ac:dyDescent="0.6">
      <c r="A11" s="1040" t="s">
        <v>2049</v>
      </c>
      <c r="B11" s="1040"/>
      <c r="C11" s="1040"/>
      <c r="D11" s="1038"/>
      <c r="E11" s="1038">
        <v>72300</v>
      </c>
    </row>
    <row r="12" spans="1:5" x14ac:dyDescent="0.6">
      <c r="A12"/>
      <c r="B12"/>
      <c r="C12"/>
      <c r="D12"/>
      <c r="E12"/>
    </row>
    <row r="13" spans="1:5" x14ac:dyDescent="0.6">
      <c r="A13"/>
      <c r="B13"/>
      <c r="C13"/>
      <c r="D13"/>
      <c r="E13"/>
    </row>
    <row r="14" spans="1:5" x14ac:dyDescent="0.6">
      <c r="A14"/>
      <c r="B14"/>
      <c r="C14"/>
      <c r="D14"/>
      <c r="E14"/>
    </row>
    <row r="15" spans="1:5" x14ac:dyDescent="0.6">
      <c r="A15"/>
      <c r="B15"/>
      <c r="C15"/>
      <c r="D15"/>
      <c r="E15"/>
    </row>
    <row r="16" spans="1:5" x14ac:dyDescent="0.6">
      <c r="B16" s="739"/>
      <c r="C16" s="739"/>
    </row>
    <row r="17" spans="2:3" x14ac:dyDescent="0.6">
      <c r="B17" s="739"/>
      <c r="C17" s="739"/>
    </row>
    <row r="18" spans="2:3" x14ac:dyDescent="0.6">
      <c r="B18" s="739"/>
      <c r="C18" s="739"/>
    </row>
    <row r="19" spans="2:3" x14ac:dyDescent="0.6">
      <c r="B19" s="739"/>
      <c r="C19" s="739"/>
    </row>
    <row r="20" spans="2:3" x14ac:dyDescent="0.6">
      <c r="B20" s="739"/>
      <c r="C20" s="739"/>
    </row>
    <row r="21" spans="2:3" x14ac:dyDescent="0.6">
      <c r="B21" s="739"/>
      <c r="C21" s="739"/>
    </row>
    <row r="22" spans="2:3" x14ac:dyDescent="0.6">
      <c r="B22" s="739"/>
      <c r="C22" s="739"/>
    </row>
    <row r="23" spans="2:3" x14ac:dyDescent="0.6">
      <c r="B23" s="739"/>
      <c r="C23" s="739"/>
    </row>
    <row r="24" spans="2:3" x14ac:dyDescent="0.6">
      <c r="B24" s="739"/>
      <c r="C24" s="739"/>
    </row>
    <row r="25" spans="2:3" x14ac:dyDescent="0.6">
      <c r="B25" s="739"/>
      <c r="C25" s="739"/>
    </row>
    <row r="26" spans="2:3" x14ac:dyDescent="0.6">
      <c r="B26" s="739"/>
      <c r="C26" s="739"/>
    </row>
    <row r="27" spans="2:3" x14ac:dyDescent="0.6">
      <c r="B27" s="739"/>
      <c r="C27" s="739"/>
    </row>
    <row r="28" spans="2:3" x14ac:dyDescent="0.6">
      <c r="B28" s="739"/>
      <c r="C28" s="739"/>
    </row>
    <row r="29" spans="2:3" x14ac:dyDescent="0.6">
      <c r="B29" s="739"/>
      <c r="C29" s="739"/>
    </row>
    <row r="30" spans="2:3" x14ac:dyDescent="0.6">
      <c r="B30" s="739"/>
      <c r="C30" s="739"/>
    </row>
    <row r="31" spans="2:3" x14ac:dyDescent="0.6">
      <c r="B31" s="739"/>
      <c r="C31" s="739"/>
    </row>
    <row r="32" spans="2:3" x14ac:dyDescent="0.6">
      <c r="B32" s="739"/>
      <c r="C32" s="739"/>
    </row>
    <row r="33" spans="2:3" x14ac:dyDescent="0.6">
      <c r="B33" s="739"/>
      <c r="C33" s="739"/>
    </row>
    <row r="34" spans="2:3" x14ac:dyDescent="0.6">
      <c r="B34" s="739"/>
      <c r="C34" s="739"/>
    </row>
    <row r="35" spans="2:3" x14ac:dyDescent="0.6">
      <c r="B35" s="739"/>
      <c r="C35" s="739"/>
    </row>
    <row r="36" spans="2:3" x14ac:dyDescent="0.6">
      <c r="B36" s="739"/>
      <c r="C36" s="739"/>
    </row>
    <row r="37" spans="2:3" x14ac:dyDescent="0.6">
      <c r="B37" s="739"/>
      <c r="C37" s="739"/>
    </row>
    <row r="38" spans="2:3" x14ac:dyDescent="0.6">
      <c r="B38" s="739"/>
      <c r="C38" s="739"/>
    </row>
    <row r="39" spans="2:3" x14ac:dyDescent="0.6">
      <c r="B39" s="739"/>
      <c r="C39" s="739"/>
    </row>
    <row r="40" spans="2:3" x14ac:dyDescent="0.6">
      <c r="B40" s="739"/>
      <c r="C40" s="739"/>
    </row>
    <row r="41" spans="2:3" x14ac:dyDescent="0.6">
      <c r="B41" s="739"/>
      <c r="C41" s="739"/>
    </row>
    <row r="42" spans="2:3" x14ac:dyDescent="0.6">
      <c r="B42" s="739"/>
      <c r="C42" s="739"/>
    </row>
    <row r="43" spans="2:3" x14ac:dyDescent="0.6">
      <c r="B43" s="739"/>
      <c r="C43" s="739"/>
    </row>
    <row r="44" spans="2:3" x14ac:dyDescent="0.6">
      <c r="B44" s="739"/>
      <c r="C44" s="739"/>
    </row>
    <row r="45" spans="2:3" x14ac:dyDescent="0.6">
      <c r="B45" s="739"/>
      <c r="C45" s="739"/>
    </row>
    <row r="46" spans="2:3" x14ac:dyDescent="0.6">
      <c r="B46" s="739"/>
      <c r="C46" s="739"/>
    </row>
    <row r="47" spans="2:3" x14ac:dyDescent="0.6">
      <c r="B47" s="739"/>
      <c r="C47" s="739"/>
    </row>
    <row r="48" spans="2:3" x14ac:dyDescent="0.6">
      <c r="B48" s="739"/>
      <c r="C48" s="739"/>
    </row>
    <row r="49" spans="2:3" x14ac:dyDescent="0.6">
      <c r="B49" s="739"/>
      <c r="C49" s="739"/>
    </row>
    <row r="50" spans="2:3" x14ac:dyDescent="0.6">
      <c r="B50" s="739"/>
      <c r="C50" s="739"/>
    </row>
    <row r="51" spans="2:3" x14ac:dyDescent="0.6">
      <c r="B51" s="739"/>
      <c r="C51" s="739"/>
    </row>
    <row r="52" spans="2:3" x14ac:dyDescent="0.6">
      <c r="B52" s="739"/>
      <c r="C52" s="739"/>
    </row>
    <row r="53" spans="2:3" x14ac:dyDescent="0.6">
      <c r="B53" s="739"/>
      <c r="C53" s="739"/>
    </row>
    <row r="54" spans="2:3" x14ac:dyDescent="0.6">
      <c r="B54" s="739"/>
      <c r="C54" s="739"/>
    </row>
    <row r="55" spans="2:3" x14ac:dyDescent="0.6">
      <c r="B55" s="739"/>
      <c r="C55" s="739"/>
    </row>
    <row r="56" spans="2:3" x14ac:dyDescent="0.6">
      <c r="B56" s="739"/>
      <c r="C56" s="739"/>
    </row>
    <row r="57" spans="2:3" x14ac:dyDescent="0.6">
      <c r="B57" s="739"/>
      <c r="C57" s="739"/>
    </row>
    <row r="58" spans="2:3" x14ac:dyDescent="0.6">
      <c r="B58" s="739"/>
      <c r="C58" s="739"/>
    </row>
    <row r="59" spans="2:3" x14ac:dyDescent="0.6">
      <c r="B59" s="739"/>
      <c r="C59" s="739"/>
    </row>
    <row r="60" spans="2:3" x14ac:dyDescent="0.6">
      <c r="B60" s="739"/>
      <c r="C60" s="739"/>
    </row>
    <row r="61" spans="2:3" x14ac:dyDescent="0.6">
      <c r="B61" s="739"/>
      <c r="C61" s="739"/>
    </row>
    <row r="62" spans="2:3" x14ac:dyDescent="0.6">
      <c r="B62" s="739"/>
      <c r="C62" s="739"/>
    </row>
    <row r="63" spans="2:3" x14ac:dyDescent="0.6">
      <c r="B63" s="739"/>
      <c r="C63" s="739"/>
    </row>
    <row r="64" spans="2:3" x14ac:dyDescent="0.6">
      <c r="B64" s="739"/>
      <c r="C64" s="739"/>
    </row>
    <row r="65" spans="2:3" x14ac:dyDescent="0.6">
      <c r="B65" s="739"/>
      <c r="C65" s="739"/>
    </row>
    <row r="66" spans="2:3" x14ac:dyDescent="0.6">
      <c r="B66" s="739"/>
      <c r="C66" s="739"/>
    </row>
    <row r="67" spans="2:3" x14ac:dyDescent="0.6">
      <c r="B67" s="739"/>
      <c r="C67" s="739"/>
    </row>
    <row r="68" spans="2:3" x14ac:dyDescent="0.6">
      <c r="B68" s="739"/>
      <c r="C68" s="739"/>
    </row>
    <row r="69" spans="2:3" x14ac:dyDescent="0.6">
      <c r="B69" s="739"/>
      <c r="C69" s="739"/>
    </row>
    <row r="70" spans="2:3" x14ac:dyDescent="0.6">
      <c r="B70" s="739"/>
      <c r="C70" s="739"/>
    </row>
    <row r="71" spans="2:3" x14ac:dyDescent="0.6">
      <c r="B71" s="739"/>
      <c r="C71" s="739"/>
    </row>
    <row r="72" spans="2:3" x14ac:dyDescent="0.6">
      <c r="B72" s="739"/>
      <c r="C72" s="739"/>
    </row>
    <row r="73" spans="2:3" x14ac:dyDescent="0.6">
      <c r="B73" s="739"/>
      <c r="C73" s="739"/>
    </row>
    <row r="74" spans="2:3" x14ac:dyDescent="0.6">
      <c r="B74" s="739"/>
      <c r="C74" s="739"/>
    </row>
    <row r="75" spans="2:3" x14ac:dyDescent="0.6">
      <c r="B75" s="739"/>
      <c r="C75" s="739"/>
    </row>
    <row r="76" spans="2:3" x14ac:dyDescent="0.6">
      <c r="B76" s="739"/>
      <c r="C76" s="739"/>
    </row>
    <row r="77" spans="2:3" x14ac:dyDescent="0.6">
      <c r="B77" s="739"/>
      <c r="C77" s="739"/>
    </row>
    <row r="78" spans="2:3" x14ac:dyDescent="0.6">
      <c r="B78" s="739"/>
      <c r="C78" s="739"/>
    </row>
    <row r="79" spans="2:3" x14ac:dyDescent="0.6">
      <c r="B79" s="739"/>
      <c r="C79" s="739"/>
    </row>
    <row r="80" spans="2:3" x14ac:dyDescent="0.6">
      <c r="B80" s="739"/>
      <c r="C80" s="739"/>
    </row>
    <row r="81" spans="2:3" x14ac:dyDescent="0.6">
      <c r="B81" s="739"/>
      <c r="C81" s="739"/>
    </row>
    <row r="82" spans="2:3" x14ac:dyDescent="0.6">
      <c r="B82" s="739"/>
      <c r="C82" s="739"/>
    </row>
    <row r="83" spans="2:3" x14ac:dyDescent="0.6">
      <c r="B83" s="739"/>
      <c r="C83" s="739"/>
    </row>
    <row r="84" spans="2:3" x14ac:dyDescent="0.6">
      <c r="B84" s="739"/>
      <c r="C84" s="739"/>
    </row>
    <row r="85" spans="2:3" x14ac:dyDescent="0.6">
      <c r="B85" s="739"/>
      <c r="C85" s="739"/>
    </row>
    <row r="86" spans="2:3" x14ac:dyDescent="0.6">
      <c r="B86" s="739"/>
      <c r="C86" s="739"/>
    </row>
    <row r="87" spans="2:3" x14ac:dyDescent="0.6">
      <c r="B87" s="739"/>
      <c r="C87" s="739"/>
    </row>
    <row r="88" spans="2:3" x14ac:dyDescent="0.6">
      <c r="B88" s="739"/>
      <c r="C88" s="739"/>
    </row>
    <row r="89" spans="2:3" x14ac:dyDescent="0.6">
      <c r="B89" s="739"/>
      <c r="C89" s="739"/>
    </row>
    <row r="90" spans="2:3" x14ac:dyDescent="0.6">
      <c r="B90" s="739"/>
      <c r="C90" s="739"/>
    </row>
    <row r="91" spans="2:3" x14ac:dyDescent="0.6">
      <c r="B91" s="739"/>
      <c r="C91" s="739"/>
    </row>
    <row r="92" spans="2:3" x14ac:dyDescent="0.6">
      <c r="B92" s="739"/>
      <c r="C92" s="739"/>
    </row>
    <row r="93" spans="2:3" x14ac:dyDescent="0.6">
      <c r="B93" s="739"/>
      <c r="C93" s="739"/>
    </row>
    <row r="94" spans="2:3" x14ac:dyDescent="0.6">
      <c r="B94" s="739"/>
      <c r="C94" s="739"/>
    </row>
    <row r="95" spans="2:3" x14ac:dyDescent="0.6">
      <c r="B95" s="739"/>
      <c r="C95" s="739"/>
    </row>
    <row r="96" spans="2:3" x14ac:dyDescent="0.6">
      <c r="B96" s="739"/>
      <c r="C96" s="739"/>
    </row>
    <row r="97" spans="2:3" x14ac:dyDescent="0.6">
      <c r="B97" s="739"/>
      <c r="C97" s="739"/>
    </row>
    <row r="98" spans="2:3" x14ac:dyDescent="0.6">
      <c r="B98" s="739"/>
      <c r="C98" s="739"/>
    </row>
    <row r="99" spans="2:3" x14ac:dyDescent="0.6">
      <c r="B99" s="739"/>
      <c r="C99" s="739"/>
    </row>
    <row r="100" spans="2:3" x14ac:dyDescent="0.6">
      <c r="B100" s="739"/>
      <c r="C100" s="739"/>
    </row>
    <row r="101" spans="2:3" x14ac:dyDescent="0.6">
      <c r="B101" s="739"/>
      <c r="C101" s="739"/>
    </row>
    <row r="102" spans="2:3" x14ac:dyDescent="0.6">
      <c r="B102" s="739"/>
      <c r="C102" s="739"/>
    </row>
    <row r="103" spans="2:3" x14ac:dyDescent="0.6">
      <c r="B103" s="739"/>
      <c r="C103" s="739"/>
    </row>
    <row r="104" spans="2:3" x14ac:dyDescent="0.6">
      <c r="B104" s="739"/>
      <c r="C104" s="739"/>
    </row>
    <row r="105" spans="2:3" x14ac:dyDescent="0.6">
      <c r="B105" s="739"/>
      <c r="C105" s="739"/>
    </row>
    <row r="106" spans="2:3" x14ac:dyDescent="0.6">
      <c r="B106" s="739"/>
      <c r="C106" s="739"/>
    </row>
    <row r="107" spans="2:3" x14ac:dyDescent="0.6">
      <c r="B107" s="739"/>
      <c r="C107" s="739"/>
    </row>
    <row r="108" spans="2:3" x14ac:dyDescent="0.6">
      <c r="B108" s="739"/>
      <c r="C108" s="739"/>
    </row>
    <row r="109" spans="2:3" x14ac:dyDescent="0.6">
      <c r="B109" s="739"/>
      <c r="C109" s="739"/>
    </row>
    <row r="110" spans="2:3" x14ac:dyDescent="0.6">
      <c r="B110" s="739"/>
      <c r="C110" s="739"/>
    </row>
    <row r="111" spans="2:3" x14ac:dyDescent="0.6">
      <c r="B111" s="739"/>
      <c r="C111" s="739"/>
    </row>
    <row r="112" spans="2:3" x14ac:dyDescent="0.6">
      <c r="B112" s="739"/>
      <c r="C112" s="739"/>
    </row>
    <row r="113" spans="2:3" x14ac:dyDescent="0.6">
      <c r="B113" s="739"/>
      <c r="C113" s="739"/>
    </row>
    <row r="114" spans="2:3" x14ac:dyDescent="0.6">
      <c r="B114" s="739"/>
      <c r="C114" s="739"/>
    </row>
    <row r="115" spans="2:3" x14ac:dyDescent="0.6">
      <c r="B115" s="739"/>
      <c r="C115" s="739"/>
    </row>
    <row r="116" spans="2:3" x14ac:dyDescent="0.6">
      <c r="B116" s="739"/>
      <c r="C116" s="739"/>
    </row>
    <row r="117" spans="2:3" x14ac:dyDescent="0.6">
      <c r="B117" s="739"/>
      <c r="C117" s="739"/>
    </row>
    <row r="118" spans="2:3" x14ac:dyDescent="0.6">
      <c r="B118" s="739"/>
      <c r="C118" s="739"/>
    </row>
    <row r="119" spans="2:3" x14ac:dyDescent="0.6">
      <c r="B119" s="739"/>
      <c r="C119" s="739"/>
    </row>
    <row r="120" spans="2:3" x14ac:dyDescent="0.6">
      <c r="B120" s="739"/>
      <c r="C120" s="739"/>
    </row>
    <row r="121" spans="2:3" x14ac:dyDescent="0.6">
      <c r="B121" s="739"/>
      <c r="C121" s="739"/>
    </row>
    <row r="122" spans="2:3" x14ac:dyDescent="0.6">
      <c r="B122" s="739"/>
      <c r="C122" s="739"/>
    </row>
    <row r="123" spans="2:3" x14ac:dyDescent="0.6">
      <c r="B123" s="739"/>
      <c r="C123" s="739"/>
    </row>
    <row r="124" spans="2:3" x14ac:dyDescent="0.6">
      <c r="B124" s="739"/>
      <c r="C124" s="739"/>
    </row>
    <row r="125" spans="2:3" x14ac:dyDescent="0.6">
      <c r="B125" s="739"/>
      <c r="C125" s="739"/>
    </row>
    <row r="126" spans="2:3" x14ac:dyDescent="0.6">
      <c r="B126" s="739"/>
      <c r="C126" s="739"/>
    </row>
    <row r="127" spans="2:3" x14ac:dyDescent="0.6">
      <c r="B127" s="739"/>
      <c r="C127" s="739"/>
    </row>
    <row r="128" spans="2:3" x14ac:dyDescent="0.6">
      <c r="B128" s="739"/>
      <c r="C128" s="739"/>
    </row>
    <row r="129" spans="2:3" x14ac:dyDescent="0.6">
      <c r="B129" s="739"/>
      <c r="C129" s="739"/>
    </row>
    <row r="130" spans="2:3" x14ac:dyDescent="0.6">
      <c r="B130" s="739"/>
      <c r="C130" s="739"/>
    </row>
    <row r="131" spans="2:3" x14ac:dyDescent="0.6">
      <c r="B131" s="739"/>
      <c r="C131" s="739"/>
    </row>
    <row r="132" spans="2:3" x14ac:dyDescent="0.6">
      <c r="B132" s="739"/>
      <c r="C132" s="739"/>
    </row>
    <row r="133" spans="2:3" x14ac:dyDescent="0.6">
      <c r="B133" s="739"/>
      <c r="C133" s="739"/>
    </row>
    <row r="134" spans="2:3" x14ac:dyDescent="0.6">
      <c r="B134" s="739"/>
      <c r="C134" s="739"/>
    </row>
    <row r="135" spans="2:3" x14ac:dyDescent="0.6">
      <c r="B135" s="739"/>
      <c r="C135" s="739"/>
    </row>
    <row r="136" spans="2:3" x14ac:dyDescent="0.6">
      <c r="B136" s="739"/>
      <c r="C136" s="739"/>
    </row>
    <row r="137" spans="2:3" x14ac:dyDescent="0.6">
      <c r="B137" s="739"/>
      <c r="C137" s="739"/>
    </row>
    <row r="138" spans="2:3" x14ac:dyDescent="0.6">
      <c r="B138" s="739"/>
      <c r="C138" s="739"/>
    </row>
    <row r="139" spans="2:3" x14ac:dyDescent="0.6">
      <c r="B139" s="739"/>
      <c r="C139" s="739"/>
    </row>
    <row r="140" spans="2:3" x14ac:dyDescent="0.6">
      <c r="B140" s="739"/>
      <c r="C140" s="739"/>
    </row>
    <row r="141" spans="2:3" x14ac:dyDescent="0.6">
      <c r="B141" s="739"/>
      <c r="C141" s="739"/>
    </row>
    <row r="142" spans="2:3" x14ac:dyDescent="0.6">
      <c r="B142" s="739"/>
      <c r="C142" s="739"/>
    </row>
    <row r="143" spans="2:3" x14ac:dyDescent="0.6">
      <c r="B143" s="739"/>
      <c r="C143" s="739"/>
    </row>
    <row r="144" spans="2:3" x14ac:dyDescent="0.6">
      <c r="B144" s="739"/>
      <c r="C144" s="739"/>
    </row>
    <row r="145" spans="2:3" x14ac:dyDescent="0.6">
      <c r="B145" s="739"/>
      <c r="C145" s="739"/>
    </row>
    <row r="146" spans="2:3" x14ac:dyDescent="0.6">
      <c r="B146" s="739"/>
      <c r="C146" s="739"/>
    </row>
    <row r="147" spans="2:3" x14ac:dyDescent="0.6">
      <c r="B147" s="739"/>
      <c r="C147" s="739"/>
    </row>
    <row r="148" spans="2:3" x14ac:dyDescent="0.6">
      <c r="B148" s="739"/>
      <c r="C148" s="739"/>
    </row>
    <row r="149" spans="2:3" x14ac:dyDescent="0.6">
      <c r="B149" s="739"/>
      <c r="C149" s="739"/>
    </row>
    <row r="150" spans="2:3" x14ac:dyDescent="0.6">
      <c r="B150" s="739"/>
      <c r="C150" s="739"/>
    </row>
    <row r="151" spans="2:3" x14ac:dyDescent="0.6">
      <c r="B151" s="739"/>
      <c r="C151" s="739"/>
    </row>
    <row r="152" spans="2:3" x14ac:dyDescent="0.6">
      <c r="B152" s="739"/>
      <c r="C152" s="739"/>
    </row>
    <row r="153" spans="2:3" x14ac:dyDescent="0.6">
      <c r="B153" s="739"/>
      <c r="C153" s="739"/>
    </row>
    <row r="154" spans="2:3" x14ac:dyDescent="0.6">
      <c r="B154" s="739"/>
      <c r="C154" s="739"/>
    </row>
    <row r="155" spans="2:3" x14ac:dyDescent="0.6">
      <c r="B155" s="739"/>
      <c r="C155" s="739"/>
    </row>
    <row r="156" spans="2:3" x14ac:dyDescent="0.6">
      <c r="B156" s="739"/>
      <c r="C156" s="739"/>
    </row>
    <row r="157" spans="2:3" x14ac:dyDescent="0.6">
      <c r="B157" s="739"/>
      <c r="C157" s="739"/>
    </row>
    <row r="158" spans="2:3" x14ac:dyDescent="0.6">
      <c r="B158" s="739"/>
      <c r="C158" s="739"/>
    </row>
    <row r="159" spans="2:3" x14ac:dyDescent="0.6">
      <c r="B159" s="739"/>
      <c r="C159" s="739"/>
    </row>
    <row r="160" spans="2:3" x14ac:dyDescent="0.6">
      <c r="B160" s="739"/>
      <c r="C160" s="739"/>
    </row>
    <row r="161" spans="2:3" x14ac:dyDescent="0.6">
      <c r="B161" s="739"/>
      <c r="C161" s="739"/>
    </row>
    <row r="162" spans="2:3" x14ac:dyDescent="0.6">
      <c r="B162" s="739"/>
      <c r="C162" s="739"/>
    </row>
    <row r="163" spans="2:3" x14ac:dyDescent="0.6">
      <c r="B163" s="739"/>
      <c r="C163" s="739"/>
    </row>
    <row r="164" spans="2:3" x14ac:dyDescent="0.6">
      <c r="B164" s="739"/>
      <c r="C164" s="739"/>
    </row>
    <row r="165" spans="2:3" x14ac:dyDescent="0.6">
      <c r="B165" s="739"/>
      <c r="C165" s="739"/>
    </row>
    <row r="166" spans="2:3" x14ac:dyDescent="0.6">
      <c r="B166" s="739"/>
      <c r="C166" s="739"/>
    </row>
    <row r="167" spans="2:3" x14ac:dyDescent="0.6">
      <c r="B167" s="739"/>
      <c r="C167" s="739"/>
    </row>
    <row r="168" spans="2:3" x14ac:dyDescent="0.6">
      <c r="B168" s="739"/>
      <c r="C168" s="739"/>
    </row>
    <row r="169" spans="2:3" x14ac:dyDescent="0.6">
      <c r="B169" s="739"/>
      <c r="C169" s="739"/>
    </row>
    <row r="170" spans="2:3" x14ac:dyDescent="0.6">
      <c r="B170" s="739"/>
      <c r="C170" s="739"/>
    </row>
    <row r="171" spans="2:3" x14ac:dyDescent="0.6">
      <c r="B171" s="739"/>
      <c r="C171" s="739"/>
    </row>
    <row r="172" spans="2:3" x14ac:dyDescent="0.6">
      <c r="B172" s="739"/>
      <c r="C172" s="739"/>
    </row>
    <row r="173" spans="2:3" x14ac:dyDescent="0.6">
      <c r="B173" s="739"/>
      <c r="C173" s="739"/>
    </row>
    <row r="174" spans="2:3" x14ac:dyDescent="0.6">
      <c r="B174" s="739"/>
      <c r="C174" s="739"/>
    </row>
    <row r="175" spans="2:3" x14ac:dyDescent="0.6">
      <c r="B175" s="739"/>
      <c r="C175" s="739"/>
    </row>
    <row r="176" spans="2:3" x14ac:dyDescent="0.6">
      <c r="B176" s="739"/>
      <c r="C176" s="739"/>
    </row>
    <row r="177" spans="2:3" x14ac:dyDescent="0.6">
      <c r="B177" s="739"/>
      <c r="C177" s="739"/>
    </row>
    <row r="178" spans="2:3" x14ac:dyDescent="0.6">
      <c r="B178" s="739"/>
      <c r="C178" s="739"/>
    </row>
    <row r="179" spans="2:3" x14ac:dyDescent="0.6">
      <c r="B179" s="739"/>
      <c r="C179" s="739"/>
    </row>
    <row r="180" spans="2:3" x14ac:dyDescent="0.6">
      <c r="B180" s="739"/>
      <c r="C180" s="739"/>
    </row>
    <row r="181" spans="2:3" x14ac:dyDescent="0.6">
      <c r="B181" s="739"/>
      <c r="C181" s="739"/>
    </row>
    <row r="182" spans="2:3" x14ac:dyDescent="0.6">
      <c r="B182" s="739"/>
      <c r="C182" s="739"/>
    </row>
    <row r="183" spans="2:3" x14ac:dyDescent="0.6">
      <c r="B183" s="739"/>
      <c r="C183" s="739"/>
    </row>
    <row r="184" spans="2:3" x14ac:dyDescent="0.6">
      <c r="B184" s="739"/>
      <c r="C184" s="739"/>
    </row>
    <row r="185" spans="2:3" x14ac:dyDescent="0.6">
      <c r="B185" s="739"/>
      <c r="C185" s="739"/>
    </row>
    <row r="186" spans="2:3" x14ac:dyDescent="0.6">
      <c r="B186" s="739"/>
      <c r="C186" s="739"/>
    </row>
    <row r="187" spans="2:3" x14ac:dyDescent="0.6">
      <c r="B187" s="739"/>
      <c r="C187" s="739"/>
    </row>
    <row r="188" spans="2:3" x14ac:dyDescent="0.6">
      <c r="B188" s="739"/>
      <c r="C188" s="739"/>
    </row>
    <row r="189" spans="2:3" x14ac:dyDescent="0.6">
      <c r="B189" s="739"/>
      <c r="C189" s="739"/>
    </row>
    <row r="190" spans="2:3" x14ac:dyDescent="0.6">
      <c r="B190" s="739"/>
      <c r="C190" s="739"/>
    </row>
    <row r="191" spans="2:3" x14ac:dyDescent="0.6">
      <c r="B191" s="739"/>
      <c r="C191" s="739"/>
    </row>
    <row r="192" spans="2:3" x14ac:dyDescent="0.6">
      <c r="B192" s="739"/>
      <c r="C192" s="739"/>
    </row>
    <row r="193" spans="2:3" x14ac:dyDescent="0.6">
      <c r="B193" s="739"/>
      <c r="C193" s="739"/>
    </row>
    <row r="194" spans="2:3" x14ac:dyDescent="0.6">
      <c r="B194" s="739"/>
      <c r="C194" s="739"/>
    </row>
    <row r="195" spans="2:3" x14ac:dyDescent="0.6">
      <c r="B195" s="739"/>
      <c r="C195" s="739"/>
    </row>
    <row r="196" spans="2:3" x14ac:dyDescent="0.6">
      <c r="B196" s="739"/>
      <c r="C196" s="739"/>
    </row>
    <row r="197" spans="2:3" x14ac:dyDescent="0.6">
      <c r="B197" s="739"/>
      <c r="C197" s="739"/>
    </row>
    <row r="198" spans="2:3" x14ac:dyDescent="0.6">
      <c r="B198" s="739"/>
      <c r="C198" s="739"/>
    </row>
    <row r="199" spans="2:3" x14ac:dyDescent="0.6">
      <c r="B199" s="739"/>
      <c r="C199" s="739"/>
    </row>
    <row r="200" spans="2:3" x14ac:dyDescent="0.6">
      <c r="B200" s="739"/>
      <c r="C200" s="739"/>
    </row>
    <row r="201" spans="2:3" x14ac:dyDescent="0.6">
      <c r="B201" s="739"/>
      <c r="C201" s="739"/>
    </row>
    <row r="202" spans="2:3" x14ac:dyDescent="0.6">
      <c r="B202" s="739"/>
      <c r="C202" s="739"/>
    </row>
    <row r="203" spans="2:3" x14ac:dyDescent="0.6">
      <c r="B203" s="739"/>
      <c r="C203" s="739"/>
    </row>
    <row r="204" spans="2:3" x14ac:dyDescent="0.6">
      <c r="B204" s="739"/>
      <c r="C204" s="739"/>
    </row>
    <row r="205" spans="2:3" x14ac:dyDescent="0.6">
      <c r="B205" s="739"/>
      <c r="C205" s="739"/>
    </row>
    <row r="206" spans="2:3" x14ac:dyDescent="0.6">
      <c r="B206" s="739"/>
      <c r="C206" s="739"/>
    </row>
    <row r="207" spans="2:3" x14ac:dyDescent="0.6">
      <c r="B207" s="739"/>
      <c r="C207" s="739"/>
    </row>
    <row r="208" spans="2:3" x14ac:dyDescent="0.6">
      <c r="B208" s="739"/>
      <c r="C208" s="739"/>
    </row>
    <row r="209" spans="2:3" x14ac:dyDescent="0.6">
      <c r="B209" s="739"/>
      <c r="C209" s="739"/>
    </row>
    <row r="210" spans="2:3" x14ac:dyDescent="0.6">
      <c r="B210" s="739"/>
      <c r="C210" s="739"/>
    </row>
    <row r="211" spans="2:3" x14ac:dyDescent="0.6">
      <c r="B211" s="739"/>
      <c r="C211" s="739"/>
    </row>
    <row r="212" spans="2:3" x14ac:dyDescent="0.6">
      <c r="B212" s="739"/>
      <c r="C212" s="739"/>
    </row>
    <row r="213" spans="2:3" x14ac:dyDescent="0.6">
      <c r="B213" s="739"/>
      <c r="C213" s="739"/>
    </row>
    <row r="214" spans="2:3" x14ac:dyDescent="0.6">
      <c r="B214" s="739"/>
      <c r="C214" s="739"/>
    </row>
    <row r="215" spans="2:3" x14ac:dyDescent="0.6">
      <c r="B215" s="739"/>
      <c r="C215" s="739"/>
    </row>
    <row r="216" spans="2:3" x14ac:dyDescent="0.6">
      <c r="B216" s="739"/>
      <c r="C216" s="739"/>
    </row>
    <row r="217" spans="2:3" x14ac:dyDescent="0.6">
      <c r="B217" s="739"/>
      <c r="C217" s="739"/>
    </row>
    <row r="218" spans="2:3" x14ac:dyDescent="0.6">
      <c r="B218" s="739"/>
      <c r="C218" s="739"/>
    </row>
    <row r="219" spans="2:3" x14ac:dyDescent="0.6">
      <c r="B219" s="739"/>
      <c r="C219" s="739"/>
    </row>
    <row r="220" spans="2:3" x14ac:dyDescent="0.6">
      <c r="B220" s="739"/>
      <c r="C220" s="739"/>
    </row>
    <row r="221" spans="2:3" x14ac:dyDescent="0.6">
      <c r="B221" s="739"/>
      <c r="C221" s="739"/>
    </row>
    <row r="222" spans="2:3" x14ac:dyDescent="0.6">
      <c r="B222" s="739"/>
      <c r="C222" s="739"/>
    </row>
    <row r="223" spans="2:3" x14ac:dyDescent="0.6">
      <c r="B223" s="739"/>
      <c r="C223" s="739"/>
    </row>
    <row r="224" spans="2:3" x14ac:dyDescent="0.6">
      <c r="B224" s="739"/>
      <c r="C224" s="739"/>
    </row>
    <row r="225" spans="2:3" x14ac:dyDescent="0.6">
      <c r="B225" s="739"/>
      <c r="C225" s="739"/>
    </row>
    <row r="226" spans="2:3" x14ac:dyDescent="0.6">
      <c r="B226" s="739"/>
      <c r="C226" s="739"/>
    </row>
    <row r="227" spans="2:3" x14ac:dyDescent="0.6">
      <c r="B227" s="739"/>
      <c r="C227" s="739"/>
    </row>
    <row r="228" spans="2:3" x14ac:dyDescent="0.6">
      <c r="B228" s="739"/>
      <c r="C228" s="739"/>
    </row>
    <row r="229" spans="2:3" x14ac:dyDescent="0.6">
      <c r="B229" s="739"/>
      <c r="C229" s="739"/>
    </row>
    <row r="230" spans="2:3" x14ac:dyDescent="0.6">
      <c r="B230" s="739"/>
      <c r="C230" s="739"/>
    </row>
    <row r="231" spans="2:3" x14ac:dyDescent="0.6">
      <c r="B231" s="739"/>
      <c r="C231" s="739"/>
    </row>
    <row r="232" spans="2:3" x14ac:dyDescent="0.6">
      <c r="B232" s="739"/>
      <c r="C232" s="739"/>
    </row>
    <row r="233" spans="2:3" x14ac:dyDescent="0.6">
      <c r="B233" s="739"/>
      <c r="C233" s="739"/>
    </row>
    <row r="234" spans="2:3" x14ac:dyDescent="0.6">
      <c r="B234" s="739"/>
      <c r="C234" s="739"/>
    </row>
    <row r="235" spans="2:3" x14ac:dyDescent="0.6">
      <c r="B235" s="739"/>
      <c r="C235" s="739"/>
    </row>
    <row r="236" spans="2:3" x14ac:dyDescent="0.6">
      <c r="B236" s="739"/>
      <c r="C236" s="739"/>
    </row>
    <row r="237" spans="2:3" x14ac:dyDescent="0.6">
      <c r="B237" s="739"/>
      <c r="C237" s="739"/>
    </row>
    <row r="238" spans="2:3" x14ac:dyDescent="0.6">
      <c r="B238" s="739"/>
      <c r="C238" s="739"/>
    </row>
    <row r="239" spans="2:3" x14ac:dyDescent="0.6">
      <c r="B239" s="739"/>
      <c r="C239" s="739"/>
    </row>
    <row r="240" spans="2:3" x14ac:dyDescent="0.6">
      <c r="B240" s="739"/>
      <c r="C240" s="739"/>
    </row>
    <row r="241" spans="2:3" x14ac:dyDescent="0.6">
      <c r="B241" s="739"/>
      <c r="C241" s="739"/>
    </row>
    <row r="242" spans="2:3" x14ac:dyDescent="0.6">
      <c r="B242" s="739"/>
      <c r="C242" s="739"/>
    </row>
    <row r="243" spans="2:3" x14ac:dyDescent="0.6">
      <c r="B243" s="739"/>
      <c r="C243" s="739"/>
    </row>
    <row r="244" spans="2:3" x14ac:dyDescent="0.6">
      <c r="B244" s="739"/>
      <c r="C244" s="739"/>
    </row>
    <row r="245" spans="2:3" x14ac:dyDescent="0.6">
      <c r="B245" s="739"/>
      <c r="C245" s="739"/>
    </row>
    <row r="246" spans="2:3" x14ac:dyDescent="0.6">
      <c r="B246" s="739"/>
      <c r="C246" s="739"/>
    </row>
    <row r="247" spans="2:3" x14ac:dyDescent="0.6">
      <c r="B247" s="739"/>
      <c r="C247" s="739"/>
    </row>
    <row r="248" spans="2:3" x14ac:dyDescent="0.6">
      <c r="B248" s="739"/>
      <c r="C248" s="739"/>
    </row>
    <row r="249" spans="2:3" x14ac:dyDescent="0.6">
      <c r="B249" s="739"/>
      <c r="C249" s="739"/>
    </row>
    <row r="250" spans="2:3" x14ac:dyDescent="0.6">
      <c r="B250" s="739"/>
      <c r="C250" s="739"/>
    </row>
    <row r="251" spans="2:3" x14ac:dyDescent="0.6">
      <c r="B251" s="739"/>
      <c r="C251" s="739"/>
    </row>
    <row r="252" spans="2:3" x14ac:dyDescent="0.6">
      <c r="B252" s="739"/>
      <c r="C252" s="739"/>
    </row>
    <row r="253" spans="2:3" x14ac:dyDescent="0.6">
      <c r="B253" s="739"/>
      <c r="C253" s="739"/>
    </row>
    <row r="254" spans="2:3" x14ac:dyDescent="0.6">
      <c r="B254" s="739"/>
      <c r="C254" s="739"/>
    </row>
    <row r="255" spans="2:3" x14ac:dyDescent="0.6">
      <c r="B255" s="739"/>
      <c r="C255" s="739"/>
    </row>
    <row r="256" spans="2:3" x14ac:dyDescent="0.6">
      <c r="B256" s="739"/>
      <c r="C256" s="739"/>
    </row>
    <row r="257" spans="2:3" x14ac:dyDescent="0.6">
      <c r="B257" s="739"/>
      <c r="C257" s="739"/>
    </row>
    <row r="258" spans="2:3" x14ac:dyDescent="0.6">
      <c r="B258" s="739"/>
      <c r="C258" s="739"/>
    </row>
    <row r="259" spans="2:3" x14ac:dyDescent="0.6">
      <c r="B259" s="739"/>
      <c r="C259" s="739"/>
    </row>
    <row r="260" spans="2:3" x14ac:dyDescent="0.6">
      <c r="B260" s="739"/>
      <c r="C260" s="739"/>
    </row>
    <row r="261" spans="2:3" x14ac:dyDescent="0.6">
      <c r="B261" s="739"/>
      <c r="C261" s="739"/>
    </row>
    <row r="262" spans="2:3" x14ac:dyDescent="0.6">
      <c r="B262" s="739"/>
      <c r="C262" s="739"/>
    </row>
    <row r="263" spans="2:3" x14ac:dyDescent="0.6">
      <c r="B263" s="739"/>
      <c r="C263" s="739"/>
    </row>
    <row r="264" spans="2:3" x14ac:dyDescent="0.6">
      <c r="B264" s="739"/>
      <c r="C264" s="739"/>
    </row>
    <row r="265" spans="2:3" x14ac:dyDescent="0.6">
      <c r="B265" s="739"/>
      <c r="C265" s="739"/>
    </row>
    <row r="266" spans="2:3" x14ac:dyDescent="0.6">
      <c r="B266" s="739"/>
      <c r="C266" s="739"/>
    </row>
    <row r="267" spans="2:3" x14ac:dyDescent="0.6">
      <c r="B267" s="739"/>
      <c r="C267" s="739"/>
    </row>
    <row r="268" spans="2:3" x14ac:dyDescent="0.6">
      <c r="B268" s="739"/>
      <c r="C268" s="739"/>
    </row>
    <row r="269" spans="2:3" x14ac:dyDescent="0.6">
      <c r="B269" s="739"/>
      <c r="C269" s="739"/>
    </row>
    <row r="270" spans="2:3" x14ac:dyDescent="0.6">
      <c r="B270" s="739"/>
      <c r="C270" s="739"/>
    </row>
    <row r="271" spans="2:3" x14ac:dyDescent="0.6">
      <c r="B271" s="739"/>
      <c r="C271" s="739"/>
    </row>
    <row r="272" spans="2:3" x14ac:dyDescent="0.6">
      <c r="B272" s="739"/>
      <c r="C272" s="739"/>
    </row>
    <row r="273" spans="2:3" x14ac:dyDescent="0.6">
      <c r="B273" s="739"/>
      <c r="C273" s="739"/>
    </row>
    <row r="274" spans="2:3" x14ac:dyDescent="0.6">
      <c r="B274" s="739"/>
      <c r="C274" s="739"/>
    </row>
    <row r="275" spans="2:3" x14ac:dyDescent="0.6">
      <c r="B275" s="739"/>
      <c r="C275" s="739"/>
    </row>
    <row r="276" spans="2:3" x14ac:dyDescent="0.6">
      <c r="B276" s="739"/>
      <c r="C276" s="739"/>
    </row>
    <row r="277" spans="2:3" x14ac:dyDescent="0.6">
      <c r="B277" s="739"/>
      <c r="C277" s="739"/>
    </row>
    <row r="278" spans="2:3" x14ac:dyDescent="0.6">
      <c r="B278" s="739"/>
      <c r="C278" s="739"/>
    </row>
    <row r="279" spans="2:3" x14ac:dyDescent="0.6">
      <c r="B279" s="739"/>
      <c r="C279" s="739"/>
    </row>
    <row r="280" spans="2:3" x14ac:dyDescent="0.6">
      <c r="B280" s="739"/>
      <c r="C280" s="739"/>
    </row>
    <row r="281" spans="2:3" x14ac:dyDescent="0.6">
      <c r="B281" s="739"/>
      <c r="C281" s="739"/>
    </row>
    <row r="282" spans="2:3" x14ac:dyDescent="0.6">
      <c r="B282" s="739"/>
      <c r="C282" s="739"/>
    </row>
    <row r="283" spans="2:3" x14ac:dyDescent="0.6">
      <c r="B283" s="739"/>
      <c r="C283" s="739"/>
    </row>
    <row r="284" spans="2:3" x14ac:dyDescent="0.6">
      <c r="B284" s="739"/>
      <c r="C284" s="739"/>
    </row>
    <row r="285" spans="2:3" x14ac:dyDescent="0.6">
      <c r="B285" s="739"/>
      <c r="C285" s="739"/>
    </row>
    <row r="286" spans="2:3" x14ac:dyDescent="0.6">
      <c r="B286" s="739"/>
      <c r="C286" s="739"/>
    </row>
    <row r="287" spans="2:3" x14ac:dyDescent="0.6">
      <c r="B287" s="739"/>
      <c r="C287" s="739"/>
    </row>
    <row r="288" spans="2:3" x14ac:dyDescent="0.6">
      <c r="B288" s="739"/>
      <c r="C288" s="739"/>
    </row>
  </sheetData>
  <pageMargins left="0.25" right="0.25" top="0.69" bottom="0.75" header="0.3" footer="0.3"/>
  <pageSetup paperSize="9" scale="99" orientation="portrait" verticalDpi="0" r:id="rId2"/>
  <drawing r:id="rId3"/>
  <extLst>
    <ext xmlns:x14="http://schemas.microsoft.com/office/spreadsheetml/2009/9/main" uri="{A8765BA9-456A-4dab-B4F3-ACF838C121DE}">
      <x14:slicerList>
        <x14:slicer r:id="rId4"/>
      </x14:slicerList>
    </ext>
    <ext xmlns:x15="http://schemas.microsoft.com/office/spreadsheetml/2010/11/main" uri="{7E03D99C-DC04-49d9-9315-930204A7B6E9}">
      <x15:timelineRefs>
        <x15:timelineRef r:id="rId5"/>
      </x15:timelineRef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rgb="FFFFFF00"/>
  </sheetPr>
  <dimension ref="A1:XEZ1189"/>
  <sheetViews>
    <sheetView tabSelected="1" topLeftCell="A699" zoomScaleNormal="100" workbookViewId="0">
      <selection activeCell="D703" sqref="D703"/>
    </sheetView>
  </sheetViews>
  <sheetFormatPr defaultColWidth="9.28515625" defaultRowHeight="24" customHeight="1" x14ac:dyDescent="0.6"/>
  <cols>
    <col min="1" max="1" width="13.42578125" style="793" customWidth="1"/>
    <col min="2" max="2" width="10" style="952" customWidth="1"/>
    <col min="3" max="3" width="19.28515625" style="795" customWidth="1"/>
    <col min="4" max="4" width="54.7109375" style="795" customWidth="1"/>
    <col min="5" max="5" width="24.42578125" style="795" customWidth="1"/>
    <col min="6" max="6" width="16.42578125" style="796" hidden="1" customWidth="1"/>
    <col min="7" max="7" width="15.85546875" style="797" customWidth="1"/>
    <col min="8" max="8" width="16.140625" style="798" customWidth="1"/>
    <col min="9" max="9" width="18.7109375" style="967" bestFit="1" customWidth="1"/>
    <col min="10" max="10" width="15.140625" style="938" customWidth="1"/>
    <col min="11" max="11" width="9.28515625" style="741" bestFit="1" customWidth="1"/>
    <col min="12" max="12" width="8" style="741" bestFit="1" customWidth="1"/>
    <col min="13" max="13" width="18.5703125" style="741" bestFit="1" customWidth="1"/>
    <col min="14" max="14" width="15.42578125" style="741" bestFit="1" customWidth="1"/>
    <col min="15" max="16" width="15.42578125" style="880" bestFit="1" customWidth="1"/>
    <col min="17" max="17" width="14.140625" style="881" bestFit="1" customWidth="1"/>
    <col min="18" max="18" width="9.28515625" style="741"/>
    <col min="19" max="19" width="18.85546875" style="789" customWidth="1"/>
    <col min="20" max="20" width="12.5703125" style="789" customWidth="1"/>
    <col min="21" max="21" width="36.140625" style="789" bestFit="1" customWidth="1"/>
    <col min="22" max="22" width="14.42578125" style="790" hidden="1" customWidth="1"/>
    <col min="23" max="24" width="15.42578125" style="791" bestFit="1" customWidth="1"/>
    <col min="25" max="25" width="14.140625" style="792" bestFit="1" customWidth="1"/>
    <col min="26" max="16379" width="9.28515625" style="791"/>
    <col min="16380" max="16380" width="7.85546875" style="791" bestFit="1" customWidth="1"/>
    <col min="16381" max="16384" width="9.28515625" style="791"/>
  </cols>
  <sheetData>
    <row r="1" spans="1:25" ht="24" customHeight="1" x14ac:dyDescent="0.6">
      <c r="A1" s="779" t="s">
        <v>12</v>
      </c>
      <c r="B1" s="780" t="s">
        <v>18</v>
      </c>
      <c r="C1" s="742" t="s">
        <v>84</v>
      </c>
      <c r="D1" s="742" t="s">
        <v>13</v>
      </c>
      <c r="E1" s="742" t="s">
        <v>3373</v>
      </c>
      <c r="F1" s="781" t="s">
        <v>10</v>
      </c>
      <c r="G1" s="782" t="s">
        <v>16</v>
      </c>
      <c r="H1" s="783" t="s">
        <v>17</v>
      </c>
      <c r="I1" s="953" t="s">
        <v>4</v>
      </c>
      <c r="J1" s="784"/>
      <c r="K1" s="785"/>
      <c r="L1" s="786"/>
      <c r="M1" s="785"/>
      <c r="N1" s="787">
        <f>N3</f>
        <v>2840030</v>
      </c>
      <c r="O1" s="787">
        <f>SUM(O4:O34)</f>
        <v>87981400</v>
      </c>
      <c r="P1" s="787">
        <f>SUM(P4:P34)</f>
        <v>80257719</v>
      </c>
      <c r="Q1" s="788">
        <f>SUM(Q3:Q34)</f>
        <v>10563711</v>
      </c>
    </row>
    <row r="2" spans="1:25" ht="27" customHeight="1" thickBot="1" x14ac:dyDescent="0.65">
      <c r="B2" s="794"/>
      <c r="D2" s="1200" t="s">
        <v>2908</v>
      </c>
      <c r="F2" s="796">
        <v>2840030</v>
      </c>
      <c r="G2" s="857"/>
      <c r="I2" s="954">
        <f>Table2[[#This Row],[Opening]]+Table2[[#This Row],[Debit]]-Table2[[#This Row],[Credit]]</f>
        <v>2840030</v>
      </c>
      <c r="J2" s="799"/>
      <c r="K2" s="800" t="s">
        <v>12</v>
      </c>
      <c r="L2" s="801" t="s">
        <v>18</v>
      </c>
      <c r="M2" s="800" t="s">
        <v>13</v>
      </c>
      <c r="N2" s="802" t="s">
        <v>10</v>
      </c>
      <c r="O2" s="803" t="s">
        <v>16</v>
      </c>
      <c r="P2" s="803" t="s">
        <v>17</v>
      </c>
      <c r="Q2" s="804" t="s">
        <v>4</v>
      </c>
      <c r="S2" s="785"/>
      <c r="T2" s="805"/>
      <c r="U2" s="806"/>
      <c r="V2" s="787">
        <f>SUM(Table98[Opening])</f>
        <v>2840030</v>
      </c>
      <c r="W2" s="787">
        <f>SUM(W5:W110)</f>
        <v>87981400</v>
      </c>
      <c r="X2" s="787">
        <f>SUM(X5:X110)</f>
        <v>80257719</v>
      </c>
      <c r="Y2" s="787">
        <f>SUM(Table98[Balance])</f>
        <v>10563711</v>
      </c>
    </row>
    <row r="3" spans="1:25" ht="24" customHeight="1" thickTop="1" x14ac:dyDescent="0.6">
      <c r="A3" s="793">
        <v>44682</v>
      </c>
      <c r="B3" s="794">
        <v>1</v>
      </c>
      <c r="C3" s="795" t="s">
        <v>7280</v>
      </c>
      <c r="D3" s="807" t="s">
        <v>8878</v>
      </c>
      <c r="F3" s="808"/>
      <c r="G3" s="844">
        <v>3000</v>
      </c>
      <c r="H3" s="809"/>
      <c r="I3" s="954">
        <f>Table2[[#This Row],[Opening]]+Table2[[#This Row],[Debit]]-Table2[[#This Row],[Credit]]</f>
        <v>3000</v>
      </c>
      <c r="J3" s="799"/>
      <c r="K3" s="810"/>
      <c r="L3" s="810" t="s">
        <v>2926</v>
      </c>
      <c r="M3" s="811" t="s">
        <v>2927</v>
      </c>
      <c r="N3" s="812">
        <f>I2</f>
        <v>2840030</v>
      </c>
      <c r="O3" s="803"/>
      <c r="P3" s="803"/>
      <c r="Q3" s="804">
        <f>N3+O3-P3</f>
        <v>2840030</v>
      </c>
      <c r="S3" s="813" t="s">
        <v>18</v>
      </c>
      <c r="T3" s="814" t="s">
        <v>84</v>
      </c>
      <c r="U3" s="815" t="s">
        <v>13</v>
      </c>
      <c r="V3" s="815" t="s">
        <v>10</v>
      </c>
      <c r="W3" s="816" t="s">
        <v>16</v>
      </c>
      <c r="X3" s="816" t="s">
        <v>17</v>
      </c>
      <c r="Y3" s="817" t="s">
        <v>4</v>
      </c>
    </row>
    <row r="4" spans="1:25" s="820" customFormat="1" ht="24" customHeight="1" x14ac:dyDescent="0.6">
      <c r="A4" s="793">
        <v>44682</v>
      </c>
      <c r="B4" s="794">
        <v>1</v>
      </c>
      <c r="C4" s="795" t="s">
        <v>905</v>
      </c>
      <c r="D4" s="807" t="s">
        <v>8879</v>
      </c>
      <c r="E4" s="795"/>
      <c r="F4" s="796"/>
      <c r="G4" s="857">
        <v>3000</v>
      </c>
      <c r="H4" s="798"/>
      <c r="I4" s="954">
        <f>Table2[[#This Row],[Opening]]+Table2[[#This Row],[Debit]]-Table2[[#This Row],[Credit]]</f>
        <v>3000</v>
      </c>
      <c r="J4" s="799"/>
      <c r="K4" s="818">
        <v>44682</v>
      </c>
      <c r="L4" s="819">
        <v>1</v>
      </c>
      <c r="M4" s="785" t="s">
        <v>2928</v>
      </c>
      <c r="N4" s="802">
        <f>Q3</f>
        <v>2840030</v>
      </c>
      <c r="O4" s="803">
        <f t="shared" ref="O4:O34" si="0">SUMIF(B:B,L4,G:G)</f>
        <v>1530100</v>
      </c>
      <c r="P4" s="803">
        <f t="shared" ref="P4:P34" si="1">SUMIF(B:B,L4,H:H)</f>
        <v>446630</v>
      </c>
      <c r="Q4" s="804">
        <f>O4-P4</f>
        <v>1083470</v>
      </c>
      <c r="S4" s="821"/>
      <c r="T4" s="822"/>
      <c r="U4" s="823" t="s">
        <v>2343</v>
      </c>
      <c r="V4" s="824">
        <f>I2</f>
        <v>2840030</v>
      </c>
      <c r="W4" s="825"/>
      <c r="X4" s="996"/>
      <c r="Y4" s="826">
        <f>Table98[[#This Row],[Opening]]+Table98[[#This Row],[Debit]]-Table98[[#This Row],[Credit]]</f>
        <v>2840030</v>
      </c>
    </row>
    <row r="5" spans="1:25" ht="24" customHeight="1" x14ac:dyDescent="0.6">
      <c r="A5" s="793">
        <v>44682</v>
      </c>
      <c r="B5" s="794">
        <v>1</v>
      </c>
      <c r="C5" s="795" t="s">
        <v>905</v>
      </c>
      <c r="D5" s="807" t="s">
        <v>8879</v>
      </c>
      <c r="F5" s="808"/>
      <c r="G5" s="844">
        <v>1000</v>
      </c>
      <c r="H5" s="809"/>
      <c r="I5" s="954">
        <f>Table2[[#This Row],[Opening]]+Table2[[#This Row],[Debit]]-Table2[[#This Row],[Credit]]</f>
        <v>1000</v>
      </c>
      <c r="J5" s="799"/>
      <c r="K5" s="818">
        <v>44683</v>
      </c>
      <c r="L5" s="819">
        <v>2</v>
      </c>
      <c r="M5" s="785" t="s">
        <v>2929</v>
      </c>
      <c r="N5" s="802">
        <f>N4+O4-P4</f>
        <v>3923500</v>
      </c>
      <c r="O5" s="803">
        <f t="shared" si="0"/>
        <v>1780150</v>
      </c>
      <c r="P5" s="803">
        <f t="shared" si="1"/>
        <v>99200</v>
      </c>
      <c r="Q5" s="804">
        <f>O5-P5</f>
        <v>1680950</v>
      </c>
      <c r="S5" s="976" t="s">
        <v>2302</v>
      </c>
      <c r="T5" s="827"/>
      <c r="U5" s="828" t="str">
        <f>VLOOKUP(S5,COA!B:C,2,FALSE)</f>
        <v>GBS Co.Ltd</v>
      </c>
      <c r="V5" s="829"/>
      <c r="W5" s="830">
        <f>SUMIF('Daily Cash Book'!$C$2:$C$1436,Table98[[#This Row],[Code]],'Daily Cash Book'!$G$2:$G$1436)</f>
        <v>0</v>
      </c>
      <c r="X5" s="831">
        <f>SUMIF('Daily Cash Book'!C:C,Table98[[#This Row],[Code]],'Daily Cash Book'!H:H)</f>
        <v>0</v>
      </c>
      <c r="Y5" s="826">
        <f>Table98[[#This Row],[Opening]]+Table98[[#This Row],[Debit]]-Table98[[#This Row],[Credit]]</f>
        <v>0</v>
      </c>
    </row>
    <row r="6" spans="1:25" ht="24" customHeight="1" x14ac:dyDescent="0.6">
      <c r="A6" s="793">
        <v>44682</v>
      </c>
      <c r="B6" s="794">
        <v>1</v>
      </c>
      <c r="C6" s="795" t="s">
        <v>888</v>
      </c>
      <c r="D6" s="807" t="s">
        <v>8880</v>
      </c>
      <c r="G6" s="857">
        <v>1515500</v>
      </c>
      <c r="I6" s="954">
        <f>Table2[[#This Row],[Opening]]+Table2[[#This Row],[Debit]]-Table2[[#This Row],[Credit]]</f>
        <v>1515500</v>
      </c>
      <c r="J6" s="799"/>
      <c r="K6" s="818">
        <v>44684</v>
      </c>
      <c r="L6" s="819">
        <v>3</v>
      </c>
      <c r="M6" s="785" t="s">
        <v>2930</v>
      </c>
      <c r="N6" s="802">
        <f t="shared" ref="N6:N34" si="2">N5+O5-P5</f>
        <v>5604450</v>
      </c>
      <c r="O6" s="803">
        <f t="shared" si="0"/>
        <v>4623050</v>
      </c>
      <c r="P6" s="803">
        <f t="shared" si="1"/>
        <v>1558310</v>
      </c>
      <c r="Q6" s="804">
        <f>O6-P6</f>
        <v>3064740</v>
      </c>
      <c r="S6" s="977" t="s">
        <v>2089</v>
      </c>
      <c r="T6" s="827"/>
      <c r="U6" s="828" t="str">
        <f>VLOOKUP(S6,COA!B:C,2,FALSE)</f>
        <v>GBS Fertilizer</v>
      </c>
      <c r="V6" s="829"/>
      <c r="W6" s="830">
        <f>SUMIF('Daily Cash Book'!$C$2:$C$1436,Table98[[#This Row],[Code]],'Daily Cash Book'!$G$2:$G$1436)</f>
        <v>0</v>
      </c>
      <c r="X6" s="831">
        <f>SUMIF('Daily Cash Book'!C:C,Table98[[#This Row],[Code]],'Daily Cash Book'!H:H)</f>
        <v>0</v>
      </c>
      <c r="Y6" s="826">
        <f>Table98[[#This Row],[Opening]]+Table98[[#This Row],[Debit]]-Table98[[#This Row],[Credit]]</f>
        <v>0</v>
      </c>
    </row>
    <row r="7" spans="1:25" ht="24" customHeight="1" x14ac:dyDescent="0.6">
      <c r="A7" s="793">
        <v>44682</v>
      </c>
      <c r="B7" s="794">
        <v>1</v>
      </c>
      <c r="C7" s="795" t="s">
        <v>1267</v>
      </c>
      <c r="D7" s="807" t="s">
        <v>7209</v>
      </c>
      <c r="F7" s="808"/>
      <c r="G7" s="844">
        <v>7600</v>
      </c>
      <c r="H7" s="809"/>
      <c r="I7" s="954">
        <f>Table2[[#This Row],[Opening]]+Table2[[#This Row],[Debit]]-Table2[[#This Row],[Credit]]</f>
        <v>7600</v>
      </c>
      <c r="J7" s="799"/>
      <c r="K7" s="818">
        <v>44685</v>
      </c>
      <c r="L7" s="819">
        <v>4</v>
      </c>
      <c r="M7" s="785" t="s">
        <v>2931</v>
      </c>
      <c r="N7" s="802">
        <f>N6+O6-P6</f>
        <v>8669190</v>
      </c>
      <c r="O7" s="803">
        <f t="shared" si="0"/>
        <v>2075000</v>
      </c>
      <c r="P7" s="803">
        <f t="shared" si="1"/>
        <v>5819850</v>
      </c>
      <c r="Q7" s="804">
        <f>O7-P7</f>
        <v>-3744850</v>
      </c>
      <c r="S7" s="976" t="s">
        <v>2303</v>
      </c>
      <c r="T7" s="827"/>
      <c r="U7" s="828" t="str">
        <f>VLOOKUP(S7,COA!B:C,2,FALSE)</f>
        <v>Hope Flowers Fertilizer</v>
      </c>
      <c r="V7" s="829"/>
      <c r="W7" s="830">
        <f>SUMIF('Daily Cash Book'!$C$2:$C$1436,Table98[[#This Row],[Code]],'Daily Cash Book'!$G$2:$G$1436)</f>
        <v>0</v>
      </c>
      <c r="X7" s="831">
        <f>SUMIF('Daily Cash Book'!C:C,Table98[[#This Row],[Code]],'Daily Cash Book'!H:H)</f>
        <v>0</v>
      </c>
      <c r="Y7" s="826">
        <f>Table98[[#This Row],[Opening]]+Table98[[#This Row],[Debit]]-Table98[[#This Row],[Credit]]</f>
        <v>0</v>
      </c>
    </row>
    <row r="8" spans="1:25" ht="24" customHeight="1" x14ac:dyDescent="0.6">
      <c r="A8" s="793">
        <v>44682</v>
      </c>
      <c r="B8" s="794">
        <v>1</v>
      </c>
      <c r="C8" s="833" t="s">
        <v>864</v>
      </c>
      <c r="D8" s="834" t="s">
        <v>8881</v>
      </c>
      <c r="E8" s="833"/>
      <c r="F8" s="838"/>
      <c r="G8" s="854"/>
      <c r="H8" s="839">
        <v>22000</v>
      </c>
      <c r="I8" s="955">
        <f>Table2[[#This Row],[Opening]]+Table2[[#This Row],[Debit]]-Table2[[#This Row],[Credit]]</f>
        <v>-22000</v>
      </c>
      <c r="J8" s="799"/>
      <c r="K8" s="818">
        <v>44686</v>
      </c>
      <c r="L8" s="819">
        <v>5</v>
      </c>
      <c r="M8" s="785" t="s">
        <v>2932</v>
      </c>
      <c r="N8" s="802">
        <f t="shared" si="2"/>
        <v>4924340</v>
      </c>
      <c r="O8" s="803">
        <f t="shared" si="0"/>
        <v>9214900</v>
      </c>
      <c r="P8" s="803">
        <f t="shared" si="1"/>
        <v>305300</v>
      </c>
      <c r="Q8" s="804">
        <f>O8-P8</f>
        <v>8909600</v>
      </c>
      <c r="S8" s="978" t="s">
        <v>47</v>
      </c>
      <c r="T8" s="832" t="s">
        <v>47</v>
      </c>
      <c r="U8" s="828" t="str">
        <f>VLOOKUP(S8,COA!B:C,2,FALSE)</f>
        <v>Creditor Payable (Company)</v>
      </c>
      <c r="V8" s="829"/>
      <c r="W8" s="830">
        <f>SUMIF('Daily Cash Book'!$C$2:$C$1436,Table98[[#This Row],[Code]],'Daily Cash Book'!$G$2:$G$1436)</f>
        <v>0</v>
      </c>
      <c r="X8" s="831">
        <f>SUMIF('Daily Cash Book'!C:C,Table98[[#This Row],[Code]],'Daily Cash Book'!H:H)</f>
        <v>29423000</v>
      </c>
      <c r="Y8" s="826">
        <f>Table98[[#This Row],[Opening]]+Table98[[#This Row],[Debit]]-Table98[[#This Row],[Credit]]</f>
        <v>-29423000</v>
      </c>
    </row>
    <row r="9" spans="1:25" ht="24" customHeight="1" x14ac:dyDescent="0.6">
      <c r="A9" s="793">
        <v>44682</v>
      </c>
      <c r="B9" s="794">
        <v>1</v>
      </c>
      <c r="C9" s="833" t="s">
        <v>39</v>
      </c>
      <c r="D9" s="834" t="s">
        <v>8204</v>
      </c>
      <c r="E9" s="833" t="s">
        <v>7271</v>
      </c>
      <c r="F9" s="838"/>
      <c r="G9" s="854"/>
      <c r="H9" s="839">
        <v>106250</v>
      </c>
      <c r="I9" s="955">
        <f>Table2[[#This Row],[Opening]]+Table2[[#This Row],[Debit]]-Table2[[#This Row],[Credit]]</f>
        <v>-106250</v>
      </c>
      <c r="J9" s="799"/>
      <c r="K9" s="818">
        <v>44687</v>
      </c>
      <c r="L9" s="819">
        <v>6</v>
      </c>
      <c r="M9" s="785" t="s">
        <v>2933</v>
      </c>
      <c r="N9" s="802">
        <f t="shared" si="2"/>
        <v>13833940</v>
      </c>
      <c r="O9" s="803">
        <f t="shared" si="0"/>
        <v>1360300</v>
      </c>
      <c r="P9" s="803">
        <f t="shared" si="1"/>
        <v>758500</v>
      </c>
      <c r="Q9" s="804">
        <f t="shared" ref="Q9:Q15" si="3">O9-P9</f>
        <v>601800</v>
      </c>
      <c r="S9" s="976" t="s">
        <v>2295</v>
      </c>
      <c r="T9" s="832"/>
      <c r="U9" s="828" t="str">
        <f>VLOOKUP(S9,COA!B:C,2,FALSE)</f>
        <v>Payable GBS Bank (2019)</v>
      </c>
      <c r="V9" s="829"/>
      <c r="W9" s="830">
        <f>SUMIF('Daily Cash Book'!$C$2:$C$1436,Table98[[#This Row],[Code]],'Daily Cash Book'!$G$2:$G$1436)</f>
        <v>0</v>
      </c>
      <c r="X9" s="831">
        <f>SUMIF('Daily Cash Book'!C:C,Table98[[#This Row],[Code]],'Daily Cash Book'!H:H)</f>
        <v>0</v>
      </c>
      <c r="Y9" s="826">
        <f>Table98[[#This Row],[Opening]]+Table98[[#This Row],[Debit]]-Table98[[#This Row],[Credit]]</f>
        <v>0</v>
      </c>
    </row>
    <row r="10" spans="1:25" ht="24" customHeight="1" x14ac:dyDescent="0.6">
      <c r="A10" s="793">
        <v>44682</v>
      </c>
      <c r="B10" s="794">
        <v>1</v>
      </c>
      <c r="C10" s="833" t="s">
        <v>39</v>
      </c>
      <c r="D10" s="807" t="s">
        <v>8195</v>
      </c>
      <c r="E10" s="833" t="s">
        <v>7271</v>
      </c>
      <c r="G10" s="857"/>
      <c r="H10" s="798">
        <v>33000</v>
      </c>
      <c r="I10" s="954">
        <f>Table2[[#This Row],[Opening]]+Table2[[#This Row],[Debit]]-Table2[[#This Row],[Credit]]</f>
        <v>-33000</v>
      </c>
      <c r="J10" s="799"/>
      <c r="K10" s="818">
        <v>44688</v>
      </c>
      <c r="L10" s="819">
        <v>7</v>
      </c>
      <c r="M10" s="785" t="s">
        <v>2934</v>
      </c>
      <c r="N10" s="802">
        <f>N9+O9-P9</f>
        <v>14435740</v>
      </c>
      <c r="O10" s="803">
        <f t="shared" si="0"/>
        <v>1116450</v>
      </c>
      <c r="P10" s="803">
        <f t="shared" si="1"/>
        <v>741050</v>
      </c>
      <c r="Q10" s="804">
        <f t="shared" si="3"/>
        <v>375400</v>
      </c>
      <c r="S10" s="976" t="s">
        <v>2296</v>
      </c>
      <c r="T10" s="832"/>
      <c r="U10" s="828" t="str">
        <f>VLOOKUP(S10,COA!B:C,2,FALSE)</f>
        <v>Payable GBS Bank (2020)</v>
      </c>
      <c r="V10" s="829"/>
      <c r="W10" s="830">
        <f>SUMIF('Daily Cash Book'!$C$2:$C$1436,Table98[[#This Row],[Code]],'Daily Cash Book'!$G$2:$G$1436)</f>
        <v>0</v>
      </c>
      <c r="X10" s="831">
        <f>SUMIF('Daily Cash Book'!C:C,Table98[[#This Row],[Code]],'Daily Cash Book'!H:H)</f>
        <v>0</v>
      </c>
      <c r="Y10" s="826">
        <f>Table98[[#This Row],[Opening]]+Table98[[#This Row],[Debit]]-Table98[[#This Row],[Credit]]</f>
        <v>0</v>
      </c>
    </row>
    <row r="11" spans="1:25" ht="24" customHeight="1" x14ac:dyDescent="0.6">
      <c r="A11" s="793">
        <v>44682</v>
      </c>
      <c r="B11" s="794">
        <v>1</v>
      </c>
      <c r="C11" s="833" t="s">
        <v>86</v>
      </c>
      <c r="D11" s="807" t="s">
        <v>8882</v>
      </c>
      <c r="G11" s="857"/>
      <c r="H11" s="798">
        <v>700</v>
      </c>
      <c r="I11" s="954">
        <f>Table2[[#This Row],[Opening]]+Table2[[#This Row],[Debit]]-Table2[[#This Row],[Credit]]</f>
        <v>-700</v>
      </c>
      <c r="J11" s="799"/>
      <c r="K11" s="818">
        <v>44689</v>
      </c>
      <c r="L11" s="819">
        <v>8</v>
      </c>
      <c r="M11" s="785" t="s">
        <v>2935</v>
      </c>
      <c r="N11" s="802">
        <f>N10+O10-P10</f>
        <v>14811140</v>
      </c>
      <c r="O11" s="803">
        <f t="shared" si="0"/>
        <v>3776900</v>
      </c>
      <c r="P11" s="803">
        <f t="shared" si="1"/>
        <v>237600</v>
      </c>
      <c r="Q11" s="804">
        <f t="shared" si="3"/>
        <v>3539300</v>
      </c>
      <c r="S11" s="976" t="s">
        <v>3080</v>
      </c>
      <c r="T11" s="832"/>
      <c r="U11" s="828" t="str">
        <f>VLOOKUP(S11,COA!B:C,2,FALSE)</f>
        <v>Payable GBS Bank (2021)</v>
      </c>
      <c r="V11" s="829"/>
      <c r="W11" s="830">
        <f>SUMIF('Daily Cash Book'!$C$2:$C$1436,Table98[[#This Row],[Code]],'Daily Cash Book'!$G$2:$G$1436)</f>
        <v>0</v>
      </c>
      <c r="X11" s="831">
        <f>SUMIF('Daily Cash Book'!C:C,Table98[[#This Row],[Code]],'Daily Cash Book'!H:H)</f>
        <v>0</v>
      </c>
      <c r="Y11" s="826">
        <f>Table98[[#This Row],[Opening]]+Table98[[#This Row],[Debit]]-Table98[[#This Row],[Credit]]</f>
        <v>0</v>
      </c>
    </row>
    <row r="12" spans="1:25" ht="24" customHeight="1" x14ac:dyDescent="0.6">
      <c r="A12" s="793">
        <v>44682</v>
      </c>
      <c r="B12" s="794">
        <v>1</v>
      </c>
      <c r="C12" s="833" t="s">
        <v>1240</v>
      </c>
      <c r="D12" s="807" t="s">
        <v>8883</v>
      </c>
      <c r="E12" s="833" t="s">
        <v>7269</v>
      </c>
      <c r="F12" s="838"/>
      <c r="G12" s="854"/>
      <c r="H12" s="839">
        <v>12000</v>
      </c>
      <c r="I12" s="955">
        <f>Table2[[#This Row],[Opening]]+Table2[[#This Row],[Debit]]-Table2[[#This Row],[Credit]]</f>
        <v>-12000</v>
      </c>
      <c r="J12" s="799"/>
      <c r="K12" s="818">
        <v>44690</v>
      </c>
      <c r="L12" s="819">
        <v>9</v>
      </c>
      <c r="M12" s="785" t="s">
        <v>2936</v>
      </c>
      <c r="N12" s="802">
        <f>N11+O11-P11</f>
        <v>18350440</v>
      </c>
      <c r="O12" s="803">
        <f t="shared" si="0"/>
        <v>1846250</v>
      </c>
      <c r="P12" s="803">
        <f t="shared" si="1"/>
        <v>14574170</v>
      </c>
      <c r="Q12" s="804">
        <f>O12-P12</f>
        <v>-12727920</v>
      </c>
      <c r="S12" s="979" t="s">
        <v>2116</v>
      </c>
      <c r="T12" s="785" t="s">
        <v>1102</v>
      </c>
      <c r="U12" s="828" t="str">
        <f>VLOOKUP(S12,COA!$B$2:$G$881,2,FALSE)</f>
        <v>Personal Loan</v>
      </c>
      <c r="V12" s="829"/>
      <c r="W12" s="830">
        <f>SUMIF('Daily Cash Book'!$C$2:$C$1436,Table98[[#This Row],[Code]],'Daily Cash Book'!$G$2:$G$1436)</f>
        <v>0</v>
      </c>
      <c r="X12" s="831">
        <f>SUMIF('Daily Cash Book'!C:C,Table98[[#This Row],[Code]],'Daily Cash Book'!H:H)</f>
        <v>0</v>
      </c>
      <c r="Y12" s="826">
        <f>Table98[[#This Row],[Opening]]+Table98[[#This Row],[Debit]]-Table98[[#This Row],[Credit]]</f>
        <v>0</v>
      </c>
    </row>
    <row r="13" spans="1:25" ht="24" customHeight="1" x14ac:dyDescent="0.6">
      <c r="A13" s="793">
        <v>44682</v>
      </c>
      <c r="B13" s="794">
        <v>1</v>
      </c>
      <c r="C13" s="833" t="s">
        <v>1240</v>
      </c>
      <c r="D13" s="795" t="s">
        <v>8884</v>
      </c>
      <c r="E13" s="833" t="s">
        <v>7269</v>
      </c>
      <c r="G13" s="857"/>
      <c r="H13" s="798">
        <v>8500</v>
      </c>
      <c r="I13" s="954">
        <f>Table2[[#This Row],[Opening]]+Table2[[#This Row],[Debit]]-Table2[[#This Row],[Credit]]</f>
        <v>-8500</v>
      </c>
      <c r="J13" s="799"/>
      <c r="K13" s="818">
        <v>44691</v>
      </c>
      <c r="L13" s="819">
        <v>10</v>
      </c>
      <c r="M13" s="785" t="s">
        <v>2937</v>
      </c>
      <c r="N13" s="802">
        <f>N12+O12-P12</f>
        <v>5622520</v>
      </c>
      <c r="O13" s="803">
        <f t="shared" si="0"/>
        <v>3662900</v>
      </c>
      <c r="P13" s="803">
        <f t="shared" si="1"/>
        <v>559950</v>
      </c>
      <c r="Q13" s="804">
        <f t="shared" si="3"/>
        <v>3102950</v>
      </c>
      <c r="S13" s="974" t="s">
        <v>835</v>
      </c>
      <c r="T13" s="785" t="s">
        <v>835</v>
      </c>
      <c r="U13" s="828" t="str">
        <f>VLOOKUP(S13,COA!$B$2:$G$881,2,FALSE)</f>
        <v>Ma Lwin Lwin Than</v>
      </c>
      <c r="V13" s="829"/>
      <c r="W13" s="830">
        <f>SUMIF('Daily Cash Book'!$C$2:$C$1436,Table98[[#This Row],[Code]],'Daily Cash Book'!$G$2:$G$1436)</f>
        <v>0</v>
      </c>
      <c r="X13" s="831">
        <f>SUMIF('Daily Cash Book'!C:C,Table98[[#This Row],[Code]],'Daily Cash Book'!H:H)</f>
        <v>150000</v>
      </c>
      <c r="Y13" s="826">
        <f>Table98[[#This Row],[Opening]]+Table98[[#This Row],[Debit]]-Table98[[#This Row],[Credit]]</f>
        <v>-150000</v>
      </c>
    </row>
    <row r="14" spans="1:25" ht="24" customHeight="1" thickBot="1" x14ac:dyDescent="0.65">
      <c r="A14" s="884">
        <v>44682</v>
      </c>
      <c r="B14" s="885">
        <v>1</v>
      </c>
      <c r="C14" s="886" t="s">
        <v>39</v>
      </c>
      <c r="D14" s="886" t="s">
        <v>8885</v>
      </c>
      <c r="E14" s="886" t="s">
        <v>7272</v>
      </c>
      <c r="F14" s="887"/>
      <c r="G14" s="872"/>
      <c r="H14" s="872">
        <v>264180</v>
      </c>
      <c r="I14" s="959">
        <f>Table2[[#This Row],[Opening]]+Table2[[#This Row],[Debit]]-Table2[[#This Row],[Credit]]</f>
        <v>-264180</v>
      </c>
      <c r="J14" s="799"/>
      <c r="K14" s="818">
        <v>44692</v>
      </c>
      <c r="L14" s="819">
        <v>11</v>
      </c>
      <c r="M14" s="785" t="s">
        <v>2938</v>
      </c>
      <c r="N14" s="802">
        <f t="shared" si="2"/>
        <v>8725470</v>
      </c>
      <c r="O14" s="803">
        <f t="shared" si="0"/>
        <v>1036700</v>
      </c>
      <c r="P14" s="803">
        <f t="shared" si="1"/>
        <v>5324050</v>
      </c>
      <c r="Q14" s="804">
        <f>O14-P14</f>
        <v>-4287350</v>
      </c>
      <c r="S14" s="974" t="s">
        <v>836</v>
      </c>
      <c r="T14" s="785" t="s">
        <v>836</v>
      </c>
      <c r="U14" s="828" t="str">
        <f>VLOOKUP(S14,COA!$B$2:$G$881,2,FALSE)</f>
        <v>Ko Zin Thu Ko</v>
      </c>
      <c r="V14" s="829"/>
      <c r="W14" s="830">
        <f>SUMIF('Daily Cash Book'!$C$2:$C$1436,Table98[[#This Row],[Code]],'Daily Cash Book'!$G$2:$G$1436)</f>
        <v>0</v>
      </c>
      <c r="X14" s="831">
        <f>SUMIF('Daily Cash Book'!C:C,Table98[[#This Row],[Code]],'Daily Cash Book'!H:H)</f>
        <v>150000</v>
      </c>
      <c r="Y14" s="826">
        <f>Table98[[#This Row],[Opening]]+Table98[[#This Row],[Debit]]-Table98[[#This Row],[Credit]]</f>
        <v>-150000</v>
      </c>
    </row>
    <row r="15" spans="1:25" ht="24" customHeight="1" thickTop="1" x14ac:dyDescent="0.6">
      <c r="A15" s="924">
        <v>44683</v>
      </c>
      <c r="B15" s="925">
        <v>2</v>
      </c>
      <c r="C15" s="851" t="s">
        <v>2466</v>
      </c>
      <c r="D15" s="851" t="s">
        <v>8886</v>
      </c>
      <c r="E15" s="893"/>
      <c r="F15" s="903"/>
      <c r="G15" s="860">
        <v>2500</v>
      </c>
      <c r="H15" s="836"/>
      <c r="I15" s="955">
        <f>Table2[[#This Row],[Opening]]+Table2[[#This Row],[Debit]]-Table2[[#This Row],[Credit]]</f>
        <v>2500</v>
      </c>
      <c r="J15" s="799"/>
      <c r="K15" s="818">
        <v>44693</v>
      </c>
      <c r="L15" s="819">
        <v>12</v>
      </c>
      <c r="M15" s="785" t="s">
        <v>2939</v>
      </c>
      <c r="N15" s="802">
        <f t="shared" si="2"/>
        <v>4438120</v>
      </c>
      <c r="O15" s="803">
        <f t="shared" si="0"/>
        <v>3783850</v>
      </c>
      <c r="P15" s="803">
        <f t="shared" si="1"/>
        <v>336200</v>
      </c>
      <c r="Q15" s="804">
        <f t="shared" si="3"/>
        <v>3447650</v>
      </c>
      <c r="S15" s="975" t="s">
        <v>837</v>
      </c>
      <c r="T15" s="785" t="s">
        <v>837</v>
      </c>
      <c r="U15" s="828" t="str">
        <f>VLOOKUP(S15,COA!$B$2:$G$881,2,FALSE)</f>
        <v>Ma Khin Sanda Min Oo</v>
      </c>
      <c r="V15" s="829"/>
      <c r="W15" s="830">
        <f>SUMIF('Daily Cash Book'!$C$2:$C$1436,Table98[[#This Row],[Code]],'Daily Cash Book'!$G$2:$G$1436)</f>
        <v>0</v>
      </c>
      <c r="X15" s="831">
        <f>SUMIF('Daily Cash Book'!C:C,Table98[[#This Row],[Code]],'Daily Cash Book'!H:H)</f>
        <v>0</v>
      </c>
      <c r="Y15" s="826">
        <f>Table98[[#This Row],[Opening]]+Table98[[#This Row],[Debit]]-Table98[[#This Row],[Credit]]</f>
        <v>0</v>
      </c>
    </row>
    <row r="16" spans="1:25" ht="24" customHeight="1" x14ac:dyDescent="0.6">
      <c r="A16" s="924">
        <v>44683</v>
      </c>
      <c r="B16" s="925">
        <v>2</v>
      </c>
      <c r="C16" s="851" t="s">
        <v>2466</v>
      </c>
      <c r="D16" s="851" t="s">
        <v>8886</v>
      </c>
      <c r="E16" s="878"/>
      <c r="F16" s="896"/>
      <c r="G16" s="844">
        <v>1000</v>
      </c>
      <c r="H16" s="809"/>
      <c r="I16" s="954">
        <f>Table2[[#This Row],[Opening]]+Table2[[#This Row],[Debit]]-Table2[[#This Row],[Credit]]</f>
        <v>1000</v>
      </c>
      <c r="J16" s="799"/>
      <c r="K16" s="818">
        <v>44694</v>
      </c>
      <c r="L16" s="819">
        <v>13</v>
      </c>
      <c r="M16" s="785" t="s">
        <v>2940</v>
      </c>
      <c r="N16" s="802">
        <f t="shared" si="2"/>
        <v>7885770</v>
      </c>
      <c r="O16" s="803">
        <f t="shared" si="0"/>
        <v>3574600</v>
      </c>
      <c r="P16" s="803">
        <f t="shared" si="1"/>
        <v>1581804</v>
      </c>
      <c r="Q16" s="804">
        <f>O16-P16</f>
        <v>1992796</v>
      </c>
      <c r="S16" s="971" t="s">
        <v>981</v>
      </c>
      <c r="T16" s="972" t="s">
        <v>981</v>
      </c>
      <c r="U16" s="828" t="str">
        <f>VLOOKUP(S16,COA!$B$2:$G$881,2,FALSE)</f>
        <v>Receivable for Staff</v>
      </c>
      <c r="V16" s="829"/>
      <c r="W16" s="830">
        <f>SUMIF('Daily Cash Book'!$C$2:$C$1436,Table98[[#This Row],[Code]],'Daily Cash Book'!$G$2:$G$1436)</f>
        <v>0</v>
      </c>
      <c r="X16" s="831">
        <f>SUMIF('Daily Cash Book'!C:C,Table98[[#This Row],[Code]],'Daily Cash Book'!H:H)</f>
        <v>63000</v>
      </c>
      <c r="Y16" s="826">
        <f>Table98[[#This Row],[Opening]]+Table98[[#This Row],[Debit]]-Table98[[#This Row],[Credit]]</f>
        <v>-63000</v>
      </c>
    </row>
    <row r="17" spans="1:25" ht="24" customHeight="1" x14ac:dyDescent="0.6">
      <c r="A17" s="924">
        <v>44683</v>
      </c>
      <c r="B17" s="925">
        <v>2</v>
      </c>
      <c r="C17" s="851" t="s">
        <v>905</v>
      </c>
      <c r="D17" s="851" t="s">
        <v>8879</v>
      </c>
      <c r="E17" s="893"/>
      <c r="F17" s="903"/>
      <c r="G17" s="860">
        <v>3000</v>
      </c>
      <c r="H17" s="836"/>
      <c r="I17" s="955">
        <f>Table2[[#This Row],[Opening]]+Table2[[#This Row],[Debit]]-Table2[[#This Row],[Credit]]</f>
        <v>3000</v>
      </c>
      <c r="J17" s="799"/>
      <c r="K17" s="818">
        <v>44695</v>
      </c>
      <c r="L17" s="819">
        <v>14</v>
      </c>
      <c r="M17" s="785" t="s">
        <v>2941</v>
      </c>
      <c r="N17" s="802">
        <f t="shared" si="2"/>
        <v>9878566</v>
      </c>
      <c r="O17" s="803">
        <f t="shared" si="0"/>
        <v>2092500</v>
      </c>
      <c r="P17" s="803">
        <f t="shared" si="1"/>
        <v>7154520</v>
      </c>
      <c r="Q17" s="804">
        <f>O17-P17</f>
        <v>-5062020</v>
      </c>
      <c r="S17" s="971" t="s">
        <v>985</v>
      </c>
      <c r="T17" s="973" t="s">
        <v>981</v>
      </c>
      <c r="U17" s="828" t="str">
        <f>VLOOKUP(S17,COA!$B$2:$G$881,2,FALSE)</f>
        <v>Receivable for Ko Htwe</v>
      </c>
      <c r="V17" s="829"/>
      <c r="W17" s="831">
        <f>SUMIF('Daily Cash Book'!$C$2:$C$1436,Table98[[#This Row],[Code]],'Daily Cash Book'!$G$2:$G$1436)</f>
        <v>0</v>
      </c>
      <c r="X17" s="831">
        <f>SUMIF('Daily Cash Book'!C:C,Table98[[#This Row],[Code]],'Daily Cash Book'!H:H)</f>
        <v>137950</v>
      </c>
      <c r="Y17" s="826">
        <f>Table98[[#This Row],[Opening]]+Table98[[#This Row],[Debit]]-Table98[[#This Row],[Credit]]</f>
        <v>-137950</v>
      </c>
    </row>
    <row r="18" spans="1:25" ht="24" customHeight="1" x14ac:dyDescent="0.6">
      <c r="A18" s="924">
        <v>44683</v>
      </c>
      <c r="B18" s="925">
        <v>2</v>
      </c>
      <c r="C18" s="851" t="s">
        <v>2466</v>
      </c>
      <c r="D18" s="842" t="s">
        <v>8886</v>
      </c>
      <c r="E18" s="893"/>
      <c r="F18" s="894"/>
      <c r="G18" s="854">
        <v>10000</v>
      </c>
      <c r="H18" s="839"/>
      <c r="I18" s="955">
        <f>Table2[[#This Row],[Opening]]+Table2[[#This Row],[Debit]]-Table2[[#This Row],[Credit]]</f>
        <v>10000</v>
      </c>
      <c r="J18" s="799"/>
      <c r="K18" s="818">
        <v>44696</v>
      </c>
      <c r="L18" s="819">
        <v>15</v>
      </c>
      <c r="M18" s="785" t="s">
        <v>2942</v>
      </c>
      <c r="N18" s="802">
        <f>N17+O17-P17</f>
        <v>4816546</v>
      </c>
      <c r="O18" s="803">
        <f t="shared" si="0"/>
        <v>2905000</v>
      </c>
      <c r="P18" s="803">
        <f t="shared" si="1"/>
        <v>1110900</v>
      </c>
      <c r="Q18" s="804">
        <f>O18-P18</f>
        <v>1794100</v>
      </c>
      <c r="S18" s="847" t="s">
        <v>2917</v>
      </c>
      <c r="T18" s="848"/>
      <c r="U18" s="849" t="str">
        <f>VLOOKUP(S18,COA!$B$2:$G$881,2,FALSE)</f>
        <v>Ko Chit Kyaw Thu (Wabalaukthauk)</v>
      </c>
      <c r="V18" s="829"/>
      <c r="W18" s="831">
        <f>SUMIF('Daily Cash Book'!$C$2:$C$1436,Table98[[#This Row],[Code]],'Daily Cash Book'!$G$2:$G$1436)</f>
        <v>14400</v>
      </c>
      <c r="X18" s="831">
        <f>SUMIF('Daily Cash Book'!C:C,Table98[[#This Row],[Code]],'Daily Cash Book'!H:H)</f>
        <v>9400</v>
      </c>
      <c r="Y18" s="826">
        <f>Table98[[#This Row],[Opening]]+Table98[[#This Row],[Debit]]-Table98[[#This Row],[Credit]]</f>
        <v>5000</v>
      </c>
    </row>
    <row r="19" spans="1:25" ht="24" customHeight="1" x14ac:dyDescent="0.6">
      <c r="A19" s="924">
        <v>44683</v>
      </c>
      <c r="B19" s="925">
        <v>2</v>
      </c>
      <c r="C19" s="851" t="s">
        <v>888</v>
      </c>
      <c r="D19" s="855" t="s">
        <v>8880</v>
      </c>
      <c r="E19" s="878"/>
      <c r="F19" s="895"/>
      <c r="G19" s="857">
        <v>1754000</v>
      </c>
      <c r="H19" s="809"/>
      <c r="I19" s="954">
        <f>Table2[[#This Row],[Opening]]+Table2[[#This Row],[Debit]]-Table2[[#This Row],[Credit]]</f>
        <v>1754000</v>
      </c>
      <c r="J19" s="799"/>
      <c r="K19" s="818">
        <v>44697</v>
      </c>
      <c r="L19" s="819">
        <v>16</v>
      </c>
      <c r="M19" s="785" t="s">
        <v>2943</v>
      </c>
      <c r="N19" s="802">
        <f t="shared" si="2"/>
        <v>6610646</v>
      </c>
      <c r="O19" s="803">
        <f t="shared" si="0"/>
        <v>4911500</v>
      </c>
      <c r="P19" s="803">
        <f t="shared" si="1"/>
        <v>779600</v>
      </c>
      <c r="Q19" s="804">
        <f>O19-P19</f>
        <v>4131900</v>
      </c>
      <c r="S19" s="847" t="s">
        <v>2922</v>
      </c>
      <c r="T19" s="848"/>
      <c r="U19" s="849" t="str">
        <f>VLOOKUP(S19,COA!$B$2:$G$881,2,FALSE)</f>
        <v>Ko Myo Thu (Wabalaukthauk)</v>
      </c>
      <c r="V19" s="829"/>
      <c r="W19" s="830">
        <f>SUMIF('Daily Cash Book'!$C$2:$C$1436,Table98[[#This Row],[Code]],'Daily Cash Book'!$G$2:$G$1436)</f>
        <v>0</v>
      </c>
      <c r="X19" s="831">
        <f>SUMIF('Daily Cash Book'!C:C,Table98[[#This Row],[Code]],'Daily Cash Book'!H:H)</f>
        <v>0</v>
      </c>
      <c r="Y19" s="826">
        <f>Table98[[#This Row],[Opening]]+Table98[[#This Row],[Debit]]-Table98[[#This Row],[Credit]]</f>
        <v>0</v>
      </c>
    </row>
    <row r="20" spans="1:25" ht="24" customHeight="1" x14ac:dyDescent="0.6">
      <c r="A20" s="924">
        <v>44683</v>
      </c>
      <c r="B20" s="925">
        <v>2</v>
      </c>
      <c r="C20" s="851" t="s">
        <v>1267</v>
      </c>
      <c r="D20" s="851" t="s">
        <v>7209</v>
      </c>
      <c r="E20" s="893"/>
      <c r="F20" s="894"/>
      <c r="G20" s="854">
        <v>9650</v>
      </c>
      <c r="H20" s="839"/>
      <c r="I20" s="955">
        <f>Table2[[#This Row],[Opening]]+Table2[[#This Row],[Debit]]-Table2[[#This Row],[Credit]]</f>
        <v>9650</v>
      </c>
      <c r="J20" s="858"/>
      <c r="K20" s="818">
        <v>44698</v>
      </c>
      <c r="L20" s="819">
        <v>17</v>
      </c>
      <c r="M20" s="785" t="s">
        <v>2944</v>
      </c>
      <c r="N20" s="802">
        <f t="shared" si="2"/>
        <v>10742546</v>
      </c>
      <c r="O20" s="803">
        <f t="shared" si="0"/>
        <v>2519550</v>
      </c>
      <c r="P20" s="803">
        <f t="shared" si="1"/>
        <v>4116870</v>
      </c>
      <c r="Q20" s="804">
        <f>O20-P20</f>
        <v>-1597320</v>
      </c>
      <c r="S20" s="847" t="s">
        <v>2918</v>
      </c>
      <c r="T20" s="848"/>
      <c r="U20" s="849" t="str">
        <f>VLOOKUP(S20,COA!$B$2:$G$881,2,FALSE)</f>
        <v>Ko Kaing Zar Htay (Wabalaukthauk)</v>
      </c>
      <c r="V20" s="829"/>
      <c r="W20" s="830">
        <f>SUMIF('Daily Cash Book'!$C$2:$C$1436,Table98[[#This Row],[Code]],'Daily Cash Book'!$G$2:$G$1436)</f>
        <v>0</v>
      </c>
      <c r="X20" s="831">
        <f>SUMIF('Daily Cash Book'!C:C,Table98[[#This Row],[Code]],'Daily Cash Book'!H:H)</f>
        <v>0</v>
      </c>
      <c r="Y20" s="826">
        <f>Table98[[#This Row],[Opening]]+Table98[[#This Row],[Debit]]-Table98[[#This Row],[Credit]]</f>
        <v>0</v>
      </c>
    </row>
    <row r="21" spans="1:25" ht="24" customHeight="1" x14ac:dyDescent="0.6">
      <c r="A21" s="924">
        <v>44683</v>
      </c>
      <c r="B21" s="925">
        <v>2</v>
      </c>
      <c r="C21" s="851" t="s">
        <v>1183</v>
      </c>
      <c r="D21" s="851" t="s">
        <v>8893</v>
      </c>
      <c r="E21" s="893"/>
      <c r="F21" s="903"/>
      <c r="G21" s="836"/>
      <c r="H21" s="836">
        <v>20000</v>
      </c>
      <c r="I21" s="955">
        <f>Table2[[#This Row],[Opening]]+Table2[[#This Row],[Debit]]-Table2[[#This Row],[Credit]]</f>
        <v>-20000</v>
      </c>
      <c r="J21" s="837"/>
      <c r="K21" s="818">
        <v>44699</v>
      </c>
      <c r="L21" s="819">
        <v>18</v>
      </c>
      <c r="M21" s="785" t="s">
        <v>2945</v>
      </c>
      <c r="N21" s="802">
        <f t="shared" si="2"/>
        <v>9145226</v>
      </c>
      <c r="O21" s="803">
        <f t="shared" si="0"/>
        <v>2771900</v>
      </c>
      <c r="P21" s="803">
        <f t="shared" si="1"/>
        <v>5803495</v>
      </c>
      <c r="Q21" s="804">
        <f t="shared" ref="Q21:Q34" si="4">O21-P21</f>
        <v>-3031595</v>
      </c>
      <c r="S21" s="847" t="s">
        <v>2921</v>
      </c>
      <c r="T21" s="848"/>
      <c r="U21" s="849" t="str">
        <f>VLOOKUP(S21,COA!$B$2:$G$881,2,FALSE)</f>
        <v>Ko Kyaw  Soe (Wabalaukthauk)</v>
      </c>
      <c r="V21" s="829"/>
      <c r="W21" s="830">
        <f>SUMIF('Daily Cash Book'!$C$2:$C$1436,Table98[[#This Row],[Code]],'Daily Cash Book'!$G$2:$G$1436)</f>
        <v>0</v>
      </c>
      <c r="X21" s="831">
        <f>SUMIF('Daily Cash Book'!C:C,Table98[[#This Row],[Code]],'Daily Cash Book'!H:H)</f>
        <v>9300</v>
      </c>
      <c r="Y21" s="826">
        <f>Table98[[#This Row],[Opening]]+Table98[[#This Row],[Debit]]-Table98[[#This Row],[Credit]]</f>
        <v>-9300</v>
      </c>
    </row>
    <row r="22" spans="1:25" ht="24" customHeight="1" x14ac:dyDescent="0.6">
      <c r="A22" s="924">
        <v>44683</v>
      </c>
      <c r="B22" s="925">
        <v>2</v>
      </c>
      <c r="C22" s="842" t="s">
        <v>985</v>
      </c>
      <c r="D22" s="855" t="s">
        <v>8887</v>
      </c>
      <c r="E22" s="878"/>
      <c r="F22" s="896"/>
      <c r="G22" s="809"/>
      <c r="H22" s="809">
        <v>1000</v>
      </c>
      <c r="I22" s="954">
        <f>Table2[[#This Row],[Opening]]+Table2[[#This Row],[Debit]]-Table2[[#This Row],[Credit]]</f>
        <v>-1000</v>
      </c>
      <c r="J22" s="799"/>
      <c r="K22" s="818">
        <v>44700</v>
      </c>
      <c r="L22" s="819">
        <v>19</v>
      </c>
      <c r="M22" s="785" t="s">
        <v>2946</v>
      </c>
      <c r="N22" s="802">
        <f t="shared" si="2"/>
        <v>6113631</v>
      </c>
      <c r="O22" s="803">
        <f t="shared" si="0"/>
        <v>2476650</v>
      </c>
      <c r="P22" s="803">
        <f t="shared" si="1"/>
        <v>598900</v>
      </c>
      <c r="Q22" s="804">
        <f t="shared" si="4"/>
        <v>1877750</v>
      </c>
      <c r="S22" s="847" t="s">
        <v>2919</v>
      </c>
      <c r="T22" s="848"/>
      <c r="U22" s="849" t="str">
        <f>VLOOKUP(S22,COA!$B$2:$G$881,2,FALSE)</f>
        <v>Ko Thant Zin (Wabalaukthauk)</v>
      </c>
      <c r="V22" s="829"/>
      <c r="W22" s="830">
        <f>SUMIF('Daily Cash Book'!$C$2:$C$1436,Table98[[#This Row],[Code]],'Daily Cash Book'!$G$2:$G$1436)</f>
        <v>0</v>
      </c>
      <c r="X22" s="831">
        <f>SUMIF('Daily Cash Book'!C:C,Table98[[#This Row],[Code]],'Daily Cash Book'!H:H)</f>
        <v>0</v>
      </c>
      <c r="Y22" s="826">
        <f>Table98[[#This Row],[Opening]]+Table98[[#This Row],[Debit]]-Table98[[#This Row],[Credit]]</f>
        <v>0</v>
      </c>
    </row>
    <row r="23" spans="1:25" ht="24" customHeight="1" x14ac:dyDescent="0.6">
      <c r="A23" s="924">
        <v>44683</v>
      </c>
      <c r="B23" s="925">
        <v>2</v>
      </c>
      <c r="C23" s="842" t="s">
        <v>86</v>
      </c>
      <c r="D23" s="842" t="s">
        <v>8888</v>
      </c>
      <c r="E23" s="842"/>
      <c r="F23" s="856"/>
      <c r="G23" s="857"/>
      <c r="H23" s="798">
        <v>4300</v>
      </c>
      <c r="I23" s="954">
        <f>Table2[[#This Row],[Opening]]+Table2[[#This Row],[Debit]]-Table2[[#This Row],[Credit]]</f>
        <v>-4300</v>
      </c>
      <c r="J23" s="799"/>
      <c r="K23" s="818">
        <v>44701</v>
      </c>
      <c r="L23" s="819">
        <v>20</v>
      </c>
      <c r="M23" s="785" t="s">
        <v>2947</v>
      </c>
      <c r="N23" s="802">
        <f t="shared" si="2"/>
        <v>7991381</v>
      </c>
      <c r="O23" s="803">
        <f t="shared" si="0"/>
        <v>3716750</v>
      </c>
      <c r="P23" s="803">
        <f t="shared" si="1"/>
        <v>5641549</v>
      </c>
      <c r="Q23" s="804">
        <f t="shared" si="4"/>
        <v>-1924799</v>
      </c>
      <c r="S23" s="847" t="s">
        <v>2923</v>
      </c>
      <c r="T23" s="848"/>
      <c r="U23" s="849" t="str">
        <f>VLOOKUP(S23,COA!$B$2:$G$881,2,FALSE)</f>
        <v>Ko Tin Hla (MaWin)</v>
      </c>
      <c r="V23" s="829"/>
      <c r="W23" s="830">
        <f>SUMIF('Daily Cash Book'!$C$2:$C$1436,Table98[[#This Row],[Code]],'Daily Cash Book'!$G$2:$G$1436)</f>
        <v>0</v>
      </c>
      <c r="X23" s="831">
        <f>SUMIF('Daily Cash Book'!C:C,Table98[[#This Row],[Code]],'Daily Cash Book'!H:H)</f>
        <v>0</v>
      </c>
      <c r="Y23" s="826">
        <f>Table98[[#This Row],[Opening]]+Table98[[#This Row],[Debit]]-Table98[[#This Row],[Credit]]</f>
        <v>0</v>
      </c>
    </row>
    <row r="24" spans="1:25" ht="24" customHeight="1" x14ac:dyDescent="0.6">
      <c r="A24" s="924">
        <v>44683</v>
      </c>
      <c r="B24" s="925">
        <v>2</v>
      </c>
      <c r="C24" s="851" t="s">
        <v>864</v>
      </c>
      <c r="D24" s="851" t="s">
        <v>8889</v>
      </c>
      <c r="E24" s="851"/>
      <c r="F24" s="853"/>
      <c r="G24" s="854"/>
      <c r="H24" s="839">
        <v>2200</v>
      </c>
      <c r="I24" s="960">
        <f>Table2[[#This Row],[Opening]]+Table2[[#This Row],[Debit]]-Table2[[#This Row],[Credit]]</f>
        <v>-2200</v>
      </c>
      <c r="J24" s="799"/>
      <c r="K24" s="818">
        <v>44702</v>
      </c>
      <c r="L24" s="819">
        <v>21</v>
      </c>
      <c r="M24" s="785" t="s">
        <v>2948</v>
      </c>
      <c r="N24" s="802">
        <f>N23+O23-P23</f>
        <v>6066582</v>
      </c>
      <c r="O24" s="803">
        <f t="shared" si="0"/>
        <v>5709750</v>
      </c>
      <c r="P24" s="803">
        <f t="shared" si="1"/>
        <v>707600</v>
      </c>
      <c r="Q24" s="804">
        <f t="shared" si="4"/>
        <v>5002150</v>
      </c>
      <c r="S24" s="847" t="s">
        <v>2920</v>
      </c>
      <c r="T24" s="848"/>
      <c r="U24" s="849" t="str">
        <f>VLOOKUP(S24,COA!$B$2:$G$881,2,FALSE)</f>
        <v>Mg Myint Thu (KayiteKanie)</v>
      </c>
      <c r="V24" s="829"/>
      <c r="W24" s="830">
        <f>SUMIF('Daily Cash Book'!$C$2:$C$1436,Table98[[#This Row],[Code]],'Daily Cash Book'!$G$2:$G$1436)</f>
        <v>22200</v>
      </c>
      <c r="X24" s="831">
        <f>SUMIF('Daily Cash Book'!C:C,Table98[[#This Row],[Code]],'Daily Cash Book'!H:H)</f>
        <v>37000</v>
      </c>
      <c r="Y24" s="826">
        <f>Table98[[#This Row],[Opening]]+Table98[[#This Row],[Debit]]-Table98[[#This Row],[Credit]]</f>
        <v>-14800</v>
      </c>
    </row>
    <row r="25" spans="1:25" ht="26.25" customHeight="1" x14ac:dyDescent="0.6">
      <c r="A25" s="924">
        <v>44683</v>
      </c>
      <c r="B25" s="925">
        <v>2</v>
      </c>
      <c r="C25" s="842" t="s">
        <v>1240</v>
      </c>
      <c r="D25" s="888" t="s">
        <v>8890</v>
      </c>
      <c r="E25" s="842" t="s">
        <v>7269</v>
      </c>
      <c r="F25" s="856"/>
      <c r="G25" s="857"/>
      <c r="H25" s="798">
        <v>7000</v>
      </c>
      <c r="I25" s="961">
        <f>Table2[[#This Row],[Opening]]+Table2[[#This Row],[Debit]]-Table2[[#This Row],[Credit]]</f>
        <v>-7000</v>
      </c>
      <c r="J25" s="799"/>
      <c r="K25" s="818">
        <v>44703</v>
      </c>
      <c r="L25" s="819">
        <v>22</v>
      </c>
      <c r="M25" s="785" t="s">
        <v>2949</v>
      </c>
      <c r="N25" s="802">
        <f t="shared" si="2"/>
        <v>11068732</v>
      </c>
      <c r="O25" s="803">
        <f t="shared" si="0"/>
        <v>4390100</v>
      </c>
      <c r="P25" s="803">
        <f t="shared" si="1"/>
        <v>687302</v>
      </c>
      <c r="Q25" s="804">
        <f>O25-P25</f>
        <v>3702798</v>
      </c>
      <c r="S25" s="847" t="s">
        <v>3086</v>
      </c>
      <c r="T25" s="848"/>
      <c r="U25" s="849" t="str">
        <f>VLOOKUP(S25,COA!$B$2:$G$881,2,FALSE)</f>
        <v>U Zaw Htwe (Thae Khone Tan)</v>
      </c>
      <c r="V25" s="829"/>
      <c r="W25" s="830">
        <f>SUMIF('Daily Cash Book'!$C$2:$C$1436,Table98[[#This Row],[Code]],'Daily Cash Book'!$G$2:$G$1436)</f>
        <v>0</v>
      </c>
      <c r="X25" s="831">
        <f>SUMIF('Daily Cash Book'!C:C,Table98[[#This Row],[Code]],'Daily Cash Book'!H:H)</f>
        <v>0</v>
      </c>
      <c r="Y25" s="826">
        <f>Table98[[#This Row],[Opening]]+Table98[[#This Row],[Debit]]-Table98[[#This Row],[Credit]]</f>
        <v>0</v>
      </c>
    </row>
    <row r="26" spans="1:25" ht="24.75" customHeight="1" x14ac:dyDescent="0.6">
      <c r="A26" s="924">
        <v>44683</v>
      </c>
      <c r="B26" s="925">
        <v>2</v>
      </c>
      <c r="C26" s="842" t="s">
        <v>1240</v>
      </c>
      <c r="D26" s="851" t="s">
        <v>8891</v>
      </c>
      <c r="E26" s="842" t="s">
        <v>7269</v>
      </c>
      <c r="F26" s="853"/>
      <c r="G26" s="861"/>
      <c r="H26" s="836">
        <v>24100</v>
      </c>
      <c r="I26" s="960">
        <f>Table2[[#This Row],[Opening]]+Table2[[#This Row],[Debit]]-Table2[[#This Row],[Credit]]</f>
        <v>-24100</v>
      </c>
      <c r="J26" s="799"/>
      <c r="K26" s="818">
        <v>44704</v>
      </c>
      <c r="L26" s="819">
        <v>23</v>
      </c>
      <c r="M26" s="785" t="s">
        <v>2950</v>
      </c>
      <c r="N26" s="802">
        <f>N25+O25-P25</f>
        <v>14771530</v>
      </c>
      <c r="O26" s="803">
        <f t="shared" si="0"/>
        <v>2986650</v>
      </c>
      <c r="P26" s="803">
        <f t="shared" si="1"/>
        <v>5224104</v>
      </c>
      <c r="Q26" s="804">
        <f t="shared" si="4"/>
        <v>-2237454</v>
      </c>
      <c r="S26" s="847" t="s">
        <v>8494</v>
      </c>
      <c r="T26" s="848"/>
      <c r="U26" s="849" t="str">
        <f>VLOOKUP(S26,COA!$B$2:$G$881,2,FALSE)</f>
        <v>Ma Moe Moe (Wabalaukthauk)</v>
      </c>
      <c r="V26" s="829"/>
      <c r="W26" s="830">
        <f>SUMIF('Daily Cash Book'!$C$2:$C$1436,Table98[[#This Row],[Code]],'Daily Cash Book'!$G$2:$G$1436)</f>
        <v>522500</v>
      </c>
      <c r="X26" s="831">
        <f>SUMIF('Daily Cash Book'!C:C,Table98[[#This Row],[Code]],'Daily Cash Book'!H:H)</f>
        <v>152700</v>
      </c>
      <c r="Y26" s="826">
        <f>Table98[[#This Row],[Opening]]+Table98[[#This Row],[Debit]]-Table98[[#This Row],[Credit]]</f>
        <v>369800</v>
      </c>
    </row>
    <row r="27" spans="1:25" ht="24" customHeight="1" thickBot="1" x14ac:dyDescent="0.65">
      <c r="A27" s="1234">
        <v>44683</v>
      </c>
      <c r="B27" s="1235">
        <v>2</v>
      </c>
      <c r="C27" s="846" t="s">
        <v>1240</v>
      </c>
      <c r="D27" s="846" t="s">
        <v>8892</v>
      </c>
      <c r="E27" s="846" t="s">
        <v>7269</v>
      </c>
      <c r="F27" s="1236"/>
      <c r="G27" s="1237"/>
      <c r="H27" s="1238">
        <v>40600</v>
      </c>
      <c r="I27" s="1239">
        <f>Table2[[#This Row],[Opening]]+Table2[[#This Row],[Debit]]-Table2[[#This Row],[Credit]]</f>
        <v>-40600</v>
      </c>
      <c r="J27" s="799"/>
      <c r="K27" s="818">
        <v>44705</v>
      </c>
      <c r="L27" s="819">
        <v>24</v>
      </c>
      <c r="M27" s="785" t="s">
        <v>2951</v>
      </c>
      <c r="N27" s="802">
        <f t="shared" si="2"/>
        <v>12534076</v>
      </c>
      <c r="O27" s="803">
        <f t="shared" si="0"/>
        <v>2702700</v>
      </c>
      <c r="P27" s="803">
        <f t="shared" si="1"/>
        <v>337000</v>
      </c>
      <c r="Q27" s="804">
        <f t="shared" si="4"/>
        <v>2365700</v>
      </c>
      <c r="S27" s="847" t="s">
        <v>9070</v>
      </c>
      <c r="T27" s="848"/>
      <c r="U27" s="849" t="str">
        <f>VLOOKUP(S27,COA!$B$2:$G$881,2,FALSE)</f>
        <v>U Than Oo (Lat Koat Khone)</v>
      </c>
      <c r="V27" s="829"/>
      <c r="W27" s="830">
        <f>SUMIF('Daily Cash Book'!$C$2:$C$1436,Table98[[#This Row],[Code]],'Daily Cash Book'!$G$2:$G$1436)</f>
        <v>0</v>
      </c>
      <c r="X27" s="831">
        <f>SUMIF('Daily Cash Book'!C:C,Table98[[#This Row],[Code]],'Daily Cash Book'!H:H)</f>
        <v>167800</v>
      </c>
      <c r="Y27" s="826">
        <f>Table98[[#This Row],[Opening]]+Table98[[#This Row],[Debit]]-Table98[[#This Row],[Credit]]</f>
        <v>-167800</v>
      </c>
    </row>
    <row r="28" spans="1:25" ht="24" customHeight="1" thickTop="1" x14ac:dyDescent="0.6">
      <c r="A28" s="778">
        <v>44684</v>
      </c>
      <c r="B28" s="850">
        <v>3</v>
      </c>
      <c r="C28" s="851" t="s">
        <v>905</v>
      </c>
      <c r="D28" s="852" t="s">
        <v>8879</v>
      </c>
      <c r="E28" s="851"/>
      <c r="F28" s="853"/>
      <c r="G28" s="860">
        <v>2000</v>
      </c>
      <c r="H28" s="839"/>
      <c r="I28" s="1233">
        <f>Table2[[#This Row],[Opening]]+Table2[[#This Row],[Debit]]-Table2[[#This Row],[Credit]]</f>
        <v>2000</v>
      </c>
      <c r="J28" s="799"/>
      <c r="K28" s="818">
        <v>44706</v>
      </c>
      <c r="L28" s="819">
        <v>25</v>
      </c>
      <c r="M28" s="785" t="s">
        <v>2952</v>
      </c>
      <c r="N28" s="802">
        <f t="shared" si="2"/>
        <v>14899776</v>
      </c>
      <c r="O28" s="803">
        <f t="shared" si="0"/>
        <v>3574300</v>
      </c>
      <c r="P28" s="803">
        <f t="shared" si="1"/>
        <v>1532850</v>
      </c>
      <c r="Q28" s="804">
        <f t="shared" si="4"/>
        <v>2041450</v>
      </c>
      <c r="S28" s="980" t="s">
        <v>800</v>
      </c>
      <c r="T28" s="981" t="s">
        <v>1282</v>
      </c>
      <c r="U28" s="982" t="str">
        <f>VLOOKUP(S28,COA!$B$2:$G$881,2,FALSE)</f>
        <v>Receivable for Sale</v>
      </c>
      <c r="V28" s="829"/>
      <c r="W28" s="830">
        <f>SUMIF('Daily Cash Book'!$C$2:$C$1436,Table98[[#This Row],[Code]],'Daily Cash Book'!$G$2:$G$1436)</f>
        <v>0</v>
      </c>
      <c r="X28" s="831">
        <f>SUMIF('Daily Cash Book'!C:C,Table98[[#This Row],[Code]],'Daily Cash Book'!H:H)</f>
        <v>0</v>
      </c>
      <c r="Y28" s="826">
        <f>Table98[[#This Row],[Opening]]+Table98[[#This Row],[Debit]]-Table98[[#This Row],[Credit]]</f>
        <v>0</v>
      </c>
    </row>
    <row r="29" spans="1:25" ht="24" customHeight="1" x14ac:dyDescent="0.6">
      <c r="A29" s="778">
        <v>44684</v>
      </c>
      <c r="B29" s="850">
        <v>3</v>
      </c>
      <c r="C29" s="851" t="s">
        <v>905</v>
      </c>
      <c r="D29" s="852" t="s">
        <v>8879</v>
      </c>
      <c r="E29" s="842"/>
      <c r="F29" s="856"/>
      <c r="G29" s="857">
        <v>2000</v>
      </c>
      <c r="I29" s="954">
        <f>Table2[[#This Row],[Opening]]+Table2[[#This Row],[Debit]]-Table2[[#This Row],[Credit]]</f>
        <v>2000</v>
      </c>
      <c r="J29" s="799"/>
      <c r="K29" s="818">
        <v>44707</v>
      </c>
      <c r="L29" s="819">
        <v>26</v>
      </c>
      <c r="M29" s="785" t="s">
        <v>2953</v>
      </c>
      <c r="N29" s="802">
        <f t="shared" si="2"/>
        <v>16941226</v>
      </c>
      <c r="O29" s="803">
        <f t="shared" si="0"/>
        <v>2240350</v>
      </c>
      <c r="P29" s="803">
        <f t="shared" si="1"/>
        <v>388050</v>
      </c>
      <c r="Q29" s="804">
        <f t="shared" si="4"/>
        <v>1852300</v>
      </c>
      <c r="S29" s="980" t="s">
        <v>484</v>
      </c>
      <c r="T29" s="981" t="s">
        <v>1283</v>
      </c>
      <c r="U29" s="983" t="str">
        <f>VLOOKUP(S29,COA!$B$2:$G$881,2,FALSE)</f>
        <v>Receivable for WBL HP - 2016</v>
      </c>
      <c r="V29" s="829"/>
      <c r="W29" s="830">
        <f>SUMIF('Daily Cash Book'!$C$2:$C$1436,Table98[[#This Row],[Code]],'Daily Cash Book'!$G$2:$G$1436)</f>
        <v>0</v>
      </c>
      <c r="X29" s="831">
        <f>SUMIF('Daily Cash Book'!C:C,Table98[[#This Row],[Code]],'Daily Cash Book'!H:H)</f>
        <v>0</v>
      </c>
      <c r="Y29" s="826">
        <f>Table98[[#This Row],[Opening]]+Table98[[#This Row],[Debit]]-Table98[[#This Row],[Credit]]</f>
        <v>0</v>
      </c>
    </row>
    <row r="30" spans="1:25" ht="24" customHeight="1" x14ac:dyDescent="0.6">
      <c r="A30" s="778">
        <v>44684</v>
      </c>
      <c r="B30" s="850">
        <v>3</v>
      </c>
      <c r="C30" s="851" t="s">
        <v>905</v>
      </c>
      <c r="D30" s="852" t="s">
        <v>8879</v>
      </c>
      <c r="E30" s="842"/>
      <c r="F30" s="843"/>
      <c r="G30" s="844">
        <v>14000</v>
      </c>
      <c r="H30" s="809"/>
      <c r="I30" s="961">
        <f>Table2[[#This Row],[Opening]]+Table2[[#This Row],[Debit]]-Table2[[#This Row],[Credit]]</f>
        <v>14000</v>
      </c>
      <c r="J30" s="799"/>
      <c r="K30" s="818">
        <v>44708</v>
      </c>
      <c r="L30" s="819">
        <v>27</v>
      </c>
      <c r="M30" s="785" t="s">
        <v>2954</v>
      </c>
      <c r="N30" s="802">
        <f>N29+O29-P29</f>
        <v>18793526</v>
      </c>
      <c r="O30" s="803">
        <f t="shared" si="0"/>
        <v>2827150</v>
      </c>
      <c r="P30" s="803">
        <f t="shared" si="1"/>
        <v>515450</v>
      </c>
      <c r="Q30" s="804">
        <f t="shared" si="4"/>
        <v>2311700</v>
      </c>
      <c r="S30" s="980" t="s">
        <v>907</v>
      </c>
      <c r="T30" s="981" t="s">
        <v>1284</v>
      </c>
      <c r="U30" s="983" t="str">
        <f>VLOOKUP(S30,COA!$B$2:$G$881,2,FALSE)</f>
        <v>Receivable for WBL HP - 2017</v>
      </c>
      <c r="V30" s="829"/>
      <c r="W30" s="830">
        <f>SUMIF('Daily Cash Book'!$C$2:$C$1436,Table98[[#This Row],[Code]],'Daily Cash Book'!$G$2:$G$1436)</f>
        <v>0</v>
      </c>
      <c r="X30" s="831">
        <f>SUMIF('Daily Cash Book'!C:C,Table98[[#This Row],[Code]],'Daily Cash Book'!H:H)</f>
        <v>0</v>
      </c>
      <c r="Y30" s="826">
        <f>Table98[[#This Row],[Opening]]+Table98[[#This Row],[Debit]]-Table98[[#This Row],[Credit]]</f>
        <v>0</v>
      </c>
    </row>
    <row r="31" spans="1:25" ht="24" customHeight="1" x14ac:dyDescent="0.6">
      <c r="A31" s="778">
        <v>44684</v>
      </c>
      <c r="B31" s="850">
        <v>3</v>
      </c>
      <c r="C31" s="842" t="s">
        <v>2466</v>
      </c>
      <c r="D31" s="855" t="s">
        <v>8886</v>
      </c>
      <c r="E31" s="842"/>
      <c r="F31" s="843"/>
      <c r="G31" s="844">
        <v>1000</v>
      </c>
      <c r="H31" s="809"/>
      <c r="I31" s="961">
        <f>Table2[[#This Row],[Opening]]+Table2[[#This Row],[Debit]]-Table2[[#This Row],[Credit]]</f>
        <v>1000</v>
      </c>
      <c r="J31" s="799"/>
      <c r="K31" s="818">
        <v>44709</v>
      </c>
      <c r="L31" s="819">
        <v>28</v>
      </c>
      <c r="M31" s="785" t="s">
        <v>2955</v>
      </c>
      <c r="N31" s="802">
        <f t="shared" si="2"/>
        <v>21105226</v>
      </c>
      <c r="O31" s="803">
        <f t="shared" si="0"/>
        <v>1166300</v>
      </c>
      <c r="P31" s="803">
        <f t="shared" si="1"/>
        <v>13074815</v>
      </c>
      <c r="Q31" s="804">
        <f>O31-P31</f>
        <v>-11908515</v>
      </c>
      <c r="S31" s="980" t="s">
        <v>1242</v>
      </c>
      <c r="T31" s="981" t="s">
        <v>1285</v>
      </c>
      <c r="U31" s="983" t="str">
        <f>VLOOKUP(S31,COA!$B$2:$G$881,2,FALSE)</f>
        <v>Receivable for WBL HP - 2018</v>
      </c>
      <c r="V31" s="829"/>
      <c r="W31" s="830">
        <f>SUMIF('Daily Cash Book'!$C$2:$C$1436,Table98[[#This Row],[Code]],'Daily Cash Book'!$G$2:$G$1436)</f>
        <v>0</v>
      </c>
      <c r="X31" s="831">
        <f>SUMIF('Daily Cash Book'!C:C,Table98[[#This Row],[Code]],'Daily Cash Book'!H:H)</f>
        <v>0</v>
      </c>
      <c r="Y31" s="826">
        <f>Table98[[#This Row],[Opening]]+Table98[[#This Row],[Debit]]-Table98[[#This Row],[Credit]]</f>
        <v>0</v>
      </c>
    </row>
    <row r="32" spans="1:25" ht="24" customHeight="1" x14ac:dyDescent="0.6">
      <c r="A32" s="778">
        <v>44684</v>
      </c>
      <c r="B32" s="850">
        <v>3</v>
      </c>
      <c r="C32" s="842" t="s">
        <v>905</v>
      </c>
      <c r="D32" s="852" t="s">
        <v>8879</v>
      </c>
      <c r="E32" s="851"/>
      <c r="F32" s="859"/>
      <c r="G32" s="860">
        <v>3000</v>
      </c>
      <c r="H32" s="836"/>
      <c r="I32" s="960">
        <f>Table2[[#This Row],[Opening]]+Table2[[#This Row],[Debit]]-Table2[[#This Row],[Credit]]</f>
        <v>3000</v>
      </c>
      <c r="J32" s="799"/>
      <c r="K32" s="818">
        <v>44710</v>
      </c>
      <c r="L32" s="819">
        <v>29</v>
      </c>
      <c r="M32" s="785" t="s">
        <v>3026</v>
      </c>
      <c r="N32" s="802">
        <f>N31+O31-P31</f>
        <v>9196711</v>
      </c>
      <c r="O32" s="803">
        <f t="shared" si="0"/>
        <v>1609100</v>
      </c>
      <c r="P32" s="803">
        <f t="shared" si="1"/>
        <v>242100</v>
      </c>
      <c r="Q32" s="804">
        <f t="shared" si="4"/>
        <v>1367000</v>
      </c>
      <c r="S32" s="862" t="s">
        <v>2723</v>
      </c>
      <c r="T32" s="863" t="s">
        <v>1286</v>
      </c>
      <c r="U32" s="864" t="str">
        <f>VLOOKUP(S32,COA!$B$2:$G$881,2,FALSE)</f>
        <v>Receivable for WBL HP - 2019</v>
      </c>
      <c r="V32" s="829"/>
      <c r="W32" s="830">
        <f>SUMIF('Daily Cash Book'!$C$2:$C$1436,Table98[[#This Row],[Code]],'Daily Cash Book'!$G$2:$G$1436)</f>
        <v>0</v>
      </c>
      <c r="X32" s="831">
        <f>SUMIF('Daily Cash Book'!C:C,Table98[[#This Row],[Code]],'Daily Cash Book'!H:H)</f>
        <v>0</v>
      </c>
      <c r="Y32" s="826">
        <f>Table98[[#This Row],[Opening]]+Table98[[#This Row],[Debit]]-Table98[[#This Row],[Credit]]</f>
        <v>0</v>
      </c>
    </row>
    <row r="33" spans="1:25 16380:16380" ht="24" customHeight="1" x14ac:dyDescent="0.6">
      <c r="A33" s="778">
        <v>44684</v>
      </c>
      <c r="B33" s="850">
        <v>3</v>
      </c>
      <c r="C33" s="842" t="s">
        <v>2920</v>
      </c>
      <c r="D33" s="852" t="s">
        <v>8894</v>
      </c>
      <c r="E33" s="842"/>
      <c r="F33" s="853"/>
      <c r="G33" s="854">
        <v>22200</v>
      </c>
      <c r="H33" s="839"/>
      <c r="I33" s="960">
        <f>Table2[[#This Row],[Opening]]+Table2[[#This Row],[Debit]]-Table2[[#This Row],[Credit]]</f>
        <v>22200</v>
      </c>
      <c r="J33" s="799"/>
      <c r="K33" s="818">
        <v>44711</v>
      </c>
      <c r="L33" s="819">
        <v>30</v>
      </c>
      <c r="M33" s="805" t="s">
        <v>3027</v>
      </c>
      <c r="N33" s="873">
        <f>N32+O32-P32</f>
        <v>10563711</v>
      </c>
      <c r="O33" s="874">
        <f t="shared" si="0"/>
        <v>0</v>
      </c>
      <c r="P33" s="874">
        <f t="shared" si="1"/>
        <v>0</v>
      </c>
      <c r="Q33" s="804">
        <f t="shared" si="4"/>
        <v>0</v>
      </c>
      <c r="S33" s="865" t="s">
        <v>2128</v>
      </c>
      <c r="T33" s="866" t="s">
        <v>2248</v>
      </c>
      <c r="U33" s="867" t="str">
        <f>VLOOKUP(S33,COA!$B$2:$G$881,2,FALSE)</f>
        <v>Receivable for KGG HP - 2019 GBS</v>
      </c>
      <c r="V33" s="829"/>
      <c r="W33" s="830">
        <f>SUMIF('Daily Cash Book'!$C$2:$C$1436,Table98[[#This Row],[Code]],'Daily Cash Book'!$G$2:$G$1436)</f>
        <v>0</v>
      </c>
      <c r="X33" s="831">
        <f>SUMIF('Daily Cash Book'!C:C,Table98[[#This Row],[Code]],'Daily Cash Book'!H:H)</f>
        <v>0</v>
      </c>
      <c r="Y33" s="826">
        <f>Table98[[#This Row],[Opening]]+Table98[[#This Row],[Debit]]-Table98[[#This Row],[Credit]]</f>
        <v>0</v>
      </c>
    </row>
    <row r="34" spans="1:25 16380:16380" ht="24" customHeight="1" x14ac:dyDescent="0.6">
      <c r="A34" s="778">
        <v>44684</v>
      </c>
      <c r="B34" s="850">
        <v>3</v>
      </c>
      <c r="C34" s="842" t="s">
        <v>888</v>
      </c>
      <c r="D34" s="855" t="s">
        <v>8880</v>
      </c>
      <c r="E34" s="842"/>
      <c r="F34" s="843"/>
      <c r="G34" s="844">
        <v>4573550</v>
      </c>
      <c r="H34" s="809"/>
      <c r="I34" s="961">
        <f>'Daily Cash Book'!$G34-'Daily Cash Book'!$H$2:$H$1188</f>
        <v>4573550</v>
      </c>
      <c r="J34" s="799"/>
      <c r="K34" s="818">
        <v>44712</v>
      </c>
      <c r="L34" s="819">
        <v>31</v>
      </c>
      <c r="M34" s="785" t="s">
        <v>3198</v>
      </c>
      <c r="N34" s="802">
        <f t="shared" si="2"/>
        <v>10563711</v>
      </c>
      <c r="O34" s="803">
        <f t="shared" si="0"/>
        <v>0</v>
      </c>
      <c r="P34" s="803">
        <f t="shared" si="1"/>
        <v>0</v>
      </c>
      <c r="Q34" s="804">
        <f t="shared" si="4"/>
        <v>0</v>
      </c>
      <c r="S34" s="865" t="s">
        <v>2245</v>
      </c>
      <c r="T34" s="866" t="s">
        <v>2249</v>
      </c>
      <c r="U34" s="867" t="str">
        <f>VLOOKUP(S34,COA!$B$2:$G$881,2,FALSE)</f>
        <v>Receivable for KGG HP - 2019 USM</v>
      </c>
      <c r="V34" s="829"/>
      <c r="W34" s="830">
        <f>SUMIF('Daily Cash Book'!$C$2:$C$1436,Table98[[#This Row],[Code]],'Daily Cash Book'!$G$2:$G$1436)</f>
        <v>0</v>
      </c>
      <c r="X34" s="831">
        <f>SUMIF('Daily Cash Book'!C:C,Table98[[#This Row],[Code]],'Daily Cash Book'!H:H)</f>
        <v>0</v>
      </c>
      <c r="Y34" s="826">
        <f>Table98[[#This Row],[Opening]]+Table98[[#This Row],[Debit]]-Table98[[#This Row],[Credit]]</f>
        <v>0</v>
      </c>
    </row>
    <row r="35" spans="1:25 16380:16380" ht="24" customHeight="1" x14ac:dyDescent="0.6">
      <c r="A35" s="778">
        <v>44684</v>
      </c>
      <c r="B35" s="850">
        <v>3</v>
      </c>
      <c r="C35" s="851" t="s">
        <v>1267</v>
      </c>
      <c r="D35" s="851" t="s">
        <v>7209</v>
      </c>
      <c r="E35" s="851"/>
      <c r="F35" s="859"/>
      <c r="G35" s="860">
        <v>5300</v>
      </c>
      <c r="H35" s="836"/>
      <c r="I35" s="960">
        <f>Table2[[#This Row],[Opening]]+Table2[[#This Row],[Debit]]-Table2[[#This Row],[Credit]]</f>
        <v>5300</v>
      </c>
      <c r="J35" s="879"/>
      <c r="S35" s="875" t="s">
        <v>1332</v>
      </c>
      <c r="T35" s="876" t="s">
        <v>1357</v>
      </c>
      <c r="U35" s="877" t="str">
        <f>VLOOKUP(S35,COA!$B$2:$G$881,2,FALSE)</f>
        <v>Receivable for WBL HP - 2020 GBS</v>
      </c>
      <c r="V35" s="829"/>
      <c r="W35" s="830">
        <f>SUMIF('Daily Cash Book'!$C$2:$C$1436,Table98[[#This Row],[Code]],'Daily Cash Book'!$G$2:$G$1436)</f>
        <v>0</v>
      </c>
      <c r="X35" s="831">
        <f>SUMIF('Daily Cash Book'!C:C,Table98[[#This Row],[Code]],'Daily Cash Book'!H:H)</f>
        <v>0</v>
      </c>
      <c r="Y35" s="826">
        <f>Table98[[#This Row],[Opening]]+Table98[[#This Row],[Debit]]-Table98[[#This Row],[Credit]]</f>
        <v>0</v>
      </c>
    </row>
    <row r="36" spans="1:25 16380:16380" ht="24" customHeight="1" x14ac:dyDescent="0.6">
      <c r="A36" s="778">
        <v>44684</v>
      </c>
      <c r="B36" s="850">
        <v>3</v>
      </c>
      <c r="C36" s="842" t="s">
        <v>86</v>
      </c>
      <c r="D36" s="842" t="s">
        <v>8895</v>
      </c>
      <c r="E36" s="842"/>
      <c r="F36" s="843"/>
      <c r="G36" s="844"/>
      <c r="H36" s="809">
        <v>4850</v>
      </c>
      <c r="I36" s="961">
        <f>Table2[[#This Row],[Opening]]+Table2[[#This Row],[Debit]]-Table2[[#This Row],[Credit]]</f>
        <v>-4850</v>
      </c>
      <c r="J36" s="879"/>
      <c r="S36" s="875" t="s">
        <v>1334</v>
      </c>
      <c r="T36" s="876" t="s">
        <v>1357</v>
      </c>
      <c r="U36" s="877" t="str">
        <f>VLOOKUP(S36,COA!$B$2:$G$881,2,FALSE)</f>
        <v>Receivable for WBL HP - 2020 USM</v>
      </c>
      <c r="V36" s="829"/>
      <c r="W36" s="830">
        <f>SUMIF('Daily Cash Book'!$C$2:$C$1436,Table98[[#This Row],[Code]],'Daily Cash Book'!$G$2:$G$1436)</f>
        <v>0</v>
      </c>
      <c r="X36" s="831">
        <f>SUMIF('Daily Cash Book'!C:C,Table98[[#This Row],[Code]],'Daily Cash Book'!H:H)</f>
        <v>0</v>
      </c>
      <c r="Y36" s="826">
        <f>Table98[[#This Row],[Opening]]+Table98[[#This Row],[Debit]]-Table98[[#This Row],[Credit]]</f>
        <v>0</v>
      </c>
    </row>
    <row r="37" spans="1:25 16380:16380" ht="24" customHeight="1" x14ac:dyDescent="0.6">
      <c r="A37" s="778">
        <v>44684</v>
      </c>
      <c r="B37" s="850">
        <v>3</v>
      </c>
      <c r="C37" s="795" t="s">
        <v>863</v>
      </c>
      <c r="D37" s="795" t="s">
        <v>8896</v>
      </c>
      <c r="F37" s="856"/>
      <c r="G37" s="857"/>
      <c r="H37" s="798">
        <v>41200</v>
      </c>
      <c r="I37" s="961">
        <f>Table2[[#This Row],[Opening]]+Table2[[#This Row],[Debit]]-Table2[[#This Row],[Credit]]</f>
        <v>-41200</v>
      </c>
      <c r="J37" s="879"/>
      <c r="S37" s="875" t="s">
        <v>1355</v>
      </c>
      <c r="T37" s="876" t="s">
        <v>1357</v>
      </c>
      <c r="U37" s="877" t="str">
        <f>VLOOKUP(S37,COA!$B$2:$G$881,2,FALSE)</f>
        <v>Receivable for WBL HP - 2020 USMC</v>
      </c>
      <c r="V37" s="829"/>
      <c r="W37" s="830">
        <f>SUMIF('Daily Cash Book'!$C$2:$C$1436,Table98[[#This Row],[Code]],'Daily Cash Book'!$G$2:$G$1436)</f>
        <v>0</v>
      </c>
      <c r="X37" s="831">
        <f>SUMIF('Daily Cash Book'!C:C,Table98[[#This Row],[Code]],'Daily Cash Book'!H:H)</f>
        <v>0</v>
      </c>
      <c r="Y37" s="826">
        <f>Table98[[#This Row],[Opening]]+Table98[[#This Row],[Debit]]-Table98[[#This Row],[Credit]]</f>
        <v>0</v>
      </c>
    </row>
    <row r="38" spans="1:25 16380:16380" ht="24" customHeight="1" x14ac:dyDescent="0.6">
      <c r="A38" s="778">
        <v>44684</v>
      </c>
      <c r="B38" s="850">
        <v>3</v>
      </c>
      <c r="C38" s="795" t="s">
        <v>86</v>
      </c>
      <c r="D38" s="795" t="s">
        <v>8897</v>
      </c>
      <c r="F38" s="843"/>
      <c r="G38" s="844"/>
      <c r="H38" s="809">
        <v>5000</v>
      </c>
      <c r="I38" s="954">
        <f>Table2[[#This Row],[Opening]]+Table2[[#This Row],[Debit]]-Table2[[#This Row],[Credit]]</f>
        <v>-5000</v>
      </c>
      <c r="J38" s="879"/>
      <c r="S38" s="875" t="s">
        <v>1336</v>
      </c>
      <c r="T38" s="876" t="s">
        <v>1357</v>
      </c>
      <c r="U38" s="877" t="str">
        <f>VLOOKUP(S38,COA!$B$2:$G$881,2,FALSE)</f>
        <v>Receivable for WBL HP - 2020 WSW</v>
      </c>
      <c r="V38" s="829"/>
      <c r="W38" s="830">
        <f>SUMIF('Daily Cash Book'!$C$2:$C$1436,Table98[[#This Row],[Code]],'Daily Cash Book'!$G$2:$G$1436)</f>
        <v>0</v>
      </c>
      <c r="X38" s="831">
        <f>SUMIF('Daily Cash Book'!C:C,Table98[[#This Row],[Code]],'Daily Cash Book'!H:H)</f>
        <v>0</v>
      </c>
      <c r="Y38" s="826">
        <f>Table98[[#This Row],[Opening]]+Table98[[#This Row],[Debit]]-Table98[[#This Row],[Credit]]</f>
        <v>0</v>
      </c>
    </row>
    <row r="39" spans="1:25 16380:16380" ht="24" customHeight="1" x14ac:dyDescent="0.6">
      <c r="A39" s="778">
        <v>44684</v>
      </c>
      <c r="B39" s="850">
        <v>3</v>
      </c>
      <c r="C39" s="795" t="s">
        <v>86</v>
      </c>
      <c r="D39" s="833" t="s">
        <v>8898</v>
      </c>
      <c r="E39" s="833"/>
      <c r="F39" s="859"/>
      <c r="G39" s="860"/>
      <c r="H39" s="836">
        <v>400</v>
      </c>
      <c r="I39" s="960">
        <f>Table2[[#This Row],[Opening]]+Table2[[#This Row],[Debit]]-Table2[[#This Row],[Credit]]</f>
        <v>-400</v>
      </c>
      <c r="J39" s="879"/>
      <c r="S39" s="875" t="s">
        <v>1348</v>
      </c>
      <c r="T39" s="876" t="s">
        <v>1357</v>
      </c>
      <c r="U39" s="877" t="str">
        <f>VLOOKUP(S39,COA!$B$2:$G$881,2,FALSE)</f>
        <v>Receivable for WBL HP - 2020 UMG</v>
      </c>
      <c r="V39" s="829"/>
      <c r="W39" s="830">
        <f>SUMIF('Daily Cash Book'!$C$2:$C$1436,Table98[[#This Row],[Code]],'Daily Cash Book'!$G$2:$G$1436)</f>
        <v>0</v>
      </c>
      <c r="X39" s="831">
        <f>SUMIF('Daily Cash Book'!C:C,Table98[[#This Row],[Code]],'Daily Cash Book'!H:H)</f>
        <v>0</v>
      </c>
      <c r="Y39" s="826">
        <f>Table98[[#This Row],[Opening]]+Table98[[#This Row],[Debit]]-Table98[[#This Row],[Credit]]</f>
        <v>0</v>
      </c>
    </row>
    <row r="40" spans="1:25 16380:16380" ht="24" customHeight="1" x14ac:dyDescent="0.6">
      <c r="A40" s="778">
        <v>44684</v>
      </c>
      <c r="B40" s="850">
        <v>3</v>
      </c>
      <c r="C40" s="795" t="s">
        <v>2352</v>
      </c>
      <c r="D40" s="834" t="s">
        <v>8899</v>
      </c>
      <c r="F40" s="853"/>
      <c r="G40" s="860"/>
      <c r="H40" s="839">
        <v>32400</v>
      </c>
      <c r="I40" s="960">
        <f>Table2[[#This Row],[Opening]]+Table2[[#This Row],[Debit]]-Table2[[#This Row],[Credit]]</f>
        <v>-32400</v>
      </c>
      <c r="J40" s="879"/>
      <c r="S40" s="875" t="s">
        <v>1350</v>
      </c>
      <c r="T40" s="876" t="s">
        <v>1357</v>
      </c>
      <c r="U40" s="877" t="str">
        <f>VLOOKUP(S40,COA!$B$2:$G$881,2,FALSE)</f>
        <v>Receivable for WBL HP - 2020 Spare</v>
      </c>
      <c r="V40" s="829"/>
      <c r="W40" s="830">
        <f>SUMIF('Daily Cash Book'!$C$2:$C$1436,Table98[[#This Row],[Code]],'Daily Cash Book'!$G$2:$G$1436)</f>
        <v>0</v>
      </c>
      <c r="X40" s="831">
        <f>SUMIF('Daily Cash Book'!C:C,Table98[[#This Row],[Code]],'Daily Cash Book'!H:H)</f>
        <v>0</v>
      </c>
      <c r="Y40" s="826">
        <f>Table98[[#This Row],[Opening]]+Table98[[#This Row],[Debit]]-Table98[[#This Row],[Credit]]</f>
        <v>0</v>
      </c>
    </row>
    <row r="41" spans="1:25 16380:16380" ht="24" customHeight="1" x14ac:dyDescent="0.6">
      <c r="A41" s="778">
        <v>44684</v>
      </c>
      <c r="B41" s="850">
        <v>3</v>
      </c>
      <c r="C41" s="795" t="s">
        <v>2920</v>
      </c>
      <c r="D41" s="807" t="s">
        <v>8900</v>
      </c>
      <c r="F41" s="843"/>
      <c r="G41" s="844"/>
      <c r="H41" s="809">
        <v>37000</v>
      </c>
      <c r="I41" s="961">
        <f>Table2[[#This Row],[Opening]]+Table2[[#This Row],[Debit]]-Table2[[#This Row],[Credit]]</f>
        <v>-37000</v>
      </c>
      <c r="J41" s="879"/>
      <c r="S41" s="862" t="s">
        <v>2730</v>
      </c>
      <c r="T41" s="863" t="s">
        <v>2734</v>
      </c>
      <c r="U41" s="864" t="str">
        <f>VLOOKUP(S41,COA!$B$2:$G$881,2,FALSE)</f>
        <v>Receivable for WBL HP - 2021 GBS</v>
      </c>
      <c r="V41" s="829"/>
      <c r="W41" s="830">
        <f>SUMIF('Daily Cash Book'!$C$2:$C$1436,Table98[[#This Row],[Code]],'Daily Cash Book'!$G$2:$G$1436)</f>
        <v>0</v>
      </c>
      <c r="X41" s="831">
        <f>SUMIF('Daily Cash Book'!C:C,Table98[[#This Row],[Code]],'Daily Cash Book'!H:H)</f>
        <v>0</v>
      </c>
      <c r="Y41" s="826">
        <f>Table98[[#This Row],[Opening]]+Table98[[#This Row],[Debit]]-Table98[[#This Row],[Credit]]</f>
        <v>0</v>
      </c>
    </row>
    <row r="42" spans="1:25 16380:16380" ht="24" customHeight="1" x14ac:dyDescent="0.6">
      <c r="A42" s="778">
        <v>44684</v>
      </c>
      <c r="B42" s="850">
        <v>3</v>
      </c>
      <c r="C42" s="795" t="s">
        <v>86</v>
      </c>
      <c r="D42" s="807" t="s">
        <v>8901</v>
      </c>
      <c r="F42" s="853"/>
      <c r="G42" s="854"/>
      <c r="H42" s="839">
        <v>3000</v>
      </c>
      <c r="I42" s="960">
        <f>Table2[[#This Row],[Opening]]+Table2[[#This Row],[Debit]]-Table2[[#This Row],[Credit]]</f>
        <v>-3000</v>
      </c>
      <c r="J42" s="879"/>
      <c r="S42" s="862" t="s">
        <v>2735</v>
      </c>
      <c r="T42" s="863" t="s">
        <v>2734</v>
      </c>
      <c r="U42" s="864" t="str">
        <f>VLOOKUP(S42,COA!$B$2:$G$881,2,FALSE)</f>
        <v>Receivable for WBL HP - 2021 USM</v>
      </c>
      <c r="V42" s="829"/>
      <c r="W42" s="830">
        <f>SUMIF('Daily Cash Book'!$C$2:$C$1436,Table98[[#This Row],[Code]],'Daily Cash Book'!$G$2:$G$1436)</f>
        <v>0</v>
      </c>
      <c r="X42" s="831">
        <f>SUMIF('Daily Cash Book'!C:C,Table98[[#This Row],[Code]],'Daily Cash Book'!H:H)</f>
        <v>0</v>
      </c>
      <c r="Y42" s="826">
        <f>Table98[[#This Row],[Opening]]+Table98[[#This Row],[Debit]]-Table98[[#This Row],[Credit]]</f>
        <v>0</v>
      </c>
    </row>
    <row r="43" spans="1:25 16380:16380" ht="24" customHeight="1" x14ac:dyDescent="0.6">
      <c r="A43" s="778">
        <v>44684</v>
      </c>
      <c r="B43" s="850">
        <v>3</v>
      </c>
      <c r="C43" s="795" t="s">
        <v>1240</v>
      </c>
      <c r="D43" s="807" t="s">
        <v>8902</v>
      </c>
      <c r="E43" s="795" t="s">
        <v>7269</v>
      </c>
      <c r="F43" s="843"/>
      <c r="G43" s="844"/>
      <c r="H43" s="809">
        <v>2000</v>
      </c>
      <c r="I43" s="961">
        <f>Table2[[#This Row],[Opening]]+Table2[[#This Row],[Debit]]-Table2[[#This Row],[Credit]]</f>
        <v>-2000</v>
      </c>
      <c r="J43" s="879"/>
      <c r="S43" s="862" t="s">
        <v>2731</v>
      </c>
      <c r="T43" s="863" t="s">
        <v>2734</v>
      </c>
      <c r="U43" s="864" t="str">
        <f>VLOOKUP(S43,COA!$B$2:$G$881,2,FALSE)</f>
        <v>Receivable for WBL HP - 2021 USMC</v>
      </c>
      <c r="V43" s="829"/>
      <c r="W43" s="830">
        <f>SUMIF('Daily Cash Book'!$C$2:$C$1436,Table98[[#This Row],[Code]],'Daily Cash Book'!$G$2:$G$1436)</f>
        <v>0</v>
      </c>
      <c r="X43" s="831">
        <f>SUMIF('Daily Cash Book'!C:C,Table98[[#This Row],[Code]],'Daily Cash Book'!H:H)</f>
        <v>0</v>
      </c>
      <c r="Y43" s="826">
        <f>Table98[[#This Row],[Opening]]+Table98[[#This Row],[Debit]]-Table98[[#This Row],[Credit]]</f>
        <v>0</v>
      </c>
      <c r="XEZ43" s="791">
        <f>SUBTOTAL(9,K43:XEY43)</f>
        <v>0</v>
      </c>
    </row>
    <row r="44" spans="1:25 16380:16380" ht="24" customHeight="1" x14ac:dyDescent="0.6">
      <c r="A44" s="778">
        <v>44684</v>
      </c>
      <c r="B44" s="850">
        <v>3</v>
      </c>
      <c r="C44" s="795" t="s">
        <v>1240</v>
      </c>
      <c r="D44" s="833" t="s">
        <v>8903</v>
      </c>
      <c r="E44" s="795" t="s">
        <v>7269</v>
      </c>
      <c r="F44" s="853"/>
      <c r="G44" s="854"/>
      <c r="H44" s="839">
        <v>10000</v>
      </c>
      <c r="I44" s="960">
        <f>Table2[[#This Row],[Opening]]+Table2[[#This Row],[Debit]]-Table2[[#This Row],[Credit]]</f>
        <v>-10000</v>
      </c>
      <c r="J44" s="879"/>
      <c r="S44" s="862" t="s">
        <v>2732</v>
      </c>
      <c r="T44" s="863" t="s">
        <v>2734</v>
      </c>
      <c r="U44" s="864" t="str">
        <f>VLOOKUP(S44,COA!$B$2:$G$881,2,FALSE)</f>
        <v>Receivable for WBL HP - 2021 WSW</v>
      </c>
      <c r="V44" s="829"/>
      <c r="W44" s="830">
        <f>SUMIF('Daily Cash Book'!$C$2:$C$1436,Table98[[#This Row],[Code]],'Daily Cash Book'!$G$2:$G$1436)</f>
        <v>0</v>
      </c>
      <c r="X44" s="831">
        <f>SUMIF('Daily Cash Book'!C:C,Table98[[#This Row],[Code]],'Daily Cash Book'!H:H)</f>
        <v>0</v>
      </c>
      <c r="Y44" s="826">
        <f>Table98[[#This Row],[Opening]]+Table98[[#This Row],[Debit]]-Table98[[#This Row],[Credit]]</f>
        <v>0</v>
      </c>
    </row>
    <row r="45" spans="1:25 16380:16380" ht="24" customHeight="1" x14ac:dyDescent="0.6">
      <c r="A45" s="778">
        <v>44684</v>
      </c>
      <c r="B45" s="850">
        <v>3</v>
      </c>
      <c r="C45" s="795" t="s">
        <v>86</v>
      </c>
      <c r="D45" s="833" t="s">
        <v>8904</v>
      </c>
      <c r="F45" s="853"/>
      <c r="G45" s="854"/>
      <c r="H45" s="839">
        <v>20000</v>
      </c>
      <c r="I45" s="960">
        <f>Table2[[#This Row],[Opening]]+Table2[[#This Row],[Debit]]-Table2[[#This Row],[Credit]]</f>
        <v>-20000</v>
      </c>
      <c r="J45" s="879"/>
      <c r="S45" s="862" t="s">
        <v>2733</v>
      </c>
      <c r="T45" s="863" t="s">
        <v>2734</v>
      </c>
      <c r="U45" s="864" t="str">
        <f>VLOOKUP(S45,COA!$B$2:$G$881,2,FALSE)</f>
        <v>Receivable for WBL HP - 2021 Spare</v>
      </c>
      <c r="V45" s="829"/>
      <c r="W45" s="830">
        <f>SUMIF('Daily Cash Book'!$C$2:$C$1436,Table98[[#This Row],[Code]],'Daily Cash Book'!$G$2:$G$1436)</f>
        <v>0</v>
      </c>
      <c r="X45" s="831">
        <f>SUMIF('Daily Cash Book'!C:C,Table98[[#This Row],[Code]],'Daily Cash Book'!H:H)</f>
        <v>0</v>
      </c>
      <c r="Y45" s="826">
        <f>Table98[[#This Row],[Opening]]+Table98[[#This Row],[Debit]]-Table98[[#This Row],[Credit]]</f>
        <v>0</v>
      </c>
    </row>
    <row r="46" spans="1:25 16380:16380" ht="24" customHeight="1" x14ac:dyDescent="0.6">
      <c r="A46" s="778">
        <v>44684</v>
      </c>
      <c r="B46" s="850">
        <v>3</v>
      </c>
      <c r="C46" s="795" t="s">
        <v>2352</v>
      </c>
      <c r="D46" s="807" t="s">
        <v>8905</v>
      </c>
      <c r="F46" s="843"/>
      <c r="G46" s="844"/>
      <c r="H46" s="809">
        <v>13500</v>
      </c>
      <c r="I46" s="961">
        <f>Table2[[#This Row],[Opening]]+Table2[[#This Row],[Debit]]-Table2[[#This Row],[Credit]]</f>
        <v>-13500</v>
      </c>
      <c r="J46" s="879"/>
      <c r="S46" s="862" t="s">
        <v>7281</v>
      </c>
      <c r="T46" s="863" t="s">
        <v>7283</v>
      </c>
      <c r="U46" s="864" t="str">
        <f>VLOOKUP(S46,COA!$B$2:$G$881,2,FALSE)</f>
        <v>Receivable for WBL HP - 2022 Spare</v>
      </c>
      <c r="V46" s="829"/>
      <c r="W46" s="830">
        <f>SUMIF('Daily Cash Book'!$C$2:$C$1436,Table98[[#This Row],[Code]],'Daily Cash Book'!$G$2:$G$1436)</f>
        <v>123750</v>
      </c>
      <c r="X46" s="831">
        <f>SUMIF('Daily Cash Book'!C:C,Table98[[#This Row],[Code]],'Daily Cash Book'!H:H)</f>
        <v>0</v>
      </c>
      <c r="Y46" s="826">
        <f>Table98[[#This Row],[Opening]]+Table98[[#This Row],[Debit]]-Table98[[#This Row],[Credit]]</f>
        <v>123750</v>
      </c>
    </row>
    <row r="47" spans="1:25 16380:16380" ht="24" customHeight="1" x14ac:dyDescent="0.6">
      <c r="A47" s="922">
        <v>44684</v>
      </c>
      <c r="B47" s="933">
        <v>3</v>
      </c>
      <c r="C47" s="878" t="s">
        <v>39</v>
      </c>
      <c r="D47" s="893" t="s">
        <v>8197</v>
      </c>
      <c r="E47" s="842"/>
      <c r="F47" s="859"/>
      <c r="G47" s="860"/>
      <c r="H47" s="836">
        <v>1219300</v>
      </c>
      <c r="I47" s="960">
        <f>Table2[[#This Row],[Opening]]+Table2[[#This Row],[Debit]]-Table2[[#This Row],[Credit]]</f>
        <v>-1219300</v>
      </c>
      <c r="J47" s="879"/>
      <c r="S47" s="865" t="s">
        <v>2126</v>
      </c>
      <c r="T47" s="866" t="s">
        <v>2247</v>
      </c>
      <c r="U47" s="867" t="str">
        <f>VLOOKUP(S47,COA!$B$2:$G$881,2,FALSE)</f>
        <v>Receivable for KGG HP - 2020 GBS</v>
      </c>
      <c r="V47" s="829"/>
      <c r="W47" s="830">
        <f>SUMIF('Daily Cash Book'!$C$2:$C$1436,Table98[[#This Row],[Code]],'Daily Cash Book'!$G$2:$G$1436)</f>
        <v>0</v>
      </c>
      <c r="X47" s="831">
        <f>SUMIF('Daily Cash Book'!C:C,Table98[[#This Row],[Code]],'Daily Cash Book'!H:H)</f>
        <v>0</v>
      </c>
      <c r="Y47" s="826">
        <f>Table98[[#This Row],[Opening]]+Table98[[#This Row],[Debit]]-Table98[[#This Row],[Credit]]</f>
        <v>0</v>
      </c>
    </row>
    <row r="48" spans="1:25 16380:16380" ht="24" customHeight="1" x14ac:dyDescent="0.6">
      <c r="A48" s="922">
        <v>44684</v>
      </c>
      <c r="B48" s="933">
        <v>3</v>
      </c>
      <c r="C48" s="878" t="s">
        <v>39</v>
      </c>
      <c r="D48" s="902" t="s">
        <v>7879</v>
      </c>
      <c r="E48" s="842"/>
      <c r="F48" s="856"/>
      <c r="G48" s="844"/>
      <c r="H48" s="798">
        <v>50560</v>
      </c>
      <c r="I48" s="961">
        <f>Table2[[#This Row],[Opening]]+Table2[[#This Row],[Debit]]-Table2[[#This Row],[Credit]]</f>
        <v>-50560</v>
      </c>
      <c r="J48" s="879"/>
      <c r="S48" s="882" t="s">
        <v>1279</v>
      </c>
      <c r="T48" s="968" t="s">
        <v>1279</v>
      </c>
      <c r="U48" s="968" t="s">
        <v>1060</v>
      </c>
      <c r="V48" s="829"/>
      <c r="W48" s="830">
        <f>SUMIF('Daily Cash Book'!$C$2:$C$1436,Table98[[#This Row],[Code]],'Daily Cash Book'!$G$2:$G$1436)</f>
        <v>0</v>
      </c>
      <c r="X48" s="831">
        <f>SUMIF('Daily Cash Book'!C:C,Table98[[#This Row],[Code]],'Daily Cash Book'!H:H)</f>
        <v>0</v>
      </c>
      <c r="Y48" s="826">
        <f>Table98[[#This Row],[Opening]]+Table98[[#This Row],[Debit]]-Table98[[#This Row],[Credit]]</f>
        <v>0</v>
      </c>
    </row>
    <row r="49" spans="1:25" ht="24" customHeight="1" x14ac:dyDescent="0.6">
      <c r="A49" s="922">
        <v>44684</v>
      </c>
      <c r="B49" s="933">
        <v>3</v>
      </c>
      <c r="C49" s="878" t="s">
        <v>39</v>
      </c>
      <c r="D49" s="904" t="s">
        <v>8906</v>
      </c>
      <c r="E49" s="842"/>
      <c r="F49" s="853"/>
      <c r="G49" s="854"/>
      <c r="H49" s="839">
        <v>7500</v>
      </c>
      <c r="I49" s="960">
        <f>Table2[[#This Row],[Opening]]+Table2[[#This Row],[Debit]]-Table2[[#This Row],[Credit]]</f>
        <v>-7500</v>
      </c>
      <c r="J49" s="879"/>
      <c r="S49" s="882" t="s">
        <v>2722</v>
      </c>
      <c r="T49" s="968" t="s">
        <v>7280</v>
      </c>
      <c r="U49" s="968" t="str">
        <f>VLOOKUP(S49,COA!$B$2:$G$881,2,FALSE)</f>
        <v>Within 1 month credit</v>
      </c>
      <c r="V49" s="829"/>
      <c r="W49" s="830">
        <f>SUMIF('Daily Cash Book'!$C$2:$C$1436,Table98[[#This Row],[Code]],'Daily Cash Book'!$G$2:$G$1436)</f>
        <v>0</v>
      </c>
      <c r="X49" s="831">
        <f>SUMIF('Daily Cash Book'!C:C,Table98[[#This Row],[Code]],'Daily Cash Book'!H:H)</f>
        <v>0</v>
      </c>
      <c r="Y49" s="826">
        <f>Table98[[#This Row],[Opening]]+Table98[[#This Row],[Debit]]-Table98[[#This Row],[Credit]]</f>
        <v>0</v>
      </c>
    </row>
    <row r="50" spans="1:25" ht="24" customHeight="1" x14ac:dyDescent="0.6">
      <c r="A50" s="922">
        <v>44684</v>
      </c>
      <c r="B50" s="933">
        <v>3</v>
      </c>
      <c r="C50" s="878" t="s">
        <v>39</v>
      </c>
      <c r="D50" s="904" t="s">
        <v>8907</v>
      </c>
      <c r="E50" s="893"/>
      <c r="F50" s="859"/>
      <c r="G50" s="860"/>
      <c r="H50" s="836">
        <v>105600</v>
      </c>
      <c r="I50" s="960">
        <f>Table2[[#This Row],[Opening]]+Table2[[#This Row],[Debit]]-Table2[[#This Row],[Credit]]</f>
        <v>-105600</v>
      </c>
      <c r="J50" s="879"/>
      <c r="S50" s="882" t="s">
        <v>7280</v>
      </c>
      <c r="T50" s="968" t="s">
        <v>7280</v>
      </c>
      <c r="U50" s="968" t="str">
        <f>VLOOKUP(S50,COA!$B$2:$G$881,2,FALSE)</f>
        <v>Within 1 month credit</v>
      </c>
      <c r="V50" s="829"/>
      <c r="W50" s="830">
        <f>SUMIF('Daily Cash Book'!$C$2:$C$1436,Table98[[#This Row],[Code]],'Daily Cash Book'!$G$2:$G$1436)</f>
        <v>462500</v>
      </c>
      <c r="X50" s="831">
        <f>SUMIF('Daily Cash Book'!C:C,Table98[[#This Row],[Code]],'Daily Cash Book'!H:H)</f>
        <v>0</v>
      </c>
      <c r="Y50" s="826">
        <f>Table98[[#This Row],[Opening]]+Table98[[#This Row],[Debit]]-Table98[[#This Row],[Credit]]</f>
        <v>462500</v>
      </c>
    </row>
    <row r="51" spans="1:25" ht="24" customHeight="1" thickBot="1" x14ac:dyDescent="0.65">
      <c r="A51" s="884">
        <v>44684</v>
      </c>
      <c r="B51" s="885">
        <v>3</v>
      </c>
      <c r="C51" s="886" t="s">
        <v>39</v>
      </c>
      <c r="D51" s="1240" t="s">
        <v>8196</v>
      </c>
      <c r="E51" s="886"/>
      <c r="F51" s="1241"/>
      <c r="G51" s="1237"/>
      <c r="H51" s="1238">
        <v>6000</v>
      </c>
      <c r="I51" s="1242">
        <f>Table2[[#This Row],[Opening]]+Table2[[#This Row],[Debit]]-Table2[[#This Row],[Credit]]</f>
        <v>-6000</v>
      </c>
      <c r="J51" s="879"/>
      <c r="S51" s="840" t="s">
        <v>14</v>
      </c>
      <c r="T51" s="785" t="s">
        <v>14</v>
      </c>
      <c r="U51" s="883" t="str">
        <f>VLOOKUP(S51,COA!$B$2:$G$881,2,FALSE)</f>
        <v>Cash Sale  Agriculture</v>
      </c>
      <c r="V51" s="829"/>
      <c r="W51" s="830">
        <f>SUMIF('Daily Cash Book'!$C$2:$C$1436,Table98[[#This Row],[Code]],'Daily Cash Book'!$G$2:$G$1436)</f>
        <v>0</v>
      </c>
      <c r="X51" s="831">
        <f>SUMIF('Daily Cash Book'!C:C,Table98[[#This Row],[Code]],'Daily Cash Book'!H:H)</f>
        <v>0</v>
      </c>
      <c r="Y51" s="826">
        <f>Table98[[#This Row],[Opening]]+Table98[[#This Row],[Debit]]-Table98[[#This Row],[Credit]]</f>
        <v>0</v>
      </c>
    </row>
    <row r="52" spans="1:25" ht="24" customHeight="1" thickTop="1" x14ac:dyDescent="0.6">
      <c r="A52" s="778">
        <v>44685</v>
      </c>
      <c r="B52" s="850">
        <v>4</v>
      </c>
      <c r="C52" s="851" t="s">
        <v>7281</v>
      </c>
      <c r="D52" s="852" t="s">
        <v>8908</v>
      </c>
      <c r="E52" s="893"/>
      <c r="F52" s="894"/>
      <c r="G52" s="860">
        <v>15500</v>
      </c>
      <c r="H52" s="839"/>
      <c r="I52" s="960">
        <f>Table2[[#This Row],[Opening]]+Table2[[#This Row],[Debit]]-Table2[[#This Row],[Credit]]</f>
        <v>15500</v>
      </c>
      <c r="J52" s="879"/>
      <c r="S52" s="984" t="s">
        <v>888</v>
      </c>
      <c r="T52" s="785" t="s">
        <v>888</v>
      </c>
      <c r="U52" s="883" t="str">
        <f>VLOOKUP(S52,COA!$B$2:$G$881,2,FALSE)</f>
        <v>Cash Sale for  Spare</v>
      </c>
      <c r="V52" s="829"/>
      <c r="W52" s="830">
        <f>SUMIF('Daily Cash Book'!$C$2:$C$1436,Table98[[#This Row],[Code]],'Daily Cash Book'!$G$2:$G$1436)</f>
        <v>83950250</v>
      </c>
      <c r="X52" s="831">
        <f>SUMIF('Daily Cash Book'!C:C,Table98[[#This Row],[Code]],'Daily Cash Book'!H:H)</f>
        <v>0</v>
      </c>
      <c r="Y52" s="826">
        <f>Table98[[#This Row],[Opening]]+Table98[[#This Row],[Debit]]-Table98[[#This Row],[Credit]]</f>
        <v>83950250</v>
      </c>
    </row>
    <row r="53" spans="1:25" ht="24" customHeight="1" x14ac:dyDescent="0.6">
      <c r="A53" s="778">
        <v>44685</v>
      </c>
      <c r="B53" s="850">
        <v>4</v>
      </c>
      <c r="C53" s="851" t="s">
        <v>2466</v>
      </c>
      <c r="D53" s="852" t="s">
        <v>8886</v>
      </c>
      <c r="E53" s="851"/>
      <c r="F53" s="903"/>
      <c r="G53" s="860">
        <v>1000</v>
      </c>
      <c r="H53" s="836"/>
      <c r="I53" s="960">
        <f>Table2[[#This Row],[Opening]]+Table2[[#This Row],[Debit]]-Table2[[#This Row],[Credit]]</f>
        <v>1000</v>
      </c>
      <c r="J53" s="879"/>
      <c r="S53" s="840" t="s">
        <v>15</v>
      </c>
      <c r="T53" s="785" t="s">
        <v>15</v>
      </c>
      <c r="U53" s="883" t="str">
        <f>VLOOKUP(S53,COA!$B$2:$G$881,2,FALSE)</f>
        <v>Credit Sale for Agriculture</v>
      </c>
      <c r="V53" s="829"/>
      <c r="W53" s="830">
        <f>SUMIF('Daily Cash Book'!$C$2:$C$1436,Table98[[#This Row],[Code]],'Daily Cash Book'!$G$2:$G$1436)</f>
        <v>0</v>
      </c>
      <c r="X53" s="831">
        <f>SUMIF('Daily Cash Book'!C:C,Table98[[#This Row],[Code]],'Daily Cash Book'!H:H)</f>
        <v>0</v>
      </c>
      <c r="Y53" s="826">
        <f>Table98[[#This Row],[Opening]]+Table98[[#This Row],[Debit]]-Table98[[#This Row],[Credit]]</f>
        <v>0</v>
      </c>
    </row>
    <row r="54" spans="1:25" ht="24" customHeight="1" x14ac:dyDescent="0.6">
      <c r="A54" s="778">
        <v>44685</v>
      </c>
      <c r="B54" s="850">
        <v>4</v>
      </c>
      <c r="C54" s="851" t="s">
        <v>2466</v>
      </c>
      <c r="D54" s="852" t="s">
        <v>8886</v>
      </c>
      <c r="E54" s="851"/>
      <c r="F54" s="853"/>
      <c r="G54" s="860">
        <v>500</v>
      </c>
      <c r="H54" s="839"/>
      <c r="I54" s="955">
        <f>Table2[[#This Row],[Opening]]+Table2[[#This Row],[Debit]]-Table2[[#This Row],[Credit]]</f>
        <v>500</v>
      </c>
      <c r="J54" s="879"/>
      <c r="S54" s="840" t="s">
        <v>889</v>
      </c>
      <c r="T54" s="785" t="s">
        <v>889</v>
      </c>
      <c r="U54" s="883" t="str">
        <f>VLOOKUP(S54,COA!$B$2:$G$881,2,FALSE)</f>
        <v>Credit Sale for Spare</v>
      </c>
      <c r="V54" s="829"/>
      <c r="W54" s="830">
        <f>SUMIF('Daily Cash Book'!$C$2:$C$1436,Table98[[#This Row],[Code]],'Daily Cash Book'!$G$2:$G$1436)</f>
        <v>0</v>
      </c>
      <c r="X54" s="831">
        <f>SUMIF('Daily Cash Book'!C:C,Table98[[#This Row],[Code]],'Daily Cash Book'!H:H)</f>
        <v>0</v>
      </c>
      <c r="Y54" s="826">
        <f>Table98[[#This Row],[Opening]]+Table98[[#This Row],[Debit]]-Table98[[#This Row],[Credit]]</f>
        <v>0</v>
      </c>
    </row>
    <row r="55" spans="1:25" ht="24" customHeight="1" x14ac:dyDescent="0.6">
      <c r="A55" s="778">
        <v>44685</v>
      </c>
      <c r="B55" s="850">
        <v>4</v>
      </c>
      <c r="C55" s="842" t="s">
        <v>8919</v>
      </c>
      <c r="D55" s="855" t="s">
        <v>8909</v>
      </c>
      <c r="E55" s="842"/>
      <c r="F55" s="856"/>
      <c r="G55" s="857">
        <v>2000</v>
      </c>
      <c r="I55" s="954">
        <f>Table2[[#This Row],[Opening]]+Table2[[#This Row],[Debit]]-Table2[[#This Row],[Credit]]</f>
        <v>2000</v>
      </c>
      <c r="J55" s="879"/>
      <c r="S55" s="840" t="s">
        <v>895</v>
      </c>
      <c r="T55" s="785" t="s">
        <v>895</v>
      </c>
      <c r="U55" s="883" t="str">
        <f>VLOOKUP(S55,COA!$B$2:$G$881,2,FALSE)</f>
        <v>HP Sale for Agriculture</v>
      </c>
      <c r="V55" s="829"/>
      <c r="W55" s="830">
        <f>SUMIF('Daily Cash Book'!$C$2:$C$1436,Table98[[#This Row],[Code]],'Daily Cash Book'!$G$2:$G$1436)</f>
        <v>0</v>
      </c>
      <c r="X55" s="831">
        <f>SUMIF('Daily Cash Book'!C:C,Table98[[#This Row],[Code]],'Daily Cash Book'!H:H)</f>
        <v>0</v>
      </c>
      <c r="Y55" s="826">
        <f>Table98[[#This Row],[Opening]]+Table98[[#This Row],[Debit]]-Table98[[#This Row],[Credit]]</f>
        <v>0</v>
      </c>
    </row>
    <row r="56" spans="1:25" ht="24" customHeight="1" x14ac:dyDescent="0.6">
      <c r="A56" s="778">
        <v>44685</v>
      </c>
      <c r="B56" s="850">
        <v>4</v>
      </c>
      <c r="C56" s="842" t="s">
        <v>2466</v>
      </c>
      <c r="D56" s="855" t="s">
        <v>8886</v>
      </c>
      <c r="E56" s="842"/>
      <c r="F56" s="843"/>
      <c r="G56" s="857">
        <v>1000</v>
      </c>
      <c r="H56" s="809"/>
      <c r="I56" s="961">
        <f>Table2[[#This Row],[Opening]]+Table2[[#This Row],[Debit]]-Table2[[#This Row],[Credit]]</f>
        <v>1000</v>
      </c>
      <c r="J56" s="879"/>
      <c r="S56" s="840" t="s">
        <v>869</v>
      </c>
      <c r="T56" s="785" t="s">
        <v>869</v>
      </c>
      <c r="U56" s="883" t="str">
        <f>VLOOKUP(S56,COA!$B$2:$G$881,2,FALSE)</f>
        <v>Commission Income from GBS</v>
      </c>
      <c r="V56" s="829"/>
      <c r="W56" s="830">
        <f>SUMIF('Daily Cash Book'!$C$2:$C$1436,Table98[[#This Row],[Code]],'Daily Cash Book'!$G$2:$G$1436)</f>
        <v>0</v>
      </c>
      <c r="X56" s="831">
        <f>SUMIF('Daily Cash Book'!C:C,Table98[[#This Row],[Code]],'Daily Cash Book'!H:H)</f>
        <v>0</v>
      </c>
      <c r="Y56" s="826">
        <f>Table98[[#This Row],[Opening]]+Table98[[#This Row],[Debit]]-Table98[[#This Row],[Credit]]</f>
        <v>0</v>
      </c>
    </row>
    <row r="57" spans="1:25" ht="24" customHeight="1" x14ac:dyDescent="0.6">
      <c r="A57" s="778">
        <v>44685</v>
      </c>
      <c r="B57" s="850">
        <v>4</v>
      </c>
      <c r="C57" s="842" t="s">
        <v>888</v>
      </c>
      <c r="D57" s="855" t="s">
        <v>8880</v>
      </c>
      <c r="E57" s="842"/>
      <c r="F57" s="853"/>
      <c r="G57" s="860">
        <v>2042000</v>
      </c>
      <c r="H57" s="839"/>
      <c r="I57" s="955">
        <f>Table2[[#This Row],[Opening]]+Table2[[#This Row],[Debit]]-Table2[[#This Row],[Credit]]</f>
        <v>2042000</v>
      </c>
      <c r="J57" s="879"/>
      <c r="S57" s="992" t="s">
        <v>870</v>
      </c>
      <c r="T57" s="785" t="s">
        <v>870</v>
      </c>
      <c r="U57" s="883" t="str">
        <f>VLOOKUP(S57,COA!$B$2:$G$881,2,FALSE)</f>
        <v>Commission Income from WSW</v>
      </c>
      <c r="V57" s="829"/>
      <c r="W57" s="1024">
        <f>SUMIF('Daily Cash Book'!$C$2:$C$1436,Table98[[#This Row],[Code]],'Daily Cash Book'!$G$2:$G$1436)</f>
        <v>0</v>
      </c>
      <c r="X57" s="831">
        <f>SUMIF('Daily Cash Book'!C:C,Table98[[#This Row],[Code]],'Daily Cash Book'!H:H)</f>
        <v>0</v>
      </c>
      <c r="Y57" s="826">
        <f>Table98[[#This Row],[Opening]]+Table98[[#This Row],[Debit]]-Table98[[#This Row],[Credit]]</f>
        <v>0</v>
      </c>
    </row>
    <row r="58" spans="1:25" ht="24" customHeight="1" x14ac:dyDescent="0.6">
      <c r="A58" s="778">
        <v>44685</v>
      </c>
      <c r="B58" s="850">
        <v>4</v>
      </c>
      <c r="C58" s="842" t="s">
        <v>1267</v>
      </c>
      <c r="D58" s="855" t="s">
        <v>7209</v>
      </c>
      <c r="E58" s="842"/>
      <c r="F58" s="843"/>
      <c r="G58" s="857">
        <v>13000</v>
      </c>
      <c r="H58" s="809"/>
      <c r="I58" s="954">
        <f>Table2[[#This Row],[Opening]]+Table2[[#This Row],[Debit]]-Table2[[#This Row],[Credit]]</f>
        <v>13000</v>
      </c>
      <c r="J58" s="879"/>
      <c r="S58" s="840" t="s">
        <v>871</v>
      </c>
      <c r="T58" s="785" t="s">
        <v>871</v>
      </c>
      <c r="U58" s="883" t="str">
        <f>VLOOKUP(S58,COA!$B$2:$G$881,2,FALSE)</f>
        <v>Commission Income from USM</v>
      </c>
      <c r="V58" s="829"/>
      <c r="W58" s="830">
        <f>SUMIF('Daily Cash Book'!$C$2:$C$1436,Table98[[#This Row],[Code]],'Daily Cash Book'!$G$2:$G$1436)</f>
        <v>0</v>
      </c>
      <c r="X58" s="831">
        <f>SUMIF('Daily Cash Book'!C:C,Table98[[#This Row],[Code]],'Daily Cash Book'!H:H)</f>
        <v>0</v>
      </c>
      <c r="Y58" s="826">
        <f>Table98[[#This Row],[Opening]]+Table98[[#This Row],[Debit]]-Table98[[#This Row],[Credit]]</f>
        <v>0</v>
      </c>
    </row>
    <row r="59" spans="1:25" ht="24" customHeight="1" x14ac:dyDescent="0.6">
      <c r="A59" s="778">
        <v>44685</v>
      </c>
      <c r="B59" s="850">
        <v>4</v>
      </c>
      <c r="C59" s="842" t="s">
        <v>86</v>
      </c>
      <c r="D59" s="851" t="s">
        <v>8910</v>
      </c>
      <c r="E59" s="878"/>
      <c r="F59" s="903"/>
      <c r="G59" s="836"/>
      <c r="H59" s="836">
        <v>54000</v>
      </c>
      <c r="I59" s="955">
        <f>Table2[[#This Row],[Opening]]+Table2[[#This Row],[Debit]]-Table2[[#This Row],[Credit]]</f>
        <v>-54000</v>
      </c>
      <c r="J59" s="879"/>
      <c r="S59" s="888" t="s">
        <v>6530</v>
      </c>
      <c r="T59" s="888" t="s">
        <v>6530</v>
      </c>
      <c r="U59" s="883" t="str">
        <f>VLOOKUP(S59,COA!$B$2:$G$881,2,FALSE)</f>
        <v>Charges Income from Bank</v>
      </c>
      <c r="V59" s="829"/>
      <c r="W59" s="830">
        <f>SUMIF('Daily Cash Book'!$C$2:$C$1436,Table98[[#This Row],[Code]],'Daily Cash Book'!$G$2:$G$1436)</f>
        <v>0</v>
      </c>
      <c r="X59" s="831">
        <f>SUMIF('Daily Cash Book'!C:C,Table98[[#This Row],[Code]],'Daily Cash Book'!H:H)</f>
        <v>0</v>
      </c>
      <c r="Y59" s="826">
        <f>Table98[[#This Row],[Opening]]+Table98[[#This Row],[Debit]]-Table98[[#This Row],[Credit]]</f>
        <v>0</v>
      </c>
    </row>
    <row r="60" spans="1:25" ht="24" customHeight="1" x14ac:dyDescent="0.6">
      <c r="A60" s="778">
        <v>44685</v>
      </c>
      <c r="B60" s="850">
        <v>4</v>
      </c>
      <c r="C60" s="842" t="s">
        <v>1183</v>
      </c>
      <c r="D60" s="855" t="s">
        <v>8893</v>
      </c>
      <c r="E60" s="842"/>
      <c r="F60" s="896"/>
      <c r="G60" s="798"/>
      <c r="H60" s="798">
        <v>23000</v>
      </c>
      <c r="I60" s="954">
        <f>Table2[[#This Row],[Opening]]+Table2[[#This Row],[Debit]]-Table2[[#This Row],[Credit]]</f>
        <v>-23000</v>
      </c>
      <c r="J60" s="879"/>
      <c r="S60" s="840" t="s">
        <v>873</v>
      </c>
      <c r="T60" s="785" t="s">
        <v>873</v>
      </c>
      <c r="U60" s="883" t="str">
        <f>VLOOKUP(S60,COA!$B$2:$G$881,2,FALSE)</f>
        <v>Interest Income from HP</v>
      </c>
      <c r="V60" s="829"/>
      <c r="W60" s="830">
        <f>SUMIF('Daily Cash Book'!$C$2:$C$1436,Table98[[#This Row],[Code]],'Daily Cash Book'!$G$2:$G$1436)</f>
        <v>0</v>
      </c>
      <c r="X60" s="831">
        <f>SUMIF('Daily Cash Book'!C:C,Table98[[#This Row],[Code]],'Daily Cash Book'!H:H)</f>
        <v>0</v>
      </c>
      <c r="Y60" s="826">
        <f>Table98[[#This Row],[Opening]]+Table98[[#This Row],[Debit]]-Table98[[#This Row],[Credit]]</f>
        <v>0</v>
      </c>
    </row>
    <row r="61" spans="1:25" ht="24" customHeight="1" x14ac:dyDescent="0.6">
      <c r="A61" s="778">
        <v>44685</v>
      </c>
      <c r="B61" s="850">
        <v>4</v>
      </c>
      <c r="C61" s="851" t="s">
        <v>1183</v>
      </c>
      <c r="D61" s="851" t="s">
        <v>8911</v>
      </c>
      <c r="E61" s="893"/>
      <c r="F61" s="903"/>
      <c r="G61" s="860"/>
      <c r="H61" s="836">
        <v>110000</v>
      </c>
      <c r="I61" s="955">
        <f>Table2[[#This Row],[Opening]]+Table2[[#This Row],[Debit]]-Table2[[#This Row],[Credit]]</f>
        <v>-110000</v>
      </c>
      <c r="J61" s="879"/>
      <c r="S61" s="841" t="s">
        <v>1047</v>
      </c>
      <c r="T61" s="888" t="s">
        <v>1047</v>
      </c>
      <c r="U61" s="883" t="str">
        <f>VLOOKUP(S61,COA!$B$2:$G$881,2,FALSE)</f>
        <v>Charges Income from Contract</v>
      </c>
      <c r="V61" s="829"/>
      <c r="W61" s="830">
        <f>SUMIF('Daily Cash Book'!$C$2:$C$1436,Table98[[#This Row],[Code]],'Daily Cash Book'!$G$2:$G$1436)</f>
        <v>0</v>
      </c>
      <c r="X61" s="831">
        <f>SUMIF('Daily Cash Book'!C:C,Table98[[#This Row],[Code]],'Daily Cash Book'!H:H)</f>
        <v>0</v>
      </c>
      <c r="Y61" s="826">
        <f>Table98[[#This Row],[Opening]]+Table98[[#This Row],[Debit]]-Table98[[#This Row],[Credit]]</f>
        <v>0</v>
      </c>
    </row>
    <row r="62" spans="1:25" ht="24" customHeight="1" x14ac:dyDescent="0.6">
      <c r="A62" s="778">
        <v>44685</v>
      </c>
      <c r="B62" s="850">
        <v>4</v>
      </c>
      <c r="C62" s="851" t="s">
        <v>1143</v>
      </c>
      <c r="D62" s="851" t="s">
        <v>8912</v>
      </c>
      <c r="E62" s="851"/>
      <c r="F62" s="853"/>
      <c r="G62" s="854"/>
      <c r="H62" s="839">
        <v>55500</v>
      </c>
      <c r="I62" s="955">
        <f>Table2[[#This Row],[Opening]]+Table2[[#This Row],[Debit]]-Table2[[#This Row],[Credit]]</f>
        <v>-55500</v>
      </c>
      <c r="J62" s="879"/>
      <c r="S62" s="985" t="s">
        <v>959</v>
      </c>
      <c r="T62" s="888" t="s">
        <v>959</v>
      </c>
      <c r="U62" s="883" t="str">
        <f>VLOOKUP(S62,COA!$B$2:$G$881,2,FALSE)</f>
        <v>Income from Other</v>
      </c>
      <c r="V62" s="829"/>
      <c r="W62" s="830">
        <f>SUMIF('Daily Cash Book'!$C$2:$C$1436,Table98[[#This Row],[Code]],'Daily Cash Book'!$G$2:$G$1436)</f>
        <v>2000</v>
      </c>
      <c r="X62" s="831">
        <f>SUMIF('Daily Cash Book'!C:C,Table98[[#This Row],[Code]],'Daily Cash Book'!H:H)</f>
        <v>0</v>
      </c>
      <c r="Y62" s="826">
        <f>Table98[[#This Row],[Opening]]+Table98[[#This Row],[Debit]]-Table98[[#This Row],[Credit]]</f>
        <v>2000</v>
      </c>
    </row>
    <row r="63" spans="1:25" ht="24" customHeight="1" x14ac:dyDescent="0.6">
      <c r="A63" s="778">
        <v>44685</v>
      </c>
      <c r="B63" s="850">
        <v>4</v>
      </c>
      <c r="C63" s="851" t="s">
        <v>2917</v>
      </c>
      <c r="D63" s="855" t="s">
        <v>8913</v>
      </c>
      <c r="E63" s="851"/>
      <c r="F63" s="853"/>
      <c r="G63" s="854"/>
      <c r="H63" s="839">
        <v>9400</v>
      </c>
      <c r="I63" s="960">
        <f>'Daily Cash Book'!$G63-'Daily Cash Book'!$H$2:$H$1188</f>
        <v>-9400</v>
      </c>
      <c r="J63" s="879"/>
      <c r="S63" s="840" t="s">
        <v>2267</v>
      </c>
      <c r="T63" s="888"/>
      <c r="U63" s="883" t="str">
        <f>VLOOKUP(S63,COA!$B$2:$G$881,2,FALSE)</f>
        <v>In Come Debitor Fertilizer For Cash</v>
      </c>
      <c r="V63" s="829"/>
      <c r="W63" s="830">
        <f>SUMIF('Daily Cash Book'!$C$2:$C$1436,Table98[[#This Row],[Code]],'Daily Cash Book'!$G$2:$G$1436)</f>
        <v>0</v>
      </c>
      <c r="X63" s="831">
        <f>SUMIF('Daily Cash Book'!C:C,Table98[[#This Row],[Code]],'Daily Cash Book'!H:H)</f>
        <v>0</v>
      </c>
      <c r="Y63" s="826">
        <f>Table98[[#This Row],[Opening]]+Table98[[#This Row],[Debit]]-Table98[[#This Row],[Credit]]</f>
        <v>0</v>
      </c>
    </row>
    <row r="64" spans="1:25" ht="24" customHeight="1" x14ac:dyDescent="0.6">
      <c r="A64" s="778">
        <v>44685</v>
      </c>
      <c r="B64" s="850">
        <v>4</v>
      </c>
      <c r="C64" s="851" t="s">
        <v>1240</v>
      </c>
      <c r="D64" s="855" t="s">
        <v>8914</v>
      </c>
      <c r="E64" s="842" t="s">
        <v>7269</v>
      </c>
      <c r="F64" s="856"/>
      <c r="G64" s="857"/>
      <c r="H64" s="798">
        <v>9300</v>
      </c>
      <c r="I64" s="961">
        <f>Table2[[#This Row],[Opening]]+Table2[[#This Row],[Debit]]-Table2[[#This Row],[Credit]]</f>
        <v>-9300</v>
      </c>
      <c r="J64" s="879"/>
      <c r="S64" s="840" t="s">
        <v>2275</v>
      </c>
      <c r="T64" s="888"/>
      <c r="U64" s="883" t="str">
        <f>VLOOKUP(S64,COA!$B$2:$G$881,2,FALSE)</f>
        <v>In Conme Interest HP(Tricycle)</v>
      </c>
      <c r="V64" s="829"/>
      <c r="W64" s="830">
        <f>SUMIF('Daily Cash Book'!$C$2:$C$1436,Table98[[#This Row],[Code]],'Daily Cash Book'!$G$2:$G$1436)</f>
        <v>0</v>
      </c>
      <c r="X64" s="831">
        <f>SUMIF('Daily Cash Book'!C:C,Table98[[#This Row],[Code]],'Daily Cash Book'!H:H)</f>
        <v>0</v>
      </c>
      <c r="Y64" s="826">
        <f>Table98[[#This Row],[Opening]]+Table98[[#This Row],[Debit]]-Table98[[#This Row],[Credit]]</f>
        <v>0</v>
      </c>
    </row>
    <row r="65" spans="1:25" ht="24" customHeight="1" x14ac:dyDescent="0.6">
      <c r="A65" s="778">
        <v>44685</v>
      </c>
      <c r="B65" s="850">
        <v>4</v>
      </c>
      <c r="C65" s="851" t="s">
        <v>864</v>
      </c>
      <c r="D65" s="855" t="s">
        <v>8915</v>
      </c>
      <c r="E65" s="842"/>
      <c r="F65" s="843"/>
      <c r="G65" s="844"/>
      <c r="H65" s="809">
        <v>8350</v>
      </c>
      <c r="I65" s="961">
        <f>Table2[[#This Row],[Opening]]+Table2[[#This Row],[Debit]]-Table2[[#This Row],[Credit]]</f>
        <v>-8350</v>
      </c>
      <c r="J65" s="879"/>
      <c r="S65" s="840" t="s">
        <v>2280</v>
      </c>
      <c r="T65" s="888"/>
      <c r="U65" s="883" t="str">
        <f>VLOOKUP(S65,COA!$B$2:$G$881,2,FALSE)</f>
        <v>In Come Cash Tricycle</v>
      </c>
      <c r="V65" s="829"/>
      <c r="W65" s="830">
        <f>SUMIF('Daily Cash Book'!$C$2:$C$1436,Table98[[#This Row],[Code]],'Daily Cash Book'!$G$2:$G$1436)</f>
        <v>0</v>
      </c>
      <c r="X65" s="831">
        <f>SUMIF('Daily Cash Book'!C:C,Table98[[#This Row],[Code]],'Daily Cash Book'!H:H)</f>
        <v>0</v>
      </c>
      <c r="Y65" s="826">
        <f>Table98[[#This Row],[Opening]]+Table98[[#This Row],[Debit]]-Table98[[#This Row],[Credit]]</f>
        <v>0</v>
      </c>
    </row>
    <row r="66" spans="1:25" ht="24" customHeight="1" x14ac:dyDescent="0.6">
      <c r="A66" s="778">
        <v>44685</v>
      </c>
      <c r="B66" s="850">
        <v>4</v>
      </c>
      <c r="C66" s="842" t="s">
        <v>2352</v>
      </c>
      <c r="D66" s="855" t="s">
        <v>8916</v>
      </c>
      <c r="E66" s="851"/>
      <c r="F66" s="853"/>
      <c r="G66" s="854"/>
      <c r="H66" s="839">
        <v>300</v>
      </c>
      <c r="I66" s="960">
        <f>Table2[[#This Row],[Opening]]+Table2[[#This Row],[Debit]]-Table2[[#This Row],[Credit]]</f>
        <v>-300</v>
      </c>
      <c r="J66" s="879"/>
      <c r="S66" s="840" t="s">
        <v>2304</v>
      </c>
      <c r="T66" s="888"/>
      <c r="U66" s="883" t="str">
        <f>VLOOKUP(S66,COA!$B$2:$G$881,2,FALSE)</f>
        <v>In Come DebitorTricycle  For Cash</v>
      </c>
      <c r="V66" s="829"/>
      <c r="W66" s="830">
        <f>SUMIF('Daily Cash Book'!$C$2:$C$1436,Table98[[#This Row],[Code]],'Daily Cash Book'!$G$2:$G$1436)</f>
        <v>0</v>
      </c>
      <c r="X66" s="831">
        <f>SUMIF('Daily Cash Book'!C:C,Table98[[#This Row],[Code]],'Daily Cash Book'!H:H)</f>
        <v>0</v>
      </c>
      <c r="Y66" s="826">
        <f>Table98[[#This Row],[Opening]]+Table98[[#This Row],[Debit]]-Table98[[#This Row],[Credit]]</f>
        <v>0</v>
      </c>
    </row>
    <row r="67" spans="1:25" ht="24" customHeight="1" x14ac:dyDescent="0.6">
      <c r="A67" s="922">
        <v>44685</v>
      </c>
      <c r="B67" s="933">
        <v>4</v>
      </c>
      <c r="C67" s="878" t="s">
        <v>39</v>
      </c>
      <c r="D67" s="902" t="s">
        <v>8917</v>
      </c>
      <c r="E67" s="878" t="s">
        <v>7275</v>
      </c>
      <c r="F67" s="895"/>
      <c r="G67" s="798"/>
      <c r="H67" s="798">
        <v>3056000</v>
      </c>
      <c r="I67" s="958">
        <f>Table2[[#This Row],[Opening]]+Table2[[#This Row],[Debit]]-Table2[[#This Row],[Credit]]</f>
        <v>-3056000</v>
      </c>
      <c r="J67" s="879"/>
      <c r="S67" s="907" t="s">
        <v>2466</v>
      </c>
      <c r="T67" s="845"/>
      <c r="U67" s="866" t="str">
        <f>VLOOKUP(S67,COA!$B$2:$G$881,2,FALSE)</f>
        <v>IN Free Sale</v>
      </c>
      <c r="V67" s="890"/>
      <c r="W67" s="830">
        <f>SUMIF('Daily Cash Book'!$C$2:$C$1436,Table98[[#This Row],[Code]],'Daily Cash Book'!$G$2:$G$1436)</f>
        <v>495300</v>
      </c>
      <c r="X67" s="831">
        <f>SUMIF('Daily Cash Book'!C:C,Table98[[#This Row],[Code]],'Daily Cash Book'!H:H)</f>
        <v>0</v>
      </c>
      <c r="Y67" s="826">
        <f>Table98[[#This Row],[Opening]]+Table98[[#This Row],[Debit]]-Table98[[#This Row],[Credit]]</f>
        <v>495300</v>
      </c>
    </row>
    <row r="68" spans="1:25" ht="24" customHeight="1" x14ac:dyDescent="0.6">
      <c r="A68" s="922">
        <v>44685</v>
      </c>
      <c r="B68" s="933">
        <v>4</v>
      </c>
      <c r="C68" s="878" t="s">
        <v>47</v>
      </c>
      <c r="D68" s="878" t="s">
        <v>8200</v>
      </c>
      <c r="E68" s="878" t="s">
        <v>7274</v>
      </c>
      <c r="F68" s="895"/>
      <c r="G68" s="798"/>
      <c r="H68" s="798">
        <v>2465000</v>
      </c>
      <c r="I68" s="958">
        <f>Table2[[#This Row],[Opening]]+Table2[[#This Row],[Debit]]-Table2[[#This Row],[Credit]]</f>
        <v>-2465000</v>
      </c>
      <c r="J68" s="879"/>
      <c r="S68" s="907" t="s">
        <v>2467</v>
      </c>
      <c r="T68" s="845"/>
      <c r="U68" s="866" t="str">
        <f>VLOOKUP(S68,COA!$B$2:$G$881,2,FALSE)</f>
        <v>Tri Repay Interest</v>
      </c>
      <c r="V68" s="890"/>
      <c r="W68" s="830">
        <f>SUMIF('Daily Cash Book'!$C$2:$C$1436,Table98[[#This Row],[Code]],'Daily Cash Book'!$G$2:$G$1436)</f>
        <v>0</v>
      </c>
      <c r="X68" s="831">
        <f>SUMIF('Daily Cash Book'!C:C,Table98[[#This Row],[Code]],'Daily Cash Book'!H:H)</f>
        <v>0</v>
      </c>
      <c r="Y68" s="826">
        <f>Table98[[#This Row],[Opening]]+Table98[[#This Row],[Debit]]-Table98[[#This Row],[Credit]]</f>
        <v>0</v>
      </c>
    </row>
    <row r="69" spans="1:25" ht="24" customHeight="1" thickBot="1" x14ac:dyDescent="0.65">
      <c r="A69" s="884">
        <v>44685</v>
      </c>
      <c r="B69" s="885">
        <v>4</v>
      </c>
      <c r="C69" s="886" t="s">
        <v>39</v>
      </c>
      <c r="D69" s="886" t="s">
        <v>8918</v>
      </c>
      <c r="E69" s="886" t="s">
        <v>7275</v>
      </c>
      <c r="F69" s="887"/>
      <c r="G69" s="872"/>
      <c r="H69" s="872">
        <v>29000</v>
      </c>
      <c r="I69" s="959">
        <f>Table2[[#This Row],[Opening]]+Table2[[#This Row],[Debit]]-Table2[[#This Row],[Credit]]</f>
        <v>-29000</v>
      </c>
      <c r="J69" s="879"/>
      <c r="S69" s="987" t="s">
        <v>2362</v>
      </c>
      <c r="T69" s="970"/>
      <c r="U69" s="969" t="str">
        <f>VLOOKUP(S69,COA!$B$2:$G$881,2,FALSE)</f>
        <v xml:space="preserve">REPAY </v>
      </c>
      <c r="V69" s="988"/>
      <c r="W69" s="830">
        <f>SUMIF('Daily Cash Book'!$C$2:$C$1436,Table98[[#This Row],[Code]],'Daily Cash Book'!$G$2:$G$1436)</f>
        <v>0</v>
      </c>
      <c r="X69" s="831">
        <f>SUMIF('Daily Cash Book'!C:C,Table98[[#This Row],[Code]],'Daily Cash Book'!H:H)</f>
        <v>0</v>
      </c>
      <c r="Y69" s="826">
        <f>Table98[[#This Row],[Opening]]+Table98[[#This Row],[Debit]]-Table98[[#This Row],[Credit]]</f>
        <v>0</v>
      </c>
    </row>
    <row r="70" spans="1:25" ht="24" customHeight="1" thickTop="1" x14ac:dyDescent="0.6">
      <c r="A70" s="778">
        <v>44686</v>
      </c>
      <c r="B70" s="850">
        <v>5</v>
      </c>
      <c r="C70" s="851" t="s">
        <v>2466</v>
      </c>
      <c r="D70" s="855" t="s">
        <v>8909</v>
      </c>
      <c r="E70" s="851"/>
      <c r="F70" s="859"/>
      <c r="G70" s="860">
        <v>2500</v>
      </c>
      <c r="H70" s="836"/>
      <c r="I70" s="955">
        <f>Table2[[#This Row],[Opening]]+Table2[[#This Row],[Debit]]-Table2[[#This Row],[Credit]]</f>
        <v>2500</v>
      </c>
      <c r="J70" s="879"/>
      <c r="S70" s="986" t="s">
        <v>2956</v>
      </c>
      <c r="T70" s="888"/>
      <c r="U70" s="785" t="str">
        <f>VLOOKUP(S70,COA!$B$2:$G$881,2,FALSE)</f>
        <v>REINWS</v>
      </c>
      <c r="V70" s="829"/>
      <c r="W70" s="830">
        <f>SUMIF('Daily Cash Book'!$C$2:$C$1436,Table98[[#This Row],[Code]],'Daily Cash Book'!$G$2:$G$1436)</f>
        <v>0</v>
      </c>
      <c r="X70" s="831">
        <f>SUMIF('Daily Cash Book'!C:C,Table98[[#This Row],[Code]],'Daily Cash Book'!H:H)</f>
        <v>0</v>
      </c>
      <c r="Y70" s="826">
        <f>Table98[[#This Row],[Opening]]+Table98[[#This Row],[Debit]]-Table98[[#This Row],[Credit]]</f>
        <v>0</v>
      </c>
    </row>
    <row r="71" spans="1:25" ht="24" customHeight="1" x14ac:dyDescent="0.6">
      <c r="A71" s="778">
        <v>44686</v>
      </c>
      <c r="B71" s="850">
        <v>5</v>
      </c>
      <c r="C71" s="851" t="s">
        <v>2466</v>
      </c>
      <c r="D71" s="855" t="s">
        <v>8909</v>
      </c>
      <c r="E71" s="842"/>
      <c r="F71" s="843"/>
      <c r="G71" s="844">
        <v>1000</v>
      </c>
      <c r="H71" s="809"/>
      <c r="I71" s="954">
        <f>Table2[[#This Row],[Opening]]+Table2[[#This Row],[Debit]]-Table2[[#This Row],[Credit]]</f>
        <v>1000</v>
      </c>
      <c r="J71" s="879"/>
      <c r="S71" s="888" t="s">
        <v>39</v>
      </c>
      <c r="T71" s="888" t="s">
        <v>39</v>
      </c>
      <c r="U71" s="785" t="str">
        <f>VLOOKUP(S71,COA!$B$2:$G$881,2,FALSE)</f>
        <v>Cash Purchases</v>
      </c>
      <c r="V71" s="829"/>
      <c r="W71" s="830">
        <f>SUMIF('Daily Cash Book'!$C$2:$C$1436,Table98[[#This Row],[Code]],'Daily Cash Book'!$G$2:$G$1436)</f>
        <v>0</v>
      </c>
      <c r="X71" s="831">
        <f>SUMIF('Daily Cash Book'!C:C,Table98[[#This Row],[Code]],'Daily Cash Book'!H:H)</f>
        <v>41924919</v>
      </c>
      <c r="Y71" s="826">
        <f>Table98[[#This Row],[Opening]]+Table98[[#This Row],[Debit]]-Table98[[#This Row],[Credit]]</f>
        <v>-41924919</v>
      </c>
    </row>
    <row r="72" spans="1:25" ht="24" customHeight="1" x14ac:dyDescent="0.6">
      <c r="A72" s="778">
        <v>44686</v>
      </c>
      <c r="B72" s="850">
        <v>5</v>
      </c>
      <c r="C72" s="851" t="s">
        <v>2466</v>
      </c>
      <c r="D72" s="855" t="s">
        <v>8909</v>
      </c>
      <c r="E72" s="851"/>
      <c r="F72" s="853"/>
      <c r="G72" s="860">
        <v>800</v>
      </c>
      <c r="H72" s="839"/>
      <c r="I72" s="955">
        <f>Table2[[#This Row],[Opening]]+Table2[[#This Row],[Debit]]-Table2[[#This Row],[Credit]]</f>
        <v>800</v>
      </c>
      <c r="J72" s="879"/>
      <c r="S72" s="889" t="s">
        <v>2352</v>
      </c>
      <c r="T72" s="866"/>
      <c r="U72" s="866" t="str">
        <f>VLOOKUP(S72,COA!$B$2:$G$881,2,FALSE)</f>
        <v>Purchase for workshop</v>
      </c>
      <c r="V72" s="890"/>
      <c r="W72" s="830">
        <f>SUMIF('Daily Cash Book'!$C$2:$C$1436,Table98[[#This Row],[Code]],'Daily Cash Book'!$G$2:$G$1436)</f>
        <v>0</v>
      </c>
      <c r="X72" s="831">
        <f>SUMIF('Daily Cash Book'!C:C,Table98[[#This Row],[Code]],'Daily Cash Book'!H:H)</f>
        <v>1822350</v>
      </c>
      <c r="Y72" s="826">
        <f>Table98[[#This Row],[Opening]]+Table98[[#This Row],[Debit]]-Table98[[#This Row],[Credit]]</f>
        <v>-1822350</v>
      </c>
    </row>
    <row r="73" spans="1:25" ht="24" customHeight="1" x14ac:dyDescent="0.6">
      <c r="A73" s="778">
        <v>44686</v>
      </c>
      <c r="B73" s="850">
        <v>5</v>
      </c>
      <c r="C73" s="851" t="s">
        <v>2466</v>
      </c>
      <c r="D73" s="855" t="s">
        <v>8909</v>
      </c>
      <c r="E73" s="842"/>
      <c r="F73" s="843"/>
      <c r="G73" s="844">
        <v>500</v>
      </c>
      <c r="H73" s="809"/>
      <c r="I73" s="954">
        <f>Table2[[#This Row],[Opening]]+Table2[[#This Row],[Debit]]-Table2[[#This Row],[Credit]]</f>
        <v>500</v>
      </c>
      <c r="J73" s="879"/>
      <c r="S73" s="785" t="s">
        <v>976</v>
      </c>
      <c r="T73" s="785" t="s">
        <v>2239</v>
      </c>
      <c r="U73" s="785" t="str">
        <f>VLOOKUP(S73,COA!$B$2:$G$881,2,FALSE)</f>
        <v>Receivable for WBL Fertilizer - 2016</v>
      </c>
      <c r="V73" s="829"/>
      <c r="W73" s="830">
        <f>SUMIF('Daily Cash Book'!$C$2:$C$1436,Table98[[#This Row],[Code]],'Daily Cash Book'!$G$2:$G$1436)</f>
        <v>0</v>
      </c>
      <c r="X73" s="831">
        <f>SUMIF('Daily Cash Book'!C:C,Table98[[#This Row],[Code]],'Daily Cash Book'!H:H)</f>
        <v>0</v>
      </c>
      <c r="Y73" s="826">
        <f>Table98[[#This Row],[Opening]]+Table98[[#This Row],[Debit]]-Table98[[#This Row],[Credit]]</f>
        <v>0</v>
      </c>
    </row>
    <row r="74" spans="1:25" ht="24" customHeight="1" x14ac:dyDescent="0.6">
      <c r="A74" s="778">
        <v>44686</v>
      </c>
      <c r="B74" s="850">
        <v>5</v>
      </c>
      <c r="C74" s="842" t="s">
        <v>888</v>
      </c>
      <c r="D74" s="855" t="s">
        <v>8880</v>
      </c>
      <c r="E74" s="878"/>
      <c r="F74" s="896"/>
      <c r="G74" s="844">
        <v>9191400</v>
      </c>
      <c r="H74" s="809"/>
      <c r="I74" s="954">
        <f>Table2[[#This Row],[Opening]]+Table2[[#This Row],[Debit]]-Table2[[#This Row],[Credit]]</f>
        <v>9191400</v>
      </c>
      <c r="J74" s="879"/>
      <c r="S74" s="785" t="s">
        <v>586</v>
      </c>
      <c r="T74" s="785" t="s">
        <v>2239</v>
      </c>
      <c r="U74" s="785" t="str">
        <f>VLOOKUP(S74,COA!$B$2:$G$881,2,FALSE)</f>
        <v>Receivable for Fertilizer - 2017</v>
      </c>
      <c r="V74" s="829"/>
      <c r="W74" s="830">
        <f>SUMIF('Daily Cash Book'!$C$2:$C$1436,Table98[[#This Row],[Code]],'Daily Cash Book'!$G$2:$G$1436)</f>
        <v>0</v>
      </c>
      <c r="X74" s="831">
        <f>SUMIF('Daily Cash Book'!C:C,Table98[[#This Row],[Code]],'Daily Cash Book'!H:H)</f>
        <v>0</v>
      </c>
      <c r="Y74" s="826">
        <f>Table98[[#This Row],[Opening]]+Table98[[#This Row],[Debit]]-Table98[[#This Row],[Credit]]</f>
        <v>0</v>
      </c>
    </row>
    <row r="75" spans="1:25" ht="24" customHeight="1" x14ac:dyDescent="0.6">
      <c r="A75" s="778">
        <v>44686</v>
      </c>
      <c r="B75" s="850">
        <v>5</v>
      </c>
      <c r="C75" s="842" t="s">
        <v>1267</v>
      </c>
      <c r="D75" s="855" t="s">
        <v>7209</v>
      </c>
      <c r="E75" s="851"/>
      <c r="F75" s="853"/>
      <c r="G75" s="854">
        <v>18700</v>
      </c>
      <c r="H75" s="839"/>
      <c r="I75" s="955">
        <f>Table2[[#This Row],[Opening]]+Table2[[#This Row],[Debit]]-Table2[[#This Row],[Credit]]</f>
        <v>18700</v>
      </c>
      <c r="J75" s="879"/>
      <c r="S75" s="840" t="s">
        <v>968</v>
      </c>
      <c r="T75" s="785" t="s">
        <v>2240</v>
      </c>
      <c r="U75" s="883" t="str">
        <f>VLOOKUP(S75,COA!$B$2:$G$881,2,FALSE)</f>
        <v>Receivable for WBL Fertilizer - 2018</v>
      </c>
      <c r="V75" s="829"/>
      <c r="W75" s="830">
        <f>SUMIF('Daily Cash Book'!$C$2:$C$1436,Table98[[#This Row],[Code]],'Daily Cash Book'!$G$2:$G$1436)</f>
        <v>0</v>
      </c>
      <c r="X75" s="831">
        <f>SUMIF('Daily Cash Book'!C:C,Table98[[#This Row],[Code]],'Daily Cash Book'!H:H)</f>
        <v>0</v>
      </c>
      <c r="Y75" s="826">
        <f>Table98[[#This Row],[Opening]]+Table98[[#This Row],[Debit]]-Table98[[#This Row],[Credit]]</f>
        <v>0</v>
      </c>
    </row>
    <row r="76" spans="1:25" ht="24" customHeight="1" x14ac:dyDescent="0.6">
      <c r="A76" s="778">
        <v>44686</v>
      </c>
      <c r="B76" s="850">
        <v>5</v>
      </c>
      <c r="C76" s="842" t="s">
        <v>1183</v>
      </c>
      <c r="D76" s="855" t="s">
        <v>8920</v>
      </c>
      <c r="E76" s="851"/>
      <c r="F76" s="853"/>
      <c r="G76" s="854"/>
      <c r="H76" s="839">
        <v>1000</v>
      </c>
      <c r="I76" s="960">
        <f>Table2[[#This Row],[Opening]]+Table2[[#This Row],[Debit]]-Table2[[#This Row],[Credit]]</f>
        <v>-1000</v>
      </c>
      <c r="J76" s="879"/>
      <c r="S76" s="840" t="s">
        <v>1133</v>
      </c>
      <c r="T76" s="785" t="s">
        <v>2241</v>
      </c>
      <c r="U76" s="883" t="str">
        <f>VLOOKUP(S76,COA!$B$2:$G$881,2,FALSE)</f>
        <v>Receivable for WBL Fertilizer - 2019</v>
      </c>
      <c r="V76" s="829"/>
      <c r="W76" s="830">
        <f>SUMIF('Daily Cash Book'!$C$2:$C$1436,Table98[[#This Row],[Code]],'Daily Cash Book'!$G$2:$G$1436)</f>
        <v>0</v>
      </c>
      <c r="X76" s="831">
        <f>SUMIF('Daily Cash Book'!C:C,Table98[[#This Row],[Code]],'Daily Cash Book'!H:H)</f>
        <v>0</v>
      </c>
      <c r="Y76" s="826">
        <f>Table98[[#This Row],[Opening]]+Table98[[#This Row],[Debit]]-Table98[[#This Row],[Credit]]</f>
        <v>0</v>
      </c>
    </row>
    <row r="77" spans="1:25" ht="24" customHeight="1" x14ac:dyDescent="0.6">
      <c r="A77" s="778">
        <v>44686</v>
      </c>
      <c r="B77" s="850">
        <v>5</v>
      </c>
      <c r="C77" s="842" t="s">
        <v>1183</v>
      </c>
      <c r="D77" s="842" t="s">
        <v>8893</v>
      </c>
      <c r="E77" s="842"/>
      <c r="F77" s="856"/>
      <c r="G77" s="857"/>
      <c r="H77" s="798">
        <v>3000</v>
      </c>
      <c r="I77" s="961">
        <f>Table2[[#This Row],[Opening]]+Table2[[#This Row],[Debit]]-Table2[[#This Row],[Credit]]</f>
        <v>-3000</v>
      </c>
      <c r="J77" s="879"/>
      <c r="S77" s="865" t="s">
        <v>2433</v>
      </c>
      <c r="T77" s="866"/>
      <c r="U77" s="867" t="str">
        <f>VLOOKUP(S77,COA!$B$2:$G$881,2,FALSE)</f>
        <v>Receivable for WBL Fertilizer - 2020</v>
      </c>
      <c r="V77" s="890"/>
      <c r="W77" s="830">
        <f>SUMIF('Daily Cash Book'!$C$2:$C$1436,Table98[[#This Row],[Code]],'Daily Cash Book'!$G$2:$G$1436)</f>
        <v>0</v>
      </c>
      <c r="X77" s="831">
        <f>SUMIF('Daily Cash Book'!C:C,Table98[[#This Row],[Code]],'Daily Cash Book'!H:H)</f>
        <v>0</v>
      </c>
      <c r="Y77" s="826">
        <f>Table98[[#This Row],[Opening]]+Table98[[#This Row],[Debit]]-Table98[[#This Row],[Credit]]</f>
        <v>0</v>
      </c>
    </row>
    <row r="78" spans="1:25" ht="24" customHeight="1" x14ac:dyDescent="0.6">
      <c r="A78" s="778">
        <v>44686</v>
      </c>
      <c r="B78" s="850">
        <v>5</v>
      </c>
      <c r="C78" s="842" t="s">
        <v>985</v>
      </c>
      <c r="D78" s="855" t="s">
        <v>7881</v>
      </c>
      <c r="E78" s="842"/>
      <c r="F78" s="843"/>
      <c r="G78" s="844"/>
      <c r="H78" s="809">
        <v>10000</v>
      </c>
      <c r="I78" s="961">
        <f>Table2[[#This Row],[Opening]]+Table2[[#This Row],[Debit]]-Table2[[#This Row],[Credit]]</f>
        <v>-10000</v>
      </c>
      <c r="J78" s="879"/>
      <c r="S78" s="840" t="s">
        <v>901</v>
      </c>
      <c r="T78" s="785" t="s">
        <v>901</v>
      </c>
      <c r="U78" s="883" t="str">
        <f>VLOOKUP(T78,COA!$B$2:$G$881,2,FALSE)</f>
        <v>Cash Sale for Fertilizer</v>
      </c>
      <c r="V78" s="829"/>
      <c r="W78" s="830">
        <f>SUMIF('Daily Cash Book'!$C$2:$C$1436,Table98[[#This Row],[Code]],'Daily Cash Book'!$G$2:$G$1436)</f>
        <v>0</v>
      </c>
      <c r="X78" s="831">
        <f>SUMIF('Daily Cash Book'!C:C,Table98[[#This Row],[Code]],'Daily Cash Book'!H:H)</f>
        <v>0</v>
      </c>
      <c r="Y78" s="826">
        <f>Table98[[#This Row],[Opening]]+Table98[[#This Row],[Debit]]-Table98[[#This Row],[Credit]]</f>
        <v>0</v>
      </c>
    </row>
    <row r="79" spans="1:25" ht="24" customHeight="1" x14ac:dyDescent="0.6">
      <c r="A79" s="778">
        <v>44686</v>
      </c>
      <c r="B79" s="850">
        <v>5</v>
      </c>
      <c r="C79" s="842" t="s">
        <v>1240</v>
      </c>
      <c r="D79" s="855" t="s">
        <v>8921</v>
      </c>
      <c r="E79" s="842" t="s">
        <v>7269</v>
      </c>
      <c r="F79" s="856"/>
      <c r="G79" s="857"/>
      <c r="H79" s="798">
        <v>5000</v>
      </c>
      <c r="I79" s="954">
        <f>Table2[[#This Row],[Opening]]+Table2[[#This Row],[Debit]]-Table2[[#This Row],[Credit]]</f>
        <v>-5000</v>
      </c>
      <c r="J79" s="879"/>
      <c r="K79" s="751"/>
      <c r="L79" s="751"/>
      <c r="S79" s="840" t="s">
        <v>1064</v>
      </c>
      <c r="T79" s="785" t="s">
        <v>1064</v>
      </c>
      <c r="U79" s="883" t="str">
        <f>VLOOKUP(S79,COA!$B$2:$G$881,2,FALSE)</f>
        <v>Cash Credit Sale for Fertilizer</v>
      </c>
      <c r="V79" s="829"/>
      <c r="W79" s="830">
        <f>SUMIF('Daily Cash Book'!$C$2:$C$1436,Table98[[#This Row],[Code]],'Daily Cash Book'!$G$2:$G$1436)</f>
        <v>0</v>
      </c>
      <c r="X79" s="831">
        <f>SUMIF('Daily Cash Book'!C:C,Table98[[#This Row],[Code]],'Daily Cash Book'!H:H)</f>
        <v>0</v>
      </c>
      <c r="Y79" s="826">
        <f>Table98[[#This Row],[Opening]]+Table98[[#This Row],[Debit]]-Table98[[#This Row],[Credit]]</f>
        <v>0</v>
      </c>
    </row>
    <row r="80" spans="1:25" ht="24" customHeight="1" x14ac:dyDescent="0.6">
      <c r="A80" s="778">
        <v>44686</v>
      </c>
      <c r="B80" s="850">
        <v>5</v>
      </c>
      <c r="C80" s="842" t="s">
        <v>1240</v>
      </c>
      <c r="D80" s="855" t="s">
        <v>8922</v>
      </c>
      <c r="E80" s="842" t="s">
        <v>7269</v>
      </c>
      <c r="F80" s="843"/>
      <c r="G80" s="844"/>
      <c r="H80" s="809">
        <v>59000</v>
      </c>
      <c r="I80" s="954">
        <f>Table2[[#This Row],[Opening]]+Table2[[#This Row],[Debit]]-Table2[[#This Row],[Credit]]</f>
        <v>-59000</v>
      </c>
      <c r="J80" s="879"/>
      <c r="K80" s="751"/>
      <c r="L80" s="751"/>
      <c r="S80" s="840" t="s">
        <v>902</v>
      </c>
      <c r="T80" s="785" t="s">
        <v>902</v>
      </c>
      <c r="U80" s="883" t="str">
        <f>VLOOKUP(S80,COA!$B$2:$G$881,2,FALSE)</f>
        <v>Credit Sale for Fertilizer 30%</v>
      </c>
      <c r="V80" s="829"/>
      <c r="W80" s="830">
        <f>SUMIF('Daily Cash Book'!$C$2:$C$1436,Table98[[#This Row],[Code]],'Daily Cash Book'!$G$2:$G$1436)</f>
        <v>0</v>
      </c>
      <c r="X80" s="831">
        <f>SUMIF('Daily Cash Book'!C:C,Table98[[#This Row],[Code]],'Daily Cash Book'!H:H)</f>
        <v>0</v>
      </c>
      <c r="Y80" s="826">
        <f>Table98[[#This Row],[Opening]]+Table98[[#This Row],[Debit]]-Table98[[#This Row],[Credit]]</f>
        <v>0</v>
      </c>
    </row>
    <row r="81" spans="1:25" ht="24" customHeight="1" x14ac:dyDescent="0.6">
      <c r="A81" s="778">
        <v>44686</v>
      </c>
      <c r="B81" s="850">
        <v>5</v>
      </c>
      <c r="C81" s="842" t="s">
        <v>1240</v>
      </c>
      <c r="D81" s="855" t="s">
        <v>8923</v>
      </c>
      <c r="E81" s="842" t="s">
        <v>7269</v>
      </c>
      <c r="F81" s="853"/>
      <c r="G81" s="854"/>
      <c r="H81" s="839">
        <v>157800</v>
      </c>
      <c r="I81" s="955">
        <f>Table2[[#This Row],[Opening]]+Table2[[#This Row],[Debit]]-Table2[[#This Row],[Credit]]</f>
        <v>-157800</v>
      </c>
      <c r="J81" s="879"/>
      <c r="K81" s="751"/>
      <c r="L81" s="751"/>
      <c r="S81" s="840" t="s">
        <v>1051</v>
      </c>
      <c r="T81" s="785" t="s">
        <v>1051</v>
      </c>
      <c r="U81" s="883" t="str">
        <f>VLOOKUP(S81,COA!$B$2:$G$881,2,FALSE)</f>
        <v>HP Sale for Fertilizer</v>
      </c>
      <c r="V81" s="829"/>
      <c r="W81" s="830">
        <f>SUMIF('Daily Cash Book'!$C$2:$C$1436,Table98[[#This Row],[Code]],'Daily Cash Book'!$G$2:$G$1436)</f>
        <v>0</v>
      </c>
      <c r="X81" s="831">
        <f>SUMIF('Daily Cash Book'!C:C,Table98[[#This Row],[Code]],'Daily Cash Book'!H:H)</f>
        <v>0</v>
      </c>
      <c r="Y81" s="826">
        <f>Table98[[#This Row],[Opening]]+Table98[[#This Row],[Debit]]-Table98[[#This Row],[Credit]]</f>
        <v>0</v>
      </c>
    </row>
    <row r="82" spans="1:25" ht="24" customHeight="1" x14ac:dyDescent="0.6">
      <c r="A82" s="778">
        <v>44686</v>
      </c>
      <c r="B82" s="850">
        <v>5</v>
      </c>
      <c r="C82" s="842" t="s">
        <v>1240</v>
      </c>
      <c r="D82" s="852" t="s">
        <v>8924</v>
      </c>
      <c r="E82" s="842" t="s">
        <v>7269</v>
      </c>
      <c r="F82" s="856"/>
      <c r="G82" s="857"/>
      <c r="H82" s="798">
        <v>62000</v>
      </c>
      <c r="I82" s="954">
        <f>Table2[[#This Row],[Opening]]+Table2[[#This Row],[Debit]]-Table2[[#This Row],[Credit]]</f>
        <v>-62000</v>
      </c>
      <c r="J82" s="879"/>
      <c r="K82" s="897"/>
      <c r="L82" s="751"/>
      <c r="M82" s="751"/>
      <c r="S82" s="840" t="s">
        <v>872</v>
      </c>
      <c r="T82" s="785" t="s">
        <v>872</v>
      </c>
      <c r="U82" s="883" t="str">
        <f>VLOOKUP(S82,COA!$B$2:$G$881,2,FALSE)</f>
        <v xml:space="preserve"> Income  Fertilizer</v>
      </c>
      <c r="V82" s="829"/>
      <c r="W82" s="830">
        <f>SUMIF('Daily Cash Book'!$C$2:$C$1436,Table98[[#This Row],[Code]],'Daily Cash Book'!$G$2:$G$1436)</f>
        <v>0</v>
      </c>
      <c r="X82" s="831">
        <f>SUMIF('Daily Cash Book'!C:C,Table98[[#This Row],[Code]],'Daily Cash Book'!H:H)</f>
        <v>0</v>
      </c>
      <c r="Y82" s="826">
        <f>Table98[[#This Row],[Opening]]+Table98[[#This Row],[Debit]]-Table98[[#This Row],[Credit]]</f>
        <v>0</v>
      </c>
    </row>
    <row r="83" spans="1:25" ht="24" customHeight="1" x14ac:dyDescent="0.6">
      <c r="A83" s="778">
        <v>44686</v>
      </c>
      <c r="B83" s="850">
        <v>5</v>
      </c>
      <c r="C83" s="842" t="s">
        <v>1240</v>
      </c>
      <c r="D83" s="852" t="s">
        <v>8925</v>
      </c>
      <c r="E83" s="842" t="s">
        <v>7269</v>
      </c>
      <c r="F83" s="843"/>
      <c r="G83" s="844"/>
      <c r="H83" s="809">
        <v>1500</v>
      </c>
      <c r="I83" s="961">
        <f>Table2[[#This Row],[Opening]]+Table2[[#This Row],[Debit]]-Table2[[#This Row],[Credit]]</f>
        <v>-1500</v>
      </c>
      <c r="J83" s="879"/>
      <c r="K83" s="751"/>
      <c r="L83" s="751"/>
      <c r="S83" s="840" t="s">
        <v>1097</v>
      </c>
      <c r="T83" s="785" t="s">
        <v>1097</v>
      </c>
      <c r="U83" s="883" t="str">
        <f>VLOOKUP(S83,COA!$B$2:$G$881,2,FALSE)</f>
        <v>Charges Income from Fertilizer</v>
      </c>
      <c r="V83" s="829"/>
      <c r="W83" s="830">
        <f>SUMIF('Daily Cash Book'!$C$2:$C$1436,Table98[[#This Row],[Code]],'Daily Cash Book'!$G$2:$G$1436)</f>
        <v>0</v>
      </c>
      <c r="X83" s="831">
        <f>SUMIF('Daily Cash Book'!C:C,Table98[[#This Row],[Code]],'Daily Cash Book'!H:H)</f>
        <v>0</v>
      </c>
      <c r="Y83" s="826">
        <f>Table98[[#This Row],[Opening]]+Table98[[#This Row],[Debit]]-Table98[[#This Row],[Credit]]</f>
        <v>0</v>
      </c>
    </row>
    <row r="84" spans="1:25" ht="24" customHeight="1" x14ac:dyDescent="0.6">
      <c r="A84" s="778">
        <v>44686</v>
      </c>
      <c r="B84" s="850">
        <v>5</v>
      </c>
      <c r="C84" s="851" t="s">
        <v>86</v>
      </c>
      <c r="D84" s="852" t="s">
        <v>8926</v>
      </c>
      <c r="E84" s="851"/>
      <c r="F84" s="898"/>
      <c r="G84" s="899"/>
      <c r="H84" s="900">
        <v>5000</v>
      </c>
      <c r="I84" s="962">
        <f>Table2[[#This Row],[Opening]]+Table2[[#This Row],[Debit]]-Table2[[#This Row],[Credit]]</f>
        <v>-5000</v>
      </c>
      <c r="J84" s="879"/>
      <c r="K84" s="751"/>
      <c r="L84" s="751"/>
      <c r="S84" s="841" t="s">
        <v>904</v>
      </c>
      <c r="T84" s="888" t="s">
        <v>904</v>
      </c>
      <c r="U84" s="883" t="str">
        <f>VLOOKUP(S84,COA!$B$2:$G$881,2,FALSE)</f>
        <v>Charges Income from Car</v>
      </c>
      <c r="V84" s="829"/>
      <c r="W84" s="830">
        <f>SUMIF('Daily Cash Book'!$C$2:$C$1436,Table98[[#This Row],[Code]],'Daily Cash Book'!$G$2:$G$1436)</f>
        <v>0</v>
      </c>
      <c r="X84" s="831">
        <f>SUMIF('Daily Cash Book'!C:C,Table98[[#This Row],[Code]],'Daily Cash Book'!H:H)</f>
        <v>0</v>
      </c>
      <c r="Y84" s="826">
        <f>Table98[[#This Row],[Opening]]+Table98[[#This Row],[Debit]]-Table98[[#This Row],[Credit]]</f>
        <v>0</v>
      </c>
    </row>
    <row r="85" spans="1:25" ht="24" customHeight="1" thickBot="1" x14ac:dyDescent="0.65">
      <c r="A85" s="1207">
        <v>44686</v>
      </c>
      <c r="B85" s="1243">
        <v>5</v>
      </c>
      <c r="C85" s="846" t="s">
        <v>1183</v>
      </c>
      <c r="D85" s="1244" t="s">
        <v>8927</v>
      </c>
      <c r="E85" s="1245"/>
      <c r="F85" s="1246"/>
      <c r="G85" s="1209"/>
      <c r="H85" s="1210">
        <v>1000</v>
      </c>
      <c r="I85" s="1247">
        <f>Table2[[#This Row],[Opening]]+Table2[[#This Row],[Debit]]-Table2[[#This Row],[Credit]]</f>
        <v>-1000</v>
      </c>
      <c r="J85" s="879"/>
      <c r="K85" s="751"/>
      <c r="L85" s="751"/>
      <c r="S85" s="841" t="s">
        <v>1267</v>
      </c>
      <c r="T85" s="888" t="s">
        <v>1267</v>
      </c>
      <c r="U85" s="883" t="str">
        <f>VLOOKUP(S85,COA!$B$2:$G$881,2,FALSE)</f>
        <v xml:space="preserve"> Income from NUT</v>
      </c>
      <c r="V85" s="829"/>
      <c r="W85" s="830">
        <f>SUMIF('Daily Cash Book'!$C$2:$C$1436,Table98[[#This Row],[Code]],'Daily Cash Book'!$G$2:$G$1436)</f>
        <v>587800</v>
      </c>
      <c r="X85" s="831">
        <f>SUMIF('Daily Cash Book'!C:C,Table98[[#This Row],[Code]],'Daily Cash Book'!H:H)</f>
        <v>0</v>
      </c>
      <c r="Y85" s="826">
        <f>Table98[[#This Row],[Opening]]+Table98[[#This Row],[Debit]]-Table98[[#This Row],[Credit]]</f>
        <v>587800</v>
      </c>
    </row>
    <row r="86" spans="1:25" ht="24" customHeight="1" thickTop="1" x14ac:dyDescent="0.6">
      <c r="A86" s="778">
        <v>44687</v>
      </c>
      <c r="B86" s="850">
        <v>6</v>
      </c>
      <c r="C86" s="851" t="s">
        <v>2466</v>
      </c>
      <c r="D86" s="851" t="s">
        <v>8886</v>
      </c>
      <c r="E86" s="893"/>
      <c r="F86" s="903"/>
      <c r="G86" s="860">
        <v>10000</v>
      </c>
      <c r="H86" s="836"/>
      <c r="I86" s="960">
        <f>Table2[[#This Row],[Opening]]+Table2[[#This Row],[Debit]]-Table2[[#This Row],[Credit]]</f>
        <v>10000</v>
      </c>
      <c r="J86" s="879"/>
      <c r="S86" s="840" t="s">
        <v>86</v>
      </c>
      <c r="T86" s="785" t="s">
        <v>86</v>
      </c>
      <c r="U86" s="883" t="str">
        <f>VLOOKUP(S86,COA!$B$2:$G$881,2,FALSE)</f>
        <v>Shop</v>
      </c>
      <c r="V86" s="829"/>
      <c r="W86" s="830">
        <f>SUMIF('Daily Cash Book'!$C$2:$C$1436,Table98[[#This Row],[Code]],'Daily Cash Book'!$G$2:$G$1436)</f>
        <v>0</v>
      </c>
      <c r="X86" s="831">
        <f>SUMIF('Daily Cash Book'!C:C,Table98[[#This Row],[Code]],'Daily Cash Book'!H:H)</f>
        <v>1079950</v>
      </c>
      <c r="Y86" s="826">
        <f>Table98[[#This Row],[Opening]]+Table98[[#This Row],[Debit]]-Table98[[#This Row],[Credit]]</f>
        <v>-1079950</v>
      </c>
    </row>
    <row r="87" spans="1:25" ht="24" customHeight="1" x14ac:dyDescent="0.6">
      <c r="A87" s="778">
        <v>44687</v>
      </c>
      <c r="B87" s="850">
        <v>6</v>
      </c>
      <c r="C87" s="851" t="s">
        <v>2466</v>
      </c>
      <c r="D87" s="851" t="s">
        <v>8886</v>
      </c>
      <c r="E87" s="893"/>
      <c r="F87" s="896"/>
      <c r="G87" s="857">
        <v>1000</v>
      </c>
      <c r="H87" s="809"/>
      <c r="I87" s="961">
        <f>Table2[[#This Row],[Opening]]+Table2[[#This Row],[Debit]]-Table2[[#This Row],[Credit]]</f>
        <v>1000</v>
      </c>
      <c r="J87" s="879"/>
      <c r="S87" s="840" t="s">
        <v>89</v>
      </c>
      <c r="T87" s="785" t="s">
        <v>89</v>
      </c>
      <c r="U87" s="883" t="str">
        <f>VLOOKUP(S87,COA!$B$2:$G$881,2,FALSE)</f>
        <v>Interest Exp for HP</v>
      </c>
      <c r="V87" s="829"/>
      <c r="W87" s="830">
        <f>SUMIF('Daily Cash Book'!$C$2:$C$1436,Table98[[#This Row],[Code]],'Daily Cash Book'!$G$2:$G$1436)</f>
        <v>0</v>
      </c>
      <c r="X87" s="831">
        <f>SUMIF('Daily Cash Book'!C:C,Table98[[#This Row],[Code]],'Daily Cash Book'!H:H)</f>
        <v>0</v>
      </c>
      <c r="Y87" s="826">
        <f>Table98[[#This Row],[Opening]]+Table98[[#This Row],[Debit]]-Table98[[#This Row],[Credit]]</f>
        <v>0</v>
      </c>
    </row>
    <row r="88" spans="1:25" ht="24" customHeight="1" x14ac:dyDescent="0.6">
      <c r="A88" s="778">
        <v>44687</v>
      </c>
      <c r="B88" s="850">
        <v>6</v>
      </c>
      <c r="C88" s="851" t="s">
        <v>2466</v>
      </c>
      <c r="D88" s="851" t="s">
        <v>8886</v>
      </c>
      <c r="E88" s="878"/>
      <c r="F88" s="895"/>
      <c r="G88" s="857">
        <v>4000</v>
      </c>
      <c r="I88" s="961">
        <f>Table2[[#This Row],[Opening]]+Table2[[#This Row],[Debit]]-Table2[[#This Row],[Credit]]</f>
        <v>4000</v>
      </c>
      <c r="J88" s="879"/>
      <c r="S88" s="840" t="s">
        <v>1180</v>
      </c>
      <c r="T88" s="785" t="s">
        <v>1180</v>
      </c>
      <c r="U88" s="883" t="str">
        <f>VLOOKUP(S88,COA!$B$2:$G$881,2,FALSE)</f>
        <v>Expenses For Damage</v>
      </c>
      <c r="V88" s="829"/>
      <c r="W88" s="830">
        <f>SUMIF('Daily Cash Book'!$C$2:$C$1436,Table98[[#This Row],[Code]],'Daily Cash Book'!$G$2:$G$1436)</f>
        <v>0</v>
      </c>
      <c r="X88" s="831">
        <f>SUMIF('Daily Cash Book'!C:C,Table98[[#This Row],[Code]],'Daily Cash Book'!H:H)</f>
        <v>0</v>
      </c>
      <c r="Y88" s="826">
        <f>Table98[[#This Row],[Opening]]+Table98[[#This Row],[Debit]]-Table98[[#This Row],[Credit]]</f>
        <v>0</v>
      </c>
    </row>
    <row r="89" spans="1:25" ht="24" customHeight="1" x14ac:dyDescent="0.6">
      <c r="A89" s="778">
        <v>44687</v>
      </c>
      <c r="B89" s="850">
        <v>6</v>
      </c>
      <c r="C89" s="851" t="s">
        <v>905</v>
      </c>
      <c r="D89" s="852" t="s">
        <v>8879</v>
      </c>
      <c r="E89" s="851"/>
      <c r="F89" s="853"/>
      <c r="G89" s="854">
        <v>5000</v>
      </c>
      <c r="H89" s="839"/>
      <c r="I89" s="955">
        <f>Table2[[#This Row],[Opening]]+Table2[[#This Row],[Debit]]-Table2[[#This Row],[Credit]]</f>
        <v>5000</v>
      </c>
      <c r="J89" s="879"/>
      <c r="S89" s="840" t="s">
        <v>1183</v>
      </c>
      <c r="T89" s="785" t="s">
        <v>1183</v>
      </c>
      <c r="U89" s="883" t="str">
        <f>VLOOKUP(S89,COA!$B$2:$G$881,2,FALSE)</f>
        <v>Transport Charge</v>
      </c>
      <c r="V89" s="829"/>
      <c r="W89" s="830">
        <f>SUMIF('Daily Cash Book'!$C$2:$C$1436,Table98[[#This Row],[Code]],'Daily Cash Book'!$G$2:$G$1436)</f>
        <v>0</v>
      </c>
      <c r="X89" s="831">
        <f>SUMIF('Daily Cash Book'!C:C,Table98[[#This Row],[Code]],'Daily Cash Book'!H:H)</f>
        <v>1055200</v>
      </c>
      <c r="Y89" s="826">
        <f>Table98[[#This Row],[Opening]]+Table98[[#This Row],[Debit]]-Table98[[#This Row],[Credit]]</f>
        <v>-1055200</v>
      </c>
    </row>
    <row r="90" spans="1:25" ht="24" customHeight="1" x14ac:dyDescent="0.6">
      <c r="A90" s="778">
        <v>44687</v>
      </c>
      <c r="B90" s="850">
        <v>6</v>
      </c>
      <c r="C90" s="851" t="s">
        <v>888</v>
      </c>
      <c r="D90" s="852" t="s">
        <v>8880</v>
      </c>
      <c r="E90" s="851"/>
      <c r="F90" s="853"/>
      <c r="G90" s="854">
        <v>1318300</v>
      </c>
      <c r="H90" s="839"/>
      <c r="I90" s="955">
        <f>Table2[[#This Row],[Opening]]+Table2[[#This Row],[Debit]]-Table2[[#This Row],[Credit]]</f>
        <v>1318300</v>
      </c>
      <c r="J90" s="879"/>
      <c r="S90" s="840" t="s">
        <v>1103</v>
      </c>
      <c r="T90" s="785" t="s">
        <v>1103</v>
      </c>
      <c r="U90" s="883" t="str">
        <f>VLOOKUP(S90,COA!$B$2:$G$881,2,FALSE)</f>
        <v>Chit San Mg Expense</v>
      </c>
      <c r="V90" s="829"/>
      <c r="W90" s="830">
        <f>SUMIF('Daily Cash Book'!$C$2:$C$1436,Table98[[#This Row],[Code]],'Daily Cash Book'!$G$2:$G$1436)</f>
        <v>0</v>
      </c>
      <c r="X90" s="831">
        <f>SUMIF('Daily Cash Book'!C:C,Table98[[#This Row],[Code]],'Daily Cash Book'!H:H)</f>
        <v>0</v>
      </c>
      <c r="Y90" s="826">
        <f>Table98[[#This Row],[Opening]]+Table98[[#This Row],[Debit]]-Table98[[#This Row],[Credit]]</f>
        <v>0</v>
      </c>
    </row>
    <row r="91" spans="1:25" ht="24" customHeight="1" x14ac:dyDescent="0.6">
      <c r="A91" s="778">
        <v>44687</v>
      </c>
      <c r="B91" s="850">
        <v>6</v>
      </c>
      <c r="C91" s="851" t="s">
        <v>1267</v>
      </c>
      <c r="D91" s="852" t="s">
        <v>7209</v>
      </c>
      <c r="E91" s="893"/>
      <c r="F91" s="896"/>
      <c r="G91" s="844">
        <v>22000</v>
      </c>
      <c r="H91" s="809"/>
      <c r="I91" s="961">
        <f>Table2[[#This Row],[Opening]]+Table2[[#This Row],[Debit]]-Table2[[#This Row],[Credit]]</f>
        <v>22000</v>
      </c>
      <c r="J91" s="879"/>
      <c r="S91" s="840" t="s">
        <v>1136</v>
      </c>
      <c r="T91" s="785" t="s">
        <v>1136</v>
      </c>
      <c r="U91" s="883" t="str">
        <f>VLOOKUP(S91,COA!$B$2:$G$881,2,FALSE)</f>
        <v>Investment</v>
      </c>
      <c r="V91" s="829"/>
      <c r="W91" s="830">
        <f>SUMIF('Daily Cash Book'!$C$2:$C$1436,Table98[[#This Row],[Code]],'Daily Cash Book'!$G$2:$G$1436)</f>
        <v>0</v>
      </c>
      <c r="X91" s="831">
        <f>SUMIF('Daily Cash Book'!C:C,Table98[[#This Row],[Code]],'Daily Cash Book'!H:H)</f>
        <v>0</v>
      </c>
      <c r="Y91" s="826">
        <f>Table98[[#This Row],[Opening]]+Table98[[#This Row],[Debit]]-Table98[[#This Row],[Credit]]</f>
        <v>0</v>
      </c>
    </row>
    <row r="92" spans="1:25" ht="24" customHeight="1" x14ac:dyDescent="0.6">
      <c r="A92" s="778">
        <v>44687</v>
      </c>
      <c r="B92" s="850">
        <v>6</v>
      </c>
      <c r="C92" s="842" t="s">
        <v>86</v>
      </c>
      <c r="D92" s="842" t="s">
        <v>8928</v>
      </c>
      <c r="E92" s="878"/>
      <c r="F92" s="895"/>
      <c r="G92" s="857"/>
      <c r="H92" s="798">
        <v>700</v>
      </c>
      <c r="I92" s="961">
        <f>Table2[[#This Row],[Opening]]+Table2[[#This Row],[Debit]]-Table2[[#This Row],[Credit]]</f>
        <v>-700</v>
      </c>
      <c r="J92" s="879"/>
      <c r="S92" s="840" t="s">
        <v>1137</v>
      </c>
      <c r="T92" s="785" t="s">
        <v>1137</v>
      </c>
      <c r="U92" s="883" t="str">
        <f>VLOOKUP(S92,COA!$B$2:$G$881,2,FALSE)</f>
        <v>Marketing Expense</v>
      </c>
      <c r="V92" s="829"/>
      <c r="W92" s="830">
        <f>SUMIF('Daily Cash Book'!$C$2:$C$1436,Table98[[#This Row],[Code]],'Daily Cash Book'!$G$2:$G$1436)</f>
        <v>0</v>
      </c>
      <c r="X92" s="831">
        <f>SUMIF('Daily Cash Book'!C:C,Table98[[#This Row],[Code]],'Daily Cash Book'!H:H)</f>
        <v>0</v>
      </c>
      <c r="Y92" s="826">
        <f>Table98[[#This Row],[Opening]]+Table98[[#This Row],[Debit]]-Table98[[#This Row],[Credit]]</f>
        <v>0</v>
      </c>
    </row>
    <row r="93" spans="1:25" ht="24" customHeight="1" x14ac:dyDescent="0.6">
      <c r="A93" s="778">
        <v>44687</v>
      </c>
      <c r="B93" s="850">
        <v>6</v>
      </c>
      <c r="C93" s="842" t="s">
        <v>981</v>
      </c>
      <c r="D93" s="842" t="s">
        <v>8929</v>
      </c>
      <c r="E93" s="842"/>
      <c r="F93" s="843"/>
      <c r="G93" s="844"/>
      <c r="H93" s="809">
        <v>5000</v>
      </c>
      <c r="I93" s="961">
        <f>Table2[[#This Row],[Opening]]+Table2[[#This Row],[Debit]]-Table2[[#This Row],[Credit]]</f>
        <v>-5000</v>
      </c>
      <c r="J93" s="879"/>
      <c r="S93" s="840" t="s">
        <v>1143</v>
      </c>
      <c r="T93" s="785" t="s">
        <v>1143</v>
      </c>
      <c r="U93" s="883" t="str">
        <f>VLOOKUP(S93,COA!$B$2:$G$881,2,FALSE)</f>
        <v>Commission Expense</v>
      </c>
      <c r="V93" s="829"/>
      <c r="W93" s="830">
        <f>SUMIF('Daily Cash Book'!$C$2:$C$1436,Table98[[#This Row],[Code]],'Daily Cash Book'!$G$2:$G$1436)</f>
        <v>0</v>
      </c>
      <c r="X93" s="831">
        <f>SUMIF('Daily Cash Book'!C:C,Table98[[#This Row],[Code]],'Daily Cash Book'!H:H)</f>
        <v>515000</v>
      </c>
      <c r="Y93" s="826">
        <f>Table98[[#This Row],[Opening]]+Table98[[#This Row],[Debit]]-Table98[[#This Row],[Credit]]</f>
        <v>-515000</v>
      </c>
    </row>
    <row r="94" spans="1:25" ht="24" customHeight="1" x14ac:dyDescent="0.6">
      <c r="A94" s="778">
        <v>44687</v>
      </c>
      <c r="B94" s="850">
        <v>6</v>
      </c>
      <c r="C94" s="851" t="s">
        <v>86</v>
      </c>
      <c r="D94" s="842" t="s">
        <v>8930</v>
      </c>
      <c r="E94" s="851"/>
      <c r="F94" s="859"/>
      <c r="G94" s="860"/>
      <c r="H94" s="836">
        <v>2000</v>
      </c>
      <c r="I94" s="960">
        <f>Table2[[#This Row],[Opening]]+Table2[[#This Row],[Debit]]-Table2[[#This Row],[Credit]]</f>
        <v>-2000</v>
      </c>
      <c r="J94" s="879"/>
      <c r="K94" s="905"/>
      <c r="S94" s="840" t="s">
        <v>1148</v>
      </c>
      <c r="T94" s="785" t="s">
        <v>1148</v>
      </c>
      <c r="U94" s="883" t="str">
        <f>VLOOKUP(S94,COA!$B$2:$G$881,2,FALSE)</f>
        <v>After Sale Service</v>
      </c>
      <c r="V94" s="829"/>
      <c r="W94" s="830">
        <f>SUMIF('Daily Cash Book'!$C$2:$C$1436,Table98[[#This Row],[Code]],'Daily Cash Book'!$G$2:$G$1436)</f>
        <v>0</v>
      </c>
      <c r="X94" s="831">
        <f>SUMIF('Daily Cash Book'!C:C,Table98[[#This Row],[Code]],'Daily Cash Book'!H:H)</f>
        <v>0</v>
      </c>
      <c r="Y94" s="826">
        <f>Table98[[#This Row],[Opening]]+Table98[[#This Row],[Debit]]-Table98[[#This Row],[Credit]]</f>
        <v>0</v>
      </c>
    </row>
    <row r="95" spans="1:25" ht="24" customHeight="1" x14ac:dyDescent="0.6">
      <c r="A95" s="778">
        <v>44687</v>
      </c>
      <c r="B95" s="850">
        <v>6</v>
      </c>
      <c r="C95" s="842" t="s">
        <v>1240</v>
      </c>
      <c r="D95" s="842" t="s">
        <v>8931</v>
      </c>
      <c r="E95" s="842" t="s">
        <v>7269</v>
      </c>
      <c r="F95" s="843"/>
      <c r="G95" s="844"/>
      <c r="H95" s="809">
        <v>4200</v>
      </c>
      <c r="I95" s="961">
        <f>Table2[[#This Row],[Opening]]+Table2[[#This Row],[Debit]]-Table2[[#This Row],[Credit]]</f>
        <v>-4200</v>
      </c>
      <c r="J95" s="879"/>
      <c r="S95" s="840" t="s">
        <v>1240</v>
      </c>
      <c r="T95" s="785" t="s">
        <v>1240</v>
      </c>
      <c r="U95" s="883" t="str">
        <f>VLOOKUP(S95,COA!$B$2:$G$881,2,FALSE)</f>
        <v>Sale Return</v>
      </c>
      <c r="V95" s="829"/>
      <c r="W95" s="830">
        <f>SUMIF('Daily Cash Book'!$C$2:$C$1436,Table98[[#This Row],[Code]],'Daily Cash Book'!$G$2:$G$1436)</f>
        <v>0</v>
      </c>
      <c r="X95" s="831">
        <f>SUMIF('Daily Cash Book'!C:C,Table98[[#This Row],[Code]],'Daily Cash Book'!H:H)</f>
        <v>1972150</v>
      </c>
      <c r="Y95" s="826">
        <f>Table98[[#This Row],[Opening]]+Table98[[#This Row],[Debit]]-Table98[[#This Row],[Credit]]</f>
        <v>-1972150</v>
      </c>
    </row>
    <row r="96" spans="1:25" ht="24" customHeight="1" x14ac:dyDescent="0.6">
      <c r="A96" s="778">
        <v>44687</v>
      </c>
      <c r="B96" s="850">
        <v>6</v>
      </c>
      <c r="C96" s="842" t="s">
        <v>1240</v>
      </c>
      <c r="D96" s="842" t="s">
        <v>8932</v>
      </c>
      <c r="E96" s="842" t="s">
        <v>7269</v>
      </c>
      <c r="F96" s="859"/>
      <c r="G96" s="860"/>
      <c r="H96" s="836">
        <v>2000</v>
      </c>
      <c r="I96" s="960">
        <f>Table2[[#This Row],[Opening]]+Table2[[#This Row],[Debit]]-Table2[[#This Row],[Credit]]</f>
        <v>-2000</v>
      </c>
      <c r="J96" s="879"/>
      <c r="S96" s="840" t="s">
        <v>1086</v>
      </c>
      <c r="T96" s="785" t="s">
        <v>1086</v>
      </c>
      <c r="U96" s="883" t="str">
        <f>VLOOKUP(S96,COA!$B$2:$G$881,2,FALSE)</f>
        <v>lucky Draw (NASA)</v>
      </c>
      <c r="V96" s="829"/>
      <c r="W96" s="830">
        <f>SUMIF('Daily Cash Book'!$C$2:$C$1436,Table98[[#This Row],[Code]],'Daily Cash Book'!$G$2:$G$1436)</f>
        <v>0</v>
      </c>
      <c r="X96" s="831">
        <f>SUMIF('Daily Cash Book'!C:C,Table98[[#This Row],[Code]],'Daily Cash Book'!H:H)</f>
        <v>0</v>
      </c>
      <c r="Y96" s="826">
        <f>Table98[[#This Row],[Opening]]+Table98[[#This Row],[Debit]]-Table98[[#This Row],[Credit]]</f>
        <v>0</v>
      </c>
    </row>
    <row r="97" spans="1:25" ht="24" customHeight="1" x14ac:dyDescent="0.6">
      <c r="A97" s="778">
        <v>44687</v>
      </c>
      <c r="B97" s="850">
        <v>6</v>
      </c>
      <c r="C97" s="851" t="s">
        <v>864</v>
      </c>
      <c r="D97" s="795" t="s">
        <v>8933</v>
      </c>
      <c r="E97" s="842"/>
      <c r="F97" s="843"/>
      <c r="G97" s="844"/>
      <c r="H97" s="809">
        <v>45000</v>
      </c>
      <c r="I97" s="954">
        <f>Table2[[#This Row],[Opening]]+Table2[[#This Row],[Debit]]-Table2[[#This Row],[Credit]]</f>
        <v>-45000</v>
      </c>
      <c r="J97" s="879"/>
      <c r="S97" s="840" t="s">
        <v>1147</v>
      </c>
      <c r="T97" s="785" t="s">
        <v>1147</v>
      </c>
      <c r="U97" s="883" t="str">
        <f>VLOOKUP(S97,COA!$B$2:$G$881,2,FALSE)</f>
        <v>Power Tool Expense</v>
      </c>
      <c r="V97" s="829"/>
      <c r="W97" s="830">
        <f>SUMIF('Daily Cash Book'!$C$2:$C$1436,Table98[[#This Row],[Code]],'Daily Cash Book'!$G$2:$G$1436)</f>
        <v>0</v>
      </c>
      <c r="X97" s="831">
        <f>SUMIF('Daily Cash Book'!C:C,Table98[[#This Row],[Code]],'Daily Cash Book'!H:H)</f>
        <v>34000</v>
      </c>
      <c r="Y97" s="826">
        <f>Table98[[#This Row],[Opening]]+Table98[[#This Row],[Debit]]-Table98[[#This Row],[Credit]]</f>
        <v>-34000</v>
      </c>
    </row>
    <row r="98" spans="1:25" ht="24" customHeight="1" x14ac:dyDescent="0.6">
      <c r="A98" s="778">
        <v>44687</v>
      </c>
      <c r="B98" s="850">
        <v>6</v>
      </c>
      <c r="C98" s="851" t="s">
        <v>86</v>
      </c>
      <c r="D98" s="795" t="s">
        <v>8934</v>
      </c>
      <c r="E98" s="851"/>
      <c r="F98" s="859"/>
      <c r="G98" s="860"/>
      <c r="H98" s="836">
        <v>247000</v>
      </c>
      <c r="I98" s="955">
        <f>Table2[[#This Row],[Opening]]+Table2[[#This Row],[Debit]]-Table2[[#This Row],[Credit]]</f>
        <v>-247000</v>
      </c>
      <c r="J98" s="879"/>
      <c r="S98" s="840" t="s">
        <v>881</v>
      </c>
      <c r="T98" s="785" t="s">
        <v>881</v>
      </c>
      <c r="U98" s="883" t="str">
        <f>VLOOKUP(S98,COA!$B$2:$G$881,2,FALSE)</f>
        <v>2018 Fertilizer Expense</v>
      </c>
      <c r="V98" s="829"/>
      <c r="W98" s="830">
        <f>SUMIF('Daily Cash Book'!$C$2:$C$1436,Table98[[#This Row],[Code]],'Daily Cash Book'!$G$2:$G$1436)</f>
        <v>0</v>
      </c>
      <c r="X98" s="831">
        <f>SUMIF('Daily Cash Book'!C:C,Table98[[#This Row],[Code]],'Daily Cash Book'!H:H)</f>
        <v>0</v>
      </c>
      <c r="Y98" s="826">
        <f>Table98[[#This Row],[Opening]]+Table98[[#This Row],[Debit]]-Table98[[#This Row],[Credit]]</f>
        <v>0</v>
      </c>
    </row>
    <row r="99" spans="1:25" ht="24" customHeight="1" x14ac:dyDescent="0.6">
      <c r="A99" s="778">
        <v>44687</v>
      </c>
      <c r="B99" s="850">
        <v>6</v>
      </c>
      <c r="C99" s="851" t="s">
        <v>8936</v>
      </c>
      <c r="D99" s="851" t="s">
        <v>8935</v>
      </c>
      <c r="E99" s="851"/>
      <c r="F99" s="856"/>
      <c r="G99" s="857"/>
      <c r="H99" s="798">
        <v>62600</v>
      </c>
      <c r="I99" s="954">
        <f>Table2[[#This Row],[Opening]]+Table2[[#This Row],[Debit]]-Table2[[#This Row],[Credit]]</f>
        <v>-62600</v>
      </c>
      <c r="J99" s="879"/>
      <c r="K99" s="908"/>
      <c r="L99" s="908"/>
      <c r="M99" s="908"/>
      <c r="S99" s="840" t="s">
        <v>882</v>
      </c>
      <c r="T99" s="785" t="s">
        <v>882</v>
      </c>
      <c r="U99" s="883" t="str">
        <f>VLOOKUP(S99,COA!$B$2:$G$881,2,FALSE)</f>
        <v>Interest Exp for Fertilizer</v>
      </c>
      <c r="V99" s="829"/>
      <c r="W99" s="830">
        <f>SUMIF('Daily Cash Book'!$C$2:$C$1436,Table98[[#This Row],[Code]],'Daily Cash Book'!$G$2:$G$1436)</f>
        <v>0</v>
      </c>
      <c r="X99" s="831">
        <f>SUMIF('Daily Cash Book'!C:C,Table98[[#This Row],[Code]],'Daily Cash Book'!H:H)</f>
        <v>0</v>
      </c>
      <c r="Y99" s="826">
        <f>Table98[[#This Row],[Opening]]+Table98[[#This Row],[Debit]]-Table98[[#This Row],[Credit]]</f>
        <v>0</v>
      </c>
    </row>
    <row r="100" spans="1:25" ht="24" customHeight="1" thickBot="1" x14ac:dyDescent="0.65">
      <c r="A100" s="884">
        <v>44687</v>
      </c>
      <c r="B100" s="885">
        <v>6</v>
      </c>
      <c r="C100" s="886" t="s">
        <v>39</v>
      </c>
      <c r="D100" s="886" t="s">
        <v>8205</v>
      </c>
      <c r="E100" s="846"/>
      <c r="F100" s="1248"/>
      <c r="G100" s="871"/>
      <c r="H100" s="872">
        <v>390000</v>
      </c>
      <c r="I100" s="956">
        <f>Table2[[#This Row],[Opening]]+Table2[[#This Row],[Debit]]-Table2[[#This Row],[Credit]]</f>
        <v>-390000</v>
      </c>
      <c r="J100" s="879"/>
      <c r="S100" s="840" t="s">
        <v>1061</v>
      </c>
      <c r="T100" s="785" t="s">
        <v>1061</v>
      </c>
      <c r="U100" s="883" t="str">
        <f>VLOOKUP(S100,COA!$B$2:$G$881,2,FALSE)</f>
        <v>2016 Fertilizer Expense</v>
      </c>
      <c r="V100" s="829"/>
      <c r="W100" s="830">
        <f>SUMIF('Daily Cash Book'!$C$2:$C$1436,Table98[[#This Row],[Code]],'Daily Cash Book'!$G$2:$G$1436)</f>
        <v>0</v>
      </c>
      <c r="X100" s="831">
        <f>SUMIF('Daily Cash Book'!C:C,Table98[[#This Row],[Code]],'Daily Cash Book'!H:H)</f>
        <v>0</v>
      </c>
      <c r="Y100" s="826">
        <f>Table98[[#This Row],[Opening]]+Table98[[#This Row],[Debit]]-Table98[[#This Row],[Credit]]</f>
        <v>0</v>
      </c>
    </row>
    <row r="101" spans="1:25" ht="24" customHeight="1" thickTop="1" x14ac:dyDescent="0.6">
      <c r="A101" s="778">
        <v>44688</v>
      </c>
      <c r="B101" s="850">
        <v>7</v>
      </c>
      <c r="C101" s="851" t="s">
        <v>905</v>
      </c>
      <c r="D101" s="851" t="s">
        <v>8879</v>
      </c>
      <c r="E101" s="851"/>
      <c r="F101" s="859"/>
      <c r="G101" s="860">
        <v>5000</v>
      </c>
      <c r="H101" s="836"/>
      <c r="I101" s="955">
        <f>Table2[[#This Row],[Opening]]+Table2[[#This Row],[Debit]]-Table2[[#This Row],[Credit]]</f>
        <v>5000</v>
      </c>
      <c r="J101" s="879"/>
      <c r="S101" s="989" t="s">
        <v>1280</v>
      </c>
      <c r="T101" s="990" t="s">
        <v>1280</v>
      </c>
      <c r="U101" s="991" t="s">
        <v>6114</v>
      </c>
      <c r="V101" s="829"/>
      <c r="W101" s="830"/>
      <c r="X101" s="831">
        <f>SUMIF(C:C,Table98[[#This Row],[Code]],H:H)</f>
        <v>0</v>
      </c>
      <c r="Y101" s="826">
        <f>Table98[[#This Row],[Opening]]+Table98[[#This Row],[Debit]]-Table98[[#This Row],[Credit]]</f>
        <v>0</v>
      </c>
    </row>
    <row r="102" spans="1:25" ht="24" customHeight="1" x14ac:dyDescent="0.6">
      <c r="A102" s="778">
        <v>44688</v>
      </c>
      <c r="B102" s="850">
        <v>7</v>
      </c>
      <c r="C102" s="851" t="s">
        <v>888</v>
      </c>
      <c r="D102" s="842" t="s">
        <v>8880</v>
      </c>
      <c r="E102" s="851"/>
      <c r="F102" s="843"/>
      <c r="G102" s="844">
        <v>1102150</v>
      </c>
      <c r="H102" s="809"/>
      <c r="I102" s="954">
        <f>Table2[[#This Row],[Opening]]+Table2[[#This Row],[Debit]]-Table2[[#This Row],[Credit]]</f>
        <v>1102150</v>
      </c>
      <c r="J102" s="879"/>
      <c r="N102" s="908"/>
      <c r="S102" s="906" t="s">
        <v>2262</v>
      </c>
      <c r="T102" s="907"/>
      <c r="U102" s="867" t="str">
        <f>VLOOKUP(S102,COA!$B$2:$G$881,2,FALSE)</f>
        <v>Debitor Spare (1 Month)</v>
      </c>
      <c r="V102" s="829"/>
      <c r="W102" s="830">
        <f>SUMIF('Daily Cash Book'!$C$2:$C$1436,Table98[[#This Row],[Code]],'Daily Cash Book'!$G$2:$G$1436)</f>
        <v>0</v>
      </c>
      <c r="X102" s="831">
        <f>SUMIF('Daily Cash Book'!C:C,Table98[[#This Row],[Code]],'Daily Cash Book'!H:H)</f>
        <v>746200</v>
      </c>
      <c r="Y102" s="826">
        <f>Table98[[#This Row],[Opening]]+Table98[[#This Row],[Debit]]-Table98[[#This Row],[Credit]]</f>
        <v>-746200</v>
      </c>
    </row>
    <row r="103" spans="1:25" ht="24" customHeight="1" x14ac:dyDescent="0.6">
      <c r="A103" s="778">
        <v>44688</v>
      </c>
      <c r="B103" s="850">
        <v>7</v>
      </c>
      <c r="C103" s="851" t="s">
        <v>1267</v>
      </c>
      <c r="D103" s="842" t="s">
        <v>7209</v>
      </c>
      <c r="E103" s="851"/>
      <c r="F103" s="856"/>
      <c r="G103" s="857">
        <v>9300</v>
      </c>
      <c r="I103" s="954">
        <f>Table2[[#This Row],[Opening]]+Table2[[#This Row],[Debit]]-Table2[[#This Row],[Credit]]</f>
        <v>9300</v>
      </c>
      <c r="J103" s="879"/>
      <c r="K103" s="741" t="s">
        <v>3205</v>
      </c>
      <c r="S103" s="906" t="s">
        <v>2264</v>
      </c>
      <c r="T103" s="907"/>
      <c r="U103" s="867" t="str">
        <f>VLOOKUP(S103,COA!$B$2:$G$881,2,FALSE)</f>
        <v>Debitor Fertilizer</v>
      </c>
      <c r="V103" s="829"/>
      <c r="W103" s="830">
        <f>SUMIF('Daily Cash Book'!$C$2:$C$1436,Table98[[#This Row],[Code]],'Daily Cash Book'!$G$2:$G$1436)</f>
        <v>0</v>
      </c>
      <c r="X103" s="831">
        <f>SUMIF('Daily Cash Book'!C:C,Table98[[#This Row],[Code]],'Daily Cash Book'!H:H)</f>
        <v>0</v>
      </c>
      <c r="Y103" s="826">
        <f>Table98[[#This Row],[Opening]]+Table98[[#This Row],[Debit]]-Table98[[#This Row],[Credit]]</f>
        <v>0</v>
      </c>
    </row>
    <row r="104" spans="1:25" ht="24" customHeight="1" x14ac:dyDescent="0.6">
      <c r="A104" s="778">
        <v>44688</v>
      </c>
      <c r="B104" s="850">
        <v>7</v>
      </c>
      <c r="C104" s="851" t="s">
        <v>86</v>
      </c>
      <c r="D104" s="842" t="s">
        <v>8937</v>
      </c>
      <c r="E104" s="851"/>
      <c r="F104" s="853"/>
      <c r="G104" s="854"/>
      <c r="H104" s="798">
        <v>500</v>
      </c>
      <c r="I104" s="955">
        <f>Table2[[#This Row],[Opening]]+Table2[[#This Row],[Debit]]-Table2[[#This Row],[Credit]]</f>
        <v>-500</v>
      </c>
      <c r="J104" s="879"/>
      <c r="S104" s="906" t="s">
        <v>2272</v>
      </c>
      <c r="T104" s="907"/>
      <c r="U104" s="867" t="str">
        <f>VLOOKUP(S104,COA!$B$2:$G$881,2,FALSE)</f>
        <v xml:space="preserve">Debitor HP TRI </v>
      </c>
      <c r="V104" s="829"/>
      <c r="W104" s="830">
        <f>SUMIF('Daily Cash Book'!$C$2:$C$1436,Table98[[#This Row],[Code]],'Daily Cash Book'!$G$2:$G$1436)</f>
        <v>0</v>
      </c>
      <c r="X104" s="831">
        <f>SUMIF('Daily Cash Book'!C:C,Table98[[#This Row],[Code]],'Daily Cash Book'!H:H)</f>
        <v>0</v>
      </c>
      <c r="Y104" s="826">
        <f>Table98[[#This Row],[Opening]]+Table98[[#This Row],[Debit]]-Table98[[#This Row],[Credit]]</f>
        <v>0</v>
      </c>
    </row>
    <row r="105" spans="1:25" ht="24" customHeight="1" x14ac:dyDescent="0.6">
      <c r="A105" s="778">
        <v>44688</v>
      </c>
      <c r="B105" s="850">
        <v>7</v>
      </c>
      <c r="C105" s="842" t="s">
        <v>39</v>
      </c>
      <c r="D105" s="855" t="s">
        <v>8198</v>
      </c>
      <c r="E105" s="842" t="s">
        <v>7271</v>
      </c>
      <c r="F105" s="856"/>
      <c r="G105" s="857"/>
      <c r="H105" s="798">
        <v>79000</v>
      </c>
      <c r="I105" s="954">
        <f>Table2[[#This Row],[Opening]]+Table2[[#This Row],[Debit]]-Table2[[#This Row],[Credit]]</f>
        <v>-79000</v>
      </c>
      <c r="J105" s="879"/>
      <c r="S105" s="909" t="s">
        <v>3200</v>
      </c>
      <c r="T105" s="910"/>
      <c r="U105" s="911" t="str">
        <f>VLOOKUP(S105,COA!$B$2:$G$881,2,FALSE)</f>
        <v>DIRECT PROFIT</v>
      </c>
      <c r="V105" s="912"/>
      <c r="W105" s="913">
        <f>SUMIF('Daily Cash Book'!$C$2:$C$1436,Table98[[#This Row],[Code]],'Daily Cash Book'!$G$2:$G$1436)</f>
        <v>0</v>
      </c>
      <c r="X105" s="914">
        <f>SUMIF('Daily Cash Book'!C:C,Table98[[#This Row],[Code]],'Daily Cash Book'!H:H)</f>
        <v>0</v>
      </c>
      <c r="Y105" s="915">
        <f>Table98[[#This Row],[Opening]]+Table98[[#This Row],[Debit]]-Table98[[#This Row],[Credit]]</f>
        <v>0</v>
      </c>
    </row>
    <row r="106" spans="1:25" ht="24" customHeight="1" x14ac:dyDescent="0.6">
      <c r="A106" s="778">
        <v>44688</v>
      </c>
      <c r="B106" s="850">
        <v>7</v>
      </c>
      <c r="C106" s="851" t="s">
        <v>1183</v>
      </c>
      <c r="D106" s="851" t="s">
        <v>8927</v>
      </c>
      <c r="E106" s="851"/>
      <c r="F106" s="851"/>
      <c r="G106" s="919"/>
      <c r="H106" s="836">
        <v>1000</v>
      </c>
      <c r="I106" s="963">
        <f>Table2[[#This Row],[Opening]]+Table2[[#This Row],[Debit]]-Table2[[#This Row],[Credit]]</f>
        <v>-1000</v>
      </c>
      <c r="J106" s="879"/>
      <c r="S106" s="841" t="s">
        <v>886</v>
      </c>
      <c r="T106" s="888" t="s">
        <v>886</v>
      </c>
      <c r="U106" s="883" t="str">
        <f>VLOOKUP(S106,COA!$B$2:$G$881,2,FALSE)</f>
        <v>Cash Deposit to Home</v>
      </c>
      <c r="V106" s="829"/>
      <c r="W106" s="830">
        <f>SUMIF('Daily Cash Book'!$C$2:$C$1436,Table98[[#This Row],[Code]],'Daily Cash Book'!$G$2:$G$1436)</f>
        <v>0</v>
      </c>
      <c r="X106" s="831">
        <f>SUMIF('Daily Cash Book'!C:C,Table98[[#This Row],[Code]],'Daily Cash Book'!H:H)</f>
        <v>0</v>
      </c>
      <c r="Y106" s="826">
        <f>Table98[[#This Row],[Opening]]+Table98[[#This Row],[Debit]]-Table98[[#This Row],[Credit]]</f>
        <v>0</v>
      </c>
    </row>
    <row r="107" spans="1:25" s="908" customFormat="1" ht="24" customHeight="1" x14ac:dyDescent="0.6">
      <c r="A107" s="778">
        <v>44688</v>
      </c>
      <c r="B107" s="850">
        <v>7</v>
      </c>
      <c r="C107" s="851" t="s">
        <v>1183</v>
      </c>
      <c r="D107" s="851" t="s">
        <v>8893</v>
      </c>
      <c r="E107" s="851"/>
      <c r="F107" s="851"/>
      <c r="G107" s="919"/>
      <c r="H107" s="836">
        <v>6500</v>
      </c>
      <c r="I107" s="963">
        <f>Table2[[#This Row],[Opening]]+Table2[[#This Row],[Debit]]-Table2[[#This Row],[Credit]]</f>
        <v>-6500</v>
      </c>
      <c r="J107" s="879"/>
      <c r="K107" s="741"/>
      <c r="L107" s="741"/>
      <c r="M107" s="741"/>
      <c r="N107" s="741"/>
      <c r="O107" s="880"/>
      <c r="P107" s="880"/>
      <c r="Q107" s="881"/>
      <c r="S107" s="1202" t="s">
        <v>8490</v>
      </c>
      <c r="T107" s="1203"/>
      <c r="U107" s="1204" t="str">
        <f>VLOOKUP(S107,COA!$B$2:$G$881,2,FALSE)</f>
        <v>Debitor Workshop</v>
      </c>
      <c r="V107" s="829"/>
      <c r="W107" s="830">
        <f>SUMIF('Daily Cash Book'!$C$2:$C$1436,Table98[[#This Row],[Code]],'Daily Cash Book'!$G$2:$G$1436)</f>
        <v>85000</v>
      </c>
      <c r="X107" s="831">
        <f>SUMIF('Daily Cash Book'!C:C,Table98[[#This Row],[Code]],'Daily Cash Book'!H:H)</f>
        <v>80000</v>
      </c>
      <c r="Y107" s="826">
        <f>Table98[[#This Row],[Opening]]+Table98[[#This Row],[Debit]]-Table98[[#This Row],[Credit]]</f>
        <v>5000</v>
      </c>
    </row>
    <row r="108" spans="1:25" ht="24" customHeight="1" x14ac:dyDescent="0.6">
      <c r="A108" s="778">
        <v>44688</v>
      </c>
      <c r="B108" s="850">
        <v>7</v>
      </c>
      <c r="C108" s="851" t="s">
        <v>1183</v>
      </c>
      <c r="D108" s="851" t="s">
        <v>8938</v>
      </c>
      <c r="E108" s="851"/>
      <c r="F108" s="851"/>
      <c r="G108" s="919"/>
      <c r="H108" s="836">
        <v>60000</v>
      </c>
      <c r="I108" s="963">
        <f>Table2[[#This Row],[Opening]]+Table2[[#This Row],[Debit]]-Table2[[#This Row],[Credit]]</f>
        <v>-60000</v>
      </c>
      <c r="J108" s="879"/>
      <c r="S108" s="992" t="s">
        <v>905</v>
      </c>
      <c r="T108" s="993" t="s">
        <v>905</v>
      </c>
      <c r="U108" s="994" t="str">
        <f>VLOOKUP(S108,COA!$B$2:$G$881,2,FALSE)</f>
        <v>Income From Workshop</v>
      </c>
      <c r="V108" s="829"/>
      <c r="W108" s="830">
        <f>SUMIF('Daily Cash Book'!$C$2:$C$1436,Table98[[#This Row],[Code]],'Daily Cash Book'!$G$2:$G$1436)</f>
        <v>1715700</v>
      </c>
      <c r="X108" s="831">
        <f>SUMIF('Daily Cash Book'!C:C,Table98[[#This Row],[Code]],'Daily Cash Book'!H:H)</f>
        <v>0</v>
      </c>
      <c r="Y108" s="826">
        <f>Table98[[#This Row],[Opening]]+Table98[[#This Row],[Debit]]-Table98[[#This Row],[Credit]]</f>
        <v>1715700</v>
      </c>
    </row>
    <row r="109" spans="1:25" ht="24" customHeight="1" x14ac:dyDescent="0.6">
      <c r="A109" s="778">
        <v>44688</v>
      </c>
      <c r="B109" s="850">
        <v>7</v>
      </c>
      <c r="C109" s="842" t="s">
        <v>47</v>
      </c>
      <c r="D109" s="851" t="s">
        <v>8218</v>
      </c>
      <c r="E109" s="851" t="s">
        <v>7271</v>
      </c>
      <c r="F109" s="851"/>
      <c r="G109" s="919"/>
      <c r="H109" s="836">
        <v>438000</v>
      </c>
      <c r="I109" s="961">
        <f>Table2[[#This Row],[Opening]]+Table2[[#This Row],[Debit]]-Table2[[#This Row],[Credit]]</f>
        <v>-438000</v>
      </c>
      <c r="J109" s="879"/>
      <c r="S109" s="916" t="s">
        <v>863</v>
      </c>
      <c r="T109" s="917" t="s">
        <v>863</v>
      </c>
      <c r="U109" s="916" t="str">
        <f>VLOOKUP(S109,COA!$B$2:$G$881,2,FALSE)</f>
        <v>Workshop</v>
      </c>
      <c r="V109" s="917"/>
      <c r="W109" s="830">
        <f>SUMIF('Daily Cash Book'!$C$2:$C$1436,Table98[[#This Row],[Code]],'Daily Cash Book'!$G$2:$G$1436)</f>
        <v>0</v>
      </c>
      <c r="X109" s="831">
        <f>SUMIF('Daily Cash Book'!C:C,Table98[[#This Row],[Code]],'Daily Cash Book'!H:H)</f>
        <v>326250</v>
      </c>
      <c r="Y109" s="826">
        <f>Table98[[#This Row],[Opening]]+Table98[[#This Row],[Debit]]-Table98[[#This Row],[Credit]]</f>
        <v>-326250</v>
      </c>
    </row>
    <row r="110" spans="1:25" ht="24" customHeight="1" x14ac:dyDescent="0.6">
      <c r="A110" s="778">
        <v>44688</v>
      </c>
      <c r="B110" s="850">
        <v>7</v>
      </c>
      <c r="C110" s="842" t="s">
        <v>86</v>
      </c>
      <c r="D110" s="851" t="s">
        <v>8939</v>
      </c>
      <c r="E110" s="851"/>
      <c r="F110" s="851"/>
      <c r="G110" s="919"/>
      <c r="H110" s="836">
        <v>4500</v>
      </c>
      <c r="I110" s="963">
        <f>Table2[[#This Row],[Opening]]+Table2[[#This Row],[Debit]]-Table2[[#This Row],[Credit]]</f>
        <v>-4500</v>
      </c>
      <c r="J110" s="879"/>
      <c r="S110" s="805" t="s">
        <v>864</v>
      </c>
      <c r="T110" s="805" t="s">
        <v>864</v>
      </c>
      <c r="U110" s="805" t="str">
        <f>VLOOKUP(S110,COA!$B$2:$G$881,2,FALSE)</f>
        <v>Home expense</v>
      </c>
      <c r="V110" s="918"/>
      <c r="W110" s="830">
        <f>SUMIF('Daily Cash Book'!$C$2:$C$1436,Table98[[#This Row],[Code]],'Daily Cash Book'!$G$2:$G$1436)</f>
        <v>0</v>
      </c>
      <c r="X110" s="831">
        <f>SUMIF('Daily Cash Book'!C:C,Table98[[#This Row],[Code]],'Daily Cash Book'!H:H)</f>
        <v>401550</v>
      </c>
      <c r="Y110" s="826">
        <f>Table98[[#This Row],[Opening]]+Table98[[#This Row],[Debit]]-Table98[[#This Row],[Credit]]</f>
        <v>-401550</v>
      </c>
    </row>
    <row r="111" spans="1:25" ht="24" customHeight="1" x14ac:dyDescent="0.6">
      <c r="A111" s="778">
        <v>44688</v>
      </c>
      <c r="B111" s="850">
        <v>7</v>
      </c>
      <c r="C111" s="851" t="s">
        <v>835</v>
      </c>
      <c r="D111" s="851" t="s">
        <v>8941</v>
      </c>
      <c r="E111" s="893"/>
      <c r="F111" s="893"/>
      <c r="G111" s="1025"/>
      <c r="H111" s="836">
        <v>20000</v>
      </c>
      <c r="I111" s="1026">
        <f>Table2[[#This Row],[Opening]]+Table2[[#This Row],[Debit]]-Table2[[#This Row],[Credit]]</f>
        <v>-20000</v>
      </c>
      <c r="J111" s="879"/>
      <c r="S111" s="995" t="s">
        <v>6534</v>
      </c>
      <c r="T111" s="995" t="s">
        <v>6534</v>
      </c>
      <c r="U111" s="995" t="str">
        <f>VLOOKUP(S111,COA!$B$2:$G$881,2,FALSE)</f>
        <v>Drawing</v>
      </c>
      <c r="V111" s="918"/>
      <c r="W111" s="830">
        <f>SUMIF('Daily Cash Book'!$C$2:$C$1436,Table98[[#This Row],[Code]],'Daily Cash Book'!$G$2:$G$1436)</f>
        <v>0</v>
      </c>
      <c r="X111" s="831">
        <f>SUMIF('Daily Cash Book'!C:C,Table98[[#This Row],[Code]],'Daily Cash Book'!H:H)</f>
        <v>0</v>
      </c>
      <c r="Y111" s="826">
        <f>Table98[[#This Row],[Opening]]+Table98[[#This Row],[Debit]]-Table98[[#This Row],[Credit]]</f>
        <v>0</v>
      </c>
    </row>
    <row r="112" spans="1:25" ht="24" customHeight="1" x14ac:dyDescent="0.6">
      <c r="A112" s="778">
        <v>44688</v>
      </c>
      <c r="B112" s="850">
        <v>7</v>
      </c>
      <c r="C112" s="851" t="s">
        <v>836</v>
      </c>
      <c r="D112" s="851" t="s">
        <v>8940</v>
      </c>
      <c r="E112" s="893"/>
      <c r="F112" s="893"/>
      <c r="G112" s="1025"/>
      <c r="H112" s="836">
        <v>50000</v>
      </c>
      <c r="I112" s="1026">
        <f>Table2[[#This Row],[Opening]]+Table2[[#This Row],[Debit]]-Table2[[#This Row],[Credit]]</f>
        <v>-50000</v>
      </c>
      <c r="J112" s="879"/>
      <c r="S112" s="791"/>
      <c r="T112" s="791"/>
      <c r="U112" s="792"/>
      <c r="V112" s="920"/>
    </row>
    <row r="113" spans="1:25" ht="24" customHeight="1" x14ac:dyDescent="0.6">
      <c r="A113" s="778">
        <v>44688</v>
      </c>
      <c r="B113" s="850">
        <v>7</v>
      </c>
      <c r="C113" s="842" t="s">
        <v>8936</v>
      </c>
      <c r="D113" s="855" t="s">
        <v>8942</v>
      </c>
      <c r="E113" s="842"/>
      <c r="F113" s="896"/>
      <c r="G113" s="798"/>
      <c r="H113" s="809">
        <v>30000</v>
      </c>
      <c r="I113" s="958">
        <f>Table2[[#This Row],[Opening]]+Table2[[#This Row],[Debit]]-Table2[[#This Row],[Credit]]</f>
        <v>-30000</v>
      </c>
      <c r="J113" s="879"/>
      <c r="S113" s="791"/>
      <c r="T113" s="791"/>
      <c r="U113" s="792"/>
      <c r="V113" s="920"/>
    </row>
    <row r="114" spans="1:25" ht="24" customHeight="1" x14ac:dyDescent="0.6">
      <c r="A114" s="778">
        <v>44688</v>
      </c>
      <c r="B114" s="850">
        <v>7</v>
      </c>
      <c r="C114" s="851" t="s">
        <v>2352</v>
      </c>
      <c r="D114" s="852" t="s">
        <v>8943</v>
      </c>
      <c r="E114" s="893"/>
      <c r="F114" s="903"/>
      <c r="G114" s="860"/>
      <c r="H114" s="836">
        <v>7850</v>
      </c>
      <c r="I114" s="957">
        <f>Table2[[#This Row],[Opening]]+Table2[[#This Row],[Debit]]-Table2[[#This Row],[Credit]]</f>
        <v>-7850</v>
      </c>
      <c r="J114" s="879"/>
      <c r="S114" s="791"/>
      <c r="T114" s="791"/>
      <c r="U114" s="792"/>
      <c r="V114" s="920"/>
    </row>
    <row r="115" spans="1:25" ht="24" customHeight="1" x14ac:dyDescent="0.6">
      <c r="A115" s="778">
        <v>44688</v>
      </c>
      <c r="B115" s="850">
        <v>7</v>
      </c>
      <c r="C115" s="842" t="s">
        <v>863</v>
      </c>
      <c r="D115" s="852" t="s">
        <v>8944</v>
      </c>
      <c r="E115" s="851"/>
      <c r="F115" s="896"/>
      <c r="G115" s="844"/>
      <c r="H115" s="809">
        <v>2000</v>
      </c>
      <c r="I115" s="958">
        <f>Table2[[#This Row],[Opening]]+Table2[[#This Row],[Debit]]-Table2[[#This Row],[Credit]]</f>
        <v>-2000</v>
      </c>
      <c r="J115" s="879"/>
      <c r="S115" s="791"/>
      <c r="T115" s="791"/>
      <c r="U115" s="792"/>
      <c r="V115" s="920"/>
      <c r="X115" s="908"/>
      <c r="Y115" s="921"/>
    </row>
    <row r="116" spans="1:25" ht="24" customHeight="1" x14ac:dyDescent="0.6">
      <c r="A116" s="778">
        <v>44688</v>
      </c>
      <c r="B116" s="850">
        <v>7</v>
      </c>
      <c r="C116" s="842" t="s">
        <v>2352</v>
      </c>
      <c r="D116" s="852" t="s">
        <v>8945</v>
      </c>
      <c r="E116" s="893"/>
      <c r="F116" s="895"/>
      <c r="G116" s="857"/>
      <c r="H116" s="798">
        <v>16000</v>
      </c>
      <c r="I116" s="958">
        <f>Table2[[#This Row],[Opening]]+Table2[[#This Row],[Debit]]-Table2[[#This Row],[Credit]]</f>
        <v>-16000</v>
      </c>
      <c r="J116" s="879"/>
      <c r="S116" s="791"/>
      <c r="T116" s="791"/>
      <c r="U116" s="791"/>
      <c r="V116" s="920"/>
    </row>
    <row r="117" spans="1:25" ht="24" customHeight="1" x14ac:dyDescent="0.6">
      <c r="A117" s="778">
        <v>44688</v>
      </c>
      <c r="B117" s="850">
        <v>7</v>
      </c>
      <c r="C117" s="842" t="s">
        <v>1240</v>
      </c>
      <c r="D117" s="855" t="s">
        <v>8946</v>
      </c>
      <c r="E117" s="842" t="s">
        <v>7269</v>
      </c>
      <c r="F117" s="896"/>
      <c r="G117" s="844"/>
      <c r="H117" s="809">
        <v>20600</v>
      </c>
      <c r="I117" s="958">
        <f>Table2[[#This Row],[Opening]]+Table2[[#This Row],[Debit]]-Table2[[#This Row],[Credit]]</f>
        <v>-20600</v>
      </c>
      <c r="J117" s="879"/>
      <c r="S117" s="791"/>
      <c r="T117" s="791"/>
      <c r="U117" s="791"/>
      <c r="V117" s="920"/>
      <c r="W117" s="908"/>
    </row>
    <row r="118" spans="1:25" ht="24" customHeight="1" thickBot="1" x14ac:dyDescent="0.65">
      <c r="A118" s="868">
        <v>44688</v>
      </c>
      <c r="B118" s="869">
        <v>7</v>
      </c>
      <c r="C118" s="846" t="s">
        <v>1240</v>
      </c>
      <c r="D118" s="870" t="s">
        <v>8947</v>
      </c>
      <c r="E118" s="846" t="s">
        <v>7269</v>
      </c>
      <c r="F118" s="887"/>
      <c r="G118" s="871"/>
      <c r="H118" s="872">
        <v>5100</v>
      </c>
      <c r="I118" s="959">
        <f>Table2[[#This Row],[Opening]]+Table2[[#This Row],[Debit]]-Table2[[#This Row],[Credit]]</f>
        <v>-5100</v>
      </c>
      <c r="J118" s="879"/>
      <c r="S118" s="791"/>
      <c r="T118" s="791"/>
      <c r="U118" s="791"/>
      <c r="V118" s="920"/>
    </row>
    <row r="119" spans="1:25" ht="24" customHeight="1" thickTop="1" x14ac:dyDescent="0.6">
      <c r="A119" s="891">
        <v>44689</v>
      </c>
      <c r="B119" s="850">
        <v>8</v>
      </c>
      <c r="C119" s="851" t="s">
        <v>7280</v>
      </c>
      <c r="D119" s="852" t="s">
        <v>8948</v>
      </c>
      <c r="E119" s="893"/>
      <c r="F119" s="903"/>
      <c r="G119" s="860">
        <v>62600</v>
      </c>
      <c r="H119" s="836"/>
      <c r="I119" s="960">
        <f>Table2[[#This Row],[Opening]]+Table2[[#This Row],[Debit]]-Table2[[#This Row],[Credit]]</f>
        <v>62600</v>
      </c>
      <c r="J119" s="879"/>
      <c r="S119" s="791"/>
      <c r="T119" s="791"/>
      <c r="U119" s="791"/>
      <c r="V119" s="920"/>
    </row>
    <row r="120" spans="1:25" ht="24" customHeight="1" x14ac:dyDescent="0.6">
      <c r="A120" s="891">
        <v>44689</v>
      </c>
      <c r="B120" s="850">
        <v>8</v>
      </c>
      <c r="C120" s="842" t="s">
        <v>905</v>
      </c>
      <c r="D120" s="852" t="s">
        <v>8879</v>
      </c>
      <c r="E120" s="893"/>
      <c r="F120" s="896"/>
      <c r="G120" s="844">
        <v>4200</v>
      </c>
      <c r="H120" s="809"/>
      <c r="I120" s="961">
        <f>Table2[[#This Row],[Opening]]+Table2[[#This Row],[Debit]]-Table2[[#This Row],[Credit]]</f>
        <v>4200</v>
      </c>
      <c r="J120" s="879"/>
      <c r="S120" s="791"/>
      <c r="T120" s="791"/>
      <c r="U120" s="791"/>
      <c r="V120" s="920"/>
    </row>
    <row r="121" spans="1:25" ht="24" customHeight="1" x14ac:dyDescent="0.6">
      <c r="A121" s="891">
        <v>44689</v>
      </c>
      <c r="B121" s="850">
        <v>8</v>
      </c>
      <c r="C121" s="842" t="s">
        <v>2466</v>
      </c>
      <c r="D121" s="852" t="s">
        <v>8886</v>
      </c>
      <c r="E121" s="893"/>
      <c r="F121" s="894"/>
      <c r="G121" s="854">
        <v>2000</v>
      </c>
      <c r="H121" s="839"/>
      <c r="I121" s="960">
        <f>Table2[[#This Row],[Opening]]+Table2[[#This Row],[Debit]]-Table2[[#This Row],[Credit]]</f>
        <v>2000</v>
      </c>
      <c r="J121" s="879"/>
      <c r="S121" s="791"/>
      <c r="T121" s="791"/>
      <c r="U121" s="791"/>
      <c r="V121" s="920"/>
    </row>
    <row r="122" spans="1:25" ht="24" customHeight="1" x14ac:dyDescent="0.6">
      <c r="A122" s="891">
        <v>44689</v>
      </c>
      <c r="B122" s="850">
        <v>8</v>
      </c>
      <c r="C122" s="842" t="s">
        <v>2466</v>
      </c>
      <c r="D122" s="852" t="s">
        <v>8886</v>
      </c>
      <c r="E122" s="893"/>
      <c r="F122" s="895"/>
      <c r="G122" s="857">
        <v>5000</v>
      </c>
      <c r="I122" s="961">
        <f>Table2[[#This Row],[Opening]]+Table2[[#This Row],[Debit]]-Table2[[#This Row],[Credit]]</f>
        <v>5000</v>
      </c>
      <c r="J122" s="879"/>
      <c r="S122" s="791"/>
      <c r="T122" s="791"/>
      <c r="U122" s="791"/>
      <c r="V122" s="920"/>
    </row>
    <row r="123" spans="1:25" ht="24" customHeight="1" x14ac:dyDescent="0.6">
      <c r="A123" s="891">
        <v>44689</v>
      </c>
      <c r="B123" s="850">
        <v>8</v>
      </c>
      <c r="C123" s="842" t="s">
        <v>905</v>
      </c>
      <c r="D123" s="852" t="s">
        <v>8879</v>
      </c>
      <c r="E123" s="878"/>
      <c r="F123" s="896"/>
      <c r="G123" s="844">
        <v>7000</v>
      </c>
      <c r="H123" s="809"/>
      <c r="I123" s="961">
        <f>Table2[[#This Row],[Opening]]+Table2[[#This Row],[Debit]]-Table2[[#This Row],[Credit]]</f>
        <v>7000</v>
      </c>
      <c r="J123" s="879"/>
      <c r="S123" s="791"/>
      <c r="T123" s="791"/>
      <c r="U123" s="791"/>
      <c r="V123" s="920"/>
    </row>
    <row r="124" spans="1:25" ht="24" customHeight="1" x14ac:dyDescent="0.6">
      <c r="A124" s="891">
        <v>44689</v>
      </c>
      <c r="B124" s="850">
        <v>8</v>
      </c>
      <c r="C124" s="851" t="s">
        <v>7280</v>
      </c>
      <c r="D124" s="851" t="s">
        <v>8949</v>
      </c>
      <c r="E124" s="893"/>
      <c r="F124" s="903"/>
      <c r="G124" s="860">
        <v>30000</v>
      </c>
      <c r="H124" s="836"/>
      <c r="I124" s="960">
        <f>Table2[[#This Row],[Opening]]+Table2[[#This Row],[Debit]]-Table2[[#This Row],[Credit]]</f>
        <v>30000</v>
      </c>
      <c r="J124" s="879"/>
      <c r="S124" s="791"/>
      <c r="T124" s="791"/>
      <c r="U124" s="791"/>
      <c r="V124" s="920"/>
    </row>
    <row r="125" spans="1:25" ht="24" customHeight="1" x14ac:dyDescent="0.6">
      <c r="A125" s="891">
        <v>44689</v>
      </c>
      <c r="B125" s="850">
        <v>8</v>
      </c>
      <c r="C125" s="851" t="s">
        <v>7281</v>
      </c>
      <c r="D125" s="851" t="s">
        <v>8950</v>
      </c>
      <c r="E125" s="842"/>
      <c r="F125" s="895"/>
      <c r="G125" s="857">
        <v>61250</v>
      </c>
      <c r="I125" s="961">
        <f>Table2[[#This Row],[Opening]]+Table2[[#This Row],[Debit]]-Table2[[#This Row],[Credit]]</f>
        <v>61250</v>
      </c>
      <c r="J125" s="879"/>
      <c r="S125" s="791"/>
      <c r="T125" s="791"/>
      <c r="U125" s="791"/>
      <c r="V125" s="920"/>
    </row>
    <row r="126" spans="1:25" ht="24" customHeight="1" x14ac:dyDescent="0.6">
      <c r="A126" s="891">
        <v>44689</v>
      </c>
      <c r="B126" s="850">
        <v>8</v>
      </c>
      <c r="C126" s="842" t="s">
        <v>888</v>
      </c>
      <c r="D126" s="842" t="s">
        <v>8880</v>
      </c>
      <c r="E126" s="842"/>
      <c r="F126" s="894"/>
      <c r="G126" s="854">
        <v>3578250</v>
      </c>
      <c r="H126" s="839"/>
      <c r="I126" s="960">
        <f>Table2[[#This Row],[Opening]]+Table2[[#This Row],[Debit]]-Table2[[#This Row],[Credit]]</f>
        <v>3578250</v>
      </c>
      <c r="J126" s="879"/>
      <c r="S126" s="791"/>
      <c r="T126" s="791"/>
      <c r="U126" s="791"/>
      <c r="V126" s="920"/>
    </row>
    <row r="127" spans="1:25" ht="24" customHeight="1" x14ac:dyDescent="0.6">
      <c r="A127" s="891">
        <v>44689</v>
      </c>
      <c r="B127" s="850">
        <v>8</v>
      </c>
      <c r="C127" s="842" t="s">
        <v>1267</v>
      </c>
      <c r="D127" s="855" t="s">
        <v>7209</v>
      </c>
      <c r="E127" s="842"/>
      <c r="F127" s="895"/>
      <c r="G127" s="857">
        <v>21600</v>
      </c>
      <c r="I127" s="961">
        <f>Table2[[#This Row],[Opening]]+Table2[[#This Row],[Debit]]-Table2[[#This Row],[Credit]]</f>
        <v>21600</v>
      </c>
      <c r="J127" s="879"/>
      <c r="S127" s="791"/>
      <c r="T127" s="791"/>
      <c r="U127" s="791"/>
      <c r="V127" s="920"/>
    </row>
    <row r="128" spans="1:25" ht="24" customHeight="1" x14ac:dyDescent="0.6">
      <c r="A128" s="891">
        <v>44689</v>
      </c>
      <c r="B128" s="850">
        <v>8</v>
      </c>
      <c r="C128" s="842" t="s">
        <v>2466</v>
      </c>
      <c r="D128" s="855" t="s">
        <v>8886</v>
      </c>
      <c r="E128" s="842"/>
      <c r="F128" s="896"/>
      <c r="G128" s="844">
        <v>5000</v>
      </c>
      <c r="H128" s="809"/>
      <c r="I128" s="961">
        <f>Table2[[#This Row],[Opening]]+Table2[[#This Row],[Debit]]-Table2[[#This Row],[Credit]]</f>
        <v>5000</v>
      </c>
      <c r="J128" s="879"/>
      <c r="S128" s="908"/>
      <c r="T128" s="908"/>
      <c r="U128" s="908"/>
      <c r="V128" s="920"/>
    </row>
    <row r="129" spans="1:22" ht="24" customHeight="1" x14ac:dyDescent="0.6">
      <c r="A129" s="891">
        <v>44689</v>
      </c>
      <c r="B129" s="850">
        <v>8</v>
      </c>
      <c r="C129" s="842" t="s">
        <v>86</v>
      </c>
      <c r="D129" s="842" t="s">
        <v>8904</v>
      </c>
      <c r="E129" s="842"/>
      <c r="F129" s="856"/>
      <c r="G129" s="857"/>
      <c r="H129" s="798">
        <v>3000</v>
      </c>
      <c r="I129" s="961">
        <f>Table2[[#This Row],[Opening]]+Table2[[#This Row],[Debit]]-Table2[[#This Row],[Credit]]</f>
        <v>-3000</v>
      </c>
      <c r="J129" s="879"/>
      <c r="S129" s="791"/>
      <c r="T129" s="791"/>
      <c r="U129" s="791"/>
      <c r="V129" s="920"/>
    </row>
    <row r="130" spans="1:22" ht="24" customHeight="1" x14ac:dyDescent="0.6">
      <c r="A130" s="891">
        <v>44689</v>
      </c>
      <c r="B130" s="850">
        <v>8</v>
      </c>
      <c r="C130" s="851" t="s">
        <v>863</v>
      </c>
      <c r="D130" s="851" t="s">
        <v>8951</v>
      </c>
      <c r="E130" s="851"/>
      <c r="F130" s="853"/>
      <c r="G130" s="854"/>
      <c r="H130" s="839">
        <v>5000</v>
      </c>
      <c r="I130" s="960">
        <f>Table2[[#This Row],[Opening]]+Table2[[#This Row],[Debit]]-Table2[[#This Row],[Credit]]</f>
        <v>-5000</v>
      </c>
      <c r="J130" s="879"/>
      <c r="S130" s="791"/>
      <c r="T130" s="791"/>
      <c r="U130" s="791"/>
      <c r="V130" s="920"/>
    </row>
    <row r="131" spans="1:22" ht="24" customHeight="1" x14ac:dyDescent="0.6">
      <c r="A131" s="891">
        <v>44689</v>
      </c>
      <c r="B131" s="850">
        <v>8</v>
      </c>
      <c r="C131" s="851" t="s">
        <v>863</v>
      </c>
      <c r="D131" s="851" t="s">
        <v>8944</v>
      </c>
      <c r="E131" s="851"/>
      <c r="F131" s="856"/>
      <c r="G131" s="857"/>
      <c r="H131" s="798">
        <v>2000</v>
      </c>
      <c r="I131" s="961">
        <f>Table2[[#This Row],[Opening]]+Table2[[#This Row],[Debit]]-Table2[[#This Row],[Credit]]</f>
        <v>-2000</v>
      </c>
      <c r="J131" s="879"/>
      <c r="S131" s="791"/>
      <c r="T131" s="791"/>
      <c r="U131" s="791"/>
      <c r="V131" s="920"/>
    </row>
    <row r="132" spans="1:22" ht="24" customHeight="1" x14ac:dyDescent="0.6">
      <c r="A132" s="891">
        <v>44689</v>
      </c>
      <c r="B132" s="850">
        <v>8</v>
      </c>
      <c r="C132" s="842" t="s">
        <v>8936</v>
      </c>
      <c r="D132" s="855" t="s">
        <v>8942</v>
      </c>
      <c r="E132" s="842"/>
      <c r="F132" s="843"/>
      <c r="G132" s="844"/>
      <c r="H132" s="809">
        <v>53600</v>
      </c>
      <c r="I132" s="961">
        <f>Table2[[#This Row],[Opening]]+Table2[[#This Row],[Debit]]-Table2[[#This Row],[Credit]]</f>
        <v>-53600</v>
      </c>
      <c r="J132" s="879"/>
      <c r="S132" s="791"/>
      <c r="T132" s="791"/>
      <c r="U132" s="791"/>
      <c r="V132" s="920"/>
    </row>
    <row r="133" spans="1:22" ht="24" customHeight="1" x14ac:dyDescent="0.6">
      <c r="A133" s="891">
        <v>44689</v>
      </c>
      <c r="B133" s="850">
        <v>8</v>
      </c>
      <c r="C133" s="842" t="s">
        <v>8936</v>
      </c>
      <c r="D133" s="855" t="s">
        <v>8952</v>
      </c>
      <c r="E133" s="842"/>
      <c r="F133" s="859"/>
      <c r="G133" s="860"/>
      <c r="H133" s="836">
        <v>31000</v>
      </c>
      <c r="I133" s="960">
        <f>Table2[[#This Row],[Opening]]+Table2[[#This Row],[Debit]]-Table2[[#This Row],[Credit]]</f>
        <v>-31000</v>
      </c>
      <c r="J133" s="879"/>
      <c r="S133" s="791"/>
      <c r="T133" s="791"/>
      <c r="U133" s="791"/>
      <c r="V133" s="920"/>
    </row>
    <row r="134" spans="1:22" ht="24" customHeight="1" x14ac:dyDescent="0.6">
      <c r="A134" s="891">
        <v>44689</v>
      </c>
      <c r="B134" s="850">
        <v>8</v>
      </c>
      <c r="C134" s="851" t="s">
        <v>2352</v>
      </c>
      <c r="D134" s="851" t="s">
        <v>8953</v>
      </c>
      <c r="E134" s="842"/>
      <c r="F134" s="856"/>
      <c r="G134" s="857"/>
      <c r="H134" s="798">
        <v>3500</v>
      </c>
      <c r="I134" s="958">
        <f>Table2[[#This Row],[Opening]]+Table2[[#This Row],[Debit]]-Table2[[#This Row],[Credit]]</f>
        <v>-3500</v>
      </c>
      <c r="J134" s="879"/>
      <c r="S134" s="791"/>
      <c r="T134" s="791"/>
      <c r="U134" s="791"/>
      <c r="V134" s="920"/>
    </row>
    <row r="135" spans="1:22" ht="24" customHeight="1" x14ac:dyDescent="0.6">
      <c r="A135" s="891">
        <v>44689</v>
      </c>
      <c r="B135" s="850">
        <v>8</v>
      </c>
      <c r="C135" s="842" t="s">
        <v>86</v>
      </c>
      <c r="D135" s="855" t="s">
        <v>8954</v>
      </c>
      <c r="E135" s="842"/>
      <c r="F135" s="843"/>
      <c r="G135" s="844"/>
      <c r="H135" s="809">
        <v>109000</v>
      </c>
      <c r="I135" s="958">
        <f>Table2[[#This Row],[Opening]]+Table2[[#This Row],[Debit]]-Table2[[#This Row],[Credit]]</f>
        <v>-109000</v>
      </c>
      <c r="J135" s="879"/>
      <c r="S135" s="791"/>
      <c r="T135" s="791"/>
      <c r="U135" s="791"/>
      <c r="V135" s="920"/>
    </row>
    <row r="136" spans="1:22" ht="24" customHeight="1" x14ac:dyDescent="0.6">
      <c r="A136" s="891">
        <v>44689</v>
      </c>
      <c r="B136" s="850">
        <v>8</v>
      </c>
      <c r="C136" s="842" t="s">
        <v>86</v>
      </c>
      <c r="D136" s="842" t="s">
        <v>8955</v>
      </c>
      <c r="E136" s="842"/>
      <c r="F136" s="856"/>
      <c r="G136" s="857"/>
      <c r="H136" s="798">
        <v>1000</v>
      </c>
      <c r="I136" s="958">
        <f>Table2[[#This Row],[Opening]]+Table2[[#This Row],[Debit]]-Table2[[#This Row],[Credit]]</f>
        <v>-1000</v>
      </c>
      <c r="J136" s="879"/>
      <c r="S136" s="791"/>
      <c r="T136" s="791"/>
      <c r="U136" s="791"/>
      <c r="V136" s="920"/>
    </row>
    <row r="137" spans="1:22" ht="24" customHeight="1" x14ac:dyDescent="0.6">
      <c r="A137" s="891">
        <v>44689</v>
      </c>
      <c r="B137" s="850">
        <v>8</v>
      </c>
      <c r="C137" s="851" t="s">
        <v>1240</v>
      </c>
      <c r="D137" s="852" t="s">
        <v>8956</v>
      </c>
      <c r="E137" s="851" t="s">
        <v>7269</v>
      </c>
      <c r="F137" s="853"/>
      <c r="G137" s="854"/>
      <c r="H137" s="839">
        <v>7000</v>
      </c>
      <c r="I137" s="960">
        <f>Table2[[#This Row],[Opening]]+Table2[[#This Row],[Debit]]-Table2[[#This Row],[Credit]]</f>
        <v>-7000</v>
      </c>
      <c r="J137" s="879"/>
      <c r="S137" s="791"/>
      <c r="T137" s="791"/>
      <c r="U137" s="791"/>
      <c r="V137" s="920"/>
    </row>
    <row r="138" spans="1:22" ht="24" customHeight="1" x14ac:dyDescent="0.6">
      <c r="A138" s="891">
        <v>44689</v>
      </c>
      <c r="B138" s="850">
        <v>8</v>
      </c>
      <c r="C138" s="842" t="s">
        <v>86</v>
      </c>
      <c r="D138" s="842" t="s">
        <v>8957</v>
      </c>
      <c r="E138" s="842"/>
      <c r="F138" s="856"/>
      <c r="G138" s="857"/>
      <c r="H138" s="798">
        <v>1000</v>
      </c>
      <c r="I138" s="961">
        <f>Table2[[#This Row],[Opening]]+Table2[[#This Row],[Debit]]-Table2[[#This Row],[Credit]]</f>
        <v>-1000</v>
      </c>
      <c r="J138" s="879"/>
      <c r="S138" s="791"/>
      <c r="T138" s="791"/>
      <c r="U138" s="791"/>
      <c r="V138" s="920"/>
    </row>
    <row r="139" spans="1:22" ht="24" customHeight="1" thickBot="1" x14ac:dyDescent="0.65">
      <c r="A139" s="1249">
        <v>44689</v>
      </c>
      <c r="B139" s="869">
        <v>8</v>
      </c>
      <c r="C139" s="846" t="s">
        <v>2352</v>
      </c>
      <c r="D139" s="846" t="s">
        <v>8958</v>
      </c>
      <c r="E139" s="846"/>
      <c r="F139" s="1236"/>
      <c r="G139" s="1237"/>
      <c r="H139" s="1238">
        <v>21500</v>
      </c>
      <c r="I139" s="1242">
        <f>Table2[[#This Row],[Opening]]+Table2[[#This Row],[Debit]]-Table2[[#This Row],[Credit]]</f>
        <v>-21500</v>
      </c>
      <c r="J139" s="879"/>
      <c r="S139" s="791"/>
      <c r="T139" s="791"/>
      <c r="U139" s="791"/>
      <c r="V139" s="920"/>
    </row>
    <row r="140" spans="1:22" ht="24" customHeight="1" thickTop="1" x14ac:dyDescent="0.6">
      <c r="A140" s="891">
        <v>44690</v>
      </c>
      <c r="B140" s="850">
        <v>9</v>
      </c>
      <c r="C140" s="851" t="s">
        <v>2466</v>
      </c>
      <c r="D140" s="851" t="s">
        <v>8886</v>
      </c>
      <c r="E140" s="851"/>
      <c r="F140" s="853"/>
      <c r="G140" s="854">
        <v>3000</v>
      </c>
      <c r="H140" s="839"/>
      <c r="I140" s="955">
        <f>Table2[[#This Row],[Opening]]+Table2[[#This Row],[Debit]]-Table2[[#This Row],[Credit]]</f>
        <v>3000</v>
      </c>
      <c r="J140" s="879"/>
      <c r="S140" s="791"/>
      <c r="T140" s="791"/>
      <c r="U140" s="791"/>
      <c r="V140" s="920"/>
    </row>
    <row r="141" spans="1:22" ht="24" customHeight="1" x14ac:dyDescent="0.6">
      <c r="A141" s="891">
        <v>44690</v>
      </c>
      <c r="B141" s="850">
        <v>9</v>
      </c>
      <c r="C141" s="851" t="s">
        <v>2466</v>
      </c>
      <c r="D141" s="851" t="s">
        <v>8886</v>
      </c>
      <c r="E141" s="842"/>
      <c r="F141" s="856"/>
      <c r="G141" s="857">
        <v>1500</v>
      </c>
      <c r="I141" s="954">
        <f>Table2[[#This Row],[Opening]]+Table2[[#This Row],[Debit]]-Table2[[#This Row],[Credit]]</f>
        <v>1500</v>
      </c>
      <c r="J141" s="879"/>
      <c r="S141" s="791"/>
      <c r="T141" s="791"/>
      <c r="U141" s="791"/>
      <c r="V141" s="920"/>
    </row>
    <row r="142" spans="1:22" ht="24" customHeight="1" x14ac:dyDescent="0.6">
      <c r="A142" s="891">
        <v>44690</v>
      </c>
      <c r="B142" s="850">
        <v>9</v>
      </c>
      <c r="C142" s="851" t="s">
        <v>7280</v>
      </c>
      <c r="D142" s="851" t="s">
        <v>8959</v>
      </c>
      <c r="E142" s="851"/>
      <c r="F142" s="853"/>
      <c r="G142" s="854">
        <v>31000</v>
      </c>
      <c r="H142" s="839"/>
      <c r="I142" s="955">
        <f>Table2[[#This Row],[Opening]]+Table2[[#This Row],[Debit]]-Table2[[#This Row],[Credit]]</f>
        <v>31000</v>
      </c>
      <c r="J142" s="879"/>
      <c r="S142" s="791"/>
      <c r="T142" s="791"/>
      <c r="U142" s="791"/>
      <c r="V142" s="920"/>
    </row>
    <row r="143" spans="1:22" ht="24" customHeight="1" x14ac:dyDescent="0.6">
      <c r="A143" s="891">
        <v>44690</v>
      </c>
      <c r="B143" s="850">
        <v>9</v>
      </c>
      <c r="C143" s="851" t="s">
        <v>905</v>
      </c>
      <c r="D143" s="833" t="s">
        <v>8879</v>
      </c>
      <c r="E143" s="851"/>
      <c r="F143" s="923"/>
      <c r="G143" s="854">
        <v>80000</v>
      </c>
      <c r="H143" s="839"/>
      <c r="I143" s="955">
        <f>'Daily Cash Book'!$G143-'Daily Cash Book'!$H$2:$H$1188</f>
        <v>80000</v>
      </c>
      <c r="J143" s="879"/>
      <c r="S143" s="791"/>
      <c r="T143" s="791"/>
      <c r="U143" s="791"/>
      <c r="V143" s="920"/>
    </row>
    <row r="144" spans="1:22" ht="24" customHeight="1" x14ac:dyDescent="0.6">
      <c r="A144" s="891">
        <v>44690</v>
      </c>
      <c r="B144" s="850">
        <v>9</v>
      </c>
      <c r="C144" s="851" t="s">
        <v>2466</v>
      </c>
      <c r="D144" s="851" t="s">
        <v>8886</v>
      </c>
      <c r="E144" s="842"/>
      <c r="F144" s="808"/>
      <c r="G144" s="844">
        <v>500</v>
      </c>
      <c r="H144" s="809"/>
      <c r="I144" s="954">
        <f>Table2[[#This Row],[Opening]]+Table2[[#This Row],[Debit]]-Table2[[#This Row],[Credit]]</f>
        <v>500</v>
      </c>
      <c r="J144" s="879"/>
      <c r="S144" s="791"/>
      <c r="T144" s="791"/>
      <c r="U144" s="792"/>
      <c r="V144" s="920"/>
    </row>
    <row r="145" spans="1:22" ht="24" customHeight="1" x14ac:dyDescent="0.6">
      <c r="A145" s="891">
        <v>44690</v>
      </c>
      <c r="B145" s="850">
        <v>9</v>
      </c>
      <c r="C145" s="851" t="s">
        <v>2466</v>
      </c>
      <c r="D145" s="851" t="s">
        <v>8886</v>
      </c>
      <c r="E145" s="833"/>
      <c r="F145" s="835"/>
      <c r="G145" s="860">
        <v>1000</v>
      </c>
      <c r="H145" s="836"/>
      <c r="I145" s="955">
        <f>Table2[[#This Row],[Opening]]+Table2[[#This Row],[Debit]]-Table2[[#This Row],[Credit]]</f>
        <v>1000</v>
      </c>
      <c r="J145" s="879"/>
      <c r="S145" s="791"/>
      <c r="T145" s="791"/>
      <c r="U145" s="792"/>
      <c r="V145" s="920"/>
    </row>
    <row r="146" spans="1:22" ht="24" customHeight="1" x14ac:dyDescent="0.6">
      <c r="A146" s="891">
        <v>44690</v>
      </c>
      <c r="B146" s="850">
        <v>9</v>
      </c>
      <c r="C146" s="851" t="s">
        <v>888</v>
      </c>
      <c r="D146" s="795" t="s">
        <v>8880</v>
      </c>
      <c r="E146" s="833"/>
      <c r="F146" s="835"/>
      <c r="G146" s="860">
        <v>1699350</v>
      </c>
      <c r="H146" s="836"/>
      <c r="I146" s="955">
        <f>Table2[[#This Row],[Opening]]+Table2[[#This Row],[Debit]]-Table2[[#This Row],[Credit]]</f>
        <v>1699350</v>
      </c>
      <c r="J146" s="879"/>
      <c r="S146" s="791"/>
      <c r="T146" s="791"/>
      <c r="U146" s="792"/>
      <c r="V146" s="920"/>
    </row>
    <row r="147" spans="1:22" ht="24" customHeight="1" x14ac:dyDescent="0.6">
      <c r="A147" s="891">
        <v>44690</v>
      </c>
      <c r="B147" s="850">
        <v>9</v>
      </c>
      <c r="C147" s="842" t="s">
        <v>1267</v>
      </c>
      <c r="D147" s="807" t="s">
        <v>7209</v>
      </c>
      <c r="F147" s="808"/>
      <c r="G147" s="844">
        <v>29900</v>
      </c>
      <c r="H147" s="809"/>
      <c r="I147" s="954">
        <f>Table2[[#This Row],[Opening]]+Table2[[#This Row],[Debit]]-Table2[[#This Row],[Credit]]</f>
        <v>29900</v>
      </c>
      <c r="J147" s="879"/>
      <c r="S147" s="791"/>
      <c r="T147" s="791"/>
      <c r="U147" s="792"/>
      <c r="V147" s="920"/>
    </row>
    <row r="148" spans="1:22" ht="24" customHeight="1" x14ac:dyDescent="0.6">
      <c r="A148" s="891">
        <v>44690</v>
      </c>
      <c r="B148" s="850">
        <v>9</v>
      </c>
      <c r="C148" s="851" t="s">
        <v>86</v>
      </c>
      <c r="D148" s="834" t="s">
        <v>8960</v>
      </c>
      <c r="E148" s="851"/>
      <c r="F148" s="835"/>
      <c r="G148" s="860"/>
      <c r="H148" s="836">
        <v>4900</v>
      </c>
      <c r="I148" s="955">
        <f>Table2[[#This Row],[Opening]]+Table2[[#This Row],[Debit]]-Table2[[#This Row],[Credit]]</f>
        <v>-4900</v>
      </c>
      <c r="J148" s="879"/>
      <c r="S148" s="791"/>
      <c r="T148" s="791"/>
      <c r="U148" s="792"/>
      <c r="V148" s="920"/>
    </row>
    <row r="149" spans="1:22" ht="24" customHeight="1" x14ac:dyDescent="0.6">
      <c r="A149" s="891">
        <v>44690</v>
      </c>
      <c r="B149" s="850">
        <v>9</v>
      </c>
      <c r="C149" s="851" t="s">
        <v>864</v>
      </c>
      <c r="D149" s="807" t="s">
        <v>8961</v>
      </c>
      <c r="E149" s="851"/>
      <c r="F149" s="808"/>
      <c r="G149" s="844"/>
      <c r="H149" s="809">
        <v>5000</v>
      </c>
      <c r="I149" s="954">
        <f>Table2[[#This Row],[Opening]]+Table2[[#This Row],[Debit]]-Table2[[#This Row],[Credit]]</f>
        <v>-5000</v>
      </c>
      <c r="J149" s="879"/>
      <c r="S149" s="791"/>
      <c r="T149" s="791"/>
      <c r="U149" s="792"/>
      <c r="V149" s="920"/>
    </row>
    <row r="150" spans="1:22" ht="24" customHeight="1" x14ac:dyDescent="0.6">
      <c r="A150" s="891">
        <v>44690</v>
      </c>
      <c r="B150" s="850">
        <v>9</v>
      </c>
      <c r="C150" s="851" t="s">
        <v>864</v>
      </c>
      <c r="D150" s="807" t="s">
        <v>8962</v>
      </c>
      <c r="E150" s="842"/>
      <c r="G150" s="857"/>
      <c r="H150" s="798">
        <v>3500</v>
      </c>
      <c r="I150" s="954">
        <f>Table2[[#This Row],[Opening]]+Table2[[#This Row],[Debit]]-Table2[[#This Row],[Credit]]</f>
        <v>-3500</v>
      </c>
      <c r="J150" s="879"/>
      <c r="S150" s="791"/>
      <c r="T150" s="791"/>
      <c r="U150" s="792"/>
      <c r="V150" s="920"/>
    </row>
    <row r="151" spans="1:22" ht="24" customHeight="1" x14ac:dyDescent="0.6">
      <c r="A151" s="891">
        <v>44690</v>
      </c>
      <c r="B151" s="850">
        <v>9</v>
      </c>
      <c r="C151" s="851" t="s">
        <v>864</v>
      </c>
      <c r="D151" s="852" t="s">
        <v>8963</v>
      </c>
      <c r="E151" s="893"/>
      <c r="F151" s="838"/>
      <c r="G151" s="854"/>
      <c r="H151" s="839">
        <v>2000</v>
      </c>
      <c r="I151" s="955">
        <f>Table2[[#This Row],[Opening]]+Table2[[#This Row],[Debit]]-Table2[[#This Row],[Credit]]</f>
        <v>-2000</v>
      </c>
      <c r="J151" s="879"/>
      <c r="S151" s="791"/>
      <c r="T151" s="791"/>
      <c r="U151" s="791"/>
      <c r="V151" s="920"/>
    </row>
    <row r="152" spans="1:22" ht="24" customHeight="1" x14ac:dyDescent="0.6">
      <c r="A152" s="891">
        <v>44690</v>
      </c>
      <c r="B152" s="850">
        <v>9</v>
      </c>
      <c r="C152" s="842" t="s">
        <v>8494</v>
      </c>
      <c r="D152" s="842" t="s">
        <v>8964</v>
      </c>
      <c r="E152" s="893"/>
      <c r="G152" s="857"/>
      <c r="H152" s="798">
        <v>119200</v>
      </c>
      <c r="I152" s="954">
        <f>Table2[[#This Row],[Opening]]+Table2[[#This Row],[Debit]]-Table2[[#This Row],[Credit]]</f>
        <v>-119200</v>
      </c>
      <c r="J152" s="879"/>
      <c r="S152" s="791"/>
      <c r="T152" s="791"/>
      <c r="U152" s="791"/>
      <c r="V152" s="920"/>
    </row>
    <row r="153" spans="1:22" ht="24" customHeight="1" x14ac:dyDescent="0.6">
      <c r="A153" s="891">
        <v>44690</v>
      </c>
      <c r="B153" s="850">
        <v>9</v>
      </c>
      <c r="C153" s="842" t="s">
        <v>8490</v>
      </c>
      <c r="D153" s="842" t="s">
        <v>8965</v>
      </c>
      <c r="E153" s="878"/>
      <c r="F153" s="808"/>
      <c r="G153" s="844"/>
      <c r="H153" s="809">
        <v>80000</v>
      </c>
      <c r="I153" s="954">
        <f>Table2[[#This Row],[Opening]]+Table2[[#This Row],[Debit]]-Table2[[#This Row],[Credit]]</f>
        <v>-80000</v>
      </c>
      <c r="J153" s="879"/>
      <c r="S153" s="791"/>
      <c r="T153" s="791"/>
      <c r="U153" s="791"/>
      <c r="V153" s="920"/>
    </row>
    <row r="154" spans="1:22" ht="24" customHeight="1" x14ac:dyDescent="0.6">
      <c r="A154" s="891">
        <v>44690</v>
      </c>
      <c r="B154" s="850">
        <v>9</v>
      </c>
      <c r="C154" s="842" t="s">
        <v>2352</v>
      </c>
      <c r="D154" s="852" t="s">
        <v>8966</v>
      </c>
      <c r="E154" s="878"/>
      <c r="G154" s="857"/>
      <c r="H154" s="798">
        <v>13000</v>
      </c>
      <c r="I154" s="954">
        <f>Table2[[#This Row],[Opening]]+Table2[[#This Row],[Debit]]-Table2[[#This Row],[Credit]]</f>
        <v>-13000</v>
      </c>
      <c r="J154" s="879"/>
      <c r="S154" s="791"/>
      <c r="T154" s="791"/>
      <c r="U154" s="791"/>
      <c r="V154" s="920"/>
    </row>
    <row r="155" spans="1:22" ht="24" customHeight="1" x14ac:dyDescent="0.6">
      <c r="A155" s="891">
        <v>44690</v>
      </c>
      <c r="B155" s="850">
        <v>9</v>
      </c>
      <c r="C155" s="842" t="s">
        <v>1240</v>
      </c>
      <c r="D155" s="842" t="s">
        <v>8967</v>
      </c>
      <c r="E155" s="842" t="s">
        <v>7269</v>
      </c>
      <c r="G155" s="857"/>
      <c r="H155" s="798">
        <v>3300</v>
      </c>
      <c r="I155" s="954">
        <f>Table2[[#This Row],[Opening]]+Table2[[#This Row],[Debit]]-Table2[[#This Row],[Credit]]</f>
        <v>-3300</v>
      </c>
      <c r="J155" s="879"/>
      <c r="S155" s="791"/>
      <c r="T155" s="791"/>
      <c r="U155" s="791"/>
      <c r="V155" s="920"/>
    </row>
    <row r="156" spans="1:22" ht="24" customHeight="1" x14ac:dyDescent="0.6">
      <c r="A156" s="891">
        <v>44690</v>
      </c>
      <c r="B156" s="850">
        <v>9</v>
      </c>
      <c r="C156" s="842" t="s">
        <v>985</v>
      </c>
      <c r="D156" s="852" t="s">
        <v>7878</v>
      </c>
      <c r="E156" s="878"/>
      <c r="F156" s="838"/>
      <c r="G156" s="854"/>
      <c r="H156" s="839">
        <v>5000</v>
      </c>
      <c r="I156" s="955">
        <f>Table2[[#This Row],[Opening]]+Table2[[#This Row],[Debit]]-Table2[[#This Row],[Credit]]</f>
        <v>-5000</v>
      </c>
      <c r="J156" s="879"/>
      <c r="S156" s="791"/>
      <c r="T156" s="791"/>
      <c r="U156" s="791"/>
      <c r="V156" s="920"/>
    </row>
    <row r="157" spans="1:22" ht="24" customHeight="1" x14ac:dyDescent="0.6">
      <c r="A157" s="1073">
        <v>44690</v>
      </c>
      <c r="B157" s="933">
        <v>9</v>
      </c>
      <c r="C157" s="878" t="s">
        <v>39</v>
      </c>
      <c r="D157" s="904" t="s">
        <v>8968</v>
      </c>
      <c r="E157" s="878" t="s">
        <v>7272</v>
      </c>
      <c r="F157" s="835"/>
      <c r="G157" s="860"/>
      <c r="H157" s="836">
        <v>4851000</v>
      </c>
      <c r="I157" s="955">
        <f>Table2[[#This Row],[Opening]]+Table2[[#This Row],[Debit]]-Table2[[#This Row],[Credit]]</f>
        <v>-4851000</v>
      </c>
      <c r="J157" s="879"/>
      <c r="S157" s="791"/>
      <c r="T157" s="791"/>
      <c r="U157" s="791"/>
      <c r="V157" s="920"/>
    </row>
    <row r="158" spans="1:22" ht="24" customHeight="1" x14ac:dyDescent="0.6">
      <c r="A158" s="1073">
        <v>44690</v>
      </c>
      <c r="B158" s="933">
        <v>9</v>
      </c>
      <c r="C158" s="878" t="s">
        <v>47</v>
      </c>
      <c r="D158" s="878" t="s">
        <v>8989</v>
      </c>
      <c r="E158" s="878" t="s">
        <v>7274</v>
      </c>
      <c r="F158" s="808"/>
      <c r="G158" s="844"/>
      <c r="H158" s="809">
        <v>3000000</v>
      </c>
      <c r="I158" s="954">
        <f>Table2[[#This Row],[Opening]]+Table2[[#This Row],[Debit]]-Table2[[#This Row],[Credit]]</f>
        <v>-3000000</v>
      </c>
      <c r="J158" s="879"/>
      <c r="S158" s="791"/>
      <c r="T158" s="791"/>
      <c r="U158" s="791"/>
      <c r="V158" s="920"/>
    </row>
    <row r="159" spans="1:22" ht="24" customHeight="1" x14ac:dyDescent="0.6">
      <c r="A159" s="1073">
        <v>44690</v>
      </c>
      <c r="B159" s="933">
        <v>9</v>
      </c>
      <c r="C159" s="878" t="s">
        <v>47</v>
      </c>
      <c r="D159" s="893" t="s">
        <v>8200</v>
      </c>
      <c r="E159" s="878" t="s">
        <v>7274</v>
      </c>
      <c r="F159" s="835"/>
      <c r="G159" s="860"/>
      <c r="H159" s="836">
        <v>1042500</v>
      </c>
      <c r="I159" s="955">
        <f>Table2[[#This Row],[Opening]]+Table2[[#This Row],[Debit]]-Table2[[#This Row],[Credit]]</f>
        <v>-1042500</v>
      </c>
      <c r="J159" s="879"/>
      <c r="S159" s="791"/>
      <c r="T159" s="791"/>
      <c r="U159" s="791"/>
      <c r="V159" s="920"/>
    </row>
    <row r="160" spans="1:22" ht="24" customHeight="1" x14ac:dyDescent="0.6">
      <c r="A160" s="1073">
        <v>44690</v>
      </c>
      <c r="B160" s="933">
        <v>9</v>
      </c>
      <c r="C160" s="878" t="s">
        <v>39</v>
      </c>
      <c r="D160" s="902" t="s">
        <v>8969</v>
      </c>
      <c r="E160" s="878" t="s">
        <v>7272</v>
      </c>
      <c r="F160" s="808"/>
      <c r="G160" s="844"/>
      <c r="H160" s="809">
        <v>1161500</v>
      </c>
      <c r="I160" s="954">
        <f>Table2[[#This Row],[Opening]]+Table2[[#This Row],[Debit]]-Table2[[#This Row],[Credit]]</f>
        <v>-1161500</v>
      </c>
      <c r="J160" s="879"/>
      <c r="S160" s="791"/>
      <c r="T160" s="791"/>
      <c r="U160" s="791"/>
      <c r="V160" s="920"/>
    </row>
    <row r="161" spans="1:22" ht="24" customHeight="1" x14ac:dyDescent="0.6">
      <c r="A161" s="1073">
        <v>44690</v>
      </c>
      <c r="B161" s="933">
        <v>9</v>
      </c>
      <c r="C161" s="878" t="s">
        <v>39</v>
      </c>
      <c r="D161" s="902" t="s">
        <v>8195</v>
      </c>
      <c r="E161" s="878" t="s">
        <v>7272</v>
      </c>
      <c r="G161" s="857"/>
      <c r="H161" s="798">
        <v>325500</v>
      </c>
      <c r="I161" s="954">
        <f>Table2[[#This Row],[Opening]]+Table2[[#This Row],[Debit]]-Table2[[#This Row],[Credit]]</f>
        <v>-325500</v>
      </c>
      <c r="J161" s="879"/>
      <c r="S161" s="791"/>
      <c r="T161" s="791"/>
      <c r="U161" s="791"/>
      <c r="V161" s="920"/>
    </row>
    <row r="162" spans="1:22" ht="24" customHeight="1" x14ac:dyDescent="0.6">
      <c r="A162" s="1073">
        <v>44690</v>
      </c>
      <c r="B162" s="933">
        <v>9</v>
      </c>
      <c r="C162" s="878" t="s">
        <v>39</v>
      </c>
      <c r="D162" s="904" t="s">
        <v>8204</v>
      </c>
      <c r="E162" s="878" t="s">
        <v>7272</v>
      </c>
      <c r="F162" s="853"/>
      <c r="G162" s="860"/>
      <c r="H162" s="839">
        <v>1009350</v>
      </c>
      <c r="I162" s="955">
        <f>Table2[[#This Row],[Opening]]+Table2[[#This Row],[Debit]]-Table2[[#This Row],[Credit]]</f>
        <v>-1009350</v>
      </c>
      <c r="J162" s="879"/>
      <c r="S162" s="791"/>
      <c r="T162" s="791"/>
      <c r="U162" s="791"/>
      <c r="V162" s="920"/>
    </row>
    <row r="163" spans="1:22" ht="24" customHeight="1" x14ac:dyDescent="0.6">
      <c r="A163" s="1073">
        <v>44690</v>
      </c>
      <c r="B163" s="933">
        <v>9</v>
      </c>
      <c r="C163" s="878" t="s">
        <v>39</v>
      </c>
      <c r="D163" s="902" t="s">
        <v>8197</v>
      </c>
      <c r="E163" s="878" t="s">
        <v>7272</v>
      </c>
      <c r="F163" s="856"/>
      <c r="G163" s="857"/>
      <c r="H163" s="798">
        <v>204000</v>
      </c>
      <c r="I163" s="954">
        <f>Table2[[#This Row],[Opening]]+Table2[[#This Row],[Debit]]-Table2[[#This Row],[Credit]]</f>
        <v>-204000</v>
      </c>
      <c r="J163" s="879"/>
      <c r="S163" s="791"/>
      <c r="T163" s="791"/>
      <c r="U163" s="791"/>
      <c r="V163" s="920"/>
    </row>
    <row r="164" spans="1:22" ht="24" customHeight="1" x14ac:dyDescent="0.6">
      <c r="A164" s="1073">
        <v>44690</v>
      </c>
      <c r="B164" s="933">
        <v>9</v>
      </c>
      <c r="C164" s="878" t="s">
        <v>39</v>
      </c>
      <c r="D164" s="902" t="s">
        <v>8907</v>
      </c>
      <c r="E164" s="878" t="s">
        <v>7272</v>
      </c>
      <c r="F164" s="856"/>
      <c r="G164" s="857"/>
      <c r="H164" s="798">
        <v>89500</v>
      </c>
      <c r="I164" s="954">
        <f>Table2[[#This Row],[Opening]]+Table2[[#This Row],[Debit]]-Table2[[#This Row],[Credit]]</f>
        <v>-89500</v>
      </c>
      <c r="J164" s="879"/>
      <c r="S164" s="791"/>
      <c r="T164" s="791"/>
      <c r="U164" s="791"/>
      <c r="V164" s="920"/>
    </row>
    <row r="165" spans="1:22" ht="24" customHeight="1" x14ac:dyDescent="0.6">
      <c r="A165" s="1073">
        <v>44690</v>
      </c>
      <c r="B165" s="933">
        <v>9</v>
      </c>
      <c r="C165" s="878" t="s">
        <v>39</v>
      </c>
      <c r="D165" s="904" t="s">
        <v>8193</v>
      </c>
      <c r="E165" s="878" t="s">
        <v>7272</v>
      </c>
      <c r="F165" s="853"/>
      <c r="G165" s="854"/>
      <c r="H165" s="839">
        <v>862250</v>
      </c>
      <c r="I165" s="955">
        <f>Table2[[#This Row],[Opening]]+Table2[[#This Row],[Debit]]-Table2[[#This Row],[Credit]]</f>
        <v>-862250</v>
      </c>
      <c r="J165" s="879"/>
      <c r="S165" s="791"/>
      <c r="T165" s="791"/>
      <c r="U165" s="791"/>
      <c r="V165" s="920"/>
    </row>
    <row r="166" spans="1:22" ht="24" customHeight="1" x14ac:dyDescent="0.6">
      <c r="A166" s="1073">
        <v>44690</v>
      </c>
      <c r="B166" s="933">
        <v>9</v>
      </c>
      <c r="C166" s="878" t="s">
        <v>39</v>
      </c>
      <c r="D166" s="902" t="s">
        <v>8208</v>
      </c>
      <c r="E166" s="878" t="s">
        <v>7272</v>
      </c>
      <c r="F166" s="856"/>
      <c r="G166" s="857"/>
      <c r="H166" s="798">
        <v>227500</v>
      </c>
      <c r="I166" s="954">
        <f>Table2[[#This Row],[Opening]]+Table2[[#This Row],[Debit]]-Table2[[#This Row],[Credit]]</f>
        <v>-227500</v>
      </c>
      <c r="J166" s="879"/>
      <c r="S166" s="791"/>
      <c r="T166" s="791"/>
      <c r="U166" s="791"/>
      <c r="V166" s="920"/>
    </row>
    <row r="167" spans="1:22" ht="24" customHeight="1" x14ac:dyDescent="0.6">
      <c r="A167" s="1073">
        <v>44690</v>
      </c>
      <c r="B167" s="933">
        <v>9</v>
      </c>
      <c r="C167" s="878" t="s">
        <v>39</v>
      </c>
      <c r="D167" s="902" t="s">
        <v>8194</v>
      </c>
      <c r="E167" s="878" t="s">
        <v>7272</v>
      </c>
      <c r="F167" s="859"/>
      <c r="G167" s="860"/>
      <c r="H167" s="836">
        <v>46650</v>
      </c>
      <c r="I167" s="955">
        <f>Table2[[#This Row],[Opening]]+Table2[[#This Row],[Debit]]-Table2[[#This Row],[Credit]]</f>
        <v>-46650</v>
      </c>
      <c r="J167" s="879"/>
      <c r="S167" s="791"/>
      <c r="T167" s="791"/>
      <c r="U167" s="791"/>
      <c r="V167" s="920"/>
    </row>
    <row r="168" spans="1:22" ht="24" customHeight="1" x14ac:dyDescent="0.6">
      <c r="A168" s="1073">
        <v>44690</v>
      </c>
      <c r="B168" s="933">
        <v>9</v>
      </c>
      <c r="C168" s="878" t="s">
        <v>39</v>
      </c>
      <c r="D168" s="902" t="s">
        <v>8196</v>
      </c>
      <c r="E168" s="878" t="s">
        <v>7272</v>
      </c>
      <c r="F168" s="843"/>
      <c r="G168" s="844"/>
      <c r="H168" s="809">
        <v>503800</v>
      </c>
      <c r="I168" s="954">
        <f>Table2[[#This Row],[Opening]]+Table2[[#This Row],[Debit]]-Table2[[#This Row],[Credit]]</f>
        <v>-503800</v>
      </c>
      <c r="J168" s="879"/>
      <c r="S168" s="791"/>
      <c r="T168" s="791"/>
      <c r="U168" s="791"/>
      <c r="V168" s="920"/>
    </row>
    <row r="169" spans="1:22" ht="24" customHeight="1" x14ac:dyDescent="0.6">
      <c r="A169" s="1073">
        <v>44690</v>
      </c>
      <c r="B169" s="933">
        <v>9</v>
      </c>
      <c r="C169" s="878" t="s">
        <v>39</v>
      </c>
      <c r="D169" s="902" t="s">
        <v>8970</v>
      </c>
      <c r="E169" s="878" t="s">
        <v>7272</v>
      </c>
      <c r="F169" s="856"/>
      <c r="G169" s="857"/>
      <c r="H169" s="798">
        <v>75700</v>
      </c>
      <c r="I169" s="954">
        <f>Table2[[#This Row],[Opening]]+Table2[[#This Row],[Debit]]-Table2[[#This Row],[Credit]]</f>
        <v>-75700</v>
      </c>
      <c r="J169" s="879"/>
      <c r="S169" s="791"/>
      <c r="T169" s="791"/>
      <c r="U169" s="791"/>
      <c r="V169" s="920"/>
    </row>
    <row r="170" spans="1:22" ht="24" customHeight="1" x14ac:dyDescent="0.6">
      <c r="A170" s="1073">
        <v>44690</v>
      </c>
      <c r="B170" s="933">
        <v>9</v>
      </c>
      <c r="C170" s="878" t="s">
        <v>39</v>
      </c>
      <c r="D170" s="904" t="s">
        <v>8211</v>
      </c>
      <c r="E170" s="878" t="s">
        <v>7272</v>
      </c>
      <c r="F170" s="853"/>
      <c r="G170" s="854"/>
      <c r="H170" s="839">
        <v>16000</v>
      </c>
      <c r="I170" s="955">
        <f>Table2[[#This Row],[Opening]]+Table2[[#This Row],[Debit]]-Table2[[#This Row],[Credit]]</f>
        <v>-16000</v>
      </c>
      <c r="J170" s="879"/>
      <c r="S170" s="791"/>
      <c r="T170" s="791"/>
      <c r="U170" s="791"/>
      <c r="V170" s="920"/>
    </row>
    <row r="171" spans="1:22" ht="24" customHeight="1" x14ac:dyDescent="0.6">
      <c r="A171" s="1073">
        <v>44690</v>
      </c>
      <c r="B171" s="933">
        <v>9</v>
      </c>
      <c r="C171" s="878" t="s">
        <v>39</v>
      </c>
      <c r="D171" s="878" t="s">
        <v>8498</v>
      </c>
      <c r="E171" s="878" t="s">
        <v>7272</v>
      </c>
      <c r="F171" s="856"/>
      <c r="G171" s="857"/>
      <c r="H171" s="798">
        <v>35820</v>
      </c>
      <c r="I171" s="954">
        <f>Table2[[#This Row],[Opening]]+Table2[[#This Row],[Debit]]-Table2[[#This Row],[Credit]]</f>
        <v>-35820</v>
      </c>
      <c r="J171" s="879"/>
      <c r="S171" s="791"/>
      <c r="T171" s="791"/>
      <c r="U171" s="791"/>
      <c r="V171" s="920"/>
    </row>
    <row r="172" spans="1:22" ht="24" customHeight="1" x14ac:dyDescent="0.6">
      <c r="A172" s="1073">
        <v>44690</v>
      </c>
      <c r="B172" s="933">
        <v>9</v>
      </c>
      <c r="C172" s="878" t="s">
        <v>39</v>
      </c>
      <c r="D172" s="893" t="s">
        <v>8197</v>
      </c>
      <c r="E172" s="878" t="s">
        <v>7272</v>
      </c>
      <c r="F172" s="859"/>
      <c r="G172" s="860"/>
      <c r="H172" s="836">
        <v>796700</v>
      </c>
      <c r="I172" s="955">
        <f>Table2[[#This Row],[Opening]]+Table2[[#This Row],[Debit]]-Table2[[#This Row],[Credit]]</f>
        <v>-796700</v>
      </c>
      <c r="J172" s="879"/>
      <c r="S172" s="791"/>
      <c r="T172" s="791"/>
      <c r="U172" s="791"/>
      <c r="V172" s="920"/>
    </row>
    <row r="173" spans="1:22" ht="24" customHeight="1" x14ac:dyDescent="0.6">
      <c r="A173" s="1073">
        <v>44690</v>
      </c>
      <c r="B173" s="933">
        <v>9</v>
      </c>
      <c r="C173" s="878" t="s">
        <v>39</v>
      </c>
      <c r="D173" s="893" t="s">
        <v>8194</v>
      </c>
      <c r="E173" s="878" t="s">
        <v>7272</v>
      </c>
      <c r="F173" s="843"/>
      <c r="G173" s="844"/>
      <c r="H173" s="809">
        <v>7000</v>
      </c>
      <c r="I173" s="954">
        <f>Table2[[#This Row],[Opening]]+Table2[[#This Row],[Debit]]-Table2[[#This Row],[Credit]]</f>
        <v>-7000</v>
      </c>
      <c r="J173" s="879"/>
      <c r="S173" s="791"/>
      <c r="T173" s="791"/>
      <c r="U173" s="791"/>
      <c r="V173" s="920"/>
    </row>
    <row r="174" spans="1:22" ht="24" customHeight="1" x14ac:dyDescent="0.6">
      <c r="A174" s="1073">
        <v>44690</v>
      </c>
      <c r="B174" s="933">
        <v>9</v>
      </c>
      <c r="C174" s="878" t="s">
        <v>39</v>
      </c>
      <c r="D174" s="893" t="s">
        <v>8207</v>
      </c>
      <c r="E174" s="878" t="s">
        <v>7272</v>
      </c>
      <c r="F174" s="856"/>
      <c r="G174" s="857"/>
      <c r="H174" s="798">
        <v>15000</v>
      </c>
      <c r="I174" s="954">
        <f>Table2[[#This Row],[Opening]]+Table2[[#This Row],[Debit]]-Table2[[#This Row],[Credit]]</f>
        <v>-15000</v>
      </c>
      <c r="J174" s="879"/>
      <c r="S174" s="791"/>
      <c r="T174" s="791"/>
      <c r="U174" s="791"/>
      <c r="V174" s="920"/>
    </row>
    <row r="175" spans="1:22" ht="24" customHeight="1" thickBot="1" x14ac:dyDescent="0.65">
      <c r="A175" s="1251">
        <v>44690</v>
      </c>
      <c r="B175" s="885">
        <v>9</v>
      </c>
      <c r="C175" s="886" t="s">
        <v>39</v>
      </c>
      <c r="D175" s="1240" t="s">
        <v>8203</v>
      </c>
      <c r="E175" s="886" t="s">
        <v>7272</v>
      </c>
      <c r="F175" s="1248"/>
      <c r="G175" s="871"/>
      <c r="H175" s="872">
        <v>68500</v>
      </c>
      <c r="I175" s="959">
        <f>Table2[[#This Row],[Opening]]+Table2[[#This Row],[Debit]]-Table2[[#This Row],[Credit]]</f>
        <v>-68500</v>
      </c>
      <c r="J175" s="879"/>
      <c r="S175" s="791"/>
      <c r="T175" s="791"/>
      <c r="U175" s="791"/>
      <c r="V175" s="920"/>
    </row>
    <row r="176" spans="1:22" ht="24" customHeight="1" thickTop="1" x14ac:dyDescent="0.6">
      <c r="A176" s="891">
        <v>44691</v>
      </c>
      <c r="B176" s="850">
        <v>10</v>
      </c>
      <c r="C176" s="851" t="s">
        <v>905</v>
      </c>
      <c r="D176" s="851" t="s">
        <v>8879</v>
      </c>
      <c r="E176" s="851"/>
      <c r="F176" s="859"/>
      <c r="G176" s="860">
        <v>6000</v>
      </c>
      <c r="H176" s="836"/>
      <c r="I176" s="960">
        <f>Table2[[#This Row],[Opening]]+Table2[[#This Row],[Debit]]-Table2[[#This Row],[Credit]]</f>
        <v>6000</v>
      </c>
      <c r="J176" s="879"/>
      <c r="S176" s="791"/>
      <c r="T176" s="791"/>
      <c r="U176" s="791"/>
      <c r="V176" s="920"/>
    </row>
    <row r="177" spans="1:22" ht="24" customHeight="1" x14ac:dyDescent="0.6">
      <c r="A177" s="891">
        <v>44691</v>
      </c>
      <c r="B177" s="850">
        <v>10</v>
      </c>
      <c r="C177" s="851" t="s">
        <v>905</v>
      </c>
      <c r="D177" s="851" t="s">
        <v>8879</v>
      </c>
      <c r="E177" s="851"/>
      <c r="F177" s="853"/>
      <c r="G177" s="854">
        <v>5000</v>
      </c>
      <c r="H177" s="839"/>
      <c r="I177" s="960">
        <f>Table2[[#This Row],[Opening]]+Table2[[#This Row],[Debit]]-Table2[[#This Row],[Credit]]</f>
        <v>5000</v>
      </c>
      <c r="J177" s="879"/>
      <c r="S177" s="791"/>
      <c r="T177" s="791"/>
      <c r="U177" s="791"/>
      <c r="V177" s="920"/>
    </row>
    <row r="178" spans="1:22" ht="24" customHeight="1" x14ac:dyDescent="0.6">
      <c r="A178" s="891">
        <v>44691</v>
      </c>
      <c r="B178" s="850">
        <v>10</v>
      </c>
      <c r="C178" s="851" t="s">
        <v>905</v>
      </c>
      <c r="D178" s="851" t="s">
        <v>8879</v>
      </c>
      <c r="E178" s="851"/>
      <c r="F178" s="859"/>
      <c r="G178" s="860">
        <v>1000</v>
      </c>
      <c r="H178" s="836"/>
      <c r="I178" s="960">
        <f>Table2[[#This Row],[Opening]]+Table2[[#This Row],[Debit]]-Table2[[#This Row],[Credit]]</f>
        <v>1000</v>
      </c>
      <c r="J178" s="879"/>
      <c r="S178" s="791"/>
      <c r="T178" s="791"/>
      <c r="U178" s="791"/>
      <c r="V178" s="920"/>
    </row>
    <row r="179" spans="1:22" ht="24" customHeight="1" x14ac:dyDescent="0.6">
      <c r="A179" s="891">
        <v>44691</v>
      </c>
      <c r="B179" s="850">
        <v>10</v>
      </c>
      <c r="C179" s="851" t="s">
        <v>905</v>
      </c>
      <c r="D179" s="851" t="s">
        <v>8879</v>
      </c>
      <c r="E179" s="842"/>
      <c r="F179" s="843"/>
      <c r="G179" s="844">
        <v>80000</v>
      </c>
      <c r="H179" s="809"/>
      <c r="I179" s="961">
        <f>Table2[[#This Row],[Opening]]+Table2[[#This Row],[Debit]]-Table2[[#This Row],[Credit]]</f>
        <v>80000</v>
      </c>
      <c r="J179" s="879"/>
      <c r="S179" s="791"/>
      <c r="T179" s="791"/>
      <c r="U179" s="791"/>
      <c r="V179" s="920"/>
    </row>
    <row r="180" spans="1:22" ht="24" customHeight="1" x14ac:dyDescent="0.6">
      <c r="A180" s="891">
        <v>44691</v>
      </c>
      <c r="B180" s="850">
        <v>10</v>
      </c>
      <c r="C180" s="851" t="s">
        <v>2466</v>
      </c>
      <c r="D180" s="852" t="s">
        <v>8886</v>
      </c>
      <c r="E180" s="851"/>
      <c r="F180" s="859"/>
      <c r="G180" s="860">
        <v>1000</v>
      </c>
      <c r="H180" s="836"/>
      <c r="I180" s="960">
        <f>Table2[[#This Row],[Opening]]+Table2[[#This Row],[Debit]]-Table2[[#This Row],[Credit]]</f>
        <v>1000</v>
      </c>
      <c r="J180" s="879"/>
      <c r="S180" s="791"/>
      <c r="T180" s="791"/>
      <c r="U180" s="791"/>
      <c r="V180" s="920"/>
    </row>
    <row r="181" spans="1:22" ht="24" customHeight="1" x14ac:dyDescent="0.6">
      <c r="A181" s="891">
        <v>44691</v>
      </c>
      <c r="B181" s="850">
        <v>10</v>
      </c>
      <c r="C181" s="851" t="s">
        <v>2466</v>
      </c>
      <c r="D181" s="852" t="s">
        <v>8886</v>
      </c>
      <c r="E181" s="842"/>
      <c r="F181" s="859"/>
      <c r="G181" s="860">
        <v>2500</v>
      </c>
      <c r="H181" s="836"/>
      <c r="I181" s="960">
        <f>Table2[[#This Row],[Opening]]+Table2[[#This Row],[Debit]]-Table2[[#This Row],[Credit]]</f>
        <v>2500</v>
      </c>
      <c r="J181" s="879"/>
      <c r="S181" s="791"/>
      <c r="T181" s="791"/>
      <c r="U181" s="791"/>
      <c r="V181" s="920"/>
    </row>
    <row r="182" spans="1:22" ht="24" customHeight="1" x14ac:dyDescent="0.6">
      <c r="A182" s="891">
        <v>44691</v>
      </c>
      <c r="B182" s="850">
        <v>10</v>
      </c>
      <c r="C182" s="851" t="s">
        <v>2466</v>
      </c>
      <c r="D182" s="852" t="s">
        <v>8886</v>
      </c>
      <c r="E182" s="842"/>
      <c r="F182" s="843"/>
      <c r="G182" s="844">
        <v>1500</v>
      </c>
      <c r="H182" s="809"/>
      <c r="I182" s="961">
        <f>Table2[[#This Row],[Opening]]+Table2[[#This Row],[Debit]]-Table2[[#This Row],[Credit]]</f>
        <v>1500</v>
      </c>
      <c r="J182" s="879"/>
      <c r="S182" s="791"/>
      <c r="T182" s="791"/>
      <c r="U182" s="791"/>
      <c r="V182" s="920"/>
    </row>
    <row r="183" spans="1:22" ht="24" customHeight="1" x14ac:dyDescent="0.6">
      <c r="A183" s="891">
        <v>44691</v>
      </c>
      <c r="B183" s="850">
        <v>10</v>
      </c>
      <c r="C183" s="851" t="s">
        <v>2466</v>
      </c>
      <c r="D183" s="852" t="s">
        <v>8886</v>
      </c>
      <c r="E183" s="842"/>
      <c r="F183" s="859"/>
      <c r="G183" s="860">
        <v>40000</v>
      </c>
      <c r="H183" s="836"/>
      <c r="I183" s="960">
        <f>Table2[[#This Row],[Opening]]+Table2[[#This Row],[Debit]]-Table2[[#This Row],[Credit]]</f>
        <v>40000</v>
      </c>
      <c r="J183" s="879"/>
      <c r="S183" s="791"/>
      <c r="T183" s="791"/>
      <c r="U183" s="791"/>
      <c r="V183" s="920"/>
    </row>
    <row r="184" spans="1:22" ht="24" customHeight="1" x14ac:dyDescent="0.6">
      <c r="A184" s="891">
        <v>44691</v>
      </c>
      <c r="B184" s="850">
        <v>10</v>
      </c>
      <c r="C184" s="842" t="s">
        <v>905</v>
      </c>
      <c r="D184" s="851" t="s">
        <v>8879</v>
      </c>
      <c r="E184" s="842"/>
      <c r="F184" s="843"/>
      <c r="G184" s="844">
        <v>2000</v>
      </c>
      <c r="H184" s="809"/>
      <c r="I184" s="961">
        <f>Table2[[#This Row],[Opening]]+Table2[[#This Row],[Debit]]-Table2[[#This Row],[Credit]]</f>
        <v>2000</v>
      </c>
      <c r="J184" s="879"/>
      <c r="S184" s="791"/>
      <c r="T184" s="791"/>
      <c r="U184" s="791"/>
      <c r="V184" s="920"/>
    </row>
    <row r="185" spans="1:22" ht="24" customHeight="1" x14ac:dyDescent="0.6">
      <c r="A185" s="891">
        <v>44691</v>
      </c>
      <c r="B185" s="850">
        <v>10</v>
      </c>
      <c r="C185" s="842" t="s">
        <v>905</v>
      </c>
      <c r="D185" s="851" t="s">
        <v>8879</v>
      </c>
      <c r="E185" s="851"/>
      <c r="F185" s="859"/>
      <c r="G185" s="860">
        <v>2000</v>
      </c>
      <c r="H185" s="836"/>
      <c r="I185" s="960">
        <f>Table2[[#This Row],[Opening]]+Table2[[#This Row],[Debit]]-Table2[[#This Row],[Credit]]</f>
        <v>2000</v>
      </c>
      <c r="J185" s="879"/>
      <c r="S185" s="791"/>
      <c r="T185" s="791"/>
      <c r="U185" s="791"/>
      <c r="V185" s="920"/>
    </row>
    <row r="186" spans="1:22" ht="24" customHeight="1" x14ac:dyDescent="0.6">
      <c r="A186" s="891">
        <v>44691</v>
      </c>
      <c r="B186" s="850">
        <v>10</v>
      </c>
      <c r="C186" s="842" t="s">
        <v>888</v>
      </c>
      <c r="D186" s="851" t="s">
        <v>8880</v>
      </c>
      <c r="E186" s="851"/>
      <c r="F186" s="843"/>
      <c r="G186" s="844">
        <v>3500200</v>
      </c>
      <c r="H186" s="809"/>
      <c r="I186" s="961">
        <f>Table2[[#This Row],[Opening]]+Table2[[#This Row],[Debit]]-Table2[[#This Row],[Credit]]</f>
        <v>3500200</v>
      </c>
      <c r="J186" s="879"/>
      <c r="S186" s="791"/>
      <c r="T186" s="791"/>
      <c r="U186" s="791"/>
      <c r="V186" s="920"/>
    </row>
    <row r="187" spans="1:22" ht="24" customHeight="1" x14ac:dyDescent="0.6">
      <c r="A187" s="891">
        <v>44691</v>
      </c>
      <c r="B187" s="850">
        <v>10</v>
      </c>
      <c r="C187" s="842" t="s">
        <v>1267</v>
      </c>
      <c r="D187" s="851" t="s">
        <v>7209</v>
      </c>
      <c r="E187" s="842"/>
      <c r="F187" s="856"/>
      <c r="G187" s="857">
        <v>21700</v>
      </c>
      <c r="I187" s="961">
        <f>Table2[[#This Row],[Opening]]+Table2[[#This Row],[Debit]]-Table2[[#This Row],[Credit]]</f>
        <v>21700</v>
      </c>
      <c r="J187" s="879"/>
      <c r="S187" s="791"/>
      <c r="T187" s="791"/>
      <c r="U187" s="791"/>
      <c r="V187" s="920"/>
    </row>
    <row r="188" spans="1:22" ht="24" customHeight="1" x14ac:dyDescent="0.6">
      <c r="A188" s="891">
        <v>44691</v>
      </c>
      <c r="B188" s="850">
        <v>10</v>
      </c>
      <c r="C188" s="842" t="s">
        <v>39</v>
      </c>
      <c r="D188" s="851" t="s">
        <v>8202</v>
      </c>
      <c r="E188" s="842" t="s">
        <v>7271</v>
      </c>
      <c r="F188" s="856"/>
      <c r="G188" s="857"/>
      <c r="H188" s="798">
        <v>22000</v>
      </c>
      <c r="I188" s="961">
        <f>Table2[[#This Row],[Opening]]+Table2[[#This Row],[Debit]]-Table2[[#This Row],[Credit]]</f>
        <v>-22000</v>
      </c>
      <c r="J188" s="879"/>
      <c r="S188" s="791"/>
      <c r="T188" s="791"/>
      <c r="U188" s="792"/>
      <c r="V188" s="920"/>
    </row>
    <row r="189" spans="1:22" ht="24" customHeight="1" x14ac:dyDescent="0.6">
      <c r="A189" s="891">
        <v>44691</v>
      </c>
      <c r="B189" s="850">
        <v>10</v>
      </c>
      <c r="C189" s="842" t="s">
        <v>39</v>
      </c>
      <c r="D189" s="855" t="s">
        <v>8971</v>
      </c>
      <c r="E189" s="842" t="s">
        <v>7271</v>
      </c>
      <c r="F189" s="843"/>
      <c r="G189" s="844"/>
      <c r="H189" s="809">
        <v>9850</v>
      </c>
      <c r="I189" s="961">
        <f>Table2[[#This Row],[Opening]]+Table2[[#This Row],[Debit]]-Table2[[#This Row],[Credit]]</f>
        <v>-9850</v>
      </c>
      <c r="J189" s="879"/>
      <c r="U189" s="926"/>
      <c r="V189" s="920"/>
    </row>
    <row r="190" spans="1:22" ht="24" customHeight="1" x14ac:dyDescent="0.6">
      <c r="A190" s="891">
        <v>44691</v>
      </c>
      <c r="B190" s="850">
        <v>10</v>
      </c>
      <c r="C190" s="842" t="s">
        <v>39</v>
      </c>
      <c r="D190" s="855" t="s">
        <v>8970</v>
      </c>
      <c r="E190" s="842" t="s">
        <v>7271</v>
      </c>
      <c r="F190" s="843"/>
      <c r="G190" s="857"/>
      <c r="H190" s="809">
        <v>289600</v>
      </c>
      <c r="I190" s="961">
        <f>'Daily Cash Book'!$G190-'Daily Cash Book'!$H$2:$H$1188</f>
        <v>-289600</v>
      </c>
      <c r="J190" s="879"/>
      <c r="U190" s="926"/>
      <c r="V190" s="920"/>
    </row>
    <row r="191" spans="1:22" ht="24" customHeight="1" x14ac:dyDescent="0.6">
      <c r="A191" s="891">
        <v>44691</v>
      </c>
      <c r="B191" s="850">
        <v>10</v>
      </c>
      <c r="C191" s="842" t="s">
        <v>1183</v>
      </c>
      <c r="D191" s="855" t="s">
        <v>8893</v>
      </c>
      <c r="E191" s="842"/>
      <c r="F191" s="856"/>
      <c r="G191" s="854"/>
      <c r="H191" s="798">
        <v>15000</v>
      </c>
      <c r="I191" s="961">
        <f>Table2[[#This Row],[Opening]]+Table2[[#This Row],[Debit]]-Table2[[#This Row],[Credit]]</f>
        <v>-15000</v>
      </c>
      <c r="J191" s="879"/>
      <c r="U191" s="926"/>
      <c r="V191" s="920"/>
    </row>
    <row r="192" spans="1:22" ht="24" customHeight="1" x14ac:dyDescent="0.6">
      <c r="A192" s="891">
        <v>44691</v>
      </c>
      <c r="B192" s="850">
        <v>10</v>
      </c>
      <c r="C192" s="842" t="s">
        <v>1183</v>
      </c>
      <c r="D192" s="855" t="s">
        <v>8893</v>
      </c>
      <c r="E192" s="851"/>
      <c r="F192" s="853"/>
      <c r="G192" s="854"/>
      <c r="H192" s="798">
        <v>12000</v>
      </c>
      <c r="I192" s="960">
        <f>Table2[[#This Row],[Opening]]+Table2[[#This Row],[Debit]]-Table2[[#This Row],[Credit]]</f>
        <v>-12000</v>
      </c>
      <c r="J192" s="879"/>
      <c r="U192" s="926"/>
      <c r="V192" s="920"/>
    </row>
    <row r="193" spans="1:22" ht="24" customHeight="1" x14ac:dyDescent="0.6">
      <c r="A193" s="891">
        <v>44691</v>
      </c>
      <c r="B193" s="850">
        <v>10</v>
      </c>
      <c r="C193" s="851" t="s">
        <v>1240</v>
      </c>
      <c r="D193" s="855" t="s">
        <v>8972</v>
      </c>
      <c r="E193" s="842" t="s">
        <v>7269</v>
      </c>
      <c r="F193" s="856"/>
      <c r="G193" s="798"/>
      <c r="H193" s="798">
        <v>22500</v>
      </c>
      <c r="I193" s="961">
        <f>Table2[[#This Row],[Opening]]+Table2[[#This Row],[Debit]]-Table2[[#This Row],[Credit]]</f>
        <v>-22500</v>
      </c>
      <c r="J193" s="879"/>
      <c r="U193" s="926"/>
      <c r="V193" s="920"/>
    </row>
    <row r="194" spans="1:22" ht="24" customHeight="1" x14ac:dyDescent="0.6">
      <c r="A194" s="891">
        <v>44691</v>
      </c>
      <c r="B194" s="850">
        <v>10</v>
      </c>
      <c r="C194" s="851" t="s">
        <v>1240</v>
      </c>
      <c r="D194" s="855" t="s">
        <v>8973</v>
      </c>
      <c r="E194" s="842" t="s">
        <v>7269</v>
      </c>
      <c r="F194" s="856"/>
      <c r="G194" s="798"/>
      <c r="H194" s="836">
        <v>73000</v>
      </c>
      <c r="I194" s="961">
        <f>Table2[[#This Row],[Opening]]+Table2[[#This Row],[Debit]]-Table2[[#This Row],[Credit]]</f>
        <v>-73000</v>
      </c>
      <c r="J194" s="879"/>
      <c r="U194" s="926"/>
      <c r="V194" s="920"/>
    </row>
    <row r="195" spans="1:22" ht="24" customHeight="1" x14ac:dyDescent="0.6">
      <c r="A195" s="891">
        <v>44691</v>
      </c>
      <c r="B195" s="850">
        <v>10</v>
      </c>
      <c r="C195" s="851" t="s">
        <v>1240</v>
      </c>
      <c r="D195" s="851" t="s">
        <v>8974</v>
      </c>
      <c r="E195" s="842" t="s">
        <v>7269</v>
      </c>
      <c r="F195" s="859"/>
      <c r="G195" s="836"/>
      <c r="H195" s="798">
        <v>13500</v>
      </c>
      <c r="I195" s="960">
        <f>Table2[[#This Row],[Opening]]+Table2[[#This Row],[Debit]]-Table2[[#This Row],[Credit]]</f>
        <v>-13500</v>
      </c>
      <c r="J195" s="879"/>
      <c r="U195" s="926"/>
      <c r="V195" s="920"/>
    </row>
    <row r="196" spans="1:22" ht="24" customHeight="1" x14ac:dyDescent="0.6">
      <c r="A196" s="891">
        <v>44691</v>
      </c>
      <c r="B196" s="850">
        <v>10</v>
      </c>
      <c r="C196" s="851" t="s">
        <v>1240</v>
      </c>
      <c r="D196" s="851" t="s">
        <v>8975</v>
      </c>
      <c r="E196" s="842" t="s">
        <v>7269</v>
      </c>
      <c r="F196" s="856"/>
      <c r="G196" s="798"/>
      <c r="H196" s="836">
        <v>8500</v>
      </c>
      <c r="I196" s="961">
        <f>Table2[[#This Row],[Opening]]+Table2[[#This Row],[Debit]]-Table2[[#This Row],[Credit]]</f>
        <v>-8500</v>
      </c>
      <c r="J196" s="879"/>
      <c r="U196" s="926"/>
      <c r="V196" s="920"/>
    </row>
    <row r="197" spans="1:22" ht="24" customHeight="1" x14ac:dyDescent="0.6">
      <c r="A197" s="891">
        <v>44691</v>
      </c>
      <c r="B197" s="850">
        <v>10</v>
      </c>
      <c r="C197" s="842" t="s">
        <v>2352</v>
      </c>
      <c r="D197" s="851" t="s">
        <v>8976</v>
      </c>
      <c r="E197" s="851"/>
      <c r="F197" s="859"/>
      <c r="G197" s="836"/>
      <c r="H197" s="798">
        <v>30000</v>
      </c>
      <c r="I197" s="955">
        <f>Table2[[#This Row],[Opening]]+Table2[[#This Row],[Debit]]-Table2[[#This Row],[Credit]]</f>
        <v>-30000</v>
      </c>
      <c r="J197" s="879"/>
      <c r="U197" s="926"/>
      <c r="V197" s="920"/>
    </row>
    <row r="198" spans="1:22" ht="24" customHeight="1" x14ac:dyDescent="0.6">
      <c r="A198" s="891">
        <v>44691</v>
      </c>
      <c r="B198" s="850">
        <v>10</v>
      </c>
      <c r="C198" s="842" t="s">
        <v>863</v>
      </c>
      <c r="D198" s="842" t="s">
        <v>8977</v>
      </c>
      <c r="E198" s="842"/>
      <c r="F198" s="856"/>
      <c r="G198" s="798"/>
      <c r="H198" s="836">
        <v>4000</v>
      </c>
      <c r="I198" s="954">
        <f>Table2[[#This Row],[Opening]]+Table2[[#This Row],[Debit]]-Table2[[#This Row],[Credit]]</f>
        <v>-4000</v>
      </c>
      <c r="J198" s="879"/>
      <c r="U198" s="926"/>
      <c r="V198" s="920"/>
    </row>
    <row r="199" spans="1:22" ht="24" customHeight="1" thickBot="1" x14ac:dyDescent="0.65">
      <c r="A199" s="1249">
        <v>44691</v>
      </c>
      <c r="B199" s="869">
        <v>10</v>
      </c>
      <c r="C199" s="846" t="s">
        <v>1183</v>
      </c>
      <c r="D199" s="846" t="s">
        <v>8938</v>
      </c>
      <c r="E199" s="846"/>
      <c r="F199" s="1236"/>
      <c r="G199" s="1238"/>
      <c r="H199" s="1238">
        <v>60000</v>
      </c>
      <c r="I199" s="956">
        <f>Table2[[#This Row],[Opening]]+Table2[[#This Row],[Debit]]-Table2[[#This Row],[Credit]]</f>
        <v>-60000</v>
      </c>
      <c r="J199" s="879"/>
      <c r="U199" s="926"/>
      <c r="V199" s="920"/>
    </row>
    <row r="200" spans="1:22" ht="24" customHeight="1" thickTop="1" x14ac:dyDescent="0.6">
      <c r="A200" s="891">
        <v>44692</v>
      </c>
      <c r="B200" s="850">
        <v>11</v>
      </c>
      <c r="C200" s="851" t="s">
        <v>2466</v>
      </c>
      <c r="D200" s="851" t="s">
        <v>8978</v>
      </c>
      <c r="E200" s="851"/>
      <c r="F200" s="859"/>
      <c r="G200" s="860">
        <v>2000</v>
      </c>
      <c r="H200" s="836"/>
      <c r="I200" s="960">
        <f>Table2[[#This Row],[Opening]]+Table2[[#This Row],[Debit]]-Table2[[#This Row],[Credit]]</f>
        <v>2000</v>
      </c>
      <c r="J200" s="879"/>
      <c r="U200" s="926"/>
      <c r="V200" s="920"/>
    </row>
    <row r="201" spans="1:22" ht="24" customHeight="1" x14ac:dyDescent="0.6">
      <c r="A201" s="891">
        <v>44692</v>
      </c>
      <c r="B201" s="850">
        <v>11</v>
      </c>
      <c r="C201" s="851" t="s">
        <v>2466</v>
      </c>
      <c r="D201" s="851" t="s">
        <v>8978</v>
      </c>
      <c r="E201" s="893"/>
      <c r="F201" s="859"/>
      <c r="G201" s="860">
        <v>1000</v>
      </c>
      <c r="H201" s="836"/>
      <c r="I201" s="960">
        <f>Table2[[#This Row],[Opening]]+Table2[[#This Row],[Debit]]-Table2[[#This Row],[Credit]]</f>
        <v>1000</v>
      </c>
      <c r="J201" s="879"/>
      <c r="U201" s="926"/>
      <c r="V201" s="920"/>
    </row>
    <row r="202" spans="1:22" ht="24" customHeight="1" x14ac:dyDescent="0.6">
      <c r="A202" s="891">
        <v>44692</v>
      </c>
      <c r="B202" s="850">
        <v>11</v>
      </c>
      <c r="C202" s="851" t="s">
        <v>905</v>
      </c>
      <c r="D202" s="851" t="s">
        <v>8879</v>
      </c>
      <c r="E202" s="893"/>
      <c r="F202" s="859"/>
      <c r="G202" s="860">
        <v>2000</v>
      </c>
      <c r="H202" s="836"/>
      <c r="I202" s="960">
        <f>Table2[[#This Row],[Opening]]+Table2[[#This Row],[Debit]]-Table2[[#This Row],[Credit]]</f>
        <v>2000</v>
      </c>
      <c r="J202" s="879"/>
      <c r="U202" s="926"/>
      <c r="V202" s="920"/>
    </row>
    <row r="203" spans="1:22" ht="24" customHeight="1" x14ac:dyDescent="0.6">
      <c r="A203" s="891">
        <v>44692</v>
      </c>
      <c r="B203" s="850">
        <v>11</v>
      </c>
      <c r="C203" s="851" t="s">
        <v>888</v>
      </c>
      <c r="D203" s="842" t="s">
        <v>8880</v>
      </c>
      <c r="E203" s="893"/>
      <c r="F203" s="856"/>
      <c r="G203" s="857">
        <v>1017600</v>
      </c>
      <c r="I203" s="961">
        <f>Table2[[#This Row],[Opening]]+Table2[[#This Row],[Debit]]-Table2[[#This Row],[Credit]]</f>
        <v>1017600</v>
      </c>
      <c r="J203" s="879"/>
      <c r="U203" s="926"/>
      <c r="V203" s="920"/>
    </row>
    <row r="204" spans="1:22" ht="24" customHeight="1" x14ac:dyDescent="0.6">
      <c r="A204" s="891">
        <v>44692</v>
      </c>
      <c r="B204" s="850">
        <v>11</v>
      </c>
      <c r="C204" s="851" t="s">
        <v>1267</v>
      </c>
      <c r="D204" s="851" t="s">
        <v>7209</v>
      </c>
      <c r="E204" s="893"/>
      <c r="F204" s="859"/>
      <c r="G204" s="860">
        <v>14100</v>
      </c>
      <c r="H204" s="836"/>
      <c r="I204" s="960">
        <f>Table2[[#This Row],[Opening]]+Table2[[#This Row],[Debit]]-Table2[[#This Row],[Credit]]</f>
        <v>14100</v>
      </c>
      <c r="J204" s="879"/>
      <c r="U204" s="926"/>
      <c r="V204" s="920"/>
    </row>
    <row r="205" spans="1:22" ht="24" customHeight="1" x14ac:dyDescent="0.6">
      <c r="A205" s="891">
        <v>44692</v>
      </c>
      <c r="B205" s="850">
        <v>11</v>
      </c>
      <c r="C205" s="842" t="s">
        <v>86</v>
      </c>
      <c r="D205" s="855" t="s">
        <v>8979</v>
      </c>
      <c r="E205" s="878"/>
      <c r="F205" s="843"/>
      <c r="G205" s="844"/>
      <c r="H205" s="809">
        <v>3700</v>
      </c>
      <c r="I205" s="961">
        <f>Table2[[#This Row],[Opening]]+Table2[[#This Row],[Debit]]-Table2[[#This Row],[Credit]]</f>
        <v>-3700</v>
      </c>
      <c r="J205" s="879"/>
      <c r="U205" s="926"/>
      <c r="V205" s="920"/>
    </row>
    <row r="206" spans="1:22" ht="24" customHeight="1" x14ac:dyDescent="0.6">
      <c r="A206" s="891">
        <v>44692</v>
      </c>
      <c r="B206" s="850">
        <v>11</v>
      </c>
      <c r="C206" s="851" t="s">
        <v>864</v>
      </c>
      <c r="D206" s="852" t="s">
        <v>8980</v>
      </c>
      <c r="E206" s="893"/>
      <c r="F206" s="853"/>
      <c r="G206" s="854"/>
      <c r="H206" s="839">
        <v>2900</v>
      </c>
      <c r="I206" s="960">
        <f>Table2[[#This Row],[Opening]]+Table2[[#This Row],[Debit]]-Table2[[#This Row],[Credit]]</f>
        <v>-2900</v>
      </c>
      <c r="J206" s="879"/>
      <c r="U206" s="926"/>
      <c r="V206" s="920"/>
    </row>
    <row r="207" spans="1:22" ht="24" customHeight="1" x14ac:dyDescent="0.6">
      <c r="A207" s="891">
        <v>44692</v>
      </c>
      <c r="B207" s="850">
        <v>11</v>
      </c>
      <c r="C207" s="851" t="s">
        <v>47</v>
      </c>
      <c r="D207" s="855" t="s">
        <v>1078</v>
      </c>
      <c r="E207" s="842" t="s">
        <v>7271</v>
      </c>
      <c r="F207" s="856"/>
      <c r="G207" s="857"/>
      <c r="H207" s="809">
        <v>411000</v>
      </c>
      <c r="I207" s="954">
        <f>Table2[[#This Row],[Opening]]+Table2[[#This Row],[Debit]]-Table2[[#This Row],[Credit]]</f>
        <v>-411000</v>
      </c>
      <c r="J207" s="879"/>
      <c r="U207" s="926"/>
      <c r="V207" s="920"/>
    </row>
    <row r="208" spans="1:22" ht="24" customHeight="1" x14ac:dyDescent="0.6">
      <c r="A208" s="891">
        <v>44692</v>
      </c>
      <c r="B208" s="850">
        <v>11</v>
      </c>
      <c r="C208" s="851" t="s">
        <v>86</v>
      </c>
      <c r="D208" s="852" t="s">
        <v>8981</v>
      </c>
      <c r="E208" s="878"/>
      <c r="F208" s="853"/>
      <c r="G208" s="854"/>
      <c r="H208" s="798">
        <v>19700</v>
      </c>
      <c r="I208" s="955">
        <f>Table2[[#This Row],[Opening]]+Table2[[#This Row],[Debit]]-Table2[[#This Row],[Credit]]</f>
        <v>-19700</v>
      </c>
      <c r="J208" s="879"/>
      <c r="U208" s="926"/>
      <c r="V208" s="920"/>
    </row>
    <row r="209" spans="1:22" ht="24" customHeight="1" x14ac:dyDescent="0.6">
      <c r="A209" s="891">
        <v>44692</v>
      </c>
      <c r="B209" s="850">
        <v>11</v>
      </c>
      <c r="C209" s="851" t="s">
        <v>863</v>
      </c>
      <c r="D209" s="852" t="s">
        <v>8982</v>
      </c>
      <c r="E209" s="878"/>
      <c r="F209" s="856"/>
      <c r="G209" s="857"/>
      <c r="H209" s="839">
        <v>7300</v>
      </c>
      <c r="I209" s="954">
        <f>Table2[[#This Row],[Opening]]+Table2[[#This Row],[Debit]]-Table2[[#This Row],[Credit]]</f>
        <v>-7300</v>
      </c>
      <c r="J209" s="879"/>
    </row>
    <row r="210" spans="1:22" ht="24" customHeight="1" x14ac:dyDescent="0.6">
      <c r="A210" s="891">
        <v>44692</v>
      </c>
      <c r="B210" s="850">
        <v>11</v>
      </c>
      <c r="C210" s="851" t="s">
        <v>864</v>
      </c>
      <c r="D210" s="852" t="s">
        <v>8983</v>
      </c>
      <c r="E210" s="893"/>
      <c r="F210" s="853"/>
      <c r="G210" s="854"/>
      <c r="H210" s="798">
        <v>68100</v>
      </c>
      <c r="I210" s="955">
        <f>Table2[[#This Row],[Opening]]+Table2[[#This Row],[Debit]]-Table2[[#This Row],[Credit]]</f>
        <v>-68100</v>
      </c>
      <c r="J210" s="879"/>
    </row>
    <row r="211" spans="1:22" ht="24" customHeight="1" x14ac:dyDescent="0.6">
      <c r="A211" s="891">
        <v>44692</v>
      </c>
      <c r="B211" s="850">
        <v>11</v>
      </c>
      <c r="C211" s="851" t="s">
        <v>985</v>
      </c>
      <c r="D211" s="855" t="s">
        <v>8984</v>
      </c>
      <c r="E211" s="878"/>
      <c r="F211" s="856"/>
      <c r="G211" s="857"/>
      <c r="H211" s="839">
        <v>8950</v>
      </c>
      <c r="I211" s="954">
        <f>Table2[[#This Row],[Opening]]+Table2[[#This Row],[Debit]]-Table2[[#This Row],[Credit]]</f>
        <v>-8950</v>
      </c>
      <c r="J211" s="879"/>
    </row>
    <row r="212" spans="1:22" ht="24" customHeight="1" x14ac:dyDescent="0.6">
      <c r="A212" s="891">
        <v>44692</v>
      </c>
      <c r="B212" s="850">
        <v>11</v>
      </c>
      <c r="C212" s="851" t="s">
        <v>86</v>
      </c>
      <c r="D212" s="855" t="s">
        <v>8985</v>
      </c>
      <c r="E212" s="878"/>
      <c r="F212" s="843"/>
      <c r="G212" s="844"/>
      <c r="H212" s="798">
        <v>500</v>
      </c>
      <c r="I212" s="954">
        <f>Table2[[#This Row],[Opening]]+Table2[[#This Row],[Debit]]-Table2[[#This Row],[Credit]]</f>
        <v>-500</v>
      </c>
      <c r="J212" s="879"/>
    </row>
    <row r="213" spans="1:22" ht="24" customHeight="1" x14ac:dyDescent="0.6">
      <c r="A213" s="891">
        <v>44692</v>
      </c>
      <c r="B213" s="850">
        <v>11</v>
      </c>
      <c r="C213" s="851" t="s">
        <v>864</v>
      </c>
      <c r="D213" s="852" t="s">
        <v>8986</v>
      </c>
      <c r="E213" s="893"/>
      <c r="F213" s="859"/>
      <c r="G213" s="860"/>
      <c r="H213" s="809">
        <v>1300</v>
      </c>
      <c r="I213" s="955">
        <f>Table2[[#This Row],[Opening]]+Table2[[#This Row],[Debit]]-Table2[[#This Row],[Credit]]</f>
        <v>-1300</v>
      </c>
      <c r="J213" s="879"/>
    </row>
    <row r="214" spans="1:22" ht="24" customHeight="1" x14ac:dyDescent="0.6">
      <c r="A214" s="891">
        <v>44692</v>
      </c>
      <c r="B214" s="850">
        <v>11</v>
      </c>
      <c r="C214" s="851" t="s">
        <v>863</v>
      </c>
      <c r="D214" s="855" t="s">
        <v>8944</v>
      </c>
      <c r="E214" s="878"/>
      <c r="F214" s="853"/>
      <c r="G214" s="854"/>
      <c r="H214" s="836">
        <v>2000</v>
      </c>
      <c r="I214" s="955">
        <f>Table2[[#This Row],[Opening]]+Table2[[#This Row],[Debit]]-Table2[[#This Row],[Credit]]</f>
        <v>-2000</v>
      </c>
      <c r="J214" s="879"/>
    </row>
    <row r="215" spans="1:22" ht="24" customHeight="1" x14ac:dyDescent="0.6">
      <c r="A215" s="891">
        <v>44692</v>
      </c>
      <c r="B215" s="850">
        <v>11</v>
      </c>
      <c r="C215" s="851" t="s">
        <v>2352</v>
      </c>
      <c r="D215" s="855" t="s">
        <v>8987</v>
      </c>
      <c r="E215" s="878"/>
      <c r="F215" s="856"/>
      <c r="G215" s="857"/>
      <c r="H215" s="839">
        <v>8300</v>
      </c>
      <c r="I215" s="960">
        <f>Table2[[#This Row],[Opening]]+Table2[[#This Row],[Debit]]-Table2[[#This Row],[Credit]]</f>
        <v>-8300</v>
      </c>
      <c r="J215" s="879"/>
    </row>
    <row r="216" spans="1:22" ht="24" customHeight="1" x14ac:dyDescent="0.6">
      <c r="A216" s="1254">
        <v>44692</v>
      </c>
      <c r="B216" s="1018">
        <v>11</v>
      </c>
      <c r="C216" s="842" t="s">
        <v>1240</v>
      </c>
      <c r="D216" s="855" t="s">
        <v>8988</v>
      </c>
      <c r="E216" s="842" t="s">
        <v>7269</v>
      </c>
      <c r="F216" s="856"/>
      <c r="G216" s="857"/>
      <c r="H216" s="798">
        <v>5700</v>
      </c>
      <c r="I216" s="961">
        <f>Table2[[#This Row],[Opening]]+Table2[[#This Row],[Debit]]-Table2[[#This Row],[Credit]]</f>
        <v>-5700</v>
      </c>
      <c r="J216" s="879"/>
      <c r="U216" s="926"/>
      <c r="V216" s="920"/>
    </row>
    <row r="217" spans="1:22" ht="24" customHeight="1" x14ac:dyDescent="0.6">
      <c r="A217" s="1255">
        <v>44692</v>
      </c>
      <c r="B217" s="901">
        <v>11</v>
      </c>
      <c r="C217" s="893" t="s">
        <v>47</v>
      </c>
      <c r="D217" s="904" t="s">
        <v>8200</v>
      </c>
      <c r="E217" s="893" t="s">
        <v>7274</v>
      </c>
      <c r="F217" s="859"/>
      <c r="G217" s="860"/>
      <c r="H217" s="836">
        <v>1513000</v>
      </c>
      <c r="I217" s="960">
        <f>'Daily Cash Book'!$G217-'Daily Cash Book'!$H$2:$H$1188</f>
        <v>-1513000</v>
      </c>
      <c r="J217" s="879"/>
      <c r="U217" s="926"/>
      <c r="V217" s="920"/>
    </row>
    <row r="218" spans="1:22" ht="24" customHeight="1" x14ac:dyDescent="0.6">
      <c r="A218" s="1255">
        <v>44692</v>
      </c>
      <c r="B218" s="901">
        <v>11</v>
      </c>
      <c r="C218" s="893" t="s">
        <v>47</v>
      </c>
      <c r="D218" s="904" t="s">
        <v>9002</v>
      </c>
      <c r="E218" s="893" t="s">
        <v>7274</v>
      </c>
      <c r="F218" s="859"/>
      <c r="G218" s="860"/>
      <c r="H218" s="836">
        <v>2000000</v>
      </c>
      <c r="I218" s="960">
        <f>'Daily Cash Book'!$G218-'Daily Cash Book'!$H$2:$H$1188</f>
        <v>-2000000</v>
      </c>
      <c r="J218" s="879"/>
      <c r="U218" s="926"/>
      <c r="V218" s="920"/>
    </row>
    <row r="219" spans="1:22" ht="24" customHeight="1" x14ac:dyDescent="0.6">
      <c r="A219" s="1255">
        <v>44692</v>
      </c>
      <c r="B219" s="901">
        <v>11</v>
      </c>
      <c r="C219" s="893" t="s">
        <v>39</v>
      </c>
      <c r="D219" s="904" t="s">
        <v>8969</v>
      </c>
      <c r="E219" s="893" t="s">
        <v>7272</v>
      </c>
      <c r="F219" s="859"/>
      <c r="G219" s="860"/>
      <c r="H219" s="836">
        <v>535000</v>
      </c>
      <c r="I219" s="960">
        <f>'Daily Cash Book'!$G219-'Daily Cash Book'!$H$2:$H$1188</f>
        <v>-535000</v>
      </c>
      <c r="J219" s="879"/>
      <c r="U219" s="926"/>
      <c r="V219" s="920"/>
    </row>
    <row r="220" spans="1:22" ht="24" customHeight="1" x14ac:dyDescent="0.6">
      <c r="A220" s="1255">
        <v>44692</v>
      </c>
      <c r="B220" s="901">
        <v>11</v>
      </c>
      <c r="C220" s="893" t="s">
        <v>39</v>
      </c>
      <c r="D220" s="904" t="s">
        <v>8196</v>
      </c>
      <c r="E220" s="893" t="s">
        <v>7272</v>
      </c>
      <c r="F220" s="859"/>
      <c r="G220" s="860"/>
      <c r="H220" s="836">
        <v>500000</v>
      </c>
      <c r="I220" s="960">
        <f>'Daily Cash Book'!$G220-'Daily Cash Book'!$H$2:$H$1188</f>
        <v>-500000</v>
      </c>
      <c r="J220" s="879"/>
      <c r="U220" s="926"/>
      <c r="V220" s="920"/>
    </row>
    <row r="221" spans="1:22" ht="24" customHeight="1" x14ac:dyDescent="0.6">
      <c r="A221" s="1255">
        <v>44692</v>
      </c>
      <c r="B221" s="901">
        <v>11</v>
      </c>
      <c r="C221" s="893" t="s">
        <v>39</v>
      </c>
      <c r="D221" s="904" t="s">
        <v>8194</v>
      </c>
      <c r="E221" s="893" t="s">
        <v>7272</v>
      </c>
      <c r="F221" s="859"/>
      <c r="G221" s="860"/>
      <c r="H221" s="836">
        <v>63300</v>
      </c>
      <c r="I221" s="960">
        <f>'Daily Cash Book'!$G221-'Daily Cash Book'!$H$2:$H$1188</f>
        <v>-63300</v>
      </c>
      <c r="J221" s="879"/>
      <c r="U221" s="926"/>
      <c r="V221" s="920"/>
    </row>
    <row r="222" spans="1:22" ht="24" customHeight="1" x14ac:dyDescent="0.6">
      <c r="A222" s="1255">
        <v>44692</v>
      </c>
      <c r="B222" s="901">
        <v>11</v>
      </c>
      <c r="C222" s="893" t="s">
        <v>39</v>
      </c>
      <c r="D222" s="904" t="s">
        <v>8212</v>
      </c>
      <c r="E222" s="893" t="s">
        <v>7272</v>
      </c>
      <c r="F222" s="859"/>
      <c r="G222" s="860"/>
      <c r="H222" s="836">
        <v>14000</v>
      </c>
      <c r="I222" s="960">
        <f>'Daily Cash Book'!$G222-'Daily Cash Book'!$H$2:$H$1188</f>
        <v>-14000</v>
      </c>
      <c r="J222" s="879"/>
      <c r="U222" s="926"/>
      <c r="V222" s="920"/>
    </row>
    <row r="223" spans="1:22" ht="24" customHeight="1" x14ac:dyDescent="0.6">
      <c r="A223" s="1255">
        <v>44692</v>
      </c>
      <c r="B223" s="901">
        <v>11</v>
      </c>
      <c r="C223" s="893" t="s">
        <v>47</v>
      </c>
      <c r="D223" s="904" t="s">
        <v>9003</v>
      </c>
      <c r="E223" s="893" t="s">
        <v>7274</v>
      </c>
      <c r="F223" s="859"/>
      <c r="G223" s="860"/>
      <c r="H223" s="836">
        <v>40000</v>
      </c>
      <c r="I223" s="960">
        <f>'Daily Cash Book'!$G223-'Daily Cash Book'!$H$2:$H$1188</f>
        <v>-40000</v>
      </c>
      <c r="J223" s="879"/>
      <c r="U223" s="926"/>
      <c r="V223" s="920"/>
    </row>
    <row r="224" spans="1:22" ht="24" customHeight="1" x14ac:dyDescent="0.6">
      <c r="A224" s="1255">
        <v>44692</v>
      </c>
      <c r="B224" s="901">
        <v>11</v>
      </c>
      <c r="C224" s="893" t="s">
        <v>39</v>
      </c>
      <c r="D224" s="904" t="s">
        <v>8498</v>
      </c>
      <c r="E224" s="893" t="s">
        <v>7272</v>
      </c>
      <c r="F224" s="859"/>
      <c r="G224" s="860"/>
      <c r="H224" s="836">
        <v>61300</v>
      </c>
      <c r="I224" s="960">
        <f>'Daily Cash Book'!$G224-'Daily Cash Book'!$H$2:$H$1188</f>
        <v>-61300</v>
      </c>
      <c r="J224" s="879"/>
      <c r="U224" s="926"/>
      <c r="V224" s="920"/>
    </row>
    <row r="225" spans="1:25" ht="24" customHeight="1" thickBot="1" x14ac:dyDescent="0.65">
      <c r="A225" s="1251">
        <v>44692</v>
      </c>
      <c r="B225" s="885">
        <v>11</v>
      </c>
      <c r="C225" s="886" t="s">
        <v>39</v>
      </c>
      <c r="D225" s="1240" t="s">
        <v>8202</v>
      </c>
      <c r="E225" s="886" t="s">
        <v>7272</v>
      </c>
      <c r="F225" s="1236"/>
      <c r="G225" s="1237"/>
      <c r="H225" s="1238">
        <v>58000</v>
      </c>
      <c r="I225" s="1242">
        <f>'Daily Cash Book'!$G225-'Daily Cash Book'!$H$2:$H$1188</f>
        <v>-58000</v>
      </c>
      <c r="J225" s="879"/>
      <c r="U225" s="926"/>
      <c r="V225" s="920"/>
    </row>
    <row r="226" spans="1:25" ht="24" customHeight="1" thickTop="1" x14ac:dyDescent="0.6">
      <c r="A226" s="891">
        <v>44693</v>
      </c>
      <c r="B226" s="850">
        <v>12</v>
      </c>
      <c r="C226" s="851" t="s">
        <v>905</v>
      </c>
      <c r="D226" s="852" t="s">
        <v>8879</v>
      </c>
      <c r="E226" s="893"/>
      <c r="F226" s="853"/>
      <c r="G226" s="854">
        <v>80000</v>
      </c>
      <c r="H226" s="836"/>
      <c r="I226" s="955">
        <f>Table2[[#This Row],[Opening]]+Table2[[#This Row],[Debit]]-Table2[[#This Row],[Credit]]</f>
        <v>80000</v>
      </c>
      <c r="J226" s="879"/>
      <c r="U226" s="926"/>
      <c r="V226" s="920"/>
    </row>
    <row r="227" spans="1:25" ht="24" customHeight="1" x14ac:dyDescent="0.6">
      <c r="A227" s="891">
        <v>44693</v>
      </c>
      <c r="B227" s="850">
        <v>12</v>
      </c>
      <c r="C227" s="851" t="s">
        <v>7281</v>
      </c>
      <c r="D227" s="852" t="s">
        <v>8990</v>
      </c>
      <c r="E227" s="878"/>
      <c r="F227" s="895"/>
      <c r="G227" s="857">
        <v>32000</v>
      </c>
      <c r="H227" s="839"/>
      <c r="I227" s="954">
        <f>Table2[[#This Row],[Opening]]+Table2[[#This Row],[Debit]]-Table2[[#This Row],[Credit]]</f>
        <v>32000</v>
      </c>
      <c r="J227" s="879"/>
      <c r="U227" s="926"/>
      <c r="V227" s="920"/>
    </row>
    <row r="228" spans="1:25" ht="24" customHeight="1" x14ac:dyDescent="0.6">
      <c r="A228" s="891">
        <v>44693</v>
      </c>
      <c r="B228" s="850">
        <v>12</v>
      </c>
      <c r="C228" s="851" t="s">
        <v>2466</v>
      </c>
      <c r="D228" s="852" t="s">
        <v>8886</v>
      </c>
      <c r="E228" s="851"/>
      <c r="F228" s="853"/>
      <c r="G228" s="854">
        <v>6000</v>
      </c>
      <c r="I228" s="955">
        <f>Table2[[#This Row],[Opening]]+Table2[[#This Row],[Debit]]-Table2[[#This Row],[Credit]]</f>
        <v>6000</v>
      </c>
      <c r="J228" s="879"/>
      <c r="U228" s="926"/>
      <c r="V228" s="920"/>
    </row>
    <row r="229" spans="1:25" ht="24" customHeight="1" x14ac:dyDescent="0.6">
      <c r="A229" s="891">
        <v>44693</v>
      </c>
      <c r="B229" s="850">
        <v>12</v>
      </c>
      <c r="C229" s="851" t="s">
        <v>2466</v>
      </c>
      <c r="D229" s="852" t="s">
        <v>8886</v>
      </c>
      <c r="E229" s="851"/>
      <c r="F229" s="856"/>
      <c r="G229" s="857">
        <v>300</v>
      </c>
      <c r="H229" s="839"/>
      <c r="I229" s="954">
        <f>Table2[[#This Row],[Opening]]+Table2[[#This Row],[Debit]]-Table2[[#This Row],[Credit]]</f>
        <v>300</v>
      </c>
      <c r="J229" s="879"/>
      <c r="U229" s="926"/>
      <c r="V229" s="920"/>
    </row>
    <row r="230" spans="1:25" s="908" customFormat="1" ht="24" customHeight="1" x14ac:dyDescent="0.6">
      <c r="A230" s="891">
        <v>44693</v>
      </c>
      <c r="B230" s="850">
        <v>12</v>
      </c>
      <c r="C230" s="851" t="s">
        <v>2466</v>
      </c>
      <c r="D230" s="852" t="s">
        <v>8886</v>
      </c>
      <c r="E230" s="842"/>
      <c r="F230" s="843"/>
      <c r="G230" s="844">
        <v>1000</v>
      </c>
      <c r="H230" s="798"/>
      <c r="I230" s="954">
        <f>Table2[[#This Row],[Opening]]+Table2[[#This Row],[Debit]]-Table2[[#This Row],[Credit]]</f>
        <v>1000</v>
      </c>
      <c r="J230" s="879"/>
      <c r="K230" s="741"/>
      <c r="L230" s="741"/>
      <c r="M230" s="741"/>
      <c r="N230" s="741"/>
      <c r="O230" s="927"/>
      <c r="P230" s="927"/>
      <c r="Q230" s="928"/>
      <c r="R230" s="741"/>
      <c r="S230" s="789"/>
      <c r="T230" s="789"/>
      <c r="U230" s="926"/>
      <c r="V230" s="920"/>
      <c r="W230" s="791"/>
      <c r="X230" s="791"/>
      <c r="Y230" s="792"/>
    </row>
    <row r="231" spans="1:25" s="908" customFormat="1" ht="24" customHeight="1" x14ac:dyDescent="0.6">
      <c r="A231" s="891">
        <v>44693</v>
      </c>
      <c r="B231" s="850">
        <v>12</v>
      </c>
      <c r="C231" s="842" t="s">
        <v>888</v>
      </c>
      <c r="D231" s="855" t="s">
        <v>8880</v>
      </c>
      <c r="E231" s="842"/>
      <c r="F231" s="856"/>
      <c r="G231" s="857">
        <v>3647350</v>
      </c>
      <c r="H231" s="809"/>
      <c r="I231" s="954">
        <f>Table2[[#This Row],[Opening]]+Table2[[#This Row],[Debit]]-Table2[[#This Row],[Credit]]</f>
        <v>3647350</v>
      </c>
      <c r="J231" s="879"/>
      <c r="K231" s="741"/>
      <c r="L231" s="741"/>
      <c r="M231" s="741"/>
      <c r="N231" s="741"/>
      <c r="O231" s="927"/>
      <c r="P231" s="927"/>
      <c r="Q231" s="928"/>
      <c r="R231" s="741"/>
      <c r="S231" s="789"/>
      <c r="T231" s="789"/>
      <c r="U231" s="926"/>
      <c r="V231" s="920"/>
      <c r="W231" s="791"/>
      <c r="X231" s="791"/>
      <c r="Y231" s="792"/>
    </row>
    <row r="232" spans="1:25" s="908" customFormat="1" ht="24" customHeight="1" x14ac:dyDescent="0.6">
      <c r="A232" s="891">
        <v>44693</v>
      </c>
      <c r="B232" s="850">
        <v>12</v>
      </c>
      <c r="C232" s="842" t="s">
        <v>1267</v>
      </c>
      <c r="D232" s="855" t="s">
        <v>7209</v>
      </c>
      <c r="E232" s="842"/>
      <c r="F232" s="843"/>
      <c r="G232" s="844">
        <v>17200</v>
      </c>
      <c r="H232" s="798"/>
      <c r="I232" s="954">
        <f>Table2[[#This Row],[Opening]]+Table2[[#This Row],[Debit]]-Table2[[#This Row],[Credit]]</f>
        <v>17200</v>
      </c>
      <c r="J232" s="879"/>
      <c r="K232" s="741"/>
      <c r="L232" s="741"/>
      <c r="M232" s="741"/>
      <c r="N232" s="741"/>
      <c r="O232" s="927"/>
      <c r="P232" s="927"/>
      <c r="Q232" s="928"/>
      <c r="R232" s="741"/>
      <c r="S232" s="789"/>
      <c r="T232" s="789"/>
      <c r="U232" s="789"/>
      <c r="V232" s="790"/>
      <c r="W232" s="791"/>
      <c r="X232" s="791"/>
      <c r="Y232" s="792"/>
    </row>
    <row r="233" spans="1:25" s="908" customFormat="1" ht="24" customHeight="1" x14ac:dyDescent="0.6">
      <c r="A233" s="891">
        <v>44693</v>
      </c>
      <c r="B233" s="850">
        <v>12</v>
      </c>
      <c r="C233" s="851" t="s">
        <v>86</v>
      </c>
      <c r="D233" s="852" t="s">
        <v>8991</v>
      </c>
      <c r="E233" s="851"/>
      <c r="F233" s="1206"/>
      <c r="G233" s="854"/>
      <c r="H233" s="839">
        <v>8300</v>
      </c>
      <c r="I233" s="955">
        <f>Table2[[#This Row],[Opening]]+Table2[[#This Row],[Debit]]-Table2[[#This Row],[Credit]]</f>
        <v>-8300</v>
      </c>
      <c r="J233" s="879"/>
      <c r="K233" s="741"/>
      <c r="L233" s="741"/>
      <c r="M233" s="741"/>
      <c r="N233" s="741"/>
      <c r="O233" s="927"/>
      <c r="P233" s="927"/>
      <c r="Q233" s="928"/>
      <c r="R233" s="741"/>
      <c r="S233" s="789"/>
      <c r="T233" s="789"/>
      <c r="U233" s="789"/>
      <c r="V233" s="790"/>
      <c r="W233" s="791"/>
      <c r="X233" s="791"/>
      <c r="Y233" s="792"/>
    </row>
    <row r="234" spans="1:25" s="908" customFormat="1" ht="21.75" customHeight="1" x14ac:dyDescent="0.6">
      <c r="A234" s="891">
        <v>44693</v>
      </c>
      <c r="B234" s="850">
        <v>12</v>
      </c>
      <c r="C234" s="851" t="s">
        <v>864</v>
      </c>
      <c r="D234" s="852" t="s">
        <v>8992</v>
      </c>
      <c r="E234" s="878"/>
      <c r="F234" s="1074"/>
      <c r="G234" s="844"/>
      <c r="H234" s="809">
        <v>11000</v>
      </c>
      <c r="I234" s="954">
        <f>Table2[[#This Row],[Opening]]+Table2[[#This Row],[Debit]]-Table2[[#This Row],[Credit]]</f>
        <v>-11000</v>
      </c>
      <c r="J234" s="879"/>
      <c r="K234" s="741"/>
      <c r="L234" s="741"/>
      <c r="M234" s="741"/>
      <c r="N234" s="741"/>
      <c r="O234" s="927"/>
      <c r="P234" s="927"/>
      <c r="Q234" s="928"/>
      <c r="R234" s="741"/>
      <c r="S234" s="789"/>
      <c r="T234" s="789"/>
      <c r="U234" s="789"/>
      <c r="V234" s="790"/>
      <c r="W234" s="791"/>
      <c r="X234" s="791"/>
      <c r="Y234" s="792"/>
    </row>
    <row r="235" spans="1:25" s="908" customFormat="1" ht="24" customHeight="1" x14ac:dyDescent="0.6">
      <c r="A235" s="891">
        <v>44693</v>
      </c>
      <c r="B235" s="850">
        <v>12</v>
      </c>
      <c r="C235" s="851" t="s">
        <v>864</v>
      </c>
      <c r="D235" s="851" t="s">
        <v>8993</v>
      </c>
      <c r="E235" s="833"/>
      <c r="F235" s="835"/>
      <c r="G235" s="860"/>
      <c r="H235" s="809">
        <v>50000</v>
      </c>
      <c r="I235" s="955">
        <f>Table2[[#This Row],[Opening]]+Table2[[#This Row],[Debit]]-Table2[[#This Row],[Credit]]</f>
        <v>-50000</v>
      </c>
      <c r="J235" s="879"/>
      <c r="K235" s="741"/>
      <c r="L235" s="741"/>
      <c r="M235" s="741"/>
      <c r="N235" s="741"/>
      <c r="O235" s="927"/>
      <c r="P235" s="927"/>
      <c r="Q235" s="928"/>
      <c r="R235" s="741"/>
      <c r="S235" s="929"/>
      <c r="T235" s="929"/>
      <c r="U235" s="929"/>
      <c r="V235" s="930"/>
      <c r="Y235" s="921"/>
    </row>
    <row r="236" spans="1:25" s="908" customFormat="1" ht="24" customHeight="1" x14ac:dyDescent="0.6">
      <c r="A236" s="891">
        <v>44693</v>
      </c>
      <c r="B236" s="850">
        <v>12</v>
      </c>
      <c r="C236" s="842" t="s">
        <v>86</v>
      </c>
      <c r="D236" s="842" t="s">
        <v>8954</v>
      </c>
      <c r="E236" s="795"/>
      <c r="F236" s="808"/>
      <c r="G236" s="844"/>
      <c r="H236" s="798">
        <v>48000</v>
      </c>
      <c r="I236" s="954">
        <f>Table2[[#This Row],[Opening]]+Table2[[#This Row],[Debit]]-Table2[[#This Row],[Credit]]</f>
        <v>-48000</v>
      </c>
      <c r="J236" s="879"/>
      <c r="K236" s="741"/>
      <c r="L236" s="741"/>
      <c r="M236" s="741"/>
      <c r="N236" s="741"/>
      <c r="O236" s="927"/>
      <c r="P236" s="927"/>
      <c r="Q236" s="928"/>
      <c r="R236" s="741"/>
      <c r="S236" s="929"/>
      <c r="T236" s="929"/>
      <c r="U236" s="929"/>
      <c r="V236" s="930"/>
      <c r="Y236" s="921"/>
    </row>
    <row r="237" spans="1:25" s="908" customFormat="1" ht="24" customHeight="1" x14ac:dyDescent="0.6">
      <c r="A237" s="891">
        <v>44693</v>
      </c>
      <c r="B237" s="850">
        <v>12</v>
      </c>
      <c r="C237" s="851" t="s">
        <v>1183</v>
      </c>
      <c r="D237" s="851" t="s">
        <v>8938</v>
      </c>
      <c r="E237" s="851"/>
      <c r="F237" s="859"/>
      <c r="G237" s="860"/>
      <c r="H237" s="839">
        <v>60000</v>
      </c>
      <c r="I237" s="960">
        <f>Table2[[#This Row],[Opening]]+Table2[[#This Row],[Debit]]-Table2[[#This Row],[Credit]]</f>
        <v>-60000</v>
      </c>
      <c r="J237" s="879"/>
      <c r="K237" s="741"/>
      <c r="L237" s="741"/>
      <c r="M237" s="741"/>
      <c r="N237" s="741"/>
      <c r="O237" s="927"/>
      <c r="P237" s="927"/>
      <c r="Q237" s="928"/>
      <c r="R237" s="741"/>
      <c r="S237" s="929"/>
      <c r="T237" s="929"/>
      <c r="U237" s="929"/>
      <c r="V237" s="930"/>
      <c r="Y237" s="921"/>
    </row>
    <row r="238" spans="1:25" s="908" customFormat="1" ht="24" customHeight="1" x14ac:dyDescent="0.6">
      <c r="A238" s="891">
        <v>44693</v>
      </c>
      <c r="B238" s="850">
        <v>12</v>
      </c>
      <c r="C238" s="851" t="s">
        <v>2352</v>
      </c>
      <c r="D238" s="855" t="s">
        <v>8994</v>
      </c>
      <c r="E238" s="842"/>
      <c r="F238" s="843"/>
      <c r="G238" s="844"/>
      <c r="H238" s="809">
        <v>17900</v>
      </c>
      <c r="I238" s="961">
        <f>Table2[[#This Row],[Opening]]+Table2[[#This Row],[Debit]]-Table2[[#This Row],[Credit]]</f>
        <v>-17900</v>
      </c>
      <c r="J238" s="879"/>
      <c r="K238" s="741"/>
      <c r="L238" s="741"/>
      <c r="M238" s="741"/>
      <c r="N238" s="741"/>
      <c r="O238" s="927"/>
      <c r="P238" s="927"/>
      <c r="Q238" s="928"/>
      <c r="R238" s="741"/>
      <c r="S238" s="929"/>
      <c r="T238" s="929"/>
      <c r="U238" s="929"/>
      <c r="V238" s="930"/>
      <c r="Y238" s="921"/>
    </row>
    <row r="239" spans="1:25" s="908" customFormat="1" ht="24" customHeight="1" x14ac:dyDescent="0.6">
      <c r="A239" s="891">
        <v>44693</v>
      </c>
      <c r="B239" s="850">
        <v>12</v>
      </c>
      <c r="C239" s="851" t="s">
        <v>1240</v>
      </c>
      <c r="D239" s="842" t="s">
        <v>8995</v>
      </c>
      <c r="E239" s="842" t="s">
        <v>7269</v>
      </c>
      <c r="F239" s="856"/>
      <c r="G239" s="857"/>
      <c r="H239" s="798">
        <v>27000</v>
      </c>
      <c r="I239" s="961">
        <f>Table2[[#This Row],[Opening]]+Table2[[#This Row],[Debit]]-Table2[[#This Row],[Credit]]</f>
        <v>-27000</v>
      </c>
      <c r="J239" s="879"/>
      <c r="K239" s="741"/>
      <c r="L239" s="741"/>
      <c r="M239" s="741"/>
      <c r="N239" s="741"/>
      <c r="O239" s="927"/>
      <c r="P239" s="927"/>
      <c r="Q239" s="928"/>
      <c r="R239" s="741"/>
      <c r="S239" s="929"/>
      <c r="T239" s="929"/>
      <c r="U239" s="929"/>
      <c r="V239" s="930"/>
      <c r="Y239" s="921"/>
    </row>
    <row r="240" spans="1:25" s="908" customFormat="1" ht="24" customHeight="1" x14ac:dyDescent="0.6">
      <c r="A240" s="891">
        <v>44693</v>
      </c>
      <c r="B240" s="850">
        <v>12</v>
      </c>
      <c r="C240" s="851" t="s">
        <v>1240</v>
      </c>
      <c r="D240" s="852" t="s">
        <v>8996</v>
      </c>
      <c r="E240" s="842" t="s">
        <v>7269</v>
      </c>
      <c r="F240" s="853"/>
      <c r="G240" s="854"/>
      <c r="H240" s="839">
        <v>28000</v>
      </c>
      <c r="I240" s="960">
        <f>Table2[[#This Row],[Opening]]+Table2[[#This Row],[Debit]]-Table2[[#This Row],[Credit]]</f>
        <v>-28000</v>
      </c>
      <c r="J240" s="879"/>
      <c r="K240" s="741"/>
      <c r="L240" s="741"/>
      <c r="M240" s="741"/>
      <c r="N240" s="741"/>
      <c r="O240" s="927"/>
      <c r="P240" s="927"/>
      <c r="Q240" s="928"/>
      <c r="R240" s="741"/>
      <c r="S240" s="929"/>
      <c r="T240" s="929"/>
      <c r="U240" s="929"/>
      <c r="V240" s="930"/>
      <c r="Y240" s="921"/>
    </row>
    <row r="241" spans="1:25" s="908" customFormat="1" ht="24" customHeight="1" x14ac:dyDescent="0.6">
      <c r="A241" s="891">
        <v>44693</v>
      </c>
      <c r="B241" s="850">
        <v>12</v>
      </c>
      <c r="C241" s="851" t="s">
        <v>1240</v>
      </c>
      <c r="D241" s="852" t="s">
        <v>9001</v>
      </c>
      <c r="E241" s="842" t="s">
        <v>7269</v>
      </c>
      <c r="F241" s="859"/>
      <c r="G241" s="860"/>
      <c r="H241" s="836">
        <v>37000</v>
      </c>
      <c r="I241" s="960">
        <f>Table2[[#This Row],[Opening]]+Table2[[#This Row],[Debit]]-Table2[[#This Row],[Credit]]</f>
        <v>-37000</v>
      </c>
      <c r="J241" s="879"/>
      <c r="K241" s="741"/>
      <c r="L241" s="741"/>
      <c r="M241" s="741"/>
      <c r="N241" s="741"/>
      <c r="O241" s="927"/>
      <c r="P241" s="927"/>
      <c r="Q241" s="928"/>
      <c r="R241" s="741"/>
      <c r="S241" s="929"/>
      <c r="T241" s="929"/>
      <c r="U241" s="929"/>
      <c r="V241" s="930"/>
      <c r="Y241" s="921"/>
    </row>
    <row r="242" spans="1:25" s="908" customFormat="1" ht="24" customHeight="1" x14ac:dyDescent="0.6">
      <c r="A242" s="891">
        <v>44693</v>
      </c>
      <c r="B242" s="850">
        <v>12</v>
      </c>
      <c r="C242" s="851" t="s">
        <v>1240</v>
      </c>
      <c r="D242" s="855" t="s">
        <v>8997</v>
      </c>
      <c r="E242" s="842" t="s">
        <v>7269</v>
      </c>
      <c r="F242" s="843"/>
      <c r="G242" s="844"/>
      <c r="H242" s="809">
        <v>23500</v>
      </c>
      <c r="I242" s="961">
        <f>Table2[[#This Row],[Opening]]+Table2[[#This Row],[Debit]]-Table2[[#This Row],[Credit]]</f>
        <v>-23500</v>
      </c>
      <c r="J242" s="879"/>
      <c r="K242" s="741"/>
      <c r="L242" s="741"/>
      <c r="M242" s="741"/>
      <c r="N242" s="741"/>
      <c r="O242" s="927"/>
      <c r="P242" s="927"/>
      <c r="Q242" s="928"/>
      <c r="R242" s="741"/>
      <c r="S242" s="929"/>
      <c r="T242" s="929"/>
      <c r="U242" s="929"/>
      <c r="V242" s="930"/>
      <c r="Y242" s="921"/>
    </row>
    <row r="243" spans="1:25" s="908" customFormat="1" ht="24" customHeight="1" x14ac:dyDescent="0.6">
      <c r="A243" s="891">
        <v>44693</v>
      </c>
      <c r="B243" s="850">
        <v>12</v>
      </c>
      <c r="C243" s="851" t="s">
        <v>1240</v>
      </c>
      <c r="D243" s="852" t="s">
        <v>8998</v>
      </c>
      <c r="E243" s="842" t="s">
        <v>7269</v>
      </c>
      <c r="F243" s="859"/>
      <c r="G243" s="860"/>
      <c r="H243" s="836">
        <v>7500</v>
      </c>
      <c r="I243" s="960">
        <f>Table2[[#This Row],[Opening]]+Table2[[#This Row],[Debit]]-Table2[[#This Row],[Credit]]</f>
        <v>-7500</v>
      </c>
      <c r="J243" s="879"/>
      <c r="K243" s="741"/>
      <c r="L243" s="741"/>
      <c r="M243" s="741"/>
      <c r="N243" s="741"/>
      <c r="O243" s="927"/>
      <c r="P243" s="927"/>
      <c r="Q243" s="928"/>
      <c r="R243" s="741"/>
      <c r="S243" s="929"/>
      <c r="T243" s="929"/>
      <c r="U243" s="929"/>
      <c r="V243" s="930"/>
      <c r="Y243" s="921"/>
    </row>
    <row r="244" spans="1:25" s="908" customFormat="1" ht="24" customHeight="1" x14ac:dyDescent="0.6">
      <c r="A244" s="891">
        <v>44693</v>
      </c>
      <c r="B244" s="850">
        <v>12</v>
      </c>
      <c r="C244" s="842" t="s">
        <v>86</v>
      </c>
      <c r="D244" s="855" t="s">
        <v>8999</v>
      </c>
      <c r="E244" s="878"/>
      <c r="F244" s="808"/>
      <c r="G244" s="857"/>
      <c r="H244" s="798">
        <v>11000</v>
      </c>
      <c r="I244" s="961">
        <f>Table2[[#This Row],[Opening]]+Table2[[#This Row],[Debit]]-Table2[[#This Row],[Credit]]</f>
        <v>-11000</v>
      </c>
      <c r="J244" s="879"/>
      <c r="K244" s="741"/>
      <c r="L244" s="741"/>
      <c r="M244" s="741"/>
      <c r="N244" s="741"/>
      <c r="O244" s="927"/>
      <c r="P244" s="927"/>
      <c r="Q244" s="928"/>
      <c r="R244" s="741"/>
      <c r="S244" s="929"/>
      <c r="T244" s="929"/>
      <c r="U244" s="931"/>
      <c r="V244" s="932"/>
      <c r="Y244" s="921"/>
    </row>
    <row r="245" spans="1:25" s="908" customFormat="1" ht="24" customHeight="1" thickBot="1" x14ac:dyDescent="0.65">
      <c r="A245" s="1249">
        <v>44693</v>
      </c>
      <c r="B245" s="869">
        <v>12</v>
      </c>
      <c r="C245" s="846" t="s">
        <v>86</v>
      </c>
      <c r="D245" s="870" t="s">
        <v>9000</v>
      </c>
      <c r="E245" s="892"/>
      <c r="F245" s="1252"/>
      <c r="G245" s="1253"/>
      <c r="H245" s="1238">
        <v>7000</v>
      </c>
      <c r="I245" s="1242">
        <f>Table2[[#This Row],[Opening]]+Table2[[#This Row],[Debit]]-Table2[[#This Row],[Credit]]</f>
        <v>-7000</v>
      </c>
      <c r="J245" s="879"/>
      <c r="K245" s="741"/>
      <c r="L245" s="741"/>
      <c r="M245" s="741"/>
      <c r="N245" s="741"/>
      <c r="O245" s="927"/>
      <c r="P245" s="927"/>
      <c r="Q245" s="928"/>
      <c r="R245" s="741"/>
      <c r="S245" s="929"/>
      <c r="T245" s="929"/>
      <c r="U245" s="931"/>
      <c r="V245" s="932"/>
      <c r="Y245" s="921"/>
    </row>
    <row r="246" spans="1:25" s="908" customFormat="1" ht="24" customHeight="1" thickTop="1" x14ac:dyDescent="0.6">
      <c r="A246" s="891">
        <v>44694</v>
      </c>
      <c r="B246" s="850">
        <v>13</v>
      </c>
      <c r="C246" s="851" t="s">
        <v>2466</v>
      </c>
      <c r="D246" s="852" t="s">
        <v>8886</v>
      </c>
      <c r="E246" s="851"/>
      <c r="F246" s="838"/>
      <c r="G246" s="837">
        <v>2500</v>
      </c>
      <c r="H246" s="839"/>
      <c r="I246" s="960">
        <f>Table2[[#This Row],[Opening]]+Table2[[#This Row],[Debit]]-Table2[[#This Row],[Credit]]</f>
        <v>2500</v>
      </c>
      <c r="J246" s="879"/>
      <c r="K246" s="741"/>
      <c r="L246" s="741"/>
      <c r="M246" s="741"/>
      <c r="N246" s="741"/>
      <c r="O246" s="927"/>
      <c r="P246" s="927"/>
      <c r="Q246" s="928"/>
      <c r="R246" s="741"/>
      <c r="S246" s="929"/>
      <c r="T246" s="929"/>
      <c r="U246" s="931"/>
      <c r="V246" s="932"/>
      <c r="Y246" s="921"/>
    </row>
    <row r="247" spans="1:25" s="908" customFormat="1" ht="24" customHeight="1" x14ac:dyDescent="0.6">
      <c r="A247" s="891">
        <v>44694</v>
      </c>
      <c r="B247" s="850">
        <v>13</v>
      </c>
      <c r="C247" s="842" t="s">
        <v>905</v>
      </c>
      <c r="D247" s="852" t="s">
        <v>8879</v>
      </c>
      <c r="E247" s="878"/>
      <c r="F247" s="808"/>
      <c r="G247" s="799">
        <v>18000</v>
      </c>
      <c r="H247" s="809"/>
      <c r="I247" s="954">
        <f>Table2[[#This Row],[Opening]]+Table2[[#This Row],[Debit]]-Table2[[#This Row],[Credit]]</f>
        <v>18000</v>
      </c>
      <c r="J247" s="879"/>
      <c r="K247" s="741"/>
      <c r="L247" s="741"/>
      <c r="M247" s="741"/>
      <c r="N247" s="741"/>
      <c r="O247" s="927"/>
      <c r="P247" s="927"/>
      <c r="Q247" s="928"/>
      <c r="R247" s="741"/>
      <c r="S247" s="929"/>
      <c r="T247" s="929"/>
      <c r="U247" s="931"/>
      <c r="V247" s="932"/>
      <c r="Y247" s="921"/>
    </row>
    <row r="248" spans="1:25" ht="24" customHeight="1" x14ac:dyDescent="0.6">
      <c r="A248" s="891">
        <v>44694</v>
      </c>
      <c r="B248" s="850">
        <v>13</v>
      </c>
      <c r="C248" s="842" t="s">
        <v>905</v>
      </c>
      <c r="D248" s="852" t="s">
        <v>8879</v>
      </c>
      <c r="G248" s="797">
        <v>3000</v>
      </c>
      <c r="I248" s="954">
        <f>Table2[[#This Row],[Opening]]+Table2[[#This Row],[Debit]]-Table2[[#This Row],[Credit]]</f>
        <v>3000</v>
      </c>
      <c r="J248" s="879"/>
      <c r="S248" s="929"/>
      <c r="T248" s="929"/>
      <c r="U248" s="931"/>
      <c r="V248" s="932"/>
      <c r="W248" s="908"/>
      <c r="X248" s="908"/>
      <c r="Y248" s="921"/>
    </row>
    <row r="249" spans="1:25" ht="24" customHeight="1" x14ac:dyDescent="0.6">
      <c r="A249" s="891">
        <v>44694</v>
      </c>
      <c r="B249" s="850">
        <v>13</v>
      </c>
      <c r="C249" s="833" t="s">
        <v>2466</v>
      </c>
      <c r="D249" s="852" t="s">
        <v>8886</v>
      </c>
      <c r="E249" s="833"/>
      <c r="F249" s="838"/>
      <c r="G249" s="837">
        <v>500</v>
      </c>
      <c r="H249" s="839"/>
      <c r="I249" s="955">
        <f>Table2[[#This Row],[Opening]]+Table2[[#This Row],[Debit]]-Table2[[#This Row],[Credit]]</f>
        <v>500</v>
      </c>
      <c r="J249" s="879"/>
      <c r="S249" s="929"/>
      <c r="T249" s="929"/>
      <c r="U249" s="931"/>
      <c r="V249" s="932"/>
      <c r="W249" s="908"/>
      <c r="X249" s="908"/>
      <c r="Y249" s="921"/>
    </row>
    <row r="250" spans="1:25" ht="24" customHeight="1" x14ac:dyDescent="0.6">
      <c r="A250" s="891">
        <v>44694</v>
      </c>
      <c r="B250" s="850">
        <v>13</v>
      </c>
      <c r="C250" s="795" t="s">
        <v>8494</v>
      </c>
      <c r="D250" s="795" t="s">
        <v>9004</v>
      </c>
      <c r="G250" s="797">
        <v>393800</v>
      </c>
      <c r="I250" s="954">
        <f>Table2[[#This Row],[Opening]]+Table2[[#This Row],[Debit]]-Table2[[#This Row],[Credit]]</f>
        <v>393800</v>
      </c>
      <c r="J250" s="879"/>
      <c r="S250" s="929"/>
      <c r="T250" s="929"/>
      <c r="U250" s="931"/>
      <c r="V250" s="932"/>
      <c r="W250" s="908"/>
      <c r="X250" s="908"/>
      <c r="Y250" s="921"/>
    </row>
    <row r="251" spans="1:25" ht="24" customHeight="1" x14ac:dyDescent="0.6">
      <c r="A251" s="891">
        <v>44694</v>
      </c>
      <c r="B251" s="850">
        <v>13</v>
      </c>
      <c r="C251" s="795" t="s">
        <v>8494</v>
      </c>
      <c r="D251" s="795" t="s">
        <v>9004</v>
      </c>
      <c r="F251" s="808"/>
      <c r="G251" s="799">
        <v>21200</v>
      </c>
      <c r="H251" s="809"/>
      <c r="I251" s="954">
        <f>Table2[[#This Row],[Opening]]+Table2[[#This Row],[Debit]]-Table2[[#This Row],[Credit]]</f>
        <v>21200</v>
      </c>
      <c r="J251" s="879"/>
      <c r="S251" s="929"/>
      <c r="T251" s="929"/>
      <c r="U251" s="931"/>
      <c r="V251" s="932"/>
      <c r="W251" s="908"/>
      <c r="X251" s="908"/>
      <c r="Y251" s="921"/>
    </row>
    <row r="252" spans="1:25" ht="24" customHeight="1" x14ac:dyDescent="0.6">
      <c r="A252" s="891">
        <v>44694</v>
      </c>
      <c r="B252" s="850">
        <v>13</v>
      </c>
      <c r="C252" s="795" t="s">
        <v>8490</v>
      </c>
      <c r="D252" s="795" t="s">
        <v>9004</v>
      </c>
      <c r="G252" s="797">
        <v>85000</v>
      </c>
      <c r="H252" s="809"/>
      <c r="I252" s="954">
        <f>Table2[[#This Row],[Opening]]+Table2[[#This Row],[Debit]]-Table2[[#This Row],[Credit]]</f>
        <v>85000</v>
      </c>
      <c r="J252" s="879"/>
      <c r="S252" s="929"/>
      <c r="T252" s="929"/>
      <c r="U252" s="931"/>
      <c r="V252" s="932"/>
      <c r="W252" s="908"/>
      <c r="X252" s="908"/>
      <c r="Y252" s="921"/>
    </row>
    <row r="253" spans="1:25" ht="24" customHeight="1" x14ac:dyDescent="0.6">
      <c r="A253" s="891">
        <v>44694</v>
      </c>
      <c r="B253" s="850">
        <v>13</v>
      </c>
      <c r="C253" s="795" t="s">
        <v>2466</v>
      </c>
      <c r="D253" s="852" t="s">
        <v>8886</v>
      </c>
      <c r="F253" s="808"/>
      <c r="G253" s="799">
        <v>37000</v>
      </c>
      <c r="H253" s="809"/>
      <c r="I253" s="954">
        <f>Table2[[#This Row],[Opening]]+Table2[[#This Row],[Debit]]-Table2[[#This Row],[Credit]]</f>
        <v>37000</v>
      </c>
      <c r="J253" s="879"/>
      <c r="U253" s="926"/>
      <c r="V253" s="920"/>
    </row>
    <row r="254" spans="1:25" ht="24" customHeight="1" x14ac:dyDescent="0.6">
      <c r="A254" s="891">
        <v>44694</v>
      </c>
      <c r="B254" s="850">
        <v>13</v>
      </c>
      <c r="C254" s="842" t="s">
        <v>905</v>
      </c>
      <c r="D254" s="852" t="s">
        <v>8879</v>
      </c>
      <c r="E254" s="878"/>
      <c r="F254" s="895"/>
      <c r="G254" s="857">
        <v>6000</v>
      </c>
      <c r="I254" s="961">
        <f>Table2[[#This Row],[Opening]]+Table2[[#This Row],[Debit]]-Table2[[#This Row],[Credit]]</f>
        <v>6000</v>
      </c>
      <c r="J254" s="879"/>
      <c r="U254" s="926"/>
      <c r="V254" s="920"/>
    </row>
    <row r="255" spans="1:25" ht="24" customHeight="1" x14ac:dyDescent="0.6">
      <c r="A255" s="891">
        <v>44694</v>
      </c>
      <c r="B255" s="850">
        <v>13</v>
      </c>
      <c r="C255" s="842" t="s">
        <v>888</v>
      </c>
      <c r="D255" s="842" t="s">
        <v>8880</v>
      </c>
      <c r="E255" s="842"/>
      <c r="F255" s="843"/>
      <c r="G255" s="844">
        <v>2974400</v>
      </c>
      <c r="H255" s="809"/>
      <c r="I255" s="954">
        <f>Table2[[#This Row],[Opening]]+Table2[[#This Row],[Debit]]-Table2[[#This Row],[Credit]]</f>
        <v>2974400</v>
      </c>
      <c r="J255" s="879"/>
    </row>
    <row r="256" spans="1:25" ht="24" customHeight="1" x14ac:dyDescent="0.6">
      <c r="A256" s="891">
        <v>44694</v>
      </c>
      <c r="B256" s="850">
        <v>13</v>
      </c>
      <c r="C256" s="851" t="s">
        <v>1267</v>
      </c>
      <c r="D256" s="851" t="s">
        <v>7209</v>
      </c>
      <c r="E256" s="851"/>
      <c r="F256" s="903"/>
      <c r="G256" s="860">
        <v>33200</v>
      </c>
      <c r="H256" s="836"/>
      <c r="I256" s="955">
        <f>Table2[[#This Row],[Opening]]+Table2[[#This Row],[Debit]]-Table2[[#This Row],[Credit]]</f>
        <v>33200</v>
      </c>
      <c r="J256" s="879"/>
    </row>
    <row r="257" spans="1:22" ht="24" customHeight="1" x14ac:dyDescent="0.6">
      <c r="A257" s="891">
        <v>44694</v>
      </c>
      <c r="B257" s="850">
        <v>13</v>
      </c>
      <c r="C257" s="851" t="s">
        <v>1143</v>
      </c>
      <c r="D257" s="842" t="s">
        <v>9005</v>
      </c>
      <c r="E257" s="851"/>
      <c r="F257" s="853"/>
      <c r="G257" s="854"/>
      <c r="H257" s="839">
        <v>60000</v>
      </c>
      <c r="I257" s="955">
        <f>Table2[[#This Row],[Opening]]+Table2[[#This Row],[Debit]]-Table2[[#This Row],[Credit]]</f>
        <v>-60000</v>
      </c>
      <c r="J257" s="879"/>
    </row>
    <row r="258" spans="1:22" ht="24" customHeight="1" x14ac:dyDescent="0.6">
      <c r="A258" s="891">
        <v>44694</v>
      </c>
      <c r="B258" s="850">
        <v>13</v>
      </c>
      <c r="C258" s="842" t="s">
        <v>86</v>
      </c>
      <c r="D258" s="842" t="s">
        <v>8926</v>
      </c>
      <c r="E258" s="842"/>
      <c r="F258" s="843"/>
      <c r="G258" s="844"/>
      <c r="H258" s="809">
        <v>15000</v>
      </c>
      <c r="I258" s="954">
        <f>'Daily Cash Book'!$G258-'Daily Cash Book'!$H$2:$H$1188</f>
        <v>-15000</v>
      </c>
      <c r="J258" s="879"/>
    </row>
    <row r="259" spans="1:22" ht="24" customHeight="1" x14ac:dyDescent="0.6">
      <c r="A259" s="891">
        <v>44694</v>
      </c>
      <c r="B259" s="850">
        <v>13</v>
      </c>
      <c r="C259" s="842" t="s">
        <v>39</v>
      </c>
      <c r="D259" s="842" t="s">
        <v>8885</v>
      </c>
      <c r="E259" s="851" t="s">
        <v>7271</v>
      </c>
      <c r="F259" s="903"/>
      <c r="G259" s="860"/>
      <c r="H259" s="836">
        <v>32154</v>
      </c>
      <c r="I259" s="955">
        <f>Table2[[#This Row],[Opening]]+Table2[[#This Row],[Debit]]-Table2[[#This Row],[Credit]]</f>
        <v>-32154</v>
      </c>
      <c r="J259" s="879"/>
    </row>
    <row r="260" spans="1:22" ht="24" customHeight="1" x14ac:dyDescent="0.6">
      <c r="A260" s="891">
        <v>44694</v>
      </c>
      <c r="B260" s="850">
        <v>13</v>
      </c>
      <c r="C260" s="842" t="s">
        <v>39</v>
      </c>
      <c r="D260" s="851" t="s">
        <v>8907</v>
      </c>
      <c r="E260" s="851" t="s">
        <v>7271</v>
      </c>
      <c r="F260" s="896"/>
      <c r="G260" s="844"/>
      <c r="H260" s="809">
        <v>3000</v>
      </c>
      <c r="I260" s="954">
        <f>Table2[[#This Row],[Opening]]+Table2[[#This Row],[Debit]]-Table2[[#This Row],[Credit]]</f>
        <v>-3000</v>
      </c>
      <c r="J260" s="879"/>
    </row>
    <row r="261" spans="1:22" ht="24" customHeight="1" x14ac:dyDescent="0.6">
      <c r="A261" s="891">
        <v>44694</v>
      </c>
      <c r="B261" s="850">
        <v>13</v>
      </c>
      <c r="C261" s="842" t="s">
        <v>39</v>
      </c>
      <c r="D261" s="842" t="s">
        <v>8208</v>
      </c>
      <c r="E261" s="851" t="s">
        <v>7271</v>
      </c>
      <c r="F261" s="859"/>
      <c r="G261" s="860"/>
      <c r="H261" s="836">
        <v>20400</v>
      </c>
      <c r="I261" s="955">
        <f>Table2[[#This Row],[Opening]]+Table2[[#This Row],[Debit]]-Table2[[#This Row],[Credit]]</f>
        <v>-20400</v>
      </c>
      <c r="J261" s="879"/>
    </row>
    <row r="262" spans="1:22" ht="24" customHeight="1" x14ac:dyDescent="0.6">
      <c r="A262" s="891">
        <v>44694</v>
      </c>
      <c r="B262" s="850">
        <v>13</v>
      </c>
      <c r="C262" s="842" t="s">
        <v>864</v>
      </c>
      <c r="D262" s="855" t="s">
        <v>9006</v>
      </c>
      <c r="E262" s="893"/>
      <c r="F262" s="843"/>
      <c r="G262" s="844"/>
      <c r="H262" s="809">
        <v>21000</v>
      </c>
      <c r="I262" s="954">
        <f>Table2[[#This Row],[Opening]]+Table2[[#This Row],[Debit]]-Table2[[#This Row],[Credit]]</f>
        <v>-21000</v>
      </c>
      <c r="J262" s="879"/>
    </row>
    <row r="263" spans="1:22" ht="24" customHeight="1" x14ac:dyDescent="0.6">
      <c r="A263" s="891">
        <v>44694</v>
      </c>
      <c r="B263" s="850">
        <v>13</v>
      </c>
      <c r="C263" s="842" t="s">
        <v>864</v>
      </c>
      <c r="D263" s="855" t="s">
        <v>9007</v>
      </c>
      <c r="E263" s="893"/>
      <c r="F263" s="859"/>
      <c r="G263" s="860"/>
      <c r="H263" s="836">
        <v>25400</v>
      </c>
      <c r="I263" s="955">
        <f>Table2[[#This Row],[Opening]]+Table2[[#This Row],[Debit]]-Table2[[#This Row],[Credit]]</f>
        <v>-25400</v>
      </c>
      <c r="J263" s="879"/>
      <c r="S263" s="791"/>
      <c r="T263" s="791"/>
      <c r="U263" s="791"/>
      <c r="V263" s="920"/>
    </row>
    <row r="264" spans="1:22" ht="24" customHeight="1" x14ac:dyDescent="0.6">
      <c r="A264" s="891">
        <v>44694</v>
      </c>
      <c r="B264" s="850">
        <v>13</v>
      </c>
      <c r="C264" s="842" t="s">
        <v>86</v>
      </c>
      <c r="D264" s="852" t="s">
        <v>9008</v>
      </c>
      <c r="E264" s="893"/>
      <c r="F264" s="853"/>
      <c r="G264" s="854"/>
      <c r="H264" s="839">
        <v>20200</v>
      </c>
      <c r="I264" s="955">
        <f>Table2[[#This Row],[Opening]]+Table2[[#This Row],[Debit]]-Table2[[#This Row],[Credit]]</f>
        <v>-20200</v>
      </c>
      <c r="J264" s="879"/>
      <c r="S264" s="791"/>
      <c r="T264" s="791"/>
      <c r="U264" s="791"/>
      <c r="V264" s="920"/>
    </row>
    <row r="265" spans="1:22" ht="24" customHeight="1" x14ac:dyDescent="0.6">
      <c r="A265" s="891">
        <v>44694</v>
      </c>
      <c r="B265" s="850">
        <v>13</v>
      </c>
      <c r="C265" s="842" t="s">
        <v>86</v>
      </c>
      <c r="D265" s="855" t="s">
        <v>9009</v>
      </c>
      <c r="E265" s="893"/>
      <c r="F265" s="843"/>
      <c r="G265" s="844"/>
      <c r="H265" s="809">
        <v>1600</v>
      </c>
      <c r="I265" s="954">
        <f>Table2[[#This Row],[Opening]]+Table2[[#This Row],[Debit]]-Table2[[#This Row],[Credit]]</f>
        <v>-1600</v>
      </c>
      <c r="J265" s="879"/>
      <c r="S265" s="791"/>
      <c r="T265" s="791"/>
      <c r="U265" s="791"/>
      <c r="V265" s="920"/>
    </row>
    <row r="266" spans="1:22" ht="24" customHeight="1" x14ac:dyDescent="0.6">
      <c r="A266" s="891">
        <v>44694</v>
      </c>
      <c r="B266" s="850">
        <v>13</v>
      </c>
      <c r="C266" s="842" t="s">
        <v>2352</v>
      </c>
      <c r="D266" s="855" t="s">
        <v>9010</v>
      </c>
      <c r="E266" s="893"/>
      <c r="F266" s="856"/>
      <c r="G266" s="857"/>
      <c r="H266" s="798">
        <v>980000</v>
      </c>
      <c r="I266" s="954">
        <f>Table2[[#This Row],[Opening]]+Table2[[#This Row],[Debit]]-Table2[[#This Row],[Credit]]</f>
        <v>-980000</v>
      </c>
      <c r="J266" s="879"/>
      <c r="S266" s="791"/>
      <c r="T266" s="791"/>
      <c r="U266" s="791"/>
      <c r="V266" s="920"/>
    </row>
    <row r="267" spans="1:22" ht="24" customHeight="1" x14ac:dyDescent="0.6">
      <c r="A267" s="891">
        <v>44694</v>
      </c>
      <c r="B267" s="850">
        <v>13</v>
      </c>
      <c r="C267" s="842" t="s">
        <v>863</v>
      </c>
      <c r="D267" s="855" t="s">
        <v>9011</v>
      </c>
      <c r="E267" s="893"/>
      <c r="F267" s="843"/>
      <c r="G267" s="844"/>
      <c r="H267" s="809">
        <v>15000</v>
      </c>
      <c r="I267" s="954">
        <f>Table2[[#This Row],[Opening]]+Table2[[#This Row],[Debit]]-Table2[[#This Row],[Credit]]</f>
        <v>-15000</v>
      </c>
      <c r="J267" s="879"/>
      <c r="S267" s="791"/>
      <c r="T267" s="791"/>
      <c r="U267" s="791"/>
      <c r="V267" s="920"/>
    </row>
    <row r="268" spans="1:22" ht="24" customHeight="1" x14ac:dyDescent="0.6">
      <c r="A268" s="891">
        <v>44694</v>
      </c>
      <c r="B268" s="850">
        <v>13</v>
      </c>
      <c r="C268" s="842" t="s">
        <v>835</v>
      </c>
      <c r="D268" s="842" t="s">
        <v>8941</v>
      </c>
      <c r="E268" s="893"/>
      <c r="F268" s="895"/>
      <c r="G268" s="798"/>
      <c r="H268" s="798">
        <v>130000</v>
      </c>
      <c r="I268" s="954">
        <f>Table2[[#This Row],[Opening]]+Table2[[#This Row],[Debit]]-Table2[[#This Row],[Credit]]</f>
        <v>-130000</v>
      </c>
      <c r="J268" s="879"/>
      <c r="S268" s="791"/>
      <c r="T268" s="791"/>
      <c r="U268" s="791"/>
      <c r="V268" s="920"/>
    </row>
    <row r="269" spans="1:22" ht="24" customHeight="1" x14ac:dyDescent="0.6">
      <c r="A269" s="891">
        <v>44694</v>
      </c>
      <c r="B269" s="850">
        <v>13</v>
      </c>
      <c r="C269" s="842" t="s">
        <v>86</v>
      </c>
      <c r="D269" s="842" t="s">
        <v>8940</v>
      </c>
      <c r="E269" s="851"/>
      <c r="F269" s="896"/>
      <c r="G269" s="809"/>
      <c r="H269" s="809">
        <v>2000</v>
      </c>
      <c r="I269" s="954">
        <f>Table2[[#This Row],[Opening]]+Table2[[#This Row],[Debit]]-Table2[[#This Row],[Credit]]</f>
        <v>-2000</v>
      </c>
      <c r="J269" s="879"/>
      <c r="S269" s="791"/>
      <c r="T269" s="791"/>
      <c r="U269" s="791"/>
      <c r="V269" s="920"/>
    </row>
    <row r="270" spans="1:22" ht="24" customHeight="1" x14ac:dyDescent="0.6">
      <c r="A270" s="891">
        <v>44694</v>
      </c>
      <c r="B270" s="850">
        <v>13</v>
      </c>
      <c r="C270" s="842" t="s">
        <v>981</v>
      </c>
      <c r="D270" s="842" t="s">
        <v>9023</v>
      </c>
      <c r="E270" s="893"/>
      <c r="F270" s="859"/>
      <c r="G270" s="860"/>
      <c r="H270" s="836">
        <v>10000</v>
      </c>
      <c r="I270" s="955">
        <f>Table2[[#This Row],[Opening]]+Table2[[#This Row],[Debit]]-Table2[[#This Row],[Credit]]</f>
        <v>-10000</v>
      </c>
      <c r="J270" s="879"/>
      <c r="S270" s="791"/>
      <c r="T270" s="791"/>
      <c r="U270" s="791"/>
      <c r="V270" s="920"/>
    </row>
    <row r="271" spans="1:22" ht="24" customHeight="1" x14ac:dyDescent="0.6">
      <c r="A271" s="891">
        <v>44694</v>
      </c>
      <c r="B271" s="850">
        <v>13</v>
      </c>
      <c r="C271" s="842" t="s">
        <v>86</v>
      </c>
      <c r="D271" s="855" t="s">
        <v>9012</v>
      </c>
      <c r="E271" s="851"/>
      <c r="F271" s="808"/>
      <c r="G271" s="799"/>
      <c r="H271" s="809">
        <v>1500</v>
      </c>
      <c r="I271" s="954">
        <f>Table2[[#This Row],[Opening]]+Table2[[#This Row],[Debit]]-Table2[[#This Row],[Credit]]</f>
        <v>-1500</v>
      </c>
      <c r="J271" s="879"/>
      <c r="S271" s="791"/>
      <c r="T271" s="791"/>
      <c r="U271" s="791"/>
      <c r="V271" s="920"/>
    </row>
    <row r="272" spans="1:22" ht="24" customHeight="1" x14ac:dyDescent="0.6">
      <c r="A272" s="891">
        <v>44694</v>
      </c>
      <c r="B272" s="850">
        <v>13</v>
      </c>
      <c r="C272" s="851" t="s">
        <v>2352</v>
      </c>
      <c r="D272" s="852" t="s">
        <v>9013</v>
      </c>
      <c r="E272" s="893"/>
      <c r="F272" s="835"/>
      <c r="G272" s="1027"/>
      <c r="H272" s="836">
        <v>3500</v>
      </c>
      <c r="I272" s="955">
        <f>Table2[[#This Row],[Opening]]+Table2[[#This Row],[Debit]]-Table2[[#This Row],[Credit]]</f>
        <v>-3500</v>
      </c>
      <c r="J272" s="879"/>
      <c r="S272" s="791"/>
      <c r="T272" s="791"/>
      <c r="U272" s="791"/>
      <c r="V272" s="920"/>
    </row>
    <row r="273" spans="1:22" ht="24" customHeight="1" x14ac:dyDescent="0.6">
      <c r="A273" s="891">
        <v>44694</v>
      </c>
      <c r="B273" s="850">
        <v>13</v>
      </c>
      <c r="C273" s="842" t="s">
        <v>1240</v>
      </c>
      <c r="D273" s="852" t="s">
        <v>9014</v>
      </c>
      <c r="E273" s="851" t="s">
        <v>7269</v>
      </c>
      <c r="F273" s="838"/>
      <c r="G273" s="837"/>
      <c r="H273" s="839">
        <v>29000</v>
      </c>
      <c r="I273" s="955">
        <f>Table2[[#This Row],[Opening]]+Table2[[#This Row],[Debit]]-Table2[[#This Row],[Credit]]</f>
        <v>-29000</v>
      </c>
      <c r="J273" s="879"/>
      <c r="S273" s="791"/>
      <c r="T273" s="791"/>
      <c r="U273" s="791"/>
      <c r="V273" s="920"/>
    </row>
    <row r="274" spans="1:22" ht="24" customHeight="1" x14ac:dyDescent="0.6">
      <c r="A274" s="891">
        <v>44694</v>
      </c>
      <c r="B274" s="850">
        <v>13</v>
      </c>
      <c r="C274" s="842" t="s">
        <v>1240</v>
      </c>
      <c r="D274" s="855" t="s">
        <v>9015</v>
      </c>
      <c r="E274" s="851" t="s">
        <v>7269</v>
      </c>
      <c r="F274" s="808"/>
      <c r="G274" s="799"/>
      <c r="H274" s="809">
        <v>15300</v>
      </c>
      <c r="I274" s="954">
        <f>Table2[[#This Row],[Opening]]+Table2[[#This Row],[Debit]]-Table2[[#This Row],[Credit]]</f>
        <v>-15300</v>
      </c>
      <c r="J274" s="879"/>
      <c r="S274" s="791"/>
      <c r="T274" s="791"/>
      <c r="U274" s="791"/>
      <c r="V274" s="920"/>
    </row>
    <row r="275" spans="1:22" ht="24" customHeight="1" x14ac:dyDescent="0.6">
      <c r="A275" s="891">
        <v>44694</v>
      </c>
      <c r="B275" s="850">
        <v>13</v>
      </c>
      <c r="C275" s="842" t="s">
        <v>1240</v>
      </c>
      <c r="D275" s="852" t="s">
        <v>9016</v>
      </c>
      <c r="E275" s="851" t="s">
        <v>7269</v>
      </c>
      <c r="F275" s="903"/>
      <c r="G275" s="836"/>
      <c r="H275" s="836">
        <v>4100</v>
      </c>
      <c r="I275" s="955">
        <f>Table2[[#This Row],[Opening]]+Table2[[#This Row],[Debit]]-Table2[[#This Row],[Credit]]</f>
        <v>-4100</v>
      </c>
      <c r="J275" s="879"/>
      <c r="S275" s="791"/>
      <c r="T275" s="791"/>
      <c r="U275" s="791"/>
      <c r="V275" s="920"/>
    </row>
    <row r="276" spans="1:22" ht="24" customHeight="1" x14ac:dyDescent="0.6">
      <c r="A276" s="891">
        <v>44694</v>
      </c>
      <c r="B276" s="850">
        <v>13</v>
      </c>
      <c r="C276" s="842" t="s">
        <v>86</v>
      </c>
      <c r="D276" s="842" t="s">
        <v>9017</v>
      </c>
      <c r="E276" s="878"/>
      <c r="F276" s="896"/>
      <c r="G276" s="809"/>
      <c r="H276" s="809">
        <v>6000</v>
      </c>
      <c r="I276" s="954">
        <f>Table2[[#This Row],[Opening]]+Table2[[#This Row],[Debit]]-Table2[[#This Row],[Credit]]</f>
        <v>-6000</v>
      </c>
      <c r="J276" s="879"/>
      <c r="S276" s="791"/>
      <c r="T276" s="791"/>
      <c r="U276" s="791"/>
      <c r="V276" s="920"/>
    </row>
    <row r="277" spans="1:22" ht="24" customHeight="1" x14ac:dyDescent="0.6">
      <c r="A277" s="891">
        <v>44694</v>
      </c>
      <c r="B277" s="850">
        <v>13</v>
      </c>
      <c r="C277" s="842" t="s">
        <v>1240</v>
      </c>
      <c r="D277" s="842" t="s">
        <v>9018</v>
      </c>
      <c r="E277" s="842" t="s">
        <v>7269</v>
      </c>
      <c r="F277" s="895"/>
      <c r="G277" s="798"/>
      <c r="H277" s="798">
        <v>11400</v>
      </c>
      <c r="I277" s="954">
        <f>Table2[[#This Row],[Opening]]+Table2[[#This Row],[Debit]]-Table2[[#This Row],[Credit]]</f>
        <v>-11400</v>
      </c>
      <c r="J277" s="879"/>
      <c r="S277" s="791"/>
      <c r="T277" s="791"/>
      <c r="U277" s="791"/>
      <c r="V277" s="920"/>
    </row>
    <row r="278" spans="1:22" ht="24" customHeight="1" x14ac:dyDescent="0.6">
      <c r="A278" s="891">
        <v>44694</v>
      </c>
      <c r="B278" s="850">
        <v>13</v>
      </c>
      <c r="C278" s="833" t="s">
        <v>2352</v>
      </c>
      <c r="D278" s="851" t="s">
        <v>9019</v>
      </c>
      <c r="E278" s="833"/>
      <c r="F278" s="838"/>
      <c r="G278" s="837"/>
      <c r="H278" s="839">
        <v>4300</v>
      </c>
      <c r="I278" s="955">
        <f>Table2[[#This Row],[Opening]]+Table2[[#This Row],[Debit]]-Table2[[#This Row],[Credit]]</f>
        <v>-4300</v>
      </c>
      <c r="J278" s="879"/>
      <c r="S278" s="791"/>
      <c r="T278" s="791"/>
      <c r="U278" s="791"/>
      <c r="V278" s="920"/>
    </row>
    <row r="279" spans="1:22" ht="24" customHeight="1" x14ac:dyDescent="0.6">
      <c r="A279" s="891">
        <v>44694</v>
      </c>
      <c r="B279" s="850">
        <v>13</v>
      </c>
      <c r="C279" s="795" t="s">
        <v>863</v>
      </c>
      <c r="D279" s="842" t="s">
        <v>9020</v>
      </c>
      <c r="H279" s="809">
        <v>115450</v>
      </c>
      <c r="I279" s="954">
        <f>Table2[[#This Row],[Opening]]+Table2[[#This Row],[Debit]]-Table2[[#This Row],[Credit]]</f>
        <v>-115450</v>
      </c>
      <c r="J279" s="879"/>
      <c r="S279" s="791"/>
      <c r="T279" s="791"/>
      <c r="U279" s="791"/>
      <c r="V279" s="920"/>
    </row>
    <row r="280" spans="1:22" ht="24" customHeight="1" x14ac:dyDescent="0.6">
      <c r="A280" s="891">
        <v>44694</v>
      </c>
      <c r="B280" s="850">
        <v>13</v>
      </c>
      <c r="C280" s="833" t="s">
        <v>864</v>
      </c>
      <c r="D280" s="842" t="s">
        <v>9021</v>
      </c>
      <c r="F280" s="808"/>
      <c r="G280" s="799"/>
      <c r="H280" s="809">
        <v>48500</v>
      </c>
      <c r="I280" s="954">
        <f>Table2[[#This Row],[Opening]]+Table2[[#This Row],[Debit]]-Table2[[#This Row],[Credit]]</f>
        <v>-48500</v>
      </c>
      <c r="J280" s="879"/>
      <c r="S280" s="791"/>
      <c r="T280" s="791"/>
      <c r="U280" s="791"/>
      <c r="V280" s="920"/>
    </row>
    <row r="281" spans="1:22" ht="24" customHeight="1" thickBot="1" x14ac:dyDescent="0.65">
      <c r="A281" s="1249">
        <v>44694</v>
      </c>
      <c r="B281" s="869">
        <v>13</v>
      </c>
      <c r="C281" s="846" t="s">
        <v>8936</v>
      </c>
      <c r="D281" s="846" t="s">
        <v>9022</v>
      </c>
      <c r="E281" s="846"/>
      <c r="F281" s="1236"/>
      <c r="G281" s="1237"/>
      <c r="H281" s="1238">
        <v>7000</v>
      </c>
      <c r="I281" s="956">
        <f>Table2[[#This Row],[Opening]]+Table2[[#This Row],[Debit]]-Table2[[#This Row],[Credit]]</f>
        <v>-7000</v>
      </c>
      <c r="J281" s="879"/>
      <c r="S281" s="791"/>
      <c r="T281" s="791"/>
      <c r="U281" s="791"/>
      <c r="V281" s="920"/>
    </row>
    <row r="282" spans="1:22" ht="24" customHeight="1" thickTop="1" x14ac:dyDescent="0.6">
      <c r="A282" s="778">
        <v>44695</v>
      </c>
      <c r="B282" s="1075">
        <v>14</v>
      </c>
      <c r="C282" s="851" t="s">
        <v>905</v>
      </c>
      <c r="D282" s="851" t="s">
        <v>8879</v>
      </c>
      <c r="E282" s="851"/>
      <c r="F282" s="853"/>
      <c r="G282" s="854">
        <v>3000</v>
      </c>
      <c r="H282" s="839"/>
      <c r="I282" s="955">
        <f>Table2[[#This Row],[Opening]]+Table2[[#This Row],[Debit]]-Table2[[#This Row],[Credit]]</f>
        <v>3000</v>
      </c>
      <c r="J282" s="879"/>
      <c r="S282" s="791"/>
      <c r="T282" s="791"/>
      <c r="U282" s="791"/>
      <c r="V282" s="920"/>
    </row>
    <row r="283" spans="1:22" ht="24" customHeight="1" x14ac:dyDescent="0.6">
      <c r="A283" s="778">
        <v>44695</v>
      </c>
      <c r="B283" s="1075">
        <v>14</v>
      </c>
      <c r="C283" s="851" t="s">
        <v>2466</v>
      </c>
      <c r="D283" s="851" t="s">
        <v>8886</v>
      </c>
      <c r="E283" s="851"/>
      <c r="F283" s="903"/>
      <c r="G283" s="860">
        <v>1200</v>
      </c>
      <c r="H283" s="836"/>
      <c r="I283" s="960">
        <f>Table2[[#This Row],[Opening]]+Table2[[#This Row],[Debit]]-Table2[[#This Row],[Credit]]</f>
        <v>1200</v>
      </c>
      <c r="J283" s="879"/>
      <c r="S283" s="791"/>
      <c r="T283" s="791"/>
      <c r="U283" s="791"/>
      <c r="V283" s="920"/>
    </row>
    <row r="284" spans="1:22" ht="24" customHeight="1" x14ac:dyDescent="0.6">
      <c r="A284" s="778">
        <v>44695</v>
      </c>
      <c r="B284" s="1075">
        <v>14</v>
      </c>
      <c r="C284" s="851" t="s">
        <v>2466</v>
      </c>
      <c r="D284" s="851" t="s">
        <v>8886</v>
      </c>
      <c r="E284" s="851"/>
      <c r="F284" s="853"/>
      <c r="G284" s="854">
        <v>40000</v>
      </c>
      <c r="H284" s="839"/>
      <c r="I284" s="955">
        <f>Table2[[#This Row],[Opening]]+Table2[[#This Row],[Debit]]-Table2[[#This Row],[Credit]]</f>
        <v>40000</v>
      </c>
      <c r="J284" s="879"/>
      <c r="S284" s="791"/>
      <c r="T284" s="791"/>
      <c r="U284" s="791"/>
      <c r="V284" s="920"/>
    </row>
    <row r="285" spans="1:22" ht="24" customHeight="1" x14ac:dyDescent="0.6">
      <c r="A285" s="778">
        <v>44695</v>
      </c>
      <c r="B285" s="1075">
        <v>14</v>
      </c>
      <c r="C285" s="851" t="s">
        <v>2466</v>
      </c>
      <c r="D285" s="851" t="s">
        <v>8886</v>
      </c>
      <c r="E285" s="842"/>
      <c r="F285" s="843"/>
      <c r="G285" s="844">
        <v>1000</v>
      </c>
      <c r="H285" s="809"/>
      <c r="I285" s="954">
        <f>Table2[[#This Row],[Opening]]+Table2[[#This Row],[Debit]]-Table2[[#This Row],[Credit]]</f>
        <v>1000</v>
      </c>
      <c r="J285" s="879"/>
      <c r="S285" s="791"/>
      <c r="T285" s="791"/>
      <c r="U285" s="791"/>
      <c r="V285" s="920"/>
    </row>
    <row r="286" spans="1:22" ht="24" customHeight="1" x14ac:dyDescent="0.6">
      <c r="A286" s="778">
        <v>44695</v>
      </c>
      <c r="B286" s="1075">
        <v>14</v>
      </c>
      <c r="C286" s="851" t="s">
        <v>905</v>
      </c>
      <c r="D286" s="851" t="s">
        <v>8879</v>
      </c>
      <c r="E286" s="878"/>
      <c r="F286" s="843"/>
      <c r="G286" s="844">
        <v>10000</v>
      </c>
      <c r="H286" s="809"/>
      <c r="I286" s="954">
        <f>Table2[[#This Row],[Opening]]+Table2[[#This Row],[Debit]]-Table2[[#This Row],[Credit]]</f>
        <v>10000</v>
      </c>
      <c r="J286" s="879"/>
      <c r="S286" s="791"/>
      <c r="T286" s="791"/>
      <c r="U286" s="791"/>
      <c r="V286" s="920"/>
    </row>
    <row r="287" spans="1:22" ht="24" customHeight="1" x14ac:dyDescent="0.6">
      <c r="A287" s="778">
        <v>44695</v>
      </c>
      <c r="B287" s="1075">
        <v>14</v>
      </c>
      <c r="C287" s="851" t="s">
        <v>888</v>
      </c>
      <c r="D287" s="795" t="s">
        <v>8880</v>
      </c>
      <c r="E287" s="851"/>
      <c r="F287" s="853"/>
      <c r="G287" s="854">
        <v>2007300</v>
      </c>
      <c r="H287" s="839"/>
      <c r="I287" s="955">
        <f>Table2[[#This Row],[Opening]]+Table2[[#This Row],[Debit]]-Table2[[#This Row],[Credit]]</f>
        <v>2007300</v>
      </c>
      <c r="J287" s="879"/>
      <c r="S287" s="791"/>
      <c r="T287" s="791"/>
      <c r="U287" s="791"/>
      <c r="V287" s="920"/>
    </row>
    <row r="288" spans="1:22" ht="24" customHeight="1" x14ac:dyDescent="0.6">
      <c r="A288" s="778">
        <v>44695</v>
      </c>
      <c r="B288" s="1075">
        <v>14</v>
      </c>
      <c r="C288" s="851" t="s">
        <v>1267</v>
      </c>
      <c r="D288" s="855" t="s">
        <v>7209</v>
      </c>
      <c r="E288" s="842"/>
      <c r="F288" s="843"/>
      <c r="G288" s="844">
        <v>30000</v>
      </c>
      <c r="H288" s="809"/>
      <c r="I288" s="954">
        <f>Table2[[#This Row],[Opening]]+Table2[[#This Row],[Debit]]-Table2[[#This Row],[Credit]]</f>
        <v>30000</v>
      </c>
      <c r="J288" s="879"/>
      <c r="S288" s="791"/>
      <c r="T288" s="791"/>
      <c r="U288" s="791"/>
      <c r="V288" s="920"/>
    </row>
    <row r="289" spans="1:22" ht="24" customHeight="1" x14ac:dyDescent="0.6">
      <c r="A289" s="778">
        <v>44695</v>
      </c>
      <c r="B289" s="1075">
        <v>14</v>
      </c>
      <c r="C289" s="842" t="s">
        <v>1143</v>
      </c>
      <c r="D289" s="855" t="s">
        <v>9024</v>
      </c>
      <c r="E289" s="842"/>
      <c r="F289" s="843"/>
      <c r="G289" s="844"/>
      <c r="H289" s="809">
        <v>62000</v>
      </c>
      <c r="I289" s="954">
        <f>Table2[[#This Row],[Opening]]+Table2[[#This Row],[Debit]]-Table2[[#This Row],[Credit]]</f>
        <v>-62000</v>
      </c>
      <c r="J289" s="879"/>
      <c r="S289" s="791"/>
      <c r="T289" s="791"/>
      <c r="U289" s="791"/>
      <c r="V289" s="920"/>
    </row>
    <row r="290" spans="1:22" ht="24" customHeight="1" x14ac:dyDescent="0.6">
      <c r="A290" s="778">
        <v>44695</v>
      </c>
      <c r="B290" s="1075">
        <v>14</v>
      </c>
      <c r="C290" s="842" t="s">
        <v>86</v>
      </c>
      <c r="D290" s="855" t="s">
        <v>9025</v>
      </c>
      <c r="E290" s="842"/>
      <c r="F290" s="853"/>
      <c r="G290" s="854"/>
      <c r="H290" s="839">
        <v>21200</v>
      </c>
      <c r="I290" s="955">
        <f>Table2[[#This Row],[Opening]]+Table2[[#This Row],[Debit]]-Table2[[#This Row],[Credit]]</f>
        <v>-21200</v>
      </c>
      <c r="J290" s="879"/>
      <c r="S290" s="791"/>
      <c r="T290" s="791"/>
      <c r="U290" s="791"/>
      <c r="V290" s="920"/>
    </row>
    <row r="291" spans="1:22" ht="24" customHeight="1" x14ac:dyDescent="0.6">
      <c r="A291" s="778">
        <v>44695</v>
      </c>
      <c r="B291" s="1075">
        <v>14</v>
      </c>
      <c r="C291" s="842" t="s">
        <v>86</v>
      </c>
      <c r="D291" s="855" t="s">
        <v>9026</v>
      </c>
      <c r="E291" s="842"/>
      <c r="F291" s="808"/>
      <c r="G291" s="844"/>
      <c r="H291" s="809">
        <v>15000</v>
      </c>
      <c r="I291" s="954">
        <f>Table2[[#This Row],[Opening]]+Table2[[#This Row],[Debit]]-Table2[[#This Row],[Credit]]</f>
        <v>-15000</v>
      </c>
      <c r="J291" s="879"/>
      <c r="S291" s="791"/>
      <c r="T291" s="791"/>
      <c r="U291" s="791"/>
      <c r="V291" s="920"/>
    </row>
    <row r="292" spans="1:22" ht="24" customHeight="1" x14ac:dyDescent="0.6">
      <c r="A292" s="778">
        <v>44695</v>
      </c>
      <c r="B292" s="1075">
        <v>14</v>
      </c>
      <c r="C292" s="842" t="s">
        <v>86</v>
      </c>
      <c r="D292" s="855" t="s">
        <v>9027</v>
      </c>
      <c r="E292" s="842"/>
      <c r="F292" s="838"/>
      <c r="G292" s="854"/>
      <c r="H292" s="839">
        <v>8000</v>
      </c>
      <c r="I292" s="955">
        <f>Table2[[#This Row],[Opening]]+Table2[[#This Row],[Debit]]-Table2[[#This Row],[Credit]]</f>
        <v>-8000</v>
      </c>
      <c r="J292" s="879"/>
      <c r="S292" s="791"/>
      <c r="T292" s="791"/>
      <c r="U292" s="791"/>
      <c r="V292" s="920"/>
    </row>
    <row r="293" spans="1:22" ht="24" customHeight="1" x14ac:dyDescent="0.6">
      <c r="A293" s="778">
        <v>44695</v>
      </c>
      <c r="B293" s="1075">
        <v>14</v>
      </c>
      <c r="C293" s="833" t="s">
        <v>864</v>
      </c>
      <c r="D293" s="834" t="s">
        <v>9028</v>
      </c>
      <c r="E293" s="833"/>
      <c r="F293" s="838"/>
      <c r="G293" s="854"/>
      <c r="H293" s="839">
        <v>3200</v>
      </c>
      <c r="I293" s="955">
        <f>Table2[[#This Row],[Opening]]+Table2[[#This Row],[Debit]]-Table2[[#This Row],[Credit]]</f>
        <v>-3200</v>
      </c>
      <c r="J293" s="879"/>
      <c r="S293" s="791"/>
      <c r="T293" s="791"/>
      <c r="U293" s="791"/>
      <c r="V293" s="920"/>
    </row>
    <row r="294" spans="1:22" ht="24" customHeight="1" x14ac:dyDescent="0.6">
      <c r="A294" s="778">
        <v>44695</v>
      </c>
      <c r="B294" s="1075">
        <v>14</v>
      </c>
      <c r="C294" s="795" t="s">
        <v>863</v>
      </c>
      <c r="D294" s="807" t="s">
        <v>9029</v>
      </c>
      <c r="F294" s="808"/>
      <c r="G294" s="844"/>
      <c r="H294" s="809">
        <v>80000</v>
      </c>
      <c r="I294" s="954">
        <f>Table2[[#This Row],[Opening]]+Table2[[#This Row],[Debit]]-Table2[[#This Row],[Credit]]</f>
        <v>-80000</v>
      </c>
      <c r="J294" s="879"/>
      <c r="S294" s="791"/>
      <c r="T294" s="791"/>
      <c r="U294" s="791"/>
      <c r="V294" s="920"/>
    </row>
    <row r="295" spans="1:22" ht="24" customHeight="1" x14ac:dyDescent="0.6">
      <c r="A295" s="778">
        <v>44695</v>
      </c>
      <c r="B295" s="1075">
        <v>14</v>
      </c>
      <c r="C295" s="833" t="s">
        <v>1143</v>
      </c>
      <c r="D295" s="834" t="s">
        <v>9030</v>
      </c>
      <c r="E295" s="833"/>
      <c r="F295" s="838"/>
      <c r="G295" s="854"/>
      <c r="H295" s="839">
        <v>10000</v>
      </c>
      <c r="I295" s="955">
        <f>Table2[[#This Row],[Opening]]+Table2[[#This Row],[Debit]]-Table2[[#This Row],[Credit]]</f>
        <v>-10000</v>
      </c>
      <c r="J295" s="879"/>
      <c r="S295" s="791"/>
      <c r="T295" s="791"/>
      <c r="U295" s="791"/>
      <c r="V295" s="920"/>
    </row>
    <row r="296" spans="1:22" ht="24" customHeight="1" x14ac:dyDescent="0.6">
      <c r="A296" s="778">
        <v>44695</v>
      </c>
      <c r="B296" s="1075">
        <v>14</v>
      </c>
      <c r="C296" s="795" t="s">
        <v>863</v>
      </c>
      <c r="D296" s="807" t="s">
        <v>9031</v>
      </c>
      <c r="F296" s="808"/>
      <c r="G296" s="844"/>
      <c r="H296" s="809">
        <v>7800</v>
      </c>
      <c r="I296" s="954">
        <f>Table2[[#This Row],[Opening]]+Table2[[#This Row],[Debit]]-Table2[[#This Row],[Credit]]</f>
        <v>-7800</v>
      </c>
      <c r="J296" s="879"/>
      <c r="S296" s="791"/>
      <c r="T296" s="791"/>
      <c r="U296" s="791"/>
      <c r="V296" s="920"/>
    </row>
    <row r="297" spans="1:22" ht="24" customHeight="1" x14ac:dyDescent="0.6">
      <c r="A297" s="778">
        <v>44695</v>
      </c>
      <c r="B297" s="1075">
        <v>14</v>
      </c>
      <c r="C297" s="795" t="s">
        <v>86</v>
      </c>
      <c r="D297" s="834" t="s">
        <v>9032</v>
      </c>
      <c r="E297" s="833"/>
      <c r="F297" s="838"/>
      <c r="G297" s="854"/>
      <c r="H297" s="839">
        <v>1400</v>
      </c>
      <c r="I297" s="955">
        <f>Table2[[#This Row],[Opening]]+Table2[[#This Row],[Debit]]-Table2[[#This Row],[Credit]]</f>
        <v>-1400</v>
      </c>
      <c r="J297" s="879"/>
      <c r="S297" s="791"/>
      <c r="T297" s="791"/>
      <c r="U297" s="791"/>
      <c r="V297" s="920"/>
    </row>
    <row r="298" spans="1:22" ht="24" customHeight="1" x14ac:dyDescent="0.6">
      <c r="A298" s="778">
        <v>44695</v>
      </c>
      <c r="B298" s="1075">
        <v>14</v>
      </c>
      <c r="C298" s="833" t="s">
        <v>8494</v>
      </c>
      <c r="D298" s="795" t="s">
        <v>8964</v>
      </c>
      <c r="F298" s="808"/>
      <c r="G298" s="844"/>
      <c r="H298" s="809">
        <v>9500</v>
      </c>
      <c r="I298" s="954">
        <f>Table2[[#This Row],[Opening]]+Table2[[#This Row],[Debit]]-Table2[[#This Row],[Credit]]</f>
        <v>-9500</v>
      </c>
      <c r="J298" s="879"/>
      <c r="S298" s="791"/>
      <c r="T298" s="791"/>
      <c r="U298" s="791"/>
      <c r="V298" s="920"/>
    </row>
    <row r="299" spans="1:22" ht="24" customHeight="1" x14ac:dyDescent="0.6">
      <c r="A299" s="778">
        <v>44695</v>
      </c>
      <c r="B299" s="1075">
        <v>14</v>
      </c>
      <c r="C299" s="833" t="s">
        <v>86</v>
      </c>
      <c r="D299" s="834" t="s">
        <v>9033</v>
      </c>
      <c r="F299" s="808"/>
      <c r="G299" s="844"/>
      <c r="H299" s="809">
        <v>20900</v>
      </c>
      <c r="I299" s="954">
        <f>Table2[[#This Row],[Opening]]+Table2[[#This Row],[Debit]]-Table2[[#This Row],[Credit]]</f>
        <v>-20900</v>
      </c>
      <c r="J299" s="879"/>
      <c r="S299" s="791"/>
      <c r="T299" s="791"/>
      <c r="U299" s="791"/>
      <c r="V299" s="920"/>
    </row>
    <row r="300" spans="1:22" ht="24" customHeight="1" x14ac:dyDescent="0.6">
      <c r="A300" s="778">
        <v>44695</v>
      </c>
      <c r="B300" s="1075">
        <v>14</v>
      </c>
      <c r="C300" s="795" t="s">
        <v>2352</v>
      </c>
      <c r="D300" s="834" t="s">
        <v>9034</v>
      </c>
      <c r="F300" s="808"/>
      <c r="G300" s="844"/>
      <c r="H300" s="809">
        <v>1600</v>
      </c>
      <c r="I300" s="954">
        <f>Table2[[#This Row],[Opening]]+Table2[[#This Row],[Debit]]-Table2[[#This Row],[Credit]]</f>
        <v>-1600</v>
      </c>
      <c r="J300" s="879"/>
      <c r="S300" s="791"/>
      <c r="T300" s="791"/>
      <c r="U300" s="791"/>
      <c r="V300" s="920"/>
    </row>
    <row r="301" spans="1:22" ht="24" customHeight="1" x14ac:dyDescent="0.6">
      <c r="A301" s="778">
        <v>44695</v>
      </c>
      <c r="B301" s="1075">
        <v>14</v>
      </c>
      <c r="C301" s="795" t="s">
        <v>1183</v>
      </c>
      <c r="D301" s="834" t="s">
        <v>9035</v>
      </c>
      <c r="F301" s="808"/>
      <c r="G301" s="844"/>
      <c r="H301" s="809">
        <v>50000</v>
      </c>
      <c r="I301" s="954">
        <f>Table2[[#This Row],[Opening]]+Table2[[#This Row],[Debit]]-Table2[[#This Row],[Credit]]</f>
        <v>-50000</v>
      </c>
      <c r="J301" s="879"/>
      <c r="S301" s="791"/>
      <c r="T301" s="791"/>
      <c r="U301" s="791"/>
      <c r="V301" s="920"/>
    </row>
    <row r="302" spans="1:22" ht="24" customHeight="1" x14ac:dyDescent="0.6">
      <c r="A302" s="778">
        <v>44695</v>
      </c>
      <c r="B302" s="1075">
        <v>14</v>
      </c>
      <c r="C302" s="795" t="s">
        <v>1183</v>
      </c>
      <c r="D302" s="834" t="s">
        <v>8893</v>
      </c>
      <c r="F302" s="808"/>
      <c r="G302" s="844"/>
      <c r="H302" s="809">
        <v>20000</v>
      </c>
      <c r="I302" s="954">
        <f>Table2[[#This Row],[Opening]]+Table2[[#This Row],[Debit]]-Table2[[#This Row],[Credit]]</f>
        <v>-20000</v>
      </c>
      <c r="J302" s="879"/>
      <c r="S302" s="791"/>
      <c r="T302" s="791"/>
      <c r="U302" s="791"/>
      <c r="V302" s="920"/>
    </row>
    <row r="303" spans="1:22" ht="24" customHeight="1" x14ac:dyDescent="0.6">
      <c r="A303" s="778">
        <v>44695</v>
      </c>
      <c r="B303" s="1075">
        <v>14</v>
      </c>
      <c r="C303" s="795" t="s">
        <v>1240</v>
      </c>
      <c r="D303" s="834" t="s">
        <v>9036</v>
      </c>
      <c r="E303" s="795" t="s">
        <v>7269</v>
      </c>
      <c r="F303" s="808"/>
      <c r="G303" s="844"/>
      <c r="H303" s="809">
        <v>24100</v>
      </c>
      <c r="I303" s="954">
        <f>Table2[[#This Row],[Opening]]+Table2[[#This Row],[Debit]]-Table2[[#This Row],[Credit]]</f>
        <v>-24100</v>
      </c>
      <c r="J303" s="879"/>
      <c r="S303" s="791"/>
      <c r="T303" s="791"/>
      <c r="U303" s="791"/>
      <c r="V303" s="920"/>
    </row>
    <row r="304" spans="1:22" ht="24" customHeight="1" x14ac:dyDescent="0.6">
      <c r="A304" s="778">
        <v>44695</v>
      </c>
      <c r="B304" s="1075">
        <v>14</v>
      </c>
      <c r="C304" s="795" t="s">
        <v>47</v>
      </c>
      <c r="D304" s="855" t="s">
        <v>57</v>
      </c>
      <c r="F304" s="808"/>
      <c r="G304" s="844"/>
      <c r="H304" s="809">
        <v>292000</v>
      </c>
      <c r="I304" s="954">
        <f>Table2[[#This Row],[Opening]]+Table2[[#This Row],[Debit]]-Table2[[#This Row],[Credit]]</f>
        <v>-292000</v>
      </c>
      <c r="J304" s="879"/>
      <c r="S304" s="791"/>
      <c r="T304" s="791"/>
      <c r="U304" s="791"/>
      <c r="V304" s="920"/>
    </row>
    <row r="305" spans="1:22" ht="24" customHeight="1" x14ac:dyDescent="0.6">
      <c r="A305" s="778">
        <v>44695</v>
      </c>
      <c r="B305" s="1075">
        <v>14</v>
      </c>
      <c r="C305" s="795" t="s">
        <v>47</v>
      </c>
      <c r="D305" s="833" t="s">
        <v>8200</v>
      </c>
      <c r="E305" s="893"/>
      <c r="F305" s="838"/>
      <c r="G305" s="854"/>
      <c r="H305" s="839">
        <v>1620000</v>
      </c>
      <c r="I305" s="955">
        <f>Table2[[#This Row],[Opening]]+Table2[[#This Row],[Debit]]-Table2[[#This Row],[Credit]]</f>
        <v>-1620000</v>
      </c>
      <c r="J305" s="879"/>
      <c r="S305" s="791"/>
      <c r="T305" s="791"/>
      <c r="U305" s="791"/>
      <c r="V305" s="920"/>
    </row>
    <row r="306" spans="1:22" ht="24" customHeight="1" x14ac:dyDescent="0.6">
      <c r="A306" s="778">
        <v>44695</v>
      </c>
      <c r="B306" s="1075">
        <v>14</v>
      </c>
      <c r="C306" s="851" t="s">
        <v>39</v>
      </c>
      <c r="D306" s="795" t="s">
        <v>8196</v>
      </c>
      <c r="E306" s="893"/>
      <c r="F306" s="894"/>
      <c r="G306" s="854"/>
      <c r="H306" s="839">
        <v>482490</v>
      </c>
      <c r="I306" s="955">
        <f>Table2[[#This Row],[Opening]]+Table2[[#This Row],[Debit]]-Table2[[#This Row],[Credit]]</f>
        <v>-482490</v>
      </c>
      <c r="J306" s="879"/>
      <c r="S306" s="791"/>
      <c r="T306" s="791"/>
      <c r="U306" s="791"/>
      <c r="V306" s="920"/>
    </row>
    <row r="307" spans="1:22" ht="24" customHeight="1" x14ac:dyDescent="0.6">
      <c r="A307" s="778">
        <v>44695</v>
      </c>
      <c r="B307" s="1075">
        <v>14</v>
      </c>
      <c r="C307" s="851" t="s">
        <v>39</v>
      </c>
      <c r="D307" s="795" t="s">
        <v>8193</v>
      </c>
      <c r="E307" s="842"/>
      <c r="F307" s="843"/>
      <c r="G307" s="844"/>
      <c r="H307" s="809">
        <v>818350</v>
      </c>
      <c r="I307" s="954">
        <f>Table2[[#This Row],[Opening]]+Table2[[#This Row],[Debit]]-Table2[[#This Row],[Credit]]</f>
        <v>-818350</v>
      </c>
      <c r="J307" s="879"/>
      <c r="S307" s="791"/>
      <c r="T307" s="791"/>
      <c r="U307" s="791"/>
      <c r="V307" s="920"/>
    </row>
    <row r="308" spans="1:22" ht="24" customHeight="1" x14ac:dyDescent="0.6">
      <c r="A308" s="778">
        <v>44695</v>
      </c>
      <c r="B308" s="1075">
        <v>14</v>
      </c>
      <c r="C308" s="851" t="s">
        <v>39</v>
      </c>
      <c r="D308" s="795" t="s">
        <v>8204</v>
      </c>
      <c r="E308" s="851"/>
      <c r="F308" s="853"/>
      <c r="G308" s="854"/>
      <c r="H308" s="839">
        <v>853760</v>
      </c>
      <c r="I308" s="955">
        <f>Table2[[#This Row],[Opening]]+Table2[[#This Row],[Debit]]-Table2[[#This Row],[Credit]]</f>
        <v>-853760</v>
      </c>
      <c r="J308" s="879"/>
      <c r="S308" s="791"/>
      <c r="T308" s="791"/>
      <c r="U308" s="791"/>
      <c r="V308" s="920"/>
    </row>
    <row r="309" spans="1:22" ht="24" customHeight="1" x14ac:dyDescent="0.6">
      <c r="A309" s="778">
        <v>44695</v>
      </c>
      <c r="B309" s="1075">
        <v>14</v>
      </c>
      <c r="C309" s="851" t="s">
        <v>39</v>
      </c>
      <c r="D309" s="795" t="s">
        <v>7879</v>
      </c>
      <c r="E309" s="842"/>
      <c r="F309" s="843"/>
      <c r="G309" s="844"/>
      <c r="H309" s="809">
        <v>131270</v>
      </c>
      <c r="I309" s="954">
        <f>Table2[[#This Row],[Opening]]+Table2[[#This Row],[Debit]]-Table2[[#This Row],[Credit]]</f>
        <v>-131270</v>
      </c>
      <c r="J309" s="879"/>
      <c r="S309" s="791"/>
      <c r="T309" s="791"/>
      <c r="U309" s="791"/>
      <c r="V309" s="920"/>
    </row>
    <row r="310" spans="1:22" ht="24" customHeight="1" x14ac:dyDescent="0.6">
      <c r="A310" s="778">
        <v>44695</v>
      </c>
      <c r="B310" s="1075">
        <v>14</v>
      </c>
      <c r="C310" s="851" t="s">
        <v>39</v>
      </c>
      <c r="D310" s="795" t="s">
        <v>8216</v>
      </c>
      <c r="E310" s="851"/>
      <c r="F310" s="843"/>
      <c r="G310" s="844"/>
      <c r="H310" s="809">
        <v>735000</v>
      </c>
      <c r="I310" s="954">
        <f>Table2[[#This Row],[Opening]]+Table2[[#This Row],[Debit]]-Table2[[#This Row],[Credit]]</f>
        <v>-735000</v>
      </c>
      <c r="J310" s="879"/>
      <c r="S310" s="791"/>
      <c r="T310" s="791"/>
      <c r="U310" s="791"/>
      <c r="V310" s="920"/>
    </row>
    <row r="311" spans="1:22" ht="24" customHeight="1" x14ac:dyDescent="0.6">
      <c r="A311" s="778">
        <v>44695</v>
      </c>
      <c r="B311" s="1075">
        <v>14</v>
      </c>
      <c r="C311" s="851" t="s">
        <v>39</v>
      </c>
      <c r="D311" s="1015" t="s">
        <v>9037</v>
      </c>
      <c r="E311" s="842"/>
      <c r="F311" s="853"/>
      <c r="G311" s="854"/>
      <c r="H311" s="839">
        <v>1212750</v>
      </c>
      <c r="I311" s="960">
        <f>Table2[[#This Row],[Opening]]+Table2[[#This Row],[Debit]]-Table2[[#This Row],[Credit]]</f>
        <v>-1212750</v>
      </c>
      <c r="J311" s="879"/>
      <c r="S311" s="791"/>
      <c r="T311" s="791"/>
      <c r="U311" s="791"/>
      <c r="V311" s="920"/>
    </row>
    <row r="312" spans="1:22" ht="24" customHeight="1" x14ac:dyDescent="0.6">
      <c r="A312" s="778">
        <v>44695</v>
      </c>
      <c r="B312" s="1075">
        <v>14</v>
      </c>
      <c r="C312" s="851" t="s">
        <v>39</v>
      </c>
      <c r="D312" s="842" t="s">
        <v>8907</v>
      </c>
      <c r="E312" s="842"/>
      <c r="F312" s="856"/>
      <c r="G312" s="857"/>
      <c r="H312" s="798">
        <v>133500</v>
      </c>
      <c r="I312" s="958">
        <f>Table2[[#This Row],[Opening]]+Table2[[#This Row],[Debit]]-Table2[[#This Row],[Credit]]</f>
        <v>-133500</v>
      </c>
      <c r="J312" s="879"/>
      <c r="S312" s="791"/>
      <c r="T312" s="791"/>
      <c r="U312" s="791"/>
      <c r="V312" s="920"/>
    </row>
    <row r="313" spans="1:22" ht="24" customHeight="1" x14ac:dyDescent="0.6">
      <c r="A313" s="778">
        <v>44695</v>
      </c>
      <c r="B313" s="1075">
        <v>14</v>
      </c>
      <c r="C313" s="851" t="s">
        <v>39</v>
      </c>
      <c r="D313" s="842" t="s">
        <v>9038</v>
      </c>
      <c r="E313" s="842"/>
      <c r="F313" s="856"/>
      <c r="G313" s="857"/>
      <c r="H313" s="798">
        <v>370000</v>
      </c>
      <c r="I313" s="958">
        <f>Table2[[#This Row],[Opening]]+Table2[[#This Row],[Debit]]-Table2[[#This Row],[Credit]]</f>
        <v>-370000</v>
      </c>
      <c r="J313" s="879"/>
      <c r="S313" s="791"/>
      <c r="T313" s="791"/>
      <c r="U313" s="791"/>
      <c r="V313" s="920"/>
    </row>
    <row r="314" spans="1:22" ht="24" customHeight="1" x14ac:dyDescent="0.6">
      <c r="A314" s="778">
        <v>44695</v>
      </c>
      <c r="B314" s="1075">
        <v>14</v>
      </c>
      <c r="C314" s="851" t="s">
        <v>2352</v>
      </c>
      <c r="D314" s="842" t="s">
        <v>8907</v>
      </c>
      <c r="E314" s="842"/>
      <c r="F314" s="843"/>
      <c r="G314" s="844"/>
      <c r="H314" s="809">
        <v>21100</v>
      </c>
      <c r="I314" s="958">
        <f>Table2[[#This Row],[Opening]]+Table2[[#This Row],[Debit]]-Table2[[#This Row],[Credit]]</f>
        <v>-21100</v>
      </c>
      <c r="J314" s="879"/>
      <c r="S314" s="791"/>
      <c r="T314" s="791"/>
      <c r="U314" s="791"/>
      <c r="V314" s="920"/>
    </row>
    <row r="315" spans="1:22" ht="24" customHeight="1" thickBot="1" x14ac:dyDescent="0.65">
      <c r="A315" s="1207">
        <v>44695</v>
      </c>
      <c r="B315" s="1208">
        <v>14</v>
      </c>
      <c r="C315" s="1245" t="s">
        <v>2352</v>
      </c>
      <c r="D315" s="846" t="s">
        <v>8907</v>
      </c>
      <c r="E315" s="1245"/>
      <c r="F315" s="1256"/>
      <c r="G315" s="1257"/>
      <c r="H315" s="1258">
        <v>149600</v>
      </c>
      <c r="I315" s="1259">
        <f>Table2[[#This Row],[Opening]]+Table2[[#This Row],[Debit]]-Table2[[#This Row],[Credit]]</f>
        <v>-149600</v>
      </c>
      <c r="J315" s="879"/>
      <c r="S315" s="791"/>
      <c r="T315" s="791"/>
      <c r="U315" s="791"/>
      <c r="V315" s="920"/>
    </row>
    <row r="316" spans="1:22" ht="24" customHeight="1" thickTop="1" x14ac:dyDescent="0.6">
      <c r="A316" s="778">
        <v>44696</v>
      </c>
      <c r="B316" s="1075">
        <v>15</v>
      </c>
      <c r="C316" s="851" t="s">
        <v>2466</v>
      </c>
      <c r="D316" s="852" t="s">
        <v>8909</v>
      </c>
      <c r="E316" s="851"/>
      <c r="F316" s="853"/>
      <c r="G316" s="854">
        <v>34000</v>
      </c>
      <c r="H316" s="839"/>
      <c r="I316" s="960">
        <f>Table2[[#This Row],[Opening]]+Table2[[#This Row],[Debit]]-Table2[[#This Row],[Credit]]</f>
        <v>34000</v>
      </c>
      <c r="J316" s="879"/>
      <c r="S316" s="791"/>
      <c r="T316" s="791"/>
      <c r="U316" s="791"/>
      <c r="V316" s="920"/>
    </row>
    <row r="317" spans="1:22" ht="24" customHeight="1" x14ac:dyDescent="0.6">
      <c r="A317" s="778">
        <v>44696</v>
      </c>
      <c r="B317" s="1075">
        <v>15</v>
      </c>
      <c r="C317" s="842" t="s">
        <v>2466</v>
      </c>
      <c r="D317" s="842" t="s">
        <v>8886</v>
      </c>
      <c r="E317" s="851"/>
      <c r="F317" s="856"/>
      <c r="G317" s="857">
        <v>2400</v>
      </c>
      <c r="I317" s="961">
        <f>Table2[[#This Row],[Opening]]+Table2[[#This Row],[Debit]]-Table2[[#This Row],[Credit]]</f>
        <v>2400</v>
      </c>
      <c r="J317" s="879"/>
      <c r="S317" s="791"/>
      <c r="T317" s="791"/>
      <c r="U317" s="791"/>
      <c r="V317" s="920"/>
    </row>
    <row r="318" spans="1:22" ht="24" customHeight="1" x14ac:dyDescent="0.6">
      <c r="A318" s="778">
        <v>44696</v>
      </c>
      <c r="B318" s="1075">
        <v>15</v>
      </c>
      <c r="C318" s="842" t="s">
        <v>905</v>
      </c>
      <c r="D318" s="855" t="s">
        <v>8879</v>
      </c>
      <c r="E318" s="851"/>
      <c r="F318" s="843"/>
      <c r="G318" s="844">
        <v>15000</v>
      </c>
      <c r="H318" s="809"/>
      <c r="I318" s="961">
        <f>Table2[[#This Row],[Opening]]+Table2[[#This Row],[Debit]]-Table2[[#This Row],[Credit]]</f>
        <v>15000</v>
      </c>
      <c r="J318" s="879"/>
      <c r="S318" s="791"/>
      <c r="T318" s="791"/>
      <c r="U318" s="791"/>
      <c r="V318" s="920"/>
    </row>
    <row r="319" spans="1:22" ht="24" customHeight="1" x14ac:dyDescent="0.6">
      <c r="A319" s="778">
        <v>44696</v>
      </c>
      <c r="B319" s="1075">
        <v>15</v>
      </c>
      <c r="C319" s="851" t="s">
        <v>2466</v>
      </c>
      <c r="D319" s="842" t="s">
        <v>8886</v>
      </c>
      <c r="E319" s="893"/>
      <c r="F319" s="894"/>
      <c r="G319" s="854">
        <v>2500</v>
      </c>
      <c r="H319" s="839"/>
      <c r="I319" s="960">
        <f>Table2[[#This Row],[Opening]]+Table2[[#This Row],[Debit]]-Table2[[#This Row],[Credit]]</f>
        <v>2500</v>
      </c>
      <c r="J319" s="879"/>
      <c r="S319" s="791"/>
      <c r="T319" s="791"/>
      <c r="U319" s="791"/>
      <c r="V319" s="920"/>
    </row>
    <row r="320" spans="1:22" ht="24" customHeight="1" x14ac:dyDescent="0.6">
      <c r="A320" s="778">
        <v>44696</v>
      </c>
      <c r="B320" s="1075">
        <v>15</v>
      </c>
      <c r="C320" s="842" t="s">
        <v>2466</v>
      </c>
      <c r="D320" s="842" t="s">
        <v>8886</v>
      </c>
      <c r="E320" s="893"/>
      <c r="F320" s="895"/>
      <c r="G320" s="857">
        <v>500</v>
      </c>
      <c r="I320" s="961">
        <f>Table2[[#This Row],[Opening]]+Table2[[#This Row],[Debit]]-Table2[[#This Row],[Credit]]</f>
        <v>500</v>
      </c>
      <c r="J320" s="879"/>
      <c r="S320" s="791"/>
      <c r="T320" s="791"/>
      <c r="U320" s="791"/>
      <c r="V320" s="920"/>
    </row>
    <row r="321" spans="1:22" ht="24" customHeight="1" x14ac:dyDescent="0.6">
      <c r="A321" s="778">
        <v>44696</v>
      </c>
      <c r="B321" s="1075">
        <v>15</v>
      </c>
      <c r="C321" s="842" t="s">
        <v>905</v>
      </c>
      <c r="D321" s="855" t="s">
        <v>8879</v>
      </c>
      <c r="E321" s="878"/>
      <c r="F321" s="896"/>
      <c r="G321" s="844">
        <v>1000</v>
      </c>
      <c r="H321" s="809"/>
      <c r="I321" s="961">
        <f>Table2[[#This Row],[Opening]]+Table2[[#This Row],[Debit]]-Table2[[#This Row],[Credit]]</f>
        <v>1000</v>
      </c>
      <c r="J321" s="879"/>
      <c r="S321" s="791"/>
      <c r="T321" s="791"/>
      <c r="U321" s="791"/>
      <c r="V321" s="920"/>
    </row>
    <row r="322" spans="1:22" ht="24" customHeight="1" x14ac:dyDescent="0.6">
      <c r="A322" s="778">
        <v>44696</v>
      </c>
      <c r="B322" s="1075">
        <v>15</v>
      </c>
      <c r="C322" s="842" t="s">
        <v>905</v>
      </c>
      <c r="D322" s="855" t="s">
        <v>8879</v>
      </c>
      <c r="E322" s="851"/>
      <c r="F322" s="859"/>
      <c r="G322" s="860">
        <v>252000</v>
      </c>
      <c r="H322" s="860"/>
      <c r="I322" s="960">
        <f>Table2[[#This Row],[Opening]]+Table2[[#This Row],[Debit]]-Table2[[#This Row],[Credit]]</f>
        <v>252000</v>
      </c>
      <c r="J322" s="879"/>
      <c r="S322" s="791"/>
      <c r="T322" s="791"/>
      <c r="U322" s="791"/>
      <c r="V322" s="920"/>
    </row>
    <row r="323" spans="1:22" ht="24" customHeight="1" x14ac:dyDescent="0.6">
      <c r="A323" s="778">
        <v>44696</v>
      </c>
      <c r="B323" s="1075">
        <v>15</v>
      </c>
      <c r="C323" s="842" t="s">
        <v>905</v>
      </c>
      <c r="D323" s="855" t="s">
        <v>8879</v>
      </c>
      <c r="E323" s="851"/>
      <c r="F323" s="853"/>
      <c r="G323" s="854">
        <v>3000</v>
      </c>
      <c r="H323" s="854"/>
      <c r="I323" s="960">
        <f>Table2[[#This Row],[Opening]]+Table2[[#This Row],[Debit]]-Table2[[#This Row],[Credit]]</f>
        <v>3000</v>
      </c>
      <c r="J323" s="879"/>
      <c r="S323" s="791"/>
      <c r="T323" s="791"/>
      <c r="U323" s="791"/>
      <c r="V323" s="920"/>
    </row>
    <row r="324" spans="1:22" ht="24" customHeight="1" x14ac:dyDescent="0.6">
      <c r="A324" s="778">
        <v>44696</v>
      </c>
      <c r="B324" s="1075">
        <v>15</v>
      </c>
      <c r="C324" s="842" t="s">
        <v>905</v>
      </c>
      <c r="D324" s="855" t="s">
        <v>8879</v>
      </c>
      <c r="E324" s="842"/>
      <c r="F324" s="856"/>
      <c r="G324" s="857">
        <v>15000</v>
      </c>
      <c r="I324" s="961">
        <f>Table2[[#This Row],[Opening]]+Table2[[#This Row],[Debit]]-Table2[[#This Row],[Credit]]</f>
        <v>15000</v>
      </c>
      <c r="J324" s="879"/>
      <c r="S324" s="791"/>
      <c r="T324" s="791"/>
      <c r="U324" s="791"/>
      <c r="V324" s="920"/>
    </row>
    <row r="325" spans="1:22" ht="24" customHeight="1" x14ac:dyDescent="0.6">
      <c r="A325" s="778">
        <v>44696</v>
      </c>
      <c r="B325" s="1075">
        <v>15</v>
      </c>
      <c r="C325" s="842" t="s">
        <v>888</v>
      </c>
      <c r="D325" s="851" t="s">
        <v>8880</v>
      </c>
      <c r="E325" s="842"/>
      <c r="F325" s="843"/>
      <c r="G325" s="844">
        <v>2557800</v>
      </c>
      <c r="H325" s="809"/>
      <c r="I325" s="961">
        <f>Table2[[#This Row],[Opening]]+Table2[[#This Row],[Debit]]-Table2[[#This Row],[Credit]]</f>
        <v>2557800</v>
      </c>
      <c r="J325" s="879"/>
      <c r="S325" s="791"/>
      <c r="T325" s="791"/>
      <c r="U325" s="791"/>
      <c r="V325" s="920"/>
    </row>
    <row r="326" spans="1:22" ht="24" customHeight="1" x14ac:dyDescent="0.6">
      <c r="A326" s="778">
        <v>44696</v>
      </c>
      <c r="B326" s="1075">
        <v>15</v>
      </c>
      <c r="C326" s="851" t="s">
        <v>1267</v>
      </c>
      <c r="D326" s="851" t="s">
        <v>7209</v>
      </c>
      <c r="E326" s="851"/>
      <c r="F326" s="859"/>
      <c r="G326" s="860">
        <v>21800</v>
      </c>
      <c r="H326" s="836"/>
      <c r="I326" s="960">
        <f>Table2[[#This Row],[Opening]]+Table2[[#This Row],[Debit]]-Table2[[#This Row],[Credit]]</f>
        <v>21800</v>
      </c>
      <c r="J326" s="879"/>
      <c r="S326" s="791"/>
      <c r="T326" s="791"/>
      <c r="U326" s="791"/>
      <c r="V326" s="920"/>
    </row>
    <row r="327" spans="1:22" ht="24" customHeight="1" x14ac:dyDescent="0.6">
      <c r="A327" s="778">
        <v>44696</v>
      </c>
      <c r="B327" s="1075">
        <v>15</v>
      </c>
      <c r="C327" s="851" t="s">
        <v>86</v>
      </c>
      <c r="D327" s="852" t="s">
        <v>8937</v>
      </c>
      <c r="E327" s="851"/>
      <c r="F327" s="853"/>
      <c r="G327" s="854"/>
      <c r="H327" s="839">
        <v>1000</v>
      </c>
      <c r="I327" s="960">
        <f>Table2[[#This Row],[Opening]]+Table2[[#This Row],[Debit]]-Table2[[#This Row],[Credit]]</f>
        <v>-1000</v>
      </c>
      <c r="J327" s="879"/>
      <c r="S327" s="791"/>
      <c r="T327" s="791"/>
      <c r="U327" s="791"/>
      <c r="V327" s="920"/>
    </row>
    <row r="328" spans="1:22" ht="24" customHeight="1" x14ac:dyDescent="0.6">
      <c r="A328" s="778">
        <v>44696</v>
      </c>
      <c r="B328" s="1075">
        <v>15</v>
      </c>
      <c r="C328" s="851" t="s">
        <v>86</v>
      </c>
      <c r="D328" s="852" t="s">
        <v>9047</v>
      </c>
      <c r="E328" s="842"/>
      <c r="F328" s="856"/>
      <c r="G328" s="839"/>
      <c r="H328" s="839">
        <v>1500</v>
      </c>
      <c r="I328" s="961">
        <f>Table2[[#This Row],[Opening]]+Table2[[#This Row],[Debit]]-Table2[[#This Row],[Credit]]</f>
        <v>-1500</v>
      </c>
      <c r="J328" s="879"/>
      <c r="S328" s="791"/>
      <c r="T328" s="791"/>
      <c r="U328" s="791"/>
      <c r="V328" s="920"/>
    </row>
    <row r="329" spans="1:22" ht="24" customHeight="1" x14ac:dyDescent="0.6">
      <c r="A329" s="778">
        <v>44696</v>
      </c>
      <c r="B329" s="1075">
        <v>15</v>
      </c>
      <c r="C329" s="851" t="s">
        <v>864</v>
      </c>
      <c r="D329" s="852" t="s">
        <v>9048</v>
      </c>
      <c r="E329" s="842"/>
      <c r="F329" s="843"/>
      <c r="G329" s="798"/>
      <c r="H329" s="798">
        <v>10000</v>
      </c>
      <c r="I329" s="961">
        <f>Table2[[#This Row],[Opening]]+Table2[[#This Row],[Debit]]-Table2[[#This Row],[Credit]]</f>
        <v>-10000</v>
      </c>
      <c r="J329" s="879"/>
      <c r="S329" s="791"/>
      <c r="T329" s="791"/>
      <c r="U329" s="791"/>
      <c r="V329" s="920"/>
    </row>
    <row r="330" spans="1:22" ht="24" customHeight="1" x14ac:dyDescent="0.6">
      <c r="A330" s="778">
        <v>44696</v>
      </c>
      <c r="B330" s="1075">
        <v>15</v>
      </c>
      <c r="C330" s="851" t="s">
        <v>864</v>
      </c>
      <c r="D330" s="842" t="s">
        <v>9049</v>
      </c>
      <c r="E330" s="842"/>
      <c r="F330" s="856"/>
      <c r="G330" s="809"/>
      <c r="H330" s="809">
        <v>2000</v>
      </c>
      <c r="I330" s="961">
        <f>Table2[[#This Row],[Opening]]+Table2[[#This Row],[Debit]]-Table2[[#This Row],[Credit]]</f>
        <v>-2000</v>
      </c>
      <c r="J330" s="879"/>
      <c r="S330" s="791"/>
      <c r="T330" s="791"/>
      <c r="U330" s="791"/>
      <c r="V330" s="920"/>
    </row>
    <row r="331" spans="1:22" ht="24" customHeight="1" x14ac:dyDescent="0.6">
      <c r="A331" s="778">
        <v>44696</v>
      </c>
      <c r="B331" s="1075">
        <v>15</v>
      </c>
      <c r="C331" s="842" t="s">
        <v>985</v>
      </c>
      <c r="D331" s="855" t="s">
        <v>7878</v>
      </c>
      <c r="E331" s="842"/>
      <c r="F331" s="843"/>
      <c r="G331" s="798"/>
      <c r="H331" s="798">
        <v>1000</v>
      </c>
      <c r="I331" s="961">
        <f>Table2[[#This Row],[Opening]]+Table2[[#This Row],[Debit]]-Table2[[#This Row],[Credit]]</f>
        <v>-1000</v>
      </c>
      <c r="J331" s="879"/>
      <c r="S331" s="791"/>
      <c r="T331" s="791"/>
      <c r="U331" s="791"/>
      <c r="V331" s="920"/>
    </row>
    <row r="332" spans="1:22" ht="24" customHeight="1" x14ac:dyDescent="0.6">
      <c r="A332" s="778">
        <v>44696</v>
      </c>
      <c r="B332" s="1075">
        <v>15</v>
      </c>
      <c r="C332" s="851" t="s">
        <v>86</v>
      </c>
      <c r="D332" s="851" t="s">
        <v>9050</v>
      </c>
      <c r="E332" s="851"/>
      <c r="F332" s="859"/>
      <c r="G332" s="854"/>
      <c r="H332" s="839">
        <v>8500</v>
      </c>
      <c r="I332" s="960">
        <f>Table2[[#This Row],[Opening]]+Table2[[#This Row],[Debit]]-Table2[[#This Row],[Credit]]</f>
        <v>-8500</v>
      </c>
      <c r="J332" s="879"/>
      <c r="S332" s="791"/>
      <c r="T332" s="791"/>
      <c r="U332" s="791"/>
      <c r="V332" s="920"/>
    </row>
    <row r="333" spans="1:22" ht="24" customHeight="1" x14ac:dyDescent="0.6">
      <c r="A333" s="778">
        <v>44696</v>
      </c>
      <c r="B333" s="1075">
        <v>15</v>
      </c>
      <c r="C333" s="842" t="s">
        <v>39</v>
      </c>
      <c r="D333" s="855" t="s">
        <v>9051</v>
      </c>
      <c r="E333" s="842" t="s">
        <v>7271</v>
      </c>
      <c r="F333" s="843"/>
      <c r="G333" s="857"/>
      <c r="H333" s="798">
        <v>252000</v>
      </c>
      <c r="I333" s="961">
        <f>Table2[[#This Row],[Opening]]+Table2[[#This Row],[Debit]]-Table2[[#This Row],[Credit]]</f>
        <v>-252000</v>
      </c>
      <c r="J333" s="879"/>
      <c r="S333" s="791"/>
      <c r="T333" s="791"/>
      <c r="U333" s="791"/>
      <c r="V333" s="920"/>
    </row>
    <row r="334" spans="1:22" ht="24" customHeight="1" x14ac:dyDescent="0.6">
      <c r="A334" s="778">
        <v>44696</v>
      </c>
      <c r="B334" s="1075">
        <v>15</v>
      </c>
      <c r="C334" s="851" t="s">
        <v>47</v>
      </c>
      <c r="D334" s="852" t="s">
        <v>9052</v>
      </c>
      <c r="E334" s="851" t="s">
        <v>7274</v>
      </c>
      <c r="F334" s="859"/>
      <c r="G334" s="860"/>
      <c r="H334" s="836">
        <v>522000</v>
      </c>
      <c r="I334" s="960">
        <f>Table2[[#This Row],[Opening]]+Table2[[#This Row],[Debit]]-Table2[[#This Row],[Credit]]</f>
        <v>-522000</v>
      </c>
      <c r="J334" s="879"/>
      <c r="S334" s="791"/>
      <c r="T334" s="791"/>
      <c r="U334" s="791"/>
      <c r="V334" s="920"/>
    </row>
    <row r="335" spans="1:22" ht="24" customHeight="1" x14ac:dyDescent="0.6">
      <c r="A335" s="778">
        <v>44696</v>
      </c>
      <c r="B335" s="1075">
        <v>15</v>
      </c>
      <c r="C335" s="851" t="s">
        <v>1183</v>
      </c>
      <c r="D335" s="852" t="s">
        <v>9053</v>
      </c>
      <c r="E335" s="893"/>
      <c r="F335" s="838"/>
      <c r="G335" s="854"/>
      <c r="H335" s="839">
        <v>1000</v>
      </c>
      <c r="I335" s="960">
        <f>Table2[[#This Row],[Opening]]+Table2[[#This Row],[Debit]]-Table2[[#This Row],[Credit]]</f>
        <v>-1000</v>
      </c>
      <c r="J335" s="879"/>
      <c r="S335" s="791"/>
      <c r="T335" s="791"/>
      <c r="U335" s="791"/>
      <c r="V335" s="920"/>
    </row>
    <row r="336" spans="1:22" ht="24" customHeight="1" x14ac:dyDescent="0.6">
      <c r="A336" s="778">
        <v>44696</v>
      </c>
      <c r="B336" s="1075">
        <v>15</v>
      </c>
      <c r="C336" s="851" t="s">
        <v>86</v>
      </c>
      <c r="D336" s="855" t="s">
        <v>8882</v>
      </c>
      <c r="E336" s="893"/>
      <c r="G336" s="857"/>
      <c r="H336" s="798">
        <v>700</v>
      </c>
      <c r="I336" s="961">
        <f>Table2[[#This Row],[Opening]]+Table2[[#This Row],[Debit]]-Table2[[#This Row],[Credit]]</f>
        <v>-700</v>
      </c>
      <c r="J336" s="879"/>
      <c r="S336" s="791"/>
      <c r="T336" s="791"/>
      <c r="U336" s="791"/>
      <c r="V336" s="920"/>
    </row>
    <row r="337" spans="1:22" ht="24" customHeight="1" x14ac:dyDescent="0.6">
      <c r="A337" s="778">
        <v>44696</v>
      </c>
      <c r="B337" s="1075">
        <v>15</v>
      </c>
      <c r="C337" s="851" t="s">
        <v>985</v>
      </c>
      <c r="D337" s="855" t="s">
        <v>9054</v>
      </c>
      <c r="E337" s="878"/>
      <c r="F337" s="808"/>
      <c r="G337" s="844"/>
      <c r="H337" s="809">
        <v>68000</v>
      </c>
      <c r="I337" s="961">
        <f>Table2[[#This Row],[Opening]]+Table2[[#This Row],[Debit]]-Table2[[#This Row],[Credit]]</f>
        <v>-68000</v>
      </c>
      <c r="J337" s="879"/>
      <c r="S337" s="791"/>
      <c r="T337" s="791"/>
      <c r="U337" s="791"/>
      <c r="V337" s="920"/>
    </row>
    <row r="338" spans="1:22" ht="24" customHeight="1" x14ac:dyDescent="0.6">
      <c r="A338" s="778">
        <v>44696</v>
      </c>
      <c r="B338" s="1075">
        <v>15</v>
      </c>
      <c r="C338" s="833" t="s">
        <v>2352</v>
      </c>
      <c r="D338" s="852" t="s">
        <v>9055</v>
      </c>
      <c r="E338" s="833"/>
      <c r="F338" s="835"/>
      <c r="G338" s="860"/>
      <c r="H338" s="836">
        <v>23100</v>
      </c>
      <c r="I338" s="960">
        <f>Table2[[#This Row],[Opening]]+Table2[[#This Row],[Debit]]-Table2[[#This Row],[Credit]]</f>
        <v>-23100</v>
      </c>
      <c r="J338" s="879"/>
      <c r="S338" s="791"/>
      <c r="T338" s="791"/>
      <c r="U338" s="791"/>
      <c r="V338" s="920"/>
    </row>
    <row r="339" spans="1:22" ht="24" customHeight="1" x14ac:dyDescent="0.6">
      <c r="A339" s="778">
        <v>44696</v>
      </c>
      <c r="B339" s="1075">
        <v>15</v>
      </c>
      <c r="C339" s="833" t="s">
        <v>2352</v>
      </c>
      <c r="D339" s="807" t="s">
        <v>9056</v>
      </c>
      <c r="F339" s="808"/>
      <c r="G339" s="844"/>
      <c r="H339" s="809">
        <v>36000</v>
      </c>
      <c r="I339" s="961">
        <f>Table2[[#This Row],[Opening]]+Table2[[#This Row],[Debit]]-Table2[[#This Row],[Credit]]</f>
        <v>-36000</v>
      </c>
      <c r="J339" s="879"/>
      <c r="S339" s="791"/>
      <c r="T339" s="791"/>
      <c r="U339" s="791"/>
      <c r="V339" s="920"/>
    </row>
    <row r="340" spans="1:22" ht="24" customHeight="1" x14ac:dyDescent="0.6">
      <c r="A340" s="778">
        <v>44696</v>
      </c>
      <c r="B340" s="1075">
        <v>15</v>
      </c>
      <c r="C340" s="833" t="s">
        <v>86</v>
      </c>
      <c r="D340" s="834" t="s">
        <v>9057</v>
      </c>
      <c r="E340" s="833"/>
      <c r="F340" s="835"/>
      <c r="G340" s="860"/>
      <c r="H340" s="836">
        <v>2600</v>
      </c>
      <c r="I340" s="960">
        <f>Table2[[#This Row],[Opening]]+Table2[[#This Row],[Debit]]-Table2[[#This Row],[Credit]]</f>
        <v>-2600</v>
      </c>
      <c r="J340" s="879"/>
      <c r="S340" s="791"/>
      <c r="T340" s="791"/>
      <c r="U340" s="791"/>
      <c r="V340" s="920"/>
    </row>
    <row r="341" spans="1:22" ht="24" customHeight="1" x14ac:dyDescent="0.6">
      <c r="A341" s="778">
        <v>44696</v>
      </c>
      <c r="B341" s="1075">
        <v>15</v>
      </c>
      <c r="C341" s="851" t="s">
        <v>1240</v>
      </c>
      <c r="D341" s="852" t="s">
        <v>9058</v>
      </c>
      <c r="E341" s="842" t="s">
        <v>7269</v>
      </c>
      <c r="F341" s="808"/>
      <c r="G341" s="844"/>
      <c r="H341" s="809">
        <v>6700</v>
      </c>
      <c r="I341" s="958">
        <f>Table2[[#This Row],[Opening]]+Table2[[#This Row],[Debit]]-Table2[[#This Row],[Credit]]</f>
        <v>-6700</v>
      </c>
      <c r="J341" s="879"/>
      <c r="S341" s="791"/>
      <c r="T341" s="791"/>
      <c r="U341" s="791"/>
      <c r="V341" s="920"/>
    </row>
    <row r="342" spans="1:22" ht="24" customHeight="1" x14ac:dyDescent="0.6">
      <c r="A342" s="778">
        <v>44696</v>
      </c>
      <c r="B342" s="1075">
        <v>15</v>
      </c>
      <c r="C342" s="851" t="s">
        <v>1240</v>
      </c>
      <c r="D342" s="842" t="s">
        <v>9059</v>
      </c>
      <c r="E342" s="842" t="s">
        <v>7269</v>
      </c>
      <c r="G342" s="857"/>
      <c r="H342" s="798">
        <v>8500</v>
      </c>
      <c r="I342" s="958">
        <f>Table2[[#This Row],[Opening]]+Table2[[#This Row],[Debit]]-Table2[[#This Row],[Credit]]</f>
        <v>-8500</v>
      </c>
      <c r="J342" s="879"/>
      <c r="S342" s="791"/>
      <c r="T342" s="791"/>
      <c r="U342" s="791"/>
      <c r="V342" s="920"/>
    </row>
    <row r="343" spans="1:22" ht="24" customHeight="1" x14ac:dyDescent="0.6">
      <c r="A343" s="778">
        <v>44696</v>
      </c>
      <c r="B343" s="1075">
        <v>15</v>
      </c>
      <c r="C343" s="851" t="s">
        <v>1240</v>
      </c>
      <c r="D343" s="842" t="s">
        <v>9060</v>
      </c>
      <c r="E343" s="842" t="s">
        <v>7269</v>
      </c>
      <c r="F343" s="808"/>
      <c r="G343" s="844"/>
      <c r="H343" s="809">
        <v>10000</v>
      </c>
      <c r="I343" s="958">
        <f>Table2[[#This Row],[Opening]]+Table2[[#This Row],[Debit]]-Table2[[#This Row],[Credit]]</f>
        <v>-10000</v>
      </c>
      <c r="J343" s="879"/>
      <c r="S343" s="791"/>
      <c r="T343" s="791"/>
      <c r="U343" s="791"/>
      <c r="V343" s="920"/>
    </row>
    <row r="344" spans="1:22" ht="24" customHeight="1" x14ac:dyDescent="0.6">
      <c r="A344" s="778">
        <v>44696</v>
      </c>
      <c r="B344" s="1075">
        <v>15</v>
      </c>
      <c r="C344" s="842" t="s">
        <v>9070</v>
      </c>
      <c r="D344" s="842" t="s">
        <v>9061</v>
      </c>
      <c r="E344" s="878"/>
      <c r="F344" s="835"/>
      <c r="G344" s="860"/>
      <c r="H344" s="836">
        <v>77800</v>
      </c>
      <c r="I344" s="960">
        <f>Table2[[#This Row],[Opening]]+Table2[[#This Row],[Debit]]-Table2[[#This Row],[Credit]]</f>
        <v>-77800</v>
      </c>
      <c r="J344" s="879"/>
      <c r="S344" s="791"/>
      <c r="T344" s="791"/>
      <c r="U344" s="791"/>
      <c r="V344" s="920"/>
    </row>
    <row r="345" spans="1:22" ht="24" customHeight="1" x14ac:dyDescent="0.6">
      <c r="A345" s="778">
        <v>44696</v>
      </c>
      <c r="B345" s="1075">
        <v>15</v>
      </c>
      <c r="C345" s="842" t="s">
        <v>86</v>
      </c>
      <c r="D345" s="842" t="s">
        <v>8999</v>
      </c>
      <c r="E345" s="878"/>
      <c r="F345" s="808"/>
      <c r="G345" s="844"/>
      <c r="H345" s="809">
        <v>4000</v>
      </c>
      <c r="I345" s="961">
        <f>Table2[[#This Row],[Opening]]+Table2[[#This Row],[Debit]]-Table2[[#This Row],[Credit]]</f>
        <v>-4000</v>
      </c>
      <c r="J345" s="879"/>
      <c r="S345" s="791"/>
      <c r="T345" s="791"/>
      <c r="U345" s="791"/>
      <c r="V345" s="920"/>
    </row>
    <row r="346" spans="1:22" ht="24" customHeight="1" x14ac:dyDescent="0.6">
      <c r="A346" s="778">
        <v>44696</v>
      </c>
      <c r="B346" s="1075">
        <v>15</v>
      </c>
      <c r="C346" s="842" t="s">
        <v>8936</v>
      </c>
      <c r="D346" s="842" t="s">
        <v>9062</v>
      </c>
      <c r="E346" s="878"/>
      <c r="G346" s="857"/>
      <c r="H346" s="798">
        <v>6000</v>
      </c>
      <c r="I346" s="961">
        <f>Table2[[#This Row],[Opening]]+Table2[[#This Row],[Debit]]-Table2[[#This Row],[Credit]]</f>
        <v>-6000</v>
      </c>
      <c r="J346" s="879"/>
      <c r="S346" s="791"/>
      <c r="T346" s="791"/>
      <c r="U346" s="791"/>
      <c r="V346" s="920"/>
    </row>
    <row r="347" spans="1:22" ht="24" customHeight="1" thickBot="1" x14ac:dyDescent="0.65">
      <c r="A347" s="1207">
        <v>44696</v>
      </c>
      <c r="B347" s="1208">
        <v>15</v>
      </c>
      <c r="C347" s="846" t="s">
        <v>1240</v>
      </c>
      <c r="D347" s="846" t="s">
        <v>9063</v>
      </c>
      <c r="E347" s="846" t="s">
        <v>7269</v>
      </c>
      <c r="F347" s="1263"/>
      <c r="G347" s="871"/>
      <c r="H347" s="872">
        <v>68500</v>
      </c>
      <c r="I347" s="1242">
        <f>Table2[[#This Row],[Opening]]+Table2[[#This Row],[Debit]]-Table2[[#This Row],[Credit]]</f>
        <v>-68500</v>
      </c>
      <c r="J347" s="879"/>
      <c r="S347" s="791"/>
      <c r="T347" s="791"/>
      <c r="U347" s="791"/>
      <c r="V347" s="920"/>
    </row>
    <row r="348" spans="1:22" ht="24" customHeight="1" thickTop="1" x14ac:dyDescent="0.6">
      <c r="A348" s="778">
        <v>44697</v>
      </c>
      <c r="B348" s="1075">
        <v>16</v>
      </c>
      <c r="C348" s="851" t="s">
        <v>2466</v>
      </c>
      <c r="D348" s="851" t="s">
        <v>8886</v>
      </c>
      <c r="E348" s="893"/>
      <c r="F348" s="835"/>
      <c r="G348" s="860">
        <v>1500</v>
      </c>
      <c r="H348" s="836"/>
      <c r="I348" s="960">
        <f>Table2[[#This Row],[Opening]]+Table2[[#This Row],[Debit]]-Table2[[#This Row],[Credit]]</f>
        <v>1500</v>
      </c>
      <c r="J348" s="879"/>
      <c r="S348" s="791"/>
      <c r="T348" s="791"/>
      <c r="U348" s="791"/>
      <c r="V348" s="920"/>
    </row>
    <row r="349" spans="1:22" ht="24" customHeight="1" x14ac:dyDescent="0.6">
      <c r="A349" s="778">
        <v>44697</v>
      </c>
      <c r="B349" s="1075">
        <v>16</v>
      </c>
      <c r="C349" s="842" t="s">
        <v>2466</v>
      </c>
      <c r="D349" s="851" t="s">
        <v>8886</v>
      </c>
      <c r="E349" s="878"/>
      <c r="F349" s="808"/>
      <c r="G349" s="844">
        <v>1000</v>
      </c>
      <c r="H349" s="809"/>
      <c r="I349" s="961">
        <f>Table2[[#This Row],[Opening]]+Table2[[#This Row],[Debit]]-Table2[[#This Row],[Credit]]</f>
        <v>1000</v>
      </c>
      <c r="J349" s="879"/>
      <c r="S349" s="791"/>
      <c r="T349" s="791"/>
      <c r="U349" s="791"/>
      <c r="V349" s="920"/>
    </row>
    <row r="350" spans="1:22" ht="24" customHeight="1" x14ac:dyDescent="0.6">
      <c r="A350" s="778">
        <v>44697</v>
      </c>
      <c r="B350" s="1075">
        <v>16</v>
      </c>
      <c r="C350" s="842" t="s">
        <v>905</v>
      </c>
      <c r="D350" s="851" t="s">
        <v>8879</v>
      </c>
      <c r="E350" s="878"/>
      <c r="F350" s="835"/>
      <c r="G350" s="860">
        <v>1000</v>
      </c>
      <c r="H350" s="836"/>
      <c r="I350" s="960">
        <f>Table2[[#This Row],[Opening]]+Table2[[#This Row],[Debit]]-Table2[[#This Row],[Credit]]</f>
        <v>1000</v>
      </c>
      <c r="J350" s="879"/>
      <c r="S350" s="791"/>
      <c r="T350" s="791"/>
      <c r="U350" s="791"/>
      <c r="V350" s="920"/>
    </row>
    <row r="351" spans="1:22" ht="24" customHeight="1" x14ac:dyDescent="0.6">
      <c r="A351" s="778">
        <v>44697</v>
      </c>
      <c r="B351" s="1075">
        <v>16</v>
      </c>
      <c r="C351" s="842" t="s">
        <v>905</v>
      </c>
      <c r="D351" s="851" t="s">
        <v>8879</v>
      </c>
      <c r="E351" s="878"/>
      <c r="F351" s="808"/>
      <c r="G351" s="844">
        <v>1500</v>
      </c>
      <c r="H351" s="809"/>
      <c r="I351" s="961">
        <f>Table2[[#This Row],[Opening]]+Table2[[#This Row],[Debit]]-Table2[[#This Row],[Credit]]</f>
        <v>1500</v>
      </c>
      <c r="J351" s="879"/>
      <c r="S351" s="791"/>
      <c r="T351" s="791"/>
      <c r="U351" s="791"/>
      <c r="V351" s="920"/>
    </row>
    <row r="352" spans="1:22" ht="24" customHeight="1" x14ac:dyDescent="0.6">
      <c r="A352" s="778">
        <v>44697</v>
      </c>
      <c r="B352" s="1075">
        <v>16</v>
      </c>
      <c r="C352" s="842" t="s">
        <v>888</v>
      </c>
      <c r="D352" s="842" t="s">
        <v>8880</v>
      </c>
      <c r="E352" s="878"/>
      <c r="G352" s="844">
        <v>4825700</v>
      </c>
      <c r="I352" s="961">
        <f>Table2[[#This Row],[Opening]]+Table2[[#This Row],[Debit]]-Table2[[#This Row],[Credit]]</f>
        <v>4825700</v>
      </c>
      <c r="J352" s="879"/>
      <c r="S352" s="791"/>
      <c r="T352" s="791"/>
      <c r="U352" s="791"/>
      <c r="V352" s="920"/>
    </row>
    <row r="353" spans="1:22" ht="24" customHeight="1" x14ac:dyDescent="0.6">
      <c r="A353" s="778">
        <v>44697</v>
      </c>
      <c r="B353" s="1075">
        <v>16</v>
      </c>
      <c r="C353" s="842" t="s">
        <v>1267</v>
      </c>
      <c r="D353" s="851" t="s">
        <v>7209</v>
      </c>
      <c r="E353" s="878"/>
      <c r="F353" s="808"/>
      <c r="G353" s="844">
        <v>5800</v>
      </c>
      <c r="H353" s="809"/>
      <c r="I353" s="961">
        <f>Table2[[#This Row],[Opening]]+Table2[[#This Row],[Debit]]-Table2[[#This Row],[Credit]]</f>
        <v>5800</v>
      </c>
      <c r="J353" s="879"/>
      <c r="S353" s="791"/>
      <c r="T353" s="791"/>
      <c r="U353" s="791"/>
      <c r="V353" s="920"/>
    </row>
    <row r="354" spans="1:22" ht="24" customHeight="1" x14ac:dyDescent="0.6">
      <c r="A354" s="778">
        <v>44697</v>
      </c>
      <c r="B354" s="1075">
        <v>16</v>
      </c>
      <c r="C354" s="842" t="s">
        <v>905</v>
      </c>
      <c r="D354" s="851" t="s">
        <v>8879</v>
      </c>
      <c r="E354" s="878"/>
      <c r="G354" s="844">
        <v>75000</v>
      </c>
      <c r="I354" s="961">
        <f>Table2[[#This Row],[Opening]]+Table2[[#This Row],[Debit]]-Table2[[#This Row],[Credit]]</f>
        <v>75000</v>
      </c>
      <c r="J354" s="879"/>
      <c r="S354" s="791"/>
      <c r="T354" s="791"/>
      <c r="U354" s="791"/>
      <c r="V354" s="920"/>
    </row>
    <row r="355" spans="1:22" ht="24" customHeight="1" x14ac:dyDescent="0.6">
      <c r="A355" s="778">
        <v>44697</v>
      </c>
      <c r="B355" s="1075">
        <v>16</v>
      </c>
      <c r="C355" s="842" t="s">
        <v>86</v>
      </c>
      <c r="D355" s="842" t="s">
        <v>9064</v>
      </c>
      <c r="E355" s="878"/>
      <c r="F355" s="853"/>
      <c r="G355" s="854"/>
      <c r="H355" s="839">
        <v>3000</v>
      </c>
      <c r="I355" s="960">
        <f>Table2[[#This Row],[Opening]]+Table2[[#This Row],[Debit]]-Table2[[#This Row],[Credit]]</f>
        <v>-3000</v>
      </c>
      <c r="J355" s="879"/>
      <c r="S355" s="791"/>
      <c r="T355" s="791"/>
      <c r="U355" s="791"/>
      <c r="V355" s="920"/>
    </row>
    <row r="356" spans="1:22" ht="24" customHeight="1" x14ac:dyDescent="0.6">
      <c r="A356" s="778">
        <v>44697</v>
      </c>
      <c r="B356" s="1075">
        <v>16</v>
      </c>
      <c r="C356" s="842" t="s">
        <v>8936</v>
      </c>
      <c r="D356" s="842" t="s">
        <v>9065</v>
      </c>
      <c r="E356" s="878"/>
      <c r="F356" s="856"/>
      <c r="G356" s="857"/>
      <c r="H356" s="798">
        <v>9700</v>
      </c>
      <c r="I356" s="961">
        <f>Table2[[#This Row],[Opening]]+Table2[[#This Row],[Debit]]-Table2[[#This Row],[Credit]]</f>
        <v>-9700</v>
      </c>
      <c r="J356" s="879"/>
      <c r="S356" s="791"/>
      <c r="T356" s="791"/>
      <c r="U356" s="791"/>
      <c r="V356" s="920"/>
    </row>
    <row r="357" spans="1:22" ht="24" customHeight="1" x14ac:dyDescent="0.6">
      <c r="A357" s="778">
        <v>44697</v>
      </c>
      <c r="B357" s="1075">
        <v>16</v>
      </c>
      <c r="C357" s="842" t="s">
        <v>2352</v>
      </c>
      <c r="D357" s="851" t="s">
        <v>9066</v>
      </c>
      <c r="E357" s="878"/>
      <c r="F357" s="853"/>
      <c r="G357" s="854"/>
      <c r="H357" s="839">
        <v>6000</v>
      </c>
      <c r="I357" s="960">
        <f>Table2[[#This Row],[Opening]]+Table2[[#This Row],[Debit]]-Table2[[#This Row],[Credit]]</f>
        <v>-6000</v>
      </c>
      <c r="J357" s="879"/>
      <c r="S357" s="791"/>
      <c r="T357" s="791"/>
      <c r="U357" s="791"/>
      <c r="V357" s="920"/>
    </row>
    <row r="358" spans="1:22" ht="24" customHeight="1" x14ac:dyDescent="0.6">
      <c r="A358" s="778">
        <v>44697</v>
      </c>
      <c r="B358" s="1075">
        <v>16</v>
      </c>
      <c r="C358" s="842" t="s">
        <v>1143</v>
      </c>
      <c r="D358" s="842" t="s">
        <v>9067</v>
      </c>
      <c r="E358" s="842"/>
      <c r="F358" s="859"/>
      <c r="G358" s="860"/>
      <c r="H358" s="836">
        <v>56500</v>
      </c>
      <c r="I358" s="961">
        <f>Table2[[#This Row],[Opening]]+Table2[[#This Row],[Debit]]-Table2[[#This Row],[Credit]]</f>
        <v>-56500</v>
      </c>
      <c r="J358" s="879"/>
      <c r="S358" s="791"/>
      <c r="T358" s="791"/>
      <c r="U358" s="791"/>
      <c r="V358" s="920"/>
    </row>
    <row r="359" spans="1:22" ht="24" customHeight="1" x14ac:dyDescent="0.6">
      <c r="A359" s="778">
        <v>44697</v>
      </c>
      <c r="B359" s="1075">
        <v>16</v>
      </c>
      <c r="C359" s="842" t="s">
        <v>2352</v>
      </c>
      <c r="D359" s="852" t="s">
        <v>9068</v>
      </c>
      <c r="E359" s="842"/>
      <c r="F359" s="808"/>
      <c r="G359" s="860"/>
      <c r="H359" s="809">
        <v>2800</v>
      </c>
      <c r="I359" s="961">
        <f>Table2[[#This Row],[Opening]]+Table2[[#This Row],[Debit]]-Table2[[#This Row],[Credit]]</f>
        <v>-2800</v>
      </c>
      <c r="J359" s="879"/>
    </row>
    <row r="360" spans="1:22" ht="24" customHeight="1" x14ac:dyDescent="0.6">
      <c r="A360" s="778">
        <v>44697</v>
      </c>
      <c r="B360" s="1075">
        <v>16</v>
      </c>
      <c r="C360" s="842" t="s">
        <v>39</v>
      </c>
      <c r="D360" s="851" t="s">
        <v>9051</v>
      </c>
      <c r="E360" s="842" t="s">
        <v>7271</v>
      </c>
      <c r="G360" s="857"/>
      <c r="H360" s="798">
        <v>75000</v>
      </c>
      <c r="I360" s="954">
        <f>Table2[[#This Row],[Opening]]+Table2[[#This Row],[Debit]]-Table2[[#This Row],[Credit]]</f>
        <v>-75000</v>
      </c>
      <c r="J360" s="879"/>
    </row>
    <row r="361" spans="1:22" ht="24" customHeight="1" x14ac:dyDescent="0.6">
      <c r="A361" s="778">
        <v>44697</v>
      </c>
      <c r="B361" s="1075">
        <v>16</v>
      </c>
      <c r="C361" s="842" t="s">
        <v>1183</v>
      </c>
      <c r="D361" s="852" t="s">
        <v>8893</v>
      </c>
      <c r="E361" s="842"/>
      <c r="G361" s="839"/>
      <c r="H361" s="839">
        <v>25000</v>
      </c>
      <c r="I361" s="958">
        <f>Table2[[#This Row],[Opening]]+Table2[[#This Row],[Debit]]-Table2[[#This Row],[Credit]]</f>
        <v>-25000</v>
      </c>
      <c r="J361" s="879"/>
    </row>
    <row r="362" spans="1:22" ht="24" customHeight="1" x14ac:dyDescent="0.6">
      <c r="A362" s="778">
        <v>44697</v>
      </c>
      <c r="B362" s="1075">
        <v>16</v>
      </c>
      <c r="C362" s="842" t="s">
        <v>1240</v>
      </c>
      <c r="D362" s="842" t="s">
        <v>9069</v>
      </c>
      <c r="E362" s="842" t="s">
        <v>7269</v>
      </c>
      <c r="F362" s="808"/>
      <c r="G362" s="798"/>
      <c r="H362" s="809">
        <v>6000</v>
      </c>
      <c r="I362" s="958">
        <f>Table2[[#This Row],[Opening]]+Table2[[#This Row],[Debit]]-Table2[[#This Row],[Credit]]</f>
        <v>-6000</v>
      </c>
      <c r="J362" s="879"/>
    </row>
    <row r="363" spans="1:22" ht="24" customHeight="1" x14ac:dyDescent="0.6">
      <c r="A363" s="922">
        <v>44697</v>
      </c>
      <c r="B363" s="1264">
        <v>16</v>
      </c>
      <c r="C363" s="878" t="s">
        <v>39</v>
      </c>
      <c r="D363" s="902" t="s">
        <v>8970</v>
      </c>
      <c r="E363" s="878"/>
      <c r="G363" s="809"/>
      <c r="H363" s="809">
        <v>127600</v>
      </c>
      <c r="I363" s="958">
        <f>Table2[[#This Row],[Opening]]+Table2[[#This Row],[Debit]]-Table2[[#This Row],[Credit]]</f>
        <v>-127600</v>
      </c>
      <c r="J363" s="879"/>
    </row>
    <row r="364" spans="1:22" ht="24" customHeight="1" x14ac:dyDescent="0.6">
      <c r="A364" s="922">
        <v>44697</v>
      </c>
      <c r="B364" s="1264">
        <v>16</v>
      </c>
      <c r="C364" s="878" t="s">
        <v>39</v>
      </c>
      <c r="D364" s="902" t="s">
        <v>8196</v>
      </c>
      <c r="E364" s="878"/>
      <c r="F364" s="808"/>
      <c r="G364" s="798"/>
      <c r="H364" s="798">
        <v>135000</v>
      </c>
      <c r="I364" s="961">
        <f>Table2[[#This Row],[Opening]]+Table2[[#This Row],[Debit]]-Table2[[#This Row],[Credit]]</f>
        <v>-135000</v>
      </c>
      <c r="J364" s="879"/>
    </row>
    <row r="365" spans="1:22" ht="24" customHeight="1" thickBot="1" x14ac:dyDescent="0.65">
      <c r="A365" s="1265">
        <v>44697</v>
      </c>
      <c r="B365" s="1266">
        <v>16</v>
      </c>
      <c r="C365" s="886" t="s">
        <v>39</v>
      </c>
      <c r="D365" s="1267" t="s">
        <v>9038</v>
      </c>
      <c r="E365" s="1245"/>
      <c r="F365" s="1256"/>
      <c r="G365" s="1209"/>
      <c r="H365" s="1210">
        <v>333000</v>
      </c>
      <c r="I365" s="1247">
        <f>Table2[[#This Row],[Opening]]+Table2[[#This Row],[Debit]]-Table2[[#This Row],[Credit]]</f>
        <v>-333000</v>
      </c>
      <c r="J365" s="879"/>
    </row>
    <row r="366" spans="1:22" ht="24" customHeight="1" thickTop="1" x14ac:dyDescent="0.6">
      <c r="A366" s="924">
        <v>44698</v>
      </c>
      <c r="B366" s="925">
        <v>17</v>
      </c>
      <c r="C366" s="851" t="s">
        <v>2466</v>
      </c>
      <c r="D366" s="851" t="s">
        <v>8886</v>
      </c>
      <c r="E366" s="851"/>
      <c r="F366" s="853"/>
      <c r="G366" s="860">
        <v>1000</v>
      </c>
      <c r="H366" s="860"/>
      <c r="I366" s="960">
        <f>Table2[[#This Row],[Opening]]+Table2[[#This Row],[Debit]]-Table2[[#This Row],[Credit]]</f>
        <v>1000</v>
      </c>
      <c r="J366" s="879"/>
    </row>
    <row r="367" spans="1:22" ht="24" customHeight="1" x14ac:dyDescent="0.6">
      <c r="A367" s="924">
        <v>44698</v>
      </c>
      <c r="B367" s="925">
        <v>17</v>
      </c>
      <c r="C367" s="851" t="s">
        <v>2466</v>
      </c>
      <c r="D367" s="851" t="s">
        <v>8886</v>
      </c>
      <c r="E367" s="842"/>
      <c r="F367" s="856"/>
      <c r="G367" s="844">
        <v>2600</v>
      </c>
      <c r="H367" s="844"/>
      <c r="I367" s="961">
        <f>Table2[[#This Row],[Opening]]+Table2[[#This Row],[Debit]]-Table2[[#This Row],[Credit]]</f>
        <v>2600</v>
      </c>
      <c r="J367" s="879"/>
    </row>
    <row r="368" spans="1:22" ht="24" customHeight="1" x14ac:dyDescent="0.6">
      <c r="A368" s="924">
        <v>44698</v>
      </c>
      <c r="B368" s="925">
        <v>17</v>
      </c>
      <c r="C368" s="851" t="s">
        <v>888</v>
      </c>
      <c r="D368" s="855" t="s">
        <v>8880</v>
      </c>
      <c r="E368" s="851"/>
      <c r="F368" s="853"/>
      <c r="G368" s="857">
        <v>2511450</v>
      </c>
      <c r="H368" s="857"/>
      <c r="I368" s="960">
        <f>Table2[[#This Row],[Opening]]+Table2[[#This Row],[Debit]]-Table2[[#This Row],[Credit]]</f>
        <v>2511450</v>
      </c>
      <c r="J368" s="879"/>
    </row>
    <row r="369" spans="1:22" ht="24" customHeight="1" x14ac:dyDescent="0.6">
      <c r="A369" s="924">
        <v>44698</v>
      </c>
      <c r="B369" s="925">
        <v>17</v>
      </c>
      <c r="C369" s="842" t="s">
        <v>1267</v>
      </c>
      <c r="D369" s="855" t="s">
        <v>7209</v>
      </c>
      <c r="E369" s="842"/>
      <c r="F369" s="856"/>
      <c r="G369" s="854">
        <v>4500</v>
      </c>
      <c r="H369" s="854"/>
      <c r="I369" s="961">
        <f>Table2[[#This Row],[Opening]]+Table2[[#This Row],[Debit]]-Table2[[#This Row],[Credit]]</f>
        <v>4500</v>
      </c>
      <c r="J369" s="879"/>
    </row>
    <row r="370" spans="1:22" ht="24" customHeight="1" x14ac:dyDescent="0.6">
      <c r="A370" s="924">
        <v>44698</v>
      </c>
      <c r="B370" s="925">
        <v>17</v>
      </c>
      <c r="C370" s="842" t="s">
        <v>39</v>
      </c>
      <c r="D370" s="855" t="s">
        <v>8198</v>
      </c>
      <c r="E370" s="842"/>
      <c r="F370" s="843"/>
      <c r="G370" s="844"/>
      <c r="H370" s="809">
        <v>324300</v>
      </c>
      <c r="I370" s="961">
        <f>Table2[[#This Row],[Opening]]+Table2[[#This Row],[Debit]]-Table2[[#This Row],[Credit]]</f>
        <v>-324300</v>
      </c>
      <c r="J370" s="879"/>
      <c r="V370" s="920"/>
    </row>
    <row r="371" spans="1:22" ht="24" customHeight="1" x14ac:dyDescent="0.6">
      <c r="A371" s="924">
        <v>44698</v>
      </c>
      <c r="B371" s="925">
        <v>17</v>
      </c>
      <c r="C371" s="842" t="s">
        <v>39</v>
      </c>
      <c r="D371" s="852" t="s">
        <v>8202</v>
      </c>
      <c r="E371" s="842"/>
      <c r="F371" s="856"/>
      <c r="G371" s="857"/>
      <c r="H371" s="798">
        <v>39000</v>
      </c>
      <c r="I371" s="958">
        <f>Table2[[#This Row],[Opening]]+Table2[[#This Row],[Debit]]-Table2[[#This Row],[Credit]]</f>
        <v>-39000</v>
      </c>
      <c r="J371" s="879"/>
      <c r="S371" s="791"/>
      <c r="T371" s="791"/>
      <c r="U371" s="791"/>
      <c r="V371" s="920"/>
    </row>
    <row r="372" spans="1:22" ht="24" customHeight="1" x14ac:dyDescent="0.6">
      <c r="A372" s="924">
        <v>44698</v>
      </c>
      <c r="B372" s="925">
        <v>17</v>
      </c>
      <c r="C372" s="842" t="s">
        <v>1183</v>
      </c>
      <c r="D372" s="842" t="s">
        <v>8927</v>
      </c>
      <c r="E372" s="851"/>
      <c r="F372" s="853"/>
      <c r="G372" s="854"/>
      <c r="H372" s="839">
        <v>2000</v>
      </c>
      <c r="I372" s="957">
        <f>Table2[[#This Row],[Opening]]+Table2[[#This Row],[Debit]]-Table2[[#This Row],[Credit]]</f>
        <v>-2000</v>
      </c>
      <c r="J372" s="879"/>
      <c r="S372" s="791"/>
      <c r="T372" s="791"/>
      <c r="U372" s="791"/>
      <c r="V372" s="920"/>
    </row>
    <row r="373" spans="1:22" ht="24" customHeight="1" x14ac:dyDescent="0.6">
      <c r="A373" s="924">
        <v>44698</v>
      </c>
      <c r="B373" s="925">
        <v>17</v>
      </c>
      <c r="C373" s="842" t="s">
        <v>9070</v>
      </c>
      <c r="D373" s="855" t="s">
        <v>9061</v>
      </c>
      <c r="E373" s="842"/>
      <c r="F373" s="856"/>
      <c r="G373" s="857"/>
      <c r="H373" s="798">
        <v>90000</v>
      </c>
      <c r="I373" s="958">
        <f>Table2[[#This Row],[Opening]]+Table2[[#This Row],[Debit]]-Table2[[#This Row],[Credit]]</f>
        <v>-90000</v>
      </c>
      <c r="J373" s="879"/>
      <c r="S373" s="791"/>
      <c r="T373" s="791"/>
      <c r="U373" s="791"/>
      <c r="V373" s="920"/>
    </row>
    <row r="374" spans="1:22" ht="24" customHeight="1" x14ac:dyDescent="0.6">
      <c r="A374" s="924">
        <v>44698</v>
      </c>
      <c r="B374" s="925">
        <v>17</v>
      </c>
      <c r="C374" s="842" t="s">
        <v>2921</v>
      </c>
      <c r="D374" s="855" t="s">
        <v>9076</v>
      </c>
      <c r="E374" s="878"/>
      <c r="G374" s="857"/>
      <c r="H374" s="798">
        <v>9300</v>
      </c>
      <c r="I374" s="958">
        <f>Table2[[#This Row],[Opening]]+Table2[[#This Row],[Debit]]-Table2[[#This Row],[Credit]]</f>
        <v>-9300</v>
      </c>
      <c r="J374" s="879"/>
      <c r="S374" s="791"/>
      <c r="T374" s="791"/>
      <c r="U374" s="791"/>
      <c r="V374" s="920"/>
    </row>
    <row r="375" spans="1:22" ht="24" customHeight="1" x14ac:dyDescent="0.6">
      <c r="A375" s="924">
        <v>44698</v>
      </c>
      <c r="B375" s="925">
        <v>17</v>
      </c>
      <c r="C375" s="842" t="s">
        <v>86</v>
      </c>
      <c r="D375" s="842" t="s">
        <v>9077</v>
      </c>
      <c r="E375" s="878"/>
      <c r="F375" s="838"/>
      <c r="G375" s="854"/>
      <c r="H375" s="839">
        <v>2000</v>
      </c>
      <c r="I375" s="958">
        <f>Table2[[#This Row],[Opening]]+Table2[[#This Row],[Debit]]-Table2[[#This Row],[Credit]]</f>
        <v>-2000</v>
      </c>
      <c r="J375" s="879"/>
      <c r="S375" s="791"/>
      <c r="T375" s="791"/>
      <c r="U375" s="791"/>
      <c r="V375" s="920"/>
    </row>
    <row r="376" spans="1:22" ht="24" customHeight="1" x14ac:dyDescent="0.6">
      <c r="A376" s="924">
        <v>44698</v>
      </c>
      <c r="B376" s="925">
        <v>17</v>
      </c>
      <c r="C376" s="842" t="s">
        <v>86</v>
      </c>
      <c r="D376" s="842" t="s">
        <v>9078</v>
      </c>
      <c r="E376" s="878"/>
      <c r="G376" s="857"/>
      <c r="H376" s="798">
        <v>9600</v>
      </c>
      <c r="I376" s="958">
        <f>Table2[[#This Row],[Opening]]+Table2[[#This Row],[Debit]]-Table2[[#This Row],[Credit]]</f>
        <v>-9600</v>
      </c>
      <c r="J376" s="879"/>
      <c r="S376" s="791"/>
      <c r="T376" s="791"/>
      <c r="U376" s="791"/>
      <c r="V376" s="920"/>
    </row>
    <row r="377" spans="1:22" ht="24" customHeight="1" x14ac:dyDescent="0.6">
      <c r="A377" s="924">
        <v>44698</v>
      </c>
      <c r="B377" s="925">
        <v>17</v>
      </c>
      <c r="C377" s="842" t="s">
        <v>1183</v>
      </c>
      <c r="D377" s="842" t="s">
        <v>8938</v>
      </c>
      <c r="E377" s="878"/>
      <c r="F377" s="808"/>
      <c r="G377" s="844"/>
      <c r="H377" s="809">
        <v>60000</v>
      </c>
      <c r="I377" s="958">
        <f>Table2[[#This Row],[Opening]]+Table2[[#This Row],[Debit]]-Table2[[#This Row],[Credit]]</f>
        <v>-60000</v>
      </c>
      <c r="J377" s="879"/>
      <c r="S377" s="791"/>
      <c r="T377" s="791"/>
      <c r="U377" s="791"/>
      <c r="V377" s="920"/>
    </row>
    <row r="378" spans="1:22" ht="24" customHeight="1" x14ac:dyDescent="0.6">
      <c r="A378" s="924">
        <v>44698</v>
      </c>
      <c r="B378" s="925">
        <v>17</v>
      </c>
      <c r="C378" s="842" t="s">
        <v>86</v>
      </c>
      <c r="D378" s="842" t="s">
        <v>8954</v>
      </c>
      <c r="E378" s="842"/>
      <c r="G378" s="857"/>
      <c r="H378" s="798">
        <v>80000</v>
      </c>
      <c r="I378" s="958">
        <f>Table2[[#This Row],[Opening]]+Table2[[#This Row],[Debit]]-Table2[[#This Row],[Credit]]</f>
        <v>-80000</v>
      </c>
      <c r="J378" s="879"/>
      <c r="S378" s="791"/>
      <c r="T378" s="791"/>
      <c r="U378" s="791"/>
      <c r="V378" s="920"/>
    </row>
    <row r="379" spans="1:22" ht="24" customHeight="1" x14ac:dyDescent="0.6">
      <c r="A379" s="924">
        <v>44698</v>
      </c>
      <c r="B379" s="925">
        <v>17</v>
      </c>
      <c r="C379" s="842" t="s">
        <v>1240</v>
      </c>
      <c r="D379" s="842" t="s">
        <v>9079</v>
      </c>
      <c r="E379" s="842" t="s">
        <v>7269</v>
      </c>
      <c r="F379" s="808"/>
      <c r="G379" s="844"/>
      <c r="H379" s="809">
        <v>4000</v>
      </c>
      <c r="I379" s="958">
        <f>Table2[[#This Row],[Opening]]+Table2[[#This Row],[Debit]]-Table2[[#This Row],[Credit]]</f>
        <v>-4000</v>
      </c>
      <c r="J379" s="879"/>
      <c r="S379" s="791"/>
      <c r="T379" s="791"/>
      <c r="U379" s="791"/>
      <c r="V379" s="920"/>
    </row>
    <row r="380" spans="1:22" ht="24" customHeight="1" x14ac:dyDescent="0.6">
      <c r="A380" s="924">
        <v>44698</v>
      </c>
      <c r="B380" s="925">
        <v>17</v>
      </c>
      <c r="C380" s="842" t="s">
        <v>39</v>
      </c>
      <c r="D380" s="842" t="s">
        <v>8195</v>
      </c>
      <c r="E380" s="842"/>
      <c r="G380" s="857"/>
      <c r="H380" s="798">
        <v>7000</v>
      </c>
      <c r="I380" s="958">
        <f>Table2[[#This Row],[Opening]]+Table2[[#This Row],[Debit]]-Table2[[#This Row],[Credit]]</f>
        <v>-7000</v>
      </c>
      <c r="J380" s="879"/>
      <c r="S380" s="791"/>
      <c r="T380" s="791"/>
      <c r="U380" s="791"/>
      <c r="V380" s="920"/>
    </row>
    <row r="381" spans="1:22" ht="24" customHeight="1" x14ac:dyDescent="0.6">
      <c r="A381" s="924">
        <v>44698</v>
      </c>
      <c r="B381" s="925">
        <v>17</v>
      </c>
      <c r="C381" s="842" t="s">
        <v>39</v>
      </c>
      <c r="D381" s="842" t="s">
        <v>8208</v>
      </c>
      <c r="E381" s="842"/>
      <c r="F381" s="808"/>
      <c r="G381" s="844"/>
      <c r="H381" s="809">
        <v>59700</v>
      </c>
      <c r="I381" s="958">
        <f>Table2[[#This Row],[Opening]]+Table2[[#This Row],[Debit]]-Table2[[#This Row],[Credit]]</f>
        <v>-59700</v>
      </c>
      <c r="J381" s="879"/>
      <c r="S381" s="791"/>
      <c r="T381" s="791"/>
      <c r="U381" s="791"/>
      <c r="V381" s="920"/>
    </row>
    <row r="382" spans="1:22" ht="24" customHeight="1" x14ac:dyDescent="0.6">
      <c r="A382" s="924">
        <v>44698</v>
      </c>
      <c r="B382" s="925">
        <v>17</v>
      </c>
      <c r="C382" s="842" t="s">
        <v>39</v>
      </c>
      <c r="D382" s="842" t="s">
        <v>6226</v>
      </c>
      <c r="E382" s="842"/>
      <c r="G382" s="857"/>
      <c r="H382" s="798">
        <v>78000</v>
      </c>
      <c r="I382" s="958">
        <f>Table2[[#This Row],[Opening]]+Table2[[#This Row],[Debit]]-Table2[[#This Row],[Credit]]</f>
        <v>-78000</v>
      </c>
      <c r="J382" s="879"/>
      <c r="S382" s="791"/>
      <c r="T382" s="791"/>
      <c r="U382" s="791"/>
      <c r="V382" s="920"/>
    </row>
    <row r="383" spans="1:22" ht="24" customHeight="1" x14ac:dyDescent="0.6">
      <c r="A383" s="924">
        <v>44698</v>
      </c>
      <c r="B383" s="925">
        <v>17</v>
      </c>
      <c r="C383" s="842" t="s">
        <v>86</v>
      </c>
      <c r="D383" s="851" t="s">
        <v>8904</v>
      </c>
      <c r="E383" s="851"/>
      <c r="F383" s="835"/>
      <c r="G383" s="860"/>
      <c r="H383" s="836">
        <v>4000</v>
      </c>
      <c r="I383" s="960">
        <f>Table2[[#This Row],[Opening]]+Table2[[#This Row],[Debit]]-Table2[[#This Row],[Credit]]</f>
        <v>-4000</v>
      </c>
      <c r="J383" s="879"/>
      <c r="S383" s="791"/>
      <c r="T383" s="791"/>
      <c r="U383" s="791"/>
      <c r="V383" s="920"/>
    </row>
    <row r="384" spans="1:22" ht="24" customHeight="1" x14ac:dyDescent="0.6">
      <c r="A384" s="922">
        <v>44698</v>
      </c>
      <c r="B384" s="933">
        <v>17</v>
      </c>
      <c r="C384" s="878" t="s">
        <v>39</v>
      </c>
      <c r="D384" s="902" t="s">
        <v>8219</v>
      </c>
      <c r="E384" s="878"/>
      <c r="F384" s="896"/>
      <c r="G384" s="809"/>
      <c r="H384" s="809">
        <v>3093000</v>
      </c>
      <c r="I384" s="958">
        <f>Table2[[#This Row],[Opening]]+Table2[[#This Row],[Debit]]-Table2[[#This Row],[Credit]]</f>
        <v>-3093000</v>
      </c>
      <c r="J384" s="879"/>
      <c r="S384" s="791"/>
      <c r="T384" s="791"/>
      <c r="U384" s="791"/>
    </row>
    <row r="385" spans="1:25" ht="24" customHeight="1" x14ac:dyDescent="0.6">
      <c r="A385" s="922">
        <v>44698</v>
      </c>
      <c r="B385" s="933">
        <v>17</v>
      </c>
      <c r="C385" s="878" t="s">
        <v>39</v>
      </c>
      <c r="D385" s="902" t="s">
        <v>8208</v>
      </c>
      <c r="E385" s="878"/>
      <c r="F385" s="903"/>
      <c r="G385" s="836"/>
      <c r="H385" s="836">
        <v>133250</v>
      </c>
      <c r="I385" s="957">
        <f>Table2[[#This Row],[Opening]]+Table2[[#This Row],[Debit]]-Table2[[#This Row],[Credit]]</f>
        <v>-133250</v>
      </c>
      <c r="J385" s="879"/>
      <c r="S385" s="791"/>
      <c r="T385" s="791"/>
      <c r="U385" s="791"/>
    </row>
    <row r="386" spans="1:25" ht="24" customHeight="1" thickBot="1" x14ac:dyDescent="0.65">
      <c r="A386" s="884">
        <v>44698</v>
      </c>
      <c r="B386" s="885">
        <v>17</v>
      </c>
      <c r="C386" s="886" t="s">
        <v>39</v>
      </c>
      <c r="D386" s="1240" t="s">
        <v>7879</v>
      </c>
      <c r="E386" s="886"/>
      <c r="F386" s="1241"/>
      <c r="G386" s="1238"/>
      <c r="H386" s="1238">
        <v>121720</v>
      </c>
      <c r="I386" s="959">
        <f>Table2[[#This Row],[Opening]]+Table2[[#This Row],[Debit]]-Table2[[#This Row],[Credit]]</f>
        <v>-121720</v>
      </c>
      <c r="J386" s="879"/>
    </row>
    <row r="387" spans="1:25" ht="24" customHeight="1" thickTop="1" x14ac:dyDescent="0.6">
      <c r="A387" s="924">
        <v>44699</v>
      </c>
      <c r="B387" s="925">
        <v>18</v>
      </c>
      <c r="C387" s="851" t="s">
        <v>2466</v>
      </c>
      <c r="D387" s="851" t="s">
        <v>8886</v>
      </c>
      <c r="E387" s="893"/>
      <c r="F387" s="838"/>
      <c r="G387" s="854">
        <v>1000</v>
      </c>
      <c r="H387" s="839"/>
      <c r="I387" s="960">
        <f>Table2[[#This Row],[Opening]]+Table2[[#This Row],[Debit]]-Table2[[#This Row],[Credit]]</f>
        <v>1000</v>
      </c>
      <c r="J387" s="879"/>
    </row>
    <row r="388" spans="1:25" ht="24" customHeight="1" x14ac:dyDescent="0.6">
      <c r="A388" s="924">
        <v>44699</v>
      </c>
      <c r="B388" s="925">
        <v>18</v>
      </c>
      <c r="C388" s="851" t="s">
        <v>2466</v>
      </c>
      <c r="D388" s="851" t="s">
        <v>8886</v>
      </c>
      <c r="E388" s="878"/>
      <c r="G388" s="857">
        <v>300</v>
      </c>
      <c r="I388" s="961">
        <f>Table2[[#This Row],[Opening]]+Table2[[#This Row],[Debit]]-Table2[[#This Row],[Credit]]</f>
        <v>300</v>
      </c>
      <c r="J388" s="879"/>
    </row>
    <row r="389" spans="1:25" ht="24" customHeight="1" x14ac:dyDescent="0.6">
      <c r="A389" s="924">
        <v>44699</v>
      </c>
      <c r="B389" s="925">
        <v>18</v>
      </c>
      <c r="C389" s="851" t="s">
        <v>2466</v>
      </c>
      <c r="D389" s="851" t="s">
        <v>8886</v>
      </c>
      <c r="E389" s="878"/>
      <c r="F389" s="808"/>
      <c r="G389" s="844">
        <v>500</v>
      </c>
      <c r="H389" s="809"/>
      <c r="I389" s="961">
        <f>Table2[[#This Row],[Opening]]+Table2[[#This Row],[Debit]]-Table2[[#This Row],[Credit]]</f>
        <v>500</v>
      </c>
      <c r="J389" s="879"/>
    </row>
    <row r="390" spans="1:25" s="897" customFormat="1" ht="24" customHeight="1" x14ac:dyDescent="0.6">
      <c r="A390" s="924">
        <v>44699</v>
      </c>
      <c r="B390" s="925">
        <v>18</v>
      </c>
      <c r="C390" s="778" t="s">
        <v>905</v>
      </c>
      <c r="D390" s="855" t="s">
        <v>8879</v>
      </c>
      <c r="E390" s="878"/>
      <c r="F390" s="796"/>
      <c r="G390" s="857">
        <v>2000</v>
      </c>
      <c r="H390" s="798"/>
      <c r="I390" s="961">
        <f>Table2[[#This Row],[Opening]]+Table2[[#This Row],[Debit]]-Table2[[#This Row],[Credit]]</f>
        <v>2000</v>
      </c>
      <c r="J390" s="879"/>
      <c r="K390" s="751"/>
      <c r="L390" s="751"/>
      <c r="M390" s="751"/>
      <c r="N390" s="751"/>
      <c r="O390" s="880"/>
      <c r="P390" s="880"/>
      <c r="Q390" s="881"/>
      <c r="R390" s="751"/>
      <c r="S390" s="789"/>
      <c r="T390" s="789"/>
      <c r="U390" s="789"/>
      <c r="V390" s="790"/>
      <c r="W390" s="791"/>
      <c r="X390" s="791"/>
      <c r="Y390" s="792"/>
    </row>
    <row r="391" spans="1:25" s="897" customFormat="1" ht="24" customHeight="1" x14ac:dyDescent="0.6">
      <c r="A391" s="924">
        <v>44699</v>
      </c>
      <c r="B391" s="925">
        <v>18</v>
      </c>
      <c r="C391" s="778" t="s">
        <v>905</v>
      </c>
      <c r="D391" s="855" t="s">
        <v>8879</v>
      </c>
      <c r="E391" s="878"/>
      <c r="F391" s="808"/>
      <c r="G391" s="844">
        <v>2000</v>
      </c>
      <c r="H391" s="809"/>
      <c r="I391" s="961">
        <f>Table2[[#This Row],[Opening]]+Table2[[#This Row],[Debit]]-Table2[[#This Row],[Credit]]</f>
        <v>2000</v>
      </c>
      <c r="J391" s="879"/>
      <c r="K391" s="751"/>
      <c r="L391" s="751"/>
      <c r="M391" s="751"/>
      <c r="N391" s="751"/>
      <c r="O391" s="880"/>
      <c r="P391" s="880"/>
      <c r="Q391" s="881"/>
      <c r="R391" s="751"/>
      <c r="S391" s="1212"/>
      <c r="T391" s="1212"/>
      <c r="U391" s="1212"/>
      <c r="V391" s="1213"/>
      <c r="Y391" s="1214"/>
    </row>
    <row r="392" spans="1:25" s="897" customFormat="1" ht="24" customHeight="1" x14ac:dyDescent="0.6">
      <c r="A392" s="924">
        <v>44699</v>
      </c>
      <c r="B392" s="925">
        <v>18</v>
      </c>
      <c r="C392" s="851" t="s">
        <v>2466</v>
      </c>
      <c r="D392" s="842" t="s">
        <v>8886</v>
      </c>
      <c r="E392" s="878"/>
      <c r="F392" s="796"/>
      <c r="G392" s="857">
        <v>35000</v>
      </c>
      <c r="H392" s="798"/>
      <c r="I392" s="961">
        <f>Table2[[#This Row],[Opening]]+Table2[[#This Row],[Debit]]-Table2[[#This Row],[Credit]]</f>
        <v>35000</v>
      </c>
      <c r="J392" s="879"/>
      <c r="K392" s="751"/>
      <c r="L392" s="751"/>
      <c r="M392" s="751"/>
      <c r="N392" s="751"/>
      <c r="O392" s="880"/>
      <c r="P392" s="880"/>
      <c r="Q392" s="881"/>
      <c r="R392" s="751"/>
      <c r="S392" s="1212"/>
      <c r="T392" s="1212"/>
      <c r="U392" s="1212"/>
      <c r="V392" s="1213"/>
      <c r="Y392" s="1214"/>
    </row>
    <row r="393" spans="1:25" ht="24" customHeight="1" x14ac:dyDescent="0.6">
      <c r="A393" s="924">
        <v>44699</v>
      </c>
      <c r="B393" s="925">
        <v>18</v>
      </c>
      <c r="C393" s="778" t="s">
        <v>905</v>
      </c>
      <c r="D393" s="855" t="s">
        <v>8879</v>
      </c>
      <c r="E393" s="878"/>
      <c r="F393" s="808"/>
      <c r="G393" s="844">
        <v>4000</v>
      </c>
      <c r="H393" s="809"/>
      <c r="I393" s="961">
        <f>Table2[[#This Row],[Opening]]+Table2[[#This Row],[Debit]]-Table2[[#This Row],[Credit]]</f>
        <v>4000</v>
      </c>
      <c r="J393" s="879"/>
      <c r="S393" s="1212"/>
      <c r="T393" s="1212"/>
      <c r="U393" s="1212"/>
      <c r="V393" s="1213"/>
      <c r="W393" s="897"/>
      <c r="X393" s="897"/>
      <c r="Y393" s="1214"/>
    </row>
    <row r="394" spans="1:25" ht="24" customHeight="1" x14ac:dyDescent="0.6">
      <c r="A394" s="924">
        <v>44699</v>
      </c>
      <c r="B394" s="925">
        <v>18</v>
      </c>
      <c r="C394" s="778" t="s">
        <v>888</v>
      </c>
      <c r="D394" s="842" t="s">
        <v>8880</v>
      </c>
      <c r="E394" s="878"/>
      <c r="G394" s="857">
        <v>2699200</v>
      </c>
      <c r="I394" s="961">
        <f>Table2[[#This Row],[Opening]]+Table2[[#This Row],[Debit]]-Table2[[#This Row],[Credit]]</f>
        <v>2699200</v>
      </c>
      <c r="J394" s="879"/>
    </row>
    <row r="395" spans="1:25" ht="24" customHeight="1" x14ac:dyDescent="0.6">
      <c r="A395" s="924">
        <v>44699</v>
      </c>
      <c r="B395" s="925">
        <v>18</v>
      </c>
      <c r="C395" s="778" t="s">
        <v>1267</v>
      </c>
      <c r="D395" s="842" t="s">
        <v>7209</v>
      </c>
      <c r="E395" s="878"/>
      <c r="F395" s="808"/>
      <c r="G395" s="844">
        <v>27900</v>
      </c>
      <c r="H395" s="809"/>
      <c r="I395" s="961">
        <f>Table2[[#This Row],[Opening]]+Table2[[#This Row],[Debit]]-Table2[[#This Row],[Credit]]</f>
        <v>27900</v>
      </c>
      <c r="J395" s="879"/>
    </row>
    <row r="396" spans="1:25" ht="24" customHeight="1" x14ac:dyDescent="0.6">
      <c r="A396" s="924">
        <v>44699</v>
      </c>
      <c r="B396" s="925">
        <v>18</v>
      </c>
      <c r="C396" s="778" t="s">
        <v>1143</v>
      </c>
      <c r="D396" s="842" t="s">
        <v>9080</v>
      </c>
      <c r="E396" s="878"/>
      <c r="G396" s="857"/>
      <c r="H396" s="798">
        <v>12500</v>
      </c>
      <c r="I396" s="958">
        <f>Table2[[#This Row],[Opening]]+Table2[[#This Row],[Debit]]-Table2[[#This Row],[Credit]]</f>
        <v>-12500</v>
      </c>
      <c r="J396" s="879"/>
    </row>
    <row r="397" spans="1:25" ht="24" customHeight="1" x14ac:dyDescent="0.6">
      <c r="A397" s="924">
        <v>44699</v>
      </c>
      <c r="B397" s="925">
        <v>18</v>
      </c>
      <c r="C397" s="778" t="s">
        <v>1240</v>
      </c>
      <c r="D397" s="842" t="s">
        <v>9081</v>
      </c>
      <c r="E397" s="842" t="s">
        <v>7269</v>
      </c>
      <c r="F397" s="808"/>
      <c r="G397" s="844"/>
      <c r="H397" s="809">
        <v>14300</v>
      </c>
      <c r="I397" s="958">
        <f>Table2[[#This Row],[Opening]]+Table2[[#This Row],[Debit]]-Table2[[#This Row],[Credit]]</f>
        <v>-14300</v>
      </c>
      <c r="J397" s="879"/>
    </row>
    <row r="398" spans="1:25" ht="24" customHeight="1" x14ac:dyDescent="0.6">
      <c r="A398" s="924">
        <v>44699</v>
      </c>
      <c r="B398" s="925">
        <v>18</v>
      </c>
      <c r="C398" s="778" t="s">
        <v>1240</v>
      </c>
      <c r="D398" s="795" t="s">
        <v>9082</v>
      </c>
      <c r="E398" s="842" t="s">
        <v>7269</v>
      </c>
      <c r="G398" s="857"/>
      <c r="H398" s="798">
        <v>12500</v>
      </c>
      <c r="I398" s="961">
        <f>Table2[[#This Row],[Opening]]+Table2[[#This Row],[Debit]]-Table2[[#This Row],[Credit]]</f>
        <v>-12500</v>
      </c>
      <c r="J398" s="879"/>
    </row>
    <row r="399" spans="1:25" ht="24" customHeight="1" x14ac:dyDescent="0.6">
      <c r="A399" s="924">
        <v>44699</v>
      </c>
      <c r="B399" s="925">
        <v>18</v>
      </c>
      <c r="C399" s="778" t="s">
        <v>1240</v>
      </c>
      <c r="D399" s="795" t="s">
        <v>9083</v>
      </c>
      <c r="E399" s="842" t="s">
        <v>7269</v>
      </c>
      <c r="F399" s="808"/>
      <c r="G399" s="844"/>
      <c r="H399" s="809">
        <v>14000</v>
      </c>
      <c r="I399" s="961">
        <f>Table2[[#This Row],[Opening]]+Table2[[#This Row],[Debit]]-Table2[[#This Row],[Credit]]</f>
        <v>-14000</v>
      </c>
      <c r="J399" s="879"/>
      <c r="S399" s="791"/>
      <c r="T399" s="791"/>
      <c r="U399" s="791"/>
      <c r="V399" s="920"/>
    </row>
    <row r="400" spans="1:25" ht="24" customHeight="1" x14ac:dyDescent="0.6">
      <c r="A400" s="924">
        <v>44699</v>
      </c>
      <c r="B400" s="925">
        <v>18</v>
      </c>
      <c r="C400" s="778" t="s">
        <v>1240</v>
      </c>
      <c r="D400" s="833" t="s">
        <v>9084</v>
      </c>
      <c r="E400" s="842" t="s">
        <v>7269</v>
      </c>
      <c r="F400" s="835"/>
      <c r="G400" s="860"/>
      <c r="H400" s="836">
        <v>8000</v>
      </c>
      <c r="I400" s="960">
        <f>Table2[[#This Row],[Opening]]+Table2[[#This Row],[Debit]]-Table2[[#This Row],[Credit]]</f>
        <v>-8000</v>
      </c>
      <c r="J400" s="879"/>
      <c r="S400" s="791"/>
      <c r="T400" s="791"/>
      <c r="U400" s="791"/>
      <c r="V400" s="920"/>
    </row>
    <row r="401" spans="1:22" ht="24" customHeight="1" x14ac:dyDescent="0.6">
      <c r="A401" s="924">
        <v>44699</v>
      </c>
      <c r="B401" s="925">
        <v>18</v>
      </c>
      <c r="C401" s="795" t="s">
        <v>864</v>
      </c>
      <c r="D401" s="833" t="s">
        <v>8933</v>
      </c>
      <c r="F401" s="808"/>
      <c r="G401" s="844"/>
      <c r="H401" s="809">
        <v>10000</v>
      </c>
      <c r="I401" s="961">
        <f>Table2[[#This Row],[Opening]]+Table2[[#This Row],[Debit]]-Table2[[#This Row],[Credit]]</f>
        <v>-10000</v>
      </c>
      <c r="J401" s="879"/>
      <c r="S401" s="791"/>
      <c r="T401" s="791"/>
      <c r="U401" s="791"/>
      <c r="V401" s="920"/>
    </row>
    <row r="402" spans="1:22" ht="24" customHeight="1" x14ac:dyDescent="0.6">
      <c r="A402" s="924">
        <v>44699</v>
      </c>
      <c r="B402" s="925">
        <v>18</v>
      </c>
      <c r="C402" s="795" t="s">
        <v>86</v>
      </c>
      <c r="D402" s="807" t="s">
        <v>8904</v>
      </c>
      <c r="G402" s="857"/>
      <c r="H402" s="798">
        <v>1000</v>
      </c>
      <c r="I402" s="961">
        <f>Table2[[#This Row],[Opening]]+Table2[[#This Row],[Debit]]-Table2[[#This Row],[Credit]]</f>
        <v>-1000</v>
      </c>
      <c r="J402" s="879"/>
      <c r="S402" s="791"/>
      <c r="T402" s="791"/>
      <c r="U402" s="791"/>
      <c r="V402" s="920"/>
    </row>
    <row r="403" spans="1:22" ht="24" customHeight="1" x14ac:dyDescent="0.6">
      <c r="A403" s="922">
        <v>44699</v>
      </c>
      <c r="B403" s="933">
        <v>18</v>
      </c>
      <c r="C403" s="878" t="s">
        <v>47</v>
      </c>
      <c r="D403" s="902" t="s">
        <v>8200</v>
      </c>
      <c r="E403" s="878"/>
      <c r="F403" s="808"/>
      <c r="G403" s="844"/>
      <c r="H403" s="809">
        <v>1179000</v>
      </c>
      <c r="I403" s="961">
        <f>Table2[[#This Row],[Opening]]+Table2[[#This Row],[Debit]]-Table2[[#This Row],[Credit]]</f>
        <v>-1179000</v>
      </c>
      <c r="J403" s="879"/>
      <c r="S403" s="791"/>
      <c r="T403" s="791"/>
      <c r="U403" s="791"/>
      <c r="V403" s="920"/>
    </row>
    <row r="404" spans="1:22" ht="24" customHeight="1" x14ac:dyDescent="0.6">
      <c r="A404" s="922">
        <v>44699</v>
      </c>
      <c r="B404" s="933">
        <v>18</v>
      </c>
      <c r="C404" s="878" t="s">
        <v>47</v>
      </c>
      <c r="D404" s="902" t="s">
        <v>9085</v>
      </c>
      <c r="E404" s="878"/>
      <c r="G404" s="857"/>
      <c r="H404" s="798">
        <v>900000</v>
      </c>
      <c r="I404" s="961">
        <f>Table2[[#This Row],[Opening]]+Table2[[#This Row],[Debit]]-Table2[[#This Row],[Credit]]</f>
        <v>-900000</v>
      </c>
      <c r="J404" s="879"/>
      <c r="S404" s="791"/>
      <c r="T404" s="791"/>
      <c r="U404" s="791"/>
      <c r="V404" s="920"/>
    </row>
    <row r="405" spans="1:22" ht="24" customHeight="1" x14ac:dyDescent="0.6">
      <c r="A405" s="922">
        <v>44699</v>
      </c>
      <c r="B405" s="933">
        <v>18</v>
      </c>
      <c r="C405" s="878" t="s">
        <v>39</v>
      </c>
      <c r="D405" s="902" t="s">
        <v>8204</v>
      </c>
      <c r="E405" s="878"/>
      <c r="F405" s="808"/>
      <c r="G405" s="844"/>
      <c r="H405" s="809">
        <v>555100</v>
      </c>
      <c r="I405" s="961">
        <f>Table2[[#This Row],[Opening]]+Table2[[#This Row],[Debit]]-Table2[[#This Row],[Credit]]</f>
        <v>-555100</v>
      </c>
      <c r="J405" s="879"/>
      <c r="S405" s="791"/>
      <c r="T405" s="791"/>
      <c r="U405" s="791"/>
      <c r="V405" s="920"/>
    </row>
    <row r="406" spans="1:22" ht="24" customHeight="1" x14ac:dyDescent="0.6">
      <c r="A406" s="922">
        <v>44699</v>
      </c>
      <c r="B406" s="933">
        <v>18</v>
      </c>
      <c r="C406" s="878" t="s">
        <v>39</v>
      </c>
      <c r="D406" s="878" t="s">
        <v>8195</v>
      </c>
      <c r="E406" s="878"/>
      <c r="G406" s="857"/>
      <c r="H406" s="798">
        <v>73500</v>
      </c>
      <c r="I406" s="961">
        <f>Table2[[#This Row],[Opening]]+Table2[[#This Row],[Debit]]-Table2[[#This Row],[Credit]]</f>
        <v>-73500</v>
      </c>
      <c r="J406" s="879"/>
      <c r="S406" s="791"/>
      <c r="T406" s="791"/>
      <c r="U406" s="791"/>
      <c r="V406" s="920"/>
    </row>
    <row r="407" spans="1:22" ht="24" customHeight="1" x14ac:dyDescent="0.6">
      <c r="A407" s="922">
        <v>44699</v>
      </c>
      <c r="B407" s="933">
        <v>18</v>
      </c>
      <c r="C407" s="878" t="s">
        <v>39</v>
      </c>
      <c r="D407" s="902" t="s">
        <v>8205</v>
      </c>
      <c r="E407" s="878"/>
      <c r="F407" s="808"/>
      <c r="G407" s="844"/>
      <c r="H407" s="809">
        <v>390000</v>
      </c>
      <c r="I407" s="958">
        <f>Table2[[#This Row],[Opening]]+Table2[[#This Row],[Debit]]-Table2[[#This Row],[Credit]]</f>
        <v>-390000</v>
      </c>
      <c r="J407" s="879"/>
      <c r="S407" s="791"/>
      <c r="T407" s="791"/>
      <c r="U407" s="791"/>
      <c r="V407" s="920"/>
    </row>
    <row r="408" spans="1:22" ht="24" customHeight="1" x14ac:dyDescent="0.6">
      <c r="A408" s="922">
        <v>44699</v>
      </c>
      <c r="B408" s="933">
        <v>18</v>
      </c>
      <c r="C408" s="878" t="s">
        <v>39</v>
      </c>
      <c r="D408" s="878" t="s">
        <v>9086</v>
      </c>
      <c r="E408" s="878"/>
      <c r="G408" s="857"/>
      <c r="H408" s="798">
        <v>70400</v>
      </c>
      <c r="I408" s="958">
        <f>Table2[[#This Row],[Opening]]+Table2[[#This Row],[Debit]]-Table2[[#This Row],[Credit]]</f>
        <v>-70400</v>
      </c>
      <c r="J408" s="879"/>
      <c r="S408" s="791"/>
      <c r="T408" s="791"/>
      <c r="U408" s="791"/>
      <c r="V408" s="920"/>
    </row>
    <row r="409" spans="1:22" ht="24" customHeight="1" x14ac:dyDescent="0.6">
      <c r="A409" s="922">
        <v>44699</v>
      </c>
      <c r="B409" s="933">
        <v>18</v>
      </c>
      <c r="C409" s="878" t="s">
        <v>39</v>
      </c>
      <c r="D409" s="893" t="s">
        <v>8203</v>
      </c>
      <c r="E409" s="893"/>
      <c r="F409" s="838"/>
      <c r="G409" s="854"/>
      <c r="H409" s="839">
        <v>362500</v>
      </c>
      <c r="I409" s="957">
        <f>Table2[[#This Row],[Opening]]+Table2[[#This Row],[Debit]]-Table2[[#This Row],[Credit]]</f>
        <v>-362500</v>
      </c>
      <c r="J409" s="879"/>
      <c r="S409" s="791"/>
      <c r="T409" s="791"/>
      <c r="U409" s="791"/>
      <c r="V409" s="920"/>
    </row>
    <row r="410" spans="1:22" ht="24" customHeight="1" x14ac:dyDescent="0.6">
      <c r="A410" s="922">
        <v>44699</v>
      </c>
      <c r="B410" s="933">
        <v>18</v>
      </c>
      <c r="C410" s="878" t="s">
        <v>39</v>
      </c>
      <c r="D410" s="893" t="s">
        <v>8196</v>
      </c>
      <c r="E410" s="893"/>
      <c r="F410" s="835"/>
      <c r="G410" s="860"/>
      <c r="H410" s="836">
        <v>1458100</v>
      </c>
      <c r="I410" s="960">
        <f>Table2[[#This Row],[Opening]]+Table2[[#This Row],[Debit]]-Table2[[#This Row],[Credit]]</f>
        <v>-1458100</v>
      </c>
      <c r="J410" s="879"/>
      <c r="S410" s="791"/>
      <c r="T410" s="791"/>
      <c r="U410" s="791"/>
      <c r="V410" s="920"/>
    </row>
    <row r="411" spans="1:22" ht="24" customHeight="1" x14ac:dyDescent="0.6">
      <c r="A411" s="922">
        <v>44699</v>
      </c>
      <c r="B411" s="933">
        <v>18</v>
      </c>
      <c r="C411" s="878" t="s">
        <v>39</v>
      </c>
      <c r="D411" s="893" t="s">
        <v>8970</v>
      </c>
      <c r="E411" s="878"/>
      <c r="F411" s="808"/>
      <c r="G411" s="844"/>
      <c r="H411" s="809">
        <v>227700</v>
      </c>
      <c r="I411" s="961">
        <f>Table2[[#This Row],[Opening]]+Table2[[#This Row],[Debit]]-Table2[[#This Row],[Credit]]</f>
        <v>-227700</v>
      </c>
      <c r="J411" s="879"/>
      <c r="S411" s="791"/>
      <c r="T411" s="791"/>
      <c r="U411" s="791"/>
      <c r="V411" s="920"/>
    </row>
    <row r="412" spans="1:22" ht="24" customHeight="1" x14ac:dyDescent="0.6">
      <c r="A412" s="922">
        <v>44699</v>
      </c>
      <c r="B412" s="933">
        <v>18</v>
      </c>
      <c r="C412" s="878" t="s">
        <v>39</v>
      </c>
      <c r="D412" s="893" t="s">
        <v>9087</v>
      </c>
      <c r="E412" s="878"/>
      <c r="F412" s="895"/>
      <c r="G412" s="857"/>
      <c r="H412" s="798">
        <v>55000</v>
      </c>
      <c r="I412" s="961">
        <f>Table2[[#This Row],[Opening]]+Table2[[#This Row],[Debit]]-Table2[[#This Row],[Credit]]</f>
        <v>-55000</v>
      </c>
      <c r="J412" s="879"/>
      <c r="S412" s="791"/>
      <c r="T412" s="791"/>
      <c r="U412" s="791"/>
      <c r="V412" s="920"/>
    </row>
    <row r="413" spans="1:22" ht="24" customHeight="1" x14ac:dyDescent="0.6">
      <c r="A413" s="922">
        <v>44699</v>
      </c>
      <c r="B413" s="933">
        <v>18</v>
      </c>
      <c r="C413" s="878" t="s">
        <v>39</v>
      </c>
      <c r="D413" s="893" t="s">
        <v>8498</v>
      </c>
      <c r="E413" s="893"/>
      <c r="F413" s="838"/>
      <c r="G413" s="854"/>
      <c r="H413" s="809">
        <v>454395</v>
      </c>
      <c r="I413" s="960">
        <f>Table2[[#This Row],[Opening]]+Table2[[#This Row],[Debit]]-Table2[[#This Row],[Credit]]</f>
        <v>-454395</v>
      </c>
      <c r="J413" s="879"/>
      <c r="S413" s="791"/>
      <c r="T413" s="791"/>
      <c r="U413" s="791"/>
      <c r="V413" s="920"/>
    </row>
    <row r="414" spans="1:22" ht="24" customHeight="1" thickBot="1" x14ac:dyDescent="0.65">
      <c r="A414" s="884">
        <v>44699</v>
      </c>
      <c r="B414" s="885">
        <v>18</v>
      </c>
      <c r="C414" s="886" t="s">
        <v>2352</v>
      </c>
      <c r="D414" s="1240" t="s">
        <v>8194</v>
      </c>
      <c r="E414" s="886"/>
      <c r="F414" s="1252"/>
      <c r="G414" s="1237"/>
      <c r="H414" s="1238">
        <v>5500</v>
      </c>
      <c r="I414" s="1242">
        <f>Table2[[#This Row],[Opening]]+Table2[[#This Row],[Debit]]-Table2[[#This Row],[Credit]]</f>
        <v>-5500</v>
      </c>
      <c r="J414" s="879"/>
      <c r="S414" s="791"/>
      <c r="T414" s="791"/>
      <c r="U414" s="791"/>
      <c r="V414" s="920"/>
    </row>
    <row r="415" spans="1:22" ht="24" customHeight="1" thickTop="1" x14ac:dyDescent="0.6">
      <c r="A415" s="778">
        <v>44700</v>
      </c>
      <c r="B415" s="850">
        <v>19</v>
      </c>
      <c r="C415" s="833" t="s">
        <v>2466</v>
      </c>
      <c r="D415" s="852" t="s">
        <v>8886</v>
      </c>
      <c r="E415" s="833"/>
      <c r="F415" s="838"/>
      <c r="G415" s="854">
        <v>2600</v>
      </c>
      <c r="H415" s="839"/>
      <c r="I415" s="960">
        <f>Table2[[#This Row],[Opening]]+Table2[[#This Row],[Debit]]-Table2[[#This Row],[Credit]]</f>
        <v>2600</v>
      </c>
      <c r="J415" s="879"/>
      <c r="S415" s="791"/>
      <c r="T415" s="791"/>
      <c r="U415" s="791"/>
      <c r="V415" s="920"/>
    </row>
    <row r="416" spans="1:22" ht="24" customHeight="1" x14ac:dyDescent="0.6">
      <c r="A416" s="778">
        <v>44700</v>
      </c>
      <c r="B416" s="850">
        <v>19</v>
      </c>
      <c r="C416" s="833" t="s">
        <v>2466</v>
      </c>
      <c r="D416" s="852" t="s">
        <v>8886</v>
      </c>
      <c r="G416" s="857">
        <v>2500</v>
      </c>
      <c r="I416" s="961">
        <f>Table2[[#This Row],[Opening]]+Table2[[#This Row],[Debit]]-Table2[[#This Row],[Credit]]</f>
        <v>2500</v>
      </c>
      <c r="J416" s="879"/>
      <c r="S416" s="791"/>
      <c r="T416" s="791"/>
      <c r="U416" s="791"/>
      <c r="V416" s="920"/>
    </row>
    <row r="417" spans="1:22" ht="24" customHeight="1" x14ac:dyDescent="0.6">
      <c r="A417" s="778">
        <v>44700</v>
      </c>
      <c r="B417" s="850">
        <v>19</v>
      </c>
      <c r="C417" s="833" t="s">
        <v>2466</v>
      </c>
      <c r="D417" s="852" t="s">
        <v>8886</v>
      </c>
      <c r="F417" s="808"/>
      <c r="G417" s="854">
        <v>15000</v>
      </c>
      <c r="H417" s="839"/>
      <c r="I417" s="961">
        <f>Table2[[#This Row],[Opening]]+Table2[[#This Row],[Debit]]-Table2[[#This Row],[Credit]]</f>
        <v>15000</v>
      </c>
      <c r="J417" s="879"/>
      <c r="S417" s="791"/>
      <c r="T417" s="791"/>
      <c r="U417" s="791"/>
      <c r="V417" s="920"/>
    </row>
    <row r="418" spans="1:22" ht="24" customHeight="1" x14ac:dyDescent="0.6">
      <c r="A418" s="778">
        <v>44700</v>
      </c>
      <c r="B418" s="850">
        <v>19</v>
      </c>
      <c r="C418" s="795" t="s">
        <v>905</v>
      </c>
      <c r="D418" s="842" t="s">
        <v>8879</v>
      </c>
      <c r="G418" s="857">
        <v>280000</v>
      </c>
      <c r="I418" s="961">
        <f>Table2[[#This Row],[Opening]]+Table2[[#This Row],[Debit]]-Table2[[#This Row],[Credit]]</f>
        <v>280000</v>
      </c>
      <c r="J418" s="879"/>
    </row>
    <row r="419" spans="1:22" ht="24" customHeight="1" x14ac:dyDescent="0.6">
      <c r="A419" s="778">
        <v>44700</v>
      </c>
      <c r="B419" s="850">
        <v>19</v>
      </c>
      <c r="C419" s="795" t="s">
        <v>905</v>
      </c>
      <c r="D419" s="842" t="s">
        <v>8879</v>
      </c>
      <c r="F419" s="808"/>
      <c r="G419" s="844">
        <v>5000</v>
      </c>
      <c r="H419" s="809"/>
      <c r="I419" s="961">
        <f>Table2[[#This Row],[Opening]]+Table2[[#This Row],[Debit]]-Table2[[#This Row],[Credit]]</f>
        <v>5000</v>
      </c>
      <c r="J419" s="879"/>
    </row>
    <row r="420" spans="1:22" ht="24" customHeight="1" x14ac:dyDescent="0.6">
      <c r="A420" s="778">
        <v>44700</v>
      </c>
      <c r="B420" s="850">
        <v>19</v>
      </c>
      <c r="C420" s="795" t="s">
        <v>888</v>
      </c>
      <c r="D420" s="795" t="s">
        <v>8880</v>
      </c>
      <c r="G420" s="857">
        <v>2138950</v>
      </c>
      <c r="I420" s="961">
        <f>Table2[[#This Row],[Opening]]+Table2[[#This Row],[Debit]]-Table2[[#This Row],[Credit]]</f>
        <v>2138950</v>
      </c>
      <c r="J420" s="879"/>
    </row>
    <row r="421" spans="1:22" ht="24" customHeight="1" x14ac:dyDescent="0.6">
      <c r="A421" s="778">
        <v>44700</v>
      </c>
      <c r="B421" s="850">
        <v>19</v>
      </c>
      <c r="C421" s="795" t="s">
        <v>1267</v>
      </c>
      <c r="D421" s="795" t="s">
        <v>7209</v>
      </c>
      <c r="F421" s="808"/>
      <c r="G421" s="844">
        <v>32600</v>
      </c>
      <c r="H421" s="809"/>
      <c r="I421" s="961">
        <f>Table2[[#This Row],[Opening]]+Table2[[#This Row],[Debit]]-Table2[[#This Row],[Credit]]</f>
        <v>32600</v>
      </c>
      <c r="J421" s="879"/>
    </row>
    <row r="422" spans="1:22" ht="24" customHeight="1" x14ac:dyDescent="0.6">
      <c r="A422" s="778">
        <v>44700</v>
      </c>
      <c r="B422" s="850">
        <v>19</v>
      </c>
      <c r="C422" s="833" t="s">
        <v>1143</v>
      </c>
      <c r="D422" s="833" t="s">
        <v>9089</v>
      </c>
      <c r="E422" s="833"/>
      <c r="F422" s="835"/>
      <c r="G422" s="860"/>
      <c r="H422" s="836">
        <v>12000</v>
      </c>
      <c r="I422" s="960">
        <f>Table2[[#This Row],[Opening]]+Table2[[#This Row],[Debit]]-Table2[[#This Row],[Credit]]</f>
        <v>-12000</v>
      </c>
      <c r="J422" s="879"/>
    </row>
    <row r="423" spans="1:22" ht="24" customHeight="1" x14ac:dyDescent="0.6">
      <c r="A423" s="778">
        <v>44700</v>
      </c>
      <c r="B423" s="850">
        <v>19</v>
      </c>
      <c r="C423" s="842" t="s">
        <v>86</v>
      </c>
      <c r="D423" s="855" t="s">
        <v>9090</v>
      </c>
      <c r="E423" s="878"/>
      <c r="F423" s="896"/>
      <c r="G423" s="809"/>
      <c r="H423" s="809">
        <v>3000</v>
      </c>
      <c r="I423" s="961">
        <f>Table2[[#This Row],[Opening]]+Table2[[#This Row],[Debit]]-Table2[[#This Row],[Credit]]</f>
        <v>-3000</v>
      </c>
      <c r="J423" s="879"/>
    </row>
    <row r="424" spans="1:22" ht="24" customHeight="1" x14ac:dyDescent="0.6">
      <c r="A424" s="778">
        <v>44700</v>
      </c>
      <c r="B424" s="850">
        <v>19</v>
      </c>
      <c r="C424" s="842" t="s">
        <v>1183</v>
      </c>
      <c r="D424" s="842" t="s">
        <v>8927</v>
      </c>
      <c r="E424" s="878"/>
      <c r="F424" s="895"/>
      <c r="G424" s="798"/>
      <c r="H424" s="798">
        <v>2000</v>
      </c>
      <c r="I424" s="961">
        <f>Table2[[#This Row],[Opening]]+Table2[[#This Row],[Debit]]-Table2[[#This Row],[Credit]]</f>
        <v>-2000</v>
      </c>
      <c r="J424" s="879"/>
    </row>
    <row r="425" spans="1:22" ht="24" customHeight="1" x14ac:dyDescent="0.6">
      <c r="A425" s="778">
        <v>44700</v>
      </c>
      <c r="B425" s="850">
        <v>19</v>
      </c>
      <c r="C425" s="842" t="s">
        <v>1183</v>
      </c>
      <c r="D425" s="855" t="s">
        <v>8938</v>
      </c>
      <c r="E425" s="878"/>
      <c r="F425" s="896"/>
      <c r="G425" s="809"/>
      <c r="H425" s="809">
        <v>60000</v>
      </c>
      <c r="I425" s="958">
        <f>Table2[[#This Row],[Opening]]+Table2[[#This Row],[Debit]]-Table2[[#This Row],[Credit]]</f>
        <v>-60000</v>
      </c>
      <c r="J425" s="879"/>
    </row>
    <row r="426" spans="1:22" ht="24" customHeight="1" x14ac:dyDescent="0.6">
      <c r="A426" s="778">
        <v>44700</v>
      </c>
      <c r="B426" s="850">
        <v>19</v>
      </c>
      <c r="C426" s="842" t="s">
        <v>864</v>
      </c>
      <c r="D426" s="851" t="s">
        <v>9091</v>
      </c>
      <c r="E426" s="878"/>
      <c r="F426" s="903"/>
      <c r="G426" s="836"/>
      <c r="H426" s="836">
        <v>1300</v>
      </c>
      <c r="I426" s="958">
        <f>Table2[[#This Row],[Opening]]+Table2[[#This Row],[Debit]]-Table2[[#This Row],[Credit]]</f>
        <v>-1300</v>
      </c>
      <c r="J426" s="879"/>
    </row>
    <row r="427" spans="1:22" ht="24" customHeight="1" x14ac:dyDescent="0.6">
      <c r="A427" s="778">
        <v>44700</v>
      </c>
      <c r="B427" s="850">
        <v>19</v>
      </c>
      <c r="C427" s="842" t="s">
        <v>1143</v>
      </c>
      <c r="D427" s="855" t="s">
        <v>9098</v>
      </c>
      <c r="E427" s="878"/>
      <c r="F427" s="896"/>
      <c r="G427" s="809"/>
      <c r="H427" s="809">
        <v>12000</v>
      </c>
      <c r="I427" s="958">
        <f>Table2[[#This Row],[Opening]]+Table2[[#This Row],[Debit]]-Table2[[#This Row],[Credit]]</f>
        <v>-12000</v>
      </c>
      <c r="J427" s="879"/>
    </row>
    <row r="428" spans="1:22" ht="24" customHeight="1" x14ac:dyDescent="0.6">
      <c r="A428" s="778">
        <v>44700</v>
      </c>
      <c r="B428" s="850">
        <v>19</v>
      </c>
      <c r="C428" s="842" t="s">
        <v>8936</v>
      </c>
      <c r="D428" s="842" t="s">
        <v>9092</v>
      </c>
      <c r="E428" s="878"/>
      <c r="F428" s="895"/>
      <c r="G428" s="798"/>
      <c r="H428" s="798">
        <v>5500</v>
      </c>
      <c r="I428" s="958">
        <f>Table2[[#This Row],[Opening]]+Table2[[#This Row],[Debit]]-Table2[[#This Row],[Credit]]</f>
        <v>-5500</v>
      </c>
      <c r="J428" s="879"/>
    </row>
    <row r="429" spans="1:22" ht="24" customHeight="1" x14ac:dyDescent="0.6">
      <c r="A429" s="778">
        <v>44700</v>
      </c>
      <c r="B429" s="850">
        <v>19</v>
      </c>
      <c r="C429" s="842" t="s">
        <v>1240</v>
      </c>
      <c r="D429" s="842" t="s">
        <v>9093</v>
      </c>
      <c r="E429" s="842" t="s">
        <v>7269</v>
      </c>
      <c r="F429" s="896"/>
      <c r="G429" s="809"/>
      <c r="H429" s="809">
        <v>165000</v>
      </c>
      <c r="I429" s="958">
        <f>Table2[[#This Row],[Opening]]+Table2[[#This Row],[Debit]]-Table2[[#This Row],[Credit]]</f>
        <v>-165000</v>
      </c>
      <c r="J429" s="879"/>
    </row>
    <row r="430" spans="1:22" ht="24" customHeight="1" x14ac:dyDescent="0.6">
      <c r="A430" s="778">
        <v>44700</v>
      </c>
      <c r="B430" s="850">
        <v>19</v>
      </c>
      <c r="C430" s="842" t="s">
        <v>1240</v>
      </c>
      <c r="D430" s="851" t="s">
        <v>9094</v>
      </c>
      <c r="E430" s="842" t="s">
        <v>7269</v>
      </c>
      <c r="F430" s="903"/>
      <c r="G430" s="860"/>
      <c r="H430" s="836">
        <v>10500</v>
      </c>
      <c r="I430" s="957">
        <f>Table2[[#This Row],[Opening]]+Table2[[#This Row],[Debit]]-Table2[[#This Row],[Credit]]</f>
        <v>-10500</v>
      </c>
      <c r="J430" s="879"/>
    </row>
    <row r="431" spans="1:22" ht="24" customHeight="1" x14ac:dyDescent="0.6">
      <c r="A431" s="778">
        <v>44700</v>
      </c>
      <c r="B431" s="850">
        <v>19</v>
      </c>
      <c r="C431" s="842" t="s">
        <v>8936</v>
      </c>
      <c r="D431" s="855" t="s">
        <v>9062</v>
      </c>
      <c r="E431" s="878"/>
      <c r="F431" s="896"/>
      <c r="G431" s="844"/>
      <c r="H431" s="809">
        <v>260000</v>
      </c>
      <c r="I431" s="958">
        <f>Table2[[#This Row],[Opening]]+Table2[[#This Row],[Debit]]-Table2[[#This Row],[Credit]]</f>
        <v>-260000</v>
      </c>
      <c r="J431" s="879"/>
    </row>
    <row r="432" spans="1:22" ht="24" customHeight="1" x14ac:dyDescent="0.6">
      <c r="A432" s="778">
        <v>44700</v>
      </c>
      <c r="B432" s="850">
        <v>19</v>
      </c>
      <c r="C432" s="842" t="s">
        <v>2352</v>
      </c>
      <c r="D432" s="842" t="s">
        <v>9095</v>
      </c>
      <c r="E432" s="878"/>
      <c r="F432" s="895"/>
      <c r="G432" s="857"/>
      <c r="H432" s="798">
        <v>2300</v>
      </c>
      <c r="I432" s="958">
        <f>Table2[[#This Row],[Opening]]+Table2[[#This Row],[Debit]]-Table2[[#This Row],[Credit]]</f>
        <v>-2300</v>
      </c>
      <c r="J432" s="879"/>
    </row>
    <row r="433" spans="1:10" ht="24" customHeight="1" x14ac:dyDescent="0.6">
      <c r="A433" s="778">
        <v>44700</v>
      </c>
      <c r="B433" s="850">
        <v>19</v>
      </c>
      <c r="C433" s="842" t="s">
        <v>86</v>
      </c>
      <c r="D433" s="842" t="s">
        <v>9096</v>
      </c>
      <c r="E433" s="878"/>
      <c r="F433" s="895"/>
      <c r="G433" s="857"/>
      <c r="H433" s="798">
        <v>27300</v>
      </c>
      <c r="I433" s="958">
        <f>Table2[[#This Row],[Opening]]+Table2[[#This Row],[Debit]]-Table2[[#This Row],[Credit]]</f>
        <v>-27300</v>
      </c>
      <c r="J433" s="879"/>
    </row>
    <row r="434" spans="1:10" ht="24" customHeight="1" thickBot="1" x14ac:dyDescent="0.65">
      <c r="A434" s="868">
        <v>44700</v>
      </c>
      <c r="B434" s="869">
        <v>19</v>
      </c>
      <c r="C434" s="846" t="s">
        <v>1240</v>
      </c>
      <c r="D434" s="870" t="s">
        <v>9097</v>
      </c>
      <c r="E434" s="846" t="s">
        <v>7269</v>
      </c>
      <c r="F434" s="887"/>
      <c r="G434" s="871"/>
      <c r="H434" s="872">
        <v>38000</v>
      </c>
      <c r="I434" s="959">
        <f>Table2[[#This Row],[Opening]]+Table2[[#This Row],[Debit]]-Table2[[#This Row],[Credit]]</f>
        <v>-38000</v>
      </c>
      <c r="J434" s="879"/>
    </row>
    <row r="435" spans="1:10" ht="24" customHeight="1" thickTop="1" x14ac:dyDescent="0.6">
      <c r="A435" s="778">
        <v>44701</v>
      </c>
      <c r="B435" s="850">
        <v>20</v>
      </c>
      <c r="C435" s="851" t="s">
        <v>905</v>
      </c>
      <c r="D435" s="851" t="s">
        <v>8879</v>
      </c>
      <c r="E435" s="893"/>
      <c r="F435" s="903"/>
      <c r="G435" s="860">
        <v>5000</v>
      </c>
      <c r="H435" s="836"/>
      <c r="I435" s="961">
        <f>Table2[[#This Row],[Opening]]+Table2[[#This Row],[Debit]]-Table2[[#This Row],[Credit]]</f>
        <v>5000</v>
      </c>
      <c r="J435" s="879"/>
    </row>
    <row r="436" spans="1:10" ht="24" customHeight="1" x14ac:dyDescent="0.6">
      <c r="A436" s="778">
        <v>44701</v>
      </c>
      <c r="B436" s="850">
        <v>20</v>
      </c>
      <c r="C436" s="842" t="s">
        <v>2466</v>
      </c>
      <c r="D436" s="855" t="s">
        <v>8886</v>
      </c>
      <c r="E436" s="878"/>
      <c r="F436" s="896"/>
      <c r="G436" s="844">
        <v>8000</v>
      </c>
      <c r="H436" s="809"/>
      <c r="I436" s="961">
        <f>Table2[[#This Row],[Opening]]+Table2[[#This Row],[Debit]]-Table2[[#This Row],[Credit]]</f>
        <v>8000</v>
      </c>
      <c r="J436" s="879"/>
    </row>
    <row r="437" spans="1:10" ht="24" customHeight="1" x14ac:dyDescent="0.6">
      <c r="A437" s="778">
        <v>44701</v>
      </c>
      <c r="B437" s="850">
        <v>20</v>
      </c>
      <c r="C437" s="842" t="s">
        <v>7280</v>
      </c>
      <c r="D437" s="842" t="s">
        <v>9099</v>
      </c>
      <c r="E437" s="878"/>
      <c r="F437" s="895"/>
      <c r="G437" s="857">
        <v>5500</v>
      </c>
      <c r="I437" s="955">
        <f>Table2[[#This Row],[Opening]]+Table2[[#This Row],[Debit]]-Table2[[#This Row],[Credit]]</f>
        <v>5500</v>
      </c>
      <c r="J437" s="879"/>
    </row>
    <row r="438" spans="1:10" ht="24" customHeight="1" x14ac:dyDescent="0.6">
      <c r="A438" s="778">
        <v>44701</v>
      </c>
      <c r="B438" s="850">
        <v>20</v>
      </c>
      <c r="C438" s="842" t="s">
        <v>888</v>
      </c>
      <c r="D438" s="842" t="s">
        <v>8880</v>
      </c>
      <c r="E438" s="878"/>
      <c r="F438" s="895"/>
      <c r="G438" s="857">
        <v>3648350</v>
      </c>
      <c r="I438" s="961">
        <f>Table2[[#This Row],[Opening]]+Table2[[#This Row],[Debit]]-Table2[[#This Row],[Credit]]</f>
        <v>3648350</v>
      </c>
      <c r="J438" s="879"/>
    </row>
    <row r="439" spans="1:10" ht="24" customHeight="1" x14ac:dyDescent="0.6">
      <c r="A439" s="778">
        <v>44701</v>
      </c>
      <c r="B439" s="850">
        <v>20</v>
      </c>
      <c r="C439" s="842" t="s">
        <v>1267</v>
      </c>
      <c r="D439" s="842" t="s">
        <v>7209</v>
      </c>
      <c r="E439" s="878"/>
      <c r="F439" s="895"/>
      <c r="G439" s="857">
        <v>49900</v>
      </c>
      <c r="I439" s="961">
        <f>Table2[[#This Row],[Opening]]+Table2[[#This Row],[Debit]]-Table2[[#This Row],[Credit]]</f>
        <v>49900</v>
      </c>
      <c r="J439" s="879"/>
    </row>
    <row r="440" spans="1:10" ht="24" customHeight="1" x14ac:dyDescent="0.6">
      <c r="A440" s="778">
        <v>44701</v>
      </c>
      <c r="B440" s="850">
        <v>20</v>
      </c>
      <c r="C440" s="842" t="s">
        <v>1183</v>
      </c>
      <c r="D440" s="855" t="s">
        <v>8893</v>
      </c>
      <c r="E440" s="878"/>
      <c r="F440" s="896"/>
      <c r="G440" s="844"/>
      <c r="H440" s="809">
        <v>7000</v>
      </c>
      <c r="I440" s="961">
        <f>Table2[[#This Row],[Opening]]+Table2[[#This Row],[Debit]]-Table2[[#This Row],[Credit]]</f>
        <v>-7000</v>
      </c>
      <c r="J440" s="879"/>
    </row>
    <row r="441" spans="1:10" ht="24" customHeight="1" x14ac:dyDescent="0.6">
      <c r="A441" s="778">
        <v>44701</v>
      </c>
      <c r="B441" s="850">
        <v>20</v>
      </c>
      <c r="C441" s="842" t="s">
        <v>864</v>
      </c>
      <c r="D441" s="855" t="s">
        <v>8961</v>
      </c>
      <c r="E441" s="878"/>
      <c r="F441" s="895"/>
      <c r="G441" s="857"/>
      <c r="H441" s="809">
        <v>10000</v>
      </c>
      <c r="I441" s="961">
        <f>Table2[[#This Row],[Opening]]+Table2[[#This Row],[Debit]]-Table2[[#This Row],[Credit]]</f>
        <v>-10000</v>
      </c>
      <c r="J441" s="879"/>
    </row>
    <row r="442" spans="1:10" ht="24" customHeight="1" x14ac:dyDescent="0.6">
      <c r="A442" s="778">
        <v>44701</v>
      </c>
      <c r="B442" s="850">
        <v>20</v>
      </c>
      <c r="C442" s="851" t="s">
        <v>8936</v>
      </c>
      <c r="D442" s="852" t="s">
        <v>9092</v>
      </c>
      <c r="E442" s="893"/>
      <c r="F442" s="894"/>
      <c r="G442" s="854"/>
      <c r="H442" s="839">
        <v>9000</v>
      </c>
      <c r="I442" s="961">
        <f>Table2[[#This Row],[Opening]]+Table2[[#This Row],[Debit]]-Table2[[#This Row],[Credit]]</f>
        <v>-9000</v>
      </c>
      <c r="J442" s="879"/>
    </row>
    <row r="443" spans="1:10" ht="24" customHeight="1" x14ac:dyDescent="0.6">
      <c r="A443" s="778">
        <v>44701</v>
      </c>
      <c r="B443" s="850">
        <v>20</v>
      </c>
      <c r="C443" s="842" t="s">
        <v>1240</v>
      </c>
      <c r="D443" s="842" t="s">
        <v>9100</v>
      </c>
      <c r="E443" s="842" t="s">
        <v>7269</v>
      </c>
      <c r="F443" s="895"/>
      <c r="G443" s="857"/>
      <c r="H443" s="798">
        <v>31000</v>
      </c>
      <c r="I443" s="961">
        <f>Table2[[#This Row],[Opening]]+Table2[[#This Row],[Debit]]-Table2[[#This Row],[Credit]]</f>
        <v>-31000</v>
      </c>
      <c r="J443" s="879"/>
    </row>
    <row r="444" spans="1:10" ht="24" customHeight="1" x14ac:dyDescent="0.6">
      <c r="A444" s="778">
        <v>44701</v>
      </c>
      <c r="B444" s="850">
        <v>20</v>
      </c>
      <c r="C444" s="842" t="s">
        <v>1240</v>
      </c>
      <c r="D444" s="855" t="s">
        <v>9101</v>
      </c>
      <c r="E444" s="842" t="s">
        <v>7269</v>
      </c>
      <c r="F444" s="896"/>
      <c r="G444" s="844"/>
      <c r="H444" s="809">
        <v>14600</v>
      </c>
      <c r="I444" s="961">
        <f>Table2[[#This Row],[Opening]]+Table2[[#This Row],[Debit]]-Table2[[#This Row],[Credit]]</f>
        <v>-14600</v>
      </c>
      <c r="J444" s="879"/>
    </row>
    <row r="445" spans="1:10" ht="24" customHeight="1" x14ac:dyDescent="0.6">
      <c r="A445" s="778">
        <v>44701</v>
      </c>
      <c r="B445" s="850">
        <v>20</v>
      </c>
      <c r="C445" s="842" t="s">
        <v>86</v>
      </c>
      <c r="D445" s="855" t="s">
        <v>9102</v>
      </c>
      <c r="E445" s="878"/>
      <c r="F445" s="895"/>
      <c r="G445" s="857"/>
      <c r="H445" s="798">
        <v>1000</v>
      </c>
      <c r="I445" s="961">
        <f>Table2[[#This Row],[Opening]]+Table2[[#This Row],[Debit]]-Table2[[#This Row],[Credit]]</f>
        <v>-1000</v>
      </c>
      <c r="J445" s="879"/>
    </row>
    <row r="446" spans="1:10" ht="24" customHeight="1" x14ac:dyDescent="0.6">
      <c r="A446" s="778">
        <v>44701</v>
      </c>
      <c r="B446" s="850">
        <v>20</v>
      </c>
      <c r="C446" s="842" t="s">
        <v>39</v>
      </c>
      <c r="D446" s="842" t="s">
        <v>8198</v>
      </c>
      <c r="E446" s="842" t="s">
        <v>7271</v>
      </c>
      <c r="F446" s="896"/>
      <c r="G446" s="844"/>
      <c r="H446" s="809">
        <v>135000</v>
      </c>
      <c r="I446" s="961">
        <f>Table2[[#This Row],[Opening]]+Table2[[#This Row],[Debit]]-Table2[[#This Row],[Credit]]</f>
        <v>-135000</v>
      </c>
      <c r="J446" s="879"/>
    </row>
    <row r="447" spans="1:10" ht="24" customHeight="1" x14ac:dyDescent="0.6">
      <c r="A447" s="778">
        <v>44701</v>
      </c>
      <c r="B447" s="850">
        <v>20</v>
      </c>
      <c r="C447" s="842" t="s">
        <v>86</v>
      </c>
      <c r="D447" s="855" t="s">
        <v>8904</v>
      </c>
      <c r="E447" s="878"/>
      <c r="F447" s="895"/>
      <c r="G447" s="857"/>
      <c r="H447" s="798">
        <v>3000</v>
      </c>
      <c r="I447" s="961">
        <f>Table2[[#This Row],[Opening]]+Table2[[#This Row],[Debit]]-Table2[[#This Row],[Credit]]</f>
        <v>-3000</v>
      </c>
      <c r="J447" s="879"/>
    </row>
    <row r="448" spans="1:10" ht="24" customHeight="1" x14ac:dyDescent="0.6">
      <c r="A448" s="778">
        <v>44701</v>
      </c>
      <c r="B448" s="850">
        <v>20</v>
      </c>
      <c r="C448" s="842" t="s">
        <v>1183</v>
      </c>
      <c r="D448" s="855" t="s">
        <v>8927</v>
      </c>
      <c r="E448" s="851"/>
      <c r="F448" s="853"/>
      <c r="G448" s="854"/>
      <c r="H448" s="839">
        <v>1000</v>
      </c>
      <c r="I448" s="961">
        <f>Table2[[#This Row],[Opening]]+Table2[[#This Row],[Debit]]-Table2[[#This Row],[Credit]]</f>
        <v>-1000</v>
      </c>
      <c r="J448" s="879"/>
    </row>
    <row r="449" spans="1:10" ht="24" customHeight="1" x14ac:dyDescent="0.6">
      <c r="A449" s="922">
        <v>44701</v>
      </c>
      <c r="B449" s="933">
        <v>20</v>
      </c>
      <c r="C449" s="893" t="s">
        <v>47</v>
      </c>
      <c r="D449" s="904" t="s">
        <v>9002</v>
      </c>
      <c r="E449" s="878"/>
      <c r="F449" s="856"/>
      <c r="G449" s="857"/>
      <c r="H449" s="798">
        <v>2500000</v>
      </c>
      <c r="I449" s="961">
        <f>Table2[[#This Row],[Opening]]+Table2[[#This Row],[Debit]]-Table2[[#This Row],[Credit]]</f>
        <v>-2500000</v>
      </c>
      <c r="J449" s="879"/>
    </row>
    <row r="450" spans="1:10" ht="24" customHeight="1" x14ac:dyDescent="0.6">
      <c r="A450" s="922">
        <v>44701</v>
      </c>
      <c r="B450" s="933">
        <v>20</v>
      </c>
      <c r="C450" s="893" t="s">
        <v>47</v>
      </c>
      <c r="D450" s="878" t="s">
        <v>8200</v>
      </c>
      <c r="E450" s="878"/>
      <c r="G450" s="857"/>
      <c r="H450" s="798">
        <v>807000</v>
      </c>
      <c r="I450" s="961">
        <f>Table2[[#This Row],[Opening]]+Table2[[#This Row],[Debit]]-Table2[[#This Row],[Credit]]</f>
        <v>-807000</v>
      </c>
      <c r="J450" s="879"/>
    </row>
    <row r="451" spans="1:10" ht="24" customHeight="1" x14ac:dyDescent="0.6">
      <c r="A451" s="922">
        <v>44701</v>
      </c>
      <c r="B451" s="933">
        <v>20</v>
      </c>
      <c r="C451" s="878" t="s">
        <v>39</v>
      </c>
      <c r="D451" s="878" t="s">
        <v>8969</v>
      </c>
      <c r="E451" s="878"/>
      <c r="G451" s="857"/>
      <c r="H451" s="798">
        <v>150000</v>
      </c>
      <c r="I451" s="961">
        <f>Table2[[#This Row],[Opening]]+Table2[[#This Row],[Debit]]-Table2[[#This Row],[Credit]]</f>
        <v>-150000</v>
      </c>
      <c r="J451" s="879"/>
    </row>
    <row r="452" spans="1:10" ht="24" customHeight="1" x14ac:dyDescent="0.6">
      <c r="A452" s="922">
        <v>44701</v>
      </c>
      <c r="B452" s="933">
        <v>20</v>
      </c>
      <c r="C452" s="878" t="s">
        <v>39</v>
      </c>
      <c r="D452" s="902" t="s">
        <v>8196</v>
      </c>
      <c r="E452" s="878"/>
      <c r="F452" s="808"/>
      <c r="G452" s="844"/>
      <c r="H452" s="809">
        <v>306975</v>
      </c>
      <c r="I452" s="961">
        <f>Table2[[#This Row],[Opening]]+Table2[[#This Row],[Debit]]-Table2[[#This Row],[Credit]]</f>
        <v>-306975</v>
      </c>
      <c r="J452" s="879"/>
    </row>
    <row r="453" spans="1:10" ht="24" customHeight="1" x14ac:dyDescent="0.6">
      <c r="A453" s="922">
        <v>44701</v>
      </c>
      <c r="B453" s="933">
        <v>20</v>
      </c>
      <c r="C453" s="878" t="s">
        <v>39</v>
      </c>
      <c r="D453" s="878" t="s">
        <v>8204</v>
      </c>
      <c r="E453" s="878"/>
      <c r="G453" s="857"/>
      <c r="H453" s="798">
        <v>226000</v>
      </c>
      <c r="I453" s="961">
        <f>Table2[[#This Row],[Opening]]+Table2[[#This Row],[Debit]]-Table2[[#This Row],[Credit]]</f>
        <v>-226000</v>
      </c>
      <c r="J453" s="879"/>
    </row>
    <row r="454" spans="1:10" ht="24" customHeight="1" x14ac:dyDescent="0.6">
      <c r="A454" s="922">
        <v>44701</v>
      </c>
      <c r="B454" s="933">
        <v>20</v>
      </c>
      <c r="C454" s="878" t="s">
        <v>39</v>
      </c>
      <c r="D454" s="904" t="s">
        <v>8194</v>
      </c>
      <c r="E454" s="878"/>
      <c r="F454" s="838"/>
      <c r="G454" s="854"/>
      <c r="H454" s="839">
        <v>138000</v>
      </c>
      <c r="I454" s="961">
        <f>Table2[[#This Row],[Opening]]+Table2[[#This Row],[Debit]]-Table2[[#This Row],[Credit]]</f>
        <v>-138000</v>
      </c>
      <c r="J454" s="879"/>
    </row>
    <row r="455" spans="1:10" ht="24" customHeight="1" x14ac:dyDescent="0.6">
      <c r="A455" s="922">
        <v>44701</v>
      </c>
      <c r="B455" s="933">
        <v>20</v>
      </c>
      <c r="C455" s="878" t="s">
        <v>39</v>
      </c>
      <c r="D455" s="878" t="s">
        <v>8498</v>
      </c>
      <c r="E455" s="878"/>
      <c r="G455" s="857"/>
      <c r="H455" s="798">
        <v>41294</v>
      </c>
      <c r="I455" s="961">
        <f>Table2[[#This Row],[Opening]]+Table2[[#This Row],[Debit]]-Table2[[#This Row],[Credit]]</f>
        <v>-41294</v>
      </c>
      <c r="J455" s="879"/>
    </row>
    <row r="456" spans="1:10" ht="24" customHeight="1" x14ac:dyDescent="0.6">
      <c r="A456" s="922">
        <v>44701</v>
      </c>
      <c r="B456" s="933">
        <v>20</v>
      </c>
      <c r="C456" s="878" t="s">
        <v>39</v>
      </c>
      <c r="D456" s="902" t="s">
        <v>7879</v>
      </c>
      <c r="E456" s="878"/>
      <c r="F456" s="808"/>
      <c r="G456" s="844"/>
      <c r="H456" s="809">
        <v>250000</v>
      </c>
      <c r="I456" s="961">
        <f>Table2[[#This Row],[Opening]]+Table2[[#This Row],[Debit]]-Table2[[#This Row],[Credit]]</f>
        <v>-250000</v>
      </c>
      <c r="J456" s="879"/>
    </row>
    <row r="457" spans="1:10" ht="24" customHeight="1" x14ac:dyDescent="0.6">
      <c r="A457" s="922">
        <v>44701</v>
      </c>
      <c r="B457" s="933">
        <v>20</v>
      </c>
      <c r="C457" s="878" t="s">
        <v>39</v>
      </c>
      <c r="D457" s="878" t="s">
        <v>8970</v>
      </c>
      <c r="E457" s="878"/>
      <c r="G457" s="857"/>
      <c r="H457" s="798">
        <v>195200</v>
      </c>
      <c r="I457" s="961">
        <f>Table2[[#This Row],[Opening]]+Table2[[#This Row],[Debit]]-Table2[[#This Row],[Credit]]</f>
        <v>-195200</v>
      </c>
      <c r="J457" s="879"/>
    </row>
    <row r="458" spans="1:10" ht="24" customHeight="1" x14ac:dyDescent="0.6">
      <c r="A458" s="922">
        <v>44701</v>
      </c>
      <c r="B458" s="933">
        <v>20</v>
      </c>
      <c r="C458" s="878" t="s">
        <v>39</v>
      </c>
      <c r="D458" s="902" t="s">
        <v>9103</v>
      </c>
      <c r="E458" s="878"/>
      <c r="F458" s="896"/>
      <c r="G458" s="809"/>
      <c r="H458" s="809">
        <v>115500</v>
      </c>
      <c r="I458" s="961">
        <f>Table2[[#This Row],[Opening]]+Table2[[#This Row],[Debit]]-Table2[[#This Row],[Credit]]</f>
        <v>-115500</v>
      </c>
      <c r="J458" s="879"/>
    </row>
    <row r="459" spans="1:10" ht="24" customHeight="1" x14ac:dyDescent="0.6">
      <c r="A459" s="922">
        <v>44701</v>
      </c>
      <c r="B459" s="933">
        <v>20</v>
      </c>
      <c r="C459" s="878" t="s">
        <v>39</v>
      </c>
      <c r="D459" s="893" t="s">
        <v>8197</v>
      </c>
      <c r="E459" s="893"/>
      <c r="F459" s="835"/>
      <c r="G459" s="860"/>
      <c r="H459" s="836">
        <v>588400</v>
      </c>
      <c r="I459" s="961">
        <f>Table2[[#This Row],[Opening]]+Table2[[#This Row],[Debit]]-Table2[[#This Row],[Credit]]</f>
        <v>-588400</v>
      </c>
      <c r="J459" s="879"/>
    </row>
    <row r="460" spans="1:10" ht="24" customHeight="1" x14ac:dyDescent="0.6">
      <c r="A460" s="922">
        <v>44701</v>
      </c>
      <c r="B460" s="933">
        <v>20</v>
      </c>
      <c r="C460" s="878" t="s">
        <v>39</v>
      </c>
      <c r="D460" s="902" t="s">
        <v>8193</v>
      </c>
      <c r="E460" s="878"/>
      <c r="F460" s="808"/>
      <c r="G460" s="844"/>
      <c r="H460" s="809">
        <v>42000</v>
      </c>
      <c r="I460" s="961">
        <f>Table2[[#This Row],[Opening]]+Table2[[#This Row],[Debit]]-Table2[[#This Row],[Credit]]</f>
        <v>-42000</v>
      </c>
      <c r="J460" s="879"/>
    </row>
    <row r="461" spans="1:10" ht="24" customHeight="1" x14ac:dyDescent="0.6">
      <c r="A461" s="922">
        <v>44701</v>
      </c>
      <c r="B461" s="933">
        <v>20</v>
      </c>
      <c r="C461" s="878" t="s">
        <v>39</v>
      </c>
      <c r="D461" s="904" t="s">
        <v>8907</v>
      </c>
      <c r="E461" s="893"/>
      <c r="F461" s="838"/>
      <c r="G461" s="854"/>
      <c r="H461" s="839">
        <v>3500</v>
      </c>
      <c r="I461" s="961">
        <f>Table2[[#This Row],[Opening]]+Table2[[#This Row],[Debit]]-Table2[[#This Row],[Credit]]</f>
        <v>-3500</v>
      </c>
      <c r="J461" s="879"/>
    </row>
    <row r="462" spans="1:10" ht="24" customHeight="1" x14ac:dyDescent="0.6">
      <c r="A462" s="922">
        <v>44701</v>
      </c>
      <c r="B462" s="933">
        <v>20</v>
      </c>
      <c r="C462" s="878" t="s">
        <v>39</v>
      </c>
      <c r="D462" s="878" t="s">
        <v>9104</v>
      </c>
      <c r="E462" s="878"/>
      <c r="G462" s="857"/>
      <c r="H462" s="798">
        <v>17500</v>
      </c>
      <c r="I462" s="961">
        <f>Table2[[#This Row],[Opening]]+Table2[[#This Row],[Debit]]-Table2[[#This Row],[Credit]]</f>
        <v>-17500</v>
      </c>
      <c r="J462" s="879"/>
    </row>
    <row r="463" spans="1:10" ht="24" customHeight="1" x14ac:dyDescent="0.6">
      <c r="A463" s="922">
        <v>44701</v>
      </c>
      <c r="B463" s="933">
        <v>20</v>
      </c>
      <c r="C463" s="878" t="s">
        <v>39</v>
      </c>
      <c r="D463" s="902" t="s">
        <v>9105</v>
      </c>
      <c r="E463" s="878"/>
      <c r="F463" s="808"/>
      <c r="G463" s="844"/>
      <c r="H463" s="809">
        <v>25580</v>
      </c>
      <c r="I463" s="961">
        <f>Table2[[#This Row],[Opening]]+Table2[[#This Row],[Debit]]-Table2[[#This Row],[Credit]]</f>
        <v>-25580</v>
      </c>
      <c r="J463" s="879"/>
    </row>
    <row r="464" spans="1:10" ht="24" customHeight="1" thickBot="1" x14ac:dyDescent="0.65">
      <c r="A464" s="884">
        <v>44701</v>
      </c>
      <c r="B464" s="885">
        <v>20</v>
      </c>
      <c r="C464" s="886" t="s">
        <v>2352</v>
      </c>
      <c r="D464" s="886" t="s">
        <v>6226</v>
      </c>
      <c r="E464" s="886"/>
      <c r="F464" s="1252"/>
      <c r="G464" s="1237"/>
      <c r="H464" s="1238">
        <v>23000</v>
      </c>
      <c r="I464" s="961">
        <f>Table2[[#This Row],[Opening]]+Table2[[#This Row],[Debit]]-Table2[[#This Row],[Credit]]</f>
        <v>-23000</v>
      </c>
      <c r="J464" s="879"/>
    </row>
    <row r="465" spans="1:10" ht="24" customHeight="1" thickTop="1" x14ac:dyDescent="0.6">
      <c r="A465" s="924">
        <v>44702</v>
      </c>
      <c r="B465" s="925">
        <v>21</v>
      </c>
      <c r="C465" s="833" t="s">
        <v>905</v>
      </c>
      <c r="D465" s="834" t="s">
        <v>8879</v>
      </c>
      <c r="E465" s="833"/>
      <c r="F465" s="838"/>
      <c r="G465" s="854">
        <v>4000</v>
      </c>
      <c r="H465" s="839"/>
      <c r="I465" s="961">
        <f>Table2[[#This Row],[Opening]]+Table2[[#This Row],[Debit]]-Table2[[#This Row],[Credit]]</f>
        <v>4000</v>
      </c>
      <c r="J465" s="879"/>
    </row>
    <row r="466" spans="1:10" ht="24" customHeight="1" x14ac:dyDescent="0.6">
      <c r="A466" s="924">
        <v>44702</v>
      </c>
      <c r="B466" s="925">
        <v>21</v>
      </c>
      <c r="C466" s="833" t="s">
        <v>905</v>
      </c>
      <c r="D466" s="834" t="s">
        <v>8879</v>
      </c>
      <c r="G466" s="857">
        <v>5000</v>
      </c>
      <c r="I466" s="961">
        <f>Table2[[#This Row],[Opening]]+Table2[[#This Row],[Debit]]-Table2[[#This Row],[Credit]]</f>
        <v>5000</v>
      </c>
      <c r="J466" s="879"/>
    </row>
    <row r="467" spans="1:10" ht="24" customHeight="1" x14ac:dyDescent="0.6">
      <c r="A467" s="924">
        <v>44702</v>
      </c>
      <c r="B467" s="925">
        <v>21</v>
      </c>
      <c r="C467" s="795" t="s">
        <v>2466</v>
      </c>
      <c r="D467" s="807" t="s">
        <v>8886</v>
      </c>
      <c r="F467" s="808"/>
      <c r="G467" s="844">
        <v>2500</v>
      </c>
      <c r="H467" s="809"/>
      <c r="I467" s="961">
        <f>Table2[[#This Row],[Opening]]+Table2[[#This Row],[Debit]]-Table2[[#This Row],[Credit]]</f>
        <v>2500</v>
      </c>
      <c r="J467" s="879"/>
    </row>
    <row r="468" spans="1:10" ht="24" customHeight="1" x14ac:dyDescent="0.6">
      <c r="A468" s="924">
        <v>44702</v>
      </c>
      <c r="B468" s="925">
        <v>21</v>
      </c>
      <c r="C468" s="795" t="s">
        <v>905</v>
      </c>
      <c r="D468" s="834" t="s">
        <v>8879</v>
      </c>
      <c r="G468" s="857">
        <v>1000</v>
      </c>
      <c r="I468" s="961">
        <f>Table2[[#This Row],[Opening]]+Table2[[#This Row],[Debit]]-Table2[[#This Row],[Credit]]</f>
        <v>1000</v>
      </c>
      <c r="J468" s="879"/>
    </row>
    <row r="469" spans="1:10" ht="24" customHeight="1" x14ac:dyDescent="0.6">
      <c r="A469" s="924">
        <v>44702</v>
      </c>
      <c r="B469" s="925">
        <v>21</v>
      </c>
      <c r="C469" s="795" t="s">
        <v>2466</v>
      </c>
      <c r="D469" s="807" t="s">
        <v>8886</v>
      </c>
      <c r="F469" s="808"/>
      <c r="G469" s="844">
        <v>3300</v>
      </c>
      <c r="H469" s="809"/>
      <c r="I469" s="961">
        <f>Table2[[#This Row],[Opening]]+Table2[[#This Row],[Debit]]-Table2[[#This Row],[Credit]]</f>
        <v>3300</v>
      </c>
      <c r="J469" s="879"/>
    </row>
    <row r="470" spans="1:10" ht="24" customHeight="1" x14ac:dyDescent="0.6">
      <c r="A470" s="924">
        <v>44702</v>
      </c>
      <c r="B470" s="925">
        <v>21</v>
      </c>
      <c r="C470" s="795" t="s">
        <v>2466</v>
      </c>
      <c r="D470" s="807" t="s">
        <v>8886</v>
      </c>
      <c r="F470" s="835"/>
      <c r="G470" s="860">
        <v>35000</v>
      </c>
      <c r="H470" s="836"/>
      <c r="I470" s="961">
        <f>Table2[[#This Row],[Opening]]+Table2[[#This Row],[Debit]]-Table2[[#This Row],[Credit]]</f>
        <v>35000</v>
      </c>
      <c r="J470" s="879"/>
    </row>
    <row r="471" spans="1:10" ht="24" customHeight="1" x14ac:dyDescent="0.6">
      <c r="A471" s="924">
        <v>44702</v>
      </c>
      <c r="B471" s="925">
        <v>21</v>
      </c>
      <c r="C471" s="795" t="s">
        <v>2466</v>
      </c>
      <c r="D471" s="807" t="s">
        <v>8886</v>
      </c>
      <c r="F471" s="808"/>
      <c r="G471" s="844">
        <v>600</v>
      </c>
      <c r="H471" s="809"/>
      <c r="I471" s="961">
        <f>Table2[[#This Row],[Opening]]+Table2[[#This Row],[Debit]]-Table2[[#This Row],[Credit]]</f>
        <v>600</v>
      </c>
      <c r="J471" s="879"/>
    </row>
    <row r="472" spans="1:10" ht="24" customHeight="1" x14ac:dyDescent="0.6">
      <c r="A472" s="924">
        <v>44702</v>
      </c>
      <c r="B472" s="925">
        <v>21</v>
      </c>
      <c r="C472" s="795" t="s">
        <v>8494</v>
      </c>
      <c r="D472" s="795" t="s">
        <v>9004</v>
      </c>
      <c r="G472" s="857">
        <v>9500</v>
      </c>
      <c r="I472" s="961">
        <f>Table2[[#This Row],[Opening]]+Table2[[#This Row],[Debit]]-Table2[[#This Row],[Credit]]</f>
        <v>9500</v>
      </c>
      <c r="J472" s="879"/>
    </row>
    <row r="473" spans="1:10" ht="24" customHeight="1" x14ac:dyDescent="0.6">
      <c r="A473" s="924">
        <v>44702</v>
      </c>
      <c r="B473" s="925">
        <v>21</v>
      </c>
      <c r="C473" s="795" t="s">
        <v>8494</v>
      </c>
      <c r="D473" s="795" t="s">
        <v>9004</v>
      </c>
      <c r="F473" s="808"/>
      <c r="G473" s="844">
        <v>98000</v>
      </c>
      <c r="H473" s="809"/>
      <c r="I473" s="961">
        <f>Table2[[#This Row],[Opening]]+Table2[[#This Row],[Debit]]-Table2[[#This Row],[Credit]]</f>
        <v>98000</v>
      </c>
      <c r="J473" s="879"/>
    </row>
    <row r="474" spans="1:10" ht="24" customHeight="1" x14ac:dyDescent="0.6">
      <c r="A474" s="924">
        <v>44702</v>
      </c>
      <c r="B474" s="925">
        <v>21</v>
      </c>
      <c r="C474" s="795" t="s">
        <v>888</v>
      </c>
      <c r="D474" s="795" t="s">
        <v>8880</v>
      </c>
      <c r="G474" s="857">
        <v>5499350</v>
      </c>
      <c r="I474" s="961">
        <f>Table2[[#This Row],[Opening]]+Table2[[#This Row],[Debit]]-Table2[[#This Row],[Credit]]</f>
        <v>5499350</v>
      </c>
      <c r="J474" s="879"/>
    </row>
    <row r="475" spans="1:10" ht="24" customHeight="1" x14ac:dyDescent="0.6">
      <c r="A475" s="924">
        <v>44702</v>
      </c>
      <c r="B475" s="925">
        <v>21</v>
      </c>
      <c r="C475" s="795" t="s">
        <v>1267</v>
      </c>
      <c r="D475" s="807" t="s">
        <v>7209</v>
      </c>
      <c r="F475" s="808"/>
      <c r="G475" s="844">
        <v>51500</v>
      </c>
      <c r="H475" s="809"/>
      <c r="I475" s="961">
        <f>Table2[[#This Row],[Opening]]+Table2[[#This Row],[Debit]]-Table2[[#This Row],[Credit]]</f>
        <v>51500</v>
      </c>
      <c r="J475" s="879"/>
    </row>
    <row r="476" spans="1:10" ht="24" customHeight="1" x14ac:dyDescent="0.6">
      <c r="A476" s="924">
        <v>44702</v>
      </c>
      <c r="B476" s="925">
        <v>21</v>
      </c>
      <c r="C476" s="795" t="s">
        <v>39</v>
      </c>
      <c r="D476" s="795" t="s">
        <v>8197</v>
      </c>
      <c r="G476" s="857"/>
      <c r="H476" s="798">
        <v>308700</v>
      </c>
      <c r="I476" s="958">
        <f>Table2[[#This Row],[Opening]]+Table2[[#This Row],[Debit]]-Table2[[#This Row],[Credit]]</f>
        <v>-308700</v>
      </c>
      <c r="J476" s="879"/>
    </row>
    <row r="477" spans="1:10" ht="24" customHeight="1" x14ac:dyDescent="0.6">
      <c r="A477" s="924">
        <v>44702</v>
      </c>
      <c r="B477" s="925">
        <v>21</v>
      </c>
      <c r="C477" s="795" t="s">
        <v>39</v>
      </c>
      <c r="D477" s="807" t="s">
        <v>8970</v>
      </c>
      <c r="F477" s="808"/>
      <c r="G477" s="844"/>
      <c r="H477" s="809">
        <v>204400</v>
      </c>
      <c r="I477" s="958">
        <f>Table2[[#This Row],[Opening]]+Table2[[#This Row],[Debit]]-Table2[[#This Row],[Credit]]</f>
        <v>-204400</v>
      </c>
      <c r="J477" s="879"/>
    </row>
    <row r="478" spans="1:10" ht="24" customHeight="1" x14ac:dyDescent="0.6">
      <c r="A478" s="924">
        <v>44702</v>
      </c>
      <c r="B478" s="925">
        <v>21</v>
      </c>
      <c r="C478" s="795" t="s">
        <v>8936</v>
      </c>
      <c r="D478" s="795" t="s">
        <v>9106</v>
      </c>
      <c r="G478" s="857"/>
      <c r="H478" s="798">
        <v>45900</v>
      </c>
      <c r="I478" s="958">
        <f>Table2[[#This Row],[Opening]]+Table2[[#This Row],[Debit]]-Table2[[#This Row],[Credit]]</f>
        <v>-45900</v>
      </c>
      <c r="J478" s="879"/>
    </row>
    <row r="479" spans="1:10" ht="24" customHeight="1" x14ac:dyDescent="0.6">
      <c r="A479" s="924">
        <v>44702</v>
      </c>
      <c r="B479" s="925">
        <v>21</v>
      </c>
      <c r="C479" s="795" t="s">
        <v>8936</v>
      </c>
      <c r="D479" s="795" t="s">
        <v>9107</v>
      </c>
      <c r="E479" s="878"/>
      <c r="F479" s="896"/>
      <c r="G479" s="844"/>
      <c r="H479" s="809">
        <v>7400</v>
      </c>
      <c r="I479" s="958">
        <f>Table2[[#This Row],[Opening]]+Table2[[#This Row],[Debit]]-Table2[[#This Row],[Credit]]</f>
        <v>-7400</v>
      </c>
      <c r="J479" s="879"/>
    </row>
    <row r="480" spans="1:10" ht="24" customHeight="1" x14ac:dyDescent="0.6">
      <c r="A480" s="924">
        <v>44702</v>
      </c>
      <c r="B480" s="925">
        <v>21</v>
      </c>
      <c r="C480" s="833" t="s">
        <v>86</v>
      </c>
      <c r="D480" s="833" t="s">
        <v>8999</v>
      </c>
      <c r="E480" s="833"/>
      <c r="F480" s="835"/>
      <c r="G480" s="860"/>
      <c r="H480" s="836">
        <v>8000</v>
      </c>
      <c r="I480" s="957">
        <f>Table2[[#This Row],[Opening]]+Table2[[#This Row],[Debit]]-Table2[[#This Row],[Credit]]</f>
        <v>-8000</v>
      </c>
      <c r="J480" s="879"/>
    </row>
    <row r="481" spans="1:10" ht="24" customHeight="1" x14ac:dyDescent="0.6">
      <c r="A481" s="924">
        <v>44702</v>
      </c>
      <c r="B481" s="925">
        <v>21</v>
      </c>
      <c r="C481" s="833" t="s">
        <v>86</v>
      </c>
      <c r="D481" s="807" t="s">
        <v>9025</v>
      </c>
      <c r="F481" s="808"/>
      <c r="G481" s="844"/>
      <c r="H481" s="809">
        <v>3200</v>
      </c>
      <c r="I481" s="958">
        <f>Table2[[#This Row],[Opening]]+Table2[[#This Row],[Debit]]-Table2[[#This Row],[Credit]]</f>
        <v>-3200</v>
      </c>
      <c r="J481" s="879"/>
    </row>
    <row r="482" spans="1:10" ht="24" customHeight="1" x14ac:dyDescent="0.6">
      <c r="A482" s="924">
        <v>44702</v>
      </c>
      <c r="B482" s="925">
        <v>21</v>
      </c>
      <c r="C482" s="795" t="s">
        <v>864</v>
      </c>
      <c r="D482" s="795" t="s">
        <v>9108</v>
      </c>
      <c r="G482" s="857"/>
      <c r="H482" s="798">
        <v>8000</v>
      </c>
      <c r="I482" s="958">
        <f>Table2[[#This Row],[Opening]]+Table2[[#This Row],[Debit]]-Table2[[#This Row],[Credit]]</f>
        <v>-8000</v>
      </c>
      <c r="J482" s="879"/>
    </row>
    <row r="483" spans="1:10" ht="24" customHeight="1" x14ac:dyDescent="0.6">
      <c r="A483" s="924">
        <v>44702</v>
      </c>
      <c r="B483" s="925">
        <v>21</v>
      </c>
      <c r="C483" s="795" t="s">
        <v>2352</v>
      </c>
      <c r="D483" s="807" t="s">
        <v>9109</v>
      </c>
      <c r="F483" s="808"/>
      <c r="G483" s="844"/>
      <c r="H483" s="809">
        <v>14200</v>
      </c>
      <c r="I483" s="958">
        <f>Table2[[#This Row],[Opening]]+Table2[[#This Row],[Debit]]-Table2[[#This Row],[Credit]]</f>
        <v>-14200</v>
      </c>
      <c r="J483" s="879"/>
    </row>
    <row r="484" spans="1:10" ht="24" customHeight="1" x14ac:dyDescent="0.6">
      <c r="A484" s="924">
        <v>44702</v>
      </c>
      <c r="B484" s="925">
        <v>21</v>
      </c>
      <c r="C484" s="795" t="s">
        <v>1240</v>
      </c>
      <c r="D484" s="795" t="s">
        <v>9110</v>
      </c>
      <c r="E484" s="795" t="s">
        <v>7269</v>
      </c>
      <c r="G484" s="857"/>
      <c r="H484" s="798">
        <v>30000</v>
      </c>
      <c r="I484" s="958">
        <f>Table2[[#This Row],[Opening]]+Table2[[#This Row],[Debit]]-Table2[[#This Row],[Credit]]</f>
        <v>-30000</v>
      </c>
      <c r="J484" s="879"/>
    </row>
    <row r="485" spans="1:10" ht="24" customHeight="1" x14ac:dyDescent="0.6">
      <c r="A485" s="924">
        <v>44702</v>
      </c>
      <c r="B485" s="925">
        <v>21</v>
      </c>
      <c r="C485" s="795" t="s">
        <v>1240</v>
      </c>
      <c r="D485" s="834" t="s">
        <v>9111</v>
      </c>
      <c r="E485" s="795" t="s">
        <v>7269</v>
      </c>
      <c r="F485" s="838"/>
      <c r="G485" s="854"/>
      <c r="H485" s="839">
        <v>5500</v>
      </c>
      <c r="I485" s="958">
        <f>Table2[[#This Row],[Opening]]+Table2[[#This Row],[Debit]]-Table2[[#This Row],[Credit]]</f>
        <v>-5500</v>
      </c>
      <c r="J485" s="879"/>
    </row>
    <row r="486" spans="1:10" ht="24" customHeight="1" x14ac:dyDescent="0.6">
      <c r="A486" s="924">
        <v>44702</v>
      </c>
      <c r="B486" s="925">
        <v>21</v>
      </c>
      <c r="C486" s="795" t="s">
        <v>1240</v>
      </c>
      <c r="D486" s="795" t="s">
        <v>9112</v>
      </c>
      <c r="E486" s="795" t="s">
        <v>7269</v>
      </c>
      <c r="G486" s="857"/>
      <c r="H486" s="798">
        <v>15200</v>
      </c>
      <c r="I486" s="958">
        <f>Table2[[#This Row],[Opening]]+Table2[[#This Row],[Debit]]-Table2[[#This Row],[Credit]]</f>
        <v>-15200</v>
      </c>
      <c r="J486" s="879"/>
    </row>
    <row r="487" spans="1:10" ht="24" customHeight="1" x14ac:dyDescent="0.6">
      <c r="A487" s="924">
        <v>44702</v>
      </c>
      <c r="B487" s="925">
        <v>21</v>
      </c>
      <c r="C487" s="795" t="s">
        <v>1240</v>
      </c>
      <c r="D487" s="807" t="s">
        <v>9113</v>
      </c>
      <c r="E487" s="795" t="s">
        <v>7269</v>
      </c>
      <c r="F487" s="808"/>
      <c r="G487" s="844"/>
      <c r="H487" s="809">
        <v>32500</v>
      </c>
      <c r="I487" s="958">
        <f>Table2[[#This Row],[Opening]]+Table2[[#This Row],[Debit]]-Table2[[#This Row],[Credit]]</f>
        <v>-32500</v>
      </c>
      <c r="J487" s="879"/>
    </row>
    <row r="488" spans="1:10" ht="24" customHeight="1" x14ac:dyDescent="0.6">
      <c r="A488" s="924">
        <v>44702</v>
      </c>
      <c r="B488" s="925">
        <v>21</v>
      </c>
      <c r="C488" s="795" t="s">
        <v>1240</v>
      </c>
      <c r="D488" s="795" t="s">
        <v>9114</v>
      </c>
      <c r="E488" s="795" t="s">
        <v>7269</v>
      </c>
      <c r="G488" s="857"/>
      <c r="H488" s="798">
        <v>3000</v>
      </c>
      <c r="I488" s="958">
        <f>Table2[[#This Row],[Opening]]+Table2[[#This Row],[Debit]]-Table2[[#This Row],[Credit]]</f>
        <v>-3000</v>
      </c>
      <c r="J488" s="879"/>
    </row>
    <row r="489" spans="1:10" ht="24" customHeight="1" x14ac:dyDescent="0.6">
      <c r="A489" s="924">
        <v>44702</v>
      </c>
      <c r="B489" s="925">
        <v>21</v>
      </c>
      <c r="C489" s="795" t="s">
        <v>1240</v>
      </c>
      <c r="D489" s="807" t="s">
        <v>9115</v>
      </c>
      <c r="E489" s="795" t="s">
        <v>7269</v>
      </c>
      <c r="F489" s="808"/>
      <c r="G489" s="844"/>
      <c r="H489" s="809">
        <v>7900</v>
      </c>
      <c r="I489" s="958">
        <f>Table2[[#This Row],[Opening]]+Table2[[#This Row],[Debit]]-Table2[[#This Row],[Credit]]</f>
        <v>-7900</v>
      </c>
      <c r="J489" s="879"/>
    </row>
    <row r="490" spans="1:10" ht="24" customHeight="1" thickBot="1" x14ac:dyDescent="0.65">
      <c r="A490" s="1234">
        <v>44702</v>
      </c>
      <c r="B490" s="1235">
        <v>21</v>
      </c>
      <c r="C490" s="892" t="s">
        <v>1240</v>
      </c>
      <c r="D490" s="892" t="s">
        <v>9116</v>
      </c>
      <c r="E490" s="892" t="s">
        <v>7269</v>
      </c>
      <c r="F490" s="1252"/>
      <c r="G490" s="1237"/>
      <c r="H490" s="1238">
        <v>13700</v>
      </c>
      <c r="I490" s="959">
        <f>Table2[[#This Row],[Opening]]+Table2[[#This Row],[Debit]]-Table2[[#This Row],[Credit]]</f>
        <v>-13700</v>
      </c>
      <c r="J490" s="879"/>
    </row>
    <row r="491" spans="1:10" ht="24" customHeight="1" thickTop="1" x14ac:dyDescent="0.6">
      <c r="A491" s="924">
        <v>44703</v>
      </c>
      <c r="B491" s="925">
        <v>22</v>
      </c>
      <c r="C491" s="833" t="s">
        <v>905</v>
      </c>
      <c r="D491" s="834" t="s">
        <v>8879</v>
      </c>
      <c r="E491" s="833"/>
      <c r="F491" s="838"/>
      <c r="G491" s="854">
        <v>5000</v>
      </c>
      <c r="H491" s="839"/>
      <c r="I491" s="960">
        <f>Table2[[#This Row],[Opening]]+Table2[[#This Row],[Debit]]-Table2[[#This Row],[Credit]]</f>
        <v>5000</v>
      </c>
      <c r="J491" s="879"/>
    </row>
    <row r="492" spans="1:10" ht="24" customHeight="1" x14ac:dyDescent="0.6">
      <c r="A492" s="924">
        <v>44703</v>
      </c>
      <c r="B492" s="925">
        <v>22</v>
      </c>
      <c r="C492" s="833" t="s">
        <v>905</v>
      </c>
      <c r="D492" s="834" t="s">
        <v>8879</v>
      </c>
      <c r="G492" s="857">
        <v>1000</v>
      </c>
      <c r="I492" s="961">
        <f>Table2[[#This Row],[Opening]]+Table2[[#This Row],[Debit]]-Table2[[#This Row],[Credit]]</f>
        <v>1000</v>
      </c>
      <c r="J492" s="879"/>
    </row>
    <row r="493" spans="1:10" ht="24" customHeight="1" x14ac:dyDescent="0.6">
      <c r="A493" s="924">
        <v>44703</v>
      </c>
      <c r="B493" s="925">
        <v>22</v>
      </c>
      <c r="C493" s="833" t="s">
        <v>905</v>
      </c>
      <c r="D493" s="834" t="s">
        <v>8879</v>
      </c>
      <c r="F493" s="808"/>
      <c r="G493" s="844">
        <v>5000</v>
      </c>
      <c r="H493" s="809"/>
      <c r="I493" s="961">
        <f>Table2[[#This Row],[Opening]]+Table2[[#This Row],[Debit]]-Table2[[#This Row],[Credit]]</f>
        <v>5000</v>
      </c>
      <c r="J493" s="879"/>
    </row>
    <row r="494" spans="1:10" ht="24" customHeight="1" x14ac:dyDescent="0.6">
      <c r="A494" s="924">
        <v>44703</v>
      </c>
      <c r="B494" s="925">
        <v>22</v>
      </c>
      <c r="C494" s="795" t="s">
        <v>2466</v>
      </c>
      <c r="D494" s="807" t="s">
        <v>8886</v>
      </c>
      <c r="G494" s="857">
        <v>3000</v>
      </c>
      <c r="I494" s="961">
        <f>Table2[[#This Row],[Opening]]+Table2[[#This Row],[Debit]]-Table2[[#This Row],[Credit]]</f>
        <v>3000</v>
      </c>
      <c r="J494" s="879"/>
    </row>
    <row r="495" spans="1:10" ht="24" customHeight="1" x14ac:dyDescent="0.6">
      <c r="A495" s="924">
        <v>44703</v>
      </c>
      <c r="B495" s="925">
        <v>22</v>
      </c>
      <c r="C495" s="795" t="s">
        <v>905</v>
      </c>
      <c r="D495" s="834" t="s">
        <v>8879</v>
      </c>
      <c r="F495" s="808"/>
      <c r="G495" s="844">
        <v>3000</v>
      </c>
      <c r="H495" s="809"/>
      <c r="I495" s="961">
        <f>Table2[[#This Row],[Opening]]+Table2[[#This Row],[Debit]]-Table2[[#This Row],[Credit]]</f>
        <v>3000</v>
      </c>
      <c r="J495" s="879"/>
    </row>
    <row r="496" spans="1:10" ht="24" customHeight="1" x14ac:dyDescent="0.6">
      <c r="A496" s="924">
        <v>44703</v>
      </c>
      <c r="B496" s="925">
        <v>22</v>
      </c>
      <c r="C496" s="795" t="s">
        <v>905</v>
      </c>
      <c r="D496" s="834" t="s">
        <v>8879</v>
      </c>
      <c r="G496" s="857">
        <v>10000</v>
      </c>
      <c r="I496" s="961">
        <f>Table2[[#This Row],[Opening]]+Table2[[#This Row],[Debit]]-Table2[[#This Row],[Credit]]</f>
        <v>10000</v>
      </c>
      <c r="J496" s="879"/>
    </row>
    <row r="497" spans="1:10" ht="24" customHeight="1" x14ac:dyDescent="0.6">
      <c r="A497" s="924">
        <v>44703</v>
      </c>
      <c r="B497" s="925">
        <v>22</v>
      </c>
      <c r="C497" s="795" t="s">
        <v>905</v>
      </c>
      <c r="D497" s="834" t="s">
        <v>8879</v>
      </c>
      <c r="F497" s="808"/>
      <c r="G497" s="844">
        <v>5000</v>
      </c>
      <c r="H497" s="809"/>
      <c r="I497" s="961">
        <f>Table2[[#This Row],[Opening]]+Table2[[#This Row],[Debit]]-Table2[[#This Row],[Credit]]</f>
        <v>5000</v>
      </c>
      <c r="J497" s="879"/>
    </row>
    <row r="498" spans="1:10" ht="24" customHeight="1" x14ac:dyDescent="0.6">
      <c r="A498" s="924">
        <v>44703</v>
      </c>
      <c r="B498" s="925">
        <v>22</v>
      </c>
      <c r="C498" s="795" t="s">
        <v>2466</v>
      </c>
      <c r="D498" s="795" t="s">
        <v>8909</v>
      </c>
      <c r="G498" s="857">
        <v>1000</v>
      </c>
      <c r="I498" s="961">
        <f>Table2[[#This Row],[Opening]]+Table2[[#This Row],[Debit]]-Table2[[#This Row],[Credit]]</f>
        <v>1000</v>
      </c>
      <c r="J498" s="879"/>
    </row>
    <row r="499" spans="1:10" ht="24" customHeight="1" x14ac:dyDescent="0.6">
      <c r="A499" s="924">
        <v>44703</v>
      </c>
      <c r="B499" s="925">
        <v>22</v>
      </c>
      <c r="C499" s="795" t="s">
        <v>905</v>
      </c>
      <c r="D499" s="834" t="s">
        <v>8879</v>
      </c>
      <c r="F499" s="808"/>
      <c r="G499" s="844">
        <v>15000</v>
      </c>
      <c r="H499" s="809"/>
      <c r="I499" s="961">
        <f>Table2[[#This Row],[Opening]]+Table2[[#This Row],[Debit]]-Table2[[#This Row],[Credit]]</f>
        <v>15000</v>
      </c>
      <c r="J499" s="879"/>
    </row>
    <row r="500" spans="1:10" ht="24" customHeight="1" x14ac:dyDescent="0.6">
      <c r="A500" s="924">
        <v>44703</v>
      </c>
      <c r="B500" s="925">
        <v>22</v>
      </c>
      <c r="C500" s="795" t="s">
        <v>888</v>
      </c>
      <c r="D500" s="795" t="s">
        <v>8880</v>
      </c>
      <c r="G500" s="857">
        <v>4313700</v>
      </c>
      <c r="I500" s="961">
        <f>Table2[[#This Row],[Opening]]+Table2[[#This Row],[Debit]]-Table2[[#This Row],[Credit]]</f>
        <v>4313700</v>
      </c>
      <c r="J500" s="879"/>
    </row>
    <row r="501" spans="1:10" ht="24" customHeight="1" x14ac:dyDescent="0.6">
      <c r="A501" s="924">
        <v>44703</v>
      </c>
      <c r="B501" s="925">
        <v>22</v>
      </c>
      <c r="C501" s="795" t="s">
        <v>1267</v>
      </c>
      <c r="D501" s="807" t="s">
        <v>7209</v>
      </c>
      <c r="F501" s="808"/>
      <c r="G501" s="844">
        <v>28400</v>
      </c>
      <c r="H501" s="809"/>
      <c r="I501" s="961">
        <f>Table2[[#This Row],[Opening]]+Table2[[#This Row],[Debit]]-Table2[[#This Row],[Credit]]</f>
        <v>28400</v>
      </c>
      <c r="J501" s="879"/>
    </row>
    <row r="502" spans="1:10" ht="24" customHeight="1" x14ac:dyDescent="0.6">
      <c r="A502" s="924">
        <v>44703</v>
      </c>
      <c r="B502" s="925">
        <v>22</v>
      </c>
      <c r="C502" s="795" t="s">
        <v>1183</v>
      </c>
      <c r="D502" s="807" t="s">
        <v>8893</v>
      </c>
      <c r="F502" s="835"/>
      <c r="G502" s="860"/>
      <c r="H502" s="836">
        <v>5000</v>
      </c>
      <c r="I502" s="958">
        <f>Table2[[#This Row],[Opening]]+Table2[[#This Row],[Debit]]-Table2[[#This Row],[Credit]]</f>
        <v>-5000</v>
      </c>
      <c r="J502" s="879"/>
    </row>
    <row r="503" spans="1:10" ht="24" customHeight="1" x14ac:dyDescent="0.6">
      <c r="A503" s="924">
        <v>44703</v>
      </c>
      <c r="B503" s="925">
        <v>22</v>
      </c>
      <c r="C503" s="795" t="s">
        <v>1183</v>
      </c>
      <c r="D503" s="833" t="s">
        <v>9035</v>
      </c>
      <c r="F503" s="808"/>
      <c r="G503" s="844"/>
      <c r="H503" s="809">
        <v>50000</v>
      </c>
      <c r="I503" s="958">
        <f>Table2[[#This Row],[Opening]]+Table2[[#This Row],[Debit]]-Table2[[#This Row],[Credit]]</f>
        <v>-50000</v>
      </c>
      <c r="J503" s="879"/>
    </row>
    <row r="504" spans="1:10" ht="24" customHeight="1" x14ac:dyDescent="0.6">
      <c r="A504" s="924">
        <v>44703</v>
      </c>
      <c r="B504" s="925">
        <v>22</v>
      </c>
      <c r="C504" s="795" t="s">
        <v>1143</v>
      </c>
      <c r="D504" s="807" t="s">
        <v>9117</v>
      </c>
      <c r="G504" s="857"/>
      <c r="H504" s="798">
        <v>15000</v>
      </c>
      <c r="I504" s="958">
        <f>Table2[[#This Row],[Opening]]+Table2[[#This Row],[Debit]]-Table2[[#This Row],[Credit]]</f>
        <v>-15000</v>
      </c>
      <c r="J504" s="879"/>
    </row>
    <row r="505" spans="1:10" ht="24" customHeight="1" x14ac:dyDescent="0.6">
      <c r="A505" s="924">
        <v>44703</v>
      </c>
      <c r="B505" s="925">
        <v>22</v>
      </c>
      <c r="C505" s="795" t="s">
        <v>1143</v>
      </c>
      <c r="D505" s="795" t="s">
        <v>9118</v>
      </c>
      <c r="F505" s="808"/>
      <c r="G505" s="844"/>
      <c r="H505" s="809">
        <v>12000</v>
      </c>
      <c r="I505" s="958">
        <f>Table2[[#This Row],[Opening]]+Table2[[#This Row],[Debit]]-Table2[[#This Row],[Credit]]</f>
        <v>-12000</v>
      </c>
      <c r="J505" s="879"/>
    </row>
    <row r="506" spans="1:10" ht="24" customHeight="1" x14ac:dyDescent="0.6">
      <c r="A506" s="924">
        <v>44703</v>
      </c>
      <c r="B506" s="925">
        <v>22</v>
      </c>
      <c r="C506" s="795" t="s">
        <v>1240</v>
      </c>
      <c r="D506" s="807" t="s">
        <v>9119</v>
      </c>
      <c r="E506" s="795" t="s">
        <v>7269</v>
      </c>
      <c r="G506" s="857"/>
      <c r="H506" s="798">
        <v>15000</v>
      </c>
      <c r="I506" s="958">
        <f>Table2[[#This Row],[Opening]]+Table2[[#This Row],[Debit]]-Table2[[#This Row],[Credit]]</f>
        <v>-15000</v>
      </c>
      <c r="J506" s="879"/>
    </row>
    <row r="507" spans="1:10" ht="24" customHeight="1" x14ac:dyDescent="0.6">
      <c r="A507" s="924">
        <v>44703</v>
      </c>
      <c r="B507" s="925">
        <v>22</v>
      </c>
      <c r="C507" s="795" t="s">
        <v>1240</v>
      </c>
      <c r="D507" s="795" t="s">
        <v>9120</v>
      </c>
      <c r="E507" s="795" t="s">
        <v>7269</v>
      </c>
      <c r="F507" s="808"/>
      <c r="G507" s="844"/>
      <c r="H507" s="809">
        <v>8000</v>
      </c>
      <c r="I507" s="958">
        <f>Table2[[#This Row],[Opening]]+Table2[[#This Row],[Debit]]-Table2[[#This Row],[Credit]]</f>
        <v>-8000</v>
      </c>
      <c r="J507" s="879"/>
    </row>
    <row r="508" spans="1:10" ht="24" customHeight="1" x14ac:dyDescent="0.6">
      <c r="A508" s="924">
        <v>44703</v>
      </c>
      <c r="B508" s="925">
        <v>22</v>
      </c>
      <c r="C508" s="795" t="s">
        <v>1240</v>
      </c>
      <c r="D508" s="807" t="s">
        <v>9121</v>
      </c>
      <c r="E508" s="795" t="s">
        <v>7269</v>
      </c>
      <c r="G508" s="857"/>
      <c r="H508" s="798">
        <v>52000</v>
      </c>
      <c r="I508" s="958">
        <f>Table2[[#This Row],[Opening]]+Table2[[#This Row],[Debit]]-Table2[[#This Row],[Credit]]</f>
        <v>-52000</v>
      </c>
      <c r="J508" s="879"/>
    </row>
    <row r="509" spans="1:10" ht="24" customHeight="1" x14ac:dyDescent="0.6">
      <c r="A509" s="924">
        <v>44703</v>
      </c>
      <c r="B509" s="925">
        <v>22</v>
      </c>
      <c r="C509" s="795" t="s">
        <v>1240</v>
      </c>
      <c r="D509" s="795" t="s">
        <v>9122</v>
      </c>
      <c r="E509" s="795" t="s">
        <v>7269</v>
      </c>
      <c r="F509" s="808"/>
      <c r="G509" s="844"/>
      <c r="H509" s="809">
        <v>10000</v>
      </c>
      <c r="I509" s="958">
        <f>Table2[[#This Row],[Opening]]+Table2[[#This Row],[Debit]]-Table2[[#This Row],[Credit]]</f>
        <v>-10000</v>
      </c>
      <c r="J509" s="879"/>
    </row>
    <row r="510" spans="1:10" ht="24" customHeight="1" x14ac:dyDescent="0.6">
      <c r="A510" s="924">
        <v>44703</v>
      </c>
      <c r="B510" s="925">
        <v>22</v>
      </c>
      <c r="C510" s="795" t="s">
        <v>1240</v>
      </c>
      <c r="D510" s="807" t="s">
        <v>9123</v>
      </c>
      <c r="E510" s="795" t="s">
        <v>7269</v>
      </c>
      <c r="G510" s="857"/>
      <c r="H510" s="798">
        <v>14000</v>
      </c>
      <c r="I510" s="958">
        <f>Table2[[#This Row],[Opening]]+Table2[[#This Row],[Debit]]-Table2[[#This Row],[Credit]]</f>
        <v>-14000</v>
      </c>
      <c r="J510" s="879"/>
    </row>
    <row r="511" spans="1:10" ht="24" customHeight="1" x14ac:dyDescent="0.6">
      <c r="A511" s="924">
        <v>44703</v>
      </c>
      <c r="B511" s="925">
        <v>22</v>
      </c>
      <c r="C511" s="795" t="s">
        <v>1240</v>
      </c>
      <c r="D511" s="795" t="s">
        <v>9124</v>
      </c>
      <c r="E511" s="795" t="s">
        <v>7269</v>
      </c>
      <c r="F511" s="808"/>
      <c r="G511" s="844"/>
      <c r="H511" s="809">
        <v>8000</v>
      </c>
      <c r="I511" s="958">
        <f>Table2[[#This Row],[Opening]]+Table2[[#This Row],[Debit]]-Table2[[#This Row],[Credit]]</f>
        <v>-8000</v>
      </c>
      <c r="J511" s="879"/>
    </row>
    <row r="512" spans="1:10" ht="24" customHeight="1" x14ac:dyDescent="0.6">
      <c r="A512" s="924">
        <v>44703</v>
      </c>
      <c r="B512" s="925">
        <v>22</v>
      </c>
      <c r="C512" s="795" t="s">
        <v>1240</v>
      </c>
      <c r="D512" s="807" t="s">
        <v>9125</v>
      </c>
      <c r="E512" s="795" t="s">
        <v>7269</v>
      </c>
      <c r="G512" s="857"/>
      <c r="H512" s="798">
        <v>3000</v>
      </c>
      <c r="I512" s="958">
        <f>Table2[[#This Row],[Opening]]+Table2[[#This Row],[Debit]]-Table2[[#This Row],[Credit]]</f>
        <v>-3000</v>
      </c>
      <c r="J512" s="879"/>
    </row>
    <row r="513" spans="1:10" ht="24" customHeight="1" x14ac:dyDescent="0.6">
      <c r="A513" s="924">
        <v>44703</v>
      </c>
      <c r="B513" s="925">
        <v>22</v>
      </c>
      <c r="C513" s="795" t="s">
        <v>1240</v>
      </c>
      <c r="D513" s="795" t="s">
        <v>9126</v>
      </c>
      <c r="E513" s="795" t="s">
        <v>7269</v>
      </c>
      <c r="F513" s="808"/>
      <c r="G513" s="844"/>
      <c r="H513" s="809">
        <v>3500</v>
      </c>
      <c r="I513" s="958">
        <f>Table2[[#This Row],[Opening]]+Table2[[#This Row],[Debit]]-Table2[[#This Row],[Credit]]</f>
        <v>-3500</v>
      </c>
      <c r="J513" s="879"/>
    </row>
    <row r="514" spans="1:10" ht="24" customHeight="1" x14ac:dyDescent="0.6">
      <c r="A514" s="924">
        <v>44703</v>
      </c>
      <c r="B514" s="925">
        <v>22</v>
      </c>
      <c r="C514" s="795" t="s">
        <v>2352</v>
      </c>
      <c r="D514" s="807" t="s">
        <v>9127</v>
      </c>
      <c r="G514" s="857"/>
      <c r="H514" s="798">
        <v>17000</v>
      </c>
      <c r="I514" s="958">
        <f>Table2[[#This Row],[Opening]]+Table2[[#This Row],[Debit]]-Table2[[#This Row],[Credit]]</f>
        <v>-17000</v>
      </c>
      <c r="J514" s="879"/>
    </row>
    <row r="515" spans="1:10" ht="24" customHeight="1" x14ac:dyDescent="0.6">
      <c r="A515" s="924">
        <v>44703</v>
      </c>
      <c r="B515" s="925">
        <v>22</v>
      </c>
      <c r="C515" s="795" t="s">
        <v>86</v>
      </c>
      <c r="D515" s="795" t="s">
        <v>9128</v>
      </c>
      <c r="F515" s="808"/>
      <c r="G515" s="844"/>
      <c r="H515" s="809">
        <v>24200</v>
      </c>
      <c r="I515" s="958">
        <f>Table2[[#This Row],[Opening]]+Table2[[#This Row],[Debit]]-Table2[[#This Row],[Credit]]</f>
        <v>-24200</v>
      </c>
      <c r="J515" s="879"/>
    </row>
    <row r="516" spans="1:10" ht="24" customHeight="1" x14ac:dyDescent="0.6">
      <c r="A516" s="924">
        <v>44703</v>
      </c>
      <c r="B516" s="925">
        <v>22</v>
      </c>
      <c r="C516" s="795" t="s">
        <v>86</v>
      </c>
      <c r="D516" s="807" t="s">
        <v>8904</v>
      </c>
      <c r="G516" s="857"/>
      <c r="H516" s="798">
        <v>4000</v>
      </c>
      <c r="I516" s="958">
        <f>Table2[[#This Row],[Opening]]+Table2[[#This Row],[Debit]]-Table2[[#This Row],[Credit]]</f>
        <v>-4000</v>
      </c>
      <c r="J516" s="879"/>
    </row>
    <row r="517" spans="1:10" ht="24" customHeight="1" x14ac:dyDescent="0.6">
      <c r="A517" s="922">
        <v>44703</v>
      </c>
      <c r="B517" s="933">
        <v>22</v>
      </c>
      <c r="C517" s="878" t="s">
        <v>39</v>
      </c>
      <c r="D517" s="878" t="s">
        <v>8196</v>
      </c>
      <c r="E517" s="878" t="s">
        <v>7272</v>
      </c>
      <c r="F517" s="808"/>
      <c r="G517" s="844"/>
      <c r="H517" s="809">
        <v>335602</v>
      </c>
      <c r="I517" s="958">
        <f>Table2[[#This Row],[Opening]]+Table2[[#This Row],[Debit]]-Table2[[#This Row],[Credit]]</f>
        <v>-335602</v>
      </c>
      <c r="J517" s="879"/>
    </row>
    <row r="518" spans="1:10" ht="24" customHeight="1" x14ac:dyDescent="0.6">
      <c r="A518" s="922">
        <v>44703</v>
      </c>
      <c r="B518" s="933">
        <v>22</v>
      </c>
      <c r="C518" s="878" t="s">
        <v>39</v>
      </c>
      <c r="D518" s="902" t="s">
        <v>8970</v>
      </c>
      <c r="E518" s="878" t="s">
        <v>7272</v>
      </c>
      <c r="G518" s="857"/>
      <c r="H518" s="798">
        <v>56000</v>
      </c>
      <c r="I518" s="958">
        <f>Table2[[#This Row],[Opening]]+Table2[[#This Row],[Debit]]-Table2[[#This Row],[Credit]]</f>
        <v>-56000</v>
      </c>
      <c r="J518" s="879"/>
    </row>
    <row r="519" spans="1:10" ht="24" customHeight="1" thickBot="1" x14ac:dyDescent="0.65">
      <c r="A519" s="884">
        <v>44703</v>
      </c>
      <c r="B519" s="885">
        <v>22</v>
      </c>
      <c r="C519" s="886" t="s">
        <v>39</v>
      </c>
      <c r="D519" s="886" t="s">
        <v>8200</v>
      </c>
      <c r="E519" s="886" t="s">
        <v>7272</v>
      </c>
      <c r="F519" s="1263"/>
      <c r="G519" s="871"/>
      <c r="H519" s="872">
        <v>55000</v>
      </c>
      <c r="I519" s="959">
        <f>Table2[[#This Row],[Opening]]+Table2[[#This Row],[Debit]]-Table2[[#This Row],[Credit]]</f>
        <v>-55000</v>
      </c>
      <c r="J519" s="879"/>
    </row>
    <row r="520" spans="1:10" ht="24" customHeight="1" thickTop="1" x14ac:dyDescent="0.6">
      <c r="A520" s="924">
        <v>44704</v>
      </c>
      <c r="B520" s="925">
        <v>23</v>
      </c>
      <c r="C520" s="833" t="s">
        <v>2466</v>
      </c>
      <c r="D520" s="833" t="s">
        <v>8886</v>
      </c>
      <c r="E520" s="833"/>
      <c r="F520" s="835"/>
      <c r="G520" s="860">
        <v>3000</v>
      </c>
      <c r="H520" s="836"/>
      <c r="I520" s="957">
        <f>Table2[[#This Row],[Opening]]+Table2[[#This Row],[Debit]]-Table2[[#This Row],[Credit]]</f>
        <v>3000</v>
      </c>
      <c r="J520" s="879"/>
    </row>
    <row r="521" spans="1:10" ht="24" customHeight="1" x14ac:dyDescent="0.6">
      <c r="A521" s="924">
        <v>44704</v>
      </c>
      <c r="B521" s="925">
        <v>23</v>
      </c>
      <c r="C521" s="795" t="s">
        <v>905</v>
      </c>
      <c r="D521" s="807" t="s">
        <v>8879</v>
      </c>
      <c r="F521" s="808"/>
      <c r="G521" s="844">
        <v>2000</v>
      </c>
      <c r="H521" s="809"/>
      <c r="I521" s="958">
        <f>Table2[[#This Row],[Opening]]+Table2[[#This Row],[Debit]]-Table2[[#This Row],[Credit]]</f>
        <v>2000</v>
      </c>
      <c r="J521" s="879"/>
    </row>
    <row r="522" spans="1:10" ht="24" customHeight="1" x14ac:dyDescent="0.6">
      <c r="A522" s="924">
        <v>44704</v>
      </c>
      <c r="B522" s="925">
        <v>23</v>
      </c>
      <c r="C522" s="795" t="s">
        <v>2466</v>
      </c>
      <c r="D522" s="833" t="s">
        <v>8886</v>
      </c>
      <c r="G522" s="857">
        <v>2500</v>
      </c>
      <c r="I522" s="958">
        <f>Table2[[#This Row],[Opening]]+Table2[[#This Row],[Debit]]-Table2[[#This Row],[Credit]]</f>
        <v>2500</v>
      </c>
      <c r="J522" s="879"/>
    </row>
    <row r="523" spans="1:10" ht="24" customHeight="1" x14ac:dyDescent="0.6">
      <c r="A523" s="924">
        <v>44704</v>
      </c>
      <c r="B523" s="925">
        <v>23</v>
      </c>
      <c r="C523" s="795" t="s">
        <v>2466</v>
      </c>
      <c r="D523" s="833" t="s">
        <v>8886</v>
      </c>
      <c r="F523" s="808"/>
      <c r="G523" s="844">
        <v>7500</v>
      </c>
      <c r="H523" s="809"/>
      <c r="I523" s="958">
        <f>Table2[[#This Row],[Opening]]+Table2[[#This Row],[Debit]]-Table2[[#This Row],[Credit]]</f>
        <v>7500</v>
      </c>
      <c r="J523" s="879"/>
    </row>
    <row r="524" spans="1:10" ht="24" customHeight="1" x14ac:dyDescent="0.6">
      <c r="A524" s="924">
        <v>44704</v>
      </c>
      <c r="B524" s="925">
        <v>23</v>
      </c>
      <c r="C524" s="795" t="s">
        <v>905</v>
      </c>
      <c r="D524" s="807" t="s">
        <v>8879</v>
      </c>
      <c r="G524" s="857">
        <v>7000</v>
      </c>
      <c r="I524" s="958">
        <f>Table2[[#This Row],[Opening]]+Table2[[#This Row],[Debit]]-Table2[[#This Row],[Credit]]</f>
        <v>7000</v>
      </c>
      <c r="J524" s="879"/>
    </row>
    <row r="525" spans="1:10" ht="24" customHeight="1" x14ac:dyDescent="0.6">
      <c r="A525" s="924">
        <v>44704</v>
      </c>
      <c r="B525" s="925">
        <v>23</v>
      </c>
      <c r="C525" s="795" t="s">
        <v>2466</v>
      </c>
      <c r="D525" s="833" t="s">
        <v>8886</v>
      </c>
      <c r="F525" s="808"/>
      <c r="G525" s="844">
        <v>3700</v>
      </c>
      <c r="H525" s="809"/>
      <c r="I525" s="958">
        <f>Table2[[#This Row],[Opening]]+Table2[[#This Row],[Debit]]-Table2[[#This Row],[Credit]]</f>
        <v>3700</v>
      </c>
      <c r="J525" s="879"/>
    </row>
    <row r="526" spans="1:10" ht="24" customHeight="1" x14ac:dyDescent="0.6">
      <c r="A526" s="924">
        <v>44704</v>
      </c>
      <c r="B526" s="925">
        <v>23</v>
      </c>
      <c r="C526" s="795" t="s">
        <v>2466</v>
      </c>
      <c r="D526" s="833" t="s">
        <v>8886</v>
      </c>
      <c r="G526" s="857">
        <v>2500</v>
      </c>
      <c r="I526" s="958">
        <f>Table2[[#This Row],[Opening]]+Table2[[#This Row],[Debit]]-Table2[[#This Row],[Credit]]</f>
        <v>2500</v>
      </c>
      <c r="J526" s="879"/>
    </row>
    <row r="527" spans="1:10" ht="24" customHeight="1" x14ac:dyDescent="0.6">
      <c r="A527" s="924">
        <v>44704</v>
      </c>
      <c r="B527" s="925">
        <v>23</v>
      </c>
      <c r="C527" s="795" t="s">
        <v>2466</v>
      </c>
      <c r="D527" s="833" t="s">
        <v>8886</v>
      </c>
      <c r="F527" s="808"/>
      <c r="G527" s="844">
        <v>2500</v>
      </c>
      <c r="H527" s="809"/>
      <c r="I527" s="958">
        <f>Table2[[#This Row],[Opening]]+Table2[[#This Row],[Debit]]-Table2[[#This Row],[Credit]]</f>
        <v>2500</v>
      </c>
      <c r="J527" s="879"/>
    </row>
    <row r="528" spans="1:10" ht="24" customHeight="1" x14ac:dyDescent="0.6">
      <c r="A528" s="924">
        <v>44704</v>
      </c>
      <c r="B528" s="925">
        <v>23</v>
      </c>
      <c r="C528" s="795" t="s">
        <v>7280</v>
      </c>
      <c r="D528" s="795" t="s">
        <v>9130</v>
      </c>
      <c r="G528" s="857">
        <v>6000</v>
      </c>
      <c r="I528" s="958">
        <f>Table2[[#This Row],[Opening]]+Table2[[#This Row],[Debit]]-Table2[[#This Row],[Credit]]</f>
        <v>6000</v>
      </c>
      <c r="J528" s="879"/>
    </row>
    <row r="529" spans="1:10" ht="24" customHeight="1" x14ac:dyDescent="0.6">
      <c r="A529" s="924">
        <v>44704</v>
      </c>
      <c r="B529" s="925">
        <v>23</v>
      </c>
      <c r="C529" s="795" t="s">
        <v>7280</v>
      </c>
      <c r="D529" s="795" t="s">
        <v>9130</v>
      </c>
      <c r="F529" s="808"/>
      <c r="G529" s="844">
        <v>260000</v>
      </c>
      <c r="H529" s="809"/>
      <c r="I529" s="958">
        <f>Table2[[#This Row],[Opening]]+Table2[[#This Row],[Debit]]-Table2[[#This Row],[Credit]]</f>
        <v>260000</v>
      </c>
      <c r="J529" s="879"/>
    </row>
    <row r="530" spans="1:10" ht="24" customHeight="1" x14ac:dyDescent="0.6">
      <c r="A530" s="924">
        <v>44704</v>
      </c>
      <c r="B530" s="925">
        <v>23</v>
      </c>
      <c r="C530" s="795" t="s">
        <v>2466</v>
      </c>
      <c r="D530" s="833" t="s">
        <v>8886</v>
      </c>
      <c r="G530" s="857">
        <v>2500</v>
      </c>
      <c r="I530" s="958">
        <f>Table2[[#This Row],[Opening]]+Table2[[#This Row],[Debit]]-Table2[[#This Row],[Credit]]</f>
        <v>2500</v>
      </c>
      <c r="J530" s="879"/>
    </row>
    <row r="531" spans="1:10" ht="24" customHeight="1" x14ac:dyDescent="0.6">
      <c r="A531" s="924">
        <v>44704</v>
      </c>
      <c r="B531" s="925">
        <v>23</v>
      </c>
      <c r="C531" s="795" t="s">
        <v>888</v>
      </c>
      <c r="D531" s="795" t="s">
        <v>8880</v>
      </c>
      <c r="F531" s="808"/>
      <c r="G531" s="844">
        <v>2678550</v>
      </c>
      <c r="H531" s="809"/>
      <c r="I531" s="958">
        <f>Table2[[#This Row],[Opening]]+Table2[[#This Row],[Debit]]-Table2[[#This Row],[Credit]]</f>
        <v>2678550</v>
      </c>
      <c r="J531" s="879"/>
    </row>
    <row r="532" spans="1:10" ht="24" customHeight="1" x14ac:dyDescent="0.6">
      <c r="A532" s="924">
        <v>44704</v>
      </c>
      <c r="B532" s="925">
        <v>23</v>
      </c>
      <c r="C532" s="795" t="s">
        <v>1267</v>
      </c>
      <c r="D532" s="807" t="s">
        <v>7209</v>
      </c>
      <c r="G532" s="857">
        <v>8900</v>
      </c>
      <c r="I532" s="958">
        <f>Table2[[#This Row],[Opening]]+Table2[[#This Row],[Debit]]-Table2[[#This Row],[Credit]]</f>
        <v>8900</v>
      </c>
      <c r="J532" s="879"/>
    </row>
    <row r="533" spans="1:10" ht="24" customHeight="1" x14ac:dyDescent="0.6">
      <c r="A533" s="924">
        <v>44704</v>
      </c>
      <c r="B533" s="925">
        <v>23</v>
      </c>
      <c r="C533" s="795" t="s">
        <v>39</v>
      </c>
      <c r="D533" s="795" t="s">
        <v>9037</v>
      </c>
      <c r="E533" s="795" t="s">
        <v>7271</v>
      </c>
      <c r="F533" s="808"/>
      <c r="G533" s="844"/>
      <c r="H533" s="809">
        <v>58500</v>
      </c>
      <c r="I533" s="958">
        <f>Table2[[#This Row],[Opening]]+Table2[[#This Row],[Debit]]-Table2[[#This Row],[Credit]]</f>
        <v>-58500</v>
      </c>
      <c r="J533" s="879"/>
    </row>
    <row r="534" spans="1:10" ht="24" customHeight="1" x14ac:dyDescent="0.6">
      <c r="A534" s="924">
        <v>44704</v>
      </c>
      <c r="B534" s="925">
        <v>23</v>
      </c>
      <c r="C534" s="795" t="s">
        <v>39</v>
      </c>
      <c r="D534" s="807" t="s">
        <v>8216</v>
      </c>
      <c r="E534" s="795" t="s">
        <v>7271</v>
      </c>
      <c r="G534" s="857"/>
      <c r="H534" s="798">
        <v>549000</v>
      </c>
      <c r="I534" s="958">
        <f>Table2[[#This Row],[Opening]]+Table2[[#This Row],[Debit]]-Table2[[#This Row],[Credit]]</f>
        <v>-549000</v>
      </c>
      <c r="J534" s="879"/>
    </row>
    <row r="535" spans="1:10" ht="24" customHeight="1" x14ac:dyDescent="0.6">
      <c r="A535" s="924">
        <v>44704</v>
      </c>
      <c r="B535" s="925">
        <v>23</v>
      </c>
      <c r="C535" s="795" t="s">
        <v>39</v>
      </c>
      <c r="D535" s="795" t="s">
        <v>9131</v>
      </c>
      <c r="E535" s="795" t="s">
        <v>7271</v>
      </c>
      <c r="F535" s="808"/>
      <c r="G535" s="844"/>
      <c r="H535" s="809">
        <v>371704</v>
      </c>
      <c r="I535" s="958">
        <f>Table2[[#This Row],[Opening]]+Table2[[#This Row],[Debit]]-Table2[[#This Row],[Credit]]</f>
        <v>-371704</v>
      </c>
      <c r="J535" s="879"/>
    </row>
    <row r="536" spans="1:10" ht="24" customHeight="1" x14ac:dyDescent="0.6">
      <c r="A536" s="924">
        <v>44704</v>
      </c>
      <c r="B536" s="925">
        <v>23</v>
      </c>
      <c r="C536" s="795" t="s">
        <v>1183</v>
      </c>
      <c r="D536" s="807" t="s">
        <v>9132</v>
      </c>
      <c r="G536" s="857"/>
      <c r="H536" s="798">
        <v>3700</v>
      </c>
      <c r="I536" s="958">
        <f>Table2[[#This Row],[Opening]]+Table2[[#This Row],[Debit]]-Table2[[#This Row],[Credit]]</f>
        <v>-3700</v>
      </c>
      <c r="J536" s="879"/>
    </row>
    <row r="537" spans="1:10" ht="24" customHeight="1" x14ac:dyDescent="0.6">
      <c r="A537" s="924">
        <v>44704</v>
      </c>
      <c r="B537" s="925">
        <v>23</v>
      </c>
      <c r="C537" s="795" t="s">
        <v>1143</v>
      </c>
      <c r="D537" s="795" t="s">
        <v>9133</v>
      </c>
      <c r="F537" s="808"/>
      <c r="G537" s="844"/>
      <c r="H537" s="809">
        <v>53400</v>
      </c>
      <c r="I537" s="958">
        <f>Table2[[#This Row],[Opening]]+Table2[[#This Row],[Debit]]-Table2[[#This Row],[Credit]]</f>
        <v>-53400</v>
      </c>
      <c r="J537" s="879"/>
    </row>
    <row r="538" spans="1:10" ht="24" customHeight="1" x14ac:dyDescent="0.6">
      <c r="A538" s="924">
        <v>44704</v>
      </c>
      <c r="B538" s="925">
        <v>23</v>
      </c>
      <c r="C538" s="795" t="s">
        <v>2352</v>
      </c>
      <c r="D538" s="807" t="s">
        <v>9134</v>
      </c>
      <c r="F538" s="835"/>
      <c r="G538" s="860"/>
      <c r="H538" s="836">
        <v>1800</v>
      </c>
      <c r="I538" s="958">
        <f>Table2[[#This Row],[Opening]]+Table2[[#This Row],[Debit]]-Table2[[#This Row],[Credit]]</f>
        <v>-1800</v>
      </c>
      <c r="J538" s="879"/>
    </row>
    <row r="539" spans="1:10" ht="24" customHeight="1" x14ac:dyDescent="0.6">
      <c r="A539" s="924">
        <v>44704</v>
      </c>
      <c r="B539" s="925">
        <v>23</v>
      </c>
      <c r="C539" s="795" t="s">
        <v>1240</v>
      </c>
      <c r="D539" s="795" t="s">
        <v>9135</v>
      </c>
      <c r="E539" s="795" t="s">
        <v>7269</v>
      </c>
      <c r="F539" s="808"/>
      <c r="G539" s="844"/>
      <c r="H539" s="809">
        <v>35000</v>
      </c>
      <c r="I539" s="958">
        <f>Table2[[#This Row],[Opening]]+Table2[[#This Row],[Debit]]-Table2[[#This Row],[Credit]]</f>
        <v>-35000</v>
      </c>
      <c r="J539" s="879"/>
    </row>
    <row r="540" spans="1:10" ht="24" customHeight="1" x14ac:dyDescent="0.6">
      <c r="A540" s="924">
        <v>44704</v>
      </c>
      <c r="B540" s="925">
        <v>23</v>
      </c>
      <c r="C540" s="795" t="s">
        <v>1240</v>
      </c>
      <c r="D540" s="807" t="s">
        <v>9136</v>
      </c>
      <c r="E540" s="795" t="s">
        <v>7269</v>
      </c>
      <c r="G540" s="857"/>
      <c r="H540" s="798">
        <v>15400</v>
      </c>
      <c r="I540" s="958">
        <f>Table2[[#This Row],[Opening]]+Table2[[#This Row],[Debit]]-Table2[[#This Row],[Credit]]</f>
        <v>-15400</v>
      </c>
      <c r="J540" s="879"/>
    </row>
    <row r="541" spans="1:10" ht="24" customHeight="1" x14ac:dyDescent="0.6">
      <c r="A541" s="924">
        <v>44704</v>
      </c>
      <c r="B541" s="925">
        <v>23</v>
      </c>
      <c r="C541" s="795" t="s">
        <v>1240</v>
      </c>
      <c r="D541" s="795" t="s">
        <v>9137</v>
      </c>
      <c r="E541" s="795" t="s">
        <v>7269</v>
      </c>
      <c r="F541" s="808"/>
      <c r="G541" s="844"/>
      <c r="H541" s="809">
        <v>17400</v>
      </c>
      <c r="I541" s="958">
        <f>Table2[[#This Row],[Opening]]+Table2[[#This Row],[Debit]]-Table2[[#This Row],[Credit]]</f>
        <v>-17400</v>
      </c>
      <c r="J541" s="879"/>
    </row>
    <row r="542" spans="1:10" ht="24" customHeight="1" x14ac:dyDescent="0.6">
      <c r="A542" s="924">
        <v>44704</v>
      </c>
      <c r="B542" s="925">
        <v>23</v>
      </c>
      <c r="C542" s="795" t="s">
        <v>1240</v>
      </c>
      <c r="D542" s="807" t="s">
        <v>9138</v>
      </c>
      <c r="E542" s="795" t="s">
        <v>7269</v>
      </c>
      <c r="G542" s="857"/>
      <c r="H542" s="798">
        <v>10400</v>
      </c>
      <c r="I542" s="958">
        <f>Table2[[#This Row],[Opening]]+Table2[[#This Row],[Debit]]-Table2[[#This Row],[Credit]]</f>
        <v>-10400</v>
      </c>
      <c r="J542" s="879"/>
    </row>
    <row r="543" spans="1:10" ht="24" customHeight="1" x14ac:dyDescent="0.6">
      <c r="A543" s="924">
        <v>44704</v>
      </c>
      <c r="B543" s="925">
        <v>23</v>
      </c>
      <c r="C543" s="795" t="s">
        <v>86</v>
      </c>
      <c r="D543" s="795" t="s">
        <v>9008</v>
      </c>
      <c r="F543" s="808"/>
      <c r="G543" s="844"/>
      <c r="H543" s="809">
        <v>10300</v>
      </c>
      <c r="I543" s="958">
        <f>Table2[[#This Row],[Opening]]+Table2[[#This Row],[Debit]]-Table2[[#This Row],[Credit]]</f>
        <v>-10300</v>
      </c>
      <c r="J543" s="879"/>
    </row>
    <row r="544" spans="1:10" ht="24" customHeight="1" x14ac:dyDescent="0.6">
      <c r="A544" s="924">
        <v>44704</v>
      </c>
      <c r="B544" s="925">
        <v>23</v>
      </c>
      <c r="C544" s="795" t="s">
        <v>1183</v>
      </c>
      <c r="D544" s="807" t="s">
        <v>8938</v>
      </c>
      <c r="G544" s="857"/>
      <c r="H544" s="798">
        <v>60000</v>
      </c>
      <c r="I544" s="958">
        <f>Table2[[#This Row],[Opening]]+Table2[[#This Row],[Debit]]-Table2[[#This Row],[Credit]]</f>
        <v>-60000</v>
      </c>
      <c r="J544" s="879"/>
    </row>
    <row r="545" spans="1:10" ht="24" customHeight="1" x14ac:dyDescent="0.6">
      <c r="A545" s="922">
        <v>44704</v>
      </c>
      <c r="B545" s="933">
        <v>23</v>
      </c>
      <c r="C545" s="878" t="s">
        <v>47</v>
      </c>
      <c r="D545" s="878" t="s">
        <v>57</v>
      </c>
      <c r="E545" s="878" t="s">
        <v>7274</v>
      </c>
      <c r="F545" s="838"/>
      <c r="G545" s="854"/>
      <c r="H545" s="839">
        <v>1500000</v>
      </c>
      <c r="I545" s="958">
        <f>Table2[[#This Row],[Opening]]+Table2[[#This Row],[Debit]]-Table2[[#This Row],[Credit]]</f>
        <v>-1500000</v>
      </c>
      <c r="J545" s="879"/>
    </row>
    <row r="546" spans="1:10" ht="24" customHeight="1" x14ac:dyDescent="0.6">
      <c r="A546" s="922">
        <v>44704</v>
      </c>
      <c r="B546" s="933">
        <v>23</v>
      </c>
      <c r="C546" s="878" t="s">
        <v>39</v>
      </c>
      <c r="D546" s="902" t="s">
        <v>8205</v>
      </c>
      <c r="E546" s="878" t="s">
        <v>7272</v>
      </c>
      <c r="G546" s="857"/>
      <c r="H546" s="798">
        <v>1655000</v>
      </c>
      <c r="I546" s="958">
        <f>Table2[[#This Row],[Opening]]+Table2[[#This Row],[Debit]]-Table2[[#This Row],[Credit]]</f>
        <v>-1655000</v>
      </c>
      <c r="J546" s="879"/>
    </row>
    <row r="547" spans="1:10" ht="24" customHeight="1" x14ac:dyDescent="0.6">
      <c r="A547" s="922">
        <v>44704</v>
      </c>
      <c r="B547" s="933">
        <v>23</v>
      </c>
      <c r="C547" s="878" t="s">
        <v>39</v>
      </c>
      <c r="D547" s="878" t="s">
        <v>8197</v>
      </c>
      <c r="E547" s="878" t="s">
        <v>7272</v>
      </c>
      <c r="F547" s="808"/>
      <c r="G547" s="844"/>
      <c r="H547" s="809">
        <v>654000</v>
      </c>
      <c r="I547" s="958">
        <f>Table2[[#This Row],[Opening]]+Table2[[#This Row],[Debit]]-Table2[[#This Row],[Credit]]</f>
        <v>-654000</v>
      </c>
      <c r="J547" s="879"/>
    </row>
    <row r="548" spans="1:10" ht="24" customHeight="1" x14ac:dyDescent="0.6">
      <c r="A548" s="922">
        <v>44704</v>
      </c>
      <c r="B548" s="933">
        <v>23</v>
      </c>
      <c r="C548" s="878" t="s">
        <v>39</v>
      </c>
      <c r="D548" s="902" t="s">
        <v>8970</v>
      </c>
      <c r="E548" s="878" t="s">
        <v>7272</v>
      </c>
      <c r="G548" s="857"/>
      <c r="H548" s="798">
        <v>108000</v>
      </c>
      <c r="I548" s="958">
        <f>Table2[[#This Row],[Opening]]+Table2[[#This Row],[Debit]]-Table2[[#This Row],[Credit]]</f>
        <v>-108000</v>
      </c>
      <c r="J548" s="879"/>
    </row>
    <row r="549" spans="1:10" ht="24" customHeight="1" x14ac:dyDescent="0.6">
      <c r="A549" s="922">
        <v>44704</v>
      </c>
      <c r="B549" s="933">
        <v>23</v>
      </c>
      <c r="C549" s="878" t="s">
        <v>39</v>
      </c>
      <c r="D549" s="878" t="s">
        <v>8970</v>
      </c>
      <c r="E549" s="878" t="s">
        <v>7272</v>
      </c>
      <c r="F549" s="808"/>
      <c r="G549" s="844"/>
      <c r="H549" s="809">
        <v>73700</v>
      </c>
      <c r="I549" s="958">
        <f>Table2[[#This Row],[Opening]]+Table2[[#This Row],[Debit]]-Table2[[#This Row],[Credit]]</f>
        <v>-73700</v>
      </c>
    </row>
    <row r="550" spans="1:10" ht="24" customHeight="1" thickBot="1" x14ac:dyDescent="0.65">
      <c r="A550" s="884">
        <v>44704</v>
      </c>
      <c r="B550" s="885">
        <v>23</v>
      </c>
      <c r="C550" s="886" t="s">
        <v>39</v>
      </c>
      <c r="D550" s="886" t="s">
        <v>8194</v>
      </c>
      <c r="E550" s="886" t="s">
        <v>7272</v>
      </c>
      <c r="F550" s="1252"/>
      <c r="G550" s="1237"/>
      <c r="H550" s="1238">
        <v>46800</v>
      </c>
      <c r="I550" s="959">
        <f>Table2[[#This Row],[Opening]]+Table2[[#This Row],[Debit]]-Table2[[#This Row],[Credit]]</f>
        <v>-46800</v>
      </c>
      <c r="J550" s="939"/>
    </row>
    <row r="551" spans="1:10" ht="24" customHeight="1" thickTop="1" x14ac:dyDescent="0.6">
      <c r="A551" s="934">
        <v>44705</v>
      </c>
      <c r="B551" s="935">
        <v>24</v>
      </c>
      <c r="C551" s="833" t="s">
        <v>905</v>
      </c>
      <c r="D551" s="834" t="s">
        <v>8879</v>
      </c>
      <c r="E551" s="833"/>
      <c r="F551" s="838"/>
      <c r="G551" s="854">
        <v>3000</v>
      </c>
      <c r="H551" s="839"/>
      <c r="I551" s="957">
        <f>Table2[[#This Row],[Opening]]+Table2[[#This Row],[Debit]]-Table2[[#This Row],[Credit]]</f>
        <v>3000</v>
      </c>
    </row>
    <row r="552" spans="1:10" ht="24" customHeight="1" x14ac:dyDescent="0.6">
      <c r="A552" s="934">
        <v>44705</v>
      </c>
      <c r="B552" s="935">
        <v>24</v>
      </c>
      <c r="C552" s="833" t="s">
        <v>905</v>
      </c>
      <c r="D552" s="834" t="s">
        <v>8879</v>
      </c>
      <c r="G552" s="857">
        <v>5000</v>
      </c>
      <c r="I552" s="958">
        <f>Table2[[#This Row],[Opening]]+Table2[[#This Row],[Debit]]-Table2[[#This Row],[Credit]]</f>
        <v>5000</v>
      </c>
      <c r="J552" s="939"/>
    </row>
    <row r="553" spans="1:10" ht="24" customHeight="1" x14ac:dyDescent="0.6">
      <c r="A553" s="934">
        <v>44705</v>
      </c>
      <c r="B553" s="935">
        <v>24</v>
      </c>
      <c r="C553" s="833" t="s">
        <v>905</v>
      </c>
      <c r="D553" s="834" t="s">
        <v>8879</v>
      </c>
      <c r="F553" s="808"/>
      <c r="G553" s="844">
        <v>80000</v>
      </c>
      <c r="H553" s="809"/>
      <c r="I553" s="958">
        <f>Table2[[#This Row],[Opening]]+Table2[[#This Row],[Debit]]-Table2[[#This Row],[Credit]]</f>
        <v>80000</v>
      </c>
    </row>
    <row r="554" spans="1:10" ht="24" customHeight="1" x14ac:dyDescent="0.6">
      <c r="A554" s="934">
        <v>44705</v>
      </c>
      <c r="B554" s="935">
        <v>24</v>
      </c>
      <c r="C554" s="833" t="s">
        <v>905</v>
      </c>
      <c r="D554" s="834" t="s">
        <v>8879</v>
      </c>
      <c r="G554" s="857">
        <v>5000</v>
      </c>
      <c r="I554" s="958">
        <f>Table2[[#This Row],[Opening]]+Table2[[#This Row],[Debit]]-Table2[[#This Row],[Credit]]</f>
        <v>5000</v>
      </c>
      <c r="J554" s="939"/>
    </row>
    <row r="555" spans="1:10" ht="24" customHeight="1" x14ac:dyDescent="0.6">
      <c r="A555" s="934">
        <v>44705</v>
      </c>
      <c r="B555" s="935">
        <v>24</v>
      </c>
      <c r="C555" s="795" t="s">
        <v>7281</v>
      </c>
      <c r="D555" s="807" t="s">
        <v>9139</v>
      </c>
      <c r="F555" s="808"/>
      <c r="G555" s="844">
        <v>15000</v>
      </c>
      <c r="H555" s="809"/>
      <c r="I555" s="958">
        <f>Table2[[#This Row],[Opening]]+Table2[[#This Row],[Debit]]-Table2[[#This Row],[Credit]]</f>
        <v>15000</v>
      </c>
    </row>
    <row r="556" spans="1:10" ht="24" customHeight="1" x14ac:dyDescent="0.6">
      <c r="A556" s="934">
        <v>44705</v>
      </c>
      <c r="B556" s="935">
        <v>24</v>
      </c>
      <c r="C556" s="833" t="s">
        <v>905</v>
      </c>
      <c r="D556" s="795" t="s">
        <v>8879</v>
      </c>
      <c r="G556" s="857">
        <v>1000</v>
      </c>
      <c r="I556" s="958">
        <f>Table2[[#This Row],[Opening]]+Table2[[#This Row],[Debit]]-Table2[[#This Row],[Credit]]</f>
        <v>1000</v>
      </c>
      <c r="J556" s="939"/>
    </row>
    <row r="557" spans="1:10" ht="24" customHeight="1" x14ac:dyDescent="0.6">
      <c r="A557" s="934">
        <v>44705</v>
      </c>
      <c r="B557" s="935">
        <v>24</v>
      </c>
      <c r="C557" s="833" t="s">
        <v>905</v>
      </c>
      <c r="D557" s="795" t="s">
        <v>8879</v>
      </c>
      <c r="F557" s="808"/>
      <c r="G557" s="844">
        <v>5000</v>
      </c>
      <c r="H557" s="809"/>
      <c r="I557" s="958">
        <f>Table2[[#This Row],[Opening]]+Table2[[#This Row],[Debit]]-Table2[[#This Row],[Credit]]</f>
        <v>5000</v>
      </c>
    </row>
    <row r="558" spans="1:10" ht="24" customHeight="1" x14ac:dyDescent="0.6">
      <c r="A558" s="934">
        <v>44705</v>
      </c>
      <c r="B558" s="935">
        <v>24</v>
      </c>
      <c r="C558" s="795" t="s">
        <v>888</v>
      </c>
      <c r="D558" s="795" t="s">
        <v>8880</v>
      </c>
      <c r="G558" s="857">
        <v>2577100</v>
      </c>
      <c r="I558" s="958">
        <f>Table2[[#This Row],[Opening]]+Table2[[#This Row],[Debit]]-Table2[[#This Row],[Credit]]</f>
        <v>2577100</v>
      </c>
      <c r="J558" s="939"/>
    </row>
    <row r="559" spans="1:10" ht="24" customHeight="1" x14ac:dyDescent="0.6">
      <c r="A559" s="934">
        <v>44705</v>
      </c>
      <c r="B559" s="935">
        <v>24</v>
      </c>
      <c r="C559" s="795" t="s">
        <v>1267</v>
      </c>
      <c r="D559" s="807" t="s">
        <v>7209</v>
      </c>
      <c r="F559" s="808"/>
      <c r="G559" s="844">
        <v>11600</v>
      </c>
      <c r="H559" s="809"/>
      <c r="I559" s="958">
        <f>Table2[[#This Row],[Opening]]+Table2[[#This Row],[Debit]]-Table2[[#This Row],[Credit]]</f>
        <v>11600</v>
      </c>
    </row>
    <row r="560" spans="1:10" ht="24" customHeight="1" x14ac:dyDescent="0.6">
      <c r="A560" s="934">
        <v>44705</v>
      </c>
      <c r="B560" s="935">
        <v>24</v>
      </c>
      <c r="C560" s="795" t="s">
        <v>86</v>
      </c>
      <c r="D560" s="795" t="s">
        <v>9140</v>
      </c>
      <c r="G560" s="857"/>
      <c r="H560" s="798">
        <v>2200</v>
      </c>
      <c r="I560" s="958">
        <f>Table2[[#This Row],[Opening]]+Table2[[#This Row],[Debit]]-Table2[[#This Row],[Credit]]</f>
        <v>-2200</v>
      </c>
      <c r="J560" s="939"/>
    </row>
    <row r="561" spans="1:10" ht="24" customHeight="1" x14ac:dyDescent="0.6">
      <c r="A561" s="934">
        <v>44705</v>
      </c>
      <c r="B561" s="935">
        <v>24</v>
      </c>
      <c r="C561" s="795" t="s">
        <v>86</v>
      </c>
      <c r="D561" s="807" t="s">
        <v>9141</v>
      </c>
      <c r="F561" s="808"/>
      <c r="G561" s="844"/>
      <c r="H561" s="809">
        <v>800</v>
      </c>
      <c r="I561" s="958">
        <f>Table2[[#This Row],[Opening]]+Table2[[#This Row],[Debit]]-Table2[[#This Row],[Credit]]</f>
        <v>-800</v>
      </c>
    </row>
    <row r="562" spans="1:10" ht="24" customHeight="1" x14ac:dyDescent="0.6">
      <c r="A562" s="934">
        <v>44705</v>
      </c>
      <c r="B562" s="935">
        <v>24</v>
      </c>
      <c r="C562" s="795" t="s">
        <v>1143</v>
      </c>
      <c r="D562" s="795" t="s">
        <v>9142</v>
      </c>
      <c r="G562" s="857"/>
      <c r="H562" s="798">
        <v>80000</v>
      </c>
      <c r="I562" s="958">
        <f>Table2[[#This Row],[Opening]]+Table2[[#This Row],[Debit]]-Table2[[#This Row],[Credit]]</f>
        <v>-80000</v>
      </c>
      <c r="J562" s="939"/>
    </row>
    <row r="563" spans="1:10" ht="24" customHeight="1" x14ac:dyDescent="0.6">
      <c r="A563" s="934">
        <v>44705</v>
      </c>
      <c r="B563" s="935">
        <v>24</v>
      </c>
      <c r="C563" s="795" t="s">
        <v>86</v>
      </c>
      <c r="D563" s="807" t="s">
        <v>8904</v>
      </c>
      <c r="F563" s="808"/>
      <c r="G563" s="844"/>
      <c r="H563" s="809">
        <v>5000</v>
      </c>
      <c r="I563" s="958">
        <f>Table2[[#This Row],[Opening]]+Table2[[#This Row],[Debit]]-Table2[[#This Row],[Credit]]</f>
        <v>-5000</v>
      </c>
    </row>
    <row r="564" spans="1:10" ht="24" customHeight="1" x14ac:dyDescent="0.6">
      <c r="A564" s="934">
        <v>44705</v>
      </c>
      <c r="B564" s="935">
        <v>24</v>
      </c>
      <c r="C564" s="795" t="s">
        <v>864</v>
      </c>
      <c r="D564" s="795" t="s">
        <v>9143</v>
      </c>
      <c r="G564" s="857"/>
      <c r="H564" s="798">
        <v>4500</v>
      </c>
      <c r="I564" s="958">
        <f>Table2[[#This Row],[Opening]]+Table2[[#This Row],[Debit]]-Table2[[#This Row],[Credit]]</f>
        <v>-4500</v>
      </c>
      <c r="J564" s="939"/>
    </row>
    <row r="565" spans="1:10" ht="24" customHeight="1" x14ac:dyDescent="0.6">
      <c r="A565" s="934">
        <v>44705</v>
      </c>
      <c r="B565" s="935">
        <v>24</v>
      </c>
      <c r="C565" s="795" t="s">
        <v>985</v>
      </c>
      <c r="D565" s="807" t="s">
        <v>9144</v>
      </c>
      <c r="F565" s="808"/>
      <c r="G565" s="844"/>
      <c r="H565" s="809">
        <v>35000</v>
      </c>
      <c r="I565" s="958">
        <f>Table2[[#This Row],[Opening]]+Table2[[#This Row],[Debit]]-Table2[[#This Row],[Credit]]</f>
        <v>-35000</v>
      </c>
    </row>
    <row r="566" spans="1:10" ht="24" customHeight="1" x14ac:dyDescent="0.6">
      <c r="A566" s="934">
        <v>44705</v>
      </c>
      <c r="B566" s="935">
        <v>24</v>
      </c>
      <c r="C566" s="795" t="s">
        <v>1240</v>
      </c>
      <c r="D566" s="795" t="s">
        <v>9145</v>
      </c>
      <c r="E566" s="795" t="s">
        <v>7269</v>
      </c>
      <c r="G566" s="857"/>
      <c r="H566" s="798">
        <v>44300</v>
      </c>
      <c r="I566" s="958">
        <f>Table2[[#This Row],[Opening]]+Table2[[#This Row],[Debit]]-Table2[[#This Row],[Credit]]</f>
        <v>-44300</v>
      </c>
      <c r="J566" s="939"/>
    </row>
    <row r="567" spans="1:10" ht="24" customHeight="1" x14ac:dyDescent="0.6">
      <c r="A567" s="934">
        <v>44705</v>
      </c>
      <c r="B567" s="935">
        <v>24</v>
      </c>
      <c r="C567" s="795" t="s">
        <v>1240</v>
      </c>
      <c r="D567" s="807" t="s">
        <v>9146</v>
      </c>
      <c r="E567" s="795" t="s">
        <v>7269</v>
      </c>
      <c r="F567" s="808"/>
      <c r="G567" s="844"/>
      <c r="H567" s="809">
        <v>42500</v>
      </c>
      <c r="I567" s="958">
        <f>Table2[[#This Row],[Opening]]+Table2[[#This Row],[Debit]]-Table2[[#This Row],[Credit]]</f>
        <v>-42500</v>
      </c>
    </row>
    <row r="568" spans="1:10" ht="24" customHeight="1" x14ac:dyDescent="0.6">
      <c r="A568" s="934">
        <v>44705</v>
      </c>
      <c r="B568" s="935">
        <v>24</v>
      </c>
      <c r="C568" s="795" t="s">
        <v>1240</v>
      </c>
      <c r="D568" s="795" t="s">
        <v>9147</v>
      </c>
      <c r="E568" s="795" t="s">
        <v>7269</v>
      </c>
      <c r="G568" s="857"/>
      <c r="H568" s="798">
        <v>29500</v>
      </c>
      <c r="I568" s="958">
        <f>Table2[[#This Row],[Opening]]+Table2[[#This Row],[Debit]]-Table2[[#This Row],[Credit]]</f>
        <v>-29500</v>
      </c>
      <c r="J568" s="939"/>
    </row>
    <row r="569" spans="1:10" ht="24" customHeight="1" x14ac:dyDescent="0.6">
      <c r="A569" s="934">
        <v>44705</v>
      </c>
      <c r="B569" s="935">
        <v>24</v>
      </c>
      <c r="C569" s="795" t="s">
        <v>1143</v>
      </c>
      <c r="D569" s="833" t="s">
        <v>9148</v>
      </c>
      <c r="F569" s="838"/>
      <c r="G569" s="854"/>
      <c r="H569" s="839">
        <v>42100</v>
      </c>
      <c r="I569" s="958">
        <f>Table2[[#This Row],[Opening]]+Table2[[#This Row],[Debit]]-Table2[[#This Row],[Credit]]</f>
        <v>-42100</v>
      </c>
    </row>
    <row r="570" spans="1:10" ht="24" customHeight="1" x14ac:dyDescent="0.6">
      <c r="A570" s="934">
        <v>44705</v>
      </c>
      <c r="B570" s="935">
        <v>24</v>
      </c>
      <c r="C570" s="795" t="s">
        <v>985</v>
      </c>
      <c r="D570" s="833" t="s">
        <v>9152</v>
      </c>
      <c r="G570" s="857"/>
      <c r="H570" s="798">
        <v>5000</v>
      </c>
      <c r="I570" s="958">
        <f>Table2[[#This Row],[Opening]]+Table2[[#This Row],[Debit]]-Table2[[#This Row],[Credit]]</f>
        <v>-5000</v>
      </c>
      <c r="J570" s="939"/>
    </row>
    <row r="571" spans="1:10" ht="24" customHeight="1" x14ac:dyDescent="0.6">
      <c r="A571" s="934">
        <v>44705</v>
      </c>
      <c r="B571" s="935">
        <v>24</v>
      </c>
      <c r="C571" s="795" t="s">
        <v>8494</v>
      </c>
      <c r="D571" s="833" t="s">
        <v>9149</v>
      </c>
      <c r="F571" s="808"/>
      <c r="G571" s="844"/>
      <c r="H571" s="809">
        <v>24000</v>
      </c>
      <c r="I571" s="958">
        <f>Table2[[#This Row],[Opening]]+Table2[[#This Row],[Debit]]-Table2[[#This Row],[Credit]]</f>
        <v>-24000</v>
      </c>
    </row>
    <row r="572" spans="1:10" ht="24" customHeight="1" x14ac:dyDescent="0.6">
      <c r="A572" s="934">
        <v>44705</v>
      </c>
      <c r="B572" s="935">
        <v>24</v>
      </c>
      <c r="C572" s="795" t="s">
        <v>2352</v>
      </c>
      <c r="D572" s="795" t="s">
        <v>9150</v>
      </c>
      <c r="G572" s="857"/>
      <c r="H572" s="798">
        <v>20100</v>
      </c>
      <c r="I572" s="958">
        <f>Table2[[#This Row],[Opening]]+Table2[[#This Row],[Debit]]-Table2[[#This Row],[Credit]]</f>
        <v>-20100</v>
      </c>
      <c r="J572" s="939"/>
    </row>
    <row r="573" spans="1:10" ht="24" customHeight="1" thickBot="1" x14ac:dyDescent="0.65">
      <c r="A573" s="1274">
        <v>44705</v>
      </c>
      <c r="B573" s="1275">
        <v>24</v>
      </c>
      <c r="C573" s="892" t="s">
        <v>864</v>
      </c>
      <c r="D573" s="1276" t="s">
        <v>9151</v>
      </c>
      <c r="E573" s="892"/>
      <c r="F573" s="1263"/>
      <c r="G573" s="871"/>
      <c r="H573" s="872">
        <v>2000</v>
      </c>
      <c r="I573" s="959">
        <f>Table2[[#This Row],[Opening]]+Table2[[#This Row],[Debit]]-Table2[[#This Row],[Credit]]</f>
        <v>-2000</v>
      </c>
    </row>
    <row r="574" spans="1:10" ht="24" customHeight="1" thickTop="1" x14ac:dyDescent="0.6">
      <c r="A574" s="934">
        <v>44706</v>
      </c>
      <c r="B574" s="935">
        <v>25</v>
      </c>
      <c r="C574" s="833" t="s">
        <v>905</v>
      </c>
      <c r="D574" s="833" t="s">
        <v>8879</v>
      </c>
      <c r="E574" s="833"/>
      <c r="F574" s="835"/>
      <c r="G574" s="860">
        <v>5000</v>
      </c>
      <c r="H574" s="836"/>
      <c r="I574" s="957">
        <f>Table2[[#This Row],[Opening]]+Table2[[#This Row],[Debit]]-Table2[[#This Row],[Credit]]</f>
        <v>5000</v>
      </c>
      <c r="J574" s="939"/>
    </row>
    <row r="575" spans="1:10" ht="24" customHeight="1" x14ac:dyDescent="0.6">
      <c r="A575" s="934">
        <v>44706</v>
      </c>
      <c r="B575" s="935">
        <v>25</v>
      </c>
      <c r="C575" s="795" t="s">
        <v>2466</v>
      </c>
      <c r="D575" s="807" t="s">
        <v>8886</v>
      </c>
      <c r="F575" s="808"/>
      <c r="G575" s="844">
        <v>8000</v>
      </c>
      <c r="H575" s="809"/>
      <c r="I575" s="958">
        <f>Table2[[#This Row],[Opening]]+Table2[[#This Row],[Debit]]-Table2[[#This Row],[Credit]]</f>
        <v>8000</v>
      </c>
    </row>
    <row r="576" spans="1:10" ht="24" customHeight="1" x14ac:dyDescent="0.6">
      <c r="A576" s="934">
        <v>44706</v>
      </c>
      <c r="B576" s="935">
        <v>25</v>
      </c>
      <c r="C576" s="795" t="s">
        <v>2466</v>
      </c>
      <c r="D576" s="807" t="s">
        <v>8886</v>
      </c>
      <c r="G576" s="857">
        <v>1000</v>
      </c>
      <c r="I576" s="958">
        <f>Table2[[#This Row],[Opening]]+Table2[[#This Row],[Debit]]-Table2[[#This Row],[Credit]]</f>
        <v>1000</v>
      </c>
      <c r="J576" s="939"/>
    </row>
    <row r="577" spans="1:10" ht="24" customHeight="1" x14ac:dyDescent="0.6">
      <c r="A577" s="934">
        <v>44706</v>
      </c>
      <c r="B577" s="935">
        <v>25</v>
      </c>
      <c r="C577" s="795" t="s">
        <v>905</v>
      </c>
      <c r="D577" s="833" t="s">
        <v>8879</v>
      </c>
      <c r="F577" s="808"/>
      <c r="G577" s="844">
        <v>6000</v>
      </c>
      <c r="H577" s="809"/>
      <c r="I577" s="958">
        <f>Table2[[#This Row],[Opening]]+Table2[[#This Row],[Debit]]-Table2[[#This Row],[Credit]]</f>
        <v>6000</v>
      </c>
    </row>
    <row r="578" spans="1:10" ht="24" customHeight="1" x14ac:dyDescent="0.6">
      <c r="A578" s="934">
        <v>44706</v>
      </c>
      <c r="B578" s="935">
        <v>25</v>
      </c>
      <c r="C578" s="795" t="s">
        <v>905</v>
      </c>
      <c r="D578" s="833" t="s">
        <v>8879</v>
      </c>
      <c r="G578" s="857">
        <v>2000</v>
      </c>
      <c r="I578" s="958">
        <f>Table2[[#This Row],[Opening]]+Table2[[#This Row],[Debit]]-Table2[[#This Row],[Credit]]</f>
        <v>2000</v>
      </c>
      <c r="J578" s="939"/>
    </row>
    <row r="579" spans="1:10" ht="24" customHeight="1" x14ac:dyDescent="0.6">
      <c r="A579" s="934">
        <v>44706</v>
      </c>
      <c r="B579" s="935">
        <v>25</v>
      </c>
      <c r="C579" s="795" t="s">
        <v>2466</v>
      </c>
      <c r="D579" s="807" t="s">
        <v>8886</v>
      </c>
      <c r="F579" s="808"/>
      <c r="G579" s="844">
        <v>1000</v>
      </c>
      <c r="H579" s="809"/>
      <c r="I579" s="958">
        <f>Table2[[#This Row],[Opening]]+Table2[[#This Row],[Debit]]-Table2[[#This Row],[Credit]]</f>
        <v>1000</v>
      </c>
    </row>
    <row r="580" spans="1:10" ht="24" customHeight="1" x14ac:dyDescent="0.6">
      <c r="A580" s="934">
        <v>44706</v>
      </c>
      <c r="B580" s="935">
        <v>25</v>
      </c>
      <c r="C580" s="795" t="s">
        <v>905</v>
      </c>
      <c r="D580" s="833" t="s">
        <v>8879</v>
      </c>
      <c r="G580" s="857">
        <v>8000</v>
      </c>
      <c r="I580" s="958">
        <f>Table2[[#This Row],[Opening]]+Table2[[#This Row],[Debit]]-Table2[[#This Row],[Credit]]</f>
        <v>8000</v>
      </c>
      <c r="J580" s="939"/>
    </row>
    <row r="581" spans="1:10" ht="24" customHeight="1" x14ac:dyDescent="0.6">
      <c r="A581" s="934">
        <v>44706</v>
      </c>
      <c r="B581" s="935">
        <v>25</v>
      </c>
      <c r="C581" s="795" t="s">
        <v>905</v>
      </c>
      <c r="D581" s="833" t="s">
        <v>8879</v>
      </c>
      <c r="F581" s="808"/>
      <c r="G581" s="844">
        <v>300000</v>
      </c>
      <c r="H581" s="809"/>
      <c r="I581" s="958">
        <f>Table2[[#This Row],[Opening]]+Table2[[#This Row],[Debit]]-Table2[[#This Row],[Credit]]</f>
        <v>300000</v>
      </c>
    </row>
    <row r="582" spans="1:10" ht="24" customHeight="1" x14ac:dyDescent="0.6">
      <c r="A582" s="934">
        <v>44706</v>
      </c>
      <c r="B582" s="935">
        <v>25</v>
      </c>
      <c r="C582" s="795" t="s">
        <v>905</v>
      </c>
      <c r="D582" s="833" t="s">
        <v>8879</v>
      </c>
      <c r="F582" s="835"/>
      <c r="G582" s="860">
        <v>8000</v>
      </c>
      <c r="H582" s="836"/>
      <c r="I582" s="958">
        <f>Table2[[#This Row],[Opening]]+Table2[[#This Row],[Debit]]-Table2[[#This Row],[Credit]]</f>
        <v>8000</v>
      </c>
      <c r="J582" s="939"/>
    </row>
    <row r="583" spans="1:10" ht="24" customHeight="1" x14ac:dyDescent="0.6">
      <c r="A583" s="934">
        <v>44706</v>
      </c>
      <c r="B583" s="935">
        <v>25</v>
      </c>
      <c r="C583" s="795" t="s">
        <v>888</v>
      </c>
      <c r="D583" s="851" t="s">
        <v>8880</v>
      </c>
      <c r="F583" s="808"/>
      <c r="G583" s="844">
        <v>3207950</v>
      </c>
      <c r="H583" s="809"/>
      <c r="I583" s="958">
        <f>Table2[[#This Row],[Opening]]+Table2[[#This Row],[Debit]]-Table2[[#This Row],[Credit]]</f>
        <v>3207950</v>
      </c>
    </row>
    <row r="584" spans="1:10" ht="24" customHeight="1" x14ac:dyDescent="0.6">
      <c r="A584" s="934">
        <v>44706</v>
      </c>
      <c r="B584" s="935">
        <v>25</v>
      </c>
      <c r="C584" s="795" t="s">
        <v>1267</v>
      </c>
      <c r="D584" s="851" t="s">
        <v>7209</v>
      </c>
      <c r="G584" s="857">
        <v>27350</v>
      </c>
      <c r="I584" s="958">
        <f>Table2[[#This Row],[Opening]]+Table2[[#This Row],[Debit]]-Table2[[#This Row],[Credit]]</f>
        <v>27350</v>
      </c>
      <c r="J584" s="939"/>
    </row>
    <row r="585" spans="1:10" ht="24" customHeight="1" x14ac:dyDescent="0.6">
      <c r="A585" s="934">
        <v>44706</v>
      </c>
      <c r="B585" s="935">
        <v>25</v>
      </c>
      <c r="C585" s="795" t="s">
        <v>2352</v>
      </c>
      <c r="D585" s="855" t="s">
        <v>9153</v>
      </c>
      <c r="F585" s="808"/>
      <c r="G585" s="844"/>
      <c r="H585" s="809">
        <v>8000</v>
      </c>
      <c r="I585" s="958">
        <f>Table2[[#This Row],[Opening]]+Table2[[#This Row],[Debit]]-Table2[[#This Row],[Credit]]</f>
        <v>-8000</v>
      </c>
    </row>
    <row r="586" spans="1:10" ht="24" customHeight="1" x14ac:dyDescent="0.6">
      <c r="A586" s="934">
        <v>44706</v>
      </c>
      <c r="B586" s="935">
        <v>25</v>
      </c>
      <c r="C586" s="795" t="s">
        <v>86</v>
      </c>
      <c r="D586" s="855" t="s">
        <v>8910</v>
      </c>
      <c r="G586" s="857"/>
      <c r="H586" s="798">
        <v>9200</v>
      </c>
      <c r="I586" s="958">
        <f>Table2[[#This Row],[Opening]]+Table2[[#This Row],[Debit]]-Table2[[#This Row],[Credit]]</f>
        <v>-9200</v>
      </c>
      <c r="J586" s="939"/>
    </row>
    <row r="587" spans="1:10" ht="24" customHeight="1" x14ac:dyDescent="0.6">
      <c r="A587" s="934">
        <v>44706</v>
      </c>
      <c r="B587" s="935">
        <v>25</v>
      </c>
      <c r="C587" s="795" t="s">
        <v>39</v>
      </c>
      <c r="D587" s="855" t="s">
        <v>8198</v>
      </c>
      <c r="E587" s="795" t="s">
        <v>7271</v>
      </c>
      <c r="F587" s="808"/>
      <c r="G587" s="844"/>
      <c r="H587" s="809">
        <v>103250</v>
      </c>
      <c r="I587" s="958">
        <f>Table2[[#This Row],[Opening]]+Table2[[#This Row],[Debit]]-Table2[[#This Row],[Credit]]</f>
        <v>-103250</v>
      </c>
    </row>
    <row r="588" spans="1:10" ht="24" customHeight="1" x14ac:dyDescent="0.6">
      <c r="A588" s="934">
        <v>44706</v>
      </c>
      <c r="B588" s="935">
        <v>25</v>
      </c>
      <c r="C588" s="795" t="s">
        <v>47</v>
      </c>
      <c r="D588" s="855" t="s">
        <v>9154</v>
      </c>
      <c r="E588" s="795" t="s">
        <v>7271</v>
      </c>
      <c r="F588" s="808"/>
      <c r="G588" s="844"/>
      <c r="H588" s="809">
        <v>765000</v>
      </c>
      <c r="I588" s="958">
        <f>Table2[[#This Row],[Opening]]+Table2[[#This Row],[Debit]]-Table2[[#This Row],[Credit]]</f>
        <v>-765000</v>
      </c>
      <c r="J588" s="939"/>
    </row>
    <row r="589" spans="1:10" ht="24" customHeight="1" x14ac:dyDescent="0.6">
      <c r="A589" s="934">
        <v>44706</v>
      </c>
      <c r="B589" s="935">
        <v>25</v>
      </c>
      <c r="C589" s="795" t="s">
        <v>1183</v>
      </c>
      <c r="D589" s="855" t="s">
        <v>9155</v>
      </c>
      <c r="F589" s="808"/>
      <c r="G589" s="844"/>
      <c r="H589" s="809">
        <v>5000</v>
      </c>
      <c r="I589" s="958">
        <f>Table2[[#This Row],[Opening]]+Table2[[#This Row],[Debit]]-Table2[[#This Row],[Credit]]</f>
        <v>-5000</v>
      </c>
    </row>
    <row r="590" spans="1:10" ht="24" customHeight="1" x14ac:dyDescent="0.6">
      <c r="A590" s="934">
        <v>44706</v>
      </c>
      <c r="B590" s="935">
        <v>25</v>
      </c>
      <c r="C590" s="795" t="s">
        <v>985</v>
      </c>
      <c r="D590" s="855" t="s">
        <v>7878</v>
      </c>
      <c r="F590" s="808"/>
      <c r="G590" s="844"/>
      <c r="H590" s="809">
        <v>3000</v>
      </c>
      <c r="I590" s="958">
        <f>Table2[[#This Row],[Opening]]+Table2[[#This Row],[Debit]]-Table2[[#This Row],[Credit]]</f>
        <v>-3000</v>
      </c>
      <c r="J590" s="939"/>
    </row>
    <row r="591" spans="1:10" ht="24" customHeight="1" x14ac:dyDescent="0.6">
      <c r="A591" s="934">
        <v>44706</v>
      </c>
      <c r="B591" s="935">
        <v>25</v>
      </c>
      <c r="C591" s="795" t="s">
        <v>2352</v>
      </c>
      <c r="D591" s="842" t="s">
        <v>9156</v>
      </c>
      <c r="G591" s="857"/>
      <c r="H591" s="798">
        <v>22800</v>
      </c>
      <c r="I591" s="958">
        <f>Table2[[#This Row],[Opening]]+Table2[[#This Row],[Debit]]-Table2[[#This Row],[Credit]]</f>
        <v>-22800</v>
      </c>
    </row>
    <row r="592" spans="1:10" ht="24" customHeight="1" x14ac:dyDescent="0.6">
      <c r="A592" s="934">
        <v>44706</v>
      </c>
      <c r="B592" s="935">
        <v>25</v>
      </c>
      <c r="C592" s="795" t="s">
        <v>8936</v>
      </c>
      <c r="D592" s="855" t="s">
        <v>9157</v>
      </c>
      <c r="F592" s="808"/>
      <c r="G592" s="844"/>
      <c r="H592" s="809">
        <v>63000</v>
      </c>
      <c r="I592" s="958">
        <f>Table2[[#This Row],[Opening]]+Table2[[#This Row],[Debit]]-Table2[[#This Row],[Credit]]</f>
        <v>-63000</v>
      </c>
      <c r="J592" s="939"/>
    </row>
    <row r="593" spans="1:10" ht="24" customHeight="1" x14ac:dyDescent="0.6">
      <c r="A593" s="934">
        <v>44706</v>
      </c>
      <c r="B593" s="935">
        <v>25</v>
      </c>
      <c r="C593" s="795" t="s">
        <v>1240</v>
      </c>
      <c r="D593" s="795" t="s">
        <v>9158</v>
      </c>
      <c r="E593" s="795" t="s">
        <v>7269</v>
      </c>
      <c r="G593" s="857"/>
      <c r="H593" s="798">
        <v>8500</v>
      </c>
      <c r="I593" s="958">
        <f>Table2[[#This Row],[Opening]]+Table2[[#This Row],[Debit]]-Table2[[#This Row],[Credit]]</f>
        <v>-8500</v>
      </c>
    </row>
    <row r="594" spans="1:10" ht="24" customHeight="1" x14ac:dyDescent="0.6">
      <c r="A594" s="934">
        <v>44706</v>
      </c>
      <c r="B594" s="935">
        <v>25</v>
      </c>
      <c r="C594" s="795" t="s">
        <v>1240</v>
      </c>
      <c r="D594" s="795" t="s">
        <v>9159</v>
      </c>
      <c r="E594" s="795" t="s">
        <v>7269</v>
      </c>
      <c r="F594" s="808"/>
      <c r="G594" s="844"/>
      <c r="H594" s="809">
        <v>20000</v>
      </c>
      <c r="I594" s="958">
        <f>Table2[[#This Row],[Opening]]+Table2[[#This Row],[Debit]]-Table2[[#This Row],[Credit]]</f>
        <v>-20000</v>
      </c>
      <c r="J594" s="939"/>
    </row>
    <row r="595" spans="1:10" ht="24" customHeight="1" x14ac:dyDescent="0.6">
      <c r="A595" s="934">
        <v>44706</v>
      </c>
      <c r="B595" s="935">
        <v>25</v>
      </c>
      <c r="C595" s="795" t="s">
        <v>1240</v>
      </c>
      <c r="D595" s="795" t="s">
        <v>9160</v>
      </c>
      <c r="E595" s="795" t="s">
        <v>7269</v>
      </c>
      <c r="G595" s="857"/>
      <c r="H595" s="798">
        <v>23800</v>
      </c>
      <c r="I595" s="958">
        <f>Table2[[#This Row],[Opening]]+Table2[[#This Row],[Debit]]-Table2[[#This Row],[Credit]]</f>
        <v>-23800</v>
      </c>
    </row>
    <row r="596" spans="1:10" ht="24" customHeight="1" x14ac:dyDescent="0.6">
      <c r="A596" s="934">
        <v>44706</v>
      </c>
      <c r="B596" s="935">
        <v>25</v>
      </c>
      <c r="C596" s="795" t="s">
        <v>1240</v>
      </c>
      <c r="D596" s="795" t="s">
        <v>9161</v>
      </c>
      <c r="E596" s="795" t="s">
        <v>7269</v>
      </c>
      <c r="F596" s="808"/>
      <c r="G596" s="844"/>
      <c r="H596" s="809">
        <v>43700</v>
      </c>
      <c r="I596" s="958">
        <f>Table2[[#This Row],[Opening]]+Table2[[#This Row],[Debit]]-Table2[[#This Row],[Credit]]</f>
        <v>-43700</v>
      </c>
      <c r="J596" s="939"/>
    </row>
    <row r="597" spans="1:10" ht="24" customHeight="1" x14ac:dyDescent="0.6">
      <c r="A597" s="934">
        <v>44706</v>
      </c>
      <c r="B597" s="935">
        <v>25</v>
      </c>
      <c r="C597" s="795" t="s">
        <v>1240</v>
      </c>
      <c r="D597" s="833" t="s">
        <v>9162</v>
      </c>
      <c r="E597" s="795" t="s">
        <v>7269</v>
      </c>
      <c r="F597" s="835"/>
      <c r="G597" s="860"/>
      <c r="H597" s="836">
        <v>18000</v>
      </c>
      <c r="I597" s="958">
        <f>Table2[[#This Row],[Opening]]+Table2[[#This Row],[Debit]]-Table2[[#This Row],[Credit]]</f>
        <v>-18000</v>
      </c>
    </row>
    <row r="598" spans="1:10" ht="24" customHeight="1" x14ac:dyDescent="0.6">
      <c r="A598" s="934">
        <v>44706</v>
      </c>
      <c r="B598" s="935">
        <v>25</v>
      </c>
      <c r="C598" s="795" t="s">
        <v>864</v>
      </c>
      <c r="D598" s="807" t="s">
        <v>9163</v>
      </c>
      <c r="F598" s="808"/>
      <c r="G598" s="844"/>
      <c r="H598" s="809">
        <v>2100</v>
      </c>
      <c r="I598" s="958">
        <f>Table2[[#This Row],[Opening]]+Table2[[#This Row],[Debit]]-Table2[[#This Row],[Credit]]</f>
        <v>-2100</v>
      </c>
      <c r="J598" s="939"/>
    </row>
    <row r="599" spans="1:10" ht="24" customHeight="1" x14ac:dyDescent="0.6">
      <c r="A599" s="934">
        <v>44706</v>
      </c>
      <c r="B599" s="935">
        <v>25</v>
      </c>
      <c r="C599" s="795" t="s">
        <v>863</v>
      </c>
      <c r="D599" s="795" t="s">
        <v>9164</v>
      </c>
      <c r="G599" s="857"/>
      <c r="H599" s="798">
        <v>31500</v>
      </c>
      <c r="I599" s="958">
        <f>Table2[[#This Row],[Opening]]+Table2[[#This Row],[Debit]]-Table2[[#This Row],[Credit]]</f>
        <v>-31500</v>
      </c>
    </row>
    <row r="600" spans="1:10" ht="24" customHeight="1" x14ac:dyDescent="0.6">
      <c r="A600" s="934">
        <v>44706</v>
      </c>
      <c r="B600" s="935">
        <v>25</v>
      </c>
      <c r="C600" s="795" t="s">
        <v>86</v>
      </c>
      <c r="D600" s="807" t="s">
        <v>9165</v>
      </c>
      <c r="F600" s="808"/>
      <c r="G600" s="844"/>
      <c r="H600" s="809">
        <v>88000</v>
      </c>
      <c r="I600" s="958">
        <f>Table2[[#This Row],[Opening]]+Table2[[#This Row],[Debit]]-Table2[[#This Row],[Credit]]</f>
        <v>-88000</v>
      </c>
      <c r="J600" s="939"/>
    </row>
    <row r="601" spans="1:10" ht="24" customHeight="1" x14ac:dyDescent="0.6">
      <c r="A601" s="934">
        <v>44706</v>
      </c>
      <c r="B601" s="935">
        <v>25</v>
      </c>
      <c r="C601" s="795" t="s">
        <v>1183</v>
      </c>
      <c r="D601" s="795" t="s">
        <v>8893</v>
      </c>
      <c r="G601" s="857"/>
      <c r="H601" s="798">
        <v>17000</v>
      </c>
      <c r="I601" s="958">
        <f>Table2[[#This Row],[Opening]]+Table2[[#This Row],[Debit]]-Table2[[#This Row],[Credit]]</f>
        <v>-17000</v>
      </c>
    </row>
    <row r="602" spans="1:10" ht="24" customHeight="1" x14ac:dyDescent="0.6">
      <c r="A602" s="934">
        <v>44706</v>
      </c>
      <c r="B602" s="935">
        <v>25</v>
      </c>
      <c r="C602" s="795" t="s">
        <v>1183</v>
      </c>
      <c r="D602" s="807" t="s">
        <v>8927</v>
      </c>
      <c r="F602" s="808"/>
      <c r="G602" s="844"/>
      <c r="H602" s="809">
        <v>1000</v>
      </c>
      <c r="I602" s="958">
        <f>Table2[[#This Row],[Opening]]+Table2[[#This Row],[Debit]]-Table2[[#This Row],[Credit]]</f>
        <v>-1000</v>
      </c>
      <c r="J602" s="939"/>
    </row>
    <row r="603" spans="1:10" ht="24" customHeight="1" thickBot="1" x14ac:dyDescent="0.65">
      <c r="A603" s="1274">
        <v>44706</v>
      </c>
      <c r="B603" s="1275">
        <v>25</v>
      </c>
      <c r="C603" s="892" t="s">
        <v>1183</v>
      </c>
      <c r="D603" s="892" t="s">
        <v>9166</v>
      </c>
      <c r="E603" s="892"/>
      <c r="F603" s="1252"/>
      <c r="G603" s="1237"/>
      <c r="H603" s="1238">
        <v>300000</v>
      </c>
      <c r="I603" s="959">
        <f>Table2[[#This Row],[Opening]]+Table2[[#This Row],[Debit]]-Table2[[#This Row],[Credit]]</f>
        <v>-300000</v>
      </c>
    </row>
    <row r="604" spans="1:10" ht="24" customHeight="1" thickTop="1" x14ac:dyDescent="0.6">
      <c r="A604" s="934">
        <v>44707</v>
      </c>
      <c r="B604" s="935">
        <v>26</v>
      </c>
      <c r="C604" s="833" t="s">
        <v>2466</v>
      </c>
      <c r="D604" s="807" t="s">
        <v>8886</v>
      </c>
      <c r="E604" s="833"/>
      <c r="F604" s="838"/>
      <c r="G604" s="854">
        <v>90000</v>
      </c>
      <c r="H604" s="839"/>
      <c r="I604" s="957">
        <f>Table2[[#This Row],[Opening]]+Table2[[#This Row],[Debit]]-Table2[[#This Row],[Credit]]</f>
        <v>90000</v>
      </c>
      <c r="J604" s="939"/>
    </row>
    <row r="605" spans="1:10" ht="24" customHeight="1" x14ac:dyDescent="0.6">
      <c r="A605" s="934">
        <v>44707</v>
      </c>
      <c r="B605" s="935">
        <v>26</v>
      </c>
      <c r="C605" s="833" t="s">
        <v>2466</v>
      </c>
      <c r="D605" s="807" t="s">
        <v>8886</v>
      </c>
      <c r="G605" s="857">
        <v>2200</v>
      </c>
      <c r="I605" s="958">
        <f>Table2[[#This Row],[Opening]]+Table2[[#This Row],[Debit]]-Table2[[#This Row],[Credit]]</f>
        <v>2200</v>
      </c>
    </row>
    <row r="606" spans="1:10" ht="24" customHeight="1" x14ac:dyDescent="0.6">
      <c r="A606" s="934">
        <v>44707</v>
      </c>
      <c r="B606" s="935">
        <v>26</v>
      </c>
      <c r="C606" s="833" t="s">
        <v>2466</v>
      </c>
      <c r="D606" s="807" t="s">
        <v>8886</v>
      </c>
      <c r="F606" s="808"/>
      <c r="G606" s="844">
        <v>400</v>
      </c>
      <c r="H606" s="809"/>
      <c r="I606" s="958">
        <f>Table2[[#This Row],[Opening]]+Table2[[#This Row],[Debit]]-Table2[[#This Row],[Credit]]</f>
        <v>400</v>
      </c>
      <c r="J606" s="939"/>
    </row>
    <row r="607" spans="1:10" ht="24" customHeight="1" x14ac:dyDescent="0.6">
      <c r="A607" s="934">
        <v>44707</v>
      </c>
      <c r="B607" s="935">
        <v>26</v>
      </c>
      <c r="C607" s="795" t="s">
        <v>905</v>
      </c>
      <c r="D607" s="795" t="s">
        <v>8879</v>
      </c>
      <c r="G607" s="857">
        <v>10000</v>
      </c>
      <c r="I607" s="958">
        <f>Table2[[#This Row],[Opening]]+Table2[[#This Row],[Debit]]-Table2[[#This Row],[Credit]]</f>
        <v>10000</v>
      </c>
    </row>
    <row r="608" spans="1:10" ht="24" customHeight="1" x14ac:dyDescent="0.6">
      <c r="A608" s="934">
        <v>44707</v>
      </c>
      <c r="B608" s="935">
        <v>26</v>
      </c>
      <c r="C608" s="795" t="s">
        <v>2466</v>
      </c>
      <c r="D608" s="807" t="s">
        <v>8886</v>
      </c>
      <c r="F608" s="808"/>
      <c r="G608" s="844">
        <v>2500</v>
      </c>
      <c r="H608" s="809"/>
      <c r="I608" s="958">
        <f>Table2[[#This Row],[Opening]]+Table2[[#This Row],[Debit]]-Table2[[#This Row],[Credit]]</f>
        <v>2500</v>
      </c>
      <c r="J608" s="939"/>
    </row>
    <row r="609" spans="1:11" ht="24" customHeight="1" x14ac:dyDescent="0.6">
      <c r="A609" s="934">
        <v>44707</v>
      </c>
      <c r="B609" s="935">
        <v>26</v>
      </c>
      <c r="C609" s="795" t="s">
        <v>2466</v>
      </c>
      <c r="D609" s="807" t="s">
        <v>8886</v>
      </c>
      <c r="G609" s="857">
        <v>1000</v>
      </c>
      <c r="I609" s="958">
        <f>Table2[[#This Row],[Opening]]+Table2[[#This Row],[Debit]]-Table2[[#This Row],[Credit]]</f>
        <v>1000</v>
      </c>
    </row>
    <row r="610" spans="1:11" ht="24" customHeight="1" x14ac:dyDescent="0.6">
      <c r="A610" s="934">
        <v>44707</v>
      </c>
      <c r="B610" s="935">
        <v>26</v>
      </c>
      <c r="C610" s="795" t="s">
        <v>905</v>
      </c>
      <c r="D610" s="807" t="s">
        <v>8879</v>
      </c>
      <c r="F610" s="808"/>
      <c r="G610" s="844">
        <v>1000</v>
      </c>
      <c r="H610" s="809"/>
      <c r="I610" s="958">
        <f>Table2[[#This Row],[Opening]]+Table2[[#This Row],[Debit]]-Table2[[#This Row],[Credit]]</f>
        <v>1000</v>
      </c>
      <c r="J610" s="939"/>
    </row>
    <row r="611" spans="1:11" ht="24" customHeight="1" x14ac:dyDescent="0.6">
      <c r="A611" s="934">
        <v>44707</v>
      </c>
      <c r="B611" s="935">
        <v>26</v>
      </c>
      <c r="C611" s="795" t="s">
        <v>888</v>
      </c>
      <c r="D611" s="851" t="s">
        <v>8880</v>
      </c>
      <c r="G611" s="857">
        <v>2108750</v>
      </c>
      <c r="I611" s="958">
        <f>Table2[[#This Row],[Opening]]+Table2[[#This Row],[Debit]]-Table2[[#This Row],[Credit]]</f>
        <v>2108750</v>
      </c>
    </row>
    <row r="612" spans="1:11" ht="24" customHeight="1" x14ac:dyDescent="0.6">
      <c r="A612" s="934">
        <v>44707</v>
      </c>
      <c r="B612" s="935">
        <v>26</v>
      </c>
      <c r="C612" s="795" t="s">
        <v>1267</v>
      </c>
      <c r="D612" s="795" t="s">
        <v>7209</v>
      </c>
      <c r="G612" s="857">
        <v>24500</v>
      </c>
      <c r="I612" s="958">
        <f>Table2[[#This Row],[Opening]]+Table2[[#This Row],[Debit]]-Table2[[#This Row],[Credit]]</f>
        <v>24500</v>
      </c>
      <c r="J612" s="939"/>
    </row>
    <row r="613" spans="1:11" ht="24" customHeight="1" x14ac:dyDescent="0.6">
      <c r="A613" s="934">
        <v>44707</v>
      </c>
      <c r="B613" s="935">
        <v>26</v>
      </c>
      <c r="C613" s="795" t="s">
        <v>2352</v>
      </c>
      <c r="D613" s="807" t="s">
        <v>9171</v>
      </c>
      <c r="F613" s="808"/>
      <c r="G613" s="857"/>
      <c r="H613" s="809">
        <v>400</v>
      </c>
      <c r="I613" s="958">
        <f>Table2[[#This Row],[Opening]]+Table2[[#This Row],[Debit]]-Table2[[#This Row],[Credit]]</f>
        <v>-400</v>
      </c>
      <c r="K613" s="741" t="s">
        <v>3205</v>
      </c>
    </row>
    <row r="614" spans="1:11" ht="24" customHeight="1" x14ac:dyDescent="0.6">
      <c r="A614" s="934">
        <v>44707</v>
      </c>
      <c r="B614" s="935">
        <v>26</v>
      </c>
      <c r="C614" s="795" t="s">
        <v>86</v>
      </c>
      <c r="D614" s="795" t="s">
        <v>9167</v>
      </c>
      <c r="G614" s="857"/>
      <c r="H614" s="798">
        <v>12000</v>
      </c>
      <c r="I614" s="958">
        <f>Table2[[#This Row],[Opening]]+Table2[[#This Row],[Debit]]-Table2[[#This Row],[Credit]]</f>
        <v>-12000</v>
      </c>
      <c r="J614" s="939"/>
    </row>
    <row r="615" spans="1:11" ht="24" customHeight="1" x14ac:dyDescent="0.6">
      <c r="A615" s="934">
        <v>44707</v>
      </c>
      <c r="B615" s="935">
        <v>26</v>
      </c>
      <c r="C615" s="795" t="s">
        <v>981</v>
      </c>
      <c r="D615" s="807" t="s">
        <v>8929</v>
      </c>
      <c r="F615" s="808"/>
      <c r="G615" s="844"/>
      <c r="H615" s="809">
        <v>16000</v>
      </c>
      <c r="I615" s="958">
        <f>Table2[[#This Row],[Opening]]+Table2[[#This Row],[Debit]]-Table2[[#This Row],[Credit]]</f>
        <v>-16000</v>
      </c>
    </row>
    <row r="616" spans="1:11" ht="24" customHeight="1" x14ac:dyDescent="0.6">
      <c r="A616" s="934">
        <v>44707</v>
      </c>
      <c r="B616" s="935">
        <v>26</v>
      </c>
      <c r="C616" s="795" t="s">
        <v>2352</v>
      </c>
      <c r="D616" s="795" t="s">
        <v>9168</v>
      </c>
      <c r="G616" s="857"/>
      <c r="H616" s="798">
        <v>42000</v>
      </c>
      <c r="I616" s="958">
        <f>Table2[[#This Row],[Opening]]+Table2[[#This Row],[Debit]]-Table2[[#This Row],[Credit]]</f>
        <v>-42000</v>
      </c>
      <c r="J616" s="939"/>
    </row>
    <row r="617" spans="1:11" ht="24" customHeight="1" x14ac:dyDescent="0.6">
      <c r="A617" s="934">
        <v>44707</v>
      </c>
      <c r="B617" s="935">
        <v>26</v>
      </c>
      <c r="C617" s="795" t="s">
        <v>2352</v>
      </c>
      <c r="D617" s="807" t="s">
        <v>9169</v>
      </c>
      <c r="F617" s="808"/>
      <c r="G617" s="844"/>
      <c r="H617" s="809">
        <v>15000</v>
      </c>
      <c r="I617" s="958">
        <f>Table2[[#This Row],[Opening]]+Table2[[#This Row],[Debit]]-Table2[[#This Row],[Credit]]</f>
        <v>-15000</v>
      </c>
    </row>
    <row r="618" spans="1:11" ht="24" customHeight="1" x14ac:dyDescent="0.6">
      <c r="A618" s="934">
        <v>44707</v>
      </c>
      <c r="B618" s="935">
        <v>26</v>
      </c>
      <c r="C618" s="795" t="s">
        <v>1143</v>
      </c>
      <c r="D618" s="795" t="s">
        <v>9170</v>
      </c>
      <c r="G618" s="857"/>
      <c r="H618" s="798">
        <v>10000</v>
      </c>
      <c r="I618" s="958">
        <f>Table2[[#This Row],[Opening]]+Table2[[#This Row],[Debit]]-Table2[[#This Row],[Credit]]</f>
        <v>-10000</v>
      </c>
      <c r="J618" s="939"/>
    </row>
    <row r="619" spans="1:11" ht="24" customHeight="1" x14ac:dyDescent="0.6">
      <c r="A619" s="934">
        <v>44707</v>
      </c>
      <c r="B619" s="935">
        <v>26</v>
      </c>
      <c r="C619" s="795" t="s">
        <v>8936</v>
      </c>
      <c r="D619" s="807" t="s">
        <v>9172</v>
      </c>
      <c r="F619" s="808"/>
      <c r="G619" s="844"/>
      <c r="H619" s="809">
        <v>150000</v>
      </c>
      <c r="I619" s="958">
        <f>Table2[[#This Row],[Opening]]+Table2[[#This Row],[Debit]]-Table2[[#This Row],[Credit]]</f>
        <v>-150000</v>
      </c>
    </row>
    <row r="620" spans="1:11" ht="24" customHeight="1" x14ac:dyDescent="0.6">
      <c r="A620" s="934">
        <v>44707</v>
      </c>
      <c r="B620" s="935">
        <v>26</v>
      </c>
      <c r="C620" s="795" t="s">
        <v>1143</v>
      </c>
      <c r="D620" s="795" t="s">
        <v>9173</v>
      </c>
      <c r="G620" s="857"/>
      <c r="H620" s="798">
        <v>12000</v>
      </c>
      <c r="I620" s="958">
        <f>Table2[[#This Row],[Opening]]+Table2[[#This Row],[Debit]]-Table2[[#This Row],[Credit]]</f>
        <v>-12000</v>
      </c>
      <c r="J620" s="939"/>
    </row>
    <row r="621" spans="1:11" ht="24" customHeight="1" x14ac:dyDescent="0.6">
      <c r="A621" s="934">
        <v>44707</v>
      </c>
      <c r="B621" s="935">
        <v>26</v>
      </c>
      <c r="C621" s="795" t="s">
        <v>1240</v>
      </c>
      <c r="D621" s="795" t="s">
        <v>9174</v>
      </c>
      <c r="E621" s="795" t="s">
        <v>7269</v>
      </c>
      <c r="F621" s="808"/>
      <c r="G621" s="844"/>
      <c r="H621" s="809">
        <v>25800</v>
      </c>
      <c r="I621" s="958">
        <f>Table2[[#This Row],[Opening]]+Table2[[#This Row],[Debit]]-Table2[[#This Row],[Credit]]</f>
        <v>-25800</v>
      </c>
    </row>
    <row r="622" spans="1:11" ht="24" customHeight="1" x14ac:dyDescent="0.6">
      <c r="A622" s="934">
        <v>44707</v>
      </c>
      <c r="B622" s="935">
        <v>26</v>
      </c>
      <c r="C622" s="795" t="s">
        <v>1240</v>
      </c>
      <c r="D622" s="795" t="s">
        <v>9175</v>
      </c>
      <c r="E622" s="795" t="s">
        <v>7269</v>
      </c>
      <c r="G622" s="857"/>
      <c r="H622" s="798">
        <v>3800</v>
      </c>
      <c r="I622" s="958">
        <f>Table2[[#This Row],[Opening]]+Table2[[#This Row],[Debit]]-Table2[[#This Row],[Credit]]</f>
        <v>-3800</v>
      </c>
      <c r="J622" s="939"/>
    </row>
    <row r="623" spans="1:11" ht="24" customHeight="1" x14ac:dyDescent="0.6">
      <c r="A623" s="934">
        <v>44707</v>
      </c>
      <c r="B623" s="935">
        <v>26</v>
      </c>
      <c r="C623" s="795" t="s">
        <v>1240</v>
      </c>
      <c r="D623" s="807" t="s">
        <v>9176</v>
      </c>
      <c r="E623" s="795" t="s">
        <v>7269</v>
      </c>
      <c r="F623" s="808"/>
      <c r="G623" s="844"/>
      <c r="H623" s="809">
        <v>7400</v>
      </c>
      <c r="I623" s="958">
        <f>Table2[[#This Row],[Opening]]+Table2[[#This Row],[Debit]]-Table2[[#This Row],[Credit]]</f>
        <v>-7400</v>
      </c>
    </row>
    <row r="624" spans="1:11" ht="24" customHeight="1" x14ac:dyDescent="0.6">
      <c r="A624" s="934">
        <v>44707</v>
      </c>
      <c r="B624" s="935">
        <v>26</v>
      </c>
      <c r="C624" s="795" t="s">
        <v>1240</v>
      </c>
      <c r="D624" s="795" t="s">
        <v>9177</v>
      </c>
      <c r="E624" s="795" t="s">
        <v>7269</v>
      </c>
      <c r="G624" s="857"/>
      <c r="H624" s="798">
        <v>16250</v>
      </c>
      <c r="I624" s="958">
        <f>Table2[[#This Row],[Opening]]+Table2[[#This Row],[Debit]]-Table2[[#This Row],[Credit]]</f>
        <v>-16250</v>
      </c>
      <c r="J624" s="939"/>
    </row>
    <row r="625" spans="1:10" ht="24" customHeight="1" x14ac:dyDescent="0.6">
      <c r="A625" s="934">
        <v>44707</v>
      </c>
      <c r="B625" s="935">
        <v>26</v>
      </c>
      <c r="C625" s="795" t="s">
        <v>1240</v>
      </c>
      <c r="D625" s="807" t="s">
        <v>9178</v>
      </c>
      <c r="E625" s="795" t="s">
        <v>7269</v>
      </c>
      <c r="F625" s="808"/>
      <c r="G625" s="844"/>
      <c r="H625" s="809">
        <v>15000</v>
      </c>
      <c r="I625" s="958">
        <f>Table2[[#This Row],[Opening]]+Table2[[#This Row],[Debit]]-Table2[[#This Row],[Credit]]</f>
        <v>-15000</v>
      </c>
    </row>
    <row r="626" spans="1:10" ht="24" customHeight="1" x14ac:dyDescent="0.6">
      <c r="A626" s="934">
        <v>44707</v>
      </c>
      <c r="B626" s="935">
        <v>26</v>
      </c>
      <c r="C626" s="795" t="s">
        <v>39</v>
      </c>
      <c r="D626" s="795" t="s">
        <v>9179</v>
      </c>
      <c r="E626" s="795" t="s">
        <v>7271</v>
      </c>
      <c r="G626" s="857"/>
      <c r="H626" s="798">
        <v>51000</v>
      </c>
      <c r="I626" s="958">
        <f>Table2[[#This Row],[Opening]]+Table2[[#This Row],[Debit]]-Table2[[#This Row],[Credit]]</f>
        <v>-51000</v>
      </c>
      <c r="J626" s="939"/>
    </row>
    <row r="627" spans="1:10" ht="24" customHeight="1" x14ac:dyDescent="0.6">
      <c r="A627" s="934">
        <v>44707</v>
      </c>
      <c r="B627" s="935">
        <v>26</v>
      </c>
      <c r="C627" s="795" t="s">
        <v>864</v>
      </c>
      <c r="D627" s="795" t="s">
        <v>9180</v>
      </c>
      <c r="F627" s="808"/>
      <c r="G627" s="844"/>
      <c r="H627" s="809">
        <v>2900</v>
      </c>
      <c r="I627" s="958">
        <f>Table2[[#This Row],[Opening]]+Table2[[#This Row],[Debit]]-Table2[[#This Row],[Credit]]</f>
        <v>-2900</v>
      </c>
    </row>
    <row r="628" spans="1:10" ht="24" customHeight="1" thickBot="1" x14ac:dyDescent="0.65">
      <c r="A628" s="1274">
        <v>44707</v>
      </c>
      <c r="B628" s="1275">
        <v>26</v>
      </c>
      <c r="C628" s="892" t="s">
        <v>1240</v>
      </c>
      <c r="D628" s="892" t="s">
        <v>9181</v>
      </c>
      <c r="E628" s="892" t="s">
        <v>7269</v>
      </c>
      <c r="F628" s="1252"/>
      <c r="G628" s="1237"/>
      <c r="H628" s="1238">
        <v>8500</v>
      </c>
      <c r="I628" s="959">
        <f>Table2[[#This Row],[Opening]]+Table2[[#This Row],[Debit]]-Table2[[#This Row],[Credit]]</f>
        <v>-8500</v>
      </c>
      <c r="J628" s="939"/>
    </row>
    <row r="629" spans="1:10" ht="24" customHeight="1" thickTop="1" x14ac:dyDescent="0.6">
      <c r="A629" s="934">
        <v>44708</v>
      </c>
      <c r="B629" s="935">
        <v>27</v>
      </c>
      <c r="C629" s="833" t="s">
        <v>2466</v>
      </c>
      <c r="D629" s="833" t="s">
        <v>8886</v>
      </c>
      <c r="E629" s="833"/>
      <c r="F629" s="838"/>
      <c r="G629" s="854">
        <v>6600</v>
      </c>
      <c r="H629" s="839"/>
      <c r="I629" s="957">
        <f>Table2[[#This Row],[Opening]]+Table2[[#This Row],[Debit]]-Table2[[#This Row],[Credit]]</f>
        <v>6600</v>
      </c>
    </row>
    <row r="630" spans="1:10" ht="24" customHeight="1" x14ac:dyDescent="0.6">
      <c r="A630" s="934">
        <v>44708</v>
      </c>
      <c r="B630" s="935">
        <v>27</v>
      </c>
      <c r="C630" s="833" t="s">
        <v>2466</v>
      </c>
      <c r="D630" s="833" t="s">
        <v>8886</v>
      </c>
      <c r="E630" s="807"/>
      <c r="G630" s="857">
        <v>500</v>
      </c>
      <c r="I630" s="958">
        <f>Table2[[#This Row],[Opening]]+Table2[[#This Row],[Debit]]-Table2[[#This Row],[Credit]]</f>
        <v>500</v>
      </c>
      <c r="J630" s="939"/>
    </row>
    <row r="631" spans="1:10" ht="24" customHeight="1" x14ac:dyDescent="0.6">
      <c r="A631" s="934">
        <v>44708</v>
      </c>
      <c r="B631" s="935">
        <v>27</v>
      </c>
      <c r="C631" s="795" t="s">
        <v>905</v>
      </c>
      <c r="D631" s="807" t="s">
        <v>8879</v>
      </c>
      <c r="E631" s="807"/>
      <c r="F631" s="808"/>
      <c r="G631" s="844">
        <v>1500</v>
      </c>
      <c r="H631" s="809"/>
      <c r="I631" s="958">
        <f>Table2[[#This Row],[Opening]]+Table2[[#This Row],[Debit]]-Table2[[#This Row],[Credit]]</f>
        <v>1500</v>
      </c>
    </row>
    <row r="632" spans="1:10" ht="24" customHeight="1" x14ac:dyDescent="0.6">
      <c r="A632" s="934">
        <v>44708</v>
      </c>
      <c r="B632" s="935">
        <v>27</v>
      </c>
      <c r="C632" s="795" t="s">
        <v>905</v>
      </c>
      <c r="D632" s="807" t="s">
        <v>8879</v>
      </c>
      <c r="E632" s="807"/>
      <c r="G632" s="857">
        <v>2000</v>
      </c>
      <c r="I632" s="958">
        <f>Table2[[#This Row],[Opening]]+Table2[[#This Row],[Debit]]-Table2[[#This Row],[Credit]]</f>
        <v>2000</v>
      </c>
      <c r="J632" s="939"/>
    </row>
    <row r="633" spans="1:10" ht="24" customHeight="1" x14ac:dyDescent="0.6">
      <c r="A633" s="934">
        <v>44708</v>
      </c>
      <c r="B633" s="935">
        <v>27</v>
      </c>
      <c r="C633" s="795" t="s">
        <v>905</v>
      </c>
      <c r="D633" s="807" t="s">
        <v>8879</v>
      </c>
      <c r="E633" s="807"/>
      <c r="F633" s="808"/>
      <c r="G633" s="844">
        <v>150000</v>
      </c>
      <c r="I633" s="958">
        <f>Table2[[#This Row],[Opening]]+Table2[[#This Row],[Debit]]-Table2[[#This Row],[Credit]]</f>
        <v>150000</v>
      </c>
    </row>
    <row r="634" spans="1:10" ht="24" customHeight="1" x14ac:dyDescent="0.6">
      <c r="A634" s="934">
        <v>44708</v>
      </c>
      <c r="B634" s="935">
        <v>27</v>
      </c>
      <c r="C634" s="833" t="s">
        <v>2466</v>
      </c>
      <c r="D634" s="833" t="s">
        <v>8886</v>
      </c>
      <c r="E634" s="807"/>
      <c r="G634" s="857">
        <v>1000</v>
      </c>
      <c r="I634" s="958">
        <f>Table2[[#This Row],[Opening]]+Table2[[#This Row],[Debit]]-Table2[[#This Row],[Credit]]</f>
        <v>1000</v>
      </c>
      <c r="J634" s="939"/>
    </row>
    <row r="635" spans="1:10" ht="24" customHeight="1" x14ac:dyDescent="0.6">
      <c r="A635" s="934">
        <v>44708</v>
      </c>
      <c r="B635" s="935">
        <v>27</v>
      </c>
      <c r="C635" s="795" t="s">
        <v>905</v>
      </c>
      <c r="D635" s="807" t="s">
        <v>8879</v>
      </c>
      <c r="E635" s="807"/>
      <c r="G635" s="844">
        <v>1000</v>
      </c>
      <c r="I635" s="958">
        <f>Table2[[#This Row],[Opening]]+Table2[[#This Row],[Debit]]-Table2[[#This Row],[Credit]]</f>
        <v>1000</v>
      </c>
    </row>
    <row r="636" spans="1:10" ht="24" customHeight="1" x14ac:dyDescent="0.6">
      <c r="A636" s="934">
        <v>44708</v>
      </c>
      <c r="B636" s="935">
        <v>27</v>
      </c>
      <c r="C636" s="795" t="s">
        <v>888</v>
      </c>
      <c r="D636" s="807" t="s">
        <v>8880</v>
      </c>
      <c r="E636" s="807"/>
      <c r="F636" s="808"/>
      <c r="G636" s="857">
        <v>2637950</v>
      </c>
      <c r="H636" s="809"/>
      <c r="I636" s="958">
        <f>Table2[[#This Row],[Opening]]+Table2[[#This Row],[Debit]]-Table2[[#This Row],[Credit]]</f>
        <v>2637950</v>
      </c>
      <c r="J636" s="939"/>
    </row>
    <row r="637" spans="1:10" ht="24" customHeight="1" x14ac:dyDescent="0.6">
      <c r="A637" s="934">
        <v>44708</v>
      </c>
      <c r="B637" s="935">
        <v>27</v>
      </c>
      <c r="C637" s="795" t="s">
        <v>1267</v>
      </c>
      <c r="D637" s="795" t="s">
        <v>7209</v>
      </c>
      <c r="E637" s="807"/>
      <c r="G637" s="844">
        <v>26600</v>
      </c>
      <c r="I637" s="958">
        <f>Table2[[#This Row],[Opening]]+Table2[[#This Row],[Debit]]-Table2[[#This Row],[Credit]]</f>
        <v>26600</v>
      </c>
    </row>
    <row r="638" spans="1:10" ht="24" customHeight="1" x14ac:dyDescent="0.6">
      <c r="A638" s="934">
        <v>44708</v>
      </c>
      <c r="B638" s="935">
        <v>27</v>
      </c>
      <c r="C638" s="795" t="s">
        <v>39</v>
      </c>
      <c r="D638" s="807" t="s">
        <v>8198</v>
      </c>
      <c r="E638" s="807" t="s">
        <v>7271</v>
      </c>
      <c r="F638" s="808"/>
      <c r="G638" s="857"/>
      <c r="H638" s="798">
        <v>184950</v>
      </c>
      <c r="I638" s="958">
        <f>Table2[[#This Row],[Opening]]+Table2[[#This Row],[Debit]]-Table2[[#This Row],[Credit]]</f>
        <v>-184950</v>
      </c>
      <c r="J638" s="939"/>
    </row>
    <row r="639" spans="1:10" ht="24" customHeight="1" x14ac:dyDescent="0.6">
      <c r="A639" s="934">
        <v>44708</v>
      </c>
      <c r="B639" s="935">
        <v>27</v>
      </c>
      <c r="C639" s="795" t="s">
        <v>863</v>
      </c>
      <c r="D639" s="795" t="s">
        <v>9182</v>
      </c>
      <c r="E639" s="807"/>
      <c r="G639" s="857"/>
      <c r="H639" s="809">
        <v>13000</v>
      </c>
      <c r="I639" s="958">
        <f>Table2[[#This Row],[Opening]]+Table2[[#This Row],[Debit]]-Table2[[#This Row],[Credit]]</f>
        <v>-13000</v>
      </c>
    </row>
    <row r="640" spans="1:10" ht="24" customHeight="1" x14ac:dyDescent="0.6">
      <c r="A640" s="934">
        <v>44708</v>
      </c>
      <c r="B640" s="935">
        <v>27</v>
      </c>
      <c r="C640" s="795" t="s">
        <v>2352</v>
      </c>
      <c r="D640" s="807" t="s">
        <v>9183</v>
      </c>
      <c r="E640" s="807" t="s">
        <v>7271</v>
      </c>
      <c r="F640" s="808"/>
      <c r="G640" s="844"/>
      <c r="H640" s="798">
        <v>150000</v>
      </c>
      <c r="I640" s="958">
        <f>Table2[[#This Row],[Opening]]+Table2[[#This Row],[Debit]]-Table2[[#This Row],[Credit]]</f>
        <v>-150000</v>
      </c>
      <c r="J640" s="939"/>
    </row>
    <row r="641" spans="1:10" ht="24" customHeight="1" x14ac:dyDescent="0.6">
      <c r="A641" s="934">
        <v>44708</v>
      </c>
      <c r="B641" s="935">
        <v>27</v>
      </c>
      <c r="C641" s="795" t="s">
        <v>86</v>
      </c>
      <c r="D641" s="807" t="s">
        <v>9184</v>
      </c>
      <c r="E641" s="807"/>
      <c r="G641" s="857"/>
      <c r="H641" s="809">
        <v>9900</v>
      </c>
      <c r="I641" s="958">
        <f>Table2[[#This Row],[Opening]]+Table2[[#This Row],[Debit]]-Table2[[#This Row],[Credit]]</f>
        <v>-9900</v>
      </c>
    </row>
    <row r="642" spans="1:10" ht="24" customHeight="1" x14ac:dyDescent="0.6">
      <c r="A642" s="934">
        <v>44708</v>
      </c>
      <c r="B642" s="935">
        <v>27</v>
      </c>
      <c r="C642" s="795" t="s">
        <v>864</v>
      </c>
      <c r="D642" s="807" t="s">
        <v>9185</v>
      </c>
      <c r="E642" s="807"/>
      <c r="F642" s="808"/>
      <c r="G642" s="844"/>
      <c r="H642" s="798">
        <v>10000</v>
      </c>
      <c r="I642" s="958">
        <f>Table2[[#This Row],[Opening]]+Table2[[#This Row],[Debit]]-Table2[[#This Row],[Credit]]</f>
        <v>-10000</v>
      </c>
      <c r="J642" s="939"/>
    </row>
    <row r="643" spans="1:10" ht="24" customHeight="1" x14ac:dyDescent="0.6">
      <c r="A643" s="934">
        <v>44708</v>
      </c>
      <c r="B643" s="935">
        <v>27</v>
      </c>
      <c r="C643" s="795" t="s">
        <v>864</v>
      </c>
      <c r="D643" s="795" t="s">
        <v>9186</v>
      </c>
      <c r="E643" s="807"/>
      <c r="G643" s="857"/>
      <c r="H643" s="809">
        <v>19300</v>
      </c>
      <c r="I643" s="958">
        <f>Table2[[#This Row],[Opening]]+Table2[[#This Row],[Debit]]-Table2[[#This Row],[Credit]]</f>
        <v>-19300</v>
      </c>
    </row>
    <row r="644" spans="1:10" ht="24" customHeight="1" x14ac:dyDescent="0.6">
      <c r="A644" s="934">
        <v>44708</v>
      </c>
      <c r="B644" s="935">
        <v>27</v>
      </c>
      <c r="C644" s="795" t="s">
        <v>1183</v>
      </c>
      <c r="D644" s="807" t="s">
        <v>8927</v>
      </c>
      <c r="E644" s="807"/>
      <c r="F644" s="808"/>
      <c r="G644" s="844"/>
      <c r="H644" s="798">
        <v>3000</v>
      </c>
      <c r="I644" s="958">
        <f>Table2[[#This Row],[Opening]]+Table2[[#This Row],[Debit]]-Table2[[#This Row],[Credit]]</f>
        <v>-3000</v>
      </c>
      <c r="J644" s="939"/>
    </row>
    <row r="645" spans="1:10" ht="24" customHeight="1" x14ac:dyDescent="0.6">
      <c r="A645" s="934">
        <v>44708</v>
      </c>
      <c r="B645" s="935">
        <v>27</v>
      </c>
      <c r="C645" s="795" t="s">
        <v>2352</v>
      </c>
      <c r="D645" s="795" t="s">
        <v>9187</v>
      </c>
      <c r="E645" s="807"/>
      <c r="G645" s="857"/>
      <c r="H645" s="809">
        <v>19600</v>
      </c>
      <c r="I645" s="954">
        <f>'Daily Cash Book'!$G645-'Daily Cash Book'!$H$2:$H$1188</f>
        <v>-19600</v>
      </c>
    </row>
    <row r="646" spans="1:10" ht="24" customHeight="1" x14ac:dyDescent="0.6">
      <c r="A646" s="934">
        <v>44708</v>
      </c>
      <c r="B646" s="935">
        <v>27</v>
      </c>
      <c r="C646" s="795" t="s">
        <v>86</v>
      </c>
      <c r="D646" s="807" t="s">
        <v>9188</v>
      </c>
      <c r="E646" s="807"/>
      <c r="F646" s="808"/>
      <c r="G646" s="844"/>
      <c r="H646" s="798">
        <v>500</v>
      </c>
      <c r="I646" s="954">
        <f>'Daily Cash Book'!$G646-'Daily Cash Book'!$H$2:$H$1188</f>
        <v>-500</v>
      </c>
      <c r="J646" s="939"/>
    </row>
    <row r="647" spans="1:10" ht="24" customHeight="1" x14ac:dyDescent="0.6">
      <c r="A647" s="934">
        <v>44708</v>
      </c>
      <c r="B647" s="935">
        <v>27</v>
      </c>
      <c r="C647" s="795" t="s">
        <v>1240</v>
      </c>
      <c r="D647" s="795" t="s">
        <v>9189</v>
      </c>
      <c r="E647" s="807" t="s">
        <v>7269</v>
      </c>
      <c r="G647" s="857"/>
      <c r="H647" s="809">
        <v>35700</v>
      </c>
      <c r="I647" s="954">
        <f>'Daily Cash Book'!$G647-'Daily Cash Book'!$H$2:$H$1188</f>
        <v>-35700</v>
      </c>
    </row>
    <row r="648" spans="1:10" ht="24" customHeight="1" x14ac:dyDescent="0.6">
      <c r="A648" s="934">
        <v>44708</v>
      </c>
      <c r="B648" s="935">
        <v>27</v>
      </c>
      <c r="C648" s="795" t="s">
        <v>1240</v>
      </c>
      <c r="D648" s="807" t="s">
        <v>9190</v>
      </c>
      <c r="E648" s="807" t="s">
        <v>7269</v>
      </c>
      <c r="F648" s="808"/>
      <c r="G648" s="844"/>
      <c r="H648" s="798">
        <v>11500</v>
      </c>
      <c r="I648" s="954">
        <f>'Daily Cash Book'!$G648-'Daily Cash Book'!$H$2:$H$1188</f>
        <v>-11500</v>
      </c>
      <c r="J648" s="939"/>
    </row>
    <row r="649" spans="1:10" ht="24" customHeight="1" thickBot="1" x14ac:dyDescent="0.65">
      <c r="A649" s="1274">
        <v>44708</v>
      </c>
      <c r="B649" s="1275">
        <v>27</v>
      </c>
      <c r="C649" s="892" t="s">
        <v>1240</v>
      </c>
      <c r="D649" s="892" t="s">
        <v>9191</v>
      </c>
      <c r="E649" s="1276" t="s">
        <v>7269</v>
      </c>
      <c r="F649" s="1252"/>
      <c r="G649" s="1237"/>
      <c r="H649" s="872">
        <v>58000</v>
      </c>
      <c r="I649" s="956">
        <f>'Daily Cash Book'!$G649-'Daily Cash Book'!$H$2:$H$1188</f>
        <v>-58000</v>
      </c>
    </row>
    <row r="650" spans="1:10" ht="24" customHeight="1" thickTop="1" x14ac:dyDescent="0.6">
      <c r="A650" s="934">
        <v>44709</v>
      </c>
      <c r="B650" s="935">
        <v>28</v>
      </c>
      <c r="C650" s="833" t="s">
        <v>7280</v>
      </c>
      <c r="D650" s="834" t="s">
        <v>9192</v>
      </c>
      <c r="E650" s="834"/>
      <c r="F650" s="838"/>
      <c r="G650" s="854">
        <v>63000</v>
      </c>
      <c r="H650" s="839"/>
      <c r="I650" s="955">
        <f>'Daily Cash Book'!$G650-'Daily Cash Book'!$H$2:$H$1188</f>
        <v>63000</v>
      </c>
      <c r="J650" s="939"/>
    </row>
    <row r="651" spans="1:10" ht="24" customHeight="1" x14ac:dyDescent="0.6">
      <c r="A651" s="934">
        <v>44709</v>
      </c>
      <c r="B651" s="935">
        <v>28</v>
      </c>
      <c r="C651" s="795" t="s">
        <v>905</v>
      </c>
      <c r="D651" s="807" t="s">
        <v>8879</v>
      </c>
      <c r="E651" s="807"/>
      <c r="G651" s="857">
        <v>3500</v>
      </c>
      <c r="H651" s="809"/>
      <c r="I651" s="954">
        <f>'Daily Cash Book'!$G651-'Daily Cash Book'!$H$2:$H$1188</f>
        <v>3500</v>
      </c>
    </row>
    <row r="652" spans="1:10" ht="24" customHeight="1" x14ac:dyDescent="0.6">
      <c r="A652" s="934">
        <v>44709</v>
      </c>
      <c r="B652" s="935">
        <v>28</v>
      </c>
      <c r="C652" s="795" t="s">
        <v>905</v>
      </c>
      <c r="D652" s="807" t="s">
        <v>8879</v>
      </c>
      <c r="E652" s="807"/>
      <c r="G652" s="857">
        <v>1500</v>
      </c>
      <c r="I652" s="954">
        <f>'Daily Cash Book'!$G652-'Daily Cash Book'!$H$2:$H$1188</f>
        <v>1500</v>
      </c>
      <c r="J652" s="939"/>
    </row>
    <row r="653" spans="1:10" ht="24" customHeight="1" x14ac:dyDescent="0.6">
      <c r="A653" s="934">
        <v>44709</v>
      </c>
      <c r="B653" s="935">
        <v>28</v>
      </c>
      <c r="C653" s="795" t="s">
        <v>2466</v>
      </c>
      <c r="D653" s="795" t="s">
        <v>8886</v>
      </c>
      <c r="E653" s="807"/>
      <c r="F653" s="808"/>
      <c r="G653" s="844">
        <v>2800</v>
      </c>
      <c r="H653" s="809"/>
      <c r="I653" s="954">
        <f>'Daily Cash Book'!$G653-'Daily Cash Book'!$H$2:$H$1188</f>
        <v>2800</v>
      </c>
    </row>
    <row r="654" spans="1:10" ht="24" customHeight="1" x14ac:dyDescent="0.6">
      <c r="A654" s="934">
        <v>44709</v>
      </c>
      <c r="B654" s="935">
        <v>28</v>
      </c>
      <c r="C654" s="795" t="s">
        <v>905</v>
      </c>
      <c r="D654" s="807" t="s">
        <v>8879</v>
      </c>
      <c r="E654" s="807"/>
      <c r="G654" s="857">
        <v>3000</v>
      </c>
      <c r="I654" s="954">
        <f>'Daily Cash Book'!$G654-'Daily Cash Book'!$H$2:$H$1188</f>
        <v>3000</v>
      </c>
      <c r="J654" s="939"/>
    </row>
    <row r="655" spans="1:10" ht="24" customHeight="1" x14ac:dyDescent="0.6">
      <c r="A655" s="934">
        <v>44709</v>
      </c>
      <c r="B655" s="935">
        <v>28</v>
      </c>
      <c r="C655" s="795" t="s">
        <v>905</v>
      </c>
      <c r="D655" s="807" t="s">
        <v>8879</v>
      </c>
      <c r="E655" s="807"/>
      <c r="F655" s="808"/>
      <c r="G655" s="844">
        <v>9000</v>
      </c>
      <c r="H655" s="809"/>
      <c r="I655" s="954">
        <f>'Daily Cash Book'!$G655-'Daily Cash Book'!$H$2:$H$1188</f>
        <v>9000</v>
      </c>
    </row>
    <row r="656" spans="1:10" ht="24" customHeight="1" x14ac:dyDescent="0.6">
      <c r="A656" s="934">
        <v>44709</v>
      </c>
      <c r="B656" s="935">
        <v>28</v>
      </c>
      <c r="C656" s="795" t="s">
        <v>888</v>
      </c>
      <c r="D656" s="807" t="s">
        <v>8880</v>
      </c>
      <c r="E656" s="807"/>
      <c r="G656" s="857">
        <v>1074300</v>
      </c>
      <c r="I656" s="954">
        <f>'Daily Cash Book'!$G656-'Daily Cash Book'!$H$2:$H$1188</f>
        <v>1074300</v>
      </c>
      <c r="J656" s="939"/>
    </row>
    <row r="657" spans="1:10" ht="24" customHeight="1" x14ac:dyDescent="0.6">
      <c r="A657" s="934">
        <v>44709</v>
      </c>
      <c r="B657" s="935">
        <v>28</v>
      </c>
      <c r="C657" s="795" t="s">
        <v>1267</v>
      </c>
      <c r="D657" s="795" t="s">
        <v>7209</v>
      </c>
      <c r="E657" s="807"/>
      <c r="F657" s="808"/>
      <c r="G657" s="844">
        <v>9200</v>
      </c>
      <c r="H657" s="809"/>
      <c r="I657" s="954">
        <f>'Daily Cash Book'!$G657-'Daily Cash Book'!$H$2:$H$1188</f>
        <v>9200</v>
      </c>
    </row>
    <row r="658" spans="1:10" ht="24" customHeight="1" x14ac:dyDescent="0.6">
      <c r="A658" s="934">
        <v>44709</v>
      </c>
      <c r="B658" s="935">
        <v>28</v>
      </c>
      <c r="C658" s="795" t="s">
        <v>86</v>
      </c>
      <c r="D658" s="795" t="s">
        <v>8926</v>
      </c>
      <c r="E658" s="807"/>
      <c r="G658" s="857"/>
      <c r="H658" s="798">
        <v>8000</v>
      </c>
      <c r="I658" s="954">
        <f>'Daily Cash Book'!$G658-'Daily Cash Book'!$H$2:$H$1188</f>
        <v>-8000</v>
      </c>
      <c r="J658" s="939"/>
    </row>
    <row r="659" spans="1:10" ht="24" customHeight="1" x14ac:dyDescent="0.6">
      <c r="A659" s="934">
        <v>44709</v>
      </c>
      <c r="B659" s="935">
        <v>28</v>
      </c>
      <c r="C659" s="795" t="s">
        <v>86</v>
      </c>
      <c r="D659" s="807" t="s">
        <v>9193</v>
      </c>
      <c r="E659" s="807"/>
      <c r="F659" s="808"/>
      <c r="G659" s="844"/>
      <c r="H659" s="809">
        <v>600</v>
      </c>
      <c r="I659" s="954">
        <f>'Daily Cash Book'!$G659-'Daily Cash Book'!$H$2:$H$1188</f>
        <v>-600</v>
      </c>
    </row>
    <row r="660" spans="1:10" ht="24" customHeight="1" x14ac:dyDescent="0.6">
      <c r="A660" s="934">
        <v>44709</v>
      </c>
      <c r="B660" s="935">
        <v>28</v>
      </c>
      <c r="C660" s="795" t="s">
        <v>39</v>
      </c>
      <c r="D660" s="795" t="s">
        <v>8970</v>
      </c>
      <c r="E660" s="807" t="s">
        <v>7271</v>
      </c>
      <c r="G660" s="857"/>
      <c r="H660" s="798">
        <v>140600</v>
      </c>
      <c r="I660" s="954">
        <f>'Daily Cash Book'!$G660-'Daily Cash Book'!$H$2:$H$1188</f>
        <v>-140600</v>
      </c>
      <c r="J660" s="939"/>
    </row>
    <row r="661" spans="1:10" ht="24" customHeight="1" x14ac:dyDescent="0.6">
      <c r="A661" s="934">
        <v>44709</v>
      </c>
      <c r="B661" s="935">
        <v>28</v>
      </c>
      <c r="C661" s="795" t="s">
        <v>1143</v>
      </c>
      <c r="D661" s="807" t="s">
        <v>9194</v>
      </c>
      <c r="E661" s="807"/>
      <c r="F661" s="808"/>
      <c r="G661" s="844"/>
      <c r="H661" s="809">
        <v>10000</v>
      </c>
      <c r="I661" s="954">
        <f>'Daily Cash Book'!$G661-'Daily Cash Book'!$H$2:$H$1188</f>
        <v>-10000</v>
      </c>
    </row>
    <row r="662" spans="1:10" ht="24" customHeight="1" x14ac:dyDescent="0.6">
      <c r="A662" s="934">
        <v>44709</v>
      </c>
      <c r="B662" s="935">
        <v>28</v>
      </c>
      <c r="C662" s="795" t="s">
        <v>836</v>
      </c>
      <c r="D662" s="795" t="s">
        <v>8940</v>
      </c>
      <c r="E662" s="807"/>
      <c r="G662" s="857"/>
      <c r="H662" s="798">
        <v>100000</v>
      </c>
      <c r="I662" s="954">
        <f>'Daily Cash Book'!$G662-'Daily Cash Book'!$H$2:$H$1188</f>
        <v>-100000</v>
      </c>
      <c r="J662" s="939"/>
    </row>
    <row r="663" spans="1:10" ht="24" customHeight="1" x14ac:dyDescent="0.6">
      <c r="A663" s="934">
        <v>44709</v>
      </c>
      <c r="B663" s="935">
        <v>28</v>
      </c>
      <c r="C663" s="795" t="s">
        <v>1183</v>
      </c>
      <c r="D663" s="807" t="s">
        <v>8893</v>
      </c>
      <c r="E663" s="807"/>
      <c r="F663" s="808"/>
      <c r="G663" s="844"/>
      <c r="H663" s="809">
        <v>10000</v>
      </c>
      <c r="I663" s="954">
        <f>'Daily Cash Book'!$G663-'Daily Cash Book'!$H$2:$H$1188</f>
        <v>-10000</v>
      </c>
    </row>
    <row r="664" spans="1:10" ht="24" customHeight="1" x14ac:dyDescent="0.6">
      <c r="A664" s="934">
        <v>44709</v>
      </c>
      <c r="B664" s="935">
        <v>28</v>
      </c>
      <c r="C664" s="795" t="s">
        <v>8936</v>
      </c>
      <c r="D664" s="795" t="s">
        <v>9092</v>
      </c>
      <c r="E664" s="807"/>
      <c r="G664" s="857"/>
      <c r="H664" s="798">
        <v>5500</v>
      </c>
      <c r="I664" s="954">
        <f>'Daily Cash Book'!$G664-'Daily Cash Book'!$H$2:$H$1188</f>
        <v>-5500</v>
      </c>
      <c r="J664" s="939"/>
    </row>
    <row r="665" spans="1:10" ht="24" customHeight="1" x14ac:dyDescent="0.6">
      <c r="A665" s="936">
        <v>44709</v>
      </c>
      <c r="B665" s="937">
        <v>28</v>
      </c>
      <c r="C665" s="795" t="s">
        <v>2352</v>
      </c>
      <c r="D665" s="807" t="s">
        <v>9195</v>
      </c>
      <c r="E665" s="807"/>
      <c r="F665" s="808"/>
      <c r="G665" s="844"/>
      <c r="H665" s="809">
        <v>51000</v>
      </c>
      <c r="I665" s="954">
        <f>'Daily Cash Book'!$G665-'Daily Cash Book'!$H$2:$H$1188</f>
        <v>-51000</v>
      </c>
    </row>
    <row r="666" spans="1:10" ht="24" customHeight="1" x14ac:dyDescent="0.6">
      <c r="A666" s="936">
        <v>44709</v>
      </c>
      <c r="B666" s="937">
        <v>28</v>
      </c>
      <c r="C666" s="833" t="s">
        <v>47</v>
      </c>
      <c r="D666" s="833" t="s">
        <v>8200</v>
      </c>
      <c r="E666" s="834"/>
      <c r="F666" s="835"/>
      <c r="G666" s="860"/>
      <c r="H666" s="836">
        <v>2145500</v>
      </c>
      <c r="I666" s="955">
        <f>'Daily Cash Book'!$G666-'Daily Cash Book'!$H$2:$H$1188</f>
        <v>-2145500</v>
      </c>
      <c r="J666" s="939"/>
    </row>
    <row r="667" spans="1:10" ht="24" customHeight="1" x14ac:dyDescent="0.6">
      <c r="A667" s="936">
        <v>44709</v>
      </c>
      <c r="B667" s="937">
        <v>28</v>
      </c>
      <c r="C667" s="833" t="s">
        <v>47</v>
      </c>
      <c r="D667" s="855" t="s">
        <v>9196</v>
      </c>
      <c r="E667" s="807"/>
      <c r="F667" s="808"/>
      <c r="G667" s="844"/>
      <c r="H667" s="809">
        <v>3000000</v>
      </c>
      <c r="I667" s="954">
        <f>'Daily Cash Book'!$G667-'Daily Cash Book'!$H$2:$H$1188</f>
        <v>-3000000</v>
      </c>
    </row>
    <row r="668" spans="1:10" ht="24" customHeight="1" x14ac:dyDescent="0.6">
      <c r="A668" s="936">
        <v>44709</v>
      </c>
      <c r="B668" s="937">
        <v>28</v>
      </c>
      <c r="C668" s="833" t="s">
        <v>47</v>
      </c>
      <c r="D668" s="842" t="s">
        <v>57</v>
      </c>
      <c r="E668" s="807"/>
      <c r="G668" s="857"/>
      <c r="H668" s="798">
        <v>3000000</v>
      </c>
      <c r="I668" s="954">
        <f>'Daily Cash Book'!$G668-'Daily Cash Book'!$H$2:$H$1188</f>
        <v>-3000000</v>
      </c>
      <c r="J668" s="939"/>
    </row>
    <row r="669" spans="1:10" ht="24" customHeight="1" x14ac:dyDescent="0.6">
      <c r="A669" s="936">
        <v>44709</v>
      </c>
      <c r="B669" s="937">
        <v>28</v>
      </c>
      <c r="C669" s="833" t="s">
        <v>47</v>
      </c>
      <c r="D669" s="855" t="s">
        <v>8215</v>
      </c>
      <c r="E669" s="807"/>
      <c r="F669" s="808"/>
      <c r="G669" s="844"/>
      <c r="H669" s="809">
        <v>242000</v>
      </c>
      <c r="I669" s="954">
        <f>'Daily Cash Book'!$G669-'Daily Cash Book'!$H$2:$H$1188</f>
        <v>-242000</v>
      </c>
    </row>
    <row r="670" spans="1:10" ht="24" customHeight="1" x14ac:dyDescent="0.6">
      <c r="A670" s="936">
        <v>44709</v>
      </c>
      <c r="B670" s="937">
        <v>28</v>
      </c>
      <c r="C670" s="795" t="s">
        <v>39</v>
      </c>
      <c r="D670" s="795" t="s">
        <v>8196</v>
      </c>
      <c r="E670" s="807"/>
      <c r="G670" s="857"/>
      <c r="H670" s="798">
        <v>1636265</v>
      </c>
      <c r="I670" s="954">
        <f>'Daily Cash Book'!$G670-'Daily Cash Book'!$H$2:$H$1188</f>
        <v>-1636265</v>
      </c>
      <c r="J670" s="939"/>
    </row>
    <row r="671" spans="1:10" ht="24" customHeight="1" x14ac:dyDescent="0.6">
      <c r="A671" s="936">
        <v>44709</v>
      </c>
      <c r="B671" s="937">
        <v>28</v>
      </c>
      <c r="C671" s="795" t="s">
        <v>39</v>
      </c>
      <c r="D671" s="807" t="s">
        <v>8204</v>
      </c>
      <c r="E671" s="807"/>
      <c r="F671" s="808"/>
      <c r="G671" s="844"/>
      <c r="H671" s="809">
        <v>1006300</v>
      </c>
      <c r="I671" s="954">
        <f>'Daily Cash Book'!$G671-'Daily Cash Book'!$H$2:$H$1188</f>
        <v>-1006300</v>
      </c>
    </row>
    <row r="672" spans="1:10" ht="24" customHeight="1" x14ac:dyDescent="0.6">
      <c r="A672" s="936">
        <v>44709</v>
      </c>
      <c r="B672" s="937">
        <v>28</v>
      </c>
      <c r="C672" s="795" t="s">
        <v>39</v>
      </c>
      <c r="D672" s="795" t="s">
        <v>8969</v>
      </c>
      <c r="E672" s="807"/>
      <c r="G672" s="857"/>
      <c r="H672" s="798">
        <v>542500</v>
      </c>
      <c r="I672" s="954">
        <f>'Daily Cash Book'!$G672-'Daily Cash Book'!$H$2:$H$1188</f>
        <v>-542500</v>
      </c>
      <c r="J672" s="939"/>
    </row>
    <row r="673" spans="1:10" ht="24" customHeight="1" x14ac:dyDescent="0.6">
      <c r="A673" s="936">
        <v>44709</v>
      </c>
      <c r="B673" s="937">
        <v>28</v>
      </c>
      <c r="C673" s="795" t="s">
        <v>39</v>
      </c>
      <c r="D673" s="807" t="s">
        <v>8193</v>
      </c>
      <c r="E673" s="807"/>
      <c r="F673" s="808"/>
      <c r="G673" s="844"/>
      <c r="H673" s="809">
        <v>243000</v>
      </c>
      <c r="I673" s="954">
        <f>'Daily Cash Book'!$G673-'Daily Cash Book'!$H$2:$H$1188</f>
        <v>-243000</v>
      </c>
    </row>
    <row r="674" spans="1:10" ht="24" customHeight="1" x14ac:dyDescent="0.6">
      <c r="A674" s="936">
        <v>44709</v>
      </c>
      <c r="B674" s="937">
        <v>28</v>
      </c>
      <c r="C674" s="795" t="s">
        <v>39</v>
      </c>
      <c r="D674" s="795" t="s">
        <v>8195</v>
      </c>
      <c r="E674" s="807"/>
      <c r="G674" s="857"/>
      <c r="H674" s="798">
        <v>131000</v>
      </c>
      <c r="I674" s="954">
        <f>'Daily Cash Book'!$G674-'Daily Cash Book'!$H$2:$H$1188</f>
        <v>-131000</v>
      </c>
      <c r="J674" s="939"/>
    </row>
    <row r="675" spans="1:10" ht="24" customHeight="1" x14ac:dyDescent="0.6">
      <c r="A675" s="936">
        <v>44709</v>
      </c>
      <c r="B675" s="937">
        <v>28</v>
      </c>
      <c r="C675" s="795" t="s">
        <v>39</v>
      </c>
      <c r="D675" s="807" t="s">
        <v>9197</v>
      </c>
      <c r="E675" s="807"/>
      <c r="F675" s="808"/>
      <c r="G675" s="844"/>
      <c r="H675" s="809">
        <v>30000</v>
      </c>
      <c r="I675" s="954">
        <f>'Daily Cash Book'!$G675-'Daily Cash Book'!$H$2:$H$1188</f>
        <v>-30000</v>
      </c>
    </row>
    <row r="676" spans="1:10" ht="24" customHeight="1" x14ac:dyDescent="0.6">
      <c r="A676" s="936">
        <v>44709</v>
      </c>
      <c r="B676" s="937">
        <v>28</v>
      </c>
      <c r="C676" s="795" t="s">
        <v>39</v>
      </c>
      <c r="D676" s="795" t="s">
        <v>9104</v>
      </c>
      <c r="E676" s="807"/>
      <c r="G676" s="857"/>
      <c r="H676" s="798">
        <v>78000</v>
      </c>
      <c r="I676" s="954">
        <f>'Daily Cash Book'!$G676-'Daily Cash Book'!$H$2:$H$1188</f>
        <v>-78000</v>
      </c>
      <c r="J676" s="939"/>
    </row>
    <row r="677" spans="1:10" ht="24" customHeight="1" x14ac:dyDescent="0.6">
      <c r="A677" s="936">
        <v>44709</v>
      </c>
      <c r="B677" s="937">
        <v>28</v>
      </c>
      <c r="C677" s="795" t="s">
        <v>39</v>
      </c>
      <c r="D677" s="807" t="s">
        <v>8907</v>
      </c>
      <c r="E677" s="807"/>
      <c r="F677" s="808"/>
      <c r="G677" s="844"/>
      <c r="H677" s="809">
        <v>245250</v>
      </c>
      <c r="I677" s="954">
        <f>'Daily Cash Book'!$G677-'Daily Cash Book'!$H$2:$H$1188</f>
        <v>-245250</v>
      </c>
    </row>
    <row r="678" spans="1:10" ht="24" customHeight="1" x14ac:dyDescent="0.6">
      <c r="A678" s="936">
        <v>44709</v>
      </c>
      <c r="B678" s="937">
        <v>28</v>
      </c>
      <c r="C678" s="795" t="s">
        <v>39</v>
      </c>
      <c r="D678" s="795" t="s">
        <v>8212</v>
      </c>
      <c r="E678" s="807"/>
      <c r="G678" s="857"/>
      <c r="H678" s="798">
        <v>12500</v>
      </c>
      <c r="I678" s="954">
        <f>'Daily Cash Book'!$G678-'Daily Cash Book'!$H$2:$H$1188</f>
        <v>-12500</v>
      </c>
      <c r="J678" s="939"/>
    </row>
    <row r="679" spans="1:10" ht="24" customHeight="1" x14ac:dyDescent="0.6">
      <c r="A679" s="936">
        <v>44709</v>
      </c>
      <c r="B679" s="937">
        <v>28</v>
      </c>
      <c r="C679" s="795" t="s">
        <v>39</v>
      </c>
      <c r="D679" s="807" t="s">
        <v>7879</v>
      </c>
      <c r="E679" s="807"/>
      <c r="F679" s="808"/>
      <c r="G679" s="844"/>
      <c r="H679" s="809">
        <v>33800</v>
      </c>
      <c r="I679" s="954">
        <f>'Daily Cash Book'!$G679-'Daily Cash Book'!$H$2:$H$1188</f>
        <v>-33800</v>
      </c>
    </row>
    <row r="680" spans="1:10" ht="24" customHeight="1" x14ac:dyDescent="0.6">
      <c r="A680" s="936">
        <v>44709</v>
      </c>
      <c r="B680" s="937">
        <v>28</v>
      </c>
      <c r="C680" s="795" t="s">
        <v>39</v>
      </c>
      <c r="D680" s="795" t="s">
        <v>8216</v>
      </c>
      <c r="E680" s="807"/>
      <c r="G680" s="857"/>
      <c r="H680" s="798">
        <v>101000</v>
      </c>
      <c r="I680" s="954">
        <f>'Daily Cash Book'!$G680-'Daily Cash Book'!$H$2:$H$1188</f>
        <v>-101000</v>
      </c>
      <c r="J680" s="939"/>
    </row>
    <row r="681" spans="1:10" ht="24" customHeight="1" x14ac:dyDescent="0.6">
      <c r="A681" s="936">
        <v>44709</v>
      </c>
      <c r="B681" s="937">
        <v>28</v>
      </c>
      <c r="C681" s="795" t="s">
        <v>39</v>
      </c>
      <c r="D681" s="807" t="s">
        <v>8193</v>
      </c>
      <c r="E681" s="807"/>
      <c r="F681" s="808"/>
      <c r="G681" s="844"/>
      <c r="H681" s="809">
        <v>261000</v>
      </c>
      <c r="I681" s="954">
        <f>'Daily Cash Book'!$G681-'Daily Cash Book'!$H$2:$H$1188</f>
        <v>-261000</v>
      </c>
    </row>
    <row r="682" spans="1:10" ht="24" customHeight="1" thickBot="1" x14ac:dyDescent="0.65">
      <c r="A682" s="1274">
        <v>44709</v>
      </c>
      <c r="B682" s="1275">
        <v>28</v>
      </c>
      <c r="C682" s="892" t="s">
        <v>47</v>
      </c>
      <c r="D682" s="892" t="s">
        <v>8200</v>
      </c>
      <c r="E682" s="1276"/>
      <c r="F682" s="1252"/>
      <c r="G682" s="1237"/>
      <c r="H682" s="1238">
        <v>41000</v>
      </c>
      <c r="I682" s="956">
        <f>'Daily Cash Book'!$G682-'Daily Cash Book'!$H$2:$H$1188</f>
        <v>-41000</v>
      </c>
      <c r="J682" s="939"/>
    </row>
    <row r="683" spans="1:10" ht="24" customHeight="1" thickTop="1" x14ac:dyDescent="0.6">
      <c r="A683" s="924">
        <v>44710</v>
      </c>
      <c r="B683" s="935">
        <v>29</v>
      </c>
      <c r="C683" s="833" t="s">
        <v>905</v>
      </c>
      <c r="D683" s="834" t="s">
        <v>8879</v>
      </c>
      <c r="E683" s="834"/>
      <c r="F683" s="838"/>
      <c r="G683" s="854">
        <v>12000</v>
      </c>
      <c r="H683" s="839"/>
      <c r="I683" s="955">
        <f>'Daily Cash Book'!$G683-'Daily Cash Book'!$H$2:$H$1188</f>
        <v>12000</v>
      </c>
    </row>
    <row r="684" spans="1:10" ht="24" customHeight="1" x14ac:dyDescent="0.6">
      <c r="A684" s="924">
        <v>44710</v>
      </c>
      <c r="B684" s="935">
        <v>29</v>
      </c>
      <c r="C684" s="795" t="s">
        <v>2466</v>
      </c>
      <c r="D684" s="795" t="s">
        <v>8886</v>
      </c>
      <c r="E684" s="807"/>
      <c r="G684" s="857">
        <v>6000</v>
      </c>
      <c r="I684" s="954">
        <f>'Daily Cash Book'!$G684-'Daily Cash Book'!$H$2:$H$1188</f>
        <v>6000</v>
      </c>
      <c r="J684" s="939"/>
    </row>
    <row r="685" spans="1:10" ht="24" customHeight="1" x14ac:dyDescent="0.6">
      <c r="A685" s="924">
        <v>44711</v>
      </c>
      <c r="B685" s="935">
        <v>29</v>
      </c>
      <c r="C685" s="795" t="s">
        <v>905</v>
      </c>
      <c r="D685" s="834" t="s">
        <v>8879</v>
      </c>
      <c r="E685" s="807"/>
      <c r="G685" s="844">
        <v>18000</v>
      </c>
      <c r="I685" s="954">
        <f>'Daily Cash Book'!$G685-'Daily Cash Book'!$H$2:$H$1188</f>
        <v>18000</v>
      </c>
      <c r="J685" s="939"/>
    </row>
    <row r="686" spans="1:10" ht="24" customHeight="1" x14ac:dyDescent="0.6">
      <c r="A686" s="924">
        <v>44710</v>
      </c>
      <c r="B686" s="935">
        <v>29</v>
      </c>
      <c r="C686" s="795" t="s">
        <v>2917</v>
      </c>
      <c r="D686" s="834" t="s">
        <v>9198</v>
      </c>
      <c r="E686" s="807"/>
      <c r="F686" s="808"/>
      <c r="G686" s="857">
        <v>14400</v>
      </c>
      <c r="H686" s="809"/>
      <c r="I686" s="954">
        <f>'Daily Cash Book'!$G686-'Daily Cash Book'!$H$2:$H$1188</f>
        <v>14400</v>
      </c>
    </row>
    <row r="687" spans="1:10" ht="24" customHeight="1" x14ac:dyDescent="0.6">
      <c r="A687" s="924">
        <v>44710</v>
      </c>
      <c r="B687" s="935">
        <v>29</v>
      </c>
      <c r="C687" s="795" t="s">
        <v>7280</v>
      </c>
      <c r="D687" s="834" t="s">
        <v>9199</v>
      </c>
      <c r="E687" s="807"/>
      <c r="G687" s="844">
        <v>1400</v>
      </c>
      <c r="I687" s="954">
        <f>'Daily Cash Book'!$G687-'Daily Cash Book'!$H$2:$H$1188</f>
        <v>1400</v>
      </c>
      <c r="J687" s="939"/>
    </row>
    <row r="688" spans="1:10" ht="24" customHeight="1" x14ac:dyDescent="0.6">
      <c r="A688" s="924">
        <v>44710</v>
      </c>
      <c r="B688" s="935">
        <v>29</v>
      </c>
      <c r="C688" s="795" t="s">
        <v>905</v>
      </c>
      <c r="D688" s="834" t="s">
        <v>8879</v>
      </c>
      <c r="E688" s="807"/>
      <c r="F688" s="808"/>
      <c r="G688" s="857">
        <v>2000</v>
      </c>
      <c r="H688" s="809"/>
      <c r="I688" s="954">
        <f>'Daily Cash Book'!$G688-'Daily Cash Book'!$H$2:$H$1188</f>
        <v>2000</v>
      </c>
    </row>
    <row r="689" spans="1:10" ht="24" customHeight="1" x14ac:dyDescent="0.6">
      <c r="A689" s="924">
        <v>44710</v>
      </c>
      <c r="B689" s="935">
        <v>29</v>
      </c>
      <c r="C689" s="795" t="s">
        <v>905</v>
      </c>
      <c r="D689" s="834" t="s">
        <v>8879</v>
      </c>
      <c r="E689" s="807"/>
      <c r="G689" s="844">
        <v>1500</v>
      </c>
      <c r="I689" s="954">
        <f>'Daily Cash Book'!$G689-'Daily Cash Book'!$H$2:$H$1188</f>
        <v>1500</v>
      </c>
      <c r="J689" s="939"/>
    </row>
    <row r="690" spans="1:10" ht="24" customHeight="1" x14ac:dyDescent="0.6">
      <c r="A690" s="924">
        <v>44710</v>
      </c>
      <c r="B690" s="935">
        <v>29</v>
      </c>
      <c r="C690" s="795" t="s">
        <v>888</v>
      </c>
      <c r="D690" s="795" t="s">
        <v>8880</v>
      </c>
      <c r="E690" s="807"/>
      <c r="F690" s="808"/>
      <c r="G690" s="857">
        <v>1549800</v>
      </c>
      <c r="H690" s="809"/>
      <c r="I690" s="954">
        <f>'Daily Cash Book'!$G690-'Daily Cash Book'!$H$2:$H$1188</f>
        <v>1549800</v>
      </c>
    </row>
    <row r="691" spans="1:10" ht="24" customHeight="1" x14ac:dyDescent="0.6">
      <c r="A691" s="924">
        <v>44710</v>
      </c>
      <c r="B691" s="935">
        <v>29</v>
      </c>
      <c r="C691" s="795" t="s">
        <v>1267</v>
      </c>
      <c r="D691" s="795" t="s">
        <v>7209</v>
      </c>
      <c r="E691" s="807"/>
      <c r="G691" s="844">
        <v>4000</v>
      </c>
      <c r="I691" s="954">
        <f>'Daily Cash Book'!$G691-'Daily Cash Book'!$H$2:$H$1188</f>
        <v>4000</v>
      </c>
      <c r="J691" s="939"/>
    </row>
    <row r="692" spans="1:10" ht="24" customHeight="1" x14ac:dyDescent="0.6">
      <c r="A692" s="924">
        <v>44710</v>
      </c>
      <c r="B692" s="935">
        <v>29</v>
      </c>
      <c r="C692" s="795" t="s">
        <v>86</v>
      </c>
      <c r="D692" s="795" t="s">
        <v>9200</v>
      </c>
      <c r="E692" s="807"/>
      <c r="F692" s="808"/>
      <c r="G692" s="857"/>
      <c r="H692" s="798">
        <v>14500</v>
      </c>
      <c r="I692" s="954">
        <f>'Daily Cash Book'!$G691-'Daily Cash Book'!$H$2:$H$1188</f>
        <v>-10500</v>
      </c>
    </row>
    <row r="693" spans="1:10" ht="24" customHeight="1" x14ac:dyDescent="0.6">
      <c r="A693" s="924">
        <v>44710</v>
      </c>
      <c r="B693" s="935">
        <v>29</v>
      </c>
      <c r="C693" s="795" t="s">
        <v>86</v>
      </c>
      <c r="D693" s="795" t="s">
        <v>9201</v>
      </c>
      <c r="E693" s="807"/>
      <c r="G693" s="857"/>
      <c r="H693" s="809">
        <v>32000</v>
      </c>
      <c r="I693" s="954">
        <f>'Daily Cash Book'!$G693-'Daily Cash Book'!$H$2:$H$1188</f>
        <v>-32000</v>
      </c>
      <c r="J693" s="939"/>
    </row>
    <row r="694" spans="1:10" ht="24" customHeight="1" x14ac:dyDescent="0.6">
      <c r="A694" s="924">
        <v>44710</v>
      </c>
      <c r="B694" s="935">
        <v>29</v>
      </c>
      <c r="C694" s="795" t="s">
        <v>1147</v>
      </c>
      <c r="D694" s="807" t="s">
        <v>9202</v>
      </c>
      <c r="E694" s="807"/>
      <c r="F694" s="808"/>
      <c r="G694" s="844"/>
      <c r="H694" s="798">
        <v>34000</v>
      </c>
      <c r="I694" s="954">
        <f>'Daily Cash Book'!$G694-'Daily Cash Book'!$H$2:$H$1188</f>
        <v>-34000</v>
      </c>
    </row>
    <row r="695" spans="1:10" ht="24" customHeight="1" x14ac:dyDescent="0.6">
      <c r="A695" s="924">
        <v>44710</v>
      </c>
      <c r="B695" s="935">
        <v>29</v>
      </c>
      <c r="C695" s="795" t="s">
        <v>1240</v>
      </c>
      <c r="D695" s="795" t="s">
        <v>9203</v>
      </c>
      <c r="E695" s="807" t="s">
        <v>7269</v>
      </c>
      <c r="G695" s="857"/>
      <c r="H695" s="809">
        <v>7700</v>
      </c>
      <c r="I695" s="954">
        <f>'Daily Cash Book'!$G695-'Daily Cash Book'!$H$2:$H$1188</f>
        <v>-7700</v>
      </c>
      <c r="J695" s="939"/>
    </row>
    <row r="696" spans="1:10" ht="24" customHeight="1" x14ac:dyDescent="0.6">
      <c r="A696" s="924">
        <v>44710</v>
      </c>
      <c r="B696" s="935">
        <v>29</v>
      </c>
      <c r="C696" s="795" t="s">
        <v>1240</v>
      </c>
      <c r="D696" s="807" t="s">
        <v>9204</v>
      </c>
      <c r="E696" s="807" t="s">
        <v>7269</v>
      </c>
      <c r="F696" s="808"/>
      <c r="G696" s="844"/>
      <c r="H696" s="798">
        <v>33000</v>
      </c>
      <c r="I696" s="954">
        <f>'Daily Cash Book'!$G696-'Daily Cash Book'!$H$2:$H$1188</f>
        <v>-33000</v>
      </c>
    </row>
    <row r="697" spans="1:10" ht="24" customHeight="1" x14ac:dyDescent="0.6">
      <c r="A697" s="924">
        <v>44710</v>
      </c>
      <c r="B697" s="935">
        <v>29</v>
      </c>
      <c r="C697" s="795" t="s">
        <v>1240</v>
      </c>
      <c r="D697" s="795" t="s">
        <v>9205</v>
      </c>
      <c r="E697" s="807" t="s">
        <v>7269</v>
      </c>
      <c r="G697" s="857"/>
      <c r="H697" s="809">
        <v>37000</v>
      </c>
      <c r="I697" s="954">
        <f>'Daily Cash Book'!$G697-'Daily Cash Book'!$H$2:$H$1188</f>
        <v>-37000</v>
      </c>
      <c r="J697" s="939"/>
    </row>
    <row r="698" spans="1:10" ht="24" customHeight="1" x14ac:dyDescent="0.6">
      <c r="A698" s="924">
        <v>44710</v>
      </c>
      <c r="B698" s="935">
        <v>29</v>
      </c>
      <c r="C698" s="795" t="s">
        <v>985</v>
      </c>
      <c r="D698" s="807" t="s">
        <v>7878</v>
      </c>
      <c r="E698" s="807"/>
      <c r="F698" s="808"/>
      <c r="G698" s="844"/>
      <c r="H698" s="798">
        <v>1000</v>
      </c>
      <c r="I698" s="954">
        <f>'Daily Cash Book'!$G698-'Daily Cash Book'!$H$2:$H$1188</f>
        <v>-1000</v>
      </c>
    </row>
    <row r="699" spans="1:10" ht="24" customHeight="1" x14ac:dyDescent="0.6">
      <c r="A699" s="924">
        <v>44710</v>
      </c>
      <c r="B699" s="935">
        <v>29</v>
      </c>
      <c r="C699" s="795" t="s">
        <v>2352</v>
      </c>
      <c r="D699" s="795" t="s">
        <v>9206</v>
      </c>
      <c r="E699" s="807"/>
      <c r="G699" s="857"/>
      <c r="H699" s="809">
        <v>18900</v>
      </c>
      <c r="I699" s="954">
        <f>'Daily Cash Book'!$G699-'Daily Cash Book'!$H$2:$H$1188</f>
        <v>-18900</v>
      </c>
      <c r="J699" s="939"/>
    </row>
    <row r="700" spans="1:10" ht="24" customHeight="1" x14ac:dyDescent="0.6">
      <c r="A700" s="924">
        <v>44710</v>
      </c>
      <c r="B700" s="935">
        <v>29</v>
      </c>
      <c r="C700" s="795" t="s">
        <v>981</v>
      </c>
      <c r="D700" s="807" t="s">
        <v>8929</v>
      </c>
      <c r="E700" s="807"/>
      <c r="F700" s="808"/>
      <c r="G700" s="844"/>
      <c r="H700" s="798">
        <v>32000</v>
      </c>
      <c r="I700" s="954">
        <f>'Daily Cash Book'!$G700-'Daily Cash Book'!$H$2:$H$1188</f>
        <v>-32000</v>
      </c>
    </row>
    <row r="701" spans="1:10" ht="24" customHeight="1" x14ac:dyDescent="0.6">
      <c r="A701" s="924">
        <v>44710</v>
      </c>
      <c r="B701" s="935">
        <v>29</v>
      </c>
      <c r="C701" s="795" t="s">
        <v>86</v>
      </c>
      <c r="D701" s="795" t="s">
        <v>9207</v>
      </c>
      <c r="E701" s="807"/>
      <c r="G701" s="857"/>
      <c r="H701" s="809">
        <v>13500</v>
      </c>
      <c r="I701" s="954">
        <f>'Daily Cash Book'!$G701-'Daily Cash Book'!$H$2:$H$1188</f>
        <v>-13500</v>
      </c>
      <c r="J701" s="939"/>
    </row>
    <row r="702" spans="1:10" ht="24" customHeight="1" thickBot="1" x14ac:dyDescent="0.65">
      <c r="A702" s="1234">
        <v>44710</v>
      </c>
      <c r="B702" s="1275">
        <v>29</v>
      </c>
      <c r="C702" s="892" t="s">
        <v>2352</v>
      </c>
      <c r="D702" s="1276" t="s">
        <v>8953</v>
      </c>
      <c r="E702" s="1276"/>
      <c r="F702" s="1263"/>
      <c r="G702" s="871"/>
      <c r="H702" s="1238">
        <v>18500</v>
      </c>
      <c r="I702" s="956">
        <f>'Daily Cash Book'!$G702-'Daily Cash Book'!$H$2:$H$1188</f>
        <v>-18500</v>
      </c>
    </row>
    <row r="703" spans="1:10" ht="24" customHeight="1" thickTop="1" x14ac:dyDescent="0.6">
      <c r="A703" s="924"/>
      <c r="B703" s="925"/>
      <c r="C703" s="833"/>
      <c r="D703" s="834"/>
      <c r="E703" s="834"/>
      <c r="F703" s="835"/>
      <c r="G703" s="860"/>
      <c r="H703" s="836"/>
      <c r="I703" s="955">
        <f>'Daily Cash Book'!$G703-'Daily Cash Book'!$H$2:$H$1188</f>
        <v>0</v>
      </c>
      <c r="J703" s="939"/>
    </row>
    <row r="704" spans="1:10" ht="24" customHeight="1" x14ac:dyDescent="0.6">
      <c r="B704" s="794"/>
      <c r="D704" s="807"/>
      <c r="E704" s="807"/>
      <c r="F704" s="808"/>
      <c r="G704" s="844"/>
      <c r="H704" s="809"/>
      <c r="I704" s="954">
        <f>'Daily Cash Book'!$G704-'Daily Cash Book'!$H$2:$H$1188</f>
        <v>0</v>
      </c>
    </row>
    <row r="705" spans="2:10" ht="24" customHeight="1" x14ac:dyDescent="0.6">
      <c r="B705" s="794"/>
      <c r="D705" s="807"/>
      <c r="E705" s="807"/>
      <c r="F705" s="808"/>
      <c r="G705" s="844"/>
      <c r="H705" s="809"/>
      <c r="I705" s="954">
        <f>'Daily Cash Book'!$G705-'Daily Cash Book'!$H$2:$H$1188</f>
        <v>0</v>
      </c>
      <c r="J705" s="939"/>
    </row>
    <row r="706" spans="2:10" ht="24" customHeight="1" x14ac:dyDescent="0.6">
      <c r="B706" s="794"/>
      <c r="E706" s="807"/>
      <c r="G706" s="857"/>
      <c r="I706" s="954">
        <f>'Daily Cash Book'!$G706-'Daily Cash Book'!$H$2:$H$1188</f>
        <v>0</v>
      </c>
    </row>
    <row r="707" spans="2:10" ht="24" customHeight="1" x14ac:dyDescent="0.6">
      <c r="B707" s="794"/>
      <c r="D707" s="807"/>
      <c r="E707" s="807"/>
      <c r="F707" s="808"/>
      <c r="G707" s="844"/>
      <c r="I707" s="954">
        <f>'Daily Cash Book'!$G707-'Daily Cash Book'!$H$2:$H$1188</f>
        <v>0</v>
      </c>
      <c r="J707" s="939"/>
    </row>
    <row r="708" spans="2:10" ht="24" customHeight="1" x14ac:dyDescent="0.6">
      <c r="B708" s="794"/>
      <c r="E708" s="807"/>
      <c r="G708" s="857"/>
      <c r="I708" s="954">
        <f>'Daily Cash Book'!$G708-'Daily Cash Book'!$H$2:$H$1188</f>
        <v>0</v>
      </c>
    </row>
    <row r="709" spans="2:10" ht="24" customHeight="1" x14ac:dyDescent="0.6">
      <c r="B709" s="794"/>
      <c r="E709" s="807"/>
      <c r="G709" s="857"/>
      <c r="I709" s="954">
        <f>'Daily Cash Book'!$G709-'Daily Cash Book'!$H$2:$H$1188</f>
        <v>0</v>
      </c>
      <c r="J709" s="939"/>
    </row>
    <row r="710" spans="2:10" ht="24" customHeight="1" x14ac:dyDescent="0.6">
      <c r="B710" s="794"/>
      <c r="D710" s="807"/>
      <c r="E710" s="807"/>
      <c r="F710" s="808"/>
      <c r="G710" s="844"/>
      <c r="H710" s="809"/>
      <c r="I710" s="954">
        <f>'Daily Cash Book'!$G710-'Daily Cash Book'!$H$2:$H$1188</f>
        <v>0</v>
      </c>
    </row>
    <row r="711" spans="2:10" ht="24" customHeight="1" x14ac:dyDescent="0.6">
      <c r="B711" s="794"/>
      <c r="E711" s="807"/>
      <c r="G711" s="857"/>
      <c r="I711" s="954">
        <f>'Daily Cash Book'!$G711-'Daily Cash Book'!$H$2:$H$1188</f>
        <v>0</v>
      </c>
      <c r="J711" s="939"/>
    </row>
    <row r="712" spans="2:10" ht="24" customHeight="1" x14ac:dyDescent="0.6">
      <c r="B712" s="794"/>
      <c r="D712" s="807"/>
      <c r="E712" s="807"/>
      <c r="F712" s="808"/>
      <c r="G712" s="844"/>
      <c r="H712" s="809"/>
      <c r="I712" s="954">
        <f>'Daily Cash Book'!$G712-'Daily Cash Book'!$H$2:$H$1188</f>
        <v>0</v>
      </c>
    </row>
    <row r="713" spans="2:10" ht="24" customHeight="1" x14ac:dyDescent="0.6">
      <c r="B713" s="794"/>
      <c r="E713" s="807"/>
      <c r="G713" s="857"/>
      <c r="I713" s="954">
        <f>'Daily Cash Book'!$G713-'Daily Cash Book'!$H$2:$H$1188</f>
        <v>0</v>
      </c>
      <c r="J713" s="939"/>
    </row>
    <row r="714" spans="2:10" ht="24" customHeight="1" x14ac:dyDescent="0.6">
      <c r="B714" s="794"/>
      <c r="D714" s="807"/>
      <c r="E714" s="807"/>
      <c r="F714" s="808"/>
      <c r="G714" s="844"/>
      <c r="H714" s="809"/>
      <c r="I714" s="954">
        <f>'Daily Cash Book'!$G714-'Daily Cash Book'!$H$2:$H$1188</f>
        <v>0</v>
      </c>
    </row>
    <row r="715" spans="2:10" ht="24" customHeight="1" x14ac:dyDescent="0.6">
      <c r="B715" s="794"/>
      <c r="E715" s="807"/>
      <c r="G715" s="857"/>
      <c r="I715" s="954">
        <f>'Daily Cash Book'!$G715-'Daily Cash Book'!$H$2:$H$1188</f>
        <v>0</v>
      </c>
      <c r="J715" s="939"/>
    </row>
    <row r="716" spans="2:10" ht="24" customHeight="1" x14ac:dyDescent="0.6">
      <c r="B716" s="794"/>
      <c r="D716" s="807"/>
      <c r="E716" s="807"/>
      <c r="F716" s="808"/>
      <c r="G716" s="844"/>
      <c r="H716" s="809"/>
      <c r="I716" s="954">
        <f>'Daily Cash Book'!$G716-'Daily Cash Book'!$H$2:$H$1188</f>
        <v>0</v>
      </c>
    </row>
    <row r="717" spans="2:10" ht="24" customHeight="1" x14ac:dyDescent="0.6">
      <c r="B717" s="794"/>
      <c r="E717" s="807"/>
      <c r="G717" s="857"/>
      <c r="I717" s="954">
        <f>'Daily Cash Book'!$G717-'Daily Cash Book'!$H$2:$H$1188</f>
        <v>0</v>
      </c>
      <c r="J717" s="939"/>
    </row>
    <row r="718" spans="2:10" ht="24" customHeight="1" x14ac:dyDescent="0.6">
      <c r="B718" s="794"/>
      <c r="D718" s="807"/>
      <c r="E718" s="807"/>
      <c r="F718" s="808"/>
      <c r="G718" s="844"/>
      <c r="H718" s="809"/>
      <c r="I718" s="954">
        <f>'Daily Cash Book'!$G718-'Daily Cash Book'!$H$2:$H$1188</f>
        <v>0</v>
      </c>
    </row>
    <row r="719" spans="2:10" ht="24" customHeight="1" x14ac:dyDescent="0.6">
      <c r="B719" s="794"/>
      <c r="E719" s="807"/>
      <c r="G719" s="857"/>
      <c r="I719" s="954">
        <f>'Daily Cash Book'!$G719-'Daily Cash Book'!$H$2:$H$1188</f>
        <v>0</v>
      </c>
      <c r="J719" s="939"/>
    </row>
    <row r="720" spans="2:10" ht="24" customHeight="1" x14ac:dyDescent="0.6">
      <c r="B720" s="794"/>
      <c r="E720" s="807"/>
      <c r="G720" s="857"/>
      <c r="I720" s="954">
        <f>'Daily Cash Book'!$G720-'Daily Cash Book'!$H$2:$H$1188</f>
        <v>0</v>
      </c>
    </row>
    <row r="721" spans="1:10" ht="24" customHeight="1" x14ac:dyDescent="0.6">
      <c r="A721" s="936"/>
      <c r="B721" s="937"/>
      <c r="D721" s="807"/>
      <c r="E721" s="807"/>
      <c r="F721" s="808"/>
      <c r="G721" s="844"/>
      <c r="H721" s="809"/>
      <c r="I721" s="954">
        <f>'Daily Cash Book'!$G721-'Daily Cash Book'!$H$2:$H$1188</f>
        <v>0</v>
      </c>
      <c r="J721" s="939"/>
    </row>
    <row r="722" spans="1:10" ht="24" customHeight="1" x14ac:dyDescent="0.6">
      <c r="A722" s="936"/>
      <c r="B722" s="937"/>
      <c r="E722" s="807"/>
      <c r="G722" s="857"/>
      <c r="I722" s="954">
        <f>'Daily Cash Book'!$G722-'Daily Cash Book'!$H$2:$H$1188</f>
        <v>0</v>
      </c>
    </row>
    <row r="723" spans="1:10" ht="24" customHeight="1" x14ac:dyDescent="0.6">
      <c r="A723" s="936"/>
      <c r="B723" s="937"/>
      <c r="D723" s="807"/>
      <c r="E723" s="807"/>
      <c r="F723" s="808"/>
      <c r="G723" s="844"/>
      <c r="H723" s="809"/>
      <c r="I723" s="954">
        <f>'Daily Cash Book'!$G723-'Daily Cash Book'!$H$2:$H$1188</f>
        <v>0</v>
      </c>
      <c r="J723" s="939"/>
    </row>
    <row r="724" spans="1:10" ht="24" customHeight="1" x14ac:dyDescent="0.6">
      <c r="A724" s="936"/>
      <c r="B724" s="937"/>
      <c r="E724" s="807"/>
      <c r="G724" s="857"/>
      <c r="I724" s="954">
        <f>'Daily Cash Book'!$G724-'Daily Cash Book'!$H$2:$H$1188</f>
        <v>0</v>
      </c>
    </row>
    <row r="725" spans="1:10" ht="24" customHeight="1" x14ac:dyDescent="0.6">
      <c r="A725" s="936"/>
      <c r="B725" s="937"/>
      <c r="E725" s="807"/>
      <c r="F725" s="808"/>
      <c r="G725" s="844"/>
      <c r="H725" s="809"/>
      <c r="I725" s="954">
        <f>'Daily Cash Book'!$G725-'Daily Cash Book'!$H$2:$H$1188</f>
        <v>0</v>
      </c>
      <c r="J725" s="939"/>
    </row>
    <row r="726" spans="1:10" ht="24" customHeight="1" x14ac:dyDescent="0.6">
      <c r="A726" s="936"/>
      <c r="B726" s="937"/>
      <c r="E726" s="807"/>
      <c r="G726" s="857"/>
      <c r="I726" s="954">
        <f>'Daily Cash Book'!$G726-'Daily Cash Book'!$H$2:$H$1188</f>
        <v>0</v>
      </c>
    </row>
    <row r="727" spans="1:10" ht="24" customHeight="1" x14ac:dyDescent="0.6">
      <c r="A727" s="936"/>
      <c r="B727" s="937"/>
      <c r="D727" s="807"/>
      <c r="E727" s="807"/>
      <c r="F727" s="808"/>
      <c r="G727" s="844"/>
      <c r="H727" s="809"/>
      <c r="I727" s="954">
        <f>'Daily Cash Book'!$G727-'Daily Cash Book'!$H$2:$H$1188</f>
        <v>0</v>
      </c>
      <c r="J727" s="939"/>
    </row>
    <row r="728" spans="1:10" ht="24" customHeight="1" x14ac:dyDescent="0.6">
      <c r="A728" s="936"/>
      <c r="B728" s="937"/>
      <c r="D728" s="807"/>
      <c r="E728" s="807"/>
      <c r="G728" s="857"/>
      <c r="I728" s="954">
        <f>'Daily Cash Book'!$G728-'Daily Cash Book'!$H$2:$H$1188</f>
        <v>0</v>
      </c>
    </row>
    <row r="729" spans="1:10" ht="24" customHeight="1" x14ac:dyDescent="0.6">
      <c r="A729" s="936"/>
      <c r="B729" s="937"/>
      <c r="D729" s="807"/>
      <c r="E729" s="807"/>
      <c r="F729" s="808"/>
      <c r="G729" s="844"/>
      <c r="H729" s="809"/>
      <c r="I729" s="954">
        <f>'Daily Cash Book'!$G729-'Daily Cash Book'!$H$2:$H$1188</f>
        <v>0</v>
      </c>
      <c r="J729" s="939"/>
    </row>
    <row r="730" spans="1:10" ht="24" customHeight="1" x14ac:dyDescent="0.6">
      <c r="A730" s="936"/>
      <c r="B730" s="937"/>
      <c r="E730" s="807"/>
      <c r="G730" s="857"/>
      <c r="I730" s="954">
        <f>'Daily Cash Book'!$G730-'Daily Cash Book'!$H$2:$H$1188</f>
        <v>0</v>
      </c>
    </row>
    <row r="731" spans="1:10" ht="24" customHeight="1" x14ac:dyDescent="0.6">
      <c r="A731" s="936"/>
      <c r="B731" s="937"/>
      <c r="D731" s="807"/>
      <c r="E731" s="807"/>
      <c r="F731" s="808"/>
      <c r="G731" s="844"/>
      <c r="H731" s="809"/>
      <c r="I731" s="954">
        <f>'Daily Cash Book'!$G731-'Daily Cash Book'!$H$2:$H$1188</f>
        <v>0</v>
      </c>
      <c r="J731" s="939"/>
    </row>
    <row r="732" spans="1:10" ht="24" customHeight="1" x14ac:dyDescent="0.6">
      <c r="A732" s="936"/>
      <c r="B732" s="937"/>
      <c r="E732" s="807"/>
      <c r="G732" s="857"/>
      <c r="I732" s="954">
        <f>'Daily Cash Book'!$G732-'Daily Cash Book'!$H$2:$H$1188</f>
        <v>0</v>
      </c>
    </row>
    <row r="733" spans="1:10" ht="24" customHeight="1" x14ac:dyDescent="0.6">
      <c r="A733" s="936"/>
      <c r="B733" s="937"/>
      <c r="D733" s="807"/>
      <c r="E733" s="807"/>
      <c r="F733" s="808"/>
      <c r="G733" s="844"/>
      <c r="H733" s="809"/>
      <c r="I733" s="954">
        <f>'Daily Cash Book'!$G733-'Daily Cash Book'!$H$2:$H$1188</f>
        <v>0</v>
      </c>
      <c r="J733" s="939"/>
    </row>
    <row r="734" spans="1:10" ht="24" customHeight="1" x14ac:dyDescent="0.6">
      <c r="A734" s="936"/>
      <c r="B734" s="937"/>
      <c r="E734" s="807"/>
      <c r="G734" s="857"/>
      <c r="I734" s="954">
        <f>'Daily Cash Book'!$G734-'Daily Cash Book'!$H$2:$H$1188</f>
        <v>0</v>
      </c>
    </row>
    <row r="735" spans="1:10" ht="24" customHeight="1" x14ac:dyDescent="0.6">
      <c r="A735" s="936"/>
      <c r="B735" s="937"/>
      <c r="D735" s="807"/>
      <c r="E735" s="807"/>
      <c r="F735" s="808"/>
      <c r="G735" s="844"/>
      <c r="H735" s="809"/>
      <c r="I735" s="954">
        <f>'Daily Cash Book'!$G735-'Daily Cash Book'!$H$2:$H$1188</f>
        <v>0</v>
      </c>
    </row>
    <row r="736" spans="1:10" ht="24" customHeight="1" x14ac:dyDescent="0.6">
      <c r="A736" s="936"/>
      <c r="B736" s="937"/>
      <c r="E736" s="807"/>
      <c r="G736" s="857"/>
      <c r="I736" s="954">
        <f>'Daily Cash Book'!$G736-'Daily Cash Book'!$H$2:$H$1188</f>
        <v>0</v>
      </c>
    </row>
    <row r="737" spans="1:9" ht="24" customHeight="1" x14ac:dyDescent="0.6">
      <c r="A737" s="936"/>
      <c r="B737" s="937"/>
      <c r="D737" s="807"/>
      <c r="E737" s="807"/>
      <c r="F737" s="808"/>
      <c r="G737" s="844"/>
      <c r="H737" s="809"/>
      <c r="I737" s="954">
        <f>'Daily Cash Book'!$G737-'Daily Cash Book'!$H$2:$H$1188</f>
        <v>0</v>
      </c>
    </row>
    <row r="738" spans="1:9" ht="24" customHeight="1" x14ac:dyDescent="0.6">
      <c r="A738" s="936"/>
      <c r="B738" s="937"/>
      <c r="E738" s="807"/>
      <c r="G738" s="857"/>
      <c r="I738" s="954">
        <f>'Daily Cash Book'!$G738-'Daily Cash Book'!$H$2:$H$1188</f>
        <v>0</v>
      </c>
    </row>
    <row r="739" spans="1:9" ht="24" customHeight="1" x14ac:dyDescent="0.6">
      <c r="A739" s="936"/>
      <c r="B739" s="937"/>
      <c r="D739" s="807"/>
      <c r="E739" s="807"/>
      <c r="F739" s="808"/>
      <c r="G739" s="844"/>
      <c r="H739" s="809"/>
      <c r="I739" s="954">
        <f>'Daily Cash Book'!$G739-'Daily Cash Book'!$H$2:$H$1188</f>
        <v>0</v>
      </c>
    </row>
    <row r="740" spans="1:9" ht="24" customHeight="1" x14ac:dyDescent="0.6">
      <c r="A740" s="936"/>
      <c r="B740" s="937"/>
      <c r="E740" s="807"/>
      <c r="G740" s="857"/>
      <c r="I740" s="954">
        <f>'Daily Cash Book'!$G740-'Daily Cash Book'!$H$2:$H$1188</f>
        <v>0</v>
      </c>
    </row>
    <row r="741" spans="1:9" ht="24" customHeight="1" x14ac:dyDescent="0.6">
      <c r="A741" s="936"/>
      <c r="B741" s="937"/>
      <c r="D741" s="807"/>
      <c r="E741" s="807"/>
      <c r="F741" s="808"/>
      <c r="G741" s="844"/>
      <c r="H741" s="809"/>
      <c r="I741" s="954">
        <f>'Daily Cash Book'!$G741-'Daily Cash Book'!$H$2:$H$1188</f>
        <v>0</v>
      </c>
    </row>
    <row r="742" spans="1:9" ht="24" customHeight="1" x14ac:dyDescent="0.6">
      <c r="A742" s="936"/>
      <c r="B742" s="937"/>
      <c r="D742" s="807"/>
      <c r="E742" s="807"/>
      <c r="F742" s="808"/>
      <c r="G742" s="844"/>
      <c r="H742" s="809"/>
      <c r="I742" s="954">
        <f>'Daily Cash Book'!$G742-'Daily Cash Book'!$H$2:$H$1188</f>
        <v>0</v>
      </c>
    </row>
    <row r="743" spans="1:9" ht="24" customHeight="1" x14ac:dyDescent="0.6">
      <c r="A743" s="936"/>
      <c r="B743" s="937"/>
      <c r="D743" s="807"/>
      <c r="E743" s="807"/>
      <c r="F743" s="808"/>
      <c r="G743" s="844"/>
      <c r="H743" s="809"/>
      <c r="I743" s="954">
        <f>'Daily Cash Book'!$G743-'Daily Cash Book'!$H$2:$H$1188</f>
        <v>0</v>
      </c>
    </row>
    <row r="744" spans="1:9" ht="24" customHeight="1" x14ac:dyDescent="0.6">
      <c r="A744" s="936"/>
      <c r="B744" s="937"/>
      <c r="D744" s="807"/>
      <c r="E744" s="807"/>
      <c r="F744" s="808"/>
      <c r="G744" s="844"/>
      <c r="H744" s="809"/>
      <c r="I744" s="954">
        <f>'Daily Cash Book'!$G744-'Daily Cash Book'!$H$2:$H$1188</f>
        <v>0</v>
      </c>
    </row>
    <row r="745" spans="1:9" ht="24" customHeight="1" x14ac:dyDescent="0.6">
      <c r="A745" s="936"/>
      <c r="B745" s="937"/>
      <c r="D745" s="807"/>
      <c r="E745" s="807"/>
      <c r="F745" s="808"/>
      <c r="G745" s="844"/>
      <c r="H745" s="809"/>
      <c r="I745" s="954">
        <f>'Daily Cash Book'!$G745-'Daily Cash Book'!$H$2:$H$1188</f>
        <v>0</v>
      </c>
    </row>
    <row r="746" spans="1:9" ht="24" customHeight="1" x14ac:dyDescent="0.6">
      <c r="A746" s="936"/>
      <c r="B746" s="937"/>
      <c r="D746" s="807"/>
      <c r="E746" s="807"/>
      <c r="F746" s="808"/>
      <c r="G746" s="844"/>
      <c r="H746" s="809"/>
      <c r="I746" s="954">
        <f>'Daily Cash Book'!$G746-'Daily Cash Book'!$H$2:$H$1188</f>
        <v>0</v>
      </c>
    </row>
    <row r="747" spans="1:9" ht="24" customHeight="1" x14ac:dyDescent="0.6">
      <c r="A747" s="936"/>
      <c r="B747" s="937"/>
      <c r="D747" s="807"/>
      <c r="E747" s="807"/>
      <c r="F747" s="808"/>
      <c r="G747" s="844"/>
      <c r="H747" s="809"/>
      <c r="I747" s="954">
        <f>'Daily Cash Book'!$G747-'Daily Cash Book'!$H$2:$H$1188</f>
        <v>0</v>
      </c>
    </row>
    <row r="748" spans="1:9" ht="24" customHeight="1" x14ac:dyDescent="0.6">
      <c r="A748" s="936"/>
      <c r="B748" s="937"/>
      <c r="D748" s="807"/>
      <c r="E748" s="807"/>
      <c r="F748" s="808"/>
      <c r="G748" s="844"/>
      <c r="H748" s="809"/>
      <c r="I748" s="954">
        <f>'Daily Cash Book'!$G748-'Daily Cash Book'!$H$2:$H$1188</f>
        <v>0</v>
      </c>
    </row>
    <row r="749" spans="1:9" ht="24" customHeight="1" x14ac:dyDescent="0.6">
      <c r="A749" s="936"/>
      <c r="B749" s="937"/>
      <c r="D749" s="807"/>
      <c r="E749" s="807"/>
      <c r="F749" s="808"/>
      <c r="G749" s="844"/>
      <c r="H749" s="809"/>
      <c r="I749" s="954">
        <f>'Daily Cash Book'!$G749-'Daily Cash Book'!$H$2:$H$1188</f>
        <v>0</v>
      </c>
    </row>
    <row r="750" spans="1:9" ht="24" customHeight="1" x14ac:dyDescent="0.6">
      <c r="A750" s="936"/>
      <c r="B750" s="937"/>
      <c r="D750" s="807"/>
      <c r="E750" s="807"/>
      <c r="F750" s="808"/>
      <c r="G750" s="844"/>
      <c r="H750" s="809"/>
      <c r="I750" s="954">
        <f>'Daily Cash Book'!$G750-'Daily Cash Book'!$H$2:$H$1188</f>
        <v>0</v>
      </c>
    </row>
    <row r="751" spans="1:9" ht="24" customHeight="1" x14ac:dyDescent="0.6">
      <c r="A751" s="936"/>
      <c r="B751" s="937"/>
      <c r="D751" s="807"/>
      <c r="E751" s="807"/>
      <c r="F751" s="808"/>
      <c r="G751" s="844"/>
      <c r="H751" s="809"/>
      <c r="I751" s="954">
        <f>'Daily Cash Book'!$G751-'Daily Cash Book'!$H$2:$H$1188</f>
        <v>0</v>
      </c>
    </row>
    <row r="752" spans="1:9" ht="24" customHeight="1" x14ac:dyDescent="0.6">
      <c r="A752" s="936"/>
      <c r="B752" s="937"/>
      <c r="D752" s="807"/>
      <c r="E752" s="807"/>
      <c r="F752" s="808"/>
      <c r="G752" s="844"/>
      <c r="H752" s="809"/>
      <c r="I752" s="954">
        <f>'Daily Cash Book'!$G752-'Daily Cash Book'!$H$2:$H$1188</f>
        <v>0</v>
      </c>
    </row>
    <row r="753" spans="1:9" ht="24" customHeight="1" x14ac:dyDescent="0.6">
      <c r="A753" s="936"/>
      <c r="B753" s="937"/>
      <c r="D753" s="807"/>
      <c r="E753" s="807"/>
      <c r="F753" s="808"/>
      <c r="G753" s="844"/>
      <c r="H753" s="809"/>
      <c r="I753" s="954">
        <f>'Daily Cash Book'!$G753-'Daily Cash Book'!$H$2:$H$1188</f>
        <v>0</v>
      </c>
    </row>
    <row r="754" spans="1:9" ht="24" customHeight="1" x14ac:dyDescent="0.6">
      <c r="A754" s="936"/>
      <c r="B754" s="937"/>
      <c r="D754" s="807"/>
      <c r="E754" s="807"/>
      <c r="F754" s="808"/>
      <c r="G754" s="844"/>
      <c r="H754" s="809"/>
      <c r="I754" s="954">
        <f>'Daily Cash Book'!$G754-'Daily Cash Book'!$H$2:$H$1188</f>
        <v>0</v>
      </c>
    </row>
    <row r="755" spans="1:9" ht="24" customHeight="1" x14ac:dyDescent="0.6">
      <c r="A755" s="936"/>
      <c r="B755" s="937"/>
      <c r="D755" s="807"/>
      <c r="E755" s="807"/>
      <c r="F755" s="808"/>
      <c r="G755" s="844"/>
      <c r="H755" s="809"/>
      <c r="I755" s="954">
        <f>'Daily Cash Book'!$G755-'Daily Cash Book'!$H$2:$H$1188</f>
        <v>0</v>
      </c>
    </row>
    <row r="756" spans="1:9" ht="24" customHeight="1" x14ac:dyDescent="0.6">
      <c r="A756" s="936"/>
      <c r="B756" s="937"/>
      <c r="D756" s="807"/>
      <c r="E756" s="807"/>
      <c r="F756" s="808"/>
      <c r="G756" s="844"/>
      <c r="H756" s="809"/>
      <c r="I756" s="954">
        <f>'Daily Cash Book'!$G756-'Daily Cash Book'!$H$2:$H$1188</f>
        <v>0</v>
      </c>
    </row>
    <row r="757" spans="1:9" ht="24" customHeight="1" x14ac:dyDescent="0.6">
      <c r="A757" s="936"/>
      <c r="B757" s="937"/>
      <c r="D757" s="807"/>
      <c r="E757" s="807"/>
      <c r="F757" s="808"/>
      <c r="G757" s="844"/>
      <c r="H757" s="809"/>
      <c r="I757" s="954">
        <f>'Daily Cash Book'!$G757-'Daily Cash Book'!$H$2:$H$1188</f>
        <v>0</v>
      </c>
    </row>
    <row r="758" spans="1:9" ht="24" customHeight="1" x14ac:dyDescent="0.6">
      <c r="A758" s="936"/>
      <c r="B758" s="937"/>
      <c r="D758" s="807"/>
      <c r="E758" s="807"/>
      <c r="F758" s="808"/>
      <c r="G758" s="844"/>
      <c r="H758" s="809"/>
      <c r="I758" s="954">
        <f>'Daily Cash Book'!$G758-'Daily Cash Book'!$H$2:$H$1188</f>
        <v>0</v>
      </c>
    </row>
    <row r="759" spans="1:9" ht="24" customHeight="1" x14ac:dyDescent="0.6">
      <c r="A759" s="936"/>
      <c r="B759" s="937"/>
      <c r="D759" s="807"/>
      <c r="E759" s="807"/>
      <c r="F759" s="808"/>
      <c r="G759" s="844"/>
      <c r="H759" s="809"/>
      <c r="I759" s="954">
        <f>'Daily Cash Book'!$G759-'Daily Cash Book'!$H$2:$H$1188</f>
        <v>0</v>
      </c>
    </row>
    <row r="760" spans="1:9" ht="24" customHeight="1" x14ac:dyDescent="0.6">
      <c r="A760" s="936"/>
      <c r="B760" s="937"/>
      <c r="D760" s="807"/>
      <c r="E760" s="807"/>
      <c r="F760" s="808"/>
      <c r="G760" s="844"/>
      <c r="H760" s="809"/>
      <c r="I760" s="954">
        <f>'Daily Cash Book'!$G760-'Daily Cash Book'!$H$2:$H$1188</f>
        <v>0</v>
      </c>
    </row>
    <row r="761" spans="1:9" ht="24" customHeight="1" x14ac:dyDescent="0.6">
      <c r="A761" s="936"/>
      <c r="B761" s="937"/>
      <c r="D761" s="807"/>
      <c r="E761" s="807"/>
      <c r="F761" s="808"/>
      <c r="G761" s="844"/>
      <c r="H761" s="809"/>
      <c r="I761" s="954">
        <f>'Daily Cash Book'!$G761-'Daily Cash Book'!$H$2:$H$1188</f>
        <v>0</v>
      </c>
    </row>
    <row r="762" spans="1:9" ht="24" customHeight="1" x14ac:dyDescent="0.6">
      <c r="A762" s="936"/>
      <c r="B762" s="937"/>
      <c r="D762" s="807"/>
      <c r="E762" s="807"/>
      <c r="F762" s="808"/>
      <c r="G762" s="844"/>
      <c r="H762" s="809"/>
      <c r="I762" s="954">
        <f>'Daily Cash Book'!$G762-'Daily Cash Book'!$H$2:$H$1188</f>
        <v>0</v>
      </c>
    </row>
    <row r="763" spans="1:9" ht="24" customHeight="1" x14ac:dyDescent="0.6">
      <c r="A763" s="936"/>
      <c r="B763" s="937"/>
      <c r="D763" s="807"/>
      <c r="E763" s="807"/>
      <c r="F763" s="808"/>
      <c r="G763" s="844"/>
      <c r="H763" s="809"/>
      <c r="I763" s="954">
        <f>'Daily Cash Book'!$G763-'Daily Cash Book'!$H$2:$H$1188</f>
        <v>0</v>
      </c>
    </row>
    <row r="764" spans="1:9" ht="24" customHeight="1" x14ac:dyDescent="0.6">
      <c r="A764" s="936"/>
      <c r="B764" s="937"/>
      <c r="D764" s="807"/>
      <c r="E764" s="807"/>
      <c r="F764" s="808"/>
      <c r="G764" s="844"/>
      <c r="H764" s="809"/>
      <c r="I764" s="954">
        <f>'Daily Cash Book'!$G764-'Daily Cash Book'!$H$2:$H$1188</f>
        <v>0</v>
      </c>
    </row>
    <row r="765" spans="1:9" ht="24" customHeight="1" x14ac:dyDescent="0.6">
      <c r="A765" s="936"/>
      <c r="B765" s="937"/>
      <c r="D765" s="807"/>
      <c r="E765" s="807"/>
      <c r="F765" s="808"/>
      <c r="G765" s="844"/>
      <c r="H765" s="809"/>
      <c r="I765" s="954">
        <f>'Daily Cash Book'!$G765-'Daily Cash Book'!$H$2:$H$1188</f>
        <v>0</v>
      </c>
    </row>
    <row r="766" spans="1:9" ht="24" customHeight="1" x14ac:dyDescent="0.6">
      <c r="A766" s="936"/>
      <c r="B766" s="937"/>
      <c r="D766" s="807"/>
      <c r="E766" s="807"/>
      <c r="F766" s="808"/>
      <c r="G766" s="844"/>
      <c r="H766" s="809"/>
      <c r="I766" s="954">
        <f>'Daily Cash Book'!$G766-'Daily Cash Book'!$H$2:$H$1188</f>
        <v>0</v>
      </c>
    </row>
    <row r="767" spans="1:9" ht="24" customHeight="1" x14ac:dyDescent="0.6">
      <c r="A767" s="936"/>
      <c r="B767" s="937"/>
      <c r="D767" s="807"/>
      <c r="E767" s="807"/>
      <c r="F767" s="808"/>
      <c r="G767" s="844"/>
      <c r="H767" s="809"/>
      <c r="I767" s="954">
        <f>'Daily Cash Book'!$G767-'Daily Cash Book'!$H$2:$H$1188</f>
        <v>0</v>
      </c>
    </row>
    <row r="768" spans="1:9" ht="24" customHeight="1" x14ac:dyDescent="0.6">
      <c r="A768" s="936"/>
      <c r="B768" s="937"/>
      <c r="D768" s="807"/>
      <c r="E768" s="807"/>
      <c r="F768" s="808"/>
      <c r="G768" s="844"/>
      <c r="H768" s="809"/>
      <c r="I768" s="954">
        <f>'Daily Cash Book'!$G768-'Daily Cash Book'!$H$2:$H$1188</f>
        <v>0</v>
      </c>
    </row>
    <row r="769" spans="1:9" ht="24" customHeight="1" x14ac:dyDescent="0.6">
      <c r="A769" s="936"/>
      <c r="B769" s="937"/>
      <c r="D769" s="807"/>
      <c r="E769" s="807"/>
      <c r="F769" s="808"/>
      <c r="G769" s="844"/>
      <c r="H769" s="809"/>
      <c r="I769" s="954">
        <f>'Daily Cash Book'!$G769-'Daily Cash Book'!$H$2:$H$1188</f>
        <v>0</v>
      </c>
    </row>
    <row r="770" spans="1:9" ht="24" customHeight="1" x14ac:dyDescent="0.6">
      <c r="A770" s="936"/>
      <c r="B770" s="937"/>
      <c r="D770" s="807"/>
      <c r="E770" s="807"/>
      <c r="F770" s="808"/>
      <c r="G770" s="844"/>
      <c r="H770" s="809"/>
      <c r="I770" s="954">
        <f>'Daily Cash Book'!$G770-'Daily Cash Book'!$H$2:$H$1188</f>
        <v>0</v>
      </c>
    </row>
    <row r="771" spans="1:9" ht="24" customHeight="1" x14ac:dyDescent="0.6">
      <c r="A771" s="936"/>
      <c r="B771" s="937"/>
      <c r="D771" s="807"/>
      <c r="E771" s="807"/>
      <c r="F771" s="808"/>
      <c r="G771" s="844"/>
      <c r="H771" s="809"/>
      <c r="I771" s="954">
        <f>'Daily Cash Book'!$G771-'Daily Cash Book'!$H$2:$H$1188</f>
        <v>0</v>
      </c>
    </row>
    <row r="772" spans="1:9" ht="24" customHeight="1" x14ac:dyDescent="0.6">
      <c r="A772" s="936"/>
      <c r="B772" s="937"/>
      <c r="D772" s="807"/>
      <c r="E772" s="807"/>
      <c r="F772" s="808"/>
      <c r="G772" s="844"/>
      <c r="H772" s="809"/>
      <c r="I772" s="954">
        <f>'Daily Cash Book'!$G772-'Daily Cash Book'!$H$2:$H$1188</f>
        <v>0</v>
      </c>
    </row>
    <row r="773" spans="1:9" ht="24" customHeight="1" x14ac:dyDescent="0.6">
      <c r="A773" s="936"/>
      <c r="B773" s="937"/>
      <c r="D773" s="807"/>
      <c r="E773" s="807"/>
      <c r="F773" s="808"/>
      <c r="G773" s="844"/>
      <c r="H773" s="809"/>
      <c r="I773" s="954">
        <f>'Daily Cash Book'!$G773-'Daily Cash Book'!$H$2:$H$1188</f>
        <v>0</v>
      </c>
    </row>
    <row r="774" spans="1:9" ht="24" customHeight="1" x14ac:dyDescent="0.6">
      <c r="A774" s="936"/>
      <c r="B774" s="937"/>
      <c r="D774" s="807"/>
      <c r="E774" s="807"/>
      <c r="F774" s="808"/>
      <c r="G774" s="844"/>
      <c r="H774" s="809"/>
      <c r="I774" s="954">
        <f>'Daily Cash Book'!$G774-'Daily Cash Book'!$H$2:$H$1188</f>
        <v>0</v>
      </c>
    </row>
    <row r="775" spans="1:9" ht="24" customHeight="1" x14ac:dyDescent="0.6">
      <c r="A775" s="936"/>
      <c r="B775" s="937"/>
      <c r="D775" s="807"/>
      <c r="E775" s="807"/>
      <c r="F775" s="808"/>
      <c r="G775" s="844"/>
      <c r="H775" s="809"/>
      <c r="I775" s="954">
        <f>'Daily Cash Book'!$G775-'Daily Cash Book'!$H$2:$H$1188</f>
        <v>0</v>
      </c>
    </row>
    <row r="776" spans="1:9" ht="24" customHeight="1" x14ac:dyDescent="0.6">
      <c r="A776" s="936"/>
      <c r="B776" s="937"/>
      <c r="D776" s="807"/>
      <c r="E776" s="807"/>
      <c r="F776" s="808"/>
      <c r="G776" s="844"/>
      <c r="H776" s="809"/>
      <c r="I776" s="954">
        <f>'Daily Cash Book'!$G776-'Daily Cash Book'!$H$2:$H$1188</f>
        <v>0</v>
      </c>
    </row>
    <row r="777" spans="1:9" ht="24" customHeight="1" x14ac:dyDescent="0.6">
      <c r="A777" s="936"/>
      <c r="B777" s="937"/>
      <c r="E777" s="807"/>
      <c r="G777" s="857"/>
      <c r="I777" s="954">
        <f>'Daily Cash Book'!$G777-'Daily Cash Book'!$H$2:$H$1188</f>
        <v>0</v>
      </c>
    </row>
    <row r="778" spans="1:9" ht="24" customHeight="1" x14ac:dyDescent="0.6">
      <c r="A778" s="936"/>
      <c r="B778" s="937"/>
      <c r="D778" s="807"/>
      <c r="E778" s="807"/>
      <c r="F778" s="808"/>
      <c r="G778" s="844"/>
      <c r="H778" s="809"/>
      <c r="I778" s="954">
        <f>'Daily Cash Book'!$G778-'Daily Cash Book'!$H$2:$H$1188</f>
        <v>0</v>
      </c>
    </row>
    <row r="779" spans="1:9" ht="24" customHeight="1" x14ac:dyDescent="0.6">
      <c r="A779" s="940"/>
      <c r="B779" s="937"/>
      <c r="D779" s="807"/>
      <c r="E779" s="807"/>
      <c r="F779" s="808"/>
      <c r="G779" s="844"/>
      <c r="H779" s="809"/>
      <c r="I779" s="964">
        <f>'Daily Cash Book'!$G779-'Daily Cash Book'!$H$2:$H$1188</f>
        <v>0</v>
      </c>
    </row>
    <row r="780" spans="1:9" ht="24" customHeight="1" x14ac:dyDescent="0.6">
      <c r="A780" s="940"/>
      <c r="B780" s="937"/>
      <c r="D780" s="807"/>
      <c r="E780" s="807"/>
      <c r="F780" s="808"/>
      <c r="G780" s="844"/>
      <c r="H780" s="809"/>
      <c r="I780" s="964">
        <f>'Daily Cash Book'!$G780-'Daily Cash Book'!$H$2:$H$1188</f>
        <v>0</v>
      </c>
    </row>
    <row r="781" spans="1:9" ht="24" customHeight="1" x14ac:dyDescent="0.6">
      <c r="A781" s="940"/>
      <c r="B781" s="937"/>
      <c r="D781" s="807"/>
      <c r="E781" s="807"/>
      <c r="F781" s="808"/>
      <c r="G781" s="844"/>
      <c r="H781" s="809"/>
      <c r="I781" s="964">
        <f>'Daily Cash Book'!$G781-'Daily Cash Book'!$H$2:$H$1188</f>
        <v>0</v>
      </c>
    </row>
    <row r="782" spans="1:9" ht="24" customHeight="1" x14ac:dyDescent="0.6">
      <c r="A782" s="941"/>
      <c r="B782" s="942"/>
      <c r="D782" s="943"/>
      <c r="E782" s="807"/>
      <c r="F782" s="944"/>
      <c r="G782" s="1000"/>
      <c r="H782" s="945"/>
      <c r="I782" s="965">
        <f>'Daily Cash Book'!$G782-'Daily Cash Book'!$H$2:$H$1188</f>
        <v>0</v>
      </c>
    </row>
    <row r="783" spans="1:9" ht="24" customHeight="1" x14ac:dyDescent="0.6">
      <c r="A783" s="946"/>
      <c r="B783" s="947"/>
      <c r="D783" s="948"/>
      <c r="E783" s="807"/>
      <c r="F783" s="949"/>
      <c r="G783" s="1001"/>
      <c r="H783" s="950"/>
      <c r="I783" s="965">
        <f>'Daily Cash Book'!$G783-'Daily Cash Book'!$H$2:$H$1188</f>
        <v>0</v>
      </c>
    </row>
    <row r="784" spans="1:9" ht="24" customHeight="1" x14ac:dyDescent="0.6">
      <c r="A784" s="946"/>
      <c r="B784" s="947"/>
      <c r="D784" s="948"/>
      <c r="E784" s="807"/>
      <c r="F784" s="949"/>
      <c r="G784" s="1001"/>
      <c r="H784" s="950"/>
      <c r="I784" s="965">
        <f>'Daily Cash Book'!$G784-'Daily Cash Book'!$H$2:$H$1188</f>
        <v>0</v>
      </c>
    </row>
    <row r="785" spans="1:9" ht="24" customHeight="1" x14ac:dyDescent="0.6">
      <c r="A785" s="951"/>
      <c r="B785" s="794"/>
      <c r="E785" s="807"/>
      <c r="G785" s="857"/>
      <c r="I785" s="964">
        <f>'Daily Cash Book'!$G785-'Daily Cash Book'!$H$2:$H$1188</f>
        <v>0</v>
      </c>
    </row>
    <row r="786" spans="1:9" ht="24" customHeight="1" x14ac:dyDescent="0.6">
      <c r="A786" s="951"/>
      <c r="B786" s="794"/>
      <c r="E786" s="807"/>
      <c r="G786" s="857"/>
      <c r="I786" s="964">
        <f>'Daily Cash Book'!$G786-'Daily Cash Book'!$H$2:$H$1188</f>
        <v>0</v>
      </c>
    </row>
    <row r="787" spans="1:9" ht="24" customHeight="1" x14ac:dyDescent="0.6">
      <c r="A787" s="951"/>
      <c r="B787" s="794"/>
      <c r="E787" s="807"/>
      <c r="G787" s="857"/>
      <c r="I787" s="964">
        <f>'Daily Cash Book'!$G787-'Daily Cash Book'!$H$2:$H$1188</f>
        <v>0</v>
      </c>
    </row>
    <row r="788" spans="1:9" ht="24" customHeight="1" x14ac:dyDescent="0.6">
      <c r="A788" s="951"/>
      <c r="B788" s="794"/>
      <c r="E788" s="807"/>
      <c r="G788" s="857"/>
      <c r="I788" s="964">
        <f>'Daily Cash Book'!$G788-'Daily Cash Book'!$H$2:$H$1188</f>
        <v>0</v>
      </c>
    </row>
    <row r="789" spans="1:9" ht="24" customHeight="1" x14ac:dyDescent="0.6">
      <c r="A789" s="951"/>
      <c r="B789" s="794"/>
      <c r="E789" s="807"/>
      <c r="G789" s="857"/>
      <c r="I789" s="964">
        <f>'Daily Cash Book'!$G789-'Daily Cash Book'!$H$2:$H$1188</f>
        <v>0</v>
      </c>
    </row>
    <row r="790" spans="1:9" ht="24" customHeight="1" x14ac:dyDescent="0.6">
      <c r="A790" s="951"/>
      <c r="B790" s="794"/>
      <c r="E790" s="807"/>
      <c r="G790" s="857"/>
      <c r="I790" s="964">
        <f>'Daily Cash Book'!$G790-'Daily Cash Book'!$H$2:$H$1188</f>
        <v>0</v>
      </c>
    </row>
    <row r="791" spans="1:9" ht="24" customHeight="1" x14ac:dyDescent="0.6">
      <c r="A791" s="951"/>
      <c r="B791" s="794"/>
      <c r="E791" s="807"/>
      <c r="G791" s="857"/>
      <c r="I791" s="964">
        <f>'Daily Cash Book'!$G791-'Daily Cash Book'!$H$2:$H$1188</f>
        <v>0</v>
      </c>
    </row>
    <row r="792" spans="1:9" ht="24" customHeight="1" x14ac:dyDescent="0.6">
      <c r="A792" s="951"/>
      <c r="B792" s="794"/>
      <c r="E792" s="807"/>
      <c r="G792" s="857"/>
      <c r="I792" s="964">
        <f>'Daily Cash Book'!$G792-'Daily Cash Book'!$H$2:$H$1188</f>
        <v>0</v>
      </c>
    </row>
    <row r="793" spans="1:9" ht="24" customHeight="1" x14ac:dyDescent="0.6">
      <c r="A793" s="951"/>
      <c r="B793" s="794"/>
      <c r="E793" s="807"/>
      <c r="G793" s="857"/>
      <c r="I793" s="964">
        <f>'Daily Cash Book'!$G793-'Daily Cash Book'!$H$2:$H$1188</f>
        <v>0</v>
      </c>
    </row>
    <row r="794" spans="1:9" ht="24" customHeight="1" x14ac:dyDescent="0.6">
      <c r="A794" s="951"/>
      <c r="B794" s="794"/>
      <c r="E794" s="807"/>
      <c r="G794" s="857"/>
      <c r="I794" s="964">
        <f>'Daily Cash Book'!$G794-'Daily Cash Book'!$H$2:$H$1188</f>
        <v>0</v>
      </c>
    </row>
    <row r="795" spans="1:9" ht="24" customHeight="1" x14ac:dyDescent="0.6">
      <c r="A795" s="951"/>
      <c r="B795" s="794"/>
      <c r="E795" s="807"/>
      <c r="G795" s="857"/>
      <c r="I795" s="964">
        <f>'Daily Cash Book'!$G795-'Daily Cash Book'!$H$2:$H$1188</f>
        <v>0</v>
      </c>
    </row>
    <row r="796" spans="1:9" ht="24" customHeight="1" x14ac:dyDescent="0.6">
      <c r="A796" s="951"/>
      <c r="B796" s="794"/>
      <c r="E796" s="807"/>
      <c r="G796" s="857"/>
      <c r="I796" s="964">
        <f>'Daily Cash Book'!$G796-'Daily Cash Book'!$H$2:$H$1188</f>
        <v>0</v>
      </c>
    </row>
    <row r="797" spans="1:9" ht="24" customHeight="1" x14ac:dyDescent="0.6">
      <c r="A797" s="951"/>
      <c r="B797" s="794"/>
      <c r="E797" s="807"/>
      <c r="G797" s="857"/>
      <c r="I797" s="964">
        <f>'Daily Cash Book'!$G797-'Daily Cash Book'!$H$2:$H$1188</f>
        <v>0</v>
      </c>
    </row>
    <row r="798" spans="1:9" ht="24" customHeight="1" x14ac:dyDescent="0.6">
      <c r="A798" s="951"/>
      <c r="B798" s="794"/>
      <c r="E798" s="807"/>
      <c r="G798" s="857"/>
      <c r="I798" s="964">
        <f>'Daily Cash Book'!$G798-'Daily Cash Book'!$H$2:$H$1188</f>
        <v>0</v>
      </c>
    </row>
    <row r="799" spans="1:9" ht="24" customHeight="1" x14ac:dyDescent="0.6">
      <c r="A799" s="951"/>
      <c r="B799" s="794"/>
      <c r="E799" s="807"/>
      <c r="G799" s="857"/>
      <c r="I799" s="964">
        <f>'Daily Cash Book'!$G799-'Daily Cash Book'!$H$2:$H$1188</f>
        <v>0</v>
      </c>
    </row>
    <row r="800" spans="1:9" ht="24" customHeight="1" x14ac:dyDescent="0.6">
      <c r="A800" s="951"/>
      <c r="B800" s="794"/>
      <c r="E800" s="807"/>
      <c r="G800" s="857"/>
      <c r="I800" s="964">
        <f>'Daily Cash Book'!$G800-'Daily Cash Book'!$H$2:$H$1188</f>
        <v>0</v>
      </c>
    </row>
    <row r="801" spans="1:9" ht="24" customHeight="1" x14ac:dyDescent="0.6">
      <c r="A801" s="951"/>
      <c r="B801" s="794"/>
      <c r="E801" s="807"/>
      <c r="G801" s="857"/>
      <c r="I801" s="964">
        <f>'Daily Cash Book'!$G801-'Daily Cash Book'!$H$2:$H$1188</f>
        <v>0</v>
      </c>
    </row>
    <row r="802" spans="1:9" ht="24" customHeight="1" x14ac:dyDescent="0.6">
      <c r="A802" s="951"/>
      <c r="B802" s="794"/>
      <c r="E802" s="807"/>
      <c r="G802" s="857"/>
      <c r="I802" s="964">
        <f>'Daily Cash Book'!$G802-'Daily Cash Book'!$H$2:$H$1188</f>
        <v>0</v>
      </c>
    </row>
    <row r="803" spans="1:9" ht="24" customHeight="1" x14ac:dyDescent="0.6">
      <c r="A803" s="951"/>
      <c r="B803" s="794"/>
      <c r="E803" s="807"/>
      <c r="G803" s="857"/>
      <c r="I803" s="964">
        <f>'Daily Cash Book'!$G803-'Daily Cash Book'!$H$2:$H$1188</f>
        <v>0</v>
      </c>
    </row>
    <row r="804" spans="1:9" ht="24" customHeight="1" x14ac:dyDescent="0.6">
      <c r="A804" s="951"/>
      <c r="B804" s="794"/>
      <c r="E804" s="807"/>
      <c r="G804" s="857"/>
      <c r="I804" s="964">
        <f>'Daily Cash Book'!$G804-'Daily Cash Book'!$H$2:$H$1188</f>
        <v>0</v>
      </c>
    </row>
    <row r="805" spans="1:9" ht="24" customHeight="1" x14ac:dyDescent="0.6">
      <c r="A805" s="951"/>
      <c r="B805" s="794"/>
      <c r="E805" s="807"/>
      <c r="G805" s="857"/>
      <c r="I805" s="964">
        <f>'Daily Cash Book'!$G805-'Daily Cash Book'!$H$2:$H$1188</f>
        <v>0</v>
      </c>
    </row>
    <row r="806" spans="1:9" ht="24" customHeight="1" x14ac:dyDescent="0.6">
      <c r="A806" s="951"/>
      <c r="B806" s="794"/>
      <c r="E806" s="807"/>
      <c r="G806" s="857"/>
      <c r="I806" s="964">
        <f>'Daily Cash Book'!$G806-'Daily Cash Book'!$H$2:$H$1188</f>
        <v>0</v>
      </c>
    </row>
    <row r="807" spans="1:9" ht="24" customHeight="1" x14ac:dyDescent="0.6">
      <c r="A807" s="951"/>
      <c r="B807" s="794"/>
      <c r="E807" s="807"/>
      <c r="G807" s="857"/>
      <c r="I807" s="964">
        <f>'Daily Cash Book'!$G807-'Daily Cash Book'!$H$2:$H$1188</f>
        <v>0</v>
      </c>
    </row>
    <row r="808" spans="1:9" ht="24" customHeight="1" x14ac:dyDescent="0.6">
      <c r="A808" s="951"/>
      <c r="B808" s="794"/>
      <c r="E808" s="807"/>
      <c r="G808" s="857"/>
      <c r="I808" s="964">
        <f>'Daily Cash Book'!$G808-'Daily Cash Book'!$H$2:$H$1188</f>
        <v>0</v>
      </c>
    </row>
    <row r="809" spans="1:9" ht="24" customHeight="1" x14ac:dyDescent="0.6">
      <c r="A809" s="951"/>
      <c r="B809" s="794"/>
      <c r="E809" s="807"/>
      <c r="G809" s="857"/>
      <c r="I809" s="964">
        <f>'Daily Cash Book'!$G809-'Daily Cash Book'!$H$2:$H$1188</f>
        <v>0</v>
      </c>
    </row>
    <row r="810" spans="1:9" ht="24" customHeight="1" x14ac:dyDescent="0.6">
      <c r="A810" s="951"/>
      <c r="B810" s="794"/>
      <c r="E810" s="807"/>
      <c r="G810" s="857"/>
      <c r="I810" s="964">
        <f>'Daily Cash Book'!$G810-'Daily Cash Book'!$H$2:$H$1188</f>
        <v>0</v>
      </c>
    </row>
    <row r="811" spans="1:9" ht="24" customHeight="1" x14ac:dyDescent="0.6">
      <c r="A811" s="951"/>
      <c r="B811" s="794"/>
      <c r="E811" s="807"/>
      <c r="G811" s="857"/>
      <c r="I811" s="964">
        <f>'Daily Cash Book'!$G811-'Daily Cash Book'!$H$2:$H$1188</f>
        <v>0</v>
      </c>
    </row>
    <row r="812" spans="1:9" ht="24" customHeight="1" x14ac:dyDescent="0.6">
      <c r="A812" s="951"/>
      <c r="B812" s="794"/>
      <c r="E812" s="807"/>
      <c r="G812" s="857"/>
      <c r="I812" s="964">
        <f>'Daily Cash Book'!$G812-'Daily Cash Book'!$H$2:$H$1188</f>
        <v>0</v>
      </c>
    </row>
    <row r="813" spans="1:9" ht="24" customHeight="1" x14ac:dyDescent="0.6">
      <c r="A813" s="951"/>
      <c r="B813" s="794"/>
      <c r="E813" s="807"/>
      <c r="G813" s="857"/>
      <c r="I813" s="964">
        <f>'Daily Cash Book'!$G813-'Daily Cash Book'!$H$2:$H$1188</f>
        <v>0</v>
      </c>
    </row>
    <row r="814" spans="1:9" ht="24" customHeight="1" x14ac:dyDescent="0.6">
      <c r="A814" s="951"/>
      <c r="B814" s="794"/>
      <c r="E814" s="807"/>
      <c r="G814" s="857"/>
      <c r="I814" s="964">
        <f>'Daily Cash Book'!$G814-'Daily Cash Book'!$H$2:$H$1188</f>
        <v>0</v>
      </c>
    </row>
    <row r="815" spans="1:9" ht="24" customHeight="1" x14ac:dyDescent="0.6">
      <c r="A815" s="951"/>
      <c r="B815" s="794"/>
      <c r="E815" s="807"/>
      <c r="G815" s="857"/>
      <c r="I815" s="964">
        <f>'Daily Cash Book'!$G815-'Daily Cash Book'!$H$2:$H$1188</f>
        <v>0</v>
      </c>
    </row>
    <row r="816" spans="1:9" ht="24" customHeight="1" x14ac:dyDescent="0.6">
      <c r="A816" s="951"/>
      <c r="B816" s="794"/>
      <c r="E816" s="807"/>
      <c r="G816" s="857"/>
      <c r="I816" s="964">
        <f>'Daily Cash Book'!$G816-'Daily Cash Book'!$H$2:$H$1188</f>
        <v>0</v>
      </c>
    </row>
    <row r="817" spans="1:9" ht="24" customHeight="1" x14ac:dyDescent="0.6">
      <c r="A817" s="951"/>
      <c r="B817" s="794"/>
      <c r="E817" s="807"/>
      <c r="G817" s="857"/>
      <c r="I817" s="964">
        <f>'Daily Cash Book'!$G817-'Daily Cash Book'!$H$2:$H$1188</f>
        <v>0</v>
      </c>
    </row>
    <row r="818" spans="1:9" ht="24" customHeight="1" x14ac:dyDescent="0.6">
      <c r="A818" s="951"/>
      <c r="B818" s="794"/>
      <c r="E818" s="807"/>
      <c r="G818" s="857"/>
      <c r="I818" s="964">
        <f>'Daily Cash Book'!$G818-'Daily Cash Book'!$H$2:$H$1188</f>
        <v>0</v>
      </c>
    </row>
    <row r="819" spans="1:9" ht="24" customHeight="1" x14ac:dyDescent="0.6">
      <c r="A819" s="951"/>
      <c r="B819" s="794"/>
      <c r="E819" s="807"/>
      <c r="G819" s="857"/>
      <c r="I819" s="964">
        <f>'Daily Cash Book'!$G819-'Daily Cash Book'!$H$2:$H$1188</f>
        <v>0</v>
      </c>
    </row>
    <row r="820" spans="1:9" ht="24" customHeight="1" x14ac:dyDescent="0.6">
      <c r="A820" s="951"/>
      <c r="B820" s="794"/>
      <c r="E820" s="807"/>
      <c r="G820" s="857"/>
      <c r="I820" s="964">
        <f>'Daily Cash Book'!$G820-'Daily Cash Book'!$H$2:$H$1188</f>
        <v>0</v>
      </c>
    </row>
    <row r="821" spans="1:9" ht="24" customHeight="1" x14ac:dyDescent="0.6">
      <c r="A821" s="951"/>
      <c r="B821" s="794"/>
      <c r="E821" s="807"/>
      <c r="G821" s="857"/>
      <c r="I821" s="964">
        <f>'Daily Cash Book'!$G821-'Daily Cash Book'!$H$2:$H$1188</f>
        <v>0</v>
      </c>
    </row>
    <row r="822" spans="1:9" ht="24" customHeight="1" x14ac:dyDescent="0.6">
      <c r="A822" s="951"/>
      <c r="B822" s="794"/>
      <c r="E822" s="807"/>
      <c r="G822" s="857"/>
      <c r="I822" s="964">
        <f>'Daily Cash Book'!$G822-'Daily Cash Book'!$H$2:$H$1188</f>
        <v>0</v>
      </c>
    </row>
    <row r="823" spans="1:9" ht="24" customHeight="1" x14ac:dyDescent="0.6">
      <c r="A823" s="951"/>
      <c r="B823" s="794"/>
      <c r="E823" s="807"/>
      <c r="G823" s="857"/>
      <c r="I823" s="964">
        <f>'Daily Cash Book'!$G823-'Daily Cash Book'!$H$2:$H$1188</f>
        <v>0</v>
      </c>
    </row>
    <row r="824" spans="1:9" ht="24" customHeight="1" x14ac:dyDescent="0.6">
      <c r="A824" s="951"/>
      <c r="B824" s="794"/>
      <c r="E824" s="807"/>
      <c r="G824" s="857"/>
      <c r="I824" s="964">
        <f>'Daily Cash Book'!$G824-'Daily Cash Book'!$H$2:$H$1188</f>
        <v>0</v>
      </c>
    </row>
    <row r="825" spans="1:9" ht="24" customHeight="1" x14ac:dyDescent="0.6">
      <c r="A825" s="951"/>
      <c r="B825" s="794"/>
      <c r="E825" s="807"/>
      <c r="G825" s="857"/>
      <c r="I825" s="964">
        <f>'Daily Cash Book'!$G825-'Daily Cash Book'!$H$2:$H$1188</f>
        <v>0</v>
      </c>
    </row>
    <row r="826" spans="1:9" ht="24" customHeight="1" x14ac:dyDescent="0.6">
      <c r="A826" s="951"/>
      <c r="B826" s="794"/>
      <c r="E826" s="807"/>
      <c r="G826" s="857"/>
      <c r="I826" s="964">
        <f>'Daily Cash Book'!$G826-'Daily Cash Book'!$H$2:$H$1188</f>
        <v>0</v>
      </c>
    </row>
    <row r="827" spans="1:9" ht="24" customHeight="1" x14ac:dyDescent="0.6">
      <c r="A827" s="951"/>
      <c r="B827" s="794"/>
      <c r="E827" s="807"/>
      <c r="G827" s="857"/>
      <c r="I827" s="964">
        <f>'Daily Cash Book'!$G827-'Daily Cash Book'!$H$2:$H$1188</f>
        <v>0</v>
      </c>
    </row>
    <row r="828" spans="1:9" ht="24" customHeight="1" x14ac:dyDescent="0.6">
      <c r="A828" s="951"/>
      <c r="B828" s="794"/>
      <c r="E828" s="807"/>
      <c r="G828" s="857"/>
      <c r="I828" s="964">
        <f>'Daily Cash Book'!$G828-'Daily Cash Book'!$H$2:$H$1188</f>
        <v>0</v>
      </c>
    </row>
    <row r="829" spans="1:9" ht="24" customHeight="1" x14ac:dyDescent="0.6">
      <c r="A829" s="951"/>
      <c r="B829" s="794"/>
      <c r="E829" s="807"/>
      <c r="G829" s="857"/>
      <c r="I829" s="964">
        <f>'Daily Cash Book'!$G829-'Daily Cash Book'!$H$2:$H$1188</f>
        <v>0</v>
      </c>
    </row>
    <row r="830" spans="1:9" ht="24" customHeight="1" x14ac:dyDescent="0.6">
      <c r="A830" s="951"/>
      <c r="B830" s="794"/>
      <c r="E830" s="807"/>
      <c r="G830" s="857"/>
      <c r="I830" s="964">
        <f>'Daily Cash Book'!$G830-'Daily Cash Book'!$H$2:$H$1188</f>
        <v>0</v>
      </c>
    </row>
    <row r="831" spans="1:9" ht="24" customHeight="1" x14ac:dyDescent="0.6">
      <c r="A831" s="951"/>
      <c r="B831" s="794"/>
      <c r="E831" s="807"/>
      <c r="G831" s="857"/>
      <c r="I831" s="964">
        <f>'Daily Cash Book'!$G831-'Daily Cash Book'!$H$2:$H$1188</f>
        <v>0</v>
      </c>
    </row>
    <row r="832" spans="1:9" ht="24" customHeight="1" x14ac:dyDescent="0.6">
      <c r="A832" s="951"/>
      <c r="B832" s="794"/>
      <c r="E832" s="807"/>
      <c r="G832" s="857"/>
      <c r="I832" s="964">
        <f>'Daily Cash Book'!$G832-'Daily Cash Book'!$H$2:$H$1188</f>
        <v>0</v>
      </c>
    </row>
    <row r="833" spans="1:9" ht="24" customHeight="1" x14ac:dyDescent="0.6">
      <c r="A833" s="951"/>
      <c r="B833" s="794"/>
      <c r="E833" s="807"/>
      <c r="G833" s="857"/>
      <c r="I833" s="964">
        <f>'Daily Cash Book'!$G833-'Daily Cash Book'!$H$2:$H$1188</f>
        <v>0</v>
      </c>
    </row>
    <row r="834" spans="1:9" ht="24" customHeight="1" x14ac:dyDescent="0.6">
      <c r="A834" s="951"/>
      <c r="B834" s="794"/>
      <c r="E834" s="807"/>
      <c r="G834" s="857"/>
      <c r="I834" s="964">
        <f>'Daily Cash Book'!$G834-'Daily Cash Book'!$H$2:$H$1188</f>
        <v>0</v>
      </c>
    </row>
    <row r="835" spans="1:9" ht="24" customHeight="1" x14ac:dyDescent="0.6">
      <c r="A835" s="951"/>
      <c r="B835" s="794"/>
      <c r="E835" s="807"/>
      <c r="G835" s="857"/>
      <c r="I835" s="964">
        <f>'Daily Cash Book'!$G835-'Daily Cash Book'!$H$2:$H$1188</f>
        <v>0</v>
      </c>
    </row>
    <row r="836" spans="1:9" ht="24" customHeight="1" x14ac:dyDescent="0.6">
      <c r="A836" s="951"/>
      <c r="B836" s="794"/>
      <c r="E836" s="807"/>
      <c r="G836" s="857"/>
      <c r="I836" s="964">
        <f>'Daily Cash Book'!$G836-'Daily Cash Book'!$H$2:$H$1188</f>
        <v>0</v>
      </c>
    </row>
    <row r="837" spans="1:9" ht="24" customHeight="1" x14ac:dyDescent="0.6">
      <c r="A837" s="951"/>
      <c r="B837" s="794"/>
      <c r="E837" s="807"/>
      <c r="G837" s="857"/>
      <c r="I837" s="964">
        <f>'Daily Cash Book'!$G837-'Daily Cash Book'!$H$2:$H$1188</f>
        <v>0</v>
      </c>
    </row>
    <row r="838" spans="1:9" ht="24" customHeight="1" x14ac:dyDescent="0.6">
      <c r="A838" s="951"/>
      <c r="B838" s="794"/>
      <c r="E838" s="807"/>
      <c r="G838" s="857"/>
      <c r="I838" s="964">
        <f>'Daily Cash Book'!$G838-'Daily Cash Book'!$H$2:$H$1188</f>
        <v>0</v>
      </c>
    </row>
    <row r="839" spans="1:9" ht="24" customHeight="1" x14ac:dyDescent="0.6">
      <c r="A839" s="951"/>
      <c r="B839" s="794"/>
      <c r="E839" s="807"/>
      <c r="G839" s="857"/>
      <c r="I839" s="964">
        <f>'Daily Cash Book'!$G839-'Daily Cash Book'!$H$2:$H$1188</f>
        <v>0</v>
      </c>
    </row>
    <row r="840" spans="1:9" ht="24" customHeight="1" x14ac:dyDescent="0.6">
      <c r="A840" s="951"/>
      <c r="B840" s="794"/>
      <c r="E840" s="807"/>
      <c r="G840" s="857"/>
      <c r="I840" s="964">
        <f>'Daily Cash Book'!$G840-'Daily Cash Book'!$H$2:$H$1188</f>
        <v>0</v>
      </c>
    </row>
    <row r="841" spans="1:9" ht="24" customHeight="1" x14ac:dyDescent="0.6">
      <c r="A841" s="951"/>
      <c r="B841" s="794"/>
      <c r="E841" s="807"/>
      <c r="G841" s="857"/>
      <c r="I841" s="964">
        <f>'Daily Cash Book'!$G841-'Daily Cash Book'!$H$2:$H$1188</f>
        <v>0</v>
      </c>
    </row>
    <row r="842" spans="1:9" ht="24" customHeight="1" x14ac:dyDescent="0.6">
      <c r="A842" s="951"/>
      <c r="B842" s="794"/>
      <c r="E842" s="807"/>
      <c r="G842" s="857"/>
      <c r="I842" s="964">
        <f>'Daily Cash Book'!$G842-'Daily Cash Book'!$H$2:$H$1188</f>
        <v>0</v>
      </c>
    </row>
    <row r="843" spans="1:9" ht="24" customHeight="1" x14ac:dyDescent="0.6">
      <c r="A843" s="951"/>
      <c r="B843" s="794"/>
      <c r="E843" s="807"/>
      <c r="G843" s="857"/>
      <c r="I843" s="964">
        <f>'Daily Cash Book'!$G843-'Daily Cash Book'!$H$2:$H$1188</f>
        <v>0</v>
      </c>
    </row>
    <row r="844" spans="1:9" ht="24" customHeight="1" x14ac:dyDescent="0.6">
      <c r="A844" s="951"/>
      <c r="B844" s="794"/>
      <c r="E844" s="807"/>
      <c r="G844" s="857"/>
      <c r="I844" s="964">
        <f>'Daily Cash Book'!$G844-'Daily Cash Book'!$H$2:$H$1188</f>
        <v>0</v>
      </c>
    </row>
    <row r="845" spans="1:9" ht="24" customHeight="1" x14ac:dyDescent="0.6">
      <c r="A845" s="951"/>
      <c r="B845" s="794"/>
      <c r="E845" s="807"/>
      <c r="G845" s="857"/>
      <c r="I845" s="964">
        <f>'Daily Cash Book'!$G845-'Daily Cash Book'!$H$2:$H$1188</f>
        <v>0</v>
      </c>
    </row>
    <row r="846" spans="1:9" ht="24" customHeight="1" x14ac:dyDescent="0.6">
      <c r="A846" s="951"/>
      <c r="B846" s="794"/>
      <c r="E846" s="807"/>
      <c r="G846" s="857"/>
      <c r="I846" s="964">
        <f>'Daily Cash Book'!$G846-'Daily Cash Book'!$H$2:$H$1188</f>
        <v>0</v>
      </c>
    </row>
    <row r="847" spans="1:9" ht="24" customHeight="1" x14ac:dyDescent="0.6">
      <c r="A847" s="951"/>
      <c r="B847" s="794"/>
      <c r="E847" s="807"/>
      <c r="G847" s="857"/>
      <c r="I847" s="964">
        <f>'Daily Cash Book'!$G847-'Daily Cash Book'!$H$2:$H$1188</f>
        <v>0</v>
      </c>
    </row>
    <row r="848" spans="1:9" ht="24" customHeight="1" x14ac:dyDescent="0.6">
      <c r="A848" s="951"/>
      <c r="B848" s="794"/>
      <c r="E848" s="807"/>
      <c r="G848" s="857"/>
      <c r="I848" s="964">
        <f>'Daily Cash Book'!$G848-'Daily Cash Book'!$H$2:$H$1188</f>
        <v>0</v>
      </c>
    </row>
    <row r="849" spans="1:9" ht="24" customHeight="1" x14ac:dyDescent="0.6">
      <c r="A849" s="951"/>
      <c r="B849" s="794"/>
      <c r="E849" s="807"/>
      <c r="G849" s="857"/>
      <c r="I849" s="964">
        <f>'Daily Cash Book'!$G849-'Daily Cash Book'!$H$2:$H$1188</f>
        <v>0</v>
      </c>
    </row>
    <row r="850" spans="1:9" ht="24" customHeight="1" x14ac:dyDescent="0.6">
      <c r="A850" s="951"/>
      <c r="B850" s="794"/>
      <c r="E850" s="807"/>
      <c r="G850" s="857"/>
      <c r="I850" s="964">
        <f>'Daily Cash Book'!$G850-'Daily Cash Book'!$H$2:$H$1188</f>
        <v>0</v>
      </c>
    </row>
    <row r="851" spans="1:9" ht="24" customHeight="1" x14ac:dyDescent="0.6">
      <c r="A851" s="951"/>
      <c r="B851" s="794"/>
      <c r="E851" s="807"/>
      <c r="G851" s="857"/>
      <c r="I851" s="964">
        <f>'Daily Cash Book'!$G851-'Daily Cash Book'!$H$2:$H$1188</f>
        <v>0</v>
      </c>
    </row>
    <row r="852" spans="1:9" ht="24" customHeight="1" x14ac:dyDescent="0.6">
      <c r="A852" s="951"/>
      <c r="B852" s="794"/>
      <c r="E852" s="807"/>
      <c r="G852" s="857"/>
      <c r="I852" s="964">
        <f>'Daily Cash Book'!$G852-'Daily Cash Book'!$H$2:$H$1188</f>
        <v>0</v>
      </c>
    </row>
    <row r="853" spans="1:9" ht="24" customHeight="1" x14ac:dyDescent="0.6">
      <c r="A853" s="951"/>
      <c r="B853" s="794"/>
      <c r="E853" s="807"/>
      <c r="G853" s="857"/>
      <c r="I853" s="964">
        <f>'Daily Cash Book'!$G853-'Daily Cash Book'!$H$2:$H$1188</f>
        <v>0</v>
      </c>
    </row>
    <row r="854" spans="1:9" ht="24" customHeight="1" x14ac:dyDescent="0.6">
      <c r="A854" s="951"/>
      <c r="B854" s="794"/>
      <c r="E854" s="807"/>
      <c r="G854" s="857"/>
      <c r="I854" s="964">
        <f>'Daily Cash Book'!$G854-'Daily Cash Book'!$H$2:$H$1188</f>
        <v>0</v>
      </c>
    </row>
    <row r="855" spans="1:9" ht="24" customHeight="1" x14ac:dyDescent="0.6">
      <c r="A855" s="951"/>
      <c r="B855" s="794"/>
      <c r="E855" s="807"/>
      <c r="G855" s="857"/>
      <c r="I855" s="964">
        <f>'Daily Cash Book'!$G855-'Daily Cash Book'!$H$2:$H$1188</f>
        <v>0</v>
      </c>
    </row>
    <row r="856" spans="1:9" ht="24" customHeight="1" x14ac:dyDescent="0.6">
      <c r="A856" s="951"/>
      <c r="B856" s="794"/>
      <c r="E856" s="807"/>
      <c r="G856" s="857"/>
      <c r="I856" s="964">
        <f>'Daily Cash Book'!$G856-'Daily Cash Book'!$H$2:$H$1188</f>
        <v>0</v>
      </c>
    </row>
    <row r="857" spans="1:9" ht="24" customHeight="1" x14ac:dyDescent="0.6">
      <c r="A857" s="951"/>
      <c r="B857" s="794"/>
      <c r="E857" s="807"/>
      <c r="G857" s="857"/>
      <c r="I857" s="964">
        <f>'Daily Cash Book'!$G857-'Daily Cash Book'!$H$2:$H$1188</f>
        <v>0</v>
      </c>
    </row>
    <row r="858" spans="1:9" ht="24" customHeight="1" x14ac:dyDescent="0.6">
      <c r="A858" s="951"/>
      <c r="B858" s="794"/>
      <c r="E858" s="807"/>
      <c r="G858" s="857"/>
      <c r="I858" s="964">
        <f>'Daily Cash Book'!$G858-'Daily Cash Book'!$H$2:$H$1188</f>
        <v>0</v>
      </c>
    </row>
    <row r="859" spans="1:9" ht="24" customHeight="1" x14ac:dyDescent="0.6">
      <c r="A859" s="951"/>
      <c r="B859" s="794"/>
      <c r="E859" s="807"/>
      <c r="G859" s="857"/>
      <c r="I859" s="964">
        <f>'Daily Cash Book'!$G859-'Daily Cash Book'!$H$2:$H$1188</f>
        <v>0</v>
      </c>
    </row>
    <row r="860" spans="1:9" ht="24" customHeight="1" x14ac:dyDescent="0.6">
      <c r="A860" s="951"/>
      <c r="B860" s="794"/>
      <c r="E860" s="807"/>
      <c r="G860" s="857"/>
      <c r="I860" s="964">
        <f>'Daily Cash Book'!$G860-'Daily Cash Book'!$H$2:$H$1188</f>
        <v>0</v>
      </c>
    </row>
    <row r="861" spans="1:9" ht="24" customHeight="1" x14ac:dyDescent="0.6">
      <c r="A861" s="951"/>
      <c r="B861" s="794"/>
      <c r="E861" s="807"/>
      <c r="G861" s="857"/>
      <c r="I861" s="964">
        <f>'Daily Cash Book'!$G861-'Daily Cash Book'!$H$2:$H$1188</f>
        <v>0</v>
      </c>
    </row>
    <row r="862" spans="1:9" ht="24" customHeight="1" x14ac:dyDescent="0.6">
      <c r="A862" s="951"/>
      <c r="B862" s="794"/>
      <c r="E862" s="807"/>
      <c r="G862" s="857"/>
      <c r="I862" s="964">
        <f>'Daily Cash Book'!$G862-'Daily Cash Book'!$H$2:$H$1188</f>
        <v>0</v>
      </c>
    </row>
    <row r="863" spans="1:9" ht="24" customHeight="1" x14ac:dyDescent="0.6">
      <c r="A863" s="951"/>
      <c r="B863" s="794"/>
      <c r="E863" s="807"/>
      <c r="G863" s="857"/>
      <c r="I863" s="964">
        <f>'Daily Cash Book'!$G863-'Daily Cash Book'!$H$2:$H$1188</f>
        <v>0</v>
      </c>
    </row>
    <row r="864" spans="1:9" ht="24" customHeight="1" x14ac:dyDescent="0.6">
      <c r="A864" s="951"/>
      <c r="B864" s="794"/>
      <c r="E864" s="807"/>
      <c r="G864" s="857"/>
      <c r="I864" s="964">
        <f>'Daily Cash Book'!$G864-'Daily Cash Book'!$H$2:$H$1188</f>
        <v>0</v>
      </c>
    </row>
    <row r="865" spans="1:22" ht="24" customHeight="1" x14ac:dyDescent="0.6">
      <c r="A865" s="951"/>
      <c r="B865" s="794"/>
      <c r="E865" s="807"/>
      <c r="G865" s="857"/>
      <c r="I865" s="964">
        <f>'Daily Cash Book'!$G865-'Daily Cash Book'!$H$2:$H$1188</f>
        <v>0</v>
      </c>
    </row>
    <row r="866" spans="1:22" ht="24" customHeight="1" x14ac:dyDescent="0.6">
      <c r="A866" s="951"/>
      <c r="B866" s="794"/>
      <c r="E866" s="807"/>
      <c r="G866" s="857"/>
      <c r="I866" s="964">
        <f>'Daily Cash Book'!$G866-'Daily Cash Book'!$H$2:$H$1188</f>
        <v>0</v>
      </c>
    </row>
    <row r="867" spans="1:22" ht="24" customHeight="1" x14ac:dyDescent="0.6">
      <c r="A867" s="951"/>
      <c r="B867" s="794"/>
      <c r="E867" s="807"/>
      <c r="G867" s="857"/>
      <c r="I867" s="964">
        <f>'Daily Cash Book'!$G867-'Daily Cash Book'!$H$2:$H$1188</f>
        <v>0</v>
      </c>
    </row>
    <row r="868" spans="1:22" ht="24" customHeight="1" x14ac:dyDescent="0.6">
      <c r="A868" s="951"/>
      <c r="B868" s="794"/>
      <c r="E868" s="807"/>
      <c r="G868" s="857"/>
      <c r="I868" s="964">
        <f>'Daily Cash Book'!$G868-'Daily Cash Book'!$H$2:$H$1188</f>
        <v>0</v>
      </c>
    </row>
    <row r="869" spans="1:22" ht="24" customHeight="1" x14ac:dyDescent="0.6">
      <c r="A869" s="951"/>
      <c r="B869" s="794"/>
      <c r="E869" s="807"/>
      <c r="G869" s="857"/>
      <c r="I869" s="964">
        <f>'Daily Cash Book'!$G869-'Daily Cash Book'!$H$2:$H$1188</f>
        <v>0</v>
      </c>
    </row>
    <row r="870" spans="1:22" ht="24" customHeight="1" x14ac:dyDescent="0.6">
      <c r="A870" s="951"/>
      <c r="B870" s="794"/>
      <c r="E870" s="807"/>
      <c r="G870" s="857"/>
      <c r="I870" s="964">
        <f>'Daily Cash Book'!$G870-'Daily Cash Book'!$H$2:$H$1188</f>
        <v>0</v>
      </c>
    </row>
    <row r="871" spans="1:22" ht="24" customHeight="1" x14ac:dyDescent="0.6">
      <c r="A871" s="951"/>
      <c r="B871" s="794"/>
      <c r="E871" s="807"/>
      <c r="G871" s="857"/>
      <c r="I871" s="964">
        <f>'Daily Cash Book'!$G871-'Daily Cash Book'!$H$2:$H$1188</f>
        <v>0</v>
      </c>
    </row>
    <row r="872" spans="1:22" ht="24" customHeight="1" x14ac:dyDescent="0.6">
      <c r="A872" s="951"/>
      <c r="B872" s="794"/>
      <c r="E872" s="807"/>
      <c r="G872" s="857"/>
      <c r="I872" s="964">
        <f>'Daily Cash Book'!$G872-'Daily Cash Book'!$H$2:$H$1188</f>
        <v>0</v>
      </c>
      <c r="S872" s="791"/>
      <c r="T872" s="791"/>
      <c r="U872" s="791"/>
      <c r="V872" s="791"/>
    </row>
    <row r="873" spans="1:22" ht="24" customHeight="1" x14ac:dyDescent="0.6">
      <c r="A873" s="951"/>
      <c r="B873" s="794"/>
      <c r="E873" s="807"/>
      <c r="G873" s="857"/>
      <c r="I873" s="964">
        <f>'Daily Cash Book'!$G873-'Daily Cash Book'!$H$2:$H$1188</f>
        <v>0</v>
      </c>
      <c r="S873" s="791"/>
      <c r="T873" s="791"/>
      <c r="U873" s="791"/>
      <c r="V873" s="791"/>
    </row>
    <row r="874" spans="1:22" ht="24" customHeight="1" x14ac:dyDescent="0.6">
      <c r="A874" s="951"/>
      <c r="B874" s="794"/>
      <c r="E874" s="807"/>
      <c r="G874" s="857"/>
      <c r="I874" s="964">
        <f>'Daily Cash Book'!$G874-'Daily Cash Book'!$H$2:$H$1188</f>
        <v>0</v>
      </c>
      <c r="S874" s="791"/>
      <c r="T874" s="791"/>
      <c r="U874" s="791"/>
      <c r="V874" s="791"/>
    </row>
    <row r="875" spans="1:22" ht="24" customHeight="1" x14ac:dyDescent="0.6">
      <c r="A875" s="951"/>
      <c r="B875" s="794"/>
      <c r="E875" s="807"/>
      <c r="G875" s="857"/>
      <c r="I875" s="964">
        <f>'Daily Cash Book'!$G875-'Daily Cash Book'!$H$2:$H$1188</f>
        <v>0</v>
      </c>
      <c r="S875" s="791"/>
      <c r="T875" s="791"/>
      <c r="U875" s="791"/>
      <c r="V875" s="791"/>
    </row>
    <row r="876" spans="1:22" ht="24" customHeight="1" x14ac:dyDescent="0.6">
      <c r="A876" s="951"/>
      <c r="B876" s="794"/>
      <c r="E876" s="807"/>
      <c r="G876" s="857"/>
      <c r="I876" s="964">
        <f>'Daily Cash Book'!$G876-'Daily Cash Book'!$H$2:$H$1188</f>
        <v>0</v>
      </c>
      <c r="S876" s="791"/>
      <c r="T876" s="791"/>
      <c r="U876" s="791"/>
      <c r="V876" s="791"/>
    </row>
    <row r="877" spans="1:22" ht="24" customHeight="1" x14ac:dyDescent="0.6">
      <c r="A877" s="951"/>
      <c r="B877" s="794"/>
      <c r="E877" s="807"/>
      <c r="G877" s="857"/>
      <c r="I877" s="964">
        <f>'Daily Cash Book'!$G877-'Daily Cash Book'!$H$2:$H$1188</f>
        <v>0</v>
      </c>
      <c r="S877" s="791"/>
      <c r="T877" s="791"/>
      <c r="U877" s="791"/>
      <c r="V877" s="791"/>
    </row>
    <row r="878" spans="1:22" ht="24" customHeight="1" x14ac:dyDescent="0.6">
      <c r="A878" s="951"/>
      <c r="B878" s="794"/>
      <c r="E878" s="807"/>
      <c r="G878" s="857"/>
      <c r="I878" s="964">
        <f>'Daily Cash Book'!$G878-'Daily Cash Book'!$H$2:$H$1188</f>
        <v>0</v>
      </c>
      <c r="S878" s="791"/>
      <c r="T878" s="791"/>
      <c r="U878" s="791"/>
      <c r="V878" s="791"/>
    </row>
    <row r="879" spans="1:22" ht="24" customHeight="1" x14ac:dyDescent="0.6">
      <c r="A879" s="951"/>
      <c r="B879" s="794"/>
      <c r="E879" s="807"/>
      <c r="G879" s="857"/>
      <c r="I879" s="964">
        <f>'Daily Cash Book'!$G879-'Daily Cash Book'!$H$2:$H$1188</f>
        <v>0</v>
      </c>
      <c r="S879" s="791"/>
      <c r="T879" s="791"/>
      <c r="U879" s="791"/>
      <c r="V879" s="791"/>
    </row>
    <row r="880" spans="1:22" ht="24" customHeight="1" x14ac:dyDescent="0.6">
      <c r="A880" s="951"/>
      <c r="B880" s="794"/>
      <c r="E880" s="807"/>
      <c r="G880" s="857"/>
      <c r="I880" s="964">
        <f>'Daily Cash Book'!$G880-'Daily Cash Book'!$H$2:$H$1188</f>
        <v>0</v>
      </c>
      <c r="S880" s="791"/>
      <c r="T880" s="791"/>
      <c r="U880" s="791"/>
      <c r="V880" s="791"/>
    </row>
    <row r="881" spans="1:22" ht="24" customHeight="1" x14ac:dyDescent="0.6">
      <c r="A881" s="951"/>
      <c r="B881" s="794"/>
      <c r="E881" s="807"/>
      <c r="G881" s="857"/>
      <c r="I881" s="964">
        <f>'Daily Cash Book'!$G881-'Daily Cash Book'!$H$2:$H$1188</f>
        <v>0</v>
      </c>
      <c r="S881" s="791"/>
      <c r="T881" s="791"/>
      <c r="U881" s="791"/>
      <c r="V881" s="791"/>
    </row>
    <row r="882" spans="1:22" ht="24" customHeight="1" x14ac:dyDescent="0.6">
      <c r="A882" s="951"/>
      <c r="B882" s="794"/>
      <c r="E882" s="807"/>
      <c r="G882" s="857"/>
      <c r="I882" s="964">
        <f>'Daily Cash Book'!$G882-'Daily Cash Book'!$H$2:$H$1188</f>
        <v>0</v>
      </c>
      <c r="S882" s="791"/>
      <c r="T882" s="791"/>
      <c r="U882" s="791"/>
      <c r="V882" s="791"/>
    </row>
    <row r="883" spans="1:22" ht="24" customHeight="1" x14ac:dyDescent="0.6">
      <c r="A883" s="951"/>
      <c r="B883" s="794"/>
      <c r="E883" s="807"/>
      <c r="G883" s="857"/>
      <c r="I883" s="964">
        <f>'Daily Cash Book'!$G883-'Daily Cash Book'!$H$2:$H$1188</f>
        <v>0</v>
      </c>
      <c r="S883" s="791"/>
      <c r="T883" s="791"/>
      <c r="U883" s="791"/>
      <c r="V883" s="791"/>
    </row>
    <row r="884" spans="1:22" ht="24" customHeight="1" x14ac:dyDescent="0.6">
      <c r="A884" s="951"/>
      <c r="B884" s="794"/>
      <c r="E884" s="807"/>
      <c r="G884" s="857"/>
      <c r="I884" s="964">
        <f>'Daily Cash Book'!$G884-'Daily Cash Book'!$H$2:$H$1188</f>
        <v>0</v>
      </c>
      <c r="S884" s="791"/>
      <c r="T884" s="791"/>
      <c r="U884" s="791"/>
      <c r="V884" s="791"/>
    </row>
    <row r="885" spans="1:22" ht="24" customHeight="1" x14ac:dyDescent="0.6">
      <c r="A885" s="951"/>
      <c r="B885" s="794"/>
      <c r="E885" s="807"/>
      <c r="G885" s="857"/>
      <c r="I885" s="964">
        <f>'Daily Cash Book'!$G885-'Daily Cash Book'!$H$2:$H$1188</f>
        <v>0</v>
      </c>
      <c r="S885" s="791"/>
      <c r="T885" s="791"/>
      <c r="U885" s="791"/>
      <c r="V885" s="791"/>
    </row>
    <row r="886" spans="1:22" ht="24" customHeight="1" x14ac:dyDescent="0.6">
      <c r="A886" s="951"/>
      <c r="B886" s="794"/>
      <c r="E886" s="807"/>
      <c r="G886" s="857"/>
      <c r="I886" s="964">
        <f>'Daily Cash Book'!$G886-'Daily Cash Book'!$H$2:$H$1188</f>
        <v>0</v>
      </c>
      <c r="S886" s="791"/>
      <c r="T886" s="791"/>
      <c r="U886" s="791"/>
      <c r="V886" s="791"/>
    </row>
    <row r="887" spans="1:22" ht="24" customHeight="1" x14ac:dyDescent="0.6">
      <c r="A887" s="951"/>
      <c r="B887" s="794"/>
      <c r="E887" s="807"/>
      <c r="G887" s="857"/>
      <c r="I887" s="964">
        <f>'Daily Cash Book'!$G887-'Daily Cash Book'!$H$2:$H$1188</f>
        <v>0</v>
      </c>
      <c r="S887" s="791"/>
      <c r="T887" s="791"/>
      <c r="U887" s="791"/>
      <c r="V887" s="791"/>
    </row>
    <row r="888" spans="1:22" ht="24" customHeight="1" x14ac:dyDescent="0.6">
      <c r="A888" s="951"/>
      <c r="B888" s="794"/>
      <c r="E888" s="807"/>
      <c r="G888" s="857"/>
      <c r="I888" s="964">
        <f>'Daily Cash Book'!$G888-'Daily Cash Book'!$H$2:$H$1188</f>
        <v>0</v>
      </c>
      <c r="S888" s="791"/>
      <c r="T888" s="791"/>
      <c r="U888" s="791"/>
      <c r="V888" s="791"/>
    </row>
    <row r="889" spans="1:22" ht="24" customHeight="1" x14ac:dyDescent="0.6">
      <c r="A889" s="951"/>
      <c r="B889" s="794"/>
      <c r="E889" s="807"/>
      <c r="G889" s="857"/>
      <c r="I889" s="964">
        <f>'Daily Cash Book'!$G889-'Daily Cash Book'!$H$2:$H$1188</f>
        <v>0</v>
      </c>
      <c r="S889" s="791"/>
      <c r="T889" s="791"/>
      <c r="U889" s="791"/>
      <c r="V889" s="791"/>
    </row>
    <row r="890" spans="1:22" ht="24" customHeight="1" x14ac:dyDescent="0.6">
      <c r="A890" s="951"/>
      <c r="B890" s="794"/>
      <c r="E890" s="807"/>
      <c r="G890" s="857"/>
      <c r="I890" s="964">
        <f>'Daily Cash Book'!$G890-'Daily Cash Book'!$H$2:$H$1188</f>
        <v>0</v>
      </c>
      <c r="S890" s="791"/>
      <c r="T890" s="791"/>
      <c r="U890" s="791"/>
      <c r="V890" s="791"/>
    </row>
    <row r="891" spans="1:22" ht="24" customHeight="1" x14ac:dyDescent="0.6">
      <c r="A891" s="951"/>
      <c r="B891" s="794"/>
      <c r="E891" s="807"/>
      <c r="G891" s="857"/>
      <c r="I891" s="964">
        <f>'Daily Cash Book'!$G891-'Daily Cash Book'!$H$2:$H$1188</f>
        <v>0</v>
      </c>
      <c r="S891" s="791"/>
      <c r="T891" s="791"/>
      <c r="U891" s="791"/>
      <c r="V891" s="791"/>
    </row>
    <row r="892" spans="1:22" ht="24" customHeight="1" x14ac:dyDescent="0.6">
      <c r="A892" s="951"/>
      <c r="B892" s="794"/>
      <c r="E892" s="807"/>
      <c r="G892" s="857"/>
      <c r="I892" s="964">
        <f>'Daily Cash Book'!$G892-'Daily Cash Book'!$H$2:$H$1188</f>
        <v>0</v>
      </c>
      <c r="S892" s="791"/>
      <c r="T892" s="791"/>
      <c r="U892" s="791"/>
      <c r="V892" s="791"/>
    </row>
    <row r="893" spans="1:22" ht="24" customHeight="1" x14ac:dyDescent="0.6">
      <c r="A893" s="951"/>
      <c r="B893" s="794"/>
      <c r="E893" s="807"/>
      <c r="G893" s="857"/>
      <c r="I893" s="964">
        <f>'Daily Cash Book'!$G893-'Daily Cash Book'!$H$2:$H$1188</f>
        <v>0</v>
      </c>
      <c r="S893" s="791"/>
      <c r="T893" s="791"/>
      <c r="U893" s="791"/>
      <c r="V893" s="791"/>
    </row>
    <row r="894" spans="1:22" ht="24" customHeight="1" x14ac:dyDescent="0.6">
      <c r="A894" s="951"/>
      <c r="B894" s="794"/>
      <c r="E894" s="807"/>
      <c r="G894" s="857"/>
      <c r="I894" s="964">
        <f>'Daily Cash Book'!$G894-'Daily Cash Book'!$H$2:$H$1188</f>
        <v>0</v>
      </c>
      <c r="S894" s="791"/>
      <c r="T894" s="791"/>
      <c r="U894" s="791"/>
      <c r="V894" s="791"/>
    </row>
    <row r="895" spans="1:22" ht="24" customHeight="1" x14ac:dyDescent="0.6">
      <c r="A895" s="951"/>
      <c r="B895" s="794"/>
      <c r="E895" s="807"/>
      <c r="G895" s="857"/>
      <c r="I895" s="964">
        <f>'Daily Cash Book'!$G895-'Daily Cash Book'!$H$2:$H$1188</f>
        <v>0</v>
      </c>
      <c r="S895" s="791"/>
      <c r="T895" s="791"/>
      <c r="U895" s="791"/>
      <c r="V895" s="791"/>
    </row>
    <row r="896" spans="1:22" ht="24" customHeight="1" x14ac:dyDescent="0.6">
      <c r="A896" s="951"/>
      <c r="B896" s="794"/>
      <c r="E896" s="807"/>
      <c r="G896" s="857"/>
      <c r="I896" s="964">
        <f>'Daily Cash Book'!$G896-'Daily Cash Book'!$H$2:$H$1188</f>
        <v>0</v>
      </c>
      <c r="S896" s="791"/>
      <c r="T896" s="791"/>
      <c r="U896" s="791"/>
      <c r="V896" s="791"/>
    </row>
    <row r="897" spans="1:22" ht="24" customHeight="1" x14ac:dyDescent="0.6">
      <c r="A897" s="951"/>
      <c r="B897" s="794"/>
      <c r="E897" s="807"/>
      <c r="G897" s="857"/>
      <c r="I897" s="964">
        <f>'Daily Cash Book'!$G897-'Daily Cash Book'!$H$2:$H$1188</f>
        <v>0</v>
      </c>
      <c r="S897" s="791"/>
      <c r="T897" s="791"/>
      <c r="U897" s="791"/>
      <c r="V897" s="791"/>
    </row>
    <row r="898" spans="1:22" ht="24" customHeight="1" x14ac:dyDescent="0.6">
      <c r="A898" s="951"/>
      <c r="B898" s="794"/>
      <c r="E898" s="807"/>
      <c r="G898" s="857"/>
      <c r="I898" s="964">
        <f>'Daily Cash Book'!$G898-'Daily Cash Book'!$H$2:$H$1188</f>
        <v>0</v>
      </c>
      <c r="S898" s="791"/>
      <c r="T898" s="791"/>
      <c r="U898" s="791"/>
      <c r="V898" s="791"/>
    </row>
    <row r="899" spans="1:22" ht="24" customHeight="1" x14ac:dyDescent="0.6">
      <c r="A899" s="951"/>
      <c r="B899" s="794"/>
      <c r="E899" s="807"/>
      <c r="G899" s="857"/>
      <c r="I899" s="964">
        <f>'Daily Cash Book'!$G899-'Daily Cash Book'!$H$2:$H$1188</f>
        <v>0</v>
      </c>
      <c r="S899" s="791"/>
      <c r="T899" s="791"/>
      <c r="U899" s="791"/>
      <c r="V899" s="791"/>
    </row>
    <row r="900" spans="1:22" ht="24" customHeight="1" x14ac:dyDescent="0.6">
      <c r="A900" s="951"/>
      <c r="B900" s="794"/>
      <c r="E900" s="807"/>
      <c r="G900" s="857"/>
      <c r="I900" s="964">
        <f>'Daily Cash Book'!$G900-'Daily Cash Book'!$H$2:$H$1188</f>
        <v>0</v>
      </c>
      <c r="S900" s="791"/>
      <c r="T900" s="791"/>
      <c r="U900" s="791"/>
      <c r="V900" s="791"/>
    </row>
    <row r="901" spans="1:22" ht="24" customHeight="1" x14ac:dyDescent="0.6">
      <c r="A901" s="951"/>
      <c r="B901" s="794"/>
      <c r="E901" s="807"/>
      <c r="G901" s="857"/>
      <c r="I901" s="964">
        <f>'Daily Cash Book'!$G901-'Daily Cash Book'!$H$2:$H$1188</f>
        <v>0</v>
      </c>
      <c r="S901" s="791"/>
      <c r="T901" s="791"/>
      <c r="U901" s="791"/>
      <c r="V901" s="791"/>
    </row>
    <row r="902" spans="1:22" ht="24" customHeight="1" x14ac:dyDescent="0.6">
      <c r="A902" s="951"/>
      <c r="B902" s="794"/>
      <c r="E902" s="807"/>
      <c r="G902" s="857"/>
      <c r="I902" s="964">
        <f>'Daily Cash Book'!$G902-'Daily Cash Book'!$H$2:$H$1188</f>
        <v>0</v>
      </c>
      <c r="S902" s="791"/>
      <c r="T902" s="791"/>
      <c r="U902" s="791"/>
      <c r="V902" s="791"/>
    </row>
    <row r="903" spans="1:22" ht="24" customHeight="1" x14ac:dyDescent="0.6">
      <c r="A903" s="951"/>
      <c r="B903" s="794"/>
      <c r="E903" s="807"/>
      <c r="G903" s="857"/>
      <c r="I903" s="964">
        <f>'Daily Cash Book'!$G903-'Daily Cash Book'!$H$2:$H$1188</f>
        <v>0</v>
      </c>
      <c r="S903" s="791"/>
      <c r="T903" s="791"/>
      <c r="U903" s="791"/>
      <c r="V903" s="791"/>
    </row>
    <row r="904" spans="1:22" ht="24" customHeight="1" x14ac:dyDescent="0.6">
      <c r="A904" s="951"/>
      <c r="B904" s="794"/>
      <c r="E904" s="807"/>
      <c r="G904" s="857"/>
      <c r="I904" s="964">
        <f>'Daily Cash Book'!$G904-'Daily Cash Book'!$H$2:$H$1188</f>
        <v>0</v>
      </c>
      <c r="S904" s="791"/>
      <c r="T904" s="791"/>
      <c r="U904" s="791"/>
      <c r="V904" s="791"/>
    </row>
    <row r="905" spans="1:22" ht="24" customHeight="1" x14ac:dyDescent="0.6">
      <c r="A905" s="951"/>
      <c r="B905" s="794"/>
      <c r="E905" s="807"/>
      <c r="G905" s="857"/>
      <c r="I905" s="964">
        <f>'Daily Cash Book'!$G905-'Daily Cash Book'!$H$2:$H$1188</f>
        <v>0</v>
      </c>
      <c r="S905" s="791"/>
      <c r="T905" s="791"/>
      <c r="U905" s="791"/>
      <c r="V905" s="791"/>
    </row>
    <row r="906" spans="1:22" ht="24" customHeight="1" x14ac:dyDescent="0.6">
      <c r="A906" s="951"/>
      <c r="B906" s="794"/>
      <c r="E906" s="807"/>
      <c r="G906" s="857"/>
      <c r="I906" s="964">
        <f>'Daily Cash Book'!$G906-'Daily Cash Book'!$H$2:$H$1188</f>
        <v>0</v>
      </c>
      <c r="S906" s="791"/>
      <c r="T906" s="791"/>
      <c r="U906" s="791"/>
      <c r="V906" s="791"/>
    </row>
    <row r="907" spans="1:22" ht="24" customHeight="1" x14ac:dyDescent="0.6">
      <c r="A907" s="951"/>
      <c r="B907" s="794"/>
      <c r="E907" s="807"/>
      <c r="G907" s="857"/>
      <c r="I907" s="964">
        <f>'Daily Cash Book'!$G907-'Daily Cash Book'!$H$2:$H$1188</f>
        <v>0</v>
      </c>
      <c r="S907" s="791"/>
      <c r="T907" s="791"/>
      <c r="U907" s="791"/>
      <c r="V907" s="791"/>
    </row>
    <row r="908" spans="1:22" ht="24" customHeight="1" x14ac:dyDescent="0.6">
      <c r="A908" s="951"/>
      <c r="B908" s="794"/>
      <c r="E908" s="807"/>
      <c r="G908" s="857"/>
      <c r="I908" s="964">
        <f>'Daily Cash Book'!$G908-'Daily Cash Book'!$H$2:$H$1188</f>
        <v>0</v>
      </c>
      <c r="S908" s="791"/>
      <c r="T908" s="791"/>
      <c r="U908" s="791"/>
      <c r="V908" s="791"/>
    </row>
    <row r="909" spans="1:22" ht="24" customHeight="1" x14ac:dyDescent="0.6">
      <c r="A909" s="951"/>
      <c r="B909" s="794"/>
      <c r="E909" s="807"/>
      <c r="G909" s="857"/>
      <c r="I909" s="964">
        <f>'Daily Cash Book'!$G909-'Daily Cash Book'!$H$2:$H$1188</f>
        <v>0</v>
      </c>
      <c r="S909" s="791"/>
      <c r="T909" s="791"/>
      <c r="U909" s="791"/>
      <c r="V909" s="791"/>
    </row>
    <row r="910" spans="1:22" ht="24" customHeight="1" x14ac:dyDescent="0.6">
      <c r="A910" s="951"/>
      <c r="B910" s="794"/>
      <c r="E910" s="807"/>
      <c r="G910" s="857"/>
      <c r="I910" s="964">
        <f>'Daily Cash Book'!$G910-'Daily Cash Book'!$H$2:$H$1188</f>
        <v>0</v>
      </c>
      <c r="S910" s="791"/>
      <c r="T910" s="791"/>
      <c r="U910" s="791"/>
      <c r="V910" s="791"/>
    </row>
    <row r="911" spans="1:22" ht="24" customHeight="1" x14ac:dyDescent="0.6">
      <c r="A911" s="951"/>
      <c r="B911" s="794"/>
      <c r="E911" s="807"/>
      <c r="G911" s="857"/>
      <c r="I911" s="964">
        <f>'Daily Cash Book'!$G911-'Daily Cash Book'!$H$2:$H$1188</f>
        <v>0</v>
      </c>
      <c r="S911" s="791"/>
      <c r="T911" s="791"/>
      <c r="U911" s="791"/>
      <c r="V911" s="791"/>
    </row>
    <row r="912" spans="1:22" ht="24" customHeight="1" x14ac:dyDescent="0.6">
      <c r="A912" s="951"/>
      <c r="B912" s="794"/>
      <c r="E912" s="807"/>
      <c r="G912" s="857"/>
      <c r="I912" s="964">
        <f>'Daily Cash Book'!$G912-'Daily Cash Book'!$H$2:$H$1188</f>
        <v>0</v>
      </c>
      <c r="S912" s="791"/>
      <c r="T912" s="791"/>
      <c r="U912" s="791"/>
      <c r="V912" s="791"/>
    </row>
    <row r="913" spans="1:22" ht="24" customHeight="1" x14ac:dyDescent="0.6">
      <c r="A913" s="951"/>
      <c r="B913" s="794"/>
      <c r="E913" s="807"/>
      <c r="G913" s="857"/>
      <c r="I913" s="964">
        <f>'Daily Cash Book'!$G913-'Daily Cash Book'!$H$2:$H$1188</f>
        <v>0</v>
      </c>
      <c r="S913" s="791"/>
      <c r="T913" s="791"/>
      <c r="U913" s="791"/>
      <c r="V913" s="791"/>
    </row>
    <row r="914" spans="1:22" ht="24" customHeight="1" x14ac:dyDescent="0.6">
      <c r="A914" s="951"/>
      <c r="B914" s="794"/>
      <c r="E914" s="807"/>
      <c r="G914" s="857"/>
      <c r="I914" s="964">
        <f>'Daily Cash Book'!$G914-'Daily Cash Book'!$H$2:$H$1188</f>
        <v>0</v>
      </c>
      <c r="S914" s="791"/>
      <c r="T914" s="791"/>
      <c r="U914" s="791"/>
      <c r="V914" s="791"/>
    </row>
    <row r="915" spans="1:22" ht="24" customHeight="1" x14ac:dyDescent="0.6">
      <c r="A915" s="951"/>
      <c r="B915" s="794"/>
      <c r="E915" s="807"/>
      <c r="G915" s="857"/>
      <c r="I915" s="964">
        <f>'Daily Cash Book'!$G915-'Daily Cash Book'!$H$2:$H$1188</f>
        <v>0</v>
      </c>
      <c r="S915" s="791"/>
      <c r="T915" s="791"/>
      <c r="U915" s="791"/>
      <c r="V915" s="791"/>
    </row>
    <row r="916" spans="1:22" ht="24" customHeight="1" x14ac:dyDescent="0.6">
      <c r="A916" s="951"/>
      <c r="B916" s="794"/>
      <c r="E916" s="807"/>
      <c r="G916" s="857"/>
      <c r="I916" s="964">
        <f>'Daily Cash Book'!$G916-'Daily Cash Book'!$H$2:$H$1188</f>
        <v>0</v>
      </c>
      <c r="S916" s="791"/>
      <c r="T916" s="791"/>
      <c r="U916" s="791"/>
      <c r="V916" s="791"/>
    </row>
    <row r="917" spans="1:22" ht="24" customHeight="1" x14ac:dyDescent="0.6">
      <c r="A917" s="951"/>
      <c r="B917" s="794"/>
      <c r="E917" s="807"/>
      <c r="G917" s="857"/>
      <c r="I917" s="964">
        <f>'Daily Cash Book'!$G917-'Daily Cash Book'!$H$2:$H$1188</f>
        <v>0</v>
      </c>
      <c r="S917" s="791"/>
      <c r="T917" s="791"/>
      <c r="U917" s="791"/>
      <c r="V917" s="791"/>
    </row>
    <row r="918" spans="1:22" ht="24" customHeight="1" x14ac:dyDescent="0.6">
      <c r="A918" s="951"/>
      <c r="B918" s="794"/>
      <c r="E918" s="807"/>
      <c r="G918" s="857"/>
      <c r="I918" s="964">
        <f>'Daily Cash Book'!$G918-'Daily Cash Book'!$H$2:$H$1188</f>
        <v>0</v>
      </c>
      <c r="S918" s="791"/>
      <c r="T918" s="791"/>
      <c r="U918" s="791"/>
      <c r="V918" s="791"/>
    </row>
    <row r="919" spans="1:22" ht="24" customHeight="1" x14ac:dyDescent="0.6">
      <c r="A919" s="951"/>
      <c r="B919" s="794"/>
      <c r="E919" s="807"/>
      <c r="G919" s="857"/>
      <c r="I919" s="964">
        <f>'Daily Cash Book'!$G919-'Daily Cash Book'!$H$2:$H$1188</f>
        <v>0</v>
      </c>
      <c r="S919" s="791"/>
      <c r="T919" s="791"/>
      <c r="U919" s="791"/>
      <c r="V919" s="791"/>
    </row>
    <row r="920" spans="1:22" ht="24" customHeight="1" x14ac:dyDescent="0.6">
      <c r="A920" s="951"/>
      <c r="B920" s="794"/>
      <c r="E920" s="807"/>
      <c r="G920" s="857"/>
      <c r="I920" s="964">
        <f>'Daily Cash Book'!$G920-'Daily Cash Book'!$H$2:$H$1188</f>
        <v>0</v>
      </c>
      <c r="S920" s="791"/>
      <c r="T920" s="791"/>
      <c r="U920" s="791"/>
      <c r="V920" s="791"/>
    </row>
    <row r="921" spans="1:22" ht="24" customHeight="1" x14ac:dyDescent="0.6">
      <c r="A921" s="951"/>
      <c r="B921" s="794"/>
      <c r="E921" s="807"/>
      <c r="G921" s="857"/>
      <c r="I921" s="964">
        <f>'Daily Cash Book'!$G921-'Daily Cash Book'!$H$2:$H$1188</f>
        <v>0</v>
      </c>
      <c r="S921" s="791"/>
      <c r="T921" s="791"/>
      <c r="U921" s="791"/>
      <c r="V921" s="791"/>
    </row>
    <row r="922" spans="1:22" ht="24" customHeight="1" x14ac:dyDescent="0.6">
      <c r="A922" s="951"/>
      <c r="B922" s="794"/>
      <c r="E922" s="807"/>
      <c r="G922" s="857"/>
      <c r="I922" s="964">
        <f>'Daily Cash Book'!$G922-'Daily Cash Book'!$H$2:$H$1188</f>
        <v>0</v>
      </c>
      <c r="S922" s="791"/>
      <c r="T922" s="791"/>
      <c r="U922" s="791"/>
      <c r="V922" s="791"/>
    </row>
    <row r="923" spans="1:22" ht="24" customHeight="1" x14ac:dyDescent="0.6">
      <c r="A923" s="951"/>
      <c r="B923" s="794"/>
      <c r="E923" s="807"/>
      <c r="G923" s="857"/>
      <c r="I923" s="964">
        <f>'Daily Cash Book'!$G923-'Daily Cash Book'!$H$2:$H$1188</f>
        <v>0</v>
      </c>
      <c r="S923" s="791"/>
      <c r="T923" s="791"/>
      <c r="U923" s="791"/>
      <c r="V923" s="791"/>
    </row>
    <row r="924" spans="1:22" ht="24" customHeight="1" x14ac:dyDescent="0.6">
      <c r="A924" s="951"/>
      <c r="B924" s="794"/>
      <c r="E924" s="807"/>
      <c r="G924" s="857"/>
      <c r="I924" s="964">
        <f>'Daily Cash Book'!$G924-'Daily Cash Book'!$H$2:$H$1188</f>
        <v>0</v>
      </c>
      <c r="S924" s="791"/>
      <c r="T924" s="791"/>
      <c r="U924" s="791"/>
      <c r="V924" s="791"/>
    </row>
    <row r="925" spans="1:22" ht="24" customHeight="1" x14ac:dyDescent="0.6">
      <c r="A925" s="951"/>
      <c r="B925" s="794"/>
      <c r="E925" s="807"/>
      <c r="G925" s="857"/>
      <c r="I925" s="964">
        <f>'Daily Cash Book'!$G925-'Daily Cash Book'!$H$2:$H$1188</f>
        <v>0</v>
      </c>
      <c r="S925" s="791"/>
      <c r="T925" s="791"/>
      <c r="U925" s="791"/>
      <c r="V925" s="791"/>
    </row>
    <row r="926" spans="1:22" ht="24" customHeight="1" x14ac:dyDescent="0.6">
      <c r="A926" s="951"/>
      <c r="B926" s="794"/>
      <c r="E926" s="807"/>
      <c r="G926" s="857"/>
      <c r="I926" s="964">
        <f>'Daily Cash Book'!$G926-'Daily Cash Book'!$H$2:$H$1188</f>
        <v>0</v>
      </c>
      <c r="S926" s="791"/>
      <c r="T926" s="791"/>
      <c r="U926" s="791"/>
      <c r="V926" s="791"/>
    </row>
    <row r="927" spans="1:22" ht="24" customHeight="1" x14ac:dyDescent="0.6">
      <c r="A927" s="951"/>
      <c r="B927" s="794"/>
      <c r="E927" s="807"/>
      <c r="G927" s="857"/>
      <c r="I927" s="964">
        <f>'Daily Cash Book'!$G927-'Daily Cash Book'!$H$2:$H$1188</f>
        <v>0</v>
      </c>
      <c r="S927" s="791"/>
      <c r="T927" s="791"/>
      <c r="U927" s="791"/>
      <c r="V927" s="791"/>
    </row>
    <row r="928" spans="1:22" ht="24" customHeight="1" x14ac:dyDescent="0.6">
      <c r="A928" s="951"/>
      <c r="B928" s="794"/>
      <c r="E928" s="807"/>
      <c r="G928" s="857"/>
      <c r="I928" s="964">
        <f>'Daily Cash Book'!$G928-'Daily Cash Book'!$H$2:$H$1188</f>
        <v>0</v>
      </c>
      <c r="S928" s="791"/>
      <c r="T928" s="791"/>
      <c r="U928" s="791"/>
      <c r="V928" s="791"/>
    </row>
    <row r="929" spans="1:22" ht="24" customHeight="1" x14ac:dyDescent="0.6">
      <c r="A929" s="951"/>
      <c r="B929" s="794"/>
      <c r="E929" s="807"/>
      <c r="G929" s="857"/>
      <c r="I929" s="964">
        <f>'Daily Cash Book'!$G929-'Daily Cash Book'!$H$2:$H$1188</f>
        <v>0</v>
      </c>
      <c r="S929" s="791"/>
      <c r="T929" s="791"/>
      <c r="U929" s="791"/>
      <c r="V929" s="791"/>
    </row>
    <row r="930" spans="1:22" ht="24" customHeight="1" x14ac:dyDescent="0.6">
      <c r="A930" s="951"/>
      <c r="B930" s="794"/>
      <c r="E930" s="807"/>
      <c r="G930" s="857"/>
      <c r="I930" s="964">
        <f>'Daily Cash Book'!$G930-'Daily Cash Book'!$H$2:$H$1188</f>
        <v>0</v>
      </c>
      <c r="S930" s="791"/>
      <c r="T930" s="791"/>
      <c r="U930" s="791"/>
      <c r="V930" s="791"/>
    </row>
    <row r="931" spans="1:22" ht="24" customHeight="1" x14ac:dyDescent="0.6">
      <c r="A931" s="951"/>
      <c r="B931" s="794"/>
      <c r="E931" s="807"/>
      <c r="G931" s="857"/>
      <c r="I931" s="964">
        <f>'Daily Cash Book'!$G931-'Daily Cash Book'!$H$2:$H$1188</f>
        <v>0</v>
      </c>
      <c r="S931" s="791"/>
      <c r="T931" s="791"/>
      <c r="U931" s="791"/>
      <c r="V931" s="791"/>
    </row>
    <row r="932" spans="1:22" ht="24" customHeight="1" x14ac:dyDescent="0.6">
      <c r="A932" s="951"/>
      <c r="B932" s="794"/>
      <c r="E932" s="807"/>
      <c r="G932" s="857"/>
      <c r="I932" s="964">
        <f>'Daily Cash Book'!$G932-'Daily Cash Book'!$H$2:$H$1188</f>
        <v>0</v>
      </c>
      <c r="S932" s="791"/>
      <c r="T932" s="791"/>
      <c r="U932" s="791"/>
      <c r="V932" s="791"/>
    </row>
    <row r="933" spans="1:22" ht="24" customHeight="1" x14ac:dyDescent="0.6">
      <c r="A933" s="951"/>
      <c r="B933" s="794"/>
      <c r="E933" s="807"/>
      <c r="G933" s="857"/>
      <c r="I933" s="964">
        <f>'Daily Cash Book'!$G933-'Daily Cash Book'!$H$2:$H$1188</f>
        <v>0</v>
      </c>
      <c r="S933" s="791"/>
      <c r="T933" s="791"/>
      <c r="U933" s="791"/>
      <c r="V933" s="791"/>
    </row>
    <row r="934" spans="1:22" ht="24" customHeight="1" x14ac:dyDescent="0.6">
      <c r="A934" s="951"/>
      <c r="B934" s="794"/>
      <c r="E934" s="807"/>
      <c r="G934" s="857"/>
      <c r="I934" s="964">
        <f>'Daily Cash Book'!$G934-'Daily Cash Book'!$H$2:$H$1188</f>
        <v>0</v>
      </c>
      <c r="S934" s="791"/>
      <c r="T934" s="791"/>
      <c r="U934" s="791"/>
      <c r="V934" s="791"/>
    </row>
    <row r="935" spans="1:22" ht="24" customHeight="1" x14ac:dyDescent="0.6">
      <c r="A935" s="951"/>
      <c r="B935" s="794"/>
      <c r="E935" s="807"/>
      <c r="G935" s="857"/>
      <c r="I935" s="964">
        <f>'Daily Cash Book'!$G935-'Daily Cash Book'!$H$2:$H$1188</f>
        <v>0</v>
      </c>
    </row>
    <row r="936" spans="1:22" ht="24" customHeight="1" x14ac:dyDescent="0.6">
      <c r="A936" s="951"/>
      <c r="B936" s="794"/>
      <c r="E936" s="807"/>
      <c r="G936" s="857"/>
      <c r="I936" s="964">
        <f>'Daily Cash Book'!$G936-'Daily Cash Book'!$H$2:$H$1188</f>
        <v>0</v>
      </c>
    </row>
    <row r="937" spans="1:22" ht="24" customHeight="1" x14ac:dyDescent="0.6">
      <c r="A937" s="951"/>
      <c r="B937" s="794"/>
      <c r="E937" s="807"/>
      <c r="G937" s="857"/>
      <c r="I937" s="964">
        <f>'Daily Cash Book'!$G937-'Daily Cash Book'!$H$2:$H$1188</f>
        <v>0</v>
      </c>
    </row>
    <row r="938" spans="1:22" ht="24" customHeight="1" x14ac:dyDescent="0.6">
      <c r="A938" s="951"/>
      <c r="B938" s="794"/>
      <c r="E938" s="807"/>
      <c r="G938" s="857"/>
      <c r="I938" s="964">
        <f>'Daily Cash Book'!$G938-'Daily Cash Book'!$H$2:$H$1188</f>
        <v>0</v>
      </c>
    </row>
    <row r="939" spans="1:22" ht="24" customHeight="1" x14ac:dyDescent="0.6">
      <c r="A939" s="951"/>
      <c r="B939" s="794"/>
      <c r="E939" s="807"/>
      <c r="G939" s="857"/>
      <c r="I939" s="964">
        <f>'Daily Cash Book'!$G939-'Daily Cash Book'!$H$2:$H$1188</f>
        <v>0</v>
      </c>
    </row>
    <row r="940" spans="1:22" ht="24" customHeight="1" x14ac:dyDescent="0.6">
      <c r="A940" s="951"/>
      <c r="B940" s="794"/>
      <c r="E940" s="807"/>
      <c r="G940" s="857"/>
      <c r="I940" s="964">
        <f>'Daily Cash Book'!$G940-'Daily Cash Book'!$H$2:$H$1188</f>
        <v>0</v>
      </c>
    </row>
    <row r="941" spans="1:22" ht="24" customHeight="1" x14ac:dyDescent="0.6">
      <c r="A941" s="951"/>
      <c r="B941" s="794"/>
      <c r="E941" s="807"/>
      <c r="G941" s="857"/>
      <c r="I941" s="964">
        <f>'Daily Cash Book'!$G941-'Daily Cash Book'!$H$2:$H$1188</f>
        <v>0</v>
      </c>
    </row>
    <row r="942" spans="1:22" ht="24" customHeight="1" x14ac:dyDescent="0.6">
      <c r="A942" s="951"/>
      <c r="B942" s="794"/>
      <c r="E942" s="807"/>
      <c r="G942" s="857"/>
      <c r="I942" s="964">
        <f>'Daily Cash Book'!$G942-'Daily Cash Book'!$H$2:$H$1188</f>
        <v>0</v>
      </c>
    </row>
    <row r="943" spans="1:22" ht="24" customHeight="1" x14ac:dyDescent="0.6">
      <c r="A943" s="951"/>
      <c r="B943" s="794"/>
      <c r="E943" s="807"/>
      <c r="G943" s="857"/>
      <c r="I943" s="964">
        <f>'Daily Cash Book'!$G943-'Daily Cash Book'!$H$2:$H$1188</f>
        <v>0</v>
      </c>
    </row>
    <row r="944" spans="1:22" ht="24" customHeight="1" x14ac:dyDescent="0.6">
      <c r="A944" s="951"/>
      <c r="B944" s="794"/>
      <c r="E944" s="807"/>
      <c r="G944" s="857"/>
      <c r="I944" s="964">
        <f>'Daily Cash Book'!$G944-'Daily Cash Book'!$H$2:$H$1188</f>
        <v>0</v>
      </c>
    </row>
    <row r="945" spans="1:9" ht="24" customHeight="1" x14ac:dyDescent="0.6">
      <c r="A945" s="951"/>
      <c r="B945" s="794"/>
      <c r="E945" s="807"/>
      <c r="G945" s="857"/>
      <c r="I945" s="964">
        <f>'Daily Cash Book'!$G945-'Daily Cash Book'!$H$2:$H$1188</f>
        <v>0</v>
      </c>
    </row>
    <row r="946" spans="1:9" ht="24" customHeight="1" x14ac:dyDescent="0.6">
      <c r="A946" s="951"/>
      <c r="B946" s="794"/>
      <c r="E946" s="807"/>
      <c r="G946" s="857"/>
      <c r="I946" s="964">
        <f>'Daily Cash Book'!$G946-'Daily Cash Book'!$H$2:$H$1188</f>
        <v>0</v>
      </c>
    </row>
    <row r="947" spans="1:9" ht="24" customHeight="1" x14ac:dyDescent="0.6">
      <c r="A947" s="951"/>
      <c r="B947" s="794"/>
      <c r="E947" s="807"/>
      <c r="G947" s="857"/>
      <c r="I947" s="964">
        <f>'Daily Cash Book'!$G947-'Daily Cash Book'!$H$2:$H$1188</f>
        <v>0</v>
      </c>
    </row>
    <row r="948" spans="1:9" ht="24" customHeight="1" x14ac:dyDescent="0.6">
      <c r="A948" s="951"/>
      <c r="B948" s="794"/>
      <c r="E948" s="807"/>
      <c r="G948" s="857"/>
      <c r="I948" s="964">
        <f>'Daily Cash Book'!$G948-'Daily Cash Book'!$H$2:$H$1188</f>
        <v>0</v>
      </c>
    </row>
    <row r="949" spans="1:9" ht="24" customHeight="1" x14ac:dyDescent="0.6">
      <c r="A949" s="951"/>
      <c r="B949" s="794"/>
      <c r="E949" s="807"/>
      <c r="G949" s="857"/>
      <c r="I949" s="964">
        <f>'Daily Cash Book'!$G949-'Daily Cash Book'!$H$2:$H$1188</f>
        <v>0</v>
      </c>
    </row>
    <row r="950" spans="1:9" ht="24" customHeight="1" x14ac:dyDescent="0.6">
      <c r="A950" s="951"/>
      <c r="B950" s="794"/>
      <c r="E950" s="807"/>
      <c r="G950" s="857"/>
      <c r="I950" s="964">
        <f>'Daily Cash Book'!$G950-'Daily Cash Book'!$H$2:$H$1188</f>
        <v>0</v>
      </c>
    </row>
    <row r="951" spans="1:9" ht="24" customHeight="1" x14ac:dyDescent="0.6">
      <c r="A951" s="951"/>
      <c r="B951" s="794"/>
      <c r="E951" s="807"/>
      <c r="G951" s="857"/>
      <c r="I951" s="964">
        <f>'Daily Cash Book'!$G951-'Daily Cash Book'!$H$2:$H$1188</f>
        <v>0</v>
      </c>
    </row>
    <row r="952" spans="1:9" ht="24" customHeight="1" x14ac:dyDescent="0.6">
      <c r="A952" s="951"/>
      <c r="B952" s="794"/>
      <c r="E952" s="807"/>
      <c r="G952" s="857"/>
      <c r="I952" s="964">
        <f>'Daily Cash Book'!$G952-'Daily Cash Book'!$H$2:$H$1188</f>
        <v>0</v>
      </c>
    </row>
    <row r="953" spans="1:9" ht="24" customHeight="1" x14ac:dyDescent="0.6">
      <c r="A953" s="951"/>
      <c r="B953" s="794"/>
      <c r="E953" s="807"/>
      <c r="G953" s="857"/>
      <c r="I953" s="964">
        <f>'Daily Cash Book'!$G953-'Daily Cash Book'!$H$2:$H$1188</f>
        <v>0</v>
      </c>
    </row>
    <row r="954" spans="1:9" ht="24" customHeight="1" x14ac:dyDescent="0.6">
      <c r="A954" s="951"/>
      <c r="B954" s="794"/>
      <c r="E954" s="807"/>
      <c r="G954" s="857"/>
      <c r="I954" s="964">
        <f>'Daily Cash Book'!$G954-'Daily Cash Book'!$H$2:$H$1188</f>
        <v>0</v>
      </c>
    </row>
    <row r="955" spans="1:9" ht="24" customHeight="1" x14ac:dyDescent="0.6">
      <c r="A955" s="951"/>
      <c r="B955" s="794"/>
      <c r="E955" s="807"/>
      <c r="G955" s="857"/>
      <c r="I955" s="964">
        <f>'Daily Cash Book'!$G955-'Daily Cash Book'!$H$2:$H$1188</f>
        <v>0</v>
      </c>
    </row>
    <row r="956" spans="1:9" ht="24" customHeight="1" x14ac:dyDescent="0.6">
      <c r="A956" s="951"/>
      <c r="B956" s="794"/>
      <c r="E956" s="807"/>
      <c r="G956" s="857"/>
      <c r="I956" s="964">
        <f>'Daily Cash Book'!$G956-'Daily Cash Book'!$H$2:$H$1188</f>
        <v>0</v>
      </c>
    </row>
    <row r="957" spans="1:9" ht="24" customHeight="1" x14ac:dyDescent="0.6">
      <c r="A957" s="951"/>
      <c r="B957" s="794"/>
      <c r="E957" s="807"/>
      <c r="G957" s="857"/>
      <c r="I957" s="964">
        <f>'Daily Cash Book'!$G957-'Daily Cash Book'!$H$2:$H$1188</f>
        <v>0</v>
      </c>
    </row>
    <row r="958" spans="1:9" ht="24" customHeight="1" x14ac:dyDescent="0.6">
      <c r="A958" s="951"/>
      <c r="B958" s="794"/>
      <c r="E958" s="807"/>
      <c r="G958" s="857"/>
      <c r="I958" s="964">
        <f>'Daily Cash Book'!$G958-'Daily Cash Book'!$H$2:$H$1188</f>
        <v>0</v>
      </c>
    </row>
    <row r="959" spans="1:9" ht="24" customHeight="1" x14ac:dyDescent="0.6">
      <c r="A959" s="951"/>
      <c r="B959" s="794"/>
      <c r="E959" s="807"/>
      <c r="G959" s="857"/>
      <c r="I959" s="964">
        <f>'Daily Cash Book'!$G959-'Daily Cash Book'!$H$2:$H$1188</f>
        <v>0</v>
      </c>
    </row>
    <row r="960" spans="1:9" ht="24" customHeight="1" x14ac:dyDescent="0.6">
      <c r="A960" s="951"/>
      <c r="B960" s="794"/>
      <c r="E960" s="807"/>
      <c r="G960" s="857"/>
      <c r="I960" s="964">
        <f>'Daily Cash Book'!$G960-'Daily Cash Book'!$H$2:$H$1188</f>
        <v>0</v>
      </c>
    </row>
    <row r="961" spans="1:9" ht="24" customHeight="1" x14ac:dyDescent="0.6">
      <c r="A961" s="951"/>
      <c r="B961" s="794"/>
      <c r="E961" s="807"/>
      <c r="G961" s="857"/>
      <c r="I961" s="964">
        <f>'Daily Cash Book'!$G961-'Daily Cash Book'!$H$2:$H$1188</f>
        <v>0</v>
      </c>
    </row>
    <row r="962" spans="1:9" ht="24" customHeight="1" x14ac:dyDescent="0.6">
      <c r="A962" s="951"/>
      <c r="B962" s="794"/>
      <c r="E962" s="807"/>
      <c r="G962" s="857"/>
      <c r="I962" s="964">
        <f>'Daily Cash Book'!$G962-'Daily Cash Book'!$H$2:$H$1188</f>
        <v>0</v>
      </c>
    </row>
    <row r="963" spans="1:9" ht="24" customHeight="1" x14ac:dyDescent="0.6">
      <c r="A963" s="951"/>
      <c r="B963" s="794"/>
      <c r="E963" s="807"/>
      <c r="G963" s="857"/>
      <c r="I963" s="964">
        <f>'Daily Cash Book'!$G963-'Daily Cash Book'!$H$2:$H$1188</f>
        <v>0</v>
      </c>
    </row>
    <row r="964" spans="1:9" ht="24" customHeight="1" x14ac:dyDescent="0.6">
      <c r="A964" s="951"/>
      <c r="B964" s="794"/>
      <c r="E964" s="807"/>
      <c r="G964" s="857"/>
      <c r="I964" s="964">
        <f>'Daily Cash Book'!$G964-'Daily Cash Book'!$H$2:$H$1188</f>
        <v>0</v>
      </c>
    </row>
    <row r="965" spans="1:9" ht="24" customHeight="1" x14ac:dyDescent="0.6">
      <c r="A965" s="951"/>
      <c r="B965" s="794"/>
      <c r="E965" s="807"/>
      <c r="G965" s="857"/>
      <c r="I965" s="964">
        <f>'Daily Cash Book'!$G965-'Daily Cash Book'!$H$2:$H$1188</f>
        <v>0</v>
      </c>
    </row>
    <row r="966" spans="1:9" ht="24" customHeight="1" x14ac:dyDescent="0.6">
      <c r="A966" s="951"/>
      <c r="B966" s="794"/>
      <c r="E966" s="807"/>
      <c r="G966" s="857"/>
      <c r="I966" s="964">
        <f>'Daily Cash Book'!$G966-'Daily Cash Book'!$H$2:$H$1188</f>
        <v>0</v>
      </c>
    </row>
    <row r="967" spans="1:9" ht="24" customHeight="1" x14ac:dyDescent="0.6">
      <c r="A967" s="951"/>
      <c r="B967" s="794"/>
      <c r="E967" s="807"/>
      <c r="G967" s="857"/>
      <c r="I967" s="964">
        <f>'Daily Cash Book'!$G967-'Daily Cash Book'!$H$2:$H$1188</f>
        <v>0</v>
      </c>
    </row>
    <row r="968" spans="1:9" ht="24" customHeight="1" x14ac:dyDescent="0.6">
      <c r="A968" s="951"/>
      <c r="B968" s="794"/>
      <c r="E968" s="807"/>
      <c r="G968" s="857"/>
      <c r="I968" s="964">
        <f>'Daily Cash Book'!$G968-'Daily Cash Book'!$H$2:$H$1188</f>
        <v>0</v>
      </c>
    </row>
    <row r="969" spans="1:9" ht="24" customHeight="1" x14ac:dyDescent="0.6">
      <c r="A969" s="951"/>
      <c r="B969" s="794"/>
      <c r="E969" s="807"/>
      <c r="G969" s="857"/>
      <c r="I969" s="964">
        <f>'Daily Cash Book'!$G969-'Daily Cash Book'!$H$2:$H$1188</f>
        <v>0</v>
      </c>
    </row>
    <row r="970" spans="1:9" ht="24" customHeight="1" x14ac:dyDescent="0.6">
      <c r="A970" s="951"/>
      <c r="B970" s="794"/>
      <c r="E970" s="807"/>
      <c r="G970" s="857"/>
      <c r="I970" s="964">
        <f>'Daily Cash Book'!$G970-'Daily Cash Book'!$H$2:$H$1188</f>
        <v>0</v>
      </c>
    </row>
    <row r="971" spans="1:9" ht="24" customHeight="1" x14ac:dyDescent="0.6">
      <c r="A971" s="951"/>
      <c r="B971" s="794"/>
      <c r="E971" s="807"/>
      <c r="G971" s="857"/>
      <c r="I971" s="964">
        <f>'Daily Cash Book'!$G971-'Daily Cash Book'!$H$2:$H$1188</f>
        <v>0</v>
      </c>
    </row>
    <row r="972" spans="1:9" ht="24" customHeight="1" x14ac:dyDescent="0.6">
      <c r="A972" s="951"/>
      <c r="B972" s="794"/>
      <c r="E972" s="807"/>
      <c r="G972" s="857"/>
      <c r="I972" s="964">
        <f>'Daily Cash Book'!$G972-'Daily Cash Book'!$H$2:$H$1188</f>
        <v>0</v>
      </c>
    </row>
    <row r="973" spans="1:9" ht="24" customHeight="1" x14ac:dyDescent="0.6">
      <c r="A973" s="951"/>
      <c r="B973" s="794"/>
      <c r="E973" s="807"/>
      <c r="G973" s="857"/>
      <c r="I973" s="964">
        <f>'Daily Cash Book'!$G973-'Daily Cash Book'!$H$2:$H$1188</f>
        <v>0</v>
      </c>
    </row>
    <row r="974" spans="1:9" ht="24" customHeight="1" x14ac:dyDescent="0.6">
      <c r="A974" s="951"/>
      <c r="B974" s="794"/>
      <c r="E974" s="807"/>
      <c r="G974" s="857"/>
      <c r="I974" s="964">
        <f>'Daily Cash Book'!$G974-'Daily Cash Book'!$H$2:$H$1188</f>
        <v>0</v>
      </c>
    </row>
    <row r="975" spans="1:9" ht="24" customHeight="1" x14ac:dyDescent="0.6">
      <c r="A975" s="951"/>
      <c r="B975" s="794"/>
      <c r="E975" s="807"/>
      <c r="G975" s="857"/>
      <c r="I975" s="964">
        <f>'Daily Cash Book'!$G975-'Daily Cash Book'!$H$2:$H$1188</f>
        <v>0</v>
      </c>
    </row>
    <row r="976" spans="1:9" ht="24" customHeight="1" x14ac:dyDescent="0.6">
      <c r="A976" s="951"/>
      <c r="B976" s="794"/>
      <c r="E976" s="807"/>
      <c r="G976" s="857"/>
      <c r="I976" s="964">
        <f>'Daily Cash Book'!$G976-'Daily Cash Book'!$H$2:$H$1188</f>
        <v>0</v>
      </c>
    </row>
    <row r="977" spans="1:9" ht="24" customHeight="1" x14ac:dyDescent="0.6">
      <c r="A977" s="951"/>
      <c r="B977" s="794"/>
      <c r="E977" s="807"/>
      <c r="G977" s="857"/>
      <c r="I977" s="964">
        <f>'Daily Cash Book'!$G977-'Daily Cash Book'!$H$2:$H$1188</f>
        <v>0</v>
      </c>
    </row>
    <row r="978" spans="1:9" ht="24" customHeight="1" x14ac:dyDescent="0.6">
      <c r="A978" s="951"/>
      <c r="B978" s="794"/>
      <c r="E978" s="807"/>
      <c r="G978" s="857"/>
      <c r="I978" s="964">
        <f>'Daily Cash Book'!$G978-'Daily Cash Book'!$H$2:$H$1188</f>
        <v>0</v>
      </c>
    </row>
    <row r="979" spans="1:9" ht="24" customHeight="1" x14ac:dyDescent="0.6">
      <c r="A979" s="951"/>
      <c r="B979" s="794"/>
      <c r="E979" s="807"/>
      <c r="G979" s="857"/>
      <c r="I979" s="964">
        <f>'Daily Cash Book'!$G979-'Daily Cash Book'!$H$2:$H$1188</f>
        <v>0</v>
      </c>
    </row>
    <row r="980" spans="1:9" ht="24" customHeight="1" x14ac:dyDescent="0.6">
      <c r="A980" s="951"/>
      <c r="B980" s="794"/>
      <c r="E980" s="807"/>
      <c r="G980" s="857"/>
      <c r="I980" s="964">
        <f>'Daily Cash Book'!$G980-'Daily Cash Book'!$H$2:$H$1188</f>
        <v>0</v>
      </c>
    </row>
    <row r="981" spans="1:9" ht="24" customHeight="1" x14ac:dyDescent="0.6">
      <c r="A981" s="951"/>
      <c r="B981" s="794"/>
      <c r="E981" s="807"/>
      <c r="G981" s="857"/>
      <c r="I981" s="964">
        <f>'Daily Cash Book'!$G981-'Daily Cash Book'!$H$2:$H$1188</f>
        <v>0</v>
      </c>
    </row>
    <row r="982" spans="1:9" ht="24" customHeight="1" x14ac:dyDescent="0.6">
      <c r="A982" s="951"/>
      <c r="B982" s="794"/>
      <c r="E982" s="807"/>
      <c r="G982" s="857"/>
      <c r="I982" s="964">
        <f>'Daily Cash Book'!$G982-'Daily Cash Book'!$H$2:$H$1188</f>
        <v>0</v>
      </c>
    </row>
    <row r="983" spans="1:9" ht="24" customHeight="1" x14ac:dyDescent="0.6">
      <c r="A983" s="951"/>
      <c r="B983" s="794"/>
      <c r="E983" s="807"/>
      <c r="G983" s="857"/>
      <c r="I983" s="964">
        <f>'Daily Cash Book'!$G983-'Daily Cash Book'!$H$2:$H$1188</f>
        <v>0</v>
      </c>
    </row>
    <row r="984" spans="1:9" ht="24" customHeight="1" x14ac:dyDescent="0.6">
      <c r="A984" s="951"/>
      <c r="B984" s="794"/>
      <c r="E984" s="807"/>
      <c r="G984" s="857"/>
      <c r="I984" s="964">
        <f>'Daily Cash Book'!$G984-'Daily Cash Book'!$H$2:$H$1188</f>
        <v>0</v>
      </c>
    </row>
    <row r="985" spans="1:9" ht="24" customHeight="1" x14ac:dyDescent="0.6">
      <c r="A985" s="951"/>
      <c r="B985" s="794"/>
      <c r="E985" s="807"/>
      <c r="G985" s="857"/>
      <c r="I985" s="964">
        <f>'Daily Cash Book'!$G985-'Daily Cash Book'!$H$2:$H$1188</f>
        <v>0</v>
      </c>
    </row>
    <row r="986" spans="1:9" ht="24" customHeight="1" x14ac:dyDescent="0.6">
      <c r="A986" s="951"/>
      <c r="B986" s="794"/>
      <c r="E986" s="807"/>
      <c r="G986" s="857"/>
      <c r="I986" s="964">
        <f>'Daily Cash Book'!$G986-'Daily Cash Book'!$H$2:$H$1188</f>
        <v>0</v>
      </c>
    </row>
    <row r="987" spans="1:9" ht="24" customHeight="1" x14ac:dyDescent="0.6">
      <c r="A987" s="951"/>
      <c r="B987" s="794"/>
      <c r="E987" s="807"/>
      <c r="G987" s="857"/>
      <c r="I987" s="964">
        <f>'Daily Cash Book'!$G987-'Daily Cash Book'!$H$2:$H$1188</f>
        <v>0</v>
      </c>
    </row>
    <row r="988" spans="1:9" ht="24" customHeight="1" x14ac:dyDescent="0.6">
      <c r="A988" s="951"/>
      <c r="B988" s="794"/>
      <c r="E988" s="807"/>
      <c r="G988" s="857"/>
      <c r="I988" s="964">
        <f>'Daily Cash Book'!$G988-'Daily Cash Book'!$H$2:$H$1188</f>
        <v>0</v>
      </c>
    </row>
    <row r="989" spans="1:9" ht="24" customHeight="1" x14ac:dyDescent="0.6">
      <c r="A989" s="951"/>
      <c r="B989" s="794"/>
      <c r="E989" s="807"/>
      <c r="G989" s="857"/>
      <c r="I989" s="964">
        <f>'Daily Cash Book'!$G989-'Daily Cash Book'!$H$2:$H$1188</f>
        <v>0</v>
      </c>
    </row>
    <row r="990" spans="1:9" ht="24" customHeight="1" x14ac:dyDescent="0.6">
      <c r="A990" s="951"/>
      <c r="B990" s="794"/>
      <c r="E990" s="807"/>
      <c r="G990" s="857"/>
      <c r="I990" s="964">
        <f>'Daily Cash Book'!$G990-'Daily Cash Book'!$H$2:$H$1188</f>
        <v>0</v>
      </c>
    </row>
    <row r="991" spans="1:9" ht="24" customHeight="1" x14ac:dyDescent="0.6">
      <c r="A991" s="951"/>
      <c r="B991" s="794"/>
      <c r="E991" s="807"/>
      <c r="G991" s="857"/>
      <c r="I991" s="964">
        <f>'Daily Cash Book'!$G991-'Daily Cash Book'!$H$2:$H$1188</f>
        <v>0</v>
      </c>
    </row>
    <row r="992" spans="1:9" ht="24" customHeight="1" x14ac:dyDescent="0.6">
      <c r="A992" s="951"/>
      <c r="B992" s="794"/>
      <c r="E992" s="807"/>
      <c r="G992" s="857"/>
      <c r="I992" s="964">
        <f>'Daily Cash Book'!$G992-'Daily Cash Book'!$H$2:$H$1188</f>
        <v>0</v>
      </c>
    </row>
    <row r="993" spans="1:9" ht="24" customHeight="1" x14ac:dyDescent="0.6">
      <c r="A993" s="951"/>
      <c r="B993" s="794"/>
      <c r="E993" s="807"/>
      <c r="G993" s="857"/>
      <c r="I993" s="964">
        <f>'Daily Cash Book'!$G993-'Daily Cash Book'!$H$2:$H$1188</f>
        <v>0</v>
      </c>
    </row>
    <row r="994" spans="1:9" ht="24" customHeight="1" x14ac:dyDescent="0.6">
      <c r="A994" s="951"/>
      <c r="B994" s="794"/>
      <c r="E994" s="807"/>
      <c r="G994" s="857"/>
      <c r="I994" s="964">
        <f>'Daily Cash Book'!$G994-'Daily Cash Book'!$H$2:$H$1188</f>
        <v>0</v>
      </c>
    </row>
    <row r="995" spans="1:9" ht="24" customHeight="1" x14ac:dyDescent="0.6">
      <c r="A995" s="951"/>
      <c r="B995" s="794"/>
      <c r="E995" s="807"/>
      <c r="G995" s="857"/>
      <c r="I995" s="964">
        <f>'Daily Cash Book'!$G995-'Daily Cash Book'!$H$2:$H$1188</f>
        <v>0</v>
      </c>
    </row>
    <row r="996" spans="1:9" ht="24" customHeight="1" x14ac:dyDescent="0.6">
      <c r="A996" s="951"/>
      <c r="B996" s="794"/>
      <c r="E996" s="807"/>
      <c r="G996" s="857"/>
      <c r="I996" s="964">
        <f>'Daily Cash Book'!$G996-'Daily Cash Book'!$H$2:$H$1188</f>
        <v>0</v>
      </c>
    </row>
    <row r="997" spans="1:9" ht="24" customHeight="1" x14ac:dyDescent="0.6">
      <c r="A997" s="951"/>
      <c r="B997" s="794"/>
      <c r="E997" s="807"/>
      <c r="G997" s="857"/>
      <c r="I997" s="964">
        <f>'Daily Cash Book'!$G997-'Daily Cash Book'!$H$2:$H$1188</f>
        <v>0</v>
      </c>
    </row>
    <row r="998" spans="1:9" ht="24" customHeight="1" x14ac:dyDescent="0.6">
      <c r="A998" s="951"/>
      <c r="B998" s="794"/>
      <c r="E998" s="807"/>
      <c r="G998" s="857"/>
      <c r="I998" s="964">
        <f>'Daily Cash Book'!$G998-'Daily Cash Book'!$H$2:$H$1188</f>
        <v>0</v>
      </c>
    </row>
    <row r="999" spans="1:9" ht="24" customHeight="1" x14ac:dyDescent="0.6">
      <c r="A999" s="951"/>
      <c r="B999" s="794"/>
      <c r="E999" s="807"/>
      <c r="G999" s="857"/>
      <c r="I999" s="964">
        <f>'Daily Cash Book'!$G999-'Daily Cash Book'!$H$2:$H$1188</f>
        <v>0</v>
      </c>
    </row>
    <row r="1000" spans="1:9" ht="24" customHeight="1" x14ac:dyDescent="0.6">
      <c r="A1000" s="951"/>
      <c r="B1000" s="794"/>
      <c r="E1000" s="807"/>
      <c r="G1000" s="857"/>
      <c r="I1000" s="964">
        <f>'Daily Cash Book'!$G1000-'Daily Cash Book'!$H$2:$H$1188</f>
        <v>0</v>
      </c>
    </row>
    <row r="1001" spans="1:9" ht="24" customHeight="1" x14ac:dyDescent="0.6">
      <c r="A1001" s="951"/>
      <c r="B1001" s="794"/>
      <c r="E1001" s="807"/>
      <c r="G1001" s="857"/>
      <c r="I1001" s="964">
        <f>'Daily Cash Book'!$G1001-'Daily Cash Book'!$H$2:$H$1188</f>
        <v>0</v>
      </c>
    </row>
    <row r="1002" spans="1:9" ht="24" customHeight="1" x14ac:dyDescent="0.6">
      <c r="A1002" s="951"/>
      <c r="B1002" s="794"/>
      <c r="E1002" s="807"/>
      <c r="G1002" s="857"/>
      <c r="I1002" s="964">
        <f>'Daily Cash Book'!$G1002-'Daily Cash Book'!$H$2:$H$1188</f>
        <v>0</v>
      </c>
    </row>
    <row r="1003" spans="1:9" ht="24" customHeight="1" x14ac:dyDescent="0.6">
      <c r="A1003" s="951"/>
      <c r="B1003" s="794"/>
      <c r="E1003" s="807"/>
      <c r="G1003" s="857"/>
      <c r="I1003" s="964">
        <f>'Daily Cash Book'!$G1003-'Daily Cash Book'!$H$2:$H$1188</f>
        <v>0</v>
      </c>
    </row>
    <row r="1004" spans="1:9" ht="24" customHeight="1" x14ac:dyDescent="0.6">
      <c r="A1004" s="951"/>
      <c r="B1004" s="794"/>
      <c r="E1004" s="807"/>
      <c r="G1004" s="857"/>
      <c r="I1004" s="964">
        <f>'Daily Cash Book'!$G1004-'Daily Cash Book'!$H$2:$H$1188</f>
        <v>0</v>
      </c>
    </row>
    <row r="1005" spans="1:9" ht="24" customHeight="1" x14ac:dyDescent="0.6">
      <c r="A1005" s="951"/>
      <c r="B1005" s="794"/>
      <c r="E1005" s="807"/>
      <c r="G1005" s="857"/>
      <c r="I1005" s="964">
        <f>'Daily Cash Book'!$G1005-'Daily Cash Book'!$H$2:$H$1188</f>
        <v>0</v>
      </c>
    </row>
    <row r="1006" spans="1:9" ht="24" customHeight="1" x14ac:dyDescent="0.6">
      <c r="A1006" s="951"/>
      <c r="B1006" s="794"/>
      <c r="E1006" s="807"/>
      <c r="G1006" s="857"/>
      <c r="I1006" s="964">
        <f>'Daily Cash Book'!$G1006-'Daily Cash Book'!$H$2:$H$1188</f>
        <v>0</v>
      </c>
    </row>
    <row r="1007" spans="1:9" ht="24" customHeight="1" x14ac:dyDescent="0.6">
      <c r="A1007" s="951"/>
      <c r="B1007" s="794"/>
      <c r="E1007" s="807"/>
      <c r="G1007" s="857"/>
      <c r="I1007" s="964">
        <f>'Daily Cash Book'!$G1007-'Daily Cash Book'!$H$2:$H$1188</f>
        <v>0</v>
      </c>
    </row>
    <row r="1008" spans="1:9" ht="24" customHeight="1" x14ac:dyDescent="0.6">
      <c r="A1008" s="951"/>
      <c r="B1008" s="794"/>
      <c r="E1008" s="807"/>
      <c r="G1008" s="857"/>
      <c r="I1008" s="964">
        <f>'Daily Cash Book'!$G1008-'Daily Cash Book'!$H$2:$H$1188</f>
        <v>0</v>
      </c>
    </row>
    <row r="1009" spans="1:9" ht="24" customHeight="1" x14ac:dyDescent="0.6">
      <c r="A1009" s="951"/>
      <c r="B1009" s="794"/>
      <c r="E1009" s="807"/>
      <c r="G1009" s="857"/>
      <c r="I1009" s="964">
        <f>'Daily Cash Book'!$G1009-'Daily Cash Book'!$H$2:$H$1188</f>
        <v>0</v>
      </c>
    </row>
    <row r="1010" spans="1:9" ht="24" customHeight="1" x14ac:dyDescent="0.6">
      <c r="A1010" s="951"/>
      <c r="B1010" s="794"/>
      <c r="E1010" s="807"/>
      <c r="G1010" s="857"/>
      <c r="I1010" s="964">
        <f>'Daily Cash Book'!$G1010-'Daily Cash Book'!$H$2:$H$1188</f>
        <v>0</v>
      </c>
    </row>
    <row r="1011" spans="1:9" ht="24" customHeight="1" x14ac:dyDescent="0.6">
      <c r="A1011" s="951"/>
      <c r="B1011" s="794"/>
      <c r="E1011" s="807"/>
      <c r="G1011" s="857"/>
      <c r="I1011" s="964">
        <f>'Daily Cash Book'!$G1011-'Daily Cash Book'!$H$2:$H$1188</f>
        <v>0</v>
      </c>
    </row>
    <row r="1012" spans="1:9" ht="24" customHeight="1" x14ac:dyDescent="0.6">
      <c r="A1012" s="951"/>
      <c r="B1012" s="794"/>
      <c r="E1012" s="807"/>
      <c r="G1012" s="857"/>
      <c r="I1012" s="964">
        <f>'Daily Cash Book'!$G1012-'Daily Cash Book'!$H$2:$H$1188</f>
        <v>0</v>
      </c>
    </row>
    <row r="1013" spans="1:9" ht="24" customHeight="1" x14ac:dyDescent="0.6">
      <c r="A1013" s="951"/>
      <c r="B1013" s="794"/>
      <c r="E1013" s="807"/>
      <c r="G1013" s="857"/>
      <c r="I1013" s="964">
        <f>'Daily Cash Book'!$G1013-'Daily Cash Book'!$H$2:$H$1188</f>
        <v>0</v>
      </c>
    </row>
    <row r="1014" spans="1:9" ht="24" customHeight="1" x14ac:dyDescent="0.6">
      <c r="A1014" s="951"/>
      <c r="B1014" s="794"/>
      <c r="E1014" s="807"/>
      <c r="G1014" s="857"/>
      <c r="I1014" s="964">
        <f>'Daily Cash Book'!$G1014-'Daily Cash Book'!$H$2:$H$1188</f>
        <v>0</v>
      </c>
    </row>
    <row r="1015" spans="1:9" ht="24" customHeight="1" x14ac:dyDescent="0.6">
      <c r="A1015" s="951"/>
      <c r="B1015" s="794"/>
      <c r="E1015" s="807"/>
      <c r="G1015" s="857"/>
      <c r="I1015" s="964">
        <f>'Daily Cash Book'!$G1015-'Daily Cash Book'!$H$2:$H$1188</f>
        <v>0</v>
      </c>
    </row>
    <row r="1016" spans="1:9" ht="24" customHeight="1" x14ac:dyDescent="0.6">
      <c r="A1016" s="951"/>
      <c r="B1016" s="794"/>
      <c r="E1016" s="807"/>
      <c r="G1016" s="857"/>
      <c r="I1016" s="964">
        <f>'Daily Cash Book'!$G1016-'Daily Cash Book'!$H$2:$H$1188</f>
        <v>0</v>
      </c>
    </row>
    <row r="1017" spans="1:9" ht="24" customHeight="1" x14ac:dyDescent="0.6">
      <c r="A1017" s="951"/>
      <c r="B1017" s="794"/>
      <c r="E1017" s="807"/>
      <c r="G1017" s="857"/>
      <c r="I1017" s="964">
        <f>'Daily Cash Book'!$G1017-'Daily Cash Book'!$H$2:$H$1188</f>
        <v>0</v>
      </c>
    </row>
    <row r="1018" spans="1:9" ht="24" customHeight="1" x14ac:dyDescent="0.6">
      <c r="A1018" s="951"/>
      <c r="B1018" s="794"/>
      <c r="E1018" s="807"/>
      <c r="G1018" s="857"/>
      <c r="I1018" s="964">
        <f>'Daily Cash Book'!$G1018-'Daily Cash Book'!$H$2:$H$1188</f>
        <v>0</v>
      </c>
    </row>
    <row r="1019" spans="1:9" ht="24" customHeight="1" x14ac:dyDescent="0.6">
      <c r="A1019" s="951"/>
      <c r="B1019" s="794"/>
      <c r="E1019" s="807"/>
      <c r="G1019" s="857"/>
      <c r="I1019" s="964">
        <f>'Daily Cash Book'!$G1019-'Daily Cash Book'!$H$2:$H$1188</f>
        <v>0</v>
      </c>
    </row>
    <row r="1020" spans="1:9" ht="24" customHeight="1" x14ac:dyDescent="0.6">
      <c r="A1020" s="951"/>
      <c r="B1020" s="794"/>
      <c r="E1020" s="807"/>
      <c r="G1020" s="857"/>
      <c r="I1020" s="964">
        <f>'Daily Cash Book'!$G1020-'Daily Cash Book'!$H$2:$H$1188</f>
        <v>0</v>
      </c>
    </row>
    <row r="1021" spans="1:9" ht="24" customHeight="1" x14ac:dyDescent="0.6">
      <c r="A1021" s="951"/>
      <c r="B1021" s="794"/>
      <c r="E1021" s="807"/>
      <c r="G1021" s="857"/>
      <c r="I1021" s="964">
        <f>'Daily Cash Book'!$G1021-'Daily Cash Book'!$H$2:$H$1188</f>
        <v>0</v>
      </c>
    </row>
    <row r="1022" spans="1:9" ht="24" customHeight="1" x14ac:dyDescent="0.6">
      <c r="A1022" s="951"/>
      <c r="B1022" s="794"/>
      <c r="E1022" s="807"/>
      <c r="G1022" s="857"/>
      <c r="I1022" s="964">
        <f>'Daily Cash Book'!$G1022-'Daily Cash Book'!$H$2:$H$1188</f>
        <v>0</v>
      </c>
    </row>
    <row r="1023" spans="1:9" ht="24" customHeight="1" x14ac:dyDescent="0.6">
      <c r="A1023" s="951"/>
      <c r="B1023" s="794"/>
      <c r="E1023" s="807"/>
      <c r="G1023" s="857"/>
      <c r="I1023" s="964">
        <f>'Daily Cash Book'!$G1023-'Daily Cash Book'!$H$2:$H$1188</f>
        <v>0</v>
      </c>
    </row>
    <row r="1024" spans="1:9" ht="24" customHeight="1" x14ac:dyDescent="0.6">
      <c r="A1024" s="951"/>
      <c r="B1024" s="794"/>
      <c r="E1024" s="807"/>
      <c r="G1024" s="857"/>
      <c r="I1024" s="964">
        <f>'Daily Cash Book'!$G1024-'Daily Cash Book'!$H$2:$H$1188</f>
        <v>0</v>
      </c>
    </row>
    <row r="1025" spans="1:9" ht="24" customHeight="1" x14ac:dyDescent="0.6">
      <c r="A1025" s="951"/>
      <c r="B1025" s="794"/>
      <c r="E1025" s="807"/>
      <c r="G1025" s="857"/>
      <c r="I1025" s="964">
        <f>'Daily Cash Book'!$G1025-'Daily Cash Book'!$H$2:$H$1188</f>
        <v>0</v>
      </c>
    </row>
    <row r="1026" spans="1:9" ht="24" customHeight="1" x14ac:dyDescent="0.6">
      <c r="A1026" s="951"/>
      <c r="B1026" s="794"/>
      <c r="E1026" s="807"/>
      <c r="G1026" s="857"/>
      <c r="I1026" s="964">
        <f>'Daily Cash Book'!$G1026-'Daily Cash Book'!$H$2:$H$1188</f>
        <v>0</v>
      </c>
    </row>
    <row r="1027" spans="1:9" ht="24" customHeight="1" x14ac:dyDescent="0.6">
      <c r="A1027" s="951"/>
      <c r="B1027" s="794"/>
      <c r="E1027" s="807"/>
      <c r="G1027" s="857"/>
      <c r="I1027" s="964">
        <f>'Daily Cash Book'!$G1027-'Daily Cash Book'!$H$2:$H$1188</f>
        <v>0</v>
      </c>
    </row>
    <row r="1028" spans="1:9" ht="24" customHeight="1" x14ac:dyDescent="0.6">
      <c r="A1028" s="951"/>
      <c r="B1028" s="794"/>
      <c r="E1028" s="807"/>
      <c r="G1028" s="857"/>
      <c r="I1028" s="964">
        <f>'Daily Cash Book'!$G1028-'Daily Cash Book'!$H$2:$H$1188</f>
        <v>0</v>
      </c>
    </row>
    <row r="1029" spans="1:9" ht="24" customHeight="1" x14ac:dyDescent="0.6">
      <c r="A1029" s="951"/>
      <c r="B1029" s="794"/>
      <c r="E1029" s="807"/>
      <c r="G1029" s="857"/>
      <c r="I1029" s="964">
        <f>'Daily Cash Book'!$G1029-'Daily Cash Book'!$H$2:$H$1188</f>
        <v>0</v>
      </c>
    </row>
    <row r="1030" spans="1:9" ht="24" customHeight="1" x14ac:dyDescent="0.6">
      <c r="A1030" s="951"/>
      <c r="B1030" s="794"/>
      <c r="E1030" s="807"/>
      <c r="G1030" s="857"/>
      <c r="I1030" s="964">
        <f>'Daily Cash Book'!$G1030-'Daily Cash Book'!$H$2:$H$1188</f>
        <v>0</v>
      </c>
    </row>
    <row r="1031" spans="1:9" ht="24" customHeight="1" x14ac:dyDescent="0.6">
      <c r="A1031" s="951"/>
      <c r="B1031" s="794"/>
      <c r="E1031" s="807"/>
      <c r="G1031" s="857"/>
      <c r="I1031" s="964">
        <f>'Daily Cash Book'!$G1031-'Daily Cash Book'!$H$2:$H$1188</f>
        <v>0</v>
      </c>
    </row>
    <row r="1032" spans="1:9" ht="24" customHeight="1" x14ac:dyDescent="0.6">
      <c r="A1032" s="951"/>
      <c r="B1032" s="794"/>
      <c r="E1032" s="807"/>
      <c r="G1032" s="857"/>
      <c r="I1032" s="964">
        <f>'Daily Cash Book'!$G1032-'Daily Cash Book'!$H$2:$H$1188</f>
        <v>0</v>
      </c>
    </row>
    <row r="1033" spans="1:9" ht="24" customHeight="1" x14ac:dyDescent="0.6">
      <c r="A1033" s="951"/>
      <c r="B1033" s="794"/>
      <c r="E1033" s="807"/>
      <c r="G1033" s="857"/>
      <c r="I1033" s="964">
        <f>'Daily Cash Book'!$G1033-'Daily Cash Book'!$H$2:$H$1188</f>
        <v>0</v>
      </c>
    </row>
    <row r="1034" spans="1:9" ht="24" customHeight="1" x14ac:dyDescent="0.6">
      <c r="A1034" s="951"/>
      <c r="B1034" s="794"/>
      <c r="E1034" s="807"/>
      <c r="G1034" s="857"/>
      <c r="I1034" s="964">
        <f>'Daily Cash Book'!$G1034-'Daily Cash Book'!$H$2:$H$1188</f>
        <v>0</v>
      </c>
    </row>
    <row r="1035" spans="1:9" ht="24" customHeight="1" x14ac:dyDescent="0.6">
      <c r="A1035" s="951"/>
      <c r="B1035" s="794"/>
      <c r="E1035" s="807"/>
      <c r="G1035" s="857"/>
      <c r="I1035" s="964">
        <f>'Daily Cash Book'!$G1035-'Daily Cash Book'!$H$2:$H$1188</f>
        <v>0</v>
      </c>
    </row>
    <row r="1036" spans="1:9" ht="24" customHeight="1" x14ac:dyDescent="0.6">
      <c r="A1036" s="951"/>
      <c r="B1036" s="794"/>
      <c r="E1036" s="807"/>
      <c r="G1036" s="857"/>
      <c r="I1036" s="964">
        <f>'Daily Cash Book'!$G1036-'Daily Cash Book'!$H$2:$H$1188</f>
        <v>0</v>
      </c>
    </row>
    <row r="1037" spans="1:9" ht="24" customHeight="1" x14ac:dyDescent="0.6">
      <c r="A1037" s="951"/>
      <c r="B1037" s="794"/>
      <c r="E1037" s="807"/>
      <c r="G1037" s="857"/>
      <c r="I1037" s="964">
        <f>'Daily Cash Book'!$G1037-'Daily Cash Book'!$H$2:$H$1188</f>
        <v>0</v>
      </c>
    </row>
    <row r="1038" spans="1:9" ht="24" customHeight="1" x14ac:dyDescent="0.6">
      <c r="A1038" s="951"/>
      <c r="B1038" s="794"/>
      <c r="E1038" s="807"/>
      <c r="G1038" s="857"/>
      <c r="I1038" s="964">
        <f>'Daily Cash Book'!$G1038-'Daily Cash Book'!$H$2:$H$1188</f>
        <v>0</v>
      </c>
    </row>
    <row r="1039" spans="1:9" ht="24" customHeight="1" x14ac:dyDescent="0.6">
      <c r="A1039" s="951"/>
      <c r="B1039" s="794"/>
      <c r="E1039" s="807"/>
      <c r="G1039" s="857"/>
      <c r="I1039" s="964">
        <f>'Daily Cash Book'!$G1039-'Daily Cash Book'!$H$2:$H$1188</f>
        <v>0</v>
      </c>
    </row>
    <row r="1040" spans="1:9" ht="24" customHeight="1" x14ac:dyDescent="0.6">
      <c r="A1040" s="951"/>
      <c r="B1040" s="794"/>
      <c r="E1040" s="807"/>
      <c r="G1040" s="857"/>
      <c r="I1040" s="964">
        <f>'Daily Cash Book'!$G1040-'Daily Cash Book'!$H$2:$H$1188</f>
        <v>0</v>
      </c>
    </row>
    <row r="1041" spans="1:9" ht="24" customHeight="1" x14ac:dyDescent="0.6">
      <c r="A1041" s="951"/>
      <c r="B1041" s="794"/>
      <c r="E1041" s="807"/>
      <c r="G1041" s="857"/>
      <c r="I1041" s="964">
        <f>'Daily Cash Book'!$G1041-'Daily Cash Book'!$H$2:$H$1188</f>
        <v>0</v>
      </c>
    </row>
    <row r="1042" spans="1:9" ht="24" customHeight="1" x14ac:dyDescent="0.6">
      <c r="A1042" s="951"/>
      <c r="B1042" s="794"/>
      <c r="E1042" s="807"/>
      <c r="G1042" s="857"/>
      <c r="I1042" s="964">
        <f>'Daily Cash Book'!$G1042-'Daily Cash Book'!$H$2:$H$1188</f>
        <v>0</v>
      </c>
    </row>
    <row r="1043" spans="1:9" ht="24" customHeight="1" x14ac:dyDescent="0.6">
      <c r="A1043" s="951"/>
      <c r="B1043" s="794"/>
      <c r="E1043" s="807"/>
      <c r="G1043" s="857"/>
      <c r="I1043" s="964">
        <f>'Daily Cash Book'!$G1043-'Daily Cash Book'!$H$2:$H$1188</f>
        <v>0</v>
      </c>
    </row>
    <row r="1044" spans="1:9" ht="24" customHeight="1" x14ac:dyDescent="0.6">
      <c r="A1044" s="951"/>
      <c r="B1044" s="794"/>
      <c r="E1044" s="807"/>
      <c r="G1044" s="857"/>
      <c r="I1044" s="964">
        <f>'Daily Cash Book'!$G1044-'Daily Cash Book'!$H$2:$H$1188</f>
        <v>0</v>
      </c>
    </row>
    <row r="1045" spans="1:9" ht="24" customHeight="1" x14ac:dyDescent="0.6">
      <c r="A1045" s="951"/>
      <c r="B1045" s="794"/>
      <c r="E1045" s="807"/>
      <c r="G1045" s="857"/>
      <c r="I1045" s="964">
        <f>'Daily Cash Book'!$G1045-'Daily Cash Book'!$H$2:$H$1188</f>
        <v>0</v>
      </c>
    </row>
    <row r="1046" spans="1:9" ht="24" customHeight="1" x14ac:dyDescent="0.6">
      <c r="A1046" s="951"/>
      <c r="B1046" s="794"/>
      <c r="E1046" s="807"/>
      <c r="G1046" s="857"/>
      <c r="I1046" s="964">
        <f>'Daily Cash Book'!$G1046-'Daily Cash Book'!$H$2:$H$1188</f>
        <v>0</v>
      </c>
    </row>
    <row r="1047" spans="1:9" ht="24" customHeight="1" x14ac:dyDescent="0.6">
      <c r="A1047" s="951"/>
      <c r="B1047" s="794"/>
      <c r="E1047" s="807"/>
      <c r="G1047" s="857"/>
      <c r="I1047" s="964">
        <f>'Daily Cash Book'!$G1047-'Daily Cash Book'!$H$2:$H$1188</f>
        <v>0</v>
      </c>
    </row>
    <row r="1048" spans="1:9" ht="24" customHeight="1" x14ac:dyDescent="0.6">
      <c r="A1048" s="951"/>
      <c r="B1048" s="794"/>
      <c r="E1048" s="807"/>
      <c r="G1048" s="857"/>
      <c r="I1048" s="964">
        <f>'Daily Cash Book'!$G1048-'Daily Cash Book'!$H$2:$H$1188</f>
        <v>0</v>
      </c>
    </row>
    <row r="1049" spans="1:9" ht="24" customHeight="1" x14ac:dyDescent="0.6">
      <c r="A1049" s="951"/>
      <c r="B1049" s="794"/>
      <c r="E1049" s="807"/>
      <c r="G1049" s="857"/>
      <c r="I1049" s="964">
        <f>'Daily Cash Book'!$G1049-'Daily Cash Book'!$H$2:$H$1188</f>
        <v>0</v>
      </c>
    </row>
    <row r="1050" spans="1:9" ht="24" customHeight="1" x14ac:dyDescent="0.6">
      <c r="A1050" s="951"/>
      <c r="B1050" s="794"/>
      <c r="E1050" s="807"/>
      <c r="G1050" s="857"/>
      <c r="I1050" s="964">
        <f>'Daily Cash Book'!$G1050-'Daily Cash Book'!$H$2:$H$1188</f>
        <v>0</v>
      </c>
    </row>
    <row r="1051" spans="1:9" ht="24" customHeight="1" x14ac:dyDescent="0.6">
      <c r="A1051" s="951"/>
      <c r="B1051" s="794"/>
      <c r="E1051" s="807"/>
      <c r="G1051" s="857"/>
      <c r="I1051" s="964">
        <f>'Daily Cash Book'!$G1051-'Daily Cash Book'!$H$2:$H$1188</f>
        <v>0</v>
      </c>
    </row>
    <row r="1052" spans="1:9" ht="24" customHeight="1" x14ac:dyDescent="0.6">
      <c r="A1052" s="951"/>
      <c r="B1052" s="794"/>
      <c r="E1052" s="807"/>
      <c r="G1052" s="857"/>
      <c r="I1052" s="964">
        <f>'Daily Cash Book'!$G1052-'Daily Cash Book'!$H$2:$H$1188</f>
        <v>0</v>
      </c>
    </row>
    <row r="1053" spans="1:9" ht="24" customHeight="1" x14ac:dyDescent="0.6">
      <c r="A1053" s="951"/>
      <c r="B1053" s="794"/>
      <c r="E1053" s="807"/>
      <c r="G1053" s="857"/>
      <c r="I1053" s="964">
        <f>'Daily Cash Book'!$G1053-'Daily Cash Book'!$H$2:$H$1188</f>
        <v>0</v>
      </c>
    </row>
    <row r="1054" spans="1:9" ht="24" customHeight="1" x14ac:dyDescent="0.6">
      <c r="A1054" s="951"/>
      <c r="B1054" s="794"/>
      <c r="E1054" s="807"/>
      <c r="G1054" s="857"/>
      <c r="I1054" s="964">
        <f>'Daily Cash Book'!$G1054-'Daily Cash Book'!$H$2:$H$1188</f>
        <v>0</v>
      </c>
    </row>
    <row r="1055" spans="1:9" ht="24" customHeight="1" x14ac:dyDescent="0.6">
      <c r="A1055" s="951"/>
      <c r="B1055" s="794"/>
      <c r="E1055" s="807"/>
      <c r="G1055" s="857"/>
      <c r="I1055" s="964">
        <f>'Daily Cash Book'!$G1055-'Daily Cash Book'!$H$2:$H$1188</f>
        <v>0</v>
      </c>
    </row>
    <row r="1056" spans="1:9" ht="24" customHeight="1" x14ac:dyDescent="0.6">
      <c r="A1056" s="951"/>
      <c r="B1056" s="794"/>
      <c r="E1056" s="807"/>
      <c r="G1056" s="857"/>
      <c r="I1056" s="964">
        <f>'Daily Cash Book'!$G1056-'Daily Cash Book'!$H$2:$H$1188</f>
        <v>0</v>
      </c>
    </row>
    <row r="1057" spans="1:9" ht="24" customHeight="1" x14ac:dyDescent="0.6">
      <c r="A1057" s="951"/>
      <c r="B1057" s="794"/>
      <c r="E1057" s="807"/>
      <c r="G1057" s="857"/>
      <c r="I1057" s="964">
        <f>'Daily Cash Book'!$G1057-'Daily Cash Book'!$H$2:$H$1188</f>
        <v>0</v>
      </c>
    </row>
    <row r="1058" spans="1:9" ht="24" customHeight="1" x14ac:dyDescent="0.6">
      <c r="A1058" s="951"/>
      <c r="B1058" s="794"/>
      <c r="E1058" s="807"/>
      <c r="G1058" s="857"/>
      <c r="I1058" s="964">
        <f>'Daily Cash Book'!$G1058-'Daily Cash Book'!$H$2:$H$1188</f>
        <v>0</v>
      </c>
    </row>
    <row r="1059" spans="1:9" ht="24" customHeight="1" x14ac:dyDescent="0.6">
      <c r="A1059" s="951"/>
      <c r="B1059" s="794"/>
      <c r="E1059" s="807"/>
      <c r="G1059" s="857"/>
      <c r="I1059" s="964">
        <f>'Daily Cash Book'!$G1059-'Daily Cash Book'!$H$2:$H$1188</f>
        <v>0</v>
      </c>
    </row>
    <row r="1060" spans="1:9" ht="24" customHeight="1" x14ac:dyDescent="0.6">
      <c r="A1060" s="951"/>
      <c r="B1060" s="794"/>
      <c r="E1060" s="807"/>
      <c r="G1060" s="857"/>
      <c r="I1060" s="964">
        <f>'Daily Cash Book'!$G1060-'Daily Cash Book'!$H$2:$H$1188</f>
        <v>0</v>
      </c>
    </row>
    <row r="1061" spans="1:9" ht="24" customHeight="1" x14ac:dyDescent="0.6">
      <c r="A1061" s="951"/>
      <c r="B1061" s="794"/>
      <c r="E1061" s="807"/>
      <c r="G1061" s="857"/>
      <c r="I1061" s="964">
        <f>'Daily Cash Book'!$G1061-'Daily Cash Book'!$H$2:$H$1188</f>
        <v>0</v>
      </c>
    </row>
    <row r="1062" spans="1:9" ht="24" customHeight="1" x14ac:dyDescent="0.6">
      <c r="A1062" s="951"/>
      <c r="B1062" s="794"/>
      <c r="E1062" s="807"/>
      <c r="G1062" s="857"/>
      <c r="I1062" s="964">
        <f>'Daily Cash Book'!$G1062-'Daily Cash Book'!$H$2:$H$1188</f>
        <v>0</v>
      </c>
    </row>
    <row r="1063" spans="1:9" ht="24" customHeight="1" x14ac:dyDescent="0.6">
      <c r="A1063" s="951"/>
      <c r="B1063" s="794"/>
      <c r="E1063" s="807"/>
      <c r="G1063" s="857"/>
      <c r="I1063" s="964">
        <f>'Daily Cash Book'!$G1063-'Daily Cash Book'!$H$2:$H$1188</f>
        <v>0</v>
      </c>
    </row>
    <row r="1064" spans="1:9" ht="24" customHeight="1" x14ac:dyDescent="0.6">
      <c r="A1064" s="951"/>
      <c r="B1064" s="794"/>
      <c r="E1064" s="807"/>
      <c r="G1064" s="857"/>
      <c r="I1064" s="964">
        <f>'Daily Cash Book'!$G1064-'Daily Cash Book'!$H$2:$H$1188</f>
        <v>0</v>
      </c>
    </row>
    <row r="1065" spans="1:9" ht="24" customHeight="1" x14ac:dyDescent="0.6">
      <c r="A1065" s="951"/>
      <c r="B1065" s="794"/>
      <c r="E1065" s="807"/>
      <c r="G1065" s="857"/>
      <c r="I1065" s="964">
        <f>'Daily Cash Book'!$G1065-'Daily Cash Book'!$H$2:$H$1188</f>
        <v>0</v>
      </c>
    </row>
    <row r="1066" spans="1:9" ht="24" customHeight="1" x14ac:dyDescent="0.6">
      <c r="A1066" s="951"/>
      <c r="B1066" s="794"/>
      <c r="E1066" s="807"/>
      <c r="G1066" s="857"/>
      <c r="I1066" s="964">
        <f>'Daily Cash Book'!$G1066-'Daily Cash Book'!$H$2:$H$1188</f>
        <v>0</v>
      </c>
    </row>
    <row r="1067" spans="1:9" ht="24" customHeight="1" x14ac:dyDescent="0.6">
      <c r="A1067" s="951"/>
      <c r="B1067" s="794"/>
      <c r="E1067" s="807"/>
      <c r="G1067" s="857"/>
      <c r="I1067" s="964">
        <f>'Daily Cash Book'!$G1067-'Daily Cash Book'!$H$2:$H$1188</f>
        <v>0</v>
      </c>
    </row>
    <row r="1068" spans="1:9" ht="24" customHeight="1" x14ac:dyDescent="0.6">
      <c r="A1068" s="951"/>
      <c r="B1068" s="794"/>
      <c r="E1068" s="807"/>
      <c r="G1068" s="857"/>
      <c r="I1068" s="964">
        <f>'Daily Cash Book'!$G1068-'Daily Cash Book'!$H$2:$H$1188</f>
        <v>0</v>
      </c>
    </row>
    <row r="1069" spans="1:9" ht="24" customHeight="1" x14ac:dyDescent="0.6">
      <c r="A1069" s="951"/>
      <c r="B1069" s="794"/>
      <c r="E1069" s="807"/>
      <c r="G1069" s="857"/>
      <c r="I1069" s="964">
        <f>'Daily Cash Book'!$G1069-'Daily Cash Book'!$H$2:$H$1188</f>
        <v>0</v>
      </c>
    </row>
    <row r="1070" spans="1:9" ht="24" customHeight="1" x14ac:dyDescent="0.6">
      <c r="A1070" s="951"/>
      <c r="B1070" s="794"/>
      <c r="E1070" s="807"/>
      <c r="G1070" s="857"/>
      <c r="I1070" s="964">
        <f>'Daily Cash Book'!$G1070-'Daily Cash Book'!$H$2:$H$1188</f>
        <v>0</v>
      </c>
    </row>
    <row r="1071" spans="1:9" ht="24" customHeight="1" x14ac:dyDescent="0.6">
      <c r="A1071" s="951"/>
      <c r="B1071" s="794"/>
      <c r="E1071" s="807"/>
      <c r="G1071" s="857"/>
      <c r="I1071" s="964">
        <f>'Daily Cash Book'!$G1071-'Daily Cash Book'!$H$2:$H$1188</f>
        <v>0</v>
      </c>
    </row>
    <row r="1072" spans="1:9" ht="24" customHeight="1" x14ac:dyDescent="0.6">
      <c r="A1072" s="951"/>
      <c r="B1072" s="794"/>
      <c r="E1072" s="807"/>
      <c r="G1072" s="857"/>
      <c r="I1072" s="964">
        <f>'Daily Cash Book'!$G1072-'Daily Cash Book'!$H$2:$H$1188</f>
        <v>0</v>
      </c>
    </row>
    <row r="1073" spans="1:9" ht="24" customHeight="1" x14ac:dyDescent="0.6">
      <c r="A1073" s="951"/>
      <c r="B1073" s="794"/>
      <c r="E1073" s="807"/>
      <c r="G1073" s="857"/>
      <c r="I1073" s="964">
        <f>'Daily Cash Book'!$G1073-'Daily Cash Book'!$H$2:$H$1188</f>
        <v>0</v>
      </c>
    </row>
    <row r="1074" spans="1:9" ht="24" customHeight="1" x14ac:dyDescent="0.6">
      <c r="A1074" s="951"/>
      <c r="B1074" s="794"/>
      <c r="E1074" s="807"/>
      <c r="G1074" s="857"/>
      <c r="I1074" s="964">
        <f>'Daily Cash Book'!$G1074-'Daily Cash Book'!$H$2:$H$1188</f>
        <v>0</v>
      </c>
    </row>
    <row r="1075" spans="1:9" ht="24" customHeight="1" x14ac:dyDescent="0.6">
      <c r="A1075" s="951"/>
      <c r="B1075" s="794"/>
      <c r="E1075" s="807"/>
      <c r="G1075" s="857"/>
      <c r="I1075" s="964">
        <f>'Daily Cash Book'!$G1075-'Daily Cash Book'!$H$2:$H$1188</f>
        <v>0</v>
      </c>
    </row>
    <row r="1076" spans="1:9" ht="24" customHeight="1" x14ac:dyDescent="0.6">
      <c r="A1076" s="951"/>
      <c r="B1076" s="794"/>
      <c r="E1076" s="807"/>
      <c r="G1076" s="857"/>
      <c r="I1076" s="964">
        <f>'Daily Cash Book'!$G1076-'Daily Cash Book'!$H$2:$H$1188</f>
        <v>0</v>
      </c>
    </row>
    <row r="1077" spans="1:9" ht="24" customHeight="1" x14ac:dyDescent="0.6">
      <c r="A1077" s="951"/>
      <c r="B1077" s="794"/>
      <c r="E1077" s="807"/>
      <c r="G1077" s="857"/>
      <c r="I1077" s="964">
        <f>'Daily Cash Book'!$G1077-'Daily Cash Book'!$H$2:$H$1188</f>
        <v>0</v>
      </c>
    </row>
    <row r="1078" spans="1:9" ht="24" customHeight="1" x14ac:dyDescent="0.6">
      <c r="A1078" s="951"/>
      <c r="B1078" s="794"/>
      <c r="E1078" s="807"/>
      <c r="G1078" s="857"/>
      <c r="I1078" s="964">
        <f>'Daily Cash Book'!$G1078-'Daily Cash Book'!$H$2:$H$1188</f>
        <v>0</v>
      </c>
    </row>
    <row r="1079" spans="1:9" ht="24" customHeight="1" x14ac:dyDescent="0.6">
      <c r="A1079" s="951"/>
      <c r="B1079" s="794"/>
      <c r="E1079" s="807"/>
      <c r="G1079" s="857"/>
      <c r="I1079" s="964">
        <f>'Daily Cash Book'!$G1079-'Daily Cash Book'!$H$2:$H$1188</f>
        <v>0</v>
      </c>
    </row>
    <row r="1080" spans="1:9" ht="24" customHeight="1" x14ac:dyDescent="0.6">
      <c r="A1080" s="951"/>
      <c r="B1080" s="794"/>
      <c r="E1080" s="807"/>
      <c r="G1080" s="857"/>
      <c r="I1080" s="964">
        <f>'Daily Cash Book'!$G1080-'Daily Cash Book'!$H$2:$H$1188</f>
        <v>0</v>
      </c>
    </row>
    <row r="1081" spans="1:9" ht="24" customHeight="1" x14ac:dyDescent="0.6">
      <c r="A1081" s="951"/>
      <c r="B1081" s="794"/>
      <c r="E1081" s="807"/>
      <c r="G1081" s="857"/>
      <c r="I1081" s="964">
        <f>'Daily Cash Book'!$G1081-'Daily Cash Book'!$H$2:$H$1188</f>
        <v>0</v>
      </c>
    </row>
    <row r="1082" spans="1:9" ht="24" customHeight="1" x14ac:dyDescent="0.6">
      <c r="A1082" s="951"/>
      <c r="B1082" s="794"/>
      <c r="E1082" s="807"/>
      <c r="G1082" s="857"/>
      <c r="I1082" s="964">
        <f>'Daily Cash Book'!$G1082-'Daily Cash Book'!$H$2:$H$1188</f>
        <v>0</v>
      </c>
    </row>
    <row r="1083" spans="1:9" ht="24" customHeight="1" x14ac:dyDescent="0.6">
      <c r="A1083" s="951"/>
      <c r="B1083" s="794"/>
      <c r="E1083" s="807"/>
      <c r="G1083" s="857"/>
      <c r="I1083" s="964">
        <f>'Daily Cash Book'!$G1083-'Daily Cash Book'!$H$2:$H$1188</f>
        <v>0</v>
      </c>
    </row>
    <row r="1084" spans="1:9" ht="24" customHeight="1" x14ac:dyDescent="0.6">
      <c r="A1084" s="951"/>
      <c r="B1084" s="794"/>
      <c r="E1084" s="807"/>
      <c r="G1084" s="857"/>
      <c r="I1084" s="964">
        <f>'Daily Cash Book'!$G1084-'Daily Cash Book'!$H$2:$H$1188</f>
        <v>0</v>
      </c>
    </row>
    <row r="1085" spans="1:9" ht="24" customHeight="1" x14ac:dyDescent="0.6">
      <c r="A1085" s="951"/>
      <c r="B1085" s="794"/>
      <c r="E1085" s="807"/>
      <c r="G1085" s="857"/>
      <c r="I1085" s="964">
        <f>'Daily Cash Book'!$G1085-'Daily Cash Book'!$H$2:$H$1188</f>
        <v>0</v>
      </c>
    </row>
    <row r="1086" spans="1:9" ht="24" customHeight="1" x14ac:dyDescent="0.6">
      <c r="A1086" s="951"/>
      <c r="B1086" s="794"/>
      <c r="E1086" s="807"/>
      <c r="G1086" s="857"/>
      <c r="I1086" s="964">
        <f>'Daily Cash Book'!$G1086-'Daily Cash Book'!$H$2:$H$1188</f>
        <v>0</v>
      </c>
    </row>
    <row r="1087" spans="1:9" ht="24" customHeight="1" x14ac:dyDescent="0.6">
      <c r="A1087" s="951"/>
      <c r="B1087" s="794"/>
      <c r="E1087" s="807"/>
      <c r="G1087" s="857"/>
      <c r="I1087" s="964">
        <f>'Daily Cash Book'!$G1087-'Daily Cash Book'!$H$2:$H$1188</f>
        <v>0</v>
      </c>
    </row>
    <row r="1088" spans="1:9" ht="24" customHeight="1" x14ac:dyDescent="0.6">
      <c r="A1088" s="951"/>
      <c r="B1088" s="794"/>
      <c r="E1088" s="807"/>
      <c r="G1088" s="857"/>
      <c r="I1088" s="964">
        <f>'Daily Cash Book'!$G1088-'Daily Cash Book'!$H$2:$H$1188</f>
        <v>0</v>
      </c>
    </row>
    <row r="1089" spans="1:9" ht="24" customHeight="1" x14ac:dyDescent="0.6">
      <c r="A1089" s="951"/>
      <c r="B1089" s="794"/>
      <c r="E1089" s="807"/>
      <c r="G1089" s="857"/>
      <c r="I1089" s="964">
        <f>'Daily Cash Book'!$G1089-'Daily Cash Book'!$H$2:$H$1188</f>
        <v>0</v>
      </c>
    </row>
    <row r="1090" spans="1:9" ht="24" customHeight="1" x14ac:dyDescent="0.6">
      <c r="A1090" s="951"/>
      <c r="B1090" s="794"/>
      <c r="E1090" s="807"/>
      <c r="G1090" s="857"/>
      <c r="I1090" s="964">
        <f>'Daily Cash Book'!$G1090-'Daily Cash Book'!$H$2:$H$1188</f>
        <v>0</v>
      </c>
    </row>
    <row r="1091" spans="1:9" ht="24" customHeight="1" x14ac:dyDescent="0.6">
      <c r="A1091" s="951"/>
      <c r="B1091" s="794"/>
      <c r="E1091" s="807"/>
      <c r="G1091" s="857"/>
      <c r="I1091" s="964">
        <f>'Daily Cash Book'!$G1091-'Daily Cash Book'!$H$2:$H$1188</f>
        <v>0</v>
      </c>
    </row>
    <row r="1092" spans="1:9" ht="24" customHeight="1" x14ac:dyDescent="0.6">
      <c r="A1092" s="951"/>
      <c r="B1092" s="794"/>
      <c r="E1092" s="807"/>
      <c r="G1092" s="857"/>
      <c r="I1092" s="964">
        <f>'Daily Cash Book'!$G1092-'Daily Cash Book'!$H$2:$H$1188</f>
        <v>0</v>
      </c>
    </row>
    <row r="1093" spans="1:9" ht="24" customHeight="1" x14ac:dyDescent="0.6">
      <c r="A1093" s="951"/>
      <c r="B1093" s="794"/>
      <c r="E1093" s="807"/>
      <c r="G1093" s="857"/>
      <c r="I1093" s="964">
        <f>'Daily Cash Book'!$G1093-'Daily Cash Book'!$H$2:$H$1188</f>
        <v>0</v>
      </c>
    </row>
    <row r="1094" spans="1:9" ht="24" customHeight="1" x14ac:dyDescent="0.6">
      <c r="A1094" s="951"/>
      <c r="B1094" s="794"/>
      <c r="E1094" s="807"/>
      <c r="G1094" s="857"/>
      <c r="I1094" s="964">
        <f>'Daily Cash Book'!$G1094-'Daily Cash Book'!$H$2:$H$1188</f>
        <v>0</v>
      </c>
    </row>
    <row r="1095" spans="1:9" ht="24" customHeight="1" x14ac:dyDescent="0.6">
      <c r="A1095" s="951"/>
      <c r="B1095" s="794"/>
      <c r="E1095" s="807"/>
      <c r="G1095" s="857"/>
      <c r="I1095" s="964">
        <f>'Daily Cash Book'!$G1095-'Daily Cash Book'!$H$2:$H$1188</f>
        <v>0</v>
      </c>
    </row>
    <row r="1096" spans="1:9" ht="24" customHeight="1" x14ac:dyDescent="0.6">
      <c r="A1096" s="951"/>
      <c r="B1096" s="794"/>
      <c r="E1096" s="807"/>
      <c r="G1096" s="857"/>
      <c r="I1096" s="964">
        <f>'Daily Cash Book'!$G1096-'Daily Cash Book'!$H$2:$H$1188</f>
        <v>0</v>
      </c>
    </row>
    <row r="1097" spans="1:9" ht="24" customHeight="1" x14ac:dyDescent="0.6">
      <c r="A1097" s="951"/>
      <c r="B1097" s="794"/>
      <c r="E1097" s="807"/>
      <c r="G1097" s="857"/>
      <c r="I1097" s="964">
        <f>'Daily Cash Book'!$G1097-'Daily Cash Book'!$H$2:$H$1188</f>
        <v>0</v>
      </c>
    </row>
    <row r="1098" spans="1:9" ht="24" customHeight="1" x14ac:dyDescent="0.6">
      <c r="A1098" s="951"/>
      <c r="B1098" s="794"/>
      <c r="E1098" s="807"/>
      <c r="G1098" s="857"/>
      <c r="I1098" s="964">
        <f>'Daily Cash Book'!$G1098-'Daily Cash Book'!$H$2:$H$1188</f>
        <v>0</v>
      </c>
    </row>
    <row r="1099" spans="1:9" ht="24" customHeight="1" x14ac:dyDescent="0.6">
      <c r="A1099" s="951"/>
      <c r="B1099" s="794"/>
      <c r="E1099" s="807"/>
      <c r="G1099" s="857"/>
      <c r="I1099" s="964">
        <f>'Daily Cash Book'!$G1099-'Daily Cash Book'!$H$2:$H$1188</f>
        <v>0</v>
      </c>
    </row>
    <row r="1100" spans="1:9" ht="24" customHeight="1" x14ac:dyDescent="0.6">
      <c r="A1100" s="951"/>
      <c r="B1100" s="794"/>
      <c r="E1100" s="807"/>
      <c r="G1100" s="857"/>
      <c r="I1100" s="964">
        <f>'Daily Cash Book'!$G1100-'Daily Cash Book'!$H$2:$H$1188</f>
        <v>0</v>
      </c>
    </row>
    <row r="1101" spans="1:9" ht="24" customHeight="1" x14ac:dyDescent="0.6">
      <c r="A1101" s="951"/>
      <c r="B1101" s="794"/>
      <c r="E1101" s="807"/>
      <c r="G1101" s="857"/>
      <c r="I1101" s="964">
        <f>'Daily Cash Book'!$G1101-'Daily Cash Book'!$H$2:$H$1188</f>
        <v>0</v>
      </c>
    </row>
    <row r="1102" spans="1:9" ht="24" customHeight="1" x14ac:dyDescent="0.6">
      <c r="A1102" s="951"/>
      <c r="B1102" s="794"/>
      <c r="E1102" s="807"/>
      <c r="G1102" s="857"/>
      <c r="I1102" s="964">
        <f>'Daily Cash Book'!$G1102-'Daily Cash Book'!$H$2:$H$1188</f>
        <v>0</v>
      </c>
    </row>
    <row r="1103" spans="1:9" ht="24" customHeight="1" x14ac:dyDescent="0.6">
      <c r="A1103" s="951"/>
      <c r="B1103" s="794"/>
      <c r="E1103" s="807"/>
      <c r="G1103" s="857"/>
      <c r="I1103" s="964">
        <f>'Daily Cash Book'!$G1103-'Daily Cash Book'!$H$2:$H$1188</f>
        <v>0</v>
      </c>
    </row>
    <row r="1104" spans="1:9" ht="24" customHeight="1" x14ac:dyDescent="0.6">
      <c r="A1104" s="951"/>
      <c r="B1104" s="794"/>
      <c r="E1104" s="807"/>
      <c r="G1104" s="857"/>
      <c r="I1104" s="964">
        <f>'Daily Cash Book'!$G1104-'Daily Cash Book'!$H$2:$H$1188</f>
        <v>0</v>
      </c>
    </row>
    <row r="1105" spans="1:9" ht="24" customHeight="1" x14ac:dyDescent="0.6">
      <c r="A1105" s="951"/>
      <c r="B1105" s="794"/>
      <c r="E1105" s="807"/>
      <c r="G1105" s="857"/>
      <c r="I1105" s="964">
        <f>'Daily Cash Book'!$G1105-'Daily Cash Book'!$H$2:$H$1188</f>
        <v>0</v>
      </c>
    </row>
    <row r="1106" spans="1:9" ht="24" customHeight="1" x14ac:dyDescent="0.6">
      <c r="A1106" s="951"/>
      <c r="B1106" s="794"/>
      <c r="E1106" s="807"/>
      <c r="G1106" s="857"/>
      <c r="I1106" s="964">
        <f>'Daily Cash Book'!$G1106-'Daily Cash Book'!$H$2:$H$1188</f>
        <v>0</v>
      </c>
    </row>
    <row r="1107" spans="1:9" ht="24" customHeight="1" x14ac:dyDescent="0.6">
      <c r="A1107" s="951"/>
      <c r="B1107" s="794"/>
      <c r="E1107" s="807"/>
      <c r="G1107" s="857"/>
      <c r="I1107" s="964">
        <f>'Daily Cash Book'!$G1107-'Daily Cash Book'!$H$2:$H$1188</f>
        <v>0</v>
      </c>
    </row>
    <row r="1108" spans="1:9" ht="24" customHeight="1" x14ac:dyDescent="0.6">
      <c r="A1108" s="951"/>
      <c r="B1108" s="794"/>
      <c r="E1108" s="807"/>
      <c r="G1108" s="857"/>
      <c r="I1108" s="964">
        <f>'Daily Cash Book'!$G1108-'Daily Cash Book'!$H$2:$H$1188</f>
        <v>0</v>
      </c>
    </row>
    <row r="1109" spans="1:9" ht="24" customHeight="1" x14ac:dyDescent="0.6">
      <c r="A1109" s="951"/>
      <c r="B1109" s="794"/>
      <c r="E1109" s="807"/>
      <c r="G1109" s="857"/>
      <c r="I1109" s="964">
        <f>'Daily Cash Book'!$G1109-'Daily Cash Book'!$H$2:$H$1188</f>
        <v>0</v>
      </c>
    </row>
    <row r="1110" spans="1:9" ht="24" customHeight="1" x14ac:dyDescent="0.6">
      <c r="A1110" s="951"/>
      <c r="B1110" s="794"/>
      <c r="E1110" s="807"/>
      <c r="G1110" s="857"/>
      <c r="I1110" s="964">
        <f>'Daily Cash Book'!$G1110-'Daily Cash Book'!$H$2:$H$1188</f>
        <v>0</v>
      </c>
    </row>
    <row r="1111" spans="1:9" ht="24" customHeight="1" x14ac:dyDescent="0.6">
      <c r="A1111" s="951"/>
      <c r="B1111" s="794"/>
      <c r="E1111" s="807"/>
      <c r="G1111" s="857"/>
      <c r="I1111" s="964">
        <f>'Daily Cash Book'!$G1111-'Daily Cash Book'!$H$2:$H$1188</f>
        <v>0</v>
      </c>
    </row>
    <row r="1112" spans="1:9" ht="24" customHeight="1" x14ac:dyDescent="0.6">
      <c r="A1112" s="951"/>
      <c r="B1112" s="794"/>
      <c r="E1112" s="807"/>
      <c r="G1112" s="857"/>
      <c r="I1112" s="964">
        <f>'Daily Cash Book'!$G1112-'Daily Cash Book'!$H$2:$H$1188</f>
        <v>0</v>
      </c>
    </row>
    <row r="1113" spans="1:9" ht="24" customHeight="1" x14ac:dyDescent="0.6">
      <c r="A1113" s="951"/>
      <c r="B1113" s="794"/>
      <c r="E1113" s="807"/>
      <c r="G1113" s="857"/>
      <c r="I1113" s="964">
        <f>'Daily Cash Book'!$G1113-'Daily Cash Book'!$H$2:$H$1188</f>
        <v>0</v>
      </c>
    </row>
    <row r="1114" spans="1:9" ht="24" customHeight="1" x14ac:dyDescent="0.6">
      <c r="A1114" s="951"/>
      <c r="B1114" s="794"/>
      <c r="E1114" s="807"/>
      <c r="G1114" s="857"/>
      <c r="I1114" s="964">
        <f>'Daily Cash Book'!$G1114-'Daily Cash Book'!$H$2:$H$1188</f>
        <v>0</v>
      </c>
    </row>
    <row r="1115" spans="1:9" ht="24" customHeight="1" x14ac:dyDescent="0.6">
      <c r="A1115" s="951"/>
      <c r="B1115" s="794"/>
      <c r="E1115" s="807"/>
      <c r="G1115" s="857"/>
      <c r="I1115" s="964">
        <f>'Daily Cash Book'!$G1115-'Daily Cash Book'!$H$2:$H$1188</f>
        <v>0</v>
      </c>
    </row>
    <row r="1116" spans="1:9" ht="24" customHeight="1" x14ac:dyDescent="0.6">
      <c r="A1116" s="951"/>
      <c r="B1116" s="794"/>
      <c r="E1116" s="807"/>
      <c r="G1116" s="857"/>
      <c r="I1116" s="964">
        <f>'Daily Cash Book'!$G1116-'Daily Cash Book'!$H$2:$H$1188</f>
        <v>0</v>
      </c>
    </row>
    <row r="1117" spans="1:9" ht="24" customHeight="1" x14ac:dyDescent="0.6">
      <c r="A1117" s="951"/>
      <c r="B1117" s="794"/>
      <c r="E1117" s="807"/>
      <c r="G1117" s="857"/>
      <c r="I1117" s="964">
        <f>'Daily Cash Book'!$G1117-'Daily Cash Book'!$H$2:$H$1188</f>
        <v>0</v>
      </c>
    </row>
    <row r="1118" spans="1:9" ht="24" customHeight="1" x14ac:dyDescent="0.6">
      <c r="A1118" s="951"/>
      <c r="B1118" s="794"/>
      <c r="E1118" s="807"/>
      <c r="G1118" s="857"/>
      <c r="I1118" s="964">
        <f>'Daily Cash Book'!$G1118-'Daily Cash Book'!$H$2:$H$1188</f>
        <v>0</v>
      </c>
    </row>
    <row r="1119" spans="1:9" ht="24" customHeight="1" x14ac:dyDescent="0.6">
      <c r="A1119" s="951"/>
      <c r="B1119" s="794"/>
      <c r="E1119" s="807"/>
      <c r="G1119" s="857"/>
      <c r="I1119" s="964">
        <f>'Daily Cash Book'!$G1119-'Daily Cash Book'!$H$2:$H$1188</f>
        <v>0</v>
      </c>
    </row>
    <row r="1120" spans="1:9" ht="24" customHeight="1" x14ac:dyDescent="0.6">
      <c r="A1120" s="951"/>
      <c r="B1120" s="794"/>
      <c r="E1120" s="807"/>
      <c r="G1120" s="857"/>
      <c r="I1120" s="964">
        <f>'Daily Cash Book'!$G1120-'Daily Cash Book'!$H$2:$H$1188</f>
        <v>0</v>
      </c>
    </row>
    <row r="1121" spans="1:9" ht="24" customHeight="1" x14ac:dyDescent="0.6">
      <c r="A1121" s="951"/>
      <c r="B1121" s="794"/>
      <c r="E1121" s="807"/>
      <c r="G1121" s="857"/>
      <c r="I1121" s="964">
        <f>'Daily Cash Book'!$G1121-'Daily Cash Book'!$H$2:$H$1188</f>
        <v>0</v>
      </c>
    </row>
    <row r="1122" spans="1:9" ht="24" customHeight="1" x14ac:dyDescent="0.6">
      <c r="A1122" s="951"/>
      <c r="B1122" s="794"/>
      <c r="E1122" s="807"/>
      <c r="G1122" s="857"/>
      <c r="I1122" s="964">
        <f>'Daily Cash Book'!$G1122-'Daily Cash Book'!$H$2:$H$1188</f>
        <v>0</v>
      </c>
    </row>
    <row r="1123" spans="1:9" ht="24" customHeight="1" x14ac:dyDescent="0.6">
      <c r="A1123" s="951"/>
      <c r="B1123" s="794"/>
      <c r="E1123" s="807"/>
      <c r="G1123" s="857"/>
      <c r="I1123" s="964">
        <f>'Daily Cash Book'!$G1123-'Daily Cash Book'!$H$2:$H$1188</f>
        <v>0</v>
      </c>
    </row>
    <row r="1124" spans="1:9" ht="24" customHeight="1" x14ac:dyDescent="0.6">
      <c r="A1124" s="951"/>
      <c r="B1124" s="794"/>
      <c r="E1124" s="807"/>
      <c r="G1124" s="857"/>
      <c r="I1124" s="964">
        <f>'Daily Cash Book'!$G1124-'Daily Cash Book'!$H$2:$H$1188</f>
        <v>0</v>
      </c>
    </row>
    <row r="1125" spans="1:9" ht="24" customHeight="1" x14ac:dyDescent="0.6">
      <c r="A1125" s="951"/>
      <c r="B1125" s="794"/>
      <c r="E1125" s="807"/>
      <c r="G1125" s="857"/>
      <c r="I1125" s="964">
        <f>'Daily Cash Book'!$G1125-'Daily Cash Book'!$H$2:$H$1188</f>
        <v>0</v>
      </c>
    </row>
    <row r="1126" spans="1:9" ht="24" customHeight="1" x14ac:dyDescent="0.6">
      <c r="A1126" s="951"/>
      <c r="B1126" s="794"/>
      <c r="E1126" s="807"/>
      <c r="G1126" s="857"/>
      <c r="I1126" s="964">
        <f>'Daily Cash Book'!$G1126-'Daily Cash Book'!$H$2:$H$1188</f>
        <v>0</v>
      </c>
    </row>
    <row r="1127" spans="1:9" ht="24" customHeight="1" x14ac:dyDescent="0.6">
      <c r="A1127" s="951"/>
      <c r="B1127" s="794"/>
      <c r="E1127" s="807"/>
      <c r="G1127" s="857"/>
      <c r="I1127" s="964">
        <f>'Daily Cash Book'!$G1127-'Daily Cash Book'!$H$2:$H$1188</f>
        <v>0</v>
      </c>
    </row>
    <row r="1128" spans="1:9" ht="24" customHeight="1" x14ac:dyDescent="0.6">
      <c r="A1128" s="951"/>
      <c r="B1128" s="794"/>
      <c r="E1128" s="807"/>
      <c r="G1128" s="857"/>
      <c r="I1128" s="964">
        <f>'Daily Cash Book'!$G1128-'Daily Cash Book'!$H$2:$H$1188</f>
        <v>0</v>
      </c>
    </row>
    <row r="1129" spans="1:9" ht="24" customHeight="1" x14ac:dyDescent="0.6">
      <c r="A1129" s="951"/>
      <c r="B1129" s="794"/>
      <c r="E1129" s="807"/>
      <c r="G1129" s="857"/>
      <c r="I1129" s="964">
        <f>'Daily Cash Book'!$G1129-'Daily Cash Book'!$H$2:$H$1188</f>
        <v>0</v>
      </c>
    </row>
    <row r="1130" spans="1:9" ht="24" customHeight="1" x14ac:dyDescent="0.6">
      <c r="A1130" s="951"/>
      <c r="B1130" s="794"/>
      <c r="E1130" s="807"/>
      <c r="G1130" s="857"/>
      <c r="I1130" s="964">
        <f>'Daily Cash Book'!$G1130-'Daily Cash Book'!$H$2:$H$1188</f>
        <v>0</v>
      </c>
    </row>
    <row r="1131" spans="1:9" ht="24" customHeight="1" x14ac:dyDescent="0.6">
      <c r="A1131" s="951"/>
      <c r="B1131" s="794"/>
      <c r="E1131" s="807"/>
      <c r="G1131" s="857"/>
      <c r="I1131" s="964">
        <f>'Daily Cash Book'!$G1131-'Daily Cash Book'!$H$2:$H$1188</f>
        <v>0</v>
      </c>
    </row>
    <row r="1132" spans="1:9" ht="24" customHeight="1" x14ac:dyDescent="0.6">
      <c r="A1132" s="951"/>
      <c r="B1132" s="794"/>
      <c r="E1132" s="807"/>
      <c r="G1132" s="857"/>
      <c r="I1132" s="964">
        <f>'Daily Cash Book'!$G1132-'Daily Cash Book'!$H$2:$H$1188</f>
        <v>0</v>
      </c>
    </row>
    <row r="1133" spans="1:9" ht="24" customHeight="1" x14ac:dyDescent="0.6">
      <c r="A1133" s="951"/>
      <c r="B1133" s="794"/>
      <c r="E1133" s="807"/>
      <c r="G1133" s="857"/>
      <c r="I1133" s="964">
        <f>'Daily Cash Book'!$G1133-'Daily Cash Book'!$H$2:$H$1188</f>
        <v>0</v>
      </c>
    </row>
    <row r="1134" spans="1:9" ht="24" customHeight="1" x14ac:dyDescent="0.6">
      <c r="A1134" s="951"/>
      <c r="B1134" s="794"/>
      <c r="E1134" s="807"/>
      <c r="G1134" s="857"/>
      <c r="I1134" s="964">
        <f>'Daily Cash Book'!$G1134-'Daily Cash Book'!$H$2:$H$1188</f>
        <v>0</v>
      </c>
    </row>
    <row r="1135" spans="1:9" ht="24" customHeight="1" x14ac:dyDescent="0.6">
      <c r="A1135" s="951"/>
      <c r="B1135" s="794"/>
      <c r="E1135" s="807"/>
      <c r="G1135" s="857"/>
      <c r="I1135" s="964">
        <f>'Daily Cash Book'!$G1135-'Daily Cash Book'!$H$2:$H$1188</f>
        <v>0</v>
      </c>
    </row>
    <row r="1136" spans="1:9" ht="24" customHeight="1" x14ac:dyDescent="0.6">
      <c r="A1136" s="951"/>
      <c r="B1136" s="794"/>
      <c r="E1136" s="807"/>
      <c r="G1136" s="857"/>
      <c r="I1136" s="964">
        <f>'Daily Cash Book'!$G1136-'Daily Cash Book'!$H$2:$H$1188</f>
        <v>0</v>
      </c>
    </row>
    <row r="1137" spans="1:9" ht="24" customHeight="1" x14ac:dyDescent="0.6">
      <c r="A1137" s="951"/>
      <c r="B1137" s="794"/>
      <c r="E1137" s="807"/>
      <c r="G1137" s="857"/>
      <c r="I1137" s="964">
        <f>'Daily Cash Book'!$G1137-'Daily Cash Book'!$H$2:$H$1188</f>
        <v>0</v>
      </c>
    </row>
    <row r="1138" spans="1:9" ht="24" customHeight="1" x14ac:dyDescent="0.6">
      <c r="A1138" s="951"/>
      <c r="B1138" s="794"/>
      <c r="E1138" s="807"/>
      <c r="G1138" s="857"/>
      <c r="I1138" s="964">
        <f>'Daily Cash Book'!$G1138-'Daily Cash Book'!$H$2:$H$1188</f>
        <v>0</v>
      </c>
    </row>
    <row r="1139" spans="1:9" ht="24" customHeight="1" x14ac:dyDescent="0.6">
      <c r="A1139" s="951"/>
      <c r="B1139" s="794"/>
      <c r="E1139" s="807"/>
      <c r="G1139" s="857"/>
      <c r="I1139" s="964">
        <f>'Daily Cash Book'!$G1139-'Daily Cash Book'!$H$2:$H$1188</f>
        <v>0</v>
      </c>
    </row>
    <row r="1140" spans="1:9" ht="24" customHeight="1" x14ac:dyDescent="0.6">
      <c r="A1140" s="951"/>
      <c r="B1140" s="794"/>
      <c r="E1140" s="807"/>
      <c r="G1140" s="857"/>
      <c r="I1140" s="964">
        <f>'Daily Cash Book'!$G1140-'Daily Cash Book'!$H$2:$H$1188</f>
        <v>0</v>
      </c>
    </row>
    <row r="1141" spans="1:9" ht="24" customHeight="1" x14ac:dyDescent="0.6">
      <c r="A1141" s="951"/>
      <c r="B1141" s="794"/>
      <c r="E1141" s="807"/>
      <c r="G1141" s="857"/>
      <c r="I1141" s="964">
        <f>'Daily Cash Book'!$G1141-'Daily Cash Book'!$H$2:$H$1188</f>
        <v>0</v>
      </c>
    </row>
    <row r="1142" spans="1:9" ht="24" customHeight="1" x14ac:dyDescent="0.6">
      <c r="A1142" s="951"/>
      <c r="B1142" s="794"/>
      <c r="E1142" s="807"/>
      <c r="G1142" s="857"/>
      <c r="I1142" s="964">
        <f>'Daily Cash Book'!$G1142-'Daily Cash Book'!$H$2:$H$1188</f>
        <v>0</v>
      </c>
    </row>
    <row r="1143" spans="1:9" ht="24" customHeight="1" x14ac:dyDescent="0.6">
      <c r="A1143" s="951"/>
      <c r="B1143" s="794"/>
      <c r="E1143" s="807"/>
      <c r="G1143" s="857"/>
      <c r="I1143" s="964">
        <f>'Daily Cash Book'!$G1143-'Daily Cash Book'!$H$2:$H$1188</f>
        <v>0</v>
      </c>
    </row>
    <row r="1144" spans="1:9" ht="24" customHeight="1" x14ac:dyDescent="0.6">
      <c r="A1144" s="951"/>
      <c r="B1144" s="794"/>
      <c r="E1144" s="807"/>
      <c r="G1144" s="857"/>
      <c r="I1144" s="964">
        <f>'Daily Cash Book'!$G1144-'Daily Cash Book'!$H$2:$H$1188</f>
        <v>0</v>
      </c>
    </row>
    <row r="1145" spans="1:9" ht="24" customHeight="1" x14ac:dyDescent="0.6">
      <c r="A1145" s="951"/>
      <c r="B1145" s="794"/>
      <c r="E1145" s="807"/>
      <c r="G1145" s="857"/>
      <c r="I1145" s="964">
        <f>'Daily Cash Book'!$G1145-'Daily Cash Book'!$H$2:$H$1188</f>
        <v>0</v>
      </c>
    </row>
    <row r="1146" spans="1:9" ht="24" customHeight="1" x14ac:dyDescent="0.6">
      <c r="A1146" s="951"/>
      <c r="B1146" s="794"/>
      <c r="E1146" s="807"/>
      <c r="G1146" s="857"/>
      <c r="I1146" s="964">
        <f>'Daily Cash Book'!$G1146-'Daily Cash Book'!$H$2:$H$1188</f>
        <v>0</v>
      </c>
    </row>
    <row r="1147" spans="1:9" ht="24" customHeight="1" x14ac:dyDescent="0.6">
      <c r="A1147" s="951"/>
      <c r="B1147" s="794"/>
      <c r="E1147" s="807"/>
      <c r="G1147" s="857"/>
      <c r="I1147" s="964">
        <f>'Daily Cash Book'!$G1147-'Daily Cash Book'!$H$2:$H$1188</f>
        <v>0</v>
      </c>
    </row>
    <row r="1148" spans="1:9" ht="24" customHeight="1" x14ac:dyDescent="0.6">
      <c r="A1148" s="951"/>
      <c r="B1148" s="794"/>
      <c r="E1148" s="807"/>
      <c r="G1148" s="857"/>
      <c r="I1148" s="964">
        <f>'Daily Cash Book'!$G1148-'Daily Cash Book'!$H$2:$H$1188</f>
        <v>0</v>
      </c>
    </row>
    <row r="1149" spans="1:9" ht="24" customHeight="1" x14ac:dyDescent="0.6">
      <c r="A1149" s="951"/>
      <c r="B1149" s="794"/>
      <c r="E1149" s="807"/>
      <c r="G1149" s="857"/>
      <c r="I1149" s="964">
        <f>'Daily Cash Book'!$G1149-'Daily Cash Book'!$H$2:$H$1188</f>
        <v>0</v>
      </c>
    </row>
    <row r="1150" spans="1:9" ht="24" customHeight="1" x14ac:dyDescent="0.6">
      <c r="A1150" s="951"/>
      <c r="B1150" s="794"/>
      <c r="E1150" s="807"/>
      <c r="G1150" s="857"/>
      <c r="I1150" s="964">
        <f>'Daily Cash Book'!$G1150-'Daily Cash Book'!$H$2:$H$1188</f>
        <v>0</v>
      </c>
    </row>
    <row r="1151" spans="1:9" ht="24" customHeight="1" x14ac:dyDescent="0.6">
      <c r="A1151" s="951"/>
      <c r="B1151" s="794"/>
      <c r="E1151" s="807"/>
      <c r="G1151" s="857"/>
      <c r="I1151" s="964">
        <f>'Daily Cash Book'!$G1151-'Daily Cash Book'!$H$2:$H$1188</f>
        <v>0</v>
      </c>
    </row>
    <row r="1152" spans="1:9" ht="24" customHeight="1" x14ac:dyDescent="0.6">
      <c r="A1152" s="951"/>
      <c r="B1152" s="794"/>
      <c r="E1152" s="807"/>
      <c r="G1152" s="857"/>
      <c r="I1152" s="964">
        <f>'Daily Cash Book'!$G1152-'Daily Cash Book'!$H$2:$H$1188</f>
        <v>0</v>
      </c>
    </row>
    <row r="1153" spans="1:9" ht="24" customHeight="1" x14ac:dyDescent="0.6">
      <c r="A1153" s="951"/>
      <c r="B1153" s="794"/>
      <c r="E1153" s="807"/>
      <c r="G1153" s="857"/>
      <c r="I1153" s="964">
        <f>'Daily Cash Book'!$G1153-'Daily Cash Book'!$H$2:$H$1188</f>
        <v>0</v>
      </c>
    </row>
    <row r="1154" spans="1:9" ht="24" customHeight="1" x14ac:dyDescent="0.6">
      <c r="A1154" s="951"/>
      <c r="B1154" s="794"/>
      <c r="E1154" s="807"/>
      <c r="G1154" s="857"/>
      <c r="I1154" s="964">
        <f>'Daily Cash Book'!$G1154-'Daily Cash Book'!$H$2:$H$1188</f>
        <v>0</v>
      </c>
    </row>
    <row r="1155" spans="1:9" ht="24" customHeight="1" x14ac:dyDescent="0.6">
      <c r="A1155" s="951"/>
      <c r="B1155" s="794"/>
      <c r="E1155" s="807"/>
      <c r="G1155" s="857"/>
      <c r="I1155" s="964">
        <f>'Daily Cash Book'!$G1155-'Daily Cash Book'!$H$2:$H$1188</f>
        <v>0</v>
      </c>
    </row>
    <row r="1156" spans="1:9" ht="24" customHeight="1" x14ac:dyDescent="0.6">
      <c r="A1156" s="951"/>
      <c r="B1156" s="794"/>
      <c r="E1156" s="807"/>
      <c r="G1156" s="857"/>
      <c r="I1156" s="964">
        <f>'Daily Cash Book'!$G1156-'Daily Cash Book'!$H$2:$H$1188</f>
        <v>0</v>
      </c>
    </row>
    <row r="1157" spans="1:9" ht="24" customHeight="1" x14ac:dyDescent="0.6">
      <c r="A1157" s="951"/>
      <c r="B1157" s="794"/>
      <c r="E1157" s="807"/>
      <c r="G1157" s="857"/>
      <c r="I1157" s="964">
        <f>'Daily Cash Book'!$G1157-'Daily Cash Book'!$H$2:$H$1188</f>
        <v>0</v>
      </c>
    </row>
    <row r="1158" spans="1:9" ht="24" customHeight="1" x14ac:dyDescent="0.6">
      <c r="A1158" s="951"/>
      <c r="B1158" s="794"/>
      <c r="E1158" s="807"/>
      <c r="G1158" s="857"/>
      <c r="I1158" s="964">
        <f>'Daily Cash Book'!$G1158-'Daily Cash Book'!$H$2:$H$1188</f>
        <v>0</v>
      </c>
    </row>
    <row r="1159" spans="1:9" ht="24" customHeight="1" x14ac:dyDescent="0.6">
      <c r="A1159" s="951"/>
      <c r="B1159" s="794"/>
      <c r="E1159" s="807"/>
      <c r="G1159" s="857"/>
      <c r="I1159" s="964">
        <f>'Daily Cash Book'!$G1159-'Daily Cash Book'!$H$2:$H$1188</f>
        <v>0</v>
      </c>
    </row>
    <row r="1160" spans="1:9" ht="24" customHeight="1" x14ac:dyDescent="0.6">
      <c r="A1160" s="951"/>
      <c r="B1160" s="794"/>
      <c r="E1160" s="807"/>
      <c r="G1160" s="857"/>
      <c r="I1160" s="964">
        <f>'Daily Cash Book'!$G1160-'Daily Cash Book'!$H$2:$H$1188</f>
        <v>0</v>
      </c>
    </row>
    <row r="1161" spans="1:9" ht="24" customHeight="1" x14ac:dyDescent="0.6">
      <c r="A1161" s="951"/>
      <c r="B1161" s="794"/>
      <c r="E1161" s="807"/>
      <c r="G1161" s="857"/>
      <c r="I1161" s="964">
        <f>'Daily Cash Book'!$G1161-'Daily Cash Book'!$H$2:$H$1188</f>
        <v>0</v>
      </c>
    </row>
    <row r="1162" spans="1:9" ht="24" customHeight="1" x14ac:dyDescent="0.6">
      <c r="A1162" s="951"/>
      <c r="B1162" s="794"/>
      <c r="E1162" s="807"/>
      <c r="G1162" s="857"/>
      <c r="I1162" s="964">
        <f>'Daily Cash Book'!$G1162-'Daily Cash Book'!$H$2:$H$1188</f>
        <v>0</v>
      </c>
    </row>
    <row r="1163" spans="1:9" ht="24" customHeight="1" x14ac:dyDescent="0.6">
      <c r="A1163" s="951"/>
      <c r="B1163" s="794"/>
      <c r="E1163" s="807"/>
      <c r="G1163" s="857"/>
      <c r="I1163" s="964">
        <f>'Daily Cash Book'!$G1163-'Daily Cash Book'!$H$2:$H$1188</f>
        <v>0</v>
      </c>
    </row>
    <row r="1164" spans="1:9" ht="24" customHeight="1" x14ac:dyDescent="0.6">
      <c r="A1164" s="951"/>
      <c r="B1164" s="794"/>
      <c r="E1164" s="807"/>
      <c r="G1164" s="857"/>
      <c r="I1164" s="964">
        <f>'Daily Cash Book'!$G1164-'Daily Cash Book'!$H$2:$H$1188</f>
        <v>0</v>
      </c>
    </row>
    <row r="1165" spans="1:9" ht="24" customHeight="1" x14ac:dyDescent="0.6">
      <c r="A1165" s="951"/>
      <c r="B1165" s="794"/>
      <c r="E1165" s="807"/>
      <c r="G1165" s="857"/>
      <c r="I1165" s="964">
        <f>'Daily Cash Book'!$G1165-'Daily Cash Book'!$H$2:$H$1188</f>
        <v>0</v>
      </c>
    </row>
    <row r="1166" spans="1:9" ht="24" customHeight="1" x14ac:dyDescent="0.6">
      <c r="A1166" s="951"/>
      <c r="B1166" s="794"/>
      <c r="E1166" s="807"/>
      <c r="G1166" s="857"/>
      <c r="I1166" s="964">
        <f>'Daily Cash Book'!$G1166-'Daily Cash Book'!$H$2:$H$1188</f>
        <v>0</v>
      </c>
    </row>
    <row r="1167" spans="1:9" ht="24" customHeight="1" x14ac:dyDescent="0.6">
      <c r="A1167" s="951"/>
      <c r="B1167" s="794"/>
      <c r="E1167" s="807"/>
      <c r="G1167" s="857"/>
      <c r="I1167" s="964">
        <f>'Daily Cash Book'!$G1167-'Daily Cash Book'!$H$2:$H$1188</f>
        <v>0</v>
      </c>
    </row>
    <row r="1168" spans="1:9" ht="24" customHeight="1" x14ac:dyDescent="0.6">
      <c r="A1168" s="951"/>
      <c r="B1168" s="794"/>
      <c r="E1168" s="807"/>
      <c r="G1168" s="857"/>
      <c r="I1168" s="964">
        <f>'Daily Cash Book'!$G1168-'Daily Cash Book'!$H$2:$H$1188</f>
        <v>0</v>
      </c>
    </row>
    <row r="1169" spans="1:9" ht="24" customHeight="1" x14ac:dyDescent="0.6">
      <c r="A1169" s="951"/>
      <c r="B1169" s="794"/>
      <c r="E1169" s="807"/>
      <c r="G1169" s="857"/>
      <c r="I1169" s="964">
        <f>'Daily Cash Book'!$G1169-'Daily Cash Book'!$H$2:$H$1188</f>
        <v>0</v>
      </c>
    </row>
    <row r="1170" spans="1:9" ht="24" customHeight="1" x14ac:dyDescent="0.6">
      <c r="A1170" s="951"/>
      <c r="B1170" s="794"/>
      <c r="E1170" s="807"/>
      <c r="G1170" s="857"/>
      <c r="I1170" s="964">
        <f>'Daily Cash Book'!$G1170-'Daily Cash Book'!$H$2:$H$1188</f>
        <v>0</v>
      </c>
    </row>
    <row r="1171" spans="1:9" ht="24" customHeight="1" x14ac:dyDescent="0.6">
      <c r="A1171" s="951"/>
      <c r="B1171" s="794"/>
      <c r="E1171" s="807"/>
      <c r="G1171" s="857"/>
      <c r="I1171" s="964">
        <f>'Daily Cash Book'!$G1171-'Daily Cash Book'!$H$2:$H$1188</f>
        <v>0</v>
      </c>
    </row>
    <row r="1172" spans="1:9" ht="24" customHeight="1" x14ac:dyDescent="0.6">
      <c r="A1172" s="951"/>
      <c r="B1172" s="794"/>
      <c r="E1172" s="807"/>
      <c r="G1172" s="857"/>
      <c r="I1172" s="964">
        <f>'Daily Cash Book'!$G1172-'Daily Cash Book'!$H$2:$H$1188</f>
        <v>0</v>
      </c>
    </row>
    <row r="1173" spans="1:9" ht="24" customHeight="1" x14ac:dyDescent="0.6">
      <c r="A1173" s="951"/>
      <c r="B1173" s="794"/>
      <c r="E1173" s="807"/>
      <c r="G1173" s="857"/>
      <c r="I1173" s="964">
        <f>'Daily Cash Book'!$G1173-'Daily Cash Book'!$H$2:$H$1188</f>
        <v>0</v>
      </c>
    </row>
    <row r="1174" spans="1:9" ht="24" customHeight="1" x14ac:dyDescent="0.6">
      <c r="A1174" s="951"/>
      <c r="B1174" s="794"/>
      <c r="E1174" s="807"/>
      <c r="G1174" s="857"/>
      <c r="I1174" s="964">
        <f>'Daily Cash Book'!$G1174-'Daily Cash Book'!$H$2:$H$1188</f>
        <v>0</v>
      </c>
    </row>
    <row r="1175" spans="1:9" ht="24" customHeight="1" x14ac:dyDescent="0.6">
      <c r="A1175" s="951"/>
      <c r="B1175" s="794"/>
      <c r="E1175" s="807"/>
      <c r="G1175" s="857"/>
      <c r="I1175" s="964">
        <f>'Daily Cash Book'!$G1175-'Daily Cash Book'!$H$2:$H$1188</f>
        <v>0</v>
      </c>
    </row>
    <row r="1176" spans="1:9" ht="24" customHeight="1" x14ac:dyDescent="0.6">
      <c r="A1176" s="951"/>
      <c r="B1176" s="794"/>
      <c r="E1176" s="807"/>
      <c r="G1176" s="857"/>
      <c r="I1176" s="964">
        <f>'Daily Cash Book'!$G1176-'Daily Cash Book'!$H$2:$H$1188</f>
        <v>0</v>
      </c>
    </row>
    <row r="1177" spans="1:9" ht="24" customHeight="1" x14ac:dyDescent="0.6">
      <c r="A1177" s="951"/>
      <c r="B1177" s="794"/>
      <c r="E1177" s="807"/>
      <c r="G1177" s="857"/>
      <c r="I1177" s="964">
        <f>'Daily Cash Book'!$G1177-'Daily Cash Book'!$H$2:$H$1188</f>
        <v>0</v>
      </c>
    </row>
    <row r="1178" spans="1:9" ht="24" customHeight="1" x14ac:dyDescent="0.6">
      <c r="A1178" s="951"/>
      <c r="B1178" s="794"/>
      <c r="E1178" s="807"/>
      <c r="G1178" s="857"/>
      <c r="I1178" s="964">
        <f>'Daily Cash Book'!$G1178-'Daily Cash Book'!$H$2:$H$1188</f>
        <v>0</v>
      </c>
    </row>
    <row r="1179" spans="1:9" ht="24" customHeight="1" x14ac:dyDescent="0.6">
      <c r="A1179" s="951"/>
      <c r="B1179" s="794"/>
      <c r="E1179" s="807"/>
      <c r="G1179" s="857"/>
      <c r="I1179" s="964">
        <f>'Daily Cash Book'!$G1179-'Daily Cash Book'!$H$2:$H$1188</f>
        <v>0</v>
      </c>
    </row>
    <row r="1180" spans="1:9" ht="24" customHeight="1" x14ac:dyDescent="0.6">
      <c r="A1180" s="951"/>
      <c r="B1180" s="794"/>
      <c r="E1180" s="807"/>
      <c r="G1180" s="857"/>
      <c r="I1180" s="964">
        <f>'Daily Cash Book'!$G1180-'Daily Cash Book'!$H$2:$H$1188</f>
        <v>0</v>
      </c>
    </row>
    <row r="1181" spans="1:9" ht="24" customHeight="1" x14ac:dyDescent="0.6">
      <c r="A1181" s="951"/>
      <c r="B1181" s="794"/>
      <c r="E1181" s="807"/>
      <c r="G1181" s="857"/>
      <c r="I1181" s="964">
        <f>'Daily Cash Book'!$G1181-'Daily Cash Book'!$H$2:$H$1188</f>
        <v>0</v>
      </c>
    </row>
    <row r="1182" spans="1:9" ht="24" customHeight="1" x14ac:dyDescent="0.6">
      <c r="A1182" s="951"/>
      <c r="B1182" s="794"/>
      <c r="E1182" s="807"/>
      <c r="G1182" s="857"/>
      <c r="I1182" s="964">
        <f>'Daily Cash Book'!$G1182-'Daily Cash Book'!$H$2:$H$1188</f>
        <v>0</v>
      </c>
    </row>
    <row r="1183" spans="1:9" ht="24" customHeight="1" x14ac:dyDescent="0.6">
      <c r="A1183" s="951"/>
      <c r="B1183" s="794"/>
      <c r="E1183" s="807"/>
      <c r="G1183" s="857"/>
      <c r="I1183" s="964">
        <f>'Daily Cash Book'!$G1183-'Daily Cash Book'!$H$2:$H$1188</f>
        <v>0</v>
      </c>
    </row>
    <row r="1184" spans="1:9" ht="24" customHeight="1" x14ac:dyDescent="0.6">
      <c r="A1184" s="951"/>
      <c r="B1184" s="794"/>
      <c r="E1184" s="807"/>
      <c r="G1184" s="857"/>
      <c r="I1184" s="964">
        <f>'Daily Cash Book'!$G1184-'Daily Cash Book'!$H$2:$H$1188</f>
        <v>0</v>
      </c>
    </row>
    <row r="1185" spans="1:9" ht="24" customHeight="1" x14ac:dyDescent="0.6">
      <c r="A1185" s="951"/>
      <c r="B1185" s="794"/>
      <c r="E1185" s="807"/>
      <c r="G1185" s="857"/>
      <c r="I1185" s="964">
        <f>'Daily Cash Book'!$G1185-'Daily Cash Book'!$H$2:$H$1188</f>
        <v>0</v>
      </c>
    </row>
    <row r="1186" spans="1:9" ht="24" customHeight="1" x14ac:dyDescent="0.6">
      <c r="A1186" s="951"/>
      <c r="B1186" s="794"/>
      <c r="E1186" s="807"/>
      <c r="G1186" s="857"/>
      <c r="I1186" s="964">
        <f>'Daily Cash Book'!$G1186-'Daily Cash Book'!$H$2:$H$1188</f>
        <v>0</v>
      </c>
    </row>
    <row r="1187" spans="1:9" ht="24" customHeight="1" x14ac:dyDescent="0.6">
      <c r="A1187" s="951"/>
      <c r="B1187" s="794"/>
      <c r="E1187" s="807"/>
      <c r="G1187" s="857"/>
      <c r="I1187" s="964">
        <f>'Daily Cash Book'!$G1187-'Daily Cash Book'!$H$2:$H$1188</f>
        <v>0</v>
      </c>
    </row>
    <row r="1188" spans="1:9" ht="24" customHeight="1" x14ac:dyDescent="0.6">
      <c r="A1188" s="951"/>
      <c r="B1188" s="794"/>
      <c r="E1188" s="807"/>
      <c r="G1188" s="857"/>
      <c r="I1188" s="964">
        <f>'Daily Cash Book'!$G1188-'Daily Cash Book'!$H$2:$H$1188</f>
        <v>0</v>
      </c>
    </row>
    <row r="1189" spans="1:9" ht="24" customHeight="1" x14ac:dyDescent="0.6">
      <c r="I1189" s="966"/>
    </row>
  </sheetData>
  <phoneticPr fontId="45" type="noConversion"/>
  <dataValidations count="3">
    <dataValidation type="list" allowBlank="1" showInputMessage="1" showErrorMessage="1" sqref="C1230:C1391 C1400:C1435 C1189:C1214">
      <formula1>#REF!</formula1>
    </dataValidation>
    <dataValidation type="list" allowBlank="1" showInputMessage="1" showErrorMessage="1" sqref="C3:C24 C28:C343 C354:C428 C431:C928">
      <formula1>$S$5:$S$110</formula1>
    </dataValidation>
    <dataValidation type="list" allowBlank="1" showInputMessage="1" showErrorMessage="1" sqref="C25:C27 C344:C353 C429:C430">
      <formula1>$S$5:$S$111</formula1>
    </dataValidation>
  </dataValidations>
  <pageMargins left="0.65" right="0.196850393700787" top="0.34" bottom="0.196850393700787" header="0.12" footer="0.196850393700787"/>
  <pageSetup paperSize="9" scale="50" orientation="portrait" cellComments="asDisplayed" horizontalDpi="4294967293" r:id="rId1"/>
  <ignoredErrors>
    <ignoredError sqref="I35:I62 I64:I142 I226:I257 I2:I33 I144:I189 I191:I216 I639:I644 I259:I634 I635:I638 I692" calculatedColumn="1"/>
    <ignoredError sqref="U78 X101 W59:W60 X26"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23561" r:id="rId4" name="Button 9">
              <controlPr defaultSize="0" print="0" autoFill="0" autoPict="0" macro="[0]!TRAN2">
                <anchor moveWithCells="1" sizeWithCells="1">
                  <from>
                    <xdr:col>17</xdr:col>
                    <xdr:colOff>57150</xdr:colOff>
                    <xdr:row>1</xdr:row>
                    <xdr:rowOff>0</xdr:rowOff>
                  </from>
                  <to>
                    <xdr:col>17</xdr:col>
                    <xdr:colOff>571500</xdr:colOff>
                    <xdr:row>1</xdr:row>
                    <xdr:rowOff>295275</xdr:rowOff>
                  </to>
                </anchor>
              </controlPr>
            </control>
          </mc:Choice>
        </mc:AlternateContent>
      </controls>
    </mc:Choice>
  </mc:AlternateContent>
  <tableParts count="2">
    <tablePart r:id="rId5"/>
    <tablePart r:id="rId6"/>
  </tableParts>
  <extLst>
    <ext xmlns:x14="http://schemas.microsoft.com/office/spreadsheetml/2009/9/main" uri="{CCE6A557-97BC-4b89-ADB6-D9C93CAAB3DF}">
      <x14:dataValidations xmlns:xm="http://schemas.microsoft.com/office/excel/2006/main" count="3">
        <x14:dataValidation type="list" allowBlank="1" showInputMessage="1" showErrorMessage="1">
          <x14:formula1>
            <xm:f>COA!$B$710:$B$768</xm:f>
          </x14:formula1>
          <xm:sqref>C929:C1188</xm:sqref>
        </x14:dataValidation>
        <x14:dataValidation type="list" allowBlank="1" showInputMessage="1" showErrorMessage="1">
          <x14:formula1>
            <xm:f>COA!$B$2:$B$788</xm:f>
          </x14:formula1>
          <xm:sqref>C2</xm:sqref>
        </x14:dataValidation>
        <x14:dataValidation type="list" allowBlank="1" showInputMessage="1" showErrorMessage="1">
          <x14:formula1>
            <xm:f>COA!$B$771:$B$783</xm:f>
          </x14:formula1>
          <xm:sqref>E2:E1188</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FF0000"/>
  </sheetPr>
  <dimension ref="A1:G121"/>
  <sheetViews>
    <sheetView topLeftCell="A100" zoomScaleNormal="100" zoomScaleSheetLayoutView="94" workbookViewId="0">
      <selection activeCell="D104" sqref="D104"/>
    </sheetView>
  </sheetViews>
  <sheetFormatPr defaultColWidth="12.42578125" defaultRowHeight="21.75" x14ac:dyDescent="0.6"/>
  <cols>
    <col min="1" max="1" width="74" style="741" customWidth="1"/>
    <col min="2" max="2" width="31.42578125" style="738" customWidth="1"/>
    <col min="3" max="3" width="24.85546875" style="738" customWidth="1"/>
    <col min="4" max="4" width="27.7109375" style="761" customWidth="1"/>
    <col min="5" max="5" width="20.42578125" style="741" customWidth="1"/>
    <col min="6" max="6" width="35.28515625" style="738" customWidth="1"/>
    <col min="7" max="7" width="32.42578125" style="741" bestFit="1" customWidth="1"/>
    <col min="8" max="16384" width="12.42578125" style="741"/>
  </cols>
  <sheetData>
    <row r="1" spans="1:7" ht="30" thickBot="1" x14ac:dyDescent="0.85">
      <c r="A1" s="1314" t="s">
        <v>2763</v>
      </c>
      <c r="B1" s="1314"/>
      <c r="C1" s="1230">
        <v>44712</v>
      </c>
      <c r="D1" s="1230"/>
      <c r="F1" s="742" t="s">
        <v>2412</v>
      </c>
      <c r="G1" s="743">
        <f ca="1">TODAY()+H5</f>
        <v>44711</v>
      </c>
    </row>
    <row r="2" spans="1:7" ht="30" thickBot="1" x14ac:dyDescent="0.85">
      <c r="A2" s="1315" t="s">
        <v>8876</v>
      </c>
      <c r="B2" s="1315"/>
      <c r="C2" s="1315"/>
      <c r="D2" s="1315"/>
    </row>
    <row r="3" spans="1:7" ht="27.75" thickBot="1" x14ac:dyDescent="0.8">
      <c r="A3" s="1226"/>
      <c r="B3" s="1118" t="s">
        <v>7205</v>
      </c>
      <c r="C3" s="1122" t="s">
        <v>7206</v>
      </c>
      <c r="D3" s="1123" t="s">
        <v>7207</v>
      </c>
    </row>
    <row r="4" spans="1:7" ht="27.75" thickBot="1" x14ac:dyDescent="0.8">
      <c r="A4" s="1227" t="s">
        <v>2764</v>
      </c>
      <c r="B4" s="1118"/>
      <c r="C4" s="1122"/>
      <c r="D4" s="1123">
        <v>2840030</v>
      </c>
      <c r="F4" s="744"/>
    </row>
    <row r="5" spans="1:7" ht="27.75" thickBot="1" x14ac:dyDescent="0.8">
      <c r="A5" s="1227"/>
      <c r="B5" s="1124"/>
      <c r="C5" s="1125"/>
      <c r="D5" s="1126"/>
      <c r="F5" s="745"/>
    </row>
    <row r="6" spans="1:7" ht="27.75" thickBot="1" x14ac:dyDescent="0.8">
      <c r="A6" s="1228" t="s">
        <v>2307</v>
      </c>
      <c r="B6" s="1118"/>
      <c r="C6" s="1122"/>
      <c r="D6" s="1123"/>
      <c r="F6" s="746"/>
    </row>
    <row r="7" spans="1:7" ht="27.75" thickBot="1" x14ac:dyDescent="0.8">
      <c r="A7" s="1227"/>
      <c r="B7" s="1124"/>
      <c r="C7" s="1125"/>
      <c r="D7" s="1126"/>
    </row>
    <row r="8" spans="1:7" ht="27.75" thickBot="1" x14ac:dyDescent="0.8">
      <c r="A8" s="1229" t="s">
        <v>7210</v>
      </c>
      <c r="B8" s="1118">
        <f>'Daily Cash Book'!W65</f>
        <v>0</v>
      </c>
      <c r="C8" s="1122">
        <f>'Daily Cash Book'!X65</f>
        <v>0</v>
      </c>
      <c r="D8" s="1123"/>
    </row>
    <row r="9" spans="1:7" ht="27.75" thickBot="1" x14ac:dyDescent="0.8">
      <c r="A9" s="1229" t="s">
        <v>7211</v>
      </c>
      <c r="B9" s="1124">
        <f>'Daily Cash Book'!W64</f>
        <v>0</v>
      </c>
      <c r="C9" s="1125"/>
      <c r="D9" s="1126"/>
    </row>
    <row r="10" spans="1:7" ht="27.75" thickBot="1" x14ac:dyDescent="0.8">
      <c r="A10" s="1229" t="s">
        <v>7212</v>
      </c>
      <c r="B10" s="1124"/>
      <c r="C10" s="1125"/>
      <c r="D10" s="1126"/>
      <c r="F10" s="747"/>
    </row>
    <row r="11" spans="1:7" ht="27.75" thickBot="1" x14ac:dyDescent="0.8">
      <c r="A11" s="1229" t="s">
        <v>7213</v>
      </c>
      <c r="B11" s="1118"/>
      <c r="C11" s="1127">
        <f>'Daily Cash Book'!X104</f>
        <v>0</v>
      </c>
      <c r="D11" s="1123"/>
    </row>
    <row r="12" spans="1:7" ht="27.75" thickBot="1" x14ac:dyDescent="0.8">
      <c r="A12" s="1229" t="s">
        <v>7214</v>
      </c>
      <c r="B12" s="1124">
        <f>'Daily Cash Book'!W66</f>
        <v>0</v>
      </c>
      <c r="C12" s="1125"/>
      <c r="D12" s="1126"/>
    </row>
    <row r="13" spans="1:7" ht="27.75" thickBot="1" x14ac:dyDescent="0.8">
      <c r="A13" s="1229" t="s">
        <v>7215</v>
      </c>
      <c r="B13" s="1118"/>
      <c r="C13" s="1127">
        <f>'Daily Cash Book'!X5</f>
        <v>0</v>
      </c>
      <c r="D13" s="1123"/>
    </row>
    <row r="14" spans="1:7" ht="27.75" thickBot="1" x14ac:dyDescent="0.8">
      <c r="A14" s="1229" t="s">
        <v>7216</v>
      </c>
      <c r="B14" s="1128"/>
      <c r="C14" s="1129"/>
      <c r="D14" s="1130"/>
      <c r="E14" s="748"/>
    </row>
    <row r="15" spans="1:7" ht="27.75" thickBot="1" x14ac:dyDescent="0.8">
      <c r="A15" s="1229" t="s">
        <v>7217</v>
      </c>
      <c r="B15" s="1131"/>
      <c r="C15" s="1132"/>
      <c r="D15" s="1133"/>
    </row>
    <row r="16" spans="1:7" ht="27.75" thickBot="1" x14ac:dyDescent="0.8">
      <c r="A16" s="1227" t="s">
        <v>4</v>
      </c>
      <c r="B16" s="1134">
        <f>SUM(B8:B15)</f>
        <v>0</v>
      </c>
      <c r="C16" s="1135">
        <f>SUM(C8:C15)</f>
        <v>0</v>
      </c>
      <c r="D16" s="1136">
        <f>B16-C16</f>
        <v>0</v>
      </c>
    </row>
    <row r="17" spans="1:5" ht="27.75" thickBot="1" x14ac:dyDescent="0.8">
      <c r="A17" s="1227"/>
      <c r="B17" s="1124"/>
      <c r="C17" s="1125"/>
      <c r="D17" s="1126"/>
    </row>
    <row r="18" spans="1:5" ht="27.75" thickBot="1" x14ac:dyDescent="0.8">
      <c r="A18" s="1228" t="s">
        <v>7218</v>
      </c>
      <c r="B18" s="1118"/>
      <c r="C18" s="1122"/>
      <c r="D18" s="1123"/>
    </row>
    <row r="19" spans="1:5" ht="27.75" thickBot="1" x14ac:dyDescent="0.8">
      <c r="A19" s="1227"/>
      <c r="B19" s="1124"/>
      <c r="C19" s="1125"/>
      <c r="D19" s="1126"/>
      <c r="E19" s="748"/>
    </row>
    <row r="20" spans="1:5" ht="27.75" thickBot="1" x14ac:dyDescent="0.8">
      <c r="A20" s="1227" t="s">
        <v>7218</v>
      </c>
      <c r="B20" s="1131"/>
      <c r="C20" s="1137">
        <f>'Daily Cash Book'!X71</f>
        <v>41924919</v>
      </c>
      <c r="D20" s="1133"/>
    </row>
    <row r="21" spans="1:5" ht="27.75" thickBot="1" x14ac:dyDescent="0.8">
      <c r="A21" s="1227" t="s">
        <v>4</v>
      </c>
      <c r="B21" s="1138"/>
      <c r="C21" s="1139">
        <f>C20</f>
        <v>41924919</v>
      </c>
      <c r="D21" s="1140">
        <f>B21-C21</f>
        <v>-41924919</v>
      </c>
    </row>
    <row r="22" spans="1:5" ht="27.75" thickBot="1" x14ac:dyDescent="0.8">
      <c r="A22" s="1227"/>
      <c r="B22" s="1141"/>
      <c r="C22" s="1142"/>
      <c r="D22" s="1143"/>
    </row>
    <row r="23" spans="1:5" ht="27.75" thickBot="1" x14ac:dyDescent="0.8">
      <c r="A23" s="1228" t="s">
        <v>7219</v>
      </c>
      <c r="B23" s="1118"/>
      <c r="C23" s="1122"/>
      <c r="D23" s="1123"/>
    </row>
    <row r="24" spans="1:5" ht="27.75" thickBot="1" x14ac:dyDescent="0.8">
      <c r="A24" s="1227"/>
      <c r="B24" s="1124"/>
      <c r="C24" s="1125"/>
      <c r="D24" s="1126"/>
    </row>
    <row r="25" spans="1:5" ht="27.75" thickBot="1" x14ac:dyDescent="0.8">
      <c r="A25" s="1229" t="s">
        <v>7220</v>
      </c>
      <c r="B25" s="1118">
        <f>'Daily Cash Book'!W32</f>
        <v>0</v>
      </c>
      <c r="C25" s="1122"/>
      <c r="D25" s="1123"/>
    </row>
    <row r="26" spans="1:5" ht="27.75" thickBot="1" x14ac:dyDescent="0.8">
      <c r="A26" s="1229" t="s">
        <v>7221</v>
      </c>
      <c r="B26" s="1124"/>
      <c r="C26" s="1125"/>
      <c r="D26" s="1126"/>
    </row>
    <row r="27" spans="1:5" ht="27.75" thickBot="1" x14ac:dyDescent="0.8">
      <c r="A27" s="1229" t="s">
        <v>7222</v>
      </c>
      <c r="B27" s="1118">
        <f>'Daily Cash Book'!W35</f>
        <v>0</v>
      </c>
      <c r="C27" s="1122"/>
      <c r="D27" s="1123"/>
      <c r="E27" s="748"/>
    </row>
    <row r="28" spans="1:5" ht="27.75" thickBot="1" x14ac:dyDescent="0.8">
      <c r="A28" s="1229" t="s">
        <v>7223</v>
      </c>
      <c r="B28" s="1134">
        <f>'Daily Cash Book'!W41</f>
        <v>0</v>
      </c>
      <c r="C28" s="1135"/>
      <c r="D28" s="1144"/>
      <c r="E28" s="748"/>
    </row>
    <row r="29" spans="1:5" ht="27.75" thickBot="1" x14ac:dyDescent="0.8">
      <c r="A29" s="1229" t="s">
        <v>7227</v>
      </c>
      <c r="B29" s="1141"/>
      <c r="C29" s="1145">
        <f>'Daily Cash Book'!X9</f>
        <v>0</v>
      </c>
      <c r="D29" s="1143"/>
    </row>
    <row r="30" spans="1:5" ht="27.75" thickBot="1" x14ac:dyDescent="0.8">
      <c r="A30" s="1229" t="s">
        <v>7224</v>
      </c>
      <c r="B30" s="1118"/>
      <c r="C30" s="1122">
        <f>'Daily Cash Book'!X10</f>
        <v>0</v>
      </c>
      <c r="D30" s="1123"/>
    </row>
    <row r="31" spans="1:5" ht="27.75" thickBot="1" x14ac:dyDescent="0.8">
      <c r="A31" s="1229" t="s">
        <v>7225</v>
      </c>
      <c r="B31" s="1146"/>
      <c r="C31" s="1147">
        <f>'Daily Cash Book'!X11</f>
        <v>0</v>
      </c>
      <c r="D31" s="1148"/>
    </row>
    <row r="32" spans="1:5" ht="27.75" thickBot="1" x14ac:dyDescent="0.8">
      <c r="A32" s="1227" t="s">
        <v>7226</v>
      </c>
      <c r="B32" s="1134">
        <f>SUM(B25:B30)</f>
        <v>0</v>
      </c>
      <c r="C32" s="1135">
        <f>SUM(C29:C31)</f>
        <v>0</v>
      </c>
      <c r="D32" s="1144">
        <f>B32-C32</f>
        <v>0</v>
      </c>
    </row>
    <row r="33" spans="1:6" ht="27.75" thickBot="1" x14ac:dyDescent="0.8">
      <c r="A33" s="1227"/>
      <c r="B33" s="1124"/>
      <c r="C33" s="1125"/>
      <c r="D33" s="1126"/>
    </row>
    <row r="34" spans="1:6" ht="27.75" thickBot="1" x14ac:dyDescent="0.8">
      <c r="A34" s="1228" t="s">
        <v>7231</v>
      </c>
      <c r="B34" s="1118"/>
      <c r="C34" s="1122"/>
      <c r="D34" s="1123"/>
    </row>
    <row r="35" spans="1:6" ht="27.75" thickBot="1" x14ac:dyDescent="0.8">
      <c r="A35" s="1227"/>
      <c r="B35" s="1124"/>
      <c r="C35" s="1125"/>
      <c r="D35" s="1126"/>
    </row>
    <row r="36" spans="1:6" ht="27.75" thickBot="1" x14ac:dyDescent="0.8">
      <c r="A36" s="1229" t="s">
        <v>7228</v>
      </c>
      <c r="B36" s="1118"/>
      <c r="C36" s="1122">
        <f>'Daily Cash Book'!X13</f>
        <v>150000</v>
      </c>
      <c r="D36" s="1123"/>
    </row>
    <row r="37" spans="1:6" ht="27.75" thickBot="1" x14ac:dyDescent="0.8">
      <c r="A37" s="1229" t="s">
        <v>7229</v>
      </c>
      <c r="B37" s="1124"/>
      <c r="C37" s="1122">
        <f>'Daily Cash Book'!X14</f>
        <v>150000</v>
      </c>
      <c r="D37" s="1126"/>
    </row>
    <row r="38" spans="1:6" ht="27.75" thickBot="1" x14ac:dyDescent="0.8">
      <c r="A38" s="1229" t="s">
        <v>7230</v>
      </c>
      <c r="B38" s="1131"/>
      <c r="C38" s="1132">
        <f>'Daily Cash Book'!X15</f>
        <v>0</v>
      </c>
      <c r="D38" s="1133"/>
    </row>
    <row r="39" spans="1:6" ht="27.75" thickBot="1" x14ac:dyDescent="0.8">
      <c r="A39" s="1227" t="s">
        <v>7232</v>
      </c>
      <c r="B39" s="1149"/>
      <c r="C39" s="1150">
        <f>SUM(C36:C38)</f>
        <v>300000</v>
      </c>
      <c r="D39" s="1151">
        <f>B39-C39</f>
        <v>-300000</v>
      </c>
    </row>
    <row r="40" spans="1:6" ht="27.75" thickBot="1" x14ac:dyDescent="0.8">
      <c r="A40" s="1227"/>
      <c r="B40" s="1124"/>
      <c r="C40" s="1125"/>
      <c r="D40" s="1126"/>
    </row>
    <row r="41" spans="1:6" ht="27.75" thickBot="1" x14ac:dyDescent="0.8">
      <c r="A41" s="1228" t="s">
        <v>7233</v>
      </c>
      <c r="B41" s="1118"/>
      <c r="C41" s="1122"/>
      <c r="D41" s="1123"/>
    </row>
    <row r="42" spans="1:6" ht="27.75" thickBot="1" x14ac:dyDescent="0.8">
      <c r="A42" s="1227"/>
      <c r="B42" s="1124"/>
      <c r="C42" s="1125"/>
      <c r="D42" s="1126"/>
    </row>
    <row r="43" spans="1:6" ht="27.75" thickBot="1" x14ac:dyDescent="0.8">
      <c r="A43" s="1229" t="s">
        <v>7234</v>
      </c>
      <c r="B43" s="1118">
        <f>'Daily Cash Book'!W52</f>
        <v>83950250</v>
      </c>
      <c r="C43" s="1122"/>
      <c r="D43" s="1123"/>
    </row>
    <row r="44" spans="1:6" ht="27.75" thickBot="1" x14ac:dyDescent="0.8">
      <c r="A44" s="1229" t="s">
        <v>7298</v>
      </c>
      <c r="B44" s="1118">
        <f>'Daily Cash Book'!W45</f>
        <v>0</v>
      </c>
      <c r="C44" s="1122"/>
      <c r="D44" s="1123"/>
      <c r="F44" s="749"/>
    </row>
    <row r="45" spans="1:6" ht="27.75" thickBot="1" x14ac:dyDescent="0.8">
      <c r="A45" s="1229" t="s">
        <v>7296</v>
      </c>
      <c r="B45" s="1124">
        <f>'Daily Cash Book'!W46</f>
        <v>123750</v>
      </c>
      <c r="C45" s="1125"/>
      <c r="D45" s="1126"/>
      <c r="F45" s="741"/>
    </row>
    <row r="46" spans="1:6" ht="27.75" thickBot="1" x14ac:dyDescent="0.8">
      <c r="A46" s="1229" t="s">
        <v>7297</v>
      </c>
      <c r="B46" s="1124">
        <f>'Daily Cash Book'!W50</f>
        <v>462500</v>
      </c>
      <c r="C46" s="1125"/>
      <c r="D46" s="1126"/>
      <c r="F46" s="741"/>
    </row>
    <row r="47" spans="1:6" ht="27.75" thickBot="1" x14ac:dyDescent="0.8">
      <c r="A47" s="1229" t="s">
        <v>7235</v>
      </c>
      <c r="B47" s="1118">
        <f>'Daily Cash Book'!W62</f>
        <v>2000</v>
      </c>
      <c r="C47" s="1122"/>
      <c r="D47" s="1123"/>
      <c r="F47" s="741"/>
    </row>
    <row r="48" spans="1:6" ht="27.75" thickBot="1" x14ac:dyDescent="0.8">
      <c r="A48" s="1120" t="s">
        <v>7236</v>
      </c>
      <c r="B48" s="1118">
        <f>'Daily Cash Book'!W69</f>
        <v>0</v>
      </c>
      <c r="C48" s="1122"/>
      <c r="D48" s="1123"/>
      <c r="F48" s="741"/>
    </row>
    <row r="49" spans="1:7" ht="27.75" thickBot="1" x14ac:dyDescent="0.8">
      <c r="A49" s="1229" t="s">
        <v>7237</v>
      </c>
      <c r="B49" s="1118">
        <f>'Daily Cash Book'!W105</f>
        <v>0</v>
      </c>
      <c r="C49" s="1122"/>
      <c r="D49" s="1123"/>
      <c r="F49" s="741"/>
    </row>
    <row r="50" spans="1:7" ht="27.75" thickBot="1" x14ac:dyDescent="0.8">
      <c r="A50" s="1229" t="s">
        <v>7238</v>
      </c>
      <c r="B50" s="1118">
        <f>'Daily Cash Book'!W67</f>
        <v>495300</v>
      </c>
      <c r="C50" s="1122"/>
      <c r="D50" s="1123"/>
      <c r="F50" s="741"/>
    </row>
    <row r="51" spans="1:7" ht="27.75" thickBot="1" x14ac:dyDescent="0.8">
      <c r="A51" s="1229" t="s">
        <v>9074</v>
      </c>
      <c r="B51" s="1118">
        <f>SUM('Daily Cash Book'!W18:W27)</f>
        <v>559100</v>
      </c>
      <c r="C51" s="1122">
        <f>SUM('Daily Cash Book'!X18:X27)</f>
        <v>376200</v>
      </c>
      <c r="D51" s="1123"/>
    </row>
    <row r="52" spans="1:7" ht="27.75" thickBot="1" x14ac:dyDescent="0.8">
      <c r="A52" s="1229" t="s">
        <v>7239</v>
      </c>
      <c r="B52" s="1118">
        <f>'Daily Cash Book'!W59</f>
        <v>0</v>
      </c>
      <c r="C52" s="1122"/>
      <c r="D52" s="1123"/>
    </row>
    <row r="53" spans="1:7" ht="28.5" thickBot="1" x14ac:dyDescent="0.8">
      <c r="A53" s="1121" t="s">
        <v>912</v>
      </c>
      <c r="B53" s="1118">
        <f>'Daily Cash Book'!W56</f>
        <v>0</v>
      </c>
      <c r="C53" s="1122"/>
      <c r="D53" s="1123"/>
    </row>
    <row r="54" spans="1:7" ht="27.75" thickBot="1" x14ac:dyDescent="0.8">
      <c r="A54" s="1229" t="s">
        <v>7240</v>
      </c>
      <c r="B54" s="1124"/>
      <c r="C54" s="1122">
        <f>'Daily Cash Book'!X95</f>
        <v>1972150</v>
      </c>
      <c r="D54" s="1126"/>
      <c r="F54" s="741"/>
    </row>
    <row r="55" spans="1:7" ht="27.75" thickBot="1" x14ac:dyDescent="0.8">
      <c r="A55" s="1229" t="s">
        <v>7241</v>
      </c>
      <c r="B55" s="1118"/>
      <c r="C55" s="1122">
        <f>'Daily Cash Book'!X86</f>
        <v>1079950</v>
      </c>
      <c r="D55" s="1123"/>
    </row>
    <row r="56" spans="1:7" ht="27.75" thickBot="1" x14ac:dyDescent="0.8">
      <c r="A56" s="1229" t="s">
        <v>7242</v>
      </c>
      <c r="B56" s="1124"/>
      <c r="C56" s="1122">
        <f>'Daily Cash Book'!X89</f>
        <v>1055200</v>
      </c>
      <c r="D56" s="1126"/>
      <c r="F56" s="738" t="s">
        <v>73</v>
      </c>
      <c r="G56" s="750"/>
    </row>
    <row r="57" spans="1:7" ht="27.75" thickBot="1" x14ac:dyDescent="0.8">
      <c r="A57" s="1229" t="s">
        <v>7243</v>
      </c>
      <c r="B57" s="1124"/>
      <c r="C57" s="1122">
        <f>'Daily Cash Book'!X97</f>
        <v>34000</v>
      </c>
      <c r="D57" s="1126"/>
    </row>
    <row r="58" spans="1:7" ht="27.75" thickBot="1" x14ac:dyDescent="0.8">
      <c r="A58" s="1229" t="s">
        <v>7244</v>
      </c>
      <c r="B58" s="1118">
        <f>'Daily Cash Book'!W96</f>
        <v>0</v>
      </c>
      <c r="C58" s="1135">
        <f>'Daily Cash Book'!X96</f>
        <v>0</v>
      </c>
      <c r="D58" s="1123"/>
    </row>
    <row r="59" spans="1:7" ht="27.75" thickBot="1" x14ac:dyDescent="0.8">
      <c r="A59" s="1229" t="s">
        <v>7245</v>
      </c>
      <c r="B59" s="1124"/>
      <c r="C59" s="1135">
        <f>'Daily Cash Book'!X102</f>
        <v>746200</v>
      </c>
      <c r="D59" s="1126"/>
      <c r="F59" s="752"/>
    </row>
    <row r="60" spans="1:7" ht="27.75" thickBot="1" x14ac:dyDescent="0.8">
      <c r="A60" s="1229" t="s">
        <v>7246</v>
      </c>
      <c r="B60" s="1128"/>
      <c r="C60" s="1135">
        <f>'Daily Cash Book'!X93</f>
        <v>515000</v>
      </c>
      <c r="D60" s="1130"/>
    </row>
    <row r="61" spans="1:7" ht="27.75" thickBot="1" x14ac:dyDescent="0.8">
      <c r="A61" s="1229" t="s">
        <v>7247</v>
      </c>
      <c r="B61" s="1131"/>
      <c r="C61" s="1132">
        <f>'Daily Cash Book'!X8</f>
        <v>29423000</v>
      </c>
      <c r="D61" s="1133"/>
    </row>
    <row r="62" spans="1:7" ht="27.75" thickBot="1" x14ac:dyDescent="0.8">
      <c r="A62" s="1227" t="s">
        <v>4</v>
      </c>
      <c r="B62" s="1134">
        <f>SUM(B43:B61)</f>
        <v>85592900</v>
      </c>
      <c r="C62" s="1135">
        <f>SUM(C51:C61)</f>
        <v>35201700</v>
      </c>
      <c r="D62" s="1144">
        <f>B62-C62</f>
        <v>50391200</v>
      </c>
      <c r="F62" s="753"/>
    </row>
    <row r="63" spans="1:7" ht="27.75" thickBot="1" x14ac:dyDescent="0.8">
      <c r="A63" s="1227"/>
      <c r="B63" s="1134"/>
      <c r="C63" s="1135"/>
      <c r="D63" s="1144"/>
    </row>
    <row r="64" spans="1:7" ht="27.75" thickBot="1" x14ac:dyDescent="0.8">
      <c r="A64" s="1228" t="s">
        <v>7248</v>
      </c>
      <c r="B64" s="1134"/>
      <c r="C64" s="1135"/>
      <c r="D64" s="1144"/>
    </row>
    <row r="65" spans="1:6" ht="27.75" thickBot="1" x14ac:dyDescent="0.8">
      <c r="A65" s="1229" t="s">
        <v>7249</v>
      </c>
      <c r="B65" s="1131"/>
      <c r="C65" s="1132"/>
      <c r="D65" s="1133"/>
    </row>
    <row r="66" spans="1:6" ht="27.75" thickBot="1" x14ac:dyDescent="0.8">
      <c r="A66" s="1227"/>
      <c r="B66" s="1124">
        <f>SUM(B65)</f>
        <v>0</v>
      </c>
      <c r="C66" s="1125"/>
      <c r="D66" s="1126">
        <f>B66-C66</f>
        <v>0</v>
      </c>
    </row>
    <row r="67" spans="1:6" ht="27.75" thickBot="1" x14ac:dyDescent="0.8">
      <c r="A67" s="1228" t="s">
        <v>7250</v>
      </c>
      <c r="B67" s="1118"/>
      <c r="C67" s="1122"/>
      <c r="D67" s="1123"/>
    </row>
    <row r="68" spans="1:6" ht="27.75" thickBot="1" x14ac:dyDescent="0.8">
      <c r="A68" s="1227"/>
      <c r="B68" s="1124"/>
      <c r="C68" s="1125"/>
      <c r="D68" s="1126"/>
      <c r="F68" s="754"/>
    </row>
    <row r="69" spans="1:6" ht="27.75" thickBot="1" x14ac:dyDescent="0.8">
      <c r="A69" s="1229" t="s">
        <v>7251</v>
      </c>
      <c r="B69" s="1118">
        <f>'Daily Cash Book'!W82</f>
        <v>0</v>
      </c>
      <c r="C69" s="1122"/>
      <c r="D69" s="1123"/>
      <c r="F69" s="741"/>
    </row>
    <row r="70" spans="1:6" ht="27.75" thickBot="1" x14ac:dyDescent="0.8">
      <c r="A70" s="1229" t="s">
        <v>7252</v>
      </c>
      <c r="B70" s="1124"/>
      <c r="C70" s="1125">
        <f>'Daily Cash Book'!X101</f>
        <v>0</v>
      </c>
      <c r="D70" s="1126"/>
    </row>
    <row r="71" spans="1:6" ht="27.75" thickBot="1" x14ac:dyDescent="0.8">
      <c r="A71" s="1229" t="s">
        <v>7253</v>
      </c>
      <c r="B71" s="1118"/>
      <c r="C71" s="1122">
        <f>'Daily Cash Book'!X103</f>
        <v>0</v>
      </c>
      <c r="D71" s="1123"/>
    </row>
    <row r="72" spans="1:6" ht="27.75" thickBot="1" x14ac:dyDescent="0.8">
      <c r="A72" s="1229" t="s">
        <v>7254</v>
      </c>
      <c r="B72" s="1124">
        <f>'Daily Cash Book'!W83</f>
        <v>0</v>
      </c>
      <c r="C72" s="1125"/>
      <c r="D72" s="1126"/>
    </row>
    <row r="73" spans="1:6" ht="27.75" thickBot="1" x14ac:dyDescent="0.8">
      <c r="A73" s="1229" t="s">
        <v>7255</v>
      </c>
      <c r="B73" s="1152">
        <f>'Daily Cash Book'!W77</f>
        <v>0</v>
      </c>
      <c r="C73" s="1153"/>
      <c r="D73" s="1154"/>
    </row>
    <row r="74" spans="1:6" ht="27.75" thickBot="1" x14ac:dyDescent="0.8">
      <c r="A74" s="1229" t="s">
        <v>7256</v>
      </c>
      <c r="B74" s="1152"/>
      <c r="C74" s="1153">
        <f>'Daily Cash Book'!X7</f>
        <v>0</v>
      </c>
      <c r="D74" s="1154"/>
    </row>
    <row r="75" spans="1:6" ht="27.75" thickBot="1" x14ac:dyDescent="0.8">
      <c r="A75" s="1229" t="s">
        <v>7257</v>
      </c>
      <c r="B75" s="1131"/>
      <c r="C75" s="1132">
        <f>'Daily Cash Book'!X6</f>
        <v>0</v>
      </c>
      <c r="D75" s="1133"/>
      <c r="F75" s="749"/>
    </row>
    <row r="76" spans="1:6" ht="27.75" thickBot="1" x14ac:dyDescent="0.8">
      <c r="A76" s="1227" t="s">
        <v>4</v>
      </c>
      <c r="B76" s="1152">
        <f>SUM(B69:B75)</f>
        <v>0</v>
      </c>
      <c r="C76" s="1125">
        <f>SUM(C69:C75)</f>
        <v>0</v>
      </c>
      <c r="D76" s="1123">
        <f>B76-C76</f>
        <v>0</v>
      </c>
    </row>
    <row r="77" spans="1:6" ht="27.75" thickBot="1" x14ac:dyDescent="0.8">
      <c r="A77" s="1227"/>
      <c r="B77" s="1152"/>
      <c r="C77" s="1125"/>
      <c r="D77" s="1123"/>
      <c r="E77" s="751"/>
      <c r="F77" s="755"/>
    </row>
    <row r="78" spans="1:6" ht="27.75" thickBot="1" x14ac:dyDescent="0.8">
      <c r="A78" s="1162" t="s">
        <v>7258</v>
      </c>
      <c r="B78" s="1131"/>
      <c r="C78" s="1155">
        <f>'Daily Cash Book'!X111</f>
        <v>0</v>
      </c>
      <c r="D78" s="1133"/>
      <c r="E78" s="751"/>
      <c r="F78" s="756"/>
    </row>
    <row r="79" spans="1:6" ht="27.75" thickBot="1" x14ac:dyDescent="0.8">
      <c r="A79" s="1227" t="s">
        <v>4</v>
      </c>
      <c r="B79" s="1134">
        <f>B78</f>
        <v>0</v>
      </c>
      <c r="C79" s="1135">
        <f>C78</f>
        <v>0</v>
      </c>
      <c r="D79" s="1123">
        <f>B79-C79</f>
        <v>0</v>
      </c>
      <c r="F79" s="757"/>
    </row>
    <row r="80" spans="1:6" ht="27.75" thickBot="1" x14ac:dyDescent="0.8">
      <c r="A80" s="1227"/>
      <c r="B80" s="1138"/>
      <c r="C80" s="1139"/>
      <c r="D80" s="1123"/>
    </row>
    <row r="81" spans="1:6" ht="27.75" thickBot="1" x14ac:dyDescent="0.8">
      <c r="A81" s="1227" t="s">
        <v>7259</v>
      </c>
      <c r="B81" s="1131"/>
      <c r="C81" s="1132">
        <f>'Daily Cash Book'!X17</f>
        <v>137950</v>
      </c>
      <c r="D81" s="1133"/>
      <c r="F81" s="759"/>
    </row>
    <row r="82" spans="1:6" ht="27.75" thickBot="1" x14ac:dyDescent="0.8">
      <c r="A82" s="1227"/>
      <c r="B82" s="1134"/>
      <c r="C82" s="1122">
        <f>C81</f>
        <v>137950</v>
      </c>
      <c r="D82" s="1156">
        <f>B82-C82</f>
        <v>-137950</v>
      </c>
    </row>
    <row r="83" spans="1:6" ht="27.75" thickBot="1" x14ac:dyDescent="0.8">
      <c r="A83" s="1228" t="s">
        <v>2308</v>
      </c>
      <c r="B83" s="1124">
        <v>0</v>
      </c>
      <c r="C83" s="1125"/>
      <c r="D83" s="1126"/>
    </row>
    <row r="84" spans="1:6" ht="27.75" thickBot="1" x14ac:dyDescent="0.8">
      <c r="A84" s="1229" t="s">
        <v>7260</v>
      </c>
      <c r="B84" s="1124"/>
      <c r="C84" s="1125"/>
      <c r="D84" s="1126"/>
      <c r="F84" s="1250" t="s">
        <v>7268</v>
      </c>
    </row>
    <row r="85" spans="1:6" ht="27.75" thickBot="1" x14ac:dyDescent="0.8">
      <c r="A85" s="1229" t="s">
        <v>7261</v>
      </c>
      <c r="B85" s="1118">
        <f>'Daily Cash Book'!W108</f>
        <v>1715700</v>
      </c>
      <c r="C85" s="1122"/>
      <c r="D85" s="1123"/>
    </row>
    <row r="86" spans="1:6" ht="27.75" thickBot="1" x14ac:dyDescent="0.8">
      <c r="A86" s="1229" t="s">
        <v>8496</v>
      </c>
      <c r="B86" s="1118">
        <f>'Daily Cash Book'!W107</f>
        <v>85000</v>
      </c>
      <c r="C86" s="1122">
        <f>'Daily Cash Book'!X107</f>
        <v>80000</v>
      </c>
      <c r="D86" s="1123"/>
    </row>
    <row r="87" spans="1:6" ht="27.75" thickBot="1" x14ac:dyDescent="0.8">
      <c r="A87" s="1229" t="s">
        <v>7262</v>
      </c>
      <c r="B87" s="1118">
        <f>'Daily Cash Book'!W70</f>
        <v>0</v>
      </c>
      <c r="C87" s="1122"/>
      <c r="D87" s="1123"/>
    </row>
    <row r="88" spans="1:6" ht="27.75" thickBot="1" x14ac:dyDescent="0.8">
      <c r="A88" s="1229" t="s">
        <v>7263</v>
      </c>
      <c r="B88" s="1118"/>
      <c r="C88" s="1127">
        <f>'Daily Cash Book'!X72</f>
        <v>1822350</v>
      </c>
      <c r="D88" s="1123"/>
    </row>
    <row r="89" spans="1:6" ht="27.75" thickBot="1" x14ac:dyDescent="0.8">
      <c r="A89" s="1229" t="s">
        <v>7264</v>
      </c>
      <c r="B89" s="1124"/>
      <c r="C89" s="1157">
        <f>'Daily Cash Book'!X109</f>
        <v>326250</v>
      </c>
      <c r="D89" s="1126"/>
    </row>
    <row r="90" spans="1:6" ht="27.75" thickBot="1" x14ac:dyDescent="0.8">
      <c r="A90" s="1229" t="s">
        <v>7265</v>
      </c>
      <c r="B90" s="1131"/>
      <c r="C90" s="1137">
        <f>'Daily Cash Book'!X16</f>
        <v>63000</v>
      </c>
      <c r="D90" s="1133"/>
    </row>
    <row r="91" spans="1:6" ht="27.75" thickBot="1" x14ac:dyDescent="0.8">
      <c r="A91" s="1227" t="s">
        <v>4</v>
      </c>
      <c r="B91" s="1134">
        <f>SUM(B83:B89)</f>
        <v>1800700</v>
      </c>
      <c r="C91" s="1122">
        <f>SUM(C86:C90)</f>
        <v>2291600</v>
      </c>
      <c r="D91" s="1156">
        <f>B91-C91</f>
        <v>-490900</v>
      </c>
    </row>
    <row r="92" spans="1:6" ht="27.75" thickBot="1" x14ac:dyDescent="0.8">
      <c r="A92" s="1227"/>
      <c r="B92" s="1134"/>
      <c r="C92" s="1122"/>
      <c r="D92" s="1144"/>
    </row>
    <row r="93" spans="1:6" ht="27.75" thickBot="1" x14ac:dyDescent="0.8">
      <c r="A93" s="1227" t="s">
        <v>7208</v>
      </c>
      <c r="B93" s="1124"/>
      <c r="C93" s="1125"/>
      <c r="D93" s="1126"/>
    </row>
    <row r="94" spans="1:6" ht="27.75" thickBot="1" x14ac:dyDescent="0.8">
      <c r="A94" s="1227"/>
      <c r="B94" s="1118"/>
      <c r="C94" s="1122"/>
      <c r="D94" s="1123"/>
    </row>
    <row r="95" spans="1:6" ht="27.75" thickBot="1" x14ac:dyDescent="0.8">
      <c r="A95" s="1229" t="s">
        <v>7209</v>
      </c>
      <c r="B95" s="1131">
        <f>'Daily Cash Book'!W85</f>
        <v>587800</v>
      </c>
      <c r="C95" s="1132"/>
      <c r="D95" s="1133"/>
    </row>
    <row r="96" spans="1:6" ht="27.75" thickBot="1" x14ac:dyDescent="0.8">
      <c r="A96" s="1227" t="s">
        <v>4</v>
      </c>
      <c r="B96" s="1134">
        <f>B95</f>
        <v>587800</v>
      </c>
      <c r="C96" s="1135"/>
      <c r="D96" s="1144">
        <f>B96-C96</f>
        <v>587800</v>
      </c>
    </row>
    <row r="97" spans="1:5" ht="27.75" thickBot="1" x14ac:dyDescent="0.8">
      <c r="A97" s="1227"/>
      <c r="B97" s="1134"/>
      <c r="C97" s="1135"/>
      <c r="D97" s="1144"/>
    </row>
    <row r="98" spans="1:5" ht="27.75" thickBot="1" x14ac:dyDescent="0.8">
      <c r="A98" s="1228" t="s">
        <v>3204</v>
      </c>
      <c r="B98" s="1124"/>
      <c r="C98" s="1125"/>
      <c r="D98" s="1126"/>
    </row>
    <row r="99" spans="1:5" ht="27.75" thickBot="1" x14ac:dyDescent="0.8">
      <c r="A99" s="1227" t="s">
        <v>3203</v>
      </c>
      <c r="B99" s="1152">
        <f>'Daily Cash Book'!W110</f>
        <v>0</v>
      </c>
      <c r="C99" s="1153"/>
      <c r="D99" s="1154"/>
    </row>
    <row r="100" spans="1:5" ht="27.75" thickBot="1" x14ac:dyDescent="0.8">
      <c r="A100" s="1227" t="s">
        <v>2390</v>
      </c>
      <c r="B100" s="1131"/>
      <c r="C100" s="1132">
        <f>'Daily Cash Book'!X110</f>
        <v>401550</v>
      </c>
      <c r="D100" s="1133"/>
    </row>
    <row r="101" spans="1:5" ht="27.75" thickBot="1" x14ac:dyDescent="0.8">
      <c r="A101" s="1227"/>
      <c r="B101" s="1124">
        <f>SUM(B99:B100)</f>
        <v>0</v>
      </c>
      <c r="C101" s="1125">
        <f>SUM(C100)</f>
        <v>401550</v>
      </c>
      <c r="D101" s="1158">
        <f>B101-C101</f>
        <v>-401550</v>
      </c>
    </row>
    <row r="102" spans="1:5" ht="27.75" thickBot="1" x14ac:dyDescent="0.8">
      <c r="A102" s="1231"/>
      <c r="B102" s="1118"/>
      <c r="C102" s="1122"/>
      <c r="D102" s="1130"/>
      <c r="E102" s="758"/>
    </row>
    <row r="103" spans="1:5" ht="27.75" thickBot="1" x14ac:dyDescent="0.8">
      <c r="A103" s="1227" t="s">
        <v>2361</v>
      </c>
      <c r="B103" s="1124"/>
      <c r="C103" s="1125"/>
      <c r="D103" s="1159">
        <f>SUM(D4:D101)</f>
        <v>10563711</v>
      </c>
      <c r="E103" s="760"/>
    </row>
    <row r="104" spans="1:5" ht="27.75" thickBot="1" x14ac:dyDescent="0.8">
      <c r="A104" s="1116"/>
      <c r="B104" s="1118"/>
      <c r="C104" s="1125"/>
      <c r="D104" s="1144"/>
      <c r="E104" s="738"/>
    </row>
    <row r="105" spans="1:5" ht="27.75" thickBot="1" x14ac:dyDescent="0.8">
      <c r="A105" s="1117" t="s">
        <v>8192</v>
      </c>
      <c r="B105" s="1118"/>
      <c r="C105" s="1125"/>
      <c r="D105" s="1126">
        <f>ABS(D91)</f>
        <v>490900</v>
      </c>
    </row>
    <row r="106" spans="1:5" ht="27.75" thickBot="1" x14ac:dyDescent="0.8">
      <c r="A106" s="1117" t="s">
        <v>7266</v>
      </c>
      <c r="B106" s="1118"/>
      <c r="C106" s="1125"/>
      <c r="D106" s="1154">
        <f>ABS(D101)</f>
        <v>401550</v>
      </c>
    </row>
    <row r="107" spans="1:5" ht="27.75" thickBot="1" x14ac:dyDescent="0.8">
      <c r="A107" s="1117" t="s">
        <v>7267</v>
      </c>
      <c r="B107" s="1118"/>
      <c r="C107" s="1125"/>
      <c r="D107" s="1154">
        <f>ABS(D82)</f>
        <v>137950</v>
      </c>
    </row>
    <row r="108" spans="1:5" ht="27.75" thickBot="1" x14ac:dyDescent="0.8">
      <c r="A108" s="1118"/>
      <c r="B108" s="1118"/>
      <c r="C108" s="1125"/>
      <c r="D108" s="1154"/>
      <c r="E108" s="751"/>
    </row>
    <row r="109" spans="1:5" ht="27.75" thickBot="1" x14ac:dyDescent="0.8">
      <c r="A109" s="1227" t="s">
        <v>7291</v>
      </c>
      <c r="B109" s="1232"/>
      <c r="C109" s="1160"/>
      <c r="D109" s="1161">
        <f>SUM(D103:D108)</f>
        <v>11594111</v>
      </c>
      <c r="E109" s="751"/>
    </row>
    <row r="110" spans="1:5" ht="27" x14ac:dyDescent="0.75">
      <c r="A110" s="1119"/>
      <c r="B110" s="1316"/>
      <c r="C110" s="1316"/>
      <c r="D110" s="752"/>
      <c r="E110" s="751"/>
    </row>
    <row r="111" spans="1:5" x14ac:dyDescent="0.6">
      <c r="A111" s="752"/>
      <c r="B111" s="752"/>
      <c r="C111" s="752"/>
      <c r="D111" s="752"/>
    </row>
    <row r="112" spans="1:5" x14ac:dyDescent="0.6">
      <c r="A112" s="752"/>
      <c r="B112" s="752"/>
      <c r="C112" s="752"/>
      <c r="D112" s="752"/>
    </row>
    <row r="113" spans="1:4" x14ac:dyDescent="0.6">
      <c r="A113" s="752"/>
      <c r="B113" s="752"/>
      <c r="C113" s="752"/>
      <c r="D113" s="762"/>
    </row>
    <row r="114" spans="1:4" x14ac:dyDescent="0.6">
      <c r="A114" s="752"/>
      <c r="B114" s="752"/>
      <c r="C114" s="752"/>
      <c r="D114" s="762"/>
    </row>
    <row r="115" spans="1:4" x14ac:dyDescent="0.6">
      <c r="A115" s="738"/>
    </row>
    <row r="116" spans="1:4" x14ac:dyDescent="0.6">
      <c r="A116" s="738"/>
    </row>
    <row r="117" spans="1:4" x14ac:dyDescent="0.6">
      <c r="A117" s="738"/>
    </row>
    <row r="118" spans="1:4" x14ac:dyDescent="0.6">
      <c r="A118" s="738"/>
    </row>
    <row r="119" spans="1:4" x14ac:dyDescent="0.6">
      <c r="A119" s="738"/>
    </row>
    <row r="120" spans="1:4" x14ac:dyDescent="0.6">
      <c r="A120" s="738"/>
    </row>
    <row r="121" spans="1:4" x14ac:dyDescent="0.6">
      <c r="A121" s="738"/>
    </row>
  </sheetData>
  <mergeCells count="3">
    <mergeCell ref="A1:B1"/>
    <mergeCell ref="A2:D2"/>
    <mergeCell ref="B110:C110"/>
  </mergeCells>
  <pageMargins left="0.17" right="0.25" top="0.51" bottom="0.12" header="0.38" footer="0.12"/>
  <pageSetup paperSize="9" scale="52" fitToHeight="4" orientation="portrait" r:id="rId1"/>
  <rowBreaks count="1" manualBreakCount="1">
    <brk id="57" max="4" man="1"/>
  </rowBreaks>
  <ignoredErrors>
    <ignoredError sqref="C81" formula="1"/>
  </ignoredErrors>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tabColor theme="5" tint="-0.249977111117893"/>
  </sheetPr>
  <dimension ref="A1:D14"/>
  <sheetViews>
    <sheetView workbookViewId="0">
      <selection activeCell="B5" sqref="B5"/>
    </sheetView>
  </sheetViews>
  <sheetFormatPr defaultColWidth="9.28515625" defaultRowHeight="21.75" x14ac:dyDescent="0.55000000000000004"/>
  <cols>
    <col min="1" max="1" width="49.28515625" style="592" bestFit="1" customWidth="1"/>
    <col min="2" max="2" width="14.7109375" style="592" customWidth="1"/>
    <col min="3" max="3" width="17.7109375" style="592" bestFit="1" customWidth="1"/>
    <col min="4" max="4" width="16.7109375" style="592" bestFit="1" customWidth="1"/>
    <col min="5" max="16384" width="9.28515625" style="592"/>
  </cols>
  <sheetData>
    <row r="1" spans="1:4" ht="23.25" thickBot="1" x14ac:dyDescent="0.6">
      <c r="A1" s="1317" t="s">
        <v>9075</v>
      </c>
      <c r="B1" s="1317"/>
      <c r="C1" s="525">
        <f ca="1">TODAY()</f>
        <v>44711</v>
      </c>
      <c r="D1" s="526"/>
    </row>
    <row r="2" spans="1:4" ht="23.25" thickBot="1" x14ac:dyDescent="0.6">
      <c r="A2" s="1317"/>
      <c r="B2" s="1317"/>
      <c r="C2" s="1317"/>
      <c r="D2" s="1317"/>
    </row>
    <row r="3" spans="1:4" ht="23.25" thickBot="1" x14ac:dyDescent="0.6">
      <c r="A3" s="519"/>
      <c r="B3" s="528" t="s">
        <v>3085</v>
      </c>
      <c r="C3" s="529" t="s">
        <v>3084</v>
      </c>
      <c r="D3" s="529" t="s">
        <v>1366</v>
      </c>
    </row>
    <row r="4" spans="1:4" ht="23.25" thickBot="1" x14ac:dyDescent="0.6">
      <c r="A4" s="520"/>
      <c r="B4" s="768"/>
      <c r="C4" s="475"/>
      <c r="D4" s="769"/>
    </row>
    <row r="5" spans="1:4" ht="23.25" thickBot="1" x14ac:dyDescent="0.6">
      <c r="A5" s="521"/>
      <c r="B5" s="603"/>
      <c r="C5" s="472"/>
      <c r="D5" s="770"/>
    </row>
    <row r="6" spans="1:4" ht="23.25" thickBot="1" x14ac:dyDescent="0.6">
      <c r="A6" s="520" t="s">
        <v>8877</v>
      </c>
      <c r="B6" s="603"/>
      <c r="C6" s="472">
        <v>708150</v>
      </c>
      <c r="D6" s="771"/>
    </row>
    <row r="7" spans="1:4" ht="23.25" thickBot="1" x14ac:dyDescent="0.6">
      <c r="A7" s="520" t="s">
        <v>7295</v>
      </c>
      <c r="B7" s="768">
        <f>'Daily Cash Book'!W50</f>
        <v>462500</v>
      </c>
      <c r="C7" s="475"/>
      <c r="D7" s="769"/>
    </row>
    <row r="8" spans="1:4" ht="23.25" thickBot="1" x14ac:dyDescent="0.6">
      <c r="A8" s="520" t="s">
        <v>7294</v>
      </c>
      <c r="B8" s="603">
        <f>'Daily Cash Book'!W46</f>
        <v>123750</v>
      </c>
      <c r="C8" s="472"/>
      <c r="D8" s="770"/>
    </row>
    <row r="9" spans="1:4" ht="23.25" thickBot="1" x14ac:dyDescent="0.6">
      <c r="A9" s="520" t="s">
        <v>7293</v>
      </c>
      <c r="B9" s="768">
        <f>'Daily Cash Book'!W45</f>
        <v>0</v>
      </c>
      <c r="C9" s="475"/>
      <c r="D9" s="769"/>
    </row>
    <row r="10" spans="1:4" ht="22.5" thickBot="1" x14ac:dyDescent="0.6">
      <c r="A10" s="522" t="s">
        <v>3083</v>
      </c>
      <c r="B10" s="772"/>
      <c r="C10" s="527">
        <f>'Daily Cash Book'!X102</f>
        <v>746200</v>
      </c>
      <c r="D10" s="773"/>
    </row>
    <row r="11" spans="1:4" ht="22.5" thickBot="1" x14ac:dyDescent="0.6">
      <c r="A11" s="523" t="s">
        <v>4</v>
      </c>
      <c r="B11" s="774">
        <f>SUM(B7:B10)</f>
        <v>586250</v>
      </c>
      <c r="C11" s="479">
        <f>SUM(C6:C10)</f>
        <v>1454350</v>
      </c>
      <c r="D11" s="771">
        <f>B11-C11</f>
        <v>-868100</v>
      </c>
    </row>
    <row r="12" spans="1:4" ht="23.25" thickBot="1" x14ac:dyDescent="0.6">
      <c r="A12" s="519"/>
      <c r="B12" s="768"/>
      <c r="C12" s="475"/>
      <c r="D12" s="775"/>
    </row>
    <row r="13" spans="1:4" ht="23.25" thickBot="1" x14ac:dyDescent="0.6">
      <c r="A13" s="524" t="s">
        <v>6102</v>
      </c>
      <c r="B13" s="603"/>
      <c r="C13" s="472"/>
      <c r="D13" s="649">
        <f>SUM(D4:D12)</f>
        <v>-868100</v>
      </c>
    </row>
    <row r="14" spans="1:4" ht="22.5" thickBot="1" x14ac:dyDescent="0.6">
      <c r="A14" s="522"/>
      <c r="B14" s="603"/>
      <c r="C14" s="472"/>
      <c r="D14" s="776"/>
    </row>
  </sheetData>
  <mergeCells count="2">
    <mergeCell ref="A1:B1"/>
    <mergeCell ref="A2:D2"/>
  </mergeCells>
  <pageMargins left="0.36" right="0.12" top="0.75" bottom="0.28000000000000003" header="0.3" footer="0.3"/>
  <pageSetup paperSize="9" orientation="portrait"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tabColor theme="6" tint="-0.499984740745262"/>
  </sheetPr>
  <dimension ref="A1:H67"/>
  <sheetViews>
    <sheetView topLeftCell="A60" zoomScaleNormal="100" workbookViewId="0">
      <selection activeCell="A66" sqref="A66"/>
    </sheetView>
  </sheetViews>
  <sheetFormatPr defaultColWidth="9.28515625" defaultRowHeight="21.75" x14ac:dyDescent="0.55000000000000004"/>
  <cols>
    <col min="1" max="1" width="49.28515625" style="23" bestFit="1" customWidth="1"/>
    <col min="2" max="2" width="14.7109375" style="23" customWidth="1"/>
    <col min="3" max="3" width="17.7109375" style="23" customWidth="1"/>
    <col min="4" max="4" width="21.140625" style="23" customWidth="1"/>
    <col min="5" max="16384" width="9.28515625" style="23"/>
  </cols>
  <sheetData>
    <row r="1" spans="1:8" ht="23.25" thickBot="1" x14ac:dyDescent="0.6">
      <c r="A1" s="1318" t="s">
        <v>3088</v>
      </c>
      <c r="B1" s="1318"/>
      <c r="C1" s="497">
        <f ca="1">TODAY()</f>
        <v>44711</v>
      </c>
      <c r="D1" s="498"/>
    </row>
    <row r="2" spans="1:8" ht="23.25" thickBot="1" x14ac:dyDescent="0.6">
      <c r="A2" s="1318"/>
      <c r="B2" s="1318"/>
      <c r="C2" s="1318"/>
      <c r="D2" s="1318"/>
    </row>
    <row r="3" spans="1:8" ht="23.25" thickBot="1" x14ac:dyDescent="0.6">
      <c r="A3" s="499"/>
      <c r="B3" s="471" t="s">
        <v>1364</v>
      </c>
      <c r="C3" s="472" t="s">
        <v>1365</v>
      </c>
      <c r="D3" s="473" t="s">
        <v>1366</v>
      </c>
    </row>
    <row r="4" spans="1:8" ht="23.25" thickBot="1" x14ac:dyDescent="0.6">
      <c r="A4" s="499"/>
      <c r="B4" s="471"/>
      <c r="C4" s="472"/>
      <c r="D4" s="473"/>
    </row>
    <row r="5" spans="1:8" ht="23.25" thickBot="1" x14ac:dyDescent="0.6">
      <c r="A5" s="499"/>
      <c r="B5" s="474"/>
      <c r="C5" s="475"/>
      <c r="D5" s="476"/>
    </row>
    <row r="6" spans="1:8" ht="23.25" thickBot="1" x14ac:dyDescent="0.6">
      <c r="A6" s="500" t="s">
        <v>2911</v>
      </c>
      <c r="B6" s="474"/>
      <c r="C6" s="472"/>
      <c r="D6" s="473"/>
    </row>
    <row r="7" spans="1:8" ht="23.25" thickBot="1" x14ac:dyDescent="0.6">
      <c r="A7" s="501" t="s">
        <v>8877</v>
      </c>
      <c r="B7" s="474"/>
      <c r="C7" s="763">
        <v>5000</v>
      </c>
      <c r="D7" s="476"/>
    </row>
    <row r="8" spans="1:8" ht="23.25" thickBot="1" x14ac:dyDescent="0.6">
      <c r="A8" s="501" t="s">
        <v>2910</v>
      </c>
      <c r="B8" s="477">
        <f>'Daily Cash Book'!W18</f>
        <v>14400</v>
      </c>
      <c r="C8" s="488"/>
      <c r="D8" s="489"/>
    </row>
    <row r="9" spans="1:8" ht="22.5" thickBot="1" x14ac:dyDescent="0.6">
      <c r="A9" s="502" t="s">
        <v>2909</v>
      </c>
      <c r="B9" s="490"/>
      <c r="C9" s="491">
        <f>'Daily Cash Book'!X18</f>
        <v>9400</v>
      </c>
      <c r="D9" s="492"/>
    </row>
    <row r="10" spans="1:8" ht="22.5" thickBot="1" x14ac:dyDescent="0.6">
      <c r="A10" s="503" t="s">
        <v>4</v>
      </c>
      <c r="B10" s="483">
        <f>SUM(B8:B9)</f>
        <v>14400</v>
      </c>
      <c r="C10" s="484">
        <f>SUM(C7:C9)</f>
        <v>14400</v>
      </c>
      <c r="D10" s="764">
        <f>B10-C10</f>
        <v>0</v>
      </c>
    </row>
    <row r="11" spans="1:8" ht="22.5" thickBot="1" x14ac:dyDescent="0.6">
      <c r="A11" s="502"/>
      <c r="B11" s="474"/>
      <c r="C11" s="475"/>
      <c r="D11" s="476"/>
    </row>
    <row r="12" spans="1:8" ht="23.25" thickBot="1" x14ac:dyDescent="0.6">
      <c r="A12" s="500" t="s">
        <v>2912</v>
      </c>
      <c r="B12" s="474"/>
      <c r="C12" s="472"/>
      <c r="D12" s="473"/>
      <c r="H12" s="117"/>
    </row>
    <row r="13" spans="1:8" ht="23.25" thickBot="1" x14ac:dyDescent="0.6">
      <c r="A13" s="501" t="s">
        <v>8877</v>
      </c>
      <c r="B13" s="474"/>
      <c r="C13" s="765">
        <v>0</v>
      </c>
      <c r="D13" s="480"/>
    </row>
    <row r="14" spans="1:8" ht="23.25" thickBot="1" x14ac:dyDescent="0.6">
      <c r="A14" s="501" t="s">
        <v>2910</v>
      </c>
      <c r="B14" s="477">
        <f>'Daily Cash Book'!W19</f>
        <v>0</v>
      </c>
      <c r="C14" s="482"/>
      <c r="D14" s="493"/>
    </row>
    <row r="15" spans="1:8" ht="22.5" thickBot="1" x14ac:dyDescent="0.6">
      <c r="A15" s="502" t="s">
        <v>2909</v>
      </c>
      <c r="B15" s="490"/>
      <c r="C15" s="491">
        <f>'Daily Cash Book'!X19</f>
        <v>0</v>
      </c>
      <c r="D15" s="492"/>
    </row>
    <row r="16" spans="1:8" ht="22.5" thickBot="1" x14ac:dyDescent="0.6">
      <c r="A16" s="503" t="s">
        <v>4</v>
      </c>
      <c r="B16" s="483">
        <f>SUM(B14:B15)</f>
        <v>0</v>
      </c>
      <c r="C16" s="484">
        <f>SUM(C13:C15)</f>
        <v>0</v>
      </c>
      <c r="D16" s="764">
        <f>B16-C16</f>
        <v>0</v>
      </c>
    </row>
    <row r="17" spans="1:4" ht="22.5" thickBot="1" x14ac:dyDescent="0.6">
      <c r="A17" s="502"/>
      <c r="B17" s="471"/>
      <c r="C17" s="472"/>
      <c r="D17" s="473"/>
    </row>
    <row r="18" spans="1:4" ht="23.25" thickBot="1" x14ac:dyDescent="0.6">
      <c r="A18" s="500" t="s">
        <v>2913</v>
      </c>
      <c r="B18" s="471"/>
      <c r="C18" s="472"/>
      <c r="D18" s="473"/>
    </row>
    <row r="19" spans="1:4" ht="23.25" thickBot="1" x14ac:dyDescent="0.6">
      <c r="A19" s="501" t="s">
        <v>8877</v>
      </c>
      <c r="B19" s="471"/>
      <c r="C19" s="763">
        <v>4000</v>
      </c>
      <c r="D19" s="480"/>
    </row>
    <row r="20" spans="1:4" ht="23.25" thickBot="1" x14ac:dyDescent="0.6">
      <c r="A20" s="501" t="s">
        <v>2910</v>
      </c>
      <c r="B20" s="481">
        <f>'Daily Cash Book'!W20</f>
        <v>0</v>
      </c>
      <c r="C20" s="482"/>
      <c r="D20" s="493"/>
    </row>
    <row r="21" spans="1:4" ht="22.5" thickBot="1" x14ac:dyDescent="0.6">
      <c r="A21" s="502" t="s">
        <v>2909</v>
      </c>
      <c r="B21" s="490"/>
      <c r="C21" s="491">
        <f>'Daily Cash Book'!X20</f>
        <v>0</v>
      </c>
      <c r="D21" s="492"/>
    </row>
    <row r="22" spans="1:4" ht="22.5" thickBot="1" x14ac:dyDescent="0.6">
      <c r="A22" s="503" t="s">
        <v>4</v>
      </c>
      <c r="B22" s="478">
        <f>SUM(B20:B21)</f>
        <v>0</v>
      </c>
      <c r="C22" s="484">
        <f>SUM(C19:C21)</f>
        <v>4000</v>
      </c>
      <c r="D22" s="766">
        <f>B22-C22</f>
        <v>-4000</v>
      </c>
    </row>
    <row r="23" spans="1:4" ht="23.25" thickBot="1" x14ac:dyDescent="0.6">
      <c r="A23" s="499"/>
      <c r="B23" s="474"/>
      <c r="C23" s="475"/>
      <c r="D23" s="476"/>
    </row>
    <row r="24" spans="1:4" ht="23.25" thickBot="1" x14ac:dyDescent="0.6">
      <c r="A24" s="500" t="s">
        <v>2981</v>
      </c>
      <c r="B24" s="471"/>
      <c r="C24" s="472"/>
      <c r="D24" s="473"/>
    </row>
    <row r="25" spans="1:4" ht="23.25" thickBot="1" x14ac:dyDescent="0.6">
      <c r="A25" s="501" t="s">
        <v>8877</v>
      </c>
      <c r="B25" s="471"/>
      <c r="C25" s="763">
        <v>54600</v>
      </c>
      <c r="D25" s="480"/>
    </row>
    <row r="26" spans="1:4" ht="23.25" thickBot="1" x14ac:dyDescent="0.6">
      <c r="A26" s="501" t="s">
        <v>2910</v>
      </c>
      <c r="B26" s="481">
        <f>'Daily Cash Book'!W21</f>
        <v>0</v>
      </c>
      <c r="C26" s="482"/>
      <c r="D26" s="493"/>
    </row>
    <row r="27" spans="1:4" ht="22.5" thickBot="1" x14ac:dyDescent="0.6">
      <c r="A27" s="502" t="s">
        <v>2909</v>
      </c>
      <c r="B27" s="490"/>
      <c r="C27" s="491">
        <f>'Daily Cash Book'!X21</f>
        <v>9300</v>
      </c>
      <c r="D27" s="492"/>
    </row>
    <row r="28" spans="1:4" ht="22.5" thickBot="1" x14ac:dyDescent="0.6">
      <c r="A28" s="503" t="s">
        <v>4</v>
      </c>
      <c r="B28" s="478">
        <f>SUM(B25:B27)</f>
        <v>0</v>
      </c>
      <c r="C28" s="479">
        <f>SUM(C25:C27)</f>
        <v>63900</v>
      </c>
      <c r="D28" s="766">
        <f>B28-C28</f>
        <v>-63900</v>
      </c>
    </row>
    <row r="29" spans="1:4" ht="22.5" thickBot="1" x14ac:dyDescent="0.6">
      <c r="A29" s="502"/>
      <c r="B29" s="471"/>
      <c r="C29" s="472"/>
      <c r="D29" s="473"/>
    </row>
    <row r="30" spans="1:4" ht="23.25" thickBot="1" x14ac:dyDescent="0.6">
      <c r="A30" s="500" t="s">
        <v>2914</v>
      </c>
      <c r="B30" s="471"/>
      <c r="C30" s="472"/>
      <c r="D30" s="473"/>
    </row>
    <row r="31" spans="1:4" ht="23.25" thickBot="1" x14ac:dyDescent="0.6">
      <c r="A31" s="501" t="s">
        <v>8877</v>
      </c>
      <c r="B31" s="471"/>
      <c r="C31" s="763">
        <v>50900</v>
      </c>
      <c r="D31" s="480"/>
    </row>
    <row r="32" spans="1:4" ht="23.25" thickBot="1" x14ac:dyDescent="0.6">
      <c r="A32" s="501" t="s">
        <v>2910</v>
      </c>
      <c r="B32" s="481">
        <f>'Daily Cash Book'!W22</f>
        <v>0</v>
      </c>
      <c r="C32" s="482"/>
      <c r="D32" s="493"/>
    </row>
    <row r="33" spans="1:4" ht="22.5" thickBot="1" x14ac:dyDescent="0.6">
      <c r="A33" s="502" t="s">
        <v>2909</v>
      </c>
      <c r="B33" s="490"/>
      <c r="C33" s="491">
        <f>'Daily Cash Book'!X22</f>
        <v>0</v>
      </c>
      <c r="D33" s="492"/>
    </row>
    <row r="34" spans="1:4" ht="22.5" thickBot="1" x14ac:dyDescent="0.6">
      <c r="A34" s="503" t="s">
        <v>4</v>
      </c>
      <c r="B34" s="478">
        <f>SUM(B32:B33)</f>
        <v>0</v>
      </c>
      <c r="C34" s="479">
        <f>SUM(C31:C33)</f>
        <v>50900</v>
      </c>
      <c r="D34" s="766">
        <f>B34-C34</f>
        <v>-50900</v>
      </c>
    </row>
    <row r="35" spans="1:4" ht="23.25" thickBot="1" x14ac:dyDescent="0.6">
      <c r="A35" s="499"/>
      <c r="B35" s="474"/>
      <c r="C35" s="475"/>
      <c r="D35" s="476"/>
    </row>
    <row r="36" spans="1:4" ht="23.25" thickBot="1" x14ac:dyDescent="0.6">
      <c r="A36" s="500" t="s">
        <v>2915</v>
      </c>
      <c r="B36" s="471"/>
      <c r="C36" s="472"/>
      <c r="D36" s="473"/>
    </row>
    <row r="37" spans="1:4" ht="23.25" thickBot="1" x14ac:dyDescent="0.6">
      <c r="A37" s="501" t="s">
        <v>8877</v>
      </c>
      <c r="B37" s="471"/>
      <c r="C37" s="763">
        <v>21700</v>
      </c>
      <c r="D37" s="480"/>
    </row>
    <row r="38" spans="1:4" ht="23.25" thickBot="1" x14ac:dyDescent="0.6">
      <c r="A38" s="501" t="s">
        <v>2910</v>
      </c>
      <c r="B38" s="481">
        <f>'Daily Cash Book'!W23</f>
        <v>0</v>
      </c>
      <c r="C38" s="482"/>
      <c r="D38" s="493"/>
    </row>
    <row r="39" spans="1:4" ht="22.5" thickBot="1" x14ac:dyDescent="0.6">
      <c r="A39" s="502" t="s">
        <v>2909</v>
      </c>
      <c r="B39" s="490"/>
      <c r="C39" s="491">
        <f>'Daily Cash Book'!X23</f>
        <v>0</v>
      </c>
      <c r="D39" s="492"/>
    </row>
    <row r="40" spans="1:4" ht="22.5" thickBot="1" x14ac:dyDescent="0.6">
      <c r="A40" s="503" t="s">
        <v>4</v>
      </c>
      <c r="B40" s="478">
        <f>SUM(B37:B39)</f>
        <v>0</v>
      </c>
      <c r="C40" s="479">
        <f>SUM(C37:C39)</f>
        <v>21700</v>
      </c>
      <c r="D40" s="766">
        <f>B40-C40</f>
        <v>-21700</v>
      </c>
    </row>
    <row r="41" spans="1:4" ht="23.25" thickBot="1" x14ac:dyDescent="0.6">
      <c r="A41" s="501"/>
      <c r="B41" s="474"/>
      <c r="C41" s="475"/>
      <c r="D41" s="476"/>
    </row>
    <row r="42" spans="1:4" ht="23.25" thickBot="1" x14ac:dyDescent="0.6">
      <c r="A42" s="500" t="s">
        <v>2916</v>
      </c>
      <c r="B42" s="471"/>
      <c r="C42" s="472"/>
      <c r="D42" s="473"/>
    </row>
    <row r="43" spans="1:4" ht="23.25" thickBot="1" x14ac:dyDescent="0.6">
      <c r="A43" s="501" t="s">
        <v>8877</v>
      </c>
      <c r="B43" s="471"/>
      <c r="C43" s="767">
        <v>22200</v>
      </c>
      <c r="D43" s="480"/>
    </row>
    <row r="44" spans="1:4" ht="23.25" thickBot="1" x14ac:dyDescent="0.6">
      <c r="A44" s="501" t="s">
        <v>2910</v>
      </c>
      <c r="B44" s="481">
        <f>'Daily Cash Book'!W24</f>
        <v>22200</v>
      </c>
      <c r="C44" s="482"/>
      <c r="D44" s="493"/>
    </row>
    <row r="45" spans="1:4" ht="22.5" thickBot="1" x14ac:dyDescent="0.6">
      <c r="A45" s="502" t="s">
        <v>2909</v>
      </c>
      <c r="B45" s="490"/>
      <c r="C45" s="491">
        <f>'Daily Cash Book'!X24</f>
        <v>37000</v>
      </c>
      <c r="D45" s="492"/>
    </row>
    <row r="46" spans="1:4" ht="22.5" thickBot="1" x14ac:dyDescent="0.6">
      <c r="A46" s="503" t="s">
        <v>4</v>
      </c>
      <c r="B46" s="478">
        <f>SUM(B44:B45)</f>
        <v>22200</v>
      </c>
      <c r="C46" s="479">
        <f>SUM(C43:C45)</f>
        <v>59200</v>
      </c>
      <c r="D46" s="766">
        <f>B46-C46</f>
        <v>-37000</v>
      </c>
    </row>
    <row r="47" spans="1:4" ht="22.5" thickBot="1" x14ac:dyDescent="0.6">
      <c r="A47" s="503"/>
      <c r="B47" s="478"/>
      <c r="C47" s="479"/>
      <c r="D47" s="473"/>
    </row>
    <row r="48" spans="1:4" ht="23.25" thickBot="1" x14ac:dyDescent="0.6">
      <c r="A48" s="500" t="s">
        <v>3087</v>
      </c>
      <c r="B48" s="471"/>
      <c r="C48" s="472"/>
      <c r="D48" s="473"/>
    </row>
    <row r="49" spans="1:4" ht="23.25" thickBot="1" x14ac:dyDescent="0.6">
      <c r="A49" s="501" t="s">
        <v>8877</v>
      </c>
      <c r="B49" s="471"/>
      <c r="C49" s="475"/>
      <c r="D49" s="480"/>
    </row>
    <row r="50" spans="1:4" ht="23.25" thickBot="1" x14ac:dyDescent="0.6">
      <c r="A50" s="501" t="s">
        <v>2910</v>
      </c>
      <c r="B50" s="481">
        <f>'Daily Cash Book'!W25</f>
        <v>0</v>
      </c>
      <c r="C50" s="482"/>
      <c r="D50" s="493"/>
    </row>
    <row r="51" spans="1:4" ht="22.5" thickBot="1" x14ac:dyDescent="0.6">
      <c r="A51" s="502" t="s">
        <v>2909</v>
      </c>
      <c r="B51" s="490"/>
      <c r="C51" s="491">
        <f>'Daily Cash Book'!X25</f>
        <v>0</v>
      </c>
      <c r="D51" s="492"/>
    </row>
    <row r="52" spans="1:4" ht="22.5" thickBot="1" x14ac:dyDescent="0.6">
      <c r="A52" s="503" t="s">
        <v>4</v>
      </c>
      <c r="B52" s="481">
        <f>SUM(B50:B51)</f>
        <v>0</v>
      </c>
      <c r="C52" s="482">
        <f>SUM(C49:C51)</f>
        <v>0</v>
      </c>
      <c r="D52" s="530">
        <f>B52-C52</f>
        <v>0</v>
      </c>
    </row>
    <row r="53" spans="1:4" ht="22.5" thickBot="1" x14ac:dyDescent="0.6">
      <c r="A53" s="503"/>
      <c r="B53" s="471"/>
      <c r="C53" s="1269"/>
      <c r="D53" s="480"/>
    </row>
    <row r="54" spans="1:4" ht="23.25" thickBot="1" x14ac:dyDescent="0.6">
      <c r="A54" s="500" t="s">
        <v>8493</v>
      </c>
      <c r="B54" s="471"/>
      <c r="C54" s="1269"/>
      <c r="D54" s="480"/>
    </row>
    <row r="55" spans="1:4" ht="23.25" thickBot="1" x14ac:dyDescent="0.6">
      <c r="A55" s="501" t="s">
        <v>8877</v>
      </c>
      <c r="B55" s="471"/>
      <c r="C55" s="1269">
        <v>393800</v>
      </c>
      <c r="D55" s="480"/>
    </row>
    <row r="56" spans="1:4" ht="23.25" thickBot="1" x14ac:dyDescent="0.6">
      <c r="A56" s="501" t="s">
        <v>2910</v>
      </c>
      <c r="B56" s="471">
        <f>'Daily Cash Book'!W26</f>
        <v>522500</v>
      </c>
      <c r="C56" s="472"/>
      <c r="D56" s="486"/>
    </row>
    <row r="57" spans="1:4" ht="22.5" thickBot="1" x14ac:dyDescent="0.6">
      <c r="A57" s="502" t="s">
        <v>2909</v>
      </c>
      <c r="B57" s="490"/>
      <c r="C57" s="491">
        <f>'Daily Cash Book'!X26</f>
        <v>152700</v>
      </c>
      <c r="D57" s="492"/>
    </row>
    <row r="58" spans="1:4" ht="22.5" thickBot="1" x14ac:dyDescent="0.6">
      <c r="A58" s="503" t="s">
        <v>4</v>
      </c>
      <c r="B58" s="471">
        <f>SUM(B56:B57)</f>
        <v>522500</v>
      </c>
      <c r="C58" s="472">
        <f>SUM(C55:C57)</f>
        <v>546500</v>
      </c>
      <c r="D58" s="486">
        <f>B58-C58</f>
        <v>-24000</v>
      </c>
    </row>
    <row r="59" spans="1:4" ht="22.5" thickBot="1" x14ac:dyDescent="0.6">
      <c r="A59" s="503"/>
      <c r="B59" s="471"/>
      <c r="C59" s="472"/>
      <c r="D59" s="530"/>
    </row>
    <row r="60" spans="1:4" ht="23.25" thickBot="1" x14ac:dyDescent="0.65">
      <c r="A60" s="1268" t="s">
        <v>9073</v>
      </c>
      <c r="B60" s="471"/>
      <c r="C60" s="472"/>
      <c r="D60" s="486"/>
    </row>
    <row r="61" spans="1:4" ht="23.25" thickBot="1" x14ac:dyDescent="0.6">
      <c r="A61" s="501" t="s">
        <v>8877</v>
      </c>
      <c r="B61" s="471"/>
      <c r="C61" s="472">
        <f>'Daily Cash Book'!X27</f>
        <v>167800</v>
      </c>
      <c r="D61" s="486"/>
    </row>
    <row r="62" spans="1:4" ht="23.25" thickBot="1" x14ac:dyDescent="0.6">
      <c r="A62" s="501" t="s">
        <v>2910</v>
      </c>
      <c r="B62" s="471">
        <f>'Daily Cash Book'!W27</f>
        <v>0</v>
      </c>
      <c r="C62" s="472"/>
      <c r="D62" s="486"/>
    </row>
    <row r="63" spans="1:4" ht="22.5" thickBot="1" x14ac:dyDescent="0.6">
      <c r="A63" s="502" t="s">
        <v>2909</v>
      </c>
      <c r="B63" s="490"/>
      <c r="C63" s="491"/>
      <c r="D63" s="492"/>
    </row>
    <row r="64" spans="1:4" ht="22.5" thickBot="1" x14ac:dyDescent="0.6">
      <c r="A64" s="503" t="s">
        <v>4</v>
      </c>
      <c r="B64" s="471">
        <f>SUM(B62:B63)</f>
        <v>0</v>
      </c>
      <c r="C64" s="472">
        <f>SUM(C61:C63)</f>
        <v>167800</v>
      </c>
      <c r="D64" s="530">
        <f>B64-C64</f>
        <v>-167800</v>
      </c>
    </row>
    <row r="65" spans="1:4" ht="22.5" thickBot="1" x14ac:dyDescent="0.6">
      <c r="A65" s="503"/>
      <c r="B65" s="471"/>
      <c r="C65" s="472"/>
      <c r="D65" s="530"/>
    </row>
    <row r="66" spans="1:4" ht="22.5" thickBot="1" x14ac:dyDescent="0.6">
      <c r="A66" s="503" t="s">
        <v>6101</v>
      </c>
      <c r="B66" s="471"/>
      <c r="C66" s="472"/>
      <c r="D66" s="1205">
        <f>SUM(D10:D64)</f>
        <v>-369300</v>
      </c>
    </row>
    <row r="67" spans="1:4" ht="22.5" thickBot="1" x14ac:dyDescent="0.6">
      <c r="A67" s="502"/>
      <c r="B67" s="471"/>
      <c r="C67" s="472"/>
      <c r="D67" s="486"/>
    </row>
  </sheetData>
  <mergeCells count="2">
    <mergeCell ref="A1:B1"/>
    <mergeCell ref="A2:D2"/>
  </mergeCells>
  <pageMargins left="0.7" right="0.7" top="0.75" bottom="0.28000000000000003" header="0.3" footer="0.3"/>
  <pageSetup orientation="landscape"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tabColor theme="2" tint="-0.749992370372631"/>
  </sheetPr>
  <dimension ref="A1:T281"/>
  <sheetViews>
    <sheetView zoomScaleNormal="100" workbookViewId="0">
      <selection activeCell="D7" sqref="D7"/>
    </sheetView>
  </sheetViews>
  <sheetFormatPr defaultColWidth="9.28515625" defaultRowHeight="21.75" x14ac:dyDescent="0.55000000000000004"/>
  <cols>
    <col min="1" max="1" width="49.28515625" style="23" bestFit="1" customWidth="1"/>
    <col min="2" max="2" width="14.7109375" style="23" customWidth="1"/>
    <col min="3" max="3" width="19.28515625" style="23" customWidth="1"/>
    <col min="4" max="4" width="17.85546875" style="23" customWidth="1"/>
    <col min="5" max="5" width="9.28515625" style="23"/>
    <col min="6" max="6" width="6.42578125" style="23" customWidth="1"/>
    <col min="7" max="7" width="11.7109375" style="23" customWidth="1"/>
    <col min="8" max="8" width="11.7109375" style="619" customWidth="1"/>
    <col min="9" max="9" width="15.85546875" style="23" customWidth="1"/>
    <col min="10" max="10" width="24.85546875" style="23" customWidth="1"/>
    <col min="11" max="11" width="6.28515625" style="23" customWidth="1"/>
    <col min="12" max="12" width="10.5703125" style="23" customWidth="1"/>
    <col min="13" max="13" width="15.85546875" style="23" customWidth="1"/>
    <col min="14" max="14" width="9.28515625" style="23"/>
    <col min="15" max="15" width="14" style="592" customWidth="1"/>
    <col min="16" max="16" width="25.42578125" style="592" customWidth="1"/>
    <col min="17" max="17" width="11.42578125" style="23" customWidth="1"/>
    <col min="18" max="18" width="19" style="84" customWidth="1"/>
    <col min="19" max="16384" width="9.28515625" style="23"/>
  </cols>
  <sheetData>
    <row r="1" spans="1:20" ht="27" thickBot="1" x14ac:dyDescent="0.7">
      <c r="A1" s="1319" t="s">
        <v>6133</v>
      </c>
      <c r="B1" s="1319"/>
      <c r="C1" s="606">
        <f ca="1">TODAY()</f>
        <v>44711</v>
      </c>
      <c r="D1" s="607"/>
      <c r="F1" s="612"/>
      <c r="G1" s="612"/>
      <c r="H1" s="617"/>
      <c r="I1" s="613" t="s">
        <v>6117</v>
      </c>
      <c r="J1" s="612"/>
      <c r="K1" s="612"/>
      <c r="L1" s="612"/>
      <c r="M1" s="612"/>
      <c r="O1" s="1321" t="s">
        <v>6118</v>
      </c>
      <c r="P1" s="1321"/>
      <c r="Q1" s="1321"/>
      <c r="R1" s="1321"/>
    </row>
    <row r="2" spans="1:20" ht="23.25" thickBot="1" x14ac:dyDescent="0.6">
      <c r="A2" s="1320"/>
      <c r="B2" s="1320"/>
      <c r="C2" s="1320"/>
      <c r="D2" s="1320"/>
      <c r="F2" s="615" t="s">
        <v>9</v>
      </c>
      <c r="G2" s="615" t="s">
        <v>12</v>
      </c>
      <c r="H2" s="618" t="s">
        <v>6123</v>
      </c>
      <c r="I2" s="615" t="s">
        <v>2065</v>
      </c>
      <c r="J2" s="615" t="s">
        <v>6115</v>
      </c>
      <c r="K2" s="615" t="s">
        <v>917</v>
      </c>
      <c r="L2" s="615" t="s">
        <v>6116</v>
      </c>
      <c r="M2" s="615" t="s">
        <v>2905</v>
      </c>
      <c r="O2" s="616" t="s">
        <v>12</v>
      </c>
      <c r="P2" s="616" t="s">
        <v>13</v>
      </c>
      <c r="Q2" s="616" t="s">
        <v>84</v>
      </c>
      <c r="R2" s="622" t="s">
        <v>2776</v>
      </c>
    </row>
    <row r="3" spans="1:20" ht="23.25" thickBot="1" x14ac:dyDescent="0.6">
      <c r="A3" s="608"/>
      <c r="B3" s="603" t="s">
        <v>3382</v>
      </c>
      <c r="C3" s="472" t="s">
        <v>6111</v>
      </c>
      <c r="D3" s="473" t="s">
        <v>1366</v>
      </c>
      <c r="F3" s="592">
        <f>IF(Table10[[#This Row],[Date]]="","",ROW(1:1))</f>
        <v>1</v>
      </c>
      <c r="G3" s="591">
        <v>44449</v>
      </c>
      <c r="H3" s="620">
        <v>16209</v>
      </c>
      <c r="I3" s="592" t="s">
        <v>6113</v>
      </c>
      <c r="J3" s="592" t="s">
        <v>6291</v>
      </c>
      <c r="K3" s="592">
        <v>60</v>
      </c>
      <c r="L3" s="592">
        <v>60000</v>
      </c>
      <c r="M3" s="597">
        <f>Table10[[#This Row],[Qty]]*Table10[[#This Row],[Rate]]</f>
        <v>3600000</v>
      </c>
      <c r="O3" s="592" t="s">
        <v>2453</v>
      </c>
      <c r="P3" s="592" t="s">
        <v>2908</v>
      </c>
      <c r="Q3" s="592" t="s">
        <v>2453</v>
      </c>
      <c r="R3" s="590"/>
    </row>
    <row r="4" spans="1:20" ht="23.25" thickBot="1" x14ac:dyDescent="0.6">
      <c r="A4" s="608"/>
      <c r="B4" s="471"/>
      <c r="C4" s="472"/>
      <c r="D4" s="473"/>
      <c r="F4" s="592" t="str">
        <f>IF(Table10[[#This Row],[Date]]="","",ROW(2:2))</f>
        <v/>
      </c>
      <c r="G4" s="591"/>
      <c r="H4" s="620"/>
      <c r="I4" s="592"/>
      <c r="J4" s="592"/>
      <c r="K4" s="592"/>
      <c r="L4" s="592"/>
      <c r="M4" s="590">
        <f>Table10[[#This Row],[Qty]]*Table10[[#This Row],[Rate]]</f>
        <v>0</v>
      </c>
      <c r="O4" s="592" t="s">
        <v>2453</v>
      </c>
      <c r="P4" s="592" t="s">
        <v>2453</v>
      </c>
      <c r="Q4" s="592" t="s">
        <v>2453</v>
      </c>
      <c r="R4" s="590"/>
    </row>
    <row r="5" spans="1:20" ht="23.25" thickBot="1" x14ac:dyDescent="0.6">
      <c r="A5" s="608"/>
      <c r="B5" s="474"/>
      <c r="C5" s="475"/>
      <c r="D5" s="476"/>
      <c r="F5" s="614"/>
      <c r="G5" s="591"/>
      <c r="H5" s="620"/>
      <c r="I5" s="592"/>
      <c r="J5" s="592"/>
      <c r="K5" s="592"/>
      <c r="L5" s="592"/>
      <c r="M5" s="590"/>
      <c r="O5" s="591">
        <v>44470</v>
      </c>
      <c r="P5" s="592" t="s">
        <v>2453</v>
      </c>
      <c r="Q5" s="592" t="s">
        <v>2453</v>
      </c>
      <c r="R5" s="590"/>
    </row>
    <row r="6" spans="1:20" ht="23.25" thickBot="1" x14ac:dyDescent="0.6">
      <c r="A6" s="608" t="s">
        <v>10</v>
      </c>
      <c r="B6" s="474"/>
      <c r="C6" s="472"/>
      <c r="D6" s="473"/>
      <c r="G6" s="399"/>
      <c r="H6" s="621"/>
      <c r="I6" s="592"/>
      <c r="J6" s="592"/>
      <c r="M6" s="597"/>
      <c r="O6" s="592" t="s">
        <v>2049</v>
      </c>
      <c r="Q6" s="592"/>
      <c r="R6" s="590"/>
    </row>
    <row r="7" spans="1:20" ht="23.25" thickBot="1" x14ac:dyDescent="0.6">
      <c r="A7" s="609" t="s">
        <v>2278</v>
      </c>
      <c r="B7" s="474">
        <f>'Daily Cash Book'!W82</f>
        <v>0</v>
      </c>
      <c r="C7" s="602"/>
      <c r="D7" s="476"/>
      <c r="F7" s="614"/>
      <c r="G7" s="591"/>
      <c r="H7" s="620"/>
      <c r="I7" s="592"/>
      <c r="J7" s="592"/>
      <c r="K7" s="592"/>
      <c r="L7" s="592"/>
      <c r="M7" s="590"/>
      <c r="O7"/>
      <c r="P7"/>
      <c r="Q7"/>
      <c r="R7"/>
    </row>
    <row r="8" spans="1:20" ht="23.25" thickBot="1" x14ac:dyDescent="0.6">
      <c r="A8" s="609" t="s">
        <v>6108</v>
      </c>
      <c r="B8" s="487">
        <f>'Daily Cash Book'!W83</f>
        <v>0</v>
      </c>
      <c r="C8" s="604"/>
      <c r="D8" s="489"/>
      <c r="F8" s="614"/>
      <c r="G8" s="591"/>
      <c r="H8" s="620"/>
      <c r="I8" s="592"/>
      <c r="J8" s="592"/>
      <c r="K8" s="592"/>
      <c r="L8" s="592"/>
      <c r="M8" s="590"/>
      <c r="O8"/>
      <c r="P8"/>
      <c r="Q8"/>
      <c r="R8"/>
    </row>
    <row r="9" spans="1:20" ht="23.25" thickBot="1" x14ac:dyDescent="0.6">
      <c r="A9" s="609" t="s">
        <v>6109</v>
      </c>
      <c r="B9" s="477"/>
      <c r="C9" s="488">
        <f>'Daily Cash Book'!X103</f>
        <v>0</v>
      </c>
      <c r="D9" s="489"/>
      <c r="F9" s="614"/>
      <c r="G9" s="591"/>
      <c r="H9" s="620"/>
      <c r="I9" s="592"/>
      <c r="J9" s="592"/>
      <c r="K9" s="592"/>
      <c r="L9" s="592"/>
      <c r="M9" s="590"/>
      <c r="O9"/>
      <c r="P9"/>
      <c r="Q9"/>
      <c r="R9"/>
    </row>
    <row r="10" spans="1:20" ht="22.5" thickBot="1" x14ac:dyDescent="0.6">
      <c r="A10" s="610" t="s">
        <v>6110</v>
      </c>
      <c r="B10" s="490"/>
      <c r="C10" s="491">
        <f>'Daily Cash Book'!X6</f>
        <v>0</v>
      </c>
      <c r="D10" s="492"/>
      <c r="F10" s="614"/>
      <c r="G10" s="591"/>
      <c r="H10" s="620"/>
      <c r="I10" s="592"/>
      <c r="J10" s="592"/>
      <c r="K10" s="592"/>
      <c r="L10" s="592"/>
      <c r="M10" s="590"/>
      <c r="O10"/>
      <c r="P10"/>
      <c r="Q10"/>
      <c r="R10"/>
    </row>
    <row r="11" spans="1:20" ht="22.5" thickBot="1" x14ac:dyDescent="0.6">
      <c r="A11" s="611" t="s">
        <v>4</v>
      </c>
      <c r="B11" s="483">
        <f>SUM(B7:B10)</f>
        <v>0</v>
      </c>
      <c r="C11" s="484">
        <f>SUM(C7:C10)</f>
        <v>0</v>
      </c>
      <c r="D11" s="485">
        <f>B11-C11</f>
        <v>0</v>
      </c>
      <c r="F11" s="614"/>
      <c r="G11" s="591"/>
      <c r="H11" s="620"/>
      <c r="I11" s="592"/>
      <c r="J11" s="592"/>
      <c r="K11" s="592"/>
      <c r="L11" s="592"/>
      <c r="M11" s="590"/>
      <c r="O11"/>
      <c r="P11"/>
      <c r="Q11"/>
      <c r="R11"/>
    </row>
    <row r="12" spans="1:20" ht="22.5" thickBot="1" x14ac:dyDescent="0.6">
      <c r="A12" s="611"/>
      <c r="B12" s="483"/>
      <c r="C12" s="484"/>
      <c r="D12" s="605"/>
      <c r="F12" s="614"/>
      <c r="G12" s="591"/>
      <c r="H12" s="620"/>
      <c r="I12" s="592"/>
      <c r="J12" s="592"/>
      <c r="K12" s="592"/>
      <c r="L12" s="592"/>
      <c r="M12" s="590"/>
      <c r="O12"/>
      <c r="P12"/>
      <c r="Q12"/>
      <c r="R12"/>
    </row>
    <row r="13" spans="1:20" ht="23.25" thickBot="1" x14ac:dyDescent="0.6">
      <c r="A13" s="611" t="s">
        <v>6112</v>
      </c>
      <c r="B13" s="474"/>
      <c r="C13" s="475"/>
      <c r="D13" s="636">
        <f>SUM(D11:D12)</f>
        <v>0</v>
      </c>
      <c r="F13" s="614"/>
      <c r="G13" s="591"/>
      <c r="H13" s="620"/>
      <c r="I13" s="592"/>
      <c r="J13" s="592"/>
      <c r="K13" s="592"/>
      <c r="L13" s="592"/>
      <c r="M13" s="590"/>
      <c r="P13" s="624" t="s">
        <v>2341</v>
      </c>
      <c r="Q13" s="624" t="s">
        <v>5</v>
      </c>
      <c r="R13" s="261"/>
    </row>
    <row r="14" spans="1:20" x14ac:dyDescent="0.55000000000000004">
      <c r="F14" s="614"/>
      <c r="G14" s="591"/>
      <c r="H14" s="620"/>
      <c r="I14" s="592"/>
      <c r="J14" s="592"/>
      <c r="K14" s="592"/>
      <c r="L14" s="592"/>
      <c r="M14" s="590"/>
      <c r="P14" s="624" t="s">
        <v>6128</v>
      </c>
      <c r="Q14" s="626">
        <f>SUM(Table10[Amt])</f>
        <v>3600000</v>
      </c>
      <c r="R14" s="623"/>
      <c r="S14" s="174"/>
      <c r="T14" s="174"/>
    </row>
    <row r="15" spans="1:20" ht="22.5" thickBot="1" x14ac:dyDescent="0.6">
      <c r="F15" s="614"/>
      <c r="G15" s="591"/>
      <c r="H15" s="620"/>
      <c r="I15" s="592"/>
      <c r="J15" s="592"/>
      <c r="K15" s="592"/>
      <c r="L15" s="592"/>
      <c r="M15" s="590"/>
      <c r="P15" s="624" t="s">
        <v>6129</v>
      </c>
      <c r="Q15" s="627">
        <f>GETPIVOTDATA("Credit",$O$2)</f>
        <v>0</v>
      </c>
      <c r="R15" s="623"/>
      <c r="S15" s="174"/>
      <c r="T15" s="174"/>
    </row>
    <row r="16" spans="1:20" ht="27" thickTop="1" x14ac:dyDescent="0.65">
      <c r="F16" s="614"/>
      <c r="G16" s="592"/>
      <c r="H16" s="620"/>
      <c r="I16" s="592"/>
      <c r="J16" s="592"/>
      <c r="K16" s="592"/>
      <c r="L16" s="592"/>
      <c r="M16" s="590"/>
      <c r="P16" s="624" t="s">
        <v>6130</v>
      </c>
      <c r="Q16" s="633">
        <f>Q14-Q15</f>
        <v>3600000</v>
      </c>
      <c r="R16" s="623"/>
      <c r="S16" s="174"/>
      <c r="T16" s="174"/>
    </row>
    <row r="17" spans="6:20" x14ac:dyDescent="0.55000000000000004">
      <c r="F17" s="614"/>
      <c r="G17" s="592"/>
      <c r="H17" s="620"/>
      <c r="I17" s="592"/>
      <c r="J17" s="592"/>
      <c r="K17" s="592"/>
      <c r="L17" s="592"/>
      <c r="M17" s="590"/>
      <c r="P17" s="65"/>
      <c r="Q17" s="65"/>
      <c r="R17" s="623"/>
      <c r="S17" s="174"/>
      <c r="T17" s="174"/>
    </row>
    <row r="18" spans="6:20" x14ac:dyDescent="0.55000000000000004">
      <c r="F18" s="614"/>
      <c r="G18" s="592"/>
      <c r="H18" s="620"/>
      <c r="I18" s="592"/>
      <c r="J18" s="592"/>
      <c r="K18" s="592"/>
      <c r="L18" s="592"/>
      <c r="M18" s="590"/>
      <c r="O18"/>
      <c r="P18"/>
      <c r="Q18"/>
      <c r="R18" s="623"/>
      <c r="S18" s="174"/>
      <c r="T18" s="174"/>
    </row>
    <row r="19" spans="6:20" x14ac:dyDescent="0.55000000000000004">
      <c r="F19" s="614"/>
      <c r="G19" s="592"/>
      <c r="H19" s="620"/>
      <c r="I19" s="592"/>
      <c r="J19" s="592"/>
      <c r="K19" s="592"/>
      <c r="L19" s="592"/>
      <c r="M19" s="590"/>
      <c r="O19"/>
      <c r="P19"/>
      <c r="Q19"/>
      <c r="R19" s="261"/>
    </row>
    <row r="20" spans="6:20" x14ac:dyDescent="0.55000000000000004">
      <c r="F20" s="614"/>
      <c r="G20" s="592"/>
      <c r="H20" s="620"/>
      <c r="I20" s="592"/>
      <c r="J20" s="592"/>
      <c r="K20" s="592"/>
      <c r="L20" s="592"/>
      <c r="M20" s="590"/>
      <c r="O20"/>
      <c r="P20"/>
      <c r="Q20"/>
      <c r="R20" s="261"/>
    </row>
    <row r="21" spans="6:20" x14ac:dyDescent="0.55000000000000004">
      <c r="F21" s="614"/>
      <c r="G21" s="592"/>
      <c r="H21" s="620"/>
      <c r="I21" s="592"/>
      <c r="J21" s="592"/>
      <c r="K21" s="592"/>
      <c r="L21" s="592"/>
      <c r="M21" s="590"/>
      <c r="O21"/>
      <c r="P21"/>
      <c r="Q21"/>
      <c r="R21" s="261"/>
    </row>
    <row r="22" spans="6:20" x14ac:dyDescent="0.55000000000000004">
      <c r="F22" s="614"/>
      <c r="G22" s="592"/>
      <c r="H22" s="620"/>
      <c r="I22" s="592"/>
      <c r="J22" s="592"/>
      <c r="K22" s="592"/>
      <c r="L22" s="592"/>
      <c r="M22" s="590"/>
      <c r="O22"/>
      <c r="P22"/>
      <c r="Q22"/>
      <c r="R22" s="261"/>
    </row>
    <row r="23" spans="6:20" x14ac:dyDescent="0.55000000000000004">
      <c r="F23" s="614"/>
      <c r="G23" s="592"/>
      <c r="H23" s="620"/>
      <c r="I23" s="592"/>
      <c r="J23" s="592"/>
      <c r="K23" s="592"/>
      <c r="L23" s="592"/>
      <c r="M23" s="590"/>
      <c r="O23"/>
      <c r="P23"/>
      <c r="Q23"/>
      <c r="R23" s="261"/>
    </row>
    <row r="24" spans="6:20" x14ac:dyDescent="0.55000000000000004">
      <c r="F24" s="614"/>
      <c r="G24" s="592"/>
      <c r="H24" s="620"/>
      <c r="I24" s="592"/>
      <c r="J24" s="592"/>
      <c r="K24" s="592"/>
      <c r="L24" s="592"/>
      <c r="M24" s="590"/>
      <c r="O24"/>
      <c r="P24"/>
      <c r="Q24"/>
      <c r="R24" s="261"/>
    </row>
    <row r="25" spans="6:20" x14ac:dyDescent="0.55000000000000004">
      <c r="F25" s="614"/>
      <c r="G25" s="592"/>
      <c r="H25" s="620"/>
      <c r="I25" s="592"/>
      <c r="J25" s="592"/>
      <c r="K25" s="592"/>
      <c r="L25" s="592"/>
      <c r="M25" s="590"/>
      <c r="O25"/>
      <c r="P25"/>
      <c r="Q25"/>
      <c r="R25" s="261"/>
    </row>
    <row r="26" spans="6:20" x14ac:dyDescent="0.55000000000000004">
      <c r="F26" s="614"/>
      <c r="G26" s="592"/>
      <c r="H26" s="620"/>
      <c r="I26" s="592"/>
      <c r="J26" s="592"/>
      <c r="K26" s="592"/>
      <c r="L26" s="592"/>
      <c r="M26" s="590"/>
      <c r="O26"/>
      <c r="P26"/>
      <c r="Q26"/>
      <c r="R26" s="261"/>
    </row>
    <row r="27" spans="6:20" x14ac:dyDescent="0.55000000000000004">
      <c r="O27"/>
      <c r="P27"/>
      <c r="Q27"/>
      <c r="R27" s="261"/>
    </row>
    <row r="28" spans="6:20" x14ac:dyDescent="0.55000000000000004">
      <c r="O28"/>
      <c r="P28"/>
      <c r="Q28"/>
      <c r="R28" s="261"/>
    </row>
    <row r="29" spans="6:20" x14ac:dyDescent="0.55000000000000004">
      <c r="O29"/>
      <c r="P29"/>
      <c r="Q29"/>
      <c r="R29" s="261"/>
    </row>
    <row r="30" spans="6:20" x14ac:dyDescent="0.55000000000000004">
      <c r="O30"/>
      <c r="P30"/>
      <c r="Q30"/>
      <c r="R30" s="261"/>
    </row>
    <row r="31" spans="6:20" x14ac:dyDescent="0.55000000000000004">
      <c r="O31"/>
      <c r="P31"/>
      <c r="Q31"/>
      <c r="R31" s="261"/>
    </row>
    <row r="32" spans="6:20" x14ac:dyDescent="0.55000000000000004">
      <c r="O32"/>
      <c r="P32"/>
      <c r="Q32"/>
      <c r="R32" s="261"/>
    </row>
    <row r="33" spans="15:18" x14ac:dyDescent="0.55000000000000004">
      <c r="O33"/>
      <c r="P33"/>
      <c r="Q33"/>
      <c r="R33" s="261"/>
    </row>
    <row r="34" spans="15:18" x14ac:dyDescent="0.55000000000000004">
      <c r="O34"/>
      <c r="P34"/>
      <c r="Q34"/>
      <c r="R34" s="261"/>
    </row>
    <row r="35" spans="15:18" x14ac:dyDescent="0.55000000000000004">
      <c r="O35"/>
      <c r="P35"/>
      <c r="Q35"/>
      <c r="R35" s="261"/>
    </row>
    <row r="36" spans="15:18" x14ac:dyDescent="0.55000000000000004">
      <c r="O36"/>
      <c r="P36"/>
      <c r="Q36"/>
      <c r="R36" s="261"/>
    </row>
    <row r="37" spans="15:18" x14ac:dyDescent="0.55000000000000004">
      <c r="O37"/>
      <c r="P37"/>
      <c r="Q37"/>
      <c r="R37" s="261"/>
    </row>
    <row r="38" spans="15:18" x14ac:dyDescent="0.55000000000000004">
      <c r="O38"/>
      <c r="P38"/>
      <c r="Q38"/>
      <c r="R38" s="261"/>
    </row>
    <row r="39" spans="15:18" x14ac:dyDescent="0.55000000000000004">
      <c r="O39"/>
      <c r="P39"/>
      <c r="Q39"/>
      <c r="R39" s="261"/>
    </row>
    <row r="40" spans="15:18" x14ac:dyDescent="0.55000000000000004">
      <c r="O40"/>
      <c r="P40"/>
      <c r="Q40"/>
      <c r="R40" s="261"/>
    </row>
    <row r="41" spans="15:18" x14ac:dyDescent="0.55000000000000004">
      <c r="O41"/>
      <c r="P41"/>
      <c r="Q41"/>
      <c r="R41" s="261"/>
    </row>
    <row r="42" spans="15:18" x14ac:dyDescent="0.55000000000000004">
      <c r="O42"/>
      <c r="P42"/>
      <c r="Q42"/>
      <c r="R42" s="261"/>
    </row>
    <row r="43" spans="15:18" x14ac:dyDescent="0.55000000000000004">
      <c r="O43"/>
      <c r="P43"/>
      <c r="Q43"/>
      <c r="R43" s="261"/>
    </row>
    <row r="44" spans="15:18" x14ac:dyDescent="0.55000000000000004">
      <c r="O44"/>
      <c r="P44"/>
      <c r="Q44"/>
      <c r="R44" s="261"/>
    </row>
    <row r="45" spans="15:18" x14ac:dyDescent="0.55000000000000004">
      <c r="O45"/>
      <c r="P45"/>
      <c r="Q45"/>
      <c r="R45" s="261"/>
    </row>
    <row r="46" spans="15:18" x14ac:dyDescent="0.55000000000000004">
      <c r="O46"/>
      <c r="P46"/>
      <c r="Q46"/>
      <c r="R46" s="261"/>
    </row>
    <row r="47" spans="15:18" x14ac:dyDescent="0.55000000000000004">
      <c r="O47"/>
      <c r="P47"/>
      <c r="Q47"/>
      <c r="R47" s="261"/>
    </row>
    <row r="48" spans="15:18" x14ac:dyDescent="0.55000000000000004">
      <c r="O48"/>
      <c r="P48"/>
      <c r="Q48"/>
      <c r="R48" s="261"/>
    </row>
    <row r="49" spans="15:18" x14ac:dyDescent="0.55000000000000004">
      <c r="O49"/>
      <c r="P49"/>
      <c r="Q49"/>
      <c r="R49" s="261"/>
    </row>
    <row r="50" spans="15:18" x14ac:dyDescent="0.55000000000000004">
      <c r="O50"/>
      <c r="P50"/>
      <c r="Q50"/>
      <c r="R50" s="261"/>
    </row>
    <row r="51" spans="15:18" x14ac:dyDescent="0.55000000000000004">
      <c r="O51"/>
      <c r="P51"/>
      <c r="Q51"/>
      <c r="R51" s="261"/>
    </row>
    <row r="52" spans="15:18" x14ac:dyDescent="0.55000000000000004">
      <c r="O52"/>
      <c r="P52"/>
      <c r="Q52"/>
      <c r="R52" s="261"/>
    </row>
    <row r="53" spans="15:18" x14ac:dyDescent="0.55000000000000004">
      <c r="O53"/>
      <c r="P53"/>
      <c r="Q53"/>
      <c r="R53" s="261"/>
    </row>
    <row r="54" spans="15:18" x14ac:dyDescent="0.55000000000000004">
      <c r="O54"/>
      <c r="P54"/>
      <c r="Q54"/>
      <c r="R54" s="261"/>
    </row>
    <row r="55" spans="15:18" x14ac:dyDescent="0.55000000000000004">
      <c r="O55"/>
      <c r="P55"/>
      <c r="Q55"/>
      <c r="R55" s="261"/>
    </row>
    <row r="56" spans="15:18" x14ac:dyDescent="0.55000000000000004">
      <c r="O56"/>
      <c r="P56"/>
      <c r="Q56"/>
      <c r="R56" s="261"/>
    </row>
    <row r="57" spans="15:18" x14ac:dyDescent="0.55000000000000004">
      <c r="O57"/>
      <c r="P57"/>
      <c r="Q57"/>
      <c r="R57" s="261"/>
    </row>
    <row r="58" spans="15:18" x14ac:dyDescent="0.55000000000000004">
      <c r="O58"/>
      <c r="P58"/>
      <c r="Q58"/>
      <c r="R58" s="261"/>
    </row>
    <row r="59" spans="15:18" x14ac:dyDescent="0.55000000000000004">
      <c r="O59"/>
      <c r="P59"/>
      <c r="Q59"/>
      <c r="R59" s="261"/>
    </row>
    <row r="60" spans="15:18" x14ac:dyDescent="0.55000000000000004">
      <c r="O60"/>
      <c r="P60"/>
      <c r="Q60"/>
      <c r="R60" s="261"/>
    </row>
    <row r="61" spans="15:18" x14ac:dyDescent="0.55000000000000004">
      <c r="O61"/>
      <c r="P61"/>
      <c r="Q61"/>
      <c r="R61" s="261"/>
    </row>
    <row r="62" spans="15:18" x14ac:dyDescent="0.55000000000000004">
      <c r="O62"/>
      <c r="P62"/>
      <c r="Q62"/>
      <c r="R62" s="261"/>
    </row>
    <row r="63" spans="15:18" x14ac:dyDescent="0.55000000000000004">
      <c r="O63"/>
      <c r="P63"/>
      <c r="Q63"/>
      <c r="R63" s="261"/>
    </row>
    <row r="64" spans="15:18" x14ac:dyDescent="0.55000000000000004">
      <c r="O64"/>
      <c r="P64"/>
      <c r="Q64"/>
      <c r="R64" s="261"/>
    </row>
    <row r="65" spans="15:18" x14ac:dyDescent="0.55000000000000004">
      <c r="O65"/>
      <c r="P65"/>
      <c r="Q65"/>
      <c r="R65" s="261"/>
    </row>
    <row r="66" spans="15:18" x14ac:dyDescent="0.55000000000000004">
      <c r="O66"/>
      <c r="P66"/>
      <c r="Q66"/>
      <c r="R66" s="261"/>
    </row>
    <row r="67" spans="15:18" x14ac:dyDescent="0.55000000000000004">
      <c r="O67"/>
      <c r="P67"/>
      <c r="Q67"/>
      <c r="R67" s="261"/>
    </row>
    <row r="68" spans="15:18" x14ac:dyDescent="0.55000000000000004">
      <c r="O68"/>
      <c r="P68"/>
      <c r="Q68"/>
      <c r="R68" s="261"/>
    </row>
    <row r="69" spans="15:18" x14ac:dyDescent="0.55000000000000004">
      <c r="O69"/>
      <c r="P69"/>
      <c r="Q69"/>
      <c r="R69" s="261"/>
    </row>
    <row r="70" spans="15:18" x14ac:dyDescent="0.55000000000000004">
      <c r="O70"/>
      <c r="P70"/>
      <c r="Q70"/>
      <c r="R70" s="261"/>
    </row>
    <row r="71" spans="15:18" x14ac:dyDescent="0.55000000000000004">
      <c r="O71"/>
      <c r="P71"/>
      <c r="Q71"/>
      <c r="R71" s="261"/>
    </row>
    <row r="72" spans="15:18" x14ac:dyDescent="0.55000000000000004">
      <c r="O72"/>
      <c r="P72"/>
      <c r="Q72"/>
      <c r="R72" s="261"/>
    </row>
    <row r="73" spans="15:18" x14ac:dyDescent="0.55000000000000004">
      <c r="O73"/>
      <c r="P73"/>
      <c r="Q73"/>
      <c r="R73" s="261"/>
    </row>
    <row r="74" spans="15:18" x14ac:dyDescent="0.55000000000000004">
      <c r="O74"/>
      <c r="P74"/>
      <c r="Q74"/>
      <c r="R74" s="261"/>
    </row>
    <row r="75" spans="15:18" x14ac:dyDescent="0.55000000000000004">
      <c r="O75"/>
      <c r="P75"/>
      <c r="Q75"/>
      <c r="R75" s="261"/>
    </row>
    <row r="76" spans="15:18" x14ac:dyDescent="0.55000000000000004">
      <c r="O76"/>
      <c r="P76"/>
      <c r="Q76"/>
      <c r="R76" s="261"/>
    </row>
    <row r="77" spans="15:18" x14ac:dyDescent="0.55000000000000004">
      <c r="O77"/>
      <c r="P77"/>
      <c r="Q77"/>
      <c r="R77" s="261"/>
    </row>
    <row r="78" spans="15:18" x14ac:dyDescent="0.55000000000000004">
      <c r="O78"/>
      <c r="P78"/>
      <c r="Q78"/>
      <c r="R78" s="261"/>
    </row>
    <row r="79" spans="15:18" x14ac:dyDescent="0.55000000000000004">
      <c r="O79"/>
      <c r="P79"/>
      <c r="Q79"/>
      <c r="R79" s="261"/>
    </row>
    <row r="80" spans="15:18" x14ac:dyDescent="0.55000000000000004">
      <c r="O80"/>
      <c r="P80"/>
      <c r="Q80"/>
      <c r="R80" s="261"/>
    </row>
    <row r="81" spans="15:18" x14ac:dyDescent="0.55000000000000004">
      <c r="O81"/>
      <c r="P81"/>
      <c r="Q81"/>
      <c r="R81" s="261"/>
    </row>
    <row r="82" spans="15:18" x14ac:dyDescent="0.55000000000000004">
      <c r="O82"/>
      <c r="P82"/>
      <c r="Q82"/>
      <c r="R82" s="261"/>
    </row>
    <row r="83" spans="15:18" x14ac:dyDescent="0.55000000000000004">
      <c r="O83"/>
      <c r="P83"/>
      <c r="Q83"/>
      <c r="R83" s="261"/>
    </row>
    <row r="84" spans="15:18" x14ac:dyDescent="0.55000000000000004">
      <c r="O84"/>
      <c r="P84"/>
      <c r="Q84"/>
      <c r="R84" s="261"/>
    </row>
    <row r="85" spans="15:18" x14ac:dyDescent="0.55000000000000004">
      <c r="O85"/>
      <c r="P85"/>
      <c r="Q85"/>
      <c r="R85" s="261"/>
    </row>
    <row r="86" spans="15:18" x14ac:dyDescent="0.55000000000000004">
      <c r="O86"/>
      <c r="P86"/>
      <c r="Q86"/>
      <c r="R86" s="261"/>
    </row>
    <row r="87" spans="15:18" x14ac:dyDescent="0.55000000000000004">
      <c r="O87"/>
      <c r="P87"/>
      <c r="Q87"/>
      <c r="R87" s="261"/>
    </row>
    <row r="88" spans="15:18" x14ac:dyDescent="0.55000000000000004">
      <c r="O88"/>
      <c r="P88"/>
      <c r="Q88"/>
      <c r="R88" s="261"/>
    </row>
    <row r="89" spans="15:18" x14ac:dyDescent="0.55000000000000004">
      <c r="O89"/>
      <c r="P89"/>
      <c r="Q89"/>
      <c r="R89" s="261"/>
    </row>
    <row r="90" spans="15:18" x14ac:dyDescent="0.55000000000000004">
      <c r="O90"/>
      <c r="P90"/>
      <c r="Q90"/>
      <c r="R90" s="261"/>
    </row>
    <row r="91" spans="15:18" x14ac:dyDescent="0.55000000000000004">
      <c r="O91"/>
      <c r="P91"/>
      <c r="Q91"/>
      <c r="R91" s="261"/>
    </row>
    <row r="92" spans="15:18" x14ac:dyDescent="0.55000000000000004">
      <c r="O92"/>
      <c r="P92"/>
      <c r="Q92"/>
      <c r="R92" s="261"/>
    </row>
    <row r="93" spans="15:18" x14ac:dyDescent="0.55000000000000004">
      <c r="O93"/>
      <c r="P93"/>
      <c r="Q93"/>
      <c r="R93" s="261"/>
    </row>
    <row r="94" spans="15:18" x14ac:dyDescent="0.55000000000000004">
      <c r="O94"/>
      <c r="P94"/>
      <c r="Q94"/>
      <c r="R94" s="261"/>
    </row>
    <row r="95" spans="15:18" x14ac:dyDescent="0.55000000000000004">
      <c r="O95"/>
      <c r="P95"/>
      <c r="Q95"/>
      <c r="R95" s="261"/>
    </row>
    <row r="96" spans="15:18" x14ac:dyDescent="0.55000000000000004">
      <c r="O96"/>
      <c r="P96"/>
      <c r="Q96"/>
      <c r="R96" s="261"/>
    </row>
    <row r="97" spans="15:18" x14ac:dyDescent="0.55000000000000004">
      <c r="O97"/>
      <c r="P97"/>
      <c r="Q97"/>
      <c r="R97" s="261"/>
    </row>
    <row r="98" spans="15:18" x14ac:dyDescent="0.55000000000000004">
      <c r="O98"/>
      <c r="P98"/>
      <c r="Q98"/>
      <c r="R98" s="261"/>
    </row>
    <row r="99" spans="15:18" x14ac:dyDescent="0.55000000000000004">
      <c r="O99"/>
      <c r="P99"/>
      <c r="Q99"/>
      <c r="R99" s="261"/>
    </row>
    <row r="100" spans="15:18" x14ac:dyDescent="0.55000000000000004">
      <c r="O100"/>
      <c r="P100"/>
      <c r="Q100"/>
      <c r="R100" s="261"/>
    </row>
    <row r="101" spans="15:18" x14ac:dyDescent="0.55000000000000004">
      <c r="O101"/>
      <c r="P101"/>
      <c r="Q101"/>
      <c r="R101" s="261"/>
    </row>
    <row r="102" spans="15:18" x14ac:dyDescent="0.55000000000000004">
      <c r="O102"/>
      <c r="P102"/>
      <c r="Q102"/>
      <c r="R102" s="261"/>
    </row>
    <row r="103" spans="15:18" x14ac:dyDescent="0.55000000000000004">
      <c r="O103"/>
      <c r="P103"/>
      <c r="Q103"/>
      <c r="R103" s="261"/>
    </row>
    <row r="104" spans="15:18" x14ac:dyDescent="0.55000000000000004">
      <c r="O104"/>
      <c r="P104"/>
      <c r="Q104"/>
      <c r="R104" s="261"/>
    </row>
    <row r="105" spans="15:18" x14ac:dyDescent="0.55000000000000004">
      <c r="O105"/>
      <c r="P105"/>
      <c r="Q105"/>
      <c r="R105" s="261"/>
    </row>
    <row r="106" spans="15:18" x14ac:dyDescent="0.55000000000000004">
      <c r="O106"/>
      <c r="P106"/>
      <c r="Q106"/>
      <c r="R106" s="261"/>
    </row>
    <row r="107" spans="15:18" x14ac:dyDescent="0.55000000000000004">
      <c r="O107"/>
      <c r="P107"/>
      <c r="Q107"/>
      <c r="R107" s="261"/>
    </row>
    <row r="108" spans="15:18" x14ac:dyDescent="0.55000000000000004">
      <c r="O108"/>
      <c r="P108"/>
      <c r="Q108"/>
      <c r="R108" s="261"/>
    </row>
    <row r="109" spans="15:18" x14ac:dyDescent="0.55000000000000004">
      <c r="O109"/>
      <c r="P109"/>
      <c r="Q109"/>
      <c r="R109" s="261"/>
    </row>
    <row r="110" spans="15:18" x14ac:dyDescent="0.55000000000000004">
      <c r="O110"/>
      <c r="P110"/>
      <c r="Q110"/>
      <c r="R110" s="261"/>
    </row>
    <row r="111" spans="15:18" x14ac:dyDescent="0.55000000000000004">
      <c r="O111"/>
      <c r="P111"/>
      <c r="Q111"/>
      <c r="R111" s="261"/>
    </row>
    <row r="112" spans="15:18" x14ac:dyDescent="0.55000000000000004">
      <c r="O112"/>
      <c r="P112"/>
      <c r="Q112"/>
      <c r="R112" s="261"/>
    </row>
    <row r="113" spans="15:18" x14ac:dyDescent="0.55000000000000004">
      <c r="O113"/>
      <c r="P113"/>
      <c r="Q113"/>
      <c r="R113" s="261"/>
    </row>
    <row r="114" spans="15:18" x14ac:dyDescent="0.55000000000000004">
      <c r="O114"/>
      <c r="P114"/>
      <c r="Q114"/>
      <c r="R114" s="261"/>
    </row>
    <row r="115" spans="15:18" x14ac:dyDescent="0.55000000000000004">
      <c r="O115"/>
      <c r="P115"/>
      <c r="Q115"/>
      <c r="R115" s="261"/>
    </row>
    <row r="116" spans="15:18" x14ac:dyDescent="0.55000000000000004">
      <c r="O116"/>
      <c r="P116"/>
      <c r="Q116"/>
      <c r="R116" s="261"/>
    </row>
    <row r="117" spans="15:18" x14ac:dyDescent="0.55000000000000004">
      <c r="O117"/>
      <c r="P117"/>
      <c r="Q117"/>
      <c r="R117" s="261"/>
    </row>
    <row r="118" spans="15:18" x14ac:dyDescent="0.55000000000000004">
      <c r="O118"/>
      <c r="P118"/>
      <c r="Q118"/>
      <c r="R118" s="261"/>
    </row>
    <row r="119" spans="15:18" x14ac:dyDescent="0.55000000000000004">
      <c r="O119"/>
      <c r="P119"/>
      <c r="Q119"/>
      <c r="R119" s="261"/>
    </row>
    <row r="120" spans="15:18" x14ac:dyDescent="0.55000000000000004">
      <c r="O120"/>
      <c r="P120"/>
      <c r="Q120"/>
      <c r="R120" s="261"/>
    </row>
    <row r="121" spans="15:18" x14ac:dyDescent="0.55000000000000004">
      <c r="O121"/>
      <c r="P121"/>
      <c r="Q121"/>
      <c r="R121" s="261"/>
    </row>
    <row r="122" spans="15:18" x14ac:dyDescent="0.55000000000000004">
      <c r="O122"/>
      <c r="P122"/>
      <c r="Q122"/>
      <c r="R122" s="261"/>
    </row>
    <row r="123" spans="15:18" x14ac:dyDescent="0.55000000000000004">
      <c r="O123"/>
      <c r="P123"/>
      <c r="Q123"/>
      <c r="R123" s="261"/>
    </row>
    <row r="124" spans="15:18" x14ac:dyDescent="0.55000000000000004">
      <c r="O124"/>
      <c r="P124"/>
      <c r="Q124"/>
      <c r="R124" s="261"/>
    </row>
    <row r="125" spans="15:18" x14ac:dyDescent="0.55000000000000004">
      <c r="O125"/>
      <c r="P125"/>
      <c r="Q125"/>
      <c r="R125" s="261"/>
    </row>
    <row r="126" spans="15:18" x14ac:dyDescent="0.55000000000000004">
      <c r="O126"/>
      <c r="P126"/>
      <c r="Q126"/>
      <c r="R126" s="261"/>
    </row>
    <row r="127" spans="15:18" x14ac:dyDescent="0.55000000000000004">
      <c r="O127"/>
      <c r="P127"/>
      <c r="Q127"/>
      <c r="R127" s="261"/>
    </row>
    <row r="128" spans="15:18" x14ac:dyDescent="0.55000000000000004">
      <c r="O128"/>
      <c r="P128"/>
      <c r="Q128"/>
      <c r="R128" s="261"/>
    </row>
    <row r="129" spans="15:18" x14ac:dyDescent="0.55000000000000004">
      <c r="O129"/>
      <c r="P129"/>
      <c r="Q129"/>
      <c r="R129" s="261"/>
    </row>
    <row r="130" spans="15:18" x14ac:dyDescent="0.55000000000000004">
      <c r="O130"/>
      <c r="P130"/>
      <c r="Q130"/>
      <c r="R130" s="261"/>
    </row>
    <row r="131" spans="15:18" x14ac:dyDescent="0.55000000000000004">
      <c r="O131"/>
      <c r="P131"/>
      <c r="Q131"/>
      <c r="R131" s="261"/>
    </row>
    <row r="132" spans="15:18" x14ac:dyDescent="0.55000000000000004">
      <c r="O132"/>
      <c r="P132"/>
      <c r="Q132"/>
      <c r="R132" s="261"/>
    </row>
    <row r="133" spans="15:18" x14ac:dyDescent="0.55000000000000004">
      <c r="O133"/>
      <c r="P133"/>
      <c r="Q133"/>
      <c r="R133" s="261"/>
    </row>
    <row r="134" spans="15:18" x14ac:dyDescent="0.55000000000000004">
      <c r="O134"/>
      <c r="P134"/>
      <c r="Q134"/>
      <c r="R134" s="261"/>
    </row>
    <row r="135" spans="15:18" x14ac:dyDescent="0.55000000000000004">
      <c r="O135"/>
      <c r="P135"/>
      <c r="Q135"/>
      <c r="R135" s="261"/>
    </row>
    <row r="136" spans="15:18" x14ac:dyDescent="0.55000000000000004">
      <c r="O136"/>
      <c r="P136"/>
      <c r="Q136"/>
      <c r="R136" s="261"/>
    </row>
    <row r="137" spans="15:18" x14ac:dyDescent="0.55000000000000004">
      <c r="O137"/>
      <c r="P137"/>
      <c r="Q137"/>
      <c r="R137" s="261"/>
    </row>
    <row r="138" spans="15:18" x14ac:dyDescent="0.55000000000000004">
      <c r="O138"/>
      <c r="P138"/>
      <c r="Q138"/>
      <c r="R138" s="261"/>
    </row>
    <row r="139" spans="15:18" x14ac:dyDescent="0.55000000000000004">
      <c r="O139"/>
      <c r="P139"/>
      <c r="Q139"/>
      <c r="R139" s="261"/>
    </row>
    <row r="140" spans="15:18" x14ac:dyDescent="0.55000000000000004">
      <c r="O140"/>
      <c r="P140"/>
      <c r="Q140"/>
      <c r="R140" s="261"/>
    </row>
    <row r="141" spans="15:18" x14ac:dyDescent="0.55000000000000004">
      <c r="O141"/>
      <c r="P141"/>
      <c r="Q141"/>
      <c r="R141" s="261"/>
    </row>
    <row r="142" spans="15:18" x14ac:dyDescent="0.55000000000000004">
      <c r="O142"/>
      <c r="P142"/>
      <c r="Q142"/>
      <c r="R142" s="261"/>
    </row>
    <row r="143" spans="15:18" x14ac:dyDescent="0.55000000000000004">
      <c r="O143"/>
      <c r="P143"/>
      <c r="Q143"/>
      <c r="R143" s="261"/>
    </row>
    <row r="144" spans="15:18" x14ac:dyDescent="0.55000000000000004">
      <c r="O144"/>
      <c r="P144"/>
      <c r="Q144"/>
      <c r="R144" s="261"/>
    </row>
    <row r="145" spans="15:18" x14ac:dyDescent="0.55000000000000004">
      <c r="O145"/>
      <c r="P145"/>
      <c r="Q145"/>
      <c r="R145" s="261"/>
    </row>
    <row r="146" spans="15:18" x14ac:dyDescent="0.55000000000000004">
      <c r="O146"/>
      <c r="P146"/>
      <c r="Q146"/>
      <c r="R146" s="261"/>
    </row>
    <row r="147" spans="15:18" x14ac:dyDescent="0.55000000000000004">
      <c r="O147"/>
      <c r="P147"/>
      <c r="Q147"/>
      <c r="R147" s="261"/>
    </row>
    <row r="148" spans="15:18" x14ac:dyDescent="0.55000000000000004">
      <c r="O148"/>
      <c r="P148"/>
      <c r="Q148"/>
      <c r="R148" s="261"/>
    </row>
    <row r="149" spans="15:18" x14ac:dyDescent="0.55000000000000004">
      <c r="O149"/>
      <c r="P149"/>
      <c r="Q149"/>
      <c r="R149" s="261"/>
    </row>
    <row r="150" spans="15:18" x14ac:dyDescent="0.55000000000000004">
      <c r="O150"/>
      <c r="P150"/>
      <c r="Q150"/>
      <c r="R150" s="261"/>
    </row>
    <row r="151" spans="15:18" x14ac:dyDescent="0.55000000000000004">
      <c r="O151"/>
      <c r="P151"/>
      <c r="Q151"/>
      <c r="R151" s="261"/>
    </row>
    <row r="152" spans="15:18" x14ac:dyDescent="0.55000000000000004">
      <c r="O152"/>
      <c r="P152"/>
      <c r="Q152"/>
      <c r="R152" s="261"/>
    </row>
    <row r="153" spans="15:18" x14ac:dyDescent="0.55000000000000004">
      <c r="O153"/>
      <c r="P153"/>
      <c r="Q153"/>
      <c r="R153" s="261"/>
    </row>
    <row r="154" spans="15:18" x14ac:dyDescent="0.55000000000000004">
      <c r="O154"/>
      <c r="P154"/>
      <c r="Q154"/>
      <c r="R154" s="261"/>
    </row>
    <row r="155" spans="15:18" x14ac:dyDescent="0.55000000000000004">
      <c r="O155"/>
      <c r="P155"/>
      <c r="Q155"/>
      <c r="R155" s="261"/>
    </row>
    <row r="156" spans="15:18" x14ac:dyDescent="0.55000000000000004">
      <c r="O156"/>
      <c r="P156"/>
      <c r="Q156"/>
      <c r="R156" s="261"/>
    </row>
    <row r="157" spans="15:18" x14ac:dyDescent="0.55000000000000004">
      <c r="O157"/>
      <c r="P157"/>
      <c r="Q157"/>
      <c r="R157" s="261"/>
    </row>
    <row r="158" spans="15:18" x14ac:dyDescent="0.55000000000000004">
      <c r="O158"/>
      <c r="P158"/>
      <c r="Q158"/>
      <c r="R158" s="261"/>
    </row>
    <row r="159" spans="15:18" x14ac:dyDescent="0.55000000000000004">
      <c r="O159"/>
      <c r="P159"/>
      <c r="Q159"/>
      <c r="R159" s="261"/>
    </row>
    <row r="160" spans="15:18" x14ac:dyDescent="0.55000000000000004">
      <c r="O160"/>
      <c r="P160"/>
      <c r="Q160"/>
      <c r="R160" s="261"/>
    </row>
    <row r="161" spans="15:18" x14ac:dyDescent="0.55000000000000004">
      <c r="O161"/>
      <c r="P161"/>
      <c r="Q161"/>
      <c r="R161" s="261"/>
    </row>
    <row r="162" spans="15:18" x14ac:dyDescent="0.55000000000000004">
      <c r="O162"/>
      <c r="P162"/>
      <c r="Q162"/>
      <c r="R162" s="261"/>
    </row>
    <row r="163" spans="15:18" x14ac:dyDescent="0.55000000000000004">
      <c r="O163"/>
      <c r="P163"/>
      <c r="Q163"/>
      <c r="R163" s="261"/>
    </row>
    <row r="164" spans="15:18" x14ac:dyDescent="0.55000000000000004">
      <c r="O164"/>
      <c r="P164"/>
      <c r="Q164"/>
      <c r="R164" s="261"/>
    </row>
    <row r="165" spans="15:18" x14ac:dyDescent="0.55000000000000004">
      <c r="O165"/>
      <c r="P165"/>
      <c r="Q165"/>
      <c r="R165" s="261"/>
    </row>
    <row r="166" spans="15:18" x14ac:dyDescent="0.55000000000000004">
      <c r="O166"/>
      <c r="P166"/>
      <c r="Q166"/>
      <c r="R166" s="261"/>
    </row>
    <row r="167" spans="15:18" x14ac:dyDescent="0.55000000000000004">
      <c r="O167"/>
      <c r="P167"/>
      <c r="Q167"/>
      <c r="R167" s="261"/>
    </row>
    <row r="168" spans="15:18" x14ac:dyDescent="0.55000000000000004">
      <c r="O168"/>
      <c r="P168"/>
      <c r="Q168"/>
      <c r="R168" s="261"/>
    </row>
    <row r="169" spans="15:18" x14ac:dyDescent="0.55000000000000004">
      <c r="O169"/>
      <c r="P169"/>
      <c r="Q169"/>
      <c r="R169" s="261"/>
    </row>
    <row r="170" spans="15:18" x14ac:dyDescent="0.55000000000000004">
      <c r="O170"/>
      <c r="P170"/>
      <c r="Q170"/>
      <c r="R170" s="261"/>
    </row>
    <row r="171" spans="15:18" x14ac:dyDescent="0.55000000000000004">
      <c r="O171"/>
      <c r="P171"/>
      <c r="Q171"/>
      <c r="R171" s="261"/>
    </row>
    <row r="172" spans="15:18" x14ac:dyDescent="0.55000000000000004">
      <c r="O172"/>
      <c r="P172"/>
      <c r="Q172"/>
      <c r="R172" s="261"/>
    </row>
    <row r="173" spans="15:18" x14ac:dyDescent="0.55000000000000004">
      <c r="O173"/>
      <c r="P173"/>
      <c r="Q173"/>
      <c r="R173" s="261"/>
    </row>
    <row r="174" spans="15:18" x14ac:dyDescent="0.55000000000000004">
      <c r="O174"/>
      <c r="P174"/>
      <c r="Q174"/>
      <c r="R174" s="261"/>
    </row>
    <row r="175" spans="15:18" x14ac:dyDescent="0.55000000000000004">
      <c r="O175"/>
      <c r="P175"/>
      <c r="Q175"/>
      <c r="R175" s="261"/>
    </row>
    <row r="176" spans="15:18" x14ac:dyDescent="0.55000000000000004">
      <c r="O176"/>
      <c r="P176"/>
      <c r="Q176"/>
      <c r="R176" s="261"/>
    </row>
    <row r="177" spans="15:18" x14ac:dyDescent="0.55000000000000004">
      <c r="O177"/>
      <c r="P177"/>
      <c r="Q177"/>
      <c r="R177" s="261"/>
    </row>
    <row r="178" spans="15:18" x14ac:dyDescent="0.55000000000000004">
      <c r="O178"/>
      <c r="P178"/>
      <c r="Q178"/>
      <c r="R178" s="261"/>
    </row>
    <row r="179" spans="15:18" x14ac:dyDescent="0.55000000000000004">
      <c r="O179"/>
      <c r="P179"/>
      <c r="Q179"/>
      <c r="R179" s="261"/>
    </row>
    <row r="180" spans="15:18" x14ac:dyDescent="0.55000000000000004">
      <c r="O180"/>
      <c r="P180"/>
      <c r="Q180"/>
      <c r="R180" s="261"/>
    </row>
    <row r="181" spans="15:18" x14ac:dyDescent="0.55000000000000004">
      <c r="O181"/>
      <c r="P181"/>
      <c r="Q181"/>
      <c r="R181" s="261"/>
    </row>
    <row r="182" spans="15:18" x14ac:dyDescent="0.55000000000000004">
      <c r="O182"/>
      <c r="P182"/>
      <c r="Q182"/>
      <c r="R182" s="261"/>
    </row>
    <row r="183" spans="15:18" x14ac:dyDescent="0.55000000000000004">
      <c r="O183"/>
      <c r="P183"/>
      <c r="Q183"/>
      <c r="R183" s="261"/>
    </row>
    <row r="184" spans="15:18" x14ac:dyDescent="0.55000000000000004">
      <c r="O184"/>
      <c r="P184"/>
      <c r="Q184"/>
      <c r="R184" s="261"/>
    </row>
    <row r="185" spans="15:18" x14ac:dyDescent="0.55000000000000004">
      <c r="O185"/>
      <c r="P185"/>
      <c r="Q185"/>
      <c r="R185" s="261"/>
    </row>
    <row r="186" spans="15:18" x14ac:dyDescent="0.55000000000000004">
      <c r="O186"/>
      <c r="P186"/>
      <c r="Q186"/>
      <c r="R186" s="261"/>
    </row>
    <row r="187" spans="15:18" x14ac:dyDescent="0.55000000000000004">
      <c r="O187"/>
      <c r="P187"/>
      <c r="Q187"/>
      <c r="R187" s="261"/>
    </row>
    <row r="188" spans="15:18" x14ac:dyDescent="0.55000000000000004">
      <c r="O188"/>
      <c r="P188"/>
      <c r="Q188"/>
      <c r="R188" s="261"/>
    </row>
    <row r="189" spans="15:18" x14ac:dyDescent="0.55000000000000004">
      <c r="O189"/>
      <c r="P189"/>
      <c r="Q189"/>
      <c r="R189" s="261"/>
    </row>
    <row r="190" spans="15:18" x14ac:dyDescent="0.55000000000000004">
      <c r="O190"/>
      <c r="P190"/>
      <c r="Q190"/>
      <c r="R190" s="261"/>
    </row>
    <row r="191" spans="15:18" x14ac:dyDescent="0.55000000000000004">
      <c r="O191"/>
      <c r="P191"/>
      <c r="Q191"/>
      <c r="R191" s="261"/>
    </row>
    <row r="192" spans="15:18" x14ac:dyDescent="0.55000000000000004">
      <c r="O192"/>
      <c r="P192"/>
      <c r="Q192"/>
      <c r="R192" s="261"/>
    </row>
    <row r="193" spans="15:18" x14ac:dyDescent="0.55000000000000004">
      <c r="O193"/>
      <c r="P193"/>
      <c r="Q193"/>
      <c r="R193" s="261"/>
    </row>
    <row r="194" spans="15:18" x14ac:dyDescent="0.55000000000000004">
      <c r="O194"/>
      <c r="P194"/>
      <c r="Q194"/>
      <c r="R194" s="261"/>
    </row>
    <row r="195" spans="15:18" x14ac:dyDescent="0.55000000000000004">
      <c r="O195"/>
      <c r="P195"/>
      <c r="Q195"/>
      <c r="R195" s="261"/>
    </row>
    <row r="196" spans="15:18" x14ac:dyDescent="0.55000000000000004">
      <c r="O196"/>
      <c r="P196"/>
      <c r="Q196"/>
      <c r="R196" s="261"/>
    </row>
    <row r="197" spans="15:18" x14ac:dyDescent="0.55000000000000004">
      <c r="O197"/>
      <c r="P197"/>
      <c r="Q197"/>
      <c r="R197" s="261"/>
    </row>
    <row r="198" spans="15:18" x14ac:dyDescent="0.55000000000000004">
      <c r="O198"/>
      <c r="P198"/>
      <c r="Q198"/>
      <c r="R198" s="261"/>
    </row>
    <row r="199" spans="15:18" x14ac:dyDescent="0.55000000000000004">
      <c r="O199"/>
      <c r="P199"/>
      <c r="Q199"/>
      <c r="R199" s="261"/>
    </row>
    <row r="200" spans="15:18" x14ac:dyDescent="0.55000000000000004">
      <c r="O200"/>
      <c r="P200"/>
      <c r="Q200"/>
      <c r="R200" s="261"/>
    </row>
    <row r="201" spans="15:18" x14ac:dyDescent="0.55000000000000004">
      <c r="O201"/>
      <c r="P201"/>
      <c r="Q201"/>
      <c r="R201" s="261"/>
    </row>
    <row r="202" spans="15:18" x14ac:dyDescent="0.55000000000000004">
      <c r="O202"/>
      <c r="P202"/>
      <c r="Q202"/>
      <c r="R202" s="261"/>
    </row>
    <row r="203" spans="15:18" x14ac:dyDescent="0.55000000000000004">
      <c r="O203"/>
      <c r="P203"/>
      <c r="Q203"/>
      <c r="R203" s="261"/>
    </row>
    <row r="204" spans="15:18" x14ac:dyDescent="0.55000000000000004">
      <c r="O204"/>
      <c r="P204"/>
      <c r="Q204"/>
      <c r="R204" s="261"/>
    </row>
    <row r="205" spans="15:18" x14ac:dyDescent="0.55000000000000004">
      <c r="O205"/>
      <c r="P205"/>
      <c r="Q205"/>
      <c r="R205" s="261"/>
    </row>
    <row r="206" spans="15:18" x14ac:dyDescent="0.55000000000000004">
      <c r="O206"/>
      <c r="P206"/>
      <c r="Q206"/>
      <c r="R206" s="261"/>
    </row>
    <row r="207" spans="15:18" x14ac:dyDescent="0.55000000000000004">
      <c r="O207"/>
      <c r="P207"/>
      <c r="Q207"/>
      <c r="R207" s="261"/>
    </row>
    <row r="208" spans="15:18" x14ac:dyDescent="0.55000000000000004">
      <c r="O208"/>
      <c r="P208"/>
      <c r="Q208"/>
      <c r="R208" s="261"/>
    </row>
    <row r="209" spans="15:18" x14ac:dyDescent="0.55000000000000004">
      <c r="O209"/>
      <c r="P209"/>
      <c r="Q209"/>
      <c r="R209" s="261"/>
    </row>
    <row r="210" spans="15:18" x14ac:dyDescent="0.55000000000000004">
      <c r="O210"/>
      <c r="P210"/>
      <c r="Q210"/>
      <c r="R210" s="261"/>
    </row>
    <row r="211" spans="15:18" x14ac:dyDescent="0.55000000000000004">
      <c r="O211"/>
      <c r="P211"/>
      <c r="Q211"/>
      <c r="R211" s="261"/>
    </row>
    <row r="212" spans="15:18" x14ac:dyDescent="0.55000000000000004">
      <c r="O212"/>
      <c r="P212"/>
      <c r="Q212"/>
      <c r="R212" s="261"/>
    </row>
    <row r="213" spans="15:18" x14ac:dyDescent="0.55000000000000004">
      <c r="O213"/>
      <c r="P213"/>
      <c r="Q213"/>
      <c r="R213" s="261"/>
    </row>
    <row r="214" spans="15:18" x14ac:dyDescent="0.55000000000000004">
      <c r="O214"/>
      <c r="P214"/>
      <c r="Q214"/>
      <c r="R214" s="261"/>
    </row>
    <row r="215" spans="15:18" x14ac:dyDescent="0.55000000000000004">
      <c r="O215"/>
      <c r="P215"/>
      <c r="Q215"/>
      <c r="R215" s="261"/>
    </row>
    <row r="216" spans="15:18" x14ac:dyDescent="0.55000000000000004">
      <c r="O216"/>
      <c r="P216"/>
      <c r="Q216"/>
      <c r="R216" s="261"/>
    </row>
    <row r="217" spans="15:18" x14ac:dyDescent="0.55000000000000004">
      <c r="O217"/>
      <c r="P217"/>
      <c r="Q217"/>
      <c r="R217" s="261"/>
    </row>
    <row r="218" spans="15:18" x14ac:dyDescent="0.55000000000000004">
      <c r="O218"/>
      <c r="P218"/>
      <c r="Q218"/>
      <c r="R218" s="261"/>
    </row>
    <row r="219" spans="15:18" x14ac:dyDescent="0.55000000000000004">
      <c r="O219"/>
      <c r="P219"/>
      <c r="Q219"/>
      <c r="R219" s="261"/>
    </row>
    <row r="220" spans="15:18" x14ac:dyDescent="0.55000000000000004">
      <c r="O220"/>
      <c r="P220"/>
      <c r="Q220"/>
      <c r="R220" s="261"/>
    </row>
    <row r="221" spans="15:18" x14ac:dyDescent="0.55000000000000004">
      <c r="O221"/>
      <c r="P221"/>
      <c r="Q221"/>
      <c r="R221" s="261"/>
    </row>
    <row r="222" spans="15:18" x14ac:dyDescent="0.55000000000000004">
      <c r="O222"/>
      <c r="P222"/>
      <c r="Q222"/>
      <c r="R222" s="261"/>
    </row>
    <row r="223" spans="15:18" x14ac:dyDescent="0.55000000000000004">
      <c r="O223"/>
      <c r="P223"/>
      <c r="Q223"/>
      <c r="R223" s="261"/>
    </row>
    <row r="224" spans="15:18" x14ac:dyDescent="0.55000000000000004">
      <c r="O224"/>
      <c r="P224"/>
      <c r="Q224"/>
      <c r="R224" s="261"/>
    </row>
    <row r="225" spans="15:18" x14ac:dyDescent="0.55000000000000004">
      <c r="O225"/>
      <c r="P225"/>
      <c r="Q225"/>
      <c r="R225" s="261"/>
    </row>
    <row r="226" spans="15:18" x14ac:dyDescent="0.55000000000000004">
      <c r="O226"/>
      <c r="P226"/>
      <c r="Q226"/>
      <c r="R226" s="261"/>
    </row>
    <row r="227" spans="15:18" x14ac:dyDescent="0.55000000000000004">
      <c r="O227"/>
      <c r="P227"/>
      <c r="Q227"/>
      <c r="R227" s="261"/>
    </row>
    <row r="228" spans="15:18" x14ac:dyDescent="0.55000000000000004">
      <c r="O228"/>
      <c r="P228"/>
      <c r="Q228"/>
      <c r="R228" s="261"/>
    </row>
    <row r="229" spans="15:18" x14ac:dyDescent="0.55000000000000004">
      <c r="O229"/>
      <c r="P229"/>
      <c r="Q229"/>
      <c r="R229" s="261"/>
    </row>
    <row r="230" spans="15:18" x14ac:dyDescent="0.55000000000000004">
      <c r="O230"/>
      <c r="P230"/>
      <c r="Q230"/>
      <c r="R230" s="261"/>
    </row>
    <row r="231" spans="15:18" x14ac:dyDescent="0.55000000000000004">
      <c r="O231"/>
      <c r="P231"/>
      <c r="Q231"/>
      <c r="R231" s="261"/>
    </row>
    <row r="232" spans="15:18" x14ac:dyDescent="0.55000000000000004">
      <c r="O232"/>
      <c r="P232"/>
      <c r="Q232"/>
      <c r="R232" s="261"/>
    </row>
    <row r="233" spans="15:18" x14ac:dyDescent="0.55000000000000004">
      <c r="O233"/>
      <c r="P233"/>
      <c r="Q233"/>
      <c r="R233" s="261"/>
    </row>
    <row r="234" spans="15:18" x14ac:dyDescent="0.55000000000000004">
      <c r="O234"/>
      <c r="P234"/>
      <c r="Q234"/>
      <c r="R234" s="261"/>
    </row>
    <row r="235" spans="15:18" x14ac:dyDescent="0.55000000000000004">
      <c r="O235"/>
      <c r="P235"/>
      <c r="Q235"/>
      <c r="R235" s="261"/>
    </row>
    <row r="236" spans="15:18" x14ac:dyDescent="0.55000000000000004">
      <c r="O236"/>
      <c r="P236"/>
      <c r="Q236"/>
      <c r="R236" s="261"/>
    </row>
    <row r="237" spans="15:18" x14ac:dyDescent="0.55000000000000004">
      <c r="O237"/>
      <c r="P237"/>
      <c r="Q237"/>
      <c r="R237" s="261"/>
    </row>
    <row r="238" spans="15:18" x14ac:dyDescent="0.55000000000000004">
      <c r="O238"/>
      <c r="P238"/>
      <c r="Q238"/>
      <c r="R238" s="261"/>
    </row>
    <row r="239" spans="15:18" x14ac:dyDescent="0.55000000000000004">
      <c r="O239"/>
      <c r="P239"/>
      <c r="Q239"/>
      <c r="R239" s="261"/>
    </row>
    <row r="240" spans="15:18" x14ac:dyDescent="0.55000000000000004">
      <c r="O240"/>
      <c r="P240"/>
      <c r="Q240"/>
      <c r="R240" s="261"/>
    </row>
    <row r="241" spans="15:18" x14ac:dyDescent="0.55000000000000004">
      <c r="O241"/>
      <c r="P241"/>
      <c r="Q241"/>
      <c r="R241" s="261"/>
    </row>
    <row r="242" spans="15:18" x14ac:dyDescent="0.55000000000000004">
      <c r="O242"/>
      <c r="P242"/>
      <c r="Q242"/>
      <c r="R242" s="261"/>
    </row>
    <row r="243" spans="15:18" x14ac:dyDescent="0.55000000000000004">
      <c r="O243"/>
      <c r="P243"/>
      <c r="Q243"/>
      <c r="R243" s="261"/>
    </row>
    <row r="244" spans="15:18" x14ac:dyDescent="0.55000000000000004">
      <c r="O244"/>
      <c r="P244"/>
      <c r="Q244"/>
      <c r="R244" s="261"/>
    </row>
    <row r="245" spans="15:18" x14ac:dyDescent="0.55000000000000004">
      <c r="O245"/>
      <c r="P245"/>
      <c r="Q245"/>
      <c r="R245" s="261"/>
    </row>
    <row r="246" spans="15:18" x14ac:dyDescent="0.55000000000000004">
      <c r="O246"/>
      <c r="P246"/>
      <c r="Q246"/>
      <c r="R246" s="261"/>
    </row>
    <row r="247" spans="15:18" x14ac:dyDescent="0.55000000000000004">
      <c r="O247"/>
      <c r="P247"/>
      <c r="Q247"/>
      <c r="R247" s="261"/>
    </row>
    <row r="248" spans="15:18" x14ac:dyDescent="0.55000000000000004">
      <c r="O248"/>
      <c r="P248"/>
      <c r="Q248"/>
      <c r="R248" s="261"/>
    </row>
    <row r="249" spans="15:18" x14ac:dyDescent="0.55000000000000004">
      <c r="O249"/>
      <c r="P249"/>
      <c r="Q249"/>
      <c r="R249" s="261"/>
    </row>
    <row r="250" spans="15:18" x14ac:dyDescent="0.55000000000000004">
      <c r="O250"/>
      <c r="P250"/>
      <c r="Q250"/>
      <c r="R250" s="261"/>
    </row>
    <row r="251" spans="15:18" x14ac:dyDescent="0.55000000000000004">
      <c r="O251"/>
      <c r="P251"/>
      <c r="Q251"/>
      <c r="R251" s="261"/>
    </row>
    <row r="252" spans="15:18" x14ac:dyDescent="0.55000000000000004">
      <c r="O252"/>
      <c r="P252"/>
      <c r="Q252"/>
      <c r="R252" s="261"/>
    </row>
    <row r="253" spans="15:18" x14ac:dyDescent="0.55000000000000004">
      <c r="O253"/>
      <c r="P253"/>
      <c r="Q253"/>
      <c r="R253" s="261"/>
    </row>
    <row r="254" spans="15:18" x14ac:dyDescent="0.55000000000000004">
      <c r="O254"/>
      <c r="P254"/>
      <c r="Q254"/>
      <c r="R254" s="261"/>
    </row>
    <row r="255" spans="15:18" x14ac:dyDescent="0.55000000000000004">
      <c r="O255"/>
      <c r="P255"/>
      <c r="Q255"/>
      <c r="R255" s="261"/>
    </row>
    <row r="256" spans="15:18" x14ac:dyDescent="0.55000000000000004">
      <c r="O256"/>
      <c r="P256"/>
      <c r="Q256"/>
      <c r="R256" s="261"/>
    </row>
    <row r="257" spans="15:18" x14ac:dyDescent="0.55000000000000004">
      <c r="O257"/>
      <c r="P257"/>
      <c r="Q257"/>
      <c r="R257" s="261"/>
    </row>
    <row r="258" spans="15:18" x14ac:dyDescent="0.55000000000000004">
      <c r="O258"/>
      <c r="P258"/>
      <c r="Q258"/>
      <c r="R258" s="261"/>
    </row>
    <row r="259" spans="15:18" x14ac:dyDescent="0.55000000000000004">
      <c r="O259"/>
      <c r="P259"/>
      <c r="Q259"/>
      <c r="R259" s="261"/>
    </row>
    <row r="260" spans="15:18" x14ac:dyDescent="0.55000000000000004">
      <c r="O260"/>
      <c r="P260"/>
      <c r="Q260"/>
      <c r="R260" s="261"/>
    </row>
    <row r="261" spans="15:18" x14ac:dyDescent="0.55000000000000004">
      <c r="O261"/>
      <c r="P261"/>
      <c r="Q261"/>
      <c r="R261" s="261"/>
    </row>
    <row r="262" spans="15:18" x14ac:dyDescent="0.55000000000000004">
      <c r="O262"/>
      <c r="P262"/>
      <c r="Q262"/>
      <c r="R262" s="261"/>
    </row>
    <row r="263" spans="15:18" x14ac:dyDescent="0.55000000000000004">
      <c r="O263"/>
      <c r="P263"/>
      <c r="Q263"/>
      <c r="R263" s="261"/>
    </row>
    <row r="264" spans="15:18" x14ac:dyDescent="0.55000000000000004">
      <c r="O264"/>
      <c r="P264"/>
      <c r="Q264"/>
      <c r="R264" s="261"/>
    </row>
    <row r="265" spans="15:18" x14ac:dyDescent="0.55000000000000004">
      <c r="O265"/>
      <c r="P265"/>
      <c r="Q265"/>
      <c r="R265" s="261"/>
    </row>
    <row r="266" spans="15:18" x14ac:dyDescent="0.55000000000000004">
      <c r="O266"/>
      <c r="P266"/>
      <c r="Q266"/>
      <c r="R266" s="261"/>
    </row>
    <row r="267" spans="15:18" x14ac:dyDescent="0.55000000000000004">
      <c r="O267"/>
      <c r="P267"/>
      <c r="Q267"/>
      <c r="R267" s="261"/>
    </row>
    <row r="268" spans="15:18" x14ac:dyDescent="0.55000000000000004">
      <c r="O268"/>
      <c r="P268"/>
      <c r="Q268"/>
      <c r="R268" s="261"/>
    </row>
    <row r="269" spans="15:18" x14ac:dyDescent="0.55000000000000004">
      <c r="O269"/>
      <c r="P269"/>
      <c r="Q269"/>
      <c r="R269" s="261"/>
    </row>
    <row r="270" spans="15:18" x14ac:dyDescent="0.55000000000000004">
      <c r="O270"/>
      <c r="P270"/>
      <c r="Q270"/>
      <c r="R270" s="261"/>
    </row>
    <row r="271" spans="15:18" x14ac:dyDescent="0.55000000000000004">
      <c r="O271"/>
      <c r="P271"/>
      <c r="Q271"/>
      <c r="R271" s="261"/>
    </row>
    <row r="272" spans="15:18" x14ac:dyDescent="0.55000000000000004">
      <c r="O272"/>
      <c r="P272"/>
      <c r="Q272"/>
      <c r="R272" s="261"/>
    </row>
    <row r="273" spans="15:18" x14ac:dyDescent="0.55000000000000004">
      <c r="O273"/>
      <c r="P273"/>
      <c r="Q273"/>
      <c r="R273" s="261"/>
    </row>
    <row r="274" spans="15:18" x14ac:dyDescent="0.55000000000000004">
      <c r="O274"/>
      <c r="P274"/>
      <c r="Q274"/>
      <c r="R274" s="261"/>
    </row>
    <row r="275" spans="15:18" x14ac:dyDescent="0.55000000000000004">
      <c r="O275"/>
      <c r="P275"/>
      <c r="Q275"/>
      <c r="R275" s="261"/>
    </row>
    <row r="276" spans="15:18" x14ac:dyDescent="0.55000000000000004">
      <c r="O276"/>
      <c r="P276"/>
      <c r="Q276"/>
      <c r="R276" s="261"/>
    </row>
    <row r="277" spans="15:18" x14ac:dyDescent="0.55000000000000004">
      <c r="O277"/>
      <c r="P277"/>
      <c r="Q277"/>
      <c r="R277" s="261"/>
    </row>
    <row r="278" spans="15:18" x14ac:dyDescent="0.55000000000000004">
      <c r="O278"/>
      <c r="P278"/>
      <c r="Q278"/>
      <c r="R278" s="261"/>
    </row>
    <row r="279" spans="15:18" x14ac:dyDescent="0.55000000000000004">
      <c r="O279"/>
      <c r="P279"/>
      <c r="Q279"/>
      <c r="R279" s="261"/>
    </row>
    <row r="280" spans="15:18" x14ac:dyDescent="0.55000000000000004">
      <c r="O280"/>
      <c r="P280"/>
      <c r="Q280"/>
      <c r="R280" s="261"/>
    </row>
    <row r="281" spans="15:18" x14ac:dyDescent="0.55000000000000004">
      <c r="O281"/>
      <c r="P281"/>
      <c r="Q281"/>
      <c r="R281" s="261"/>
    </row>
  </sheetData>
  <mergeCells count="3">
    <mergeCell ref="A1:B1"/>
    <mergeCell ref="A2:D2"/>
    <mergeCell ref="O1:R1"/>
  </mergeCells>
  <pageMargins left="0.7" right="0.7" top="0.75" bottom="0.28000000000000003" header="0.3" footer="0.3"/>
  <pageSetup scale="60" orientation="portrait" verticalDpi="0" r:id="rId2"/>
  <ignoredErrors>
    <ignoredError sqref="Q16 Q14" calculatedColumn="1"/>
  </ignoredErrors>
  <drawing r:id="rId3"/>
  <tableParts count="2">
    <tablePart r:id="rId4"/>
    <tablePart r:id="rId5"/>
  </tableParts>
  <extLst>
    <ext xmlns:x14="http://schemas.microsoft.com/office/spreadsheetml/2009/9/main" uri="{CCE6A557-97BC-4b89-ADB6-D9C93CAAB3DF}">
      <x14:dataValidations xmlns:xm="http://schemas.microsoft.com/office/excel/2006/main" count="2">
        <x14:dataValidation type="list" allowBlank="1" showInputMessage="1" showErrorMessage="1">
          <x14:formula1>
            <xm:f>Sheet4!$A$1:$A$4</xm:f>
          </x14:formula1>
          <xm:sqref>I3:I4</xm:sqref>
        </x14:dataValidation>
        <x14:dataValidation type="list" allowBlank="1" showInputMessage="1" showErrorMessage="1">
          <x14:formula1>
            <xm:f>Sheet4!$B$1:$B$9</xm:f>
          </x14:formula1>
          <xm:sqref>J3:J4</xm:sqref>
        </x14:dataValidation>
      </x14:dataValidations>
    </ext>
    <ext xmlns:x14="http://schemas.microsoft.com/office/spreadsheetml/2009/9/main" uri="{A8765BA9-456A-4dab-B4F3-ACF838C121DE}">
      <x14:slicerList>
        <x14:slicer r:id="rId6"/>
      </x14:slicerList>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9"/>
  <sheetViews>
    <sheetView workbookViewId="0">
      <selection activeCell="B7" sqref="B7"/>
    </sheetView>
  </sheetViews>
  <sheetFormatPr defaultColWidth="9.140625" defaultRowHeight="21.75" x14ac:dyDescent="0.55000000000000004"/>
  <cols>
    <col min="1" max="1" width="16.140625" style="592" customWidth="1"/>
    <col min="2" max="2" width="36.28515625" style="592" customWidth="1"/>
    <col min="3" max="16384" width="9.140625" style="592"/>
  </cols>
  <sheetData>
    <row r="1" spans="1:2" x14ac:dyDescent="0.55000000000000004">
      <c r="A1" s="592" t="s">
        <v>6119</v>
      </c>
      <c r="B1" s="592" t="s">
        <v>6122</v>
      </c>
    </row>
    <row r="2" spans="1:2" x14ac:dyDescent="0.55000000000000004">
      <c r="A2" s="592" t="s">
        <v>6113</v>
      </c>
      <c r="B2" s="592" t="s">
        <v>6124</v>
      </c>
    </row>
    <row r="3" spans="1:2" x14ac:dyDescent="0.55000000000000004">
      <c r="A3" s="592" t="s">
        <v>6120</v>
      </c>
      <c r="B3" s="592" t="s">
        <v>6121</v>
      </c>
    </row>
    <row r="4" spans="1:2" x14ac:dyDescent="0.55000000000000004">
      <c r="A4" s="592" t="s">
        <v>2460</v>
      </c>
      <c r="B4" s="592" t="s">
        <v>6121</v>
      </c>
    </row>
    <row r="5" spans="1:2" x14ac:dyDescent="0.55000000000000004">
      <c r="B5" s="592" t="s">
        <v>6127</v>
      </c>
    </row>
    <row r="6" spans="1:2" x14ac:dyDescent="0.55000000000000004">
      <c r="B6" s="592" t="s">
        <v>6291</v>
      </c>
    </row>
    <row r="7" spans="1:2" x14ac:dyDescent="0.55000000000000004">
      <c r="B7" s="592" t="s">
        <v>6124</v>
      </c>
    </row>
    <row r="8" spans="1:2" x14ac:dyDescent="0.55000000000000004">
      <c r="B8" s="592" t="s">
        <v>6126</v>
      </c>
    </row>
    <row r="9" spans="1:2" x14ac:dyDescent="0.55000000000000004">
      <c r="B9" s="592" t="s">
        <v>6125</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0"/>
  <sheetViews>
    <sheetView workbookViewId="0">
      <selection sqref="A1:F20"/>
    </sheetView>
  </sheetViews>
  <sheetFormatPr defaultRowHeight="15" x14ac:dyDescent="0.25"/>
  <cols>
    <col min="2" max="2" width="16.28515625" customWidth="1"/>
    <col min="3" max="3" width="10.7109375" customWidth="1"/>
    <col min="4" max="4" width="11.140625" customWidth="1"/>
    <col min="5" max="5" width="11" customWidth="1"/>
    <col min="6" max="6" width="10" customWidth="1"/>
  </cols>
  <sheetData>
    <row r="1" spans="1:6" x14ac:dyDescent="0.25">
      <c r="A1" t="s">
        <v>9</v>
      </c>
      <c r="B1" t="s">
        <v>2065</v>
      </c>
      <c r="C1" t="s">
        <v>10</v>
      </c>
      <c r="D1" t="s">
        <v>8487</v>
      </c>
      <c r="E1" t="s">
        <v>8488</v>
      </c>
      <c r="F1" t="s">
        <v>4</v>
      </c>
    </row>
    <row r="2" spans="1:6" x14ac:dyDescent="0.25">
      <c r="A2">
        <v>1</v>
      </c>
      <c r="B2" t="s">
        <v>2079</v>
      </c>
      <c r="C2">
        <v>0</v>
      </c>
      <c r="D2">
        <v>0</v>
      </c>
      <c r="E2">
        <v>0</v>
      </c>
      <c r="F2">
        <v>0</v>
      </c>
    </row>
    <row r="3" spans="1:6" x14ac:dyDescent="0.25">
      <c r="A3">
        <v>2</v>
      </c>
      <c r="B3" t="s">
        <v>2076</v>
      </c>
      <c r="C3">
        <v>0</v>
      </c>
      <c r="D3">
        <v>0</v>
      </c>
      <c r="E3">
        <v>0</v>
      </c>
      <c r="F3">
        <v>0</v>
      </c>
    </row>
    <row r="4" spans="1:6" x14ac:dyDescent="0.25">
      <c r="A4">
        <v>3</v>
      </c>
      <c r="B4" t="s">
        <v>3019</v>
      </c>
      <c r="C4">
        <v>411000</v>
      </c>
      <c r="D4">
        <v>0</v>
      </c>
      <c r="E4">
        <v>0</v>
      </c>
      <c r="F4">
        <v>411000</v>
      </c>
    </row>
    <row r="5" spans="1:6" x14ac:dyDescent="0.25">
      <c r="A5">
        <v>6</v>
      </c>
      <c r="B5" t="s">
        <v>933</v>
      </c>
      <c r="C5">
        <v>0</v>
      </c>
      <c r="D5">
        <v>3803866</v>
      </c>
      <c r="E5">
        <v>1316800</v>
      </c>
      <c r="F5">
        <v>2487066</v>
      </c>
    </row>
    <row r="6" spans="1:6" x14ac:dyDescent="0.25">
      <c r="A6">
        <v>7</v>
      </c>
      <c r="B6" t="s">
        <v>3020</v>
      </c>
      <c r="C6">
        <v>584300</v>
      </c>
      <c r="D6">
        <v>117000</v>
      </c>
      <c r="E6">
        <v>701300</v>
      </c>
      <c r="F6">
        <v>0</v>
      </c>
    </row>
    <row r="7" spans="1:6" x14ac:dyDescent="0.25">
      <c r="A7">
        <v>8</v>
      </c>
      <c r="B7" t="s">
        <v>2271</v>
      </c>
      <c r="C7">
        <v>0</v>
      </c>
      <c r="D7">
        <v>0</v>
      </c>
      <c r="E7">
        <v>0</v>
      </c>
      <c r="F7">
        <v>0</v>
      </c>
    </row>
    <row r="8" spans="1:6" x14ac:dyDescent="0.25">
      <c r="A8">
        <v>9</v>
      </c>
      <c r="B8" t="s">
        <v>2074</v>
      </c>
      <c r="C8">
        <v>0</v>
      </c>
      <c r="D8">
        <v>0</v>
      </c>
      <c r="E8">
        <v>0</v>
      </c>
      <c r="F8">
        <v>0</v>
      </c>
    </row>
    <row r="9" spans="1:6" x14ac:dyDescent="0.25">
      <c r="A9">
        <v>10</v>
      </c>
      <c r="B9" t="s">
        <v>3021</v>
      </c>
      <c r="C9">
        <v>0</v>
      </c>
      <c r="D9">
        <v>0</v>
      </c>
      <c r="E9">
        <v>0</v>
      </c>
      <c r="F9">
        <v>0</v>
      </c>
    </row>
    <row r="10" spans="1:6" x14ac:dyDescent="0.25">
      <c r="A10">
        <v>12</v>
      </c>
      <c r="B10" t="s">
        <v>3022</v>
      </c>
      <c r="C10">
        <v>1037000</v>
      </c>
      <c r="D10">
        <v>0</v>
      </c>
      <c r="E10">
        <v>1037000</v>
      </c>
      <c r="F10">
        <v>0</v>
      </c>
    </row>
    <row r="11" spans="1:6" x14ac:dyDescent="0.25">
      <c r="A11">
        <v>11</v>
      </c>
      <c r="B11" t="s">
        <v>6776</v>
      </c>
      <c r="C11">
        <v>0</v>
      </c>
      <c r="D11">
        <v>0</v>
      </c>
      <c r="E11">
        <v>0</v>
      </c>
      <c r="F11">
        <v>0</v>
      </c>
    </row>
    <row r="12" spans="1:6" x14ac:dyDescent="0.25">
      <c r="A12">
        <v>13</v>
      </c>
      <c r="B12" t="s">
        <v>3023</v>
      </c>
      <c r="C12">
        <v>0</v>
      </c>
      <c r="D12">
        <v>0</v>
      </c>
      <c r="E12">
        <v>0</v>
      </c>
      <c r="F12">
        <v>0</v>
      </c>
    </row>
    <row r="13" spans="1:6" x14ac:dyDescent="0.25">
      <c r="A13">
        <v>14</v>
      </c>
      <c r="B13" t="s">
        <v>2068</v>
      </c>
      <c r="C13">
        <v>0</v>
      </c>
      <c r="D13">
        <v>815000</v>
      </c>
      <c r="E13">
        <v>815000</v>
      </c>
      <c r="F13">
        <v>0</v>
      </c>
    </row>
    <row r="14" spans="1:6" x14ac:dyDescent="0.25">
      <c r="A14">
        <v>15</v>
      </c>
      <c r="B14" t="s">
        <v>2077</v>
      </c>
      <c r="C14">
        <v>0</v>
      </c>
      <c r="D14">
        <v>0</v>
      </c>
      <c r="E14">
        <v>0</v>
      </c>
      <c r="F14">
        <v>0</v>
      </c>
    </row>
    <row r="15" spans="1:6" x14ac:dyDescent="0.25">
      <c r="A15">
        <v>16</v>
      </c>
      <c r="B15" t="s">
        <v>1372</v>
      </c>
      <c r="C15">
        <v>0</v>
      </c>
      <c r="D15">
        <v>0</v>
      </c>
      <c r="E15">
        <v>0</v>
      </c>
      <c r="F15">
        <v>0</v>
      </c>
    </row>
    <row r="16" spans="1:6" x14ac:dyDescent="0.25">
      <c r="A16">
        <v>17</v>
      </c>
      <c r="B16" t="s">
        <v>3024</v>
      </c>
      <c r="C16">
        <v>0</v>
      </c>
      <c r="D16">
        <v>0</v>
      </c>
      <c r="E16">
        <v>0</v>
      </c>
      <c r="F16">
        <v>0</v>
      </c>
    </row>
    <row r="17" spans="1:6" x14ac:dyDescent="0.25">
      <c r="B17" t="s">
        <v>6</v>
      </c>
      <c r="C17">
        <v>2129521</v>
      </c>
      <c r="D17">
        <v>12295470</v>
      </c>
      <c r="E17">
        <v>8854600</v>
      </c>
      <c r="F17">
        <v>5570391</v>
      </c>
    </row>
    <row r="18" spans="1:6" x14ac:dyDescent="0.25">
      <c r="A18">
        <v>19</v>
      </c>
      <c r="B18" t="s">
        <v>6777</v>
      </c>
      <c r="C18">
        <v>0</v>
      </c>
      <c r="D18">
        <v>939000</v>
      </c>
      <c r="E18">
        <v>501000</v>
      </c>
      <c r="F18">
        <v>438000</v>
      </c>
    </row>
    <row r="19" spans="1:6" x14ac:dyDescent="0.25">
      <c r="A19">
        <v>20</v>
      </c>
      <c r="B19" t="s">
        <v>2075</v>
      </c>
      <c r="C19">
        <v>97221</v>
      </c>
      <c r="D19">
        <v>2577104</v>
      </c>
      <c r="E19">
        <v>2000000</v>
      </c>
      <c r="F19">
        <v>674325</v>
      </c>
    </row>
    <row r="20" spans="1:6" x14ac:dyDescent="0.25">
      <c r="A20">
        <v>18</v>
      </c>
      <c r="B20" t="s">
        <v>8200</v>
      </c>
      <c r="C20">
        <v>0</v>
      </c>
      <c r="D20">
        <v>4043500</v>
      </c>
      <c r="E20">
        <v>2483500</v>
      </c>
      <c r="F20">
        <v>1560000</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B22"/>
  <sheetViews>
    <sheetView topLeftCell="A8" workbookViewId="0">
      <selection activeCell="B19" sqref="B19"/>
    </sheetView>
  </sheetViews>
  <sheetFormatPr defaultRowHeight="21" x14ac:dyDescent="0.6"/>
  <cols>
    <col min="1" max="1" width="25.7109375" style="739" bestFit="1" customWidth="1"/>
    <col min="2" max="2" width="16.7109375" style="777" bestFit="1" customWidth="1"/>
    <col min="3" max="16384" width="9.140625" style="739"/>
  </cols>
  <sheetData>
    <row r="3" spans="1:2" x14ac:dyDescent="0.6">
      <c r="A3" s="1086" t="s">
        <v>2065</v>
      </c>
      <c r="B3" s="1056" t="s">
        <v>8178</v>
      </c>
    </row>
    <row r="4" spans="1:2" x14ac:dyDescent="0.6">
      <c r="A4" s="739" t="s">
        <v>2079</v>
      </c>
      <c r="B4" s="1056">
        <v>0</v>
      </c>
    </row>
    <row r="5" spans="1:2" x14ac:dyDescent="0.6">
      <c r="A5" s="739" t="s">
        <v>2076</v>
      </c>
      <c r="B5" s="1056">
        <v>0</v>
      </c>
    </row>
    <row r="6" spans="1:2" x14ac:dyDescent="0.6">
      <c r="A6" s="739" t="s">
        <v>3019</v>
      </c>
      <c r="B6" s="1056">
        <v>1053000</v>
      </c>
    </row>
    <row r="7" spans="1:2" x14ac:dyDescent="0.6">
      <c r="A7" s="739" t="s">
        <v>933</v>
      </c>
      <c r="B7" s="1056">
        <v>2487066</v>
      </c>
    </row>
    <row r="8" spans="1:2" x14ac:dyDescent="0.6">
      <c r="A8" s="739" t="s">
        <v>3020</v>
      </c>
      <c r="B8" s="1056">
        <v>0</v>
      </c>
    </row>
    <row r="9" spans="1:2" x14ac:dyDescent="0.6">
      <c r="A9" s="739" t="s">
        <v>2271</v>
      </c>
      <c r="B9" s="1056">
        <v>0</v>
      </c>
    </row>
    <row r="10" spans="1:2" x14ac:dyDescent="0.6">
      <c r="A10" s="739" t="s">
        <v>2074</v>
      </c>
      <c r="B10" s="1056">
        <v>0</v>
      </c>
    </row>
    <row r="11" spans="1:2" x14ac:dyDescent="0.6">
      <c r="A11" s="739" t="s">
        <v>3021</v>
      </c>
      <c r="B11" s="1056">
        <v>0</v>
      </c>
    </row>
    <row r="12" spans="1:2" x14ac:dyDescent="0.6">
      <c r="A12" s="739" t="s">
        <v>3022</v>
      </c>
      <c r="B12" s="1056">
        <v>0</v>
      </c>
    </row>
    <row r="13" spans="1:2" x14ac:dyDescent="0.6">
      <c r="A13" s="739" t="s">
        <v>6776</v>
      </c>
      <c r="B13" s="1056">
        <v>0</v>
      </c>
    </row>
    <row r="14" spans="1:2" x14ac:dyDescent="0.6">
      <c r="A14" s="739" t="s">
        <v>3023</v>
      </c>
      <c r="B14" s="1056">
        <v>0</v>
      </c>
    </row>
    <row r="15" spans="1:2" x14ac:dyDescent="0.6">
      <c r="A15" s="739" t="s">
        <v>2068</v>
      </c>
      <c r="B15" s="1056">
        <v>292000</v>
      </c>
    </row>
    <row r="16" spans="1:2" x14ac:dyDescent="0.6">
      <c r="A16" s="739" t="s">
        <v>2077</v>
      </c>
      <c r="B16" s="1056">
        <v>0</v>
      </c>
    </row>
    <row r="17" spans="1:2" x14ac:dyDescent="0.6">
      <c r="A17" s="739" t="s">
        <v>1372</v>
      </c>
      <c r="B17" s="1056">
        <v>0</v>
      </c>
    </row>
    <row r="18" spans="1:2" x14ac:dyDescent="0.6">
      <c r="A18" s="739" t="s">
        <v>3024</v>
      </c>
      <c r="B18" s="1056">
        <v>0</v>
      </c>
    </row>
    <row r="19" spans="1:2" x14ac:dyDescent="0.6">
      <c r="A19" s="739" t="s">
        <v>6777</v>
      </c>
      <c r="B19" s="1056">
        <v>522000</v>
      </c>
    </row>
    <row r="20" spans="1:2" x14ac:dyDescent="0.6">
      <c r="A20" s="739" t="s">
        <v>2075</v>
      </c>
      <c r="B20" s="1056">
        <v>1311245</v>
      </c>
    </row>
    <row r="21" spans="1:2" x14ac:dyDescent="0.6">
      <c r="A21" s="739" t="s">
        <v>8200</v>
      </c>
      <c r="B21" s="1056">
        <v>2122500</v>
      </c>
    </row>
    <row r="22" spans="1:2" x14ac:dyDescent="0.6">
      <c r="A22" s="739" t="s">
        <v>2049</v>
      </c>
      <c r="B22" s="1056">
        <v>7787811</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000000"/>
  </sheetPr>
  <dimension ref="A1:F20"/>
  <sheetViews>
    <sheetView topLeftCell="A10" workbookViewId="0">
      <selection activeCell="C20" sqref="C20"/>
    </sheetView>
  </sheetViews>
  <sheetFormatPr defaultColWidth="9.140625" defaultRowHeight="21" x14ac:dyDescent="0.6"/>
  <cols>
    <col min="1" max="1" width="5.85546875" style="739" bestFit="1" customWidth="1"/>
    <col min="2" max="2" width="25.7109375" style="739" bestFit="1" customWidth="1"/>
    <col min="3" max="3" width="12.28515625" style="777" bestFit="1" customWidth="1"/>
    <col min="4" max="4" width="13" style="777" bestFit="1" customWidth="1"/>
    <col min="5" max="5" width="12.7109375" style="777" bestFit="1" customWidth="1"/>
    <col min="6" max="6" width="12" style="777" bestFit="1" customWidth="1"/>
    <col min="7" max="16384" width="9.140625" style="739"/>
  </cols>
  <sheetData>
    <row r="1" spans="1:6" x14ac:dyDescent="0.6">
      <c r="A1" s="739" t="s">
        <v>9</v>
      </c>
      <c r="B1" s="739" t="s">
        <v>2065</v>
      </c>
      <c r="C1" s="777" t="s">
        <v>10</v>
      </c>
      <c r="D1" s="777" t="s">
        <v>8487</v>
      </c>
      <c r="E1" s="777" t="s">
        <v>8488</v>
      </c>
      <c r="F1" s="777" t="s">
        <v>4</v>
      </c>
    </row>
    <row r="2" spans="1:6" x14ac:dyDescent="0.6">
      <c r="A2" s="739">
        <v>1</v>
      </c>
      <c r="B2" s="739" t="s">
        <v>2079</v>
      </c>
      <c r="C2" s="777">
        <v>0</v>
      </c>
      <c r="D2" s="777">
        <v>0</v>
      </c>
      <c r="E2" s="777">
        <v>0</v>
      </c>
      <c r="F2" s="777">
        <v>0</v>
      </c>
    </row>
    <row r="3" spans="1:6" x14ac:dyDescent="0.6">
      <c r="A3" s="739">
        <v>2</v>
      </c>
      <c r="B3" s="739" t="s">
        <v>2076</v>
      </c>
      <c r="C3" s="777">
        <v>0</v>
      </c>
      <c r="D3" s="777">
        <v>0</v>
      </c>
      <c r="E3" s="777">
        <v>0</v>
      </c>
      <c r="F3" s="777">
        <v>0</v>
      </c>
    </row>
    <row r="4" spans="1:6" x14ac:dyDescent="0.6">
      <c r="A4" s="739">
        <v>3</v>
      </c>
      <c r="B4" s="739" t="s">
        <v>3019</v>
      </c>
      <c r="C4" s="777">
        <v>411000</v>
      </c>
      <c r="D4" s="777">
        <v>1053000</v>
      </c>
      <c r="E4" s="777">
        <v>411000</v>
      </c>
      <c r="F4" s="777">
        <v>1053000</v>
      </c>
    </row>
    <row r="5" spans="1:6" x14ac:dyDescent="0.6">
      <c r="A5" s="739">
        <v>6</v>
      </c>
      <c r="B5" s="739" t="s">
        <v>9129</v>
      </c>
      <c r="C5" s="777">
        <v>2487066</v>
      </c>
      <c r="D5" s="777">
        <v>8284022</v>
      </c>
      <c r="E5" s="777">
        <v>5143420</v>
      </c>
      <c r="F5" s="777">
        <v>5627668</v>
      </c>
    </row>
    <row r="6" spans="1:6" x14ac:dyDescent="0.6">
      <c r="A6" s="739">
        <v>7</v>
      </c>
      <c r="B6" s="739" t="s">
        <v>3020</v>
      </c>
      <c r="C6" s="777">
        <v>0</v>
      </c>
      <c r="D6" s="777">
        <v>40000</v>
      </c>
      <c r="E6" s="777">
        <v>40000</v>
      </c>
      <c r="F6" s="777">
        <v>0</v>
      </c>
    </row>
    <row r="7" spans="1:6" x14ac:dyDescent="0.6">
      <c r="A7" s="739">
        <v>8</v>
      </c>
      <c r="B7" s="739" t="s">
        <v>2271</v>
      </c>
      <c r="C7" s="777">
        <v>0</v>
      </c>
      <c r="D7" s="777">
        <v>0</v>
      </c>
      <c r="E7" s="777">
        <v>0</v>
      </c>
      <c r="F7" s="777">
        <v>0</v>
      </c>
    </row>
    <row r="8" spans="1:6" x14ac:dyDescent="0.6">
      <c r="A8" s="739">
        <v>9</v>
      </c>
      <c r="B8" s="739" t="s">
        <v>2074</v>
      </c>
      <c r="C8" s="777">
        <v>0</v>
      </c>
      <c r="D8" s="777">
        <v>0</v>
      </c>
      <c r="E8" s="777">
        <v>0</v>
      </c>
      <c r="F8" s="777">
        <v>0</v>
      </c>
    </row>
    <row r="9" spans="1:6" x14ac:dyDescent="0.6">
      <c r="A9" s="739">
        <v>10</v>
      </c>
      <c r="B9" s="739" t="s">
        <v>3021</v>
      </c>
      <c r="C9" s="777">
        <v>0</v>
      </c>
      <c r="D9" s="777">
        <v>0</v>
      </c>
      <c r="E9" s="777">
        <v>0</v>
      </c>
      <c r="F9" s="777">
        <v>0</v>
      </c>
    </row>
    <row r="10" spans="1:6" x14ac:dyDescent="0.6">
      <c r="A10" s="739">
        <v>11</v>
      </c>
      <c r="B10" s="739" t="s">
        <v>6776</v>
      </c>
      <c r="C10" s="777">
        <v>0</v>
      </c>
      <c r="D10" s="777">
        <v>0</v>
      </c>
      <c r="E10" s="777">
        <v>0</v>
      </c>
      <c r="F10" s="777">
        <v>0</v>
      </c>
    </row>
    <row r="11" spans="1:6" x14ac:dyDescent="0.6">
      <c r="A11" s="739">
        <v>12</v>
      </c>
      <c r="B11" s="739" t="s">
        <v>3022</v>
      </c>
      <c r="C11" s="777">
        <v>0</v>
      </c>
      <c r="D11" s="777">
        <v>0</v>
      </c>
      <c r="E11" s="777">
        <v>0</v>
      </c>
      <c r="F11" s="777">
        <v>0</v>
      </c>
    </row>
    <row r="12" spans="1:6" x14ac:dyDescent="0.6">
      <c r="A12" s="739">
        <v>13</v>
      </c>
      <c r="B12" s="739" t="s">
        <v>3023</v>
      </c>
      <c r="C12" s="777">
        <v>0</v>
      </c>
      <c r="D12" s="777">
        <v>0</v>
      </c>
      <c r="E12" s="777">
        <v>0</v>
      </c>
      <c r="F12" s="777">
        <v>0</v>
      </c>
    </row>
    <row r="13" spans="1:6" x14ac:dyDescent="0.6">
      <c r="A13" s="739">
        <v>14</v>
      </c>
      <c r="B13" s="739" t="s">
        <v>2068</v>
      </c>
      <c r="C13" s="777">
        <v>0</v>
      </c>
      <c r="D13" s="777">
        <v>1558000</v>
      </c>
      <c r="E13" s="777">
        <v>292000</v>
      </c>
      <c r="F13" s="777">
        <v>1266000</v>
      </c>
    </row>
    <row r="14" spans="1:6" x14ac:dyDescent="0.6">
      <c r="A14" s="739">
        <v>15</v>
      </c>
      <c r="B14" s="739" t="s">
        <v>2077</v>
      </c>
      <c r="C14" s="777">
        <v>0</v>
      </c>
      <c r="D14" s="777">
        <v>0</v>
      </c>
      <c r="E14" s="777">
        <v>0</v>
      </c>
      <c r="F14" s="777">
        <v>0</v>
      </c>
    </row>
    <row r="15" spans="1:6" x14ac:dyDescent="0.6">
      <c r="A15" s="739">
        <v>16</v>
      </c>
      <c r="B15" s="739" t="s">
        <v>1372</v>
      </c>
      <c r="C15" s="777">
        <v>0</v>
      </c>
      <c r="D15" s="777">
        <v>0</v>
      </c>
      <c r="E15" s="777">
        <v>0</v>
      </c>
      <c r="F15" s="777">
        <v>0</v>
      </c>
    </row>
    <row r="16" spans="1:6" x14ac:dyDescent="0.6">
      <c r="A16" s="739">
        <v>17</v>
      </c>
      <c r="B16" s="739" t="s">
        <v>3024</v>
      </c>
      <c r="C16" s="777">
        <v>0</v>
      </c>
      <c r="D16" s="777">
        <v>0</v>
      </c>
      <c r="E16" s="777">
        <v>0</v>
      </c>
      <c r="F16" s="777">
        <v>0</v>
      </c>
    </row>
    <row r="17" spans="1:6" x14ac:dyDescent="0.6">
      <c r="A17" s="739">
        <v>18</v>
      </c>
      <c r="B17" s="739" t="s">
        <v>8200</v>
      </c>
      <c r="C17" s="777">
        <v>1560000</v>
      </c>
      <c r="D17" s="777">
        <v>7819500</v>
      </c>
      <c r="E17" s="777">
        <v>7819500</v>
      </c>
      <c r="F17" s="777">
        <v>1560000</v>
      </c>
    </row>
    <row r="18" spans="1:6" x14ac:dyDescent="0.6">
      <c r="A18" s="739">
        <v>19</v>
      </c>
      <c r="B18" s="739" t="s">
        <v>6777</v>
      </c>
      <c r="C18" s="777">
        <v>438000</v>
      </c>
      <c r="D18" s="777">
        <v>1287000</v>
      </c>
      <c r="E18" s="777">
        <v>960000</v>
      </c>
      <c r="F18" s="777">
        <v>765000</v>
      </c>
    </row>
    <row r="19" spans="1:6" x14ac:dyDescent="0.6">
      <c r="A19" s="739">
        <v>20</v>
      </c>
      <c r="B19" s="739" t="s">
        <v>2075</v>
      </c>
      <c r="C19" s="777">
        <v>674325</v>
      </c>
      <c r="D19" s="777">
        <v>886020</v>
      </c>
      <c r="E19" s="777">
        <v>900000</v>
      </c>
      <c r="F19" s="777">
        <v>660345</v>
      </c>
    </row>
    <row r="20" spans="1:6" x14ac:dyDescent="0.6">
      <c r="B20" s="1081" t="s">
        <v>6</v>
      </c>
      <c r="C20" s="777">
        <v>5570391</v>
      </c>
      <c r="D20" s="777">
        <v>20927542</v>
      </c>
      <c r="E20" s="777">
        <v>15565920</v>
      </c>
      <c r="F20" s="777">
        <v>10932013</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FF99CC"/>
  </sheetPr>
  <dimension ref="A1:I7"/>
  <sheetViews>
    <sheetView workbookViewId="0">
      <selection activeCell="C9" sqref="C9"/>
    </sheetView>
  </sheetViews>
  <sheetFormatPr defaultColWidth="8.85546875" defaultRowHeight="21.75" x14ac:dyDescent="0.55000000000000004"/>
  <cols>
    <col min="1" max="1" width="12.85546875" style="592" bestFit="1" customWidth="1"/>
    <col min="2" max="2" width="13.140625" style="592" customWidth="1"/>
    <col min="3" max="3" width="16.5703125" style="592" bestFit="1" customWidth="1"/>
    <col min="4" max="4" width="11.7109375" style="592" customWidth="1"/>
    <col min="5" max="5" width="35.85546875" style="592" customWidth="1"/>
    <col min="6" max="6" width="18.28515625" style="592" bestFit="1" customWidth="1"/>
    <col min="7" max="7" width="29.42578125" style="648" customWidth="1"/>
    <col min="8" max="8" width="18" style="592" bestFit="1" customWidth="1"/>
    <col min="9" max="9" width="16.7109375" style="592" bestFit="1" customWidth="1"/>
    <col min="10" max="16384" width="8.85546875" style="592"/>
  </cols>
  <sheetData>
    <row r="1" spans="1:9" ht="23.25" thickTop="1" thickBot="1" x14ac:dyDescent="0.6">
      <c r="G1" s="646" t="s">
        <v>6228</v>
      </c>
      <c r="H1" s="641">
        <f>SUM(ZAN_26[Balance Amt])</f>
        <v>885000</v>
      </c>
    </row>
    <row r="2" spans="1:9" ht="22.5" thickTop="1" x14ac:dyDescent="0.55000000000000004">
      <c r="A2" s="642" t="s">
        <v>12</v>
      </c>
      <c r="B2" s="643" t="s">
        <v>2058</v>
      </c>
      <c r="C2" s="592" t="s">
        <v>2065</v>
      </c>
      <c r="D2" s="596" t="s">
        <v>6219</v>
      </c>
      <c r="E2" s="596" t="s">
        <v>2066</v>
      </c>
      <c r="F2" s="644" t="s">
        <v>2560</v>
      </c>
      <c r="G2" s="647" t="s">
        <v>6220</v>
      </c>
      <c r="H2" s="644" t="s">
        <v>6221</v>
      </c>
      <c r="I2" s="644" t="s">
        <v>6222</v>
      </c>
    </row>
    <row r="3" spans="1:9" x14ac:dyDescent="0.55000000000000004">
      <c r="A3" s="642">
        <v>44385</v>
      </c>
      <c r="B3" s="643"/>
      <c r="C3" s="592" t="s">
        <v>6223</v>
      </c>
      <c r="D3" s="643" t="s">
        <v>6224</v>
      </c>
      <c r="E3" s="596" t="s">
        <v>6225</v>
      </c>
      <c r="F3" s="644">
        <v>170000</v>
      </c>
      <c r="G3" s="647"/>
      <c r="H3" s="645"/>
      <c r="I3" s="645">
        <f>ZAN_26[[#This Row],[Purchase Amt]]-ZAN_26[[#This Row],[Payment Amt]]</f>
        <v>170000</v>
      </c>
    </row>
    <row r="4" spans="1:9" x14ac:dyDescent="0.55000000000000004">
      <c r="A4" s="642">
        <v>44385</v>
      </c>
      <c r="B4" s="643"/>
      <c r="C4" s="592" t="s">
        <v>6223</v>
      </c>
      <c r="D4" s="643" t="s">
        <v>6226</v>
      </c>
      <c r="E4" s="596" t="s">
        <v>6227</v>
      </c>
      <c r="F4" s="644">
        <v>715000</v>
      </c>
      <c r="G4" s="647"/>
      <c r="H4" s="645"/>
      <c r="I4" s="645">
        <f>ZAN_26[[#This Row],[Purchase Amt]]-ZAN_26[[#This Row],[Payment Amt]]</f>
        <v>715000</v>
      </c>
    </row>
    <row r="5" spans="1:9" x14ac:dyDescent="0.55000000000000004">
      <c r="A5" s="642"/>
      <c r="B5" s="643"/>
      <c r="C5" s="643"/>
      <c r="D5" s="643"/>
      <c r="E5" s="596"/>
      <c r="F5" s="644"/>
      <c r="G5" s="647"/>
      <c r="H5" s="645"/>
      <c r="I5" s="645">
        <f>ZAN_26[[#This Row],[Purchase Amt]]-ZAN_26[[#This Row],[Payment Amt]]</f>
        <v>0</v>
      </c>
    </row>
    <row r="6" spans="1:9" x14ac:dyDescent="0.55000000000000004">
      <c r="A6" s="642"/>
      <c r="B6" s="643"/>
      <c r="C6" s="643"/>
      <c r="D6" s="643"/>
      <c r="E6" s="596"/>
      <c r="F6" s="644"/>
      <c r="G6" s="647"/>
      <c r="H6" s="645"/>
      <c r="I6" s="645"/>
    </row>
    <row r="7" spans="1:9" x14ac:dyDescent="0.55000000000000004">
      <c r="A7" s="642"/>
      <c r="B7" s="643"/>
      <c r="C7" s="643"/>
      <c r="D7" s="643"/>
      <c r="E7" s="596"/>
      <c r="F7" s="644"/>
      <c r="G7" s="647"/>
      <c r="H7" s="645"/>
      <c r="I7" s="645"/>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FF0000"/>
  </sheetPr>
  <dimension ref="A1:N16"/>
  <sheetViews>
    <sheetView topLeftCell="H7" workbookViewId="0">
      <selection activeCell="K16" sqref="K16"/>
    </sheetView>
  </sheetViews>
  <sheetFormatPr defaultColWidth="9.28515625" defaultRowHeight="21.75" x14ac:dyDescent="0.55000000000000004"/>
  <cols>
    <col min="1" max="1" width="5.42578125" style="23" customWidth="1"/>
    <col min="2" max="2" width="16.7109375" style="118" bestFit="1" customWidth="1"/>
    <col min="3" max="3" width="16.5703125" style="253" bestFit="1" customWidth="1"/>
    <col min="4" max="4" width="12.7109375" style="23" customWidth="1"/>
    <col min="5" max="5" width="18.5703125" style="23" customWidth="1"/>
    <col min="6" max="6" width="12" style="23" customWidth="1"/>
    <col min="7" max="7" width="39.7109375" style="23" bestFit="1" customWidth="1"/>
    <col min="8" max="8" width="15.28515625" style="109" bestFit="1" customWidth="1"/>
    <col min="9" max="9" width="15.7109375" style="109" customWidth="1"/>
    <col min="10" max="10" width="15.28515625" style="409" customWidth="1"/>
    <col min="11" max="11" width="16.42578125" style="109" bestFit="1" customWidth="1"/>
    <col min="12" max="12" width="17.7109375" style="23" customWidth="1"/>
    <col min="13" max="13" width="17" style="23" bestFit="1" customWidth="1"/>
    <col min="14" max="14" width="17.5703125" style="414" bestFit="1" customWidth="1"/>
    <col min="15" max="16384" width="9.28515625" style="23"/>
  </cols>
  <sheetData>
    <row r="1" spans="1:14" x14ac:dyDescent="0.55000000000000004">
      <c r="A1" s="113" t="s">
        <v>9</v>
      </c>
      <c r="B1" s="205" t="s">
        <v>2242</v>
      </c>
      <c r="C1" s="410" t="s">
        <v>2243</v>
      </c>
      <c r="D1" s="321" t="s">
        <v>2112</v>
      </c>
      <c r="E1" s="321" t="s">
        <v>1</v>
      </c>
      <c r="F1" s="321" t="s">
        <v>2058</v>
      </c>
      <c r="G1" s="321" t="s">
        <v>2113</v>
      </c>
      <c r="H1" s="322" t="s">
        <v>2114</v>
      </c>
      <c r="I1" s="322" t="s">
        <v>2767</v>
      </c>
      <c r="J1" s="411" t="s">
        <v>2768</v>
      </c>
      <c r="K1" s="322" t="s">
        <v>2769</v>
      </c>
      <c r="L1" s="412" t="s">
        <v>2770</v>
      </c>
      <c r="M1" s="322" t="s">
        <v>2771</v>
      </c>
      <c r="N1" s="413" t="s">
        <v>2772</v>
      </c>
    </row>
    <row r="2" spans="1:14" s="90" customFormat="1" x14ac:dyDescent="0.55000000000000004">
      <c r="A2" s="35">
        <v>1</v>
      </c>
      <c r="B2" s="424">
        <v>44048</v>
      </c>
      <c r="C2" s="425">
        <v>44226</v>
      </c>
      <c r="D2" s="35" t="s">
        <v>2115</v>
      </c>
      <c r="E2" s="15"/>
      <c r="F2" s="15"/>
      <c r="G2" s="15" t="s">
        <v>2117</v>
      </c>
      <c r="H2" s="254">
        <v>3905000</v>
      </c>
      <c r="I2" s="254">
        <v>6</v>
      </c>
      <c r="J2" s="426">
        <v>1.4999999999999999E-2</v>
      </c>
      <c r="K2" s="254">
        <f>H2*I2*J2</f>
        <v>351450</v>
      </c>
      <c r="L2" s="427">
        <f>H2+K2</f>
        <v>4256450</v>
      </c>
      <c r="M2" s="428">
        <v>5471900</v>
      </c>
      <c r="N2" s="429"/>
    </row>
    <row r="3" spans="1:14" s="423" customFormat="1" x14ac:dyDescent="0.55000000000000004">
      <c r="A3" s="420">
        <v>2</v>
      </c>
      <c r="B3" s="421">
        <v>44049</v>
      </c>
      <c r="C3" s="422">
        <v>44226</v>
      </c>
      <c r="D3" s="420" t="s">
        <v>2115</v>
      </c>
      <c r="E3" s="415"/>
      <c r="F3" s="415"/>
      <c r="G3" s="415" t="s">
        <v>2244</v>
      </c>
      <c r="H3" s="416">
        <v>7424000</v>
      </c>
      <c r="I3" s="416">
        <v>6</v>
      </c>
      <c r="J3" s="417"/>
      <c r="K3" s="416"/>
      <c r="L3" s="418">
        <v>7424000</v>
      </c>
      <c r="M3" s="416">
        <v>7424000</v>
      </c>
      <c r="N3" s="419">
        <v>43849</v>
      </c>
    </row>
    <row r="4" spans="1:14" s="90" customFormat="1" x14ac:dyDescent="0.55000000000000004">
      <c r="A4" s="35">
        <v>3</v>
      </c>
      <c r="B4" s="424">
        <v>44111</v>
      </c>
      <c r="C4" s="425">
        <v>44226</v>
      </c>
      <c r="D4" s="35" t="s">
        <v>2115</v>
      </c>
      <c r="E4" s="15"/>
      <c r="F4" s="15"/>
      <c r="G4" s="15" t="s">
        <v>2342</v>
      </c>
      <c r="H4" s="254">
        <v>6566900</v>
      </c>
      <c r="I4" s="254">
        <v>5</v>
      </c>
      <c r="J4" s="426">
        <v>1.4999999999999999E-2</v>
      </c>
      <c r="K4" s="254">
        <f>H4*I4*J4</f>
        <v>492517.5</v>
      </c>
      <c r="L4" s="427">
        <f>H4+K4</f>
        <v>7059417.5</v>
      </c>
      <c r="M4" s="254">
        <v>5000000</v>
      </c>
      <c r="N4" s="430"/>
    </row>
    <row r="5" spans="1:14" s="90" customFormat="1" x14ac:dyDescent="0.55000000000000004">
      <c r="A5" s="35">
        <v>4</v>
      </c>
      <c r="B5" s="431"/>
      <c r="C5" s="425"/>
      <c r="D5" s="15"/>
      <c r="E5" s="15"/>
      <c r="F5" s="15"/>
      <c r="G5" s="15"/>
      <c r="H5" s="254"/>
      <c r="I5" s="254"/>
      <c r="J5" s="432"/>
      <c r="K5" s="254"/>
      <c r="L5" s="433"/>
      <c r="M5" s="254"/>
      <c r="N5" s="430"/>
    </row>
    <row r="6" spans="1:14" s="90" customFormat="1" x14ac:dyDescent="0.55000000000000004">
      <c r="A6" s="35">
        <v>5</v>
      </c>
      <c r="B6" s="434"/>
      <c r="C6" s="435"/>
      <c r="D6" s="436"/>
      <c r="E6" s="436"/>
      <c r="F6" s="436"/>
      <c r="G6" s="436"/>
      <c r="H6" s="437">
        <f>SUM(H2:H5)</f>
        <v>17895900</v>
      </c>
      <c r="I6" s="437"/>
      <c r="J6" s="438"/>
      <c r="K6" s="437">
        <f>SUM(K2:K5)</f>
        <v>843967.5</v>
      </c>
      <c r="L6" s="439">
        <f>SUBTOTAL(109,L2:L5)</f>
        <v>18739867.5</v>
      </c>
      <c r="M6" s="439">
        <f>SUM(M2:M5)</f>
        <v>17895900</v>
      </c>
      <c r="N6" s="440"/>
    </row>
    <row r="7" spans="1:14" x14ac:dyDescent="0.55000000000000004">
      <c r="C7" s="462"/>
      <c r="D7" s="461"/>
      <c r="E7" s="40"/>
      <c r="F7" s="40"/>
      <c r="G7" s="40"/>
      <c r="H7" s="116"/>
      <c r="I7" s="116"/>
      <c r="J7" s="463"/>
      <c r="K7" s="116"/>
      <c r="L7" s="464"/>
      <c r="M7" s="116">
        <f>Table11[[#This Row],[Interest+Loan]]</f>
        <v>0</v>
      </c>
      <c r="N7" s="465"/>
    </row>
    <row r="8" spans="1:14" x14ac:dyDescent="0.55000000000000004">
      <c r="C8" s="462"/>
      <c r="D8" s="461"/>
      <c r="E8" s="40"/>
      <c r="F8" s="40"/>
      <c r="G8" s="40"/>
      <c r="H8" s="116"/>
      <c r="I8" s="116"/>
      <c r="J8" s="463"/>
      <c r="K8" s="116"/>
      <c r="L8" s="464"/>
      <c r="M8" s="116">
        <f>Table11[[#This Row],[Interest+Loan]]</f>
        <v>0</v>
      </c>
      <c r="N8" s="465"/>
    </row>
    <row r="9" spans="1:14" x14ac:dyDescent="0.55000000000000004">
      <c r="C9" s="462"/>
      <c r="D9" s="461"/>
      <c r="E9" s="40"/>
      <c r="F9" s="40"/>
      <c r="G9" s="40"/>
      <c r="H9" s="116"/>
      <c r="I9" s="116"/>
      <c r="J9" s="463"/>
      <c r="K9" s="116"/>
      <c r="L9" s="464"/>
      <c r="M9" s="116">
        <f>Table11[[#This Row],[Interest+Loan]]</f>
        <v>0</v>
      </c>
      <c r="N9" s="465"/>
    </row>
    <row r="10" spans="1:14" x14ac:dyDescent="0.55000000000000004">
      <c r="C10" s="462"/>
      <c r="D10" s="461"/>
      <c r="E10" s="40"/>
      <c r="F10" s="40"/>
      <c r="G10" s="40"/>
      <c r="H10" s="116"/>
      <c r="I10" s="116"/>
      <c r="J10" s="463" t="s">
        <v>2773</v>
      </c>
      <c r="K10" s="116">
        <f>L6</f>
        <v>18739867.5</v>
      </c>
      <c r="L10" s="464"/>
      <c r="M10" s="116">
        <f>Table11[[#This Row],[Interest+Loan]]</f>
        <v>0</v>
      </c>
      <c r="N10" s="465"/>
    </row>
    <row r="11" spans="1:14" ht="22.5" thickBot="1" x14ac:dyDescent="0.6">
      <c r="C11" s="462"/>
      <c r="D11" s="461"/>
      <c r="E11" s="40"/>
      <c r="F11" s="40"/>
      <c r="G11" s="40"/>
      <c r="H11" s="116"/>
      <c r="I11" s="116"/>
      <c r="J11" s="463" t="s">
        <v>2774</v>
      </c>
      <c r="K11" s="514">
        <f>M6</f>
        <v>17895900</v>
      </c>
      <c r="L11" s="464"/>
      <c r="M11" s="116">
        <f>Table11[[#This Row],[Interest+Loan]]</f>
        <v>0</v>
      </c>
      <c r="N11" s="465"/>
    </row>
    <row r="12" spans="1:14" ht="22.5" thickTop="1" x14ac:dyDescent="0.55000000000000004">
      <c r="C12" s="462"/>
      <c r="D12" s="461"/>
      <c r="E12" s="40"/>
      <c r="F12" s="40"/>
      <c r="G12" s="40"/>
      <c r="H12" s="116"/>
      <c r="I12" s="116"/>
      <c r="J12" s="463" t="s">
        <v>2775</v>
      </c>
      <c r="K12" s="513">
        <f>K10-K11</f>
        <v>843967.5</v>
      </c>
      <c r="L12" s="464"/>
      <c r="M12" s="116">
        <f>Table11[[#This Row],[Interest+Loan]]</f>
        <v>0</v>
      </c>
      <c r="N12" s="465"/>
    </row>
    <row r="13" spans="1:14" ht="22.5" thickBot="1" x14ac:dyDescent="0.6">
      <c r="C13" s="466"/>
      <c r="D13" s="323"/>
      <c r="E13" s="185"/>
      <c r="F13" s="185"/>
      <c r="G13" s="515" t="s">
        <v>3025</v>
      </c>
      <c r="H13" s="324"/>
      <c r="I13" s="324"/>
      <c r="J13" s="467"/>
      <c r="K13" s="516">
        <v>843968</v>
      </c>
      <c r="L13" s="468"/>
      <c r="M13" s="324">
        <f>Table11[[#This Row],[Interest+Loan]]</f>
        <v>0</v>
      </c>
      <c r="N13" s="469"/>
    </row>
    <row r="14" spans="1:14" ht="22.5" thickTop="1" x14ac:dyDescent="0.55000000000000004">
      <c r="C14" s="462"/>
      <c r="D14" s="512"/>
      <c r="E14" s="40"/>
      <c r="F14" s="40"/>
      <c r="G14" s="40"/>
      <c r="H14" s="116"/>
      <c r="I14" s="116"/>
      <c r="J14" s="639" t="s">
        <v>6134</v>
      </c>
      <c r="K14" s="513">
        <v>0</v>
      </c>
      <c r="L14" s="464"/>
      <c r="M14" s="116">
        <f>Table11[[#This Row],[Interest+Loan]]</f>
        <v>0</v>
      </c>
      <c r="N14" s="465"/>
    </row>
    <row r="15" spans="1:14" x14ac:dyDescent="0.55000000000000004">
      <c r="C15" s="462"/>
      <c r="D15" s="512"/>
      <c r="E15" s="40"/>
      <c r="F15" s="40"/>
      <c r="G15" s="40"/>
      <c r="H15" s="116"/>
      <c r="I15" s="116"/>
      <c r="J15" s="463"/>
      <c r="K15" s="116"/>
      <c r="L15" s="464"/>
      <c r="M15" s="116">
        <f>Table11[[#This Row],[Interest+Loan]]</f>
        <v>0</v>
      </c>
      <c r="N15" s="465"/>
    </row>
    <row r="16" spans="1:14" x14ac:dyDescent="0.55000000000000004">
      <c r="C16" s="466"/>
      <c r="D16" s="323"/>
      <c r="E16" s="185"/>
      <c r="F16" s="185"/>
      <c r="G16" s="185"/>
      <c r="H16" s="324"/>
      <c r="I16" s="324"/>
      <c r="J16" s="467"/>
      <c r="K16" s="324"/>
      <c r="L16" s="468"/>
      <c r="M16" s="324">
        <f>Table11[[#This Row],[Interest+Loan]]</f>
        <v>0</v>
      </c>
      <c r="N16" s="469"/>
    </row>
  </sheetData>
  <pageMargins left="0.7" right="0.7" top="0.75" bottom="0.75" header="0.3" footer="0.3"/>
  <pageSetup paperSize="9" orientation="portrait" verticalDpi="0" r:id="rId1"/>
  <ignoredErrors>
    <ignoredError sqref="M3 M6" calculatedColumn="1"/>
  </ignoredErrors>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tabColor rgb="FFFF0000"/>
  </sheetPr>
  <dimension ref="A2:C4307"/>
  <sheetViews>
    <sheetView workbookViewId="0">
      <selection activeCell="A4" sqref="A4:B14"/>
    </sheetView>
  </sheetViews>
  <sheetFormatPr defaultColWidth="9.28515625" defaultRowHeight="21.75" x14ac:dyDescent="0.55000000000000004"/>
  <cols>
    <col min="1" max="1" width="26.7109375" style="23" customWidth="1"/>
    <col min="2" max="2" width="27.42578125" style="84" customWidth="1"/>
    <col min="3" max="3" width="27" style="23" bestFit="1" customWidth="1"/>
    <col min="4" max="16384" width="9.28515625" style="23"/>
  </cols>
  <sheetData>
    <row r="2" spans="1:3" x14ac:dyDescent="0.55000000000000004">
      <c r="A2" s="1322" t="s">
        <v>8870</v>
      </c>
      <c r="B2" s="1322"/>
    </row>
    <row r="3" spans="1:3" x14ac:dyDescent="0.55000000000000004">
      <c r="A3" s="589" t="s">
        <v>2050</v>
      </c>
      <c r="B3" s="590" t="s">
        <v>6775</v>
      </c>
      <c r="C3"/>
    </row>
    <row r="4" spans="1:3" x14ac:dyDescent="0.55000000000000004">
      <c r="A4" s="592" t="s">
        <v>2470</v>
      </c>
      <c r="B4" s="590">
        <v>93100</v>
      </c>
      <c r="C4"/>
    </row>
    <row r="5" spans="1:3" x14ac:dyDescent="0.55000000000000004">
      <c r="A5" s="592" t="s">
        <v>1420</v>
      </c>
      <c r="B5" s="590">
        <v>93640</v>
      </c>
      <c r="C5"/>
    </row>
    <row r="6" spans="1:3" x14ac:dyDescent="0.55000000000000004">
      <c r="A6" s="592" t="s">
        <v>1380</v>
      </c>
      <c r="B6" s="590">
        <v>106500</v>
      </c>
      <c r="C6"/>
    </row>
    <row r="7" spans="1:3" x14ac:dyDescent="0.55000000000000004">
      <c r="A7" s="592" t="s">
        <v>933</v>
      </c>
      <c r="B7" s="590">
        <v>7718906</v>
      </c>
      <c r="C7"/>
    </row>
    <row r="8" spans="1:3" x14ac:dyDescent="0.55000000000000004">
      <c r="A8" s="592" t="s">
        <v>6137</v>
      </c>
      <c r="B8" s="590">
        <v>227500</v>
      </c>
      <c r="C8"/>
    </row>
    <row r="9" spans="1:3" x14ac:dyDescent="0.55000000000000004">
      <c r="A9" s="592" t="s">
        <v>1429</v>
      </c>
      <c r="B9" s="590">
        <v>1262500</v>
      </c>
      <c r="C9"/>
    </row>
    <row r="10" spans="1:3" x14ac:dyDescent="0.55000000000000004">
      <c r="A10" s="592" t="s">
        <v>1397</v>
      </c>
      <c r="B10" s="590">
        <v>62582202</v>
      </c>
      <c r="C10"/>
    </row>
    <row r="11" spans="1:3" x14ac:dyDescent="0.55000000000000004">
      <c r="A11" s="592" t="s">
        <v>1093</v>
      </c>
      <c r="B11" s="590">
        <v>8665972</v>
      </c>
      <c r="C11"/>
    </row>
    <row r="12" spans="1:3" x14ac:dyDescent="0.55000000000000004">
      <c r="A12" s="592" t="s">
        <v>1948</v>
      </c>
      <c r="B12" s="590">
        <v>4631</v>
      </c>
      <c r="C12"/>
    </row>
    <row r="13" spans="1:3" x14ac:dyDescent="0.55000000000000004">
      <c r="A13" s="592" t="s">
        <v>57</v>
      </c>
      <c r="B13" s="590">
        <v>4121540</v>
      </c>
      <c r="C13"/>
    </row>
    <row r="14" spans="1:3" x14ac:dyDescent="0.55000000000000004">
      <c r="A14" s="592" t="s">
        <v>1877</v>
      </c>
      <c r="B14" s="590">
        <v>4624748</v>
      </c>
      <c r="C14"/>
    </row>
    <row r="15" spans="1:3" x14ac:dyDescent="0.55000000000000004">
      <c r="A15" s="592" t="s">
        <v>2049</v>
      </c>
      <c r="B15" s="590">
        <v>89501239</v>
      </c>
      <c r="C15"/>
    </row>
    <row r="16" spans="1:3" x14ac:dyDescent="0.55000000000000004">
      <c r="A16"/>
      <c r="B16"/>
      <c r="C16"/>
    </row>
    <row r="17" spans="1:3" x14ac:dyDescent="0.55000000000000004">
      <c r="A17"/>
      <c r="B17"/>
      <c r="C17"/>
    </row>
    <row r="18" spans="1:3" x14ac:dyDescent="0.55000000000000004">
      <c r="A18"/>
      <c r="B18"/>
      <c r="C18"/>
    </row>
    <row r="19" spans="1:3" x14ac:dyDescent="0.55000000000000004">
      <c r="A19"/>
      <c r="B19"/>
      <c r="C19"/>
    </row>
    <row r="20" spans="1:3" x14ac:dyDescent="0.55000000000000004">
      <c r="A20"/>
      <c r="B20"/>
      <c r="C20"/>
    </row>
    <row r="21" spans="1:3" x14ac:dyDescent="0.55000000000000004">
      <c r="A21"/>
      <c r="B21"/>
      <c r="C21"/>
    </row>
    <row r="22" spans="1:3" x14ac:dyDescent="0.55000000000000004">
      <c r="A22"/>
      <c r="B22"/>
      <c r="C22"/>
    </row>
    <row r="23" spans="1:3" x14ac:dyDescent="0.55000000000000004">
      <c r="A23"/>
      <c r="B23"/>
      <c r="C23"/>
    </row>
    <row r="24" spans="1:3" x14ac:dyDescent="0.55000000000000004">
      <c r="A24"/>
      <c r="B24"/>
      <c r="C24"/>
    </row>
    <row r="25" spans="1:3" x14ac:dyDescent="0.55000000000000004">
      <c r="A25"/>
      <c r="B25"/>
      <c r="C25"/>
    </row>
    <row r="26" spans="1:3" x14ac:dyDescent="0.55000000000000004">
      <c r="A26"/>
      <c r="B26"/>
      <c r="C26"/>
    </row>
    <row r="27" spans="1:3" x14ac:dyDescent="0.55000000000000004">
      <c r="A27"/>
      <c r="B27"/>
      <c r="C27"/>
    </row>
    <row r="28" spans="1:3" x14ac:dyDescent="0.55000000000000004">
      <c r="A28"/>
      <c r="B28"/>
      <c r="C28"/>
    </row>
    <row r="29" spans="1:3" x14ac:dyDescent="0.55000000000000004">
      <c r="A29"/>
      <c r="B29"/>
      <c r="C29"/>
    </row>
    <row r="30" spans="1:3" x14ac:dyDescent="0.55000000000000004">
      <c r="A30"/>
      <c r="B30"/>
      <c r="C30"/>
    </row>
    <row r="31" spans="1:3" x14ac:dyDescent="0.55000000000000004">
      <c r="A31"/>
      <c r="B31"/>
      <c r="C31"/>
    </row>
    <row r="32" spans="1:3" x14ac:dyDescent="0.55000000000000004">
      <c r="A32"/>
      <c r="B32"/>
      <c r="C32"/>
    </row>
    <row r="33" spans="1:3" x14ac:dyDescent="0.55000000000000004">
      <c r="A33"/>
      <c r="B33"/>
      <c r="C33"/>
    </row>
    <row r="34" spans="1:3" x14ac:dyDescent="0.55000000000000004">
      <c r="A34"/>
      <c r="B34"/>
      <c r="C34"/>
    </row>
    <row r="35" spans="1:3" x14ac:dyDescent="0.55000000000000004">
      <c r="A35"/>
      <c r="B35"/>
      <c r="C35"/>
    </row>
    <row r="36" spans="1:3" x14ac:dyDescent="0.55000000000000004">
      <c r="A36"/>
      <c r="B36"/>
      <c r="C36"/>
    </row>
    <row r="37" spans="1:3" x14ac:dyDescent="0.55000000000000004">
      <c r="A37"/>
      <c r="B37"/>
      <c r="C37"/>
    </row>
    <row r="38" spans="1:3" x14ac:dyDescent="0.55000000000000004">
      <c r="A38"/>
      <c r="B38"/>
      <c r="C38"/>
    </row>
    <row r="39" spans="1:3" x14ac:dyDescent="0.55000000000000004">
      <c r="A39"/>
      <c r="B39"/>
      <c r="C39"/>
    </row>
    <row r="40" spans="1:3" x14ac:dyDescent="0.55000000000000004">
      <c r="A40"/>
      <c r="B40"/>
      <c r="C40"/>
    </row>
    <row r="41" spans="1:3" x14ac:dyDescent="0.55000000000000004">
      <c r="A41"/>
      <c r="B41"/>
      <c r="C41"/>
    </row>
    <row r="42" spans="1:3" x14ac:dyDescent="0.55000000000000004">
      <c r="A42"/>
      <c r="B42"/>
      <c r="C42"/>
    </row>
    <row r="43" spans="1:3" x14ac:dyDescent="0.55000000000000004">
      <c r="A43"/>
      <c r="B43"/>
      <c r="C43"/>
    </row>
    <row r="44" spans="1:3" x14ac:dyDescent="0.55000000000000004">
      <c r="A44"/>
      <c r="B44"/>
      <c r="C44"/>
    </row>
    <row r="45" spans="1:3" x14ac:dyDescent="0.55000000000000004">
      <c r="A45"/>
      <c r="B45"/>
      <c r="C45"/>
    </row>
    <row r="46" spans="1:3" x14ac:dyDescent="0.55000000000000004">
      <c r="A46"/>
      <c r="B46"/>
      <c r="C46"/>
    </row>
    <row r="47" spans="1:3" x14ac:dyDescent="0.55000000000000004">
      <c r="A47"/>
      <c r="B47"/>
      <c r="C47"/>
    </row>
    <row r="48" spans="1:3" x14ac:dyDescent="0.55000000000000004">
      <c r="A48"/>
      <c r="B48"/>
      <c r="C48"/>
    </row>
    <row r="49" spans="1:3" x14ac:dyDescent="0.55000000000000004">
      <c r="A49"/>
      <c r="B49"/>
      <c r="C49"/>
    </row>
    <row r="50" spans="1:3" x14ac:dyDescent="0.55000000000000004">
      <c r="A50"/>
      <c r="B50"/>
      <c r="C50"/>
    </row>
    <row r="51" spans="1:3" x14ac:dyDescent="0.55000000000000004">
      <c r="A51"/>
      <c r="B51"/>
      <c r="C51"/>
    </row>
    <row r="52" spans="1:3" x14ac:dyDescent="0.55000000000000004">
      <c r="A52"/>
      <c r="B52"/>
      <c r="C52"/>
    </row>
    <row r="53" spans="1:3" x14ac:dyDescent="0.55000000000000004">
      <c r="A53"/>
      <c r="B53"/>
      <c r="C53"/>
    </row>
    <row r="54" spans="1:3" x14ac:dyDescent="0.55000000000000004">
      <c r="A54"/>
      <c r="B54"/>
      <c r="C54"/>
    </row>
    <row r="55" spans="1:3" x14ac:dyDescent="0.55000000000000004">
      <c r="A55"/>
      <c r="B55"/>
      <c r="C55"/>
    </row>
    <row r="56" spans="1:3" x14ac:dyDescent="0.55000000000000004">
      <c r="A56"/>
      <c r="B56"/>
      <c r="C56"/>
    </row>
    <row r="57" spans="1:3" x14ac:dyDescent="0.55000000000000004">
      <c r="A57"/>
      <c r="B57"/>
      <c r="C57"/>
    </row>
    <row r="58" spans="1:3" x14ac:dyDescent="0.55000000000000004">
      <c r="A58"/>
      <c r="B58"/>
      <c r="C58"/>
    </row>
    <row r="59" spans="1:3" x14ac:dyDescent="0.55000000000000004">
      <c r="A59"/>
      <c r="B59"/>
      <c r="C59"/>
    </row>
    <row r="60" spans="1:3" x14ac:dyDescent="0.55000000000000004">
      <c r="A60"/>
      <c r="B60"/>
      <c r="C60"/>
    </row>
    <row r="61" spans="1:3" x14ac:dyDescent="0.55000000000000004">
      <c r="A61"/>
      <c r="B61"/>
      <c r="C61"/>
    </row>
    <row r="62" spans="1:3" x14ac:dyDescent="0.55000000000000004">
      <c r="A62"/>
      <c r="B62"/>
      <c r="C62"/>
    </row>
    <row r="63" spans="1:3" x14ac:dyDescent="0.55000000000000004">
      <c r="A63"/>
      <c r="B63"/>
      <c r="C63"/>
    </row>
    <row r="64" spans="1:3" x14ac:dyDescent="0.55000000000000004">
      <c r="A64"/>
      <c r="B64"/>
      <c r="C64"/>
    </row>
    <row r="65" spans="1:3" x14ac:dyDescent="0.55000000000000004">
      <c r="A65"/>
      <c r="B65"/>
      <c r="C65"/>
    </row>
    <row r="66" spans="1:3" x14ac:dyDescent="0.55000000000000004">
      <c r="A66"/>
      <c r="B66"/>
      <c r="C66"/>
    </row>
    <row r="67" spans="1:3" x14ac:dyDescent="0.55000000000000004">
      <c r="A67"/>
      <c r="B67"/>
      <c r="C67"/>
    </row>
    <row r="68" spans="1:3" x14ac:dyDescent="0.55000000000000004">
      <c r="A68"/>
      <c r="B68"/>
      <c r="C68"/>
    </row>
    <row r="69" spans="1:3" x14ac:dyDescent="0.55000000000000004">
      <c r="A69"/>
      <c r="B69"/>
      <c r="C69"/>
    </row>
    <row r="70" spans="1:3" x14ac:dyDescent="0.55000000000000004">
      <c r="A70"/>
      <c r="B70"/>
      <c r="C70"/>
    </row>
    <row r="71" spans="1:3" x14ac:dyDescent="0.55000000000000004">
      <c r="A71"/>
      <c r="B71"/>
      <c r="C71"/>
    </row>
    <row r="72" spans="1:3" x14ac:dyDescent="0.55000000000000004">
      <c r="A72"/>
      <c r="B72"/>
      <c r="C72"/>
    </row>
    <row r="73" spans="1:3" x14ac:dyDescent="0.55000000000000004">
      <c r="A73"/>
      <c r="B73"/>
      <c r="C73"/>
    </row>
    <row r="74" spans="1:3" x14ac:dyDescent="0.55000000000000004">
      <c r="A74"/>
      <c r="B74"/>
      <c r="C74"/>
    </row>
    <row r="75" spans="1:3" x14ac:dyDescent="0.55000000000000004">
      <c r="A75"/>
      <c r="B75"/>
      <c r="C75"/>
    </row>
    <row r="76" spans="1:3" x14ac:dyDescent="0.55000000000000004">
      <c r="A76"/>
      <c r="B76"/>
      <c r="C76"/>
    </row>
    <row r="77" spans="1:3" x14ac:dyDescent="0.55000000000000004">
      <c r="A77"/>
      <c r="B77"/>
      <c r="C77"/>
    </row>
    <row r="78" spans="1:3" x14ac:dyDescent="0.55000000000000004">
      <c r="A78"/>
      <c r="B78"/>
      <c r="C78"/>
    </row>
    <row r="79" spans="1:3" x14ac:dyDescent="0.55000000000000004">
      <c r="A79"/>
      <c r="B79"/>
      <c r="C79"/>
    </row>
    <row r="80" spans="1:3" x14ac:dyDescent="0.55000000000000004">
      <c r="A80"/>
      <c r="B80"/>
      <c r="C80"/>
    </row>
    <row r="81" spans="1:3" x14ac:dyDescent="0.55000000000000004">
      <c r="A81"/>
      <c r="B81"/>
      <c r="C81"/>
    </row>
    <row r="82" spans="1:3" x14ac:dyDescent="0.55000000000000004">
      <c r="A82"/>
      <c r="B82"/>
      <c r="C82"/>
    </row>
    <row r="83" spans="1:3" x14ac:dyDescent="0.55000000000000004">
      <c r="A83"/>
      <c r="B83"/>
      <c r="C83"/>
    </row>
    <row r="84" spans="1:3" x14ac:dyDescent="0.55000000000000004">
      <c r="A84"/>
      <c r="B84"/>
      <c r="C84"/>
    </row>
    <row r="85" spans="1:3" x14ac:dyDescent="0.55000000000000004">
      <c r="A85"/>
      <c r="B85"/>
      <c r="C85"/>
    </row>
    <row r="86" spans="1:3" x14ac:dyDescent="0.55000000000000004">
      <c r="A86"/>
      <c r="B86"/>
      <c r="C86"/>
    </row>
    <row r="87" spans="1:3" x14ac:dyDescent="0.55000000000000004">
      <c r="A87"/>
      <c r="B87"/>
      <c r="C87"/>
    </row>
    <row r="88" spans="1:3" x14ac:dyDescent="0.55000000000000004">
      <c r="A88"/>
      <c r="B88"/>
      <c r="C88"/>
    </row>
    <row r="89" spans="1:3" x14ac:dyDescent="0.55000000000000004">
      <c r="A89"/>
      <c r="B89"/>
      <c r="C89"/>
    </row>
    <row r="90" spans="1:3" x14ac:dyDescent="0.55000000000000004">
      <c r="A90"/>
      <c r="B90"/>
      <c r="C90"/>
    </row>
    <row r="91" spans="1:3" x14ac:dyDescent="0.55000000000000004">
      <c r="A91"/>
      <c r="B91"/>
      <c r="C91"/>
    </row>
    <row r="92" spans="1:3" x14ac:dyDescent="0.55000000000000004">
      <c r="A92"/>
      <c r="B92"/>
      <c r="C92"/>
    </row>
    <row r="93" spans="1:3" x14ac:dyDescent="0.55000000000000004">
      <c r="A93"/>
      <c r="B93"/>
      <c r="C93"/>
    </row>
    <row r="94" spans="1:3" x14ac:dyDescent="0.55000000000000004">
      <c r="A94"/>
      <c r="B94"/>
      <c r="C94"/>
    </row>
    <row r="95" spans="1:3" x14ac:dyDescent="0.55000000000000004">
      <c r="A95"/>
      <c r="B95"/>
      <c r="C95"/>
    </row>
    <row r="96" spans="1:3" x14ac:dyDescent="0.55000000000000004">
      <c r="A96"/>
      <c r="B96"/>
      <c r="C96"/>
    </row>
    <row r="97" spans="1:3" x14ac:dyDescent="0.55000000000000004">
      <c r="A97"/>
      <c r="B97"/>
      <c r="C97"/>
    </row>
    <row r="98" spans="1:3" x14ac:dyDescent="0.55000000000000004">
      <c r="A98"/>
      <c r="B98"/>
      <c r="C98"/>
    </row>
    <row r="99" spans="1:3" x14ac:dyDescent="0.55000000000000004">
      <c r="A99"/>
      <c r="B99"/>
      <c r="C99"/>
    </row>
    <row r="100" spans="1:3" x14ac:dyDescent="0.55000000000000004">
      <c r="A100"/>
      <c r="B100"/>
      <c r="C100"/>
    </row>
    <row r="101" spans="1:3" x14ac:dyDescent="0.55000000000000004">
      <c r="A101"/>
      <c r="B101"/>
      <c r="C101"/>
    </row>
    <row r="102" spans="1:3" x14ac:dyDescent="0.55000000000000004">
      <c r="A102"/>
      <c r="B102"/>
      <c r="C102"/>
    </row>
    <row r="103" spans="1:3" x14ac:dyDescent="0.55000000000000004">
      <c r="A103"/>
      <c r="B103"/>
      <c r="C103"/>
    </row>
    <row r="104" spans="1:3" x14ac:dyDescent="0.55000000000000004">
      <c r="A104"/>
      <c r="B104"/>
      <c r="C104"/>
    </row>
    <row r="105" spans="1:3" x14ac:dyDescent="0.55000000000000004">
      <c r="A105"/>
      <c r="B105"/>
      <c r="C105"/>
    </row>
    <row r="106" spans="1:3" x14ac:dyDescent="0.55000000000000004">
      <c r="A106"/>
      <c r="B106"/>
      <c r="C106"/>
    </row>
    <row r="107" spans="1:3" x14ac:dyDescent="0.55000000000000004">
      <c r="A107"/>
      <c r="B107"/>
      <c r="C107"/>
    </row>
    <row r="108" spans="1:3" x14ac:dyDescent="0.55000000000000004">
      <c r="A108"/>
      <c r="B108"/>
      <c r="C108"/>
    </row>
    <row r="109" spans="1:3" x14ac:dyDescent="0.55000000000000004">
      <c r="A109"/>
      <c r="B109"/>
      <c r="C109"/>
    </row>
    <row r="110" spans="1:3" x14ac:dyDescent="0.55000000000000004">
      <c r="A110"/>
      <c r="B110"/>
      <c r="C110"/>
    </row>
    <row r="111" spans="1:3" x14ac:dyDescent="0.55000000000000004">
      <c r="A111"/>
      <c r="B111"/>
      <c r="C111"/>
    </row>
    <row r="112" spans="1:3" x14ac:dyDescent="0.55000000000000004">
      <c r="A112"/>
      <c r="B112"/>
      <c r="C112"/>
    </row>
    <row r="113" spans="1:3" x14ac:dyDescent="0.55000000000000004">
      <c r="A113"/>
      <c r="B113"/>
      <c r="C113"/>
    </row>
    <row r="114" spans="1:3" x14ac:dyDescent="0.55000000000000004">
      <c r="A114"/>
      <c r="B114"/>
      <c r="C114"/>
    </row>
    <row r="115" spans="1:3" x14ac:dyDescent="0.55000000000000004">
      <c r="A115"/>
      <c r="B115"/>
      <c r="C115"/>
    </row>
    <row r="116" spans="1:3" x14ac:dyDescent="0.55000000000000004">
      <c r="A116"/>
      <c r="B116"/>
      <c r="C116"/>
    </row>
    <row r="117" spans="1:3" x14ac:dyDescent="0.55000000000000004">
      <c r="A117"/>
      <c r="B117"/>
      <c r="C117"/>
    </row>
    <row r="118" spans="1:3" x14ac:dyDescent="0.55000000000000004">
      <c r="A118"/>
      <c r="B118"/>
      <c r="C118"/>
    </row>
    <row r="119" spans="1:3" x14ac:dyDescent="0.55000000000000004">
      <c r="A119"/>
      <c r="B119"/>
      <c r="C119"/>
    </row>
    <row r="120" spans="1:3" x14ac:dyDescent="0.55000000000000004">
      <c r="A120"/>
      <c r="B120"/>
      <c r="C120"/>
    </row>
    <row r="121" spans="1:3" x14ac:dyDescent="0.55000000000000004">
      <c r="A121"/>
      <c r="B121"/>
      <c r="C121"/>
    </row>
    <row r="122" spans="1:3" x14ac:dyDescent="0.55000000000000004">
      <c r="A122"/>
      <c r="B122"/>
      <c r="C122"/>
    </row>
    <row r="123" spans="1:3" x14ac:dyDescent="0.55000000000000004">
      <c r="A123"/>
      <c r="B123"/>
      <c r="C123"/>
    </row>
    <row r="124" spans="1:3" x14ac:dyDescent="0.55000000000000004">
      <c r="A124"/>
      <c r="B124"/>
      <c r="C124"/>
    </row>
    <row r="125" spans="1:3" x14ac:dyDescent="0.55000000000000004">
      <c r="A125"/>
      <c r="B125"/>
      <c r="C125"/>
    </row>
    <row r="126" spans="1:3" x14ac:dyDescent="0.55000000000000004">
      <c r="A126"/>
      <c r="B126"/>
      <c r="C126"/>
    </row>
    <row r="127" spans="1:3" x14ac:dyDescent="0.55000000000000004">
      <c r="A127"/>
      <c r="B127"/>
      <c r="C127"/>
    </row>
    <row r="128" spans="1:3" x14ac:dyDescent="0.55000000000000004">
      <c r="A128"/>
      <c r="B128"/>
      <c r="C128"/>
    </row>
    <row r="129" spans="1:3" x14ac:dyDescent="0.55000000000000004">
      <c r="A129"/>
      <c r="B129"/>
      <c r="C129"/>
    </row>
    <row r="130" spans="1:3" x14ac:dyDescent="0.55000000000000004">
      <c r="A130"/>
      <c r="B130"/>
      <c r="C130"/>
    </row>
    <row r="131" spans="1:3" x14ac:dyDescent="0.55000000000000004">
      <c r="A131"/>
      <c r="B131"/>
      <c r="C131"/>
    </row>
    <row r="132" spans="1:3" x14ac:dyDescent="0.55000000000000004">
      <c r="A132"/>
      <c r="B132"/>
      <c r="C132"/>
    </row>
    <row r="133" spans="1:3" x14ac:dyDescent="0.55000000000000004">
      <c r="A133"/>
      <c r="B133"/>
      <c r="C133"/>
    </row>
    <row r="134" spans="1:3" x14ac:dyDescent="0.55000000000000004">
      <c r="A134"/>
      <c r="B134"/>
      <c r="C134"/>
    </row>
    <row r="135" spans="1:3" x14ac:dyDescent="0.55000000000000004">
      <c r="A135"/>
      <c r="B135"/>
      <c r="C135"/>
    </row>
    <row r="136" spans="1:3" x14ac:dyDescent="0.55000000000000004">
      <c r="A136"/>
      <c r="B136"/>
      <c r="C136"/>
    </row>
    <row r="137" spans="1:3" x14ac:dyDescent="0.55000000000000004">
      <c r="A137"/>
      <c r="B137"/>
      <c r="C137"/>
    </row>
    <row r="138" spans="1:3" x14ac:dyDescent="0.55000000000000004">
      <c r="A138"/>
      <c r="B138"/>
      <c r="C138"/>
    </row>
    <row r="139" spans="1:3" x14ac:dyDescent="0.55000000000000004">
      <c r="A139"/>
      <c r="B139"/>
      <c r="C139"/>
    </row>
    <row r="140" spans="1:3" x14ac:dyDescent="0.55000000000000004">
      <c r="A140"/>
      <c r="B140"/>
      <c r="C140"/>
    </row>
    <row r="141" spans="1:3" x14ac:dyDescent="0.55000000000000004">
      <c r="A141"/>
      <c r="B141"/>
      <c r="C141"/>
    </row>
    <row r="142" spans="1:3" x14ac:dyDescent="0.55000000000000004">
      <c r="A142"/>
      <c r="B142"/>
      <c r="C142"/>
    </row>
    <row r="143" spans="1:3" x14ac:dyDescent="0.55000000000000004">
      <c r="A143"/>
      <c r="B143"/>
      <c r="C143"/>
    </row>
    <row r="144" spans="1:3" x14ac:dyDescent="0.55000000000000004">
      <c r="A144"/>
      <c r="B144"/>
      <c r="C144"/>
    </row>
    <row r="145" spans="1:3" x14ac:dyDescent="0.55000000000000004">
      <c r="A145"/>
      <c r="B145"/>
      <c r="C145"/>
    </row>
    <row r="146" spans="1:3" x14ac:dyDescent="0.55000000000000004">
      <c r="A146"/>
      <c r="B146"/>
      <c r="C146"/>
    </row>
    <row r="147" spans="1:3" x14ac:dyDescent="0.55000000000000004">
      <c r="A147"/>
      <c r="B147"/>
      <c r="C147"/>
    </row>
    <row r="148" spans="1:3" x14ac:dyDescent="0.55000000000000004">
      <c r="A148"/>
      <c r="B148"/>
      <c r="C148"/>
    </row>
    <row r="149" spans="1:3" x14ac:dyDescent="0.55000000000000004">
      <c r="A149"/>
      <c r="B149"/>
      <c r="C149"/>
    </row>
    <row r="150" spans="1:3" x14ac:dyDescent="0.55000000000000004">
      <c r="A150"/>
      <c r="B150"/>
      <c r="C150"/>
    </row>
    <row r="151" spans="1:3" x14ac:dyDescent="0.55000000000000004">
      <c r="A151"/>
      <c r="B151"/>
      <c r="C151"/>
    </row>
    <row r="152" spans="1:3" x14ac:dyDescent="0.55000000000000004">
      <c r="A152"/>
      <c r="B152"/>
      <c r="C152"/>
    </row>
    <row r="153" spans="1:3" x14ac:dyDescent="0.55000000000000004">
      <c r="A153"/>
      <c r="B153"/>
      <c r="C153"/>
    </row>
    <row r="154" spans="1:3" x14ac:dyDescent="0.55000000000000004">
      <c r="A154"/>
      <c r="B154"/>
      <c r="C154"/>
    </row>
    <row r="155" spans="1:3" x14ac:dyDescent="0.55000000000000004">
      <c r="A155"/>
      <c r="B155"/>
      <c r="C155"/>
    </row>
    <row r="156" spans="1:3" x14ac:dyDescent="0.55000000000000004">
      <c r="A156"/>
      <c r="B156"/>
      <c r="C156"/>
    </row>
    <row r="157" spans="1:3" x14ac:dyDescent="0.55000000000000004">
      <c r="A157"/>
      <c r="B157"/>
      <c r="C157"/>
    </row>
    <row r="158" spans="1:3" x14ac:dyDescent="0.55000000000000004">
      <c r="A158"/>
      <c r="B158"/>
      <c r="C158"/>
    </row>
    <row r="159" spans="1:3" x14ac:dyDescent="0.55000000000000004">
      <c r="A159"/>
      <c r="B159"/>
      <c r="C159"/>
    </row>
    <row r="160" spans="1:3" x14ac:dyDescent="0.55000000000000004">
      <c r="A160"/>
      <c r="B160"/>
      <c r="C160"/>
    </row>
    <row r="161" spans="1:3" x14ac:dyDescent="0.55000000000000004">
      <c r="A161"/>
      <c r="B161"/>
      <c r="C161"/>
    </row>
    <row r="162" spans="1:3" x14ac:dyDescent="0.55000000000000004">
      <c r="A162"/>
      <c r="B162"/>
      <c r="C162"/>
    </row>
    <row r="163" spans="1:3" x14ac:dyDescent="0.55000000000000004">
      <c r="A163"/>
      <c r="B163"/>
      <c r="C163"/>
    </row>
    <row r="164" spans="1:3" x14ac:dyDescent="0.55000000000000004">
      <c r="A164"/>
      <c r="B164"/>
      <c r="C164"/>
    </row>
    <row r="165" spans="1:3" x14ac:dyDescent="0.55000000000000004">
      <c r="A165"/>
      <c r="B165"/>
      <c r="C165"/>
    </row>
    <row r="166" spans="1:3" x14ac:dyDescent="0.55000000000000004">
      <c r="A166"/>
      <c r="B166"/>
      <c r="C166"/>
    </row>
    <row r="167" spans="1:3" x14ac:dyDescent="0.55000000000000004">
      <c r="A167"/>
      <c r="B167"/>
      <c r="C167"/>
    </row>
    <row r="168" spans="1:3" x14ac:dyDescent="0.55000000000000004">
      <c r="A168"/>
      <c r="B168"/>
      <c r="C168"/>
    </row>
    <row r="169" spans="1:3" x14ac:dyDescent="0.55000000000000004">
      <c r="A169"/>
      <c r="B169"/>
      <c r="C169"/>
    </row>
    <row r="170" spans="1:3" x14ac:dyDescent="0.55000000000000004">
      <c r="A170"/>
      <c r="B170"/>
      <c r="C170"/>
    </row>
    <row r="171" spans="1:3" x14ac:dyDescent="0.55000000000000004">
      <c r="A171"/>
      <c r="B171"/>
      <c r="C171"/>
    </row>
    <row r="172" spans="1:3" x14ac:dyDescent="0.55000000000000004">
      <c r="A172"/>
      <c r="B172"/>
      <c r="C172"/>
    </row>
    <row r="173" spans="1:3" x14ac:dyDescent="0.55000000000000004">
      <c r="A173"/>
      <c r="B173"/>
      <c r="C173"/>
    </row>
    <row r="174" spans="1:3" x14ac:dyDescent="0.55000000000000004">
      <c r="A174"/>
      <c r="B174"/>
      <c r="C174"/>
    </row>
    <row r="175" spans="1:3" x14ac:dyDescent="0.55000000000000004">
      <c r="A175"/>
      <c r="B175"/>
      <c r="C175"/>
    </row>
    <row r="176" spans="1:3" x14ac:dyDescent="0.55000000000000004">
      <c r="A176"/>
      <c r="B176"/>
      <c r="C176"/>
    </row>
    <row r="177" spans="1:3" x14ac:dyDescent="0.55000000000000004">
      <c r="A177"/>
      <c r="B177"/>
      <c r="C177"/>
    </row>
    <row r="178" spans="1:3" x14ac:dyDescent="0.55000000000000004">
      <c r="A178"/>
      <c r="B178"/>
      <c r="C178"/>
    </row>
    <row r="179" spans="1:3" x14ac:dyDescent="0.55000000000000004">
      <c r="A179"/>
      <c r="B179"/>
      <c r="C179"/>
    </row>
    <row r="180" spans="1:3" x14ac:dyDescent="0.55000000000000004">
      <c r="A180"/>
      <c r="B180"/>
      <c r="C180"/>
    </row>
    <row r="181" spans="1:3" x14ac:dyDescent="0.55000000000000004">
      <c r="A181"/>
      <c r="B181"/>
      <c r="C181"/>
    </row>
    <row r="182" spans="1:3" x14ac:dyDescent="0.55000000000000004">
      <c r="A182"/>
      <c r="B182"/>
      <c r="C182"/>
    </row>
    <row r="183" spans="1:3" x14ac:dyDescent="0.55000000000000004">
      <c r="A183"/>
      <c r="B183"/>
      <c r="C183"/>
    </row>
    <row r="184" spans="1:3" x14ac:dyDescent="0.55000000000000004">
      <c r="A184"/>
      <c r="B184"/>
      <c r="C184"/>
    </row>
    <row r="185" spans="1:3" x14ac:dyDescent="0.55000000000000004">
      <c r="A185"/>
      <c r="B185"/>
      <c r="C185"/>
    </row>
    <row r="186" spans="1:3" x14ac:dyDescent="0.55000000000000004">
      <c r="A186"/>
      <c r="B186"/>
      <c r="C186"/>
    </row>
    <row r="187" spans="1:3" x14ac:dyDescent="0.55000000000000004">
      <c r="A187"/>
      <c r="B187"/>
      <c r="C187"/>
    </row>
    <row r="188" spans="1:3" x14ac:dyDescent="0.55000000000000004">
      <c r="A188"/>
      <c r="B188"/>
      <c r="C188"/>
    </row>
    <row r="189" spans="1:3" x14ac:dyDescent="0.55000000000000004">
      <c r="A189"/>
      <c r="B189"/>
      <c r="C189"/>
    </row>
    <row r="190" spans="1:3" x14ac:dyDescent="0.55000000000000004">
      <c r="A190"/>
      <c r="B190"/>
      <c r="C190"/>
    </row>
    <row r="191" spans="1:3" x14ac:dyDescent="0.55000000000000004">
      <c r="A191"/>
      <c r="B191"/>
      <c r="C191"/>
    </row>
    <row r="192" spans="1:3" x14ac:dyDescent="0.55000000000000004">
      <c r="A192"/>
      <c r="B192"/>
      <c r="C192"/>
    </row>
    <row r="193" spans="1:3" x14ac:dyDescent="0.55000000000000004">
      <c r="A193"/>
      <c r="B193"/>
      <c r="C193"/>
    </row>
    <row r="194" spans="1:3" x14ac:dyDescent="0.55000000000000004">
      <c r="A194"/>
      <c r="B194"/>
      <c r="C194"/>
    </row>
    <row r="195" spans="1:3" x14ac:dyDescent="0.55000000000000004">
      <c r="A195"/>
      <c r="B195"/>
      <c r="C195"/>
    </row>
    <row r="196" spans="1:3" x14ac:dyDescent="0.55000000000000004">
      <c r="A196"/>
      <c r="B196"/>
      <c r="C196"/>
    </row>
    <row r="197" spans="1:3" x14ac:dyDescent="0.55000000000000004">
      <c r="A197"/>
      <c r="B197"/>
      <c r="C197"/>
    </row>
    <row r="198" spans="1:3" x14ac:dyDescent="0.55000000000000004">
      <c r="A198"/>
      <c r="B198"/>
      <c r="C198"/>
    </row>
    <row r="199" spans="1:3" x14ac:dyDescent="0.55000000000000004">
      <c r="A199"/>
      <c r="B199"/>
      <c r="C199"/>
    </row>
    <row r="200" spans="1:3" x14ac:dyDescent="0.55000000000000004">
      <c r="A200"/>
      <c r="B200"/>
      <c r="C200"/>
    </row>
    <row r="201" spans="1:3" x14ac:dyDescent="0.55000000000000004">
      <c r="A201"/>
      <c r="B201"/>
      <c r="C201"/>
    </row>
    <row r="202" spans="1:3" x14ac:dyDescent="0.55000000000000004">
      <c r="A202"/>
      <c r="B202"/>
      <c r="C202"/>
    </row>
    <row r="203" spans="1:3" x14ac:dyDescent="0.55000000000000004">
      <c r="A203"/>
      <c r="B203"/>
      <c r="C203"/>
    </row>
    <row r="204" spans="1:3" x14ac:dyDescent="0.55000000000000004">
      <c r="A204"/>
      <c r="B204"/>
      <c r="C204"/>
    </row>
    <row r="205" spans="1:3" x14ac:dyDescent="0.55000000000000004">
      <c r="A205"/>
      <c r="B205"/>
      <c r="C205"/>
    </row>
    <row r="206" spans="1:3" x14ac:dyDescent="0.55000000000000004">
      <c r="A206"/>
      <c r="B206"/>
      <c r="C206"/>
    </row>
    <row r="207" spans="1:3" x14ac:dyDescent="0.55000000000000004">
      <c r="A207"/>
      <c r="B207"/>
      <c r="C207"/>
    </row>
    <row r="208" spans="1:3" x14ac:dyDescent="0.55000000000000004">
      <c r="A208"/>
      <c r="B208"/>
      <c r="C208"/>
    </row>
    <row r="209" spans="1:3" x14ac:dyDescent="0.55000000000000004">
      <c r="A209"/>
      <c r="B209"/>
      <c r="C209"/>
    </row>
    <row r="210" spans="1:3" x14ac:dyDescent="0.55000000000000004">
      <c r="A210"/>
      <c r="B210"/>
      <c r="C210"/>
    </row>
    <row r="211" spans="1:3" x14ac:dyDescent="0.55000000000000004">
      <c r="A211"/>
      <c r="B211"/>
      <c r="C211"/>
    </row>
    <row r="212" spans="1:3" x14ac:dyDescent="0.55000000000000004">
      <c r="A212"/>
      <c r="B212"/>
      <c r="C212"/>
    </row>
    <row r="213" spans="1:3" x14ac:dyDescent="0.55000000000000004">
      <c r="A213"/>
      <c r="B213"/>
      <c r="C213"/>
    </row>
    <row r="214" spans="1:3" x14ac:dyDescent="0.55000000000000004">
      <c r="A214"/>
      <c r="B214"/>
      <c r="C214"/>
    </row>
    <row r="215" spans="1:3" x14ac:dyDescent="0.55000000000000004">
      <c r="A215"/>
      <c r="B215"/>
      <c r="C215"/>
    </row>
    <row r="216" spans="1:3" x14ac:dyDescent="0.55000000000000004">
      <c r="A216"/>
      <c r="B216"/>
      <c r="C216"/>
    </row>
    <row r="217" spans="1:3" x14ac:dyDescent="0.55000000000000004">
      <c r="A217"/>
      <c r="B217"/>
      <c r="C217"/>
    </row>
    <row r="218" spans="1:3" x14ac:dyDescent="0.55000000000000004">
      <c r="A218"/>
      <c r="B218"/>
      <c r="C218"/>
    </row>
    <row r="219" spans="1:3" x14ac:dyDescent="0.55000000000000004">
      <c r="A219"/>
      <c r="B219"/>
      <c r="C219"/>
    </row>
    <row r="220" spans="1:3" x14ac:dyDescent="0.55000000000000004">
      <c r="A220"/>
      <c r="B220"/>
      <c r="C220"/>
    </row>
    <row r="221" spans="1:3" x14ac:dyDescent="0.55000000000000004">
      <c r="A221"/>
      <c r="B221"/>
      <c r="C221"/>
    </row>
    <row r="222" spans="1:3" x14ac:dyDescent="0.55000000000000004">
      <c r="A222"/>
      <c r="B222"/>
      <c r="C222"/>
    </row>
    <row r="223" spans="1:3" x14ac:dyDescent="0.55000000000000004">
      <c r="A223"/>
      <c r="B223"/>
      <c r="C223"/>
    </row>
    <row r="224" spans="1:3" x14ac:dyDescent="0.55000000000000004">
      <c r="A224"/>
      <c r="B224"/>
      <c r="C224"/>
    </row>
    <row r="225" spans="1:3" x14ac:dyDescent="0.55000000000000004">
      <c r="A225"/>
      <c r="B225"/>
      <c r="C225"/>
    </row>
    <row r="226" spans="1:3" x14ac:dyDescent="0.55000000000000004">
      <c r="A226"/>
      <c r="B226"/>
      <c r="C226"/>
    </row>
    <row r="227" spans="1:3" x14ac:dyDescent="0.55000000000000004">
      <c r="A227"/>
      <c r="B227"/>
      <c r="C227"/>
    </row>
    <row r="228" spans="1:3" x14ac:dyDescent="0.55000000000000004">
      <c r="A228"/>
      <c r="B228"/>
      <c r="C228"/>
    </row>
    <row r="229" spans="1:3" x14ac:dyDescent="0.55000000000000004">
      <c r="A229"/>
      <c r="B229"/>
      <c r="C229"/>
    </row>
    <row r="230" spans="1:3" x14ac:dyDescent="0.55000000000000004">
      <c r="A230"/>
      <c r="B230"/>
      <c r="C230"/>
    </row>
    <row r="231" spans="1:3" x14ac:dyDescent="0.55000000000000004">
      <c r="A231"/>
      <c r="B231"/>
      <c r="C231"/>
    </row>
    <row r="232" spans="1:3" x14ac:dyDescent="0.55000000000000004">
      <c r="A232"/>
      <c r="B232"/>
      <c r="C232"/>
    </row>
    <row r="233" spans="1:3" x14ac:dyDescent="0.55000000000000004">
      <c r="A233"/>
      <c r="B233"/>
      <c r="C233"/>
    </row>
    <row r="234" spans="1:3" x14ac:dyDescent="0.55000000000000004">
      <c r="A234"/>
      <c r="B234"/>
      <c r="C234"/>
    </row>
    <row r="235" spans="1:3" x14ac:dyDescent="0.55000000000000004">
      <c r="A235"/>
      <c r="B235"/>
      <c r="C235"/>
    </row>
    <row r="236" spans="1:3" x14ac:dyDescent="0.55000000000000004">
      <c r="A236"/>
      <c r="B236"/>
      <c r="C236"/>
    </row>
    <row r="237" spans="1:3" x14ac:dyDescent="0.55000000000000004">
      <c r="A237"/>
      <c r="B237"/>
      <c r="C237"/>
    </row>
    <row r="238" spans="1:3" x14ac:dyDescent="0.55000000000000004">
      <c r="A238"/>
      <c r="B238"/>
      <c r="C238"/>
    </row>
    <row r="239" spans="1:3" x14ac:dyDescent="0.55000000000000004">
      <c r="A239"/>
      <c r="B239"/>
      <c r="C239"/>
    </row>
    <row r="240" spans="1:3" x14ac:dyDescent="0.55000000000000004">
      <c r="A240"/>
      <c r="B240"/>
      <c r="C240"/>
    </row>
    <row r="241" spans="1:3" x14ac:dyDescent="0.55000000000000004">
      <c r="A241"/>
      <c r="B241"/>
      <c r="C241"/>
    </row>
    <row r="242" spans="1:3" x14ac:dyDescent="0.55000000000000004">
      <c r="A242"/>
      <c r="B242"/>
      <c r="C242"/>
    </row>
    <row r="243" spans="1:3" x14ac:dyDescent="0.55000000000000004">
      <c r="A243"/>
      <c r="B243"/>
      <c r="C243"/>
    </row>
    <row r="244" spans="1:3" x14ac:dyDescent="0.55000000000000004">
      <c r="A244"/>
      <c r="B244"/>
      <c r="C244"/>
    </row>
    <row r="245" spans="1:3" x14ac:dyDescent="0.55000000000000004">
      <c r="A245"/>
      <c r="B245"/>
      <c r="C245"/>
    </row>
    <row r="246" spans="1:3" x14ac:dyDescent="0.55000000000000004">
      <c r="A246"/>
      <c r="B246"/>
      <c r="C246"/>
    </row>
    <row r="247" spans="1:3" x14ac:dyDescent="0.55000000000000004">
      <c r="A247"/>
      <c r="B247"/>
      <c r="C247"/>
    </row>
    <row r="248" spans="1:3" x14ac:dyDescent="0.55000000000000004">
      <c r="A248"/>
      <c r="B248"/>
      <c r="C248"/>
    </row>
    <row r="249" spans="1:3" x14ac:dyDescent="0.55000000000000004">
      <c r="A249"/>
      <c r="B249"/>
      <c r="C249"/>
    </row>
    <row r="250" spans="1:3" x14ac:dyDescent="0.55000000000000004">
      <c r="A250"/>
      <c r="B250"/>
      <c r="C250"/>
    </row>
    <row r="251" spans="1:3" x14ac:dyDescent="0.55000000000000004">
      <c r="A251"/>
      <c r="B251"/>
      <c r="C251"/>
    </row>
    <row r="252" spans="1:3" x14ac:dyDescent="0.55000000000000004">
      <c r="A252"/>
      <c r="B252"/>
      <c r="C252"/>
    </row>
    <row r="253" spans="1:3" x14ac:dyDescent="0.55000000000000004">
      <c r="A253"/>
      <c r="B253"/>
      <c r="C253"/>
    </row>
    <row r="254" spans="1:3" x14ac:dyDescent="0.55000000000000004">
      <c r="A254"/>
      <c r="B254"/>
      <c r="C254"/>
    </row>
    <row r="255" spans="1:3" x14ac:dyDescent="0.55000000000000004">
      <c r="A255"/>
      <c r="B255"/>
      <c r="C255"/>
    </row>
    <row r="256" spans="1:3" x14ac:dyDescent="0.55000000000000004">
      <c r="A256"/>
      <c r="B256"/>
      <c r="C256"/>
    </row>
    <row r="257" spans="1:3" x14ac:dyDescent="0.55000000000000004">
      <c r="A257"/>
      <c r="B257"/>
      <c r="C257"/>
    </row>
    <row r="258" spans="1:3" x14ac:dyDescent="0.55000000000000004">
      <c r="A258"/>
      <c r="B258"/>
      <c r="C258"/>
    </row>
    <row r="259" spans="1:3" x14ac:dyDescent="0.55000000000000004">
      <c r="A259"/>
      <c r="B259"/>
      <c r="C259"/>
    </row>
    <row r="260" spans="1:3" x14ac:dyDescent="0.55000000000000004">
      <c r="A260"/>
      <c r="B260"/>
      <c r="C260"/>
    </row>
    <row r="261" spans="1:3" x14ac:dyDescent="0.55000000000000004">
      <c r="A261"/>
      <c r="B261"/>
      <c r="C261"/>
    </row>
    <row r="262" spans="1:3" x14ac:dyDescent="0.55000000000000004">
      <c r="A262"/>
      <c r="B262"/>
      <c r="C262"/>
    </row>
    <row r="263" spans="1:3" x14ac:dyDescent="0.55000000000000004">
      <c r="A263"/>
      <c r="B263"/>
      <c r="C263"/>
    </row>
    <row r="264" spans="1:3" x14ac:dyDescent="0.55000000000000004">
      <c r="A264"/>
      <c r="B264"/>
      <c r="C264"/>
    </row>
    <row r="265" spans="1:3" x14ac:dyDescent="0.55000000000000004">
      <c r="A265"/>
      <c r="B265"/>
      <c r="C265"/>
    </row>
    <row r="266" spans="1:3" x14ac:dyDescent="0.55000000000000004">
      <c r="A266"/>
      <c r="B266"/>
      <c r="C266"/>
    </row>
    <row r="267" spans="1:3" x14ac:dyDescent="0.55000000000000004">
      <c r="A267"/>
      <c r="B267"/>
      <c r="C267"/>
    </row>
    <row r="268" spans="1:3" x14ac:dyDescent="0.55000000000000004">
      <c r="A268"/>
      <c r="B268"/>
      <c r="C268"/>
    </row>
    <row r="269" spans="1:3" x14ac:dyDescent="0.55000000000000004">
      <c r="A269"/>
      <c r="B269"/>
      <c r="C269"/>
    </row>
    <row r="270" spans="1:3" x14ac:dyDescent="0.55000000000000004">
      <c r="A270"/>
      <c r="B270"/>
      <c r="C270"/>
    </row>
    <row r="271" spans="1:3" x14ac:dyDescent="0.55000000000000004">
      <c r="A271"/>
      <c r="B271"/>
      <c r="C271"/>
    </row>
    <row r="272" spans="1:3" x14ac:dyDescent="0.55000000000000004">
      <c r="A272"/>
      <c r="B272"/>
      <c r="C272"/>
    </row>
    <row r="273" spans="1:3" x14ac:dyDescent="0.55000000000000004">
      <c r="A273"/>
      <c r="B273"/>
      <c r="C273"/>
    </row>
    <row r="274" spans="1:3" x14ac:dyDescent="0.55000000000000004">
      <c r="A274"/>
      <c r="B274"/>
      <c r="C274"/>
    </row>
    <row r="275" spans="1:3" x14ac:dyDescent="0.55000000000000004">
      <c r="A275"/>
      <c r="B275"/>
      <c r="C275"/>
    </row>
    <row r="276" spans="1:3" x14ac:dyDescent="0.55000000000000004">
      <c r="A276"/>
      <c r="B276"/>
      <c r="C276"/>
    </row>
    <row r="277" spans="1:3" x14ac:dyDescent="0.55000000000000004">
      <c r="A277"/>
      <c r="B277"/>
      <c r="C277"/>
    </row>
    <row r="278" spans="1:3" x14ac:dyDescent="0.55000000000000004">
      <c r="A278"/>
      <c r="B278"/>
      <c r="C278"/>
    </row>
    <row r="279" spans="1:3" x14ac:dyDescent="0.55000000000000004">
      <c r="A279"/>
      <c r="B279"/>
      <c r="C279"/>
    </row>
    <row r="280" spans="1:3" x14ac:dyDescent="0.55000000000000004">
      <c r="A280"/>
      <c r="B280"/>
      <c r="C280"/>
    </row>
    <row r="281" spans="1:3" x14ac:dyDescent="0.55000000000000004">
      <c r="A281"/>
      <c r="B281"/>
      <c r="C281"/>
    </row>
    <row r="282" spans="1:3" x14ac:dyDescent="0.55000000000000004">
      <c r="A282"/>
      <c r="B282"/>
      <c r="C282"/>
    </row>
    <row r="283" spans="1:3" x14ac:dyDescent="0.55000000000000004">
      <c r="A283"/>
      <c r="B283"/>
      <c r="C283"/>
    </row>
    <row r="284" spans="1:3" x14ac:dyDescent="0.55000000000000004">
      <c r="A284"/>
      <c r="B284"/>
      <c r="C284"/>
    </row>
    <row r="285" spans="1:3" x14ac:dyDescent="0.55000000000000004">
      <c r="A285"/>
      <c r="B285"/>
      <c r="C285"/>
    </row>
    <row r="286" spans="1:3" x14ac:dyDescent="0.55000000000000004">
      <c r="A286"/>
      <c r="B286"/>
      <c r="C286"/>
    </row>
    <row r="287" spans="1:3" x14ac:dyDescent="0.55000000000000004">
      <c r="A287"/>
      <c r="B287"/>
      <c r="C287"/>
    </row>
    <row r="288" spans="1:3" x14ac:dyDescent="0.55000000000000004">
      <c r="A288"/>
      <c r="B288"/>
      <c r="C288"/>
    </row>
    <row r="289" spans="1:3" x14ac:dyDescent="0.55000000000000004">
      <c r="A289"/>
      <c r="B289"/>
      <c r="C289"/>
    </row>
    <row r="290" spans="1:3" x14ac:dyDescent="0.55000000000000004">
      <c r="A290"/>
      <c r="B290"/>
      <c r="C290"/>
    </row>
    <row r="291" spans="1:3" x14ac:dyDescent="0.55000000000000004">
      <c r="A291"/>
      <c r="B291"/>
      <c r="C291"/>
    </row>
    <row r="292" spans="1:3" x14ac:dyDescent="0.55000000000000004">
      <c r="A292"/>
      <c r="B292"/>
      <c r="C292"/>
    </row>
    <row r="293" spans="1:3" x14ac:dyDescent="0.55000000000000004">
      <c r="A293"/>
      <c r="B293"/>
      <c r="C293"/>
    </row>
    <row r="294" spans="1:3" x14ac:dyDescent="0.55000000000000004">
      <c r="A294"/>
      <c r="B294"/>
      <c r="C294"/>
    </row>
    <row r="295" spans="1:3" x14ac:dyDescent="0.55000000000000004">
      <c r="A295"/>
      <c r="B295"/>
      <c r="C295"/>
    </row>
    <row r="296" spans="1:3" x14ac:dyDescent="0.55000000000000004">
      <c r="A296"/>
      <c r="B296"/>
      <c r="C296"/>
    </row>
    <row r="297" spans="1:3" x14ac:dyDescent="0.55000000000000004">
      <c r="A297"/>
      <c r="B297"/>
      <c r="C297"/>
    </row>
    <row r="298" spans="1:3" x14ac:dyDescent="0.55000000000000004">
      <c r="A298"/>
      <c r="B298"/>
      <c r="C298"/>
    </row>
    <row r="299" spans="1:3" x14ac:dyDescent="0.55000000000000004">
      <c r="A299"/>
      <c r="B299"/>
      <c r="C299"/>
    </row>
    <row r="300" spans="1:3" x14ac:dyDescent="0.55000000000000004">
      <c r="A300"/>
      <c r="B300"/>
      <c r="C300"/>
    </row>
    <row r="301" spans="1:3" x14ac:dyDescent="0.55000000000000004">
      <c r="A301"/>
      <c r="B301"/>
      <c r="C301"/>
    </row>
    <row r="302" spans="1:3" x14ac:dyDescent="0.55000000000000004">
      <c r="A302"/>
      <c r="B302"/>
      <c r="C302"/>
    </row>
    <row r="303" spans="1:3" x14ac:dyDescent="0.55000000000000004">
      <c r="A303"/>
      <c r="B303"/>
      <c r="C303"/>
    </row>
    <row r="304" spans="1:3" x14ac:dyDescent="0.55000000000000004">
      <c r="A304"/>
      <c r="B304"/>
      <c r="C304"/>
    </row>
    <row r="305" spans="1:3" x14ac:dyDescent="0.55000000000000004">
      <c r="A305"/>
      <c r="B305"/>
      <c r="C305"/>
    </row>
    <row r="306" spans="1:3" x14ac:dyDescent="0.55000000000000004">
      <c r="A306"/>
      <c r="B306"/>
      <c r="C306"/>
    </row>
    <row r="307" spans="1:3" x14ac:dyDescent="0.55000000000000004">
      <c r="A307"/>
      <c r="B307"/>
      <c r="C307"/>
    </row>
    <row r="308" spans="1:3" x14ac:dyDescent="0.55000000000000004">
      <c r="A308"/>
      <c r="B308"/>
      <c r="C308"/>
    </row>
    <row r="309" spans="1:3" x14ac:dyDescent="0.55000000000000004">
      <c r="A309"/>
      <c r="B309"/>
      <c r="C309"/>
    </row>
    <row r="310" spans="1:3" x14ac:dyDescent="0.55000000000000004">
      <c r="A310"/>
      <c r="B310"/>
      <c r="C310"/>
    </row>
    <row r="311" spans="1:3" x14ac:dyDescent="0.55000000000000004">
      <c r="A311"/>
      <c r="B311"/>
      <c r="C311"/>
    </row>
    <row r="312" spans="1:3" x14ac:dyDescent="0.55000000000000004">
      <c r="A312"/>
      <c r="B312"/>
      <c r="C312"/>
    </row>
    <row r="313" spans="1:3" x14ac:dyDescent="0.55000000000000004">
      <c r="A313"/>
      <c r="B313"/>
      <c r="C313"/>
    </row>
    <row r="314" spans="1:3" x14ac:dyDescent="0.55000000000000004">
      <c r="A314"/>
      <c r="B314"/>
      <c r="C314"/>
    </row>
    <row r="315" spans="1:3" x14ac:dyDescent="0.55000000000000004">
      <c r="A315"/>
      <c r="B315"/>
      <c r="C315"/>
    </row>
    <row r="316" spans="1:3" x14ac:dyDescent="0.55000000000000004">
      <c r="A316"/>
      <c r="B316"/>
      <c r="C316"/>
    </row>
    <row r="317" spans="1:3" x14ac:dyDescent="0.55000000000000004">
      <c r="A317"/>
      <c r="B317"/>
      <c r="C317"/>
    </row>
    <row r="318" spans="1:3" x14ac:dyDescent="0.55000000000000004">
      <c r="A318"/>
      <c r="B318"/>
      <c r="C318"/>
    </row>
    <row r="319" spans="1:3" x14ac:dyDescent="0.55000000000000004">
      <c r="A319"/>
      <c r="B319"/>
      <c r="C319"/>
    </row>
    <row r="320" spans="1:3" x14ac:dyDescent="0.55000000000000004">
      <c r="A320"/>
      <c r="B320"/>
      <c r="C320"/>
    </row>
    <row r="321" spans="1:3" x14ac:dyDescent="0.55000000000000004">
      <c r="A321"/>
      <c r="B321"/>
      <c r="C321"/>
    </row>
    <row r="322" spans="1:3" x14ac:dyDescent="0.55000000000000004">
      <c r="A322"/>
      <c r="B322"/>
      <c r="C322"/>
    </row>
    <row r="323" spans="1:3" x14ac:dyDescent="0.55000000000000004">
      <c r="A323"/>
      <c r="B323"/>
      <c r="C323"/>
    </row>
    <row r="324" spans="1:3" x14ac:dyDescent="0.55000000000000004">
      <c r="A324"/>
      <c r="B324"/>
      <c r="C324"/>
    </row>
    <row r="325" spans="1:3" x14ac:dyDescent="0.55000000000000004">
      <c r="A325"/>
      <c r="B325"/>
      <c r="C325"/>
    </row>
    <row r="326" spans="1:3" x14ac:dyDescent="0.55000000000000004">
      <c r="A326"/>
      <c r="B326"/>
      <c r="C326"/>
    </row>
    <row r="327" spans="1:3" x14ac:dyDescent="0.55000000000000004">
      <c r="A327"/>
      <c r="B327"/>
      <c r="C327"/>
    </row>
    <row r="328" spans="1:3" x14ac:dyDescent="0.55000000000000004">
      <c r="A328"/>
      <c r="B328"/>
      <c r="C328"/>
    </row>
    <row r="329" spans="1:3" x14ac:dyDescent="0.55000000000000004">
      <c r="A329"/>
      <c r="B329"/>
      <c r="C329"/>
    </row>
    <row r="330" spans="1:3" x14ac:dyDescent="0.55000000000000004">
      <c r="A330"/>
      <c r="B330"/>
      <c r="C330"/>
    </row>
    <row r="331" spans="1:3" x14ac:dyDescent="0.55000000000000004">
      <c r="A331"/>
      <c r="B331"/>
      <c r="C331"/>
    </row>
    <row r="332" spans="1:3" x14ac:dyDescent="0.55000000000000004">
      <c r="A332"/>
      <c r="B332"/>
      <c r="C332"/>
    </row>
    <row r="333" spans="1:3" x14ac:dyDescent="0.55000000000000004">
      <c r="A333"/>
      <c r="B333"/>
      <c r="C333"/>
    </row>
    <row r="334" spans="1:3" x14ac:dyDescent="0.55000000000000004">
      <c r="A334"/>
      <c r="B334"/>
      <c r="C334"/>
    </row>
    <row r="335" spans="1:3" x14ac:dyDescent="0.55000000000000004">
      <c r="A335"/>
      <c r="B335"/>
      <c r="C335"/>
    </row>
    <row r="336" spans="1:3" x14ac:dyDescent="0.55000000000000004">
      <c r="A336"/>
      <c r="B336"/>
      <c r="C336"/>
    </row>
    <row r="337" spans="1:3" x14ac:dyDescent="0.55000000000000004">
      <c r="A337"/>
      <c r="B337"/>
      <c r="C337"/>
    </row>
    <row r="338" spans="1:3" x14ac:dyDescent="0.55000000000000004">
      <c r="A338"/>
      <c r="B338"/>
      <c r="C338"/>
    </row>
    <row r="339" spans="1:3" x14ac:dyDescent="0.55000000000000004">
      <c r="A339"/>
      <c r="B339"/>
      <c r="C339"/>
    </row>
    <row r="340" spans="1:3" x14ac:dyDescent="0.55000000000000004">
      <c r="A340"/>
      <c r="B340"/>
      <c r="C340"/>
    </row>
    <row r="341" spans="1:3" x14ac:dyDescent="0.55000000000000004">
      <c r="A341"/>
      <c r="B341"/>
      <c r="C341"/>
    </row>
    <row r="342" spans="1:3" x14ac:dyDescent="0.55000000000000004">
      <c r="A342"/>
      <c r="B342"/>
      <c r="C342"/>
    </row>
    <row r="343" spans="1:3" x14ac:dyDescent="0.55000000000000004">
      <c r="A343"/>
      <c r="B343"/>
      <c r="C343"/>
    </row>
    <row r="344" spans="1:3" x14ac:dyDescent="0.55000000000000004">
      <c r="A344"/>
      <c r="B344"/>
      <c r="C344"/>
    </row>
    <row r="345" spans="1:3" x14ac:dyDescent="0.55000000000000004">
      <c r="A345"/>
      <c r="B345"/>
      <c r="C345"/>
    </row>
    <row r="346" spans="1:3" x14ac:dyDescent="0.55000000000000004">
      <c r="A346"/>
      <c r="B346"/>
      <c r="C346"/>
    </row>
    <row r="347" spans="1:3" x14ac:dyDescent="0.55000000000000004">
      <c r="A347"/>
      <c r="B347"/>
      <c r="C347"/>
    </row>
    <row r="348" spans="1:3" x14ac:dyDescent="0.55000000000000004">
      <c r="A348"/>
      <c r="B348"/>
      <c r="C348"/>
    </row>
    <row r="349" spans="1:3" x14ac:dyDescent="0.55000000000000004">
      <c r="A349"/>
      <c r="B349"/>
      <c r="C349"/>
    </row>
    <row r="350" spans="1:3" x14ac:dyDescent="0.55000000000000004">
      <c r="A350"/>
      <c r="B350"/>
      <c r="C350"/>
    </row>
    <row r="351" spans="1:3" x14ac:dyDescent="0.55000000000000004">
      <c r="A351"/>
      <c r="B351"/>
      <c r="C351"/>
    </row>
    <row r="352" spans="1:3" x14ac:dyDescent="0.55000000000000004">
      <c r="A352"/>
      <c r="B352"/>
      <c r="C352"/>
    </row>
    <row r="353" spans="1:3" x14ac:dyDescent="0.55000000000000004">
      <c r="A353"/>
      <c r="B353"/>
      <c r="C353"/>
    </row>
    <row r="354" spans="1:3" x14ac:dyDescent="0.55000000000000004">
      <c r="A354"/>
      <c r="B354"/>
      <c r="C354"/>
    </row>
    <row r="355" spans="1:3" x14ac:dyDescent="0.55000000000000004">
      <c r="A355"/>
      <c r="B355"/>
      <c r="C355"/>
    </row>
    <row r="356" spans="1:3" x14ac:dyDescent="0.55000000000000004">
      <c r="A356"/>
      <c r="B356"/>
      <c r="C356"/>
    </row>
    <row r="357" spans="1:3" x14ac:dyDescent="0.55000000000000004">
      <c r="A357"/>
      <c r="B357"/>
      <c r="C357"/>
    </row>
    <row r="358" spans="1:3" x14ac:dyDescent="0.55000000000000004">
      <c r="A358"/>
      <c r="B358"/>
      <c r="C358"/>
    </row>
    <row r="359" spans="1:3" x14ac:dyDescent="0.55000000000000004">
      <c r="A359"/>
      <c r="B359"/>
      <c r="C359"/>
    </row>
    <row r="360" spans="1:3" x14ac:dyDescent="0.55000000000000004">
      <c r="A360"/>
      <c r="B360"/>
      <c r="C360"/>
    </row>
    <row r="361" spans="1:3" x14ac:dyDescent="0.55000000000000004">
      <c r="A361"/>
      <c r="B361"/>
      <c r="C361"/>
    </row>
    <row r="362" spans="1:3" x14ac:dyDescent="0.55000000000000004">
      <c r="A362"/>
      <c r="B362"/>
      <c r="C362"/>
    </row>
    <row r="363" spans="1:3" x14ac:dyDescent="0.55000000000000004">
      <c r="A363"/>
      <c r="B363"/>
      <c r="C363"/>
    </row>
    <row r="364" spans="1:3" x14ac:dyDescent="0.55000000000000004">
      <c r="A364"/>
      <c r="B364"/>
      <c r="C364"/>
    </row>
    <row r="365" spans="1:3" x14ac:dyDescent="0.55000000000000004">
      <c r="A365"/>
      <c r="B365"/>
      <c r="C365"/>
    </row>
    <row r="366" spans="1:3" x14ac:dyDescent="0.55000000000000004">
      <c r="A366"/>
      <c r="B366"/>
      <c r="C366"/>
    </row>
    <row r="367" spans="1:3" x14ac:dyDescent="0.55000000000000004">
      <c r="A367"/>
      <c r="B367"/>
      <c r="C367"/>
    </row>
    <row r="368" spans="1:3" x14ac:dyDescent="0.55000000000000004">
      <c r="A368"/>
      <c r="B368"/>
      <c r="C368"/>
    </row>
    <row r="369" spans="1:3" x14ac:dyDescent="0.55000000000000004">
      <c r="A369"/>
      <c r="B369"/>
      <c r="C369"/>
    </row>
    <row r="370" spans="1:3" x14ac:dyDescent="0.55000000000000004">
      <c r="A370"/>
      <c r="B370"/>
      <c r="C370"/>
    </row>
    <row r="371" spans="1:3" x14ac:dyDescent="0.55000000000000004">
      <c r="A371"/>
      <c r="B371"/>
      <c r="C371"/>
    </row>
    <row r="372" spans="1:3" x14ac:dyDescent="0.55000000000000004">
      <c r="A372"/>
      <c r="B372"/>
      <c r="C372"/>
    </row>
    <row r="373" spans="1:3" x14ac:dyDescent="0.55000000000000004">
      <c r="A373"/>
      <c r="B373"/>
      <c r="C373"/>
    </row>
    <row r="374" spans="1:3" x14ac:dyDescent="0.55000000000000004">
      <c r="A374"/>
      <c r="B374"/>
      <c r="C374"/>
    </row>
    <row r="375" spans="1:3" x14ac:dyDescent="0.55000000000000004">
      <c r="A375"/>
      <c r="B375"/>
      <c r="C375"/>
    </row>
    <row r="376" spans="1:3" x14ac:dyDescent="0.55000000000000004">
      <c r="A376"/>
      <c r="B376"/>
      <c r="C376"/>
    </row>
    <row r="377" spans="1:3" x14ac:dyDescent="0.55000000000000004">
      <c r="A377"/>
      <c r="B377"/>
      <c r="C377"/>
    </row>
    <row r="378" spans="1:3" x14ac:dyDescent="0.55000000000000004">
      <c r="A378"/>
      <c r="B378"/>
      <c r="C378"/>
    </row>
    <row r="379" spans="1:3" x14ac:dyDescent="0.55000000000000004">
      <c r="A379"/>
      <c r="B379"/>
      <c r="C379"/>
    </row>
    <row r="380" spans="1:3" x14ac:dyDescent="0.55000000000000004">
      <c r="A380"/>
      <c r="B380"/>
      <c r="C380"/>
    </row>
    <row r="381" spans="1:3" x14ac:dyDescent="0.55000000000000004">
      <c r="A381"/>
      <c r="B381"/>
      <c r="C381"/>
    </row>
    <row r="382" spans="1:3" x14ac:dyDescent="0.55000000000000004">
      <c r="A382"/>
      <c r="B382"/>
      <c r="C382"/>
    </row>
    <row r="383" spans="1:3" x14ac:dyDescent="0.55000000000000004">
      <c r="A383"/>
      <c r="B383"/>
      <c r="C383"/>
    </row>
    <row r="384" spans="1:3" x14ac:dyDescent="0.55000000000000004">
      <c r="A384"/>
      <c r="B384"/>
      <c r="C384"/>
    </row>
    <row r="385" spans="1:3" x14ac:dyDescent="0.55000000000000004">
      <c r="A385"/>
      <c r="B385"/>
      <c r="C385"/>
    </row>
    <row r="386" spans="1:3" x14ac:dyDescent="0.55000000000000004">
      <c r="A386"/>
      <c r="B386"/>
      <c r="C386"/>
    </row>
    <row r="387" spans="1:3" x14ac:dyDescent="0.55000000000000004">
      <c r="A387"/>
      <c r="B387"/>
      <c r="C387"/>
    </row>
    <row r="388" spans="1:3" x14ac:dyDescent="0.55000000000000004">
      <c r="A388"/>
      <c r="B388"/>
      <c r="C388"/>
    </row>
    <row r="389" spans="1:3" x14ac:dyDescent="0.55000000000000004">
      <c r="A389"/>
      <c r="B389"/>
      <c r="C389"/>
    </row>
    <row r="390" spans="1:3" x14ac:dyDescent="0.55000000000000004">
      <c r="A390"/>
      <c r="B390"/>
      <c r="C390"/>
    </row>
    <row r="391" spans="1:3" x14ac:dyDescent="0.55000000000000004">
      <c r="A391"/>
      <c r="B391"/>
      <c r="C391"/>
    </row>
    <row r="392" spans="1:3" x14ac:dyDescent="0.55000000000000004">
      <c r="A392"/>
      <c r="B392"/>
      <c r="C392"/>
    </row>
    <row r="393" spans="1:3" x14ac:dyDescent="0.55000000000000004">
      <c r="A393"/>
      <c r="B393"/>
      <c r="C393"/>
    </row>
    <row r="394" spans="1:3" x14ac:dyDescent="0.55000000000000004">
      <c r="A394"/>
      <c r="B394"/>
      <c r="C394"/>
    </row>
    <row r="395" spans="1:3" x14ac:dyDescent="0.55000000000000004">
      <c r="A395"/>
      <c r="B395"/>
      <c r="C395"/>
    </row>
    <row r="396" spans="1:3" x14ac:dyDescent="0.55000000000000004">
      <c r="A396"/>
      <c r="B396"/>
      <c r="C396"/>
    </row>
    <row r="397" spans="1:3" x14ac:dyDescent="0.55000000000000004">
      <c r="A397"/>
      <c r="B397"/>
      <c r="C397"/>
    </row>
    <row r="398" spans="1:3" x14ac:dyDescent="0.55000000000000004">
      <c r="A398"/>
      <c r="B398"/>
      <c r="C398"/>
    </row>
    <row r="399" spans="1:3" x14ac:dyDescent="0.55000000000000004">
      <c r="A399"/>
      <c r="B399"/>
      <c r="C399"/>
    </row>
    <row r="400" spans="1:3" x14ac:dyDescent="0.55000000000000004">
      <c r="A400"/>
      <c r="B400"/>
      <c r="C400"/>
    </row>
    <row r="401" spans="1:3" x14ac:dyDescent="0.55000000000000004">
      <c r="A401"/>
      <c r="B401"/>
      <c r="C401"/>
    </row>
    <row r="402" spans="1:3" x14ac:dyDescent="0.55000000000000004">
      <c r="A402"/>
      <c r="B402"/>
      <c r="C402"/>
    </row>
    <row r="403" spans="1:3" x14ac:dyDescent="0.55000000000000004">
      <c r="A403"/>
      <c r="B403"/>
      <c r="C403"/>
    </row>
    <row r="404" spans="1:3" x14ac:dyDescent="0.55000000000000004">
      <c r="A404"/>
      <c r="B404"/>
      <c r="C404"/>
    </row>
    <row r="405" spans="1:3" x14ac:dyDescent="0.55000000000000004">
      <c r="A405"/>
      <c r="B405"/>
      <c r="C405"/>
    </row>
    <row r="406" spans="1:3" x14ac:dyDescent="0.55000000000000004">
      <c r="A406"/>
      <c r="B406"/>
      <c r="C406"/>
    </row>
    <row r="407" spans="1:3" x14ac:dyDescent="0.55000000000000004">
      <c r="A407"/>
      <c r="B407"/>
      <c r="C407"/>
    </row>
    <row r="408" spans="1:3" x14ac:dyDescent="0.55000000000000004">
      <c r="A408"/>
      <c r="B408"/>
      <c r="C408"/>
    </row>
    <row r="409" spans="1:3" x14ac:dyDescent="0.55000000000000004">
      <c r="A409"/>
      <c r="B409"/>
      <c r="C409"/>
    </row>
    <row r="410" spans="1:3" x14ac:dyDescent="0.55000000000000004">
      <c r="A410"/>
      <c r="B410"/>
      <c r="C410"/>
    </row>
    <row r="411" spans="1:3" x14ac:dyDescent="0.55000000000000004">
      <c r="A411"/>
      <c r="B411"/>
      <c r="C411"/>
    </row>
    <row r="412" spans="1:3" x14ac:dyDescent="0.55000000000000004">
      <c r="A412"/>
      <c r="B412"/>
      <c r="C412"/>
    </row>
    <row r="413" spans="1:3" x14ac:dyDescent="0.55000000000000004">
      <c r="A413"/>
      <c r="B413"/>
      <c r="C413"/>
    </row>
    <row r="414" spans="1:3" x14ac:dyDescent="0.55000000000000004">
      <c r="A414"/>
      <c r="B414"/>
      <c r="C414"/>
    </row>
    <row r="415" spans="1:3" x14ac:dyDescent="0.55000000000000004">
      <c r="A415"/>
      <c r="B415"/>
      <c r="C415"/>
    </row>
    <row r="416" spans="1:3" x14ac:dyDescent="0.55000000000000004">
      <c r="A416"/>
      <c r="B416"/>
      <c r="C416"/>
    </row>
    <row r="417" spans="1:3" x14ac:dyDescent="0.55000000000000004">
      <c r="A417"/>
      <c r="B417"/>
      <c r="C417"/>
    </row>
    <row r="418" spans="1:3" x14ac:dyDescent="0.55000000000000004">
      <c r="A418"/>
      <c r="B418"/>
      <c r="C418"/>
    </row>
    <row r="419" spans="1:3" x14ac:dyDescent="0.55000000000000004">
      <c r="A419"/>
      <c r="B419"/>
      <c r="C419"/>
    </row>
    <row r="420" spans="1:3" x14ac:dyDescent="0.55000000000000004">
      <c r="A420"/>
      <c r="B420"/>
      <c r="C420"/>
    </row>
    <row r="421" spans="1:3" x14ac:dyDescent="0.55000000000000004">
      <c r="A421"/>
      <c r="B421"/>
      <c r="C421"/>
    </row>
    <row r="422" spans="1:3" x14ac:dyDescent="0.55000000000000004">
      <c r="A422"/>
      <c r="B422"/>
      <c r="C422"/>
    </row>
    <row r="423" spans="1:3" x14ac:dyDescent="0.55000000000000004">
      <c r="A423"/>
      <c r="B423"/>
      <c r="C423"/>
    </row>
    <row r="424" spans="1:3" x14ac:dyDescent="0.55000000000000004">
      <c r="A424"/>
      <c r="B424"/>
      <c r="C424"/>
    </row>
    <row r="425" spans="1:3" x14ac:dyDescent="0.55000000000000004">
      <c r="A425"/>
      <c r="B425"/>
      <c r="C425"/>
    </row>
    <row r="426" spans="1:3" x14ac:dyDescent="0.55000000000000004">
      <c r="A426"/>
      <c r="B426"/>
      <c r="C426"/>
    </row>
    <row r="427" spans="1:3" x14ac:dyDescent="0.55000000000000004">
      <c r="A427"/>
      <c r="B427"/>
      <c r="C427"/>
    </row>
    <row r="428" spans="1:3" x14ac:dyDescent="0.55000000000000004">
      <c r="A428"/>
      <c r="B428"/>
      <c r="C428"/>
    </row>
    <row r="429" spans="1:3" x14ac:dyDescent="0.55000000000000004">
      <c r="A429"/>
      <c r="B429"/>
      <c r="C429"/>
    </row>
    <row r="430" spans="1:3" x14ac:dyDescent="0.55000000000000004">
      <c r="A430"/>
      <c r="B430"/>
      <c r="C430"/>
    </row>
    <row r="431" spans="1:3" x14ac:dyDescent="0.55000000000000004">
      <c r="A431"/>
      <c r="B431"/>
      <c r="C431"/>
    </row>
    <row r="432" spans="1:3" x14ac:dyDescent="0.55000000000000004">
      <c r="A432"/>
      <c r="B432"/>
      <c r="C432"/>
    </row>
    <row r="433" spans="1:3" x14ac:dyDescent="0.55000000000000004">
      <c r="A433"/>
      <c r="B433"/>
      <c r="C433"/>
    </row>
    <row r="434" spans="1:3" x14ac:dyDescent="0.55000000000000004">
      <c r="A434"/>
      <c r="B434"/>
      <c r="C434"/>
    </row>
    <row r="435" spans="1:3" x14ac:dyDescent="0.55000000000000004">
      <c r="A435"/>
      <c r="B435"/>
      <c r="C435"/>
    </row>
    <row r="436" spans="1:3" x14ac:dyDescent="0.55000000000000004">
      <c r="A436"/>
      <c r="B436"/>
      <c r="C436"/>
    </row>
    <row r="437" spans="1:3" x14ac:dyDescent="0.55000000000000004">
      <c r="A437"/>
      <c r="B437"/>
      <c r="C437"/>
    </row>
    <row r="438" spans="1:3" x14ac:dyDescent="0.55000000000000004">
      <c r="A438"/>
      <c r="B438"/>
      <c r="C438"/>
    </row>
    <row r="439" spans="1:3" x14ac:dyDescent="0.55000000000000004">
      <c r="A439"/>
      <c r="B439"/>
      <c r="C439"/>
    </row>
    <row r="440" spans="1:3" x14ac:dyDescent="0.55000000000000004">
      <c r="A440"/>
      <c r="B440"/>
      <c r="C440"/>
    </row>
    <row r="441" spans="1:3" x14ac:dyDescent="0.55000000000000004">
      <c r="A441"/>
      <c r="B441"/>
      <c r="C441"/>
    </row>
    <row r="442" spans="1:3" x14ac:dyDescent="0.55000000000000004">
      <c r="A442"/>
      <c r="B442"/>
      <c r="C442"/>
    </row>
    <row r="443" spans="1:3" x14ac:dyDescent="0.55000000000000004">
      <c r="A443"/>
      <c r="B443"/>
      <c r="C443"/>
    </row>
    <row r="444" spans="1:3" x14ac:dyDescent="0.55000000000000004">
      <c r="A444"/>
      <c r="B444"/>
      <c r="C444"/>
    </row>
    <row r="445" spans="1:3" x14ac:dyDescent="0.55000000000000004">
      <c r="A445"/>
      <c r="B445"/>
      <c r="C445"/>
    </row>
    <row r="446" spans="1:3" x14ac:dyDescent="0.55000000000000004">
      <c r="A446"/>
      <c r="B446"/>
      <c r="C446"/>
    </row>
    <row r="447" spans="1:3" x14ac:dyDescent="0.55000000000000004">
      <c r="A447"/>
      <c r="B447"/>
      <c r="C447"/>
    </row>
    <row r="448" spans="1:3" x14ac:dyDescent="0.55000000000000004">
      <c r="A448"/>
      <c r="B448"/>
      <c r="C448"/>
    </row>
    <row r="449" spans="1:3" x14ac:dyDescent="0.55000000000000004">
      <c r="A449"/>
      <c r="B449"/>
      <c r="C449"/>
    </row>
    <row r="450" spans="1:3" x14ac:dyDescent="0.55000000000000004">
      <c r="A450"/>
      <c r="B450"/>
      <c r="C450"/>
    </row>
    <row r="451" spans="1:3" x14ac:dyDescent="0.55000000000000004">
      <c r="A451"/>
      <c r="B451"/>
      <c r="C451"/>
    </row>
    <row r="452" spans="1:3" x14ac:dyDescent="0.55000000000000004">
      <c r="A452"/>
      <c r="B452"/>
      <c r="C452"/>
    </row>
    <row r="453" spans="1:3" x14ac:dyDescent="0.55000000000000004">
      <c r="A453"/>
      <c r="B453"/>
      <c r="C453"/>
    </row>
    <row r="454" spans="1:3" x14ac:dyDescent="0.55000000000000004">
      <c r="A454"/>
      <c r="B454"/>
      <c r="C454"/>
    </row>
    <row r="455" spans="1:3" x14ac:dyDescent="0.55000000000000004">
      <c r="A455"/>
      <c r="B455"/>
      <c r="C455"/>
    </row>
    <row r="456" spans="1:3" x14ac:dyDescent="0.55000000000000004">
      <c r="A456"/>
      <c r="B456"/>
      <c r="C456"/>
    </row>
    <row r="457" spans="1:3" x14ac:dyDescent="0.55000000000000004">
      <c r="A457"/>
      <c r="B457"/>
      <c r="C457"/>
    </row>
    <row r="458" spans="1:3" x14ac:dyDescent="0.55000000000000004">
      <c r="A458"/>
      <c r="B458"/>
      <c r="C458"/>
    </row>
    <row r="459" spans="1:3" x14ac:dyDescent="0.55000000000000004">
      <c r="A459"/>
      <c r="B459"/>
      <c r="C459"/>
    </row>
    <row r="460" spans="1:3" x14ac:dyDescent="0.55000000000000004">
      <c r="A460"/>
      <c r="B460"/>
      <c r="C460"/>
    </row>
    <row r="461" spans="1:3" x14ac:dyDescent="0.55000000000000004">
      <c r="A461"/>
      <c r="B461"/>
      <c r="C461"/>
    </row>
    <row r="462" spans="1:3" x14ac:dyDescent="0.55000000000000004">
      <c r="A462"/>
      <c r="B462"/>
      <c r="C462"/>
    </row>
    <row r="463" spans="1:3" x14ac:dyDescent="0.55000000000000004">
      <c r="A463"/>
      <c r="B463"/>
      <c r="C463"/>
    </row>
    <row r="464" spans="1:3" x14ac:dyDescent="0.55000000000000004">
      <c r="A464"/>
      <c r="B464"/>
      <c r="C464"/>
    </row>
    <row r="465" spans="1:3" x14ac:dyDescent="0.55000000000000004">
      <c r="A465"/>
      <c r="B465"/>
      <c r="C465"/>
    </row>
    <row r="466" spans="1:3" x14ac:dyDescent="0.55000000000000004">
      <c r="A466"/>
      <c r="B466"/>
      <c r="C466"/>
    </row>
    <row r="467" spans="1:3" x14ac:dyDescent="0.55000000000000004">
      <c r="A467"/>
      <c r="B467"/>
      <c r="C467"/>
    </row>
    <row r="468" spans="1:3" x14ac:dyDescent="0.55000000000000004">
      <c r="A468"/>
      <c r="B468"/>
      <c r="C468"/>
    </row>
    <row r="469" spans="1:3" x14ac:dyDescent="0.55000000000000004">
      <c r="A469"/>
      <c r="B469"/>
      <c r="C469"/>
    </row>
    <row r="470" spans="1:3" x14ac:dyDescent="0.55000000000000004">
      <c r="A470"/>
      <c r="B470"/>
      <c r="C470"/>
    </row>
    <row r="471" spans="1:3" x14ac:dyDescent="0.55000000000000004">
      <c r="A471"/>
      <c r="B471"/>
      <c r="C471"/>
    </row>
    <row r="472" spans="1:3" x14ac:dyDescent="0.55000000000000004">
      <c r="A472"/>
      <c r="B472"/>
      <c r="C472"/>
    </row>
    <row r="473" spans="1:3" x14ac:dyDescent="0.55000000000000004">
      <c r="A473"/>
      <c r="B473"/>
      <c r="C473"/>
    </row>
    <row r="474" spans="1:3" x14ac:dyDescent="0.55000000000000004">
      <c r="A474"/>
      <c r="B474"/>
      <c r="C474"/>
    </row>
    <row r="475" spans="1:3" x14ac:dyDescent="0.55000000000000004">
      <c r="A475"/>
      <c r="B475"/>
      <c r="C475"/>
    </row>
    <row r="476" spans="1:3" x14ac:dyDescent="0.55000000000000004">
      <c r="A476"/>
      <c r="B476"/>
      <c r="C476"/>
    </row>
    <row r="477" spans="1:3" x14ac:dyDescent="0.55000000000000004">
      <c r="A477"/>
      <c r="B477"/>
      <c r="C477"/>
    </row>
    <row r="478" spans="1:3" x14ac:dyDescent="0.55000000000000004">
      <c r="A478"/>
      <c r="B478"/>
      <c r="C478"/>
    </row>
    <row r="479" spans="1:3" x14ac:dyDescent="0.55000000000000004">
      <c r="A479"/>
      <c r="B479"/>
      <c r="C479"/>
    </row>
    <row r="480" spans="1:3" x14ac:dyDescent="0.55000000000000004">
      <c r="A480"/>
      <c r="B480"/>
      <c r="C480"/>
    </row>
    <row r="481" spans="1:3" x14ac:dyDescent="0.55000000000000004">
      <c r="A481"/>
      <c r="B481"/>
      <c r="C481"/>
    </row>
    <row r="482" spans="1:3" x14ac:dyDescent="0.55000000000000004">
      <c r="A482"/>
      <c r="B482"/>
      <c r="C482"/>
    </row>
    <row r="483" spans="1:3" x14ac:dyDescent="0.55000000000000004">
      <c r="A483"/>
      <c r="B483"/>
      <c r="C483"/>
    </row>
    <row r="484" spans="1:3" x14ac:dyDescent="0.55000000000000004">
      <c r="A484"/>
      <c r="B484"/>
      <c r="C484"/>
    </row>
    <row r="485" spans="1:3" x14ac:dyDescent="0.55000000000000004">
      <c r="A485"/>
      <c r="B485"/>
      <c r="C485"/>
    </row>
    <row r="486" spans="1:3" x14ac:dyDescent="0.55000000000000004">
      <c r="A486"/>
      <c r="B486"/>
      <c r="C486"/>
    </row>
    <row r="487" spans="1:3" x14ac:dyDescent="0.55000000000000004">
      <c r="A487"/>
      <c r="B487"/>
      <c r="C487"/>
    </row>
    <row r="488" spans="1:3" x14ac:dyDescent="0.55000000000000004">
      <c r="A488"/>
      <c r="B488"/>
      <c r="C488"/>
    </row>
    <row r="489" spans="1:3" x14ac:dyDescent="0.55000000000000004">
      <c r="A489"/>
      <c r="B489"/>
      <c r="C489"/>
    </row>
    <row r="490" spans="1:3" x14ac:dyDescent="0.55000000000000004">
      <c r="A490"/>
      <c r="B490"/>
      <c r="C490"/>
    </row>
    <row r="491" spans="1:3" x14ac:dyDescent="0.55000000000000004">
      <c r="A491"/>
      <c r="B491"/>
      <c r="C491"/>
    </row>
    <row r="492" spans="1:3" x14ac:dyDescent="0.55000000000000004">
      <c r="A492"/>
      <c r="B492"/>
      <c r="C492"/>
    </row>
    <row r="493" spans="1:3" x14ac:dyDescent="0.55000000000000004">
      <c r="A493"/>
      <c r="B493"/>
      <c r="C493"/>
    </row>
    <row r="494" spans="1:3" x14ac:dyDescent="0.55000000000000004">
      <c r="A494"/>
      <c r="B494"/>
      <c r="C494"/>
    </row>
    <row r="495" spans="1:3" x14ac:dyDescent="0.55000000000000004">
      <c r="A495"/>
      <c r="B495"/>
      <c r="C495"/>
    </row>
    <row r="496" spans="1:3" x14ac:dyDescent="0.55000000000000004">
      <c r="A496"/>
      <c r="B496"/>
      <c r="C496"/>
    </row>
    <row r="497" spans="1:3" x14ac:dyDescent="0.55000000000000004">
      <c r="A497"/>
      <c r="B497"/>
      <c r="C497"/>
    </row>
    <row r="498" spans="1:3" x14ac:dyDescent="0.55000000000000004">
      <c r="A498"/>
      <c r="B498"/>
      <c r="C498"/>
    </row>
    <row r="499" spans="1:3" x14ac:dyDescent="0.55000000000000004">
      <c r="A499"/>
      <c r="B499"/>
      <c r="C499"/>
    </row>
    <row r="500" spans="1:3" x14ac:dyDescent="0.55000000000000004">
      <c r="A500"/>
      <c r="B500"/>
      <c r="C500"/>
    </row>
    <row r="501" spans="1:3" x14ac:dyDescent="0.55000000000000004">
      <c r="A501"/>
      <c r="B501"/>
      <c r="C501"/>
    </row>
    <row r="502" spans="1:3" x14ac:dyDescent="0.55000000000000004">
      <c r="A502"/>
      <c r="B502"/>
      <c r="C502"/>
    </row>
    <row r="503" spans="1:3" x14ac:dyDescent="0.55000000000000004">
      <c r="A503"/>
      <c r="B503"/>
      <c r="C503"/>
    </row>
    <row r="504" spans="1:3" x14ac:dyDescent="0.55000000000000004">
      <c r="A504"/>
      <c r="B504"/>
      <c r="C504"/>
    </row>
    <row r="505" spans="1:3" x14ac:dyDescent="0.55000000000000004">
      <c r="A505"/>
      <c r="B505"/>
      <c r="C505"/>
    </row>
    <row r="506" spans="1:3" x14ac:dyDescent="0.55000000000000004">
      <c r="A506"/>
      <c r="B506"/>
      <c r="C506"/>
    </row>
    <row r="507" spans="1:3" x14ac:dyDescent="0.55000000000000004">
      <c r="A507"/>
      <c r="B507"/>
      <c r="C507"/>
    </row>
    <row r="508" spans="1:3" x14ac:dyDescent="0.55000000000000004">
      <c r="A508"/>
      <c r="B508"/>
      <c r="C508"/>
    </row>
    <row r="509" spans="1:3" x14ac:dyDescent="0.55000000000000004">
      <c r="A509"/>
      <c r="B509"/>
      <c r="C509"/>
    </row>
    <row r="510" spans="1:3" x14ac:dyDescent="0.55000000000000004">
      <c r="A510"/>
      <c r="B510"/>
      <c r="C510"/>
    </row>
    <row r="511" spans="1:3" x14ac:dyDescent="0.55000000000000004">
      <c r="A511"/>
      <c r="B511"/>
      <c r="C511"/>
    </row>
    <row r="512" spans="1:3" x14ac:dyDescent="0.55000000000000004">
      <c r="A512"/>
      <c r="B512"/>
      <c r="C512"/>
    </row>
    <row r="513" spans="1:3" x14ac:dyDescent="0.55000000000000004">
      <c r="A513"/>
      <c r="B513"/>
      <c r="C513"/>
    </row>
    <row r="514" spans="1:3" x14ac:dyDescent="0.55000000000000004">
      <c r="A514"/>
      <c r="B514"/>
      <c r="C514"/>
    </row>
    <row r="515" spans="1:3" x14ac:dyDescent="0.55000000000000004">
      <c r="A515"/>
      <c r="B515"/>
      <c r="C515"/>
    </row>
    <row r="516" spans="1:3" x14ac:dyDescent="0.55000000000000004">
      <c r="A516"/>
      <c r="B516"/>
      <c r="C516"/>
    </row>
    <row r="517" spans="1:3" x14ac:dyDescent="0.55000000000000004">
      <c r="A517"/>
      <c r="B517"/>
      <c r="C517"/>
    </row>
    <row r="518" spans="1:3" x14ac:dyDescent="0.55000000000000004">
      <c r="A518"/>
      <c r="B518"/>
      <c r="C518"/>
    </row>
    <row r="519" spans="1:3" x14ac:dyDescent="0.55000000000000004">
      <c r="A519"/>
      <c r="B519"/>
      <c r="C519"/>
    </row>
    <row r="520" spans="1:3" x14ac:dyDescent="0.55000000000000004">
      <c r="A520"/>
      <c r="B520"/>
      <c r="C520"/>
    </row>
    <row r="521" spans="1:3" x14ac:dyDescent="0.55000000000000004">
      <c r="A521"/>
      <c r="B521"/>
      <c r="C521"/>
    </row>
    <row r="522" spans="1:3" x14ac:dyDescent="0.55000000000000004">
      <c r="A522"/>
      <c r="B522"/>
      <c r="C522"/>
    </row>
    <row r="523" spans="1:3" x14ac:dyDescent="0.55000000000000004">
      <c r="A523"/>
      <c r="B523"/>
      <c r="C523"/>
    </row>
    <row r="524" spans="1:3" x14ac:dyDescent="0.55000000000000004">
      <c r="A524"/>
      <c r="B524"/>
      <c r="C524"/>
    </row>
    <row r="525" spans="1:3" x14ac:dyDescent="0.55000000000000004">
      <c r="A525"/>
      <c r="B525"/>
      <c r="C525"/>
    </row>
    <row r="526" spans="1:3" x14ac:dyDescent="0.55000000000000004">
      <c r="A526"/>
      <c r="B526"/>
      <c r="C526"/>
    </row>
    <row r="527" spans="1:3" x14ac:dyDescent="0.55000000000000004">
      <c r="A527"/>
      <c r="B527"/>
      <c r="C527"/>
    </row>
    <row r="528" spans="1:3" x14ac:dyDescent="0.55000000000000004">
      <c r="A528"/>
      <c r="B528"/>
      <c r="C528"/>
    </row>
    <row r="529" spans="1:3" x14ac:dyDescent="0.55000000000000004">
      <c r="A529"/>
      <c r="B529"/>
      <c r="C529"/>
    </row>
    <row r="530" spans="1:3" x14ac:dyDescent="0.55000000000000004">
      <c r="A530"/>
      <c r="B530"/>
      <c r="C530"/>
    </row>
    <row r="531" spans="1:3" x14ac:dyDescent="0.55000000000000004">
      <c r="A531"/>
      <c r="B531"/>
      <c r="C531"/>
    </row>
    <row r="532" spans="1:3" x14ac:dyDescent="0.55000000000000004">
      <c r="A532"/>
      <c r="B532"/>
      <c r="C532"/>
    </row>
    <row r="533" spans="1:3" x14ac:dyDescent="0.55000000000000004">
      <c r="A533"/>
      <c r="B533"/>
      <c r="C533"/>
    </row>
    <row r="534" spans="1:3" x14ac:dyDescent="0.55000000000000004">
      <c r="A534"/>
      <c r="B534"/>
      <c r="C534"/>
    </row>
    <row r="535" spans="1:3" x14ac:dyDescent="0.55000000000000004">
      <c r="A535"/>
      <c r="B535"/>
      <c r="C535"/>
    </row>
    <row r="536" spans="1:3" x14ac:dyDescent="0.55000000000000004">
      <c r="A536"/>
      <c r="B536"/>
      <c r="C536"/>
    </row>
    <row r="537" spans="1:3" x14ac:dyDescent="0.55000000000000004">
      <c r="A537"/>
      <c r="B537"/>
      <c r="C537"/>
    </row>
    <row r="538" spans="1:3" x14ac:dyDescent="0.55000000000000004">
      <c r="A538"/>
      <c r="B538"/>
      <c r="C538"/>
    </row>
    <row r="539" spans="1:3" x14ac:dyDescent="0.55000000000000004">
      <c r="A539"/>
      <c r="B539"/>
      <c r="C539"/>
    </row>
    <row r="540" spans="1:3" x14ac:dyDescent="0.55000000000000004">
      <c r="A540"/>
      <c r="B540"/>
      <c r="C540"/>
    </row>
    <row r="541" spans="1:3" x14ac:dyDescent="0.55000000000000004">
      <c r="A541"/>
      <c r="B541"/>
      <c r="C541"/>
    </row>
    <row r="542" spans="1:3" x14ac:dyDescent="0.55000000000000004">
      <c r="A542"/>
      <c r="B542"/>
      <c r="C542"/>
    </row>
    <row r="543" spans="1:3" x14ac:dyDescent="0.55000000000000004">
      <c r="A543"/>
      <c r="B543"/>
      <c r="C543"/>
    </row>
    <row r="544" spans="1:3" x14ac:dyDescent="0.55000000000000004">
      <c r="A544"/>
      <c r="B544"/>
      <c r="C544"/>
    </row>
    <row r="545" spans="1:3" x14ac:dyDescent="0.55000000000000004">
      <c r="A545"/>
      <c r="B545"/>
      <c r="C545"/>
    </row>
    <row r="546" spans="1:3" x14ac:dyDescent="0.55000000000000004">
      <c r="A546"/>
      <c r="B546"/>
      <c r="C546"/>
    </row>
    <row r="547" spans="1:3" x14ac:dyDescent="0.55000000000000004">
      <c r="A547"/>
      <c r="B547"/>
      <c r="C547"/>
    </row>
    <row r="548" spans="1:3" x14ac:dyDescent="0.55000000000000004">
      <c r="A548"/>
      <c r="B548"/>
      <c r="C548"/>
    </row>
    <row r="549" spans="1:3" x14ac:dyDescent="0.55000000000000004">
      <c r="A549"/>
      <c r="B549"/>
      <c r="C549"/>
    </row>
    <row r="550" spans="1:3" x14ac:dyDescent="0.55000000000000004">
      <c r="A550"/>
      <c r="B550"/>
      <c r="C550"/>
    </row>
    <row r="551" spans="1:3" x14ac:dyDescent="0.55000000000000004">
      <c r="A551"/>
      <c r="B551"/>
      <c r="C551"/>
    </row>
    <row r="552" spans="1:3" x14ac:dyDescent="0.55000000000000004">
      <c r="A552"/>
      <c r="B552"/>
      <c r="C552"/>
    </row>
    <row r="553" spans="1:3" x14ac:dyDescent="0.55000000000000004">
      <c r="A553"/>
      <c r="B553"/>
      <c r="C553"/>
    </row>
    <row r="554" spans="1:3" x14ac:dyDescent="0.55000000000000004">
      <c r="A554"/>
      <c r="B554"/>
      <c r="C554"/>
    </row>
    <row r="555" spans="1:3" x14ac:dyDescent="0.55000000000000004">
      <c r="A555"/>
      <c r="B555"/>
      <c r="C555"/>
    </row>
    <row r="556" spans="1:3" x14ac:dyDescent="0.55000000000000004">
      <c r="A556"/>
      <c r="B556"/>
      <c r="C556"/>
    </row>
    <row r="557" spans="1:3" x14ac:dyDescent="0.55000000000000004">
      <c r="A557"/>
      <c r="B557"/>
      <c r="C557"/>
    </row>
    <row r="558" spans="1:3" x14ac:dyDescent="0.55000000000000004">
      <c r="A558"/>
      <c r="B558"/>
      <c r="C558"/>
    </row>
    <row r="559" spans="1:3" x14ac:dyDescent="0.55000000000000004">
      <c r="A559"/>
      <c r="B559"/>
      <c r="C559"/>
    </row>
    <row r="560" spans="1:3" x14ac:dyDescent="0.55000000000000004">
      <c r="A560"/>
      <c r="B560"/>
      <c r="C560"/>
    </row>
    <row r="561" spans="1:3" x14ac:dyDescent="0.55000000000000004">
      <c r="A561"/>
      <c r="B561"/>
      <c r="C561"/>
    </row>
    <row r="562" spans="1:3" x14ac:dyDescent="0.55000000000000004">
      <c r="A562"/>
      <c r="B562"/>
      <c r="C562"/>
    </row>
    <row r="563" spans="1:3" x14ac:dyDescent="0.55000000000000004">
      <c r="A563"/>
      <c r="B563"/>
      <c r="C563"/>
    </row>
    <row r="564" spans="1:3" x14ac:dyDescent="0.55000000000000004">
      <c r="A564"/>
      <c r="B564"/>
      <c r="C564"/>
    </row>
    <row r="565" spans="1:3" x14ac:dyDescent="0.55000000000000004">
      <c r="A565"/>
      <c r="B565"/>
      <c r="C565"/>
    </row>
    <row r="566" spans="1:3" x14ac:dyDescent="0.55000000000000004">
      <c r="A566"/>
      <c r="B566"/>
      <c r="C566"/>
    </row>
    <row r="567" spans="1:3" x14ac:dyDescent="0.55000000000000004">
      <c r="A567"/>
      <c r="B567"/>
      <c r="C567"/>
    </row>
    <row r="568" spans="1:3" x14ac:dyDescent="0.55000000000000004">
      <c r="A568"/>
      <c r="B568"/>
      <c r="C568"/>
    </row>
    <row r="569" spans="1:3" x14ac:dyDescent="0.55000000000000004">
      <c r="A569"/>
      <c r="B569"/>
      <c r="C569"/>
    </row>
    <row r="570" spans="1:3" x14ac:dyDescent="0.55000000000000004">
      <c r="A570"/>
      <c r="B570"/>
      <c r="C570"/>
    </row>
    <row r="571" spans="1:3" x14ac:dyDescent="0.55000000000000004">
      <c r="A571"/>
      <c r="B571"/>
      <c r="C571"/>
    </row>
    <row r="572" spans="1:3" x14ac:dyDescent="0.55000000000000004">
      <c r="A572"/>
      <c r="B572"/>
      <c r="C572"/>
    </row>
    <row r="573" spans="1:3" x14ac:dyDescent="0.55000000000000004">
      <c r="A573"/>
      <c r="B573"/>
      <c r="C573"/>
    </row>
    <row r="574" spans="1:3" x14ac:dyDescent="0.55000000000000004">
      <c r="A574"/>
      <c r="B574"/>
      <c r="C574"/>
    </row>
    <row r="575" spans="1:3" x14ac:dyDescent="0.55000000000000004">
      <c r="A575"/>
      <c r="B575"/>
      <c r="C575"/>
    </row>
    <row r="576" spans="1:3" x14ac:dyDescent="0.55000000000000004">
      <c r="A576"/>
      <c r="B576"/>
      <c r="C576"/>
    </row>
    <row r="577" spans="1:3" x14ac:dyDescent="0.55000000000000004">
      <c r="A577"/>
      <c r="B577"/>
      <c r="C577"/>
    </row>
    <row r="578" spans="1:3" x14ac:dyDescent="0.55000000000000004">
      <c r="A578"/>
      <c r="B578"/>
      <c r="C578"/>
    </row>
    <row r="579" spans="1:3" x14ac:dyDescent="0.55000000000000004">
      <c r="A579"/>
      <c r="B579"/>
      <c r="C579"/>
    </row>
    <row r="580" spans="1:3" x14ac:dyDescent="0.55000000000000004">
      <c r="A580"/>
      <c r="B580"/>
      <c r="C580"/>
    </row>
    <row r="581" spans="1:3" x14ac:dyDescent="0.55000000000000004">
      <c r="A581"/>
      <c r="B581"/>
      <c r="C581"/>
    </row>
    <row r="582" spans="1:3" x14ac:dyDescent="0.55000000000000004">
      <c r="A582"/>
      <c r="B582"/>
      <c r="C582"/>
    </row>
    <row r="583" spans="1:3" x14ac:dyDescent="0.55000000000000004">
      <c r="A583"/>
      <c r="B583"/>
      <c r="C583"/>
    </row>
    <row r="584" spans="1:3" x14ac:dyDescent="0.55000000000000004">
      <c r="A584"/>
      <c r="B584"/>
      <c r="C584"/>
    </row>
    <row r="585" spans="1:3" x14ac:dyDescent="0.55000000000000004">
      <c r="A585"/>
      <c r="B585"/>
      <c r="C585"/>
    </row>
    <row r="586" spans="1:3" x14ac:dyDescent="0.55000000000000004">
      <c r="A586"/>
      <c r="B586"/>
      <c r="C586"/>
    </row>
    <row r="587" spans="1:3" x14ac:dyDescent="0.55000000000000004">
      <c r="A587"/>
      <c r="B587"/>
      <c r="C587"/>
    </row>
    <row r="588" spans="1:3" x14ac:dyDescent="0.55000000000000004">
      <c r="A588"/>
      <c r="B588"/>
      <c r="C588"/>
    </row>
    <row r="589" spans="1:3" x14ac:dyDescent="0.55000000000000004">
      <c r="A589"/>
      <c r="B589"/>
      <c r="C589"/>
    </row>
    <row r="590" spans="1:3" x14ac:dyDescent="0.55000000000000004">
      <c r="A590"/>
      <c r="B590"/>
      <c r="C590"/>
    </row>
    <row r="591" spans="1:3" x14ac:dyDescent="0.55000000000000004">
      <c r="A591"/>
      <c r="B591"/>
      <c r="C591"/>
    </row>
    <row r="592" spans="1:3" x14ac:dyDescent="0.55000000000000004">
      <c r="A592"/>
      <c r="B592"/>
      <c r="C592"/>
    </row>
    <row r="593" spans="1:3" x14ac:dyDescent="0.55000000000000004">
      <c r="A593"/>
      <c r="B593"/>
      <c r="C593"/>
    </row>
    <row r="594" spans="1:3" x14ac:dyDescent="0.55000000000000004">
      <c r="A594"/>
      <c r="B594"/>
      <c r="C594"/>
    </row>
    <row r="595" spans="1:3" x14ac:dyDescent="0.55000000000000004">
      <c r="A595"/>
      <c r="B595"/>
      <c r="C595"/>
    </row>
    <row r="596" spans="1:3" x14ac:dyDescent="0.55000000000000004">
      <c r="A596"/>
      <c r="B596"/>
      <c r="C596"/>
    </row>
    <row r="597" spans="1:3" x14ac:dyDescent="0.55000000000000004">
      <c r="A597"/>
      <c r="B597"/>
      <c r="C597"/>
    </row>
    <row r="598" spans="1:3" x14ac:dyDescent="0.55000000000000004">
      <c r="A598"/>
      <c r="B598"/>
      <c r="C598"/>
    </row>
    <row r="599" spans="1:3" x14ac:dyDescent="0.55000000000000004">
      <c r="A599"/>
      <c r="B599"/>
      <c r="C599"/>
    </row>
    <row r="600" spans="1:3" x14ac:dyDescent="0.55000000000000004">
      <c r="A600"/>
      <c r="B600"/>
      <c r="C600"/>
    </row>
    <row r="601" spans="1:3" x14ac:dyDescent="0.55000000000000004">
      <c r="A601"/>
      <c r="B601"/>
      <c r="C601"/>
    </row>
    <row r="602" spans="1:3" x14ac:dyDescent="0.55000000000000004">
      <c r="A602"/>
      <c r="B602"/>
      <c r="C602"/>
    </row>
    <row r="603" spans="1:3" x14ac:dyDescent="0.55000000000000004">
      <c r="A603"/>
      <c r="B603"/>
      <c r="C603"/>
    </row>
    <row r="604" spans="1:3" x14ac:dyDescent="0.55000000000000004">
      <c r="A604"/>
      <c r="B604"/>
      <c r="C604"/>
    </row>
    <row r="605" spans="1:3" x14ac:dyDescent="0.55000000000000004">
      <c r="A605"/>
      <c r="B605"/>
      <c r="C605"/>
    </row>
    <row r="606" spans="1:3" x14ac:dyDescent="0.55000000000000004">
      <c r="A606"/>
      <c r="B606"/>
      <c r="C606"/>
    </row>
    <row r="607" spans="1:3" x14ac:dyDescent="0.55000000000000004">
      <c r="A607"/>
      <c r="B607"/>
      <c r="C607"/>
    </row>
    <row r="608" spans="1:3" x14ac:dyDescent="0.55000000000000004">
      <c r="A608"/>
      <c r="B608"/>
      <c r="C608"/>
    </row>
    <row r="609" spans="1:3" x14ac:dyDescent="0.55000000000000004">
      <c r="A609"/>
      <c r="B609"/>
      <c r="C609"/>
    </row>
    <row r="610" spans="1:3" x14ac:dyDescent="0.55000000000000004">
      <c r="A610"/>
      <c r="B610"/>
      <c r="C610"/>
    </row>
    <row r="611" spans="1:3" x14ac:dyDescent="0.55000000000000004">
      <c r="A611"/>
      <c r="B611"/>
      <c r="C611"/>
    </row>
    <row r="612" spans="1:3" x14ac:dyDescent="0.55000000000000004">
      <c r="A612"/>
      <c r="B612"/>
      <c r="C612"/>
    </row>
    <row r="613" spans="1:3" x14ac:dyDescent="0.55000000000000004">
      <c r="A613"/>
      <c r="B613"/>
      <c r="C613"/>
    </row>
    <row r="614" spans="1:3" x14ac:dyDescent="0.55000000000000004">
      <c r="A614"/>
      <c r="B614"/>
      <c r="C614"/>
    </row>
    <row r="615" spans="1:3" x14ac:dyDescent="0.55000000000000004">
      <c r="A615"/>
      <c r="B615"/>
      <c r="C615"/>
    </row>
    <row r="616" spans="1:3" x14ac:dyDescent="0.55000000000000004">
      <c r="A616"/>
      <c r="B616"/>
      <c r="C616"/>
    </row>
    <row r="617" spans="1:3" x14ac:dyDescent="0.55000000000000004">
      <c r="A617"/>
      <c r="B617"/>
      <c r="C617"/>
    </row>
    <row r="618" spans="1:3" x14ac:dyDescent="0.55000000000000004">
      <c r="A618"/>
      <c r="B618"/>
      <c r="C618"/>
    </row>
    <row r="619" spans="1:3" x14ac:dyDescent="0.55000000000000004">
      <c r="A619"/>
      <c r="B619"/>
      <c r="C619"/>
    </row>
    <row r="620" spans="1:3" x14ac:dyDescent="0.55000000000000004">
      <c r="A620"/>
      <c r="B620"/>
      <c r="C620"/>
    </row>
    <row r="621" spans="1:3" x14ac:dyDescent="0.55000000000000004">
      <c r="A621"/>
      <c r="B621"/>
      <c r="C621"/>
    </row>
    <row r="622" spans="1:3" x14ac:dyDescent="0.55000000000000004">
      <c r="A622"/>
      <c r="B622"/>
      <c r="C622"/>
    </row>
    <row r="623" spans="1:3" x14ac:dyDescent="0.55000000000000004">
      <c r="A623"/>
      <c r="B623"/>
      <c r="C623"/>
    </row>
    <row r="624" spans="1:3" x14ac:dyDescent="0.55000000000000004">
      <c r="A624"/>
      <c r="B624"/>
      <c r="C624"/>
    </row>
    <row r="625" spans="1:3" x14ac:dyDescent="0.55000000000000004">
      <c r="A625"/>
      <c r="B625"/>
      <c r="C625"/>
    </row>
    <row r="626" spans="1:3" x14ac:dyDescent="0.55000000000000004">
      <c r="A626"/>
      <c r="B626"/>
      <c r="C626"/>
    </row>
    <row r="627" spans="1:3" x14ac:dyDescent="0.55000000000000004">
      <c r="A627"/>
      <c r="B627"/>
      <c r="C627"/>
    </row>
    <row r="628" spans="1:3" x14ac:dyDescent="0.55000000000000004">
      <c r="A628"/>
      <c r="B628"/>
      <c r="C628"/>
    </row>
    <row r="629" spans="1:3" x14ac:dyDescent="0.55000000000000004">
      <c r="A629"/>
      <c r="B629"/>
      <c r="C629"/>
    </row>
    <row r="630" spans="1:3" x14ac:dyDescent="0.55000000000000004">
      <c r="A630"/>
      <c r="B630"/>
      <c r="C630"/>
    </row>
    <row r="631" spans="1:3" x14ac:dyDescent="0.55000000000000004">
      <c r="A631"/>
      <c r="B631"/>
      <c r="C631"/>
    </row>
    <row r="632" spans="1:3" x14ac:dyDescent="0.55000000000000004">
      <c r="A632"/>
      <c r="B632"/>
      <c r="C632"/>
    </row>
    <row r="633" spans="1:3" x14ac:dyDescent="0.55000000000000004">
      <c r="A633"/>
      <c r="B633"/>
      <c r="C633"/>
    </row>
    <row r="634" spans="1:3" x14ac:dyDescent="0.55000000000000004">
      <c r="A634"/>
      <c r="B634"/>
      <c r="C634"/>
    </row>
    <row r="635" spans="1:3" x14ac:dyDescent="0.55000000000000004">
      <c r="A635"/>
      <c r="B635"/>
      <c r="C635"/>
    </row>
    <row r="636" spans="1:3" x14ac:dyDescent="0.55000000000000004">
      <c r="A636"/>
      <c r="B636"/>
      <c r="C636"/>
    </row>
    <row r="637" spans="1:3" x14ac:dyDescent="0.55000000000000004">
      <c r="A637"/>
      <c r="B637"/>
      <c r="C637"/>
    </row>
    <row r="638" spans="1:3" x14ac:dyDescent="0.55000000000000004">
      <c r="A638"/>
      <c r="B638"/>
      <c r="C638"/>
    </row>
    <row r="639" spans="1:3" x14ac:dyDescent="0.55000000000000004">
      <c r="A639"/>
      <c r="B639"/>
      <c r="C639"/>
    </row>
    <row r="640" spans="1:3" x14ac:dyDescent="0.55000000000000004">
      <c r="A640"/>
      <c r="B640"/>
      <c r="C640"/>
    </row>
    <row r="641" spans="1:3" x14ac:dyDescent="0.55000000000000004">
      <c r="A641"/>
      <c r="B641"/>
      <c r="C641"/>
    </row>
    <row r="642" spans="1:3" x14ac:dyDescent="0.55000000000000004">
      <c r="A642"/>
      <c r="B642"/>
      <c r="C642"/>
    </row>
    <row r="643" spans="1:3" x14ac:dyDescent="0.55000000000000004">
      <c r="A643"/>
      <c r="B643"/>
      <c r="C643"/>
    </row>
    <row r="644" spans="1:3" x14ac:dyDescent="0.55000000000000004">
      <c r="A644"/>
      <c r="B644"/>
      <c r="C644"/>
    </row>
    <row r="645" spans="1:3" x14ac:dyDescent="0.55000000000000004">
      <c r="A645"/>
      <c r="B645"/>
      <c r="C645"/>
    </row>
    <row r="646" spans="1:3" x14ac:dyDescent="0.55000000000000004">
      <c r="A646"/>
      <c r="B646"/>
      <c r="C646"/>
    </row>
    <row r="647" spans="1:3" x14ac:dyDescent="0.55000000000000004">
      <c r="A647"/>
      <c r="B647"/>
      <c r="C647"/>
    </row>
    <row r="648" spans="1:3" x14ac:dyDescent="0.55000000000000004">
      <c r="A648"/>
      <c r="B648"/>
      <c r="C648"/>
    </row>
    <row r="649" spans="1:3" x14ac:dyDescent="0.55000000000000004">
      <c r="A649"/>
      <c r="B649"/>
      <c r="C649"/>
    </row>
    <row r="650" spans="1:3" x14ac:dyDescent="0.55000000000000004">
      <c r="A650"/>
      <c r="B650"/>
      <c r="C650"/>
    </row>
    <row r="651" spans="1:3" x14ac:dyDescent="0.55000000000000004">
      <c r="A651"/>
      <c r="B651"/>
      <c r="C651"/>
    </row>
    <row r="652" spans="1:3" x14ac:dyDescent="0.55000000000000004">
      <c r="A652"/>
      <c r="B652"/>
      <c r="C652"/>
    </row>
    <row r="653" spans="1:3" x14ac:dyDescent="0.55000000000000004">
      <c r="A653"/>
      <c r="B653"/>
      <c r="C653"/>
    </row>
    <row r="654" spans="1:3" x14ac:dyDescent="0.55000000000000004">
      <c r="A654"/>
      <c r="B654"/>
      <c r="C654"/>
    </row>
    <row r="655" spans="1:3" x14ac:dyDescent="0.55000000000000004">
      <c r="A655"/>
      <c r="B655"/>
      <c r="C655"/>
    </row>
    <row r="656" spans="1:3" x14ac:dyDescent="0.55000000000000004">
      <c r="A656"/>
      <c r="B656"/>
      <c r="C656"/>
    </row>
    <row r="657" spans="1:3" x14ac:dyDescent="0.55000000000000004">
      <c r="A657"/>
      <c r="B657"/>
      <c r="C657"/>
    </row>
    <row r="658" spans="1:3" x14ac:dyDescent="0.55000000000000004">
      <c r="A658"/>
      <c r="B658"/>
      <c r="C658"/>
    </row>
    <row r="659" spans="1:3" x14ac:dyDescent="0.55000000000000004">
      <c r="A659"/>
      <c r="B659"/>
      <c r="C659"/>
    </row>
    <row r="660" spans="1:3" x14ac:dyDescent="0.55000000000000004">
      <c r="A660"/>
      <c r="B660"/>
      <c r="C660"/>
    </row>
    <row r="661" spans="1:3" x14ac:dyDescent="0.55000000000000004">
      <c r="A661"/>
      <c r="B661"/>
      <c r="C661"/>
    </row>
    <row r="662" spans="1:3" x14ac:dyDescent="0.55000000000000004">
      <c r="A662"/>
      <c r="B662"/>
      <c r="C662"/>
    </row>
    <row r="663" spans="1:3" x14ac:dyDescent="0.55000000000000004">
      <c r="A663"/>
      <c r="B663"/>
      <c r="C663"/>
    </row>
    <row r="664" spans="1:3" x14ac:dyDescent="0.55000000000000004">
      <c r="A664"/>
      <c r="B664"/>
      <c r="C664"/>
    </row>
    <row r="665" spans="1:3" x14ac:dyDescent="0.55000000000000004">
      <c r="A665"/>
      <c r="B665"/>
      <c r="C665"/>
    </row>
    <row r="666" spans="1:3" x14ac:dyDescent="0.55000000000000004">
      <c r="A666"/>
      <c r="B666"/>
      <c r="C666"/>
    </row>
    <row r="667" spans="1:3" x14ac:dyDescent="0.55000000000000004">
      <c r="A667"/>
      <c r="B667"/>
      <c r="C667"/>
    </row>
    <row r="668" spans="1:3" x14ac:dyDescent="0.55000000000000004">
      <c r="A668"/>
      <c r="B668"/>
      <c r="C668"/>
    </row>
    <row r="669" spans="1:3" x14ac:dyDescent="0.55000000000000004">
      <c r="A669"/>
      <c r="B669"/>
      <c r="C669"/>
    </row>
    <row r="670" spans="1:3" x14ac:dyDescent="0.55000000000000004">
      <c r="A670"/>
      <c r="B670"/>
      <c r="C670"/>
    </row>
    <row r="671" spans="1:3" x14ac:dyDescent="0.55000000000000004">
      <c r="A671"/>
      <c r="B671"/>
      <c r="C671"/>
    </row>
    <row r="672" spans="1:3" x14ac:dyDescent="0.55000000000000004">
      <c r="A672"/>
      <c r="B672"/>
      <c r="C672"/>
    </row>
    <row r="673" spans="1:3" x14ac:dyDescent="0.55000000000000004">
      <c r="A673"/>
      <c r="B673"/>
      <c r="C673"/>
    </row>
    <row r="674" spans="1:3" x14ac:dyDescent="0.55000000000000004">
      <c r="A674"/>
      <c r="B674"/>
      <c r="C674"/>
    </row>
    <row r="675" spans="1:3" x14ac:dyDescent="0.55000000000000004">
      <c r="A675"/>
      <c r="B675"/>
      <c r="C675"/>
    </row>
    <row r="676" spans="1:3" x14ac:dyDescent="0.55000000000000004">
      <c r="A676"/>
      <c r="B676"/>
      <c r="C676"/>
    </row>
    <row r="677" spans="1:3" x14ac:dyDescent="0.55000000000000004">
      <c r="A677"/>
      <c r="B677"/>
      <c r="C677"/>
    </row>
    <row r="678" spans="1:3" x14ac:dyDescent="0.55000000000000004">
      <c r="A678"/>
      <c r="B678"/>
      <c r="C678"/>
    </row>
    <row r="679" spans="1:3" x14ac:dyDescent="0.55000000000000004">
      <c r="A679"/>
      <c r="B679"/>
      <c r="C679"/>
    </row>
    <row r="680" spans="1:3" x14ac:dyDescent="0.55000000000000004">
      <c r="A680"/>
      <c r="B680"/>
      <c r="C680"/>
    </row>
    <row r="681" spans="1:3" x14ac:dyDescent="0.55000000000000004">
      <c r="A681"/>
      <c r="B681"/>
      <c r="C681"/>
    </row>
    <row r="682" spans="1:3" x14ac:dyDescent="0.55000000000000004">
      <c r="A682"/>
      <c r="B682"/>
      <c r="C682"/>
    </row>
    <row r="683" spans="1:3" x14ac:dyDescent="0.55000000000000004">
      <c r="A683"/>
      <c r="B683"/>
      <c r="C683"/>
    </row>
    <row r="684" spans="1:3" x14ac:dyDescent="0.55000000000000004">
      <c r="A684"/>
      <c r="B684"/>
      <c r="C684"/>
    </row>
    <row r="685" spans="1:3" x14ac:dyDescent="0.55000000000000004">
      <c r="A685"/>
      <c r="B685"/>
      <c r="C685"/>
    </row>
    <row r="686" spans="1:3" x14ac:dyDescent="0.55000000000000004">
      <c r="A686"/>
      <c r="B686"/>
      <c r="C686"/>
    </row>
    <row r="687" spans="1:3" x14ac:dyDescent="0.55000000000000004">
      <c r="A687"/>
      <c r="B687"/>
      <c r="C687"/>
    </row>
    <row r="688" spans="1:3" x14ac:dyDescent="0.55000000000000004">
      <c r="A688"/>
      <c r="B688"/>
      <c r="C688"/>
    </row>
    <row r="689" spans="1:3" x14ac:dyDescent="0.55000000000000004">
      <c r="A689"/>
      <c r="B689"/>
      <c r="C689"/>
    </row>
    <row r="690" spans="1:3" x14ac:dyDescent="0.55000000000000004">
      <c r="A690"/>
      <c r="B690"/>
      <c r="C690"/>
    </row>
    <row r="691" spans="1:3" x14ac:dyDescent="0.55000000000000004">
      <c r="A691"/>
      <c r="B691"/>
      <c r="C691"/>
    </row>
    <row r="692" spans="1:3" x14ac:dyDescent="0.55000000000000004">
      <c r="A692"/>
      <c r="B692"/>
      <c r="C692"/>
    </row>
    <row r="693" spans="1:3" x14ac:dyDescent="0.55000000000000004">
      <c r="A693"/>
      <c r="B693"/>
      <c r="C693"/>
    </row>
    <row r="694" spans="1:3" x14ac:dyDescent="0.55000000000000004">
      <c r="A694"/>
      <c r="B694"/>
      <c r="C694"/>
    </row>
    <row r="695" spans="1:3" x14ac:dyDescent="0.55000000000000004">
      <c r="A695"/>
      <c r="B695"/>
      <c r="C695"/>
    </row>
    <row r="696" spans="1:3" x14ac:dyDescent="0.55000000000000004">
      <c r="A696"/>
      <c r="B696"/>
      <c r="C696"/>
    </row>
    <row r="697" spans="1:3" x14ac:dyDescent="0.55000000000000004">
      <c r="A697"/>
      <c r="B697"/>
      <c r="C697"/>
    </row>
    <row r="698" spans="1:3" x14ac:dyDescent="0.55000000000000004">
      <c r="A698"/>
      <c r="B698"/>
      <c r="C698"/>
    </row>
    <row r="699" spans="1:3" x14ac:dyDescent="0.55000000000000004">
      <c r="A699"/>
      <c r="B699"/>
      <c r="C699"/>
    </row>
    <row r="700" spans="1:3" x14ac:dyDescent="0.55000000000000004">
      <c r="A700"/>
      <c r="B700"/>
      <c r="C700"/>
    </row>
    <row r="701" spans="1:3" x14ac:dyDescent="0.55000000000000004">
      <c r="A701"/>
      <c r="B701"/>
      <c r="C701"/>
    </row>
    <row r="702" spans="1:3" x14ac:dyDescent="0.55000000000000004">
      <c r="A702"/>
      <c r="B702"/>
      <c r="C702"/>
    </row>
    <row r="703" spans="1:3" x14ac:dyDescent="0.55000000000000004">
      <c r="A703"/>
      <c r="B703"/>
      <c r="C703"/>
    </row>
    <row r="704" spans="1:3" x14ac:dyDescent="0.55000000000000004">
      <c r="A704"/>
      <c r="B704"/>
      <c r="C704"/>
    </row>
    <row r="705" spans="1:3" x14ac:dyDescent="0.55000000000000004">
      <c r="A705"/>
      <c r="B705"/>
      <c r="C705"/>
    </row>
    <row r="706" spans="1:3" x14ac:dyDescent="0.55000000000000004">
      <c r="A706"/>
      <c r="B706"/>
      <c r="C706"/>
    </row>
    <row r="707" spans="1:3" x14ac:dyDescent="0.55000000000000004">
      <c r="A707"/>
      <c r="B707"/>
      <c r="C707"/>
    </row>
    <row r="708" spans="1:3" x14ac:dyDescent="0.55000000000000004">
      <c r="A708"/>
      <c r="B708"/>
      <c r="C708"/>
    </row>
    <row r="709" spans="1:3" x14ac:dyDescent="0.55000000000000004">
      <c r="A709"/>
      <c r="B709"/>
      <c r="C709"/>
    </row>
    <row r="710" spans="1:3" x14ac:dyDescent="0.55000000000000004">
      <c r="A710"/>
      <c r="B710"/>
      <c r="C710"/>
    </row>
    <row r="711" spans="1:3" x14ac:dyDescent="0.55000000000000004">
      <c r="A711"/>
      <c r="B711"/>
      <c r="C711"/>
    </row>
    <row r="712" spans="1:3" x14ac:dyDescent="0.55000000000000004">
      <c r="A712"/>
      <c r="B712"/>
      <c r="C712"/>
    </row>
    <row r="713" spans="1:3" x14ac:dyDescent="0.55000000000000004">
      <c r="A713"/>
      <c r="B713"/>
      <c r="C713"/>
    </row>
    <row r="714" spans="1:3" x14ac:dyDescent="0.55000000000000004">
      <c r="A714"/>
      <c r="B714"/>
      <c r="C714"/>
    </row>
    <row r="715" spans="1:3" x14ac:dyDescent="0.55000000000000004">
      <c r="A715"/>
      <c r="B715"/>
      <c r="C715"/>
    </row>
    <row r="716" spans="1:3" x14ac:dyDescent="0.55000000000000004">
      <c r="A716"/>
      <c r="B716"/>
      <c r="C716"/>
    </row>
    <row r="717" spans="1:3" x14ac:dyDescent="0.55000000000000004">
      <c r="A717"/>
      <c r="B717"/>
      <c r="C717"/>
    </row>
    <row r="718" spans="1:3" x14ac:dyDescent="0.55000000000000004">
      <c r="A718"/>
      <c r="B718"/>
      <c r="C718"/>
    </row>
    <row r="719" spans="1:3" x14ac:dyDescent="0.55000000000000004">
      <c r="A719"/>
      <c r="B719"/>
      <c r="C719"/>
    </row>
    <row r="720" spans="1:3" x14ac:dyDescent="0.55000000000000004">
      <c r="A720"/>
      <c r="B720"/>
      <c r="C720"/>
    </row>
    <row r="721" spans="1:3" x14ac:dyDescent="0.55000000000000004">
      <c r="A721"/>
      <c r="B721"/>
      <c r="C721"/>
    </row>
    <row r="722" spans="1:3" x14ac:dyDescent="0.55000000000000004">
      <c r="A722"/>
      <c r="B722"/>
      <c r="C722"/>
    </row>
    <row r="723" spans="1:3" x14ac:dyDescent="0.55000000000000004">
      <c r="A723"/>
      <c r="B723"/>
      <c r="C723"/>
    </row>
    <row r="724" spans="1:3" x14ac:dyDescent="0.55000000000000004">
      <c r="A724"/>
      <c r="B724"/>
      <c r="C724"/>
    </row>
    <row r="725" spans="1:3" x14ac:dyDescent="0.55000000000000004">
      <c r="A725"/>
      <c r="B725"/>
      <c r="C725"/>
    </row>
    <row r="726" spans="1:3" x14ac:dyDescent="0.55000000000000004">
      <c r="A726"/>
      <c r="B726"/>
      <c r="C726"/>
    </row>
    <row r="727" spans="1:3" x14ac:dyDescent="0.55000000000000004">
      <c r="A727"/>
      <c r="B727"/>
      <c r="C727"/>
    </row>
    <row r="728" spans="1:3" x14ac:dyDescent="0.55000000000000004">
      <c r="A728"/>
      <c r="B728"/>
      <c r="C728"/>
    </row>
    <row r="729" spans="1:3" x14ac:dyDescent="0.55000000000000004">
      <c r="A729"/>
      <c r="B729"/>
      <c r="C729"/>
    </row>
    <row r="730" spans="1:3" x14ac:dyDescent="0.55000000000000004">
      <c r="A730"/>
      <c r="B730"/>
      <c r="C730"/>
    </row>
    <row r="731" spans="1:3" x14ac:dyDescent="0.55000000000000004">
      <c r="A731"/>
      <c r="B731"/>
      <c r="C731"/>
    </row>
    <row r="732" spans="1:3" x14ac:dyDescent="0.55000000000000004">
      <c r="A732"/>
      <c r="B732"/>
      <c r="C732"/>
    </row>
    <row r="733" spans="1:3" x14ac:dyDescent="0.55000000000000004">
      <c r="A733"/>
      <c r="B733"/>
      <c r="C733"/>
    </row>
    <row r="734" spans="1:3" x14ac:dyDescent="0.55000000000000004">
      <c r="A734"/>
      <c r="B734"/>
      <c r="C734"/>
    </row>
    <row r="735" spans="1:3" x14ac:dyDescent="0.55000000000000004">
      <c r="A735"/>
      <c r="B735"/>
      <c r="C735"/>
    </row>
    <row r="736" spans="1:3" x14ac:dyDescent="0.55000000000000004">
      <c r="A736"/>
      <c r="B736"/>
      <c r="C736"/>
    </row>
    <row r="737" spans="1:3" x14ac:dyDescent="0.55000000000000004">
      <c r="A737"/>
      <c r="B737"/>
      <c r="C737"/>
    </row>
    <row r="738" spans="1:3" x14ac:dyDescent="0.55000000000000004">
      <c r="A738"/>
      <c r="B738"/>
      <c r="C738"/>
    </row>
    <row r="739" spans="1:3" x14ac:dyDescent="0.55000000000000004">
      <c r="A739"/>
      <c r="B739"/>
      <c r="C739"/>
    </row>
    <row r="740" spans="1:3" x14ac:dyDescent="0.55000000000000004">
      <c r="A740"/>
      <c r="B740"/>
      <c r="C740"/>
    </row>
    <row r="741" spans="1:3" x14ac:dyDescent="0.55000000000000004">
      <c r="A741"/>
      <c r="B741"/>
      <c r="C741"/>
    </row>
    <row r="742" spans="1:3" x14ac:dyDescent="0.55000000000000004">
      <c r="A742"/>
      <c r="B742"/>
      <c r="C742"/>
    </row>
    <row r="743" spans="1:3" x14ac:dyDescent="0.55000000000000004">
      <c r="A743"/>
      <c r="B743"/>
      <c r="C743"/>
    </row>
    <row r="744" spans="1:3" x14ac:dyDescent="0.55000000000000004">
      <c r="A744"/>
      <c r="B744"/>
      <c r="C744"/>
    </row>
    <row r="745" spans="1:3" x14ac:dyDescent="0.55000000000000004">
      <c r="A745"/>
      <c r="B745"/>
      <c r="C745"/>
    </row>
    <row r="746" spans="1:3" x14ac:dyDescent="0.55000000000000004">
      <c r="A746"/>
      <c r="B746"/>
      <c r="C746"/>
    </row>
    <row r="747" spans="1:3" x14ac:dyDescent="0.55000000000000004">
      <c r="A747"/>
      <c r="B747"/>
      <c r="C747"/>
    </row>
    <row r="748" spans="1:3" x14ac:dyDescent="0.55000000000000004">
      <c r="A748"/>
      <c r="B748"/>
      <c r="C748"/>
    </row>
    <row r="749" spans="1:3" x14ac:dyDescent="0.55000000000000004">
      <c r="A749"/>
      <c r="B749"/>
      <c r="C749"/>
    </row>
    <row r="750" spans="1:3" x14ac:dyDescent="0.55000000000000004">
      <c r="A750"/>
      <c r="B750"/>
      <c r="C750"/>
    </row>
    <row r="751" spans="1:3" x14ac:dyDescent="0.55000000000000004">
      <c r="A751"/>
      <c r="B751"/>
      <c r="C751"/>
    </row>
    <row r="752" spans="1:3" x14ac:dyDescent="0.55000000000000004">
      <c r="A752"/>
      <c r="B752"/>
      <c r="C752"/>
    </row>
    <row r="753" spans="1:3" x14ac:dyDescent="0.55000000000000004">
      <c r="A753"/>
      <c r="B753"/>
      <c r="C753"/>
    </row>
    <row r="754" spans="1:3" x14ac:dyDescent="0.55000000000000004">
      <c r="A754"/>
      <c r="B754"/>
      <c r="C754"/>
    </row>
    <row r="755" spans="1:3" x14ac:dyDescent="0.55000000000000004">
      <c r="A755"/>
      <c r="B755"/>
      <c r="C755"/>
    </row>
    <row r="756" spans="1:3" x14ac:dyDescent="0.55000000000000004">
      <c r="A756"/>
      <c r="B756"/>
      <c r="C756"/>
    </row>
    <row r="757" spans="1:3" x14ac:dyDescent="0.55000000000000004">
      <c r="A757"/>
      <c r="B757"/>
      <c r="C757"/>
    </row>
    <row r="758" spans="1:3" x14ac:dyDescent="0.55000000000000004">
      <c r="A758"/>
      <c r="B758"/>
      <c r="C758"/>
    </row>
    <row r="759" spans="1:3" x14ac:dyDescent="0.55000000000000004">
      <c r="A759"/>
      <c r="B759"/>
      <c r="C759"/>
    </row>
    <row r="760" spans="1:3" x14ac:dyDescent="0.55000000000000004">
      <c r="A760"/>
      <c r="B760"/>
      <c r="C760"/>
    </row>
    <row r="761" spans="1:3" x14ac:dyDescent="0.55000000000000004">
      <c r="A761"/>
      <c r="B761"/>
      <c r="C761"/>
    </row>
    <row r="762" spans="1:3" x14ac:dyDescent="0.55000000000000004">
      <c r="A762"/>
      <c r="B762"/>
      <c r="C762"/>
    </row>
    <row r="763" spans="1:3" x14ac:dyDescent="0.55000000000000004">
      <c r="A763"/>
      <c r="B763"/>
      <c r="C763"/>
    </row>
    <row r="764" spans="1:3" x14ac:dyDescent="0.55000000000000004">
      <c r="A764"/>
      <c r="B764"/>
      <c r="C764"/>
    </row>
    <row r="765" spans="1:3" x14ac:dyDescent="0.55000000000000004">
      <c r="A765"/>
      <c r="B765"/>
      <c r="C765"/>
    </row>
    <row r="766" spans="1:3" x14ac:dyDescent="0.55000000000000004">
      <c r="A766"/>
      <c r="B766"/>
      <c r="C766"/>
    </row>
    <row r="767" spans="1:3" x14ac:dyDescent="0.55000000000000004">
      <c r="A767"/>
      <c r="B767"/>
      <c r="C767"/>
    </row>
    <row r="768" spans="1:3" x14ac:dyDescent="0.55000000000000004">
      <c r="A768"/>
      <c r="B768"/>
      <c r="C768"/>
    </row>
    <row r="769" spans="1:3" x14ac:dyDescent="0.55000000000000004">
      <c r="A769"/>
      <c r="B769"/>
      <c r="C769"/>
    </row>
    <row r="770" spans="1:3" x14ac:dyDescent="0.55000000000000004">
      <c r="A770"/>
      <c r="B770"/>
      <c r="C770"/>
    </row>
    <row r="771" spans="1:3" x14ac:dyDescent="0.55000000000000004">
      <c r="A771"/>
      <c r="B771"/>
      <c r="C771"/>
    </row>
    <row r="772" spans="1:3" x14ac:dyDescent="0.55000000000000004">
      <c r="A772"/>
      <c r="B772"/>
      <c r="C772"/>
    </row>
    <row r="773" spans="1:3" x14ac:dyDescent="0.55000000000000004">
      <c r="A773"/>
      <c r="B773"/>
      <c r="C773"/>
    </row>
    <row r="774" spans="1:3" x14ac:dyDescent="0.55000000000000004">
      <c r="A774"/>
      <c r="B774"/>
      <c r="C774"/>
    </row>
    <row r="775" spans="1:3" x14ac:dyDescent="0.55000000000000004">
      <c r="A775"/>
      <c r="B775"/>
      <c r="C775"/>
    </row>
    <row r="776" spans="1:3" x14ac:dyDescent="0.55000000000000004">
      <c r="A776"/>
      <c r="B776"/>
      <c r="C776"/>
    </row>
    <row r="777" spans="1:3" x14ac:dyDescent="0.55000000000000004">
      <c r="A777"/>
      <c r="B777"/>
      <c r="C777"/>
    </row>
    <row r="778" spans="1:3" x14ac:dyDescent="0.55000000000000004">
      <c r="A778"/>
      <c r="B778"/>
      <c r="C778"/>
    </row>
    <row r="779" spans="1:3" x14ac:dyDescent="0.55000000000000004">
      <c r="A779"/>
      <c r="B779"/>
      <c r="C779"/>
    </row>
    <row r="780" spans="1:3" x14ac:dyDescent="0.55000000000000004">
      <c r="A780"/>
      <c r="B780"/>
      <c r="C780"/>
    </row>
    <row r="781" spans="1:3" x14ac:dyDescent="0.55000000000000004">
      <c r="A781"/>
      <c r="B781"/>
      <c r="C781"/>
    </row>
    <row r="782" spans="1:3" x14ac:dyDescent="0.55000000000000004">
      <c r="A782"/>
      <c r="B782"/>
      <c r="C782"/>
    </row>
    <row r="783" spans="1:3" x14ac:dyDescent="0.55000000000000004">
      <c r="A783"/>
      <c r="B783"/>
      <c r="C783"/>
    </row>
    <row r="784" spans="1:3" x14ac:dyDescent="0.55000000000000004">
      <c r="A784"/>
      <c r="B784"/>
      <c r="C784"/>
    </row>
    <row r="785" spans="1:3" x14ac:dyDescent="0.55000000000000004">
      <c r="A785"/>
      <c r="B785"/>
      <c r="C785"/>
    </row>
    <row r="786" spans="1:3" x14ac:dyDescent="0.55000000000000004">
      <c r="A786"/>
      <c r="B786"/>
      <c r="C786"/>
    </row>
    <row r="787" spans="1:3" x14ac:dyDescent="0.55000000000000004">
      <c r="A787"/>
      <c r="B787"/>
      <c r="C787"/>
    </row>
    <row r="788" spans="1:3" x14ac:dyDescent="0.55000000000000004">
      <c r="A788"/>
      <c r="B788"/>
      <c r="C788"/>
    </row>
    <row r="789" spans="1:3" x14ac:dyDescent="0.55000000000000004">
      <c r="A789"/>
      <c r="B789"/>
      <c r="C789"/>
    </row>
    <row r="790" spans="1:3" x14ac:dyDescent="0.55000000000000004">
      <c r="A790"/>
      <c r="B790"/>
      <c r="C790"/>
    </row>
    <row r="791" spans="1:3" x14ac:dyDescent="0.55000000000000004">
      <c r="A791"/>
      <c r="B791"/>
      <c r="C791"/>
    </row>
    <row r="792" spans="1:3" x14ac:dyDescent="0.55000000000000004">
      <c r="A792"/>
      <c r="B792"/>
      <c r="C792"/>
    </row>
    <row r="793" spans="1:3" x14ac:dyDescent="0.55000000000000004">
      <c r="A793"/>
      <c r="B793"/>
      <c r="C793"/>
    </row>
    <row r="794" spans="1:3" x14ac:dyDescent="0.55000000000000004">
      <c r="A794"/>
      <c r="B794"/>
      <c r="C794"/>
    </row>
    <row r="795" spans="1:3" x14ac:dyDescent="0.55000000000000004">
      <c r="A795"/>
      <c r="B795"/>
      <c r="C795"/>
    </row>
    <row r="796" spans="1:3" x14ac:dyDescent="0.55000000000000004">
      <c r="A796"/>
      <c r="B796"/>
      <c r="C796"/>
    </row>
    <row r="797" spans="1:3" x14ac:dyDescent="0.55000000000000004">
      <c r="A797"/>
      <c r="B797"/>
      <c r="C797"/>
    </row>
    <row r="798" spans="1:3" x14ac:dyDescent="0.55000000000000004">
      <c r="A798"/>
      <c r="B798"/>
      <c r="C798"/>
    </row>
    <row r="799" spans="1:3" x14ac:dyDescent="0.55000000000000004">
      <c r="A799"/>
      <c r="B799"/>
      <c r="C799"/>
    </row>
    <row r="800" spans="1:3" x14ac:dyDescent="0.55000000000000004">
      <c r="A800"/>
      <c r="B800"/>
      <c r="C800"/>
    </row>
    <row r="801" spans="1:3" x14ac:dyDescent="0.55000000000000004">
      <c r="A801"/>
      <c r="B801"/>
      <c r="C801"/>
    </row>
    <row r="802" spans="1:3" x14ac:dyDescent="0.55000000000000004">
      <c r="A802"/>
      <c r="B802"/>
      <c r="C802"/>
    </row>
    <row r="803" spans="1:3" x14ac:dyDescent="0.55000000000000004">
      <c r="A803"/>
      <c r="B803"/>
      <c r="C803"/>
    </row>
    <row r="804" spans="1:3" x14ac:dyDescent="0.55000000000000004">
      <c r="A804"/>
      <c r="B804"/>
      <c r="C804"/>
    </row>
    <row r="805" spans="1:3" x14ac:dyDescent="0.55000000000000004">
      <c r="A805"/>
      <c r="B805"/>
      <c r="C805"/>
    </row>
    <row r="806" spans="1:3" x14ac:dyDescent="0.55000000000000004">
      <c r="A806"/>
      <c r="B806"/>
      <c r="C806"/>
    </row>
    <row r="807" spans="1:3" x14ac:dyDescent="0.55000000000000004">
      <c r="A807"/>
      <c r="B807"/>
      <c r="C807"/>
    </row>
    <row r="808" spans="1:3" x14ac:dyDescent="0.55000000000000004">
      <c r="A808"/>
      <c r="B808"/>
      <c r="C808"/>
    </row>
    <row r="809" spans="1:3" x14ac:dyDescent="0.55000000000000004">
      <c r="A809"/>
      <c r="B809"/>
      <c r="C809"/>
    </row>
    <row r="810" spans="1:3" x14ac:dyDescent="0.55000000000000004">
      <c r="A810"/>
      <c r="B810"/>
      <c r="C810"/>
    </row>
    <row r="811" spans="1:3" x14ac:dyDescent="0.55000000000000004">
      <c r="A811"/>
      <c r="B811"/>
      <c r="C811"/>
    </row>
    <row r="812" spans="1:3" x14ac:dyDescent="0.55000000000000004">
      <c r="A812"/>
      <c r="B812"/>
      <c r="C812"/>
    </row>
    <row r="813" spans="1:3" x14ac:dyDescent="0.55000000000000004">
      <c r="A813"/>
      <c r="B813"/>
      <c r="C813"/>
    </row>
    <row r="814" spans="1:3" x14ac:dyDescent="0.55000000000000004">
      <c r="A814"/>
      <c r="B814"/>
      <c r="C814"/>
    </row>
    <row r="815" spans="1:3" x14ac:dyDescent="0.55000000000000004">
      <c r="A815"/>
      <c r="B815"/>
      <c r="C815"/>
    </row>
    <row r="816" spans="1:3" x14ac:dyDescent="0.55000000000000004">
      <c r="A816"/>
      <c r="B816"/>
      <c r="C816"/>
    </row>
    <row r="817" spans="1:3" x14ac:dyDescent="0.55000000000000004">
      <c r="A817"/>
      <c r="B817"/>
      <c r="C817"/>
    </row>
    <row r="818" spans="1:3" x14ac:dyDescent="0.55000000000000004">
      <c r="A818"/>
      <c r="B818"/>
      <c r="C818"/>
    </row>
    <row r="819" spans="1:3" x14ac:dyDescent="0.55000000000000004">
      <c r="A819"/>
      <c r="B819"/>
      <c r="C819"/>
    </row>
    <row r="820" spans="1:3" x14ac:dyDescent="0.55000000000000004">
      <c r="A820"/>
      <c r="B820"/>
      <c r="C820"/>
    </row>
    <row r="821" spans="1:3" x14ac:dyDescent="0.55000000000000004">
      <c r="A821"/>
      <c r="B821"/>
      <c r="C821"/>
    </row>
    <row r="822" spans="1:3" x14ac:dyDescent="0.55000000000000004">
      <c r="A822"/>
      <c r="B822"/>
      <c r="C822"/>
    </row>
    <row r="823" spans="1:3" x14ac:dyDescent="0.55000000000000004">
      <c r="A823"/>
      <c r="B823"/>
      <c r="C823"/>
    </row>
    <row r="824" spans="1:3" x14ac:dyDescent="0.55000000000000004">
      <c r="A824"/>
      <c r="B824"/>
      <c r="C824"/>
    </row>
    <row r="825" spans="1:3" x14ac:dyDescent="0.55000000000000004">
      <c r="A825"/>
      <c r="B825"/>
      <c r="C825"/>
    </row>
    <row r="826" spans="1:3" x14ac:dyDescent="0.55000000000000004">
      <c r="A826"/>
      <c r="B826"/>
      <c r="C826"/>
    </row>
    <row r="827" spans="1:3" x14ac:dyDescent="0.55000000000000004">
      <c r="A827"/>
      <c r="B827"/>
      <c r="C827"/>
    </row>
    <row r="828" spans="1:3" x14ac:dyDescent="0.55000000000000004">
      <c r="A828"/>
      <c r="B828"/>
      <c r="C828"/>
    </row>
    <row r="829" spans="1:3" x14ac:dyDescent="0.55000000000000004">
      <c r="A829"/>
      <c r="B829"/>
      <c r="C829"/>
    </row>
    <row r="830" spans="1:3" x14ac:dyDescent="0.55000000000000004">
      <c r="A830"/>
      <c r="B830"/>
      <c r="C830"/>
    </row>
    <row r="831" spans="1:3" x14ac:dyDescent="0.55000000000000004">
      <c r="A831"/>
      <c r="B831"/>
      <c r="C831"/>
    </row>
    <row r="832" spans="1:3" x14ac:dyDescent="0.55000000000000004">
      <c r="A832"/>
      <c r="B832"/>
      <c r="C832"/>
    </row>
    <row r="833" spans="1:3" x14ac:dyDescent="0.55000000000000004">
      <c r="A833"/>
      <c r="B833"/>
      <c r="C833"/>
    </row>
    <row r="834" spans="1:3" x14ac:dyDescent="0.55000000000000004">
      <c r="A834"/>
      <c r="B834"/>
      <c r="C834"/>
    </row>
    <row r="835" spans="1:3" x14ac:dyDescent="0.55000000000000004">
      <c r="A835"/>
      <c r="B835"/>
      <c r="C835"/>
    </row>
    <row r="836" spans="1:3" x14ac:dyDescent="0.55000000000000004">
      <c r="A836"/>
      <c r="B836"/>
      <c r="C836"/>
    </row>
    <row r="837" spans="1:3" x14ac:dyDescent="0.55000000000000004">
      <c r="A837"/>
      <c r="B837"/>
      <c r="C837"/>
    </row>
    <row r="838" spans="1:3" x14ac:dyDescent="0.55000000000000004">
      <c r="A838"/>
      <c r="B838"/>
      <c r="C838"/>
    </row>
    <row r="839" spans="1:3" x14ac:dyDescent="0.55000000000000004">
      <c r="A839"/>
      <c r="B839"/>
      <c r="C839"/>
    </row>
    <row r="840" spans="1:3" x14ac:dyDescent="0.55000000000000004">
      <c r="A840"/>
      <c r="B840"/>
      <c r="C840"/>
    </row>
    <row r="841" spans="1:3" x14ac:dyDescent="0.55000000000000004">
      <c r="A841"/>
      <c r="B841"/>
      <c r="C841"/>
    </row>
    <row r="842" spans="1:3" x14ac:dyDescent="0.55000000000000004">
      <c r="A842"/>
      <c r="B842"/>
      <c r="C842"/>
    </row>
    <row r="843" spans="1:3" x14ac:dyDescent="0.55000000000000004">
      <c r="A843"/>
      <c r="B843"/>
      <c r="C843"/>
    </row>
    <row r="844" spans="1:3" x14ac:dyDescent="0.55000000000000004">
      <c r="A844"/>
      <c r="B844"/>
      <c r="C844"/>
    </row>
    <row r="845" spans="1:3" x14ac:dyDescent="0.55000000000000004">
      <c r="A845"/>
      <c r="B845"/>
      <c r="C845"/>
    </row>
    <row r="846" spans="1:3" x14ac:dyDescent="0.55000000000000004">
      <c r="A846"/>
      <c r="B846"/>
      <c r="C846"/>
    </row>
    <row r="847" spans="1:3" x14ac:dyDescent="0.55000000000000004">
      <c r="A847"/>
      <c r="B847"/>
      <c r="C847"/>
    </row>
    <row r="848" spans="1:3" x14ac:dyDescent="0.55000000000000004">
      <c r="A848"/>
      <c r="B848"/>
      <c r="C848"/>
    </row>
    <row r="849" spans="1:3" x14ac:dyDescent="0.55000000000000004">
      <c r="A849"/>
      <c r="B849"/>
      <c r="C849"/>
    </row>
    <row r="850" spans="1:3" x14ac:dyDescent="0.55000000000000004">
      <c r="A850"/>
      <c r="B850"/>
      <c r="C850"/>
    </row>
    <row r="851" spans="1:3" x14ac:dyDescent="0.55000000000000004">
      <c r="A851"/>
      <c r="B851"/>
      <c r="C851"/>
    </row>
    <row r="852" spans="1:3" x14ac:dyDescent="0.55000000000000004">
      <c r="A852"/>
      <c r="B852"/>
      <c r="C852"/>
    </row>
    <row r="853" spans="1:3" x14ac:dyDescent="0.55000000000000004">
      <c r="A853"/>
      <c r="B853"/>
      <c r="C853"/>
    </row>
    <row r="854" spans="1:3" x14ac:dyDescent="0.55000000000000004">
      <c r="A854"/>
      <c r="B854"/>
      <c r="C854"/>
    </row>
    <row r="855" spans="1:3" x14ac:dyDescent="0.55000000000000004">
      <c r="A855"/>
      <c r="B855"/>
      <c r="C855"/>
    </row>
    <row r="856" spans="1:3" x14ac:dyDescent="0.55000000000000004">
      <c r="A856"/>
      <c r="B856"/>
      <c r="C856"/>
    </row>
    <row r="857" spans="1:3" x14ac:dyDescent="0.55000000000000004">
      <c r="A857"/>
      <c r="B857"/>
      <c r="C857"/>
    </row>
    <row r="858" spans="1:3" x14ac:dyDescent="0.55000000000000004">
      <c r="A858"/>
      <c r="B858"/>
      <c r="C858"/>
    </row>
    <row r="859" spans="1:3" x14ac:dyDescent="0.55000000000000004">
      <c r="A859"/>
      <c r="B859"/>
      <c r="C859"/>
    </row>
    <row r="860" spans="1:3" x14ac:dyDescent="0.55000000000000004">
      <c r="A860"/>
      <c r="B860"/>
      <c r="C860"/>
    </row>
    <row r="861" spans="1:3" x14ac:dyDescent="0.55000000000000004">
      <c r="A861"/>
      <c r="B861"/>
      <c r="C861"/>
    </row>
    <row r="862" spans="1:3" x14ac:dyDescent="0.55000000000000004">
      <c r="A862"/>
      <c r="B862"/>
      <c r="C862"/>
    </row>
    <row r="863" spans="1:3" x14ac:dyDescent="0.55000000000000004">
      <c r="A863"/>
      <c r="B863"/>
      <c r="C863"/>
    </row>
    <row r="864" spans="1:3" x14ac:dyDescent="0.55000000000000004">
      <c r="A864"/>
      <c r="B864"/>
      <c r="C864"/>
    </row>
    <row r="865" spans="1:3" x14ac:dyDescent="0.55000000000000004">
      <c r="A865"/>
      <c r="B865"/>
      <c r="C865"/>
    </row>
    <row r="866" spans="1:3" x14ac:dyDescent="0.55000000000000004">
      <c r="A866"/>
      <c r="B866"/>
      <c r="C866"/>
    </row>
    <row r="867" spans="1:3" x14ac:dyDescent="0.55000000000000004">
      <c r="A867"/>
      <c r="B867"/>
      <c r="C867"/>
    </row>
    <row r="868" spans="1:3" x14ac:dyDescent="0.55000000000000004">
      <c r="A868"/>
      <c r="B868"/>
      <c r="C868"/>
    </row>
    <row r="869" spans="1:3" x14ac:dyDescent="0.55000000000000004">
      <c r="A869"/>
      <c r="B869"/>
      <c r="C869"/>
    </row>
    <row r="870" spans="1:3" x14ac:dyDescent="0.55000000000000004">
      <c r="A870"/>
      <c r="B870"/>
      <c r="C870"/>
    </row>
    <row r="871" spans="1:3" x14ac:dyDescent="0.55000000000000004">
      <c r="A871"/>
      <c r="B871"/>
      <c r="C871"/>
    </row>
    <row r="872" spans="1:3" x14ac:dyDescent="0.55000000000000004">
      <c r="A872"/>
      <c r="B872"/>
      <c r="C872"/>
    </row>
    <row r="873" spans="1:3" x14ac:dyDescent="0.55000000000000004">
      <c r="A873"/>
      <c r="B873"/>
      <c r="C873"/>
    </row>
    <row r="874" spans="1:3" x14ac:dyDescent="0.55000000000000004">
      <c r="A874"/>
      <c r="B874"/>
      <c r="C874"/>
    </row>
    <row r="875" spans="1:3" x14ac:dyDescent="0.55000000000000004">
      <c r="A875"/>
      <c r="B875"/>
      <c r="C875"/>
    </row>
    <row r="876" spans="1:3" x14ac:dyDescent="0.55000000000000004">
      <c r="A876"/>
      <c r="B876"/>
      <c r="C876"/>
    </row>
    <row r="877" spans="1:3" x14ac:dyDescent="0.55000000000000004">
      <c r="A877"/>
      <c r="B877"/>
      <c r="C877"/>
    </row>
    <row r="878" spans="1:3" x14ac:dyDescent="0.55000000000000004">
      <c r="A878"/>
      <c r="B878"/>
      <c r="C878"/>
    </row>
    <row r="879" spans="1:3" x14ac:dyDescent="0.55000000000000004">
      <c r="A879"/>
      <c r="B879"/>
      <c r="C879"/>
    </row>
    <row r="880" spans="1:3" x14ac:dyDescent="0.55000000000000004">
      <c r="A880"/>
      <c r="B880"/>
      <c r="C880"/>
    </row>
    <row r="881" spans="1:3" x14ac:dyDescent="0.55000000000000004">
      <c r="A881"/>
      <c r="B881"/>
      <c r="C881"/>
    </row>
    <row r="882" spans="1:3" x14ac:dyDescent="0.55000000000000004">
      <c r="A882"/>
      <c r="B882"/>
      <c r="C882"/>
    </row>
    <row r="883" spans="1:3" x14ac:dyDescent="0.55000000000000004">
      <c r="A883"/>
      <c r="B883"/>
      <c r="C883"/>
    </row>
    <row r="884" spans="1:3" x14ac:dyDescent="0.55000000000000004">
      <c r="A884"/>
      <c r="B884"/>
      <c r="C884"/>
    </row>
    <row r="885" spans="1:3" x14ac:dyDescent="0.55000000000000004">
      <c r="A885"/>
      <c r="B885"/>
      <c r="C885"/>
    </row>
    <row r="886" spans="1:3" x14ac:dyDescent="0.55000000000000004">
      <c r="A886"/>
      <c r="B886"/>
      <c r="C886"/>
    </row>
    <row r="887" spans="1:3" x14ac:dyDescent="0.55000000000000004">
      <c r="A887"/>
      <c r="B887"/>
      <c r="C887"/>
    </row>
    <row r="888" spans="1:3" x14ac:dyDescent="0.55000000000000004">
      <c r="A888"/>
      <c r="B888"/>
      <c r="C888"/>
    </row>
    <row r="889" spans="1:3" x14ac:dyDescent="0.55000000000000004">
      <c r="A889"/>
      <c r="B889"/>
      <c r="C889"/>
    </row>
    <row r="890" spans="1:3" x14ac:dyDescent="0.55000000000000004">
      <c r="A890"/>
      <c r="B890"/>
      <c r="C890"/>
    </row>
    <row r="891" spans="1:3" x14ac:dyDescent="0.55000000000000004">
      <c r="A891"/>
      <c r="B891"/>
      <c r="C891"/>
    </row>
    <row r="892" spans="1:3" x14ac:dyDescent="0.55000000000000004">
      <c r="A892"/>
      <c r="B892"/>
      <c r="C892"/>
    </row>
    <row r="893" spans="1:3" x14ac:dyDescent="0.55000000000000004">
      <c r="A893"/>
      <c r="B893"/>
      <c r="C893"/>
    </row>
    <row r="894" spans="1:3" x14ac:dyDescent="0.55000000000000004">
      <c r="A894"/>
      <c r="B894"/>
      <c r="C894"/>
    </row>
    <row r="895" spans="1:3" x14ac:dyDescent="0.55000000000000004">
      <c r="A895"/>
      <c r="B895"/>
      <c r="C895"/>
    </row>
    <row r="896" spans="1:3" x14ac:dyDescent="0.55000000000000004">
      <c r="A896"/>
      <c r="B896"/>
      <c r="C896"/>
    </row>
    <row r="897" spans="1:3" x14ac:dyDescent="0.55000000000000004">
      <c r="A897"/>
      <c r="B897"/>
      <c r="C897"/>
    </row>
    <row r="898" spans="1:3" x14ac:dyDescent="0.55000000000000004">
      <c r="A898"/>
      <c r="B898"/>
      <c r="C898"/>
    </row>
    <row r="899" spans="1:3" x14ac:dyDescent="0.55000000000000004">
      <c r="A899"/>
      <c r="B899"/>
      <c r="C899"/>
    </row>
    <row r="900" spans="1:3" x14ac:dyDescent="0.55000000000000004">
      <c r="A900"/>
      <c r="B900"/>
      <c r="C900"/>
    </row>
    <row r="901" spans="1:3" x14ac:dyDescent="0.55000000000000004">
      <c r="A901"/>
      <c r="B901"/>
      <c r="C901"/>
    </row>
    <row r="902" spans="1:3" x14ac:dyDescent="0.55000000000000004">
      <c r="A902"/>
      <c r="B902"/>
      <c r="C902"/>
    </row>
    <row r="903" spans="1:3" x14ac:dyDescent="0.55000000000000004">
      <c r="A903"/>
      <c r="B903"/>
      <c r="C903"/>
    </row>
    <row r="904" spans="1:3" x14ac:dyDescent="0.55000000000000004">
      <c r="A904"/>
      <c r="B904"/>
      <c r="C904"/>
    </row>
    <row r="905" spans="1:3" x14ac:dyDescent="0.55000000000000004">
      <c r="A905"/>
      <c r="B905"/>
      <c r="C905"/>
    </row>
    <row r="906" spans="1:3" x14ac:dyDescent="0.55000000000000004">
      <c r="A906"/>
      <c r="B906"/>
      <c r="C906"/>
    </row>
    <row r="907" spans="1:3" x14ac:dyDescent="0.55000000000000004">
      <c r="A907"/>
      <c r="B907"/>
      <c r="C907"/>
    </row>
    <row r="908" spans="1:3" x14ac:dyDescent="0.55000000000000004">
      <c r="A908"/>
      <c r="B908"/>
      <c r="C908"/>
    </row>
    <row r="909" spans="1:3" x14ac:dyDescent="0.55000000000000004">
      <c r="A909"/>
      <c r="B909"/>
      <c r="C909"/>
    </row>
    <row r="910" spans="1:3" x14ac:dyDescent="0.55000000000000004">
      <c r="A910"/>
      <c r="B910"/>
      <c r="C910"/>
    </row>
    <row r="911" spans="1:3" x14ac:dyDescent="0.55000000000000004">
      <c r="A911"/>
      <c r="B911"/>
      <c r="C911"/>
    </row>
    <row r="912" spans="1:3" x14ac:dyDescent="0.55000000000000004">
      <c r="A912"/>
      <c r="B912"/>
      <c r="C912"/>
    </row>
    <row r="913" spans="1:3" x14ac:dyDescent="0.55000000000000004">
      <c r="A913"/>
      <c r="B913"/>
      <c r="C913"/>
    </row>
    <row r="914" spans="1:3" x14ac:dyDescent="0.55000000000000004">
      <c r="A914"/>
      <c r="B914"/>
      <c r="C914"/>
    </row>
    <row r="915" spans="1:3" x14ac:dyDescent="0.55000000000000004">
      <c r="A915"/>
      <c r="B915"/>
      <c r="C915"/>
    </row>
    <row r="916" spans="1:3" x14ac:dyDescent="0.55000000000000004">
      <c r="A916"/>
      <c r="B916"/>
      <c r="C916"/>
    </row>
    <row r="917" spans="1:3" x14ac:dyDescent="0.55000000000000004">
      <c r="A917"/>
      <c r="B917"/>
      <c r="C917"/>
    </row>
    <row r="918" spans="1:3" x14ac:dyDescent="0.55000000000000004">
      <c r="A918"/>
      <c r="B918"/>
      <c r="C918"/>
    </row>
    <row r="919" spans="1:3" x14ac:dyDescent="0.55000000000000004">
      <c r="A919"/>
      <c r="B919"/>
      <c r="C919"/>
    </row>
    <row r="920" spans="1:3" x14ac:dyDescent="0.55000000000000004">
      <c r="A920"/>
      <c r="B920"/>
      <c r="C920"/>
    </row>
    <row r="921" spans="1:3" x14ac:dyDescent="0.55000000000000004">
      <c r="A921"/>
      <c r="B921"/>
      <c r="C921"/>
    </row>
    <row r="922" spans="1:3" x14ac:dyDescent="0.55000000000000004">
      <c r="A922"/>
      <c r="B922"/>
      <c r="C922"/>
    </row>
    <row r="923" spans="1:3" x14ac:dyDescent="0.55000000000000004">
      <c r="A923"/>
      <c r="B923"/>
      <c r="C923"/>
    </row>
    <row r="924" spans="1:3" x14ac:dyDescent="0.55000000000000004">
      <c r="A924"/>
      <c r="B924"/>
      <c r="C924"/>
    </row>
    <row r="925" spans="1:3" x14ac:dyDescent="0.55000000000000004">
      <c r="A925"/>
      <c r="B925"/>
      <c r="C925"/>
    </row>
    <row r="926" spans="1:3" x14ac:dyDescent="0.55000000000000004">
      <c r="A926"/>
      <c r="B926"/>
      <c r="C926"/>
    </row>
    <row r="927" spans="1:3" x14ac:dyDescent="0.55000000000000004">
      <c r="A927"/>
      <c r="B927"/>
      <c r="C927"/>
    </row>
    <row r="928" spans="1:3" x14ac:dyDescent="0.55000000000000004">
      <c r="A928"/>
      <c r="B928"/>
      <c r="C928"/>
    </row>
    <row r="929" spans="1:3" x14ac:dyDescent="0.55000000000000004">
      <c r="A929"/>
      <c r="B929"/>
      <c r="C929"/>
    </row>
    <row r="930" spans="1:3" x14ac:dyDescent="0.55000000000000004">
      <c r="A930"/>
      <c r="B930"/>
      <c r="C930"/>
    </row>
    <row r="931" spans="1:3" x14ac:dyDescent="0.55000000000000004">
      <c r="A931"/>
      <c r="B931"/>
      <c r="C931"/>
    </row>
    <row r="932" spans="1:3" x14ac:dyDescent="0.55000000000000004">
      <c r="A932"/>
      <c r="B932"/>
      <c r="C932"/>
    </row>
    <row r="933" spans="1:3" x14ac:dyDescent="0.55000000000000004">
      <c r="A933"/>
      <c r="B933"/>
      <c r="C933"/>
    </row>
    <row r="934" spans="1:3" x14ac:dyDescent="0.55000000000000004">
      <c r="A934"/>
      <c r="B934"/>
      <c r="C934"/>
    </row>
    <row r="935" spans="1:3" x14ac:dyDescent="0.55000000000000004">
      <c r="A935"/>
      <c r="B935"/>
      <c r="C935"/>
    </row>
    <row r="936" spans="1:3" x14ac:dyDescent="0.55000000000000004">
      <c r="A936"/>
      <c r="B936"/>
      <c r="C936"/>
    </row>
    <row r="937" spans="1:3" x14ac:dyDescent="0.55000000000000004">
      <c r="A937"/>
      <c r="B937"/>
      <c r="C937"/>
    </row>
    <row r="938" spans="1:3" x14ac:dyDescent="0.55000000000000004">
      <c r="A938"/>
      <c r="B938"/>
      <c r="C938"/>
    </row>
    <row r="939" spans="1:3" x14ac:dyDescent="0.55000000000000004">
      <c r="A939"/>
      <c r="B939"/>
      <c r="C939"/>
    </row>
    <row r="940" spans="1:3" x14ac:dyDescent="0.55000000000000004">
      <c r="A940"/>
      <c r="B940"/>
      <c r="C940"/>
    </row>
    <row r="941" spans="1:3" x14ac:dyDescent="0.55000000000000004">
      <c r="A941"/>
      <c r="B941"/>
      <c r="C941"/>
    </row>
    <row r="942" spans="1:3" x14ac:dyDescent="0.55000000000000004">
      <c r="A942"/>
      <c r="B942"/>
      <c r="C942"/>
    </row>
    <row r="943" spans="1:3" x14ac:dyDescent="0.55000000000000004">
      <c r="A943"/>
      <c r="B943"/>
      <c r="C943"/>
    </row>
    <row r="944" spans="1:3" x14ac:dyDescent="0.55000000000000004">
      <c r="A944"/>
      <c r="B944"/>
      <c r="C944"/>
    </row>
    <row r="945" spans="1:3" x14ac:dyDescent="0.55000000000000004">
      <c r="A945"/>
      <c r="B945"/>
      <c r="C945"/>
    </row>
    <row r="946" spans="1:3" x14ac:dyDescent="0.55000000000000004">
      <c r="A946"/>
      <c r="B946"/>
      <c r="C946"/>
    </row>
    <row r="947" spans="1:3" x14ac:dyDescent="0.55000000000000004">
      <c r="A947"/>
      <c r="B947"/>
      <c r="C947"/>
    </row>
    <row r="948" spans="1:3" x14ac:dyDescent="0.55000000000000004">
      <c r="A948"/>
      <c r="B948"/>
      <c r="C948"/>
    </row>
    <row r="949" spans="1:3" x14ac:dyDescent="0.55000000000000004">
      <c r="A949"/>
      <c r="B949"/>
      <c r="C949"/>
    </row>
    <row r="950" spans="1:3" x14ac:dyDescent="0.55000000000000004">
      <c r="A950"/>
      <c r="B950"/>
      <c r="C950"/>
    </row>
    <row r="951" spans="1:3" x14ac:dyDescent="0.55000000000000004">
      <c r="A951"/>
      <c r="B951"/>
      <c r="C951"/>
    </row>
    <row r="952" spans="1:3" x14ac:dyDescent="0.55000000000000004">
      <c r="A952"/>
      <c r="B952"/>
      <c r="C952"/>
    </row>
    <row r="953" spans="1:3" x14ac:dyDescent="0.55000000000000004">
      <c r="A953"/>
      <c r="B953"/>
      <c r="C953"/>
    </row>
    <row r="954" spans="1:3" x14ac:dyDescent="0.55000000000000004">
      <c r="A954"/>
      <c r="B954"/>
      <c r="C954"/>
    </row>
    <row r="955" spans="1:3" x14ac:dyDescent="0.55000000000000004">
      <c r="A955"/>
      <c r="B955"/>
      <c r="C955"/>
    </row>
    <row r="956" spans="1:3" x14ac:dyDescent="0.55000000000000004">
      <c r="A956"/>
      <c r="B956"/>
      <c r="C956"/>
    </row>
    <row r="957" spans="1:3" x14ac:dyDescent="0.55000000000000004">
      <c r="A957"/>
      <c r="B957"/>
      <c r="C957"/>
    </row>
    <row r="958" spans="1:3" x14ac:dyDescent="0.55000000000000004">
      <c r="A958"/>
      <c r="B958"/>
      <c r="C958"/>
    </row>
    <row r="959" spans="1:3" x14ac:dyDescent="0.55000000000000004">
      <c r="A959"/>
      <c r="B959"/>
      <c r="C959"/>
    </row>
    <row r="960" spans="1:3" x14ac:dyDescent="0.55000000000000004">
      <c r="A960"/>
      <c r="B960"/>
      <c r="C960"/>
    </row>
    <row r="961" spans="1:3" x14ac:dyDescent="0.55000000000000004">
      <c r="A961"/>
      <c r="B961"/>
      <c r="C961"/>
    </row>
    <row r="962" spans="1:3" x14ac:dyDescent="0.55000000000000004">
      <c r="A962"/>
      <c r="B962"/>
      <c r="C962"/>
    </row>
    <row r="963" spans="1:3" x14ac:dyDescent="0.55000000000000004">
      <c r="A963"/>
      <c r="B963"/>
      <c r="C963"/>
    </row>
    <row r="964" spans="1:3" x14ac:dyDescent="0.55000000000000004">
      <c r="A964"/>
      <c r="B964"/>
      <c r="C964"/>
    </row>
    <row r="965" spans="1:3" x14ac:dyDescent="0.55000000000000004">
      <c r="A965"/>
      <c r="B965"/>
      <c r="C965"/>
    </row>
    <row r="966" spans="1:3" x14ac:dyDescent="0.55000000000000004">
      <c r="A966"/>
      <c r="B966"/>
      <c r="C966"/>
    </row>
    <row r="967" spans="1:3" x14ac:dyDescent="0.55000000000000004">
      <c r="A967"/>
      <c r="B967"/>
      <c r="C967"/>
    </row>
    <row r="968" spans="1:3" x14ac:dyDescent="0.55000000000000004">
      <c r="A968"/>
      <c r="B968"/>
      <c r="C968"/>
    </row>
    <row r="969" spans="1:3" x14ac:dyDescent="0.55000000000000004">
      <c r="A969"/>
      <c r="B969"/>
      <c r="C969"/>
    </row>
    <row r="970" spans="1:3" x14ac:dyDescent="0.55000000000000004">
      <c r="A970"/>
      <c r="B970"/>
      <c r="C970"/>
    </row>
    <row r="971" spans="1:3" x14ac:dyDescent="0.55000000000000004">
      <c r="A971"/>
      <c r="B971"/>
      <c r="C971"/>
    </row>
    <row r="972" spans="1:3" x14ac:dyDescent="0.55000000000000004">
      <c r="A972"/>
      <c r="B972"/>
      <c r="C972"/>
    </row>
    <row r="973" spans="1:3" x14ac:dyDescent="0.55000000000000004">
      <c r="A973"/>
      <c r="B973"/>
      <c r="C973"/>
    </row>
    <row r="974" spans="1:3" x14ac:dyDescent="0.55000000000000004">
      <c r="A974"/>
      <c r="B974"/>
      <c r="C974"/>
    </row>
    <row r="975" spans="1:3" x14ac:dyDescent="0.55000000000000004">
      <c r="A975"/>
      <c r="B975"/>
      <c r="C975"/>
    </row>
    <row r="976" spans="1:3" x14ac:dyDescent="0.55000000000000004">
      <c r="A976"/>
      <c r="B976"/>
      <c r="C976"/>
    </row>
    <row r="977" spans="1:3" x14ac:dyDescent="0.55000000000000004">
      <c r="A977"/>
      <c r="B977"/>
      <c r="C977"/>
    </row>
    <row r="978" spans="1:3" x14ac:dyDescent="0.55000000000000004">
      <c r="A978"/>
      <c r="B978"/>
      <c r="C978"/>
    </row>
    <row r="979" spans="1:3" x14ac:dyDescent="0.55000000000000004">
      <c r="A979"/>
      <c r="B979"/>
      <c r="C979"/>
    </row>
    <row r="980" spans="1:3" x14ac:dyDescent="0.55000000000000004">
      <c r="A980"/>
      <c r="B980"/>
      <c r="C980"/>
    </row>
    <row r="981" spans="1:3" x14ac:dyDescent="0.55000000000000004">
      <c r="A981"/>
      <c r="B981"/>
      <c r="C981"/>
    </row>
    <row r="982" spans="1:3" x14ac:dyDescent="0.55000000000000004">
      <c r="A982"/>
      <c r="B982"/>
      <c r="C982"/>
    </row>
    <row r="983" spans="1:3" x14ac:dyDescent="0.55000000000000004">
      <c r="A983"/>
      <c r="B983"/>
      <c r="C983"/>
    </row>
    <row r="984" spans="1:3" x14ac:dyDescent="0.55000000000000004">
      <c r="A984"/>
      <c r="B984"/>
      <c r="C984"/>
    </row>
    <row r="985" spans="1:3" x14ac:dyDescent="0.55000000000000004">
      <c r="A985"/>
      <c r="B985"/>
      <c r="C985"/>
    </row>
    <row r="986" spans="1:3" x14ac:dyDescent="0.55000000000000004">
      <c r="A986"/>
      <c r="B986"/>
      <c r="C986"/>
    </row>
    <row r="987" spans="1:3" x14ac:dyDescent="0.55000000000000004">
      <c r="A987"/>
      <c r="B987"/>
      <c r="C987"/>
    </row>
    <row r="988" spans="1:3" x14ac:dyDescent="0.55000000000000004">
      <c r="A988"/>
      <c r="B988"/>
      <c r="C988"/>
    </row>
    <row r="989" spans="1:3" x14ac:dyDescent="0.55000000000000004">
      <c r="A989"/>
      <c r="B989"/>
      <c r="C989"/>
    </row>
    <row r="990" spans="1:3" x14ac:dyDescent="0.55000000000000004">
      <c r="A990"/>
      <c r="B990"/>
      <c r="C990"/>
    </row>
    <row r="991" spans="1:3" x14ac:dyDescent="0.55000000000000004">
      <c r="A991"/>
      <c r="B991"/>
      <c r="C991"/>
    </row>
    <row r="992" spans="1:3" x14ac:dyDescent="0.55000000000000004">
      <c r="A992"/>
      <c r="B992"/>
      <c r="C992"/>
    </row>
    <row r="993" spans="1:3" x14ac:dyDescent="0.55000000000000004">
      <c r="A993"/>
      <c r="B993"/>
      <c r="C993"/>
    </row>
    <row r="994" spans="1:3" x14ac:dyDescent="0.55000000000000004">
      <c r="A994"/>
      <c r="B994"/>
      <c r="C994"/>
    </row>
    <row r="995" spans="1:3" x14ac:dyDescent="0.55000000000000004">
      <c r="A995"/>
      <c r="B995"/>
      <c r="C995"/>
    </row>
    <row r="996" spans="1:3" x14ac:dyDescent="0.55000000000000004">
      <c r="A996"/>
      <c r="B996"/>
      <c r="C996"/>
    </row>
    <row r="997" spans="1:3" x14ac:dyDescent="0.55000000000000004">
      <c r="A997"/>
      <c r="B997"/>
      <c r="C997"/>
    </row>
    <row r="998" spans="1:3" x14ac:dyDescent="0.55000000000000004">
      <c r="A998"/>
      <c r="B998"/>
      <c r="C998"/>
    </row>
    <row r="999" spans="1:3" x14ac:dyDescent="0.55000000000000004">
      <c r="A999"/>
      <c r="B999"/>
      <c r="C999"/>
    </row>
    <row r="1000" spans="1:3" x14ac:dyDescent="0.55000000000000004">
      <c r="A1000"/>
      <c r="B1000"/>
      <c r="C1000"/>
    </row>
    <row r="1001" spans="1:3" x14ac:dyDescent="0.55000000000000004">
      <c r="A1001"/>
      <c r="B1001"/>
      <c r="C1001"/>
    </row>
    <row r="1002" spans="1:3" x14ac:dyDescent="0.55000000000000004">
      <c r="A1002"/>
      <c r="B1002"/>
      <c r="C1002"/>
    </row>
    <row r="1003" spans="1:3" x14ac:dyDescent="0.55000000000000004">
      <c r="A1003"/>
      <c r="B1003"/>
      <c r="C1003"/>
    </row>
    <row r="1004" spans="1:3" x14ac:dyDescent="0.55000000000000004">
      <c r="A1004"/>
      <c r="B1004"/>
      <c r="C1004"/>
    </row>
    <row r="1005" spans="1:3" x14ac:dyDescent="0.55000000000000004">
      <c r="A1005"/>
      <c r="B1005"/>
      <c r="C1005"/>
    </row>
    <row r="1006" spans="1:3" x14ac:dyDescent="0.55000000000000004">
      <c r="A1006"/>
      <c r="B1006"/>
      <c r="C1006"/>
    </row>
    <row r="1007" spans="1:3" x14ac:dyDescent="0.55000000000000004">
      <c r="A1007"/>
      <c r="B1007"/>
      <c r="C1007"/>
    </row>
    <row r="1008" spans="1:3" x14ac:dyDescent="0.55000000000000004">
      <c r="A1008"/>
      <c r="B1008"/>
      <c r="C1008"/>
    </row>
    <row r="1009" spans="1:3" x14ac:dyDescent="0.55000000000000004">
      <c r="A1009"/>
      <c r="B1009"/>
      <c r="C1009"/>
    </row>
    <row r="1010" spans="1:3" x14ac:dyDescent="0.55000000000000004">
      <c r="A1010"/>
      <c r="B1010"/>
      <c r="C1010"/>
    </row>
    <row r="1011" spans="1:3" x14ac:dyDescent="0.55000000000000004">
      <c r="A1011"/>
      <c r="B1011"/>
      <c r="C1011"/>
    </row>
    <row r="1012" spans="1:3" x14ac:dyDescent="0.55000000000000004">
      <c r="A1012"/>
      <c r="B1012"/>
      <c r="C1012"/>
    </row>
    <row r="1013" spans="1:3" x14ac:dyDescent="0.55000000000000004">
      <c r="A1013"/>
      <c r="B1013"/>
      <c r="C1013"/>
    </row>
    <row r="1014" spans="1:3" x14ac:dyDescent="0.55000000000000004">
      <c r="A1014"/>
      <c r="B1014"/>
      <c r="C1014"/>
    </row>
    <row r="1015" spans="1:3" x14ac:dyDescent="0.55000000000000004">
      <c r="A1015"/>
      <c r="B1015"/>
      <c r="C1015"/>
    </row>
    <row r="1016" spans="1:3" x14ac:dyDescent="0.55000000000000004">
      <c r="A1016"/>
      <c r="B1016"/>
      <c r="C1016"/>
    </row>
    <row r="1017" spans="1:3" x14ac:dyDescent="0.55000000000000004">
      <c r="A1017"/>
      <c r="B1017"/>
      <c r="C1017"/>
    </row>
    <row r="1018" spans="1:3" x14ac:dyDescent="0.55000000000000004">
      <c r="A1018"/>
      <c r="B1018"/>
      <c r="C1018"/>
    </row>
    <row r="1019" spans="1:3" x14ac:dyDescent="0.55000000000000004">
      <c r="A1019"/>
      <c r="B1019"/>
      <c r="C1019"/>
    </row>
    <row r="1020" spans="1:3" x14ac:dyDescent="0.55000000000000004">
      <c r="A1020"/>
      <c r="B1020"/>
      <c r="C1020"/>
    </row>
    <row r="1021" spans="1:3" x14ac:dyDescent="0.55000000000000004">
      <c r="A1021"/>
      <c r="B1021"/>
      <c r="C1021"/>
    </row>
    <row r="1022" spans="1:3" x14ac:dyDescent="0.55000000000000004">
      <c r="A1022"/>
      <c r="B1022"/>
      <c r="C1022"/>
    </row>
    <row r="1023" spans="1:3" x14ac:dyDescent="0.55000000000000004">
      <c r="A1023"/>
      <c r="B1023"/>
      <c r="C1023"/>
    </row>
    <row r="1024" spans="1:3" x14ac:dyDescent="0.55000000000000004">
      <c r="A1024"/>
      <c r="B1024"/>
      <c r="C1024"/>
    </row>
    <row r="1025" spans="1:3" x14ac:dyDescent="0.55000000000000004">
      <c r="A1025"/>
      <c r="B1025"/>
      <c r="C1025"/>
    </row>
    <row r="1026" spans="1:3" x14ac:dyDescent="0.55000000000000004">
      <c r="A1026"/>
      <c r="B1026"/>
      <c r="C1026"/>
    </row>
    <row r="1027" spans="1:3" x14ac:dyDescent="0.55000000000000004">
      <c r="A1027"/>
      <c r="B1027"/>
      <c r="C1027"/>
    </row>
    <row r="1028" spans="1:3" x14ac:dyDescent="0.55000000000000004">
      <c r="A1028"/>
      <c r="B1028"/>
      <c r="C1028"/>
    </row>
    <row r="1029" spans="1:3" x14ac:dyDescent="0.55000000000000004">
      <c r="A1029"/>
      <c r="B1029"/>
      <c r="C1029"/>
    </row>
    <row r="1030" spans="1:3" x14ac:dyDescent="0.55000000000000004">
      <c r="A1030"/>
      <c r="B1030"/>
      <c r="C1030"/>
    </row>
    <row r="1031" spans="1:3" x14ac:dyDescent="0.55000000000000004">
      <c r="A1031"/>
      <c r="B1031"/>
      <c r="C1031"/>
    </row>
    <row r="1032" spans="1:3" x14ac:dyDescent="0.55000000000000004">
      <c r="A1032"/>
      <c r="B1032"/>
      <c r="C1032"/>
    </row>
    <row r="1033" spans="1:3" x14ac:dyDescent="0.55000000000000004">
      <c r="A1033"/>
      <c r="B1033"/>
      <c r="C1033"/>
    </row>
    <row r="1034" spans="1:3" x14ac:dyDescent="0.55000000000000004">
      <c r="A1034"/>
      <c r="B1034"/>
      <c r="C1034"/>
    </row>
    <row r="1035" spans="1:3" x14ac:dyDescent="0.55000000000000004">
      <c r="A1035"/>
      <c r="B1035"/>
      <c r="C1035"/>
    </row>
    <row r="1036" spans="1:3" x14ac:dyDescent="0.55000000000000004">
      <c r="A1036"/>
      <c r="B1036"/>
      <c r="C1036"/>
    </row>
    <row r="1037" spans="1:3" x14ac:dyDescent="0.55000000000000004">
      <c r="A1037"/>
      <c r="B1037"/>
      <c r="C1037"/>
    </row>
    <row r="1038" spans="1:3" x14ac:dyDescent="0.55000000000000004">
      <c r="A1038"/>
      <c r="B1038"/>
      <c r="C1038"/>
    </row>
    <row r="1039" spans="1:3" x14ac:dyDescent="0.55000000000000004">
      <c r="A1039"/>
      <c r="B1039"/>
      <c r="C1039"/>
    </row>
    <row r="1040" spans="1:3" x14ac:dyDescent="0.55000000000000004">
      <c r="A1040"/>
      <c r="B1040"/>
      <c r="C1040"/>
    </row>
    <row r="1041" spans="1:3" x14ac:dyDescent="0.55000000000000004">
      <c r="A1041"/>
      <c r="B1041"/>
      <c r="C1041"/>
    </row>
    <row r="1042" spans="1:3" x14ac:dyDescent="0.55000000000000004">
      <c r="A1042"/>
      <c r="B1042"/>
      <c r="C1042"/>
    </row>
    <row r="1043" spans="1:3" x14ac:dyDescent="0.55000000000000004">
      <c r="A1043"/>
      <c r="B1043"/>
      <c r="C1043"/>
    </row>
    <row r="1044" spans="1:3" x14ac:dyDescent="0.55000000000000004">
      <c r="A1044"/>
      <c r="B1044"/>
      <c r="C1044"/>
    </row>
    <row r="1045" spans="1:3" x14ac:dyDescent="0.55000000000000004">
      <c r="A1045"/>
      <c r="B1045"/>
      <c r="C1045"/>
    </row>
    <row r="1046" spans="1:3" x14ac:dyDescent="0.55000000000000004">
      <c r="A1046"/>
      <c r="B1046"/>
      <c r="C1046"/>
    </row>
    <row r="1047" spans="1:3" x14ac:dyDescent="0.55000000000000004">
      <c r="A1047"/>
      <c r="B1047"/>
      <c r="C1047"/>
    </row>
    <row r="1048" spans="1:3" x14ac:dyDescent="0.55000000000000004">
      <c r="A1048"/>
      <c r="B1048"/>
      <c r="C1048"/>
    </row>
    <row r="1049" spans="1:3" x14ac:dyDescent="0.55000000000000004">
      <c r="A1049"/>
      <c r="B1049"/>
      <c r="C1049"/>
    </row>
    <row r="1050" spans="1:3" x14ac:dyDescent="0.55000000000000004">
      <c r="A1050"/>
      <c r="B1050"/>
      <c r="C1050"/>
    </row>
    <row r="1051" spans="1:3" x14ac:dyDescent="0.55000000000000004">
      <c r="A1051"/>
      <c r="B1051"/>
      <c r="C1051"/>
    </row>
    <row r="1052" spans="1:3" x14ac:dyDescent="0.55000000000000004">
      <c r="A1052"/>
      <c r="B1052"/>
      <c r="C1052"/>
    </row>
    <row r="1053" spans="1:3" x14ac:dyDescent="0.55000000000000004">
      <c r="A1053"/>
      <c r="B1053"/>
      <c r="C1053"/>
    </row>
    <row r="1054" spans="1:3" x14ac:dyDescent="0.55000000000000004">
      <c r="A1054"/>
      <c r="B1054"/>
      <c r="C1054"/>
    </row>
    <row r="1055" spans="1:3" x14ac:dyDescent="0.55000000000000004">
      <c r="A1055"/>
      <c r="B1055"/>
      <c r="C1055"/>
    </row>
    <row r="1056" spans="1:3" x14ac:dyDescent="0.55000000000000004">
      <c r="A1056"/>
      <c r="B1056"/>
      <c r="C1056"/>
    </row>
    <row r="1057" spans="1:3" x14ac:dyDescent="0.55000000000000004">
      <c r="A1057"/>
      <c r="B1057"/>
      <c r="C1057"/>
    </row>
    <row r="1058" spans="1:3" x14ac:dyDescent="0.55000000000000004">
      <c r="A1058"/>
      <c r="B1058"/>
      <c r="C1058"/>
    </row>
    <row r="1059" spans="1:3" x14ac:dyDescent="0.55000000000000004">
      <c r="A1059"/>
      <c r="B1059"/>
      <c r="C1059"/>
    </row>
    <row r="1060" spans="1:3" x14ac:dyDescent="0.55000000000000004">
      <c r="A1060"/>
      <c r="B1060"/>
      <c r="C1060"/>
    </row>
    <row r="1061" spans="1:3" x14ac:dyDescent="0.55000000000000004">
      <c r="A1061"/>
      <c r="B1061"/>
      <c r="C1061"/>
    </row>
    <row r="1062" spans="1:3" x14ac:dyDescent="0.55000000000000004">
      <c r="A1062"/>
      <c r="B1062"/>
      <c r="C1062"/>
    </row>
    <row r="1063" spans="1:3" x14ac:dyDescent="0.55000000000000004">
      <c r="A1063"/>
      <c r="B1063"/>
      <c r="C1063"/>
    </row>
    <row r="1064" spans="1:3" x14ac:dyDescent="0.55000000000000004">
      <c r="A1064"/>
      <c r="B1064"/>
      <c r="C1064"/>
    </row>
    <row r="1065" spans="1:3" x14ac:dyDescent="0.55000000000000004">
      <c r="A1065"/>
      <c r="B1065"/>
      <c r="C1065"/>
    </row>
    <row r="1066" spans="1:3" x14ac:dyDescent="0.55000000000000004">
      <c r="A1066"/>
      <c r="B1066"/>
      <c r="C1066"/>
    </row>
    <row r="1067" spans="1:3" x14ac:dyDescent="0.55000000000000004">
      <c r="A1067"/>
      <c r="B1067"/>
      <c r="C1067"/>
    </row>
    <row r="1068" spans="1:3" x14ac:dyDescent="0.55000000000000004">
      <c r="A1068"/>
      <c r="B1068"/>
      <c r="C1068"/>
    </row>
    <row r="1069" spans="1:3" x14ac:dyDescent="0.55000000000000004">
      <c r="A1069"/>
      <c r="B1069"/>
      <c r="C1069"/>
    </row>
    <row r="1070" spans="1:3" x14ac:dyDescent="0.55000000000000004">
      <c r="A1070"/>
      <c r="B1070"/>
      <c r="C1070"/>
    </row>
    <row r="1071" spans="1:3" x14ac:dyDescent="0.55000000000000004">
      <c r="A1071"/>
      <c r="B1071"/>
      <c r="C1071"/>
    </row>
    <row r="1072" spans="1:3" x14ac:dyDescent="0.55000000000000004">
      <c r="A1072"/>
      <c r="B1072"/>
      <c r="C1072"/>
    </row>
    <row r="1073" spans="1:3" x14ac:dyDescent="0.55000000000000004">
      <c r="A1073"/>
      <c r="B1073"/>
      <c r="C1073"/>
    </row>
    <row r="1074" spans="1:3" x14ac:dyDescent="0.55000000000000004">
      <c r="A1074"/>
      <c r="B1074"/>
      <c r="C1074"/>
    </row>
    <row r="1075" spans="1:3" x14ac:dyDescent="0.55000000000000004">
      <c r="A1075"/>
      <c r="B1075"/>
      <c r="C1075"/>
    </row>
    <row r="1076" spans="1:3" x14ac:dyDescent="0.55000000000000004">
      <c r="A1076"/>
      <c r="B1076"/>
      <c r="C1076"/>
    </row>
    <row r="1077" spans="1:3" x14ac:dyDescent="0.55000000000000004">
      <c r="A1077"/>
      <c r="B1077"/>
      <c r="C1077"/>
    </row>
    <row r="1078" spans="1:3" x14ac:dyDescent="0.55000000000000004">
      <c r="A1078"/>
      <c r="B1078"/>
      <c r="C1078"/>
    </row>
    <row r="1079" spans="1:3" x14ac:dyDescent="0.55000000000000004">
      <c r="A1079"/>
      <c r="B1079"/>
      <c r="C1079"/>
    </row>
    <row r="1080" spans="1:3" x14ac:dyDescent="0.55000000000000004">
      <c r="A1080"/>
      <c r="B1080"/>
      <c r="C1080"/>
    </row>
    <row r="1081" spans="1:3" x14ac:dyDescent="0.55000000000000004">
      <c r="A1081"/>
      <c r="B1081"/>
      <c r="C1081"/>
    </row>
    <row r="1082" spans="1:3" x14ac:dyDescent="0.55000000000000004">
      <c r="A1082"/>
      <c r="B1082"/>
      <c r="C1082"/>
    </row>
    <row r="1083" spans="1:3" x14ac:dyDescent="0.55000000000000004">
      <c r="A1083"/>
      <c r="B1083"/>
      <c r="C1083"/>
    </row>
    <row r="1084" spans="1:3" x14ac:dyDescent="0.55000000000000004">
      <c r="A1084"/>
      <c r="B1084"/>
      <c r="C1084"/>
    </row>
    <row r="1085" spans="1:3" x14ac:dyDescent="0.55000000000000004">
      <c r="A1085"/>
      <c r="B1085"/>
      <c r="C1085"/>
    </row>
    <row r="1086" spans="1:3" x14ac:dyDescent="0.55000000000000004">
      <c r="A1086"/>
      <c r="B1086"/>
      <c r="C1086"/>
    </row>
    <row r="1087" spans="1:3" x14ac:dyDescent="0.55000000000000004">
      <c r="A1087"/>
      <c r="B1087"/>
      <c r="C1087"/>
    </row>
    <row r="1088" spans="1:3" x14ac:dyDescent="0.55000000000000004">
      <c r="A1088"/>
      <c r="B1088"/>
      <c r="C1088"/>
    </row>
    <row r="1089" spans="1:3" x14ac:dyDescent="0.55000000000000004">
      <c r="A1089"/>
      <c r="B1089"/>
      <c r="C1089"/>
    </row>
    <row r="1090" spans="1:3" x14ac:dyDescent="0.55000000000000004">
      <c r="A1090"/>
      <c r="B1090"/>
      <c r="C1090"/>
    </row>
    <row r="1091" spans="1:3" x14ac:dyDescent="0.55000000000000004">
      <c r="A1091"/>
      <c r="B1091"/>
      <c r="C1091"/>
    </row>
    <row r="1092" spans="1:3" x14ac:dyDescent="0.55000000000000004">
      <c r="A1092"/>
      <c r="B1092"/>
      <c r="C1092"/>
    </row>
    <row r="1093" spans="1:3" x14ac:dyDescent="0.55000000000000004">
      <c r="A1093"/>
      <c r="B1093"/>
      <c r="C1093"/>
    </row>
    <row r="1094" spans="1:3" x14ac:dyDescent="0.55000000000000004">
      <c r="A1094"/>
      <c r="B1094"/>
      <c r="C1094"/>
    </row>
    <row r="1095" spans="1:3" x14ac:dyDescent="0.55000000000000004">
      <c r="A1095"/>
      <c r="B1095"/>
      <c r="C1095"/>
    </row>
    <row r="1096" spans="1:3" x14ac:dyDescent="0.55000000000000004">
      <c r="A1096"/>
      <c r="B1096"/>
      <c r="C1096"/>
    </row>
    <row r="1097" spans="1:3" x14ac:dyDescent="0.55000000000000004">
      <c r="A1097"/>
      <c r="B1097"/>
      <c r="C1097"/>
    </row>
    <row r="1098" spans="1:3" x14ac:dyDescent="0.55000000000000004">
      <c r="A1098"/>
      <c r="B1098"/>
      <c r="C1098"/>
    </row>
    <row r="1099" spans="1:3" x14ac:dyDescent="0.55000000000000004">
      <c r="A1099"/>
      <c r="B1099"/>
      <c r="C1099"/>
    </row>
    <row r="1100" spans="1:3" x14ac:dyDescent="0.55000000000000004">
      <c r="A1100"/>
      <c r="B1100"/>
      <c r="C1100"/>
    </row>
    <row r="1101" spans="1:3" x14ac:dyDescent="0.55000000000000004">
      <c r="A1101"/>
      <c r="B1101"/>
      <c r="C1101"/>
    </row>
    <row r="1102" spans="1:3" x14ac:dyDescent="0.55000000000000004">
      <c r="A1102"/>
      <c r="B1102"/>
      <c r="C1102"/>
    </row>
    <row r="1103" spans="1:3" x14ac:dyDescent="0.55000000000000004">
      <c r="A1103"/>
      <c r="B1103"/>
      <c r="C1103"/>
    </row>
    <row r="1104" spans="1:3" x14ac:dyDescent="0.55000000000000004">
      <c r="A1104"/>
      <c r="B1104"/>
      <c r="C1104"/>
    </row>
    <row r="1105" spans="1:3" x14ac:dyDescent="0.55000000000000004">
      <c r="A1105"/>
      <c r="B1105"/>
      <c r="C1105"/>
    </row>
    <row r="1106" spans="1:3" x14ac:dyDescent="0.55000000000000004">
      <c r="A1106"/>
      <c r="B1106"/>
      <c r="C1106"/>
    </row>
    <row r="1107" spans="1:3" x14ac:dyDescent="0.55000000000000004">
      <c r="A1107"/>
      <c r="B1107"/>
      <c r="C1107"/>
    </row>
    <row r="1108" spans="1:3" x14ac:dyDescent="0.55000000000000004">
      <c r="A1108"/>
      <c r="B1108"/>
      <c r="C1108"/>
    </row>
    <row r="1109" spans="1:3" x14ac:dyDescent="0.55000000000000004">
      <c r="A1109"/>
      <c r="B1109"/>
      <c r="C1109"/>
    </row>
    <row r="1110" spans="1:3" x14ac:dyDescent="0.55000000000000004">
      <c r="A1110"/>
      <c r="B1110"/>
      <c r="C1110"/>
    </row>
    <row r="1111" spans="1:3" x14ac:dyDescent="0.55000000000000004">
      <c r="A1111"/>
      <c r="B1111"/>
      <c r="C1111"/>
    </row>
    <row r="1112" spans="1:3" x14ac:dyDescent="0.55000000000000004">
      <c r="A1112"/>
      <c r="B1112"/>
      <c r="C1112"/>
    </row>
    <row r="1113" spans="1:3" x14ac:dyDescent="0.55000000000000004">
      <c r="A1113"/>
      <c r="B1113"/>
      <c r="C1113"/>
    </row>
    <row r="1114" spans="1:3" x14ac:dyDescent="0.55000000000000004">
      <c r="A1114"/>
      <c r="B1114"/>
      <c r="C1114"/>
    </row>
    <row r="1115" spans="1:3" x14ac:dyDescent="0.55000000000000004">
      <c r="A1115"/>
      <c r="B1115"/>
      <c r="C1115"/>
    </row>
    <row r="1116" spans="1:3" x14ac:dyDescent="0.55000000000000004">
      <c r="A1116"/>
      <c r="B1116"/>
      <c r="C1116"/>
    </row>
    <row r="1117" spans="1:3" x14ac:dyDescent="0.55000000000000004">
      <c r="A1117"/>
      <c r="B1117"/>
      <c r="C1117"/>
    </row>
    <row r="1118" spans="1:3" x14ac:dyDescent="0.55000000000000004">
      <c r="A1118"/>
      <c r="B1118"/>
      <c r="C1118"/>
    </row>
    <row r="1119" spans="1:3" x14ac:dyDescent="0.55000000000000004">
      <c r="A1119"/>
      <c r="B1119"/>
      <c r="C1119"/>
    </row>
    <row r="1120" spans="1:3" x14ac:dyDescent="0.55000000000000004">
      <c r="A1120"/>
      <c r="B1120"/>
      <c r="C1120"/>
    </row>
    <row r="1121" spans="1:3" x14ac:dyDescent="0.55000000000000004">
      <c r="A1121"/>
      <c r="B1121"/>
      <c r="C1121"/>
    </row>
    <row r="1122" spans="1:3" x14ac:dyDescent="0.55000000000000004">
      <c r="A1122"/>
      <c r="B1122"/>
      <c r="C1122"/>
    </row>
    <row r="1123" spans="1:3" x14ac:dyDescent="0.55000000000000004">
      <c r="A1123"/>
      <c r="B1123"/>
      <c r="C1123"/>
    </row>
    <row r="1124" spans="1:3" x14ac:dyDescent="0.55000000000000004">
      <c r="A1124"/>
      <c r="B1124"/>
      <c r="C1124"/>
    </row>
    <row r="1125" spans="1:3" x14ac:dyDescent="0.55000000000000004">
      <c r="A1125"/>
      <c r="B1125"/>
      <c r="C1125"/>
    </row>
    <row r="1126" spans="1:3" x14ac:dyDescent="0.55000000000000004">
      <c r="A1126"/>
      <c r="B1126"/>
      <c r="C1126"/>
    </row>
    <row r="1127" spans="1:3" x14ac:dyDescent="0.55000000000000004">
      <c r="A1127"/>
      <c r="B1127"/>
      <c r="C1127"/>
    </row>
    <row r="1128" spans="1:3" x14ac:dyDescent="0.55000000000000004">
      <c r="A1128"/>
      <c r="B1128"/>
      <c r="C1128"/>
    </row>
    <row r="1129" spans="1:3" x14ac:dyDescent="0.55000000000000004">
      <c r="A1129"/>
      <c r="B1129"/>
      <c r="C1129"/>
    </row>
    <row r="1130" spans="1:3" x14ac:dyDescent="0.55000000000000004">
      <c r="A1130"/>
      <c r="B1130"/>
      <c r="C1130"/>
    </row>
    <row r="1131" spans="1:3" x14ac:dyDescent="0.55000000000000004">
      <c r="A1131"/>
      <c r="B1131"/>
      <c r="C1131"/>
    </row>
    <row r="1132" spans="1:3" x14ac:dyDescent="0.55000000000000004">
      <c r="A1132"/>
      <c r="B1132"/>
      <c r="C1132"/>
    </row>
    <row r="1133" spans="1:3" x14ac:dyDescent="0.55000000000000004">
      <c r="A1133"/>
      <c r="B1133"/>
      <c r="C1133"/>
    </row>
    <row r="1134" spans="1:3" x14ac:dyDescent="0.55000000000000004">
      <c r="A1134"/>
      <c r="B1134"/>
      <c r="C1134"/>
    </row>
    <row r="1135" spans="1:3" x14ac:dyDescent="0.55000000000000004">
      <c r="A1135"/>
      <c r="B1135"/>
      <c r="C1135"/>
    </row>
    <row r="1136" spans="1:3" x14ac:dyDescent="0.55000000000000004">
      <c r="A1136"/>
      <c r="B1136"/>
      <c r="C1136"/>
    </row>
    <row r="1137" spans="1:3" x14ac:dyDescent="0.55000000000000004">
      <c r="A1137"/>
      <c r="B1137"/>
      <c r="C1137"/>
    </row>
    <row r="1138" spans="1:3" x14ac:dyDescent="0.55000000000000004">
      <c r="A1138"/>
      <c r="B1138"/>
      <c r="C1138"/>
    </row>
    <row r="1139" spans="1:3" x14ac:dyDescent="0.55000000000000004">
      <c r="A1139"/>
      <c r="B1139"/>
      <c r="C1139"/>
    </row>
    <row r="1140" spans="1:3" x14ac:dyDescent="0.55000000000000004">
      <c r="A1140"/>
      <c r="B1140"/>
      <c r="C1140"/>
    </row>
    <row r="1141" spans="1:3" x14ac:dyDescent="0.55000000000000004">
      <c r="A1141"/>
      <c r="B1141"/>
      <c r="C1141"/>
    </row>
    <row r="1142" spans="1:3" x14ac:dyDescent="0.55000000000000004">
      <c r="A1142"/>
      <c r="B1142"/>
      <c r="C1142"/>
    </row>
    <row r="1143" spans="1:3" x14ac:dyDescent="0.55000000000000004">
      <c r="A1143"/>
      <c r="B1143"/>
      <c r="C1143"/>
    </row>
    <row r="1144" spans="1:3" x14ac:dyDescent="0.55000000000000004">
      <c r="A1144"/>
      <c r="B1144"/>
      <c r="C1144"/>
    </row>
    <row r="1145" spans="1:3" x14ac:dyDescent="0.55000000000000004">
      <c r="A1145"/>
      <c r="B1145"/>
      <c r="C1145"/>
    </row>
    <row r="1146" spans="1:3" x14ac:dyDescent="0.55000000000000004">
      <c r="A1146"/>
      <c r="B1146"/>
      <c r="C1146"/>
    </row>
    <row r="1147" spans="1:3" x14ac:dyDescent="0.55000000000000004">
      <c r="A1147"/>
      <c r="B1147"/>
      <c r="C1147"/>
    </row>
    <row r="1148" spans="1:3" x14ac:dyDescent="0.55000000000000004">
      <c r="A1148"/>
      <c r="B1148"/>
      <c r="C1148"/>
    </row>
    <row r="1149" spans="1:3" x14ac:dyDescent="0.55000000000000004">
      <c r="A1149"/>
      <c r="B1149"/>
      <c r="C1149"/>
    </row>
    <row r="1150" spans="1:3" x14ac:dyDescent="0.55000000000000004">
      <c r="A1150"/>
      <c r="B1150"/>
      <c r="C1150"/>
    </row>
    <row r="1151" spans="1:3" x14ac:dyDescent="0.55000000000000004">
      <c r="A1151"/>
      <c r="B1151"/>
      <c r="C1151"/>
    </row>
    <row r="1152" spans="1:3" x14ac:dyDescent="0.55000000000000004">
      <c r="A1152"/>
      <c r="B1152"/>
      <c r="C1152"/>
    </row>
    <row r="1153" spans="1:3" x14ac:dyDescent="0.55000000000000004">
      <c r="A1153"/>
      <c r="B1153"/>
      <c r="C1153"/>
    </row>
    <row r="1154" spans="1:3" x14ac:dyDescent="0.55000000000000004">
      <c r="A1154"/>
      <c r="B1154"/>
      <c r="C1154"/>
    </row>
    <row r="1155" spans="1:3" x14ac:dyDescent="0.55000000000000004">
      <c r="A1155"/>
      <c r="B1155"/>
      <c r="C1155"/>
    </row>
    <row r="1156" spans="1:3" x14ac:dyDescent="0.55000000000000004">
      <c r="A1156"/>
      <c r="B1156"/>
      <c r="C1156"/>
    </row>
    <row r="1157" spans="1:3" x14ac:dyDescent="0.55000000000000004">
      <c r="A1157"/>
      <c r="B1157"/>
      <c r="C1157"/>
    </row>
    <row r="1158" spans="1:3" x14ac:dyDescent="0.55000000000000004">
      <c r="A1158"/>
      <c r="B1158"/>
      <c r="C1158"/>
    </row>
    <row r="1159" spans="1:3" x14ac:dyDescent="0.55000000000000004">
      <c r="A1159"/>
      <c r="B1159"/>
      <c r="C1159"/>
    </row>
    <row r="1160" spans="1:3" x14ac:dyDescent="0.55000000000000004">
      <c r="A1160"/>
      <c r="B1160"/>
      <c r="C1160"/>
    </row>
    <row r="1161" spans="1:3" x14ac:dyDescent="0.55000000000000004">
      <c r="A1161"/>
      <c r="B1161"/>
      <c r="C1161"/>
    </row>
    <row r="1162" spans="1:3" x14ac:dyDescent="0.55000000000000004">
      <c r="A1162"/>
      <c r="B1162"/>
      <c r="C1162"/>
    </row>
    <row r="1163" spans="1:3" x14ac:dyDescent="0.55000000000000004">
      <c r="A1163"/>
      <c r="B1163"/>
      <c r="C1163"/>
    </row>
    <row r="1164" spans="1:3" x14ac:dyDescent="0.55000000000000004">
      <c r="A1164"/>
      <c r="B1164"/>
      <c r="C1164"/>
    </row>
    <row r="1165" spans="1:3" x14ac:dyDescent="0.55000000000000004">
      <c r="A1165"/>
      <c r="B1165"/>
      <c r="C1165"/>
    </row>
    <row r="1166" spans="1:3" x14ac:dyDescent="0.55000000000000004">
      <c r="A1166"/>
      <c r="B1166"/>
      <c r="C1166"/>
    </row>
    <row r="1167" spans="1:3" x14ac:dyDescent="0.55000000000000004">
      <c r="A1167"/>
      <c r="B1167"/>
      <c r="C1167"/>
    </row>
    <row r="1168" spans="1:3" x14ac:dyDescent="0.55000000000000004">
      <c r="A1168"/>
      <c r="B1168"/>
      <c r="C1168"/>
    </row>
    <row r="1169" spans="1:3" x14ac:dyDescent="0.55000000000000004">
      <c r="A1169"/>
      <c r="B1169"/>
      <c r="C1169"/>
    </row>
    <row r="1170" spans="1:3" x14ac:dyDescent="0.55000000000000004">
      <c r="A1170"/>
      <c r="B1170"/>
      <c r="C1170"/>
    </row>
    <row r="1171" spans="1:3" x14ac:dyDescent="0.55000000000000004">
      <c r="A1171"/>
      <c r="B1171"/>
      <c r="C1171"/>
    </row>
    <row r="1172" spans="1:3" x14ac:dyDescent="0.55000000000000004">
      <c r="A1172"/>
      <c r="B1172"/>
      <c r="C1172"/>
    </row>
    <row r="1173" spans="1:3" x14ac:dyDescent="0.55000000000000004">
      <c r="A1173"/>
      <c r="B1173"/>
      <c r="C1173"/>
    </row>
    <row r="1174" spans="1:3" x14ac:dyDescent="0.55000000000000004">
      <c r="A1174"/>
      <c r="B1174"/>
      <c r="C1174"/>
    </row>
    <row r="1175" spans="1:3" x14ac:dyDescent="0.55000000000000004">
      <c r="A1175"/>
      <c r="B1175"/>
      <c r="C1175"/>
    </row>
    <row r="1176" spans="1:3" x14ac:dyDescent="0.55000000000000004">
      <c r="A1176"/>
      <c r="B1176"/>
      <c r="C1176"/>
    </row>
    <row r="1177" spans="1:3" x14ac:dyDescent="0.55000000000000004">
      <c r="A1177"/>
      <c r="B1177"/>
      <c r="C1177"/>
    </row>
    <row r="1178" spans="1:3" x14ac:dyDescent="0.55000000000000004">
      <c r="A1178"/>
      <c r="B1178"/>
      <c r="C1178"/>
    </row>
    <row r="1179" spans="1:3" x14ac:dyDescent="0.55000000000000004">
      <c r="A1179"/>
      <c r="B1179"/>
      <c r="C1179"/>
    </row>
    <row r="1180" spans="1:3" x14ac:dyDescent="0.55000000000000004">
      <c r="A1180"/>
      <c r="B1180"/>
      <c r="C1180"/>
    </row>
    <row r="1181" spans="1:3" x14ac:dyDescent="0.55000000000000004">
      <c r="A1181"/>
      <c r="B1181"/>
      <c r="C1181"/>
    </row>
    <row r="1182" spans="1:3" x14ac:dyDescent="0.55000000000000004">
      <c r="A1182"/>
      <c r="B1182"/>
      <c r="C1182"/>
    </row>
    <row r="1183" spans="1:3" x14ac:dyDescent="0.55000000000000004">
      <c r="A1183"/>
      <c r="B1183"/>
      <c r="C1183"/>
    </row>
    <row r="1184" spans="1:3" x14ac:dyDescent="0.55000000000000004">
      <c r="A1184"/>
      <c r="B1184"/>
      <c r="C1184"/>
    </row>
    <row r="1185" spans="1:3" x14ac:dyDescent="0.55000000000000004">
      <c r="A1185"/>
      <c r="B1185"/>
      <c r="C1185"/>
    </row>
    <row r="1186" spans="1:3" x14ac:dyDescent="0.55000000000000004">
      <c r="A1186"/>
      <c r="B1186"/>
      <c r="C1186"/>
    </row>
    <row r="1187" spans="1:3" x14ac:dyDescent="0.55000000000000004">
      <c r="A1187"/>
      <c r="B1187"/>
      <c r="C1187"/>
    </row>
    <row r="1188" spans="1:3" x14ac:dyDescent="0.55000000000000004">
      <c r="A1188"/>
      <c r="B1188"/>
      <c r="C1188"/>
    </row>
    <row r="1189" spans="1:3" x14ac:dyDescent="0.55000000000000004">
      <c r="A1189"/>
      <c r="B1189"/>
      <c r="C1189"/>
    </row>
    <row r="1190" spans="1:3" x14ac:dyDescent="0.55000000000000004">
      <c r="A1190"/>
      <c r="B1190"/>
      <c r="C1190"/>
    </row>
    <row r="1191" spans="1:3" x14ac:dyDescent="0.55000000000000004">
      <c r="A1191"/>
      <c r="B1191"/>
      <c r="C1191"/>
    </row>
    <row r="1192" spans="1:3" x14ac:dyDescent="0.55000000000000004">
      <c r="A1192"/>
      <c r="B1192"/>
      <c r="C1192"/>
    </row>
    <row r="1193" spans="1:3" x14ac:dyDescent="0.55000000000000004">
      <c r="A1193"/>
      <c r="B1193"/>
      <c r="C1193"/>
    </row>
    <row r="1194" spans="1:3" x14ac:dyDescent="0.55000000000000004">
      <c r="A1194"/>
      <c r="B1194"/>
      <c r="C1194"/>
    </row>
    <row r="1195" spans="1:3" x14ac:dyDescent="0.55000000000000004">
      <c r="A1195"/>
      <c r="B1195"/>
      <c r="C1195"/>
    </row>
    <row r="1196" spans="1:3" x14ac:dyDescent="0.55000000000000004">
      <c r="A1196"/>
      <c r="B1196"/>
      <c r="C1196"/>
    </row>
    <row r="1197" spans="1:3" x14ac:dyDescent="0.55000000000000004">
      <c r="A1197"/>
      <c r="B1197"/>
      <c r="C1197"/>
    </row>
    <row r="1198" spans="1:3" x14ac:dyDescent="0.55000000000000004">
      <c r="A1198"/>
      <c r="B1198"/>
      <c r="C1198"/>
    </row>
    <row r="1199" spans="1:3" x14ac:dyDescent="0.55000000000000004">
      <c r="A1199"/>
      <c r="B1199"/>
      <c r="C1199"/>
    </row>
    <row r="1200" spans="1:3" x14ac:dyDescent="0.55000000000000004">
      <c r="A1200"/>
      <c r="B1200"/>
      <c r="C1200"/>
    </row>
    <row r="1201" spans="1:3" x14ac:dyDescent="0.55000000000000004">
      <c r="A1201"/>
      <c r="B1201"/>
      <c r="C1201"/>
    </row>
    <row r="1202" spans="1:3" x14ac:dyDescent="0.55000000000000004">
      <c r="A1202"/>
      <c r="B1202"/>
      <c r="C1202"/>
    </row>
    <row r="1203" spans="1:3" x14ac:dyDescent="0.55000000000000004">
      <c r="A1203"/>
      <c r="B1203"/>
      <c r="C1203"/>
    </row>
    <row r="1204" spans="1:3" x14ac:dyDescent="0.55000000000000004">
      <c r="A1204"/>
      <c r="B1204"/>
      <c r="C1204"/>
    </row>
    <row r="1205" spans="1:3" x14ac:dyDescent="0.55000000000000004">
      <c r="A1205"/>
      <c r="B1205"/>
      <c r="C1205"/>
    </row>
    <row r="1206" spans="1:3" x14ac:dyDescent="0.55000000000000004">
      <c r="A1206"/>
      <c r="B1206"/>
      <c r="C1206"/>
    </row>
    <row r="1207" spans="1:3" x14ac:dyDescent="0.55000000000000004">
      <c r="A1207"/>
      <c r="B1207"/>
      <c r="C1207"/>
    </row>
    <row r="1208" spans="1:3" x14ac:dyDescent="0.55000000000000004">
      <c r="A1208"/>
      <c r="B1208"/>
      <c r="C1208"/>
    </row>
    <row r="1209" spans="1:3" x14ac:dyDescent="0.55000000000000004">
      <c r="A1209"/>
      <c r="B1209"/>
      <c r="C1209"/>
    </row>
    <row r="1210" spans="1:3" x14ac:dyDescent="0.55000000000000004">
      <c r="A1210"/>
      <c r="B1210"/>
      <c r="C1210"/>
    </row>
    <row r="1211" spans="1:3" x14ac:dyDescent="0.55000000000000004">
      <c r="A1211"/>
      <c r="B1211"/>
      <c r="C1211"/>
    </row>
    <row r="1212" spans="1:3" x14ac:dyDescent="0.55000000000000004">
      <c r="A1212"/>
      <c r="B1212"/>
      <c r="C1212"/>
    </row>
    <row r="1213" spans="1:3" x14ac:dyDescent="0.55000000000000004">
      <c r="A1213"/>
      <c r="B1213"/>
      <c r="C1213"/>
    </row>
    <row r="1214" spans="1:3" x14ac:dyDescent="0.55000000000000004">
      <c r="A1214"/>
      <c r="B1214"/>
      <c r="C1214"/>
    </row>
    <row r="1215" spans="1:3" x14ac:dyDescent="0.55000000000000004">
      <c r="A1215"/>
      <c r="B1215"/>
      <c r="C1215"/>
    </row>
    <row r="1216" spans="1:3" x14ac:dyDescent="0.55000000000000004">
      <c r="A1216"/>
      <c r="B1216"/>
      <c r="C1216"/>
    </row>
    <row r="1217" spans="1:3" x14ac:dyDescent="0.55000000000000004">
      <c r="A1217"/>
      <c r="B1217"/>
      <c r="C1217"/>
    </row>
    <row r="1218" spans="1:3" x14ac:dyDescent="0.55000000000000004">
      <c r="A1218"/>
      <c r="B1218"/>
      <c r="C1218"/>
    </row>
    <row r="1219" spans="1:3" x14ac:dyDescent="0.55000000000000004">
      <c r="A1219"/>
      <c r="B1219"/>
      <c r="C1219"/>
    </row>
    <row r="1220" spans="1:3" x14ac:dyDescent="0.55000000000000004">
      <c r="A1220"/>
      <c r="B1220"/>
      <c r="C1220"/>
    </row>
    <row r="1221" spans="1:3" x14ac:dyDescent="0.55000000000000004">
      <c r="A1221"/>
      <c r="B1221"/>
      <c r="C1221"/>
    </row>
    <row r="1222" spans="1:3" x14ac:dyDescent="0.55000000000000004">
      <c r="A1222"/>
      <c r="B1222"/>
      <c r="C1222"/>
    </row>
    <row r="1223" spans="1:3" x14ac:dyDescent="0.55000000000000004">
      <c r="A1223"/>
      <c r="B1223"/>
      <c r="C1223"/>
    </row>
    <row r="1224" spans="1:3" x14ac:dyDescent="0.55000000000000004">
      <c r="A1224"/>
      <c r="B1224"/>
      <c r="C1224"/>
    </row>
    <row r="1225" spans="1:3" x14ac:dyDescent="0.55000000000000004">
      <c r="A1225"/>
      <c r="B1225"/>
      <c r="C1225"/>
    </row>
    <row r="1226" spans="1:3" x14ac:dyDescent="0.55000000000000004">
      <c r="A1226"/>
      <c r="B1226"/>
      <c r="C1226"/>
    </row>
    <row r="1227" spans="1:3" x14ac:dyDescent="0.55000000000000004">
      <c r="A1227"/>
      <c r="B1227"/>
      <c r="C1227"/>
    </row>
    <row r="1228" spans="1:3" x14ac:dyDescent="0.55000000000000004">
      <c r="A1228"/>
      <c r="B1228"/>
      <c r="C1228"/>
    </row>
    <row r="1229" spans="1:3" x14ac:dyDescent="0.55000000000000004">
      <c r="A1229"/>
      <c r="B1229"/>
      <c r="C1229"/>
    </row>
    <row r="1230" spans="1:3" x14ac:dyDescent="0.55000000000000004">
      <c r="A1230"/>
      <c r="B1230"/>
      <c r="C1230"/>
    </row>
    <row r="1231" spans="1:3" x14ac:dyDescent="0.55000000000000004">
      <c r="A1231"/>
      <c r="B1231"/>
      <c r="C1231"/>
    </row>
    <row r="1232" spans="1:3" x14ac:dyDescent="0.55000000000000004">
      <c r="A1232"/>
      <c r="B1232"/>
      <c r="C1232"/>
    </row>
    <row r="1233" spans="1:3" x14ac:dyDescent="0.55000000000000004">
      <c r="A1233"/>
      <c r="B1233"/>
      <c r="C1233"/>
    </row>
    <row r="1234" spans="1:3" x14ac:dyDescent="0.55000000000000004">
      <c r="A1234"/>
      <c r="B1234"/>
      <c r="C1234"/>
    </row>
    <row r="1235" spans="1:3" x14ac:dyDescent="0.55000000000000004">
      <c r="A1235"/>
      <c r="B1235"/>
      <c r="C1235"/>
    </row>
    <row r="1236" spans="1:3" x14ac:dyDescent="0.55000000000000004">
      <c r="A1236"/>
      <c r="B1236"/>
      <c r="C1236"/>
    </row>
    <row r="1237" spans="1:3" x14ac:dyDescent="0.55000000000000004">
      <c r="A1237"/>
      <c r="B1237"/>
      <c r="C1237"/>
    </row>
    <row r="1238" spans="1:3" x14ac:dyDescent="0.55000000000000004">
      <c r="A1238"/>
      <c r="B1238"/>
      <c r="C1238"/>
    </row>
    <row r="1239" spans="1:3" x14ac:dyDescent="0.55000000000000004">
      <c r="A1239"/>
      <c r="B1239"/>
      <c r="C1239"/>
    </row>
    <row r="1240" spans="1:3" x14ac:dyDescent="0.55000000000000004">
      <c r="A1240"/>
      <c r="B1240"/>
      <c r="C1240"/>
    </row>
    <row r="1241" spans="1:3" x14ac:dyDescent="0.55000000000000004">
      <c r="A1241"/>
      <c r="B1241"/>
      <c r="C1241"/>
    </row>
    <row r="1242" spans="1:3" x14ac:dyDescent="0.55000000000000004">
      <c r="A1242"/>
      <c r="B1242"/>
      <c r="C1242"/>
    </row>
    <row r="1243" spans="1:3" x14ac:dyDescent="0.55000000000000004">
      <c r="A1243"/>
      <c r="B1243"/>
      <c r="C1243"/>
    </row>
    <row r="1244" spans="1:3" x14ac:dyDescent="0.55000000000000004">
      <c r="A1244"/>
      <c r="B1244"/>
      <c r="C1244"/>
    </row>
    <row r="1245" spans="1:3" x14ac:dyDescent="0.55000000000000004">
      <c r="A1245"/>
      <c r="B1245"/>
      <c r="C1245"/>
    </row>
    <row r="1246" spans="1:3" x14ac:dyDescent="0.55000000000000004">
      <c r="A1246"/>
      <c r="B1246"/>
      <c r="C1246"/>
    </row>
    <row r="1247" spans="1:3" x14ac:dyDescent="0.55000000000000004">
      <c r="A1247"/>
      <c r="B1247"/>
      <c r="C1247"/>
    </row>
    <row r="1248" spans="1:3" x14ac:dyDescent="0.55000000000000004">
      <c r="A1248"/>
      <c r="B1248"/>
      <c r="C1248"/>
    </row>
    <row r="1249" spans="1:3" x14ac:dyDescent="0.55000000000000004">
      <c r="A1249"/>
      <c r="B1249"/>
      <c r="C1249"/>
    </row>
    <row r="1250" spans="1:3" x14ac:dyDescent="0.55000000000000004">
      <c r="A1250"/>
      <c r="B1250"/>
      <c r="C1250"/>
    </row>
    <row r="1251" spans="1:3" x14ac:dyDescent="0.55000000000000004">
      <c r="A1251"/>
      <c r="B1251"/>
      <c r="C1251"/>
    </row>
    <row r="1252" spans="1:3" x14ac:dyDescent="0.55000000000000004">
      <c r="A1252"/>
      <c r="B1252"/>
      <c r="C1252"/>
    </row>
    <row r="1253" spans="1:3" x14ac:dyDescent="0.55000000000000004">
      <c r="A1253"/>
      <c r="B1253"/>
      <c r="C1253"/>
    </row>
    <row r="1254" spans="1:3" x14ac:dyDescent="0.55000000000000004">
      <c r="A1254"/>
      <c r="B1254"/>
      <c r="C1254"/>
    </row>
    <row r="1255" spans="1:3" x14ac:dyDescent="0.55000000000000004">
      <c r="A1255"/>
      <c r="B1255"/>
      <c r="C1255"/>
    </row>
    <row r="1256" spans="1:3" x14ac:dyDescent="0.55000000000000004">
      <c r="A1256"/>
      <c r="B1256"/>
      <c r="C1256"/>
    </row>
    <row r="1257" spans="1:3" x14ac:dyDescent="0.55000000000000004">
      <c r="A1257"/>
      <c r="B1257"/>
      <c r="C1257"/>
    </row>
    <row r="1258" spans="1:3" x14ac:dyDescent="0.55000000000000004">
      <c r="A1258"/>
      <c r="B1258"/>
      <c r="C1258"/>
    </row>
    <row r="1259" spans="1:3" x14ac:dyDescent="0.55000000000000004">
      <c r="A1259"/>
      <c r="B1259"/>
      <c r="C1259"/>
    </row>
    <row r="1260" spans="1:3" x14ac:dyDescent="0.55000000000000004">
      <c r="A1260"/>
      <c r="B1260"/>
      <c r="C1260"/>
    </row>
    <row r="1261" spans="1:3" x14ac:dyDescent="0.55000000000000004">
      <c r="A1261"/>
      <c r="B1261"/>
      <c r="C1261"/>
    </row>
    <row r="1262" spans="1:3" x14ac:dyDescent="0.55000000000000004">
      <c r="A1262"/>
      <c r="B1262"/>
      <c r="C1262"/>
    </row>
    <row r="1263" spans="1:3" x14ac:dyDescent="0.55000000000000004">
      <c r="A1263"/>
      <c r="B1263"/>
      <c r="C1263"/>
    </row>
    <row r="1264" spans="1:3" x14ac:dyDescent="0.55000000000000004">
      <c r="A1264"/>
      <c r="B1264"/>
      <c r="C1264"/>
    </row>
    <row r="1265" spans="1:3" x14ac:dyDescent="0.55000000000000004">
      <c r="A1265"/>
      <c r="B1265"/>
      <c r="C1265"/>
    </row>
    <row r="1266" spans="1:3" x14ac:dyDescent="0.55000000000000004">
      <c r="A1266"/>
      <c r="B1266"/>
      <c r="C1266"/>
    </row>
    <row r="1267" spans="1:3" x14ac:dyDescent="0.55000000000000004">
      <c r="A1267"/>
      <c r="B1267"/>
      <c r="C1267"/>
    </row>
    <row r="1268" spans="1:3" x14ac:dyDescent="0.55000000000000004">
      <c r="A1268"/>
      <c r="B1268"/>
      <c r="C1268"/>
    </row>
    <row r="1269" spans="1:3" x14ac:dyDescent="0.55000000000000004">
      <c r="A1269"/>
      <c r="B1269"/>
      <c r="C1269"/>
    </row>
    <row r="1270" spans="1:3" x14ac:dyDescent="0.55000000000000004">
      <c r="A1270"/>
      <c r="B1270"/>
      <c r="C1270"/>
    </row>
    <row r="1271" spans="1:3" x14ac:dyDescent="0.55000000000000004">
      <c r="A1271"/>
      <c r="B1271"/>
      <c r="C1271"/>
    </row>
    <row r="1272" spans="1:3" x14ac:dyDescent="0.55000000000000004">
      <c r="A1272"/>
      <c r="B1272"/>
      <c r="C1272"/>
    </row>
    <row r="1273" spans="1:3" x14ac:dyDescent="0.55000000000000004">
      <c r="A1273"/>
      <c r="B1273"/>
      <c r="C1273"/>
    </row>
    <row r="1274" spans="1:3" x14ac:dyDescent="0.55000000000000004">
      <c r="A1274"/>
      <c r="B1274"/>
      <c r="C1274"/>
    </row>
    <row r="1275" spans="1:3" x14ac:dyDescent="0.55000000000000004">
      <c r="A1275"/>
      <c r="B1275"/>
      <c r="C1275"/>
    </row>
    <row r="1276" spans="1:3" x14ac:dyDescent="0.55000000000000004">
      <c r="A1276"/>
      <c r="B1276"/>
      <c r="C1276"/>
    </row>
    <row r="1277" spans="1:3" x14ac:dyDescent="0.55000000000000004">
      <c r="A1277"/>
      <c r="B1277"/>
      <c r="C1277"/>
    </row>
    <row r="1278" spans="1:3" x14ac:dyDescent="0.55000000000000004">
      <c r="A1278"/>
      <c r="B1278"/>
      <c r="C1278"/>
    </row>
    <row r="1279" spans="1:3" x14ac:dyDescent="0.55000000000000004">
      <c r="A1279"/>
      <c r="B1279"/>
      <c r="C1279"/>
    </row>
    <row r="1280" spans="1:3" x14ac:dyDescent="0.55000000000000004">
      <c r="A1280"/>
      <c r="B1280"/>
      <c r="C1280"/>
    </row>
    <row r="1281" spans="1:3" x14ac:dyDescent="0.55000000000000004">
      <c r="A1281"/>
      <c r="B1281"/>
      <c r="C1281"/>
    </row>
    <row r="1282" spans="1:3" x14ac:dyDescent="0.55000000000000004">
      <c r="A1282"/>
      <c r="B1282"/>
      <c r="C1282"/>
    </row>
    <row r="1283" spans="1:3" x14ac:dyDescent="0.55000000000000004">
      <c r="A1283"/>
      <c r="B1283"/>
      <c r="C1283"/>
    </row>
    <row r="1284" spans="1:3" x14ac:dyDescent="0.55000000000000004">
      <c r="A1284"/>
      <c r="B1284"/>
      <c r="C1284"/>
    </row>
    <row r="1285" spans="1:3" x14ac:dyDescent="0.55000000000000004">
      <c r="A1285"/>
      <c r="B1285"/>
      <c r="C1285"/>
    </row>
    <row r="1286" spans="1:3" x14ac:dyDescent="0.55000000000000004">
      <c r="A1286"/>
      <c r="B1286"/>
      <c r="C1286"/>
    </row>
    <row r="1287" spans="1:3" x14ac:dyDescent="0.55000000000000004">
      <c r="A1287"/>
      <c r="B1287"/>
      <c r="C1287"/>
    </row>
    <row r="1288" spans="1:3" x14ac:dyDescent="0.55000000000000004">
      <c r="A1288"/>
      <c r="B1288"/>
      <c r="C1288"/>
    </row>
    <row r="1289" spans="1:3" x14ac:dyDescent="0.55000000000000004">
      <c r="A1289"/>
      <c r="B1289"/>
      <c r="C1289"/>
    </row>
    <row r="1290" spans="1:3" x14ac:dyDescent="0.55000000000000004">
      <c r="A1290"/>
      <c r="B1290"/>
      <c r="C1290"/>
    </row>
    <row r="1291" spans="1:3" x14ac:dyDescent="0.55000000000000004">
      <c r="A1291"/>
      <c r="B1291"/>
      <c r="C1291"/>
    </row>
    <row r="1292" spans="1:3" x14ac:dyDescent="0.55000000000000004">
      <c r="A1292"/>
      <c r="B1292"/>
      <c r="C1292"/>
    </row>
    <row r="1293" spans="1:3" x14ac:dyDescent="0.55000000000000004">
      <c r="A1293"/>
      <c r="B1293"/>
      <c r="C1293"/>
    </row>
    <row r="1294" spans="1:3" x14ac:dyDescent="0.55000000000000004">
      <c r="A1294"/>
      <c r="B1294"/>
      <c r="C1294"/>
    </row>
    <row r="1295" spans="1:3" x14ac:dyDescent="0.55000000000000004">
      <c r="A1295"/>
      <c r="B1295"/>
      <c r="C1295"/>
    </row>
    <row r="1296" spans="1:3" x14ac:dyDescent="0.55000000000000004">
      <c r="A1296"/>
      <c r="B1296"/>
      <c r="C1296"/>
    </row>
    <row r="1297" spans="1:3" x14ac:dyDescent="0.55000000000000004">
      <c r="A1297"/>
      <c r="B1297"/>
      <c r="C1297"/>
    </row>
    <row r="1298" spans="1:3" x14ac:dyDescent="0.55000000000000004">
      <c r="A1298"/>
      <c r="B1298"/>
      <c r="C1298"/>
    </row>
    <row r="1299" spans="1:3" x14ac:dyDescent="0.55000000000000004">
      <c r="A1299"/>
      <c r="B1299"/>
      <c r="C1299"/>
    </row>
    <row r="1300" spans="1:3" x14ac:dyDescent="0.55000000000000004">
      <c r="A1300"/>
      <c r="B1300"/>
      <c r="C1300"/>
    </row>
    <row r="1301" spans="1:3" x14ac:dyDescent="0.55000000000000004">
      <c r="A1301"/>
      <c r="B1301"/>
      <c r="C1301"/>
    </row>
    <row r="1302" spans="1:3" x14ac:dyDescent="0.55000000000000004">
      <c r="A1302"/>
      <c r="B1302"/>
      <c r="C1302"/>
    </row>
    <row r="1303" spans="1:3" x14ac:dyDescent="0.55000000000000004">
      <c r="A1303"/>
      <c r="B1303"/>
      <c r="C1303"/>
    </row>
    <row r="1304" spans="1:3" x14ac:dyDescent="0.55000000000000004">
      <c r="A1304"/>
      <c r="B1304"/>
      <c r="C1304"/>
    </row>
    <row r="1305" spans="1:3" x14ac:dyDescent="0.55000000000000004">
      <c r="A1305"/>
      <c r="B1305"/>
      <c r="C1305"/>
    </row>
    <row r="1306" spans="1:3" x14ac:dyDescent="0.55000000000000004">
      <c r="A1306"/>
      <c r="B1306"/>
      <c r="C1306"/>
    </row>
    <row r="1307" spans="1:3" x14ac:dyDescent="0.55000000000000004">
      <c r="A1307"/>
      <c r="B1307"/>
      <c r="C1307"/>
    </row>
    <row r="1308" spans="1:3" x14ac:dyDescent="0.55000000000000004">
      <c r="A1308"/>
      <c r="B1308"/>
      <c r="C1308"/>
    </row>
    <row r="1309" spans="1:3" x14ac:dyDescent="0.55000000000000004">
      <c r="A1309"/>
      <c r="B1309"/>
      <c r="C1309"/>
    </row>
    <row r="1310" spans="1:3" x14ac:dyDescent="0.55000000000000004">
      <c r="A1310"/>
      <c r="B1310"/>
      <c r="C1310"/>
    </row>
    <row r="1311" spans="1:3" x14ac:dyDescent="0.55000000000000004">
      <c r="A1311"/>
      <c r="B1311"/>
      <c r="C1311"/>
    </row>
    <row r="1312" spans="1:3" x14ac:dyDescent="0.55000000000000004">
      <c r="A1312"/>
      <c r="B1312"/>
      <c r="C1312"/>
    </row>
    <row r="1313" spans="1:3" x14ac:dyDescent="0.55000000000000004">
      <c r="A1313"/>
      <c r="B1313"/>
      <c r="C1313"/>
    </row>
    <row r="1314" spans="1:3" x14ac:dyDescent="0.55000000000000004">
      <c r="A1314"/>
      <c r="B1314"/>
      <c r="C1314"/>
    </row>
    <row r="1315" spans="1:3" x14ac:dyDescent="0.55000000000000004">
      <c r="A1315"/>
      <c r="B1315"/>
      <c r="C1315"/>
    </row>
    <row r="1316" spans="1:3" x14ac:dyDescent="0.55000000000000004">
      <c r="A1316"/>
      <c r="B1316"/>
      <c r="C1316"/>
    </row>
    <row r="1317" spans="1:3" x14ac:dyDescent="0.55000000000000004">
      <c r="A1317"/>
      <c r="B1317"/>
      <c r="C1317"/>
    </row>
    <row r="1318" spans="1:3" x14ac:dyDescent="0.55000000000000004">
      <c r="A1318"/>
      <c r="B1318"/>
      <c r="C1318"/>
    </row>
    <row r="1319" spans="1:3" x14ac:dyDescent="0.55000000000000004">
      <c r="A1319"/>
      <c r="B1319"/>
      <c r="C1319"/>
    </row>
    <row r="1320" spans="1:3" x14ac:dyDescent="0.55000000000000004">
      <c r="A1320"/>
      <c r="B1320"/>
      <c r="C1320"/>
    </row>
    <row r="1321" spans="1:3" x14ac:dyDescent="0.55000000000000004">
      <c r="A1321"/>
      <c r="B1321"/>
      <c r="C1321"/>
    </row>
    <row r="1322" spans="1:3" x14ac:dyDescent="0.55000000000000004">
      <c r="A1322"/>
      <c r="B1322"/>
      <c r="C1322"/>
    </row>
    <row r="1323" spans="1:3" x14ac:dyDescent="0.55000000000000004">
      <c r="A1323"/>
      <c r="B1323"/>
      <c r="C1323"/>
    </row>
    <row r="1324" spans="1:3" x14ac:dyDescent="0.55000000000000004">
      <c r="A1324"/>
      <c r="B1324"/>
      <c r="C1324"/>
    </row>
    <row r="1325" spans="1:3" x14ac:dyDescent="0.55000000000000004">
      <c r="A1325"/>
      <c r="B1325"/>
      <c r="C1325"/>
    </row>
    <row r="1326" spans="1:3" x14ac:dyDescent="0.55000000000000004">
      <c r="A1326"/>
      <c r="B1326"/>
      <c r="C1326"/>
    </row>
    <row r="1327" spans="1:3" x14ac:dyDescent="0.55000000000000004">
      <c r="A1327"/>
      <c r="B1327"/>
      <c r="C1327"/>
    </row>
    <row r="1328" spans="1:3" x14ac:dyDescent="0.55000000000000004">
      <c r="A1328"/>
      <c r="B1328"/>
      <c r="C1328"/>
    </row>
    <row r="1329" spans="1:3" x14ac:dyDescent="0.55000000000000004">
      <c r="A1329"/>
      <c r="B1329"/>
      <c r="C1329"/>
    </row>
    <row r="1330" spans="1:3" x14ac:dyDescent="0.55000000000000004">
      <c r="A1330"/>
      <c r="B1330"/>
      <c r="C1330"/>
    </row>
    <row r="1331" spans="1:3" x14ac:dyDescent="0.55000000000000004">
      <c r="A1331"/>
      <c r="B1331"/>
      <c r="C1331"/>
    </row>
    <row r="1332" spans="1:3" x14ac:dyDescent="0.55000000000000004">
      <c r="A1332"/>
      <c r="B1332"/>
      <c r="C1332"/>
    </row>
    <row r="1333" spans="1:3" x14ac:dyDescent="0.55000000000000004">
      <c r="A1333"/>
      <c r="B1333"/>
      <c r="C1333"/>
    </row>
    <row r="1334" spans="1:3" x14ac:dyDescent="0.55000000000000004">
      <c r="A1334"/>
      <c r="B1334"/>
      <c r="C1334"/>
    </row>
    <row r="1335" spans="1:3" x14ac:dyDescent="0.55000000000000004">
      <c r="A1335"/>
      <c r="B1335"/>
      <c r="C1335"/>
    </row>
    <row r="1336" spans="1:3" x14ac:dyDescent="0.55000000000000004">
      <c r="A1336"/>
      <c r="B1336"/>
      <c r="C1336"/>
    </row>
    <row r="1337" spans="1:3" x14ac:dyDescent="0.55000000000000004">
      <c r="A1337"/>
      <c r="B1337"/>
      <c r="C1337"/>
    </row>
    <row r="1338" spans="1:3" x14ac:dyDescent="0.55000000000000004">
      <c r="A1338"/>
      <c r="B1338"/>
      <c r="C1338"/>
    </row>
    <row r="1339" spans="1:3" x14ac:dyDescent="0.55000000000000004">
      <c r="A1339"/>
      <c r="B1339"/>
      <c r="C1339"/>
    </row>
    <row r="1340" spans="1:3" x14ac:dyDescent="0.55000000000000004">
      <c r="A1340"/>
      <c r="B1340"/>
      <c r="C1340"/>
    </row>
    <row r="1341" spans="1:3" x14ac:dyDescent="0.55000000000000004">
      <c r="A1341"/>
      <c r="B1341"/>
      <c r="C1341"/>
    </row>
    <row r="1342" spans="1:3" x14ac:dyDescent="0.55000000000000004">
      <c r="A1342"/>
      <c r="B1342"/>
      <c r="C1342"/>
    </row>
    <row r="1343" spans="1:3" x14ac:dyDescent="0.55000000000000004">
      <c r="A1343"/>
      <c r="B1343"/>
      <c r="C1343"/>
    </row>
    <row r="1344" spans="1:3" x14ac:dyDescent="0.55000000000000004">
      <c r="A1344"/>
      <c r="B1344"/>
      <c r="C1344"/>
    </row>
    <row r="1345" spans="1:3" x14ac:dyDescent="0.55000000000000004">
      <c r="A1345"/>
      <c r="B1345"/>
      <c r="C1345"/>
    </row>
    <row r="1346" spans="1:3" x14ac:dyDescent="0.55000000000000004">
      <c r="A1346"/>
      <c r="B1346"/>
      <c r="C1346"/>
    </row>
    <row r="1347" spans="1:3" x14ac:dyDescent="0.55000000000000004">
      <c r="A1347"/>
      <c r="B1347"/>
      <c r="C1347"/>
    </row>
    <row r="1348" spans="1:3" x14ac:dyDescent="0.55000000000000004">
      <c r="A1348"/>
      <c r="B1348"/>
      <c r="C1348"/>
    </row>
    <row r="1349" spans="1:3" x14ac:dyDescent="0.55000000000000004">
      <c r="A1349"/>
      <c r="B1349"/>
      <c r="C1349"/>
    </row>
    <row r="1350" spans="1:3" x14ac:dyDescent="0.55000000000000004">
      <c r="A1350"/>
      <c r="B1350"/>
      <c r="C1350"/>
    </row>
    <row r="1351" spans="1:3" x14ac:dyDescent="0.55000000000000004">
      <c r="A1351"/>
      <c r="B1351"/>
      <c r="C1351"/>
    </row>
    <row r="1352" spans="1:3" x14ac:dyDescent="0.55000000000000004">
      <c r="A1352"/>
      <c r="B1352"/>
      <c r="C1352"/>
    </row>
    <row r="1353" spans="1:3" x14ac:dyDescent="0.55000000000000004">
      <c r="A1353"/>
      <c r="B1353"/>
      <c r="C1353"/>
    </row>
    <row r="1354" spans="1:3" x14ac:dyDescent="0.55000000000000004">
      <c r="A1354"/>
      <c r="B1354"/>
      <c r="C1354"/>
    </row>
    <row r="1355" spans="1:3" x14ac:dyDescent="0.55000000000000004">
      <c r="A1355"/>
      <c r="B1355"/>
      <c r="C1355"/>
    </row>
    <row r="1356" spans="1:3" x14ac:dyDescent="0.55000000000000004">
      <c r="A1356"/>
      <c r="B1356"/>
      <c r="C1356"/>
    </row>
    <row r="1357" spans="1:3" x14ac:dyDescent="0.55000000000000004">
      <c r="A1357"/>
      <c r="B1357"/>
      <c r="C1357"/>
    </row>
    <row r="1358" spans="1:3" x14ac:dyDescent="0.55000000000000004">
      <c r="A1358"/>
      <c r="B1358"/>
      <c r="C1358"/>
    </row>
    <row r="1359" spans="1:3" x14ac:dyDescent="0.55000000000000004">
      <c r="A1359"/>
      <c r="B1359"/>
      <c r="C1359"/>
    </row>
    <row r="1360" spans="1:3" x14ac:dyDescent="0.55000000000000004">
      <c r="A1360"/>
      <c r="B1360"/>
      <c r="C1360"/>
    </row>
    <row r="1361" spans="1:3" x14ac:dyDescent="0.55000000000000004">
      <c r="A1361"/>
      <c r="B1361"/>
      <c r="C1361"/>
    </row>
    <row r="1362" spans="1:3" x14ac:dyDescent="0.55000000000000004">
      <c r="A1362"/>
      <c r="B1362"/>
      <c r="C1362"/>
    </row>
    <row r="1363" spans="1:3" x14ac:dyDescent="0.55000000000000004">
      <c r="A1363"/>
      <c r="B1363"/>
      <c r="C1363"/>
    </row>
    <row r="1364" spans="1:3" x14ac:dyDescent="0.55000000000000004">
      <c r="A1364"/>
      <c r="B1364"/>
      <c r="C1364"/>
    </row>
    <row r="1365" spans="1:3" x14ac:dyDescent="0.55000000000000004">
      <c r="A1365"/>
      <c r="B1365"/>
      <c r="C1365"/>
    </row>
    <row r="1366" spans="1:3" x14ac:dyDescent="0.55000000000000004">
      <c r="A1366"/>
      <c r="B1366"/>
      <c r="C1366"/>
    </row>
    <row r="1367" spans="1:3" x14ac:dyDescent="0.55000000000000004">
      <c r="A1367"/>
      <c r="B1367"/>
      <c r="C1367"/>
    </row>
    <row r="1368" spans="1:3" x14ac:dyDescent="0.55000000000000004">
      <c r="A1368"/>
      <c r="B1368"/>
      <c r="C1368"/>
    </row>
    <row r="1369" spans="1:3" x14ac:dyDescent="0.55000000000000004">
      <c r="A1369"/>
      <c r="B1369"/>
      <c r="C1369"/>
    </row>
    <row r="1370" spans="1:3" x14ac:dyDescent="0.55000000000000004">
      <c r="A1370"/>
      <c r="B1370"/>
      <c r="C1370"/>
    </row>
    <row r="1371" spans="1:3" x14ac:dyDescent="0.55000000000000004">
      <c r="A1371"/>
      <c r="B1371"/>
      <c r="C1371"/>
    </row>
    <row r="1372" spans="1:3" x14ac:dyDescent="0.55000000000000004">
      <c r="A1372"/>
      <c r="B1372"/>
      <c r="C1372"/>
    </row>
    <row r="1373" spans="1:3" x14ac:dyDescent="0.55000000000000004">
      <c r="A1373"/>
      <c r="B1373"/>
      <c r="C1373"/>
    </row>
    <row r="1374" spans="1:3" x14ac:dyDescent="0.55000000000000004">
      <c r="A1374"/>
      <c r="B1374"/>
      <c r="C1374"/>
    </row>
    <row r="1375" spans="1:3" x14ac:dyDescent="0.55000000000000004">
      <c r="A1375"/>
      <c r="B1375"/>
      <c r="C1375"/>
    </row>
    <row r="1376" spans="1:3" x14ac:dyDescent="0.55000000000000004">
      <c r="A1376"/>
      <c r="B1376"/>
      <c r="C1376"/>
    </row>
    <row r="1377" spans="1:3" x14ac:dyDescent="0.55000000000000004">
      <c r="A1377"/>
      <c r="B1377"/>
      <c r="C1377"/>
    </row>
    <row r="1378" spans="1:3" x14ac:dyDescent="0.55000000000000004">
      <c r="A1378"/>
      <c r="B1378"/>
      <c r="C1378"/>
    </row>
    <row r="1379" spans="1:3" x14ac:dyDescent="0.55000000000000004">
      <c r="A1379"/>
      <c r="B1379"/>
      <c r="C1379"/>
    </row>
    <row r="1380" spans="1:3" x14ac:dyDescent="0.55000000000000004">
      <c r="A1380"/>
      <c r="B1380"/>
      <c r="C1380"/>
    </row>
    <row r="1381" spans="1:3" x14ac:dyDescent="0.55000000000000004">
      <c r="A1381"/>
      <c r="B1381"/>
      <c r="C1381"/>
    </row>
    <row r="1382" spans="1:3" x14ac:dyDescent="0.55000000000000004">
      <c r="A1382"/>
      <c r="B1382"/>
      <c r="C1382"/>
    </row>
    <row r="1383" spans="1:3" x14ac:dyDescent="0.55000000000000004">
      <c r="A1383"/>
      <c r="B1383"/>
      <c r="C1383"/>
    </row>
    <row r="1384" spans="1:3" x14ac:dyDescent="0.55000000000000004">
      <c r="A1384"/>
      <c r="B1384"/>
      <c r="C1384"/>
    </row>
    <row r="1385" spans="1:3" x14ac:dyDescent="0.55000000000000004">
      <c r="A1385"/>
      <c r="B1385"/>
      <c r="C1385"/>
    </row>
    <row r="1386" spans="1:3" x14ac:dyDescent="0.55000000000000004">
      <c r="A1386"/>
      <c r="B1386"/>
      <c r="C1386"/>
    </row>
    <row r="1387" spans="1:3" x14ac:dyDescent="0.55000000000000004">
      <c r="A1387"/>
      <c r="B1387"/>
      <c r="C1387"/>
    </row>
    <row r="1388" spans="1:3" x14ac:dyDescent="0.55000000000000004">
      <c r="A1388"/>
      <c r="B1388"/>
      <c r="C1388"/>
    </row>
    <row r="1389" spans="1:3" x14ac:dyDescent="0.55000000000000004">
      <c r="A1389"/>
      <c r="B1389"/>
      <c r="C1389"/>
    </row>
    <row r="1390" spans="1:3" x14ac:dyDescent="0.55000000000000004">
      <c r="A1390"/>
      <c r="B1390"/>
      <c r="C1390"/>
    </row>
    <row r="1391" spans="1:3" x14ac:dyDescent="0.55000000000000004">
      <c r="A1391"/>
      <c r="B1391"/>
      <c r="C1391"/>
    </row>
    <row r="1392" spans="1:3" x14ac:dyDescent="0.55000000000000004">
      <c r="A1392"/>
      <c r="B1392"/>
      <c r="C1392"/>
    </row>
    <row r="1393" spans="1:3" x14ac:dyDescent="0.55000000000000004">
      <c r="A1393"/>
      <c r="B1393"/>
      <c r="C1393"/>
    </row>
    <row r="1394" spans="1:3" x14ac:dyDescent="0.55000000000000004">
      <c r="A1394"/>
      <c r="B1394"/>
      <c r="C1394"/>
    </row>
    <row r="1395" spans="1:3" x14ac:dyDescent="0.55000000000000004">
      <c r="A1395"/>
      <c r="B1395"/>
      <c r="C1395"/>
    </row>
    <row r="1396" spans="1:3" x14ac:dyDescent="0.55000000000000004">
      <c r="A1396"/>
      <c r="B1396"/>
      <c r="C1396"/>
    </row>
    <row r="1397" spans="1:3" x14ac:dyDescent="0.55000000000000004">
      <c r="A1397"/>
      <c r="B1397"/>
      <c r="C1397"/>
    </row>
    <row r="1398" spans="1:3" x14ac:dyDescent="0.55000000000000004">
      <c r="A1398"/>
      <c r="B1398"/>
      <c r="C1398"/>
    </row>
    <row r="1399" spans="1:3" x14ac:dyDescent="0.55000000000000004">
      <c r="A1399"/>
      <c r="B1399"/>
      <c r="C1399"/>
    </row>
    <row r="1400" spans="1:3" x14ac:dyDescent="0.55000000000000004">
      <c r="A1400"/>
      <c r="B1400"/>
      <c r="C1400"/>
    </row>
    <row r="1401" spans="1:3" x14ac:dyDescent="0.55000000000000004">
      <c r="A1401"/>
      <c r="B1401"/>
      <c r="C1401"/>
    </row>
    <row r="1402" spans="1:3" x14ac:dyDescent="0.55000000000000004">
      <c r="A1402"/>
      <c r="B1402"/>
      <c r="C1402"/>
    </row>
    <row r="1403" spans="1:3" x14ac:dyDescent="0.55000000000000004">
      <c r="A1403"/>
      <c r="B1403"/>
      <c r="C1403"/>
    </row>
    <row r="1404" spans="1:3" x14ac:dyDescent="0.55000000000000004">
      <c r="A1404"/>
      <c r="B1404"/>
      <c r="C1404"/>
    </row>
    <row r="1405" spans="1:3" x14ac:dyDescent="0.55000000000000004">
      <c r="A1405"/>
      <c r="B1405"/>
      <c r="C1405"/>
    </row>
    <row r="1406" spans="1:3" x14ac:dyDescent="0.55000000000000004">
      <c r="A1406"/>
      <c r="B1406"/>
      <c r="C1406"/>
    </row>
    <row r="1407" spans="1:3" x14ac:dyDescent="0.55000000000000004">
      <c r="A1407"/>
      <c r="B1407"/>
      <c r="C1407"/>
    </row>
    <row r="1408" spans="1:3" x14ac:dyDescent="0.55000000000000004">
      <c r="A1408"/>
      <c r="B1408"/>
      <c r="C1408"/>
    </row>
    <row r="1409" spans="1:3" x14ac:dyDescent="0.55000000000000004">
      <c r="A1409"/>
      <c r="B1409"/>
      <c r="C1409"/>
    </row>
    <row r="1410" spans="1:3" x14ac:dyDescent="0.55000000000000004">
      <c r="A1410"/>
      <c r="B1410"/>
      <c r="C1410"/>
    </row>
    <row r="1411" spans="1:3" x14ac:dyDescent="0.55000000000000004">
      <c r="A1411"/>
      <c r="B1411"/>
      <c r="C1411"/>
    </row>
    <row r="1412" spans="1:3" x14ac:dyDescent="0.55000000000000004">
      <c r="A1412"/>
      <c r="B1412"/>
      <c r="C1412"/>
    </row>
    <row r="1413" spans="1:3" x14ac:dyDescent="0.55000000000000004">
      <c r="A1413"/>
      <c r="B1413"/>
      <c r="C1413"/>
    </row>
    <row r="1414" spans="1:3" x14ac:dyDescent="0.55000000000000004">
      <c r="A1414"/>
      <c r="B1414"/>
      <c r="C1414"/>
    </row>
    <row r="1415" spans="1:3" x14ac:dyDescent="0.55000000000000004">
      <c r="A1415"/>
      <c r="B1415"/>
      <c r="C1415"/>
    </row>
    <row r="1416" spans="1:3" x14ac:dyDescent="0.55000000000000004">
      <c r="A1416"/>
      <c r="B1416"/>
      <c r="C1416"/>
    </row>
    <row r="1417" spans="1:3" x14ac:dyDescent="0.55000000000000004">
      <c r="A1417"/>
      <c r="B1417"/>
      <c r="C1417"/>
    </row>
    <row r="1418" spans="1:3" x14ac:dyDescent="0.55000000000000004">
      <c r="A1418"/>
      <c r="B1418"/>
      <c r="C1418"/>
    </row>
    <row r="1419" spans="1:3" x14ac:dyDescent="0.55000000000000004">
      <c r="A1419"/>
      <c r="B1419"/>
      <c r="C1419"/>
    </row>
    <row r="1420" spans="1:3" x14ac:dyDescent="0.55000000000000004">
      <c r="A1420"/>
      <c r="B1420"/>
      <c r="C1420"/>
    </row>
    <row r="1421" spans="1:3" x14ac:dyDescent="0.55000000000000004">
      <c r="A1421"/>
      <c r="B1421"/>
      <c r="C1421"/>
    </row>
    <row r="1422" spans="1:3" x14ac:dyDescent="0.55000000000000004">
      <c r="A1422"/>
      <c r="B1422"/>
      <c r="C1422"/>
    </row>
    <row r="1423" spans="1:3" x14ac:dyDescent="0.55000000000000004">
      <c r="A1423"/>
      <c r="B1423"/>
      <c r="C1423"/>
    </row>
    <row r="1424" spans="1:3" x14ac:dyDescent="0.55000000000000004">
      <c r="A1424"/>
      <c r="B1424"/>
      <c r="C1424"/>
    </row>
    <row r="1425" spans="1:3" x14ac:dyDescent="0.55000000000000004">
      <c r="A1425"/>
      <c r="B1425"/>
      <c r="C1425"/>
    </row>
    <row r="1426" spans="1:3" x14ac:dyDescent="0.55000000000000004">
      <c r="A1426"/>
      <c r="B1426"/>
      <c r="C1426"/>
    </row>
    <row r="1427" spans="1:3" x14ac:dyDescent="0.55000000000000004">
      <c r="A1427"/>
      <c r="B1427"/>
      <c r="C1427"/>
    </row>
    <row r="1428" spans="1:3" x14ac:dyDescent="0.55000000000000004">
      <c r="A1428"/>
      <c r="B1428"/>
      <c r="C1428"/>
    </row>
    <row r="1429" spans="1:3" x14ac:dyDescent="0.55000000000000004">
      <c r="A1429"/>
      <c r="B1429"/>
      <c r="C1429"/>
    </row>
    <row r="1430" spans="1:3" x14ac:dyDescent="0.55000000000000004">
      <c r="A1430"/>
      <c r="B1430"/>
      <c r="C1430"/>
    </row>
    <row r="1431" spans="1:3" x14ac:dyDescent="0.55000000000000004">
      <c r="A1431"/>
      <c r="B1431"/>
      <c r="C1431"/>
    </row>
    <row r="1432" spans="1:3" x14ac:dyDescent="0.55000000000000004">
      <c r="A1432"/>
      <c r="B1432"/>
      <c r="C1432"/>
    </row>
    <row r="1433" spans="1:3" x14ac:dyDescent="0.55000000000000004">
      <c r="A1433"/>
      <c r="B1433"/>
      <c r="C1433"/>
    </row>
    <row r="1434" spans="1:3" x14ac:dyDescent="0.55000000000000004">
      <c r="A1434"/>
      <c r="B1434"/>
      <c r="C1434"/>
    </row>
    <row r="1435" spans="1:3" x14ac:dyDescent="0.55000000000000004">
      <c r="A1435"/>
      <c r="B1435"/>
      <c r="C1435"/>
    </row>
    <row r="1436" spans="1:3" x14ac:dyDescent="0.55000000000000004">
      <c r="A1436"/>
      <c r="B1436"/>
      <c r="C1436"/>
    </row>
    <row r="1437" spans="1:3" x14ac:dyDescent="0.55000000000000004">
      <c r="A1437"/>
      <c r="B1437"/>
      <c r="C1437"/>
    </row>
    <row r="1438" spans="1:3" x14ac:dyDescent="0.55000000000000004">
      <c r="A1438"/>
      <c r="B1438"/>
      <c r="C1438"/>
    </row>
    <row r="1439" spans="1:3" x14ac:dyDescent="0.55000000000000004">
      <c r="A1439"/>
      <c r="B1439"/>
      <c r="C1439"/>
    </row>
    <row r="1440" spans="1:3" x14ac:dyDescent="0.55000000000000004">
      <c r="A1440"/>
      <c r="B1440"/>
      <c r="C1440"/>
    </row>
    <row r="1441" spans="1:3" x14ac:dyDescent="0.55000000000000004">
      <c r="A1441"/>
      <c r="B1441"/>
      <c r="C1441"/>
    </row>
    <row r="1442" spans="1:3" x14ac:dyDescent="0.55000000000000004">
      <c r="A1442"/>
      <c r="B1442"/>
      <c r="C1442"/>
    </row>
    <row r="1443" spans="1:3" x14ac:dyDescent="0.55000000000000004">
      <c r="A1443"/>
      <c r="B1443"/>
      <c r="C1443"/>
    </row>
    <row r="1444" spans="1:3" x14ac:dyDescent="0.55000000000000004">
      <c r="A1444"/>
      <c r="B1444"/>
      <c r="C1444"/>
    </row>
    <row r="1445" spans="1:3" x14ac:dyDescent="0.55000000000000004">
      <c r="A1445"/>
      <c r="B1445"/>
      <c r="C1445"/>
    </row>
    <row r="1446" spans="1:3" x14ac:dyDescent="0.55000000000000004">
      <c r="A1446"/>
      <c r="B1446"/>
      <c r="C1446"/>
    </row>
    <row r="1447" spans="1:3" x14ac:dyDescent="0.55000000000000004">
      <c r="A1447"/>
      <c r="B1447"/>
      <c r="C1447"/>
    </row>
    <row r="1448" spans="1:3" x14ac:dyDescent="0.55000000000000004">
      <c r="A1448"/>
      <c r="B1448"/>
      <c r="C1448"/>
    </row>
    <row r="1449" spans="1:3" x14ac:dyDescent="0.55000000000000004">
      <c r="A1449"/>
      <c r="B1449"/>
      <c r="C1449"/>
    </row>
    <row r="1450" spans="1:3" x14ac:dyDescent="0.55000000000000004">
      <c r="A1450"/>
      <c r="B1450"/>
      <c r="C1450"/>
    </row>
    <row r="1451" spans="1:3" x14ac:dyDescent="0.55000000000000004">
      <c r="A1451"/>
      <c r="B1451"/>
      <c r="C1451"/>
    </row>
    <row r="1452" spans="1:3" x14ac:dyDescent="0.55000000000000004">
      <c r="A1452"/>
      <c r="B1452"/>
      <c r="C1452"/>
    </row>
    <row r="1453" spans="1:3" x14ac:dyDescent="0.55000000000000004">
      <c r="A1453"/>
      <c r="B1453"/>
      <c r="C1453"/>
    </row>
    <row r="1454" spans="1:3" x14ac:dyDescent="0.55000000000000004">
      <c r="A1454"/>
      <c r="B1454"/>
      <c r="C1454"/>
    </row>
    <row r="1455" spans="1:3" x14ac:dyDescent="0.55000000000000004">
      <c r="A1455"/>
      <c r="B1455"/>
      <c r="C1455"/>
    </row>
    <row r="1456" spans="1:3" x14ac:dyDescent="0.55000000000000004">
      <c r="A1456"/>
      <c r="B1456"/>
      <c r="C1456"/>
    </row>
    <row r="1457" spans="1:3" x14ac:dyDescent="0.55000000000000004">
      <c r="A1457"/>
      <c r="B1457"/>
      <c r="C1457"/>
    </row>
    <row r="1458" spans="1:3" x14ac:dyDescent="0.55000000000000004">
      <c r="A1458"/>
      <c r="B1458"/>
      <c r="C1458"/>
    </row>
    <row r="1459" spans="1:3" x14ac:dyDescent="0.55000000000000004">
      <c r="A1459"/>
      <c r="B1459"/>
      <c r="C1459"/>
    </row>
    <row r="1460" spans="1:3" x14ac:dyDescent="0.55000000000000004">
      <c r="A1460"/>
      <c r="B1460"/>
      <c r="C1460"/>
    </row>
    <row r="1461" spans="1:3" x14ac:dyDescent="0.55000000000000004">
      <c r="A1461"/>
      <c r="B1461"/>
      <c r="C1461"/>
    </row>
    <row r="1462" spans="1:3" x14ac:dyDescent="0.55000000000000004">
      <c r="A1462"/>
      <c r="B1462"/>
      <c r="C1462"/>
    </row>
    <row r="1463" spans="1:3" x14ac:dyDescent="0.55000000000000004">
      <c r="A1463"/>
      <c r="B1463"/>
      <c r="C1463"/>
    </row>
    <row r="1464" spans="1:3" x14ac:dyDescent="0.55000000000000004">
      <c r="A1464"/>
      <c r="B1464"/>
      <c r="C1464"/>
    </row>
    <row r="1465" spans="1:3" x14ac:dyDescent="0.55000000000000004">
      <c r="A1465"/>
      <c r="B1465"/>
      <c r="C1465"/>
    </row>
    <row r="1466" spans="1:3" x14ac:dyDescent="0.55000000000000004">
      <c r="A1466"/>
      <c r="B1466"/>
      <c r="C1466"/>
    </row>
    <row r="1467" spans="1:3" x14ac:dyDescent="0.55000000000000004">
      <c r="A1467"/>
      <c r="B1467"/>
      <c r="C1467"/>
    </row>
    <row r="1468" spans="1:3" x14ac:dyDescent="0.55000000000000004">
      <c r="A1468"/>
      <c r="B1468"/>
      <c r="C1468"/>
    </row>
    <row r="1469" spans="1:3" x14ac:dyDescent="0.55000000000000004">
      <c r="A1469"/>
      <c r="B1469"/>
      <c r="C1469"/>
    </row>
    <row r="1470" spans="1:3" x14ac:dyDescent="0.55000000000000004">
      <c r="A1470"/>
      <c r="B1470"/>
      <c r="C1470"/>
    </row>
    <row r="1471" spans="1:3" x14ac:dyDescent="0.55000000000000004">
      <c r="A1471"/>
      <c r="B1471"/>
      <c r="C1471"/>
    </row>
    <row r="1472" spans="1:3" x14ac:dyDescent="0.55000000000000004">
      <c r="A1472"/>
      <c r="B1472"/>
      <c r="C1472"/>
    </row>
    <row r="1473" spans="1:3" x14ac:dyDescent="0.55000000000000004">
      <c r="A1473"/>
      <c r="B1473"/>
      <c r="C1473"/>
    </row>
    <row r="1474" spans="1:3" x14ac:dyDescent="0.55000000000000004">
      <c r="A1474"/>
      <c r="B1474"/>
      <c r="C1474"/>
    </row>
    <row r="1475" spans="1:3" x14ac:dyDescent="0.55000000000000004">
      <c r="A1475"/>
      <c r="B1475"/>
      <c r="C1475"/>
    </row>
    <row r="1476" spans="1:3" x14ac:dyDescent="0.55000000000000004">
      <c r="A1476"/>
      <c r="B1476"/>
      <c r="C1476"/>
    </row>
    <row r="1477" spans="1:3" x14ac:dyDescent="0.55000000000000004">
      <c r="A1477"/>
      <c r="B1477"/>
      <c r="C1477"/>
    </row>
    <row r="1478" spans="1:3" x14ac:dyDescent="0.55000000000000004">
      <c r="A1478"/>
      <c r="B1478"/>
      <c r="C1478"/>
    </row>
    <row r="1479" spans="1:3" x14ac:dyDescent="0.55000000000000004">
      <c r="A1479"/>
      <c r="B1479"/>
      <c r="C1479"/>
    </row>
    <row r="1480" spans="1:3" x14ac:dyDescent="0.55000000000000004">
      <c r="A1480"/>
      <c r="B1480"/>
      <c r="C1480"/>
    </row>
    <row r="1481" spans="1:3" x14ac:dyDescent="0.55000000000000004">
      <c r="A1481"/>
      <c r="B1481"/>
      <c r="C1481"/>
    </row>
    <row r="1482" spans="1:3" x14ac:dyDescent="0.55000000000000004">
      <c r="A1482"/>
      <c r="B1482"/>
      <c r="C1482"/>
    </row>
    <row r="1483" spans="1:3" x14ac:dyDescent="0.55000000000000004">
      <c r="A1483"/>
      <c r="B1483"/>
      <c r="C1483"/>
    </row>
    <row r="1484" spans="1:3" x14ac:dyDescent="0.55000000000000004">
      <c r="A1484"/>
      <c r="B1484"/>
      <c r="C1484"/>
    </row>
    <row r="1485" spans="1:3" x14ac:dyDescent="0.55000000000000004">
      <c r="A1485"/>
      <c r="B1485"/>
      <c r="C1485"/>
    </row>
    <row r="1486" spans="1:3" x14ac:dyDescent="0.55000000000000004">
      <c r="A1486"/>
      <c r="B1486"/>
      <c r="C1486"/>
    </row>
    <row r="1487" spans="1:3" x14ac:dyDescent="0.55000000000000004">
      <c r="A1487"/>
      <c r="B1487"/>
      <c r="C1487"/>
    </row>
    <row r="1488" spans="1:3" x14ac:dyDescent="0.55000000000000004">
      <c r="A1488"/>
      <c r="B1488"/>
      <c r="C1488"/>
    </row>
    <row r="1489" spans="1:3" x14ac:dyDescent="0.55000000000000004">
      <c r="A1489"/>
      <c r="B1489"/>
      <c r="C1489"/>
    </row>
    <row r="1490" spans="1:3" x14ac:dyDescent="0.55000000000000004">
      <c r="A1490"/>
      <c r="B1490"/>
      <c r="C1490"/>
    </row>
    <row r="1491" spans="1:3" x14ac:dyDescent="0.55000000000000004">
      <c r="A1491"/>
      <c r="B1491"/>
      <c r="C1491"/>
    </row>
    <row r="1492" spans="1:3" x14ac:dyDescent="0.55000000000000004">
      <c r="A1492"/>
      <c r="B1492"/>
      <c r="C1492"/>
    </row>
    <row r="1493" spans="1:3" x14ac:dyDescent="0.55000000000000004">
      <c r="A1493"/>
      <c r="B1493"/>
      <c r="C1493"/>
    </row>
    <row r="1494" spans="1:3" x14ac:dyDescent="0.55000000000000004">
      <c r="A1494"/>
      <c r="B1494"/>
      <c r="C1494"/>
    </row>
    <row r="1495" spans="1:3" x14ac:dyDescent="0.55000000000000004">
      <c r="A1495"/>
      <c r="B1495"/>
      <c r="C1495"/>
    </row>
    <row r="1496" spans="1:3" x14ac:dyDescent="0.55000000000000004">
      <c r="A1496"/>
      <c r="B1496"/>
      <c r="C1496"/>
    </row>
    <row r="1497" spans="1:3" x14ac:dyDescent="0.55000000000000004">
      <c r="A1497"/>
      <c r="B1497"/>
      <c r="C1497"/>
    </row>
    <row r="1498" spans="1:3" x14ac:dyDescent="0.55000000000000004">
      <c r="A1498"/>
      <c r="B1498"/>
      <c r="C1498"/>
    </row>
    <row r="1499" spans="1:3" x14ac:dyDescent="0.55000000000000004">
      <c r="A1499"/>
      <c r="B1499"/>
      <c r="C1499"/>
    </row>
    <row r="1500" spans="1:3" x14ac:dyDescent="0.55000000000000004">
      <c r="A1500"/>
      <c r="B1500"/>
      <c r="C1500"/>
    </row>
    <row r="1501" spans="1:3" x14ac:dyDescent="0.55000000000000004">
      <c r="A1501"/>
      <c r="B1501"/>
      <c r="C1501"/>
    </row>
    <row r="1502" spans="1:3" x14ac:dyDescent="0.55000000000000004">
      <c r="A1502"/>
      <c r="B1502"/>
      <c r="C1502"/>
    </row>
    <row r="1503" spans="1:3" x14ac:dyDescent="0.55000000000000004">
      <c r="A1503"/>
      <c r="B1503"/>
      <c r="C1503"/>
    </row>
    <row r="1504" spans="1:3" x14ac:dyDescent="0.55000000000000004">
      <c r="A1504"/>
      <c r="B1504"/>
      <c r="C1504"/>
    </row>
    <row r="1505" spans="1:3" x14ac:dyDescent="0.55000000000000004">
      <c r="A1505"/>
      <c r="B1505"/>
      <c r="C1505"/>
    </row>
    <row r="1506" spans="1:3" x14ac:dyDescent="0.55000000000000004">
      <c r="A1506"/>
      <c r="B1506"/>
      <c r="C1506"/>
    </row>
    <row r="1507" spans="1:3" x14ac:dyDescent="0.55000000000000004">
      <c r="A1507"/>
      <c r="B1507"/>
      <c r="C1507"/>
    </row>
    <row r="1508" spans="1:3" x14ac:dyDescent="0.55000000000000004">
      <c r="A1508"/>
      <c r="B1508"/>
      <c r="C1508"/>
    </row>
    <row r="1509" spans="1:3" x14ac:dyDescent="0.55000000000000004">
      <c r="A1509"/>
      <c r="B1509"/>
      <c r="C1509"/>
    </row>
    <row r="1510" spans="1:3" x14ac:dyDescent="0.55000000000000004">
      <c r="A1510"/>
      <c r="B1510"/>
      <c r="C1510"/>
    </row>
    <row r="1511" spans="1:3" x14ac:dyDescent="0.55000000000000004">
      <c r="A1511"/>
      <c r="B1511"/>
      <c r="C1511"/>
    </row>
    <row r="1512" spans="1:3" x14ac:dyDescent="0.55000000000000004">
      <c r="A1512"/>
      <c r="B1512"/>
      <c r="C1512"/>
    </row>
    <row r="1513" spans="1:3" x14ac:dyDescent="0.55000000000000004">
      <c r="A1513"/>
      <c r="B1513"/>
      <c r="C1513"/>
    </row>
    <row r="1514" spans="1:3" x14ac:dyDescent="0.55000000000000004">
      <c r="A1514"/>
      <c r="B1514"/>
      <c r="C1514"/>
    </row>
    <row r="1515" spans="1:3" x14ac:dyDescent="0.55000000000000004">
      <c r="A1515"/>
      <c r="B1515"/>
      <c r="C1515"/>
    </row>
    <row r="1516" spans="1:3" x14ac:dyDescent="0.55000000000000004">
      <c r="A1516"/>
      <c r="B1516"/>
      <c r="C1516"/>
    </row>
    <row r="1517" spans="1:3" x14ac:dyDescent="0.55000000000000004">
      <c r="A1517"/>
      <c r="B1517"/>
      <c r="C1517"/>
    </row>
    <row r="1518" spans="1:3" x14ac:dyDescent="0.55000000000000004">
      <c r="A1518"/>
      <c r="B1518"/>
      <c r="C1518"/>
    </row>
    <row r="1519" spans="1:3" x14ac:dyDescent="0.55000000000000004">
      <c r="A1519"/>
      <c r="B1519"/>
      <c r="C1519"/>
    </row>
    <row r="1520" spans="1:3" x14ac:dyDescent="0.55000000000000004">
      <c r="A1520"/>
      <c r="B1520"/>
      <c r="C1520"/>
    </row>
    <row r="1521" spans="1:3" x14ac:dyDescent="0.55000000000000004">
      <c r="A1521"/>
      <c r="B1521"/>
      <c r="C1521"/>
    </row>
    <row r="1522" spans="1:3" x14ac:dyDescent="0.55000000000000004">
      <c r="A1522"/>
      <c r="B1522"/>
      <c r="C1522"/>
    </row>
    <row r="1523" spans="1:3" x14ac:dyDescent="0.55000000000000004">
      <c r="A1523"/>
      <c r="B1523"/>
      <c r="C1523"/>
    </row>
    <row r="1524" spans="1:3" x14ac:dyDescent="0.55000000000000004">
      <c r="A1524"/>
      <c r="B1524"/>
      <c r="C1524"/>
    </row>
    <row r="1525" spans="1:3" x14ac:dyDescent="0.55000000000000004">
      <c r="A1525"/>
      <c r="B1525"/>
      <c r="C1525"/>
    </row>
    <row r="1526" spans="1:3" x14ac:dyDescent="0.55000000000000004">
      <c r="A1526"/>
      <c r="B1526"/>
      <c r="C1526"/>
    </row>
    <row r="1527" spans="1:3" x14ac:dyDescent="0.55000000000000004">
      <c r="A1527"/>
      <c r="B1527"/>
      <c r="C1527"/>
    </row>
    <row r="1528" spans="1:3" x14ac:dyDescent="0.55000000000000004">
      <c r="A1528"/>
      <c r="B1528"/>
      <c r="C1528"/>
    </row>
    <row r="1529" spans="1:3" x14ac:dyDescent="0.55000000000000004">
      <c r="A1529"/>
      <c r="B1529"/>
      <c r="C1529"/>
    </row>
    <row r="1530" spans="1:3" x14ac:dyDescent="0.55000000000000004">
      <c r="A1530"/>
      <c r="B1530"/>
      <c r="C1530"/>
    </row>
    <row r="1531" spans="1:3" x14ac:dyDescent="0.55000000000000004">
      <c r="A1531"/>
      <c r="B1531"/>
      <c r="C1531"/>
    </row>
    <row r="1532" spans="1:3" x14ac:dyDescent="0.55000000000000004">
      <c r="A1532"/>
      <c r="B1532"/>
      <c r="C1532"/>
    </row>
    <row r="1533" spans="1:3" x14ac:dyDescent="0.55000000000000004">
      <c r="A1533"/>
      <c r="B1533"/>
      <c r="C1533"/>
    </row>
    <row r="1534" spans="1:3" x14ac:dyDescent="0.55000000000000004">
      <c r="A1534"/>
      <c r="B1534"/>
      <c r="C1534"/>
    </row>
    <row r="1535" spans="1:3" x14ac:dyDescent="0.55000000000000004">
      <c r="A1535"/>
      <c r="B1535"/>
      <c r="C1535"/>
    </row>
    <row r="1536" spans="1:3" x14ac:dyDescent="0.55000000000000004">
      <c r="A1536"/>
      <c r="B1536"/>
      <c r="C1536"/>
    </row>
    <row r="1537" spans="1:3" x14ac:dyDescent="0.55000000000000004">
      <c r="A1537"/>
      <c r="B1537"/>
      <c r="C1537"/>
    </row>
    <row r="1538" spans="1:3" x14ac:dyDescent="0.55000000000000004">
      <c r="A1538"/>
      <c r="B1538"/>
      <c r="C1538"/>
    </row>
    <row r="1539" spans="1:3" x14ac:dyDescent="0.55000000000000004">
      <c r="A1539"/>
      <c r="B1539"/>
      <c r="C1539"/>
    </row>
    <row r="1540" spans="1:3" x14ac:dyDescent="0.55000000000000004">
      <c r="A1540"/>
      <c r="B1540"/>
      <c r="C1540"/>
    </row>
    <row r="1541" spans="1:3" x14ac:dyDescent="0.55000000000000004">
      <c r="A1541"/>
      <c r="B1541"/>
      <c r="C1541"/>
    </row>
    <row r="1542" spans="1:3" x14ac:dyDescent="0.55000000000000004">
      <c r="A1542"/>
      <c r="B1542"/>
      <c r="C1542"/>
    </row>
    <row r="1543" spans="1:3" x14ac:dyDescent="0.55000000000000004">
      <c r="A1543"/>
      <c r="B1543"/>
      <c r="C1543"/>
    </row>
    <row r="1544" spans="1:3" x14ac:dyDescent="0.55000000000000004">
      <c r="A1544"/>
      <c r="B1544"/>
      <c r="C1544"/>
    </row>
    <row r="1545" spans="1:3" x14ac:dyDescent="0.55000000000000004">
      <c r="A1545"/>
      <c r="B1545"/>
      <c r="C1545"/>
    </row>
    <row r="1546" spans="1:3" x14ac:dyDescent="0.55000000000000004">
      <c r="A1546"/>
      <c r="B1546"/>
      <c r="C1546"/>
    </row>
    <row r="1547" spans="1:3" x14ac:dyDescent="0.55000000000000004">
      <c r="A1547"/>
      <c r="B1547"/>
      <c r="C1547"/>
    </row>
    <row r="1548" spans="1:3" x14ac:dyDescent="0.55000000000000004">
      <c r="A1548"/>
      <c r="B1548"/>
      <c r="C1548"/>
    </row>
    <row r="1549" spans="1:3" x14ac:dyDescent="0.55000000000000004">
      <c r="A1549"/>
      <c r="B1549"/>
      <c r="C1549"/>
    </row>
    <row r="1550" spans="1:3" x14ac:dyDescent="0.55000000000000004">
      <c r="A1550"/>
      <c r="B1550"/>
      <c r="C1550"/>
    </row>
    <row r="1551" spans="1:3" x14ac:dyDescent="0.55000000000000004">
      <c r="A1551"/>
      <c r="B1551"/>
      <c r="C1551"/>
    </row>
    <row r="1552" spans="1:3" x14ac:dyDescent="0.55000000000000004">
      <c r="A1552"/>
      <c r="B1552"/>
      <c r="C1552"/>
    </row>
    <row r="1553" spans="1:3" x14ac:dyDescent="0.55000000000000004">
      <c r="A1553"/>
      <c r="B1553"/>
      <c r="C1553"/>
    </row>
    <row r="1554" spans="1:3" x14ac:dyDescent="0.55000000000000004">
      <c r="A1554"/>
      <c r="B1554"/>
      <c r="C1554"/>
    </row>
    <row r="1555" spans="1:3" x14ac:dyDescent="0.55000000000000004">
      <c r="A1555"/>
      <c r="B1555"/>
      <c r="C1555"/>
    </row>
    <row r="1556" spans="1:3" x14ac:dyDescent="0.55000000000000004">
      <c r="A1556"/>
      <c r="B1556"/>
      <c r="C1556"/>
    </row>
    <row r="1557" spans="1:3" x14ac:dyDescent="0.55000000000000004">
      <c r="A1557"/>
      <c r="B1557"/>
      <c r="C1557"/>
    </row>
    <row r="1558" spans="1:3" x14ac:dyDescent="0.55000000000000004">
      <c r="A1558"/>
      <c r="B1558"/>
      <c r="C1558"/>
    </row>
    <row r="1559" spans="1:3" x14ac:dyDescent="0.55000000000000004">
      <c r="A1559"/>
      <c r="B1559"/>
      <c r="C1559"/>
    </row>
    <row r="1560" spans="1:3" x14ac:dyDescent="0.55000000000000004">
      <c r="A1560"/>
      <c r="B1560"/>
      <c r="C1560"/>
    </row>
    <row r="1561" spans="1:3" x14ac:dyDescent="0.55000000000000004">
      <c r="A1561"/>
      <c r="B1561"/>
      <c r="C1561"/>
    </row>
    <row r="1562" spans="1:3" x14ac:dyDescent="0.55000000000000004">
      <c r="A1562"/>
      <c r="B1562"/>
      <c r="C1562"/>
    </row>
    <row r="1563" spans="1:3" x14ac:dyDescent="0.55000000000000004">
      <c r="A1563"/>
      <c r="B1563"/>
      <c r="C1563"/>
    </row>
    <row r="1564" spans="1:3" x14ac:dyDescent="0.55000000000000004">
      <c r="A1564"/>
      <c r="B1564"/>
      <c r="C1564"/>
    </row>
    <row r="1565" spans="1:3" x14ac:dyDescent="0.55000000000000004">
      <c r="A1565"/>
      <c r="B1565"/>
      <c r="C1565"/>
    </row>
    <row r="1566" spans="1:3" x14ac:dyDescent="0.55000000000000004">
      <c r="A1566"/>
      <c r="B1566"/>
      <c r="C1566"/>
    </row>
    <row r="1567" spans="1:3" x14ac:dyDescent="0.55000000000000004">
      <c r="A1567"/>
      <c r="B1567"/>
      <c r="C1567"/>
    </row>
    <row r="1568" spans="1:3" x14ac:dyDescent="0.55000000000000004">
      <c r="A1568"/>
      <c r="B1568"/>
      <c r="C1568"/>
    </row>
    <row r="1569" spans="1:3" x14ac:dyDescent="0.55000000000000004">
      <c r="A1569"/>
      <c r="B1569"/>
      <c r="C1569"/>
    </row>
    <row r="1570" spans="1:3" x14ac:dyDescent="0.55000000000000004">
      <c r="A1570"/>
      <c r="B1570"/>
      <c r="C1570"/>
    </row>
    <row r="1571" spans="1:3" x14ac:dyDescent="0.55000000000000004">
      <c r="A1571"/>
      <c r="B1571"/>
      <c r="C1571"/>
    </row>
    <row r="1572" spans="1:3" x14ac:dyDescent="0.55000000000000004">
      <c r="A1572"/>
      <c r="B1572"/>
      <c r="C1572"/>
    </row>
    <row r="1573" spans="1:3" x14ac:dyDescent="0.55000000000000004">
      <c r="A1573"/>
      <c r="B1573"/>
      <c r="C1573"/>
    </row>
    <row r="1574" spans="1:3" x14ac:dyDescent="0.55000000000000004">
      <c r="A1574"/>
      <c r="B1574"/>
      <c r="C1574"/>
    </row>
    <row r="1575" spans="1:3" x14ac:dyDescent="0.55000000000000004">
      <c r="A1575"/>
      <c r="B1575"/>
      <c r="C1575"/>
    </row>
    <row r="1576" spans="1:3" x14ac:dyDescent="0.55000000000000004">
      <c r="A1576"/>
      <c r="B1576"/>
      <c r="C1576"/>
    </row>
    <row r="1577" spans="1:3" x14ac:dyDescent="0.55000000000000004">
      <c r="A1577"/>
      <c r="B1577"/>
      <c r="C1577"/>
    </row>
    <row r="1578" spans="1:3" x14ac:dyDescent="0.55000000000000004">
      <c r="A1578"/>
      <c r="B1578"/>
      <c r="C1578"/>
    </row>
    <row r="1579" spans="1:3" x14ac:dyDescent="0.55000000000000004">
      <c r="A1579"/>
      <c r="B1579"/>
      <c r="C1579"/>
    </row>
    <row r="1580" spans="1:3" x14ac:dyDescent="0.55000000000000004">
      <c r="A1580"/>
      <c r="B1580"/>
      <c r="C1580"/>
    </row>
    <row r="1581" spans="1:3" x14ac:dyDescent="0.55000000000000004">
      <c r="A1581"/>
      <c r="B1581"/>
      <c r="C1581"/>
    </row>
    <row r="1582" spans="1:3" x14ac:dyDescent="0.55000000000000004">
      <c r="A1582"/>
      <c r="B1582"/>
      <c r="C1582"/>
    </row>
    <row r="1583" spans="1:3" x14ac:dyDescent="0.55000000000000004">
      <c r="A1583"/>
      <c r="B1583"/>
      <c r="C1583"/>
    </row>
    <row r="1584" spans="1:3" x14ac:dyDescent="0.55000000000000004">
      <c r="A1584"/>
      <c r="B1584"/>
      <c r="C1584"/>
    </row>
    <row r="1585" spans="1:3" x14ac:dyDescent="0.55000000000000004">
      <c r="A1585"/>
      <c r="B1585"/>
      <c r="C1585"/>
    </row>
    <row r="1586" spans="1:3" x14ac:dyDescent="0.55000000000000004">
      <c r="A1586"/>
      <c r="B1586"/>
      <c r="C1586"/>
    </row>
    <row r="1587" spans="1:3" x14ac:dyDescent="0.55000000000000004">
      <c r="A1587"/>
      <c r="B1587"/>
      <c r="C1587"/>
    </row>
    <row r="1588" spans="1:3" x14ac:dyDescent="0.55000000000000004">
      <c r="A1588"/>
      <c r="B1588"/>
      <c r="C1588"/>
    </row>
    <row r="1589" spans="1:3" x14ac:dyDescent="0.55000000000000004">
      <c r="A1589"/>
      <c r="B1589"/>
      <c r="C1589"/>
    </row>
    <row r="1590" spans="1:3" x14ac:dyDescent="0.55000000000000004">
      <c r="A1590"/>
      <c r="B1590"/>
      <c r="C1590"/>
    </row>
    <row r="1591" spans="1:3" x14ac:dyDescent="0.55000000000000004">
      <c r="A1591"/>
      <c r="B1591"/>
      <c r="C1591"/>
    </row>
    <row r="1592" spans="1:3" x14ac:dyDescent="0.55000000000000004">
      <c r="A1592"/>
      <c r="B1592"/>
      <c r="C1592"/>
    </row>
    <row r="1593" spans="1:3" x14ac:dyDescent="0.55000000000000004">
      <c r="A1593"/>
      <c r="B1593"/>
      <c r="C1593"/>
    </row>
    <row r="1594" spans="1:3" x14ac:dyDescent="0.55000000000000004">
      <c r="A1594"/>
      <c r="B1594"/>
      <c r="C1594"/>
    </row>
    <row r="1595" spans="1:3" x14ac:dyDescent="0.55000000000000004">
      <c r="A1595"/>
      <c r="B1595"/>
      <c r="C1595"/>
    </row>
    <row r="1596" spans="1:3" x14ac:dyDescent="0.55000000000000004">
      <c r="A1596"/>
      <c r="B1596"/>
      <c r="C1596"/>
    </row>
    <row r="1597" spans="1:3" x14ac:dyDescent="0.55000000000000004">
      <c r="A1597"/>
      <c r="B1597"/>
      <c r="C1597"/>
    </row>
    <row r="1598" spans="1:3" x14ac:dyDescent="0.55000000000000004">
      <c r="A1598"/>
      <c r="B1598"/>
      <c r="C1598"/>
    </row>
    <row r="1599" spans="1:3" x14ac:dyDescent="0.55000000000000004">
      <c r="A1599"/>
      <c r="B1599"/>
      <c r="C1599"/>
    </row>
    <row r="1600" spans="1:3" x14ac:dyDescent="0.55000000000000004">
      <c r="A1600"/>
      <c r="B1600"/>
      <c r="C1600"/>
    </row>
    <row r="1601" spans="1:3" x14ac:dyDescent="0.55000000000000004">
      <c r="A1601"/>
      <c r="B1601"/>
      <c r="C1601"/>
    </row>
    <row r="1602" spans="1:3" x14ac:dyDescent="0.55000000000000004">
      <c r="A1602"/>
      <c r="B1602"/>
      <c r="C1602"/>
    </row>
    <row r="1603" spans="1:3" x14ac:dyDescent="0.55000000000000004">
      <c r="A1603"/>
      <c r="B1603"/>
      <c r="C1603"/>
    </row>
    <row r="1604" spans="1:3" x14ac:dyDescent="0.55000000000000004">
      <c r="A1604"/>
      <c r="B1604"/>
      <c r="C1604"/>
    </row>
    <row r="1605" spans="1:3" x14ac:dyDescent="0.55000000000000004">
      <c r="A1605"/>
      <c r="B1605"/>
      <c r="C1605"/>
    </row>
    <row r="1606" spans="1:3" x14ac:dyDescent="0.55000000000000004">
      <c r="A1606"/>
      <c r="B1606"/>
      <c r="C1606"/>
    </row>
    <row r="1607" spans="1:3" x14ac:dyDescent="0.55000000000000004">
      <c r="A1607"/>
      <c r="B1607"/>
      <c r="C1607"/>
    </row>
    <row r="1608" spans="1:3" x14ac:dyDescent="0.55000000000000004">
      <c r="A1608"/>
      <c r="B1608"/>
      <c r="C1608"/>
    </row>
    <row r="1609" spans="1:3" x14ac:dyDescent="0.55000000000000004">
      <c r="A1609"/>
      <c r="B1609"/>
      <c r="C1609"/>
    </row>
    <row r="1610" spans="1:3" x14ac:dyDescent="0.55000000000000004">
      <c r="A1610"/>
      <c r="B1610"/>
      <c r="C1610"/>
    </row>
    <row r="1611" spans="1:3" x14ac:dyDescent="0.55000000000000004">
      <c r="A1611"/>
      <c r="B1611"/>
      <c r="C1611"/>
    </row>
    <row r="1612" spans="1:3" x14ac:dyDescent="0.55000000000000004">
      <c r="A1612"/>
      <c r="B1612"/>
      <c r="C1612"/>
    </row>
    <row r="1613" spans="1:3" x14ac:dyDescent="0.55000000000000004">
      <c r="A1613"/>
      <c r="B1613"/>
      <c r="C1613"/>
    </row>
    <row r="1614" spans="1:3" x14ac:dyDescent="0.55000000000000004">
      <c r="A1614"/>
      <c r="B1614"/>
      <c r="C1614"/>
    </row>
    <row r="1615" spans="1:3" x14ac:dyDescent="0.55000000000000004">
      <c r="A1615"/>
      <c r="B1615"/>
      <c r="C1615"/>
    </row>
    <row r="1616" spans="1:3" x14ac:dyDescent="0.55000000000000004">
      <c r="A1616"/>
      <c r="B1616"/>
      <c r="C1616"/>
    </row>
    <row r="1617" spans="1:3" x14ac:dyDescent="0.55000000000000004">
      <c r="A1617"/>
      <c r="B1617"/>
      <c r="C1617"/>
    </row>
    <row r="1618" spans="1:3" x14ac:dyDescent="0.55000000000000004">
      <c r="A1618"/>
      <c r="B1618"/>
      <c r="C1618"/>
    </row>
    <row r="1619" spans="1:3" x14ac:dyDescent="0.55000000000000004">
      <c r="A1619"/>
      <c r="B1619"/>
      <c r="C1619"/>
    </row>
    <row r="1620" spans="1:3" x14ac:dyDescent="0.55000000000000004">
      <c r="A1620"/>
      <c r="B1620"/>
      <c r="C1620"/>
    </row>
    <row r="1621" spans="1:3" x14ac:dyDescent="0.55000000000000004">
      <c r="A1621"/>
      <c r="B1621"/>
      <c r="C1621"/>
    </row>
    <row r="1622" spans="1:3" x14ac:dyDescent="0.55000000000000004">
      <c r="A1622"/>
      <c r="B1622"/>
      <c r="C1622"/>
    </row>
    <row r="1623" spans="1:3" x14ac:dyDescent="0.55000000000000004">
      <c r="A1623"/>
      <c r="B1623"/>
      <c r="C1623"/>
    </row>
    <row r="1624" spans="1:3" x14ac:dyDescent="0.55000000000000004">
      <c r="A1624"/>
      <c r="B1624"/>
      <c r="C1624"/>
    </row>
    <row r="1625" spans="1:3" x14ac:dyDescent="0.55000000000000004">
      <c r="A1625"/>
      <c r="B1625"/>
      <c r="C1625"/>
    </row>
    <row r="1626" spans="1:3" x14ac:dyDescent="0.55000000000000004">
      <c r="A1626"/>
      <c r="B1626"/>
      <c r="C1626"/>
    </row>
    <row r="1627" spans="1:3" x14ac:dyDescent="0.55000000000000004">
      <c r="A1627"/>
      <c r="B1627"/>
      <c r="C1627"/>
    </row>
    <row r="1628" spans="1:3" x14ac:dyDescent="0.55000000000000004">
      <c r="A1628"/>
      <c r="B1628"/>
      <c r="C1628"/>
    </row>
    <row r="1629" spans="1:3" x14ac:dyDescent="0.55000000000000004">
      <c r="A1629"/>
      <c r="B1629"/>
      <c r="C1629"/>
    </row>
    <row r="1630" spans="1:3" x14ac:dyDescent="0.55000000000000004">
      <c r="A1630"/>
      <c r="B1630"/>
      <c r="C1630"/>
    </row>
    <row r="1631" spans="1:3" x14ac:dyDescent="0.55000000000000004">
      <c r="A1631"/>
      <c r="B1631"/>
      <c r="C1631"/>
    </row>
    <row r="1632" spans="1:3" x14ac:dyDescent="0.55000000000000004">
      <c r="A1632"/>
      <c r="B1632"/>
      <c r="C1632"/>
    </row>
    <row r="1633" spans="1:3" x14ac:dyDescent="0.55000000000000004">
      <c r="A1633"/>
      <c r="B1633"/>
      <c r="C1633"/>
    </row>
    <row r="1634" spans="1:3" x14ac:dyDescent="0.55000000000000004">
      <c r="A1634"/>
      <c r="B1634"/>
      <c r="C1634"/>
    </row>
    <row r="1635" spans="1:3" x14ac:dyDescent="0.55000000000000004">
      <c r="A1635"/>
      <c r="B1635"/>
      <c r="C1635"/>
    </row>
    <row r="1636" spans="1:3" x14ac:dyDescent="0.55000000000000004">
      <c r="A1636"/>
      <c r="B1636"/>
      <c r="C1636"/>
    </row>
    <row r="1637" spans="1:3" x14ac:dyDescent="0.55000000000000004">
      <c r="A1637"/>
      <c r="B1637"/>
      <c r="C1637"/>
    </row>
    <row r="1638" spans="1:3" x14ac:dyDescent="0.55000000000000004">
      <c r="A1638"/>
      <c r="B1638"/>
      <c r="C1638"/>
    </row>
    <row r="1639" spans="1:3" x14ac:dyDescent="0.55000000000000004">
      <c r="A1639"/>
      <c r="B1639"/>
      <c r="C1639"/>
    </row>
    <row r="1640" spans="1:3" x14ac:dyDescent="0.55000000000000004">
      <c r="A1640"/>
      <c r="B1640"/>
      <c r="C1640"/>
    </row>
    <row r="1641" spans="1:3" x14ac:dyDescent="0.55000000000000004">
      <c r="A1641"/>
      <c r="B1641"/>
      <c r="C1641"/>
    </row>
    <row r="1642" spans="1:3" x14ac:dyDescent="0.55000000000000004">
      <c r="A1642"/>
      <c r="B1642"/>
      <c r="C1642"/>
    </row>
    <row r="1643" spans="1:3" x14ac:dyDescent="0.55000000000000004">
      <c r="A1643"/>
      <c r="B1643"/>
      <c r="C1643"/>
    </row>
    <row r="1644" spans="1:3" x14ac:dyDescent="0.55000000000000004">
      <c r="A1644"/>
      <c r="B1644"/>
      <c r="C1644"/>
    </row>
    <row r="1645" spans="1:3" x14ac:dyDescent="0.55000000000000004">
      <c r="A1645"/>
      <c r="B1645"/>
      <c r="C1645"/>
    </row>
    <row r="1646" spans="1:3" x14ac:dyDescent="0.55000000000000004">
      <c r="A1646"/>
      <c r="B1646"/>
      <c r="C1646"/>
    </row>
    <row r="1647" spans="1:3" x14ac:dyDescent="0.55000000000000004">
      <c r="A1647"/>
      <c r="B1647"/>
      <c r="C1647"/>
    </row>
    <row r="1648" spans="1:3" x14ac:dyDescent="0.55000000000000004">
      <c r="A1648"/>
      <c r="B1648"/>
      <c r="C1648"/>
    </row>
    <row r="1649" spans="1:3" x14ac:dyDescent="0.55000000000000004">
      <c r="A1649"/>
      <c r="B1649"/>
      <c r="C1649"/>
    </row>
    <row r="1650" spans="1:3" x14ac:dyDescent="0.55000000000000004">
      <c r="A1650"/>
      <c r="B1650"/>
      <c r="C1650"/>
    </row>
    <row r="1651" spans="1:3" x14ac:dyDescent="0.55000000000000004">
      <c r="A1651"/>
      <c r="B1651"/>
      <c r="C1651"/>
    </row>
    <row r="1652" spans="1:3" x14ac:dyDescent="0.55000000000000004">
      <c r="A1652"/>
      <c r="B1652"/>
      <c r="C1652"/>
    </row>
    <row r="1653" spans="1:3" x14ac:dyDescent="0.55000000000000004">
      <c r="A1653"/>
      <c r="B1653"/>
      <c r="C1653"/>
    </row>
    <row r="1654" spans="1:3" x14ac:dyDescent="0.55000000000000004">
      <c r="A1654"/>
      <c r="B1654"/>
      <c r="C1654"/>
    </row>
    <row r="1655" spans="1:3" x14ac:dyDescent="0.55000000000000004">
      <c r="A1655"/>
      <c r="B1655"/>
      <c r="C1655"/>
    </row>
    <row r="1656" spans="1:3" x14ac:dyDescent="0.55000000000000004">
      <c r="A1656"/>
      <c r="B1656"/>
      <c r="C1656"/>
    </row>
    <row r="1657" spans="1:3" x14ac:dyDescent="0.55000000000000004">
      <c r="A1657"/>
      <c r="B1657"/>
      <c r="C1657"/>
    </row>
    <row r="1658" spans="1:3" x14ac:dyDescent="0.55000000000000004">
      <c r="A1658"/>
      <c r="B1658"/>
      <c r="C1658"/>
    </row>
    <row r="1659" spans="1:3" x14ac:dyDescent="0.55000000000000004">
      <c r="A1659"/>
      <c r="B1659"/>
      <c r="C1659"/>
    </row>
    <row r="1660" spans="1:3" x14ac:dyDescent="0.55000000000000004">
      <c r="A1660"/>
      <c r="B1660"/>
      <c r="C1660"/>
    </row>
    <row r="1661" spans="1:3" x14ac:dyDescent="0.55000000000000004">
      <c r="A1661"/>
      <c r="B1661"/>
      <c r="C1661"/>
    </row>
    <row r="1662" spans="1:3" x14ac:dyDescent="0.55000000000000004">
      <c r="A1662"/>
      <c r="B1662"/>
      <c r="C1662"/>
    </row>
    <row r="1663" spans="1:3" x14ac:dyDescent="0.55000000000000004">
      <c r="A1663"/>
      <c r="B1663"/>
      <c r="C1663"/>
    </row>
    <row r="1664" spans="1:3" x14ac:dyDescent="0.55000000000000004">
      <c r="A1664"/>
      <c r="B1664"/>
      <c r="C1664"/>
    </row>
    <row r="1665" spans="1:3" x14ac:dyDescent="0.55000000000000004">
      <c r="A1665"/>
      <c r="B1665"/>
      <c r="C1665"/>
    </row>
    <row r="1666" spans="1:3" x14ac:dyDescent="0.55000000000000004">
      <c r="A1666"/>
      <c r="B1666"/>
      <c r="C1666"/>
    </row>
    <row r="1667" spans="1:3" x14ac:dyDescent="0.55000000000000004">
      <c r="A1667"/>
      <c r="B1667"/>
      <c r="C1667"/>
    </row>
    <row r="1668" spans="1:3" x14ac:dyDescent="0.55000000000000004">
      <c r="A1668"/>
      <c r="B1668"/>
      <c r="C1668"/>
    </row>
    <row r="1669" spans="1:3" x14ac:dyDescent="0.55000000000000004">
      <c r="A1669"/>
      <c r="B1669"/>
      <c r="C1669"/>
    </row>
    <row r="1670" spans="1:3" x14ac:dyDescent="0.55000000000000004">
      <c r="A1670"/>
      <c r="B1670"/>
      <c r="C1670"/>
    </row>
    <row r="1671" spans="1:3" x14ac:dyDescent="0.55000000000000004">
      <c r="A1671"/>
      <c r="B1671"/>
      <c r="C1671"/>
    </row>
    <row r="1672" spans="1:3" x14ac:dyDescent="0.55000000000000004">
      <c r="A1672"/>
      <c r="B1672"/>
      <c r="C1672"/>
    </row>
    <row r="1673" spans="1:3" x14ac:dyDescent="0.55000000000000004">
      <c r="A1673"/>
      <c r="B1673"/>
      <c r="C1673"/>
    </row>
    <row r="1674" spans="1:3" x14ac:dyDescent="0.55000000000000004">
      <c r="A1674"/>
      <c r="B1674"/>
      <c r="C1674"/>
    </row>
    <row r="1675" spans="1:3" x14ac:dyDescent="0.55000000000000004">
      <c r="A1675"/>
      <c r="B1675"/>
      <c r="C1675"/>
    </row>
    <row r="1676" spans="1:3" x14ac:dyDescent="0.55000000000000004">
      <c r="A1676"/>
      <c r="B1676"/>
      <c r="C1676"/>
    </row>
    <row r="1677" spans="1:3" x14ac:dyDescent="0.55000000000000004">
      <c r="A1677"/>
      <c r="B1677"/>
      <c r="C1677"/>
    </row>
    <row r="1678" spans="1:3" x14ac:dyDescent="0.55000000000000004">
      <c r="A1678"/>
      <c r="B1678"/>
      <c r="C1678"/>
    </row>
    <row r="1679" spans="1:3" x14ac:dyDescent="0.55000000000000004">
      <c r="A1679"/>
      <c r="B1679"/>
      <c r="C1679"/>
    </row>
    <row r="1680" spans="1:3" x14ac:dyDescent="0.55000000000000004">
      <c r="A1680"/>
      <c r="B1680"/>
      <c r="C1680"/>
    </row>
    <row r="1681" spans="1:3" x14ac:dyDescent="0.55000000000000004">
      <c r="A1681"/>
      <c r="B1681"/>
      <c r="C1681"/>
    </row>
    <row r="1682" spans="1:3" x14ac:dyDescent="0.55000000000000004">
      <c r="A1682"/>
      <c r="B1682"/>
      <c r="C1682"/>
    </row>
    <row r="1683" spans="1:3" x14ac:dyDescent="0.55000000000000004">
      <c r="A1683"/>
      <c r="B1683"/>
      <c r="C1683"/>
    </row>
    <row r="1684" spans="1:3" x14ac:dyDescent="0.55000000000000004">
      <c r="A1684"/>
      <c r="B1684"/>
      <c r="C1684"/>
    </row>
    <row r="1685" spans="1:3" x14ac:dyDescent="0.55000000000000004">
      <c r="A1685"/>
      <c r="B1685"/>
      <c r="C1685"/>
    </row>
    <row r="1686" spans="1:3" x14ac:dyDescent="0.55000000000000004">
      <c r="A1686"/>
      <c r="B1686"/>
      <c r="C1686"/>
    </row>
    <row r="1687" spans="1:3" x14ac:dyDescent="0.55000000000000004">
      <c r="A1687"/>
      <c r="B1687"/>
      <c r="C1687"/>
    </row>
    <row r="1688" spans="1:3" x14ac:dyDescent="0.55000000000000004">
      <c r="A1688"/>
      <c r="B1688"/>
      <c r="C1688"/>
    </row>
    <row r="1689" spans="1:3" x14ac:dyDescent="0.55000000000000004">
      <c r="A1689"/>
      <c r="B1689"/>
      <c r="C1689"/>
    </row>
    <row r="1690" spans="1:3" x14ac:dyDescent="0.55000000000000004">
      <c r="A1690"/>
      <c r="B1690"/>
      <c r="C1690"/>
    </row>
    <row r="1691" spans="1:3" x14ac:dyDescent="0.55000000000000004">
      <c r="A1691"/>
      <c r="B1691"/>
      <c r="C1691"/>
    </row>
    <row r="1692" spans="1:3" x14ac:dyDescent="0.55000000000000004">
      <c r="A1692"/>
      <c r="B1692"/>
      <c r="C1692"/>
    </row>
    <row r="1693" spans="1:3" x14ac:dyDescent="0.55000000000000004">
      <c r="A1693"/>
      <c r="B1693"/>
      <c r="C1693"/>
    </row>
    <row r="1694" spans="1:3" x14ac:dyDescent="0.55000000000000004">
      <c r="A1694"/>
      <c r="B1694"/>
      <c r="C1694"/>
    </row>
    <row r="1695" spans="1:3" x14ac:dyDescent="0.55000000000000004">
      <c r="A1695"/>
      <c r="B1695"/>
      <c r="C1695"/>
    </row>
    <row r="1696" spans="1:3" x14ac:dyDescent="0.55000000000000004">
      <c r="A1696"/>
      <c r="B1696"/>
      <c r="C1696"/>
    </row>
    <row r="1697" spans="1:3" x14ac:dyDescent="0.55000000000000004">
      <c r="A1697"/>
      <c r="B1697"/>
      <c r="C1697"/>
    </row>
    <row r="1698" spans="1:3" x14ac:dyDescent="0.55000000000000004">
      <c r="A1698"/>
      <c r="B1698"/>
      <c r="C1698"/>
    </row>
    <row r="1699" spans="1:3" x14ac:dyDescent="0.55000000000000004">
      <c r="A1699"/>
      <c r="B1699"/>
      <c r="C1699"/>
    </row>
    <row r="1700" spans="1:3" x14ac:dyDescent="0.55000000000000004">
      <c r="A1700"/>
      <c r="B1700"/>
      <c r="C1700"/>
    </row>
    <row r="1701" spans="1:3" x14ac:dyDescent="0.55000000000000004">
      <c r="A1701"/>
      <c r="B1701"/>
      <c r="C1701"/>
    </row>
    <row r="1702" spans="1:3" x14ac:dyDescent="0.55000000000000004">
      <c r="A1702"/>
      <c r="B1702"/>
      <c r="C1702"/>
    </row>
    <row r="1703" spans="1:3" x14ac:dyDescent="0.55000000000000004">
      <c r="A1703"/>
      <c r="B1703"/>
      <c r="C1703"/>
    </row>
    <row r="1704" spans="1:3" x14ac:dyDescent="0.55000000000000004">
      <c r="A1704"/>
      <c r="B1704"/>
      <c r="C1704"/>
    </row>
    <row r="1705" spans="1:3" x14ac:dyDescent="0.55000000000000004">
      <c r="A1705"/>
      <c r="B1705"/>
      <c r="C1705"/>
    </row>
    <row r="1706" spans="1:3" x14ac:dyDescent="0.55000000000000004">
      <c r="A1706"/>
      <c r="B1706"/>
      <c r="C1706"/>
    </row>
    <row r="1707" spans="1:3" x14ac:dyDescent="0.55000000000000004">
      <c r="A1707"/>
      <c r="B1707"/>
      <c r="C1707"/>
    </row>
    <row r="1708" spans="1:3" x14ac:dyDescent="0.55000000000000004">
      <c r="A1708"/>
      <c r="B1708"/>
      <c r="C1708"/>
    </row>
    <row r="1709" spans="1:3" x14ac:dyDescent="0.55000000000000004">
      <c r="A1709"/>
      <c r="B1709"/>
      <c r="C1709"/>
    </row>
    <row r="1710" spans="1:3" x14ac:dyDescent="0.55000000000000004">
      <c r="A1710"/>
      <c r="B1710"/>
      <c r="C1710"/>
    </row>
    <row r="1711" spans="1:3" x14ac:dyDescent="0.55000000000000004">
      <c r="A1711"/>
      <c r="B1711"/>
      <c r="C1711"/>
    </row>
    <row r="1712" spans="1:3" x14ac:dyDescent="0.55000000000000004">
      <c r="A1712"/>
      <c r="B1712"/>
      <c r="C1712"/>
    </row>
    <row r="1713" spans="1:3" x14ac:dyDescent="0.55000000000000004">
      <c r="A1713"/>
      <c r="B1713"/>
      <c r="C1713"/>
    </row>
    <row r="1714" spans="1:3" x14ac:dyDescent="0.55000000000000004">
      <c r="A1714"/>
      <c r="B1714"/>
      <c r="C1714"/>
    </row>
    <row r="1715" spans="1:3" x14ac:dyDescent="0.55000000000000004">
      <c r="A1715"/>
      <c r="B1715"/>
      <c r="C1715"/>
    </row>
    <row r="1716" spans="1:3" x14ac:dyDescent="0.55000000000000004">
      <c r="A1716"/>
      <c r="B1716"/>
      <c r="C1716"/>
    </row>
    <row r="1717" spans="1:3" x14ac:dyDescent="0.55000000000000004">
      <c r="A1717"/>
      <c r="B1717"/>
      <c r="C1717"/>
    </row>
    <row r="1718" spans="1:3" x14ac:dyDescent="0.55000000000000004">
      <c r="A1718"/>
      <c r="B1718"/>
      <c r="C1718"/>
    </row>
    <row r="1719" spans="1:3" x14ac:dyDescent="0.55000000000000004">
      <c r="A1719"/>
      <c r="B1719"/>
      <c r="C1719"/>
    </row>
    <row r="1720" spans="1:3" x14ac:dyDescent="0.55000000000000004">
      <c r="A1720"/>
      <c r="B1720"/>
      <c r="C1720"/>
    </row>
    <row r="1721" spans="1:3" x14ac:dyDescent="0.55000000000000004">
      <c r="A1721"/>
      <c r="B1721"/>
      <c r="C1721"/>
    </row>
    <row r="1722" spans="1:3" x14ac:dyDescent="0.55000000000000004">
      <c r="A1722"/>
      <c r="B1722"/>
      <c r="C1722"/>
    </row>
    <row r="1723" spans="1:3" x14ac:dyDescent="0.55000000000000004">
      <c r="A1723"/>
      <c r="B1723"/>
      <c r="C1723"/>
    </row>
    <row r="1724" spans="1:3" x14ac:dyDescent="0.55000000000000004">
      <c r="A1724"/>
      <c r="B1724"/>
      <c r="C1724"/>
    </row>
    <row r="1725" spans="1:3" x14ac:dyDescent="0.55000000000000004">
      <c r="A1725"/>
      <c r="B1725"/>
      <c r="C1725"/>
    </row>
    <row r="1726" spans="1:3" x14ac:dyDescent="0.55000000000000004">
      <c r="A1726"/>
      <c r="B1726"/>
      <c r="C1726"/>
    </row>
    <row r="1727" spans="1:3" x14ac:dyDescent="0.55000000000000004">
      <c r="A1727"/>
      <c r="B1727"/>
      <c r="C1727"/>
    </row>
    <row r="1728" spans="1:3" x14ac:dyDescent="0.55000000000000004">
      <c r="A1728"/>
      <c r="B1728"/>
      <c r="C1728"/>
    </row>
    <row r="1729" spans="1:3" x14ac:dyDescent="0.55000000000000004">
      <c r="A1729"/>
      <c r="B1729"/>
      <c r="C1729"/>
    </row>
    <row r="1730" spans="1:3" x14ac:dyDescent="0.55000000000000004">
      <c r="A1730"/>
      <c r="B1730"/>
      <c r="C1730"/>
    </row>
    <row r="1731" spans="1:3" x14ac:dyDescent="0.55000000000000004">
      <c r="A1731"/>
      <c r="B1731"/>
      <c r="C1731"/>
    </row>
    <row r="1732" spans="1:3" x14ac:dyDescent="0.55000000000000004">
      <c r="A1732"/>
      <c r="B1732"/>
      <c r="C1732"/>
    </row>
    <row r="1733" spans="1:3" x14ac:dyDescent="0.55000000000000004">
      <c r="A1733"/>
      <c r="B1733"/>
      <c r="C1733"/>
    </row>
    <row r="1734" spans="1:3" x14ac:dyDescent="0.55000000000000004">
      <c r="A1734"/>
      <c r="B1734"/>
      <c r="C1734"/>
    </row>
    <row r="1735" spans="1:3" x14ac:dyDescent="0.55000000000000004">
      <c r="A1735"/>
      <c r="B1735"/>
      <c r="C1735"/>
    </row>
    <row r="1736" spans="1:3" x14ac:dyDescent="0.55000000000000004">
      <c r="A1736"/>
      <c r="B1736"/>
      <c r="C1736"/>
    </row>
    <row r="1737" spans="1:3" x14ac:dyDescent="0.55000000000000004">
      <c r="A1737"/>
      <c r="B1737"/>
      <c r="C1737"/>
    </row>
    <row r="1738" spans="1:3" x14ac:dyDescent="0.55000000000000004">
      <c r="A1738"/>
      <c r="B1738"/>
      <c r="C1738"/>
    </row>
    <row r="1739" spans="1:3" x14ac:dyDescent="0.55000000000000004">
      <c r="A1739"/>
      <c r="B1739"/>
      <c r="C1739"/>
    </row>
    <row r="1740" spans="1:3" x14ac:dyDescent="0.55000000000000004">
      <c r="A1740"/>
      <c r="B1740"/>
      <c r="C1740"/>
    </row>
    <row r="1741" spans="1:3" x14ac:dyDescent="0.55000000000000004">
      <c r="A1741"/>
      <c r="B1741"/>
      <c r="C1741"/>
    </row>
    <row r="1742" spans="1:3" x14ac:dyDescent="0.55000000000000004">
      <c r="A1742"/>
      <c r="B1742"/>
      <c r="C1742"/>
    </row>
    <row r="1743" spans="1:3" x14ac:dyDescent="0.55000000000000004">
      <c r="A1743"/>
      <c r="B1743"/>
      <c r="C1743"/>
    </row>
    <row r="1744" spans="1:3" x14ac:dyDescent="0.55000000000000004">
      <c r="A1744"/>
      <c r="B1744"/>
      <c r="C1744"/>
    </row>
    <row r="1745" spans="1:3" x14ac:dyDescent="0.55000000000000004">
      <c r="A1745"/>
      <c r="B1745"/>
      <c r="C1745"/>
    </row>
    <row r="1746" spans="1:3" x14ac:dyDescent="0.55000000000000004">
      <c r="A1746"/>
      <c r="B1746"/>
      <c r="C1746"/>
    </row>
    <row r="1747" spans="1:3" x14ac:dyDescent="0.55000000000000004">
      <c r="A1747"/>
      <c r="B1747"/>
      <c r="C1747"/>
    </row>
    <row r="1748" spans="1:3" x14ac:dyDescent="0.55000000000000004">
      <c r="A1748"/>
      <c r="B1748"/>
      <c r="C1748"/>
    </row>
    <row r="1749" spans="1:3" x14ac:dyDescent="0.55000000000000004">
      <c r="A1749"/>
      <c r="B1749"/>
      <c r="C1749"/>
    </row>
    <row r="1750" spans="1:3" x14ac:dyDescent="0.55000000000000004">
      <c r="A1750"/>
      <c r="B1750"/>
      <c r="C1750"/>
    </row>
    <row r="1751" spans="1:3" x14ac:dyDescent="0.55000000000000004">
      <c r="A1751"/>
      <c r="B1751"/>
      <c r="C1751"/>
    </row>
    <row r="1752" spans="1:3" x14ac:dyDescent="0.55000000000000004">
      <c r="A1752"/>
      <c r="B1752"/>
      <c r="C1752"/>
    </row>
    <row r="1753" spans="1:3" x14ac:dyDescent="0.55000000000000004">
      <c r="A1753"/>
      <c r="B1753"/>
      <c r="C1753"/>
    </row>
    <row r="1754" spans="1:3" x14ac:dyDescent="0.55000000000000004">
      <c r="A1754"/>
      <c r="B1754"/>
      <c r="C1754"/>
    </row>
    <row r="1755" spans="1:3" x14ac:dyDescent="0.55000000000000004">
      <c r="A1755"/>
      <c r="B1755"/>
      <c r="C1755"/>
    </row>
    <row r="1756" spans="1:3" x14ac:dyDescent="0.55000000000000004">
      <c r="A1756"/>
      <c r="B1756"/>
      <c r="C1756"/>
    </row>
    <row r="1757" spans="1:3" x14ac:dyDescent="0.55000000000000004">
      <c r="A1757"/>
      <c r="B1757"/>
      <c r="C1757"/>
    </row>
    <row r="1758" spans="1:3" x14ac:dyDescent="0.55000000000000004">
      <c r="A1758"/>
      <c r="B1758"/>
      <c r="C1758"/>
    </row>
    <row r="1759" spans="1:3" x14ac:dyDescent="0.55000000000000004">
      <c r="A1759"/>
      <c r="B1759"/>
      <c r="C1759"/>
    </row>
    <row r="1760" spans="1:3" x14ac:dyDescent="0.55000000000000004">
      <c r="A1760"/>
      <c r="B1760"/>
      <c r="C1760"/>
    </row>
    <row r="1761" spans="1:3" x14ac:dyDescent="0.55000000000000004">
      <c r="A1761"/>
      <c r="B1761"/>
      <c r="C1761"/>
    </row>
    <row r="1762" spans="1:3" x14ac:dyDescent="0.55000000000000004">
      <c r="A1762"/>
      <c r="B1762"/>
      <c r="C1762"/>
    </row>
    <row r="1763" spans="1:3" x14ac:dyDescent="0.55000000000000004">
      <c r="A1763"/>
      <c r="B1763"/>
      <c r="C1763"/>
    </row>
    <row r="1764" spans="1:3" x14ac:dyDescent="0.55000000000000004">
      <c r="A1764"/>
      <c r="B1764"/>
      <c r="C1764"/>
    </row>
    <row r="1765" spans="1:3" x14ac:dyDescent="0.55000000000000004">
      <c r="A1765"/>
      <c r="B1765"/>
      <c r="C1765"/>
    </row>
    <row r="1766" spans="1:3" x14ac:dyDescent="0.55000000000000004">
      <c r="A1766"/>
      <c r="B1766"/>
      <c r="C1766"/>
    </row>
    <row r="1767" spans="1:3" x14ac:dyDescent="0.55000000000000004">
      <c r="A1767"/>
      <c r="B1767"/>
      <c r="C1767"/>
    </row>
    <row r="1768" spans="1:3" x14ac:dyDescent="0.55000000000000004">
      <c r="A1768"/>
      <c r="B1768"/>
      <c r="C1768"/>
    </row>
    <row r="1769" spans="1:3" x14ac:dyDescent="0.55000000000000004">
      <c r="A1769"/>
      <c r="B1769"/>
      <c r="C1769"/>
    </row>
    <row r="1770" spans="1:3" x14ac:dyDescent="0.55000000000000004">
      <c r="A1770"/>
      <c r="B1770"/>
      <c r="C1770"/>
    </row>
    <row r="1771" spans="1:3" x14ac:dyDescent="0.55000000000000004">
      <c r="A1771"/>
      <c r="B1771"/>
      <c r="C1771"/>
    </row>
    <row r="1772" spans="1:3" x14ac:dyDescent="0.55000000000000004">
      <c r="A1772"/>
      <c r="B1772"/>
      <c r="C1772"/>
    </row>
    <row r="1773" spans="1:3" x14ac:dyDescent="0.55000000000000004">
      <c r="A1773"/>
      <c r="B1773"/>
      <c r="C1773"/>
    </row>
    <row r="1774" spans="1:3" x14ac:dyDescent="0.55000000000000004">
      <c r="A1774"/>
      <c r="B1774"/>
      <c r="C1774"/>
    </row>
    <row r="1775" spans="1:3" x14ac:dyDescent="0.55000000000000004">
      <c r="A1775"/>
      <c r="B1775"/>
      <c r="C1775"/>
    </row>
    <row r="1776" spans="1:3" x14ac:dyDescent="0.55000000000000004">
      <c r="A1776"/>
      <c r="B1776"/>
      <c r="C1776"/>
    </row>
    <row r="1777" spans="1:3" x14ac:dyDescent="0.55000000000000004">
      <c r="A1777"/>
      <c r="B1777"/>
      <c r="C1777"/>
    </row>
    <row r="1778" spans="1:3" x14ac:dyDescent="0.55000000000000004">
      <c r="A1778"/>
      <c r="B1778"/>
      <c r="C1778"/>
    </row>
    <row r="1779" spans="1:3" x14ac:dyDescent="0.55000000000000004">
      <c r="A1779"/>
      <c r="B1779"/>
      <c r="C1779"/>
    </row>
    <row r="1780" spans="1:3" x14ac:dyDescent="0.55000000000000004">
      <c r="A1780"/>
      <c r="B1780"/>
      <c r="C1780"/>
    </row>
    <row r="1781" spans="1:3" x14ac:dyDescent="0.55000000000000004">
      <c r="A1781"/>
      <c r="B1781"/>
      <c r="C1781"/>
    </row>
    <row r="1782" spans="1:3" x14ac:dyDescent="0.55000000000000004">
      <c r="A1782"/>
      <c r="B1782"/>
      <c r="C1782"/>
    </row>
    <row r="1783" spans="1:3" x14ac:dyDescent="0.55000000000000004">
      <c r="A1783"/>
      <c r="B1783"/>
      <c r="C1783"/>
    </row>
    <row r="1784" spans="1:3" x14ac:dyDescent="0.55000000000000004">
      <c r="A1784"/>
      <c r="B1784"/>
      <c r="C1784"/>
    </row>
    <row r="1785" spans="1:3" x14ac:dyDescent="0.55000000000000004">
      <c r="A1785"/>
      <c r="B1785"/>
      <c r="C1785"/>
    </row>
    <row r="1786" spans="1:3" x14ac:dyDescent="0.55000000000000004">
      <c r="A1786"/>
      <c r="B1786"/>
      <c r="C1786"/>
    </row>
    <row r="1787" spans="1:3" x14ac:dyDescent="0.55000000000000004">
      <c r="A1787"/>
      <c r="B1787"/>
      <c r="C1787"/>
    </row>
    <row r="1788" spans="1:3" x14ac:dyDescent="0.55000000000000004">
      <c r="A1788"/>
      <c r="B1788"/>
      <c r="C1788"/>
    </row>
    <row r="1789" spans="1:3" x14ac:dyDescent="0.55000000000000004">
      <c r="A1789"/>
      <c r="B1789"/>
      <c r="C1789"/>
    </row>
    <row r="1790" spans="1:3" x14ac:dyDescent="0.55000000000000004">
      <c r="A1790"/>
      <c r="B1790"/>
      <c r="C1790"/>
    </row>
    <row r="1791" spans="1:3" x14ac:dyDescent="0.55000000000000004">
      <c r="A1791"/>
      <c r="B1791"/>
      <c r="C1791"/>
    </row>
    <row r="1792" spans="1:3" x14ac:dyDescent="0.55000000000000004">
      <c r="A1792"/>
      <c r="B1792"/>
      <c r="C1792"/>
    </row>
    <row r="1793" spans="1:3" x14ac:dyDescent="0.55000000000000004">
      <c r="A1793"/>
      <c r="B1793"/>
      <c r="C1793"/>
    </row>
    <row r="1794" spans="1:3" x14ac:dyDescent="0.55000000000000004">
      <c r="A1794"/>
      <c r="B1794"/>
      <c r="C1794"/>
    </row>
    <row r="1795" spans="1:3" x14ac:dyDescent="0.55000000000000004">
      <c r="A1795"/>
      <c r="B1795"/>
      <c r="C1795"/>
    </row>
    <row r="1796" spans="1:3" x14ac:dyDescent="0.55000000000000004">
      <c r="A1796"/>
      <c r="B1796"/>
      <c r="C1796"/>
    </row>
    <row r="1797" spans="1:3" x14ac:dyDescent="0.55000000000000004">
      <c r="A1797"/>
      <c r="B1797"/>
      <c r="C1797"/>
    </row>
    <row r="1798" spans="1:3" x14ac:dyDescent="0.55000000000000004">
      <c r="A1798"/>
      <c r="B1798"/>
      <c r="C1798"/>
    </row>
    <row r="1799" spans="1:3" x14ac:dyDescent="0.55000000000000004">
      <c r="A1799"/>
      <c r="B1799"/>
      <c r="C1799"/>
    </row>
    <row r="1800" spans="1:3" x14ac:dyDescent="0.55000000000000004">
      <c r="A1800"/>
      <c r="B1800"/>
      <c r="C1800"/>
    </row>
    <row r="1801" spans="1:3" x14ac:dyDescent="0.55000000000000004">
      <c r="A1801"/>
      <c r="B1801"/>
      <c r="C1801"/>
    </row>
    <row r="1802" spans="1:3" x14ac:dyDescent="0.55000000000000004">
      <c r="A1802"/>
      <c r="B1802"/>
      <c r="C1802"/>
    </row>
    <row r="1803" spans="1:3" x14ac:dyDescent="0.55000000000000004">
      <c r="A1803"/>
      <c r="B1803"/>
      <c r="C1803"/>
    </row>
    <row r="1804" spans="1:3" x14ac:dyDescent="0.55000000000000004">
      <c r="A1804"/>
      <c r="B1804"/>
      <c r="C1804"/>
    </row>
    <row r="1805" spans="1:3" x14ac:dyDescent="0.55000000000000004">
      <c r="A1805"/>
      <c r="B1805"/>
      <c r="C1805"/>
    </row>
    <row r="1806" spans="1:3" x14ac:dyDescent="0.55000000000000004">
      <c r="A1806"/>
      <c r="B1806"/>
      <c r="C1806"/>
    </row>
    <row r="1807" spans="1:3" x14ac:dyDescent="0.55000000000000004">
      <c r="A1807"/>
      <c r="B1807"/>
      <c r="C1807"/>
    </row>
    <row r="1808" spans="1:3" x14ac:dyDescent="0.55000000000000004">
      <c r="A1808"/>
      <c r="B1808"/>
      <c r="C1808"/>
    </row>
    <row r="1809" spans="1:3" x14ac:dyDescent="0.55000000000000004">
      <c r="A1809"/>
      <c r="B1809"/>
      <c r="C1809"/>
    </row>
    <row r="1810" spans="1:3" x14ac:dyDescent="0.55000000000000004">
      <c r="A1810"/>
      <c r="B1810"/>
      <c r="C1810"/>
    </row>
    <row r="1811" spans="1:3" x14ac:dyDescent="0.55000000000000004">
      <c r="A1811"/>
      <c r="B1811"/>
      <c r="C1811"/>
    </row>
    <row r="1812" spans="1:3" x14ac:dyDescent="0.55000000000000004">
      <c r="A1812"/>
      <c r="B1812"/>
      <c r="C1812"/>
    </row>
    <row r="1813" spans="1:3" x14ac:dyDescent="0.55000000000000004">
      <c r="A1813"/>
      <c r="B1813"/>
      <c r="C1813"/>
    </row>
    <row r="1814" spans="1:3" x14ac:dyDescent="0.55000000000000004">
      <c r="A1814"/>
      <c r="B1814"/>
      <c r="C1814"/>
    </row>
    <row r="1815" spans="1:3" x14ac:dyDescent="0.55000000000000004">
      <c r="A1815"/>
      <c r="B1815"/>
      <c r="C1815"/>
    </row>
    <row r="1816" spans="1:3" x14ac:dyDescent="0.55000000000000004">
      <c r="A1816"/>
      <c r="B1816"/>
      <c r="C1816"/>
    </row>
    <row r="1817" spans="1:3" x14ac:dyDescent="0.55000000000000004">
      <c r="A1817"/>
      <c r="B1817"/>
      <c r="C1817"/>
    </row>
    <row r="1818" spans="1:3" x14ac:dyDescent="0.55000000000000004">
      <c r="A1818"/>
      <c r="B1818"/>
      <c r="C1818"/>
    </row>
    <row r="1819" spans="1:3" x14ac:dyDescent="0.55000000000000004">
      <c r="A1819"/>
      <c r="B1819"/>
      <c r="C1819"/>
    </row>
    <row r="1820" spans="1:3" x14ac:dyDescent="0.55000000000000004">
      <c r="A1820"/>
      <c r="B1820"/>
      <c r="C1820"/>
    </row>
    <row r="1821" spans="1:3" x14ac:dyDescent="0.55000000000000004">
      <c r="A1821"/>
      <c r="B1821"/>
      <c r="C1821"/>
    </row>
    <row r="1822" spans="1:3" x14ac:dyDescent="0.55000000000000004">
      <c r="A1822"/>
      <c r="B1822"/>
      <c r="C1822"/>
    </row>
    <row r="1823" spans="1:3" x14ac:dyDescent="0.55000000000000004">
      <c r="A1823"/>
      <c r="B1823"/>
      <c r="C1823"/>
    </row>
    <row r="1824" spans="1:3" x14ac:dyDescent="0.55000000000000004">
      <c r="A1824"/>
      <c r="B1824"/>
      <c r="C1824"/>
    </row>
    <row r="1825" spans="1:3" x14ac:dyDescent="0.55000000000000004">
      <c r="A1825"/>
      <c r="B1825"/>
      <c r="C1825"/>
    </row>
    <row r="1826" spans="1:3" x14ac:dyDescent="0.55000000000000004">
      <c r="A1826"/>
      <c r="B1826"/>
      <c r="C1826"/>
    </row>
    <row r="1827" spans="1:3" x14ac:dyDescent="0.55000000000000004">
      <c r="A1827"/>
      <c r="B1827"/>
      <c r="C1827"/>
    </row>
    <row r="1828" spans="1:3" x14ac:dyDescent="0.55000000000000004">
      <c r="A1828"/>
      <c r="B1828"/>
      <c r="C1828"/>
    </row>
    <row r="1829" spans="1:3" x14ac:dyDescent="0.55000000000000004">
      <c r="A1829"/>
      <c r="B1829"/>
      <c r="C1829"/>
    </row>
    <row r="1830" spans="1:3" x14ac:dyDescent="0.55000000000000004">
      <c r="A1830"/>
      <c r="B1830"/>
      <c r="C1830"/>
    </row>
    <row r="1831" spans="1:3" x14ac:dyDescent="0.55000000000000004">
      <c r="A1831"/>
      <c r="B1831"/>
      <c r="C1831"/>
    </row>
    <row r="1832" spans="1:3" x14ac:dyDescent="0.55000000000000004">
      <c r="A1832"/>
      <c r="B1832"/>
      <c r="C1832"/>
    </row>
    <row r="1833" spans="1:3" x14ac:dyDescent="0.55000000000000004">
      <c r="A1833"/>
      <c r="B1833"/>
      <c r="C1833"/>
    </row>
    <row r="1834" spans="1:3" x14ac:dyDescent="0.55000000000000004">
      <c r="A1834"/>
      <c r="B1834"/>
      <c r="C1834"/>
    </row>
    <row r="1835" spans="1:3" x14ac:dyDescent="0.55000000000000004">
      <c r="A1835"/>
      <c r="B1835"/>
      <c r="C1835"/>
    </row>
    <row r="1836" spans="1:3" x14ac:dyDescent="0.55000000000000004">
      <c r="A1836"/>
      <c r="B1836"/>
      <c r="C1836"/>
    </row>
    <row r="1837" spans="1:3" x14ac:dyDescent="0.55000000000000004">
      <c r="A1837"/>
      <c r="B1837"/>
      <c r="C1837"/>
    </row>
    <row r="1838" spans="1:3" x14ac:dyDescent="0.55000000000000004">
      <c r="A1838"/>
      <c r="B1838"/>
      <c r="C1838"/>
    </row>
    <row r="1839" spans="1:3" x14ac:dyDescent="0.55000000000000004">
      <c r="A1839"/>
      <c r="B1839"/>
      <c r="C1839"/>
    </row>
    <row r="1840" spans="1:3" x14ac:dyDescent="0.55000000000000004">
      <c r="A1840"/>
      <c r="B1840"/>
      <c r="C1840"/>
    </row>
    <row r="1841" spans="1:3" x14ac:dyDescent="0.55000000000000004">
      <c r="A1841"/>
      <c r="B1841"/>
      <c r="C1841"/>
    </row>
    <row r="1842" spans="1:3" x14ac:dyDescent="0.55000000000000004">
      <c r="A1842"/>
      <c r="B1842"/>
      <c r="C1842"/>
    </row>
    <row r="1843" spans="1:3" x14ac:dyDescent="0.55000000000000004">
      <c r="A1843"/>
      <c r="B1843"/>
      <c r="C1843"/>
    </row>
    <row r="1844" spans="1:3" x14ac:dyDescent="0.55000000000000004">
      <c r="A1844"/>
      <c r="B1844"/>
      <c r="C1844"/>
    </row>
    <row r="1845" spans="1:3" x14ac:dyDescent="0.55000000000000004">
      <c r="A1845"/>
      <c r="B1845"/>
      <c r="C1845"/>
    </row>
    <row r="1846" spans="1:3" x14ac:dyDescent="0.55000000000000004">
      <c r="A1846"/>
      <c r="B1846"/>
      <c r="C1846"/>
    </row>
    <row r="1847" spans="1:3" x14ac:dyDescent="0.55000000000000004">
      <c r="A1847"/>
      <c r="B1847"/>
      <c r="C1847"/>
    </row>
    <row r="1848" spans="1:3" x14ac:dyDescent="0.55000000000000004">
      <c r="A1848"/>
      <c r="B1848"/>
      <c r="C1848"/>
    </row>
    <row r="1849" spans="1:3" x14ac:dyDescent="0.55000000000000004">
      <c r="A1849"/>
      <c r="B1849"/>
      <c r="C1849"/>
    </row>
    <row r="1850" spans="1:3" x14ac:dyDescent="0.55000000000000004">
      <c r="A1850"/>
      <c r="B1850"/>
      <c r="C1850"/>
    </row>
    <row r="1851" spans="1:3" x14ac:dyDescent="0.55000000000000004">
      <c r="A1851"/>
      <c r="B1851"/>
      <c r="C1851"/>
    </row>
    <row r="1852" spans="1:3" x14ac:dyDescent="0.55000000000000004">
      <c r="A1852"/>
      <c r="B1852"/>
      <c r="C1852"/>
    </row>
    <row r="1853" spans="1:3" x14ac:dyDescent="0.55000000000000004">
      <c r="A1853"/>
      <c r="B1853"/>
      <c r="C1853"/>
    </row>
    <row r="1854" spans="1:3" x14ac:dyDescent="0.55000000000000004">
      <c r="A1854"/>
      <c r="B1854"/>
      <c r="C1854"/>
    </row>
    <row r="1855" spans="1:3" x14ac:dyDescent="0.55000000000000004">
      <c r="A1855"/>
      <c r="B1855"/>
      <c r="C1855"/>
    </row>
    <row r="1856" spans="1:3" x14ac:dyDescent="0.55000000000000004">
      <c r="A1856"/>
      <c r="B1856"/>
      <c r="C1856"/>
    </row>
    <row r="1857" spans="1:3" x14ac:dyDescent="0.55000000000000004">
      <c r="A1857"/>
      <c r="B1857"/>
      <c r="C1857"/>
    </row>
    <row r="1858" spans="1:3" x14ac:dyDescent="0.55000000000000004">
      <c r="A1858"/>
      <c r="B1858"/>
      <c r="C1858"/>
    </row>
    <row r="1859" spans="1:3" x14ac:dyDescent="0.55000000000000004">
      <c r="A1859"/>
      <c r="B1859"/>
      <c r="C1859"/>
    </row>
    <row r="1860" spans="1:3" x14ac:dyDescent="0.55000000000000004">
      <c r="A1860"/>
      <c r="B1860"/>
      <c r="C1860"/>
    </row>
    <row r="1861" spans="1:3" x14ac:dyDescent="0.55000000000000004">
      <c r="A1861"/>
      <c r="B1861"/>
      <c r="C1861"/>
    </row>
    <row r="1862" spans="1:3" x14ac:dyDescent="0.55000000000000004">
      <c r="A1862"/>
      <c r="B1862"/>
      <c r="C1862"/>
    </row>
    <row r="1863" spans="1:3" x14ac:dyDescent="0.55000000000000004">
      <c r="A1863"/>
      <c r="B1863"/>
      <c r="C1863"/>
    </row>
    <row r="1864" spans="1:3" x14ac:dyDescent="0.55000000000000004">
      <c r="A1864"/>
      <c r="B1864"/>
      <c r="C1864"/>
    </row>
    <row r="1865" spans="1:3" x14ac:dyDescent="0.55000000000000004">
      <c r="A1865"/>
      <c r="B1865"/>
      <c r="C1865"/>
    </row>
    <row r="1866" spans="1:3" x14ac:dyDescent="0.55000000000000004">
      <c r="A1866"/>
      <c r="B1866"/>
      <c r="C1866"/>
    </row>
    <row r="1867" spans="1:3" x14ac:dyDescent="0.55000000000000004">
      <c r="A1867"/>
      <c r="B1867"/>
      <c r="C1867"/>
    </row>
    <row r="1868" spans="1:3" x14ac:dyDescent="0.55000000000000004">
      <c r="A1868"/>
      <c r="B1868"/>
      <c r="C1868"/>
    </row>
    <row r="1869" spans="1:3" x14ac:dyDescent="0.55000000000000004">
      <c r="A1869"/>
      <c r="B1869"/>
      <c r="C1869"/>
    </row>
    <row r="1870" spans="1:3" x14ac:dyDescent="0.55000000000000004">
      <c r="A1870"/>
      <c r="B1870"/>
      <c r="C1870"/>
    </row>
    <row r="1871" spans="1:3" x14ac:dyDescent="0.55000000000000004">
      <c r="A1871"/>
      <c r="B1871"/>
      <c r="C1871"/>
    </row>
    <row r="1872" spans="1:3" x14ac:dyDescent="0.55000000000000004">
      <c r="A1872"/>
      <c r="B1872"/>
      <c r="C1872"/>
    </row>
    <row r="1873" spans="1:3" x14ac:dyDescent="0.55000000000000004">
      <c r="A1873"/>
      <c r="B1873"/>
      <c r="C1873"/>
    </row>
    <row r="1874" spans="1:3" x14ac:dyDescent="0.55000000000000004">
      <c r="A1874"/>
      <c r="B1874"/>
      <c r="C1874"/>
    </row>
    <row r="1875" spans="1:3" x14ac:dyDescent="0.55000000000000004">
      <c r="A1875"/>
      <c r="B1875"/>
      <c r="C1875"/>
    </row>
    <row r="1876" spans="1:3" x14ac:dyDescent="0.55000000000000004">
      <c r="A1876"/>
      <c r="B1876"/>
      <c r="C1876"/>
    </row>
    <row r="1877" spans="1:3" x14ac:dyDescent="0.55000000000000004">
      <c r="A1877"/>
      <c r="B1877"/>
      <c r="C1877"/>
    </row>
    <row r="1878" spans="1:3" x14ac:dyDescent="0.55000000000000004">
      <c r="A1878"/>
      <c r="B1878"/>
      <c r="C1878"/>
    </row>
    <row r="1879" spans="1:3" x14ac:dyDescent="0.55000000000000004">
      <c r="A1879"/>
      <c r="B1879"/>
      <c r="C1879"/>
    </row>
    <row r="1880" spans="1:3" x14ac:dyDescent="0.55000000000000004">
      <c r="A1880"/>
      <c r="B1880"/>
      <c r="C1880"/>
    </row>
    <row r="1881" spans="1:3" x14ac:dyDescent="0.55000000000000004">
      <c r="A1881"/>
      <c r="B1881"/>
      <c r="C1881"/>
    </row>
    <row r="1882" spans="1:3" x14ac:dyDescent="0.55000000000000004">
      <c r="A1882"/>
      <c r="B1882"/>
      <c r="C1882"/>
    </row>
    <row r="1883" spans="1:3" x14ac:dyDescent="0.55000000000000004">
      <c r="A1883"/>
      <c r="B1883"/>
      <c r="C1883"/>
    </row>
    <row r="1884" spans="1:3" x14ac:dyDescent="0.55000000000000004">
      <c r="A1884"/>
      <c r="B1884"/>
      <c r="C1884"/>
    </row>
    <row r="1885" spans="1:3" x14ac:dyDescent="0.55000000000000004">
      <c r="A1885"/>
      <c r="B1885"/>
      <c r="C1885"/>
    </row>
    <row r="1886" spans="1:3" x14ac:dyDescent="0.55000000000000004">
      <c r="A1886"/>
      <c r="B1886"/>
      <c r="C1886"/>
    </row>
    <row r="1887" spans="1:3" x14ac:dyDescent="0.55000000000000004">
      <c r="A1887"/>
      <c r="B1887"/>
      <c r="C1887"/>
    </row>
    <row r="1888" spans="1:3" x14ac:dyDescent="0.55000000000000004">
      <c r="A1888"/>
      <c r="B1888"/>
      <c r="C1888"/>
    </row>
    <row r="1889" spans="1:3" x14ac:dyDescent="0.55000000000000004">
      <c r="A1889"/>
      <c r="B1889"/>
      <c r="C1889"/>
    </row>
    <row r="1890" spans="1:3" x14ac:dyDescent="0.55000000000000004">
      <c r="A1890"/>
      <c r="B1890"/>
      <c r="C1890"/>
    </row>
    <row r="1891" spans="1:3" x14ac:dyDescent="0.55000000000000004">
      <c r="A1891"/>
      <c r="B1891"/>
      <c r="C1891"/>
    </row>
    <row r="1892" spans="1:3" x14ac:dyDescent="0.55000000000000004">
      <c r="A1892"/>
      <c r="B1892"/>
      <c r="C1892"/>
    </row>
    <row r="1893" spans="1:3" x14ac:dyDescent="0.55000000000000004">
      <c r="A1893"/>
      <c r="B1893"/>
      <c r="C1893"/>
    </row>
    <row r="1894" spans="1:3" x14ac:dyDescent="0.55000000000000004">
      <c r="A1894"/>
      <c r="B1894"/>
      <c r="C1894"/>
    </row>
    <row r="1895" spans="1:3" x14ac:dyDescent="0.55000000000000004">
      <c r="A1895"/>
      <c r="B1895"/>
      <c r="C1895"/>
    </row>
    <row r="1896" spans="1:3" x14ac:dyDescent="0.55000000000000004">
      <c r="A1896"/>
      <c r="B1896"/>
      <c r="C1896"/>
    </row>
    <row r="1897" spans="1:3" x14ac:dyDescent="0.55000000000000004">
      <c r="A1897"/>
      <c r="B1897"/>
      <c r="C1897"/>
    </row>
    <row r="1898" spans="1:3" x14ac:dyDescent="0.55000000000000004">
      <c r="A1898"/>
      <c r="B1898"/>
      <c r="C1898"/>
    </row>
    <row r="1899" spans="1:3" x14ac:dyDescent="0.55000000000000004">
      <c r="A1899"/>
      <c r="B1899"/>
      <c r="C1899"/>
    </row>
    <row r="1900" spans="1:3" x14ac:dyDescent="0.55000000000000004">
      <c r="A1900"/>
      <c r="B1900"/>
      <c r="C1900"/>
    </row>
    <row r="1901" spans="1:3" x14ac:dyDescent="0.55000000000000004">
      <c r="A1901"/>
      <c r="B1901"/>
      <c r="C1901"/>
    </row>
    <row r="1902" spans="1:3" x14ac:dyDescent="0.55000000000000004">
      <c r="A1902"/>
      <c r="B1902"/>
      <c r="C1902"/>
    </row>
    <row r="1903" spans="1:3" x14ac:dyDescent="0.55000000000000004">
      <c r="A1903"/>
      <c r="B1903"/>
      <c r="C1903"/>
    </row>
    <row r="1904" spans="1:3" x14ac:dyDescent="0.55000000000000004">
      <c r="A1904"/>
      <c r="B1904"/>
      <c r="C1904"/>
    </row>
    <row r="1905" spans="1:3" x14ac:dyDescent="0.55000000000000004">
      <c r="A1905"/>
      <c r="B1905"/>
      <c r="C1905"/>
    </row>
    <row r="1906" spans="1:3" x14ac:dyDescent="0.55000000000000004">
      <c r="A1906"/>
      <c r="B1906"/>
      <c r="C1906"/>
    </row>
    <row r="1907" spans="1:3" x14ac:dyDescent="0.55000000000000004">
      <c r="A1907"/>
      <c r="B1907"/>
      <c r="C1907"/>
    </row>
    <row r="1908" spans="1:3" x14ac:dyDescent="0.55000000000000004">
      <c r="A1908"/>
      <c r="B1908"/>
      <c r="C1908"/>
    </row>
    <row r="1909" spans="1:3" x14ac:dyDescent="0.55000000000000004">
      <c r="A1909"/>
      <c r="B1909"/>
      <c r="C1909"/>
    </row>
    <row r="1910" spans="1:3" x14ac:dyDescent="0.55000000000000004">
      <c r="A1910"/>
      <c r="B1910"/>
      <c r="C1910"/>
    </row>
    <row r="1911" spans="1:3" x14ac:dyDescent="0.55000000000000004">
      <c r="A1911"/>
      <c r="B1911"/>
      <c r="C1911"/>
    </row>
    <row r="1912" spans="1:3" x14ac:dyDescent="0.55000000000000004">
      <c r="A1912"/>
      <c r="B1912"/>
      <c r="C1912"/>
    </row>
    <row r="1913" spans="1:3" x14ac:dyDescent="0.55000000000000004">
      <c r="A1913"/>
      <c r="B1913"/>
      <c r="C1913"/>
    </row>
    <row r="1914" spans="1:3" x14ac:dyDescent="0.55000000000000004">
      <c r="A1914"/>
      <c r="B1914"/>
      <c r="C1914"/>
    </row>
    <row r="1915" spans="1:3" x14ac:dyDescent="0.55000000000000004">
      <c r="A1915"/>
      <c r="B1915"/>
      <c r="C1915"/>
    </row>
    <row r="1916" spans="1:3" x14ac:dyDescent="0.55000000000000004">
      <c r="A1916"/>
      <c r="B1916"/>
      <c r="C1916"/>
    </row>
    <row r="1917" spans="1:3" x14ac:dyDescent="0.55000000000000004">
      <c r="A1917"/>
      <c r="B1917"/>
      <c r="C1917"/>
    </row>
    <row r="1918" spans="1:3" x14ac:dyDescent="0.55000000000000004">
      <c r="A1918"/>
      <c r="B1918"/>
      <c r="C1918"/>
    </row>
    <row r="1919" spans="1:3" x14ac:dyDescent="0.55000000000000004">
      <c r="A1919"/>
      <c r="B1919"/>
      <c r="C1919"/>
    </row>
    <row r="1920" spans="1:3" x14ac:dyDescent="0.55000000000000004">
      <c r="A1920"/>
      <c r="B1920"/>
      <c r="C1920"/>
    </row>
    <row r="1921" spans="1:3" x14ac:dyDescent="0.55000000000000004">
      <c r="A1921"/>
      <c r="B1921"/>
      <c r="C1921"/>
    </row>
    <row r="1922" spans="1:3" x14ac:dyDescent="0.55000000000000004">
      <c r="A1922"/>
      <c r="B1922"/>
      <c r="C1922"/>
    </row>
    <row r="1923" spans="1:3" x14ac:dyDescent="0.55000000000000004">
      <c r="A1923"/>
      <c r="B1923"/>
      <c r="C1923"/>
    </row>
    <row r="1924" spans="1:3" x14ac:dyDescent="0.55000000000000004">
      <c r="A1924"/>
      <c r="B1924"/>
      <c r="C1924"/>
    </row>
    <row r="1925" spans="1:3" x14ac:dyDescent="0.55000000000000004">
      <c r="A1925"/>
      <c r="B1925"/>
      <c r="C1925"/>
    </row>
    <row r="1926" spans="1:3" x14ac:dyDescent="0.55000000000000004">
      <c r="A1926"/>
      <c r="B1926"/>
      <c r="C1926"/>
    </row>
    <row r="1927" spans="1:3" x14ac:dyDescent="0.55000000000000004">
      <c r="A1927"/>
      <c r="B1927"/>
      <c r="C1927"/>
    </row>
    <row r="1928" spans="1:3" x14ac:dyDescent="0.55000000000000004">
      <c r="A1928"/>
      <c r="B1928"/>
      <c r="C1928"/>
    </row>
    <row r="1929" spans="1:3" x14ac:dyDescent="0.55000000000000004">
      <c r="A1929"/>
      <c r="B1929"/>
      <c r="C1929"/>
    </row>
    <row r="1930" spans="1:3" x14ac:dyDescent="0.55000000000000004">
      <c r="A1930"/>
      <c r="B1930"/>
      <c r="C1930"/>
    </row>
    <row r="1931" spans="1:3" x14ac:dyDescent="0.55000000000000004">
      <c r="A1931"/>
      <c r="B1931"/>
      <c r="C1931"/>
    </row>
    <row r="1932" spans="1:3" x14ac:dyDescent="0.55000000000000004">
      <c r="A1932"/>
      <c r="B1932"/>
      <c r="C1932"/>
    </row>
    <row r="1933" spans="1:3" x14ac:dyDescent="0.55000000000000004">
      <c r="A1933"/>
      <c r="B1933"/>
      <c r="C1933"/>
    </row>
    <row r="1934" spans="1:3" x14ac:dyDescent="0.55000000000000004">
      <c r="A1934"/>
      <c r="B1934"/>
      <c r="C1934"/>
    </row>
    <row r="1935" spans="1:3" x14ac:dyDescent="0.55000000000000004">
      <c r="A1935"/>
      <c r="B1935"/>
      <c r="C1935"/>
    </row>
    <row r="1936" spans="1:3" x14ac:dyDescent="0.55000000000000004">
      <c r="A1936"/>
      <c r="B1936"/>
      <c r="C1936"/>
    </row>
    <row r="1937" spans="1:3" x14ac:dyDescent="0.55000000000000004">
      <c r="A1937"/>
      <c r="B1937"/>
      <c r="C1937"/>
    </row>
    <row r="1938" spans="1:3" x14ac:dyDescent="0.55000000000000004">
      <c r="A1938"/>
      <c r="B1938"/>
      <c r="C1938"/>
    </row>
    <row r="1939" spans="1:3" x14ac:dyDescent="0.55000000000000004">
      <c r="A1939"/>
      <c r="B1939"/>
      <c r="C1939"/>
    </row>
    <row r="1940" spans="1:3" x14ac:dyDescent="0.55000000000000004">
      <c r="A1940"/>
      <c r="B1940"/>
      <c r="C1940"/>
    </row>
    <row r="1941" spans="1:3" x14ac:dyDescent="0.55000000000000004">
      <c r="A1941"/>
      <c r="B1941"/>
      <c r="C1941"/>
    </row>
    <row r="1942" spans="1:3" x14ac:dyDescent="0.55000000000000004">
      <c r="A1942"/>
      <c r="B1942"/>
      <c r="C1942"/>
    </row>
    <row r="1943" spans="1:3" x14ac:dyDescent="0.55000000000000004">
      <c r="A1943"/>
      <c r="B1943"/>
      <c r="C1943"/>
    </row>
    <row r="1944" spans="1:3" x14ac:dyDescent="0.55000000000000004">
      <c r="A1944"/>
      <c r="B1944"/>
      <c r="C1944"/>
    </row>
    <row r="1945" spans="1:3" x14ac:dyDescent="0.55000000000000004">
      <c r="A1945"/>
      <c r="B1945"/>
      <c r="C1945"/>
    </row>
    <row r="1946" spans="1:3" x14ac:dyDescent="0.55000000000000004">
      <c r="A1946"/>
      <c r="B1946"/>
      <c r="C1946"/>
    </row>
    <row r="1947" spans="1:3" x14ac:dyDescent="0.55000000000000004">
      <c r="A1947"/>
      <c r="B1947"/>
      <c r="C1947"/>
    </row>
    <row r="1948" spans="1:3" x14ac:dyDescent="0.55000000000000004">
      <c r="A1948"/>
      <c r="B1948"/>
      <c r="C1948"/>
    </row>
    <row r="1949" spans="1:3" x14ac:dyDescent="0.55000000000000004">
      <c r="A1949"/>
      <c r="B1949"/>
      <c r="C1949"/>
    </row>
    <row r="1950" spans="1:3" x14ac:dyDescent="0.55000000000000004">
      <c r="A1950"/>
      <c r="B1950"/>
      <c r="C1950"/>
    </row>
    <row r="1951" spans="1:3" x14ac:dyDescent="0.55000000000000004">
      <c r="A1951"/>
      <c r="B1951"/>
      <c r="C1951"/>
    </row>
    <row r="1952" spans="1:3" x14ac:dyDescent="0.55000000000000004">
      <c r="A1952"/>
      <c r="B1952"/>
      <c r="C1952"/>
    </row>
    <row r="1953" spans="1:3" x14ac:dyDescent="0.55000000000000004">
      <c r="A1953"/>
      <c r="B1953"/>
      <c r="C1953"/>
    </row>
    <row r="1954" spans="1:3" x14ac:dyDescent="0.55000000000000004">
      <c r="A1954"/>
      <c r="B1954"/>
      <c r="C1954"/>
    </row>
    <row r="1955" spans="1:3" x14ac:dyDescent="0.55000000000000004">
      <c r="A1955"/>
      <c r="B1955"/>
      <c r="C1955"/>
    </row>
    <row r="1956" spans="1:3" x14ac:dyDescent="0.55000000000000004">
      <c r="A1956"/>
      <c r="B1956"/>
      <c r="C1956"/>
    </row>
    <row r="1957" spans="1:3" x14ac:dyDescent="0.55000000000000004">
      <c r="A1957"/>
      <c r="B1957"/>
      <c r="C1957"/>
    </row>
    <row r="1958" spans="1:3" x14ac:dyDescent="0.55000000000000004">
      <c r="A1958"/>
      <c r="B1958"/>
      <c r="C1958"/>
    </row>
    <row r="1959" spans="1:3" x14ac:dyDescent="0.55000000000000004">
      <c r="A1959"/>
      <c r="B1959"/>
      <c r="C1959"/>
    </row>
    <row r="1960" spans="1:3" x14ac:dyDescent="0.55000000000000004">
      <c r="A1960"/>
      <c r="B1960"/>
      <c r="C1960"/>
    </row>
    <row r="1961" spans="1:3" x14ac:dyDescent="0.55000000000000004">
      <c r="A1961"/>
      <c r="B1961"/>
      <c r="C1961"/>
    </row>
    <row r="1962" spans="1:3" x14ac:dyDescent="0.55000000000000004">
      <c r="A1962"/>
      <c r="B1962"/>
      <c r="C1962"/>
    </row>
    <row r="1963" spans="1:3" x14ac:dyDescent="0.55000000000000004">
      <c r="A1963"/>
      <c r="B1963"/>
      <c r="C1963"/>
    </row>
    <row r="1964" spans="1:3" x14ac:dyDescent="0.55000000000000004">
      <c r="A1964"/>
      <c r="B1964"/>
      <c r="C1964"/>
    </row>
    <row r="1965" spans="1:3" x14ac:dyDescent="0.55000000000000004">
      <c r="A1965"/>
      <c r="B1965"/>
      <c r="C1965"/>
    </row>
    <row r="1966" spans="1:3" x14ac:dyDescent="0.55000000000000004">
      <c r="A1966"/>
      <c r="B1966"/>
      <c r="C1966"/>
    </row>
    <row r="1967" spans="1:3" x14ac:dyDescent="0.55000000000000004">
      <c r="A1967"/>
      <c r="B1967"/>
      <c r="C1967"/>
    </row>
    <row r="1968" spans="1:3" x14ac:dyDescent="0.55000000000000004">
      <c r="A1968"/>
      <c r="B1968"/>
      <c r="C1968"/>
    </row>
    <row r="1969" spans="1:3" x14ac:dyDescent="0.55000000000000004">
      <c r="A1969"/>
      <c r="B1969"/>
      <c r="C1969"/>
    </row>
    <row r="1970" spans="1:3" x14ac:dyDescent="0.55000000000000004">
      <c r="A1970"/>
      <c r="B1970"/>
      <c r="C1970"/>
    </row>
    <row r="1971" spans="1:3" x14ac:dyDescent="0.55000000000000004">
      <c r="A1971"/>
      <c r="B1971"/>
      <c r="C1971"/>
    </row>
    <row r="1972" spans="1:3" x14ac:dyDescent="0.55000000000000004">
      <c r="A1972"/>
      <c r="B1972"/>
      <c r="C1972"/>
    </row>
    <row r="1973" spans="1:3" x14ac:dyDescent="0.55000000000000004">
      <c r="A1973"/>
      <c r="B1973"/>
      <c r="C1973"/>
    </row>
    <row r="1974" spans="1:3" x14ac:dyDescent="0.55000000000000004">
      <c r="A1974"/>
      <c r="B1974"/>
      <c r="C1974"/>
    </row>
    <row r="1975" spans="1:3" x14ac:dyDescent="0.55000000000000004">
      <c r="A1975"/>
      <c r="B1975"/>
      <c r="C1975"/>
    </row>
    <row r="1976" spans="1:3" x14ac:dyDescent="0.55000000000000004">
      <c r="A1976"/>
      <c r="B1976"/>
      <c r="C1976"/>
    </row>
    <row r="1977" spans="1:3" x14ac:dyDescent="0.55000000000000004">
      <c r="A1977"/>
      <c r="B1977"/>
      <c r="C1977"/>
    </row>
    <row r="1978" spans="1:3" x14ac:dyDescent="0.55000000000000004">
      <c r="A1978"/>
      <c r="B1978"/>
      <c r="C1978"/>
    </row>
    <row r="1979" spans="1:3" x14ac:dyDescent="0.55000000000000004">
      <c r="A1979"/>
      <c r="B1979"/>
      <c r="C1979"/>
    </row>
    <row r="1980" spans="1:3" x14ac:dyDescent="0.55000000000000004">
      <c r="A1980"/>
      <c r="B1980"/>
      <c r="C1980"/>
    </row>
    <row r="1981" spans="1:3" x14ac:dyDescent="0.55000000000000004">
      <c r="A1981"/>
      <c r="B1981"/>
      <c r="C1981"/>
    </row>
    <row r="1982" spans="1:3" x14ac:dyDescent="0.55000000000000004">
      <c r="A1982"/>
      <c r="B1982"/>
      <c r="C1982"/>
    </row>
    <row r="1983" spans="1:3" x14ac:dyDescent="0.55000000000000004">
      <c r="A1983"/>
      <c r="B1983"/>
      <c r="C1983"/>
    </row>
    <row r="1984" spans="1:3" x14ac:dyDescent="0.55000000000000004">
      <c r="A1984"/>
      <c r="B1984"/>
      <c r="C1984"/>
    </row>
    <row r="1985" spans="1:3" x14ac:dyDescent="0.55000000000000004">
      <c r="A1985"/>
      <c r="B1985"/>
      <c r="C1985"/>
    </row>
    <row r="1986" spans="1:3" x14ac:dyDescent="0.55000000000000004">
      <c r="A1986"/>
      <c r="B1986"/>
      <c r="C1986"/>
    </row>
    <row r="1987" spans="1:3" x14ac:dyDescent="0.55000000000000004">
      <c r="A1987"/>
      <c r="B1987"/>
      <c r="C1987"/>
    </row>
    <row r="1988" spans="1:3" x14ac:dyDescent="0.55000000000000004">
      <c r="A1988"/>
      <c r="B1988"/>
      <c r="C1988"/>
    </row>
    <row r="1989" spans="1:3" x14ac:dyDescent="0.55000000000000004">
      <c r="A1989"/>
      <c r="B1989"/>
      <c r="C1989"/>
    </row>
    <row r="1990" spans="1:3" x14ac:dyDescent="0.55000000000000004">
      <c r="A1990"/>
      <c r="B1990"/>
      <c r="C1990"/>
    </row>
    <row r="1991" spans="1:3" x14ac:dyDescent="0.55000000000000004">
      <c r="A1991"/>
      <c r="B1991"/>
      <c r="C1991"/>
    </row>
    <row r="1992" spans="1:3" x14ac:dyDescent="0.55000000000000004">
      <c r="A1992"/>
      <c r="B1992"/>
      <c r="C1992"/>
    </row>
    <row r="1993" spans="1:3" x14ac:dyDescent="0.55000000000000004">
      <c r="A1993"/>
      <c r="B1993"/>
      <c r="C1993"/>
    </row>
    <row r="1994" spans="1:3" x14ac:dyDescent="0.55000000000000004">
      <c r="A1994"/>
      <c r="B1994"/>
      <c r="C1994"/>
    </row>
    <row r="1995" spans="1:3" x14ac:dyDescent="0.55000000000000004">
      <c r="A1995"/>
      <c r="B1995"/>
      <c r="C1995"/>
    </row>
    <row r="1996" spans="1:3" x14ac:dyDescent="0.55000000000000004">
      <c r="A1996"/>
      <c r="B1996"/>
      <c r="C1996"/>
    </row>
    <row r="1997" spans="1:3" x14ac:dyDescent="0.55000000000000004">
      <c r="A1997"/>
      <c r="B1997"/>
      <c r="C1997"/>
    </row>
    <row r="1998" spans="1:3" x14ac:dyDescent="0.55000000000000004">
      <c r="A1998"/>
      <c r="B1998"/>
      <c r="C1998"/>
    </row>
    <row r="1999" spans="1:3" x14ac:dyDescent="0.55000000000000004">
      <c r="A1999"/>
      <c r="B1999"/>
      <c r="C1999"/>
    </row>
    <row r="2000" spans="1:3" x14ac:dyDescent="0.55000000000000004">
      <c r="A2000"/>
      <c r="B2000"/>
      <c r="C2000"/>
    </row>
    <row r="2001" spans="1:3" x14ac:dyDescent="0.55000000000000004">
      <c r="A2001"/>
      <c r="B2001"/>
      <c r="C2001"/>
    </row>
    <row r="2002" spans="1:3" x14ac:dyDescent="0.55000000000000004">
      <c r="A2002"/>
      <c r="B2002"/>
      <c r="C2002"/>
    </row>
    <row r="2003" spans="1:3" x14ac:dyDescent="0.55000000000000004">
      <c r="A2003"/>
      <c r="B2003"/>
      <c r="C2003"/>
    </row>
    <row r="2004" spans="1:3" x14ac:dyDescent="0.55000000000000004">
      <c r="A2004"/>
      <c r="B2004"/>
      <c r="C2004"/>
    </row>
    <row r="2005" spans="1:3" x14ac:dyDescent="0.55000000000000004">
      <c r="A2005"/>
      <c r="B2005"/>
      <c r="C2005"/>
    </row>
    <row r="2006" spans="1:3" x14ac:dyDescent="0.55000000000000004">
      <c r="A2006"/>
      <c r="B2006"/>
      <c r="C2006"/>
    </row>
    <row r="2007" spans="1:3" x14ac:dyDescent="0.55000000000000004">
      <c r="A2007"/>
      <c r="B2007"/>
      <c r="C2007"/>
    </row>
    <row r="2008" spans="1:3" x14ac:dyDescent="0.55000000000000004">
      <c r="A2008"/>
      <c r="B2008"/>
      <c r="C2008"/>
    </row>
    <row r="2009" spans="1:3" x14ac:dyDescent="0.55000000000000004">
      <c r="A2009"/>
      <c r="B2009"/>
      <c r="C2009"/>
    </row>
    <row r="2010" spans="1:3" x14ac:dyDescent="0.55000000000000004">
      <c r="A2010"/>
      <c r="B2010"/>
      <c r="C2010"/>
    </row>
    <row r="2011" spans="1:3" x14ac:dyDescent="0.55000000000000004">
      <c r="A2011"/>
      <c r="B2011"/>
      <c r="C2011"/>
    </row>
    <row r="2012" spans="1:3" x14ac:dyDescent="0.55000000000000004">
      <c r="A2012"/>
      <c r="B2012"/>
      <c r="C2012"/>
    </row>
    <row r="2013" spans="1:3" x14ac:dyDescent="0.55000000000000004">
      <c r="A2013"/>
      <c r="B2013"/>
      <c r="C2013"/>
    </row>
    <row r="2014" spans="1:3" x14ac:dyDescent="0.55000000000000004">
      <c r="A2014"/>
      <c r="B2014"/>
      <c r="C2014"/>
    </row>
    <row r="2015" spans="1:3" x14ac:dyDescent="0.55000000000000004">
      <c r="A2015"/>
      <c r="B2015"/>
      <c r="C2015"/>
    </row>
    <row r="2016" spans="1:3" x14ac:dyDescent="0.55000000000000004">
      <c r="A2016"/>
      <c r="B2016"/>
      <c r="C2016"/>
    </row>
    <row r="2017" spans="1:3" x14ac:dyDescent="0.55000000000000004">
      <c r="A2017"/>
      <c r="B2017"/>
      <c r="C2017"/>
    </row>
    <row r="2018" spans="1:3" x14ac:dyDescent="0.55000000000000004">
      <c r="A2018"/>
      <c r="B2018"/>
      <c r="C2018"/>
    </row>
    <row r="2019" spans="1:3" x14ac:dyDescent="0.55000000000000004">
      <c r="A2019"/>
      <c r="B2019"/>
      <c r="C2019"/>
    </row>
    <row r="2020" spans="1:3" x14ac:dyDescent="0.55000000000000004">
      <c r="A2020"/>
      <c r="B2020"/>
      <c r="C2020"/>
    </row>
    <row r="2021" spans="1:3" x14ac:dyDescent="0.55000000000000004">
      <c r="A2021"/>
      <c r="B2021"/>
      <c r="C2021"/>
    </row>
    <row r="2022" spans="1:3" x14ac:dyDescent="0.55000000000000004">
      <c r="A2022"/>
      <c r="B2022"/>
      <c r="C2022"/>
    </row>
    <row r="2023" spans="1:3" x14ac:dyDescent="0.55000000000000004">
      <c r="A2023"/>
      <c r="B2023"/>
      <c r="C2023"/>
    </row>
    <row r="2024" spans="1:3" x14ac:dyDescent="0.55000000000000004">
      <c r="A2024"/>
      <c r="B2024"/>
      <c r="C2024"/>
    </row>
    <row r="2025" spans="1:3" x14ac:dyDescent="0.55000000000000004">
      <c r="A2025"/>
      <c r="B2025"/>
      <c r="C2025"/>
    </row>
    <row r="2026" spans="1:3" x14ac:dyDescent="0.55000000000000004">
      <c r="A2026"/>
      <c r="B2026"/>
      <c r="C2026"/>
    </row>
    <row r="2027" spans="1:3" x14ac:dyDescent="0.55000000000000004">
      <c r="A2027"/>
      <c r="B2027"/>
      <c r="C2027"/>
    </row>
    <row r="2028" spans="1:3" x14ac:dyDescent="0.55000000000000004">
      <c r="A2028"/>
      <c r="B2028"/>
      <c r="C2028"/>
    </row>
    <row r="2029" spans="1:3" x14ac:dyDescent="0.55000000000000004">
      <c r="A2029"/>
      <c r="B2029"/>
      <c r="C2029"/>
    </row>
    <row r="2030" spans="1:3" x14ac:dyDescent="0.55000000000000004">
      <c r="A2030"/>
      <c r="B2030"/>
      <c r="C2030"/>
    </row>
    <row r="2031" spans="1:3" x14ac:dyDescent="0.55000000000000004">
      <c r="A2031"/>
      <c r="B2031"/>
      <c r="C2031"/>
    </row>
    <row r="2032" spans="1:3" x14ac:dyDescent="0.55000000000000004">
      <c r="A2032"/>
      <c r="B2032"/>
      <c r="C2032"/>
    </row>
    <row r="2033" spans="1:3" x14ac:dyDescent="0.55000000000000004">
      <c r="A2033"/>
      <c r="B2033"/>
      <c r="C2033"/>
    </row>
    <row r="2034" spans="1:3" x14ac:dyDescent="0.55000000000000004">
      <c r="A2034"/>
      <c r="B2034"/>
      <c r="C2034"/>
    </row>
    <row r="2035" spans="1:3" x14ac:dyDescent="0.55000000000000004">
      <c r="A2035"/>
      <c r="B2035"/>
      <c r="C2035"/>
    </row>
    <row r="2036" spans="1:3" x14ac:dyDescent="0.55000000000000004">
      <c r="A2036"/>
      <c r="B2036"/>
      <c r="C2036"/>
    </row>
    <row r="2037" spans="1:3" x14ac:dyDescent="0.55000000000000004">
      <c r="A2037"/>
      <c r="B2037"/>
      <c r="C2037"/>
    </row>
    <row r="2038" spans="1:3" x14ac:dyDescent="0.55000000000000004">
      <c r="A2038"/>
      <c r="B2038"/>
      <c r="C2038"/>
    </row>
    <row r="2039" spans="1:3" x14ac:dyDescent="0.55000000000000004">
      <c r="A2039"/>
      <c r="B2039"/>
      <c r="C2039"/>
    </row>
    <row r="2040" spans="1:3" x14ac:dyDescent="0.55000000000000004">
      <c r="A2040"/>
      <c r="B2040"/>
      <c r="C2040"/>
    </row>
    <row r="2041" spans="1:3" x14ac:dyDescent="0.55000000000000004">
      <c r="A2041"/>
      <c r="B2041"/>
      <c r="C2041"/>
    </row>
    <row r="2042" spans="1:3" x14ac:dyDescent="0.55000000000000004">
      <c r="A2042"/>
      <c r="B2042"/>
      <c r="C2042"/>
    </row>
    <row r="2043" spans="1:3" x14ac:dyDescent="0.55000000000000004">
      <c r="A2043"/>
      <c r="B2043"/>
      <c r="C2043"/>
    </row>
    <row r="2044" spans="1:3" x14ac:dyDescent="0.55000000000000004">
      <c r="A2044"/>
      <c r="B2044"/>
      <c r="C2044"/>
    </row>
    <row r="2045" spans="1:3" x14ac:dyDescent="0.55000000000000004">
      <c r="A2045"/>
      <c r="B2045"/>
      <c r="C2045"/>
    </row>
    <row r="2046" spans="1:3" x14ac:dyDescent="0.55000000000000004">
      <c r="A2046"/>
      <c r="B2046"/>
      <c r="C2046"/>
    </row>
    <row r="2047" spans="1:3" x14ac:dyDescent="0.55000000000000004">
      <c r="A2047"/>
      <c r="B2047"/>
      <c r="C2047"/>
    </row>
    <row r="2048" spans="1:3" x14ac:dyDescent="0.55000000000000004">
      <c r="A2048"/>
      <c r="B2048"/>
      <c r="C2048"/>
    </row>
    <row r="2049" spans="1:3" x14ac:dyDescent="0.55000000000000004">
      <c r="A2049"/>
      <c r="B2049"/>
      <c r="C2049"/>
    </row>
    <row r="2050" spans="1:3" x14ac:dyDescent="0.55000000000000004">
      <c r="A2050"/>
      <c r="B2050"/>
      <c r="C2050"/>
    </row>
    <row r="2051" spans="1:3" x14ac:dyDescent="0.55000000000000004">
      <c r="A2051"/>
      <c r="B2051"/>
      <c r="C2051"/>
    </row>
    <row r="2052" spans="1:3" x14ac:dyDescent="0.55000000000000004">
      <c r="A2052"/>
      <c r="B2052"/>
      <c r="C2052"/>
    </row>
    <row r="2053" spans="1:3" x14ac:dyDescent="0.55000000000000004">
      <c r="A2053"/>
      <c r="B2053"/>
      <c r="C2053"/>
    </row>
    <row r="2054" spans="1:3" x14ac:dyDescent="0.55000000000000004">
      <c r="A2054"/>
      <c r="B2054"/>
      <c r="C2054"/>
    </row>
    <row r="2055" spans="1:3" x14ac:dyDescent="0.55000000000000004">
      <c r="A2055"/>
      <c r="B2055"/>
      <c r="C2055"/>
    </row>
    <row r="2056" spans="1:3" x14ac:dyDescent="0.55000000000000004">
      <c r="A2056"/>
      <c r="B2056"/>
      <c r="C2056"/>
    </row>
    <row r="2057" spans="1:3" x14ac:dyDescent="0.55000000000000004">
      <c r="A2057"/>
      <c r="B2057"/>
      <c r="C2057"/>
    </row>
    <row r="2058" spans="1:3" x14ac:dyDescent="0.55000000000000004">
      <c r="A2058"/>
      <c r="B2058"/>
      <c r="C2058"/>
    </row>
    <row r="2059" spans="1:3" x14ac:dyDescent="0.55000000000000004">
      <c r="A2059"/>
      <c r="B2059"/>
      <c r="C2059"/>
    </row>
    <row r="2060" spans="1:3" x14ac:dyDescent="0.55000000000000004">
      <c r="A2060"/>
      <c r="B2060"/>
      <c r="C2060"/>
    </row>
    <row r="2061" spans="1:3" x14ac:dyDescent="0.55000000000000004">
      <c r="A2061"/>
      <c r="B2061"/>
      <c r="C2061"/>
    </row>
    <row r="2062" spans="1:3" x14ac:dyDescent="0.55000000000000004">
      <c r="A2062"/>
      <c r="B2062"/>
      <c r="C2062"/>
    </row>
    <row r="2063" spans="1:3" x14ac:dyDescent="0.55000000000000004">
      <c r="A2063"/>
      <c r="B2063"/>
      <c r="C2063"/>
    </row>
    <row r="2064" spans="1:3" x14ac:dyDescent="0.55000000000000004">
      <c r="A2064"/>
      <c r="B2064"/>
      <c r="C2064"/>
    </row>
    <row r="2065" spans="1:3" x14ac:dyDescent="0.55000000000000004">
      <c r="A2065"/>
      <c r="B2065"/>
      <c r="C2065"/>
    </row>
    <row r="2066" spans="1:3" x14ac:dyDescent="0.55000000000000004">
      <c r="A2066"/>
      <c r="B2066"/>
      <c r="C2066"/>
    </row>
    <row r="2067" spans="1:3" x14ac:dyDescent="0.55000000000000004">
      <c r="A2067"/>
      <c r="B2067"/>
      <c r="C2067"/>
    </row>
    <row r="2068" spans="1:3" x14ac:dyDescent="0.55000000000000004">
      <c r="A2068"/>
      <c r="B2068"/>
      <c r="C2068"/>
    </row>
    <row r="2069" spans="1:3" x14ac:dyDescent="0.55000000000000004">
      <c r="A2069"/>
      <c r="B2069"/>
      <c r="C2069"/>
    </row>
    <row r="2070" spans="1:3" x14ac:dyDescent="0.55000000000000004">
      <c r="A2070"/>
      <c r="B2070"/>
      <c r="C2070"/>
    </row>
    <row r="2071" spans="1:3" x14ac:dyDescent="0.55000000000000004">
      <c r="A2071"/>
      <c r="B2071"/>
      <c r="C2071"/>
    </row>
    <row r="2072" spans="1:3" x14ac:dyDescent="0.55000000000000004">
      <c r="A2072"/>
      <c r="B2072"/>
      <c r="C2072"/>
    </row>
    <row r="2073" spans="1:3" x14ac:dyDescent="0.55000000000000004">
      <c r="A2073"/>
      <c r="B2073"/>
      <c r="C2073"/>
    </row>
    <row r="2074" spans="1:3" x14ac:dyDescent="0.55000000000000004">
      <c r="A2074"/>
      <c r="B2074"/>
      <c r="C2074"/>
    </row>
    <row r="2075" spans="1:3" x14ac:dyDescent="0.55000000000000004">
      <c r="A2075"/>
      <c r="B2075"/>
      <c r="C2075"/>
    </row>
    <row r="2076" spans="1:3" x14ac:dyDescent="0.55000000000000004">
      <c r="A2076"/>
      <c r="B2076"/>
      <c r="C2076"/>
    </row>
    <row r="2077" spans="1:3" x14ac:dyDescent="0.55000000000000004">
      <c r="A2077"/>
      <c r="B2077"/>
      <c r="C2077"/>
    </row>
    <row r="2078" spans="1:3" x14ac:dyDescent="0.55000000000000004">
      <c r="A2078"/>
      <c r="B2078"/>
      <c r="C2078"/>
    </row>
    <row r="2079" spans="1:3" x14ac:dyDescent="0.55000000000000004">
      <c r="A2079"/>
      <c r="B2079"/>
      <c r="C2079"/>
    </row>
    <row r="2080" spans="1:3" x14ac:dyDescent="0.55000000000000004">
      <c r="A2080"/>
      <c r="B2080"/>
      <c r="C2080"/>
    </row>
    <row r="2081" spans="1:3" x14ac:dyDescent="0.55000000000000004">
      <c r="A2081"/>
      <c r="B2081"/>
      <c r="C2081"/>
    </row>
    <row r="2082" spans="1:3" x14ac:dyDescent="0.55000000000000004">
      <c r="A2082"/>
      <c r="B2082"/>
      <c r="C2082"/>
    </row>
    <row r="2083" spans="1:3" x14ac:dyDescent="0.55000000000000004">
      <c r="A2083"/>
      <c r="B2083"/>
      <c r="C2083"/>
    </row>
    <row r="2084" spans="1:3" x14ac:dyDescent="0.55000000000000004">
      <c r="A2084"/>
      <c r="B2084"/>
      <c r="C2084"/>
    </row>
    <row r="2085" spans="1:3" x14ac:dyDescent="0.55000000000000004">
      <c r="A2085"/>
      <c r="B2085"/>
      <c r="C2085"/>
    </row>
    <row r="2086" spans="1:3" x14ac:dyDescent="0.55000000000000004">
      <c r="A2086"/>
      <c r="B2086"/>
      <c r="C2086"/>
    </row>
    <row r="2087" spans="1:3" x14ac:dyDescent="0.55000000000000004">
      <c r="A2087"/>
      <c r="B2087"/>
      <c r="C2087"/>
    </row>
    <row r="2088" spans="1:3" x14ac:dyDescent="0.55000000000000004">
      <c r="A2088"/>
      <c r="B2088"/>
      <c r="C2088"/>
    </row>
    <row r="2089" spans="1:3" x14ac:dyDescent="0.55000000000000004">
      <c r="A2089"/>
      <c r="B2089"/>
      <c r="C2089"/>
    </row>
    <row r="2090" spans="1:3" x14ac:dyDescent="0.55000000000000004">
      <c r="A2090"/>
      <c r="B2090"/>
      <c r="C2090"/>
    </row>
    <row r="2091" spans="1:3" x14ac:dyDescent="0.55000000000000004">
      <c r="A2091"/>
      <c r="B2091"/>
      <c r="C2091"/>
    </row>
    <row r="2092" spans="1:3" x14ac:dyDescent="0.55000000000000004">
      <c r="A2092"/>
      <c r="B2092"/>
      <c r="C2092"/>
    </row>
    <row r="2093" spans="1:3" x14ac:dyDescent="0.55000000000000004">
      <c r="A2093"/>
      <c r="B2093"/>
      <c r="C2093"/>
    </row>
    <row r="2094" spans="1:3" x14ac:dyDescent="0.55000000000000004">
      <c r="A2094"/>
      <c r="B2094"/>
      <c r="C2094"/>
    </row>
    <row r="2095" spans="1:3" x14ac:dyDescent="0.55000000000000004">
      <c r="A2095"/>
      <c r="B2095"/>
      <c r="C2095"/>
    </row>
    <row r="2096" spans="1:3" x14ac:dyDescent="0.55000000000000004">
      <c r="A2096"/>
      <c r="B2096"/>
      <c r="C2096"/>
    </row>
    <row r="2097" spans="1:3" x14ac:dyDescent="0.55000000000000004">
      <c r="A2097"/>
      <c r="B2097"/>
      <c r="C2097"/>
    </row>
    <row r="2098" spans="1:3" x14ac:dyDescent="0.55000000000000004">
      <c r="A2098"/>
      <c r="B2098"/>
      <c r="C2098"/>
    </row>
    <row r="2099" spans="1:3" x14ac:dyDescent="0.55000000000000004">
      <c r="A2099"/>
      <c r="B2099"/>
      <c r="C2099"/>
    </row>
    <row r="2100" spans="1:3" x14ac:dyDescent="0.55000000000000004">
      <c r="A2100"/>
      <c r="B2100"/>
      <c r="C2100"/>
    </row>
    <row r="2101" spans="1:3" x14ac:dyDescent="0.55000000000000004">
      <c r="A2101"/>
      <c r="B2101"/>
      <c r="C2101"/>
    </row>
    <row r="2102" spans="1:3" x14ac:dyDescent="0.55000000000000004">
      <c r="A2102"/>
      <c r="B2102"/>
      <c r="C2102"/>
    </row>
    <row r="2103" spans="1:3" x14ac:dyDescent="0.55000000000000004">
      <c r="A2103"/>
      <c r="B2103"/>
      <c r="C2103"/>
    </row>
    <row r="2104" spans="1:3" x14ac:dyDescent="0.55000000000000004">
      <c r="A2104"/>
      <c r="B2104"/>
      <c r="C2104"/>
    </row>
    <row r="2105" spans="1:3" x14ac:dyDescent="0.55000000000000004">
      <c r="A2105"/>
      <c r="B2105"/>
      <c r="C2105"/>
    </row>
    <row r="2106" spans="1:3" x14ac:dyDescent="0.55000000000000004">
      <c r="A2106"/>
      <c r="B2106"/>
      <c r="C2106"/>
    </row>
    <row r="2107" spans="1:3" x14ac:dyDescent="0.55000000000000004">
      <c r="A2107"/>
      <c r="B2107"/>
      <c r="C2107"/>
    </row>
    <row r="2108" spans="1:3" x14ac:dyDescent="0.55000000000000004">
      <c r="A2108"/>
      <c r="B2108"/>
      <c r="C2108"/>
    </row>
    <row r="2109" spans="1:3" x14ac:dyDescent="0.55000000000000004">
      <c r="A2109"/>
      <c r="B2109"/>
      <c r="C2109"/>
    </row>
    <row r="2110" spans="1:3" x14ac:dyDescent="0.55000000000000004">
      <c r="A2110"/>
      <c r="B2110"/>
      <c r="C2110"/>
    </row>
    <row r="2111" spans="1:3" x14ac:dyDescent="0.55000000000000004">
      <c r="A2111"/>
      <c r="B2111"/>
      <c r="C2111"/>
    </row>
    <row r="2112" spans="1:3" x14ac:dyDescent="0.55000000000000004">
      <c r="A2112"/>
      <c r="B2112"/>
      <c r="C2112"/>
    </row>
    <row r="2113" spans="1:3" x14ac:dyDescent="0.55000000000000004">
      <c r="A2113"/>
      <c r="B2113"/>
      <c r="C2113"/>
    </row>
    <row r="2114" spans="1:3" x14ac:dyDescent="0.55000000000000004">
      <c r="A2114"/>
      <c r="B2114"/>
      <c r="C2114"/>
    </row>
    <row r="2115" spans="1:3" x14ac:dyDescent="0.55000000000000004">
      <c r="A2115"/>
      <c r="B2115"/>
      <c r="C2115"/>
    </row>
    <row r="2116" spans="1:3" x14ac:dyDescent="0.55000000000000004">
      <c r="A2116"/>
      <c r="B2116"/>
      <c r="C2116"/>
    </row>
    <row r="2117" spans="1:3" x14ac:dyDescent="0.55000000000000004">
      <c r="A2117"/>
      <c r="B2117"/>
      <c r="C2117"/>
    </row>
    <row r="2118" spans="1:3" x14ac:dyDescent="0.55000000000000004">
      <c r="A2118"/>
      <c r="B2118"/>
      <c r="C2118"/>
    </row>
    <row r="2119" spans="1:3" x14ac:dyDescent="0.55000000000000004">
      <c r="A2119"/>
      <c r="B2119"/>
      <c r="C2119"/>
    </row>
    <row r="2120" spans="1:3" x14ac:dyDescent="0.55000000000000004">
      <c r="A2120"/>
      <c r="B2120"/>
      <c r="C2120"/>
    </row>
    <row r="2121" spans="1:3" x14ac:dyDescent="0.55000000000000004">
      <c r="A2121"/>
      <c r="B2121"/>
      <c r="C2121"/>
    </row>
    <row r="2122" spans="1:3" x14ac:dyDescent="0.55000000000000004">
      <c r="A2122"/>
      <c r="B2122"/>
      <c r="C2122"/>
    </row>
    <row r="2123" spans="1:3" x14ac:dyDescent="0.55000000000000004">
      <c r="A2123"/>
      <c r="B2123"/>
      <c r="C2123"/>
    </row>
    <row r="2124" spans="1:3" x14ac:dyDescent="0.55000000000000004">
      <c r="A2124"/>
      <c r="B2124"/>
      <c r="C2124"/>
    </row>
    <row r="2125" spans="1:3" x14ac:dyDescent="0.55000000000000004">
      <c r="A2125"/>
      <c r="B2125"/>
      <c r="C2125"/>
    </row>
    <row r="2126" spans="1:3" x14ac:dyDescent="0.55000000000000004">
      <c r="A2126"/>
      <c r="B2126"/>
      <c r="C2126"/>
    </row>
    <row r="2127" spans="1:3" x14ac:dyDescent="0.55000000000000004">
      <c r="A2127"/>
      <c r="B2127"/>
      <c r="C2127"/>
    </row>
    <row r="2128" spans="1:3" x14ac:dyDescent="0.55000000000000004">
      <c r="A2128"/>
      <c r="B2128"/>
      <c r="C2128"/>
    </row>
    <row r="2129" spans="1:3" x14ac:dyDescent="0.55000000000000004">
      <c r="A2129"/>
      <c r="B2129"/>
      <c r="C2129"/>
    </row>
    <row r="2130" spans="1:3" x14ac:dyDescent="0.55000000000000004">
      <c r="A2130"/>
      <c r="B2130"/>
      <c r="C2130"/>
    </row>
    <row r="2131" spans="1:3" x14ac:dyDescent="0.55000000000000004">
      <c r="A2131"/>
      <c r="B2131"/>
      <c r="C2131"/>
    </row>
    <row r="2132" spans="1:3" x14ac:dyDescent="0.55000000000000004">
      <c r="A2132"/>
      <c r="B2132"/>
      <c r="C2132"/>
    </row>
    <row r="2133" spans="1:3" x14ac:dyDescent="0.55000000000000004">
      <c r="A2133"/>
      <c r="B2133"/>
      <c r="C2133"/>
    </row>
    <row r="2134" spans="1:3" x14ac:dyDescent="0.55000000000000004">
      <c r="A2134"/>
      <c r="B2134"/>
      <c r="C2134"/>
    </row>
    <row r="2135" spans="1:3" x14ac:dyDescent="0.55000000000000004">
      <c r="A2135"/>
      <c r="B2135"/>
      <c r="C2135"/>
    </row>
    <row r="2136" spans="1:3" x14ac:dyDescent="0.55000000000000004">
      <c r="A2136"/>
      <c r="B2136"/>
      <c r="C2136"/>
    </row>
    <row r="2137" spans="1:3" x14ac:dyDescent="0.55000000000000004">
      <c r="A2137"/>
      <c r="B2137"/>
      <c r="C2137"/>
    </row>
    <row r="2138" spans="1:3" x14ac:dyDescent="0.55000000000000004">
      <c r="A2138"/>
      <c r="B2138"/>
      <c r="C2138"/>
    </row>
    <row r="2139" spans="1:3" x14ac:dyDescent="0.55000000000000004">
      <c r="A2139"/>
      <c r="B2139"/>
      <c r="C2139"/>
    </row>
    <row r="2140" spans="1:3" x14ac:dyDescent="0.55000000000000004">
      <c r="A2140"/>
      <c r="B2140"/>
      <c r="C2140"/>
    </row>
    <row r="2141" spans="1:3" x14ac:dyDescent="0.55000000000000004">
      <c r="A2141"/>
      <c r="B2141"/>
      <c r="C2141"/>
    </row>
    <row r="2142" spans="1:3" x14ac:dyDescent="0.55000000000000004">
      <c r="A2142"/>
      <c r="B2142"/>
      <c r="C2142"/>
    </row>
    <row r="2143" spans="1:3" x14ac:dyDescent="0.55000000000000004">
      <c r="A2143"/>
      <c r="B2143"/>
      <c r="C2143"/>
    </row>
    <row r="2144" spans="1:3" x14ac:dyDescent="0.55000000000000004">
      <c r="A2144"/>
      <c r="B2144"/>
      <c r="C2144"/>
    </row>
    <row r="2145" spans="1:3" x14ac:dyDescent="0.55000000000000004">
      <c r="A2145"/>
      <c r="B2145"/>
      <c r="C2145"/>
    </row>
    <row r="2146" spans="1:3" x14ac:dyDescent="0.55000000000000004">
      <c r="A2146"/>
      <c r="B2146"/>
      <c r="C2146"/>
    </row>
    <row r="2147" spans="1:3" x14ac:dyDescent="0.55000000000000004">
      <c r="A2147"/>
      <c r="B2147"/>
      <c r="C2147"/>
    </row>
    <row r="2148" spans="1:3" x14ac:dyDescent="0.55000000000000004">
      <c r="A2148"/>
      <c r="B2148"/>
      <c r="C2148"/>
    </row>
    <row r="2149" spans="1:3" x14ac:dyDescent="0.55000000000000004">
      <c r="A2149"/>
      <c r="B2149"/>
      <c r="C2149"/>
    </row>
    <row r="2150" spans="1:3" x14ac:dyDescent="0.55000000000000004">
      <c r="A2150"/>
      <c r="B2150"/>
      <c r="C2150"/>
    </row>
    <row r="2151" spans="1:3" x14ac:dyDescent="0.55000000000000004">
      <c r="A2151"/>
      <c r="B2151"/>
      <c r="C2151"/>
    </row>
    <row r="2152" spans="1:3" x14ac:dyDescent="0.55000000000000004">
      <c r="A2152"/>
      <c r="B2152"/>
      <c r="C2152"/>
    </row>
    <row r="2153" spans="1:3" x14ac:dyDescent="0.55000000000000004">
      <c r="A2153"/>
      <c r="B2153"/>
      <c r="C2153"/>
    </row>
    <row r="2154" spans="1:3" x14ac:dyDescent="0.55000000000000004">
      <c r="A2154"/>
      <c r="B2154"/>
      <c r="C2154"/>
    </row>
    <row r="2155" spans="1:3" x14ac:dyDescent="0.55000000000000004">
      <c r="A2155"/>
      <c r="B2155"/>
      <c r="C2155"/>
    </row>
    <row r="2156" spans="1:3" x14ac:dyDescent="0.55000000000000004">
      <c r="A2156"/>
      <c r="B2156"/>
      <c r="C2156"/>
    </row>
    <row r="2157" spans="1:3" x14ac:dyDescent="0.55000000000000004">
      <c r="A2157"/>
      <c r="B2157"/>
      <c r="C2157"/>
    </row>
    <row r="2158" spans="1:3" x14ac:dyDescent="0.55000000000000004">
      <c r="A2158"/>
      <c r="B2158"/>
      <c r="C2158"/>
    </row>
    <row r="2159" spans="1:3" x14ac:dyDescent="0.55000000000000004">
      <c r="A2159"/>
      <c r="B2159"/>
      <c r="C2159"/>
    </row>
    <row r="2160" spans="1:3" x14ac:dyDescent="0.55000000000000004">
      <c r="A2160"/>
      <c r="B2160"/>
      <c r="C2160"/>
    </row>
    <row r="2161" spans="1:3" x14ac:dyDescent="0.55000000000000004">
      <c r="A2161"/>
      <c r="B2161"/>
      <c r="C2161"/>
    </row>
    <row r="2162" spans="1:3" x14ac:dyDescent="0.55000000000000004">
      <c r="A2162"/>
      <c r="B2162"/>
      <c r="C2162"/>
    </row>
    <row r="2163" spans="1:3" x14ac:dyDescent="0.55000000000000004">
      <c r="A2163"/>
      <c r="B2163"/>
      <c r="C2163"/>
    </row>
    <row r="2164" spans="1:3" x14ac:dyDescent="0.55000000000000004">
      <c r="A2164"/>
      <c r="B2164"/>
      <c r="C2164"/>
    </row>
    <row r="2165" spans="1:3" x14ac:dyDescent="0.55000000000000004">
      <c r="A2165"/>
      <c r="B2165"/>
      <c r="C2165"/>
    </row>
    <row r="2166" spans="1:3" x14ac:dyDescent="0.55000000000000004">
      <c r="A2166"/>
      <c r="B2166"/>
      <c r="C2166"/>
    </row>
    <row r="2167" spans="1:3" x14ac:dyDescent="0.55000000000000004">
      <c r="A2167"/>
      <c r="B2167"/>
      <c r="C2167"/>
    </row>
    <row r="2168" spans="1:3" x14ac:dyDescent="0.55000000000000004">
      <c r="A2168"/>
      <c r="B2168"/>
      <c r="C2168"/>
    </row>
    <row r="2169" spans="1:3" x14ac:dyDescent="0.55000000000000004">
      <c r="A2169"/>
      <c r="B2169"/>
      <c r="C2169"/>
    </row>
    <row r="2170" spans="1:3" x14ac:dyDescent="0.55000000000000004">
      <c r="A2170"/>
      <c r="B2170"/>
      <c r="C2170"/>
    </row>
    <row r="2171" spans="1:3" x14ac:dyDescent="0.55000000000000004">
      <c r="A2171"/>
      <c r="B2171"/>
      <c r="C2171"/>
    </row>
    <row r="2172" spans="1:3" x14ac:dyDescent="0.55000000000000004">
      <c r="A2172"/>
      <c r="B2172"/>
      <c r="C2172"/>
    </row>
    <row r="2173" spans="1:3" x14ac:dyDescent="0.55000000000000004">
      <c r="A2173"/>
      <c r="B2173"/>
      <c r="C2173"/>
    </row>
    <row r="2174" spans="1:3" x14ac:dyDescent="0.55000000000000004">
      <c r="A2174"/>
      <c r="B2174"/>
      <c r="C2174"/>
    </row>
    <row r="2175" spans="1:3" x14ac:dyDescent="0.55000000000000004">
      <c r="A2175"/>
      <c r="B2175" s="261"/>
    </row>
    <row r="2176" spans="1:3" x14ac:dyDescent="0.55000000000000004">
      <c r="A2176"/>
      <c r="B2176" s="261"/>
    </row>
    <row r="2177" spans="1:2" x14ac:dyDescent="0.55000000000000004">
      <c r="A2177"/>
      <c r="B2177" s="261"/>
    </row>
    <row r="2178" spans="1:2" x14ac:dyDescent="0.55000000000000004">
      <c r="A2178"/>
      <c r="B2178" s="261"/>
    </row>
    <row r="2179" spans="1:2" x14ac:dyDescent="0.55000000000000004">
      <c r="A2179"/>
      <c r="B2179" s="261"/>
    </row>
    <row r="2180" spans="1:2" x14ac:dyDescent="0.55000000000000004">
      <c r="A2180"/>
      <c r="B2180" s="261"/>
    </row>
    <row r="2181" spans="1:2" x14ac:dyDescent="0.55000000000000004">
      <c r="A2181"/>
      <c r="B2181" s="261"/>
    </row>
    <row r="2182" spans="1:2" x14ac:dyDescent="0.55000000000000004">
      <c r="A2182"/>
      <c r="B2182" s="261"/>
    </row>
    <row r="2183" spans="1:2" x14ac:dyDescent="0.55000000000000004">
      <c r="A2183"/>
      <c r="B2183" s="261"/>
    </row>
    <row r="2184" spans="1:2" x14ac:dyDescent="0.55000000000000004">
      <c r="A2184"/>
      <c r="B2184" s="261"/>
    </row>
    <row r="2185" spans="1:2" x14ac:dyDescent="0.55000000000000004">
      <c r="A2185"/>
      <c r="B2185" s="261"/>
    </row>
    <row r="2186" spans="1:2" x14ac:dyDescent="0.55000000000000004">
      <c r="A2186"/>
      <c r="B2186" s="261"/>
    </row>
    <row r="2187" spans="1:2" x14ac:dyDescent="0.55000000000000004">
      <c r="A2187"/>
      <c r="B2187" s="261"/>
    </row>
    <row r="2188" spans="1:2" x14ac:dyDescent="0.55000000000000004">
      <c r="A2188"/>
      <c r="B2188" s="261"/>
    </row>
    <row r="2189" spans="1:2" x14ac:dyDescent="0.55000000000000004">
      <c r="A2189"/>
      <c r="B2189" s="261"/>
    </row>
    <row r="2190" spans="1:2" x14ac:dyDescent="0.55000000000000004">
      <c r="A2190"/>
      <c r="B2190" s="261"/>
    </row>
    <row r="2191" spans="1:2" x14ac:dyDescent="0.55000000000000004">
      <c r="A2191"/>
      <c r="B2191" s="261"/>
    </row>
    <row r="2192" spans="1:2" x14ac:dyDescent="0.55000000000000004">
      <c r="A2192"/>
      <c r="B2192" s="261"/>
    </row>
    <row r="2193" spans="1:2" x14ac:dyDescent="0.55000000000000004">
      <c r="A2193"/>
      <c r="B2193" s="261"/>
    </row>
    <row r="2194" spans="1:2" x14ac:dyDescent="0.55000000000000004">
      <c r="A2194"/>
      <c r="B2194" s="261"/>
    </row>
    <row r="2195" spans="1:2" x14ac:dyDescent="0.55000000000000004">
      <c r="A2195"/>
      <c r="B2195" s="261"/>
    </row>
    <row r="2196" spans="1:2" x14ac:dyDescent="0.55000000000000004">
      <c r="A2196"/>
      <c r="B2196" s="261"/>
    </row>
    <row r="2197" spans="1:2" x14ac:dyDescent="0.55000000000000004">
      <c r="A2197"/>
      <c r="B2197" s="261"/>
    </row>
    <row r="2198" spans="1:2" x14ac:dyDescent="0.55000000000000004">
      <c r="A2198"/>
      <c r="B2198" s="261"/>
    </row>
    <row r="2199" spans="1:2" x14ac:dyDescent="0.55000000000000004">
      <c r="A2199"/>
      <c r="B2199" s="261"/>
    </row>
    <row r="2200" spans="1:2" x14ac:dyDescent="0.55000000000000004">
      <c r="A2200"/>
      <c r="B2200" s="261"/>
    </row>
    <row r="2201" spans="1:2" x14ac:dyDescent="0.55000000000000004">
      <c r="A2201"/>
      <c r="B2201" s="261"/>
    </row>
    <row r="2202" spans="1:2" x14ac:dyDescent="0.55000000000000004">
      <c r="A2202"/>
      <c r="B2202" s="261"/>
    </row>
    <row r="2203" spans="1:2" x14ac:dyDescent="0.55000000000000004">
      <c r="A2203"/>
      <c r="B2203" s="261"/>
    </row>
    <row r="2204" spans="1:2" x14ac:dyDescent="0.55000000000000004">
      <c r="A2204"/>
      <c r="B2204" s="261"/>
    </row>
    <row r="2205" spans="1:2" x14ac:dyDescent="0.55000000000000004">
      <c r="A2205"/>
      <c r="B2205" s="261"/>
    </row>
    <row r="2206" spans="1:2" x14ac:dyDescent="0.55000000000000004">
      <c r="A2206"/>
      <c r="B2206" s="261"/>
    </row>
    <row r="2207" spans="1:2" x14ac:dyDescent="0.55000000000000004">
      <c r="A2207"/>
      <c r="B2207" s="261"/>
    </row>
    <row r="2208" spans="1:2" x14ac:dyDescent="0.55000000000000004">
      <c r="A2208"/>
      <c r="B2208" s="261"/>
    </row>
    <row r="2209" spans="1:2" x14ac:dyDescent="0.55000000000000004">
      <c r="A2209"/>
      <c r="B2209" s="261"/>
    </row>
    <row r="2210" spans="1:2" x14ac:dyDescent="0.55000000000000004">
      <c r="A2210"/>
      <c r="B2210" s="261"/>
    </row>
    <row r="2211" spans="1:2" x14ac:dyDescent="0.55000000000000004">
      <c r="A2211"/>
      <c r="B2211" s="261"/>
    </row>
    <row r="2212" spans="1:2" x14ac:dyDescent="0.55000000000000004">
      <c r="A2212"/>
      <c r="B2212" s="261"/>
    </row>
    <row r="2213" spans="1:2" x14ac:dyDescent="0.55000000000000004">
      <c r="A2213"/>
      <c r="B2213" s="261"/>
    </row>
    <row r="2214" spans="1:2" x14ac:dyDescent="0.55000000000000004">
      <c r="A2214"/>
      <c r="B2214" s="261"/>
    </row>
    <row r="2215" spans="1:2" x14ac:dyDescent="0.55000000000000004">
      <c r="A2215"/>
      <c r="B2215" s="261"/>
    </row>
    <row r="2216" spans="1:2" x14ac:dyDescent="0.55000000000000004">
      <c r="A2216"/>
      <c r="B2216" s="261"/>
    </row>
    <row r="2217" spans="1:2" x14ac:dyDescent="0.55000000000000004">
      <c r="A2217"/>
      <c r="B2217" s="261"/>
    </row>
    <row r="2218" spans="1:2" x14ac:dyDescent="0.55000000000000004">
      <c r="A2218"/>
      <c r="B2218" s="261"/>
    </row>
    <row r="2219" spans="1:2" x14ac:dyDescent="0.55000000000000004">
      <c r="A2219"/>
      <c r="B2219" s="261"/>
    </row>
    <row r="2220" spans="1:2" x14ac:dyDescent="0.55000000000000004">
      <c r="A2220"/>
      <c r="B2220" s="261"/>
    </row>
    <row r="2221" spans="1:2" x14ac:dyDescent="0.55000000000000004">
      <c r="A2221"/>
      <c r="B2221" s="261"/>
    </row>
    <row r="2222" spans="1:2" x14ac:dyDescent="0.55000000000000004">
      <c r="A2222"/>
      <c r="B2222" s="261"/>
    </row>
    <row r="2223" spans="1:2" x14ac:dyDescent="0.55000000000000004">
      <c r="A2223"/>
      <c r="B2223" s="261"/>
    </row>
    <row r="2224" spans="1:2" x14ac:dyDescent="0.55000000000000004">
      <c r="A2224"/>
      <c r="B2224" s="261"/>
    </row>
    <row r="2225" spans="1:2" x14ac:dyDescent="0.55000000000000004">
      <c r="A2225"/>
      <c r="B2225" s="261"/>
    </row>
    <row r="2226" spans="1:2" x14ac:dyDescent="0.55000000000000004">
      <c r="A2226"/>
      <c r="B2226" s="261"/>
    </row>
    <row r="2227" spans="1:2" x14ac:dyDescent="0.55000000000000004">
      <c r="A2227"/>
      <c r="B2227" s="261"/>
    </row>
    <row r="2228" spans="1:2" x14ac:dyDescent="0.55000000000000004">
      <c r="A2228"/>
      <c r="B2228" s="261"/>
    </row>
    <row r="2229" spans="1:2" x14ac:dyDescent="0.55000000000000004">
      <c r="A2229"/>
      <c r="B2229" s="261"/>
    </row>
    <row r="2230" spans="1:2" x14ac:dyDescent="0.55000000000000004">
      <c r="A2230"/>
      <c r="B2230" s="261"/>
    </row>
    <row r="2231" spans="1:2" x14ac:dyDescent="0.55000000000000004">
      <c r="A2231"/>
      <c r="B2231" s="261"/>
    </row>
    <row r="2232" spans="1:2" x14ac:dyDescent="0.55000000000000004">
      <c r="A2232"/>
      <c r="B2232" s="261"/>
    </row>
    <row r="2233" spans="1:2" x14ac:dyDescent="0.55000000000000004">
      <c r="A2233"/>
      <c r="B2233" s="261"/>
    </row>
    <row r="2234" spans="1:2" x14ac:dyDescent="0.55000000000000004">
      <c r="A2234"/>
      <c r="B2234" s="261"/>
    </row>
    <row r="2235" spans="1:2" x14ac:dyDescent="0.55000000000000004">
      <c r="A2235"/>
      <c r="B2235" s="261"/>
    </row>
    <row r="2236" spans="1:2" x14ac:dyDescent="0.55000000000000004">
      <c r="A2236"/>
      <c r="B2236" s="261"/>
    </row>
    <row r="2237" spans="1:2" x14ac:dyDescent="0.55000000000000004">
      <c r="A2237"/>
      <c r="B2237" s="261"/>
    </row>
    <row r="2238" spans="1:2" x14ac:dyDescent="0.55000000000000004">
      <c r="A2238"/>
      <c r="B2238" s="261"/>
    </row>
    <row r="2239" spans="1:2" x14ac:dyDescent="0.55000000000000004">
      <c r="A2239"/>
      <c r="B2239" s="261"/>
    </row>
    <row r="2240" spans="1:2" x14ac:dyDescent="0.55000000000000004">
      <c r="A2240"/>
      <c r="B2240" s="261"/>
    </row>
    <row r="2241" spans="1:2" x14ac:dyDescent="0.55000000000000004">
      <c r="A2241"/>
      <c r="B2241" s="261"/>
    </row>
    <row r="2242" spans="1:2" x14ac:dyDescent="0.55000000000000004">
      <c r="A2242"/>
      <c r="B2242" s="261"/>
    </row>
    <row r="2243" spans="1:2" x14ac:dyDescent="0.55000000000000004">
      <c r="A2243"/>
      <c r="B2243" s="261"/>
    </row>
    <row r="2244" spans="1:2" x14ac:dyDescent="0.55000000000000004">
      <c r="A2244"/>
      <c r="B2244" s="261"/>
    </row>
    <row r="2245" spans="1:2" x14ac:dyDescent="0.55000000000000004">
      <c r="A2245"/>
      <c r="B2245" s="261"/>
    </row>
    <row r="2246" spans="1:2" x14ac:dyDescent="0.55000000000000004">
      <c r="A2246"/>
      <c r="B2246" s="261"/>
    </row>
    <row r="2247" spans="1:2" x14ac:dyDescent="0.55000000000000004">
      <c r="A2247"/>
      <c r="B2247" s="261"/>
    </row>
    <row r="2248" spans="1:2" x14ac:dyDescent="0.55000000000000004">
      <c r="A2248"/>
      <c r="B2248" s="261"/>
    </row>
    <row r="2249" spans="1:2" x14ac:dyDescent="0.55000000000000004">
      <c r="A2249"/>
      <c r="B2249" s="261"/>
    </row>
    <row r="2250" spans="1:2" x14ac:dyDescent="0.55000000000000004">
      <c r="A2250"/>
      <c r="B2250" s="261"/>
    </row>
    <row r="2251" spans="1:2" x14ac:dyDescent="0.55000000000000004">
      <c r="A2251"/>
      <c r="B2251" s="261"/>
    </row>
    <row r="2252" spans="1:2" x14ac:dyDescent="0.55000000000000004">
      <c r="A2252"/>
      <c r="B2252" s="261"/>
    </row>
    <row r="2253" spans="1:2" x14ac:dyDescent="0.55000000000000004">
      <c r="A2253"/>
      <c r="B2253" s="261"/>
    </row>
    <row r="2254" spans="1:2" x14ac:dyDescent="0.55000000000000004">
      <c r="A2254"/>
      <c r="B2254" s="261"/>
    </row>
    <row r="2255" spans="1:2" x14ac:dyDescent="0.55000000000000004">
      <c r="A2255"/>
      <c r="B2255" s="261"/>
    </row>
    <row r="2256" spans="1:2" x14ac:dyDescent="0.55000000000000004">
      <c r="A2256"/>
      <c r="B2256" s="261"/>
    </row>
    <row r="2257" spans="1:2" x14ac:dyDescent="0.55000000000000004">
      <c r="A2257"/>
      <c r="B2257" s="261"/>
    </row>
    <row r="2258" spans="1:2" x14ac:dyDescent="0.55000000000000004">
      <c r="A2258"/>
      <c r="B2258" s="261"/>
    </row>
    <row r="2259" spans="1:2" x14ac:dyDescent="0.55000000000000004">
      <c r="A2259"/>
      <c r="B2259" s="261"/>
    </row>
    <row r="2260" spans="1:2" x14ac:dyDescent="0.55000000000000004">
      <c r="A2260"/>
      <c r="B2260" s="261"/>
    </row>
    <row r="2261" spans="1:2" x14ac:dyDescent="0.55000000000000004">
      <c r="A2261"/>
      <c r="B2261" s="261"/>
    </row>
    <row r="2262" spans="1:2" x14ac:dyDescent="0.55000000000000004">
      <c r="A2262"/>
      <c r="B2262" s="261"/>
    </row>
    <row r="2263" spans="1:2" x14ac:dyDescent="0.55000000000000004">
      <c r="A2263"/>
      <c r="B2263" s="261"/>
    </row>
    <row r="2264" spans="1:2" x14ac:dyDescent="0.55000000000000004">
      <c r="A2264"/>
      <c r="B2264" s="261"/>
    </row>
    <row r="2265" spans="1:2" x14ac:dyDescent="0.55000000000000004">
      <c r="A2265"/>
      <c r="B2265" s="261"/>
    </row>
    <row r="2266" spans="1:2" x14ac:dyDescent="0.55000000000000004">
      <c r="A2266"/>
      <c r="B2266" s="261"/>
    </row>
    <row r="2267" spans="1:2" x14ac:dyDescent="0.55000000000000004">
      <c r="A2267"/>
      <c r="B2267" s="261"/>
    </row>
    <row r="2268" spans="1:2" x14ac:dyDescent="0.55000000000000004">
      <c r="A2268"/>
      <c r="B2268" s="261"/>
    </row>
    <row r="2269" spans="1:2" x14ac:dyDescent="0.55000000000000004">
      <c r="A2269"/>
      <c r="B2269" s="261"/>
    </row>
    <row r="2270" spans="1:2" x14ac:dyDescent="0.55000000000000004">
      <c r="A2270"/>
      <c r="B2270" s="261"/>
    </row>
    <row r="2271" spans="1:2" x14ac:dyDescent="0.55000000000000004">
      <c r="A2271"/>
      <c r="B2271" s="261"/>
    </row>
    <row r="2272" spans="1:2" x14ac:dyDescent="0.55000000000000004">
      <c r="A2272"/>
      <c r="B2272" s="261"/>
    </row>
    <row r="2273" spans="1:2" x14ac:dyDescent="0.55000000000000004">
      <c r="A2273"/>
      <c r="B2273" s="261"/>
    </row>
    <row r="2274" spans="1:2" x14ac:dyDescent="0.55000000000000004">
      <c r="A2274"/>
      <c r="B2274" s="261"/>
    </row>
    <row r="2275" spans="1:2" x14ac:dyDescent="0.55000000000000004">
      <c r="A2275"/>
      <c r="B2275" s="261"/>
    </row>
    <row r="2276" spans="1:2" x14ac:dyDescent="0.55000000000000004">
      <c r="A2276"/>
      <c r="B2276" s="261"/>
    </row>
    <row r="2277" spans="1:2" x14ac:dyDescent="0.55000000000000004">
      <c r="A2277"/>
      <c r="B2277" s="261"/>
    </row>
    <row r="2278" spans="1:2" x14ac:dyDescent="0.55000000000000004">
      <c r="A2278"/>
      <c r="B2278" s="261"/>
    </row>
    <row r="2279" spans="1:2" x14ac:dyDescent="0.55000000000000004">
      <c r="A2279"/>
      <c r="B2279" s="261"/>
    </row>
    <row r="2280" spans="1:2" x14ac:dyDescent="0.55000000000000004">
      <c r="A2280"/>
      <c r="B2280" s="261"/>
    </row>
    <row r="2281" spans="1:2" x14ac:dyDescent="0.55000000000000004">
      <c r="A2281"/>
      <c r="B2281" s="261"/>
    </row>
    <row r="2282" spans="1:2" x14ac:dyDescent="0.55000000000000004">
      <c r="A2282"/>
      <c r="B2282" s="261"/>
    </row>
    <row r="2283" spans="1:2" x14ac:dyDescent="0.55000000000000004">
      <c r="A2283"/>
      <c r="B2283" s="261"/>
    </row>
    <row r="2284" spans="1:2" x14ac:dyDescent="0.55000000000000004">
      <c r="A2284"/>
      <c r="B2284" s="261"/>
    </row>
    <row r="2285" spans="1:2" x14ac:dyDescent="0.55000000000000004">
      <c r="A2285"/>
      <c r="B2285" s="261"/>
    </row>
    <row r="2286" spans="1:2" x14ac:dyDescent="0.55000000000000004">
      <c r="A2286"/>
      <c r="B2286" s="261"/>
    </row>
    <row r="2287" spans="1:2" x14ac:dyDescent="0.55000000000000004">
      <c r="A2287"/>
      <c r="B2287" s="261"/>
    </row>
    <row r="2288" spans="1:2" x14ac:dyDescent="0.55000000000000004">
      <c r="A2288"/>
      <c r="B2288" s="261"/>
    </row>
    <row r="2289" spans="1:2" x14ac:dyDescent="0.55000000000000004">
      <c r="A2289"/>
      <c r="B2289" s="261"/>
    </row>
    <row r="2290" spans="1:2" x14ac:dyDescent="0.55000000000000004">
      <c r="A2290"/>
      <c r="B2290" s="261"/>
    </row>
    <row r="2291" spans="1:2" x14ac:dyDescent="0.55000000000000004">
      <c r="A2291"/>
      <c r="B2291" s="261"/>
    </row>
    <row r="2292" spans="1:2" x14ac:dyDescent="0.55000000000000004">
      <c r="A2292"/>
      <c r="B2292" s="261"/>
    </row>
    <row r="2293" spans="1:2" x14ac:dyDescent="0.55000000000000004">
      <c r="A2293"/>
      <c r="B2293" s="261"/>
    </row>
    <row r="2294" spans="1:2" x14ac:dyDescent="0.55000000000000004">
      <c r="A2294"/>
      <c r="B2294" s="261"/>
    </row>
    <row r="2295" spans="1:2" x14ac:dyDescent="0.55000000000000004">
      <c r="A2295"/>
      <c r="B2295" s="261"/>
    </row>
    <row r="2296" spans="1:2" x14ac:dyDescent="0.55000000000000004">
      <c r="A2296"/>
      <c r="B2296" s="261"/>
    </row>
    <row r="2297" spans="1:2" x14ac:dyDescent="0.55000000000000004">
      <c r="A2297"/>
      <c r="B2297" s="261"/>
    </row>
    <row r="2298" spans="1:2" x14ac:dyDescent="0.55000000000000004">
      <c r="A2298"/>
      <c r="B2298" s="261"/>
    </row>
    <row r="2299" spans="1:2" x14ac:dyDescent="0.55000000000000004">
      <c r="A2299"/>
      <c r="B2299" s="261"/>
    </row>
    <row r="2300" spans="1:2" x14ac:dyDescent="0.55000000000000004">
      <c r="A2300"/>
      <c r="B2300" s="261"/>
    </row>
    <row r="2301" spans="1:2" x14ac:dyDescent="0.55000000000000004">
      <c r="A2301"/>
      <c r="B2301" s="261"/>
    </row>
    <row r="2302" spans="1:2" x14ac:dyDescent="0.55000000000000004">
      <c r="A2302"/>
      <c r="B2302" s="261"/>
    </row>
    <row r="2303" spans="1:2" x14ac:dyDescent="0.55000000000000004">
      <c r="A2303"/>
      <c r="B2303" s="261"/>
    </row>
    <row r="2304" spans="1:2" x14ac:dyDescent="0.55000000000000004">
      <c r="A2304"/>
      <c r="B2304" s="261"/>
    </row>
    <row r="2305" spans="1:2" x14ac:dyDescent="0.55000000000000004">
      <c r="A2305"/>
      <c r="B2305" s="261"/>
    </row>
    <row r="2306" spans="1:2" x14ac:dyDescent="0.55000000000000004">
      <c r="A2306"/>
      <c r="B2306" s="261"/>
    </row>
    <row r="2307" spans="1:2" x14ac:dyDescent="0.55000000000000004">
      <c r="A2307"/>
      <c r="B2307" s="261"/>
    </row>
    <row r="2308" spans="1:2" x14ac:dyDescent="0.55000000000000004">
      <c r="A2308"/>
      <c r="B2308" s="261"/>
    </row>
    <row r="2309" spans="1:2" x14ac:dyDescent="0.55000000000000004">
      <c r="A2309"/>
      <c r="B2309" s="261"/>
    </row>
    <row r="2310" spans="1:2" x14ac:dyDescent="0.55000000000000004">
      <c r="A2310"/>
      <c r="B2310" s="261"/>
    </row>
    <row r="2311" spans="1:2" x14ac:dyDescent="0.55000000000000004">
      <c r="A2311"/>
      <c r="B2311" s="261"/>
    </row>
    <row r="2312" spans="1:2" x14ac:dyDescent="0.55000000000000004">
      <c r="A2312"/>
      <c r="B2312" s="261"/>
    </row>
    <row r="2313" spans="1:2" x14ac:dyDescent="0.55000000000000004">
      <c r="A2313"/>
      <c r="B2313" s="261"/>
    </row>
    <row r="2314" spans="1:2" x14ac:dyDescent="0.55000000000000004">
      <c r="A2314"/>
      <c r="B2314" s="261"/>
    </row>
    <row r="2315" spans="1:2" x14ac:dyDescent="0.55000000000000004">
      <c r="A2315"/>
      <c r="B2315" s="261"/>
    </row>
    <row r="2316" spans="1:2" x14ac:dyDescent="0.55000000000000004">
      <c r="A2316"/>
      <c r="B2316" s="261"/>
    </row>
    <row r="2317" spans="1:2" x14ac:dyDescent="0.55000000000000004">
      <c r="A2317"/>
      <c r="B2317" s="261"/>
    </row>
    <row r="2318" spans="1:2" x14ac:dyDescent="0.55000000000000004">
      <c r="A2318"/>
      <c r="B2318" s="261"/>
    </row>
    <row r="2319" spans="1:2" x14ac:dyDescent="0.55000000000000004">
      <c r="A2319"/>
      <c r="B2319" s="261"/>
    </row>
    <row r="2320" spans="1:2" x14ac:dyDescent="0.55000000000000004">
      <c r="A2320"/>
      <c r="B2320" s="261"/>
    </row>
    <row r="2321" spans="1:2" x14ac:dyDescent="0.55000000000000004">
      <c r="A2321"/>
      <c r="B2321" s="261"/>
    </row>
    <row r="2322" spans="1:2" x14ac:dyDescent="0.55000000000000004">
      <c r="A2322"/>
      <c r="B2322" s="261"/>
    </row>
    <row r="2323" spans="1:2" x14ac:dyDescent="0.55000000000000004">
      <c r="A2323"/>
      <c r="B2323" s="261"/>
    </row>
    <row r="2324" spans="1:2" x14ac:dyDescent="0.55000000000000004">
      <c r="A2324"/>
      <c r="B2324" s="261"/>
    </row>
    <row r="2325" spans="1:2" x14ac:dyDescent="0.55000000000000004">
      <c r="A2325"/>
      <c r="B2325" s="261"/>
    </row>
    <row r="2326" spans="1:2" x14ac:dyDescent="0.55000000000000004">
      <c r="A2326"/>
      <c r="B2326" s="261"/>
    </row>
    <row r="2327" spans="1:2" x14ac:dyDescent="0.55000000000000004">
      <c r="A2327"/>
      <c r="B2327" s="261"/>
    </row>
    <row r="2328" spans="1:2" x14ac:dyDescent="0.55000000000000004">
      <c r="A2328"/>
      <c r="B2328" s="261"/>
    </row>
    <row r="2329" spans="1:2" x14ac:dyDescent="0.55000000000000004">
      <c r="A2329"/>
      <c r="B2329" s="261"/>
    </row>
    <row r="2330" spans="1:2" x14ac:dyDescent="0.55000000000000004">
      <c r="A2330"/>
      <c r="B2330" s="261"/>
    </row>
    <row r="2331" spans="1:2" x14ac:dyDescent="0.55000000000000004">
      <c r="A2331"/>
      <c r="B2331" s="261"/>
    </row>
    <row r="2332" spans="1:2" x14ac:dyDescent="0.55000000000000004">
      <c r="A2332"/>
      <c r="B2332" s="261"/>
    </row>
    <row r="2333" spans="1:2" x14ac:dyDescent="0.55000000000000004">
      <c r="A2333"/>
      <c r="B2333" s="261"/>
    </row>
    <row r="2334" spans="1:2" x14ac:dyDescent="0.55000000000000004">
      <c r="A2334"/>
      <c r="B2334" s="261"/>
    </row>
    <row r="2335" spans="1:2" x14ac:dyDescent="0.55000000000000004">
      <c r="A2335"/>
      <c r="B2335" s="261"/>
    </row>
    <row r="2336" spans="1:2" x14ac:dyDescent="0.55000000000000004">
      <c r="A2336"/>
      <c r="B2336" s="261"/>
    </row>
    <row r="2337" spans="1:2" x14ac:dyDescent="0.55000000000000004">
      <c r="A2337"/>
      <c r="B2337" s="261"/>
    </row>
    <row r="2338" spans="1:2" x14ac:dyDescent="0.55000000000000004">
      <c r="A2338"/>
      <c r="B2338" s="261"/>
    </row>
    <row r="2339" spans="1:2" x14ac:dyDescent="0.55000000000000004">
      <c r="A2339"/>
      <c r="B2339" s="261"/>
    </row>
    <row r="2340" spans="1:2" x14ac:dyDescent="0.55000000000000004">
      <c r="A2340"/>
      <c r="B2340" s="261"/>
    </row>
    <row r="2341" spans="1:2" x14ac:dyDescent="0.55000000000000004">
      <c r="A2341"/>
      <c r="B2341" s="261"/>
    </row>
    <row r="2342" spans="1:2" x14ac:dyDescent="0.55000000000000004">
      <c r="A2342"/>
      <c r="B2342" s="261"/>
    </row>
    <row r="2343" spans="1:2" x14ac:dyDescent="0.55000000000000004">
      <c r="A2343"/>
      <c r="B2343" s="261"/>
    </row>
    <row r="2344" spans="1:2" x14ac:dyDescent="0.55000000000000004">
      <c r="A2344"/>
      <c r="B2344" s="261"/>
    </row>
    <row r="2345" spans="1:2" x14ac:dyDescent="0.55000000000000004">
      <c r="A2345"/>
      <c r="B2345" s="261"/>
    </row>
    <row r="2346" spans="1:2" x14ac:dyDescent="0.55000000000000004">
      <c r="A2346"/>
      <c r="B2346" s="261"/>
    </row>
    <row r="2347" spans="1:2" x14ac:dyDescent="0.55000000000000004">
      <c r="A2347"/>
      <c r="B2347" s="261"/>
    </row>
    <row r="2348" spans="1:2" x14ac:dyDescent="0.55000000000000004">
      <c r="A2348"/>
      <c r="B2348" s="261"/>
    </row>
    <row r="2349" spans="1:2" x14ac:dyDescent="0.55000000000000004">
      <c r="A2349"/>
      <c r="B2349" s="261"/>
    </row>
    <row r="2350" spans="1:2" x14ac:dyDescent="0.55000000000000004">
      <c r="A2350"/>
      <c r="B2350" s="261"/>
    </row>
    <row r="2351" spans="1:2" x14ac:dyDescent="0.55000000000000004">
      <c r="A2351"/>
      <c r="B2351" s="261"/>
    </row>
    <row r="2352" spans="1:2" x14ac:dyDescent="0.55000000000000004">
      <c r="A2352"/>
      <c r="B2352" s="261"/>
    </row>
    <row r="2353" spans="1:2" x14ac:dyDescent="0.55000000000000004">
      <c r="A2353"/>
      <c r="B2353" s="261"/>
    </row>
    <row r="2354" spans="1:2" x14ac:dyDescent="0.55000000000000004">
      <c r="A2354"/>
      <c r="B2354" s="261"/>
    </row>
    <row r="2355" spans="1:2" x14ac:dyDescent="0.55000000000000004">
      <c r="A2355"/>
      <c r="B2355" s="261"/>
    </row>
    <row r="2356" spans="1:2" x14ac:dyDescent="0.55000000000000004">
      <c r="A2356"/>
      <c r="B2356" s="261"/>
    </row>
    <row r="2357" spans="1:2" x14ac:dyDescent="0.55000000000000004">
      <c r="A2357"/>
      <c r="B2357" s="261"/>
    </row>
    <row r="2358" spans="1:2" x14ac:dyDescent="0.55000000000000004">
      <c r="A2358"/>
      <c r="B2358" s="261"/>
    </row>
    <row r="2359" spans="1:2" x14ac:dyDescent="0.55000000000000004">
      <c r="A2359"/>
      <c r="B2359" s="261"/>
    </row>
    <row r="2360" spans="1:2" x14ac:dyDescent="0.55000000000000004">
      <c r="A2360"/>
      <c r="B2360" s="261"/>
    </row>
    <row r="2361" spans="1:2" x14ac:dyDescent="0.55000000000000004">
      <c r="A2361"/>
      <c r="B2361" s="261"/>
    </row>
    <row r="2362" spans="1:2" x14ac:dyDescent="0.55000000000000004">
      <c r="A2362"/>
      <c r="B2362" s="261"/>
    </row>
    <row r="2363" spans="1:2" x14ac:dyDescent="0.55000000000000004">
      <c r="A2363"/>
      <c r="B2363" s="261"/>
    </row>
    <row r="2364" spans="1:2" x14ac:dyDescent="0.55000000000000004">
      <c r="A2364"/>
      <c r="B2364" s="261"/>
    </row>
    <row r="2365" spans="1:2" x14ac:dyDescent="0.55000000000000004">
      <c r="A2365"/>
      <c r="B2365" s="261"/>
    </row>
    <row r="2366" spans="1:2" x14ac:dyDescent="0.55000000000000004">
      <c r="A2366"/>
      <c r="B2366" s="261"/>
    </row>
    <row r="2367" spans="1:2" x14ac:dyDescent="0.55000000000000004">
      <c r="A2367"/>
      <c r="B2367" s="261"/>
    </row>
    <row r="2368" spans="1:2" x14ac:dyDescent="0.55000000000000004">
      <c r="A2368"/>
      <c r="B2368" s="261"/>
    </row>
    <row r="2369" spans="1:2" x14ac:dyDescent="0.55000000000000004">
      <c r="A2369"/>
      <c r="B2369" s="261"/>
    </row>
    <row r="2370" spans="1:2" x14ac:dyDescent="0.55000000000000004">
      <c r="A2370"/>
      <c r="B2370" s="261"/>
    </row>
    <row r="2371" spans="1:2" x14ac:dyDescent="0.55000000000000004">
      <c r="A2371"/>
      <c r="B2371" s="261"/>
    </row>
    <row r="2372" spans="1:2" x14ac:dyDescent="0.55000000000000004">
      <c r="A2372"/>
      <c r="B2372" s="261"/>
    </row>
    <row r="2373" spans="1:2" x14ac:dyDescent="0.55000000000000004">
      <c r="A2373"/>
      <c r="B2373" s="261"/>
    </row>
    <row r="2374" spans="1:2" x14ac:dyDescent="0.55000000000000004">
      <c r="A2374"/>
      <c r="B2374" s="261"/>
    </row>
    <row r="2375" spans="1:2" x14ac:dyDescent="0.55000000000000004">
      <c r="A2375"/>
      <c r="B2375" s="261"/>
    </row>
    <row r="2376" spans="1:2" x14ac:dyDescent="0.55000000000000004">
      <c r="A2376"/>
      <c r="B2376" s="261"/>
    </row>
    <row r="2377" spans="1:2" x14ac:dyDescent="0.55000000000000004">
      <c r="A2377"/>
      <c r="B2377" s="261"/>
    </row>
    <row r="2378" spans="1:2" x14ac:dyDescent="0.55000000000000004">
      <c r="A2378"/>
      <c r="B2378" s="261"/>
    </row>
    <row r="2379" spans="1:2" x14ac:dyDescent="0.55000000000000004">
      <c r="A2379"/>
      <c r="B2379" s="261"/>
    </row>
    <row r="2380" spans="1:2" x14ac:dyDescent="0.55000000000000004">
      <c r="A2380"/>
      <c r="B2380" s="261"/>
    </row>
    <row r="2381" spans="1:2" x14ac:dyDescent="0.55000000000000004">
      <c r="A2381"/>
      <c r="B2381" s="261"/>
    </row>
    <row r="2382" spans="1:2" x14ac:dyDescent="0.55000000000000004">
      <c r="A2382"/>
      <c r="B2382" s="261"/>
    </row>
    <row r="2383" spans="1:2" x14ac:dyDescent="0.55000000000000004">
      <c r="A2383"/>
      <c r="B2383" s="261"/>
    </row>
    <row r="2384" spans="1:2" x14ac:dyDescent="0.55000000000000004">
      <c r="A2384"/>
      <c r="B2384" s="261"/>
    </row>
    <row r="2385" spans="1:2" x14ac:dyDescent="0.55000000000000004">
      <c r="A2385"/>
      <c r="B2385" s="261"/>
    </row>
    <row r="2386" spans="1:2" x14ac:dyDescent="0.55000000000000004">
      <c r="A2386"/>
      <c r="B2386" s="261"/>
    </row>
    <row r="2387" spans="1:2" x14ac:dyDescent="0.55000000000000004">
      <c r="A2387"/>
      <c r="B2387" s="261"/>
    </row>
    <row r="2388" spans="1:2" x14ac:dyDescent="0.55000000000000004">
      <c r="A2388"/>
      <c r="B2388" s="261"/>
    </row>
    <row r="2389" spans="1:2" x14ac:dyDescent="0.55000000000000004">
      <c r="A2389"/>
      <c r="B2389" s="261"/>
    </row>
    <row r="2390" spans="1:2" x14ac:dyDescent="0.55000000000000004">
      <c r="A2390"/>
      <c r="B2390" s="261"/>
    </row>
    <row r="2391" spans="1:2" x14ac:dyDescent="0.55000000000000004">
      <c r="A2391"/>
      <c r="B2391" s="261"/>
    </row>
    <row r="2392" spans="1:2" x14ac:dyDescent="0.55000000000000004">
      <c r="A2392"/>
      <c r="B2392" s="261"/>
    </row>
    <row r="2393" spans="1:2" x14ac:dyDescent="0.55000000000000004">
      <c r="A2393"/>
      <c r="B2393" s="261"/>
    </row>
    <row r="2394" spans="1:2" x14ac:dyDescent="0.55000000000000004">
      <c r="A2394"/>
      <c r="B2394" s="261"/>
    </row>
    <row r="2395" spans="1:2" x14ac:dyDescent="0.55000000000000004">
      <c r="A2395"/>
      <c r="B2395" s="261"/>
    </row>
    <row r="2396" spans="1:2" x14ac:dyDescent="0.55000000000000004">
      <c r="A2396"/>
      <c r="B2396" s="261"/>
    </row>
    <row r="2397" spans="1:2" x14ac:dyDescent="0.55000000000000004">
      <c r="A2397"/>
      <c r="B2397" s="261"/>
    </row>
    <row r="2398" spans="1:2" x14ac:dyDescent="0.55000000000000004">
      <c r="A2398"/>
      <c r="B2398" s="261"/>
    </row>
    <row r="2399" spans="1:2" x14ac:dyDescent="0.55000000000000004">
      <c r="A2399"/>
      <c r="B2399" s="261"/>
    </row>
    <row r="2400" spans="1:2" x14ac:dyDescent="0.55000000000000004">
      <c r="A2400"/>
      <c r="B2400" s="261"/>
    </row>
    <row r="2401" spans="1:2" x14ac:dyDescent="0.55000000000000004">
      <c r="A2401"/>
      <c r="B2401" s="261"/>
    </row>
    <row r="2402" spans="1:2" x14ac:dyDescent="0.55000000000000004">
      <c r="A2402"/>
      <c r="B2402" s="261"/>
    </row>
    <row r="2403" spans="1:2" x14ac:dyDescent="0.55000000000000004">
      <c r="A2403"/>
      <c r="B2403" s="261"/>
    </row>
    <row r="2404" spans="1:2" x14ac:dyDescent="0.55000000000000004">
      <c r="A2404"/>
      <c r="B2404" s="261"/>
    </row>
    <row r="2405" spans="1:2" x14ac:dyDescent="0.55000000000000004">
      <c r="A2405"/>
      <c r="B2405" s="261"/>
    </row>
    <row r="2406" spans="1:2" x14ac:dyDescent="0.55000000000000004">
      <c r="A2406"/>
      <c r="B2406" s="261"/>
    </row>
    <row r="2407" spans="1:2" x14ac:dyDescent="0.55000000000000004">
      <c r="A2407"/>
      <c r="B2407" s="261"/>
    </row>
    <row r="2408" spans="1:2" x14ac:dyDescent="0.55000000000000004">
      <c r="A2408"/>
      <c r="B2408" s="261"/>
    </row>
    <row r="2409" spans="1:2" x14ac:dyDescent="0.55000000000000004">
      <c r="A2409"/>
      <c r="B2409" s="261"/>
    </row>
    <row r="2410" spans="1:2" x14ac:dyDescent="0.55000000000000004">
      <c r="A2410"/>
      <c r="B2410" s="261"/>
    </row>
    <row r="2411" spans="1:2" x14ac:dyDescent="0.55000000000000004">
      <c r="A2411"/>
      <c r="B2411" s="261"/>
    </row>
    <row r="2412" spans="1:2" x14ac:dyDescent="0.55000000000000004">
      <c r="A2412"/>
      <c r="B2412" s="261"/>
    </row>
    <row r="2413" spans="1:2" x14ac:dyDescent="0.55000000000000004">
      <c r="A2413"/>
      <c r="B2413" s="261"/>
    </row>
    <row r="2414" spans="1:2" x14ac:dyDescent="0.55000000000000004">
      <c r="A2414"/>
      <c r="B2414" s="261"/>
    </row>
    <row r="2415" spans="1:2" x14ac:dyDescent="0.55000000000000004">
      <c r="A2415"/>
      <c r="B2415" s="261"/>
    </row>
    <row r="2416" spans="1:2" x14ac:dyDescent="0.55000000000000004">
      <c r="A2416"/>
      <c r="B2416" s="261"/>
    </row>
    <row r="2417" spans="1:2" x14ac:dyDescent="0.55000000000000004">
      <c r="A2417"/>
      <c r="B2417" s="261"/>
    </row>
    <row r="2418" spans="1:2" x14ac:dyDescent="0.55000000000000004">
      <c r="A2418"/>
      <c r="B2418" s="261"/>
    </row>
    <row r="2419" spans="1:2" x14ac:dyDescent="0.55000000000000004">
      <c r="A2419"/>
      <c r="B2419" s="261"/>
    </row>
    <row r="2420" spans="1:2" x14ac:dyDescent="0.55000000000000004">
      <c r="A2420"/>
      <c r="B2420" s="261"/>
    </row>
    <row r="2421" spans="1:2" x14ac:dyDescent="0.55000000000000004">
      <c r="A2421"/>
      <c r="B2421" s="261"/>
    </row>
    <row r="2422" spans="1:2" x14ac:dyDescent="0.55000000000000004">
      <c r="A2422"/>
      <c r="B2422" s="261"/>
    </row>
    <row r="2423" spans="1:2" x14ac:dyDescent="0.55000000000000004">
      <c r="A2423"/>
      <c r="B2423" s="261"/>
    </row>
    <row r="2424" spans="1:2" x14ac:dyDescent="0.55000000000000004">
      <c r="A2424"/>
      <c r="B2424" s="261"/>
    </row>
    <row r="2425" spans="1:2" x14ac:dyDescent="0.55000000000000004">
      <c r="A2425"/>
      <c r="B2425" s="261"/>
    </row>
    <row r="2426" spans="1:2" x14ac:dyDescent="0.55000000000000004">
      <c r="A2426"/>
      <c r="B2426" s="261"/>
    </row>
    <row r="2427" spans="1:2" x14ac:dyDescent="0.55000000000000004">
      <c r="A2427"/>
      <c r="B2427" s="261"/>
    </row>
    <row r="2428" spans="1:2" x14ac:dyDescent="0.55000000000000004">
      <c r="A2428"/>
      <c r="B2428" s="261"/>
    </row>
    <row r="2429" spans="1:2" x14ac:dyDescent="0.55000000000000004">
      <c r="A2429"/>
      <c r="B2429" s="261"/>
    </row>
    <row r="2430" spans="1:2" x14ac:dyDescent="0.55000000000000004">
      <c r="A2430"/>
      <c r="B2430" s="261"/>
    </row>
    <row r="2431" spans="1:2" x14ac:dyDescent="0.55000000000000004">
      <c r="A2431"/>
      <c r="B2431" s="261"/>
    </row>
    <row r="2432" spans="1:2" x14ac:dyDescent="0.55000000000000004">
      <c r="A2432"/>
      <c r="B2432" s="261"/>
    </row>
    <row r="2433" spans="1:2" x14ac:dyDescent="0.55000000000000004">
      <c r="A2433"/>
      <c r="B2433" s="261"/>
    </row>
    <row r="2434" spans="1:2" x14ac:dyDescent="0.55000000000000004">
      <c r="A2434"/>
      <c r="B2434" s="261"/>
    </row>
    <row r="2435" spans="1:2" x14ac:dyDescent="0.55000000000000004">
      <c r="A2435"/>
      <c r="B2435" s="261"/>
    </row>
    <row r="2436" spans="1:2" x14ac:dyDescent="0.55000000000000004">
      <c r="A2436"/>
      <c r="B2436" s="261"/>
    </row>
    <row r="2437" spans="1:2" x14ac:dyDescent="0.55000000000000004">
      <c r="A2437"/>
      <c r="B2437" s="261"/>
    </row>
    <row r="2438" spans="1:2" x14ac:dyDescent="0.55000000000000004">
      <c r="A2438"/>
      <c r="B2438" s="261"/>
    </row>
    <row r="2439" spans="1:2" x14ac:dyDescent="0.55000000000000004">
      <c r="A2439"/>
      <c r="B2439" s="261"/>
    </row>
    <row r="2440" spans="1:2" x14ac:dyDescent="0.55000000000000004">
      <c r="A2440"/>
      <c r="B2440" s="261"/>
    </row>
    <row r="2441" spans="1:2" x14ac:dyDescent="0.55000000000000004">
      <c r="A2441"/>
      <c r="B2441" s="261"/>
    </row>
    <row r="2442" spans="1:2" x14ac:dyDescent="0.55000000000000004">
      <c r="A2442"/>
      <c r="B2442" s="261"/>
    </row>
    <row r="2443" spans="1:2" x14ac:dyDescent="0.55000000000000004">
      <c r="A2443"/>
      <c r="B2443" s="261"/>
    </row>
    <row r="2444" spans="1:2" x14ac:dyDescent="0.55000000000000004">
      <c r="A2444"/>
      <c r="B2444" s="261"/>
    </row>
    <row r="2445" spans="1:2" x14ac:dyDescent="0.55000000000000004">
      <c r="A2445"/>
      <c r="B2445" s="261"/>
    </row>
    <row r="2446" spans="1:2" x14ac:dyDescent="0.55000000000000004">
      <c r="A2446"/>
      <c r="B2446" s="261"/>
    </row>
    <row r="2447" spans="1:2" x14ac:dyDescent="0.55000000000000004">
      <c r="A2447"/>
      <c r="B2447" s="261"/>
    </row>
    <row r="2448" spans="1:2" x14ac:dyDescent="0.55000000000000004">
      <c r="A2448"/>
      <c r="B2448" s="261"/>
    </row>
    <row r="2449" spans="1:2" x14ac:dyDescent="0.55000000000000004">
      <c r="A2449"/>
      <c r="B2449" s="261"/>
    </row>
    <row r="2450" spans="1:2" x14ac:dyDescent="0.55000000000000004">
      <c r="A2450"/>
      <c r="B2450" s="261"/>
    </row>
    <row r="2451" spans="1:2" x14ac:dyDescent="0.55000000000000004">
      <c r="A2451"/>
      <c r="B2451" s="261"/>
    </row>
    <row r="2452" spans="1:2" x14ac:dyDescent="0.55000000000000004">
      <c r="A2452"/>
      <c r="B2452" s="261"/>
    </row>
    <row r="2453" spans="1:2" x14ac:dyDescent="0.55000000000000004">
      <c r="A2453"/>
      <c r="B2453" s="261"/>
    </row>
    <row r="2454" spans="1:2" x14ac:dyDescent="0.55000000000000004">
      <c r="A2454"/>
      <c r="B2454" s="261"/>
    </row>
    <row r="2455" spans="1:2" x14ac:dyDescent="0.55000000000000004">
      <c r="A2455"/>
      <c r="B2455" s="261"/>
    </row>
    <row r="2456" spans="1:2" x14ac:dyDescent="0.55000000000000004">
      <c r="A2456"/>
      <c r="B2456" s="261"/>
    </row>
    <row r="2457" spans="1:2" x14ac:dyDescent="0.55000000000000004">
      <c r="A2457"/>
      <c r="B2457" s="261"/>
    </row>
    <row r="2458" spans="1:2" x14ac:dyDescent="0.55000000000000004">
      <c r="A2458"/>
      <c r="B2458" s="261"/>
    </row>
    <row r="2459" spans="1:2" x14ac:dyDescent="0.55000000000000004">
      <c r="A2459"/>
      <c r="B2459" s="261"/>
    </row>
    <row r="2460" spans="1:2" x14ac:dyDescent="0.55000000000000004">
      <c r="A2460"/>
      <c r="B2460" s="261"/>
    </row>
    <row r="2461" spans="1:2" x14ac:dyDescent="0.55000000000000004">
      <c r="A2461"/>
      <c r="B2461" s="261"/>
    </row>
    <row r="2462" spans="1:2" x14ac:dyDescent="0.55000000000000004">
      <c r="A2462"/>
      <c r="B2462" s="261"/>
    </row>
    <row r="2463" spans="1:2" x14ac:dyDescent="0.55000000000000004">
      <c r="A2463"/>
      <c r="B2463" s="261"/>
    </row>
    <row r="2464" spans="1:2" x14ac:dyDescent="0.55000000000000004">
      <c r="A2464"/>
      <c r="B2464" s="261"/>
    </row>
    <row r="2465" spans="1:2" x14ac:dyDescent="0.55000000000000004">
      <c r="A2465"/>
      <c r="B2465" s="261"/>
    </row>
    <row r="2466" spans="1:2" x14ac:dyDescent="0.55000000000000004">
      <c r="A2466"/>
      <c r="B2466" s="261"/>
    </row>
    <row r="2467" spans="1:2" x14ac:dyDescent="0.55000000000000004">
      <c r="A2467"/>
      <c r="B2467" s="261"/>
    </row>
    <row r="2468" spans="1:2" x14ac:dyDescent="0.55000000000000004">
      <c r="A2468"/>
      <c r="B2468" s="261"/>
    </row>
    <row r="2469" spans="1:2" x14ac:dyDescent="0.55000000000000004">
      <c r="A2469"/>
      <c r="B2469" s="261"/>
    </row>
    <row r="2470" spans="1:2" x14ac:dyDescent="0.55000000000000004">
      <c r="A2470"/>
      <c r="B2470" s="261"/>
    </row>
    <row r="2471" spans="1:2" x14ac:dyDescent="0.55000000000000004">
      <c r="A2471"/>
      <c r="B2471" s="261"/>
    </row>
    <row r="2472" spans="1:2" x14ac:dyDescent="0.55000000000000004">
      <c r="A2472"/>
      <c r="B2472" s="261"/>
    </row>
    <row r="2473" spans="1:2" x14ac:dyDescent="0.55000000000000004">
      <c r="A2473"/>
      <c r="B2473" s="261"/>
    </row>
    <row r="2474" spans="1:2" x14ac:dyDescent="0.55000000000000004">
      <c r="A2474"/>
      <c r="B2474" s="261"/>
    </row>
    <row r="2475" spans="1:2" x14ac:dyDescent="0.55000000000000004">
      <c r="A2475"/>
      <c r="B2475" s="261"/>
    </row>
    <row r="2476" spans="1:2" x14ac:dyDescent="0.55000000000000004">
      <c r="A2476"/>
      <c r="B2476" s="261"/>
    </row>
    <row r="2477" spans="1:2" x14ac:dyDescent="0.55000000000000004">
      <c r="A2477"/>
      <c r="B2477" s="261"/>
    </row>
    <row r="2478" spans="1:2" x14ac:dyDescent="0.55000000000000004">
      <c r="A2478"/>
      <c r="B2478" s="261"/>
    </row>
    <row r="2479" spans="1:2" x14ac:dyDescent="0.55000000000000004">
      <c r="A2479"/>
      <c r="B2479" s="261"/>
    </row>
    <row r="2480" spans="1:2" x14ac:dyDescent="0.55000000000000004">
      <c r="A2480"/>
      <c r="B2480" s="261"/>
    </row>
    <row r="2481" spans="1:2" x14ac:dyDescent="0.55000000000000004">
      <c r="A2481"/>
      <c r="B2481" s="261"/>
    </row>
    <row r="2482" spans="1:2" x14ac:dyDescent="0.55000000000000004">
      <c r="A2482"/>
      <c r="B2482" s="261"/>
    </row>
    <row r="2483" spans="1:2" x14ac:dyDescent="0.55000000000000004">
      <c r="A2483"/>
      <c r="B2483" s="261"/>
    </row>
    <row r="2484" spans="1:2" x14ac:dyDescent="0.55000000000000004">
      <c r="A2484"/>
      <c r="B2484" s="261"/>
    </row>
    <row r="2485" spans="1:2" x14ac:dyDescent="0.55000000000000004">
      <c r="A2485"/>
      <c r="B2485" s="261"/>
    </row>
    <row r="2486" spans="1:2" x14ac:dyDescent="0.55000000000000004">
      <c r="A2486"/>
      <c r="B2486" s="261"/>
    </row>
    <row r="2487" spans="1:2" x14ac:dyDescent="0.55000000000000004">
      <c r="A2487"/>
      <c r="B2487" s="261"/>
    </row>
    <row r="2488" spans="1:2" x14ac:dyDescent="0.55000000000000004">
      <c r="A2488"/>
      <c r="B2488" s="261"/>
    </row>
    <row r="2489" spans="1:2" x14ac:dyDescent="0.55000000000000004">
      <c r="A2489"/>
      <c r="B2489" s="261"/>
    </row>
    <row r="2490" spans="1:2" x14ac:dyDescent="0.55000000000000004">
      <c r="A2490"/>
      <c r="B2490" s="261"/>
    </row>
    <row r="2491" spans="1:2" x14ac:dyDescent="0.55000000000000004">
      <c r="A2491"/>
      <c r="B2491" s="261"/>
    </row>
    <row r="2492" spans="1:2" x14ac:dyDescent="0.55000000000000004">
      <c r="A2492"/>
      <c r="B2492" s="261"/>
    </row>
    <row r="2493" spans="1:2" x14ac:dyDescent="0.55000000000000004">
      <c r="A2493"/>
      <c r="B2493" s="261"/>
    </row>
    <row r="2494" spans="1:2" x14ac:dyDescent="0.55000000000000004">
      <c r="A2494"/>
      <c r="B2494" s="261"/>
    </row>
    <row r="2495" spans="1:2" x14ac:dyDescent="0.55000000000000004">
      <c r="A2495"/>
      <c r="B2495" s="261"/>
    </row>
    <row r="2496" spans="1:2" x14ac:dyDescent="0.55000000000000004">
      <c r="A2496"/>
      <c r="B2496" s="261"/>
    </row>
    <row r="2497" spans="1:2" x14ac:dyDescent="0.55000000000000004">
      <c r="A2497"/>
      <c r="B2497" s="261"/>
    </row>
    <row r="2498" spans="1:2" x14ac:dyDescent="0.55000000000000004">
      <c r="A2498"/>
      <c r="B2498" s="261"/>
    </row>
    <row r="2499" spans="1:2" x14ac:dyDescent="0.55000000000000004">
      <c r="A2499"/>
      <c r="B2499" s="261"/>
    </row>
    <row r="2500" spans="1:2" x14ac:dyDescent="0.55000000000000004">
      <c r="A2500"/>
      <c r="B2500" s="261"/>
    </row>
    <row r="2501" spans="1:2" x14ac:dyDescent="0.55000000000000004">
      <c r="A2501"/>
      <c r="B2501" s="261"/>
    </row>
    <row r="2502" spans="1:2" x14ac:dyDescent="0.55000000000000004">
      <c r="A2502"/>
      <c r="B2502" s="261"/>
    </row>
    <row r="2503" spans="1:2" x14ac:dyDescent="0.55000000000000004">
      <c r="A2503"/>
      <c r="B2503" s="261"/>
    </row>
    <row r="2504" spans="1:2" x14ac:dyDescent="0.55000000000000004">
      <c r="A2504"/>
      <c r="B2504" s="261"/>
    </row>
    <row r="2505" spans="1:2" x14ac:dyDescent="0.55000000000000004">
      <c r="A2505"/>
      <c r="B2505" s="261"/>
    </row>
    <row r="2506" spans="1:2" x14ac:dyDescent="0.55000000000000004">
      <c r="A2506"/>
      <c r="B2506" s="261"/>
    </row>
    <row r="2507" spans="1:2" x14ac:dyDescent="0.55000000000000004">
      <c r="A2507"/>
      <c r="B2507" s="261"/>
    </row>
    <row r="2508" spans="1:2" x14ac:dyDescent="0.55000000000000004">
      <c r="A2508"/>
      <c r="B2508" s="261"/>
    </row>
    <row r="2509" spans="1:2" x14ac:dyDescent="0.55000000000000004">
      <c r="A2509"/>
      <c r="B2509" s="261"/>
    </row>
    <row r="2510" spans="1:2" x14ac:dyDescent="0.55000000000000004">
      <c r="A2510"/>
      <c r="B2510" s="261"/>
    </row>
    <row r="2511" spans="1:2" x14ac:dyDescent="0.55000000000000004">
      <c r="A2511"/>
      <c r="B2511" s="261"/>
    </row>
    <row r="2512" spans="1:2" x14ac:dyDescent="0.55000000000000004">
      <c r="A2512"/>
      <c r="B2512" s="261"/>
    </row>
    <row r="2513" spans="1:2" x14ac:dyDescent="0.55000000000000004">
      <c r="A2513"/>
      <c r="B2513" s="261"/>
    </row>
    <row r="2514" spans="1:2" x14ac:dyDescent="0.55000000000000004">
      <c r="A2514"/>
      <c r="B2514" s="261"/>
    </row>
    <row r="2515" spans="1:2" x14ac:dyDescent="0.55000000000000004">
      <c r="A2515"/>
      <c r="B2515" s="261"/>
    </row>
    <row r="2516" spans="1:2" x14ac:dyDescent="0.55000000000000004">
      <c r="A2516"/>
      <c r="B2516" s="261"/>
    </row>
    <row r="2517" spans="1:2" x14ac:dyDescent="0.55000000000000004">
      <c r="A2517"/>
      <c r="B2517" s="261"/>
    </row>
    <row r="2518" spans="1:2" x14ac:dyDescent="0.55000000000000004">
      <c r="A2518"/>
      <c r="B2518" s="261"/>
    </row>
    <row r="2519" spans="1:2" x14ac:dyDescent="0.55000000000000004">
      <c r="A2519"/>
      <c r="B2519" s="261"/>
    </row>
    <row r="2520" spans="1:2" x14ac:dyDescent="0.55000000000000004">
      <c r="A2520"/>
      <c r="B2520" s="261"/>
    </row>
    <row r="2521" spans="1:2" x14ac:dyDescent="0.55000000000000004">
      <c r="A2521"/>
      <c r="B2521" s="261"/>
    </row>
    <row r="2522" spans="1:2" x14ac:dyDescent="0.55000000000000004">
      <c r="A2522"/>
      <c r="B2522" s="261"/>
    </row>
    <row r="2523" spans="1:2" x14ac:dyDescent="0.55000000000000004">
      <c r="A2523"/>
      <c r="B2523" s="261"/>
    </row>
    <row r="2524" spans="1:2" x14ac:dyDescent="0.55000000000000004">
      <c r="A2524"/>
      <c r="B2524" s="261"/>
    </row>
    <row r="2525" spans="1:2" x14ac:dyDescent="0.55000000000000004">
      <c r="A2525"/>
      <c r="B2525" s="261"/>
    </row>
    <row r="2526" spans="1:2" x14ac:dyDescent="0.55000000000000004">
      <c r="A2526"/>
      <c r="B2526" s="261"/>
    </row>
    <row r="2527" spans="1:2" x14ac:dyDescent="0.55000000000000004">
      <c r="A2527"/>
      <c r="B2527" s="261"/>
    </row>
    <row r="2528" spans="1:2" x14ac:dyDescent="0.55000000000000004">
      <c r="A2528"/>
      <c r="B2528" s="261"/>
    </row>
    <row r="2529" spans="1:2" x14ac:dyDescent="0.55000000000000004">
      <c r="A2529"/>
      <c r="B2529" s="261"/>
    </row>
    <row r="2530" spans="1:2" x14ac:dyDescent="0.55000000000000004">
      <c r="A2530"/>
      <c r="B2530" s="261"/>
    </row>
    <row r="2531" spans="1:2" x14ac:dyDescent="0.55000000000000004">
      <c r="A2531"/>
      <c r="B2531" s="261"/>
    </row>
    <row r="2532" spans="1:2" x14ac:dyDescent="0.55000000000000004">
      <c r="A2532"/>
      <c r="B2532" s="261"/>
    </row>
    <row r="2533" spans="1:2" x14ac:dyDescent="0.55000000000000004">
      <c r="A2533"/>
      <c r="B2533" s="261"/>
    </row>
    <row r="2534" spans="1:2" x14ac:dyDescent="0.55000000000000004">
      <c r="A2534"/>
      <c r="B2534" s="261"/>
    </row>
    <row r="2535" spans="1:2" x14ac:dyDescent="0.55000000000000004">
      <c r="A2535"/>
      <c r="B2535" s="261"/>
    </row>
    <row r="2536" spans="1:2" x14ac:dyDescent="0.55000000000000004">
      <c r="A2536"/>
      <c r="B2536" s="261"/>
    </row>
    <row r="2537" spans="1:2" x14ac:dyDescent="0.55000000000000004">
      <c r="A2537"/>
      <c r="B2537" s="261"/>
    </row>
    <row r="2538" spans="1:2" x14ac:dyDescent="0.55000000000000004">
      <c r="A2538"/>
      <c r="B2538" s="261"/>
    </row>
    <row r="2539" spans="1:2" x14ac:dyDescent="0.55000000000000004">
      <c r="A2539"/>
      <c r="B2539" s="261"/>
    </row>
    <row r="2540" spans="1:2" x14ac:dyDescent="0.55000000000000004">
      <c r="A2540"/>
      <c r="B2540" s="261"/>
    </row>
    <row r="2541" spans="1:2" x14ac:dyDescent="0.55000000000000004">
      <c r="A2541"/>
      <c r="B2541" s="261"/>
    </row>
    <row r="2542" spans="1:2" x14ac:dyDescent="0.55000000000000004">
      <c r="A2542"/>
      <c r="B2542" s="261"/>
    </row>
    <row r="2543" spans="1:2" x14ac:dyDescent="0.55000000000000004">
      <c r="A2543"/>
      <c r="B2543" s="261"/>
    </row>
    <row r="2544" spans="1:2" x14ac:dyDescent="0.55000000000000004">
      <c r="A2544"/>
      <c r="B2544" s="261"/>
    </row>
    <row r="2545" spans="1:2" x14ac:dyDescent="0.55000000000000004">
      <c r="A2545"/>
      <c r="B2545" s="261"/>
    </row>
    <row r="2546" spans="1:2" x14ac:dyDescent="0.55000000000000004">
      <c r="A2546"/>
      <c r="B2546" s="261"/>
    </row>
    <row r="2547" spans="1:2" x14ac:dyDescent="0.55000000000000004">
      <c r="A2547"/>
      <c r="B2547" s="261"/>
    </row>
    <row r="2548" spans="1:2" x14ac:dyDescent="0.55000000000000004">
      <c r="A2548"/>
      <c r="B2548" s="261"/>
    </row>
    <row r="2549" spans="1:2" x14ac:dyDescent="0.55000000000000004">
      <c r="A2549"/>
      <c r="B2549" s="261"/>
    </row>
    <row r="2550" spans="1:2" x14ac:dyDescent="0.55000000000000004">
      <c r="A2550"/>
      <c r="B2550" s="261"/>
    </row>
    <row r="2551" spans="1:2" x14ac:dyDescent="0.55000000000000004">
      <c r="A2551"/>
      <c r="B2551" s="261"/>
    </row>
    <row r="2552" spans="1:2" x14ac:dyDescent="0.55000000000000004">
      <c r="A2552"/>
      <c r="B2552" s="261"/>
    </row>
    <row r="2553" spans="1:2" x14ac:dyDescent="0.55000000000000004">
      <c r="A2553"/>
      <c r="B2553" s="261"/>
    </row>
    <row r="2554" spans="1:2" x14ac:dyDescent="0.55000000000000004">
      <c r="A2554"/>
      <c r="B2554" s="261"/>
    </row>
    <row r="2555" spans="1:2" x14ac:dyDescent="0.55000000000000004">
      <c r="A2555"/>
      <c r="B2555" s="261"/>
    </row>
    <row r="2556" spans="1:2" x14ac:dyDescent="0.55000000000000004">
      <c r="A2556"/>
      <c r="B2556" s="261"/>
    </row>
    <row r="2557" spans="1:2" x14ac:dyDescent="0.55000000000000004">
      <c r="A2557"/>
      <c r="B2557" s="261"/>
    </row>
    <row r="2558" spans="1:2" x14ac:dyDescent="0.55000000000000004">
      <c r="A2558"/>
      <c r="B2558" s="261"/>
    </row>
    <row r="2559" spans="1:2" x14ac:dyDescent="0.55000000000000004">
      <c r="A2559"/>
      <c r="B2559" s="261"/>
    </row>
    <row r="2560" spans="1:2" x14ac:dyDescent="0.55000000000000004">
      <c r="A2560"/>
      <c r="B2560" s="261"/>
    </row>
    <row r="2561" spans="1:2" x14ac:dyDescent="0.55000000000000004">
      <c r="A2561"/>
      <c r="B2561" s="261"/>
    </row>
    <row r="2562" spans="1:2" x14ac:dyDescent="0.55000000000000004">
      <c r="A2562"/>
      <c r="B2562" s="261"/>
    </row>
    <row r="2563" spans="1:2" x14ac:dyDescent="0.55000000000000004">
      <c r="A2563"/>
      <c r="B2563" s="261"/>
    </row>
    <row r="2564" spans="1:2" x14ac:dyDescent="0.55000000000000004">
      <c r="A2564"/>
      <c r="B2564" s="261"/>
    </row>
    <row r="2565" spans="1:2" x14ac:dyDescent="0.55000000000000004">
      <c r="A2565"/>
      <c r="B2565" s="261"/>
    </row>
    <row r="2566" spans="1:2" x14ac:dyDescent="0.55000000000000004">
      <c r="A2566"/>
      <c r="B2566" s="261"/>
    </row>
    <row r="2567" spans="1:2" x14ac:dyDescent="0.55000000000000004">
      <c r="A2567"/>
      <c r="B2567" s="261"/>
    </row>
    <row r="2568" spans="1:2" x14ac:dyDescent="0.55000000000000004">
      <c r="A2568"/>
      <c r="B2568" s="261"/>
    </row>
    <row r="2569" spans="1:2" x14ac:dyDescent="0.55000000000000004">
      <c r="A2569"/>
      <c r="B2569" s="261"/>
    </row>
    <row r="2570" spans="1:2" x14ac:dyDescent="0.55000000000000004">
      <c r="A2570"/>
      <c r="B2570" s="261"/>
    </row>
    <row r="2571" spans="1:2" x14ac:dyDescent="0.55000000000000004">
      <c r="A2571"/>
      <c r="B2571" s="261"/>
    </row>
    <row r="2572" spans="1:2" x14ac:dyDescent="0.55000000000000004">
      <c r="A2572"/>
      <c r="B2572" s="261"/>
    </row>
    <row r="2573" spans="1:2" x14ac:dyDescent="0.55000000000000004">
      <c r="A2573"/>
      <c r="B2573" s="261"/>
    </row>
    <row r="2574" spans="1:2" x14ac:dyDescent="0.55000000000000004">
      <c r="A2574"/>
      <c r="B2574" s="261"/>
    </row>
    <row r="2575" spans="1:2" x14ac:dyDescent="0.55000000000000004">
      <c r="A2575"/>
      <c r="B2575" s="261"/>
    </row>
    <row r="2576" spans="1:2" x14ac:dyDescent="0.55000000000000004">
      <c r="A2576"/>
      <c r="B2576" s="261"/>
    </row>
    <row r="2577" spans="1:2" x14ac:dyDescent="0.55000000000000004">
      <c r="A2577"/>
      <c r="B2577" s="261"/>
    </row>
    <row r="2578" spans="1:2" x14ac:dyDescent="0.55000000000000004">
      <c r="A2578"/>
      <c r="B2578" s="261"/>
    </row>
    <row r="2579" spans="1:2" x14ac:dyDescent="0.55000000000000004">
      <c r="A2579"/>
      <c r="B2579" s="261"/>
    </row>
    <row r="2580" spans="1:2" x14ac:dyDescent="0.55000000000000004">
      <c r="A2580"/>
      <c r="B2580" s="261"/>
    </row>
    <row r="2581" spans="1:2" x14ac:dyDescent="0.55000000000000004">
      <c r="A2581"/>
      <c r="B2581" s="261"/>
    </row>
    <row r="2582" spans="1:2" x14ac:dyDescent="0.55000000000000004">
      <c r="A2582"/>
      <c r="B2582" s="261"/>
    </row>
    <row r="2583" spans="1:2" x14ac:dyDescent="0.55000000000000004">
      <c r="A2583"/>
      <c r="B2583" s="261"/>
    </row>
    <row r="2584" spans="1:2" x14ac:dyDescent="0.55000000000000004">
      <c r="A2584"/>
      <c r="B2584" s="261"/>
    </row>
    <row r="2585" spans="1:2" x14ac:dyDescent="0.55000000000000004">
      <c r="A2585"/>
      <c r="B2585" s="261"/>
    </row>
    <row r="2586" spans="1:2" x14ac:dyDescent="0.55000000000000004">
      <c r="A2586"/>
      <c r="B2586" s="261"/>
    </row>
    <row r="2587" spans="1:2" x14ac:dyDescent="0.55000000000000004">
      <c r="A2587"/>
      <c r="B2587" s="261"/>
    </row>
    <row r="2588" spans="1:2" x14ac:dyDescent="0.55000000000000004">
      <c r="A2588"/>
      <c r="B2588" s="261"/>
    </row>
    <row r="2589" spans="1:2" x14ac:dyDescent="0.55000000000000004">
      <c r="A2589"/>
      <c r="B2589" s="261"/>
    </row>
    <row r="2590" spans="1:2" x14ac:dyDescent="0.55000000000000004">
      <c r="A2590"/>
      <c r="B2590" s="261"/>
    </row>
    <row r="2591" spans="1:2" x14ac:dyDescent="0.55000000000000004">
      <c r="A2591"/>
      <c r="B2591" s="261"/>
    </row>
    <row r="2592" spans="1:2" x14ac:dyDescent="0.55000000000000004">
      <c r="A2592"/>
      <c r="B2592" s="261"/>
    </row>
    <row r="2593" spans="1:2" x14ac:dyDescent="0.55000000000000004">
      <c r="A2593"/>
      <c r="B2593" s="261"/>
    </row>
    <row r="2594" spans="1:2" x14ac:dyDescent="0.55000000000000004">
      <c r="A2594"/>
      <c r="B2594" s="261"/>
    </row>
    <row r="2595" spans="1:2" x14ac:dyDescent="0.55000000000000004">
      <c r="A2595"/>
      <c r="B2595" s="261"/>
    </row>
    <row r="2596" spans="1:2" x14ac:dyDescent="0.55000000000000004">
      <c r="A2596"/>
      <c r="B2596" s="261"/>
    </row>
    <row r="2597" spans="1:2" x14ac:dyDescent="0.55000000000000004">
      <c r="A2597"/>
      <c r="B2597" s="261"/>
    </row>
    <row r="2598" spans="1:2" x14ac:dyDescent="0.55000000000000004">
      <c r="A2598"/>
      <c r="B2598" s="261"/>
    </row>
    <row r="2599" spans="1:2" x14ac:dyDescent="0.55000000000000004">
      <c r="A2599"/>
      <c r="B2599" s="261"/>
    </row>
    <row r="2600" spans="1:2" x14ac:dyDescent="0.55000000000000004">
      <c r="A2600"/>
      <c r="B2600" s="261"/>
    </row>
    <row r="2601" spans="1:2" x14ac:dyDescent="0.55000000000000004">
      <c r="A2601"/>
      <c r="B2601" s="261"/>
    </row>
    <row r="2602" spans="1:2" x14ac:dyDescent="0.55000000000000004">
      <c r="A2602"/>
      <c r="B2602" s="261"/>
    </row>
    <row r="2603" spans="1:2" x14ac:dyDescent="0.55000000000000004">
      <c r="A2603"/>
      <c r="B2603" s="261"/>
    </row>
    <row r="2604" spans="1:2" x14ac:dyDescent="0.55000000000000004">
      <c r="A2604"/>
      <c r="B2604" s="261"/>
    </row>
    <row r="2605" spans="1:2" x14ac:dyDescent="0.55000000000000004">
      <c r="A2605"/>
      <c r="B2605" s="261"/>
    </row>
    <row r="2606" spans="1:2" x14ac:dyDescent="0.55000000000000004">
      <c r="A2606"/>
      <c r="B2606" s="261"/>
    </row>
    <row r="2607" spans="1:2" x14ac:dyDescent="0.55000000000000004">
      <c r="A2607"/>
      <c r="B2607" s="261"/>
    </row>
    <row r="2608" spans="1:2" x14ac:dyDescent="0.55000000000000004">
      <c r="A2608"/>
      <c r="B2608" s="261"/>
    </row>
    <row r="2609" spans="1:2" x14ac:dyDescent="0.55000000000000004">
      <c r="A2609"/>
      <c r="B2609" s="261"/>
    </row>
    <row r="2610" spans="1:2" x14ac:dyDescent="0.55000000000000004">
      <c r="A2610"/>
      <c r="B2610" s="261"/>
    </row>
    <row r="2611" spans="1:2" x14ac:dyDescent="0.55000000000000004">
      <c r="A2611"/>
      <c r="B2611" s="261"/>
    </row>
    <row r="2612" spans="1:2" x14ac:dyDescent="0.55000000000000004">
      <c r="A2612"/>
      <c r="B2612" s="261"/>
    </row>
    <row r="2613" spans="1:2" x14ac:dyDescent="0.55000000000000004">
      <c r="A2613"/>
      <c r="B2613" s="261"/>
    </row>
    <row r="2614" spans="1:2" x14ac:dyDescent="0.55000000000000004">
      <c r="A2614"/>
      <c r="B2614" s="261"/>
    </row>
    <row r="2615" spans="1:2" x14ac:dyDescent="0.55000000000000004">
      <c r="A2615"/>
      <c r="B2615" s="261"/>
    </row>
    <row r="2616" spans="1:2" x14ac:dyDescent="0.55000000000000004">
      <c r="A2616"/>
      <c r="B2616" s="261"/>
    </row>
    <row r="2617" spans="1:2" x14ac:dyDescent="0.55000000000000004">
      <c r="A2617"/>
      <c r="B2617" s="261"/>
    </row>
    <row r="2618" spans="1:2" x14ac:dyDescent="0.55000000000000004">
      <c r="A2618"/>
      <c r="B2618" s="261"/>
    </row>
    <row r="2619" spans="1:2" x14ac:dyDescent="0.55000000000000004">
      <c r="A2619"/>
      <c r="B2619" s="261"/>
    </row>
    <row r="2620" spans="1:2" x14ac:dyDescent="0.55000000000000004">
      <c r="A2620"/>
      <c r="B2620" s="261"/>
    </row>
    <row r="2621" spans="1:2" x14ac:dyDescent="0.55000000000000004">
      <c r="A2621"/>
      <c r="B2621" s="261"/>
    </row>
    <row r="2622" spans="1:2" x14ac:dyDescent="0.55000000000000004">
      <c r="A2622"/>
      <c r="B2622" s="261"/>
    </row>
    <row r="2623" spans="1:2" x14ac:dyDescent="0.55000000000000004">
      <c r="A2623"/>
      <c r="B2623" s="261"/>
    </row>
    <row r="2624" spans="1:2" x14ac:dyDescent="0.55000000000000004">
      <c r="A2624"/>
      <c r="B2624" s="261"/>
    </row>
    <row r="2625" spans="1:2" x14ac:dyDescent="0.55000000000000004">
      <c r="A2625"/>
      <c r="B2625" s="261"/>
    </row>
    <row r="2626" spans="1:2" x14ac:dyDescent="0.55000000000000004">
      <c r="A2626"/>
      <c r="B2626" s="261"/>
    </row>
    <row r="2627" spans="1:2" x14ac:dyDescent="0.55000000000000004">
      <c r="A2627"/>
      <c r="B2627" s="261"/>
    </row>
    <row r="2628" spans="1:2" x14ac:dyDescent="0.55000000000000004">
      <c r="A2628"/>
      <c r="B2628" s="261"/>
    </row>
    <row r="2629" spans="1:2" x14ac:dyDescent="0.55000000000000004">
      <c r="A2629"/>
      <c r="B2629" s="261"/>
    </row>
    <row r="2630" spans="1:2" x14ac:dyDescent="0.55000000000000004">
      <c r="A2630"/>
      <c r="B2630" s="261"/>
    </row>
    <row r="2631" spans="1:2" x14ac:dyDescent="0.55000000000000004">
      <c r="A2631"/>
      <c r="B2631" s="261"/>
    </row>
    <row r="2632" spans="1:2" x14ac:dyDescent="0.55000000000000004">
      <c r="A2632"/>
      <c r="B2632" s="261"/>
    </row>
    <row r="2633" spans="1:2" x14ac:dyDescent="0.55000000000000004">
      <c r="A2633"/>
      <c r="B2633" s="261"/>
    </row>
    <row r="2634" spans="1:2" x14ac:dyDescent="0.55000000000000004">
      <c r="A2634"/>
      <c r="B2634" s="261"/>
    </row>
    <row r="2635" spans="1:2" x14ac:dyDescent="0.55000000000000004">
      <c r="A2635"/>
      <c r="B2635" s="261"/>
    </row>
    <row r="2636" spans="1:2" x14ac:dyDescent="0.55000000000000004">
      <c r="A2636"/>
      <c r="B2636" s="261"/>
    </row>
    <row r="2637" spans="1:2" x14ac:dyDescent="0.55000000000000004">
      <c r="A2637"/>
      <c r="B2637" s="261"/>
    </row>
    <row r="2638" spans="1:2" x14ac:dyDescent="0.55000000000000004">
      <c r="A2638"/>
      <c r="B2638" s="261"/>
    </row>
    <row r="2639" spans="1:2" x14ac:dyDescent="0.55000000000000004">
      <c r="A2639"/>
      <c r="B2639" s="261"/>
    </row>
    <row r="2640" spans="1:2" x14ac:dyDescent="0.55000000000000004">
      <c r="A2640"/>
      <c r="B2640" s="261"/>
    </row>
    <row r="2641" spans="1:2" x14ac:dyDescent="0.55000000000000004">
      <c r="A2641"/>
      <c r="B2641" s="261"/>
    </row>
    <row r="2642" spans="1:2" x14ac:dyDescent="0.55000000000000004">
      <c r="A2642"/>
      <c r="B2642" s="261"/>
    </row>
    <row r="2643" spans="1:2" x14ac:dyDescent="0.55000000000000004">
      <c r="A2643"/>
      <c r="B2643" s="261"/>
    </row>
    <row r="2644" spans="1:2" x14ac:dyDescent="0.55000000000000004">
      <c r="A2644"/>
      <c r="B2644" s="261"/>
    </row>
    <row r="2645" spans="1:2" x14ac:dyDescent="0.55000000000000004">
      <c r="A2645"/>
      <c r="B2645" s="261"/>
    </row>
    <row r="2646" spans="1:2" x14ac:dyDescent="0.55000000000000004">
      <c r="A2646"/>
      <c r="B2646" s="261"/>
    </row>
    <row r="2647" spans="1:2" x14ac:dyDescent="0.55000000000000004">
      <c r="A2647"/>
      <c r="B2647" s="261"/>
    </row>
    <row r="2648" spans="1:2" x14ac:dyDescent="0.55000000000000004">
      <c r="A2648"/>
      <c r="B2648" s="261"/>
    </row>
    <row r="2649" spans="1:2" x14ac:dyDescent="0.55000000000000004">
      <c r="A2649"/>
      <c r="B2649" s="261"/>
    </row>
    <row r="2650" spans="1:2" x14ac:dyDescent="0.55000000000000004">
      <c r="A2650"/>
      <c r="B2650" s="261"/>
    </row>
    <row r="2651" spans="1:2" x14ac:dyDescent="0.55000000000000004">
      <c r="A2651"/>
      <c r="B2651" s="261"/>
    </row>
    <row r="2652" spans="1:2" x14ac:dyDescent="0.55000000000000004">
      <c r="A2652"/>
      <c r="B2652" s="261"/>
    </row>
    <row r="2653" spans="1:2" x14ac:dyDescent="0.55000000000000004">
      <c r="A2653"/>
      <c r="B2653" s="261"/>
    </row>
    <row r="2654" spans="1:2" x14ac:dyDescent="0.55000000000000004">
      <c r="A2654"/>
      <c r="B2654" s="261"/>
    </row>
    <row r="2655" spans="1:2" x14ac:dyDescent="0.55000000000000004">
      <c r="A2655"/>
      <c r="B2655" s="261"/>
    </row>
    <row r="2656" spans="1:2" x14ac:dyDescent="0.55000000000000004">
      <c r="A2656"/>
      <c r="B2656" s="261"/>
    </row>
    <row r="2657" spans="1:2" x14ac:dyDescent="0.55000000000000004">
      <c r="A2657"/>
      <c r="B2657" s="261"/>
    </row>
    <row r="2658" spans="1:2" x14ac:dyDescent="0.55000000000000004">
      <c r="A2658"/>
      <c r="B2658" s="261"/>
    </row>
    <row r="2659" spans="1:2" x14ac:dyDescent="0.55000000000000004">
      <c r="A2659"/>
      <c r="B2659" s="261"/>
    </row>
    <row r="2660" spans="1:2" x14ac:dyDescent="0.55000000000000004">
      <c r="A2660"/>
      <c r="B2660" s="261"/>
    </row>
    <row r="2661" spans="1:2" x14ac:dyDescent="0.55000000000000004">
      <c r="A2661"/>
      <c r="B2661" s="261"/>
    </row>
    <row r="2662" spans="1:2" x14ac:dyDescent="0.55000000000000004">
      <c r="A2662"/>
      <c r="B2662" s="261"/>
    </row>
    <row r="2663" spans="1:2" x14ac:dyDescent="0.55000000000000004">
      <c r="A2663"/>
      <c r="B2663" s="261"/>
    </row>
    <row r="2664" spans="1:2" x14ac:dyDescent="0.55000000000000004">
      <c r="A2664"/>
      <c r="B2664" s="261"/>
    </row>
    <row r="2665" spans="1:2" x14ac:dyDescent="0.55000000000000004">
      <c r="A2665"/>
      <c r="B2665" s="261"/>
    </row>
    <row r="2666" spans="1:2" x14ac:dyDescent="0.55000000000000004">
      <c r="A2666"/>
      <c r="B2666" s="261"/>
    </row>
    <row r="2667" spans="1:2" x14ac:dyDescent="0.55000000000000004">
      <c r="A2667"/>
      <c r="B2667" s="261"/>
    </row>
    <row r="2668" spans="1:2" x14ac:dyDescent="0.55000000000000004">
      <c r="A2668"/>
      <c r="B2668" s="261"/>
    </row>
    <row r="2669" spans="1:2" x14ac:dyDescent="0.55000000000000004">
      <c r="A2669"/>
      <c r="B2669" s="261"/>
    </row>
    <row r="2670" spans="1:2" x14ac:dyDescent="0.55000000000000004">
      <c r="A2670"/>
      <c r="B2670" s="261"/>
    </row>
    <row r="2671" spans="1:2" x14ac:dyDescent="0.55000000000000004">
      <c r="A2671"/>
      <c r="B2671" s="261"/>
    </row>
    <row r="2672" spans="1:2" x14ac:dyDescent="0.55000000000000004">
      <c r="A2672"/>
      <c r="B2672" s="261"/>
    </row>
    <row r="2673" spans="1:2" x14ac:dyDescent="0.55000000000000004">
      <c r="A2673"/>
      <c r="B2673" s="261"/>
    </row>
    <row r="2674" spans="1:2" x14ac:dyDescent="0.55000000000000004">
      <c r="A2674"/>
      <c r="B2674" s="261"/>
    </row>
    <row r="2675" spans="1:2" x14ac:dyDescent="0.55000000000000004">
      <c r="A2675"/>
      <c r="B2675" s="261"/>
    </row>
    <row r="2676" spans="1:2" x14ac:dyDescent="0.55000000000000004">
      <c r="A2676"/>
      <c r="B2676" s="261"/>
    </row>
    <row r="2677" spans="1:2" x14ac:dyDescent="0.55000000000000004">
      <c r="A2677"/>
      <c r="B2677" s="261"/>
    </row>
    <row r="2678" spans="1:2" x14ac:dyDescent="0.55000000000000004">
      <c r="A2678"/>
      <c r="B2678" s="261"/>
    </row>
    <row r="2679" spans="1:2" x14ac:dyDescent="0.55000000000000004">
      <c r="A2679"/>
      <c r="B2679" s="261"/>
    </row>
    <row r="2680" spans="1:2" x14ac:dyDescent="0.55000000000000004">
      <c r="A2680"/>
      <c r="B2680" s="261"/>
    </row>
    <row r="2681" spans="1:2" x14ac:dyDescent="0.55000000000000004">
      <c r="A2681"/>
      <c r="B2681" s="261"/>
    </row>
    <row r="2682" spans="1:2" x14ac:dyDescent="0.55000000000000004">
      <c r="A2682"/>
      <c r="B2682" s="261"/>
    </row>
    <row r="2683" spans="1:2" x14ac:dyDescent="0.55000000000000004">
      <c r="A2683"/>
      <c r="B2683" s="261"/>
    </row>
    <row r="2684" spans="1:2" x14ac:dyDescent="0.55000000000000004">
      <c r="A2684"/>
      <c r="B2684" s="261"/>
    </row>
    <row r="2685" spans="1:2" x14ac:dyDescent="0.55000000000000004">
      <c r="A2685"/>
      <c r="B2685" s="261"/>
    </row>
    <row r="2686" spans="1:2" x14ac:dyDescent="0.55000000000000004">
      <c r="A2686"/>
      <c r="B2686" s="261"/>
    </row>
    <row r="2687" spans="1:2" x14ac:dyDescent="0.55000000000000004">
      <c r="A2687"/>
      <c r="B2687" s="261"/>
    </row>
    <row r="2688" spans="1:2" x14ac:dyDescent="0.55000000000000004">
      <c r="A2688"/>
      <c r="B2688" s="261"/>
    </row>
    <row r="2689" spans="1:2" x14ac:dyDescent="0.55000000000000004">
      <c r="A2689"/>
      <c r="B2689" s="261"/>
    </row>
    <row r="2690" spans="1:2" x14ac:dyDescent="0.55000000000000004">
      <c r="A2690"/>
      <c r="B2690" s="261"/>
    </row>
    <row r="2691" spans="1:2" x14ac:dyDescent="0.55000000000000004">
      <c r="A2691"/>
      <c r="B2691" s="261"/>
    </row>
    <row r="2692" spans="1:2" x14ac:dyDescent="0.55000000000000004">
      <c r="A2692"/>
      <c r="B2692" s="261"/>
    </row>
    <row r="2693" spans="1:2" x14ac:dyDescent="0.55000000000000004">
      <c r="A2693"/>
      <c r="B2693" s="261"/>
    </row>
    <row r="2694" spans="1:2" x14ac:dyDescent="0.55000000000000004">
      <c r="A2694"/>
      <c r="B2694" s="261"/>
    </row>
    <row r="2695" spans="1:2" x14ac:dyDescent="0.55000000000000004">
      <c r="A2695"/>
      <c r="B2695" s="261"/>
    </row>
    <row r="2696" spans="1:2" x14ac:dyDescent="0.55000000000000004">
      <c r="A2696"/>
      <c r="B2696" s="261"/>
    </row>
    <row r="2697" spans="1:2" x14ac:dyDescent="0.55000000000000004">
      <c r="A2697"/>
      <c r="B2697" s="261"/>
    </row>
    <row r="2698" spans="1:2" x14ac:dyDescent="0.55000000000000004">
      <c r="A2698"/>
      <c r="B2698" s="261"/>
    </row>
    <row r="2699" spans="1:2" x14ac:dyDescent="0.55000000000000004">
      <c r="A2699"/>
      <c r="B2699" s="261"/>
    </row>
    <row r="2700" spans="1:2" x14ac:dyDescent="0.55000000000000004">
      <c r="A2700"/>
      <c r="B2700" s="261"/>
    </row>
    <row r="2701" spans="1:2" x14ac:dyDescent="0.55000000000000004">
      <c r="A2701"/>
      <c r="B2701" s="261"/>
    </row>
    <row r="2702" spans="1:2" x14ac:dyDescent="0.55000000000000004">
      <c r="A2702"/>
      <c r="B2702" s="261"/>
    </row>
    <row r="2703" spans="1:2" x14ac:dyDescent="0.55000000000000004">
      <c r="A2703"/>
      <c r="B2703" s="261"/>
    </row>
    <row r="2704" spans="1:2" x14ac:dyDescent="0.55000000000000004">
      <c r="A2704"/>
      <c r="B2704" s="261"/>
    </row>
    <row r="2705" spans="1:2" x14ac:dyDescent="0.55000000000000004">
      <c r="A2705"/>
      <c r="B2705" s="261"/>
    </row>
    <row r="2706" spans="1:2" x14ac:dyDescent="0.55000000000000004">
      <c r="A2706"/>
      <c r="B2706" s="261"/>
    </row>
    <row r="2707" spans="1:2" x14ac:dyDescent="0.55000000000000004">
      <c r="A2707"/>
      <c r="B2707" s="261"/>
    </row>
    <row r="2708" spans="1:2" x14ac:dyDescent="0.55000000000000004">
      <c r="A2708"/>
      <c r="B2708" s="261"/>
    </row>
    <row r="2709" spans="1:2" x14ac:dyDescent="0.55000000000000004">
      <c r="A2709"/>
      <c r="B2709" s="261"/>
    </row>
    <row r="2710" spans="1:2" x14ac:dyDescent="0.55000000000000004">
      <c r="A2710"/>
      <c r="B2710" s="261"/>
    </row>
    <row r="2711" spans="1:2" x14ac:dyDescent="0.55000000000000004">
      <c r="A2711"/>
      <c r="B2711" s="261"/>
    </row>
    <row r="2712" spans="1:2" x14ac:dyDescent="0.55000000000000004">
      <c r="A2712"/>
      <c r="B2712" s="261"/>
    </row>
    <row r="2713" spans="1:2" x14ac:dyDescent="0.55000000000000004">
      <c r="A2713"/>
      <c r="B2713" s="261"/>
    </row>
    <row r="2714" spans="1:2" x14ac:dyDescent="0.55000000000000004">
      <c r="A2714"/>
      <c r="B2714" s="261"/>
    </row>
    <row r="2715" spans="1:2" x14ac:dyDescent="0.55000000000000004">
      <c r="A2715"/>
      <c r="B2715" s="261"/>
    </row>
    <row r="2716" spans="1:2" x14ac:dyDescent="0.55000000000000004">
      <c r="A2716"/>
      <c r="B2716" s="261"/>
    </row>
    <row r="2717" spans="1:2" x14ac:dyDescent="0.55000000000000004">
      <c r="A2717"/>
      <c r="B2717" s="261"/>
    </row>
    <row r="2718" spans="1:2" x14ac:dyDescent="0.55000000000000004">
      <c r="A2718"/>
      <c r="B2718" s="261"/>
    </row>
    <row r="2719" spans="1:2" x14ac:dyDescent="0.55000000000000004">
      <c r="A2719"/>
      <c r="B2719" s="261"/>
    </row>
    <row r="2720" spans="1:2" x14ac:dyDescent="0.55000000000000004">
      <c r="A2720"/>
      <c r="B2720" s="261"/>
    </row>
    <row r="2721" spans="1:2" x14ac:dyDescent="0.55000000000000004">
      <c r="A2721"/>
      <c r="B2721" s="261"/>
    </row>
    <row r="2722" spans="1:2" x14ac:dyDescent="0.55000000000000004">
      <c r="A2722"/>
      <c r="B2722" s="261"/>
    </row>
    <row r="2723" spans="1:2" x14ac:dyDescent="0.55000000000000004">
      <c r="A2723"/>
      <c r="B2723" s="261"/>
    </row>
    <row r="2724" spans="1:2" x14ac:dyDescent="0.55000000000000004">
      <c r="A2724"/>
      <c r="B2724" s="261"/>
    </row>
    <row r="2725" spans="1:2" x14ac:dyDescent="0.55000000000000004">
      <c r="A2725"/>
      <c r="B2725" s="261"/>
    </row>
    <row r="2726" spans="1:2" x14ac:dyDescent="0.55000000000000004">
      <c r="A2726"/>
      <c r="B2726" s="261"/>
    </row>
    <row r="2727" spans="1:2" x14ac:dyDescent="0.55000000000000004">
      <c r="A2727"/>
      <c r="B2727" s="261"/>
    </row>
    <row r="2728" spans="1:2" x14ac:dyDescent="0.55000000000000004">
      <c r="A2728"/>
      <c r="B2728" s="261"/>
    </row>
    <row r="2729" spans="1:2" x14ac:dyDescent="0.55000000000000004">
      <c r="A2729"/>
      <c r="B2729" s="261"/>
    </row>
    <row r="2730" spans="1:2" x14ac:dyDescent="0.55000000000000004">
      <c r="A2730"/>
      <c r="B2730" s="261"/>
    </row>
    <row r="2731" spans="1:2" x14ac:dyDescent="0.55000000000000004">
      <c r="A2731"/>
      <c r="B2731" s="261"/>
    </row>
    <row r="2732" spans="1:2" x14ac:dyDescent="0.55000000000000004">
      <c r="A2732"/>
      <c r="B2732" s="261"/>
    </row>
    <row r="2733" spans="1:2" x14ac:dyDescent="0.55000000000000004">
      <c r="A2733"/>
      <c r="B2733" s="261"/>
    </row>
    <row r="2734" spans="1:2" x14ac:dyDescent="0.55000000000000004">
      <c r="A2734"/>
      <c r="B2734" s="261"/>
    </row>
    <row r="2735" spans="1:2" x14ac:dyDescent="0.55000000000000004">
      <c r="A2735"/>
      <c r="B2735" s="261"/>
    </row>
    <row r="2736" spans="1:2" x14ac:dyDescent="0.55000000000000004">
      <c r="A2736"/>
      <c r="B2736" s="261"/>
    </row>
    <row r="2737" spans="1:2" x14ac:dyDescent="0.55000000000000004">
      <c r="A2737"/>
      <c r="B2737" s="261"/>
    </row>
    <row r="2738" spans="1:2" x14ac:dyDescent="0.55000000000000004">
      <c r="A2738"/>
      <c r="B2738" s="261"/>
    </row>
    <row r="2739" spans="1:2" x14ac:dyDescent="0.55000000000000004">
      <c r="A2739"/>
      <c r="B2739" s="261"/>
    </row>
    <row r="2740" spans="1:2" x14ac:dyDescent="0.55000000000000004">
      <c r="A2740"/>
      <c r="B2740" s="261"/>
    </row>
    <row r="2741" spans="1:2" x14ac:dyDescent="0.55000000000000004">
      <c r="A2741"/>
      <c r="B2741" s="261"/>
    </row>
    <row r="2742" spans="1:2" x14ac:dyDescent="0.55000000000000004">
      <c r="A2742"/>
      <c r="B2742" s="261"/>
    </row>
    <row r="2743" spans="1:2" x14ac:dyDescent="0.55000000000000004">
      <c r="A2743"/>
      <c r="B2743" s="261"/>
    </row>
    <row r="2744" spans="1:2" x14ac:dyDescent="0.55000000000000004">
      <c r="A2744"/>
      <c r="B2744" s="261"/>
    </row>
    <row r="2745" spans="1:2" x14ac:dyDescent="0.55000000000000004">
      <c r="A2745"/>
      <c r="B2745" s="261"/>
    </row>
    <row r="2746" spans="1:2" x14ac:dyDescent="0.55000000000000004">
      <c r="A2746"/>
      <c r="B2746" s="261"/>
    </row>
    <row r="2747" spans="1:2" x14ac:dyDescent="0.55000000000000004">
      <c r="A2747"/>
      <c r="B2747" s="261"/>
    </row>
    <row r="2748" spans="1:2" x14ac:dyDescent="0.55000000000000004">
      <c r="A2748"/>
      <c r="B2748" s="261"/>
    </row>
    <row r="2749" spans="1:2" x14ac:dyDescent="0.55000000000000004">
      <c r="A2749"/>
      <c r="B2749" s="261"/>
    </row>
    <row r="2750" spans="1:2" x14ac:dyDescent="0.55000000000000004">
      <c r="A2750"/>
      <c r="B2750" s="261"/>
    </row>
    <row r="2751" spans="1:2" x14ac:dyDescent="0.55000000000000004">
      <c r="A2751"/>
      <c r="B2751" s="261"/>
    </row>
    <row r="2752" spans="1:2" x14ac:dyDescent="0.55000000000000004">
      <c r="A2752"/>
      <c r="B2752" s="261"/>
    </row>
    <row r="2753" spans="1:2" x14ac:dyDescent="0.55000000000000004">
      <c r="A2753"/>
      <c r="B2753" s="261"/>
    </row>
    <row r="2754" spans="1:2" x14ac:dyDescent="0.55000000000000004">
      <c r="A2754"/>
      <c r="B2754" s="261"/>
    </row>
    <row r="2755" spans="1:2" x14ac:dyDescent="0.55000000000000004">
      <c r="A2755"/>
      <c r="B2755" s="261"/>
    </row>
    <row r="2756" spans="1:2" x14ac:dyDescent="0.55000000000000004">
      <c r="A2756"/>
      <c r="B2756" s="261"/>
    </row>
    <row r="2757" spans="1:2" x14ac:dyDescent="0.55000000000000004">
      <c r="A2757"/>
      <c r="B2757" s="261"/>
    </row>
    <row r="2758" spans="1:2" x14ac:dyDescent="0.55000000000000004">
      <c r="A2758"/>
      <c r="B2758" s="261"/>
    </row>
    <row r="2759" spans="1:2" x14ac:dyDescent="0.55000000000000004">
      <c r="A2759"/>
      <c r="B2759" s="261"/>
    </row>
    <row r="2760" spans="1:2" x14ac:dyDescent="0.55000000000000004">
      <c r="A2760"/>
      <c r="B2760" s="261"/>
    </row>
    <row r="2761" spans="1:2" x14ac:dyDescent="0.55000000000000004">
      <c r="A2761"/>
      <c r="B2761" s="261"/>
    </row>
    <row r="2762" spans="1:2" x14ac:dyDescent="0.55000000000000004">
      <c r="A2762"/>
      <c r="B2762" s="261"/>
    </row>
    <row r="2763" spans="1:2" x14ac:dyDescent="0.55000000000000004">
      <c r="A2763"/>
      <c r="B2763" s="261"/>
    </row>
    <row r="2764" spans="1:2" x14ac:dyDescent="0.55000000000000004">
      <c r="A2764"/>
      <c r="B2764" s="261"/>
    </row>
    <row r="2765" spans="1:2" x14ac:dyDescent="0.55000000000000004">
      <c r="A2765"/>
      <c r="B2765" s="261"/>
    </row>
    <row r="2766" spans="1:2" x14ac:dyDescent="0.55000000000000004">
      <c r="A2766"/>
      <c r="B2766" s="261"/>
    </row>
    <row r="2767" spans="1:2" x14ac:dyDescent="0.55000000000000004">
      <c r="A2767"/>
      <c r="B2767" s="261"/>
    </row>
    <row r="2768" spans="1:2" x14ac:dyDescent="0.55000000000000004">
      <c r="A2768"/>
      <c r="B2768" s="261"/>
    </row>
    <row r="2769" spans="1:2" x14ac:dyDescent="0.55000000000000004">
      <c r="A2769"/>
      <c r="B2769" s="261"/>
    </row>
    <row r="2770" spans="1:2" x14ac:dyDescent="0.55000000000000004">
      <c r="A2770"/>
      <c r="B2770" s="261"/>
    </row>
    <row r="2771" spans="1:2" x14ac:dyDescent="0.55000000000000004">
      <c r="A2771"/>
      <c r="B2771" s="261"/>
    </row>
    <row r="2772" spans="1:2" x14ac:dyDescent="0.55000000000000004">
      <c r="A2772"/>
      <c r="B2772" s="261"/>
    </row>
    <row r="2773" spans="1:2" x14ac:dyDescent="0.55000000000000004">
      <c r="A2773"/>
      <c r="B2773" s="261"/>
    </row>
    <row r="2774" spans="1:2" x14ac:dyDescent="0.55000000000000004">
      <c r="A2774"/>
      <c r="B2774" s="261"/>
    </row>
    <row r="2775" spans="1:2" x14ac:dyDescent="0.55000000000000004">
      <c r="A2775"/>
      <c r="B2775" s="261"/>
    </row>
    <row r="2776" spans="1:2" x14ac:dyDescent="0.55000000000000004">
      <c r="A2776"/>
      <c r="B2776" s="261"/>
    </row>
    <row r="2777" spans="1:2" x14ac:dyDescent="0.55000000000000004">
      <c r="A2777"/>
      <c r="B2777" s="261"/>
    </row>
    <row r="2778" spans="1:2" x14ac:dyDescent="0.55000000000000004">
      <c r="A2778"/>
      <c r="B2778" s="261"/>
    </row>
    <row r="2779" spans="1:2" x14ac:dyDescent="0.55000000000000004">
      <c r="A2779"/>
      <c r="B2779" s="261"/>
    </row>
    <row r="2780" spans="1:2" x14ac:dyDescent="0.55000000000000004">
      <c r="A2780"/>
      <c r="B2780" s="261"/>
    </row>
    <row r="2781" spans="1:2" x14ac:dyDescent="0.55000000000000004">
      <c r="A2781"/>
      <c r="B2781" s="261"/>
    </row>
    <row r="2782" spans="1:2" x14ac:dyDescent="0.55000000000000004">
      <c r="A2782"/>
      <c r="B2782" s="261"/>
    </row>
    <row r="2783" spans="1:2" x14ac:dyDescent="0.55000000000000004">
      <c r="A2783"/>
      <c r="B2783" s="261"/>
    </row>
    <row r="2784" spans="1:2" x14ac:dyDescent="0.55000000000000004">
      <c r="A2784"/>
      <c r="B2784" s="261"/>
    </row>
    <row r="2785" spans="1:2" x14ac:dyDescent="0.55000000000000004">
      <c r="A2785"/>
      <c r="B2785" s="261"/>
    </row>
    <row r="2786" spans="1:2" x14ac:dyDescent="0.55000000000000004">
      <c r="A2786"/>
      <c r="B2786" s="261"/>
    </row>
    <row r="2787" spans="1:2" x14ac:dyDescent="0.55000000000000004">
      <c r="A2787"/>
      <c r="B2787" s="261"/>
    </row>
    <row r="2788" spans="1:2" x14ac:dyDescent="0.55000000000000004">
      <c r="A2788"/>
      <c r="B2788" s="261"/>
    </row>
    <row r="2789" spans="1:2" x14ac:dyDescent="0.55000000000000004">
      <c r="A2789"/>
      <c r="B2789" s="261"/>
    </row>
    <row r="2790" spans="1:2" x14ac:dyDescent="0.55000000000000004">
      <c r="A2790"/>
      <c r="B2790" s="261"/>
    </row>
    <row r="2791" spans="1:2" x14ac:dyDescent="0.55000000000000004">
      <c r="A2791"/>
      <c r="B2791" s="261"/>
    </row>
    <row r="2792" spans="1:2" x14ac:dyDescent="0.55000000000000004">
      <c r="A2792"/>
      <c r="B2792" s="261"/>
    </row>
    <row r="2793" spans="1:2" x14ac:dyDescent="0.55000000000000004">
      <c r="A2793"/>
      <c r="B2793" s="261"/>
    </row>
    <row r="2794" spans="1:2" x14ac:dyDescent="0.55000000000000004">
      <c r="A2794"/>
      <c r="B2794" s="261"/>
    </row>
    <row r="2795" spans="1:2" x14ac:dyDescent="0.55000000000000004">
      <c r="A2795"/>
      <c r="B2795" s="261"/>
    </row>
    <row r="2796" spans="1:2" x14ac:dyDescent="0.55000000000000004">
      <c r="A2796"/>
      <c r="B2796" s="261"/>
    </row>
    <row r="2797" spans="1:2" x14ac:dyDescent="0.55000000000000004">
      <c r="A2797"/>
      <c r="B2797" s="261"/>
    </row>
    <row r="2798" spans="1:2" x14ac:dyDescent="0.55000000000000004">
      <c r="A2798"/>
      <c r="B2798" s="261"/>
    </row>
    <row r="2799" spans="1:2" x14ac:dyDescent="0.55000000000000004">
      <c r="A2799"/>
      <c r="B2799" s="261"/>
    </row>
    <row r="2800" spans="1:2" x14ac:dyDescent="0.55000000000000004">
      <c r="A2800"/>
      <c r="B2800" s="261"/>
    </row>
    <row r="2801" spans="1:2" x14ac:dyDescent="0.55000000000000004">
      <c r="A2801"/>
      <c r="B2801" s="261"/>
    </row>
    <row r="2802" spans="1:2" x14ac:dyDescent="0.55000000000000004">
      <c r="A2802"/>
      <c r="B2802" s="261"/>
    </row>
    <row r="2803" spans="1:2" x14ac:dyDescent="0.55000000000000004">
      <c r="A2803"/>
      <c r="B2803" s="261"/>
    </row>
    <row r="2804" spans="1:2" x14ac:dyDescent="0.55000000000000004">
      <c r="A2804"/>
      <c r="B2804" s="261"/>
    </row>
    <row r="2805" spans="1:2" x14ac:dyDescent="0.55000000000000004">
      <c r="A2805"/>
      <c r="B2805" s="261"/>
    </row>
    <row r="2806" spans="1:2" x14ac:dyDescent="0.55000000000000004">
      <c r="A2806"/>
      <c r="B2806" s="261"/>
    </row>
    <row r="2807" spans="1:2" x14ac:dyDescent="0.55000000000000004">
      <c r="A2807"/>
      <c r="B2807" s="261"/>
    </row>
    <row r="2808" spans="1:2" x14ac:dyDescent="0.55000000000000004">
      <c r="A2808"/>
      <c r="B2808" s="261"/>
    </row>
    <row r="2809" spans="1:2" x14ac:dyDescent="0.55000000000000004">
      <c r="A2809"/>
      <c r="B2809" s="261"/>
    </row>
    <row r="2810" spans="1:2" x14ac:dyDescent="0.55000000000000004">
      <c r="A2810"/>
      <c r="B2810" s="261"/>
    </row>
    <row r="2811" spans="1:2" x14ac:dyDescent="0.55000000000000004">
      <c r="A2811"/>
      <c r="B2811" s="261"/>
    </row>
    <row r="2812" spans="1:2" x14ac:dyDescent="0.55000000000000004">
      <c r="A2812"/>
      <c r="B2812" s="261"/>
    </row>
    <row r="2813" spans="1:2" x14ac:dyDescent="0.55000000000000004">
      <c r="A2813"/>
      <c r="B2813" s="261"/>
    </row>
    <row r="2814" spans="1:2" x14ac:dyDescent="0.55000000000000004">
      <c r="A2814"/>
      <c r="B2814" s="261"/>
    </row>
    <row r="2815" spans="1:2" x14ac:dyDescent="0.55000000000000004">
      <c r="A2815"/>
      <c r="B2815" s="261"/>
    </row>
    <row r="2816" spans="1:2" x14ac:dyDescent="0.55000000000000004">
      <c r="A2816"/>
      <c r="B2816" s="261"/>
    </row>
    <row r="2817" spans="1:2" x14ac:dyDescent="0.55000000000000004">
      <c r="A2817"/>
      <c r="B2817" s="261"/>
    </row>
    <row r="2818" spans="1:2" x14ac:dyDescent="0.55000000000000004">
      <c r="A2818"/>
      <c r="B2818" s="261"/>
    </row>
    <row r="2819" spans="1:2" x14ac:dyDescent="0.55000000000000004">
      <c r="A2819"/>
      <c r="B2819" s="261"/>
    </row>
    <row r="2820" spans="1:2" x14ac:dyDescent="0.55000000000000004">
      <c r="A2820"/>
      <c r="B2820" s="261"/>
    </row>
    <row r="2821" spans="1:2" x14ac:dyDescent="0.55000000000000004">
      <c r="A2821"/>
      <c r="B2821" s="261"/>
    </row>
    <row r="2822" spans="1:2" x14ac:dyDescent="0.55000000000000004">
      <c r="A2822"/>
      <c r="B2822" s="261"/>
    </row>
    <row r="2823" spans="1:2" x14ac:dyDescent="0.55000000000000004">
      <c r="A2823"/>
      <c r="B2823" s="261"/>
    </row>
    <row r="2824" spans="1:2" x14ac:dyDescent="0.55000000000000004">
      <c r="A2824"/>
      <c r="B2824" s="261"/>
    </row>
    <row r="2825" spans="1:2" x14ac:dyDescent="0.55000000000000004">
      <c r="A2825"/>
      <c r="B2825" s="261"/>
    </row>
    <row r="2826" spans="1:2" x14ac:dyDescent="0.55000000000000004">
      <c r="A2826"/>
      <c r="B2826" s="261"/>
    </row>
    <row r="2827" spans="1:2" x14ac:dyDescent="0.55000000000000004">
      <c r="A2827"/>
      <c r="B2827" s="261"/>
    </row>
    <row r="2828" spans="1:2" x14ac:dyDescent="0.55000000000000004">
      <c r="A2828"/>
      <c r="B2828" s="261"/>
    </row>
    <row r="2829" spans="1:2" x14ac:dyDescent="0.55000000000000004">
      <c r="A2829"/>
      <c r="B2829" s="261"/>
    </row>
    <row r="2830" spans="1:2" x14ac:dyDescent="0.55000000000000004">
      <c r="A2830"/>
      <c r="B2830" s="261"/>
    </row>
    <row r="2831" spans="1:2" x14ac:dyDescent="0.55000000000000004">
      <c r="A2831"/>
      <c r="B2831" s="261"/>
    </row>
    <row r="2832" spans="1:2" x14ac:dyDescent="0.55000000000000004">
      <c r="A2832"/>
      <c r="B2832" s="261"/>
    </row>
    <row r="2833" spans="1:2" x14ac:dyDescent="0.55000000000000004">
      <c r="A2833"/>
      <c r="B2833" s="261"/>
    </row>
    <row r="2834" spans="1:2" x14ac:dyDescent="0.55000000000000004">
      <c r="A2834"/>
      <c r="B2834" s="261"/>
    </row>
    <row r="2835" spans="1:2" x14ac:dyDescent="0.55000000000000004">
      <c r="A2835"/>
      <c r="B2835" s="261"/>
    </row>
    <row r="2836" spans="1:2" x14ac:dyDescent="0.55000000000000004">
      <c r="A2836"/>
      <c r="B2836" s="261"/>
    </row>
    <row r="2837" spans="1:2" x14ac:dyDescent="0.55000000000000004">
      <c r="A2837"/>
      <c r="B2837" s="261"/>
    </row>
    <row r="2838" spans="1:2" x14ac:dyDescent="0.55000000000000004">
      <c r="A2838"/>
      <c r="B2838" s="261"/>
    </row>
    <row r="2839" spans="1:2" x14ac:dyDescent="0.55000000000000004">
      <c r="A2839"/>
      <c r="B2839" s="261"/>
    </row>
    <row r="2840" spans="1:2" x14ac:dyDescent="0.55000000000000004">
      <c r="A2840"/>
      <c r="B2840" s="261"/>
    </row>
    <row r="2841" spans="1:2" x14ac:dyDescent="0.55000000000000004">
      <c r="A2841"/>
      <c r="B2841" s="261"/>
    </row>
    <row r="2842" spans="1:2" x14ac:dyDescent="0.55000000000000004">
      <c r="A2842"/>
      <c r="B2842" s="261"/>
    </row>
    <row r="2843" spans="1:2" x14ac:dyDescent="0.55000000000000004">
      <c r="A2843"/>
      <c r="B2843" s="261"/>
    </row>
    <row r="2844" spans="1:2" x14ac:dyDescent="0.55000000000000004">
      <c r="A2844"/>
      <c r="B2844" s="261"/>
    </row>
    <row r="2845" spans="1:2" x14ac:dyDescent="0.55000000000000004">
      <c r="A2845"/>
      <c r="B2845" s="261"/>
    </row>
    <row r="2846" spans="1:2" x14ac:dyDescent="0.55000000000000004">
      <c r="A2846"/>
      <c r="B2846" s="261"/>
    </row>
    <row r="2847" spans="1:2" x14ac:dyDescent="0.55000000000000004">
      <c r="A2847"/>
      <c r="B2847" s="261"/>
    </row>
    <row r="2848" spans="1:2" x14ac:dyDescent="0.55000000000000004">
      <c r="A2848"/>
      <c r="B2848" s="261"/>
    </row>
    <row r="2849" spans="1:2" x14ac:dyDescent="0.55000000000000004">
      <c r="A2849"/>
      <c r="B2849" s="261"/>
    </row>
    <row r="2850" spans="1:2" x14ac:dyDescent="0.55000000000000004">
      <c r="A2850"/>
      <c r="B2850" s="261"/>
    </row>
    <row r="2851" spans="1:2" x14ac:dyDescent="0.55000000000000004">
      <c r="A2851"/>
      <c r="B2851" s="261"/>
    </row>
    <row r="2852" spans="1:2" x14ac:dyDescent="0.55000000000000004">
      <c r="A2852"/>
      <c r="B2852" s="261"/>
    </row>
    <row r="2853" spans="1:2" x14ac:dyDescent="0.55000000000000004">
      <c r="A2853"/>
      <c r="B2853" s="261"/>
    </row>
    <row r="2854" spans="1:2" x14ac:dyDescent="0.55000000000000004">
      <c r="A2854"/>
      <c r="B2854" s="261"/>
    </row>
    <row r="2855" spans="1:2" x14ac:dyDescent="0.55000000000000004">
      <c r="A2855"/>
      <c r="B2855" s="261"/>
    </row>
    <row r="2856" spans="1:2" x14ac:dyDescent="0.55000000000000004">
      <c r="A2856"/>
      <c r="B2856" s="261"/>
    </row>
    <row r="2857" spans="1:2" x14ac:dyDescent="0.55000000000000004">
      <c r="A2857"/>
      <c r="B2857" s="261"/>
    </row>
    <row r="2858" spans="1:2" x14ac:dyDescent="0.55000000000000004">
      <c r="A2858"/>
      <c r="B2858" s="261"/>
    </row>
    <row r="2859" spans="1:2" x14ac:dyDescent="0.55000000000000004">
      <c r="A2859"/>
      <c r="B2859" s="261"/>
    </row>
    <row r="2860" spans="1:2" x14ac:dyDescent="0.55000000000000004">
      <c r="A2860"/>
      <c r="B2860" s="261"/>
    </row>
    <row r="2861" spans="1:2" x14ac:dyDescent="0.55000000000000004">
      <c r="A2861"/>
      <c r="B2861" s="261"/>
    </row>
    <row r="2862" spans="1:2" x14ac:dyDescent="0.55000000000000004">
      <c r="A2862"/>
      <c r="B2862" s="261"/>
    </row>
    <row r="2863" spans="1:2" x14ac:dyDescent="0.55000000000000004">
      <c r="A2863"/>
      <c r="B2863" s="261"/>
    </row>
    <row r="2864" spans="1:2" x14ac:dyDescent="0.55000000000000004">
      <c r="A2864"/>
      <c r="B2864" s="261"/>
    </row>
    <row r="2865" spans="1:2" x14ac:dyDescent="0.55000000000000004">
      <c r="A2865"/>
      <c r="B2865" s="261"/>
    </row>
    <row r="2866" spans="1:2" x14ac:dyDescent="0.55000000000000004">
      <c r="A2866"/>
      <c r="B2866" s="261"/>
    </row>
    <row r="2867" spans="1:2" x14ac:dyDescent="0.55000000000000004">
      <c r="A2867"/>
      <c r="B2867" s="261"/>
    </row>
    <row r="2868" spans="1:2" x14ac:dyDescent="0.55000000000000004">
      <c r="A2868"/>
      <c r="B2868" s="261"/>
    </row>
    <row r="2869" spans="1:2" x14ac:dyDescent="0.55000000000000004">
      <c r="A2869"/>
      <c r="B2869" s="261"/>
    </row>
    <row r="2870" spans="1:2" x14ac:dyDescent="0.55000000000000004">
      <c r="A2870"/>
      <c r="B2870" s="261"/>
    </row>
    <row r="2871" spans="1:2" x14ac:dyDescent="0.55000000000000004">
      <c r="A2871"/>
      <c r="B2871" s="261"/>
    </row>
    <row r="2872" spans="1:2" x14ac:dyDescent="0.55000000000000004">
      <c r="A2872"/>
      <c r="B2872" s="261"/>
    </row>
    <row r="2873" spans="1:2" x14ac:dyDescent="0.55000000000000004">
      <c r="A2873"/>
      <c r="B2873" s="261"/>
    </row>
    <row r="2874" spans="1:2" x14ac:dyDescent="0.55000000000000004">
      <c r="A2874"/>
      <c r="B2874" s="261"/>
    </row>
    <row r="2875" spans="1:2" x14ac:dyDescent="0.55000000000000004">
      <c r="A2875"/>
      <c r="B2875" s="261"/>
    </row>
    <row r="2876" spans="1:2" x14ac:dyDescent="0.55000000000000004">
      <c r="A2876"/>
      <c r="B2876" s="261"/>
    </row>
    <row r="2877" spans="1:2" x14ac:dyDescent="0.55000000000000004">
      <c r="A2877"/>
      <c r="B2877" s="261"/>
    </row>
    <row r="2878" spans="1:2" x14ac:dyDescent="0.55000000000000004">
      <c r="A2878"/>
      <c r="B2878" s="261"/>
    </row>
    <row r="2879" spans="1:2" x14ac:dyDescent="0.55000000000000004">
      <c r="A2879"/>
      <c r="B2879" s="261"/>
    </row>
    <row r="2880" spans="1:2" x14ac:dyDescent="0.55000000000000004">
      <c r="A2880"/>
      <c r="B2880" s="261"/>
    </row>
    <row r="2881" spans="1:2" x14ac:dyDescent="0.55000000000000004">
      <c r="A2881"/>
      <c r="B2881" s="261"/>
    </row>
    <row r="2882" spans="1:2" x14ac:dyDescent="0.55000000000000004">
      <c r="A2882"/>
      <c r="B2882" s="261"/>
    </row>
    <row r="2883" spans="1:2" x14ac:dyDescent="0.55000000000000004">
      <c r="A2883"/>
      <c r="B2883" s="261"/>
    </row>
    <row r="2884" spans="1:2" x14ac:dyDescent="0.55000000000000004">
      <c r="A2884"/>
      <c r="B2884" s="261"/>
    </row>
    <row r="2885" spans="1:2" x14ac:dyDescent="0.55000000000000004">
      <c r="A2885"/>
      <c r="B2885" s="261"/>
    </row>
    <row r="2886" spans="1:2" x14ac:dyDescent="0.55000000000000004">
      <c r="A2886"/>
      <c r="B2886" s="261"/>
    </row>
    <row r="2887" spans="1:2" x14ac:dyDescent="0.55000000000000004">
      <c r="A2887"/>
      <c r="B2887" s="261"/>
    </row>
    <row r="2888" spans="1:2" x14ac:dyDescent="0.55000000000000004">
      <c r="A2888"/>
      <c r="B2888" s="261"/>
    </row>
    <row r="2889" spans="1:2" x14ac:dyDescent="0.55000000000000004">
      <c r="A2889"/>
      <c r="B2889" s="261"/>
    </row>
    <row r="2890" spans="1:2" x14ac:dyDescent="0.55000000000000004">
      <c r="A2890"/>
      <c r="B2890" s="261"/>
    </row>
    <row r="2891" spans="1:2" x14ac:dyDescent="0.55000000000000004">
      <c r="A2891"/>
      <c r="B2891" s="261"/>
    </row>
    <row r="2892" spans="1:2" x14ac:dyDescent="0.55000000000000004">
      <c r="A2892"/>
      <c r="B2892" s="261"/>
    </row>
    <row r="2893" spans="1:2" x14ac:dyDescent="0.55000000000000004">
      <c r="A2893"/>
      <c r="B2893" s="261"/>
    </row>
    <row r="2894" spans="1:2" x14ac:dyDescent="0.55000000000000004">
      <c r="A2894"/>
      <c r="B2894" s="261"/>
    </row>
    <row r="2895" spans="1:2" x14ac:dyDescent="0.55000000000000004">
      <c r="A2895"/>
      <c r="B2895" s="261"/>
    </row>
    <row r="2896" spans="1:2" x14ac:dyDescent="0.55000000000000004">
      <c r="A2896"/>
      <c r="B2896" s="261"/>
    </row>
    <row r="2897" spans="1:2" x14ac:dyDescent="0.55000000000000004">
      <c r="A2897"/>
      <c r="B2897" s="261"/>
    </row>
    <row r="2898" spans="1:2" x14ac:dyDescent="0.55000000000000004">
      <c r="A2898"/>
      <c r="B2898" s="261"/>
    </row>
    <row r="2899" spans="1:2" x14ac:dyDescent="0.55000000000000004">
      <c r="A2899"/>
      <c r="B2899" s="261"/>
    </row>
    <row r="2900" spans="1:2" x14ac:dyDescent="0.55000000000000004">
      <c r="A2900"/>
      <c r="B2900" s="261"/>
    </row>
    <row r="2901" spans="1:2" x14ac:dyDescent="0.55000000000000004">
      <c r="A2901"/>
      <c r="B2901" s="261"/>
    </row>
    <row r="2902" spans="1:2" x14ac:dyDescent="0.55000000000000004">
      <c r="A2902"/>
      <c r="B2902" s="261"/>
    </row>
    <row r="2903" spans="1:2" x14ac:dyDescent="0.55000000000000004">
      <c r="A2903"/>
      <c r="B2903" s="261"/>
    </row>
    <row r="2904" spans="1:2" x14ac:dyDescent="0.55000000000000004">
      <c r="A2904"/>
      <c r="B2904" s="261"/>
    </row>
    <row r="2905" spans="1:2" x14ac:dyDescent="0.55000000000000004">
      <c r="A2905"/>
      <c r="B2905" s="261"/>
    </row>
    <row r="2906" spans="1:2" x14ac:dyDescent="0.55000000000000004">
      <c r="A2906"/>
      <c r="B2906" s="261"/>
    </row>
    <row r="2907" spans="1:2" x14ac:dyDescent="0.55000000000000004">
      <c r="A2907"/>
      <c r="B2907" s="261"/>
    </row>
    <row r="2908" spans="1:2" x14ac:dyDescent="0.55000000000000004">
      <c r="A2908"/>
      <c r="B2908" s="261"/>
    </row>
    <row r="2909" spans="1:2" x14ac:dyDescent="0.55000000000000004">
      <c r="A2909"/>
      <c r="B2909" s="261"/>
    </row>
    <row r="2910" spans="1:2" x14ac:dyDescent="0.55000000000000004">
      <c r="A2910"/>
      <c r="B2910" s="261"/>
    </row>
    <row r="2911" spans="1:2" x14ac:dyDescent="0.55000000000000004">
      <c r="A2911"/>
      <c r="B2911" s="261"/>
    </row>
    <row r="2912" spans="1:2" x14ac:dyDescent="0.55000000000000004">
      <c r="A2912"/>
      <c r="B2912" s="261"/>
    </row>
    <row r="2913" spans="1:2" x14ac:dyDescent="0.55000000000000004">
      <c r="A2913"/>
      <c r="B2913" s="261"/>
    </row>
    <row r="2914" spans="1:2" x14ac:dyDescent="0.55000000000000004">
      <c r="A2914"/>
      <c r="B2914" s="261"/>
    </row>
    <row r="2915" spans="1:2" x14ac:dyDescent="0.55000000000000004">
      <c r="A2915"/>
      <c r="B2915" s="261"/>
    </row>
    <row r="2916" spans="1:2" x14ac:dyDescent="0.55000000000000004">
      <c r="A2916"/>
      <c r="B2916" s="261"/>
    </row>
    <row r="2917" spans="1:2" x14ac:dyDescent="0.55000000000000004">
      <c r="A2917"/>
      <c r="B2917" s="261"/>
    </row>
    <row r="2918" spans="1:2" x14ac:dyDescent="0.55000000000000004">
      <c r="A2918"/>
      <c r="B2918" s="261"/>
    </row>
    <row r="2919" spans="1:2" x14ac:dyDescent="0.55000000000000004">
      <c r="A2919"/>
      <c r="B2919" s="261"/>
    </row>
    <row r="2920" spans="1:2" x14ac:dyDescent="0.55000000000000004">
      <c r="A2920"/>
      <c r="B2920" s="261"/>
    </row>
    <row r="2921" spans="1:2" x14ac:dyDescent="0.55000000000000004">
      <c r="A2921"/>
      <c r="B2921" s="261"/>
    </row>
    <row r="2922" spans="1:2" x14ac:dyDescent="0.55000000000000004">
      <c r="A2922"/>
      <c r="B2922" s="261"/>
    </row>
    <row r="2923" spans="1:2" x14ac:dyDescent="0.55000000000000004">
      <c r="A2923"/>
      <c r="B2923" s="261"/>
    </row>
    <row r="2924" spans="1:2" x14ac:dyDescent="0.55000000000000004">
      <c r="A2924"/>
      <c r="B2924" s="261"/>
    </row>
    <row r="2925" spans="1:2" x14ac:dyDescent="0.55000000000000004">
      <c r="A2925"/>
      <c r="B2925" s="261"/>
    </row>
    <row r="2926" spans="1:2" x14ac:dyDescent="0.55000000000000004">
      <c r="A2926"/>
      <c r="B2926" s="261"/>
    </row>
    <row r="2927" spans="1:2" x14ac:dyDescent="0.55000000000000004">
      <c r="A2927"/>
      <c r="B2927" s="261"/>
    </row>
    <row r="2928" spans="1:2" x14ac:dyDescent="0.55000000000000004">
      <c r="A2928"/>
      <c r="B2928" s="261"/>
    </row>
    <row r="2929" spans="1:2" x14ac:dyDescent="0.55000000000000004">
      <c r="A2929"/>
      <c r="B2929" s="261"/>
    </row>
    <row r="2930" spans="1:2" x14ac:dyDescent="0.55000000000000004">
      <c r="A2930"/>
      <c r="B2930" s="261"/>
    </row>
    <row r="2931" spans="1:2" x14ac:dyDescent="0.55000000000000004">
      <c r="A2931"/>
      <c r="B2931" s="261"/>
    </row>
    <row r="2932" spans="1:2" x14ac:dyDescent="0.55000000000000004">
      <c r="A2932"/>
      <c r="B2932" s="261"/>
    </row>
    <row r="2933" spans="1:2" x14ac:dyDescent="0.55000000000000004">
      <c r="A2933"/>
      <c r="B2933" s="261"/>
    </row>
    <row r="2934" spans="1:2" x14ac:dyDescent="0.55000000000000004">
      <c r="A2934"/>
      <c r="B2934" s="261"/>
    </row>
    <row r="2935" spans="1:2" x14ac:dyDescent="0.55000000000000004">
      <c r="A2935"/>
      <c r="B2935" s="261"/>
    </row>
    <row r="2936" spans="1:2" x14ac:dyDescent="0.55000000000000004">
      <c r="A2936"/>
      <c r="B2936" s="261"/>
    </row>
    <row r="2937" spans="1:2" x14ac:dyDescent="0.55000000000000004">
      <c r="A2937"/>
      <c r="B2937" s="261"/>
    </row>
    <row r="2938" spans="1:2" x14ac:dyDescent="0.55000000000000004">
      <c r="A2938"/>
      <c r="B2938" s="261"/>
    </row>
    <row r="2939" spans="1:2" x14ac:dyDescent="0.55000000000000004">
      <c r="A2939"/>
      <c r="B2939" s="261"/>
    </row>
    <row r="2940" spans="1:2" x14ac:dyDescent="0.55000000000000004">
      <c r="A2940"/>
      <c r="B2940" s="261"/>
    </row>
    <row r="2941" spans="1:2" x14ac:dyDescent="0.55000000000000004">
      <c r="A2941"/>
      <c r="B2941" s="261"/>
    </row>
    <row r="2942" spans="1:2" x14ac:dyDescent="0.55000000000000004">
      <c r="A2942"/>
      <c r="B2942" s="261"/>
    </row>
    <row r="2943" spans="1:2" x14ac:dyDescent="0.55000000000000004">
      <c r="A2943"/>
      <c r="B2943" s="261"/>
    </row>
    <row r="2944" spans="1:2" x14ac:dyDescent="0.55000000000000004">
      <c r="A2944"/>
      <c r="B2944" s="261"/>
    </row>
    <row r="2945" spans="1:2" x14ac:dyDescent="0.55000000000000004">
      <c r="A2945"/>
      <c r="B2945" s="261"/>
    </row>
    <row r="2946" spans="1:2" x14ac:dyDescent="0.55000000000000004">
      <c r="A2946"/>
      <c r="B2946" s="261"/>
    </row>
    <row r="2947" spans="1:2" x14ac:dyDescent="0.55000000000000004">
      <c r="A2947"/>
      <c r="B2947" s="261"/>
    </row>
    <row r="2948" spans="1:2" x14ac:dyDescent="0.55000000000000004">
      <c r="A2948"/>
      <c r="B2948" s="261"/>
    </row>
    <row r="2949" spans="1:2" x14ac:dyDescent="0.55000000000000004">
      <c r="A2949"/>
      <c r="B2949" s="261"/>
    </row>
    <row r="2950" spans="1:2" x14ac:dyDescent="0.55000000000000004">
      <c r="A2950"/>
      <c r="B2950" s="261"/>
    </row>
    <row r="2951" spans="1:2" x14ac:dyDescent="0.55000000000000004">
      <c r="A2951"/>
      <c r="B2951" s="261"/>
    </row>
    <row r="2952" spans="1:2" x14ac:dyDescent="0.55000000000000004">
      <c r="A2952"/>
      <c r="B2952" s="261"/>
    </row>
    <row r="2953" spans="1:2" x14ac:dyDescent="0.55000000000000004">
      <c r="A2953"/>
      <c r="B2953" s="261"/>
    </row>
    <row r="2954" spans="1:2" x14ac:dyDescent="0.55000000000000004">
      <c r="A2954"/>
      <c r="B2954" s="261"/>
    </row>
    <row r="2955" spans="1:2" x14ac:dyDescent="0.55000000000000004">
      <c r="A2955"/>
      <c r="B2955" s="261"/>
    </row>
    <row r="2956" spans="1:2" x14ac:dyDescent="0.55000000000000004">
      <c r="A2956"/>
      <c r="B2956" s="261"/>
    </row>
    <row r="2957" spans="1:2" x14ac:dyDescent="0.55000000000000004">
      <c r="A2957"/>
      <c r="B2957" s="261"/>
    </row>
    <row r="2958" spans="1:2" x14ac:dyDescent="0.55000000000000004">
      <c r="A2958"/>
      <c r="B2958" s="261"/>
    </row>
    <row r="2959" spans="1:2" x14ac:dyDescent="0.55000000000000004">
      <c r="A2959"/>
      <c r="B2959" s="261"/>
    </row>
    <row r="2960" spans="1:2" x14ac:dyDescent="0.55000000000000004">
      <c r="A2960"/>
      <c r="B2960" s="261"/>
    </row>
    <row r="2961" spans="1:2" x14ac:dyDescent="0.55000000000000004">
      <c r="A2961"/>
      <c r="B2961" s="261"/>
    </row>
    <row r="2962" spans="1:2" x14ac:dyDescent="0.55000000000000004">
      <c r="A2962"/>
      <c r="B2962" s="261"/>
    </row>
    <row r="2963" spans="1:2" x14ac:dyDescent="0.55000000000000004">
      <c r="A2963"/>
      <c r="B2963" s="261"/>
    </row>
    <row r="2964" spans="1:2" x14ac:dyDescent="0.55000000000000004">
      <c r="A2964"/>
      <c r="B2964" s="261"/>
    </row>
    <row r="2965" spans="1:2" x14ac:dyDescent="0.55000000000000004">
      <c r="A2965"/>
      <c r="B2965" s="261"/>
    </row>
    <row r="2966" spans="1:2" x14ac:dyDescent="0.55000000000000004">
      <c r="A2966"/>
      <c r="B2966" s="261"/>
    </row>
    <row r="2967" spans="1:2" x14ac:dyDescent="0.55000000000000004">
      <c r="A2967"/>
      <c r="B2967" s="261"/>
    </row>
    <row r="2968" spans="1:2" x14ac:dyDescent="0.55000000000000004">
      <c r="A2968"/>
      <c r="B2968" s="261"/>
    </row>
    <row r="2969" spans="1:2" x14ac:dyDescent="0.55000000000000004">
      <c r="A2969"/>
      <c r="B2969" s="261"/>
    </row>
    <row r="2970" spans="1:2" x14ac:dyDescent="0.55000000000000004">
      <c r="A2970"/>
      <c r="B2970" s="261"/>
    </row>
    <row r="2971" spans="1:2" x14ac:dyDescent="0.55000000000000004">
      <c r="A2971"/>
      <c r="B2971" s="261"/>
    </row>
    <row r="2972" spans="1:2" x14ac:dyDescent="0.55000000000000004">
      <c r="A2972"/>
      <c r="B2972" s="261"/>
    </row>
    <row r="2973" spans="1:2" x14ac:dyDescent="0.55000000000000004">
      <c r="A2973"/>
      <c r="B2973" s="261"/>
    </row>
    <row r="2974" spans="1:2" x14ac:dyDescent="0.55000000000000004">
      <c r="A2974"/>
      <c r="B2974" s="261"/>
    </row>
    <row r="2975" spans="1:2" x14ac:dyDescent="0.55000000000000004">
      <c r="A2975"/>
      <c r="B2975" s="261"/>
    </row>
    <row r="2976" spans="1:2" x14ac:dyDescent="0.55000000000000004">
      <c r="A2976"/>
      <c r="B2976" s="261"/>
    </row>
    <row r="2977" spans="1:2" x14ac:dyDescent="0.55000000000000004">
      <c r="A2977"/>
      <c r="B2977" s="261"/>
    </row>
    <row r="2978" spans="1:2" x14ac:dyDescent="0.55000000000000004">
      <c r="A2978"/>
      <c r="B2978" s="261"/>
    </row>
    <row r="2979" spans="1:2" x14ac:dyDescent="0.55000000000000004">
      <c r="A2979"/>
      <c r="B2979" s="261"/>
    </row>
    <row r="2980" spans="1:2" x14ac:dyDescent="0.55000000000000004">
      <c r="A2980"/>
      <c r="B2980" s="261"/>
    </row>
    <row r="2981" spans="1:2" x14ac:dyDescent="0.55000000000000004">
      <c r="A2981"/>
      <c r="B2981" s="261"/>
    </row>
    <row r="2982" spans="1:2" x14ac:dyDescent="0.55000000000000004">
      <c r="A2982"/>
      <c r="B2982" s="261"/>
    </row>
    <row r="2983" spans="1:2" x14ac:dyDescent="0.55000000000000004">
      <c r="A2983"/>
      <c r="B2983" s="261"/>
    </row>
    <row r="2984" spans="1:2" x14ac:dyDescent="0.55000000000000004">
      <c r="A2984"/>
      <c r="B2984" s="261"/>
    </row>
    <row r="2985" spans="1:2" x14ac:dyDescent="0.55000000000000004">
      <c r="A2985"/>
      <c r="B2985" s="261"/>
    </row>
    <row r="2986" spans="1:2" x14ac:dyDescent="0.55000000000000004">
      <c r="A2986"/>
      <c r="B2986" s="261"/>
    </row>
    <row r="2987" spans="1:2" x14ac:dyDescent="0.55000000000000004">
      <c r="A2987"/>
      <c r="B2987" s="261"/>
    </row>
    <row r="2988" spans="1:2" x14ac:dyDescent="0.55000000000000004">
      <c r="A2988"/>
      <c r="B2988" s="261"/>
    </row>
    <row r="2989" spans="1:2" x14ac:dyDescent="0.55000000000000004">
      <c r="A2989"/>
      <c r="B2989" s="261"/>
    </row>
    <row r="2990" spans="1:2" x14ac:dyDescent="0.55000000000000004">
      <c r="A2990"/>
      <c r="B2990" s="261"/>
    </row>
    <row r="2991" spans="1:2" x14ac:dyDescent="0.55000000000000004">
      <c r="A2991"/>
      <c r="B2991" s="261"/>
    </row>
    <row r="2992" spans="1:2" x14ac:dyDescent="0.55000000000000004">
      <c r="A2992"/>
      <c r="B2992" s="261"/>
    </row>
    <row r="2993" spans="1:2" x14ac:dyDescent="0.55000000000000004">
      <c r="A2993"/>
      <c r="B2993" s="261"/>
    </row>
    <row r="2994" spans="1:2" x14ac:dyDescent="0.55000000000000004">
      <c r="A2994"/>
      <c r="B2994" s="261"/>
    </row>
    <row r="2995" spans="1:2" x14ac:dyDescent="0.55000000000000004">
      <c r="A2995"/>
      <c r="B2995" s="261"/>
    </row>
    <row r="2996" spans="1:2" x14ac:dyDescent="0.55000000000000004">
      <c r="A2996"/>
      <c r="B2996" s="261"/>
    </row>
    <row r="2997" spans="1:2" x14ac:dyDescent="0.55000000000000004">
      <c r="A2997"/>
      <c r="B2997" s="261"/>
    </row>
    <row r="2998" spans="1:2" x14ac:dyDescent="0.55000000000000004">
      <c r="A2998"/>
      <c r="B2998" s="261"/>
    </row>
    <row r="2999" spans="1:2" x14ac:dyDescent="0.55000000000000004">
      <c r="A2999"/>
      <c r="B2999" s="261"/>
    </row>
    <row r="3000" spans="1:2" x14ac:dyDescent="0.55000000000000004">
      <c r="A3000"/>
      <c r="B3000" s="261"/>
    </row>
    <row r="3001" spans="1:2" x14ac:dyDescent="0.55000000000000004">
      <c r="A3001"/>
      <c r="B3001" s="261"/>
    </row>
    <row r="3002" spans="1:2" x14ac:dyDescent="0.55000000000000004">
      <c r="A3002"/>
      <c r="B3002" s="261"/>
    </row>
    <row r="3003" spans="1:2" x14ac:dyDescent="0.55000000000000004">
      <c r="A3003"/>
      <c r="B3003" s="261"/>
    </row>
    <row r="3004" spans="1:2" x14ac:dyDescent="0.55000000000000004">
      <c r="A3004"/>
      <c r="B3004" s="261"/>
    </row>
    <row r="3005" spans="1:2" x14ac:dyDescent="0.55000000000000004">
      <c r="A3005"/>
      <c r="B3005" s="261"/>
    </row>
    <row r="3006" spans="1:2" x14ac:dyDescent="0.55000000000000004">
      <c r="A3006"/>
      <c r="B3006" s="261"/>
    </row>
    <row r="3007" spans="1:2" x14ac:dyDescent="0.55000000000000004">
      <c r="A3007"/>
      <c r="B3007" s="261"/>
    </row>
    <row r="3008" spans="1:2" x14ac:dyDescent="0.55000000000000004">
      <c r="A3008"/>
      <c r="B3008" s="261"/>
    </row>
    <row r="3009" spans="1:2" x14ac:dyDescent="0.55000000000000004">
      <c r="A3009"/>
      <c r="B3009" s="261"/>
    </row>
    <row r="3010" spans="1:2" x14ac:dyDescent="0.55000000000000004">
      <c r="A3010"/>
      <c r="B3010" s="261"/>
    </row>
    <row r="3011" spans="1:2" x14ac:dyDescent="0.55000000000000004">
      <c r="A3011"/>
      <c r="B3011" s="261"/>
    </row>
    <row r="3012" spans="1:2" x14ac:dyDescent="0.55000000000000004">
      <c r="A3012"/>
      <c r="B3012" s="261"/>
    </row>
    <row r="3013" spans="1:2" x14ac:dyDescent="0.55000000000000004">
      <c r="A3013"/>
      <c r="B3013" s="261"/>
    </row>
    <row r="3014" spans="1:2" x14ac:dyDescent="0.55000000000000004">
      <c r="A3014"/>
      <c r="B3014" s="261"/>
    </row>
    <row r="3015" spans="1:2" x14ac:dyDescent="0.55000000000000004">
      <c r="A3015"/>
      <c r="B3015" s="261"/>
    </row>
    <row r="3016" spans="1:2" x14ac:dyDescent="0.55000000000000004">
      <c r="A3016"/>
      <c r="B3016" s="261"/>
    </row>
    <row r="3017" spans="1:2" x14ac:dyDescent="0.55000000000000004">
      <c r="A3017"/>
      <c r="B3017" s="261"/>
    </row>
    <row r="3018" spans="1:2" x14ac:dyDescent="0.55000000000000004">
      <c r="A3018"/>
      <c r="B3018" s="261"/>
    </row>
    <row r="3019" spans="1:2" x14ac:dyDescent="0.55000000000000004">
      <c r="A3019"/>
      <c r="B3019" s="261"/>
    </row>
    <row r="3020" spans="1:2" x14ac:dyDescent="0.55000000000000004">
      <c r="A3020"/>
      <c r="B3020" s="261"/>
    </row>
    <row r="3021" spans="1:2" x14ac:dyDescent="0.55000000000000004">
      <c r="A3021"/>
      <c r="B3021" s="261"/>
    </row>
    <row r="3022" spans="1:2" x14ac:dyDescent="0.55000000000000004">
      <c r="A3022"/>
      <c r="B3022" s="261"/>
    </row>
    <row r="3023" spans="1:2" x14ac:dyDescent="0.55000000000000004">
      <c r="A3023"/>
      <c r="B3023" s="261"/>
    </row>
    <row r="3024" spans="1:2" x14ac:dyDescent="0.55000000000000004">
      <c r="A3024"/>
      <c r="B3024" s="261"/>
    </row>
    <row r="3025" spans="1:2" x14ac:dyDescent="0.55000000000000004">
      <c r="A3025"/>
      <c r="B3025" s="261"/>
    </row>
    <row r="3026" spans="1:2" x14ac:dyDescent="0.55000000000000004">
      <c r="A3026"/>
      <c r="B3026" s="261"/>
    </row>
    <row r="3027" spans="1:2" x14ac:dyDescent="0.55000000000000004">
      <c r="A3027"/>
      <c r="B3027" s="261"/>
    </row>
    <row r="3028" spans="1:2" x14ac:dyDescent="0.55000000000000004">
      <c r="A3028"/>
      <c r="B3028" s="261"/>
    </row>
    <row r="3029" spans="1:2" x14ac:dyDescent="0.55000000000000004">
      <c r="A3029"/>
      <c r="B3029" s="261"/>
    </row>
    <row r="3030" spans="1:2" x14ac:dyDescent="0.55000000000000004">
      <c r="A3030"/>
      <c r="B3030" s="261"/>
    </row>
    <row r="3031" spans="1:2" x14ac:dyDescent="0.55000000000000004">
      <c r="A3031"/>
      <c r="B3031" s="261"/>
    </row>
    <row r="3032" spans="1:2" x14ac:dyDescent="0.55000000000000004">
      <c r="A3032"/>
      <c r="B3032" s="261"/>
    </row>
    <row r="3033" spans="1:2" x14ac:dyDescent="0.55000000000000004">
      <c r="A3033"/>
      <c r="B3033" s="261"/>
    </row>
    <row r="3034" spans="1:2" x14ac:dyDescent="0.55000000000000004">
      <c r="A3034"/>
      <c r="B3034" s="261"/>
    </row>
    <row r="3035" spans="1:2" x14ac:dyDescent="0.55000000000000004">
      <c r="A3035"/>
      <c r="B3035" s="261"/>
    </row>
    <row r="3036" spans="1:2" x14ac:dyDescent="0.55000000000000004">
      <c r="A3036"/>
      <c r="B3036" s="261"/>
    </row>
    <row r="3037" spans="1:2" x14ac:dyDescent="0.55000000000000004">
      <c r="A3037"/>
      <c r="B3037" s="261"/>
    </row>
    <row r="3038" spans="1:2" x14ac:dyDescent="0.55000000000000004">
      <c r="A3038"/>
      <c r="B3038" s="261"/>
    </row>
    <row r="3039" spans="1:2" x14ac:dyDescent="0.55000000000000004">
      <c r="A3039"/>
      <c r="B3039" s="261"/>
    </row>
    <row r="3040" spans="1:2" x14ac:dyDescent="0.55000000000000004">
      <c r="A3040"/>
      <c r="B3040" s="261"/>
    </row>
    <row r="3041" spans="1:2" x14ac:dyDescent="0.55000000000000004">
      <c r="A3041"/>
      <c r="B3041" s="261"/>
    </row>
    <row r="3042" spans="1:2" x14ac:dyDescent="0.55000000000000004">
      <c r="A3042"/>
      <c r="B3042" s="261"/>
    </row>
    <row r="3043" spans="1:2" x14ac:dyDescent="0.55000000000000004">
      <c r="A3043"/>
      <c r="B3043" s="261"/>
    </row>
    <row r="3044" spans="1:2" x14ac:dyDescent="0.55000000000000004">
      <c r="A3044"/>
      <c r="B3044" s="261"/>
    </row>
    <row r="3045" spans="1:2" x14ac:dyDescent="0.55000000000000004">
      <c r="A3045"/>
      <c r="B3045" s="261"/>
    </row>
    <row r="3046" spans="1:2" x14ac:dyDescent="0.55000000000000004">
      <c r="A3046"/>
      <c r="B3046" s="261"/>
    </row>
    <row r="3047" spans="1:2" x14ac:dyDescent="0.55000000000000004">
      <c r="A3047"/>
      <c r="B3047" s="261"/>
    </row>
    <row r="3048" spans="1:2" x14ac:dyDescent="0.55000000000000004">
      <c r="A3048"/>
      <c r="B3048" s="261"/>
    </row>
    <row r="3049" spans="1:2" x14ac:dyDescent="0.55000000000000004">
      <c r="A3049"/>
      <c r="B3049" s="261"/>
    </row>
    <row r="3050" spans="1:2" x14ac:dyDescent="0.55000000000000004">
      <c r="A3050"/>
      <c r="B3050" s="261"/>
    </row>
    <row r="3051" spans="1:2" x14ac:dyDescent="0.55000000000000004">
      <c r="A3051"/>
      <c r="B3051" s="261"/>
    </row>
    <row r="3052" spans="1:2" x14ac:dyDescent="0.55000000000000004">
      <c r="A3052"/>
      <c r="B3052" s="261"/>
    </row>
    <row r="3053" spans="1:2" x14ac:dyDescent="0.55000000000000004">
      <c r="A3053"/>
      <c r="B3053" s="261"/>
    </row>
    <row r="3054" spans="1:2" x14ac:dyDescent="0.55000000000000004">
      <c r="A3054"/>
      <c r="B3054" s="261"/>
    </row>
    <row r="3055" spans="1:2" x14ac:dyDescent="0.55000000000000004">
      <c r="A3055"/>
      <c r="B3055" s="261"/>
    </row>
    <row r="3056" spans="1:2" x14ac:dyDescent="0.55000000000000004">
      <c r="A3056"/>
      <c r="B3056" s="261"/>
    </row>
    <row r="3057" spans="1:2" x14ac:dyDescent="0.55000000000000004">
      <c r="A3057"/>
      <c r="B3057" s="261"/>
    </row>
    <row r="3058" spans="1:2" x14ac:dyDescent="0.55000000000000004">
      <c r="A3058"/>
      <c r="B3058" s="261"/>
    </row>
    <row r="3059" spans="1:2" x14ac:dyDescent="0.55000000000000004">
      <c r="A3059"/>
      <c r="B3059" s="261"/>
    </row>
    <row r="3060" spans="1:2" x14ac:dyDescent="0.55000000000000004">
      <c r="A3060"/>
      <c r="B3060" s="261"/>
    </row>
    <row r="3061" spans="1:2" x14ac:dyDescent="0.55000000000000004">
      <c r="A3061"/>
      <c r="B3061" s="261"/>
    </row>
    <row r="3062" spans="1:2" x14ac:dyDescent="0.55000000000000004">
      <c r="A3062"/>
      <c r="B3062" s="261"/>
    </row>
    <row r="3063" spans="1:2" x14ac:dyDescent="0.55000000000000004">
      <c r="A3063"/>
      <c r="B3063" s="261"/>
    </row>
    <row r="3064" spans="1:2" x14ac:dyDescent="0.55000000000000004">
      <c r="A3064"/>
      <c r="B3064" s="261"/>
    </row>
    <row r="3065" spans="1:2" x14ac:dyDescent="0.55000000000000004">
      <c r="A3065"/>
      <c r="B3065" s="261"/>
    </row>
    <row r="3066" spans="1:2" x14ac:dyDescent="0.55000000000000004">
      <c r="A3066"/>
      <c r="B3066" s="261"/>
    </row>
    <row r="3067" spans="1:2" x14ac:dyDescent="0.55000000000000004">
      <c r="A3067"/>
      <c r="B3067" s="261"/>
    </row>
    <row r="3068" spans="1:2" x14ac:dyDescent="0.55000000000000004">
      <c r="A3068"/>
      <c r="B3068" s="261"/>
    </row>
    <row r="3069" spans="1:2" x14ac:dyDescent="0.55000000000000004">
      <c r="A3069"/>
      <c r="B3069" s="261"/>
    </row>
    <row r="3070" spans="1:2" x14ac:dyDescent="0.55000000000000004">
      <c r="A3070"/>
      <c r="B3070" s="261"/>
    </row>
    <row r="3071" spans="1:2" x14ac:dyDescent="0.55000000000000004">
      <c r="A3071"/>
      <c r="B3071" s="261"/>
    </row>
    <row r="3072" spans="1:2" x14ac:dyDescent="0.55000000000000004">
      <c r="A3072"/>
      <c r="B3072" s="261"/>
    </row>
    <row r="3073" spans="1:2" x14ac:dyDescent="0.55000000000000004">
      <c r="A3073"/>
      <c r="B3073" s="261"/>
    </row>
    <row r="3074" spans="1:2" x14ac:dyDescent="0.55000000000000004">
      <c r="A3074"/>
      <c r="B3074" s="261"/>
    </row>
    <row r="3075" spans="1:2" x14ac:dyDescent="0.55000000000000004">
      <c r="A3075"/>
      <c r="B3075" s="261"/>
    </row>
    <row r="3076" spans="1:2" x14ac:dyDescent="0.55000000000000004">
      <c r="A3076"/>
      <c r="B3076" s="261"/>
    </row>
    <row r="3077" spans="1:2" x14ac:dyDescent="0.55000000000000004">
      <c r="A3077"/>
      <c r="B3077" s="261"/>
    </row>
    <row r="3078" spans="1:2" x14ac:dyDescent="0.55000000000000004">
      <c r="A3078"/>
      <c r="B3078" s="261"/>
    </row>
    <row r="3079" spans="1:2" x14ac:dyDescent="0.55000000000000004">
      <c r="A3079"/>
      <c r="B3079" s="261"/>
    </row>
    <row r="3080" spans="1:2" x14ac:dyDescent="0.55000000000000004">
      <c r="A3080"/>
      <c r="B3080" s="261"/>
    </row>
    <row r="3081" spans="1:2" x14ac:dyDescent="0.55000000000000004">
      <c r="A3081"/>
      <c r="B3081" s="261"/>
    </row>
    <row r="3082" spans="1:2" x14ac:dyDescent="0.55000000000000004">
      <c r="A3082"/>
      <c r="B3082" s="261"/>
    </row>
    <row r="3083" spans="1:2" x14ac:dyDescent="0.55000000000000004">
      <c r="A3083"/>
      <c r="B3083" s="261"/>
    </row>
    <row r="3084" spans="1:2" x14ac:dyDescent="0.55000000000000004">
      <c r="A3084"/>
      <c r="B3084" s="261"/>
    </row>
    <row r="3085" spans="1:2" x14ac:dyDescent="0.55000000000000004">
      <c r="A3085"/>
      <c r="B3085" s="261"/>
    </row>
    <row r="3086" spans="1:2" x14ac:dyDescent="0.55000000000000004">
      <c r="A3086"/>
      <c r="B3086" s="261"/>
    </row>
    <row r="3087" spans="1:2" x14ac:dyDescent="0.55000000000000004">
      <c r="A3087"/>
      <c r="B3087" s="261"/>
    </row>
    <row r="3088" spans="1:2" x14ac:dyDescent="0.55000000000000004">
      <c r="A3088"/>
      <c r="B3088" s="261"/>
    </row>
    <row r="3089" spans="1:2" x14ac:dyDescent="0.55000000000000004">
      <c r="A3089"/>
      <c r="B3089" s="261"/>
    </row>
    <row r="3090" spans="1:2" x14ac:dyDescent="0.55000000000000004">
      <c r="A3090"/>
      <c r="B3090" s="261"/>
    </row>
    <row r="3091" spans="1:2" x14ac:dyDescent="0.55000000000000004">
      <c r="A3091"/>
      <c r="B3091" s="261"/>
    </row>
    <row r="3092" spans="1:2" x14ac:dyDescent="0.55000000000000004">
      <c r="A3092"/>
      <c r="B3092" s="261"/>
    </row>
    <row r="3093" spans="1:2" x14ac:dyDescent="0.55000000000000004">
      <c r="A3093"/>
      <c r="B3093" s="261"/>
    </row>
    <row r="3094" spans="1:2" x14ac:dyDescent="0.55000000000000004">
      <c r="A3094"/>
      <c r="B3094" s="261"/>
    </row>
    <row r="3095" spans="1:2" x14ac:dyDescent="0.55000000000000004">
      <c r="A3095"/>
      <c r="B3095" s="261"/>
    </row>
    <row r="3096" spans="1:2" x14ac:dyDescent="0.55000000000000004">
      <c r="A3096"/>
      <c r="B3096" s="261"/>
    </row>
    <row r="3097" spans="1:2" x14ac:dyDescent="0.55000000000000004">
      <c r="A3097"/>
      <c r="B3097" s="261"/>
    </row>
    <row r="3098" spans="1:2" x14ac:dyDescent="0.55000000000000004">
      <c r="A3098"/>
      <c r="B3098" s="261"/>
    </row>
    <row r="3099" spans="1:2" x14ac:dyDescent="0.55000000000000004">
      <c r="A3099"/>
      <c r="B3099" s="261"/>
    </row>
    <row r="3100" spans="1:2" x14ac:dyDescent="0.55000000000000004">
      <c r="A3100"/>
      <c r="B3100" s="261"/>
    </row>
    <row r="3101" spans="1:2" x14ac:dyDescent="0.55000000000000004">
      <c r="A3101"/>
      <c r="B3101" s="261"/>
    </row>
    <row r="3102" spans="1:2" x14ac:dyDescent="0.55000000000000004">
      <c r="A3102"/>
      <c r="B3102" s="261"/>
    </row>
    <row r="3103" spans="1:2" x14ac:dyDescent="0.55000000000000004">
      <c r="A3103"/>
      <c r="B3103" s="261"/>
    </row>
    <row r="3104" spans="1:2" x14ac:dyDescent="0.55000000000000004">
      <c r="A3104"/>
      <c r="B3104" s="261"/>
    </row>
    <row r="3105" spans="1:2" x14ac:dyDescent="0.55000000000000004">
      <c r="A3105"/>
      <c r="B3105" s="261"/>
    </row>
    <row r="3106" spans="1:2" x14ac:dyDescent="0.55000000000000004">
      <c r="A3106"/>
      <c r="B3106" s="261"/>
    </row>
    <row r="3107" spans="1:2" x14ac:dyDescent="0.55000000000000004">
      <c r="A3107"/>
      <c r="B3107" s="261"/>
    </row>
    <row r="3108" spans="1:2" x14ac:dyDescent="0.55000000000000004">
      <c r="A3108"/>
      <c r="B3108" s="261"/>
    </row>
    <row r="3109" spans="1:2" x14ac:dyDescent="0.55000000000000004">
      <c r="A3109"/>
      <c r="B3109" s="261"/>
    </row>
    <row r="3110" spans="1:2" x14ac:dyDescent="0.55000000000000004">
      <c r="A3110"/>
      <c r="B3110" s="261"/>
    </row>
    <row r="3111" spans="1:2" x14ac:dyDescent="0.55000000000000004">
      <c r="A3111"/>
      <c r="B3111" s="261"/>
    </row>
    <row r="3112" spans="1:2" x14ac:dyDescent="0.55000000000000004">
      <c r="A3112"/>
      <c r="B3112" s="261"/>
    </row>
    <row r="3113" spans="1:2" x14ac:dyDescent="0.55000000000000004">
      <c r="A3113"/>
      <c r="B3113" s="261"/>
    </row>
    <row r="3114" spans="1:2" x14ac:dyDescent="0.55000000000000004">
      <c r="A3114"/>
      <c r="B3114" s="261"/>
    </row>
    <row r="3115" spans="1:2" x14ac:dyDescent="0.55000000000000004">
      <c r="A3115"/>
      <c r="B3115" s="261"/>
    </row>
    <row r="3116" spans="1:2" x14ac:dyDescent="0.55000000000000004">
      <c r="A3116"/>
      <c r="B3116" s="261"/>
    </row>
    <row r="3117" spans="1:2" x14ac:dyDescent="0.55000000000000004">
      <c r="A3117"/>
      <c r="B3117" s="261"/>
    </row>
    <row r="3118" spans="1:2" x14ac:dyDescent="0.55000000000000004">
      <c r="A3118"/>
      <c r="B3118" s="261"/>
    </row>
    <row r="3119" spans="1:2" x14ac:dyDescent="0.55000000000000004">
      <c r="A3119"/>
      <c r="B3119" s="261"/>
    </row>
    <row r="3120" spans="1:2" x14ac:dyDescent="0.55000000000000004">
      <c r="A3120"/>
      <c r="B3120" s="261"/>
    </row>
    <row r="3121" spans="1:2" x14ac:dyDescent="0.55000000000000004">
      <c r="A3121"/>
      <c r="B3121" s="261"/>
    </row>
    <row r="3122" spans="1:2" x14ac:dyDescent="0.55000000000000004">
      <c r="A3122"/>
      <c r="B3122" s="261"/>
    </row>
    <row r="3123" spans="1:2" x14ac:dyDescent="0.55000000000000004">
      <c r="A3123"/>
      <c r="B3123" s="261"/>
    </row>
    <row r="3124" spans="1:2" x14ac:dyDescent="0.55000000000000004">
      <c r="A3124"/>
      <c r="B3124" s="261"/>
    </row>
    <row r="3125" spans="1:2" x14ac:dyDescent="0.55000000000000004">
      <c r="A3125"/>
      <c r="B3125" s="261"/>
    </row>
    <row r="3126" spans="1:2" x14ac:dyDescent="0.55000000000000004">
      <c r="A3126"/>
      <c r="B3126" s="261"/>
    </row>
    <row r="3127" spans="1:2" x14ac:dyDescent="0.55000000000000004">
      <c r="A3127"/>
      <c r="B3127" s="261"/>
    </row>
    <row r="3128" spans="1:2" x14ac:dyDescent="0.55000000000000004">
      <c r="A3128"/>
      <c r="B3128" s="261"/>
    </row>
    <row r="3129" spans="1:2" x14ac:dyDescent="0.55000000000000004">
      <c r="A3129"/>
      <c r="B3129" s="261"/>
    </row>
    <row r="3130" spans="1:2" x14ac:dyDescent="0.55000000000000004">
      <c r="A3130"/>
      <c r="B3130" s="261"/>
    </row>
    <row r="3131" spans="1:2" x14ac:dyDescent="0.55000000000000004">
      <c r="A3131"/>
      <c r="B3131" s="261"/>
    </row>
    <row r="3132" spans="1:2" x14ac:dyDescent="0.55000000000000004">
      <c r="A3132"/>
      <c r="B3132" s="261"/>
    </row>
    <row r="3133" spans="1:2" x14ac:dyDescent="0.55000000000000004">
      <c r="A3133"/>
      <c r="B3133" s="261"/>
    </row>
    <row r="3134" spans="1:2" x14ac:dyDescent="0.55000000000000004">
      <c r="A3134"/>
      <c r="B3134" s="261"/>
    </row>
    <row r="3135" spans="1:2" x14ac:dyDescent="0.55000000000000004">
      <c r="A3135"/>
      <c r="B3135" s="261"/>
    </row>
    <row r="3136" spans="1:2" x14ac:dyDescent="0.55000000000000004">
      <c r="A3136"/>
      <c r="B3136" s="261"/>
    </row>
    <row r="3137" spans="1:2" x14ac:dyDescent="0.55000000000000004">
      <c r="A3137"/>
      <c r="B3137" s="261"/>
    </row>
    <row r="3138" spans="1:2" x14ac:dyDescent="0.55000000000000004">
      <c r="A3138"/>
      <c r="B3138" s="261"/>
    </row>
    <row r="3139" spans="1:2" x14ac:dyDescent="0.55000000000000004">
      <c r="A3139"/>
      <c r="B3139" s="261"/>
    </row>
    <row r="3140" spans="1:2" x14ac:dyDescent="0.55000000000000004">
      <c r="A3140"/>
      <c r="B3140" s="261"/>
    </row>
    <row r="3141" spans="1:2" x14ac:dyDescent="0.55000000000000004">
      <c r="A3141"/>
      <c r="B3141" s="261"/>
    </row>
    <row r="3142" spans="1:2" x14ac:dyDescent="0.55000000000000004">
      <c r="A3142"/>
      <c r="B3142" s="261"/>
    </row>
    <row r="3143" spans="1:2" x14ac:dyDescent="0.55000000000000004">
      <c r="A3143"/>
      <c r="B3143" s="261"/>
    </row>
    <row r="3144" spans="1:2" x14ac:dyDescent="0.55000000000000004">
      <c r="A3144"/>
      <c r="B3144" s="261"/>
    </row>
    <row r="3145" spans="1:2" x14ac:dyDescent="0.55000000000000004">
      <c r="A3145"/>
      <c r="B3145" s="261"/>
    </row>
    <row r="3146" spans="1:2" x14ac:dyDescent="0.55000000000000004">
      <c r="A3146"/>
      <c r="B3146" s="261"/>
    </row>
    <row r="3147" spans="1:2" x14ac:dyDescent="0.55000000000000004">
      <c r="A3147"/>
      <c r="B3147" s="261"/>
    </row>
    <row r="3148" spans="1:2" x14ac:dyDescent="0.55000000000000004">
      <c r="A3148"/>
      <c r="B3148" s="261"/>
    </row>
    <row r="3149" spans="1:2" x14ac:dyDescent="0.55000000000000004">
      <c r="A3149"/>
      <c r="B3149" s="261"/>
    </row>
    <row r="3150" spans="1:2" x14ac:dyDescent="0.55000000000000004">
      <c r="A3150"/>
      <c r="B3150" s="261"/>
    </row>
    <row r="3151" spans="1:2" x14ac:dyDescent="0.55000000000000004">
      <c r="A3151"/>
      <c r="B3151" s="261"/>
    </row>
    <row r="3152" spans="1:2" x14ac:dyDescent="0.55000000000000004">
      <c r="A3152"/>
      <c r="B3152" s="261"/>
    </row>
    <row r="3153" spans="1:2" x14ac:dyDescent="0.55000000000000004">
      <c r="A3153"/>
      <c r="B3153" s="261"/>
    </row>
    <row r="3154" spans="1:2" x14ac:dyDescent="0.55000000000000004">
      <c r="A3154"/>
      <c r="B3154" s="261"/>
    </row>
    <row r="3155" spans="1:2" x14ac:dyDescent="0.55000000000000004">
      <c r="A3155"/>
      <c r="B3155" s="261"/>
    </row>
    <row r="3156" spans="1:2" x14ac:dyDescent="0.55000000000000004">
      <c r="A3156"/>
      <c r="B3156" s="261"/>
    </row>
    <row r="3157" spans="1:2" x14ac:dyDescent="0.55000000000000004">
      <c r="A3157"/>
      <c r="B3157" s="261"/>
    </row>
    <row r="3158" spans="1:2" x14ac:dyDescent="0.55000000000000004">
      <c r="A3158"/>
      <c r="B3158" s="261"/>
    </row>
    <row r="3159" spans="1:2" x14ac:dyDescent="0.55000000000000004">
      <c r="A3159"/>
      <c r="B3159" s="261"/>
    </row>
    <row r="3160" spans="1:2" x14ac:dyDescent="0.55000000000000004">
      <c r="A3160"/>
      <c r="B3160" s="261"/>
    </row>
    <row r="3161" spans="1:2" x14ac:dyDescent="0.55000000000000004">
      <c r="A3161"/>
      <c r="B3161" s="261"/>
    </row>
    <row r="3162" spans="1:2" x14ac:dyDescent="0.55000000000000004">
      <c r="A3162"/>
      <c r="B3162" s="261"/>
    </row>
    <row r="3163" spans="1:2" x14ac:dyDescent="0.55000000000000004">
      <c r="A3163"/>
      <c r="B3163" s="261"/>
    </row>
    <row r="3164" spans="1:2" x14ac:dyDescent="0.55000000000000004">
      <c r="A3164"/>
      <c r="B3164" s="261"/>
    </row>
    <row r="3165" spans="1:2" x14ac:dyDescent="0.55000000000000004">
      <c r="A3165"/>
      <c r="B3165" s="261"/>
    </row>
    <row r="3166" spans="1:2" x14ac:dyDescent="0.55000000000000004">
      <c r="A3166"/>
      <c r="B3166" s="261"/>
    </row>
    <row r="3167" spans="1:2" x14ac:dyDescent="0.55000000000000004">
      <c r="A3167"/>
      <c r="B3167" s="261"/>
    </row>
    <row r="3168" spans="1:2" x14ac:dyDescent="0.55000000000000004">
      <c r="A3168"/>
      <c r="B3168" s="261"/>
    </row>
    <row r="3169" spans="1:2" x14ac:dyDescent="0.55000000000000004">
      <c r="A3169"/>
      <c r="B3169" s="261"/>
    </row>
    <row r="3170" spans="1:2" x14ac:dyDescent="0.55000000000000004">
      <c r="A3170"/>
      <c r="B3170" s="261"/>
    </row>
    <row r="3171" spans="1:2" x14ac:dyDescent="0.55000000000000004">
      <c r="A3171"/>
      <c r="B3171" s="261"/>
    </row>
    <row r="3172" spans="1:2" x14ac:dyDescent="0.55000000000000004">
      <c r="A3172"/>
      <c r="B3172" s="261"/>
    </row>
    <row r="3173" spans="1:2" x14ac:dyDescent="0.55000000000000004">
      <c r="A3173"/>
      <c r="B3173" s="261"/>
    </row>
    <row r="3174" spans="1:2" x14ac:dyDescent="0.55000000000000004">
      <c r="A3174"/>
      <c r="B3174" s="261"/>
    </row>
    <row r="3175" spans="1:2" x14ac:dyDescent="0.55000000000000004">
      <c r="A3175"/>
      <c r="B3175" s="261"/>
    </row>
    <row r="3176" spans="1:2" x14ac:dyDescent="0.55000000000000004">
      <c r="A3176"/>
      <c r="B3176" s="261"/>
    </row>
    <row r="3177" spans="1:2" x14ac:dyDescent="0.55000000000000004">
      <c r="A3177"/>
      <c r="B3177" s="261"/>
    </row>
    <row r="3178" spans="1:2" x14ac:dyDescent="0.55000000000000004">
      <c r="A3178"/>
      <c r="B3178" s="261"/>
    </row>
    <row r="3179" spans="1:2" x14ac:dyDescent="0.55000000000000004">
      <c r="A3179"/>
      <c r="B3179" s="261"/>
    </row>
    <row r="3180" spans="1:2" x14ac:dyDescent="0.55000000000000004">
      <c r="A3180"/>
      <c r="B3180" s="261"/>
    </row>
    <row r="3181" spans="1:2" x14ac:dyDescent="0.55000000000000004">
      <c r="A3181"/>
      <c r="B3181" s="261"/>
    </row>
    <row r="3182" spans="1:2" x14ac:dyDescent="0.55000000000000004">
      <c r="A3182"/>
      <c r="B3182" s="261"/>
    </row>
    <row r="3183" spans="1:2" x14ac:dyDescent="0.55000000000000004">
      <c r="A3183"/>
      <c r="B3183" s="261"/>
    </row>
    <row r="3184" spans="1:2" x14ac:dyDescent="0.55000000000000004">
      <c r="A3184"/>
      <c r="B3184" s="261"/>
    </row>
    <row r="3185" spans="1:2" x14ac:dyDescent="0.55000000000000004">
      <c r="A3185"/>
      <c r="B3185" s="261"/>
    </row>
    <row r="3186" spans="1:2" x14ac:dyDescent="0.55000000000000004">
      <c r="A3186"/>
      <c r="B3186" s="261"/>
    </row>
    <row r="3187" spans="1:2" x14ac:dyDescent="0.55000000000000004">
      <c r="A3187"/>
      <c r="B3187" s="261"/>
    </row>
    <row r="3188" spans="1:2" x14ac:dyDescent="0.55000000000000004">
      <c r="A3188"/>
      <c r="B3188" s="261"/>
    </row>
    <row r="3189" spans="1:2" x14ac:dyDescent="0.55000000000000004">
      <c r="A3189"/>
      <c r="B3189" s="261"/>
    </row>
    <row r="3190" spans="1:2" x14ac:dyDescent="0.55000000000000004">
      <c r="A3190"/>
      <c r="B3190" s="261"/>
    </row>
    <row r="3191" spans="1:2" x14ac:dyDescent="0.55000000000000004">
      <c r="A3191"/>
      <c r="B3191" s="261"/>
    </row>
    <row r="3192" spans="1:2" x14ac:dyDescent="0.55000000000000004">
      <c r="A3192"/>
      <c r="B3192" s="261"/>
    </row>
    <row r="3193" spans="1:2" x14ac:dyDescent="0.55000000000000004">
      <c r="A3193"/>
      <c r="B3193" s="261"/>
    </row>
    <row r="3194" spans="1:2" x14ac:dyDescent="0.55000000000000004">
      <c r="A3194"/>
      <c r="B3194" s="261"/>
    </row>
    <row r="3195" spans="1:2" x14ac:dyDescent="0.55000000000000004">
      <c r="A3195"/>
      <c r="B3195" s="261"/>
    </row>
    <row r="3196" spans="1:2" x14ac:dyDescent="0.55000000000000004">
      <c r="A3196"/>
      <c r="B3196" s="261"/>
    </row>
    <row r="3197" spans="1:2" x14ac:dyDescent="0.55000000000000004">
      <c r="A3197"/>
      <c r="B3197" s="261"/>
    </row>
    <row r="3198" spans="1:2" x14ac:dyDescent="0.55000000000000004">
      <c r="A3198"/>
      <c r="B3198" s="261"/>
    </row>
    <row r="3199" spans="1:2" x14ac:dyDescent="0.55000000000000004">
      <c r="A3199"/>
      <c r="B3199" s="261"/>
    </row>
    <row r="3200" spans="1:2" x14ac:dyDescent="0.55000000000000004">
      <c r="A3200"/>
      <c r="B3200" s="261"/>
    </row>
    <row r="3201" spans="1:2" x14ac:dyDescent="0.55000000000000004">
      <c r="A3201"/>
      <c r="B3201" s="261"/>
    </row>
    <row r="3202" spans="1:2" x14ac:dyDescent="0.55000000000000004">
      <c r="A3202"/>
      <c r="B3202" s="261"/>
    </row>
    <row r="3203" spans="1:2" x14ac:dyDescent="0.55000000000000004">
      <c r="A3203"/>
      <c r="B3203" s="261"/>
    </row>
    <row r="3204" spans="1:2" x14ac:dyDescent="0.55000000000000004">
      <c r="A3204"/>
      <c r="B3204" s="261"/>
    </row>
    <row r="3205" spans="1:2" x14ac:dyDescent="0.55000000000000004">
      <c r="A3205"/>
      <c r="B3205" s="261"/>
    </row>
    <row r="3206" spans="1:2" x14ac:dyDescent="0.55000000000000004">
      <c r="A3206"/>
      <c r="B3206" s="261"/>
    </row>
    <row r="3207" spans="1:2" x14ac:dyDescent="0.55000000000000004">
      <c r="A3207"/>
      <c r="B3207" s="261"/>
    </row>
    <row r="3208" spans="1:2" x14ac:dyDescent="0.55000000000000004">
      <c r="A3208"/>
      <c r="B3208" s="261"/>
    </row>
    <row r="3209" spans="1:2" x14ac:dyDescent="0.55000000000000004">
      <c r="A3209"/>
      <c r="B3209" s="261"/>
    </row>
    <row r="3210" spans="1:2" x14ac:dyDescent="0.55000000000000004">
      <c r="A3210"/>
      <c r="B3210" s="261"/>
    </row>
    <row r="3211" spans="1:2" x14ac:dyDescent="0.55000000000000004">
      <c r="A3211"/>
      <c r="B3211" s="261"/>
    </row>
    <row r="3212" spans="1:2" x14ac:dyDescent="0.55000000000000004">
      <c r="A3212"/>
      <c r="B3212" s="261"/>
    </row>
    <row r="3213" spans="1:2" x14ac:dyDescent="0.55000000000000004">
      <c r="A3213"/>
      <c r="B3213" s="261"/>
    </row>
    <row r="3214" spans="1:2" x14ac:dyDescent="0.55000000000000004">
      <c r="A3214"/>
      <c r="B3214" s="261"/>
    </row>
    <row r="3215" spans="1:2" x14ac:dyDescent="0.55000000000000004">
      <c r="A3215"/>
      <c r="B3215" s="261"/>
    </row>
    <row r="3216" spans="1:2" x14ac:dyDescent="0.55000000000000004">
      <c r="A3216"/>
      <c r="B3216" s="261"/>
    </row>
    <row r="3217" spans="1:2" x14ac:dyDescent="0.55000000000000004">
      <c r="A3217"/>
      <c r="B3217" s="261"/>
    </row>
    <row r="3218" spans="1:2" x14ac:dyDescent="0.55000000000000004">
      <c r="A3218"/>
      <c r="B3218" s="261"/>
    </row>
    <row r="3219" spans="1:2" x14ac:dyDescent="0.55000000000000004">
      <c r="A3219"/>
      <c r="B3219" s="261"/>
    </row>
    <row r="3220" spans="1:2" x14ac:dyDescent="0.55000000000000004">
      <c r="A3220"/>
      <c r="B3220" s="261"/>
    </row>
    <row r="3221" spans="1:2" x14ac:dyDescent="0.55000000000000004">
      <c r="A3221"/>
      <c r="B3221" s="261"/>
    </row>
    <row r="3222" spans="1:2" x14ac:dyDescent="0.55000000000000004">
      <c r="A3222"/>
      <c r="B3222" s="261"/>
    </row>
    <row r="3223" spans="1:2" x14ac:dyDescent="0.55000000000000004">
      <c r="A3223"/>
      <c r="B3223" s="261"/>
    </row>
    <row r="3224" spans="1:2" x14ac:dyDescent="0.55000000000000004">
      <c r="A3224"/>
      <c r="B3224" s="261"/>
    </row>
    <row r="3225" spans="1:2" x14ac:dyDescent="0.55000000000000004">
      <c r="A3225"/>
      <c r="B3225" s="261"/>
    </row>
    <row r="3226" spans="1:2" x14ac:dyDescent="0.55000000000000004">
      <c r="A3226"/>
      <c r="B3226" s="261"/>
    </row>
    <row r="3227" spans="1:2" x14ac:dyDescent="0.55000000000000004">
      <c r="A3227"/>
      <c r="B3227" s="261"/>
    </row>
    <row r="3228" spans="1:2" x14ac:dyDescent="0.55000000000000004">
      <c r="A3228"/>
      <c r="B3228" s="261"/>
    </row>
    <row r="3229" spans="1:2" x14ac:dyDescent="0.55000000000000004">
      <c r="A3229"/>
      <c r="B3229" s="261"/>
    </row>
    <row r="3230" spans="1:2" x14ac:dyDescent="0.55000000000000004">
      <c r="A3230"/>
      <c r="B3230" s="261"/>
    </row>
    <row r="3231" spans="1:2" x14ac:dyDescent="0.55000000000000004">
      <c r="A3231"/>
      <c r="B3231" s="261"/>
    </row>
    <row r="3232" spans="1:2" x14ac:dyDescent="0.55000000000000004">
      <c r="A3232"/>
      <c r="B3232" s="261"/>
    </row>
    <row r="3233" spans="1:2" x14ac:dyDescent="0.55000000000000004">
      <c r="A3233"/>
      <c r="B3233" s="261"/>
    </row>
    <row r="3234" spans="1:2" x14ac:dyDescent="0.55000000000000004">
      <c r="A3234"/>
      <c r="B3234" s="261"/>
    </row>
    <row r="3235" spans="1:2" x14ac:dyDescent="0.55000000000000004">
      <c r="A3235"/>
      <c r="B3235" s="261"/>
    </row>
    <row r="3236" spans="1:2" x14ac:dyDescent="0.55000000000000004">
      <c r="A3236"/>
      <c r="B3236" s="261"/>
    </row>
    <row r="3237" spans="1:2" x14ac:dyDescent="0.55000000000000004">
      <c r="A3237"/>
      <c r="B3237" s="261"/>
    </row>
    <row r="3238" spans="1:2" x14ac:dyDescent="0.55000000000000004">
      <c r="A3238"/>
      <c r="B3238" s="261"/>
    </row>
    <row r="3239" spans="1:2" x14ac:dyDescent="0.55000000000000004">
      <c r="A3239"/>
      <c r="B3239" s="261"/>
    </row>
    <row r="3240" spans="1:2" x14ac:dyDescent="0.55000000000000004">
      <c r="A3240"/>
      <c r="B3240" s="261"/>
    </row>
    <row r="3241" spans="1:2" x14ac:dyDescent="0.55000000000000004">
      <c r="A3241"/>
      <c r="B3241" s="261"/>
    </row>
    <row r="3242" spans="1:2" x14ac:dyDescent="0.55000000000000004">
      <c r="A3242"/>
      <c r="B3242" s="261"/>
    </row>
    <row r="3243" spans="1:2" x14ac:dyDescent="0.55000000000000004">
      <c r="A3243"/>
      <c r="B3243" s="261"/>
    </row>
    <row r="3244" spans="1:2" x14ac:dyDescent="0.55000000000000004">
      <c r="A3244"/>
      <c r="B3244" s="261"/>
    </row>
    <row r="3245" spans="1:2" x14ac:dyDescent="0.55000000000000004">
      <c r="A3245"/>
      <c r="B3245" s="261"/>
    </row>
    <row r="3246" spans="1:2" x14ac:dyDescent="0.55000000000000004">
      <c r="A3246"/>
      <c r="B3246" s="261"/>
    </row>
    <row r="3247" spans="1:2" x14ac:dyDescent="0.55000000000000004">
      <c r="A3247"/>
      <c r="B3247" s="261"/>
    </row>
    <row r="3248" spans="1:2" x14ac:dyDescent="0.55000000000000004">
      <c r="A3248"/>
      <c r="B3248" s="261"/>
    </row>
    <row r="3249" spans="1:2" x14ac:dyDescent="0.55000000000000004">
      <c r="A3249"/>
      <c r="B3249" s="261"/>
    </row>
    <row r="3250" spans="1:2" x14ac:dyDescent="0.55000000000000004">
      <c r="A3250"/>
      <c r="B3250" s="261"/>
    </row>
    <row r="3251" spans="1:2" x14ac:dyDescent="0.55000000000000004">
      <c r="A3251"/>
      <c r="B3251" s="261"/>
    </row>
    <row r="3252" spans="1:2" x14ac:dyDescent="0.55000000000000004">
      <c r="A3252"/>
      <c r="B3252" s="261"/>
    </row>
    <row r="3253" spans="1:2" x14ac:dyDescent="0.55000000000000004">
      <c r="A3253"/>
      <c r="B3253" s="261"/>
    </row>
    <row r="3254" spans="1:2" x14ac:dyDescent="0.55000000000000004">
      <c r="A3254"/>
      <c r="B3254" s="261"/>
    </row>
    <row r="3255" spans="1:2" x14ac:dyDescent="0.55000000000000004">
      <c r="A3255"/>
      <c r="B3255" s="261"/>
    </row>
    <row r="3256" spans="1:2" x14ac:dyDescent="0.55000000000000004">
      <c r="A3256"/>
      <c r="B3256" s="261"/>
    </row>
    <row r="3257" spans="1:2" x14ac:dyDescent="0.55000000000000004">
      <c r="A3257"/>
      <c r="B3257" s="261"/>
    </row>
    <row r="3258" spans="1:2" x14ac:dyDescent="0.55000000000000004">
      <c r="A3258"/>
      <c r="B3258" s="261"/>
    </row>
    <row r="3259" spans="1:2" x14ac:dyDescent="0.55000000000000004">
      <c r="A3259"/>
      <c r="B3259" s="261"/>
    </row>
    <row r="3260" spans="1:2" x14ac:dyDescent="0.55000000000000004">
      <c r="A3260"/>
      <c r="B3260" s="261"/>
    </row>
    <row r="3261" spans="1:2" x14ac:dyDescent="0.55000000000000004">
      <c r="A3261"/>
      <c r="B3261" s="261"/>
    </row>
    <row r="3262" spans="1:2" x14ac:dyDescent="0.55000000000000004">
      <c r="A3262"/>
      <c r="B3262" s="261"/>
    </row>
    <row r="3263" spans="1:2" x14ac:dyDescent="0.55000000000000004">
      <c r="A3263"/>
      <c r="B3263" s="261"/>
    </row>
    <row r="3264" spans="1:2" x14ac:dyDescent="0.55000000000000004">
      <c r="A3264"/>
      <c r="B3264" s="261"/>
    </row>
    <row r="3265" spans="1:2" x14ac:dyDescent="0.55000000000000004">
      <c r="A3265"/>
      <c r="B3265" s="261"/>
    </row>
    <row r="3266" spans="1:2" x14ac:dyDescent="0.55000000000000004">
      <c r="A3266"/>
      <c r="B3266" s="261"/>
    </row>
    <row r="3267" spans="1:2" x14ac:dyDescent="0.55000000000000004">
      <c r="A3267"/>
      <c r="B3267" s="261"/>
    </row>
    <row r="3268" spans="1:2" x14ac:dyDescent="0.55000000000000004">
      <c r="A3268"/>
      <c r="B3268" s="261"/>
    </row>
    <row r="3269" spans="1:2" x14ac:dyDescent="0.55000000000000004">
      <c r="A3269"/>
      <c r="B3269" s="261"/>
    </row>
    <row r="3270" spans="1:2" x14ac:dyDescent="0.55000000000000004">
      <c r="A3270"/>
      <c r="B3270" s="261"/>
    </row>
    <row r="3271" spans="1:2" x14ac:dyDescent="0.55000000000000004">
      <c r="A3271"/>
      <c r="B3271" s="261"/>
    </row>
    <row r="3272" spans="1:2" x14ac:dyDescent="0.55000000000000004">
      <c r="A3272"/>
      <c r="B3272" s="261"/>
    </row>
    <row r="3273" spans="1:2" x14ac:dyDescent="0.55000000000000004">
      <c r="A3273"/>
      <c r="B3273" s="261"/>
    </row>
    <row r="3274" spans="1:2" x14ac:dyDescent="0.55000000000000004">
      <c r="A3274"/>
      <c r="B3274" s="261"/>
    </row>
    <row r="3275" spans="1:2" x14ac:dyDescent="0.55000000000000004">
      <c r="A3275"/>
      <c r="B3275" s="261"/>
    </row>
    <row r="3276" spans="1:2" x14ac:dyDescent="0.55000000000000004">
      <c r="A3276"/>
      <c r="B3276" s="261"/>
    </row>
    <row r="3277" spans="1:2" x14ac:dyDescent="0.55000000000000004">
      <c r="A3277"/>
      <c r="B3277" s="261"/>
    </row>
    <row r="3278" spans="1:2" x14ac:dyDescent="0.55000000000000004">
      <c r="A3278"/>
      <c r="B3278" s="261"/>
    </row>
    <row r="3279" spans="1:2" x14ac:dyDescent="0.55000000000000004">
      <c r="A3279"/>
      <c r="B3279" s="261"/>
    </row>
    <row r="3280" spans="1:2" x14ac:dyDescent="0.55000000000000004">
      <c r="A3280"/>
      <c r="B3280" s="261"/>
    </row>
    <row r="3281" spans="1:2" x14ac:dyDescent="0.55000000000000004">
      <c r="A3281"/>
      <c r="B3281" s="261"/>
    </row>
    <row r="3282" spans="1:2" x14ac:dyDescent="0.55000000000000004">
      <c r="A3282"/>
      <c r="B3282" s="261"/>
    </row>
    <row r="3283" spans="1:2" x14ac:dyDescent="0.55000000000000004">
      <c r="A3283"/>
      <c r="B3283" s="261"/>
    </row>
    <row r="3284" spans="1:2" x14ac:dyDescent="0.55000000000000004">
      <c r="A3284"/>
      <c r="B3284" s="261"/>
    </row>
    <row r="3285" spans="1:2" x14ac:dyDescent="0.55000000000000004">
      <c r="A3285"/>
      <c r="B3285" s="261"/>
    </row>
    <row r="3286" spans="1:2" x14ac:dyDescent="0.55000000000000004">
      <c r="A3286"/>
      <c r="B3286" s="261"/>
    </row>
    <row r="3287" spans="1:2" x14ac:dyDescent="0.55000000000000004">
      <c r="A3287"/>
      <c r="B3287" s="261"/>
    </row>
    <row r="3288" spans="1:2" x14ac:dyDescent="0.55000000000000004">
      <c r="A3288"/>
      <c r="B3288" s="261"/>
    </row>
    <row r="3289" spans="1:2" x14ac:dyDescent="0.55000000000000004">
      <c r="A3289"/>
      <c r="B3289" s="261"/>
    </row>
    <row r="3290" spans="1:2" x14ac:dyDescent="0.55000000000000004">
      <c r="A3290"/>
      <c r="B3290" s="261"/>
    </row>
    <row r="3291" spans="1:2" x14ac:dyDescent="0.55000000000000004">
      <c r="A3291"/>
      <c r="B3291" s="261"/>
    </row>
    <row r="3292" spans="1:2" x14ac:dyDescent="0.55000000000000004">
      <c r="A3292"/>
      <c r="B3292" s="261"/>
    </row>
    <row r="3293" spans="1:2" x14ac:dyDescent="0.55000000000000004">
      <c r="A3293"/>
      <c r="B3293" s="261"/>
    </row>
    <row r="3294" spans="1:2" x14ac:dyDescent="0.55000000000000004">
      <c r="A3294"/>
      <c r="B3294" s="261"/>
    </row>
    <row r="3295" spans="1:2" x14ac:dyDescent="0.55000000000000004">
      <c r="A3295"/>
      <c r="B3295" s="261"/>
    </row>
    <row r="3296" spans="1:2" x14ac:dyDescent="0.55000000000000004">
      <c r="A3296"/>
      <c r="B3296" s="261"/>
    </row>
    <row r="3297" spans="1:2" x14ac:dyDescent="0.55000000000000004">
      <c r="A3297"/>
      <c r="B3297" s="261"/>
    </row>
    <row r="3298" spans="1:2" x14ac:dyDescent="0.55000000000000004">
      <c r="A3298"/>
      <c r="B3298" s="261"/>
    </row>
    <row r="3299" spans="1:2" x14ac:dyDescent="0.55000000000000004">
      <c r="A3299"/>
      <c r="B3299" s="261"/>
    </row>
    <row r="3300" spans="1:2" x14ac:dyDescent="0.55000000000000004">
      <c r="A3300"/>
      <c r="B3300" s="261"/>
    </row>
    <row r="3301" spans="1:2" x14ac:dyDescent="0.55000000000000004">
      <c r="A3301"/>
      <c r="B3301" s="261"/>
    </row>
    <row r="3302" spans="1:2" x14ac:dyDescent="0.55000000000000004">
      <c r="A3302"/>
      <c r="B3302" s="261"/>
    </row>
    <row r="3303" spans="1:2" x14ac:dyDescent="0.55000000000000004">
      <c r="A3303"/>
      <c r="B3303" s="261"/>
    </row>
    <row r="3304" spans="1:2" x14ac:dyDescent="0.55000000000000004">
      <c r="A3304"/>
      <c r="B3304" s="261"/>
    </row>
    <row r="3305" spans="1:2" x14ac:dyDescent="0.55000000000000004">
      <c r="A3305"/>
      <c r="B3305" s="261"/>
    </row>
    <row r="3306" spans="1:2" x14ac:dyDescent="0.55000000000000004">
      <c r="A3306"/>
      <c r="B3306" s="261"/>
    </row>
    <row r="3307" spans="1:2" x14ac:dyDescent="0.55000000000000004">
      <c r="A3307"/>
      <c r="B3307" s="261"/>
    </row>
    <row r="3308" spans="1:2" x14ac:dyDescent="0.55000000000000004">
      <c r="A3308"/>
      <c r="B3308" s="261"/>
    </row>
    <row r="3309" spans="1:2" x14ac:dyDescent="0.55000000000000004">
      <c r="A3309"/>
      <c r="B3309" s="261"/>
    </row>
    <row r="3310" spans="1:2" x14ac:dyDescent="0.55000000000000004">
      <c r="A3310"/>
      <c r="B3310" s="261"/>
    </row>
    <row r="3311" spans="1:2" x14ac:dyDescent="0.55000000000000004">
      <c r="A3311"/>
      <c r="B3311" s="261"/>
    </row>
    <row r="3312" spans="1:2" x14ac:dyDescent="0.55000000000000004">
      <c r="A3312"/>
      <c r="B3312" s="261"/>
    </row>
    <row r="3313" spans="1:2" x14ac:dyDescent="0.55000000000000004">
      <c r="A3313"/>
      <c r="B3313" s="261"/>
    </row>
    <row r="3314" spans="1:2" x14ac:dyDescent="0.55000000000000004">
      <c r="A3314"/>
      <c r="B3314" s="261"/>
    </row>
    <row r="3315" spans="1:2" x14ac:dyDescent="0.55000000000000004">
      <c r="A3315"/>
      <c r="B3315" s="261"/>
    </row>
    <row r="3316" spans="1:2" x14ac:dyDescent="0.55000000000000004">
      <c r="A3316"/>
      <c r="B3316" s="261"/>
    </row>
    <row r="3317" spans="1:2" x14ac:dyDescent="0.55000000000000004">
      <c r="A3317"/>
      <c r="B3317" s="261"/>
    </row>
    <row r="3318" spans="1:2" x14ac:dyDescent="0.55000000000000004">
      <c r="A3318"/>
      <c r="B3318" s="261"/>
    </row>
    <row r="3319" spans="1:2" x14ac:dyDescent="0.55000000000000004">
      <c r="A3319"/>
      <c r="B3319" s="261"/>
    </row>
    <row r="3320" spans="1:2" x14ac:dyDescent="0.55000000000000004">
      <c r="A3320"/>
      <c r="B3320" s="261"/>
    </row>
    <row r="3321" spans="1:2" x14ac:dyDescent="0.55000000000000004">
      <c r="A3321"/>
      <c r="B3321" s="261"/>
    </row>
    <row r="3322" spans="1:2" x14ac:dyDescent="0.55000000000000004">
      <c r="A3322"/>
      <c r="B3322" s="261"/>
    </row>
    <row r="3323" spans="1:2" x14ac:dyDescent="0.55000000000000004">
      <c r="A3323"/>
      <c r="B3323" s="261"/>
    </row>
    <row r="3324" spans="1:2" x14ac:dyDescent="0.55000000000000004">
      <c r="A3324"/>
      <c r="B3324" s="261"/>
    </row>
    <row r="3325" spans="1:2" x14ac:dyDescent="0.55000000000000004">
      <c r="A3325"/>
      <c r="B3325" s="261"/>
    </row>
    <row r="3326" spans="1:2" x14ac:dyDescent="0.55000000000000004">
      <c r="A3326"/>
      <c r="B3326" s="261"/>
    </row>
    <row r="3327" spans="1:2" x14ac:dyDescent="0.55000000000000004">
      <c r="A3327"/>
      <c r="B3327" s="261"/>
    </row>
    <row r="3328" spans="1:2" x14ac:dyDescent="0.55000000000000004">
      <c r="A3328"/>
      <c r="B3328" s="261"/>
    </row>
    <row r="3329" spans="1:2" x14ac:dyDescent="0.55000000000000004">
      <c r="A3329"/>
      <c r="B3329" s="261"/>
    </row>
    <row r="3330" spans="1:2" x14ac:dyDescent="0.55000000000000004">
      <c r="A3330"/>
      <c r="B3330" s="261"/>
    </row>
    <row r="3331" spans="1:2" x14ac:dyDescent="0.55000000000000004">
      <c r="A3331"/>
      <c r="B3331" s="261"/>
    </row>
    <row r="3332" spans="1:2" x14ac:dyDescent="0.55000000000000004">
      <c r="A3332"/>
      <c r="B3332" s="261"/>
    </row>
    <row r="3333" spans="1:2" x14ac:dyDescent="0.55000000000000004">
      <c r="A3333"/>
      <c r="B3333" s="261"/>
    </row>
    <row r="3334" spans="1:2" x14ac:dyDescent="0.55000000000000004">
      <c r="A3334"/>
      <c r="B3334" s="261"/>
    </row>
    <row r="3335" spans="1:2" x14ac:dyDescent="0.55000000000000004">
      <c r="A3335"/>
      <c r="B3335" s="261"/>
    </row>
    <row r="3336" spans="1:2" x14ac:dyDescent="0.55000000000000004">
      <c r="A3336"/>
      <c r="B3336" s="261"/>
    </row>
    <row r="3337" spans="1:2" x14ac:dyDescent="0.55000000000000004">
      <c r="A3337"/>
      <c r="B3337" s="261"/>
    </row>
    <row r="3338" spans="1:2" x14ac:dyDescent="0.55000000000000004">
      <c r="A3338"/>
      <c r="B3338" s="261"/>
    </row>
    <row r="3339" spans="1:2" x14ac:dyDescent="0.55000000000000004">
      <c r="A3339"/>
      <c r="B3339" s="261"/>
    </row>
    <row r="3340" spans="1:2" x14ac:dyDescent="0.55000000000000004">
      <c r="A3340"/>
      <c r="B3340" s="261"/>
    </row>
    <row r="3341" spans="1:2" x14ac:dyDescent="0.55000000000000004">
      <c r="A3341"/>
      <c r="B3341" s="261"/>
    </row>
    <row r="3342" spans="1:2" x14ac:dyDescent="0.55000000000000004">
      <c r="A3342"/>
      <c r="B3342" s="261"/>
    </row>
    <row r="3343" spans="1:2" x14ac:dyDescent="0.55000000000000004">
      <c r="A3343"/>
      <c r="B3343" s="261"/>
    </row>
    <row r="3344" spans="1:2" x14ac:dyDescent="0.55000000000000004">
      <c r="A3344"/>
      <c r="B3344" s="261"/>
    </row>
    <row r="3345" spans="1:2" x14ac:dyDescent="0.55000000000000004">
      <c r="A3345"/>
      <c r="B3345" s="261"/>
    </row>
    <row r="3346" spans="1:2" x14ac:dyDescent="0.55000000000000004">
      <c r="A3346"/>
      <c r="B3346" s="261"/>
    </row>
    <row r="3347" spans="1:2" x14ac:dyDescent="0.55000000000000004">
      <c r="A3347"/>
      <c r="B3347" s="261"/>
    </row>
    <row r="3348" spans="1:2" x14ac:dyDescent="0.55000000000000004">
      <c r="A3348"/>
      <c r="B3348" s="261"/>
    </row>
    <row r="3349" spans="1:2" x14ac:dyDescent="0.55000000000000004">
      <c r="A3349"/>
      <c r="B3349" s="261"/>
    </row>
    <row r="3350" spans="1:2" x14ac:dyDescent="0.55000000000000004">
      <c r="A3350"/>
      <c r="B3350" s="261"/>
    </row>
    <row r="3351" spans="1:2" x14ac:dyDescent="0.55000000000000004">
      <c r="A3351"/>
      <c r="B3351" s="261"/>
    </row>
    <row r="3352" spans="1:2" x14ac:dyDescent="0.55000000000000004">
      <c r="A3352"/>
      <c r="B3352" s="261"/>
    </row>
    <row r="3353" spans="1:2" x14ac:dyDescent="0.55000000000000004">
      <c r="A3353"/>
      <c r="B3353" s="261"/>
    </row>
    <row r="3354" spans="1:2" x14ac:dyDescent="0.55000000000000004">
      <c r="A3354"/>
      <c r="B3354" s="261"/>
    </row>
    <row r="3355" spans="1:2" x14ac:dyDescent="0.55000000000000004">
      <c r="A3355"/>
      <c r="B3355" s="261"/>
    </row>
    <row r="3356" spans="1:2" x14ac:dyDescent="0.55000000000000004">
      <c r="A3356"/>
      <c r="B3356" s="261"/>
    </row>
    <row r="3357" spans="1:2" x14ac:dyDescent="0.55000000000000004">
      <c r="A3357"/>
      <c r="B3357" s="261"/>
    </row>
    <row r="3358" spans="1:2" x14ac:dyDescent="0.55000000000000004">
      <c r="A3358"/>
      <c r="B3358" s="261"/>
    </row>
    <row r="3359" spans="1:2" x14ac:dyDescent="0.55000000000000004">
      <c r="A3359"/>
      <c r="B3359" s="261"/>
    </row>
    <row r="3360" spans="1:2" x14ac:dyDescent="0.55000000000000004">
      <c r="A3360"/>
      <c r="B3360" s="261"/>
    </row>
    <row r="3361" spans="1:2" x14ac:dyDescent="0.55000000000000004">
      <c r="A3361"/>
      <c r="B3361" s="261"/>
    </row>
    <row r="3362" spans="1:2" x14ac:dyDescent="0.55000000000000004">
      <c r="A3362"/>
      <c r="B3362" s="261"/>
    </row>
    <row r="3363" spans="1:2" x14ac:dyDescent="0.55000000000000004">
      <c r="A3363"/>
      <c r="B3363" s="261"/>
    </row>
    <row r="3364" spans="1:2" x14ac:dyDescent="0.55000000000000004">
      <c r="A3364"/>
      <c r="B3364" s="261"/>
    </row>
    <row r="3365" spans="1:2" x14ac:dyDescent="0.55000000000000004">
      <c r="A3365"/>
      <c r="B3365" s="261"/>
    </row>
    <row r="3366" spans="1:2" x14ac:dyDescent="0.55000000000000004">
      <c r="A3366"/>
      <c r="B3366" s="261"/>
    </row>
    <row r="3367" spans="1:2" x14ac:dyDescent="0.55000000000000004">
      <c r="A3367"/>
      <c r="B3367" s="261"/>
    </row>
    <row r="3368" spans="1:2" x14ac:dyDescent="0.55000000000000004">
      <c r="A3368"/>
      <c r="B3368" s="261"/>
    </row>
    <row r="3369" spans="1:2" x14ac:dyDescent="0.55000000000000004">
      <c r="A3369"/>
      <c r="B3369" s="261"/>
    </row>
    <row r="3370" spans="1:2" x14ac:dyDescent="0.55000000000000004">
      <c r="A3370"/>
      <c r="B3370" s="261"/>
    </row>
    <row r="3371" spans="1:2" x14ac:dyDescent="0.55000000000000004">
      <c r="A3371"/>
      <c r="B3371" s="261"/>
    </row>
    <row r="3372" spans="1:2" x14ac:dyDescent="0.55000000000000004">
      <c r="A3372"/>
      <c r="B3372" s="261"/>
    </row>
    <row r="3373" spans="1:2" x14ac:dyDescent="0.55000000000000004">
      <c r="A3373"/>
      <c r="B3373" s="261"/>
    </row>
    <row r="3374" spans="1:2" x14ac:dyDescent="0.55000000000000004">
      <c r="A3374"/>
      <c r="B3374" s="261"/>
    </row>
    <row r="3375" spans="1:2" x14ac:dyDescent="0.55000000000000004">
      <c r="A3375"/>
      <c r="B3375" s="261"/>
    </row>
    <row r="3376" spans="1:2" x14ac:dyDescent="0.55000000000000004">
      <c r="A3376"/>
      <c r="B3376" s="261"/>
    </row>
    <row r="3377" spans="1:2" x14ac:dyDescent="0.55000000000000004">
      <c r="A3377"/>
      <c r="B3377" s="261"/>
    </row>
    <row r="3378" spans="1:2" x14ac:dyDescent="0.55000000000000004">
      <c r="A3378"/>
      <c r="B3378" s="261"/>
    </row>
    <row r="3379" spans="1:2" x14ac:dyDescent="0.55000000000000004">
      <c r="A3379"/>
      <c r="B3379" s="261"/>
    </row>
    <row r="3380" spans="1:2" x14ac:dyDescent="0.55000000000000004">
      <c r="A3380"/>
      <c r="B3380" s="261"/>
    </row>
    <row r="3381" spans="1:2" x14ac:dyDescent="0.55000000000000004">
      <c r="A3381"/>
      <c r="B3381" s="261"/>
    </row>
    <row r="3382" spans="1:2" x14ac:dyDescent="0.55000000000000004">
      <c r="A3382"/>
      <c r="B3382" s="261"/>
    </row>
    <row r="3383" spans="1:2" x14ac:dyDescent="0.55000000000000004">
      <c r="A3383"/>
      <c r="B3383" s="261"/>
    </row>
    <row r="3384" spans="1:2" x14ac:dyDescent="0.55000000000000004">
      <c r="A3384"/>
      <c r="B3384" s="261"/>
    </row>
    <row r="3385" spans="1:2" x14ac:dyDescent="0.55000000000000004">
      <c r="A3385"/>
      <c r="B3385" s="261"/>
    </row>
    <row r="3386" spans="1:2" x14ac:dyDescent="0.55000000000000004">
      <c r="A3386"/>
      <c r="B3386" s="261"/>
    </row>
    <row r="3387" spans="1:2" x14ac:dyDescent="0.55000000000000004">
      <c r="A3387"/>
      <c r="B3387" s="261"/>
    </row>
    <row r="3388" spans="1:2" x14ac:dyDescent="0.55000000000000004">
      <c r="A3388"/>
      <c r="B3388" s="261"/>
    </row>
    <row r="3389" spans="1:2" x14ac:dyDescent="0.55000000000000004">
      <c r="A3389"/>
      <c r="B3389" s="261"/>
    </row>
    <row r="3390" spans="1:2" x14ac:dyDescent="0.55000000000000004">
      <c r="A3390"/>
      <c r="B3390" s="261"/>
    </row>
    <row r="3391" spans="1:2" x14ac:dyDescent="0.55000000000000004">
      <c r="A3391"/>
      <c r="B3391" s="261"/>
    </row>
    <row r="3392" spans="1:2" x14ac:dyDescent="0.55000000000000004">
      <c r="A3392"/>
      <c r="B3392" s="261"/>
    </row>
    <row r="3393" spans="1:2" x14ac:dyDescent="0.55000000000000004">
      <c r="A3393"/>
      <c r="B3393" s="261"/>
    </row>
    <row r="3394" spans="1:2" x14ac:dyDescent="0.55000000000000004">
      <c r="A3394"/>
      <c r="B3394" s="261"/>
    </row>
    <row r="3395" spans="1:2" x14ac:dyDescent="0.55000000000000004">
      <c r="A3395"/>
      <c r="B3395" s="261"/>
    </row>
    <row r="3396" spans="1:2" x14ac:dyDescent="0.55000000000000004">
      <c r="A3396"/>
      <c r="B3396" s="261"/>
    </row>
    <row r="3397" spans="1:2" x14ac:dyDescent="0.55000000000000004">
      <c r="A3397"/>
      <c r="B3397" s="261"/>
    </row>
    <row r="3398" spans="1:2" x14ac:dyDescent="0.55000000000000004">
      <c r="A3398"/>
      <c r="B3398" s="261"/>
    </row>
    <row r="3399" spans="1:2" x14ac:dyDescent="0.55000000000000004">
      <c r="A3399"/>
      <c r="B3399" s="261"/>
    </row>
    <row r="3400" spans="1:2" x14ac:dyDescent="0.55000000000000004">
      <c r="A3400"/>
      <c r="B3400" s="261"/>
    </row>
    <row r="3401" spans="1:2" x14ac:dyDescent="0.55000000000000004">
      <c r="A3401"/>
      <c r="B3401" s="261"/>
    </row>
    <row r="3402" spans="1:2" x14ac:dyDescent="0.55000000000000004">
      <c r="A3402"/>
      <c r="B3402" s="261"/>
    </row>
    <row r="3403" spans="1:2" x14ac:dyDescent="0.55000000000000004">
      <c r="A3403"/>
      <c r="B3403" s="261"/>
    </row>
    <row r="3404" spans="1:2" x14ac:dyDescent="0.55000000000000004">
      <c r="A3404"/>
      <c r="B3404" s="261"/>
    </row>
    <row r="3405" spans="1:2" x14ac:dyDescent="0.55000000000000004">
      <c r="A3405"/>
      <c r="B3405" s="261"/>
    </row>
    <row r="3406" spans="1:2" x14ac:dyDescent="0.55000000000000004">
      <c r="A3406"/>
      <c r="B3406" s="261"/>
    </row>
    <row r="3407" spans="1:2" x14ac:dyDescent="0.55000000000000004">
      <c r="A3407"/>
      <c r="B3407" s="261"/>
    </row>
    <row r="3408" spans="1:2" x14ac:dyDescent="0.55000000000000004">
      <c r="A3408"/>
      <c r="B3408" s="261"/>
    </row>
    <row r="3409" spans="1:2" x14ac:dyDescent="0.55000000000000004">
      <c r="A3409"/>
      <c r="B3409" s="261"/>
    </row>
    <row r="3410" spans="1:2" x14ac:dyDescent="0.55000000000000004">
      <c r="A3410"/>
      <c r="B3410" s="261"/>
    </row>
    <row r="3411" spans="1:2" x14ac:dyDescent="0.55000000000000004">
      <c r="A3411"/>
      <c r="B3411" s="261"/>
    </row>
    <row r="3412" spans="1:2" x14ac:dyDescent="0.55000000000000004">
      <c r="A3412"/>
      <c r="B3412" s="261"/>
    </row>
    <row r="3413" spans="1:2" x14ac:dyDescent="0.55000000000000004">
      <c r="A3413"/>
      <c r="B3413" s="261"/>
    </row>
    <row r="3414" spans="1:2" x14ac:dyDescent="0.55000000000000004">
      <c r="A3414"/>
      <c r="B3414" s="261"/>
    </row>
    <row r="3415" spans="1:2" x14ac:dyDescent="0.55000000000000004">
      <c r="A3415"/>
      <c r="B3415" s="261"/>
    </row>
    <row r="3416" spans="1:2" x14ac:dyDescent="0.55000000000000004">
      <c r="A3416"/>
      <c r="B3416" s="261"/>
    </row>
    <row r="3417" spans="1:2" x14ac:dyDescent="0.55000000000000004">
      <c r="A3417"/>
      <c r="B3417" s="261"/>
    </row>
    <row r="3418" spans="1:2" x14ac:dyDescent="0.55000000000000004">
      <c r="A3418"/>
      <c r="B3418" s="261"/>
    </row>
    <row r="3419" spans="1:2" x14ac:dyDescent="0.55000000000000004">
      <c r="A3419"/>
      <c r="B3419" s="261"/>
    </row>
    <row r="3420" spans="1:2" x14ac:dyDescent="0.55000000000000004">
      <c r="A3420"/>
      <c r="B3420" s="261"/>
    </row>
    <row r="3421" spans="1:2" x14ac:dyDescent="0.55000000000000004">
      <c r="A3421"/>
      <c r="B3421" s="261"/>
    </row>
    <row r="3422" spans="1:2" x14ac:dyDescent="0.55000000000000004">
      <c r="A3422"/>
      <c r="B3422" s="261"/>
    </row>
    <row r="3423" spans="1:2" x14ac:dyDescent="0.55000000000000004">
      <c r="A3423"/>
      <c r="B3423" s="261"/>
    </row>
    <row r="3424" spans="1:2" x14ac:dyDescent="0.55000000000000004">
      <c r="A3424"/>
      <c r="B3424" s="261"/>
    </row>
    <row r="3425" spans="1:2" x14ac:dyDescent="0.55000000000000004">
      <c r="A3425"/>
      <c r="B3425" s="261"/>
    </row>
    <row r="3426" spans="1:2" x14ac:dyDescent="0.55000000000000004">
      <c r="A3426"/>
      <c r="B3426" s="261"/>
    </row>
    <row r="3427" spans="1:2" x14ac:dyDescent="0.55000000000000004">
      <c r="A3427"/>
      <c r="B3427" s="261"/>
    </row>
    <row r="3428" spans="1:2" x14ac:dyDescent="0.55000000000000004">
      <c r="A3428"/>
      <c r="B3428" s="261"/>
    </row>
    <row r="3429" spans="1:2" x14ac:dyDescent="0.55000000000000004">
      <c r="A3429"/>
      <c r="B3429" s="261"/>
    </row>
    <row r="3430" spans="1:2" x14ac:dyDescent="0.55000000000000004">
      <c r="A3430"/>
      <c r="B3430" s="261"/>
    </row>
    <row r="3431" spans="1:2" x14ac:dyDescent="0.55000000000000004">
      <c r="A3431"/>
      <c r="B3431" s="261"/>
    </row>
    <row r="3432" spans="1:2" x14ac:dyDescent="0.55000000000000004">
      <c r="A3432"/>
      <c r="B3432" s="261"/>
    </row>
    <row r="3433" spans="1:2" x14ac:dyDescent="0.55000000000000004">
      <c r="A3433"/>
      <c r="B3433" s="261"/>
    </row>
    <row r="3434" spans="1:2" x14ac:dyDescent="0.55000000000000004">
      <c r="A3434"/>
      <c r="B3434" s="261"/>
    </row>
    <row r="3435" spans="1:2" x14ac:dyDescent="0.55000000000000004">
      <c r="A3435"/>
      <c r="B3435" s="261"/>
    </row>
    <row r="3436" spans="1:2" x14ac:dyDescent="0.55000000000000004">
      <c r="A3436"/>
      <c r="B3436" s="261"/>
    </row>
    <row r="3437" spans="1:2" x14ac:dyDescent="0.55000000000000004">
      <c r="A3437"/>
      <c r="B3437" s="261"/>
    </row>
    <row r="3438" spans="1:2" x14ac:dyDescent="0.55000000000000004">
      <c r="A3438"/>
      <c r="B3438" s="261"/>
    </row>
    <row r="3439" spans="1:2" x14ac:dyDescent="0.55000000000000004">
      <c r="A3439"/>
      <c r="B3439" s="261"/>
    </row>
    <row r="3440" spans="1:2" x14ac:dyDescent="0.55000000000000004">
      <c r="A3440"/>
      <c r="B3440" s="261"/>
    </row>
    <row r="3441" spans="1:2" x14ac:dyDescent="0.55000000000000004">
      <c r="A3441"/>
      <c r="B3441" s="261"/>
    </row>
    <row r="3442" spans="1:2" x14ac:dyDescent="0.55000000000000004">
      <c r="A3442"/>
      <c r="B3442" s="261"/>
    </row>
    <row r="3443" spans="1:2" x14ac:dyDescent="0.55000000000000004">
      <c r="A3443"/>
      <c r="B3443" s="261"/>
    </row>
    <row r="3444" spans="1:2" x14ac:dyDescent="0.55000000000000004">
      <c r="A3444"/>
      <c r="B3444" s="261"/>
    </row>
    <row r="3445" spans="1:2" x14ac:dyDescent="0.55000000000000004">
      <c r="A3445"/>
      <c r="B3445" s="261"/>
    </row>
    <row r="3446" spans="1:2" x14ac:dyDescent="0.55000000000000004">
      <c r="A3446"/>
      <c r="B3446" s="261"/>
    </row>
    <row r="3447" spans="1:2" x14ac:dyDescent="0.55000000000000004">
      <c r="A3447"/>
      <c r="B3447" s="261"/>
    </row>
    <row r="3448" spans="1:2" x14ac:dyDescent="0.55000000000000004">
      <c r="A3448"/>
      <c r="B3448" s="261"/>
    </row>
    <row r="3449" spans="1:2" x14ac:dyDescent="0.55000000000000004">
      <c r="A3449"/>
      <c r="B3449" s="261"/>
    </row>
    <row r="3450" spans="1:2" x14ac:dyDescent="0.55000000000000004">
      <c r="A3450"/>
      <c r="B3450" s="261"/>
    </row>
    <row r="3451" spans="1:2" x14ac:dyDescent="0.55000000000000004">
      <c r="A3451"/>
      <c r="B3451" s="261"/>
    </row>
    <row r="3452" spans="1:2" x14ac:dyDescent="0.55000000000000004">
      <c r="A3452"/>
      <c r="B3452" s="261"/>
    </row>
    <row r="3453" spans="1:2" x14ac:dyDescent="0.55000000000000004">
      <c r="A3453"/>
      <c r="B3453" s="261"/>
    </row>
    <row r="3454" spans="1:2" x14ac:dyDescent="0.55000000000000004">
      <c r="A3454"/>
      <c r="B3454" s="261"/>
    </row>
    <row r="3455" spans="1:2" x14ac:dyDescent="0.55000000000000004">
      <c r="A3455"/>
      <c r="B3455" s="261"/>
    </row>
    <row r="3456" spans="1:2" x14ac:dyDescent="0.55000000000000004">
      <c r="A3456"/>
      <c r="B3456" s="261"/>
    </row>
    <row r="3457" spans="1:2" x14ac:dyDescent="0.55000000000000004">
      <c r="A3457"/>
      <c r="B3457" s="261"/>
    </row>
    <row r="3458" spans="1:2" x14ac:dyDescent="0.55000000000000004">
      <c r="A3458"/>
      <c r="B3458" s="261"/>
    </row>
    <row r="3459" spans="1:2" x14ac:dyDescent="0.55000000000000004">
      <c r="A3459"/>
      <c r="B3459" s="261"/>
    </row>
    <row r="3460" spans="1:2" x14ac:dyDescent="0.55000000000000004">
      <c r="A3460"/>
      <c r="B3460" s="261"/>
    </row>
    <row r="3461" spans="1:2" x14ac:dyDescent="0.55000000000000004">
      <c r="A3461"/>
      <c r="B3461" s="261"/>
    </row>
    <row r="3462" spans="1:2" x14ac:dyDescent="0.55000000000000004">
      <c r="A3462"/>
      <c r="B3462" s="261"/>
    </row>
    <row r="3463" spans="1:2" x14ac:dyDescent="0.55000000000000004">
      <c r="A3463"/>
      <c r="B3463" s="261"/>
    </row>
    <row r="3464" spans="1:2" x14ac:dyDescent="0.55000000000000004">
      <c r="A3464"/>
      <c r="B3464" s="261"/>
    </row>
    <row r="3465" spans="1:2" x14ac:dyDescent="0.55000000000000004">
      <c r="A3465"/>
      <c r="B3465" s="261"/>
    </row>
    <row r="3466" spans="1:2" x14ac:dyDescent="0.55000000000000004">
      <c r="A3466"/>
      <c r="B3466" s="261"/>
    </row>
    <row r="3467" spans="1:2" x14ac:dyDescent="0.55000000000000004">
      <c r="A3467"/>
      <c r="B3467" s="261"/>
    </row>
    <row r="3468" spans="1:2" x14ac:dyDescent="0.55000000000000004">
      <c r="A3468"/>
      <c r="B3468" s="261"/>
    </row>
    <row r="3469" spans="1:2" x14ac:dyDescent="0.55000000000000004">
      <c r="A3469"/>
      <c r="B3469" s="261"/>
    </row>
    <row r="3470" spans="1:2" x14ac:dyDescent="0.55000000000000004">
      <c r="A3470"/>
      <c r="B3470" s="261"/>
    </row>
    <row r="3471" spans="1:2" x14ac:dyDescent="0.55000000000000004">
      <c r="A3471"/>
      <c r="B3471" s="261"/>
    </row>
    <row r="3472" spans="1:2" x14ac:dyDescent="0.55000000000000004">
      <c r="A3472"/>
      <c r="B3472" s="261"/>
    </row>
    <row r="3473" spans="1:2" x14ac:dyDescent="0.55000000000000004">
      <c r="A3473"/>
      <c r="B3473" s="261"/>
    </row>
    <row r="3474" spans="1:2" x14ac:dyDescent="0.55000000000000004">
      <c r="A3474"/>
      <c r="B3474" s="261"/>
    </row>
    <row r="3475" spans="1:2" x14ac:dyDescent="0.55000000000000004">
      <c r="A3475"/>
      <c r="B3475" s="261"/>
    </row>
    <row r="3476" spans="1:2" x14ac:dyDescent="0.55000000000000004">
      <c r="A3476"/>
      <c r="B3476" s="261"/>
    </row>
    <row r="3477" spans="1:2" x14ac:dyDescent="0.55000000000000004">
      <c r="A3477"/>
      <c r="B3477" s="261"/>
    </row>
    <row r="3478" spans="1:2" x14ac:dyDescent="0.55000000000000004">
      <c r="A3478"/>
      <c r="B3478" s="261"/>
    </row>
    <row r="3479" spans="1:2" x14ac:dyDescent="0.55000000000000004">
      <c r="A3479"/>
      <c r="B3479" s="261"/>
    </row>
    <row r="3480" spans="1:2" x14ac:dyDescent="0.55000000000000004">
      <c r="A3480"/>
      <c r="B3480" s="261"/>
    </row>
    <row r="3481" spans="1:2" x14ac:dyDescent="0.55000000000000004">
      <c r="A3481"/>
      <c r="B3481" s="261"/>
    </row>
    <row r="3482" spans="1:2" x14ac:dyDescent="0.55000000000000004">
      <c r="A3482"/>
      <c r="B3482" s="261"/>
    </row>
    <row r="3483" spans="1:2" x14ac:dyDescent="0.55000000000000004">
      <c r="A3483"/>
      <c r="B3483" s="261"/>
    </row>
    <row r="3484" spans="1:2" x14ac:dyDescent="0.55000000000000004">
      <c r="A3484"/>
      <c r="B3484" s="261"/>
    </row>
    <row r="3485" spans="1:2" x14ac:dyDescent="0.55000000000000004">
      <c r="A3485"/>
      <c r="B3485" s="261"/>
    </row>
    <row r="3486" spans="1:2" x14ac:dyDescent="0.55000000000000004">
      <c r="A3486"/>
      <c r="B3486" s="261"/>
    </row>
    <row r="3487" spans="1:2" x14ac:dyDescent="0.55000000000000004">
      <c r="A3487"/>
      <c r="B3487" s="261"/>
    </row>
    <row r="3488" spans="1:2" x14ac:dyDescent="0.55000000000000004">
      <c r="A3488"/>
      <c r="B3488" s="261"/>
    </row>
    <row r="3489" spans="1:2" x14ac:dyDescent="0.55000000000000004">
      <c r="A3489"/>
      <c r="B3489" s="261"/>
    </row>
    <row r="3490" spans="1:2" x14ac:dyDescent="0.55000000000000004">
      <c r="A3490"/>
      <c r="B3490" s="261"/>
    </row>
    <row r="3491" spans="1:2" x14ac:dyDescent="0.55000000000000004">
      <c r="A3491"/>
      <c r="B3491" s="261"/>
    </row>
    <row r="3492" spans="1:2" x14ac:dyDescent="0.55000000000000004">
      <c r="A3492"/>
      <c r="B3492" s="261"/>
    </row>
    <row r="3493" spans="1:2" x14ac:dyDescent="0.55000000000000004">
      <c r="A3493"/>
      <c r="B3493" s="261"/>
    </row>
    <row r="3494" spans="1:2" x14ac:dyDescent="0.55000000000000004">
      <c r="A3494"/>
      <c r="B3494" s="261"/>
    </row>
    <row r="3495" spans="1:2" x14ac:dyDescent="0.55000000000000004">
      <c r="A3495"/>
      <c r="B3495" s="261"/>
    </row>
    <row r="3496" spans="1:2" x14ac:dyDescent="0.55000000000000004">
      <c r="A3496"/>
      <c r="B3496" s="261"/>
    </row>
    <row r="3497" spans="1:2" x14ac:dyDescent="0.55000000000000004">
      <c r="A3497"/>
      <c r="B3497" s="261"/>
    </row>
    <row r="3498" spans="1:2" x14ac:dyDescent="0.55000000000000004">
      <c r="A3498"/>
      <c r="B3498" s="261"/>
    </row>
    <row r="3499" spans="1:2" x14ac:dyDescent="0.55000000000000004">
      <c r="A3499"/>
      <c r="B3499" s="261"/>
    </row>
    <row r="3500" spans="1:2" x14ac:dyDescent="0.55000000000000004">
      <c r="A3500"/>
      <c r="B3500" s="261"/>
    </row>
    <row r="3501" spans="1:2" x14ac:dyDescent="0.55000000000000004">
      <c r="A3501"/>
      <c r="B3501" s="261"/>
    </row>
    <row r="3502" spans="1:2" x14ac:dyDescent="0.55000000000000004">
      <c r="A3502"/>
      <c r="B3502" s="261"/>
    </row>
    <row r="3503" spans="1:2" x14ac:dyDescent="0.55000000000000004">
      <c r="A3503"/>
      <c r="B3503" s="261"/>
    </row>
    <row r="3504" spans="1:2" x14ac:dyDescent="0.55000000000000004">
      <c r="A3504"/>
      <c r="B3504" s="261"/>
    </row>
    <row r="3505" spans="1:2" x14ac:dyDescent="0.55000000000000004">
      <c r="A3505"/>
      <c r="B3505" s="261"/>
    </row>
    <row r="3506" spans="1:2" x14ac:dyDescent="0.55000000000000004">
      <c r="A3506"/>
      <c r="B3506" s="261"/>
    </row>
    <row r="3507" spans="1:2" x14ac:dyDescent="0.55000000000000004">
      <c r="A3507"/>
      <c r="B3507" s="261"/>
    </row>
    <row r="3508" spans="1:2" x14ac:dyDescent="0.55000000000000004">
      <c r="A3508"/>
      <c r="B3508" s="261"/>
    </row>
    <row r="3509" spans="1:2" x14ac:dyDescent="0.55000000000000004">
      <c r="A3509"/>
      <c r="B3509" s="261"/>
    </row>
    <row r="3510" spans="1:2" x14ac:dyDescent="0.55000000000000004">
      <c r="A3510"/>
      <c r="B3510" s="261"/>
    </row>
    <row r="3511" spans="1:2" x14ac:dyDescent="0.55000000000000004">
      <c r="A3511"/>
      <c r="B3511" s="261"/>
    </row>
    <row r="3512" spans="1:2" x14ac:dyDescent="0.55000000000000004">
      <c r="A3512"/>
      <c r="B3512" s="261"/>
    </row>
    <row r="3513" spans="1:2" x14ac:dyDescent="0.55000000000000004">
      <c r="A3513"/>
      <c r="B3513" s="261"/>
    </row>
    <row r="3514" spans="1:2" x14ac:dyDescent="0.55000000000000004">
      <c r="A3514"/>
      <c r="B3514" s="261"/>
    </row>
    <row r="3515" spans="1:2" x14ac:dyDescent="0.55000000000000004">
      <c r="A3515"/>
      <c r="B3515" s="261"/>
    </row>
    <row r="3516" spans="1:2" x14ac:dyDescent="0.55000000000000004">
      <c r="A3516"/>
      <c r="B3516" s="261"/>
    </row>
    <row r="3517" spans="1:2" x14ac:dyDescent="0.55000000000000004">
      <c r="A3517"/>
      <c r="B3517" s="261"/>
    </row>
    <row r="3518" spans="1:2" x14ac:dyDescent="0.55000000000000004">
      <c r="A3518"/>
      <c r="B3518" s="261"/>
    </row>
    <row r="3519" spans="1:2" x14ac:dyDescent="0.55000000000000004">
      <c r="A3519"/>
      <c r="B3519" s="261"/>
    </row>
    <row r="3520" spans="1:2" x14ac:dyDescent="0.55000000000000004">
      <c r="A3520"/>
      <c r="B3520" s="261"/>
    </row>
    <row r="3521" spans="1:2" x14ac:dyDescent="0.55000000000000004">
      <c r="A3521"/>
      <c r="B3521" s="261"/>
    </row>
    <row r="3522" spans="1:2" x14ac:dyDescent="0.55000000000000004">
      <c r="A3522"/>
      <c r="B3522" s="261"/>
    </row>
    <row r="3523" spans="1:2" x14ac:dyDescent="0.55000000000000004">
      <c r="A3523"/>
      <c r="B3523" s="261"/>
    </row>
    <row r="3524" spans="1:2" x14ac:dyDescent="0.55000000000000004">
      <c r="A3524"/>
      <c r="B3524" s="261"/>
    </row>
    <row r="3525" spans="1:2" x14ac:dyDescent="0.55000000000000004">
      <c r="A3525"/>
      <c r="B3525" s="261"/>
    </row>
    <row r="3526" spans="1:2" x14ac:dyDescent="0.55000000000000004">
      <c r="A3526"/>
      <c r="B3526" s="261"/>
    </row>
    <row r="3527" spans="1:2" x14ac:dyDescent="0.55000000000000004">
      <c r="A3527"/>
      <c r="B3527" s="261"/>
    </row>
    <row r="3528" spans="1:2" x14ac:dyDescent="0.55000000000000004">
      <c r="A3528"/>
      <c r="B3528" s="261"/>
    </row>
    <row r="3529" spans="1:2" x14ac:dyDescent="0.55000000000000004">
      <c r="A3529"/>
      <c r="B3529" s="261"/>
    </row>
    <row r="3530" spans="1:2" x14ac:dyDescent="0.55000000000000004">
      <c r="A3530"/>
      <c r="B3530" s="261"/>
    </row>
    <row r="3531" spans="1:2" x14ac:dyDescent="0.55000000000000004">
      <c r="A3531"/>
      <c r="B3531" s="261"/>
    </row>
    <row r="3532" spans="1:2" x14ac:dyDescent="0.55000000000000004">
      <c r="A3532"/>
      <c r="B3532" s="261"/>
    </row>
    <row r="3533" spans="1:2" x14ac:dyDescent="0.55000000000000004">
      <c r="A3533"/>
      <c r="B3533" s="261"/>
    </row>
    <row r="3534" spans="1:2" x14ac:dyDescent="0.55000000000000004">
      <c r="A3534"/>
      <c r="B3534" s="261"/>
    </row>
    <row r="3535" spans="1:2" x14ac:dyDescent="0.55000000000000004">
      <c r="A3535"/>
      <c r="B3535" s="261"/>
    </row>
    <row r="3536" spans="1:2" x14ac:dyDescent="0.55000000000000004">
      <c r="A3536"/>
      <c r="B3536" s="261"/>
    </row>
    <row r="3537" spans="1:2" x14ac:dyDescent="0.55000000000000004">
      <c r="A3537"/>
      <c r="B3537" s="261"/>
    </row>
    <row r="3538" spans="1:2" x14ac:dyDescent="0.55000000000000004">
      <c r="A3538"/>
      <c r="B3538" s="261"/>
    </row>
    <row r="3539" spans="1:2" x14ac:dyDescent="0.55000000000000004">
      <c r="A3539"/>
      <c r="B3539" s="261"/>
    </row>
    <row r="3540" spans="1:2" x14ac:dyDescent="0.55000000000000004">
      <c r="A3540"/>
      <c r="B3540" s="261"/>
    </row>
    <row r="3541" spans="1:2" x14ac:dyDescent="0.55000000000000004">
      <c r="A3541"/>
      <c r="B3541" s="261"/>
    </row>
    <row r="3542" spans="1:2" x14ac:dyDescent="0.55000000000000004">
      <c r="A3542"/>
      <c r="B3542" s="261"/>
    </row>
    <row r="3543" spans="1:2" x14ac:dyDescent="0.55000000000000004">
      <c r="A3543"/>
      <c r="B3543" s="261"/>
    </row>
    <row r="3544" spans="1:2" x14ac:dyDescent="0.55000000000000004">
      <c r="A3544"/>
      <c r="B3544" s="261"/>
    </row>
    <row r="3545" spans="1:2" x14ac:dyDescent="0.55000000000000004">
      <c r="A3545"/>
      <c r="B3545" s="261"/>
    </row>
    <row r="3546" spans="1:2" x14ac:dyDescent="0.55000000000000004">
      <c r="A3546"/>
      <c r="B3546" s="261"/>
    </row>
    <row r="3547" spans="1:2" x14ac:dyDescent="0.55000000000000004">
      <c r="A3547"/>
      <c r="B3547" s="261"/>
    </row>
    <row r="3548" spans="1:2" x14ac:dyDescent="0.55000000000000004">
      <c r="A3548"/>
      <c r="B3548" s="261"/>
    </row>
    <row r="3549" spans="1:2" x14ac:dyDescent="0.55000000000000004">
      <c r="A3549"/>
      <c r="B3549" s="261"/>
    </row>
    <row r="3550" spans="1:2" x14ac:dyDescent="0.55000000000000004">
      <c r="A3550"/>
      <c r="B3550" s="261"/>
    </row>
    <row r="3551" spans="1:2" x14ac:dyDescent="0.55000000000000004">
      <c r="A3551"/>
      <c r="B3551" s="261"/>
    </row>
    <row r="3552" spans="1:2" x14ac:dyDescent="0.55000000000000004">
      <c r="A3552"/>
      <c r="B3552" s="261"/>
    </row>
    <row r="3553" spans="1:2" x14ac:dyDescent="0.55000000000000004">
      <c r="A3553"/>
      <c r="B3553" s="261"/>
    </row>
    <row r="3554" spans="1:2" x14ac:dyDescent="0.55000000000000004">
      <c r="A3554"/>
      <c r="B3554" s="261"/>
    </row>
    <row r="3555" spans="1:2" x14ac:dyDescent="0.55000000000000004">
      <c r="A3555"/>
      <c r="B3555" s="261"/>
    </row>
    <row r="3556" spans="1:2" x14ac:dyDescent="0.55000000000000004">
      <c r="A3556"/>
      <c r="B3556" s="261"/>
    </row>
    <row r="3557" spans="1:2" x14ac:dyDescent="0.55000000000000004">
      <c r="A3557"/>
      <c r="B3557" s="261"/>
    </row>
    <row r="3558" spans="1:2" x14ac:dyDescent="0.55000000000000004">
      <c r="A3558"/>
      <c r="B3558" s="261"/>
    </row>
    <row r="3559" spans="1:2" x14ac:dyDescent="0.55000000000000004">
      <c r="A3559"/>
      <c r="B3559" s="261"/>
    </row>
    <row r="3560" spans="1:2" x14ac:dyDescent="0.55000000000000004">
      <c r="A3560"/>
      <c r="B3560" s="261"/>
    </row>
    <row r="3561" spans="1:2" x14ac:dyDescent="0.55000000000000004">
      <c r="A3561"/>
      <c r="B3561" s="261"/>
    </row>
    <row r="3562" spans="1:2" x14ac:dyDescent="0.55000000000000004">
      <c r="A3562"/>
      <c r="B3562" s="261"/>
    </row>
    <row r="3563" spans="1:2" x14ac:dyDescent="0.55000000000000004">
      <c r="A3563"/>
      <c r="B3563" s="261"/>
    </row>
    <row r="3564" spans="1:2" x14ac:dyDescent="0.55000000000000004">
      <c r="A3564"/>
      <c r="B3564" s="261"/>
    </row>
    <row r="3565" spans="1:2" x14ac:dyDescent="0.55000000000000004">
      <c r="A3565"/>
      <c r="B3565" s="261"/>
    </row>
    <row r="3566" spans="1:2" x14ac:dyDescent="0.55000000000000004">
      <c r="A3566"/>
      <c r="B3566" s="261"/>
    </row>
    <row r="3567" spans="1:2" x14ac:dyDescent="0.55000000000000004">
      <c r="A3567"/>
      <c r="B3567" s="261"/>
    </row>
    <row r="3568" spans="1:2" x14ac:dyDescent="0.55000000000000004">
      <c r="A3568"/>
      <c r="B3568" s="261"/>
    </row>
    <row r="3569" spans="1:2" x14ac:dyDescent="0.55000000000000004">
      <c r="A3569"/>
      <c r="B3569" s="261"/>
    </row>
    <row r="3570" spans="1:2" x14ac:dyDescent="0.55000000000000004">
      <c r="A3570"/>
      <c r="B3570" s="261"/>
    </row>
    <row r="3571" spans="1:2" x14ac:dyDescent="0.55000000000000004">
      <c r="A3571"/>
      <c r="B3571" s="261"/>
    </row>
    <row r="3572" spans="1:2" x14ac:dyDescent="0.55000000000000004">
      <c r="A3572"/>
      <c r="B3572" s="261"/>
    </row>
    <row r="3573" spans="1:2" x14ac:dyDescent="0.55000000000000004">
      <c r="A3573"/>
      <c r="B3573" s="261"/>
    </row>
    <row r="3574" spans="1:2" x14ac:dyDescent="0.55000000000000004">
      <c r="A3574"/>
      <c r="B3574" s="261"/>
    </row>
    <row r="3575" spans="1:2" x14ac:dyDescent="0.55000000000000004">
      <c r="A3575"/>
      <c r="B3575" s="261"/>
    </row>
    <row r="3576" spans="1:2" x14ac:dyDescent="0.55000000000000004">
      <c r="A3576"/>
      <c r="B3576" s="261"/>
    </row>
    <row r="3577" spans="1:2" x14ac:dyDescent="0.55000000000000004">
      <c r="A3577"/>
      <c r="B3577" s="261"/>
    </row>
    <row r="3578" spans="1:2" x14ac:dyDescent="0.55000000000000004">
      <c r="A3578"/>
      <c r="B3578" s="261"/>
    </row>
    <row r="3579" spans="1:2" x14ac:dyDescent="0.55000000000000004">
      <c r="A3579"/>
      <c r="B3579" s="261"/>
    </row>
    <row r="3580" spans="1:2" x14ac:dyDescent="0.55000000000000004">
      <c r="A3580"/>
      <c r="B3580" s="261"/>
    </row>
    <row r="3581" spans="1:2" x14ac:dyDescent="0.55000000000000004">
      <c r="A3581"/>
      <c r="B3581" s="261"/>
    </row>
    <row r="3582" spans="1:2" x14ac:dyDescent="0.55000000000000004">
      <c r="A3582"/>
      <c r="B3582" s="261"/>
    </row>
    <row r="3583" spans="1:2" x14ac:dyDescent="0.55000000000000004">
      <c r="A3583"/>
      <c r="B3583" s="261"/>
    </row>
    <row r="3584" spans="1:2" x14ac:dyDescent="0.55000000000000004">
      <c r="A3584"/>
      <c r="B3584" s="261"/>
    </row>
    <row r="3585" spans="1:2" x14ac:dyDescent="0.55000000000000004">
      <c r="A3585"/>
      <c r="B3585" s="261"/>
    </row>
    <row r="3586" spans="1:2" x14ac:dyDescent="0.55000000000000004">
      <c r="A3586"/>
      <c r="B3586" s="261"/>
    </row>
    <row r="3587" spans="1:2" x14ac:dyDescent="0.55000000000000004">
      <c r="A3587"/>
      <c r="B3587" s="261"/>
    </row>
    <row r="3588" spans="1:2" x14ac:dyDescent="0.55000000000000004">
      <c r="A3588"/>
      <c r="B3588" s="261"/>
    </row>
    <row r="3589" spans="1:2" x14ac:dyDescent="0.55000000000000004">
      <c r="A3589"/>
      <c r="B3589" s="261"/>
    </row>
    <row r="3590" spans="1:2" x14ac:dyDescent="0.55000000000000004">
      <c r="A3590"/>
      <c r="B3590" s="261"/>
    </row>
    <row r="3591" spans="1:2" x14ac:dyDescent="0.55000000000000004">
      <c r="A3591"/>
      <c r="B3591" s="261"/>
    </row>
    <row r="3592" spans="1:2" x14ac:dyDescent="0.55000000000000004">
      <c r="A3592"/>
      <c r="B3592" s="261"/>
    </row>
    <row r="3593" spans="1:2" x14ac:dyDescent="0.55000000000000004">
      <c r="A3593"/>
      <c r="B3593" s="261"/>
    </row>
    <row r="3594" spans="1:2" x14ac:dyDescent="0.55000000000000004">
      <c r="A3594"/>
      <c r="B3594" s="261"/>
    </row>
    <row r="3595" spans="1:2" x14ac:dyDescent="0.55000000000000004">
      <c r="A3595"/>
      <c r="B3595" s="261"/>
    </row>
    <row r="3596" spans="1:2" x14ac:dyDescent="0.55000000000000004">
      <c r="A3596"/>
      <c r="B3596" s="261"/>
    </row>
    <row r="3597" spans="1:2" x14ac:dyDescent="0.55000000000000004">
      <c r="A3597"/>
      <c r="B3597" s="261"/>
    </row>
    <row r="3598" spans="1:2" x14ac:dyDescent="0.55000000000000004">
      <c r="A3598"/>
      <c r="B3598" s="261"/>
    </row>
    <row r="3599" spans="1:2" x14ac:dyDescent="0.55000000000000004">
      <c r="A3599"/>
      <c r="B3599" s="261"/>
    </row>
    <row r="3600" spans="1:2" x14ac:dyDescent="0.55000000000000004">
      <c r="A3600"/>
      <c r="B3600" s="261"/>
    </row>
    <row r="3601" spans="1:2" x14ac:dyDescent="0.55000000000000004">
      <c r="A3601"/>
      <c r="B3601" s="261"/>
    </row>
    <row r="3602" spans="1:2" x14ac:dyDescent="0.55000000000000004">
      <c r="A3602"/>
      <c r="B3602" s="261"/>
    </row>
    <row r="3603" spans="1:2" x14ac:dyDescent="0.55000000000000004">
      <c r="A3603"/>
      <c r="B3603" s="261"/>
    </row>
    <row r="3604" spans="1:2" x14ac:dyDescent="0.55000000000000004">
      <c r="A3604"/>
      <c r="B3604" s="261"/>
    </row>
    <row r="3605" spans="1:2" x14ac:dyDescent="0.55000000000000004">
      <c r="A3605"/>
      <c r="B3605" s="261"/>
    </row>
    <row r="3606" spans="1:2" x14ac:dyDescent="0.55000000000000004">
      <c r="A3606"/>
      <c r="B3606" s="261"/>
    </row>
    <row r="3607" spans="1:2" x14ac:dyDescent="0.55000000000000004">
      <c r="A3607"/>
      <c r="B3607" s="261"/>
    </row>
    <row r="3608" spans="1:2" x14ac:dyDescent="0.55000000000000004">
      <c r="A3608"/>
      <c r="B3608" s="261"/>
    </row>
    <row r="3609" spans="1:2" x14ac:dyDescent="0.55000000000000004">
      <c r="A3609"/>
      <c r="B3609" s="261"/>
    </row>
    <row r="3610" spans="1:2" x14ac:dyDescent="0.55000000000000004">
      <c r="A3610"/>
      <c r="B3610" s="261"/>
    </row>
    <row r="3611" spans="1:2" x14ac:dyDescent="0.55000000000000004">
      <c r="A3611"/>
      <c r="B3611" s="261"/>
    </row>
    <row r="3612" spans="1:2" x14ac:dyDescent="0.55000000000000004">
      <c r="A3612"/>
      <c r="B3612" s="261"/>
    </row>
    <row r="3613" spans="1:2" x14ac:dyDescent="0.55000000000000004">
      <c r="A3613"/>
      <c r="B3613" s="261"/>
    </row>
    <row r="3614" spans="1:2" x14ac:dyDescent="0.55000000000000004">
      <c r="A3614"/>
      <c r="B3614" s="261"/>
    </row>
    <row r="3615" spans="1:2" x14ac:dyDescent="0.55000000000000004">
      <c r="A3615"/>
      <c r="B3615" s="261"/>
    </row>
    <row r="3616" spans="1:2" x14ac:dyDescent="0.55000000000000004">
      <c r="A3616"/>
      <c r="B3616" s="261"/>
    </row>
    <row r="3617" spans="1:2" x14ac:dyDescent="0.55000000000000004">
      <c r="A3617"/>
      <c r="B3617" s="261"/>
    </row>
    <row r="3618" spans="1:2" x14ac:dyDescent="0.55000000000000004">
      <c r="A3618"/>
      <c r="B3618" s="261"/>
    </row>
    <row r="3619" spans="1:2" x14ac:dyDescent="0.55000000000000004">
      <c r="A3619"/>
      <c r="B3619" s="261"/>
    </row>
    <row r="3620" spans="1:2" x14ac:dyDescent="0.55000000000000004">
      <c r="A3620"/>
      <c r="B3620" s="261"/>
    </row>
    <row r="3621" spans="1:2" x14ac:dyDescent="0.55000000000000004">
      <c r="A3621"/>
      <c r="B3621" s="261"/>
    </row>
    <row r="3622" spans="1:2" x14ac:dyDescent="0.55000000000000004">
      <c r="A3622"/>
      <c r="B3622" s="261"/>
    </row>
    <row r="3623" spans="1:2" x14ac:dyDescent="0.55000000000000004">
      <c r="A3623"/>
      <c r="B3623" s="261"/>
    </row>
    <row r="3624" spans="1:2" x14ac:dyDescent="0.55000000000000004">
      <c r="A3624"/>
      <c r="B3624" s="261"/>
    </row>
    <row r="3625" spans="1:2" x14ac:dyDescent="0.55000000000000004">
      <c r="A3625"/>
      <c r="B3625" s="261"/>
    </row>
    <row r="3626" spans="1:2" x14ac:dyDescent="0.55000000000000004">
      <c r="A3626"/>
      <c r="B3626" s="261"/>
    </row>
    <row r="3627" spans="1:2" x14ac:dyDescent="0.55000000000000004">
      <c r="A3627"/>
      <c r="B3627" s="261"/>
    </row>
    <row r="3628" spans="1:2" x14ac:dyDescent="0.55000000000000004">
      <c r="A3628"/>
      <c r="B3628" s="261"/>
    </row>
    <row r="3629" spans="1:2" x14ac:dyDescent="0.55000000000000004">
      <c r="A3629"/>
      <c r="B3629" s="261"/>
    </row>
    <row r="3630" spans="1:2" x14ac:dyDescent="0.55000000000000004">
      <c r="A3630"/>
      <c r="B3630" s="261"/>
    </row>
    <row r="3631" spans="1:2" x14ac:dyDescent="0.55000000000000004">
      <c r="A3631"/>
      <c r="B3631" s="261"/>
    </row>
    <row r="3632" spans="1:2" x14ac:dyDescent="0.55000000000000004">
      <c r="A3632"/>
      <c r="B3632" s="261"/>
    </row>
    <row r="3633" spans="1:2" x14ac:dyDescent="0.55000000000000004">
      <c r="A3633"/>
      <c r="B3633" s="261"/>
    </row>
    <row r="3634" spans="1:2" x14ac:dyDescent="0.55000000000000004">
      <c r="A3634"/>
      <c r="B3634" s="261"/>
    </row>
    <row r="3635" spans="1:2" x14ac:dyDescent="0.55000000000000004">
      <c r="A3635"/>
      <c r="B3635" s="261"/>
    </row>
    <row r="3636" spans="1:2" x14ac:dyDescent="0.55000000000000004">
      <c r="A3636"/>
      <c r="B3636" s="261"/>
    </row>
    <row r="3637" spans="1:2" x14ac:dyDescent="0.55000000000000004">
      <c r="A3637"/>
      <c r="B3637" s="261"/>
    </row>
    <row r="3638" spans="1:2" x14ac:dyDescent="0.55000000000000004">
      <c r="A3638"/>
      <c r="B3638" s="261"/>
    </row>
    <row r="3639" spans="1:2" x14ac:dyDescent="0.55000000000000004">
      <c r="A3639"/>
      <c r="B3639" s="261"/>
    </row>
    <row r="3640" spans="1:2" x14ac:dyDescent="0.55000000000000004">
      <c r="A3640"/>
      <c r="B3640" s="261"/>
    </row>
    <row r="3641" spans="1:2" x14ac:dyDescent="0.55000000000000004">
      <c r="A3641"/>
      <c r="B3641" s="261"/>
    </row>
    <row r="3642" spans="1:2" x14ac:dyDescent="0.55000000000000004">
      <c r="A3642"/>
      <c r="B3642" s="261"/>
    </row>
    <row r="3643" spans="1:2" x14ac:dyDescent="0.55000000000000004">
      <c r="A3643"/>
      <c r="B3643" s="261"/>
    </row>
    <row r="3644" spans="1:2" x14ac:dyDescent="0.55000000000000004">
      <c r="A3644"/>
      <c r="B3644" s="261"/>
    </row>
    <row r="3645" spans="1:2" x14ac:dyDescent="0.55000000000000004">
      <c r="A3645"/>
      <c r="B3645" s="261"/>
    </row>
    <row r="3646" spans="1:2" x14ac:dyDescent="0.55000000000000004">
      <c r="A3646"/>
      <c r="B3646" s="261"/>
    </row>
    <row r="3647" spans="1:2" x14ac:dyDescent="0.55000000000000004">
      <c r="A3647"/>
      <c r="B3647" s="261"/>
    </row>
    <row r="3648" spans="1:2" x14ac:dyDescent="0.55000000000000004">
      <c r="A3648"/>
      <c r="B3648" s="261"/>
    </row>
    <row r="3649" spans="1:2" x14ac:dyDescent="0.55000000000000004">
      <c r="A3649"/>
      <c r="B3649" s="261"/>
    </row>
    <row r="3650" spans="1:2" x14ac:dyDescent="0.55000000000000004">
      <c r="A3650"/>
      <c r="B3650" s="261"/>
    </row>
    <row r="3651" spans="1:2" x14ac:dyDescent="0.55000000000000004">
      <c r="A3651"/>
      <c r="B3651" s="261"/>
    </row>
    <row r="3652" spans="1:2" x14ac:dyDescent="0.55000000000000004">
      <c r="A3652"/>
      <c r="B3652" s="261"/>
    </row>
    <row r="3653" spans="1:2" x14ac:dyDescent="0.55000000000000004">
      <c r="A3653"/>
      <c r="B3653" s="261"/>
    </row>
    <row r="3654" spans="1:2" x14ac:dyDescent="0.55000000000000004">
      <c r="A3654"/>
      <c r="B3654" s="261"/>
    </row>
    <row r="3655" spans="1:2" x14ac:dyDescent="0.55000000000000004">
      <c r="A3655"/>
      <c r="B3655" s="261"/>
    </row>
    <row r="3656" spans="1:2" x14ac:dyDescent="0.55000000000000004">
      <c r="A3656"/>
      <c r="B3656" s="261"/>
    </row>
    <row r="3657" spans="1:2" x14ac:dyDescent="0.55000000000000004">
      <c r="A3657"/>
      <c r="B3657" s="261"/>
    </row>
    <row r="3658" spans="1:2" x14ac:dyDescent="0.55000000000000004">
      <c r="A3658"/>
      <c r="B3658" s="261"/>
    </row>
    <row r="3659" spans="1:2" x14ac:dyDescent="0.55000000000000004">
      <c r="A3659"/>
      <c r="B3659" s="261"/>
    </row>
    <row r="3660" spans="1:2" x14ac:dyDescent="0.55000000000000004">
      <c r="A3660"/>
      <c r="B3660" s="261"/>
    </row>
    <row r="3661" spans="1:2" x14ac:dyDescent="0.55000000000000004">
      <c r="A3661"/>
      <c r="B3661" s="261"/>
    </row>
    <row r="3662" spans="1:2" x14ac:dyDescent="0.55000000000000004">
      <c r="A3662"/>
      <c r="B3662" s="261"/>
    </row>
    <row r="3663" spans="1:2" x14ac:dyDescent="0.55000000000000004">
      <c r="A3663"/>
      <c r="B3663" s="261"/>
    </row>
    <row r="3664" spans="1:2" x14ac:dyDescent="0.55000000000000004">
      <c r="A3664"/>
      <c r="B3664" s="261"/>
    </row>
    <row r="3665" spans="1:2" x14ac:dyDescent="0.55000000000000004">
      <c r="A3665"/>
      <c r="B3665" s="261"/>
    </row>
    <row r="3666" spans="1:2" x14ac:dyDescent="0.55000000000000004">
      <c r="A3666"/>
      <c r="B3666" s="261"/>
    </row>
    <row r="3667" spans="1:2" x14ac:dyDescent="0.55000000000000004">
      <c r="A3667"/>
      <c r="B3667" s="261"/>
    </row>
    <row r="3668" spans="1:2" x14ac:dyDescent="0.55000000000000004">
      <c r="A3668"/>
      <c r="B3668" s="261"/>
    </row>
    <row r="3669" spans="1:2" x14ac:dyDescent="0.55000000000000004">
      <c r="A3669"/>
      <c r="B3669" s="261"/>
    </row>
    <row r="3670" spans="1:2" x14ac:dyDescent="0.55000000000000004">
      <c r="A3670"/>
      <c r="B3670" s="261"/>
    </row>
    <row r="3671" spans="1:2" x14ac:dyDescent="0.55000000000000004">
      <c r="A3671"/>
      <c r="B3671" s="261"/>
    </row>
    <row r="3672" spans="1:2" x14ac:dyDescent="0.55000000000000004">
      <c r="A3672"/>
      <c r="B3672" s="261"/>
    </row>
    <row r="3673" spans="1:2" x14ac:dyDescent="0.55000000000000004">
      <c r="A3673"/>
      <c r="B3673" s="261"/>
    </row>
    <row r="3674" spans="1:2" x14ac:dyDescent="0.55000000000000004">
      <c r="A3674"/>
      <c r="B3674" s="261"/>
    </row>
    <row r="3675" spans="1:2" x14ac:dyDescent="0.55000000000000004">
      <c r="A3675"/>
      <c r="B3675" s="261"/>
    </row>
    <row r="3676" spans="1:2" x14ac:dyDescent="0.55000000000000004">
      <c r="A3676"/>
      <c r="B3676" s="261"/>
    </row>
    <row r="3677" spans="1:2" x14ac:dyDescent="0.55000000000000004">
      <c r="A3677"/>
      <c r="B3677" s="261"/>
    </row>
    <row r="3678" spans="1:2" x14ac:dyDescent="0.55000000000000004">
      <c r="A3678"/>
      <c r="B3678" s="261"/>
    </row>
    <row r="3679" spans="1:2" x14ac:dyDescent="0.55000000000000004">
      <c r="A3679"/>
      <c r="B3679" s="261"/>
    </row>
    <row r="3680" spans="1:2" x14ac:dyDescent="0.55000000000000004">
      <c r="A3680"/>
      <c r="B3680" s="261"/>
    </row>
    <row r="3681" spans="1:2" x14ac:dyDescent="0.55000000000000004">
      <c r="A3681"/>
      <c r="B3681" s="261"/>
    </row>
    <row r="3682" spans="1:2" x14ac:dyDescent="0.55000000000000004">
      <c r="A3682"/>
      <c r="B3682" s="261"/>
    </row>
    <row r="3683" spans="1:2" x14ac:dyDescent="0.55000000000000004">
      <c r="A3683"/>
      <c r="B3683" s="261"/>
    </row>
    <row r="3684" spans="1:2" x14ac:dyDescent="0.55000000000000004">
      <c r="A3684"/>
      <c r="B3684" s="261"/>
    </row>
    <row r="3685" spans="1:2" x14ac:dyDescent="0.55000000000000004">
      <c r="A3685"/>
      <c r="B3685" s="261"/>
    </row>
    <row r="3686" spans="1:2" x14ac:dyDescent="0.55000000000000004">
      <c r="A3686"/>
      <c r="B3686" s="261"/>
    </row>
    <row r="3687" spans="1:2" x14ac:dyDescent="0.55000000000000004">
      <c r="A3687"/>
      <c r="B3687" s="261"/>
    </row>
    <row r="3688" spans="1:2" x14ac:dyDescent="0.55000000000000004">
      <c r="A3688"/>
      <c r="B3688" s="261"/>
    </row>
    <row r="3689" spans="1:2" x14ac:dyDescent="0.55000000000000004">
      <c r="A3689"/>
      <c r="B3689" s="261"/>
    </row>
    <row r="3690" spans="1:2" x14ac:dyDescent="0.55000000000000004">
      <c r="A3690"/>
      <c r="B3690" s="261"/>
    </row>
    <row r="3691" spans="1:2" x14ac:dyDescent="0.55000000000000004">
      <c r="A3691"/>
      <c r="B3691" s="261"/>
    </row>
    <row r="3692" spans="1:2" x14ac:dyDescent="0.55000000000000004">
      <c r="A3692"/>
      <c r="B3692" s="261"/>
    </row>
    <row r="3693" spans="1:2" x14ac:dyDescent="0.55000000000000004">
      <c r="A3693"/>
      <c r="B3693" s="261"/>
    </row>
    <row r="3694" spans="1:2" x14ac:dyDescent="0.55000000000000004">
      <c r="A3694"/>
      <c r="B3694" s="261"/>
    </row>
    <row r="3695" spans="1:2" x14ac:dyDescent="0.55000000000000004">
      <c r="A3695"/>
      <c r="B3695" s="261"/>
    </row>
    <row r="3696" spans="1:2" x14ac:dyDescent="0.55000000000000004">
      <c r="A3696"/>
      <c r="B3696" s="261"/>
    </row>
    <row r="3697" spans="1:2" x14ac:dyDescent="0.55000000000000004">
      <c r="A3697"/>
      <c r="B3697" s="261"/>
    </row>
    <row r="3698" spans="1:2" x14ac:dyDescent="0.55000000000000004">
      <c r="A3698"/>
      <c r="B3698" s="261"/>
    </row>
    <row r="3699" spans="1:2" x14ac:dyDescent="0.55000000000000004">
      <c r="A3699"/>
      <c r="B3699" s="261"/>
    </row>
    <row r="3700" spans="1:2" x14ac:dyDescent="0.55000000000000004">
      <c r="A3700"/>
      <c r="B3700" s="261"/>
    </row>
    <row r="3701" spans="1:2" x14ac:dyDescent="0.55000000000000004">
      <c r="A3701"/>
      <c r="B3701" s="261"/>
    </row>
    <row r="3702" spans="1:2" x14ac:dyDescent="0.55000000000000004">
      <c r="A3702"/>
      <c r="B3702" s="261"/>
    </row>
    <row r="3703" spans="1:2" x14ac:dyDescent="0.55000000000000004">
      <c r="A3703"/>
      <c r="B3703" s="261"/>
    </row>
    <row r="3704" spans="1:2" x14ac:dyDescent="0.55000000000000004">
      <c r="A3704"/>
      <c r="B3704" s="261"/>
    </row>
    <row r="3705" spans="1:2" x14ac:dyDescent="0.55000000000000004">
      <c r="A3705"/>
      <c r="B3705" s="261"/>
    </row>
    <row r="3706" spans="1:2" x14ac:dyDescent="0.55000000000000004">
      <c r="A3706"/>
      <c r="B3706" s="261"/>
    </row>
    <row r="3707" spans="1:2" x14ac:dyDescent="0.55000000000000004">
      <c r="A3707"/>
      <c r="B3707" s="261"/>
    </row>
    <row r="3708" spans="1:2" x14ac:dyDescent="0.55000000000000004">
      <c r="A3708"/>
      <c r="B3708" s="261"/>
    </row>
    <row r="3709" spans="1:2" x14ac:dyDescent="0.55000000000000004">
      <c r="A3709"/>
      <c r="B3709" s="261"/>
    </row>
    <row r="3710" spans="1:2" x14ac:dyDescent="0.55000000000000004">
      <c r="A3710"/>
      <c r="B3710" s="261"/>
    </row>
    <row r="3711" spans="1:2" x14ac:dyDescent="0.55000000000000004">
      <c r="A3711"/>
      <c r="B3711" s="261"/>
    </row>
    <row r="3712" spans="1:2" x14ac:dyDescent="0.55000000000000004">
      <c r="A3712"/>
      <c r="B3712" s="261"/>
    </row>
    <row r="3713" spans="1:2" x14ac:dyDescent="0.55000000000000004">
      <c r="A3713"/>
      <c r="B3713" s="261"/>
    </row>
    <row r="3714" spans="1:2" x14ac:dyDescent="0.55000000000000004">
      <c r="A3714"/>
      <c r="B3714" s="261"/>
    </row>
    <row r="3715" spans="1:2" x14ac:dyDescent="0.55000000000000004">
      <c r="A3715"/>
      <c r="B3715" s="261"/>
    </row>
    <row r="3716" spans="1:2" x14ac:dyDescent="0.55000000000000004">
      <c r="A3716"/>
      <c r="B3716" s="261"/>
    </row>
    <row r="3717" spans="1:2" x14ac:dyDescent="0.55000000000000004">
      <c r="A3717"/>
      <c r="B3717" s="261"/>
    </row>
    <row r="3718" spans="1:2" x14ac:dyDescent="0.55000000000000004">
      <c r="A3718"/>
      <c r="B3718" s="261"/>
    </row>
    <row r="3719" spans="1:2" x14ac:dyDescent="0.55000000000000004">
      <c r="A3719"/>
      <c r="B3719" s="261"/>
    </row>
    <row r="3720" spans="1:2" x14ac:dyDescent="0.55000000000000004">
      <c r="A3720"/>
      <c r="B3720" s="261"/>
    </row>
    <row r="3721" spans="1:2" x14ac:dyDescent="0.55000000000000004">
      <c r="A3721"/>
      <c r="B3721" s="261"/>
    </row>
    <row r="3722" spans="1:2" x14ac:dyDescent="0.55000000000000004">
      <c r="A3722"/>
      <c r="B3722" s="261"/>
    </row>
    <row r="3723" spans="1:2" x14ac:dyDescent="0.55000000000000004">
      <c r="A3723"/>
      <c r="B3723" s="261"/>
    </row>
    <row r="3724" spans="1:2" x14ac:dyDescent="0.55000000000000004">
      <c r="A3724"/>
      <c r="B3724" s="261"/>
    </row>
    <row r="3725" spans="1:2" x14ac:dyDescent="0.55000000000000004">
      <c r="A3725"/>
      <c r="B3725" s="261"/>
    </row>
    <row r="3726" spans="1:2" x14ac:dyDescent="0.55000000000000004">
      <c r="A3726"/>
      <c r="B3726" s="261"/>
    </row>
    <row r="3727" spans="1:2" x14ac:dyDescent="0.55000000000000004">
      <c r="A3727"/>
      <c r="B3727" s="261"/>
    </row>
    <row r="3728" spans="1:2" x14ac:dyDescent="0.55000000000000004">
      <c r="A3728"/>
      <c r="B3728" s="261"/>
    </row>
    <row r="3729" spans="1:2" x14ac:dyDescent="0.55000000000000004">
      <c r="A3729"/>
      <c r="B3729" s="261"/>
    </row>
    <row r="3730" spans="1:2" x14ac:dyDescent="0.55000000000000004">
      <c r="A3730"/>
      <c r="B3730" s="261"/>
    </row>
    <row r="3731" spans="1:2" x14ac:dyDescent="0.55000000000000004">
      <c r="A3731"/>
      <c r="B3731" s="261"/>
    </row>
    <row r="3732" spans="1:2" x14ac:dyDescent="0.55000000000000004">
      <c r="A3732"/>
      <c r="B3732" s="261"/>
    </row>
    <row r="3733" spans="1:2" x14ac:dyDescent="0.55000000000000004">
      <c r="A3733"/>
      <c r="B3733" s="261"/>
    </row>
    <row r="3734" spans="1:2" x14ac:dyDescent="0.55000000000000004">
      <c r="A3734"/>
      <c r="B3734" s="261"/>
    </row>
    <row r="3735" spans="1:2" x14ac:dyDescent="0.55000000000000004">
      <c r="A3735"/>
      <c r="B3735" s="261"/>
    </row>
    <row r="3736" spans="1:2" x14ac:dyDescent="0.55000000000000004">
      <c r="A3736"/>
      <c r="B3736" s="261"/>
    </row>
    <row r="3737" spans="1:2" x14ac:dyDescent="0.55000000000000004">
      <c r="A3737"/>
      <c r="B3737" s="261"/>
    </row>
    <row r="3738" spans="1:2" x14ac:dyDescent="0.55000000000000004">
      <c r="A3738"/>
      <c r="B3738" s="261"/>
    </row>
    <row r="3739" spans="1:2" x14ac:dyDescent="0.55000000000000004">
      <c r="A3739"/>
      <c r="B3739" s="261"/>
    </row>
    <row r="3740" spans="1:2" x14ac:dyDescent="0.55000000000000004">
      <c r="A3740"/>
      <c r="B3740" s="261"/>
    </row>
    <row r="3741" spans="1:2" x14ac:dyDescent="0.55000000000000004">
      <c r="A3741"/>
      <c r="B3741" s="261"/>
    </row>
    <row r="3742" spans="1:2" x14ac:dyDescent="0.55000000000000004">
      <c r="A3742"/>
      <c r="B3742" s="261"/>
    </row>
    <row r="3743" spans="1:2" x14ac:dyDescent="0.55000000000000004">
      <c r="A3743"/>
      <c r="B3743" s="261"/>
    </row>
    <row r="3744" spans="1:2" x14ac:dyDescent="0.55000000000000004">
      <c r="A3744"/>
      <c r="B3744" s="261"/>
    </row>
    <row r="3745" spans="1:2" x14ac:dyDescent="0.55000000000000004">
      <c r="A3745"/>
      <c r="B3745" s="261"/>
    </row>
    <row r="3746" spans="1:2" x14ac:dyDescent="0.55000000000000004">
      <c r="A3746"/>
      <c r="B3746" s="261"/>
    </row>
    <row r="3747" spans="1:2" x14ac:dyDescent="0.55000000000000004">
      <c r="A3747"/>
      <c r="B3747" s="261"/>
    </row>
    <row r="3748" spans="1:2" x14ac:dyDescent="0.55000000000000004">
      <c r="A3748"/>
      <c r="B3748" s="261"/>
    </row>
    <row r="3749" spans="1:2" x14ac:dyDescent="0.55000000000000004">
      <c r="A3749"/>
      <c r="B3749" s="261"/>
    </row>
    <row r="3750" spans="1:2" x14ac:dyDescent="0.55000000000000004">
      <c r="A3750"/>
      <c r="B3750" s="261"/>
    </row>
    <row r="3751" spans="1:2" x14ac:dyDescent="0.55000000000000004">
      <c r="A3751"/>
      <c r="B3751" s="261"/>
    </row>
    <row r="3752" spans="1:2" x14ac:dyDescent="0.55000000000000004">
      <c r="A3752"/>
      <c r="B3752" s="261"/>
    </row>
    <row r="3753" spans="1:2" x14ac:dyDescent="0.55000000000000004">
      <c r="A3753"/>
      <c r="B3753" s="261"/>
    </row>
    <row r="3754" spans="1:2" x14ac:dyDescent="0.55000000000000004">
      <c r="A3754"/>
      <c r="B3754" s="261"/>
    </row>
    <row r="3755" spans="1:2" x14ac:dyDescent="0.55000000000000004">
      <c r="A3755"/>
      <c r="B3755" s="261"/>
    </row>
    <row r="3756" spans="1:2" x14ac:dyDescent="0.55000000000000004">
      <c r="A3756"/>
      <c r="B3756" s="261"/>
    </row>
    <row r="3757" spans="1:2" x14ac:dyDescent="0.55000000000000004">
      <c r="A3757"/>
      <c r="B3757" s="261"/>
    </row>
    <row r="3758" spans="1:2" x14ac:dyDescent="0.55000000000000004">
      <c r="A3758"/>
      <c r="B3758" s="261"/>
    </row>
    <row r="3759" spans="1:2" x14ac:dyDescent="0.55000000000000004">
      <c r="A3759"/>
      <c r="B3759" s="261"/>
    </row>
    <row r="3760" spans="1:2" x14ac:dyDescent="0.55000000000000004">
      <c r="A3760"/>
      <c r="B3760" s="261"/>
    </row>
    <row r="3761" spans="1:2" x14ac:dyDescent="0.55000000000000004">
      <c r="A3761"/>
      <c r="B3761" s="261"/>
    </row>
    <row r="3762" spans="1:2" x14ac:dyDescent="0.55000000000000004">
      <c r="A3762"/>
      <c r="B3762" s="261"/>
    </row>
    <row r="3763" spans="1:2" x14ac:dyDescent="0.55000000000000004">
      <c r="A3763"/>
      <c r="B3763" s="261"/>
    </row>
    <row r="3764" spans="1:2" x14ac:dyDescent="0.55000000000000004">
      <c r="A3764"/>
      <c r="B3764" s="261"/>
    </row>
    <row r="3765" spans="1:2" x14ac:dyDescent="0.55000000000000004">
      <c r="A3765"/>
      <c r="B3765" s="261"/>
    </row>
    <row r="3766" spans="1:2" x14ac:dyDescent="0.55000000000000004">
      <c r="A3766"/>
      <c r="B3766" s="261"/>
    </row>
    <row r="3767" spans="1:2" x14ac:dyDescent="0.55000000000000004">
      <c r="A3767"/>
      <c r="B3767" s="261"/>
    </row>
    <row r="3768" spans="1:2" x14ac:dyDescent="0.55000000000000004">
      <c r="A3768"/>
      <c r="B3768" s="261"/>
    </row>
    <row r="3769" spans="1:2" x14ac:dyDescent="0.55000000000000004">
      <c r="A3769"/>
      <c r="B3769" s="261"/>
    </row>
    <row r="3770" spans="1:2" x14ac:dyDescent="0.55000000000000004">
      <c r="A3770"/>
      <c r="B3770" s="261"/>
    </row>
    <row r="3771" spans="1:2" x14ac:dyDescent="0.55000000000000004">
      <c r="A3771"/>
      <c r="B3771" s="261"/>
    </row>
    <row r="3772" spans="1:2" x14ac:dyDescent="0.55000000000000004">
      <c r="A3772"/>
      <c r="B3772" s="261"/>
    </row>
    <row r="3773" spans="1:2" x14ac:dyDescent="0.55000000000000004">
      <c r="A3773"/>
      <c r="B3773" s="261"/>
    </row>
    <row r="3774" spans="1:2" x14ac:dyDescent="0.55000000000000004">
      <c r="A3774"/>
      <c r="B3774" s="261"/>
    </row>
    <row r="3775" spans="1:2" x14ac:dyDescent="0.55000000000000004">
      <c r="A3775"/>
      <c r="B3775" s="261"/>
    </row>
    <row r="3776" spans="1:2" x14ac:dyDescent="0.55000000000000004">
      <c r="A3776"/>
      <c r="B3776" s="261"/>
    </row>
    <row r="3777" spans="1:2" x14ac:dyDescent="0.55000000000000004">
      <c r="A3777"/>
      <c r="B3777" s="261"/>
    </row>
    <row r="3778" spans="1:2" x14ac:dyDescent="0.55000000000000004">
      <c r="A3778"/>
      <c r="B3778" s="261"/>
    </row>
    <row r="3779" spans="1:2" x14ac:dyDescent="0.55000000000000004">
      <c r="A3779"/>
      <c r="B3779" s="261"/>
    </row>
    <row r="3780" spans="1:2" x14ac:dyDescent="0.55000000000000004">
      <c r="A3780"/>
      <c r="B3780" s="261"/>
    </row>
    <row r="3781" spans="1:2" x14ac:dyDescent="0.55000000000000004">
      <c r="A3781"/>
      <c r="B3781" s="261"/>
    </row>
    <row r="3782" spans="1:2" x14ac:dyDescent="0.55000000000000004">
      <c r="A3782"/>
      <c r="B3782" s="261"/>
    </row>
    <row r="3783" spans="1:2" x14ac:dyDescent="0.55000000000000004">
      <c r="A3783"/>
      <c r="B3783" s="261"/>
    </row>
    <row r="3784" spans="1:2" x14ac:dyDescent="0.55000000000000004">
      <c r="A3784"/>
      <c r="B3784" s="261"/>
    </row>
    <row r="3785" spans="1:2" x14ac:dyDescent="0.55000000000000004">
      <c r="A3785"/>
      <c r="B3785" s="261"/>
    </row>
    <row r="3786" spans="1:2" x14ac:dyDescent="0.55000000000000004">
      <c r="A3786"/>
      <c r="B3786" s="261"/>
    </row>
    <row r="3787" spans="1:2" x14ac:dyDescent="0.55000000000000004">
      <c r="A3787"/>
      <c r="B3787" s="261"/>
    </row>
    <row r="3788" spans="1:2" x14ac:dyDescent="0.55000000000000004">
      <c r="A3788"/>
      <c r="B3788" s="261"/>
    </row>
    <row r="3789" spans="1:2" x14ac:dyDescent="0.55000000000000004">
      <c r="A3789"/>
      <c r="B3789" s="261"/>
    </row>
    <row r="3790" spans="1:2" x14ac:dyDescent="0.55000000000000004">
      <c r="A3790"/>
      <c r="B3790" s="261"/>
    </row>
    <row r="3791" spans="1:2" x14ac:dyDescent="0.55000000000000004">
      <c r="A3791"/>
      <c r="B3791" s="261"/>
    </row>
    <row r="3792" spans="1:2" x14ac:dyDescent="0.55000000000000004">
      <c r="A3792"/>
      <c r="B3792" s="261"/>
    </row>
    <row r="3793" spans="1:2" x14ac:dyDescent="0.55000000000000004">
      <c r="A3793"/>
      <c r="B3793" s="261"/>
    </row>
    <row r="3794" spans="1:2" x14ac:dyDescent="0.55000000000000004">
      <c r="A3794"/>
      <c r="B3794" s="261"/>
    </row>
    <row r="3795" spans="1:2" x14ac:dyDescent="0.55000000000000004">
      <c r="A3795"/>
      <c r="B3795" s="261"/>
    </row>
    <row r="3796" spans="1:2" x14ac:dyDescent="0.55000000000000004">
      <c r="A3796"/>
      <c r="B3796" s="261"/>
    </row>
    <row r="3797" spans="1:2" x14ac:dyDescent="0.55000000000000004">
      <c r="A3797"/>
      <c r="B3797" s="261"/>
    </row>
    <row r="3798" spans="1:2" x14ac:dyDescent="0.55000000000000004">
      <c r="A3798"/>
      <c r="B3798" s="261"/>
    </row>
    <row r="3799" spans="1:2" x14ac:dyDescent="0.55000000000000004">
      <c r="A3799"/>
      <c r="B3799" s="261"/>
    </row>
    <row r="3800" spans="1:2" x14ac:dyDescent="0.55000000000000004">
      <c r="A3800"/>
      <c r="B3800" s="261"/>
    </row>
    <row r="3801" spans="1:2" x14ac:dyDescent="0.55000000000000004">
      <c r="A3801"/>
      <c r="B3801" s="261"/>
    </row>
    <row r="3802" spans="1:2" x14ac:dyDescent="0.55000000000000004">
      <c r="A3802"/>
      <c r="B3802" s="261"/>
    </row>
    <row r="3803" spans="1:2" x14ac:dyDescent="0.55000000000000004">
      <c r="A3803"/>
      <c r="B3803" s="261"/>
    </row>
    <row r="3804" spans="1:2" x14ac:dyDescent="0.55000000000000004">
      <c r="A3804"/>
      <c r="B3804" s="261"/>
    </row>
    <row r="3805" spans="1:2" x14ac:dyDescent="0.55000000000000004">
      <c r="A3805"/>
      <c r="B3805" s="261"/>
    </row>
    <row r="3806" spans="1:2" x14ac:dyDescent="0.55000000000000004">
      <c r="A3806"/>
      <c r="B3806" s="261"/>
    </row>
    <row r="3807" spans="1:2" x14ac:dyDescent="0.55000000000000004">
      <c r="A3807"/>
      <c r="B3807" s="261"/>
    </row>
    <row r="3808" spans="1:2" x14ac:dyDescent="0.55000000000000004">
      <c r="A3808"/>
      <c r="B3808" s="261"/>
    </row>
    <row r="3809" spans="1:2" x14ac:dyDescent="0.55000000000000004">
      <c r="A3809"/>
      <c r="B3809" s="261"/>
    </row>
    <row r="3810" spans="1:2" x14ac:dyDescent="0.55000000000000004">
      <c r="A3810"/>
      <c r="B3810" s="261"/>
    </row>
    <row r="3811" spans="1:2" x14ac:dyDescent="0.55000000000000004">
      <c r="A3811"/>
      <c r="B3811" s="261"/>
    </row>
    <row r="3812" spans="1:2" x14ac:dyDescent="0.55000000000000004">
      <c r="A3812"/>
      <c r="B3812" s="261"/>
    </row>
    <row r="3813" spans="1:2" x14ac:dyDescent="0.55000000000000004">
      <c r="A3813"/>
      <c r="B3813" s="261"/>
    </row>
    <row r="3814" spans="1:2" x14ac:dyDescent="0.55000000000000004">
      <c r="A3814"/>
      <c r="B3814" s="261"/>
    </row>
    <row r="3815" spans="1:2" x14ac:dyDescent="0.55000000000000004">
      <c r="A3815"/>
      <c r="B3815" s="261"/>
    </row>
    <row r="3816" spans="1:2" x14ac:dyDescent="0.55000000000000004">
      <c r="A3816"/>
      <c r="B3816" s="261"/>
    </row>
    <row r="3817" spans="1:2" x14ac:dyDescent="0.55000000000000004">
      <c r="A3817"/>
      <c r="B3817" s="261"/>
    </row>
    <row r="3818" spans="1:2" x14ac:dyDescent="0.55000000000000004">
      <c r="A3818"/>
      <c r="B3818" s="261"/>
    </row>
    <row r="3819" spans="1:2" x14ac:dyDescent="0.55000000000000004">
      <c r="A3819"/>
      <c r="B3819" s="261"/>
    </row>
    <row r="3820" spans="1:2" x14ac:dyDescent="0.55000000000000004">
      <c r="A3820"/>
      <c r="B3820" s="261"/>
    </row>
    <row r="3821" spans="1:2" x14ac:dyDescent="0.55000000000000004">
      <c r="A3821"/>
      <c r="B3821" s="261"/>
    </row>
    <row r="3822" spans="1:2" x14ac:dyDescent="0.55000000000000004">
      <c r="A3822"/>
      <c r="B3822" s="261"/>
    </row>
    <row r="3823" spans="1:2" x14ac:dyDescent="0.55000000000000004">
      <c r="A3823"/>
      <c r="B3823" s="261"/>
    </row>
    <row r="3824" spans="1:2" x14ac:dyDescent="0.55000000000000004">
      <c r="A3824"/>
      <c r="B3824" s="261"/>
    </row>
    <row r="3825" spans="1:2" x14ac:dyDescent="0.55000000000000004">
      <c r="A3825"/>
      <c r="B3825" s="261"/>
    </row>
    <row r="3826" spans="1:2" x14ac:dyDescent="0.55000000000000004">
      <c r="A3826"/>
      <c r="B3826" s="261"/>
    </row>
    <row r="3827" spans="1:2" x14ac:dyDescent="0.55000000000000004">
      <c r="A3827"/>
      <c r="B3827" s="261"/>
    </row>
    <row r="3828" spans="1:2" x14ac:dyDescent="0.55000000000000004">
      <c r="A3828"/>
      <c r="B3828" s="261"/>
    </row>
    <row r="3829" spans="1:2" x14ac:dyDescent="0.55000000000000004">
      <c r="A3829"/>
      <c r="B3829" s="261"/>
    </row>
    <row r="3830" spans="1:2" x14ac:dyDescent="0.55000000000000004">
      <c r="A3830"/>
      <c r="B3830" s="261"/>
    </row>
    <row r="3831" spans="1:2" x14ac:dyDescent="0.55000000000000004">
      <c r="A3831"/>
      <c r="B3831" s="261"/>
    </row>
    <row r="3832" spans="1:2" x14ac:dyDescent="0.55000000000000004">
      <c r="A3832"/>
      <c r="B3832" s="261"/>
    </row>
    <row r="3833" spans="1:2" x14ac:dyDescent="0.55000000000000004">
      <c r="A3833"/>
      <c r="B3833" s="261"/>
    </row>
    <row r="3834" spans="1:2" x14ac:dyDescent="0.55000000000000004">
      <c r="A3834"/>
      <c r="B3834" s="261"/>
    </row>
    <row r="3835" spans="1:2" x14ac:dyDescent="0.55000000000000004">
      <c r="A3835"/>
      <c r="B3835" s="261"/>
    </row>
    <row r="3836" spans="1:2" x14ac:dyDescent="0.55000000000000004">
      <c r="A3836"/>
      <c r="B3836" s="261"/>
    </row>
    <row r="3837" spans="1:2" x14ac:dyDescent="0.55000000000000004">
      <c r="A3837"/>
      <c r="B3837" s="261"/>
    </row>
    <row r="3838" spans="1:2" x14ac:dyDescent="0.55000000000000004">
      <c r="A3838"/>
      <c r="B3838" s="261"/>
    </row>
    <row r="3839" spans="1:2" x14ac:dyDescent="0.55000000000000004">
      <c r="A3839"/>
      <c r="B3839" s="261"/>
    </row>
    <row r="3840" spans="1:2" x14ac:dyDescent="0.55000000000000004">
      <c r="A3840"/>
      <c r="B3840" s="261"/>
    </row>
    <row r="3841" spans="1:2" x14ac:dyDescent="0.55000000000000004">
      <c r="A3841"/>
      <c r="B3841" s="261"/>
    </row>
    <row r="3842" spans="1:2" x14ac:dyDescent="0.55000000000000004">
      <c r="A3842"/>
      <c r="B3842" s="261"/>
    </row>
    <row r="3843" spans="1:2" x14ac:dyDescent="0.55000000000000004">
      <c r="A3843"/>
      <c r="B3843" s="261"/>
    </row>
    <row r="3844" spans="1:2" x14ac:dyDescent="0.55000000000000004">
      <c r="A3844"/>
      <c r="B3844" s="261"/>
    </row>
    <row r="3845" spans="1:2" x14ac:dyDescent="0.55000000000000004">
      <c r="A3845"/>
      <c r="B3845" s="261"/>
    </row>
    <row r="3846" spans="1:2" x14ac:dyDescent="0.55000000000000004">
      <c r="A3846"/>
      <c r="B3846" s="261"/>
    </row>
    <row r="3847" spans="1:2" x14ac:dyDescent="0.55000000000000004">
      <c r="A3847"/>
      <c r="B3847" s="261"/>
    </row>
    <row r="3848" spans="1:2" x14ac:dyDescent="0.55000000000000004">
      <c r="A3848"/>
      <c r="B3848" s="261"/>
    </row>
    <row r="3849" spans="1:2" x14ac:dyDescent="0.55000000000000004">
      <c r="A3849"/>
      <c r="B3849" s="261"/>
    </row>
    <row r="3850" spans="1:2" x14ac:dyDescent="0.55000000000000004">
      <c r="A3850"/>
      <c r="B3850" s="261"/>
    </row>
    <row r="3851" spans="1:2" x14ac:dyDescent="0.55000000000000004">
      <c r="A3851"/>
      <c r="B3851" s="261"/>
    </row>
    <row r="3852" spans="1:2" x14ac:dyDescent="0.55000000000000004">
      <c r="A3852"/>
      <c r="B3852" s="261"/>
    </row>
    <row r="3853" spans="1:2" x14ac:dyDescent="0.55000000000000004">
      <c r="A3853"/>
      <c r="B3853" s="261"/>
    </row>
    <row r="3854" spans="1:2" x14ac:dyDescent="0.55000000000000004">
      <c r="A3854"/>
      <c r="B3854" s="261"/>
    </row>
    <row r="3855" spans="1:2" x14ac:dyDescent="0.55000000000000004">
      <c r="A3855"/>
      <c r="B3855" s="261"/>
    </row>
    <row r="3856" spans="1:2" x14ac:dyDescent="0.55000000000000004">
      <c r="A3856"/>
      <c r="B3856" s="261"/>
    </row>
    <row r="3857" spans="1:2" x14ac:dyDescent="0.55000000000000004">
      <c r="A3857"/>
      <c r="B3857" s="261"/>
    </row>
    <row r="3858" spans="1:2" x14ac:dyDescent="0.55000000000000004">
      <c r="A3858"/>
      <c r="B3858" s="261"/>
    </row>
    <row r="3859" spans="1:2" x14ac:dyDescent="0.55000000000000004">
      <c r="A3859"/>
      <c r="B3859" s="261"/>
    </row>
    <row r="3860" spans="1:2" x14ac:dyDescent="0.55000000000000004">
      <c r="A3860"/>
      <c r="B3860" s="261"/>
    </row>
    <row r="3861" spans="1:2" x14ac:dyDescent="0.55000000000000004">
      <c r="A3861"/>
      <c r="B3861" s="261"/>
    </row>
    <row r="3862" spans="1:2" x14ac:dyDescent="0.55000000000000004">
      <c r="A3862"/>
      <c r="B3862" s="261"/>
    </row>
    <row r="3863" spans="1:2" x14ac:dyDescent="0.55000000000000004">
      <c r="A3863"/>
      <c r="B3863" s="261"/>
    </row>
    <row r="3864" spans="1:2" x14ac:dyDescent="0.55000000000000004">
      <c r="A3864"/>
      <c r="B3864" s="261"/>
    </row>
    <row r="3865" spans="1:2" x14ac:dyDescent="0.55000000000000004">
      <c r="A3865"/>
      <c r="B3865" s="261"/>
    </row>
    <row r="3866" spans="1:2" x14ac:dyDescent="0.55000000000000004">
      <c r="A3866"/>
      <c r="B3866" s="261"/>
    </row>
    <row r="3867" spans="1:2" x14ac:dyDescent="0.55000000000000004">
      <c r="A3867"/>
      <c r="B3867" s="261"/>
    </row>
    <row r="3868" spans="1:2" x14ac:dyDescent="0.55000000000000004">
      <c r="A3868"/>
      <c r="B3868" s="261"/>
    </row>
    <row r="3869" spans="1:2" x14ac:dyDescent="0.55000000000000004">
      <c r="A3869"/>
      <c r="B3869" s="261"/>
    </row>
    <row r="3870" spans="1:2" x14ac:dyDescent="0.55000000000000004">
      <c r="A3870"/>
      <c r="B3870" s="261"/>
    </row>
    <row r="3871" spans="1:2" x14ac:dyDescent="0.55000000000000004">
      <c r="A3871"/>
      <c r="B3871" s="261"/>
    </row>
    <row r="3872" spans="1:2" x14ac:dyDescent="0.55000000000000004">
      <c r="A3872"/>
      <c r="B3872" s="261"/>
    </row>
    <row r="3873" spans="1:2" x14ac:dyDescent="0.55000000000000004">
      <c r="A3873"/>
      <c r="B3873" s="261"/>
    </row>
    <row r="3874" spans="1:2" x14ac:dyDescent="0.55000000000000004">
      <c r="A3874"/>
      <c r="B3874" s="261"/>
    </row>
    <row r="3875" spans="1:2" x14ac:dyDescent="0.55000000000000004">
      <c r="A3875"/>
      <c r="B3875" s="261"/>
    </row>
    <row r="3876" spans="1:2" x14ac:dyDescent="0.55000000000000004">
      <c r="A3876"/>
      <c r="B3876" s="261"/>
    </row>
    <row r="3877" spans="1:2" x14ac:dyDescent="0.55000000000000004">
      <c r="A3877"/>
      <c r="B3877" s="261"/>
    </row>
    <row r="3878" spans="1:2" x14ac:dyDescent="0.55000000000000004">
      <c r="A3878"/>
      <c r="B3878" s="261"/>
    </row>
    <row r="3879" spans="1:2" x14ac:dyDescent="0.55000000000000004">
      <c r="A3879"/>
      <c r="B3879" s="261"/>
    </row>
    <row r="3880" spans="1:2" x14ac:dyDescent="0.55000000000000004">
      <c r="A3880"/>
      <c r="B3880" s="261"/>
    </row>
    <row r="3881" spans="1:2" x14ac:dyDescent="0.55000000000000004">
      <c r="A3881"/>
      <c r="B3881" s="261"/>
    </row>
    <row r="3882" spans="1:2" x14ac:dyDescent="0.55000000000000004">
      <c r="A3882"/>
      <c r="B3882" s="261"/>
    </row>
    <row r="3883" spans="1:2" x14ac:dyDescent="0.55000000000000004">
      <c r="A3883"/>
      <c r="B3883" s="261"/>
    </row>
    <row r="3884" spans="1:2" x14ac:dyDescent="0.55000000000000004">
      <c r="A3884"/>
      <c r="B3884" s="261"/>
    </row>
    <row r="3885" spans="1:2" x14ac:dyDescent="0.55000000000000004">
      <c r="A3885"/>
      <c r="B3885" s="261"/>
    </row>
    <row r="3886" spans="1:2" x14ac:dyDescent="0.55000000000000004">
      <c r="A3886"/>
      <c r="B3886" s="261"/>
    </row>
    <row r="3887" spans="1:2" x14ac:dyDescent="0.55000000000000004">
      <c r="A3887"/>
      <c r="B3887" s="261"/>
    </row>
    <row r="3888" spans="1:2" x14ac:dyDescent="0.55000000000000004">
      <c r="A3888"/>
      <c r="B3888" s="261"/>
    </row>
    <row r="3889" spans="1:2" x14ac:dyDescent="0.55000000000000004">
      <c r="A3889"/>
      <c r="B3889" s="261"/>
    </row>
    <row r="3890" spans="1:2" x14ac:dyDescent="0.55000000000000004">
      <c r="A3890"/>
      <c r="B3890" s="261"/>
    </row>
    <row r="3891" spans="1:2" x14ac:dyDescent="0.55000000000000004">
      <c r="A3891"/>
      <c r="B3891" s="261"/>
    </row>
    <row r="3892" spans="1:2" x14ac:dyDescent="0.55000000000000004">
      <c r="A3892"/>
      <c r="B3892" s="261"/>
    </row>
    <row r="3893" spans="1:2" x14ac:dyDescent="0.55000000000000004">
      <c r="A3893"/>
      <c r="B3893" s="261"/>
    </row>
    <row r="3894" spans="1:2" x14ac:dyDescent="0.55000000000000004">
      <c r="A3894"/>
      <c r="B3894" s="261"/>
    </row>
    <row r="3895" spans="1:2" x14ac:dyDescent="0.55000000000000004">
      <c r="A3895"/>
      <c r="B3895" s="261"/>
    </row>
    <row r="3896" spans="1:2" x14ac:dyDescent="0.55000000000000004">
      <c r="A3896"/>
      <c r="B3896" s="261"/>
    </row>
    <row r="3897" spans="1:2" x14ac:dyDescent="0.55000000000000004">
      <c r="A3897"/>
      <c r="B3897" s="261"/>
    </row>
    <row r="3898" spans="1:2" x14ac:dyDescent="0.55000000000000004">
      <c r="A3898"/>
      <c r="B3898" s="261"/>
    </row>
    <row r="3899" spans="1:2" x14ac:dyDescent="0.55000000000000004">
      <c r="A3899"/>
      <c r="B3899" s="261"/>
    </row>
    <row r="3900" spans="1:2" x14ac:dyDescent="0.55000000000000004">
      <c r="A3900"/>
      <c r="B3900" s="261"/>
    </row>
    <row r="3901" spans="1:2" x14ac:dyDescent="0.55000000000000004">
      <c r="A3901"/>
      <c r="B3901" s="261"/>
    </row>
    <row r="3902" spans="1:2" x14ac:dyDescent="0.55000000000000004">
      <c r="A3902"/>
      <c r="B3902" s="261"/>
    </row>
    <row r="3903" spans="1:2" x14ac:dyDescent="0.55000000000000004">
      <c r="A3903"/>
      <c r="B3903" s="261"/>
    </row>
    <row r="3904" spans="1:2" x14ac:dyDescent="0.55000000000000004">
      <c r="A3904"/>
      <c r="B3904" s="261"/>
    </row>
    <row r="3905" spans="1:2" x14ac:dyDescent="0.55000000000000004">
      <c r="A3905"/>
      <c r="B3905" s="261"/>
    </row>
    <row r="3906" spans="1:2" x14ac:dyDescent="0.55000000000000004">
      <c r="A3906"/>
      <c r="B3906" s="261"/>
    </row>
    <row r="3907" spans="1:2" x14ac:dyDescent="0.55000000000000004">
      <c r="A3907"/>
      <c r="B3907" s="261"/>
    </row>
    <row r="3908" spans="1:2" x14ac:dyDescent="0.55000000000000004">
      <c r="A3908"/>
      <c r="B3908" s="261"/>
    </row>
    <row r="3909" spans="1:2" x14ac:dyDescent="0.55000000000000004">
      <c r="A3909"/>
      <c r="B3909" s="261"/>
    </row>
    <row r="3910" spans="1:2" x14ac:dyDescent="0.55000000000000004">
      <c r="A3910"/>
      <c r="B3910" s="261"/>
    </row>
    <row r="3911" spans="1:2" x14ac:dyDescent="0.55000000000000004">
      <c r="A3911"/>
      <c r="B3911" s="261"/>
    </row>
    <row r="3912" spans="1:2" x14ac:dyDescent="0.55000000000000004">
      <c r="A3912"/>
      <c r="B3912" s="261"/>
    </row>
    <row r="3913" spans="1:2" x14ac:dyDescent="0.55000000000000004">
      <c r="A3913"/>
      <c r="B3913" s="261"/>
    </row>
    <row r="3914" spans="1:2" x14ac:dyDescent="0.55000000000000004">
      <c r="A3914"/>
      <c r="B3914" s="261"/>
    </row>
    <row r="3915" spans="1:2" x14ac:dyDescent="0.55000000000000004">
      <c r="A3915"/>
      <c r="B3915" s="261"/>
    </row>
    <row r="3916" spans="1:2" x14ac:dyDescent="0.55000000000000004">
      <c r="A3916"/>
      <c r="B3916" s="261"/>
    </row>
    <row r="3917" spans="1:2" x14ac:dyDescent="0.55000000000000004">
      <c r="A3917"/>
      <c r="B3917" s="261"/>
    </row>
    <row r="3918" spans="1:2" x14ac:dyDescent="0.55000000000000004">
      <c r="A3918"/>
      <c r="B3918" s="261"/>
    </row>
    <row r="3919" spans="1:2" x14ac:dyDescent="0.55000000000000004">
      <c r="A3919"/>
      <c r="B3919" s="261"/>
    </row>
    <row r="3920" spans="1:2" x14ac:dyDescent="0.55000000000000004">
      <c r="A3920"/>
      <c r="B3920" s="261"/>
    </row>
    <row r="3921" spans="1:2" x14ac:dyDescent="0.55000000000000004">
      <c r="A3921"/>
      <c r="B3921" s="261"/>
    </row>
    <row r="3922" spans="1:2" x14ac:dyDescent="0.55000000000000004">
      <c r="A3922"/>
      <c r="B3922" s="261"/>
    </row>
    <row r="3923" spans="1:2" x14ac:dyDescent="0.55000000000000004">
      <c r="A3923"/>
      <c r="B3923" s="261"/>
    </row>
    <row r="3924" spans="1:2" x14ac:dyDescent="0.55000000000000004">
      <c r="A3924"/>
      <c r="B3924" s="261"/>
    </row>
    <row r="3925" spans="1:2" x14ac:dyDescent="0.55000000000000004">
      <c r="A3925"/>
      <c r="B3925" s="261"/>
    </row>
    <row r="3926" spans="1:2" x14ac:dyDescent="0.55000000000000004">
      <c r="A3926"/>
      <c r="B3926" s="261"/>
    </row>
    <row r="3927" spans="1:2" x14ac:dyDescent="0.55000000000000004">
      <c r="A3927"/>
      <c r="B3927" s="261"/>
    </row>
    <row r="3928" spans="1:2" x14ac:dyDescent="0.55000000000000004">
      <c r="A3928"/>
      <c r="B3928" s="261"/>
    </row>
    <row r="3929" spans="1:2" x14ac:dyDescent="0.55000000000000004">
      <c r="A3929"/>
      <c r="B3929" s="261"/>
    </row>
    <row r="3930" spans="1:2" x14ac:dyDescent="0.55000000000000004">
      <c r="A3930"/>
      <c r="B3930" s="261"/>
    </row>
    <row r="3931" spans="1:2" x14ac:dyDescent="0.55000000000000004">
      <c r="A3931"/>
      <c r="B3931" s="261"/>
    </row>
    <row r="3932" spans="1:2" x14ac:dyDescent="0.55000000000000004">
      <c r="A3932"/>
      <c r="B3932" s="261"/>
    </row>
    <row r="3933" spans="1:2" x14ac:dyDescent="0.55000000000000004">
      <c r="A3933"/>
      <c r="B3933" s="261"/>
    </row>
    <row r="3934" spans="1:2" x14ac:dyDescent="0.55000000000000004">
      <c r="A3934"/>
      <c r="B3934" s="261"/>
    </row>
    <row r="3935" spans="1:2" x14ac:dyDescent="0.55000000000000004">
      <c r="A3935"/>
      <c r="B3935" s="261"/>
    </row>
    <row r="3936" spans="1:2" x14ac:dyDescent="0.55000000000000004">
      <c r="A3936"/>
      <c r="B3936" s="261"/>
    </row>
    <row r="3937" spans="1:2" x14ac:dyDescent="0.55000000000000004">
      <c r="A3937"/>
      <c r="B3937" s="261"/>
    </row>
    <row r="3938" spans="1:2" x14ac:dyDescent="0.55000000000000004">
      <c r="A3938"/>
      <c r="B3938" s="261"/>
    </row>
    <row r="3939" spans="1:2" x14ac:dyDescent="0.55000000000000004">
      <c r="A3939"/>
      <c r="B3939" s="261"/>
    </row>
    <row r="3940" spans="1:2" x14ac:dyDescent="0.55000000000000004">
      <c r="A3940"/>
      <c r="B3940" s="261"/>
    </row>
    <row r="3941" spans="1:2" x14ac:dyDescent="0.55000000000000004">
      <c r="A3941"/>
      <c r="B3941" s="261"/>
    </row>
    <row r="3942" spans="1:2" x14ac:dyDescent="0.55000000000000004">
      <c r="A3942"/>
      <c r="B3942" s="261"/>
    </row>
    <row r="3943" spans="1:2" x14ac:dyDescent="0.55000000000000004">
      <c r="A3943"/>
      <c r="B3943" s="261"/>
    </row>
    <row r="3944" spans="1:2" x14ac:dyDescent="0.55000000000000004">
      <c r="A3944"/>
      <c r="B3944" s="261"/>
    </row>
    <row r="3945" spans="1:2" x14ac:dyDescent="0.55000000000000004">
      <c r="A3945"/>
      <c r="B3945" s="261"/>
    </row>
    <row r="3946" spans="1:2" x14ac:dyDescent="0.55000000000000004">
      <c r="A3946"/>
      <c r="B3946" s="261"/>
    </row>
    <row r="3947" spans="1:2" x14ac:dyDescent="0.55000000000000004">
      <c r="A3947"/>
      <c r="B3947" s="261"/>
    </row>
    <row r="3948" spans="1:2" x14ac:dyDescent="0.55000000000000004">
      <c r="A3948"/>
      <c r="B3948" s="261"/>
    </row>
    <row r="3949" spans="1:2" x14ac:dyDescent="0.55000000000000004">
      <c r="A3949"/>
      <c r="B3949" s="261"/>
    </row>
    <row r="3950" spans="1:2" x14ac:dyDescent="0.55000000000000004">
      <c r="A3950"/>
      <c r="B3950" s="261"/>
    </row>
    <row r="3951" spans="1:2" x14ac:dyDescent="0.55000000000000004">
      <c r="A3951"/>
      <c r="B3951" s="261"/>
    </row>
    <row r="3952" spans="1:2" x14ac:dyDescent="0.55000000000000004">
      <c r="A3952"/>
      <c r="B3952" s="261"/>
    </row>
    <row r="3953" spans="1:2" x14ac:dyDescent="0.55000000000000004">
      <c r="A3953"/>
      <c r="B3953" s="261"/>
    </row>
    <row r="3954" spans="1:2" x14ac:dyDescent="0.55000000000000004">
      <c r="A3954"/>
      <c r="B3954" s="261"/>
    </row>
    <row r="3955" spans="1:2" x14ac:dyDescent="0.55000000000000004">
      <c r="A3955"/>
      <c r="B3955" s="261"/>
    </row>
    <row r="3956" spans="1:2" x14ac:dyDescent="0.55000000000000004">
      <c r="A3956"/>
      <c r="B3956" s="261"/>
    </row>
    <row r="3957" spans="1:2" x14ac:dyDescent="0.55000000000000004">
      <c r="A3957"/>
      <c r="B3957" s="261"/>
    </row>
    <row r="3958" spans="1:2" x14ac:dyDescent="0.55000000000000004">
      <c r="A3958"/>
      <c r="B3958" s="261"/>
    </row>
    <row r="3959" spans="1:2" x14ac:dyDescent="0.55000000000000004">
      <c r="A3959"/>
      <c r="B3959" s="261"/>
    </row>
    <row r="3960" spans="1:2" x14ac:dyDescent="0.55000000000000004">
      <c r="A3960"/>
      <c r="B3960" s="261"/>
    </row>
    <row r="3961" spans="1:2" x14ac:dyDescent="0.55000000000000004">
      <c r="A3961"/>
      <c r="B3961" s="261"/>
    </row>
    <row r="3962" spans="1:2" x14ac:dyDescent="0.55000000000000004">
      <c r="A3962"/>
      <c r="B3962" s="261"/>
    </row>
    <row r="3963" spans="1:2" x14ac:dyDescent="0.55000000000000004">
      <c r="A3963"/>
      <c r="B3963" s="261"/>
    </row>
    <row r="3964" spans="1:2" x14ac:dyDescent="0.55000000000000004">
      <c r="A3964"/>
      <c r="B3964" s="261"/>
    </row>
    <row r="3965" spans="1:2" x14ac:dyDescent="0.55000000000000004">
      <c r="A3965"/>
      <c r="B3965" s="261"/>
    </row>
    <row r="3966" spans="1:2" x14ac:dyDescent="0.55000000000000004">
      <c r="A3966"/>
      <c r="B3966" s="261"/>
    </row>
    <row r="3967" spans="1:2" x14ac:dyDescent="0.55000000000000004">
      <c r="A3967"/>
      <c r="B3967" s="261"/>
    </row>
    <row r="3968" spans="1:2" x14ac:dyDescent="0.55000000000000004">
      <c r="A3968"/>
      <c r="B3968" s="261"/>
    </row>
    <row r="3969" spans="1:2" x14ac:dyDescent="0.55000000000000004">
      <c r="A3969"/>
      <c r="B3969" s="261"/>
    </row>
    <row r="3970" spans="1:2" x14ac:dyDescent="0.55000000000000004">
      <c r="A3970"/>
      <c r="B3970" s="261"/>
    </row>
    <row r="3971" spans="1:2" x14ac:dyDescent="0.55000000000000004">
      <c r="A3971"/>
      <c r="B3971" s="261"/>
    </row>
    <row r="3972" spans="1:2" x14ac:dyDescent="0.55000000000000004">
      <c r="A3972"/>
      <c r="B3972" s="261"/>
    </row>
    <row r="3973" spans="1:2" x14ac:dyDescent="0.55000000000000004">
      <c r="A3973"/>
      <c r="B3973" s="261"/>
    </row>
    <row r="3974" spans="1:2" x14ac:dyDescent="0.55000000000000004">
      <c r="A3974"/>
      <c r="B3974" s="261"/>
    </row>
    <row r="3975" spans="1:2" x14ac:dyDescent="0.55000000000000004">
      <c r="A3975"/>
      <c r="B3975" s="261"/>
    </row>
    <row r="3976" spans="1:2" x14ac:dyDescent="0.55000000000000004">
      <c r="A3976"/>
      <c r="B3976" s="261"/>
    </row>
    <row r="3977" spans="1:2" x14ac:dyDescent="0.55000000000000004">
      <c r="A3977"/>
      <c r="B3977" s="261"/>
    </row>
    <row r="3978" spans="1:2" x14ac:dyDescent="0.55000000000000004">
      <c r="A3978"/>
      <c r="B3978" s="261"/>
    </row>
    <row r="3979" spans="1:2" x14ac:dyDescent="0.55000000000000004">
      <c r="A3979"/>
      <c r="B3979" s="261"/>
    </row>
    <row r="3980" spans="1:2" x14ac:dyDescent="0.55000000000000004">
      <c r="A3980"/>
      <c r="B3980" s="261"/>
    </row>
    <row r="3981" spans="1:2" x14ac:dyDescent="0.55000000000000004">
      <c r="A3981"/>
      <c r="B3981" s="261"/>
    </row>
    <row r="3982" spans="1:2" x14ac:dyDescent="0.55000000000000004">
      <c r="A3982"/>
      <c r="B3982" s="261"/>
    </row>
    <row r="3983" spans="1:2" x14ac:dyDescent="0.55000000000000004">
      <c r="A3983"/>
      <c r="B3983" s="261"/>
    </row>
    <row r="3984" spans="1:2" x14ac:dyDescent="0.55000000000000004">
      <c r="A3984"/>
      <c r="B3984" s="261"/>
    </row>
    <row r="3985" spans="1:2" x14ac:dyDescent="0.55000000000000004">
      <c r="A3985"/>
      <c r="B3985" s="261"/>
    </row>
    <row r="3986" spans="1:2" x14ac:dyDescent="0.55000000000000004">
      <c r="A3986"/>
      <c r="B3986" s="261"/>
    </row>
    <row r="3987" spans="1:2" x14ac:dyDescent="0.55000000000000004">
      <c r="A3987"/>
      <c r="B3987" s="261"/>
    </row>
    <row r="3988" spans="1:2" x14ac:dyDescent="0.55000000000000004">
      <c r="A3988"/>
      <c r="B3988" s="261"/>
    </row>
    <row r="3989" spans="1:2" x14ac:dyDescent="0.55000000000000004">
      <c r="A3989"/>
      <c r="B3989" s="261"/>
    </row>
    <row r="3990" spans="1:2" x14ac:dyDescent="0.55000000000000004">
      <c r="A3990"/>
      <c r="B3990" s="261"/>
    </row>
    <row r="3991" spans="1:2" x14ac:dyDescent="0.55000000000000004">
      <c r="A3991"/>
      <c r="B3991" s="261"/>
    </row>
    <row r="3992" spans="1:2" x14ac:dyDescent="0.55000000000000004">
      <c r="A3992"/>
      <c r="B3992" s="261"/>
    </row>
    <row r="3993" spans="1:2" x14ac:dyDescent="0.55000000000000004">
      <c r="A3993"/>
      <c r="B3993" s="261"/>
    </row>
    <row r="3994" spans="1:2" x14ac:dyDescent="0.55000000000000004">
      <c r="A3994"/>
      <c r="B3994" s="261"/>
    </row>
    <row r="3995" spans="1:2" x14ac:dyDescent="0.55000000000000004">
      <c r="A3995"/>
      <c r="B3995" s="261"/>
    </row>
    <row r="3996" spans="1:2" x14ac:dyDescent="0.55000000000000004">
      <c r="A3996"/>
      <c r="B3996" s="261"/>
    </row>
    <row r="3997" spans="1:2" x14ac:dyDescent="0.55000000000000004">
      <c r="A3997"/>
      <c r="B3997" s="261"/>
    </row>
    <row r="3998" spans="1:2" x14ac:dyDescent="0.55000000000000004">
      <c r="A3998"/>
      <c r="B3998" s="261"/>
    </row>
    <row r="3999" spans="1:2" x14ac:dyDescent="0.55000000000000004">
      <c r="A3999"/>
      <c r="B3999" s="261"/>
    </row>
    <row r="4000" spans="1:2" x14ac:dyDescent="0.55000000000000004">
      <c r="A4000"/>
      <c r="B4000" s="261"/>
    </row>
    <row r="4001" spans="1:2" x14ac:dyDescent="0.55000000000000004">
      <c r="A4001"/>
      <c r="B4001" s="261"/>
    </row>
    <row r="4002" spans="1:2" x14ac:dyDescent="0.55000000000000004">
      <c r="A4002"/>
      <c r="B4002" s="261"/>
    </row>
    <row r="4003" spans="1:2" x14ac:dyDescent="0.55000000000000004">
      <c r="A4003"/>
      <c r="B4003" s="261"/>
    </row>
    <row r="4004" spans="1:2" x14ac:dyDescent="0.55000000000000004">
      <c r="A4004"/>
      <c r="B4004" s="261"/>
    </row>
    <row r="4005" spans="1:2" x14ac:dyDescent="0.55000000000000004">
      <c r="A4005"/>
      <c r="B4005" s="261"/>
    </row>
    <row r="4006" spans="1:2" x14ac:dyDescent="0.55000000000000004">
      <c r="A4006"/>
      <c r="B4006" s="261"/>
    </row>
    <row r="4007" spans="1:2" x14ac:dyDescent="0.55000000000000004">
      <c r="A4007"/>
      <c r="B4007" s="261"/>
    </row>
    <row r="4008" spans="1:2" x14ac:dyDescent="0.55000000000000004">
      <c r="A4008"/>
      <c r="B4008" s="261"/>
    </row>
    <row r="4009" spans="1:2" x14ac:dyDescent="0.55000000000000004">
      <c r="A4009"/>
      <c r="B4009" s="261"/>
    </row>
    <row r="4010" spans="1:2" x14ac:dyDescent="0.55000000000000004">
      <c r="A4010"/>
      <c r="B4010" s="261"/>
    </row>
    <row r="4011" spans="1:2" x14ac:dyDescent="0.55000000000000004">
      <c r="A4011"/>
      <c r="B4011" s="261"/>
    </row>
    <row r="4012" spans="1:2" x14ac:dyDescent="0.55000000000000004">
      <c r="A4012"/>
      <c r="B4012" s="261"/>
    </row>
    <row r="4013" spans="1:2" x14ac:dyDescent="0.55000000000000004">
      <c r="A4013"/>
      <c r="B4013" s="261"/>
    </row>
    <row r="4014" spans="1:2" x14ac:dyDescent="0.55000000000000004">
      <c r="A4014"/>
      <c r="B4014" s="261"/>
    </row>
    <row r="4015" spans="1:2" x14ac:dyDescent="0.55000000000000004">
      <c r="A4015"/>
      <c r="B4015" s="261"/>
    </row>
    <row r="4016" spans="1:2" x14ac:dyDescent="0.55000000000000004">
      <c r="A4016"/>
      <c r="B4016" s="261"/>
    </row>
    <row r="4017" spans="1:2" x14ac:dyDescent="0.55000000000000004">
      <c r="A4017"/>
      <c r="B4017" s="261"/>
    </row>
    <row r="4018" spans="1:2" x14ac:dyDescent="0.55000000000000004">
      <c r="A4018"/>
      <c r="B4018" s="261"/>
    </row>
    <row r="4019" spans="1:2" x14ac:dyDescent="0.55000000000000004">
      <c r="A4019"/>
      <c r="B4019" s="261"/>
    </row>
    <row r="4020" spans="1:2" x14ac:dyDescent="0.55000000000000004">
      <c r="A4020"/>
      <c r="B4020" s="261"/>
    </row>
    <row r="4021" spans="1:2" x14ac:dyDescent="0.55000000000000004">
      <c r="A4021"/>
      <c r="B4021" s="261"/>
    </row>
    <row r="4022" spans="1:2" x14ac:dyDescent="0.55000000000000004">
      <c r="A4022"/>
      <c r="B4022" s="261"/>
    </row>
    <row r="4023" spans="1:2" x14ac:dyDescent="0.55000000000000004">
      <c r="A4023"/>
      <c r="B4023" s="261"/>
    </row>
    <row r="4024" spans="1:2" x14ac:dyDescent="0.55000000000000004">
      <c r="A4024"/>
      <c r="B4024" s="261"/>
    </row>
    <row r="4025" spans="1:2" x14ac:dyDescent="0.55000000000000004">
      <c r="A4025"/>
      <c r="B4025" s="261"/>
    </row>
    <row r="4026" spans="1:2" x14ac:dyDescent="0.55000000000000004">
      <c r="A4026"/>
      <c r="B4026" s="261"/>
    </row>
    <row r="4027" spans="1:2" x14ac:dyDescent="0.55000000000000004">
      <c r="A4027"/>
      <c r="B4027" s="261"/>
    </row>
    <row r="4028" spans="1:2" x14ac:dyDescent="0.55000000000000004">
      <c r="A4028"/>
      <c r="B4028" s="261"/>
    </row>
    <row r="4029" spans="1:2" x14ac:dyDescent="0.55000000000000004">
      <c r="A4029"/>
      <c r="B4029" s="261"/>
    </row>
    <row r="4030" spans="1:2" x14ac:dyDescent="0.55000000000000004">
      <c r="A4030"/>
      <c r="B4030" s="261"/>
    </row>
    <row r="4031" spans="1:2" x14ac:dyDescent="0.55000000000000004">
      <c r="A4031"/>
      <c r="B4031" s="261"/>
    </row>
    <row r="4032" spans="1:2" x14ac:dyDescent="0.55000000000000004">
      <c r="A4032"/>
      <c r="B4032" s="261"/>
    </row>
    <row r="4033" spans="1:2" x14ac:dyDescent="0.55000000000000004">
      <c r="A4033"/>
      <c r="B4033" s="261"/>
    </row>
    <row r="4034" spans="1:2" x14ac:dyDescent="0.55000000000000004">
      <c r="A4034"/>
      <c r="B4034" s="261"/>
    </row>
    <row r="4035" spans="1:2" x14ac:dyDescent="0.55000000000000004">
      <c r="A4035"/>
      <c r="B4035" s="261"/>
    </row>
    <row r="4036" spans="1:2" x14ac:dyDescent="0.55000000000000004">
      <c r="A4036"/>
      <c r="B4036" s="261"/>
    </row>
    <row r="4037" spans="1:2" x14ac:dyDescent="0.55000000000000004">
      <c r="A4037"/>
      <c r="B4037" s="261"/>
    </row>
    <row r="4038" spans="1:2" x14ac:dyDescent="0.55000000000000004">
      <c r="A4038"/>
      <c r="B4038" s="261"/>
    </row>
    <row r="4039" spans="1:2" x14ac:dyDescent="0.55000000000000004">
      <c r="A4039"/>
      <c r="B4039" s="261"/>
    </row>
    <row r="4040" spans="1:2" x14ac:dyDescent="0.55000000000000004">
      <c r="A4040"/>
      <c r="B4040" s="261"/>
    </row>
    <row r="4041" spans="1:2" x14ac:dyDescent="0.55000000000000004">
      <c r="A4041"/>
      <c r="B4041" s="261"/>
    </row>
    <row r="4042" spans="1:2" x14ac:dyDescent="0.55000000000000004">
      <c r="A4042"/>
      <c r="B4042" s="261"/>
    </row>
    <row r="4043" spans="1:2" x14ac:dyDescent="0.55000000000000004">
      <c r="A4043"/>
      <c r="B4043" s="261"/>
    </row>
    <row r="4044" spans="1:2" x14ac:dyDescent="0.55000000000000004">
      <c r="A4044"/>
      <c r="B4044" s="261"/>
    </row>
    <row r="4045" spans="1:2" x14ac:dyDescent="0.55000000000000004">
      <c r="A4045"/>
      <c r="B4045" s="261"/>
    </row>
    <row r="4046" spans="1:2" x14ac:dyDescent="0.55000000000000004">
      <c r="A4046"/>
      <c r="B4046" s="261"/>
    </row>
    <row r="4047" spans="1:2" x14ac:dyDescent="0.55000000000000004">
      <c r="A4047"/>
      <c r="B4047" s="261"/>
    </row>
    <row r="4048" spans="1:2" x14ac:dyDescent="0.55000000000000004">
      <c r="A4048"/>
      <c r="B4048" s="261"/>
    </row>
    <row r="4049" spans="1:2" x14ac:dyDescent="0.55000000000000004">
      <c r="A4049"/>
      <c r="B4049" s="261"/>
    </row>
    <row r="4050" spans="1:2" x14ac:dyDescent="0.55000000000000004">
      <c r="A4050"/>
      <c r="B4050" s="261"/>
    </row>
    <row r="4051" spans="1:2" x14ac:dyDescent="0.55000000000000004">
      <c r="A4051"/>
      <c r="B4051" s="261"/>
    </row>
    <row r="4052" spans="1:2" x14ac:dyDescent="0.55000000000000004">
      <c r="A4052"/>
      <c r="B4052" s="261"/>
    </row>
    <row r="4053" spans="1:2" x14ac:dyDescent="0.55000000000000004">
      <c r="A4053"/>
      <c r="B4053" s="261"/>
    </row>
    <row r="4054" spans="1:2" x14ac:dyDescent="0.55000000000000004">
      <c r="A4054"/>
      <c r="B4054" s="261"/>
    </row>
    <row r="4055" spans="1:2" x14ac:dyDescent="0.55000000000000004">
      <c r="A4055"/>
      <c r="B4055" s="261"/>
    </row>
    <row r="4056" spans="1:2" x14ac:dyDescent="0.55000000000000004">
      <c r="A4056"/>
      <c r="B4056" s="261"/>
    </row>
    <row r="4057" spans="1:2" x14ac:dyDescent="0.55000000000000004">
      <c r="A4057"/>
      <c r="B4057" s="261"/>
    </row>
    <row r="4058" spans="1:2" x14ac:dyDescent="0.55000000000000004">
      <c r="A4058"/>
      <c r="B4058" s="261"/>
    </row>
    <row r="4059" spans="1:2" x14ac:dyDescent="0.55000000000000004">
      <c r="A4059"/>
      <c r="B4059" s="261"/>
    </row>
    <row r="4060" spans="1:2" x14ac:dyDescent="0.55000000000000004">
      <c r="A4060"/>
      <c r="B4060" s="261"/>
    </row>
    <row r="4061" spans="1:2" x14ac:dyDescent="0.55000000000000004">
      <c r="A4061"/>
      <c r="B4061" s="261"/>
    </row>
    <row r="4062" spans="1:2" x14ac:dyDescent="0.55000000000000004">
      <c r="A4062"/>
      <c r="B4062" s="261"/>
    </row>
    <row r="4063" spans="1:2" x14ac:dyDescent="0.55000000000000004">
      <c r="A4063"/>
      <c r="B4063" s="261"/>
    </row>
    <row r="4064" spans="1:2" x14ac:dyDescent="0.55000000000000004">
      <c r="A4064"/>
      <c r="B4064" s="261"/>
    </row>
    <row r="4065" spans="1:2" x14ac:dyDescent="0.55000000000000004">
      <c r="A4065"/>
      <c r="B4065" s="261"/>
    </row>
    <row r="4066" spans="1:2" x14ac:dyDescent="0.55000000000000004">
      <c r="A4066"/>
      <c r="B4066" s="261"/>
    </row>
    <row r="4067" spans="1:2" x14ac:dyDescent="0.55000000000000004">
      <c r="A4067"/>
      <c r="B4067" s="261"/>
    </row>
    <row r="4068" spans="1:2" x14ac:dyDescent="0.55000000000000004">
      <c r="A4068"/>
      <c r="B4068" s="261"/>
    </row>
    <row r="4069" spans="1:2" x14ac:dyDescent="0.55000000000000004">
      <c r="A4069"/>
      <c r="B4069" s="261"/>
    </row>
    <row r="4070" spans="1:2" x14ac:dyDescent="0.55000000000000004">
      <c r="A4070"/>
      <c r="B4070" s="261"/>
    </row>
    <row r="4071" spans="1:2" x14ac:dyDescent="0.55000000000000004">
      <c r="A4071"/>
      <c r="B4071" s="261"/>
    </row>
    <row r="4072" spans="1:2" x14ac:dyDescent="0.55000000000000004">
      <c r="A4072"/>
      <c r="B4072" s="261"/>
    </row>
    <row r="4073" spans="1:2" x14ac:dyDescent="0.55000000000000004">
      <c r="A4073"/>
      <c r="B4073" s="261"/>
    </row>
    <row r="4074" spans="1:2" x14ac:dyDescent="0.55000000000000004">
      <c r="A4074"/>
      <c r="B4074" s="261"/>
    </row>
    <row r="4075" spans="1:2" x14ac:dyDescent="0.55000000000000004">
      <c r="A4075"/>
      <c r="B4075" s="261"/>
    </row>
    <row r="4076" spans="1:2" x14ac:dyDescent="0.55000000000000004">
      <c r="A4076"/>
      <c r="B4076" s="261"/>
    </row>
    <row r="4077" spans="1:2" x14ac:dyDescent="0.55000000000000004">
      <c r="A4077"/>
      <c r="B4077" s="261"/>
    </row>
    <row r="4078" spans="1:2" x14ac:dyDescent="0.55000000000000004">
      <c r="A4078"/>
      <c r="B4078" s="261"/>
    </row>
    <row r="4079" spans="1:2" x14ac:dyDescent="0.55000000000000004">
      <c r="A4079"/>
      <c r="B4079" s="261"/>
    </row>
    <row r="4080" spans="1:2" x14ac:dyDescent="0.55000000000000004">
      <c r="A4080"/>
      <c r="B4080" s="261"/>
    </row>
    <row r="4081" spans="1:2" x14ac:dyDescent="0.55000000000000004">
      <c r="A4081"/>
      <c r="B4081" s="261"/>
    </row>
    <row r="4082" spans="1:2" x14ac:dyDescent="0.55000000000000004">
      <c r="A4082"/>
      <c r="B4082" s="261"/>
    </row>
    <row r="4083" spans="1:2" x14ac:dyDescent="0.55000000000000004">
      <c r="A4083"/>
      <c r="B4083" s="261"/>
    </row>
    <row r="4084" spans="1:2" x14ac:dyDescent="0.55000000000000004">
      <c r="A4084"/>
      <c r="B4084" s="261"/>
    </row>
    <row r="4085" spans="1:2" x14ac:dyDescent="0.55000000000000004">
      <c r="A4085"/>
      <c r="B4085" s="261"/>
    </row>
    <row r="4086" spans="1:2" x14ac:dyDescent="0.55000000000000004">
      <c r="A4086"/>
      <c r="B4086" s="261"/>
    </row>
    <row r="4087" spans="1:2" x14ac:dyDescent="0.55000000000000004">
      <c r="A4087"/>
      <c r="B4087" s="261"/>
    </row>
    <row r="4088" spans="1:2" x14ac:dyDescent="0.55000000000000004">
      <c r="A4088"/>
      <c r="B4088" s="261"/>
    </row>
    <row r="4089" spans="1:2" x14ac:dyDescent="0.55000000000000004">
      <c r="A4089"/>
      <c r="B4089" s="261"/>
    </row>
    <row r="4090" spans="1:2" x14ac:dyDescent="0.55000000000000004">
      <c r="A4090"/>
      <c r="B4090" s="261"/>
    </row>
    <row r="4091" spans="1:2" x14ac:dyDescent="0.55000000000000004">
      <c r="A4091"/>
      <c r="B4091" s="261"/>
    </row>
    <row r="4092" spans="1:2" x14ac:dyDescent="0.55000000000000004">
      <c r="A4092"/>
      <c r="B4092" s="261"/>
    </row>
    <row r="4093" spans="1:2" x14ac:dyDescent="0.55000000000000004">
      <c r="A4093"/>
      <c r="B4093" s="261"/>
    </row>
    <row r="4094" spans="1:2" x14ac:dyDescent="0.55000000000000004">
      <c r="A4094"/>
      <c r="B4094" s="261"/>
    </row>
    <row r="4095" spans="1:2" x14ac:dyDescent="0.55000000000000004">
      <c r="A4095"/>
      <c r="B4095" s="261"/>
    </row>
    <row r="4096" spans="1:2" x14ac:dyDescent="0.55000000000000004">
      <c r="A4096"/>
      <c r="B4096" s="261"/>
    </row>
    <row r="4097" spans="1:2" x14ac:dyDescent="0.55000000000000004">
      <c r="A4097"/>
      <c r="B4097" s="261"/>
    </row>
    <row r="4098" spans="1:2" x14ac:dyDescent="0.55000000000000004">
      <c r="A4098"/>
      <c r="B4098" s="261"/>
    </row>
    <row r="4099" spans="1:2" x14ac:dyDescent="0.55000000000000004">
      <c r="A4099"/>
      <c r="B4099" s="261"/>
    </row>
    <row r="4100" spans="1:2" x14ac:dyDescent="0.55000000000000004">
      <c r="A4100"/>
      <c r="B4100" s="261"/>
    </row>
    <row r="4101" spans="1:2" x14ac:dyDescent="0.55000000000000004">
      <c r="A4101"/>
      <c r="B4101" s="261"/>
    </row>
    <row r="4102" spans="1:2" x14ac:dyDescent="0.55000000000000004">
      <c r="A4102"/>
      <c r="B4102" s="261"/>
    </row>
    <row r="4103" spans="1:2" x14ac:dyDescent="0.55000000000000004">
      <c r="A4103"/>
      <c r="B4103" s="261"/>
    </row>
    <row r="4104" spans="1:2" x14ac:dyDescent="0.55000000000000004">
      <c r="A4104"/>
      <c r="B4104" s="261"/>
    </row>
    <row r="4105" spans="1:2" x14ac:dyDescent="0.55000000000000004">
      <c r="A4105"/>
      <c r="B4105" s="261"/>
    </row>
    <row r="4106" spans="1:2" x14ac:dyDescent="0.55000000000000004">
      <c r="A4106"/>
      <c r="B4106" s="261"/>
    </row>
    <row r="4107" spans="1:2" x14ac:dyDescent="0.55000000000000004">
      <c r="A4107"/>
      <c r="B4107" s="261"/>
    </row>
    <row r="4108" spans="1:2" x14ac:dyDescent="0.55000000000000004">
      <c r="A4108"/>
      <c r="B4108" s="261"/>
    </row>
    <row r="4109" spans="1:2" x14ac:dyDescent="0.55000000000000004">
      <c r="A4109"/>
      <c r="B4109" s="261"/>
    </row>
    <row r="4110" spans="1:2" x14ac:dyDescent="0.55000000000000004">
      <c r="A4110"/>
      <c r="B4110" s="261"/>
    </row>
    <row r="4111" spans="1:2" x14ac:dyDescent="0.55000000000000004">
      <c r="A4111"/>
      <c r="B4111" s="261"/>
    </row>
    <row r="4112" spans="1:2" x14ac:dyDescent="0.55000000000000004">
      <c r="A4112"/>
      <c r="B4112" s="261"/>
    </row>
    <row r="4113" spans="1:2" x14ac:dyDescent="0.55000000000000004">
      <c r="A4113"/>
      <c r="B4113" s="261"/>
    </row>
    <row r="4114" spans="1:2" x14ac:dyDescent="0.55000000000000004">
      <c r="A4114"/>
      <c r="B4114" s="261"/>
    </row>
    <row r="4115" spans="1:2" x14ac:dyDescent="0.55000000000000004">
      <c r="A4115"/>
      <c r="B4115" s="261"/>
    </row>
    <row r="4116" spans="1:2" x14ac:dyDescent="0.55000000000000004">
      <c r="A4116"/>
      <c r="B4116" s="261"/>
    </row>
    <row r="4117" spans="1:2" x14ac:dyDescent="0.55000000000000004">
      <c r="A4117"/>
      <c r="B4117" s="261"/>
    </row>
    <row r="4118" spans="1:2" x14ac:dyDescent="0.55000000000000004">
      <c r="A4118"/>
      <c r="B4118" s="261"/>
    </row>
    <row r="4119" spans="1:2" x14ac:dyDescent="0.55000000000000004">
      <c r="A4119"/>
      <c r="B4119" s="261"/>
    </row>
    <row r="4120" spans="1:2" x14ac:dyDescent="0.55000000000000004">
      <c r="A4120"/>
      <c r="B4120" s="261"/>
    </row>
    <row r="4121" spans="1:2" x14ac:dyDescent="0.55000000000000004">
      <c r="A4121"/>
      <c r="B4121" s="261"/>
    </row>
    <row r="4122" spans="1:2" x14ac:dyDescent="0.55000000000000004">
      <c r="A4122"/>
      <c r="B4122" s="261"/>
    </row>
    <row r="4123" spans="1:2" x14ac:dyDescent="0.55000000000000004">
      <c r="A4123"/>
      <c r="B4123" s="261"/>
    </row>
    <row r="4124" spans="1:2" x14ac:dyDescent="0.55000000000000004">
      <c r="A4124"/>
      <c r="B4124" s="261"/>
    </row>
    <row r="4125" spans="1:2" x14ac:dyDescent="0.55000000000000004">
      <c r="A4125"/>
      <c r="B4125" s="261"/>
    </row>
    <row r="4126" spans="1:2" x14ac:dyDescent="0.55000000000000004">
      <c r="A4126"/>
      <c r="B4126" s="261"/>
    </row>
    <row r="4127" spans="1:2" x14ac:dyDescent="0.55000000000000004">
      <c r="A4127"/>
      <c r="B4127" s="261"/>
    </row>
    <row r="4128" spans="1:2" x14ac:dyDescent="0.55000000000000004">
      <c r="A4128"/>
      <c r="B4128" s="261"/>
    </row>
    <row r="4129" spans="1:2" x14ac:dyDescent="0.55000000000000004">
      <c r="A4129"/>
      <c r="B4129" s="261"/>
    </row>
    <row r="4130" spans="1:2" x14ac:dyDescent="0.55000000000000004">
      <c r="A4130"/>
      <c r="B4130" s="261"/>
    </row>
    <row r="4131" spans="1:2" x14ac:dyDescent="0.55000000000000004">
      <c r="A4131"/>
      <c r="B4131" s="261"/>
    </row>
    <row r="4132" spans="1:2" x14ac:dyDescent="0.55000000000000004">
      <c r="A4132"/>
      <c r="B4132" s="261"/>
    </row>
    <row r="4133" spans="1:2" x14ac:dyDescent="0.55000000000000004">
      <c r="A4133"/>
      <c r="B4133" s="261"/>
    </row>
    <row r="4134" spans="1:2" x14ac:dyDescent="0.55000000000000004">
      <c r="A4134"/>
      <c r="B4134" s="261"/>
    </row>
    <row r="4135" spans="1:2" x14ac:dyDescent="0.55000000000000004">
      <c r="A4135"/>
      <c r="B4135" s="261"/>
    </row>
    <row r="4136" spans="1:2" x14ac:dyDescent="0.55000000000000004">
      <c r="A4136"/>
      <c r="B4136" s="261"/>
    </row>
    <row r="4137" spans="1:2" x14ac:dyDescent="0.55000000000000004">
      <c r="A4137"/>
      <c r="B4137" s="261"/>
    </row>
    <row r="4138" spans="1:2" x14ac:dyDescent="0.55000000000000004">
      <c r="A4138"/>
      <c r="B4138" s="261"/>
    </row>
    <row r="4139" spans="1:2" x14ac:dyDescent="0.55000000000000004">
      <c r="A4139"/>
      <c r="B4139" s="261"/>
    </row>
    <row r="4140" spans="1:2" x14ac:dyDescent="0.55000000000000004">
      <c r="A4140"/>
      <c r="B4140" s="261"/>
    </row>
    <row r="4141" spans="1:2" x14ac:dyDescent="0.55000000000000004">
      <c r="A4141"/>
      <c r="B4141" s="261"/>
    </row>
    <row r="4142" spans="1:2" x14ac:dyDescent="0.55000000000000004">
      <c r="A4142"/>
      <c r="B4142" s="261"/>
    </row>
    <row r="4143" spans="1:2" x14ac:dyDescent="0.55000000000000004">
      <c r="A4143"/>
      <c r="B4143" s="261"/>
    </row>
    <row r="4144" spans="1:2" x14ac:dyDescent="0.55000000000000004">
      <c r="A4144"/>
      <c r="B4144" s="261"/>
    </row>
    <row r="4145" spans="1:2" x14ac:dyDescent="0.55000000000000004">
      <c r="A4145"/>
      <c r="B4145" s="261"/>
    </row>
    <row r="4146" spans="1:2" x14ac:dyDescent="0.55000000000000004">
      <c r="A4146"/>
      <c r="B4146" s="261"/>
    </row>
    <row r="4147" spans="1:2" x14ac:dyDescent="0.55000000000000004">
      <c r="A4147"/>
      <c r="B4147" s="261"/>
    </row>
    <row r="4148" spans="1:2" x14ac:dyDescent="0.55000000000000004">
      <c r="A4148"/>
      <c r="B4148" s="261"/>
    </row>
    <row r="4149" spans="1:2" x14ac:dyDescent="0.55000000000000004">
      <c r="A4149"/>
      <c r="B4149" s="261"/>
    </row>
    <row r="4150" spans="1:2" x14ac:dyDescent="0.55000000000000004">
      <c r="A4150"/>
      <c r="B4150" s="261"/>
    </row>
    <row r="4151" spans="1:2" x14ac:dyDescent="0.55000000000000004">
      <c r="A4151"/>
      <c r="B4151" s="261"/>
    </row>
    <row r="4152" spans="1:2" x14ac:dyDescent="0.55000000000000004">
      <c r="A4152"/>
      <c r="B4152" s="261"/>
    </row>
    <row r="4153" spans="1:2" x14ac:dyDescent="0.55000000000000004">
      <c r="A4153"/>
      <c r="B4153" s="261"/>
    </row>
    <row r="4154" spans="1:2" x14ac:dyDescent="0.55000000000000004">
      <c r="A4154"/>
      <c r="B4154" s="261"/>
    </row>
    <row r="4155" spans="1:2" x14ac:dyDescent="0.55000000000000004">
      <c r="A4155"/>
      <c r="B4155" s="261"/>
    </row>
    <row r="4156" spans="1:2" x14ac:dyDescent="0.55000000000000004">
      <c r="A4156"/>
      <c r="B4156" s="261"/>
    </row>
    <row r="4157" spans="1:2" x14ac:dyDescent="0.55000000000000004">
      <c r="A4157"/>
      <c r="B4157" s="261"/>
    </row>
    <row r="4158" spans="1:2" x14ac:dyDescent="0.55000000000000004">
      <c r="A4158"/>
      <c r="B4158" s="261"/>
    </row>
    <row r="4159" spans="1:2" x14ac:dyDescent="0.55000000000000004">
      <c r="A4159"/>
      <c r="B4159" s="261"/>
    </row>
    <row r="4160" spans="1:2" x14ac:dyDescent="0.55000000000000004">
      <c r="A4160"/>
      <c r="B4160" s="261"/>
    </row>
    <row r="4161" spans="1:2" x14ac:dyDescent="0.55000000000000004">
      <c r="A4161"/>
      <c r="B4161" s="261"/>
    </row>
    <row r="4162" spans="1:2" x14ac:dyDescent="0.55000000000000004">
      <c r="A4162"/>
      <c r="B4162" s="261"/>
    </row>
    <row r="4163" spans="1:2" x14ac:dyDescent="0.55000000000000004">
      <c r="A4163"/>
      <c r="B4163" s="261"/>
    </row>
    <row r="4164" spans="1:2" x14ac:dyDescent="0.55000000000000004">
      <c r="A4164"/>
      <c r="B4164" s="261"/>
    </row>
    <row r="4165" spans="1:2" x14ac:dyDescent="0.55000000000000004">
      <c r="A4165"/>
      <c r="B4165" s="261"/>
    </row>
    <row r="4166" spans="1:2" x14ac:dyDescent="0.55000000000000004">
      <c r="A4166"/>
      <c r="B4166" s="261"/>
    </row>
    <row r="4167" spans="1:2" x14ac:dyDescent="0.55000000000000004">
      <c r="A4167"/>
      <c r="B4167" s="261"/>
    </row>
    <row r="4168" spans="1:2" x14ac:dyDescent="0.55000000000000004">
      <c r="A4168"/>
      <c r="B4168" s="261"/>
    </row>
    <row r="4169" spans="1:2" x14ac:dyDescent="0.55000000000000004">
      <c r="A4169"/>
      <c r="B4169" s="261"/>
    </row>
    <row r="4170" spans="1:2" x14ac:dyDescent="0.55000000000000004">
      <c r="A4170"/>
      <c r="B4170" s="261"/>
    </row>
    <row r="4171" spans="1:2" x14ac:dyDescent="0.55000000000000004">
      <c r="A4171"/>
      <c r="B4171" s="261"/>
    </row>
    <row r="4172" spans="1:2" x14ac:dyDescent="0.55000000000000004">
      <c r="A4172"/>
      <c r="B4172" s="261"/>
    </row>
    <row r="4173" spans="1:2" x14ac:dyDescent="0.55000000000000004">
      <c r="A4173"/>
      <c r="B4173" s="261"/>
    </row>
    <row r="4174" spans="1:2" x14ac:dyDescent="0.55000000000000004">
      <c r="A4174"/>
      <c r="B4174" s="261"/>
    </row>
    <row r="4175" spans="1:2" x14ac:dyDescent="0.55000000000000004">
      <c r="A4175"/>
      <c r="B4175" s="261"/>
    </row>
    <row r="4176" spans="1:2" x14ac:dyDescent="0.55000000000000004">
      <c r="A4176"/>
      <c r="B4176" s="261"/>
    </row>
    <row r="4177" spans="1:2" x14ac:dyDescent="0.55000000000000004">
      <c r="A4177"/>
      <c r="B4177" s="261"/>
    </row>
    <row r="4178" spans="1:2" x14ac:dyDescent="0.55000000000000004">
      <c r="A4178"/>
      <c r="B4178" s="261"/>
    </row>
    <row r="4179" spans="1:2" x14ac:dyDescent="0.55000000000000004">
      <c r="A4179"/>
      <c r="B4179" s="261"/>
    </row>
    <row r="4180" spans="1:2" x14ac:dyDescent="0.55000000000000004">
      <c r="A4180"/>
      <c r="B4180" s="261"/>
    </row>
    <row r="4181" spans="1:2" x14ac:dyDescent="0.55000000000000004">
      <c r="A4181"/>
      <c r="B4181" s="261"/>
    </row>
    <row r="4182" spans="1:2" x14ac:dyDescent="0.55000000000000004">
      <c r="A4182"/>
      <c r="B4182" s="261"/>
    </row>
    <row r="4183" spans="1:2" x14ac:dyDescent="0.55000000000000004">
      <c r="A4183"/>
      <c r="B4183" s="261"/>
    </row>
    <row r="4184" spans="1:2" x14ac:dyDescent="0.55000000000000004">
      <c r="A4184"/>
      <c r="B4184" s="261"/>
    </row>
    <row r="4185" spans="1:2" x14ac:dyDescent="0.55000000000000004">
      <c r="A4185"/>
      <c r="B4185" s="261"/>
    </row>
    <row r="4186" spans="1:2" x14ac:dyDescent="0.55000000000000004">
      <c r="A4186"/>
      <c r="B4186" s="261"/>
    </row>
    <row r="4187" spans="1:2" x14ac:dyDescent="0.55000000000000004">
      <c r="A4187"/>
      <c r="B4187" s="261"/>
    </row>
    <row r="4188" spans="1:2" x14ac:dyDescent="0.55000000000000004">
      <c r="A4188"/>
      <c r="B4188" s="261"/>
    </row>
    <row r="4189" spans="1:2" x14ac:dyDescent="0.55000000000000004">
      <c r="A4189"/>
      <c r="B4189" s="261"/>
    </row>
    <row r="4190" spans="1:2" x14ac:dyDescent="0.55000000000000004">
      <c r="A4190"/>
      <c r="B4190" s="261"/>
    </row>
    <row r="4191" spans="1:2" x14ac:dyDescent="0.55000000000000004">
      <c r="A4191"/>
      <c r="B4191" s="261"/>
    </row>
    <row r="4192" spans="1:2" x14ac:dyDescent="0.55000000000000004">
      <c r="A4192"/>
      <c r="B4192" s="261"/>
    </row>
    <row r="4193" spans="1:2" x14ac:dyDescent="0.55000000000000004">
      <c r="A4193"/>
      <c r="B4193" s="261"/>
    </row>
    <row r="4194" spans="1:2" x14ac:dyDescent="0.55000000000000004">
      <c r="A4194"/>
      <c r="B4194" s="261"/>
    </row>
    <row r="4195" spans="1:2" x14ac:dyDescent="0.55000000000000004">
      <c r="A4195"/>
      <c r="B4195" s="261"/>
    </row>
    <row r="4196" spans="1:2" x14ac:dyDescent="0.55000000000000004">
      <c r="A4196"/>
      <c r="B4196" s="261"/>
    </row>
    <row r="4197" spans="1:2" x14ac:dyDescent="0.55000000000000004">
      <c r="A4197"/>
      <c r="B4197" s="261"/>
    </row>
    <row r="4198" spans="1:2" x14ac:dyDescent="0.55000000000000004">
      <c r="A4198"/>
      <c r="B4198" s="261"/>
    </row>
    <row r="4199" spans="1:2" x14ac:dyDescent="0.55000000000000004">
      <c r="A4199"/>
      <c r="B4199" s="261"/>
    </row>
    <row r="4200" spans="1:2" x14ac:dyDescent="0.55000000000000004">
      <c r="A4200"/>
      <c r="B4200" s="261"/>
    </row>
    <row r="4201" spans="1:2" x14ac:dyDescent="0.55000000000000004">
      <c r="A4201"/>
      <c r="B4201" s="261"/>
    </row>
    <row r="4202" spans="1:2" x14ac:dyDescent="0.55000000000000004">
      <c r="A4202"/>
      <c r="B4202" s="261"/>
    </row>
    <row r="4203" spans="1:2" x14ac:dyDescent="0.55000000000000004">
      <c r="A4203"/>
      <c r="B4203" s="261"/>
    </row>
    <row r="4204" spans="1:2" x14ac:dyDescent="0.55000000000000004">
      <c r="A4204"/>
      <c r="B4204" s="261"/>
    </row>
    <row r="4205" spans="1:2" x14ac:dyDescent="0.55000000000000004">
      <c r="A4205"/>
      <c r="B4205" s="261"/>
    </row>
    <row r="4206" spans="1:2" x14ac:dyDescent="0.55000000000000004">
      <c r="A4206"/>
      <c r="B4206" s="261"/>
    </row>
    <row r="4207" spans="1:2" x14ac:dyDescent="0.55000000000000004">
      <c r="A4207"/>
      <c r="B4207" s="261"/>
    </row>
    <row r="4208" spans="1:2" x14ac:dyDescent="0.55000000000000004">
      <c r="A4208"/>
      <c r="B4208" s="261"/>
    </row>
    <row r="4209" spans="1:2" x14ac:dyDescent="0.55000000000000004">
      <c r="A4209"/>
      <c r="B4209" s="261"/>
    </row>
    <row r="4210" spans="1:2" x14ac:dyDescent="0.55000000000000004">
      <c r="A4210"/>
      <c r="B4210" s="261"/>
    </row>
    <row r="4211" spans="1:2" x14ac:dyDescent="0.55000000000000004">
      <c r="A4211"/>
      <c r="B4211" s="261"/>
    </row>
    <row r="4212" spans="1:2" x14ac:dyDescent="0.55000000000000004">
      <c r="A4212"/>
      <c r="B4212" s="261"/>
    </row>
    <row r="4213" spans="1:2" x14ac:dyDescent="0.55000000000000004">
      <c r="A4213"/>
      <c r="B4213" s="261"/>
    </row>
    <row r="4214" spans="1:2" x14ac:dyDescent="0.55000000000000004">
      <c r="A4214"/>
      <c r="B4214" s="261"/>
    </row>
    <row r="4215" spans="1:2" x14ac:dyDescent="0.55000000000000004">
      <c r="A4215"/>
      <c r="B4215" s="261"/>
    </row>
    <row r="4216" spans="1:2" x14ac:dyDescent="0.55000000000000004">
      <c r="A4216"/>
      <c r="B4216" s="261"/>
    </row>
    <row r="4217" spans="1:2" x14ac:dyDescent="0.55000000000000004">
      <c r="A4217"/>
      <c r="B4217" s="261"/>
    </row>
    <row r="4218" spans="1:2" x14ac:dyDescent="0.55000000000000004">
      <c r="A4218"/>
      <c r="B4218" s="261"/>
    </row>
    <row r="4219" spans="1:2" x14ac:dyDescent="0.55000000000000004">
      <c r="A4219"/>
      <c r="B4219" s="261"/>
    </row>
    <row r="4220" spans="1:2" x14ac:dyDescent="0.55000000000000004">
      <c r="A4220"/>
      <c r="B4220" s="261"/>
    </row>
    <row r="4221" spans="1:2" x14ac:dyDescent="0.55000000000000004">
      <c r="A4221"/>
      <c r="B4221" s="261"/>
    </row>
    <row r="4222" spans="1:2" x14ac:dyDescent="0.55000000000000004">
      <c r="A4222"/>
      <c r="B4222" s="261"/>
    </row>
    <row r="4223" spans="1:2" x14ac:dyDescent="0.55000000000000004">
      <c r="A4223"/>
      <c r="B4223" s="261"/>
    </row>
    <row r="4224" spans="1:2" x14ac:dyDescent="0.55000000000000004">
      <c r="A4224"/>
      <c r="B4224" s="261"/>
    </row>
    <row r="4225" spans="1:2" x14ac:dyDescent="0.55000000000000004">
      <c r="A4225"/>
      <c r="B4225" s="261"/>
    </row>
    <row r="4226" spans="1:2" x14ac:dyDescent="0.55000000000000004">
      <c r="A4226"/>
      <c r="B4226" s="261"/>
    </row>
    <row r="4227" spans="1:2" x14ac:dyDescent="0.55000000000000004">
      <c r="A4227"/>
      <c r="B4227" s="261"/>
    </row>
    <row r="4228" spans="1:2" x14ac:dyDescent="0.55000000000000004">
      <c r="A4228"/>
      <c r="B4228" s="261"/>
    </row>
    <row r="4229" spans="1:2" x14ac:dyDescent="0.55000000000000004">
      <c r="A4229"/>
      <c r="B4229" s="261"/>
    </row>
    <row r="4230" spans="1:2" x14ac:dyDescent="0.55000000000000004">
      <c r="A4230"/>
      <c r="B4230" s="261"/>
    </row>
    <row r="4231" spans="1:2" x14ac:dyDescent="0.55000000000000004">
      <c r="A4231"/>
      <c r="B4231" s="261"/>
    </row>
    <row r="4232" spans="1:2" x14ac:dyDescent="0.55000000000000004">
      <c r="A4232"/>
      <c r="B4232" s="261"/>
    </row>
    <row r="4233" spans="1:2" x14ac:dyDescent="0.55000000000000004">
      <c r="A4233"/>
      <c r="B4233" s="261"/>
    </row>
    <row r="4234" spans="1:2" x14ac:dyDescent="0.55000000000000004">
      <c r="A4234"/>
      <c r="B4234" s="261"/>
    </row>
    <row r="4235" spans="1:2" x14ac:dyDescent="0.55000000000000004">
      <c r="A4235"/>
      <c r="B4235" s="261"/>
    </row>
    <row r="4236" spans="1:2" x14ac:dyDescent="0.55000000000000004">
      <c r="A4236"/>
      <c r="B4236" s="261"/>
    </row>
    <row r="4237" spans="1:2" x14ac:dyDescent="0.55000000000000004">
      <c r="A4237"/>
      <c r="B4237" s="261"/>
    </row>
    <row r="4238" spans="1:2" x14ac:dyDescent="0.55000000000000004">
      <c r="A4238"/>
      <c r="B4238" s="261"/>
    </row>
    <row r="4239" spans="1:2" x14ac:dyDescent="0.55000000000000004">
      <c r="A4239"/>
      <c r="B4239" s="261"/>
    </row>
    <row r="4240" spans="1:2" x14ac:dyDescent="0.55000000000000004">
      <c r="A4240"/>
      <c r="B4240" s="261"/>
    </row>
    <row r="4241" spans="1:2" x14ac:dyDescent="0.55000000000000004">
      <c r="A4241"/>
      <c r="B4241" s="261"/>
    </row>
    <row r="4242" spans="1:2" x14ac:dyDescent="0.55000000000000004">
      <c r="A4242"/>
      <c r="B4242" s="261"/>
    </row>
    <row r="4243" spans="1:2" x14ac:dyDescent="0.55000000000000004">
      <c r="A4243"/>
      <c r="B4243" s="261"/>
    </row>
    <row r="4244" spans="1:2" x14ac:dyDescent="0.55000000000000004">
      <c r="A4244"/>
      <c r="B4244" s="261"/>
    </row>
    <row r="4245" spans="1:2" x14ac:dyDescent="0.55000000000000004">
      <c r="A4245"/>
      <c r="B4245" s="261"/>
    </row>
    <row r="4246" spans="1:2" x14ac:dyDescent="0.55000000000000004">
      <c r="A4246"/>
      <c r="B4246" s="261"/>
    </row>
    <row r="4247" spans="1:2" x14ac:dyDescent="0.55000000000000004">
      <c r="A4247"/>
      <c r="B4247" s="261"/>
    </row>
    <row r="4248" spans="1:2" x14ac:dyDescent="0.55000000000000004">
      <c r="A4248"/>
      <c r="B4248" s="261"/>
    </row>
    <row r="4249" spans="1:2" x14ac:dyDescent="0.55000000000000004">
      <c r="A4249"/>
      <c r="B4249" s="261"/>
    </row>
    <row r="4250" spans="1:2" x14ac:dyDescent="0.55000000000000004">
      <c r="A4250"/>
      <c r="B4250" s="261"/>
    </row>
    <row r="4251" spans="1:2" x14ac:dyDescent="0.55000000000000004">
      <c r="A4251"/>
      <c r="B4251" s="261"/>
    </row>
    <row r="4252" spans="1:2" x14ac:dyDescent="0.55000000000000004">
      <c r="A4252"/>
      <c r="B4252" s="261"/>
    </row>
    <row r="4253" spans="1:2" x14ac:dyDescent="0.55000000000000004">
      <c r="A4253"/>
      <c r="B4253" s="261"/>
    </row>
    <row r="4254" spans="1:2" x14ac:dyDescent="0.55000000000000004">
      <c r="A4254"/>
      <c r="B4254" s="261"/>
    </row>
    <row r="4255" spans="1:2" x14ac:dyDescent="0.55000000000000004">
      <c r="A4255"/>
      <c r="B4255" s="261"/>
    </row>
    <row r="4256" spans="1:2" x14ac:dyDescent="0.55000000000000004">
      <c r="A4256"/>
      <c r="B4256" s="261"/>
    </row>
    <row r="4257" spans="1:2" x14ac:dyDescent="0.55000000000000004">
      <c r="A4257"/>
      <c r="B4257" s="261"/>
    </row>
    <row r="4258" spans="1:2" x14ac:dyDescent="0.55000000000000004">
      <c r="A4258"/>
      <c r="B4258" s="261"/>
    </row>
    <row r="4259" spans="1:2" x14ac:dyDescent="0.55000000000000004">
      <c r="A4259"/>
      <c r="B4259" s="261"/>
    </row>
    <row r="4260" spans="1:2" x14ac:dyDescent="0.55000000000000004">
      <c r="A4260"/>
      <c r="B4260" s="261"/>
    </row>
    <row r="4261" spans="1:2" x14ac:dyDescent="0.55000000000000004">
      <c r="A4261"/>
      <c r="B4261" s="261"/>
    </row>
    <row r="4262" spans="1:2" x14ac:dyDescent="0.55000000000000004">
      <c r="A4262"/>
      <c r="B4262" s="261"/>
    </row>
    <row r="4263" spans="1:2" x14ac:dyDescent="0.55000000000000004">
      <c r="A4263"/>
      <c r="B4263" s="261"/>
    </row>
    <row r="4264" spans="1:2" x14ac:dyDescent="0.55000000000000004">
      <c r="A4264"/>
      <c r="B4264" s="261"/>
    </row>
    <row r="4265" spans="1:2" x14ac:dyDescent="0.55000000000000004">
      <c r="A4265"/>
      <c r="B4265" s="261"/>
    </row>
    <row r="4266" spans="1:2" x14ac:dyDescent="0.55000000000000004">
      <c r="A4266"/>
      <c r="B4266" s="261"/>
    </row>
    <row r="4267" spans="1:2" x14ac:dyDescent="0.55000000000000004">
      <c r="A4267"/>
      <c r="B4267" s="261"/>
    </row>
    <row r="4268" spans="1:2" x14ac:dyDescent="0.55000000000000004">
      <c r="A4268"/>
      <c r="B4268" s="261"/>
    </row>
    <row r="4269" spans="1:2" x14ac:dyDescent="0.55000000000000004">
      <c r="A4269"/>
      <c r="B4269" s="261"/>
    </row>
    <row r="4270" spans="1:2" x14ac:dyDescent="0.55000000000000004">
      <c r="A4270"/>
      <c r="B4270" s="261"/>
    </row>
    <row r="4271" spans="1:2" x14ac:dyDescent="0.55000000000000004">
      <c r="A4271"/>
      <c r="B4271" s="261"/>
    </row>
    <row r="4272" spans="1:2" x14ac:dyDescent="0.55000000000000004">
      <c r="A4272"/>
      <c r="B4272" s="261"/>
    </row>
    <row r="4273" spans="1:2" x14ac:dyDescent="0.55000000000000004">
      <c r="A4273"/>
      <c r="B4273" s="261"/>
    </row>
    <row r="4274" spans="1:2" x14ac:dyDescent="0.55000000000000004">
      <c r="A4274"/>
      <c r="B4274" s="261"/>
    </row>
    <row r="4275" spans="1:2" x14ac:dyDescent="0.55000000000000004">
      <c r="A4275"/>
      <c r="B4275" s="261"/>
    </row>
    <row r="4276" spans="1:2" x14ac:dyDescent="0.55000000000000004">
      <c r="A4276"/>
      <c r="B4276" s="261"/>
    </row>
    <row r="4277" spans="1:2" x14ac:dyDescent="0.55000000000000004">
      <c r="A4277"/>
      <c r="B4277" s="261"/>
    </row>
    <row r="4278" spans="1:2" x14ac:dyDescent="0.55000000000000004">
      <c r="A4278"/>
      <c r="B4278" s="261"/>
    </row>
    <row r="4279" spans="1:2" x14ac:dyDescent="0.55000000000000004">
      <c r="A4279"/>
      <c r="B4279" s="261"/>
    </row>
    <row r="4280" spans="1:2" x14ac:dyDescent="0.55000000000000004">
      <c r="A4280"/>
      <c r="B4280" s="261"/>
    </row>
    <row r="4281" spans="1:2" x14ac:dyDescent="0.55000000000000004">
      <c r="A4281"/>
      <c r="B4281" s="261"/>
    </row>
    <row r="4282" spans="1:2" x14ac:dyDescent="0.55000000000000004">
      <c r="A4282"/>
      <c r="B4282" s="261"/>
    </row>
    <row r="4283" spans="1:2" x14ac:dyDescent="0.55000000000000004">
      <c r="A4283"/>
      <c r="B4283" s="261"/>
    </row>
    <row r="4284" spans="1:2" x14ac:dyDescent="0.55000000000000004">
      <c r="A4284"/>
      <c r="B4284" s="261"/>
    </row>
    <row r="4285" spans="1:2" x14ac:dyDescent="0.55000000000000004">
      <c r="A4285"/>
      <c r="B4285" s="261"/>
    </row>
    <row r="4286" spans="1:2" x14ac:dyDescent="0.55000000000000004">
      <c r="A4286"/>
      <c r="B4286" s="261"/>
    </row>
    <row r="4287" spans="1:2" x14ac:dyDescent="0.55000000000000004">
      <c r="A4287"/>
      <c r="B4287" s="261"/>
    </row>
    <row r="4288" spans="1:2" x14ac:dyDescent="0.55000000000000004">
      <c r="A4288"/>
      <c r="B4288" s="261"/>
    </row>
    <row r="4289" spans="1:2" x14ac:dyDescent="0.55000000000000004">
      <c r="A4289"/>
      <c r="B4289" s="261"/>
    </row>
    <row r="4290" spans="1:2" x14ac:dyDescent="0.55000000000000004">
      <c r="A4290"/>
      <c r="B4290" s="261"/>
    </row>
    <row r="4291" spans="1:2" x14ac:dyDescent="0.55000000000000004">
      <c r="A4291"/>
      <c r="B4291" s="261"/>
    </row>
    <row r="4292" spans="1:2" x14ac:dyDescent="0.55000000000000004">
      <c r="A4292"/>
      <c r="B4292" s="261"/>
    </row>
    <row r="4293" spans="1:2" x14ac:dyDescent="0.55000000000000004">
      <c r="A4293"/>
      <c r="B4293" s="261"/>
    </row>
    <row r="4294" spans="1:2" x14ac:dyDescent="0.55000000000000004">
      <c r="A4294"/>
      <c r="B4294" s="261"/>
    </row>
    <row r="4295" spans="1:2" x14ac:dyDescent="0.55000000000000004">
      <c r="A4295"/>
      <c r="B4295" s="261"/>
    </row>
    <row r="4296" spans="1:2" x14ac:dyDescent="0.55000000000000004">
      <c r="A4296"/>
      <c r="B4296" s="261"/>
    </row>
    <row r="4297" spans="1:2" x14ac:dyDescent="0.55000000000000004">
      <c r="A4297"/>
      <c r="B4297" s="261"/>
    </row>
    <row r="4298" spans="1:2" x14ac:dyDescent="0.55000000000000004">
      <c r="A4298"/>
      <c r="B4298" s="261"/>
    </row>
    <row r="4299" spans="1:2" x14ac:dyDescent="0.55000000000000004">
      <c r="A4299"/>
      <c r="B4299" s="261"/>
    </row>
    <row r="4300" spans="1:2" x14ac:dyDescent="0.55000000000000004">
      <c r="A4300"/>
      <c r="B4300" s="261"/>
    </row>
    <row r="4301" spans="1:2" x14ac:dyDescent="0.55000000000000004">
      <c r="A4301"/>
      <c r="B4301" s="261"/>
    </row>
    <row r="4302" spans="1:2" x14ac:dyDescent="0.55000000000000004">
      <c r="A4302"/>
      <c r="B4302" s="261"/>
    </row>
    <row r="4303" spans="1:2" x14ac:dyDescent="0.55000000000000004">
      <c r="A4303"/>
      <c r="B4303" s="261"/>
    </row>
    <row r="4304" spans="1:2" x14ac:dyDescent="0.55000000000000004">
      <c r="A4304"/>
      <c r="B4304" s="261"/>
    </row>
    <row r="4305" spans="1:2" x14ac:dyDescent="0.55000000000000004">
      <c r="A4305"/>
      <c r="B4305" s="261"/>
    </row>
    <row r="4306" spans="1:2" x14ac:dyDescent="0.55000000000000004">
      <c r="A4306"/>
      <c r="B4306" s="261"/>
    </row>
    <row r="4307" spans="1:2" x14ac:dyDescent="0.55000000000000004">
      <c r="A4307"/>
      <c r="B4307" s="261"/>
    </row>
  </sheetData>
  <mergeCells count="1">
    <mergeCell ref="A2:B2"/>
  </mergeCells>
  <pageMargins left="0.7" right="0.7" top="0.75" bottom="0.75" header="0.3" footer="0.3"/>
  <pageSetup orientation="portrait"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FF0000"/>
  </sheetPr>
  <dimension ref="A1:H3265"/>
  <sheetViews>
    <sheetView topLeftCell="A3253" zoomScale="99" zoomScaleNormal="99" workbookViewId="0">
      <selection activeCell="A2" sqref="A2"/>
    </sheetView>
  </sheetViews>
  <sheetFormatPr defaultColWidth="9.28515625" defaultRowHeight="24.75" customHeight="1" x14ac:dyDescent="0.55000000000000004"/>
  <cols>
    <col min="1" max="1" width="7.28515625" style="592" customWidth="1"/>
    <col min="2" max="2" width="16" style="596" bestFit="1" customWidth="1"/>
    <col min="3" max="3" width="59.7109375" style="592" customWidth="1"/>
    <col min="4" max="4" width="15.140625" style="592" customWidth="1"/>
    <col min="5" max="5" width="21.5703125" style="597" customWidth="1"/>
    <col min="6" max="6" width="23.28515625" style="597" customWidth="1"/>
    <col min="7" max="7" width="18" style="597" customWidth="1"/>
    <col min="8" max="8" width="21.5703125" style="592" customWidth="1"/>
    <col min="9" max="16384" width="9.28515625" style="592"/>
  </cols>
  <sheetData>
    <row r="1" spans="1:8" ht="24.75" customHeight="1" x14ac:dyDescent="0.55000000000000004">
      <c r="A1" s="592" t="s">
        <v>58</v>
      </c>
      <c r="B1" s="592" t="s">
        <v>1379</v>
      </c>
      <c r="C1" s="596" t="s">
        <v>1382</v>
      </c>
      <c r="D1" s="596" t="s">
        <v>917</v>
      </c>
      <c r="E1" s="592" t="s">
        <v>6311</v>
      </c>
      <c r="F1" s="592" t="s">
        <v>6312</v>
      </c>
      <c r="G1" s="644" t="s">
        <v>6625</v>
      </c>
      <c r="H1" s="732" t="s">
        <v>2050</v>
      </c>
    </row>
    <row r="2" spans="1:8" ht="24.75" customHeight="1" x14ac:dyDescent="0.55000000000000004">
      <c r="A2" s="592">
        <v>1</v>
      </c>
      <c r="B2" s="596">
        <v>11001</v>
      </c>
      <c r="C2" s="592" t="s">
        <v>3479</v>
      </c>
      <c r="D2" s="592">
        <v>1</v>
      </c>
      <c r="E2" s="597">
        <v>2000</v>
      </c>
      <c r="F2" s="597">
        <v>2000</v>
      </c>
      <c r="G2" s="597">
        <v>800</v>
      </c>
      <c r="H2" s="592" t="s">
        <v>933</v>
      </c>
    </row>
    <row r="3" spans="1:8" ht="24.75" customHeight="1" x14ac:dyDescent="0.55000000000000004">
      <c r="A3" s="592">
        <v>2</v>
      </c>
      <c r="B3" s="596">
        <v>1100100</v>
      </c>
      <c r="C3" s="592" t="s">
        <v>7466</v>
      </c>
      <c r="D3" s="592">
        <v>2</v>
      </c>
      <c r="E3" s="597">
        <v>32500</v>
      </c>
      <c r="F3" s="597">
        <v>32500</v>
      </c>
      <c r="G3" s="597">
        <v>52000</v>
      </c>
      <c r="H3" s="592" t="s">
        <v>1397</v>
      </c>
    </row>
    <row r="4" spans="1:8" ht="24.75" customHeight="1" x14ac:dyDescent="0.55000000000000004">
      <c r="A4" s="592">
        <v>3</v>
      </c>
      <c r="B4" s="596">
        <v>1100101</v>
      </c>
      <c r="C4" s="592" t="s">
        <v>3480</v>
      </c>
      <c r="D4" s="592">
        <v>6</v>
      </c>
      <c r="E4" s="597">
        <v>5000</v>
      </c>
      <c r="F4" s="597">
        <v>5000</v>
      </c>
      <c r="G4" s="597">
        <v>24000</v>
      </c>
      <c r="H4" s="592" t="s">
        <v>1397</v>
      </c>
    </row>
    <row r="5" spans="1:8" ht="24.75" customHeight="1" x14ac:dyDescent="0.55000000000000004">
      <c r="A5" s="592">
        <v>4</v>
      </c>
      <c r="B5" s="596">
        <v>1100102</v>
      </c>
      <c r="C5" s="592" t="s">
        <v>3206</v>
      </c>
      <c r="D5" s="592">
        <v>12</v>
      </c>
      <c r="E5" s="597">
        <v>4000</v>
      </c>
      <c r="F5" s="597">
        <v>4000</v>
      </c>
      <c r="G5" s="597">
        <v>35400</v>
      </c>
      <c r="H5" s="592" t="s">
        <v>1397</v>
      </c>
    </row>
    <row r="6" spans="1:8" ht="24.75" customHeight="1" x14ac:dyDescent="0.55000000000000004">
      <c r="A6" s="592">
        <v>5</v>
      </c>
      <c r="B6" s="596">
        <v>1100103</v>
      </c>
      <c r="C6" s="592" t="s">
        <v>8642</v>
      </c>
      <c r="D6" s="592">
        <v>5</v>
      </c>
      <c r="E6" s="597">
        <v>1200</v>
      </c>
      <c r="F6" s="597">
        <v>1200</v>
      </c>
      <c r="G6" s="597">
        <v>4000</v>
      </c>
      <c r="H6" s="592" t="s">
        <v>1397</v>
      </c>
    </row>
    <row r="7" spans="1:8" ht="24.75" customHeight="1" x14ac:dyDescent="0.55000000000000004">
      <c r="A7" s="592">
        <v>6</v>
      </c>
      <c r="B7" s="596">
        <v>1100104</v>
      </c>
      <c r="C7" s="592" t="s">
        <v>3207</v>
      </c>
      <c r="D7" s="592">
        <v>10</v>
      </c>
      <c r="E7" s="597">
        <v>4000</v>
      </c>
      <c r="F7" s="597">
        <v>4000</v>
      </c>
      <c r="G7" s="597">
        <v>30000</v>
      </c>
      <c r="H7" s="592" t="s">
        <v>1397</v>
      </c>
    </row>
    <row r="8" spans="1:8" ht="24.75" customHeight="1" x14ac:dyDescent="0.55000000000000004">
      <c r="A8" s="592">
        <v>7</v>
      </c>
      <c r="B8" s="596">
        <v>1100105</v>
      </c>
      <c r="C8" s="592" t="s">
        <v>3208</v>
      </c>
      <c r="D8" s="592">
        <v>3</v>
      </c>
      <c r="E8" s="597">
        <v>2000</v>
      </c>
      <c r="F8" s="597">
        <v>2000</v>
      </c>
      <c r="G8" s="597">
        <v>4050</v>
      </c>
      <c r="H8" s="592" t="s">
        <v>1397</v>
      </c>
    </row>
    <row r="9" spans="1:8" ht="24.75" customHeight="1" x14ac:dyDescent="0.55000000000000004">
      <c r="A9" s="592">
        <v>8</v>
      </c>
      <c r="B9" s="596">
        <v>1100106</v>
      </c>
      <c r="C9" s="592" t="s">
        <v>3481</v>
      </c>
      <c r="D9" s="592">
        <v>1</v>
      </c>
      <c r="E9" s="597">
        <v>32000</v>
      </c>
      <c r="F9" s="597">
        <v>32000</v>
      </c>
      <c r="G9" s="597">
        <v>22564</v>
      </c>
      <c r="H9" s="592" t="s">
        <v>1397</v>
      </c>
    </row>
    <row r="10" spans="1:8" ht="24.75" customHeight="1" x14ac:dyDescent="0.55000000000000004">
      <c r="A10" s="592">
        <v>9</v>
      </c>
      <c r="B10" s="596">
        <v>1100107</v>
      </c>
      <c r="C10" s="592" t="s">
        <v>6154</v>
      </c>
      <c r="D10" s="592">
        <v>1</v>
      </c>
      <c r="E10" s="597">
        <v>20000</v>
      </c>
      <c r="F10" s="597">
        <v>20000</v>
      </c>
      <c r="G10" s="597">
        <v>16000</v>
      </c>
      <c r="H10" s="592" t="s">
        <v>1397</v>
      </c>
    </row>
    <row r="11" spans="1:8" ht="24.75" customHeight="1" x14ac:dyDescent="0.55000000000000004">
      <c r="A11" s="592">
        <v>10</v>
      </c>
      <c r="B11" s="596">
        <v>1100109</v>
      </c>
      <c r="C11" s="592" t="s">
        <v>3482</v>
      </c>
      <c r="D11" s="592">
        <v>1</v>
      </c>
      <c r="E11" s="597">
        <v>15500</v>
      </c>
      <c r="F11" s="597">
        <v>15500</v>
      </c>
      <c r="G11" s="597">
        <v>11272</v>
      </c>
      <c r="H11" s="592" t="s">
        <v>1397</v>
      </c>
    </row>
    <row r="12" spans="1:8" ht="24.75" customHeight="1" x14ac:dyDescent="0.55000000000000004">
      <c r="A12" s="592">
        <v>11</v>
      </c>
      <c r="B12" s="596">
        <v>110011</v>
      </c>
      <c r="C12" s="592" t="s">
        <v>3483</v>
      </c>
      <c r="D12" s="592">
        <v>1</v>
      </c>
      <c r="E12" s="597">
        <v>6500</v>
      </c>
      <c r="F12" s="597">
        <v>6500</v>
      </c>
      <c r="G12" s="597">
        <v>4124</v>
      </c>
      <c r="H12" s="592" t="s">
        <v>1397</v>
      </c>
    </row>
    <row r="13" spans="1:8" ht="24.75" customHeight="1" x14ac:dyDescent="0.55000000000000004">
      <c r="A13" s="592">
        <v>12</v>
      </c>
      <c r="B13" s="596">
        <v>1100110</v>
      </c>
      <c r="C13" s="592" t="s">
        <v>6135</v>
      </c>
      <c r="D13" s="592">
        <v>1</v>
      </c>
      <c r="E13" s="597">
        <v>22000</v>
      </c>
      <c r="F13" s="597">
        <v>22000</v>
      </c>
      <c r="G13" s="597">
        <v>15000</v>
      </c>
      <c r="H13" s="592" t="s">
        <v>1397</v>
      </c>
    </row>
    <row r="14" spans="1:8" ht="24.75" customHeight="1" x14ac:dyDescent="0.55000000000000004">
      <c r="A14" s="592">
        <v>13</v>
      </c>
      <c r="B14" s="596">
        <v>1100118</v>
      </c>
      <c r="C14" s="592" t="s">
        <v>8643</v>
      </c>
      <c r="D14" s="592">
        <v>2</v>
      </c>
      <c r="E14" s="597">
        <v>11500</v>
      </c>
      <c r="F14" s="597">
        <v>11500</v>
      </c>
      <c r="G14" s="597">
        <v>16764</v>
      </c>
      <c r="H14" s="592" t="s">
        <v>1397</v>
      </c>
    </row>
    <row r="15" spans="1:8" ht="24.75" customHeight="1" x14ac:dyDescent="0.55000000000000004">
      <c r="A15" s="592">
        <v>14</v>
      </c>
      <c r="B15" s="596">
        <v>110012</v>
      </c>
      <c r="C15" s="592" t="s">
        <v>3484</v>
      </c>
      <c r="D15" s="592">
        <v>5</v>
      </c>
      <c r="E15" s="597">
        <v>2700</v>
      </c>
      <c r="F15" s="597">
        <v>2700</v>
      </c>
      <c r="G15" s="597">
        <v>7030</v>
      </c>
      <c r="H15" s="592" t="s">
        <v>1397</v>
      </c>
    </row>
    <row r="16" spans="1:8" ht="24.75" customHeight="1" x14ac:dyDescent="0.55000000000000004">
      <c r="A16" s="592">
        <v>15</v>
      </c>
      <c r="B16" s="596">
        <v>1100120</v>
      </c>
      <c r="C16" s="592" t="s">
        <v>8644</v>
      </c>
      <c r="D16" s="592">
        <v>2</v>
      </c>
      <c r="E16" s="597">
        <v>20000</v>
      </c>
      <c r="F16" s="597">
        <v>20000</v>
      </c>
      <c r="G16" s="597">
        <v>31108</v>
      </c>
      <c r="H16" s="592" t="s">
        <v>933</v>
      </c>
    </row>
    <row r="17" spans="1:8" ht="24.75" customHeight="1" x14ac:dyDescent="0.55000000000000004">
      <c r="A17" s="592">
        <v>16</v>
      </c>
      <c r="B17" s="596">
        <v>1100121</v>
      </c>
      <c r="C17" s="592" t="s">
        <v>8504</v>
      </c>
      <c r="D17" s="592">
        <v>4</v>
      </c>
      <c r="E17" s="597">
        <v>2000</v>
      </c>
      <c r="F17" s="597">
        <v>2000</v>
      </c>
      <c r="G17" s="597">
        <v>5200</v>
      </c>
      <c r="H17" s="592" t="s">
        <v>1397</v>
      </c>
    </row>
    <row r="18" spans="1:8" ht="24.75" customHeight="1" x14ac:dyDescent="0.55000000000000004">
      <c r="A18" s="592">
        <v>17</v>
      </c>
      <c r="B18" s="596">
        <v>1100122</v>
      </c>
      <c r="C18" s="592" t="s">
        <v>8645</v>
      </c>
      <c r="D18" s="592">
        <v>2</v>
      </c>
      <c r="E18" s="597">
        <v>8000</v>
      </c>
      <c r="F18" s="597">
        <v>8000</v>
      </c>
      <c r="G18" s="597">
        <v>11000</v>
      </c>
      <c r="H18" s="592" t="s">
        <v>1397</v>
      </c>
    </row>
    <row r="19" spans="1:8" ht="24.75" customHeight="1" x14ac:dyDescent="0.55000000000000004">
      <c r="A19" s="592">
        <v>18</v>
      </c>
      <c r="B19" s="596">
        <v>11002</v>
      </c>
      <c r="C19" s="592" t="s">
        <v>3485</v>
      </c>
      <c r="D19" s="592">
        <v>1</v>
      </c>
      <c r="E19" s="597">
        <v>29000</v>
      </c>
      <c r="F19" s="597">
        <v>29000</v>
      </c>
      <c r="G19" s="597">
        <v>23000</v>
      </c>
      <c r="H19" s="592" t="s">
        <v>1397</v>
      </c>
    </row>
    <row r="20" spans="1:8" ht="24.75" customHeight="1" x14ac:dyDescent="0.55000000000000004">
      <c r="A20" s="592">
        <v>19</v>
      </c>
      <c r="B20" s="596">
        <v>11003</v>
      </c>
      <c r="C20" s="592" t="s">
        <v>6903</v>
      </c>
      <c r="D20" s="592">
        <v>2</v>
      </c>
      <c r="E20" s="597">
        <v>10000</v>
      </c>
      <c r="F20" s="597">
        <v>10000</v>
      </c>
      <c r="G20" s="597">
        <v>14600</v>
      </c>
      <c r="H20" s="592" t="s">
        <v>1397</v>
      </c>
    </row>
    <row r="21" spans="1:8" ht="24.75" customHeight="1" x14ac:dyDescent="0.55000000000000004">
      <c r="A21" s="592">
        <v>20</v>
      </c>
      <c r="B21" s="596">
        <v>11004</v>
      </c>
      <c r="C21" s="592" t="s">
        <v>7467</v>
      </c>
      <c r="D21" s="592">
        <v>1</v>
      </c>
      <c r="E21" s="597">
        <v>10000</v>
      </c>
      <c r="F21" s="597">
        <v>10000</v>
      </c>
      <c r="G21" s="597">
        <v>6200</v>
      </c>
      <c r="H21" s="592" t="s">
        <v>1397</v>
      </c>
    </row>
    <row r="22" spans="1:8" ht="24.75" customHeight="1" x14ac:dyDescent="0.55000000000000004">
      <c r="A22" s="592">
        <v>21</v>
      </c>
      <c r="B22" s="596">
        <v>11005</v>
      </c>
      <c r="C22" s="592" t="s">
        <v>3486</v>
      </c>
      <c r="D22" s="592">
        <v>2</v>
      </c>
      <c r="E22" s="597">
        <v>8500</v>
      </c>
      <c r="F22" s="597">
        <v>8500</v>
      </c>
      <c r="G22" s="597">
        <v>11100</v>
      </c>
      <c r="H22" s="592" t="s">
        <v>933</v>
      </c>
    </row>
    <row r="23" spans="1:8" ht="24.75" customHeight="1" x14ac:dyDescent="0.55000000000000004">
      <c r="A23" s="592">
        <v>22</v>
      </c>
      <c r="B23" s="596">
        <v>11006</v>
      </c>
      <c r="C23" s="592" t="s">
        <v>3487</v>
      </c>
      <c r="D23" s="592">
        <v>3</v>
      </c>
      <c r="E23" s="597">
        <v>11500</v>
      </c>
      <c r="F23" s="597">
        <v>11500</v>
      </c>
      <c r="G23" s="597">
        <v>21900</v>
      </c>
      <c r="H23" s="592" t="s">
        <v>933</v>
      </c>
    </row>
    <row r="24" spans="1:8" ht="24.75" customHeight="1" x14ac:dyDescent="0.55000000000000004">
      <c r="A24" s="592">
        <v>23</v>
      </c>
      <c r="B24" s="596">
        <v>11008</v>
      </c>
      <c r="C24" s="592" t="s">
        <v>6155</v>
      </c>
      <c r="D24" s="592">
        <v>2</v>
      </c>
      <c r="E24" s="597">
        <v>14500</v>
      </c>
      <c r="F24" s="597">
        <v>14500</v>
      </c>
      <c r="G24" s="597">
        <v>19000</v>
      </c>
      <c r="H24" s="592" t="s">
        <v>1397</v>
      </c>
    </row>
    <row r="25" spans="1:8" ht="24.75" customHeight="1" x14ac:dyDescent="0.55000000000000004">
      <c r="A25" s="592">
        <v>24</v>
      </c>
      <c r="B25" s="596">
        <v>11009</v>
      </c>
      <c r="C25" s="592" t="s">
        <v>3488</v>
      </c>
      <c r="D25" s="592">
        <v>1</v>
      </c>
      <c r="E25" s="597">
        <v>5500</v>
      </c>
      <c r="F25" s="597">
        <v>5500</v>
      </c>
      <c r="G25" s="597">
        <v>3600</v>
      </c>
      <c r="H25" s="592" t="s">
        <v>933</v>
      </c>
    </row>
    <row r="26" spans="1:8" ht="24.75" customHeight="1" x14ac:dyDescent="0.55000000000000004">
      <c r="A26" s="592">
        <v>25</v>
      </c>
      <c r="B26" s="596">
        <v>110131</v>
      </c>
      <c r="C26" s="592" t="s">
        <v>3489</v>
      </c>
      <c r="D26" s="592">
        <v>5</v>
      </c>
      <c r="E26" s="597">
        <v>2300</v>
      </c>
      <c r="F26" s="597">
        <v>2300</v>
      </c>
      <c r="G26" s="597">
        <v>7675</v>
      </c>
      <c r="H26" s="592" t="s">
        <v>1397</v>
      </c>
    </row>
    <row r="27" spans="1:8" ht="24.75" customHeight="1" x14ac:dyDescent="0.55000000000000004">
      <c r="A27" s="592">
        <v>26</v>
      </c>
      <c r="B27" s="596">
        <v>11015</v>
      </c>
      <c r="C27" s="592" t="s">
        <v>3490</v>
      </c>
      <c r="D27" s="592">
        <v>1</v>
      </c>
      <c r="E27" s="597">
        <v>29000</v>
      </c>
      <c r="F27" s="597">
        <v>29000</v>
      </c>
      <c r="G27" s="597">
        <v>25000</v>
      </c>
      <c r="H27" s="592" t="s">
        <v>1397</v>
      </c>
    </row>
    <row r="28" spans="1:8" ht="24.75" customHeight="1" x14ac:dyDescent="0.55000000000000004">
      <c r="A28" s="592">
        <v>27</v>
      </c>
      <c r="B28" s="596">
        <v>1110002</v>
      </c>
      <c r="C28" s="592" t="s">
        <v>3491</v>
      </c>
      <c r="D28" s="592">
        <v>10</v>
      </c>
      <c r="E28" s="597">
        <v>1500</v>
      </c>
      <c r="F28" s="597">
        <v>1500</v>
      </c>
      <c r="G28" s="597">
        <v>8500</v>
      </c>
      <c r="H28" s="592" t="s">
        <v>1397</v>
      </c>
    </row>
    <row r="29" spans="1:8" ht="24.75" customHeight="1" x14ac:dyDescent="0.55000000000000004">
      <c r="A29" s="592">
        <v>28</v>
      </c>
      <c r="B29" s="596">
        <v>1110003</v>
      </c>
      <c r="C29" s="592" t="s">
        <v>6313</v>
      </c>
      <c r="D29" s="592">
        <v>1</v>
      </c>
      <c r="E29" s="597">
        <v>3500</v>
      </c>
      <c r="F29" s="597">
        <v>3500</v>
      </c>
      <c r="G29" s="597">
        <v>2500</v>
      </c>
      <c r="H29" s="592" t="s">
        <v>1397</v>
      </c>
    </row>
    <row r="30" spans="1:8" ht="24.75" customHeight="1" x14ac:dyDescent="0.55000000000000004">
      <c r="A30" s="592">
        <v>29</v>
      </c>
      <c r="B30" s="596">
        <v>11100059</v>
      </c>
      <c r="C30" s="592" t="s">
        <v>6314</v>
      </c>
      <c r="D30" s="592">
        <v>52</v>
      </c>
      <c r="E30" s="597">
        <v>200</v>
      </c>
      <c r="F30" s="597">
        <v>200</v>
      </c>
      <c r="G30" s="597">
        <v>4212</v>
      </c>
      <c r="H30" s="592" t="s">
        <v>1397</v>
      </c>
    </row>
    <row r="31" spans="1:8" ht="24.75" customHeight="1" x14ac:dyDescent="0.55000000000000004">
      <c r="A31" s="592">
        <v>30</v>
      </c>
      <c r="B31" s="596">
        <v>11100060</v>
      </c>
      <c r="C31" s="592" t="s">
        <v>6315</v>
      </c>
      <c r="D31" s="592">
        <v>4</v>
      </c>
      <c r="E31" s="597">
        <v>1000</v>
      </c>
      <c r="F31" s="597">
        <v>1000</v>
      </c>
      <c r="G31" s="597">
        <v>2600</v>
      </c>
      <c r="H31" s="592" t="s">
        <v>1397</v>
      </c>
    </row>
    <row r="32" spans="1:8" ht="24.75" customHeight="1" x14ac:dyDescent="0.55000000000000004">
      <c r="A32" s="592">
        <v>31</v>
      </c>
      <c r="B32" s="596">
        <v>1110008</v>
      </c>
      <c r="C32" s="592" t="s">
        <v>3181</v>
      </c>
      <c r="D32" s="592">
        <v>4</v>
      </c>
      <c r="E32" s="597">
        <v>2500</v>
      </c>
      <c r="F32" s="597">
        <v>2500</v>
      </c>
      <c r="G32" s="597">
        <v>7000</v>
      </c>
      <c r="H32" s="592" t="s">
        <v>1397</v>
      </c>
    </row>
    <row r="33" spans="1:8" ht="24.75" customHeight="1" x14ac:dyDescent="0.55000000000000004">
      <c r="A33" s="592">
        <v>32</v>
      </c>
      <c r="B33" s="596">
        <v>1110009</v>
      </c>
      <c r="C33" s="592" t="s">
        <v>1398</v>
      </c>
      <c r="D33" s="592">
        <v>8</v>
      </c>
      <c r="E33" s="597">
        <v>3800</v>
      </c>
      <c r="F33" s="597">
        <v>3800</v>
      </c>
      <c r="G33" s="597">
        <v>21600</v>
      </c>
      <c r="H33" s="592" t="s">
        <v>1397</v>
      </c>
    </row>
    <row r="34" spans="1:8" ht="24.75" customHeight="1" x14ac:dyDescent="0.55000000000000004">
      <c r="A34" s="592">
        <v>33</v>
      </c>
      <c r="B34" s="596">
        <v>11100117</v>
      </c>
      <c r="C34" s="592" t="s">
        <v>3492</v>
      </c>
      <c r="D34" s="592">
        <v>3</v>
      </c>
      <c r="E34" s="597">
        <v>1500</v>
      </c>
      <c r="F34" s="597">
        <v>1500</v>
      </c>
      <c r="G34" s="597">
        <v>2280</v>
      </c>
      <c r="H34" s="592" t="s">
        <v>1397</v>
      </c>
    </row>
    <row r="35" spans="1:8" ht="24.75" customHeight="1" x14ac:dyDescent="0.55000000000000004">
      <c r="A35" s="592">
        <v>34</v>
      </c>
      <c r="B35" s="596">
        <v>1110012</v>
      </c>
      <c r="C35" s="592" t="s">
        <v>3493</v>
      </c>
      <c r="D35" s="592">
        <v>1</v>
      </c>
      <c r="E35" s="597">
        <v>30000</v>
      </c>
      <c r="F35" s="597">
        <v>30000</v>
      </c>
      <c r="G35" s="597">
        <v>24285</v>
      </c>
      <c r="H35" s="592" t="s">
        <v>933</v>
      </c>
    </row>
    <row r="36" spans="1:8" ht="24.75" customHeight="1" x14ac:dyDescent="0.55000000000000004">
      <c r="A36" s="592">
        <v>35</v>
      </c>
      <c r="B36" s="596">
        <v>1110014</v>
      </c>
      <c r="C36" s="592" t="s">
        <v>6316</v>
      </c>
      <c r="D36" s="592">
        <v>1</v>
      </c>
      <c r="E36" s="597">
        <v>1500</v>
      </c>
      <c r="F36" s="597">
        <v>1500</v>
      </c>
      <c r="G36" s="597">
        <v>1000</v>
      </c>
      <c r="H36" s="592" t="s">
        <v>1397</v>
      </c>
    </row>
    <row r="37" spans="1:8" ht="24.75" customHeight="1" x14ac:dyDescent="0.55000000000000004">
      <c r="A37" s="592">
        <v>36</v>
      </c>
      <c r="B37" s="596">
        <v>1110016</v>
      </c>
      <c r="C37" s="592" t="s">
        <v>6317</v>
      </c>
      <c r="D37" s="592">
        <v>2</v>
      </c>
      <c r="E37" s="597">
        <v>1300</v>
      </c>
      <c r="F37" s="597">
        <v>1300</v>
      </c>
      <c r="G37" s="597">
        <v>926</v>
      </c>
      <c r="H37" s="592" t="s">
        <v>1397</v>
      </c>
    </row>
    <row r="38" spans="1:8" ht="24.75" customHeight="1" x14ac:dyDescent="0.55000000000000004">
      <c r="A38" s="592">
        <v>37</v>
      </c>
      <c r="B38" s="596">
        <v>1110017</v>
      </c>
      <c r="C38" s="592" t="s">
        <v>6318</v>
      </c>
      <c r="D38" s="592">
        <v>5</v>
      </c>
      <c r="E38" s="597">
        <v>800</v>
      </c>
      <c r="F38" s="597">
        <v>800</v>
      </c>
      <c r="G38" s="597">
        <v>2500</v>
      </c>
      <c r="H38" s="592" t="s">
        <v>1397</v>
      </c>
    </row>
    <row r="39" spans="1:8" ht="24.75" customHeight="1" x14ac:dyDescent="0.55000000000000004">
      <c r="A39" s="592">
        <v>38</v>
      </c>
      <c r="B39" s="596">
        <v>1110019</v>
      </c>
      <c r="C39" s="592" t="s">
        <v>8646</v>
      </c>
      <c r="D39" s="592">
        <v>3</v>
      </c>
      <c r="E39" s="597">
        <v>52000</v>
      </c>
      <c r="F39" s="597">
        <v>52000</v>
      </c>
      <c r="G39" s="597">
        <v>132000</v>
      </c>
      <c r="H39" s="592" t="s">
        <v>1397</v>
      </c>
    </row>
    <row r="40" spans="1:8" ht="24.75" customHeight="1" x14ac:dyDescent="0.55000000000000004">
      <c r="A40" s="592">
        <v>39</v>
      </c>
      <c r="B40" s="596">
        <v>1110020</v>
      </c>
      <c r="C40" s="592" t="s">
        <v>1399</v>
      </c>
      <c r="D40" s="592">
        <v>56</v>
      </c>
      <c r="E40" s="597">
        <v>200</v>
      </c>
      <c r="F40" s="597">
        <v>200</v>
      </c>
      <c r="G40" s="597">
        <v>5600</v>
      </c>
      <c r="H40" s="592" t="s">
        <v>1397</v>
      </c>
    </row>
    <row r="41" spans="1:8" ht="24.75" customHeight="1" x14ac:dyDescent="0.55000000000000004">
      <c r="A41" s="592">
        <v>40</v>
      </c>
      <c r="B41" s="596">
        <v>1110021</v>
      </c>
      <c r="C41" s="592" t="s">
        <v>8345</v>
      </c>
      <c r="D41" s="592">
        <v>1</v>
      </c>
      <c r="E41" s="597">
        <v>47000</v>
      </c>
      <c r="F41" s="597">
        <v>47000</v>
      </c>
      <c r="G41" s="597">
        <v>42268</v>
      </c>
      <c r="H41" s="592" t="s">
        <v>933</v>
      </c>
    </row>
    <row r="42" spans="1:8" ht="24.75" customHeight="1" x14ac:dyDescent="0.55000000000000004">
      <c r="A42" s="592">
        <v>41</v>
      </c>
      <c r="B42" s="596">
        <v>1110023</v>
      </c>
      <c r="C42" s="592" t="s">
        <v>7300</v>
      </c>
      <c r="D42" s="592">
        <v>14</v>
      </c>
      <c r="E42" s="597">
        <v>7000</v>
      </c>
      <c r="F42" s="597">
        <v>7000</v>
      </c>
      <c r="G42" s="597">
        <v>78960</v>
      </c>
      <c r="H42" s="592" t="s">
        <v>933</v>
      </c>
    </row>
    <row r="43" spans="1:8" ht="24.75" customHeight="1" x14ac:dyDescent="0.55000000000000004">
      <c r="A43" s="592">
        <v>42</v>
      </c>
      <c r="B43" s="596">
        <v>1110026</v>
      </c>
      <c r="C43" s="592" t="s">
        <v>1400</v>
      </c>
      <c r="D43" s="592">
        <v>4</v>
      </c>
      <c r="E43" s="597">
        <v>2500</v>
      </c>
      <c r="F43" s="597">
        <v>2500</v>
      </c>
      <c r="G43" s="597">
        <v>6000</v>
      </c>
      <c r="H43" s="592" t="s">
        <v>1397</v>
      </c>
    </row>
    <row r="44" spans="1:8" ht="24.75" customHeight="1" x14ac:dyDescent="0.55000000000000004">
      <c r="A44" s="592">
        <v>43</v>
      </c>
      <c r="B44" s="596">
        <v>1110027</v>
      </c>
      <c r="C44" s="592" t="s">
        <v>1401</v>
      </c>
      <c r="D44" s="592">
        <v>2</v>
      </c>
      <c r="E44" s="597">
        <v>5500</v>
      </c>
      <c r="F44" s="597">
        <v>5500</v>
      </c>
      <c r="G44" s="597">
        <v>7000</v>
      </c>
      <c r="H44" s="592" t="s">
        <v>1397</v>
      </c>
    </row>
    <row r="45" spans="1:8" ht="24.75" customHeight="1" x14ac:dyDescent="0.55000000000000004">
      <c r="A45" s="592">
        <v>44</v>
      </c>
      <c r="B45" s="596">
        <v>1110029</v>
      </c>
      <c r="C45" s="592" t="s">
        <v>8346</v>
      </c>
      <c r="D45" s="592">
        <v>10</v>
      </c>
      <c r="E45" s="597">
        <v>1500</v>
      </c>
      <c r="F45" s="597">
        <v>1500</v>
      </c>
      <c r="G45" s="597">
        <v>9580</v>
      </c>
      <c r="H45" s="592" t="s">
        <v>933</v>
      </c>
    </row>
    <row r="46" spans="1:8" ht="24.75" customHeight="1" x14ac:dyDescent="0.55000000000000004">
      <c r="A46" s="592">
        <v>45</v>
      </c>
      <c r="B46" s="596">
        <v>1110031</v>
      </c>
      <c r="C46" s="592" t="s">
        <v>3494</v>
      </c>
      <c r="D46" s="592">
        <v>2</v>
      </c>
      <c r="E46" s="597">
        <v>3000</v>
      </c>
      <c r="F46" s="597">
        <v>3000</v>
      </c>
      <c r="G46" s="597">
        <v>3600</v>
      </c>
      <c r="H46" s="592" t="s">
        <v>1397</v>
      </c>
    </row>
    <row r="47" spans="1:8" ht="24.75" customHeight="1" x14ac:dyDescent="0.55000000000000004">
      <c r="A47" s="592">
        <v>46</v>
      </c>
      <c r="B47" s="596">
        <v>1110033</v>
      </c>
      <c r="C47" s="592" t="s">
        <v>7970</v>
      </c>
      <c r="D47" s="592">
        <v>2</v>
      </c>
      <c r="E47" s="597">
        <v>23000</v>
      </c>
      <c r="F47" s="597">
        <v>23000</v>
      </c>
      <c r="G47" s="597">
        <v>35970</v>
      </c>
      <c r="H47" s="592" t="s">
        <v>933</v>
      </c>
    </row>
    <row r="48" spans="1:8" ht="24.75" customHeight="1" x14ac:dyDescent="0.55000000000000004">
      <c r="A48" s="592">
        <v>47</v>
      </c>
      <c r="B48" s="596">
        <v>1110034</v>
      </c>
      <c r="C48" s="592" t="s">
        <v>7468</v>
      </c>
      <c r="D48" s="592">
        <v>2</v>
      </c>
      <c r="E48" s="597">
        <v>8000</v>
      </c>
      <c r="F48" s="597">
        <v>8000</v>
      </c>
      <c r="G48" s="597">
        <v>11000</v>
      </c>
      <c r="H48" s="592" t="s">
        <v>1397</v>
      </c>
    </row>
    <row r="49" spans="1:8" ht="24.75" customHeight="1" x14ac:dyDescent="0.55000000000000004">
      <c r="A49" s="592">
        <v>48</v>
      </c>
      <c r="B49" s="596">
        <v>1110036</v>
      </c>
      <c r="C49" s="592" t="s">
        <v>7301</v>
      </c>
      <c r="D49" s="592">
        <v>1</v>
      </c>
      <c r="E49" s="597">
        <v>11000</v>
      </c>
      <c r="F49" s="597">
        <v>11000</v>
      </c>
      <c r="G49" s="597">
        <v>8200</v>
      </c>
      <c r="H49" s="592" t="s">
        <v>1397</v>
      </c>
    </row>
    <row r="50" spans="1:8" ht="24.75" customHeight="1" x14ac:dyDescent="0.55000000000000004">
      <c r="A50" s="592">
        <v>49</v>
      </c>
      <c r="B50" s="596">
        <v>1110037</v>
      </c>
      <c r="C50" s="592" t="s">
        <v>8505</v>
      </c>
      <c r="D50" s="592">
        <v>1</v>
      </c>
      <c r="E50" s="597">
        <v>9500</v>
      </c>
      <c r="F50" s="597">
        <v>9500</v>
      </c>
      <c r="G50" s="597">
        <v>7000</v>
      </c>
      <c r="H50" s="592" t="s">
        <v>1397</v>
      </c>
    </row>
    <row r="51" spans="1:8" ht="24.75" customHeight="1" x14ac:dyDescent="0.55000000000000004">
      <c r="A51" s="592">
        <v>50</v>
      </c>
      <c r="B51" s="596">
        <v>1110038</v>
      </c>
      <c r="C51" s="592" t="s">
        <v>3495</v>
      </c>
      <c r="D51" s="592">
        <v>5</v>
      </c>
      <c r="E51" s="597">
        <v>7000</v>
      </c>
      <c r="F51" s="597">
        <v>7000</v>
      </c>
      <c r="G51" s="597">
        <v>24150</v>
      </c>
      <c r="H51" s="592" t="s">
        <v>1397</v>
      </c>
    </row>
    <row r="52" spans="1:8" ht="24.75" customHeight="1" x14ac:dyDescent="0.55000000000000004">
      <c r="A52" s="592">
        <v>51</v>
      </c>
      <c r="B52" s="596">
        <v>1110039</v>
      </c>
      <c r="C52" s="592" t="s">
        <v>8222</v>
      </c>
      <c r="D52" s="592">
        <v>1</v>
      </c>
      <c r="E52" s="597">
        <v>7000</v>
      </c>
      <c r="F52" s="597">
        <v>7000</v>
      </c>
      <c r="G52" s="597">
        <v>4300</v>
      </c>
      <c r="H52" s="592" t="s">
        <v>1397</v>
      </c>
    </row>
    <row r="53" spans="1:8" ht="24.75" customHeight="1" x14ac:dyDescent="0.55000000000000004">
      <c r="A53" s="592">
        <v>52</v>
      </c>
      <c r="B53" s="596">
        <v>1110040</v>
      </c>
      <c r="C53" s="592" t="s">
        <v>3496</v>
      </c>
      <c r="D53" s="592">
        <v>17</v>
      </c>
      <c r="E53" s="597">
        <v>200</v>
      </c>
      <c r="F53" s="597">
        <v>200</v>
      </c>
      <c r="G53" s="597">
        <v>1632</v>
      </c>
      <c r="H53" s="592" t="s">
        <v>1397</v>
      </c>
    </row>
    <row r="54" spans="1:8" ht="24.75" customHeight="1" x14ac:dyDescent="0.55000000000000004">
      <c r="A54" s="592">
        <v>53</v>
      </c>
      <c r="B54" s="596">
        <v>1110041</v>
      </c>
      <c r="C54" s="592" t="s">
        <v>3497</v>
      </c>
      <c r="D54" s="592">
        <v>2</v>
      </c>
      <c r="E54" s="597">
        <v>75000</v>
      </c>
      <c r="F54" s="597">
        <v>75000</v>
      </c>
      <c r="G54" s="597">
        <v>130000</v>
      </c>
      <c r="H54" s="592" t="s">
        <v>1397</v>
      </c>
    </row>
    <row r="55" spans="1:8" ht="24.75" customHeight="1" x14ac:dyDescent="0.55000000000000004">
      <c r="A55" s="592">
        <v>54</v>
      </c>
      <c r="B55" s="596">
        <v>1110042</v>
      </c>
      <c r="C55" s="592" t="s">
        <v>3498</v>
      </c>
      <c r="D55" s="592">
        <v>5</v>
      </c>
      <c r="E55" s="597">
        <v>17500</v>
      </c>
      <c r="F55" s="597">
        <v>17500</v>
      </c>
      <c r="G55" s="597">
        <v>68000</v>
      </c>
      <c r="H55" s="592" t="s">
        <v>933</v>
      </c>
    </row>
    <row r="56" spans="1:8" ht="24.75" customHeight="1" x14ac:dyDescent="0.55000000000000004">
      <c r="A56" s="592">
        <v>55</v>
      </c>
      <c r="B56" s="596">
        <v>1110046</v>
      </c>
      <c r="C56" s="592" t="s">
        <v>3499</v>
      </c>
      <c r="D56" s="592">
        <v>1</v>
      </c>
      <c r="E56" s="597">
        <v>16000</v>
      </c>
      <c r="F56" s="597">
        <v>16000</v>
      </c>
      <c r="G56" s="597">
        <v>9651</v>
      </c>
      <c r="H56" s="592" t="s">
        <v>1397</v>
      </c>
    </row>
    <row r="57" spans="1:8" ht="24.75" customHeight="1" x14ac:dyDescent="0.55000000000000004">
      <c r="A57" s="592">
        <v>56</v>
      </c>
      <c r="B57" s="596">
        <v>1110047</v>
      </c>
      <c r="C57" s="592" t="s">
        <v>3500</v>
      </c>
      <c r="D57" s="592">
        <v>5</v>
      </c>
      <c r="E57" s="597">
        <v>7000</v>
      </c>
      <c r="F57" s="597">
        <v>7000</v>
      </c>
      <c r="G57" s="597">
        <v>25850</v>
      </c>
      <c r="H57" s="592" t="s">
        <v>1397</v>
      </c>
    </row>
    <row r="58" spans="1:8" ht="24.75" customHeight="1" x14ac:dyDescent="0.55000000000000004">
      <c r="A58" s="592">
        <v>57</v>
      </c>
      <c r="B58" s="596">
        <v>1110049</v>
      </c>
      <c r="C58" s="592" t="s">
        <v>3501</v>
      </c>
      <c r="D58" s="592">
        <v>2</v>
      </c>
      <c r="E58" s="597">
        <v>800</v>
      </c>
      <c r="F58" s="597">
        <v>800</v>
      </c>
      <c r="G58" s="597">
        <v>860</v>
      </c>
      <c r="H58" s="592" t="s">
        <v>933</v>
      </c>
    </row>
    <row r="59" spans="1:8" ht="24.75" customHeight="1" x14ac:dyDescent="0.55000000000000004">
      <c r="A59" s="592">
        <v>58</v>
      </c>
      <c r="B59" s="596">
        <v>1110050</v>
      </c>
      <c r="C59" s="592" t="s">
        <v>8223</v>
      </c>
      <c r="D59" s="592">
        <v>2</v>
      </c>
      <c r="E59" s="597">
        <v>2200</v>
      </c>
      <c r="F59" s="597">
        <v>2200</v>
      </c>
      <c r="G59" s="597">
        <v>2600</v>
      </c>
      <c r="H59" s="592" t="s">
        <v>1397</v>
      </c>
    </row>
    <row r="60" spans="1:8" ht="24.75" customHeight="1" x14ac:dyDescent="0.55000000000000004">
      <c r="A60" s="592">
        <v>59</v>
      </c>
      <c r="B60" s="596">
        <v>1110051</v>
      </c>
      <c r="C60" s="592" t="s">
        <v>3502</v>
      </c>
      <c r="D60" s="592">
        <v>7</v>
      </c>
      <c r="E60" s="597">
        <v>2000</v>
      </c>
      <c r="F60" s="597">
        <v>2000</v>
      </c>
      <c r="G60" s="597">
        <v>7700</v>
      </c>
      <c r="H60" s="592" t="s">
        <v>1397</v>
      </c>
    </row>
    <row r="61" spans="1:8" ht="24.75" customHeight="1" x14ac:dyDescent="0.55000000000000004">
      <c r="A61" s="592">
        <v>60</v>
      </c>
      <c r="B61" s="596">
        <v>1110052</v>
      </c>
      <c r="C61" s="592" t="s">
        <v>3503</v>
      </c>
      <c r="D61" s="592">
        <v>1</v>
      </c>
      <c r="E61" s="597">
        <v>1500</v>
      </c>
      <c r="F61" s="597">
        <v>1500</v>
      </c>
      <c r="G61" s="597">
        <v>734</v>
      </c>
      <c r="H61" s="592" t="s">
        <v>1397</v>
      </c>
    </row>
    <row r="62" spans="1:8" ht="24.75" customHeight="1" x14ac:dyDescent="0.55000000000000004">
      <c r="A62" s="592">
        <v>61</v>
      </c>
      <c r="B62" s="596">
        <v>1110053</v>
      </c>
      <c r="C62" s="592" t="s">
        <v>8347</v>
      </c>
      <c r="D62" s="592">
        <v>2</v>
      </c>
      <c r="E62" s="597">
        <v>500</v>
      </c>
      <c r="F62" s="597">
        <v>500</v>
      </c>
      <c r="G62" s="597">
        <v>418</v>
      </c>
      <c r="H62" s="592" t="s">
        <v>1397</v>
      </c>
    </row>
    <row r="63" spans="1:8" ht="24.75" customHeight="1" x14ac:dyDescent="0.55000000000000004">
      <c r="A63" s="592">
        <v>62</v>
      </c>
      <c r="B63" s="596">
        <v>1110054</v>
      </c>
      <c r="C63" s="592" t="s">
        <v>6319</v>
      </c>
      <c r="D63" s="592">
        <v>4</v>
      </c>
      <c r="E63" s="597">
        <v>1800</v>
      </c>
      <c r="F63" s="597">
        <v>1800</v>
      </c>
      <c r="G63" s="597">
        <v>5400</v>
      </c>
      <c r="H63" s="592" t="s">
        <v>933</v>
      </c>
    </row>
    <row r="64" spans="1:8" ht="24.75" customHeight="1" x14ac:dyDescent="0.55000000000000004">
      <c r="A64" s="592">
        <v>63</v>
      </c>
      <c r="B64" s="596">
        <v>1110057</v>
      </c>
      <c r="C64" s="592" t="s">
        <v>8506</v>
      </c>
      <c r="D64" s="592">
        <v>4</v>
      </c>
      <c r="E64" s="597">
        <v>2000</v>
      </c>
      <c r="F64" s="597">
        <v>2000</v>
      </c>
      <c r="G64" s="597">
        <v>1800</v>
      </c>
      <c r="H64" s="592" t="s">
        <v>1397</v>
      </c>
    </row>
    <row r="65" spans="1:8" ht="24.75" customHeight="1" x14ac:dyDescent="0.55000000000000004">
      <c r="A65" s="592">
        <v>64</v>
      </c>
      <c r="B65" s="596">
        <v>1110059</v>
      </c>
      <c r="C65" s="592" t="s">
        <v>8505</v>
      </c>
      <c r="D65" s="592">
        <v>2</v>
      </c>
      <c r="E65" s="597">
        <v>8000</v>
      </c>
      <c r="F65" s="597">
        <v>8000</v>
      </c>
      <c r="G65" s="597">
        <v>12120</v>
      </c>
      <c r="H65" s="592" t="s">
        <v>933</v>
      </c>
    </row>
    <row r="66" spans="1:8" ht="24.75" customHeight="1" x14ac:dyDescent="0.55000000000000004">
      <c r="A66" s="592">
        <v>65</v>
      </c>
      <c r="B66" s="596">
        <v>1110060</v>
      </c>
      <c r="C66" s="592" t="s">
        <v>8348</v>
      </c>
      <c r="D66" s="592">
        <v>4</v>
      </c>
      <c r="E66" s="597">
        <v>2000</v>
      </c>
      <c r="F66" s="597">
        <v>2000</v>
      </c>
      <c r="G66" s="597">
        <v>2800</v>
      </c>
      <c r="H66" s="592" t="s">
        <v>1397</v>
      </c>
    </row>
    <row r="67" spans="1:8" ht="24.75" customHeight="1" x14ac:dyDescent="0.55000000000000004">
      <c r="A67" s="592">
        <v>66</v>
      </c>
      <c r="B67" s="596">
        <v>1110061</v>
      </c>
      <c r="C67" s="592" t="s">
        <v>8349</v>
      </c>
      <c r="D67" s="592">
        <v>2</v>
      </c>
      <c r="E67" s="597">
        <v>1000</v>
      </c>
      <c r="F67" s="597">
        <v>1000</v>
      </c>
      <c r="G67" s="597">
        <v>1120</v>
      </c>
      <c r="H67" s="592" t="s">
        <v>1397</v>
      </c>
    </row>
    <row r="68" spans="1:8" ht="24.75" customHeight="1" x14ac:dyDescent="0.55000000000000004">
      <c r="A68" s="592">
        <v>67</v>
      </c>
      <c r="B68" s="596">
        <v>1110063</v>
      </c>
      <c r="C68" s="592" t="s">
        <v>3504</v>
      </c>
      <c r="D68" s="592">
        <v>1</v>
      </c>
      <c r="E68" s="597">
        <v>4500</v>
      </c>
      <c r="F68" s="597">
        <v>4500</v>
      </c>
      <c r="G68" s="597">
        <v>2390</v>
      </c>
      <c r="H68" s="592" t="s">
        <v>933</v>
      </c>
    </row>
    <row r="69" spans="1:8" ht="24.75" customHeight="1" x14ac:dyDescent="0.55000000000000004">
      <c r="A69" s="592">
        <v>68</v>
      </c>
      <c r="B69" s="596">
        <v>1110064</v>
      </c>
      <c r="C69" s="592" t="s">
        <v>7470</v>
      </c>
      <c r="D69" s="592">
        <v>2</v>
      </c>
      <c r="E69" s="597">
        <v>10000</v>
      </c>
      <c r="F69" s="597">
        <v>10000</v>
      </c>
      <c r="G69" s="597">
        <v>14800</v>
      </c>
      <c r="H69" s="592" t="s">
        <v>1397</v>
      </c>
    </row>
    <row r="70" spans="1:8" ht="24.75" customHeight="1" x14ac:dyDescent="0.55000000000000004">
      <c r="A70" s="592">
        <v>69</v>
      </c>
      <c r="B70" s="596">
        <v>1110065</v>
      </c>
      <c r="C70" s="592" t="s">
        <v>2366</v>
      </c>
      <c r="D70" s="592">
        <v>207</v>
      </c>
      <c r="E70" s="597">
        <v>200</v>
      </c>
      <c r="F70" s="597">
        <v>200</v>
      </c>
      <c r="G70" s="597">
        <v>20700</v>
      </c>
      <c r="H70" s="592" t="s">
        <v>1397</v>
      </c>
    </row>
    <row r="71" spans="1:8" ht="24.75" customHeight="1" x14ac:dyDescent="0.55000000000000004">
      <c r="A71" s="592">
        <v>70</v>
      </c>
      <c r="B71" s="596">
        <v>1110067</v>
      </c>
      <c r="C71" s="592" t="s">
        <v>3505</v>
      </c>
      <c r="D71" s="592">
        <v>1</v>
      </c>
      <c r="E71" s="597">
        <v>10000</v>
      </c>
      <c r="F71" s="597">
        <v>10000</v>
      </c>
      <c r="G71" s="597">
        <v>6350</v>
      </c>
      <c r="H71" s="592" t="s">
        <v>933</v>
      </c>
    </row>
    <row r="72" spans="1:8" ht="24.75" customHeight="1" x14ac:dyDescent="0.55000000000000004">
      <c r="A72" s="592">
        <v>71</v>
      </c>
      <c r="B72" s="596">
        <v>1110068</v>
      </c>
      <c r="C72" s="592" t="s">
        <v>3506</v>
      </c>
      <c r="D72" s="592">
        <v>3</v>
      </c>
      <c r="E72" s="597">
        <v>10000</v>
      </c>
      <c r="F72" s="597">
        <v>10000</v>
      </c>
      <c r="G72" s="597">
        <v>19050</v>
      </c>
      <c r="H72" s="592" t="s">
        <v>933</v>
      </c>
    </row>
    <row r="73" spans="1:8" ht="24.75" customHeight="1" x14ac:dyDescent="0.55000000000000004">
      <c r="A73" s="592">
        <v>72</v>
      </c>
      <c r="B73" s="596">
        <v>111007</v>
      </c>
      <c r="C73" s="592" t="s">
        <v>3507</v>
      </c>
      <c r="D73" s="592">
        <v>1</v>
      </c>
      <c r="E73" s="597">
        <v>11500</v>
      </c>
      <c r="F73" s="597">
        <v>11500</v>
      </c>
      <c r="G73" s="597">
        <v>7900</v>
      </c>
      <c r="H73" s="592" t="s">
        <v>1397</v>
      </c>
    </row>
    <row r="74" spans="1:8" ht="24.75" customHeight="1" x14ac:dyDescent="0.55000000000000004">
      <c r="A74" s="592">
        <v>73</v>
      </c>
      <c r="B74" s="596">
        <v>1110072</v>
      </c>
      <c r="C74" s="592" t="s">
        <v>3508</v>
      </c>
      <c r="D74" s="592">
        <v>4</v>
      </c>
      <c r="E74" s="597">
        <v>2500</v>
      </c>
      <c r="F74" s="597">
        <v>2500</v>
      </c>
      <c r="G74" s="597">
        <v>6800</v>
      </c>
      <c r="H74" s="592" t="s">
        <v>1397</v>
      </c>
    </row>
    <row r="75" spans="1:8" ht="24.75" customHeight="1" x14ac:dyDescent="0.55000000000000004">
      <c r="A75" s="592">
        <v>74</v>
      </c>
      <c r="B75" s="596">
        <v>1110073</v>
      </c>
      <c r="C75" s="592" t="s">
        <v>3509</v>
      </c>
      <c r="D75" s="592">
        <v>1</v>
      </c>
      <c r="E75" s="597">
        <v>150</v>
      </c>
      <c r="F75" s="597">
        <v>150</v>
      </c>
      <c r="G75" s="597">
        <v>95</v>
      </c>
      <c r="H75" s="592" t="s">
        <v>1397</v>
      </c>
    </row>
    <row r="76" spans="1:8" ht="24.75" customHeight="1" x14ac:dyDescent="0.55000000000000004">
      <c r="A76" s="592">
        <v>75</v>
      </c>
      <c r="B76" s="596">
        <v>1110074</v>
      </c>
      <c r="C76" s="592" t="s">
        <v>6241</v>
      </c>
      <c r="D76" s="592">
        <v>5</v>
      </c>
      <c r="E76" s="597">
        <v>1500</v>
      </c>
      <c r="F76" s="597">
        <v>1500</v>
      </c>
      <c r="G76" s="597">
        <v>4750</v>
      </c>
      <c r="H76" s="592" t="s">
        <v>1397</v>
      </c>
    </row>
    <row r="77" spans="1:8" ht="24.75" customHeight="1" x14ac:dyDescent="0.55000000000000004">
      <c r="A77" s="592">
        <v>76</v>
      </c>
      <c r="B77" s="596">
        <v>1110075</v>
      </c>
      <c r="C77" s="592" t="s">
        <v>6293</v>
      </c>
      <c r="D77" s="592">
        <v>2</v>
      </c>
      <c r="E77" s="597">
        <v>8000</v>
      </c>
      <c r="F77" s="597">
        <v>8000</v>
      </c>
      <c r="G77" s="597">
        <v>12000</v>
      </c>
      <c r="H77" s="592" t="s">
        <v>1397</v>
      </c>
    </row>
    <row r="78" spans="1:8" ht="24.75" customHeight="1" x14ac:dyDescent="0.55000000000000004">
      <c r="A78" s="592">
        <v>77</v>
      </c>
      <c r="B78" s="596">
        <v>1110076</v>
      </c>
      <c r="C78" s="592" t="s">
        <v>3209</v>
      </c>
      <c r="D78" s="592">
        <v>1</v>
      </c>
      <c r="E78" s="597">
        <v>43000</v>
      </c>
      <c r="F78" s="597">
        <v>43000</v>
      </c>
      <c r="G78" s="597">
        <v>32000</v>
      </c>
      <c r="H78" s="592" t="s">
        <v>1397</v>
      </c>
    </row>
    <row r="79" spans="1:8" ht="24.75" customHeight="1" x14ac:dyDescent="0.55000000000000004">
      <c r="A79" s="592">
        <v>78</v>
      </c>
      <c r="B79" s="596">
        <v>1110079</v>
      </c>
      <c r="C79" s="592" t="s">
        <v>8350</v>
      </c>
      <c r="D79" s="592">
        <v>4</v>
      </c>
      <c r="E79" s="597">
        <v>2800</v>
      </c>
      <c r="F79" s="597">
        <v>2800</v>
      </c>
      <c r="G79" s="597">
        <v>7600</v>
      </c>
      <c r="H79" s="592" t="s">
        <v>1397</v>
      </c>
    </row>
    <row r="80" spans="1:8" ht="24.75" customHeight="1" x14ac:dyDescent="0.55000000000000004">
      <c r="A80" s="592">
        <v>79</v>
      </c>
      <c r="B80" s="596">
        <v>1110080</v>
      </c>
      <c r="C80" s="592" t="s">
        <v>8351</v>
      </c>
      <c r="D80" s="592">
        <v>1</v>
      </c>
      <c r="E80" s="597">
        <v>7500</v>
      </c>
      <c r="F80" s="597">
        <v>7500</v>
      </c>
      <c r="G80" s="597">
        <v>5800</v>
      </c>
      <c r="H80" s="592" t="s">
        <v>1397</v>
      </c>
    </row>
    <row r="81" spans="1:8" ht="24.75" customHeight="1" x14ac:dyDescent="0.55000000000000004">
      <c r="A81" s="592">
        <v>80</v>
      </c>
      <c r="B81" s="596">
        <v>1110082</v>
      </c>
      <c r="C81" s="592" t="s">
        <v>8352</v>
      </c>
      <c r="D81" s="592">
        <v>15</v>
      </c>
      <c r="E81" s="597">
        <v>700</v>
      </c>
      <c r="F81" s="597">
        <v>700</v>
      </c>
      <c r="G81" s="597">
        <v>3525</v>
      </c>
      <c r="H81" s="592" t="s">
        <v>1397</v>
      </c>
    </row>
    <row r="82" spans="1:8" ht="24.75" customHeight="1" x14ac:dyDescent="0.55000000000000004">
      <c r="A82" s="592">
        <v>81</v>
      </c>
      <c r="B82" s="596">
        <v>1110083</v>
      </c>
      <c r="C82" s="592" t="s">
        <v>3510</v>
      </c>
      <c r="D82" s="592">
        <v>6</v>
      </c>
      <c r="E82" s="597">
        <v>1000</v>
      </c>
      <c r="F82" s="597">
        <v>1000</v>
      </c>
      <c r="G82" s="597">
        <v>3900</v>
      </c>
      <c r="H82" s="592" t="s">
        <v>1397</v>
      </c>
    </row>
    <row r="83" spans="1:8" ht="24.75" customHeight="1" x14ac:dyDescent="0.55000000000000004">
      <c r="A83" s="592">
        <v>82</v>
      </c>
      <c r="B83" s="596">
        <v>1110085</v>
      </c>
      <c r="C83" s="592" t="s">
        <v>2469</v>
      </c>
      <c r="D83" s="592">
        <v>12</v>
      </c>
      <c r="E83" s="597">
        <v>1000</v>
      </c>
      <c r="F83" s="597">
        <v>1000</v>
      </c>
      <c r="G83" s="597">
        <v>7800</v>
      </c>
      <c r="H83" s="592" t="s">
        <v>1397</v>
      </c>
    </row>
    <row r="84" spans="1:8" ht="24.75" customHeight="1" x14ac:dyDescent="0.55000000000000004">
      <c r="A84" s="592">
        <v>83</v>
      </c>
      <c r="B84" s="596">
        <v>1110086</v>
      </c>
      <c r="C84" s="592" t="s">
        <v>8353</v>
      </c>
      <c r="D84" s="592">
        <v>3</v>
      </c>
      <c r="E84" s="597">
        <v>19000</v>
      </c>
      <c r="F84" s="597">
        <v>19000</v>
      </c>
      <c r="G84" s="597">
        <v>52500</v>
      </c>
      <c r="H84" s="592" t="s">
        <v>1397</v>
      </c>
    </row>
    <row r="85" spans="1:8" ht="24.75" customHeight="1" x14ac:dyDescent="0.55000000000000004">
      <c r="A85" s="592">
        <v>84</v>
      </c>
      <c r="B85" s="596">
        <v>1110089</v>
      </c>
      <c r="C85" s="592" t="s">
        <v>8354</v>
      </c>
      <c r="D85" s="592">
        <v>4</v>
      </c>
      <c r="E85" s="597">
        <v>1500</v>
      </c>
      <c r="F85" s="597">
        <v>1500</v>
      </c>
      <c r="G85" s="597">
        <v>3400</v>
      </c>
      <c r="H85" s="592" t="s">
        <v>1397</v>
      </c>
    </row>
    <row r="86" spans="1:8" ht="24.75" customHeight="1" x14ac:dyDescent="0.55000000000000004">
      <c r="A86" s="592">
        <v>85</v>
      </c>
      <c r="B86" s="596">
        <v>1110090</v>
      </c>
      <c r="C86" s="592" t="s">
        <v>6905</v>
      </c>
      <c r="D86" s="592">
        <v>1</v>
      </c>
      <c r="E86" s="597">
        <v>8200</v>
      </c>
      <c r="F86" s="597">
        <v>8200</v>
      </c>
      <c r="G86" s="597">
        <v>5500</v>
      </c>
      <c r="H86" s="592" t="s">
        <v>1397</v>
      </c>
    </row>
    <row r="87" spans="1:8" ht="24.75" customHeight="1" x14ac:dyDescent="0.55000000000000004">
      <c r="A87" s="592">
        <v>86</v>
      </c>
      <c r="B87" s="596">
        <v>1110091</v>
      </c>
      <c r="C87" s="592" t="s">
        <v>8355</v>
      </c>
      <c r="D87" s="592">
        <v>16</v>
      </c>
      <c r="E87" s="597">
        <v>600</v>
      </c>
      <c r="F87" s="597">
        <v>600</v>
      </c>
      <c r="G87" s="597">
        <v>7200</v>
      </c>
      <c r="H87" s="592" t="s">
        <v>1397</v>
      </c>
    </row>
    <row r="88" spans="1:8" ht="24.75" customHeight="1" x14ac:dyDescent="0.55000000000000004">
      <c r="A88" s="592">
        <v>87</v>
      </c>
      <c r="B88" s="596">
        <v>1110093</v>
      </c>
      <c r="C88" s="592" t="s">
        <v>8224</v>
      </c>
      <c r="D88" s="592">
        <v>7</v>
      </c>
      <c r="E88" s="597">
        <v>2200</v>
      </c>
      <c r="F88" s="597">
        <v>2200</v>
      </c>
      <c r="G88" s="597">
        <v>11025</v>
      </c>
      <c r="H88" s="592" t="s">
        <v>933</v>
      </c>
    </row>
    <row r="89" spans="1:8" ht="24.75" customHeight="1" x14ac:dyDescent="0.55000000000000004">
      <c r="A89" s="592">
        <v>88</v>
      </c>
      <c r="B89" s="596">
        <v>1110094</v>
      </c>
      <c r="C89" s="592" t="s">
        <v>2533</v>
      </c>
      <c r="D89" s="592">
        <v>1</v>
      </c>
      <c r="E89" s="597">
        <v>1500</v>
      </c>
      <c r="F89" s="597">
        <v>1500</v>
      </c>
      <c r="G89" s="597">
        <v>850</v>
      </c>
      <c r="H89" s="592" t="s">
        <v>933</v>
      </c>
    </row>
    <row r="90" spans="1:8" ht="24.75" customHeight="1" x14ac:dyDescent="0.55000000000000004">
      <c r="A90" s="592">
        <v>89</v>
      </c>
      <c r="B90" s="596">
        <v>1110095</v>
      </c>
      <c r="C90" s="592" t="s">
        <v>8356</v>
      </c>
      <c r="D90" s="592">
        <v>5</v>
      </c>
      <c r="E90" s="597">
        <v>1500</v>
      </c>
      <c r="F90" s="597">
        <v>1500</v>
      </c>
      <c r="G90" s="597">
        <v>3250</v>
      </c>
      <c r="H90" s="592" t="s">
        <v>1397</v>
      </c>
    </row>
    <row r="91" spans="1:8" ht="24.75" customHeight="1" x14ac:dyDescent="0.55000000000000004">
      <c r="A91" s="592">
        <v>90</v>
      </c>
      <c r="B91" s="596">
        <v>1110096</v>
      </c>
      <c r="C91" s="592" t="s">
        <v>8357</v>
      </c>
      <c r="D91" s="592">
        <v>3</v>
      </c>
      <c r="E91" s="597">
        <v>1500</v>
      </c>
      <c r="F91" s="597">
        <v>1500</v>
      </c>
      <c r="G91" s="597">
        <v>2100</v>
      </c>
      <c r="H91" s="592" t="s">
        <v>1397</v>
      </c>
    </row>
    <row r="92" spans="1:8" ht="24.75" customHeight="1" x14ac:dyDescent="0.55000000000000004">
      <c r="A92" s="592">
        <v>91</v>
      </c>
      <c r="B92" s="596">
        <v>1110098</v>
      </c>
      <c r="C92" s="592" t="s">
        <v>7302</v>
      </c>
      <c r="D92" s="592">
        <v>4</v>
      </c>
      <c r="E92" s="597">
        <v>1500</v>
      </c>
      <c r="F92" s="597">
        <v>1500</v>
      </c>
      <c r="G92" s="597">
        <v>2760</v>
      </c>
      <c r="H92" s="592" t="s">
        <v>1397</v>
      </c>
    </row>
    <row r="93" spans="1:8" ht="24.75" customHeight="1" x14ac:dyDescent="0.55000000000000004">
      <c r="A93" s="592">
        <v>92</v>
      </c>
      <c r="B93" s="596">
        <v>1110099</v>
      </c>
      <c r="C93" s="592" t="s">
        <v>3511</v>
      </c>
      <c r="D93" s="592">
        <v>2</v>
      </c>
      <c r="E93" s="597">
        <v>700</v>
      </c>
      <c r="F93" s="597">
        <v>700</v>
      </c>
      <c r="G93" s="597">
        <v>600</v>
      </c>
      <c r="H93" s="592" t="s">
        <v>933</v>
      </c>
    </row>
    <row r="94" spans="1:8" ht="24.75" customHeight="1" x14ac:dyDescent="0.55000000000000004">
      <c r="A94" s="592">
        <v>93</v>
      </c>
      <c r="B94" s="596">
        <v>1110100</v>
      </c>
      <c r="C94" s="592" t="s">
        <v>3512</v>
      </c>
      <c r="D94" s="592">
        <v>1</v>
      </c>
      <c r="E94" s="597">
        <v>8200</v>
      </c>
      <c r="F94" s="597">
        <v>8200</v>
      </c>
      <c r="G94" s="597">
        <v>5600</v>
      </c>
      <c r="H94" s="592" t="s">
        <v>933</v>
      </c>
    </row>
    <row r="95" spans="1:8" ht="24.75" customHeight="1" x14ac:dyDescent="0.55000000000000004">
      <c r="A95" s="592">
        <v>94</v>
      </c>
      <c r="B95" s="596">
        <v>1110101</v>
      </c>
      <c r="C95" s="592" t="s">
        <v>3513</v>
      </c>
      <c r="D95" s="592">
        <v>7</v>
      </c>
      <c r="E95" s="597">
        <v>300</v>
      </c>
      <c r="F95" s="597">
        <v>300</v>
      </c>
      <c r="G95" s="597">
        <v>1260</v>
      </c>
      <c r="H95" s="592" t="s">
        <v>1397</v>
      </c>
    </row>
    <row r="96" spans="1:8" ht="24.75" customHeight="1" x14ac:dyDescent="0.55000000000000004">
      <c r="A96" s="592">
        <v>95</v>
      </c>
      <c r="B96" s="596">
        <v>1110102</v>
      </c>
      <c r="C96" s="592" t="s">
        <v>8358</v>
      </c>
      <c r="D96" s="592">
        <v>11</v>
      </c>
      <c r="E96" s="597">
        <v>5000</v>
      </c>
      <c r="F96" s="597">
        <v>5000</v>
      </c>
      <c r="G96" s="597">
        <v>42075</v>
      </c>
      <c r="H96" s="592" t="s">
        <v>933</v>
      </c>
    </row>
    <row r="97" spans="1:8" ht="24.75" customHeight="1" x14ac:dyDescent="0.55000000000000004">
      <c r="A97" s="592">
        <v>96</v>
      </c>
      <c r="B97" s="596">
        <v>1110103</v>
      </c>
      <c r="C97" s="592" t="s">
        <v>6906</v>
      </c>
      <c r="D97" s="592">
        <v>1</v>
      </c>
      <c r="E97" s="597">
        <v>23000</v>
      </c>
      <c r="F97" s="597">
        <v>23000</v>
      </c>
      <c r="G97" s="597">
        <v>20156</v>
      </c>
      <c r="H97" s="592" t="s">
        <v>933</v>
      </c>
    </row>
    <row r="98" spans="1:8" ht="24.75" customHeight="1" x14ac:dyDescent="0.55000000000000004">
      <c r="A98" s="592">
        <v>97</v>
      </c>
      <c r="B98" s="596">
        <v>1110104</v>
      </c>
      <c r="C98" s="592" t="s">
        <v>3514</v>
      </c>
      <c r="D98" s="592">
        <v>22</v>
      </c>
      <c r="E98" s="597">
        <v>300</v>
      </c>
      <c r="F98" s="597">
        <v>300</v>
      </c>
      <c r="G98" s="597">
        <v>2684</v>
      </c>
      <c r="H98" s="592" t="s">
        <v>1397</v>
      </c>
    </row>
    <row r="99" spans="1:8" ht="24.75" customHeight="1" x14ac:dyDescent="0.55000000000000004">
      <c r="A99" s="592">
        <v>98</v>
      </c>
      <c r="B99" s="596">
        <v>1110105</v>
      </c>
      <c r="C99" s="592" t="s">
        <v>3047</v>
      </c>
      <c r="D99" s="592">
        <v>11</v>
      </c>
      <c r="E99" s="597">
        <v>1500</v>
      </c>
      <c r="F99" s="597">
        <v>1500</v>
      </c>
      <c r="G99" s="597">
        <v>11000</v>
      </c>
      <c r="H99" s="592" t="s">
        <v>1397</v>
      </c>
    </row>
    <row r="100" spans="1:8" ht="24.75" customHeight="1" x14ac:dyDescent="0.55000000000000004">
      <c r="A100" s="592">
        <v>99</v>
      </c>
      <c r="B100" s="596">
        <v>1110107</v>
      </c>
      <c r="C100" s="592" t="s">
        <v>3089</v>
      </c>
      <c r="D100" s="592">
        <v>3</v>
      </c>
      <c r="E100" s="597">
        <v>3500</v>
      </c>
      <c r="F100" s="597">
        <v>3500</v>
      </c>
      <c r="G100" s="597">
        <v>6000</v>
      </c>
      <c r="H100" s="592" t="s">
        <v>933</v>
      </c>
    </row>
    <row r="101" spans="1:8" ht="24.75" customHeight="1" x14ac:dyDescent="0.55000000000000004">
      <c r="A101" s="592">
        <v>100</v>
      </c>
      <c r="B101" s="596">
        <v>1110108</v>
      </c>
      <c r="C101" s="592" t="s">
        <v>3515</v>
      </c>
      <c r="D101" s="592">
        <v>7</v>
      </c>
      <c r="E101" s="597">
        <v>200</v>
      </c>
      <c r="F101" s="597">
        <v>200</v>
      </c>
      <c r="G101" s="597">
        <v>700</v>
      </c>
      <c r="H101" s="592" t="s">
        <v>933</v>
      </c>
    </row>
    <row r="102" spans="1:8" ht="24.75" customHeight="1" x14ac:dyDescent="0.55000000000000004">
      <c r="A102" s="592">
        <v>101</v>
      </c>
      <c r="B102" s="596">
        <v>1110109</v>
      </c>
      <c r="C102" s="592" t="s">
        <v>3090</v>
      </c>
      <c r="D102" s="592">
        <v>4</v>
      </c>
      <c r="E102" s="597">
        <v>500</v>
      </c>
      <c r="F102" s="597">
        <v>500</v>
      </c>
      <c r="G102" s="597">
        <v>800</v>
      </c>
      <c r="H102" s="592" t="s">
        <v>933</v>
      </c>
    </row>
    <row r="103" spans="1:8" ht="24.75" customHeight="1" x14ac:dyDescent="0.55000000000000004">
      <c r="A103" s="592">
        <v>102</v>
      </c>
      <c r="B103" s="596">
        <v>1110110</v>
      </c>
      <c r="C103" s="592" t="s">
        <v>3091</v>
      </c>
      <c r="D103" s="592">
        <v>1</v>
      </c>
      <c r="E103" s="597">
        <v>1500</v>
      </c>
      <c r="F103" s="597">
        <v>1500</v>
      </c>
      <c r="G103" s="597">
        <v>500</v>
      </c>
      <c r="H103" s="592" t="s">
        <v>933</v>
      </c>
    </row>
    <row r="104" spans="1:8" ht="24.75" customHeight="1" x14ac:dyDescent="0.55000000000000004">
      <c r="A104" s="592">
        <v>103</v>
      </c>
      <c r="B104" s="596">
        <v>11101119</v>
      </c>
      <c r="C104" s="592" t="s">
        <v>7471</v>
      </c>
      <c r="D104" s="592">
        <v>1</v>
      </c>
      <c r="E104" s="597">
        <v>130000</v>
      </c>
      <c r="F104" s="597">
        <v>130000</v>
      </c>
      <c r="G104" s="597">
        <v>108000</v>
      </c>
      <c r="H104" s="592" t="s">
        <v>1397</v>
      </c>
    </row>
    <row r="105" spans="1:8" ht="24.75" customHeight="1" x14ac:dyDescent="0.55000000000000004">
      <c r="A105" s="592">
        <v>104</v>
      </c>
      <c r="B105" s="596">
        <v>1110112</v>
      </c>
      <c r="C105" s="592" t="s">
        <v>3092</v>
      </c>
      <c r="D105" s="592">
        <v>1</v>
      </c>
      <c r="E105" s="597">
        <v>1000</v>
      </c>
      <c r="F105" s="597">
        <v>1000</v>
      </c>
      <c r="G105" s="597">
        <v>550</v>
      </c>
      <c r="H105" s="592" t="s">
        <v>1397</v>
      </c>
    </row>
    <row r="106" spans="1:8" ht="24.75" customHeight="1" x14ac:dyDescent="0.55000000000000004">
      <c r="A106" s="592">
        <v>105</v>
      </c>
      <c r="B106" s="596">
        <v>1110113</v>
      </c>
      <c r="C106" s="592" t="s">
        <v>7303</v>
      </c>
      <c r="D106" s="592">
        <v>2</v>
      </c>
      <c r="E106" s="597">
        <v>52000</v>
      </c>
      <c r="F106" s="597">
        <v>52000</v>
      </c>
      <c r="G106" s="597">
        <v>94000</v>
      </c>
      <c r="H106" s="592" t="s">
        <v>1397</v>
      </c>
    </row>
    <row r="107" spans="1:8" ht="24.75" customHeight="1" x14ac:dyDescent="0.55000000000000004">
      <c r="A107" s="592">
        <v>106</v>
      </c>
      <c r="B107" s="596">
        <v>1110114</v>
      </c>
      <c r="C107" s="592" t="s">
        <v>7971</v>
      </c>
      <c r="D107" s="592">
        <v>1</v>
      </c>
      <c r="E107" s="597">
        <v>35000</v>
      </c>
      <c r="F107" s="597">
        <v>35000</v>
      </c>
      <c r="G107" s="597">
        <v>29000</v>
      </c>
      <c r="H107" s="592" t="s">
        <v>1397</v>
      </c>
    </row>
    <row r="108" spans="1:8" ht="24.75" customHeight="1" x14ac:dyDescent="0.55000000000000004">
      <c r="A108" s="592">
        <v>107</v>
      </c>
      <c r="B108" s="596">
        <v>1110115</v>
      </c>
      <c r="C108" s="592" t="s">
        <v>3516</v>
      </c>
      <c r="D108" s="592">
        <v>3</v>
      </c>
      <c r="E108" s="597">
        <v>9500</v>
      </c>
      <c r="F108" s="597">
        <v>9500</v>
      </c>
      <c r="G108" s="597">
        <v>24150</v>
      </c>
      <c r="H108" s="592" t="s">
        <v>1397</v>
      </c>
    </row>
    <row r="109" spans="1:8" ht="24.75" customHeight="1" x14ac:dyDescent="0.55000000000000004">
      <c r="A109" s="592">
        <v>108</v>
      </c>
      <c r="B109" s="596">
        <v>1110116</v>
      </c>
      <c r="C109" s="592" t="s">
        <v>3517</v>
      </c>
      <c r="D109" s="592">
        <v>1</v>
      </c>
      <c r="E109" s="597">
        <v>11500</v>
      </c>
      <c r="F109" s="597">
        <v>11500</v>
      </c>
      <c r="G109" s="597">
        <v>6650</v>
      </c>
      <c r="H109" s="592" t="s">
        <v>1397</v>
      </c>
    </row>
    <row r="110" spans="1:8" ht="24.75" customHeight="1" x14ac:dyDescent="0.55000000000000004">
      <c r="A110" s="592">
        <v>109</v>
      </c>
      <c r="B110" s="596">
        <v>1110117</v>
      </c>
      <c r="C110" s="592" t="s">
        <v>3518</v>
      </c>
      <c r="D110" s="592">
        <v>5</v>
      </c>
      <c r="E110" s="597">
        <v>8300</v>
      </c>
      <c r="F110" s="597">
        <v>8300</v>
      </c>
      <c r="G110" s="597">
        <v>26000</v>
      </c>
      <c r="H110" s="592" t="s">
        <v>1397</v>
      </c>
    </row>
    <row r="111" spans="1:8" ht="24.75" customHeight="1" x14ac:dyDescent="0.55000000000000004">
      <c r="A111" s="592">
        <v>110</v>
      </c>
      <c r="B111" s="596">
        <v>1110118</v>
      </c>
      <c r="C111" s="592" t="s">
        <v>3519</v>
      </c>
      <c r="D111" s="592">
        <v>9</v>
      </c>
      <c r="E111" s="597">
        <v>6000</v>
      </c>
      <c r="F111" s="597">
        <v>6000</v>
      </c>
      <c r="G111" s="597">
        <v>38700</v>
      </c>
      <c r="H111" s="592" t="s">
        <v>1397</v>
      </c>
    </row>
    <row r="112" spans="1:8" ht="24.75" customHeight="1" x14ac:dyDescent="0.55000000000000004">
      <c r="A112" s="592">
        <v>111</v>
      </c>
      <c r="B112" s="596">
        <v>1110119</v>
      </c>
      <c r="C112" s="592" t="s">
        <v>3520</v>
      </c>
      <c r="D112" s="592">
        <v>2</v>
      </c>
      <c r="E112" s="597">
        <v>2000</v>
      </c>
      <c r="F112" s="597">
        <v>2000</v>
      </c>
      <c r="G112" s="597">
        <v>1586</v>
      </c>
      <c r="H112" s="592" t="s">
        <v>1397</v>
      </c>
    </row>
    <row r="113" spans="1:8" ht="24.75" customHeight="1" x14ac:dyDescent="0.55000000000000004">
      <c r="A113" s="592">
        <v>112</v>
      </c>
      <c r="B113" s="596">
        <v>1110120</v>
      </c>
      <c r="C113" s="592" t="s">
        <v>3305</v>
      </c>
      <c r="D113" s="592">
        <v>14</v>
      </c>
      <c r="E113" s="597">
        <v>2000</v>
      </c>
      <c r="F113" s="597">
        <v>2000</v>
      </c>
      <c r="G113" s="597">
        <v>14000</v>
      </c>
      <c r="H113" s="592" t="s">
        <v>1397</v>
      </c>
    </row>
    <row r="114" spans="1:8" ht="24.75" customHeight="1" x14ac:dyDescent="0.55000000000000004">
      <c r="A114" s="592">
        <v>113</v>
      </c>
      <c r="B114" s="596">
        <v>1110121</v>
      </c>
      <c r="C114" s="592" t="s">
        <v>3306</v>
      </c>
      <c r="D114" s="592">
        <v>5</v>
      </c>
      <c r="E114" s="597">
        <v>1500</v>
      </c>
      <c r="F114" s="597">
        <v>1500</v>
      </c>
      <c r="G114" s="597">
        <v>3750</v>
      </c>
      <c r="H114" s="592" t="s">
        <v>1397</v>
      </c>
    </row>
    <row r="115" spans="1:8" ht="24.75" customHeight="1" x14ac:dyDescent="0.55000000000000004">
      <c r="A115" s="592">
        <v>114</v>
      </c>
      <c r="B115" s="596">
        <v>1110122</v>
      </c>
      <c r="C115" s="592" t="s">
        <v>3307</v>
      </c>
      <c r="D115" s="592">
        <v>6</v>
      </c>
      <c r="E115" s="597">
        <v>1500</v>
      </c>
      <c r="F115" s="597">
        <v>1500</v>
      </c>
      <c r="G115" s="597">
        <v>4500</v>
      </c>
      <c r="H115" s="592" t="s">
        <v>1397</v>
      </c>
    </row>
    <row r="116" spans="1:8" ht="24.75" customHeight="1" x14ac:dyDescent="0.55000000000000004">
      <c r="A116" s="592">
        <v>115</v>
      </c>
      <c r="B116" s="596">
        <v>1110123</v>
      </c>
      <c r="C116" s="592" t="s">
        <v>3521</v>
      </c>
      <c r="D116" s="592">
        <v>8</v>
      </c>
      <c r="E116" s="597">
        <v>800</v>
      </c>
      <c r="F116" s="597">
        <v>800</v>
      </c>
      <c r="G116" s="597">
        <v>2880</v>
      </c>
      <c r="H116" s="592" t="s">
        <v>1397</v>
      </c>
    </row>
    <row r="117" spans="1:8" ht="24.75" customHeight="1" x14ac:dyDescent="0.55000000000000004">
      <c r="A117" s="592">
        <v>116</v>
      </c>
      <c r="B117" s="596">
        <v>1110124</v>
      </c>
      <c r="C117" s="592" t="s">
        <v>3522</v>
      </c>
      <c r="D117" s="592">
        <v>3</v>
      </c>
      <c r="E117" s="597">
        <v>10000</v>
      </c>
      <c r="F117" s="597">
        <v>10000</v>
      </c>
      <c r="G117" s="597">
        <v>22230</v>
      </c>
      <c r="H117" s="592" t="s">
        <v>1397</v>
      </c>
    </row>
    <row r="118" spans="1:8" ht="24.75" customHeight="1" x14ac:dyDescent="0.55000000000000004">
      <c r="A118" s="592">
        <v>117</v>
      </c>
      <c r="B118" s="596">
        <v>1110125</v>
      </c>
      <c r="C118" s="592" t="s">
        <v>7972</v>
      </c>
      <c r="D118" s="592">
        <v>1</v>
      </c>
      <c r="E118" s="597">
        <v>45000</v>
      </c>
      <c r="F118" s="597">
        <v>45000</v>
      </c>
      <c r="G118" s="597">
        <v>39500</v>
      </c>
      <c r="H118" s="592" t="s">
        <v>1397</v>
      </c>
    </row>
    <row r="119" spans="1:8" ht="24.75" customHeight="1" x14ac:dyDescent="0.55000000000000004">
      <c r="A119" s="592">
        <v>118</v>
      </c>
      <c r="B119" s="596">
        <v>1110127</v>
      </c>
      <c r="C119" s="592" t="s">
        <v>3308</v>
      </c>
      <c r="D119" s="592">
        <v>4</v>
      </c>
      <c r="E119" s="597">
        <v>1500</v>
      </c>
      <c r="F119" s="597">
        <v>1500</v>
      </c>
      <c r="G119" s="597">
        <v>3000</v>
      </c>
      <c r="H119" s="592" t="s">
        <v>1397</v>
      </c>
    </row>
    <row r="120" spans="1:8" ht="24.75" customHeight="1" x14ac:dyDescent="0.55000000000000004">
      <c r="A120" s="592">
        <v>119</v>
      </c>
      <c r="B120" s="596">
        <v>1110128</v>
      </c>
      <c r="C120" s="592" t="s">
        <v>3523</v>
      </c>
      <c r="D120" s="592">
        <v>3</v>
      </c>
      <c r="E120" s="597">
        <v>22000</v>
      </c>
      <c r="F120" s="597">
        <v>22000</v>
      </c>
      <c r="G120" s="597">
        <v>54000</v>
      </c>
      <c r="H120" s="592" t="s">
        <v>1397</v>
      </c>
    </row>
    <row r="121" spans="1:8" ht="24.75" customHeight="1" x14ac:dyDescent="0.55000000000000004">
      <c r="A121" s="592">
        <v>120</v>
      </c>
      <c r="B121" s="596">
        <v>1110129</v>
      </c>
      <c r="C121" s="592" t="s">
        <v>3524</v>
      </c>
      <c r="D121" s="592">
        <v>9</v>
      </c>
      <c r="E121" s="597">
        <v>3000</v>
      </c>
      <c r="F121" s="597">
        <v>3000</v>
      </c>
      <c r="G121" s="597">
        <v>16200</v>
      </c>
      <c r="H121" s="592" t="s">
        <v>1397</v>
      </c>
    </row>
    <row r="122" spans="1:8" ht="24.75" customHeight="1" x14ac:dyDescent="0.55000000000000004">
      <c r="A122" s="592">
        <v>121</v>
      </c>
      <c r="B122" s="596">
        <v>111013</v>
      </c>
      <c r="C122" s="592" t="s">
        <v>3525</v>
      </c>
      <c r="D122" s="592">
        <v>3</v>
      </c>
      <c r="E122" s="597">
        <v>1700</v>
      </c>
      <c r="F122" s="597">
        <v>1700</v>
      </c>
      <c r="G122" s="597">
        <v>2280</v>
      </c>
      <c r="H122" s="592" t="s">
        <v>1397</v>
      </c>
    </row>
    <row r="123" spans="1:8" ht="24.75" customHeight="1" x14ac:dyDescent="0.55000000000000004">
      <c r="A123" s="592">
        <v>122</v>
      </c>
      <c r="B123" s="596">
        <v>1110130</v>
      </c>
      <c r="C123" s="592" t="s">
        <v>3526</v>
      </c>
      <c r="D123" s="592">
        <v>2</v>
      </c>
      <c r="E123" s="597">
        <v>13000</v>
      </c>
      <c r="F123" s="597">
        <v>13000</v>
      </c>
      <c r="G123" s="597">
        <v>17200</v>
      </c>
      <c r="H123" s="592" t="s">
        <v>1397</v>
      </c>
    </row>
    <row r="124" spans="1:8" ht="24.75" customHeight="1" x14ac:dyDescent="0.55000000000000004">
      <c r="A124" s="592">
        <v>123</v>
      </c>
      <c r="B124" s="596">
        <v>1110131</v>
      </c>
      <c r="C124" s="592" t="s">
        <v>8507</v>
      </c>
      <c r="D124" s="592">
        <v>1</v>
      </c>
      <c r="E124" s="597">
        <v>7500</v>
      </c>
      <c r="F124" s="597">
        <v>7500</v>
      </c>
      <c r="G124" s="597">
        <v>5245</v>
      </c>
      <c r="H124" s="592" t="s">
        <v>1397</v>
      </c>
    </row>
    <row r="125" spans="1:8" ht="24.75" customHeight="1" x14ac:dyDescent="0.55000000000000004">
      <c r="A125" s="592">
        <v>124</v>
      </c>
      <c r="B125" s="596">
        <v>1110132</v>
      </c>
      <c r="C125" s="592" t="s">
        <v>3527</v>
      </c>
      <c r="D125" s="592">
        <v>3</v>
      </c>
      <c r="E125" s="597">
        <v>4000</v>
      </c>
      <c r="F125" s="597">
        <v>4000</v>
      </c>
      <c r="G125" s="597">
        <v>6720</v>
      </c>
      <c r="H125" s="592" t="s">
        <v>1397</v>
      </c>
    </row>
    <row r="126" spans="1:8" ht="24.75" customHeight="1" x14ac:dyDescent="0.55000000000000004">
      <c r="A126" s="592">
        <v>125</v>
      </c>
      <c r="B126" s="596">
        <v>1110133</v>
      </c>
      <c r="C126" s="592" t="s">
        <v>8225</v>
      </c>
      <c r="D126" s="592">
        <v>3</v>
      </c>
      <c r="E126" s="597">
        <v>4000</v>
      </c>
      <c r="F126" s="597">
        <v>4000</v>
      </c>
      <c r="G126" s="597">
        <v>6150</v>
      </c>
      <c r="H126" s="592" t="s">
        <v>1397</v>
      </c>
    </row>
    <row r="127" spans="1:8" ht="24.75" customHeight="1" x14ac:dyDescent="0.55000000000000004">
      <c r="A127" s="592">
        <v>126</v>
      </c>
      <c r="B127" s="596">
        <v>1110134</v>
      </c>
      <c r="C127" s="592" t="s">
        <v>3210</v>
      </c>
      <c r="D127" s="592">
        <v>9</v>
      </c>
      <c r="E127" s="597">
        <v>1800</v>
      </c>
      <c r="F127" s="597">
        <v>1800</v>
      </c>
      <c r="G127" s="597">
        <v>6750</v>
      </c>
      <c r="H127" s="592" t="s">
        <v>1397</v>
      </c>
    </row>
    <row r="128" spans="1:8" ht="24.75" customHeight="1" x14ac:dyDescent="0.55000000000000004">
      <c r="A128" s="592">
        <v>127</v>
      </c>
      <c r="B128" s="596">
        <v>1110135</v>
      </c>
      <c r="C128" s="592" t="s">
        <v>3309</v>
      </c>
      <c r="D128" s="592">
        <v>5</v>
      </c>
      <c r="E128" s="597">
        <v>500</v>
      </c>
      <c r="F128" s="597">
        <v>500</v>
      </c>
      <c r="G128" s="597">
        <v>1125</v>
      </c>
      <c r="H128" s="592" t="s">
        <v>1397</v>
      </c>
    </row>
    <row r="129" spans="1:8" ht="24.75" customHeight="1" x14ac:dyDescent="0.55000000000000004">
      <c r="A129" s="592">
        <v>128</v>
      </c>
      <c r="B129" s="596">
        <v>1110138</v>
      </c>
      <c r="C129" s="592" t="s">
        <v>3528</v>
      </c>
      <c r="D129" s="592">
        <v>3</v>
      </c>
      <c r="E129" s="597">
        <v>3000</v>
      </c>
      <c r="F129" s="597">
        <v>3000</v>
      </c>
      <c r="G129" s="597">
        <v>6000</v>
      </c>
      <c r="H129" s="592" t="s">
        <v>933</v>
      </c>
    </row>
    <row r="130" spans="1:8" ht="24.75" customHeight="1" x14ac:dyDescent="0.55000000000000004">
      <c r="A130" s="592">
        <v>129</v>
      </c>
      <c r="B130" s="596">
        <v>1110139</v>
      </c>
      <c r="C130" s="592" t="s">
        <v>3529</v>
      </c>
      <c r="D130" s="592">
        <v>8</v>
      </c>
      <c r="E130" s="597">
        <v>2000</v>
      </c>
      <c r="F130" s="597">
        <v>2000</v>
      </c>
      <c r="G130" s="597">
        <v>12000</v>
      </c>
      <c r="H130" s="592" t="s">
        <v>1397</v>
      </c>
    </row>
    <row r="131" spans="1:8" ht="24.75" customHeight="1" x14ac:dyDescent="0.55000000000000004">
      <c r="A131" s="592">
        <v>130</v>
      </c>
      <c r="B131" s="596">
        <v>1110140</v>
      </c>
      <c r="C131" s="592" t="s">
        <v>3530</v>
      </c>
      <c r="D131" s="592">
        <v>10</v>
      </c>
      <c r="E131" s="597">
        <v>2500</v>
      </c>
      <c r="F131" s="597">
        <v>2500</v>
      </c>
      <c r="G131" s="597">
        <v>17000</v>
      </c>
      <c r="H131" s="592" t="s">
        <v>1397</v>
      </c>
    </row>
    <row r="132" spans="1:8" ht="24.75" customHeight="1" x14ac:dyDescent="0.55000000000000004">
      <c r="A132" s="592">
        <v>131</v>
      </c>
      <c r="B132" s="596">
        <v>1110141</v>
      </c>
      <c r="C132" s="592" t="s">
        <v>3531</v>
      </c>
      <c r="D132" s="592">
        <v>18</v>
      </c>
      <c r="E132" s="597">
        <v>500</v>
      </c>
      <c r="F132" s="597">
        <v>500</v>
      </c>
      <c r="G132" s="597">
        <v>2880</v>
      </c>
      <c r="H132" s="592" t="s">
        <v>1397</v>
      </c>
    </row>
    <row r="133" spans="1:8" ht="24.75" customHeight="1" x14ac:dyDescent="0.55000000000000004">
      <c r="A133" s="592">
        <v>132</v>
      </c>
      <c r="B133" s="596">
        <v>1110142</v>
      </c>
      <c r="C133" s="592" t="s">
        <v>3532</v>
      </c>
      <c r="D133" s="592">
        <v>5</v>
      </c>
      <c r="E133" s="597">
        <v>6500</v>
      </c>
      <c r="F133" s="597">
        <v>6500</v>
      </c>
      <c r="G133" s="597">
        <v>16635</v>
      </c>
      <c r="H133" s="592" t="s">
        <v>1397</v>
      </c>
    </row>
    <row r="134" spans="1:8" ht="24.75" customHeight="1" x14ac:dyDescent="0.55000000000000004">
      <c r="A134" s="592">
        <v>133</v>
      </c>
      <c r="B134" s="596">
        <v>1110143</v>
      </c>
      <c r="C134" s="592" t="s">
        <v>3533</v>
      </c>
      <c r="D134" s="592">
        <v>3</v>
      </c>
      <c r="E134" s="597">
        <v>15000</v>
      </c>
      <c r="F134" s="597">
        <v>15000</v>
      </c>
      <c r="G134" s="597">
        <v>30900</v>
      </c>
      <c r="H134" s="592" t="s">
        <v>1397</v>
      </c>
    </row>
    <row r="135" spans="1:8" ht="24.75" customHeight="1" x14ac:dyDescent="0.55000000000000004">
      <c r="A135" s="592">
        <v>134</v>
      </c>
      <c r="B135" s="596">
        <v>1110144</v>
      </c>
      <c r="C135" s="592" t="s">
        <v>7973</v>
      </c>
      <c r="D135" s="592">
        <v>1</v>
      </c>
      <c r="E135" s="597">
        <v>40000</v>
      </c>
      <c r="F135" s="597">
        <v>40000</v>
      </c>
      <c r="G135" s="597">
        <v>32000</v>
      </c>
      <c r="H135" s="592" t="s">
        <v>1397</v>
      </c>
    </row>
    <row r="136" spans="1:8" ht="24.75" customHeight="1" x14ac:dyDescent="0.55000000000000004">
      <c r="A136" s="592">
        <v>135</v>
      </c>
      <c r="B136" s="596">
        <v>1110146</v>
      </c>
      <c r="C136" s="592" t="s">
        <v>6908</v>
      </c>
      <c r="D136" s="592">
        <v>1</v>
      </c>
      <c r="E136" s="597">
        <v>49000</v>
      </c>
      <c r="F136" s="597">
        <v>49000</v>
      </c>
      <c r="G136" s="597">
        <v>43000</v>
      </c>
      <c r="H136" s="592" t="s">
        <v>1397</v>
      </c>
    </row>
    <row r="137" spans="1:8" ht="24.75" customHeight="1" x14ac:dyDescent="0.55000000000000004">
      <c r="A137" s="592">
        <v>136</v>
      </c>
      <c r="B137" s="596">
        <v>1110147</v>
      </c>
      <c r="C137" s="592" t="s">
        <v>7885</v>
      </c>
      <c r="D137" s="592">
        <v>4</v>
      </c>
      <c r="E137" s="597">
        <v>2500</v>
      </c>
      <c r="F137" s="597">
        <v>2500</v>
      </c>
      <c r="G137" s="597">
        <v>7000</v>
      </c>
      <c r="H137" s="592" t="s">
        <v>1397</v>
      </c>
    </row>
    <row r="138" spans="1:8" ht="24.75" customHeight="1" x14ac:dyDescent="0.55000000000000004">
      <c r="A138" s="592">
        <v>137</v>
      </c>
      <c r="B138" s="596">
        <v>1110149</v>
      </c>
      <c r="C138" s="592" t="s">
        <v>6909</v>
      </c>
      <c r="D138" s="592">
        <v>1</v>
      </c>
      <c r="E138" s="597">
        <v>22000</v>
      </c>
      <c r="F138" s="597">
        <v>22000</v>
      </c>
      <c r="G138" s="597">
        <v>17750</v>
      </c>
      <c r="H138" s="592" t="s">
        <v>1397</v>
      </c>
    </row>
    <row r="139" spans="1:8" ht="24.75" customHeight="1" x14ac:dyDescent="0.55000000000000004">
      <c r="A139" s="592">
        <v>138</v>
      </c>
      <c r="B139" s="596">
        <v>111015</v>
      </c>
      <c r="C139" s="592" t="s">
        <v>8647</v>
      </c>
      <c r="D139" s="592">
        <v>1</v>
      </c>
      <c r="E139" s="597">
        <v>7500</v>
      </c>
      <c r="F139" s="597">
        <v>7500</v>
      </c>
      <c r="G139" s="597">
        <v>5000</v>
      </c>
      <c r="H139" s="592" t="s">
        <v>1397</v>
      </c>
    </row>
    <row r="140" spans="1:8" ht="24.75" customHeight="1" x14ac:dyDescent="0.55000000000000004">
      <c r="A140" s="592">
        <v>139</v>
      </c>
      <c r="B140" s="596">
        <v>1110150</v>
      </c>
      <c r="C140" s="592" t="s">
        <v>7974</v>
      </c>
      <c r="D140" s="592">
        <v>2</v>
      </c>
      <c r="E140" s="597">
        <v>15000</v>
      </c>
      <c r="F140" s="597">
        <v>15000</v>
      </c>
      <c r="G140" s="597">
        <v>27000</v>
      </c>
      <c r="H140" s="592" t="s">
        <v>1397</v>
      </c>
    </row>
    <row r="141" spans="1:8" ht="24.75" customHeight="1" x14ac:dyDescent="0.55000000000000004">
      <c r="A141" s="592">
        <v>140</v>
      </c>
      <c r="B141" s="596">
        <v>1110151</v>
      </c>
      <c r="C141" s="592" t="s">
        <v>7975</v>
      </c>
      <c r="D141" s="592">
        <v>1</v>
      </c>
      <c r="E141" s="597">
        <v>52000</v>
      </c>
      <c r="F141" s="597">
        <v>52000</v>
      </c>
      <c r="G141" s="597">
        <v>46500</v>
      </c>
      <c r="H141" s="592" t="s">
        <v>1397</v>
      </c>
    </row>
    <row r="142" spans="1:8" ht="24.75" customHeight="1" x14ac:dyDescent="0.55000000000000004">
      <c r="A142" s="592">
        <v>141</v>
      </c>
      <c r="B142" s="596">
        <v>1110152</v>
      </c>
      <c r="C142" s="592" t="s">
        <v>7976</v>
      </c>
      <c r="D142" s="592">
        <v>1</v>
      </c>
      <c r="E142" s="597">
        <v>12000</v>
      </c>
      <c r="F142" s="597">
        <v>12000</v>
      </c>
      <c r="G142" s="597">
        <v>9000</v>
      </c>
      <c r="H142" s="592" t="s">
        <v>1397</v>
      </c>
    </row>
    <row r="143" spans="1:8" ht="24.75" customHeight="1" x14ac:dyDescent="0.55000000000000004">
      <c r="A143" s="592">
        <v>142</v>
      </c>
      <c r="B143" s="596">
        <v>1110153</v>
      </c>
      <c r="C143" s="592" t="s">
        <v>8226</v>
      </c>
      <c r="D143" s="592">
        <v>1</v>
      </c>
      <c r="E143" s="597">
        <v>34000</v>
      </c>
      <c r="F143" s="597">
        <v>34000</v>
      </c>
      <c r="G143" s="597">
        <v>29000</v>
      </c>
      <c r="H143" s="592" t="s">
        <v>1397</v>
      </c>
    </row>
    <row r="144" spans="1:8" ht="24.75" customHeight="1" x14ac:dyDescent="0.55000000000000004">
      <c r="A144" s="592">
        <v>143</v>
      </c>
      <c r="B144" s="596">
        <v>1110154</v>
      </c>
      <c r="C144" s="592" t="s">
        <v>8359</v>
      </c>
      <c r="D144" s="592">
        <v>1</v>
      </c>
      <c r="E144" s="597">
        <v>24000</v>
      </c>
      <c r="F144" s="597">
        <v>24000</v>
      </c>
      <c r="G144" s="597">
        <v>20000</v>
      </c>
      <c r="H144" s="592" t="s">
        <v>1397</v>
      </c>
    </row>
    <row r="145" spans="1:8" ht="24.75" customHeight="1" x14ac:dyDescent="0.55000000000000004">
      <c r="A145" s="592">
        <v>144</v>
      </c>
      <c r="B145" s="596">
        <v>1110155</v>
      </c>
      <c r="C145" s="592" t="s">
        <v>8360</v>
      </c>
      <c r="D145" s="592">
        <v>1</v>
      </c>
      <c r="E145" s="597">
        <v>47000</v>
      </c>
      <c r="F145" s="597">
        <v>47000</v>
      </c>
      <c r="G145" s="597">
        <v>42500</v>
      </c>
      <c r="H145" s="592" t="s">
        <v>1397</v>
      </c>
    </row>
    <row r="146" spans="1:8" ht="24.75" customHeight="1" x14ac:dyDescent="0.55000000000000004">
      <c r="A146" s="592">
        <v>145</v>
      </c>
      <c r="B146" s="596">
        <v>1110157</v>
      </c>
      <c r="C146" s="592" t="s">
        <v>8227</v>
      </c>
      <c r="D146" s="592">
        <v>2</v>
      </c>
      <c r="E146" s="597">
        <v>2000</v>
      </c>
      <c r="F146" s="597">
        <v>2000</v>
      </c>
      <c r="G146" s="597">
        <v>2832</v>
      </c>
      <c r="H146" s="592" t="s">
        <v>933</v>
      </c>
    </row>
    <row r="147" spans="1:8" ht="24.75" customHeight="1" x14ac:dyDescent="0.55000000000000004">
      <c r="A147" s="592">
        <v>146</v>
      </c>
      <c r="B147" s="596">
        <v>1110158</v>
      </c>
      <c r="C147" s="592" t="s">
        <v>8228</v>
      </c>
      <c r="D147" s="592">
        <v>8</v>
      </c>
      <c r="E147" s="597">
        <v>2000</v>
      </c>
      <c r="F147" s="597">
        <v>2000</v>
      </c>
      <c r="G147" s="597">
        <v>9368</v>
      </c>
      <c r="H147" s="592" t="s">
        <v>933</v>
      </c>
    </row>
    <row r="148" spans="1:8" ht="24.75" customHeight="1" x14ac:dyDescent="0.55000000000000004">
      <c r="A148" s="592">
        <v>147</v>
      </c>
      <c r="B148" s="596">
        <v>1110159</v>
      </c>
      <c r="C148" s="592" t="s">
        <v>8229</v>
      </c>
      <c r="D148" s="592">
        <v>9</v>
      </c>
      <c r="E148" s="597">
        <v>1300</v>
      </c>
      <c r="F148" s="597">
        <v>1300</v>
      </c>
      <c r="G148" s="597">
        <v>5850</v>
      </c>
      <c r="H148" s="592" t="s">
        <v>1397</v>
      </c>
    </row>
    <row r="149" spans="1:8" ht="24.75" customHeight="1" x14ac:dyDescent="0.55000000000000004">
      <c r="A149" s="592">
        <v>148</v>
      </c>
      <c r="B149" s="596">
        <v>111016</v>
      </c>
      <c r="C149" s="592" t="s">
        <v>2994</v>
      </c>
      <c r="D149" s="592">
        <v>5</v>
      </c>
      <c r="E149" s="597">
        <v>6000</v>
      </c>
      <c r="F149" s="597">
        <v>6000</v>
      </c>
      <c r="G149" s="597">
        <v>24000</v>
      </c>
      <c r="H149" s="592" t="s">
        <v>1397</v>
      </c>
    </row>
    <row r="150" spans="1:8" ht="24.75" customHeight="1" x14ac:dyDescent="0.55000000000000004">
      <c r="A150" s="592">
        <v>149</v>
      </c>
      <c r="B150" s="596">
        <v>1110160</v>
      </c>
      <c r="C150" s="592" t="s">
        <v>8648</v>
      </c>
      <c r="D150" s="592">
        <v>2</v>
      </c>
      <c r="E150" s="597">
        <v>18000</v>
      </c>
      <c r="F150" s="597">
        <v>18000</v>
      </c>
      <c r="G150" s="597">
        <v>27876</v>
      </c>
      <c r="H150" s="592" t="s">
        <v>933</v>
      </c>
    </row>
    <row r="151" spans="1:8" ht="24.75" customHeight="1" x14ac:dyDescent="0.55000000000000004">
      <c r="A151" s="592">
        <v>150</v>
      </c>
      <c r="B151" s="596">
        <v>111017</v>
      </c>
      <c r="C151" s="592" t="s">
        <v>3534</v>
      </c>
      <c r="D151" s="592">
        <v>1</v>
      </c>
      <c r="E151" s="597">
        <v>8000</v>
      </c>
      <c r="F151" s="597">
        <v>8000</v>
      </c>
      <c r="G151" s="597">
        <v>3100</v>
      </c>
      <c r="H151" s="592" t="s">
        <v>933</v>
      </c>
    </row>
    <row r="152" spans="1:8" ht="24.75" customHeight="1" x14ac:dyDescent="0.55000000000000004">
      <c r="A152" s="592">
        <v>151</v>
      </c>
      <c r="B152" s="596">
        <v>111018</v>
      </c>
      <c r="C152" s="592" t="s">
        <v>3535</v>
      </c>
      <c r="D152" s="592">
        <v>8</v>
      </c>
      <c r="E152" s="597">
        <v>1500</v>
      </c>
      <c r="F152" s="597">
        <v>1500</v>
      </c>
      <c r="G152" s="597">
        <v>4000</v>
      </c>
      <c r="H152" s="592" t="s">
        <v>1397</v>
      </c>
    </row>
    <row r="153" spans="1:8" ht="24.75" customHeight="1" x14ac:dyDescent="0.55000000000000004">
      <c r="A153" s="592">
        <v>152</v>
      </c>
      <c r="B153" s="596">
        <v>111019</v>
      </c>
      <c r="C153" s="592" t="s">
        <v>3536</v>
      </c>
      <c r="D153" s="592">
        <v>12</v>
      </c>
      <c r="E153" s="597">
        <v>2500</v>
      </c>
      <c r="F153" s="597">
        <v>2500</v>
      </c>
      <c r="G153" s="597">
        <v>25800</v>
      </c>
      <c r="H153" s="592" t="s">
        <v>1397</v>
      </c>
    </row>
    <row r="154" spans="1:8" ht="24.75" customHeight="1" x14ac:dyDescent="0.55000000000000004">
      <c r="A154" s="592">
        <v>153</v>
      </c>
      <c r="B154" s="596">
        <v>111020</v>
      </c>
      <c r="C154" s="592" t="s">
        <v>3537</v>
      </c>
      <c r="D154" s="592">
        <v>5</v>
      </c>
      <c r="E154" s="597">
        <v>1500</v>
      </c>
      <c r="F154" s="597">
        <v>1500</v>
      </c>
      <c r="G154" s="597">
        <v>3250</v>
      </c>
      <c r="H154" s="592" t="s">
        <v>1397</v>
      </c>
    </row>
    <row r="155" spans="1:8" ht="24.75" customHeight="1" x14ac:dyDescent="0.55000000000000004">
      <c r="A155" s="592">
        <v>154</v>
      </c>
      <c r="B155" s="596">
        <v>111021</v>
      </c>
      <c r="C155" s="592" t="s">
        <v>3538</v>
      </c>
      <c r="D155" s="592">
        <v>5</v>
      </c>
      <c r="E155" s="597">
        <v>1500</v>
      </c>
      <c r="F155" s="597">
        <v>1500</v>
      </c>
      <c r="G155" s="597">
        <v>3250</v>
      </c>
      <c r="H155" s="592" t="s">
        <v>1397</v>
      </c>
    </row>
    <row r="156" spans="1:8" ht="24.75" customHeight="1" x14ac:dyDescent="0.55000000000000004">
      <c r="A156" s="592">
        <v>155</v>
      </c>
      <c r="B156" s="596">
        <v>111022</v>
      </c>
      <c r="C156" s="592" t="s">
        <v>8649</v>
      </c>
      <c r="D156" s="592">
        <v>1</v>
      </c>
      <c r="E156" s="597">
        <v>40000</v>
      </c>
      <c r="F156" s="597">
        <v>40000</v>
      </c>
      <c r="G156" s="597">
        <v>28000</v>
      </c>
      <c r="H156" s="592" t="s">
        <v>1397</v>
      </c>
    </row>
    <row r="157" spans="1:8" ht="24.75" customHeight="1" x14ac:dyDescent="0.55000000000000004">
      <c r="A157" s="592">
        <v>156</v>
      </c>
      <c r="B157" s="596">
        <v>1115001</v>
      </c>
      <c r="C157" s="592" t="s">
        <v>8508</v>
      </c>
      <c r="D157" s="592">
        <v>3</v>
      </c>
      <c r="E157" s="597">
        <v>1700</v>
      </c>
      <c r="F157" s="597">
        <v>1700</v>
      </c>
      <c r="G157" s="597">
        <v>2400</v>
      </c>
      <c r="H157" s="592" t="s">
        <v>1397</v>
      </c>
    </row>
    <row r="158" spans="1:8" ht="24.75" customHeight="1" x14ac:dyDescent="0.55000000000000004">
      <c r="A158" s="592">
        <v>157</v>
      </c>
      <c r="B158" s="596">
        <v>1115002</v>
      </c>
      <c r="C158" s="592" t="s">
        <v>3539</v>
      </c>
      <c r="D158" s="592">
        <v>1</v>
      </c>
      <c r="E158" s="597">
        <v>800</v>
      </c>
      <c r="F158" s="597">
        <v>800</v>
      </c>
      <c r="G158" s="597">
        <v>441</v>
      </c>
      <c r="H158" s="592" t="s">
        <v>1397</v>
      </c>
    </row>
    <row r="159" spans="1:8" ht="24.75" customHeight="1" x14ac:dyDescent="0.55000000000000004">
      <c r="A159" s="592">
        <v>158</v>
      </c>
      <c r="B159" s="596">
        <v>1115004</v>
      </c>
      <c r="C159" s="592" t="s">
        <v>6537</v>
      </c>
      <c r="D159" s="592">
        <v>1</v>
      </c>
      <c r="E159" s="597">
        <v>1200</v>
      </c>
      <c r="F159" s="597">
        <v>1200</v>
      </c>
      <c r="G159" s="597">
        <v>800</v>
      </c>
      <c r="H159" s="592" t="s">
        <v>933</v>
      </c>
    </row>
    <row r="160" spans="1:8" ht="24.75" customHeight="1" x14ac:dyDescent="0.55000000000000004">
      <c r="A160" s="592">
        <v>159</v>
      </c>
      <c r="B160" s="596">
        <v>1115005</v>
      </c>
      <c r="C160" s="592" t="s">
        <v>1403</v>
      </c>
      <c r="D160" s="592">
        <v>2</v>
      </c>
      <c r="E160" s="597">
        <v>5000</v>
      </c>
      <c r="F160" s="597">
        <v>5000</v>
      </c>
      <c r="G160" s="597">
        <v>6600</v>
      </c>
      <c r="H160" s="592" t="s">
        <v>933</v>
      </c>
    </row>
    <row r="161" spans="1:8" ht="24.75" customHeight="1" x14ac:dyDescent="0.55000000000000004">
      <c r="A161" s="592">
        <v>160</v>
      </c>
      <c r="B161" s="596">
        <v>1115006</v>
      </c>
      <c r="C161" s="592" t="s">
        <v>3540</v>
      </c>
      <c r="D161" s="592">
        <v>4</v>
      </c>
      <c r="E161" s="597">
        <v>1800</v>
      </c>
      <c r="F161" s="597">
        <v>1800</v>
      </c>
      <c r="G161" s="597">
        <v>5400</v>
      </c>
      <c r="H161" s="592" t="s">
        <v>1397</v>
      </c>
    </row>
    <row r="162" spans="1:8" ht="24.75" customHeight="1" x14ac:dyDescent="0.55000000000000004">
      <c r="A162" s="592">
        <v>161</v>
      </c>
      <c r="B162" s="596">
        <v>1115007</v>
      </c>
      <c r="C162" s="592" t="s">
        <v>3541</v>
      </c>
      <c r="D162" s="592">
        <v>1</v>
      </c>
      <c r="E162" s="597">
        <v>55000</v>
      </c>
      <c r="F162" s="597">
        <v>55000</v>
      </c>
      <c r="G162" s="597">
        <v>35465</v>
      </c>
      <c r="H162" s="592" t="s">
        <v>1397</v>
      </c>
    </row>
    <row r="163" spans="1:8" ht="24.75" customHeight="1" x14ac:dyDescent="0.55000000000000004">
      <c r="A163" s="592">
        <v>162</v>
      </c>
      <c r="B163" s="596">
        <v>1115008</v>
      </c>
      <c r="C163" s="592" t="s">
        <v>3542</v>
      </c>
      <c r="D163" s="592">
        <v>1</v>
      </c>
      <c r="E163" s="597">
        <v>6000</v>
      </c>
      <c r="F163" s="597">
        <v>6000</v>
      </c>
      <c r="G163" s="597">
        <v>2484</v>
      </c>
      <c r="H163" s="592" t="s">
        <v>1397</v>
      </c>
    </row>
    <row r="164" spans="1:8" ht="24.75" customHeight="1" x14ac:dyDescent="0.55000000000000004">
      <c r="A164" s="592">
        <v>163</v>
      </c>
      <c r="B164" s="596">
        <v>1115009</v>
      </c>
      <c r="C164" s="592" t="s">
        <v>3543</v>
      </c>
      <c r="D164" s="592">
        <v>6</v>
      </c>
      <c r="E164" s="597">
        <v>5000</v>
      </c>
      <c r="F164" s="597">
        <v>5000</v>
      </c>
      <c r="G164" s="597">
        <v>18900</v>
      </c>
      <c r="H164" s="592" t="s">
        <v>1397</v>
      </c>
    </row>
    <row r="165" spans="1:8" ht="24.75" customHeight="1" x14ac:dyDescent="0.55000000000000004">
      <c r="A165" s="592">
        <v>164</v>
      </c>
      <c r="B165" s="596">
        <v>1115010</v>
      </c>
      <c r="C165" s="592" t="s">
        <v>6538</v>
      </c>
      <c r="D165" s="592">
        <v>1</v>
      </c>
      <c r="E165" s="597">
        <v>1200</v>
      </c>
      <c r="F165" s="597">
        <v>1200</v>
      </c>
      <c r="G165" s="597">
        <v>900</v>
      </c>
      <c r="H165" s="592" t="s">
        <v>1397</v>
      </c>
    </row>
    <row r="166" spans="1:8" ht="24.75" customHeight="1" x14ac:dyDescent="0.55000000000000004">
      <c r="A166" s="592">
        <v>165</v>
      </c>
      <c r="B166" s="596">
        <v>1115012</v>
      </c>
      <c r="C166" s="592" t="s">
        <v>7472</v>
      </c>
      <c r="D166" s="592">
        <v>1</v>
      </c>
      <c r="E166" s="597">
        <v>11500</v>
      </c>
      <c r="F166" s="597">
        <v>11500</v>
      </c>
      <c r="G166" s="597">
        <v>8500</v>
      </c>
      <c r="H166" s="592" t="s">
        <v>1397</v>
      </c>
    </row>
    <row r="167" spans="1:8" ht="24.75" customHeight="1" x14ac:dyDescent="0.55000000000000004">
      <c r="A167" s="592">
        <v>166</v>
      </c>
      <c r="B167" s="596">
        <v>11410114</v>
      </c>
      <c r="C167" s="592" t="s">
        <v>3093</v>
      </c>
      <c r="D167" s="592">
        <v>15</v>
      </c>
      <c r="E167" s="597">
        <v>1000</v>
      </c>
      <c r="F167" s="597">
        <v>1000</v>
      </c>
      <c r="G167" s="597">
        <v>5850</v>
      </c>
      <c r="H167" s="592" t="s">
        <v>1397</v>
      </c>
    </row>
    <row r="168" spans="1:8" ht="24.75" customHeight="1" x14ac:dyDescent="0.55000000000000004">
      <c r="A168" s="592">
        <v>167</v>
      </c>
      <c r="B168" s="596">
        <v>189007</v>
      </c>
      <c r="C168" s="592" t="s">
        <v>3544</v>
      </c>
      <c r="D168" s="592">
        <v>20</v>
      </c>
      <c r="E168" s="597">
        <v>500</v>
      </c>
      <c r="F168" s="597">
        <v>500</v>
      </c>
      <c r="G168" s="597">
        <v>7000</v>
      </c>
      <c r="H168" s="592" t="s">
        <v>1397</v>
      </c>
    </row>
    <row r="169" spans="1:8" ht="24.75" customHeight="1" x14ac:dyDescent="0.55000000000000004">
      <c r="A169" s="592">
        <v>168</v>
      </c>
      <c r="B169" s="596">
        <v>190001</v>
      </c>
      <c r="C169" s="592" t="s">
        <v>8650</v>
      </c>
      <c r="D169" s="592">
        <v>1</v>
      </c>
      <c r="E169" s="597">
        <v>35000</v>
      </c>
      <c r="F169" s="597">
        <v>35000</v>
      </c>
      <c r="G169" s="597">
        <v>31000</v>
      </c>
      <c r="H169" s="592" t="s">
        <v>1397</v>
      </c>
    </row>
    <row r="170" spans="1:8" ht="24.75" customHeight="1" x14ac:dyDescent="0.55000000000000004">
      <c r="A170" s="592">
        <v>169</v>
      </c>
      <c r="B170" s="596">
        <v>190002</v>
      </c>
      <c r="C170" s="592" t="s">
        <v>8651</v>
      </c>
      <c r="D170" s="592">
        <v>3</v>
      </c>
      <c r="E170" s="597">
        <v>1200</v>
      </c>
      <c r="F170" s="597">
        <v>1200</v>
      </c>
      <c r="G170" s="597">
        <v>2100</v>
      </c>
      <c r="H170" s="592" t="s">
        <v>1397</v>
      </c>
    </row>
    <row r="171" spans="1:8" ht="24.75" customHeight="1" x14ac:dyDescent="0.55000000000000004">
      <c r="A171" s="592">
        <v>170</v>
      </c>
      <c r="B171" s="596">
        <v>195001</v>
      </c>
      <c r="C171" s="592" t="s">
        <v>1404</v>
      </c>
      <c r="D171" s="592">
        <v>26</v>
      </c>
      <c r="E171" s="597">
        <v>700</v>
      </c>
      <c r="F171" s="597">
        <v>700</v>
      </c>
      <c r="G171" s="597">
        <v>5720</v>
      </c>
      <c r="H171" s="592" t="s">
        <v>1397</v>
      </c>
    </row>
    <row r="172" spans="1:8" ht="24.75" customHeight="1" x14ac:dyDescent="0.55000000000000004">
      <c r="A172" s="592">
        <v>171</v>
      </c>
      <c r="B172" s="596">
        <v>195002</v>
      </c>
      <c r="C172" s="592" t="s">
        <v>1405</v>
      </c>
      <c r="D172" s="592">
        <v>2</v>
      </c>
      <c r="E172" s="597">
        <v>3800</v>
      </c>
      <c r="F172" s="597">
        <v>3800</v>
      </c>
      <c r="G172" s="597">
        <v>4700</v>
      </c>
      <c r="H172" s="592" t="s">
        <v>1397</v>
      </c>
    </row>
    <row r="173" spans="1:8" ht="24.75" customHeight="1" x14ac:dyDescent="0.55000000000000004">
      <c r="A173" s="592">
        <v>172</v>
      </c>
      <c r="B173" s="596">
        <v>195004</v>
      </c>
      <c r="C173" s="592" t="s">
        <v>1406</v>
      </c>
      <c r="D173" s="592">
        <v>6</v>
      </c>
      <c r="E173" s="597">
        <v>15000</v>
      </c>
      <c r="F173" s="597">
        <v>15000</v>
      </c>
      <c r="G173" s="597">
        <v>57600</v>
      </c>
      <c r="H173" s="592" t="s">
        <v>1397</v>
      </c>
    </row>
    <row r="174" spans="1:8" ht="24.75" customHeight="1" x14ac:dyDescent="0.55000000000000004">
      <c r="A174" s="592">
        <v>173</v>
      </c>
      <c r="B174" s="596">
        <v>195005</v>
      </c>
      <c r="C174" s="592" t="s">
        <v>3545</v>
      </c>
      <c r="D174" s="592">
        <v>1</v>
      </c>
      <c r="E174" s="597">
        <v>13000</v>
      </c>
      <c r="F174" s="597">
        <v>13000</v>
      </c>
      <c r="G174" s="597">
        <v>8075</v>
      </c>
      <c r="H174" s="592" t="s">
        <v>1397</v>
      </c>
    </row>
    <row r="175" spans="1:8" ht="24.75" customHeight="1" x14ac:dyDescent="0.55000000000000004">
      <c r="A175" s="592">
        <v>174</v>
      </c>
      <c r="B175" s="596" t="s">
        <v>3546</v>
      </c>
      <c r="C175" s="592" t="s">
        <v>3547</v>
      </c>
      <c r="D175" s="592">
        <v>2</v>
      </c>
      <c r="E175" s="597">
        <v>2500</v>
      </c>
      <c r="F175" s="597">
        <v>2500</v>
      </c>
      <c r="G175" s="597">
        <v>2600</v>
      </c>
      <c r="H175" s="592" t="s">
        <v>2470</v>
      </c>
    </row>
    <row r="176" spans="1:8" ht="24.75" customHeight="1" x14ac:dyDescent="0.55000000000000004">
      <c r="A176" s="592">
        <v>175</v>
      </c>
      <c r="B176" s="596" t="s">
        <v>3548</v>
      </c>
      <c r="C176" s="592" t="s">
        <v>3549</v>
      </c>
      <c r="D176" s="592">
        <v>7</v>
      </c>
      <c r="E176" s="597">
        <v>2500</v>
      </c>
      <c r="F176" s="597">
        <v>2500</v>
      </c>
      <c r="G176" s="597">
        <v>11550</v>
      </c>
      <c r="H176" s="592" t="s">
        <v>2470</v>
      </c>
    </row>
    <row r="177" spans="1:8" ht="24.75" customHeight="1" x14ac:dyDescent="0.55000000000000004">
      <c r="A177" s="592">
        <v>176</v>
      </c>
      <c r="B177" s="596" t="s">
        <v>3550</v>
      </c>
      <c r="C177" s="592" t="s">
        <v>3551</v>
      </c>
      <c r="D177" s="592">
        <v>3</v>
      </c>
      <c r="E177" s="597">
        <v>2600</v>
      </c>
      <c r="F177" s="597">
        <v>2600</v>
      </c>
      <c r="G177" s="597">
        <v>5550</v>
      </c>
      <c r="H177" s="592" t="s">
        <v>2470</v>
      </c>
    </row>
    <row r="178" spans="1:8" ht="24.75" customHeight="1" x14ac:dyDescent="0.55000000000000004">
      <c r="A178" s="592">
        <v>177</v>
      </c>
      <c r="B178" s="596" t="s">
        <v>2995</v>
      </c>
      <c r="C178" s="592" t="s">
        <v>2996</v>
      </c>
      <c r="D178" s="592">
        <v>1</v>
      </c>
      <c r="E178" s="597">
        <v>4500</v>
      </c>
      <c r="F178" s="597">
        <v>4500</v>
      </c>
      <c r="G178" s="597">
        <v>2800</v>
      </c>
      <c r="H178" s="592" t="s">
        <v>2470</v>
      </c>
    </row>
    <row r="179" spans="1:8" ht="24.75" customHeight="1" x14ac:dyDescent="0.55000000000000004">
      <c r="A179" s="592">
        <v>178</v>
      </c>
      <c r="B179" s="596" t="s">
        <v>3552</v>
      </c>
      <c r="C179" s="592" t="s">
        <v>3553</v>
      </c>
      <c r="D179" s="592">
        <v>83</v>
      </c>
      <c r="E179" s="597">
        <v>700</v>
      </c>
      <c r="F179" s="597">
        <v>700</v>
      </c>
      <c r="G179" s="597">
        <v>41500</v>
      </c>
      <c r="H179" s="592" t="s">
        <v>2470</v>
      </c>
    </row>
    <row r="180" spans="1:8" ht="24.75" customHeight="1" x14ac:dyDescent="0.55000000000000004">
      <c r="A180" s="592">
        <v>179</v>
      </c>
      <c r="B180" s="596" t="s">
        <v>3554</v>
      </c>
      <c r="C180" s="592" t="s">
        <v>3555</v>
      </c>
      <c r="D180" s="592">
        <v>1</v>
      </c>
      <c r="E180" s="597">
        <v>400</v>
      </c>
      <c r="F180" s="597">
        <v>400</v>
      </c>
      <c r="G180" s="597">
        <v>300</v>
      </c>
      <c r="H180" s="592" t="s">
        <v>2470</v>
      </c>
    </row>
    <row r="181" spans="1:8" ht="24.75" customHeight="1" x14ac:dyDescent="0.55000000000000004">
      <c r="A181" s="592">
        <v>180</v>
      </c>
      <c r="B181" s="596" t="s">
        <v>3556</v>
      </c>
      <c r="C181" s="592" t="s">
        <v>3557</v>
      </c>
      <c r="D181" s="592">
        <v>4</v>
      </c>
      <c r="E181" s="597">
        <v>1500</v>
      </c>
      <c r="F181" s="597">
        <v>1500</v>
      </c>
      <c r="G181" s="597">
        <v>2000</v>
      </c>
      <c r="H181" s="592" t="s">
        <v>2470</v>
      </c>
    </row>
    <row r="182" spans="1:8" ht="24.75" customHeight="1" x14ac:dyDescent="0.55000000000000004">
      <c r="A182" s="592">
        <v>181</v>
      </c>
      <c r="B182" s="596" t="s">
        <v>3558</v>
      </c>
      <c r="C182" s="592" t="s">
        <v>3559</v>
      </c>
      <c r="D182" s="592">
        <v>2</v>
      </c>
      <c r="E182" s="597">
        <v>8300</v>
      </c>
      <c r="F182" s="597">
        <v>8300</v>
      </c>
      <c r="G182" s="597">
        <v>9000</v>
      </c>
      <c r="H182" s="592" t="s">
        <v>2470</v>
      </c>
    </row>
    <row r="183" spans="1:8" ht="24.75" customHeight="1" x14ac:dyDescent="0.55000000000000004">
      <c r="A183" s="592">
        <v>182</v>
      </c>
      <c r="B183" s="596" t="s">
        <v>3560</v>
      </c>
      <c r="C183" s="592" t="s">
        <v>3561</v>
      </c>
      <c r="D183" s="592">
        <v>1</v>
      </c>
      <c r="E183" s="597">
        <v>11000</v>
      </c>
      <c r="F183" s="597">
        <v>11000</v>
      </c>
      <c r="G183" s="597">
        <v>6800</v>
      </c>
      <c r="H183" s="592" t="s">
        <v>2470</v>
      </c>
    </row>
    <row r="184" spans="1:8" ht="24.75" customHeight="1" x14ac:dyDescent="0.55000000000000004">
      <c r="A184" s="592">
        <v>183</v>
      </c>
      <c r="B184" s="596" t="s">
        <v>2842</v>
      </c>
      <c r="C184" s="592" t="s">
        <v>2843</v>
      </c>
      <c r="D184" s="592">
        <v>2</v>
      </c>
      <c r="E184" s="597">
        <v>3000</v>
      </c>
      <c r="F184" s="597">
        <v>3000</v>
      </c>
      <c r="G184" s="597">
        <v>4200</v>
      </c>
      <c r="H184" s="592" t="s">
        <v>2470</v>
      </c>
    </row>
    <row r="185" spans="1:8" ht="24.75" customHeight="1" x14ac:dyDescent="0.55000000000000004">
      <c r="A185" s="592">
        <v>184</v>
      </c>
      <c r="B185" s="596" t="s">
        <v>3562</v>
      </c>
      <c r="C185" s="592" t="s">
        <v>3563</v>
      </c>
      <c r="D185" s="592">
        <v>1</v>
      </c>
      <c r="E185" s="597">
        <v>4500</v>
      </c>
      <c r="F185" s="597">
        <v>4500</v>
      </c>
      <c r="G185" s="597">
        <v>3200</v>
      </c>
      <c r="H185" s="592" t="s">
        <v>2470</v>
      </c>
    </row>
    <row r="186" spans="1:8" ht="24.75" customHeight="1" x14ac:dyDescent="0.55000000000000004">
      <c r="A186" s="592">
        <v>185</v>
      </c>
      <c r="B186" s="596" t="s">
        <v>3564</v>
      </c>
      <c r="C186" s="592" t="s">
        <v>3565</v>
      </c>
      <c r="D186" s="592">
        <v>2</v>
      </c>
      <c r="E186" s="597">
        <v>3000</v>
      </c>
      <c r="F186" s="597">
        <v>3000</v>
      </c>
      <c r="G186" s="597">
        <v>3600</v>
      </c>
      <c r="H186" s="592" t="s">
        <v>2470</v>
      </c>
    </row>
    <row r="187" spans="1:8" ht="24.75" customHeight="1" x14ac:dyDescent="0.55000000000000004">
      <c r="A187" s="592">
        <v>186</v>
      </c>
      <c r="B187" s="596">
        <v>950886000857</v>
      </c>
      <c r="C187" s="592" t="s">
        <v>3566</v>
      </c>
      <c r="D187" s="592">
        <v>114</v>
      </c>
      <c r="E187" s="597">
        <v>100</v>
      </c>
      <c r="F187" s="597">
        <v>100</v>
      </c>
      <c r="G187" s="597">
        <v>9918</v>
      </c>
      <c r="H187" s="592" t="s">
        <v>1397</v>
      </c>
    </row>
    <row r="188" spans="1:8" ht="24.75" customHeight="1" x14ac:dyDescent="0.55000000000000004">
      <c r="A188" s="592">
        <v>187</v>
      </c>
      <c r="B188" s="596">
        <v>950886001847</v>
      </c>
      <c r="C188" s="592" t="s">
        <v>3567</v>
      </c>
      <c r="D188" s="592">
        <v>125</v>
      </c>
      <c r="E188" s="597">
        <v>50</v>
      </c>
      <c r="F188" s="597">
        <v>50</v>
      </c>
      <c r="G188" s="597">
        <v>4750</v>
      </c>
      <c r="H188" s="592" t="s">
        <v>1397</v>
      </c>
    </row>
    <row r="189" spans="1:8" ht="24.75" customHeight="1" x14ac:dyDescent="0.55000000000000004">
      <c r="A189" s="592">
        <v>188</v>
      </c>
      <c r="B189" s="596">
        <v>950886002844</v>
      </c>
      <c r="C189" s="592" t="s">
        <v>2365</v>
      </c>
      <c r="D189" s="592">
        <v>5</v>
      </c>
      <c r="E189" s="597">
        <v>500</v>
      </c>
      <c r="F189" s="597">
        <v>500</v>
      </c>
      <c r="G189" s="597">
        <v>2200</v>
      </c>
      <c r="H189" s="592" t="s">
        <v>1397</v>
      </c>
    </row>
    <row r="190" spans="1:8" ht="24.75" customHeight="1" x14ac:dyDescent="0.55000000000000004">
      <c r="A190" s="592">
        <v>189</v>
      </c>
      <c r="B190" s="596" t="s">
        <v>2471</v>
      </c>
      <c r="C190" s="592" t="s">
        <v>2999</v>
      </c>
      <c r="D190" s="592">
        <v>1</v>
      </c>
      <c r="E190" s="597">
        <v>2000</v>
      </c>
      <c r="F190" s="597">
        <v>2000</v>
      </c>
      <c r="G190" s="597">
        <v>1500</v>
      </c>
      <c r="H190" s="592" t="s">
        <v>1397</v>
      </c>
    </row>
    <row r="191" spans="1:8" ht="24.75" customHeight="1" x14ac:dyDescent="0.55000000000000004">
      <c r="A191" s="592">
        <v>190</v>
      </c>
      <c r="B191" s="596" t="s">
        <v>3568</v>
      </c>
      <c r="C191" s="592" t="s">
        <v>3569</v>
      </c>
      <c r="D191" s="592">
        <v>1</v>
      </c>
      <c r="E191" s="597">
        <v>2300</v>
      </c>
      <c r="F191" s="597">
        <v>2300</v>
      </c>
      <c r="G191" s="597">
        <v>1800</v>
      </c>
      <c r="H191" s="592" t="s">
        <v>1397</v>
      </c>
    </row>
    <row r="192" spans="1:8" ht="24.75" customHeight="1" x14ac:dyDescent="0.55000000000000004">
      <c r="A192" s="592">
        <v>191</v>
      </c>
      <c r="B192" s="596" t="s">
        <v>7473</v>
      </c>
      <c r="C192" s="592" t="s">
        <v>7474</v>
      </c>
      <c r="D192" s="592">
        <v>6</v>
      </c>
      <c r="E192" s="597">
        <v>2000</v>
      </c>
      <c r="F192" s="597">
        <v>2000</v>
      </c>
      <c r="G192" s="597">
        <v>9300</v>
      </c>
      <c r="H192" s="592" t="s">
        <v>1397</v>
      </c>
    </row>
    <row r="193" spans="1:8" ht="24.75" customHeight="1" x14ac:dyDescent="0.55000000000000004">
      <c r="A193" s="592">
        <v>192</v>
      </c>
      <c r="B193" s="596" t="s">
        <v>3570</v>
      </c>
      <c r="C193" s="592" t="s">
        <v>3571</v>
      </c>
      <c r="D193" s="592">
        <v>4</v>
      </c>
      <c r="E193" s="597">
        <v>2000</v>
      </c>
      <c r="F193" s="597">
        <v>2000</v>
      </c>
      <c r="G193" s="597">
        <v>5600</v>
      </c>
      <c r="H193" s="592" t="s">
        <v>1397</v>
      </c>
    </row>
    <row r="194" spans="1:8" ht="24.75" customHeight="1" x14ac:dyDescent="0.55000000000000004">
      <c r="A194" s="592">
        <v>193</v>
      </c>
      <c r="B194" s="596" t="s">
        <v>3572</v>
      </c>
      <c r="C194" s="592" t="s">
        <v>3573</v>
      </c>
      <c r="D194" s="592">
        <v>2</v>
      </c>
      <c r="E194" s="597">
        <v>2500</v>
      </c>
      <c r="F194" s="597">
        <v>2500</v>
      </c>
      <c r="G194" s="597">
        <v>4000</v>
      </c>
      <c r="H194" s="592" t="s">
        <v>1397</v>
      </c>
    </row>
    <row r="195" spans="1:8" ht="24.75" customHeight="1" x14ac:dyDescent="0.55000000000000004">
      <c r="A195" s="592">
        <v>194</v>
      </c>
      <c r="B195" s="596" t="s">
        <v>2472</v>
      </c>
      <c r="C195" s="592" t="s">
        <v>2473</v>
      </c>
      <c r="D195" s="592">
        <v>22</v>
      </c>
      <c r="E195" s="597">
        <v>2000</v>
      </c>
      <c r="F195" s="597">
        <v>2000</v>
      </c>
      <c r="G195" s="597">
        <v>33000</v>
      </c>
      <c r="H195" s="592" t="s">
        <v>1397</v>
      </c>
    </row>
    <row r="196" spans="1:8" ht="24.75" customHeight="1" x14ac:dyDescent="0.55000000000000004">
      <c r="A196" s="592">
        <v>195</v>
      </c>
      <c r="B196" s="596" t="s">
        <v>3391</v>
      </c>
      <c r="C196" s="592" t="s">
        <v>3136</v>
      </c>
      <c r="D196" s="592">
        <v>3</v>
      </c>
      <c r="E196" s="597">
        <v>3000</v>
      </c>
      <c r="F196" s="597">
        <v>3000</v>
      </c>
      <c r="G196" s="597">
        <v>6300</v>
      </c>
      <c r="H196" s="592" t="s">
        <v>1397</v>
      </c>
    </row>
    <row r="197" spans="1:8" ht="24.75" customHeight="1" x14ac:dyDescent="0.55000000000000004">
      <c r="A197" s="592">
        <v>196</v>
      </c>
      <c r="B197" s="596" t="s">
        <v>6411</v>
      </c>
      <c r="C197" s="592" t="s">
        <v>6412</v>
      </c>
      <c r="D197" s="592">
        <v>29</v>
      </c>
      <c r="E197" s="597">
        <v>2500</v>
      </c>
      <c r="F197" s="597">
        <v>2500</v>
      </c>
      <c r="G197" s="597">
        <v>50750</v>
      </c>
      <c r="H197" s="592" t="s">
        <v>1397</v>
      </c>
    </row>
    <row r="198" spans="1:8" ht="24.75" customHeight="1" x14ac:dyDescent="0.55000000000000004">
      <c r="A198" s="592">
        <v>197</v>
      </c>
      <c r="B198" s="596" t="s">
        <v>6320</v>
      </c>
      <c r="C198" s="592" t="s">
        <v>6321</v>
      </c>
      <c r="D198" s="592">
        <v>8</v>
      </c>
      <c r="E198" s="597">
        <v>2000</v>
      </c>
      <c r="F198" s="597">
        <v>2000</v>
      </c>
      <c r="G198" s="597">
        <v>12400</v>
      </c>
      <c r="H198" s="592" t="s">
        <v>1397</v>
      </c>
    </row>
    <row r="199" spans="1:8" ht="24.75" customHeight="1" x14ac:dyDescent="0.55000000000000004">
      <c r="A199" s="592">
        <v>198</v>
      </c>
      <c r="B199" s="596" t="s">
        <v>3211</v>
      </c>
      <c r="C199" s="592" t="s">
        <v>8509</v>
      </c>
      <c r="D199" s="592">
        <v>9</v>
      </c>
      <c r="E199" s="597">
        <v>5000</v>
      </c>
      <c r="F199" s="597">
        <v>5000</v>
      </c>
      <c r="G199" s="597">
        <v>36000</v>
      </c>
      <c r="H199" s="592" t="s">
        <v>1397</v>
      </c>
    </row>
    <row r="200" spans="1:8" ht="24.75" customHeight="1" x14ac:dyDescent="0.55000000000000004">
      <c r="A200" s="592">
        <v>199</v>
      </c>
      <c r="B200" s="596" t="s">
        <v>3574</v>
      </c>
      <c r="C200" s="592" t="s">
        <v>3575</v>
      </c>
      <c r="D200" s="592">
        <v>1</v>
      </c>
      <c r="E200" s="597">
        <v>4500</v>
      </c>
      <c r="F200" s="597">
        <v>4500</v>
      </c>
      <c r="G200" s="597">
        <v>3500</v>
      </c>
      <c r="H200" s="592" t="s">
        <v>1397</v>
      </c>
    </row>
    <row r="201" spans="1:8" ht="24.75" customHeight="1" x14ac:dyDescent="0.55000000000000004">
      <c r="A201" s="592">
        <v>200</v>
      </c>
      <c r="B201" s="596" t="s">
        <v>6626</v>
      </c>
      <c r="C201" s="592" t="s">
        <v>8230</v>
      </c>
      <c r="D201" s="592">
        <v>21</v>
      </c>
      <c r="E201" s="597">
        <v>5000</v>
      </c>
      <c r="F201" s="597">
        <v>5000</v>
      </c>
      <c r="G201" s="597">
        <v>97650</v>
      </c>
      <c r="H201" s="592" t="s">
        <v>1397</v>
      </c>
    </row>
    <row r="202" spans="1:8" ht="24.75" customHeight="1" x14ac:dyDescent="0.55000000000000004">
      <c r="A202" s="592">
        <v>201</v>
      </c>
      <c r="B202" s="596" t="s">
        <v>3576</v>
      </c>
      <c r="C202" s="592" t="s">
        <v>3577</v>
      </c>
      <c r="D202" s="592">
        <v>7</v>
      </c>
      <c r="E202" s="597">
        <v>1500</v>
      </c>
      <c r="F202" s="597">
        <v>1500</v>
      </c>
      <c r="G202" s="597">
        <v>3500</v>
      </c>
      <c r="H202" s="592" t="s">
        <v>1397</v>
      </c>
    </row>
    <row r="203" spans="1:8" ht="24.75" customHeight="1" x14ac:dyDescent="0.55000000000000004">
      <c r="A203" s="592">
        <v>202</v>
      </c>
      <c r="B203" s="596" t="s">
        <v>3578</v>
      </c>
      <c r="C203" s="592" t="s">
        <v>3579</v>
      </c>
      <c r="D203" s="592">
        <v>9</v>
      </c>
      <c r="E203" s="597">
        <v>6000</v>
      </c>
      <c r="F203" s="597">
        <v>6000</v>
      </c>
      <c r="G203" s="597">
        <v>34650</v>
      </c>
      <c r="H203" s="592" t="s">
        <v>1397</v>
      </c>
    </row>
    <row r="204" spans="1:8" ht="24.75" customHeight="1" x14ac:dyDescent="0.55000000000000004">
      <c r="A204" s="592">
        <v>203</v>
      </c>
      <c r="B204" s="596" t="s">
        <v>3580</v>
      </c>
      <c r="C204" s="592" t="s">
        <v>3581</v>
      </c>
      <c r="D204" s="592">
        <v>1</v>
      </c>
      <c r="E204" s="597">
        <v>5300</v>
      </c>
      <c r="F204" s="597">
        <v>5300</v>
      </c>
      <c r="G204" s="597">
        <v>4500</v>
      </c>
      <c r="H204" s="592" t="s">
        <v>1397</v>
      </c>
    </row>
    <row r="205" spans="1:8" ht="24.75" customHeight="1" x14ac:dyDescent="0.55000000000000004">
      <c r="A205" s="592">
        <v>204</v>
      </c>
      <c r="B205" s="596" t="s">
        <v>3048</v>
      </c>
      <c r="C205" s="592" t="s">
        <v>3049</v>
      </c>
      <c r="D205" s="592">
        <v>2</v>
      </c>
      <c r="E205" s="597">
        <v>2000</v>
      </c>
      <c r="F205" s="597">
        <v>2000</v>
      </c>
      <c r="G205" s="597">
        <v>3100</v>
      </c>
      <c r="H205" s="592" t="s">
        <v>1397</v>
      </c>
    </row>
    <row r="206" spans="1:8" ht="24.75" customHeight="1" x14ac:dyDescent="0.55000000000000004">
      <c r="A206" s="592">
        <v>205</v>
      </c>
      <c r="B206" s="596" t="s">
        <v>6539</v>
      </c>
      <c r="C206" s="592" t="s">
        <v>6540</v>
      </c>
      <c r="D206" s="592">
        <v>4</v>
      </c>
      <c r="E206" s="597">
        <v>6500</v>
      </c>
      <c r="F206" s="597">
        <v>6500</v>
      </c>
      <c r="G206" s="597">
        <v>23900</v>
      </c>
      <c r="H206" s="592" t="s">
        <v>1397</v>
      </c>
    </row>
    <row r="207" spans="1:8" ht="24.75" customHeight="1" x14ac:dyDescent="0.55000000000000004">
      <c r="A207" s="592">
        <v>206</v>
      </c>
      <c r="B207" s="596" t="s">
        <v>6541</v>
      </c>
      <c r="C207" s="592" t="s">
        <v>8231</v>
      </c>
      <c r="D207" s="592">
        <v>9</v>
      </c>
      <c r="E207" s="597">
        <v>8500</v>
      </c>
      <c r="F207" s="597">
        <v>8500</v>
      </c>
      <c r="G207" s="597">
        <v>71550</v>
      </c>
      <c r="H207" s="592" t="s">
        <v>1397</v>
      </c>
    </row>
    <row r="208" spans="1:8" ht="24.75" customHeight="1" x14ac:dyDescent="0.55000000000000004">
      <c r="A208" s="592">
        <v>207</v>
      </c>
      <c r="B208" s="596" t="s">
        <v>6627</v>
      </c>
      <c r="C208" s="592" t="s">
        <v>6628</v>
      </c>
      <c r="D208" s="592">
        <v>10</v>
      </c>
      <c r="E208" s="597">
        <v>1500</v>
      </c>
      <c r="F208" s="597">
        <v>1500</v>
      </c>
      <c r="G208" s="597">
        <v>10000</v>
      </c>
      <c r="H208" s="592" t="s">
        <v>1397</v>
      </c>
    </row>
    <row r="209" spans="1:8" ht="24.75" customHeight="1" x14ac:dyDescent="0.55000000000000004">
      <c r="A209" s="592">
        <v>208</v>
      </c>
      <c r="B209" s="596" t="s">
        <v>6542</v>
      </c>
      <c r="C209" s="592" t="s">
        <v>6543</v>
      </c>
      <c r="D209" s="592">
        <v>8</v>
      </c>
      <c r="E209" s="597">
        <v>7000</v>
      </c>
      <c r="F209" s="597">
        <v>7000</v>
      </c>
      <c r="G209" s="597">
        <v>52000</v>
      </c>
      <c r="H209" s="592" t="s">
        <v>1397</v>
      </c>
    </row>
    <row r="210" spans="1:8" ht="24.75" customHeight="1" x14ac:dyDescent="0.55000000000000004">
      <c r="A210" s="592">
        <v>209</v>
      </c>
      <c r="B210" s="596" t="s">
        <v>3582</v>
      </c>
      <c r="C210" s="592" t="s">
        <v>3583</v>
      </c>
      <c r="D210" s="592">
        <v>12</v>
      </c>
      <c r="E210" s="597">
        <v>2000</v>
      </c>
      <c r="F210" s="597">
        <v>2000</v>
      </c>
      <c r="G210" s="597">
        <v>18000</v>
      </c>
      <c r="H210" s="592" t="s">
        <v>1397</v>
      </c>
    </row>
    <row r="211" spans="1:8" ht="24.75" customHeight="1" x14ac:dyDescent="0.55000000000000004">
      <c r="A211" s="592">
        <v>210</v>
      </c>
      <c r="B211" s="596" t="s">
        <v>7475</v>
      </c>
      <c r="C211" s="592" t="s">
        <v>7476</v>
      </c>
      <c r="D211" s="592">
        <v>2</v>
      </c>
      <c r="E211" s="597">
        <v>1500</v>
      </c>
      <c r="F211" s="597">
        <v>1500</v>
      </c>
      <c r="G211" s="597">
        <v>1700</v>
      </c>
      <c r="H211" s="592" t="s">
        <v>1397</v>
      </c>
    </row>
    <row r="212" spans="1:8" ht="24.75" customHeight="1" x14ac:dyDescent="0.55000000000000004">
      <c r="A212" s="592">
        <v>211</v>
      </c>
      <c r="B212" s="596" t="s">
        <v>7306</v>
      </c>
      <c r="C212" s="592" t="s">
        <v>7307</v>
      </c>
      <c r="D212" s="592">
        <v>11</v>
      </c>
      <c r="E212" s="597">
        <v>5000</v>
      </c>
      <c r="F212" s="597">
        <v>5000</v>
      </c>
      <c r="G212" s="597">
        <v>41250</v>
      </c>
      <c r="H212" s="592" t="s">
        <v>1397</v>
      </c>
    </row>
    <row r="213" spans="1:8" ht="24.75" customHeight="1" x14ac:dyDescent="0.55000000000000004">
      <c r="A213" s="592">
        <v>212</v>
      </c>
      <c r="B213" s="596" t="s">
        <v>7886</v>
      </c>
      <c r="C213" s="592" t="s">
        <v>7887</v>
      </c>
      <c r="D213" s="592">
        <v>22</v>
      </c>
      <c r="E213" s="597">
        <v>2000</v>
      </c>
      <c r="F213" s="597">
        <v>2000</v>
      </c>
      <c r="G213" s="597">
        <v>33000</v>
      </c>
      <c r="H213" s="592" t="s">
        <v>1397</v>
      </c>
    </row>
    <row r="214" spans="1:8" ht="24.75" customHeight="1" x14ac:dyDescent="0.55000000000000004">
      <c r="A214" s="592">
        <v>213</v>
      </c>
      <c r="B214" s="596" t="s">
        <v>7977</v>
      </c>
      <c r="C214" s="592" t="s">
        <v>7978</v>
      </c>
      <c r="D214" s="592">
        <v>8</v>
      </c>
      <c r="E214" s="597">
        <v>3500</v>
      </c>
      <c r="F214" s="597">
        <v>3500</v>
      </c>
      <c r="G214" s="597">
        <v>19600</v>
      </c>
      <c r="H214" s="592" t="s">
        <v>1397</v>
      </c>
    </row>
    <row r="215" spans="1:8" ht="24.75" customHeight="1" x14ac:dyDescent="0.55000000000000004">
      <c r="A215" s="592">
        <v>214</v>
      </c>
      <c r="B215" s="596" t="s">
        <v>7888</v>
      </c>
      <c r="C215" s="592" t="s">
        <v>7889</v>
      </c>
      <c r="D215" s="592">
        <v>8</v>
      </c>
      <c r="E215" s="597">
        <v>6000</v>
      </c>
      <c r="F215" s="597">
        <v>6000</v>
      </c>
      <c r="G215" s="597">
        <v>39800</v>
      </c>
      <c r="H215" s="592" t="s">
        <v>1397</v>
      </c>
    </row>
    <row r="216" spans="1:8" ht="24.75" customHeight="1" x14ac:dyDescent="0.55000000000000004">
      <c r="A216" s="592">
        <v>215</v>
      </c>
      <c r="B216" s="596" t="s">
        <v>6156</v>
      </c>
      <c r="C216" s="592" t="s">
        <v>6157</v>
      </c>
      <c r="D216" s="592">
        <v>1</v>
      </c>
      <c r="E216" s="597">
        <v>6200</v>
      </c>
      <c r="F216" s="597">
        <v>6200</v>
      </c>
      <c r="G216" s="597">
        <v>6200</v>
      </c>
      <c r="H216" s="592" t="s">
        <v>1397</v>
      </c>
    </row>
    <row r="217" spans="1:8" ht="24.75" customHeight="1" x14ac:dyDescent="0.55000000000000004">
      <c r="A217" s="592">
        <v>216</v>
      </c>
      <c r="B217" s="596" t="s">
        <v>3584</v>
      </c>
      <c r="C217" s="592" t="s">
        <v>3585</v>
      </c>
      <c r="D217" s="592">
        <v>1</v>
      </c>
      <c r="E217" s="597">
        <v>1800</v>
      </c>
      <c r="F217" s="597">
        <v>1800</v>
      </c>
      <c r="G217" s="597">
        <v>1350</v>
      </c>
      <c r="H217" s="592" t="s">
        <v>1397</v>
      </c>
    </row>
    <row r="218" spans="1:8" ht="24.75" customHeight="1" x14ac:dyDescent="0.55000000000000004">
      <c r="A218" s="592">
        <v>217</v>
      </c>
      <c r="B218" s="596" t="s">
        <v>3586</v>
      </c>
      <c r="C218" s="592" t="s">
        <v>3587</v>
      </c>
      <c r="D218" s="592">
        <v>4</v>
      </c>
      <c r="E218" s="597">
        <v>2200</v>
      </c>
      <c r="F218" s="597">
        <v>2200</v>
      </c>
      <c r="G218" s="597">
        <v>6800</v>
      </c>
      <c r="H218" s="592" t="s">
        <v>1397</v>
      </c>
    </row>
    <row r="219" spans="1:8" ht="24.75" customHeight="1" x14ac:dyDescent="0.55000000000000004">
      <c r="A219" s="592">
        <v>218</v>
      </c>
      <c r="B219" s="596" t="s">
        <v>3588</v>
      </c>
      <c r="C219" s="592" t="s">
        <v>3589</v>
      </c>
      <c r="D219" s="592">
        <v>4</v>
      </c>
      <c r="E219" s="597">
        <v>5500</v>
      </c>
      <c r="F219" s="597">
        <v>5500</v>
      </c>
      <c r="G219" s="597">
        <v>16000</v>
      </c>
      <c r="H219" s="592" t="s">
        <v>1397</v>
      </c>
    </row>
    <row r="220" spans="1:8" ht="24.75" customHeight="1" x14ac:dyDescent="0.55000000000000004">
      <c r="A220" s="592">
        <v>219</v>
      </c>
      <c r="B220" s="596" t="s">
        <v>3094</v>
      </c>
      <c r="C220" s="592" t="s">
        <v>8362</v>
      </c>
      <c r="D220" s="592">
        <v>1</v>
      </c>
      <c r="E220" s="597">
        <v>1700</v>
      </c>
      <c r="F220" s="597">
        <v>1700</v>
      </c>
      <c r="G220" s="597">
        <v>1200</v>
      </c>
      <c r="H220" s="592" t="s">
        <v>1397</v>
      </c>
    </row>
    <row r="221" spans="1:8" ht="24.75" customHeight="1" x14ac:dyDescent="0.55000000000000004">
      <c r="A221" s="592">
        <v>220</v>
      </c>
      <c r="B221" s="596" t="s">
        <v>7979</v>
      </c>
      <c r="C221" s="592" t="s">
        <v>7980</v>
      </c>
      <c r="D221" s="592">
        <v>8</v>
      </c>
      <c r="E221" s="597">
        <v>3200</v>
      </c>
      <c r="F221" s="597">
        <v>3200</v>
      </c>
      <c r="G221" s="597">
        <v>19600</v>
      </c>
      <c r="H221" s="592" t="s">
        <v>1397</v>
      </c>
    </row>
    <row r="222" spans="1:8" ht="24.75" customHeight="1" x14ac:dyDescent="0.55000000000000004">
      <c r="A222" s="592">
        <v>221</v>
      </c>
      <c r="B222" s="596" t="s">
        <v>6910</v>
      </c>
      <c r="C222" s="592" t="s">
        <v>6911</v>
      </c>
      <c r="D222" s="592">
        <v>13</v>
      </c>
      <c r="E222" s="597">
        <v>2000</v>
      </c>
      <c r="F222" s="597">
        <v>2000</v>
      </c>
      <c r="G222" s="597">
        <v>18954</v>
      </c>
      <c r="H222" s="592" t="s">
        <v>1397</v>
      </c>
    </row>
    <row r="223" spans="1:8" ht="24.75" customHeight="1" x14ac:dyDescent="0.55000000000000004">
      <c r="A223" s="592">
        <v>222</v>
      </c>
      <c r="B223" s="596" t="s">
        <v>6778</v>
      </c>
      <c r="C223" s="592" t="s">
        <v>6779</v>
      </c>
      <c r="D223" s="592">
        <v>10</v>
      </c>
      <c r="E223" s="597">
        <v>5000</v>
      </c>
      <c r="F223" s="597">
        <v>5000</v>
      </c>
      <c r="G223" s="597">
        <v>35640</v>
      </c>
      <c r="H223" s="592" t="s">
        <v>1397</v>
      </c>
    </row>
    <row r="224" spans="1:8" ht="24.75" customHeight="1" x14ac:dyDescent="0.55000000000000004">
      <c r="A224" s="592">
        <v>223</v>
      </c>
      <c r="B224" s="596" t="s">
        <v>6780</v>
      </c>
      <c r="C224" s="592" t="s">
        <v>6781</v>
      </c>
      <c r="D224" s="592">
        <v>3</v>
      </c>
      <c r="E224" s="597">
        <v>8000</v>
      </c>
      <c r="F224" s="597">
        <v>8000</v>
      </c>
      <c r="G224" s="597">
        <v>19440</v>
      </c>
      <c r="H224" s="592" t="s">
        <v>1397</v>
      </c>
    </row>
    <row r="225" spans="1:8" ht="24.75" customHeight="1" x14ac:dyDescent="0.55000000000000004">
      <c r="A225" s="592">
        <v>224</v>
      </c>
      <c r="B225" s="596" t="s">
        <v>6782</v>
      </c>
      <c r="C225" s="592" t="s">
        <v>6783</v>
      </c>
      <c r="D225" s="592">
        <v>10</v>
      </c>
      <c r="E225" s="597">
        <v>1000</v>
      </c>
      <c r="F225" s="597">
        <v>1000</v>
      </c>
      <c r="G225" s="597">
        <v>6920</v>
      </c>
      <c r="H225" s="592" t="s">
        <v>1397</v>
      </c>
    </row>
    <row r="226" spans="1:8" ht="24.75" customHeight="1" x14ac:dyDescent="0.55000000000000004">
      <c r="A226" s="592">
        <v>225</v>
      </c>
      <c r="B226" s="596" t="s">
        <v>6914</v>
      </c>
      <c r="C226" s="592" t="s">
        <v>6915</v>
      </c>
      <c r="D226" s="592">
        <v>17</v>
      </c>
      <c r="E226" s="597">
        <v>1200</v>
      </c>
      <c r="F226" s="597">
        <v>1200</v>
      </c>
      <c r="G226" s="597">
        <v>15300</v>
      </c>
      <c r="H226" s="592" t="s">
        <v>1397</v>
      </c>
    </row>
    <row r="227" spans="1:8" ht="24.75" customHeight="1" x14ac:dyDescent="0.55000000000000004">
      <c r="A227" s="592">
        <v>226</v>
      </c>
      <c r="B227" s="596" t="s">
        <v>6916</v>
      </c>
      <c r="C227" s="592" t="s">
        <v>6917</v>
      </c>
      <c r="D227" s="592">
        <v>2</v>
      </c>
      <c r="E227" s="597">
        <v>84000</v>
      </c>
      <c r="F227" s="597">
        <v>84000</v>
      </c>
      <c r="G227" s="597">
        <v>157192</v>
      </c>
      <c r="H227" s="592" t="s">
        <v>1397</v>
      </c>
    </row>
    <row r="228" spans="1:8" ht="24.75" customHeight="1" x14ac:dyDescent="0.55000000000000004">
      <c r="A228" s="592">
        <v>227</v>
      </c>
      <c r="B228" s="596" t="s">
        <v>6918</v>
      </c>
      <c r="C228" s="592" t="s">
        <v>6919</v>
      </c>
      <c r="D228" s="592">
        <v>2</v>
      </c>
      <c r="E228" s="597">
        <v>110000</v>
      </c>
      <c r="F228" s="597">
        <v>110000</v>
      </c>
      <c r="G228" s="597">
        <v>183260</v>
      </c>
      <c r="H228" s="592" t="s">
        <v>1397</v>
      </c>
    </row>
    <row r="229" spans="1:8" ht="24.75" customHeight="1" x14ac:dyDescent="0.55000000000000004">
      <c r="A229" s="592">
        <v>228</v>
      </c>
      <c r="B229" s="596" t="s">
        <v>6920</v>
      </c>
      <c r="C229" s="592" t="s">
        <v>6921</v>
      </c>
      <c r="D229" s="592">
        <v>1</v>
      </c>
      <c r="E229" s="597">
        <v>126000</v>
      </c>
      <c r="F229" s="597">
        <v>126000</v>
      </c>
      <c r="G229" s="597">
        <v>105840</v>
      </c>
      <c r="H229" s="592" t="s">
        <v>1397</v>
      </c>
    </row>
    <row r="230" spans="1:8" ht="24.75" customHeight="1" x14ac:dyDescent="0.55000000000000004">
      <c r="A230" s="592">
        <v>229</v>
      </c>
      <c r="B230" s="596" t="s">
        <v>6922</v>
      </c>
      <c r="C230" s="592" t="s">
        <v>6923</v>
      </c>
      <c r="D230" s="592">
        <v>2</v>
      </c>
      <c r="E230" s="597">
        <v>137000</v>
      </c>
      <c r="F230" s="597">
        <v>137000</v>
      </c>
      <c r="G230" s="597">
        <v>240492</v>
      </c>
      <c r="H230" s="592" t="s">
        <v>1397</v>
      </c>
    </row>
    <row r="231" spans="1:8" ht="24.75" customHeight="1" x14ac:dyDescent="0.55000000000000004">
      <c r="A231" s="592">
        <v>230</v>
      </c>
      <c r="B231" s="596" t="s">
        <v>6924</v>
      </c>
      <c r="C231" s="592" t="s">
        <v>6925</v>
      </c>
      <c r="D231" s="592">
        <v>1</v>
      </c>
      <c r="E231" s="597">
        <v>155000</v>
      </c>
      <c r="F231" s="597">
        <v>155000</v>
      </c>
      <c r="G231" s="597">
        <v>132790</v>
      </c>
      <c r="H231" s="592" t="s">
        <v>1397</v>
      </c>
    </row>
    <row r="232" spans="1:8" ht="24.75" customHeight="1" x14ac:dyDescent="0.55000000000000004">
      <c r="A232" s="592">
        <v>231</v>
      </c>
      <c r="B232" s="596" t="s">
        <v>6926</v>
      </c>
      <c r="C232" s="592" t="s">
        <v>6927</v>
      </c>
      <c r="D232" s="592">
        <v>1</v>
      </c>
      <c r="E232" s="597">
        <v>198000</v>
      </c>
      <c r="F232" s="597">
        <v>198000</v>
      </c>
      <c r="G232" s="597">
        <v>177576</v>
      </c>
      <c r="H232" s="592" t="s">
        <v>1397</v>
      </c>
    </row>
    <row r="233" spans="1:8" ht="24.75" customHeight="1" x14ac:dyDescent="0.55000000000000004">
      <c r="A233" s="592">
        <v>232</v>
      </c>
      <c r="B233" s="596" t="s">
        <v>6928</v>
      </c>
      <c r="C233" s="592" t="s">
        <v>6929</v>
      </c>
      <c r="D233" s="592">
        <v>1</v>
      </c>
      <c r="E233" s="597">
        <v>228000</v>
      </c>
      <c r="F233" s="597">
        <v>228000</v>
      </c>
      <c r="G233" s="597">
        <v>204428</v>
      </c>
      <c r="H233" s="592" t="s">
        <v>1397</v>
      </c>
    </row>
    <row r="234" spans="1:8" ht="24.75" customHeight="1" x14ac:dyDescent="0.55000000000000004">
      <c r="A234" s="592">
        <v>233</v>
      </c>
      <c r="B234" s="596" t="s">
        <v>6784</v>
      </c>
      <c r="C234" s="592" t="s">
        <v>6785</v>
      </c>
      <c r="D234" s="592">
        <v>6</v>
      </c>
      <c r="E234" s="597">
        <v>54000</v>
      </c>
      <c r="F234" s="597">
        <v>54000</v>
      </c>
      <c r="G234" s="597">
        <v>279360</v>
      </c>
      <c r="H234" s="592" t="s">
        <v>1397</v>
      </c>
    </row>
    <row r="235" spans="1:8" ht="24.75" customHeight="1" x14ac:dyDescent="0.55000000000000004">
      <c r="A235" s="592">
        <v>234</v>
      </c>
      <c r="B235" s="596" t="s">
        <v>6930</v>
      </c>
      <c r="C235" s="592" t="s">
        <v>6931</v>
      </c>
      <c r="D235" s="592">
        <v>3</v>
      </c>
      <c r="E235" s="597">
        <v>65000</v>
      </c>
      <c r="F235" s="597">
        <v>65000</v>
      </c>
      <c r="G235" s="597">
        <v>173145</v>
      </c>
      <c r="H235" s="592" t="s">
        <v>1397</v>
      </c>
    </row>
    <row r="236" spans="1:8" ht="24.75" customHeight="1" x14ac:dyDescent="0.55000000000000004">
      <c r="A236" s="592">
        <v>235</v>
      </c>
      <c r="B236" s="596" t="s">
        <v>8652</v>
      </c>
      <c r="C236" s="592" t="s">
        <v>8653</v>
      </c>
      <c r="D236" s="592">
        <v>2</v>
      </c>
      <c r="E236" s="597">
        <v>115000</v>
      </c>
      <c r="F236" s="597">
        <v>115000</v>
      </c>
      <c r="G236" s="597">
        <v>196910</v>
      </c>
      <c r="H236" s="592" t="s">
        <v>1397</v>
      </c>
    </row>
    <row r="237" spans="1:8" ht="24.75" customHeight="1" x14ac:dyDescent="0.55000000000000004">
      <c r="A237" s="592">
        <v>236</v>
      </c>
      <c r="B237" s="596" t="s">
        <v>8510</v>
      </c>
      <c r="C237" s="592" t="s">
        <v>8511</v>
      </c>
      <c r="D237" s="592">
        <v>4</v>
      </c>
      <c r="E237" s="597">
        <v>162000</v>
      </c>
      <c r="F237" s="597">
        <v>162000</v>
      </c>
      <c r="G237" s="597">
        <v>566480</v>
      </c>
      <c r="H237" s="592" t="s">
        <v>1397</v>
      </c>
    </row>
    <row r="238" spans="1:8" ht="24.75" customHeight="1" x14ac:dyDescent="0.55000000000000004">
      <c r="A238" s="592">
        <v>237</v>
      </c>
      <c r="B238" s="596" t="s">
        <v>6933</v>
      </c>
      <c r="C238" s="592" t="s">
        <v>6934</v>
      </c>
      <c r="D238" s="592">
        <v>1</v>
      </c>
      <c r="E238" s="597">
        <v>46000</v>
      </c>
      <c r="F238" s="597">
        <v>46000</v>
      </c>
      <c r="G238" s="597">
        <v>35700</v>
      </c>
      <c r="H238" s="592" t="s">
        <v>1397</v>
      </c>
    </row>
    <row r="239" spans="1:8" ht="24.75" customHeight="1" x14ac:dyDescent="0.55000000000000004">
      <c r="A239" s="592">
        <v>238</v>
      </c>
      <c r="B239" s="596" t="s">
        <v>8654</v>
      </c>
      <c r="C239" s="592" t="s">
        <v>8655</v>
      </c>
      <c r="D239" s="592">
        <v>2</v>
      </c>
      <c r="E239" s="597">
        <v>115000</v>
      </c>
      <c r="F239" s="597">
        <v>115000</v>
      </c>
      <c r="G239" s="597">
        <v>196910</v>
      </c>
      <c r="H239" s="592" t="s">
        <v>1397</v>
      </c>
    </row>
    <row r="240" spans="1:8" ht="24.75" customHeight="1" x14ac:dyDescent="0.55000000000000004">
      <c r="A240" s="592">
        <v>239</v>
      </c>
      <c r="B240" s="596" t="s">
        <v>8514</v>
      </c>
      <c r="C240" s="592" t="s">
        <v>8515</v>
      </c>
      <c r="D240" s="592">
        <v>1</v>
      </c>
      <c r="E240" s="597">
        <v>85000</v>
      </c>
      <c r="F240" s="597">
        <v>85000</v>
      </c>
      <c r="G240" s="597">
        <v>70552</v>
      </c>
      <c r="H240" s="592" t="s">
        <v>933</v>
      </c>
    </row>
    <row r="241" spans="1:8" ht="24.75" customHeight="1" x14ac:dyDescent="0.55000000000000004">
      <c r="A241" s="592">
        <v>240</v>
      </c>
      <c r="B241" s="596" t="s">
        <v>1407</v>
      </c>
      <c r="C241" s="592" t="s">
        <v>3392</v>
      </c>
      <c r="D241" s="592">
        <v>10</v>
      </c>
      <c r="E241" s="597">
        <v>1500</v>
      </c>
      <c r="F241" s="597">
        <v>1500</v>
      </c>
      <c r="G241" s="597">
        <v>9730</v>
      </c>
      <c r="H241" s="592" t="s">
        <v>933</v>
      </c>
    </row>
    <row r="242" spans="1:8" ht="24.75" customHeight="1" x14ac:dyDescent="0.55000000000000004">
      <c r="A242" s="592">
        <v>241</v>
      </c>
      <c r="B242" s="596" t="s">
        <v>3590</v>
      </c>
      <c r="C242" s="592" t="s">
        <v>3591</v>
      </c>
      <c r="D242" s="592">
        <v>57</v>
      </c>
      <c r="E242" s="597">
        <v>2300</v>
      </c>
      <c r="F242" s="597">
        <v>2300</v>
      </c>
      <c r="G242" s="597">
        <v>69711</v>
      </c>
      <c r="H242" s="592" t="s">
        <v>933</v>
      </c>
    </row>
    <row r="243" spans="1:8" ht="24.75" customHeight="1" x14ac:dyDescent="0.55000000000000004">
      <c r="A243" s="592">
        <v>242</v>
      </c>
      <c r="B243" s="596" t="s">
        <v>3310</v>
      </c>
      <c r="C243" s="592" t="s">
        <v>3311</v>
      </c>
      <c r="D243" s="592">
        <v>7</v>
      </c>
      <c r="E243" s="597">
        <v>18000</v>
      </c>
      <c r="F243" s="597">
        <v>18000</v>
      </c>
      <c r="G243" s="597">
        <v>66500</v>
      </c>
      <c r="H243" s="592" t="s">
        <v>1397</v>
      </c>
    </row>
    <row r="244" spans="1:8" ht="24.75" customHeight="1" x14ac:dyDescent="0.55000000000000004">
      <c r="A244" s="592">
        <v>243</v>
      </c>
      <c r="B244" s="596" t="s">
        <v>3592</v>
      </c>
      <c r="C244" s="592" t="s">
        <v>3593</v>
      </c>
      <c r="D244" s="592">
        <v>1</v>
      </c>
      <c r="E244" s="597">
        <v>33000</v>
      </c>
      <c r="F244" s="597">
        <v>33000</v>
      </c>
      <c r="G244" s="597">
        <v>25900</v>
      </c>
      <c r="H244" s="592" t="s">
        <v>933</v>
      </c>
    </row>
    <row r="245" spans="1:8" ht="24.75" customHeight="1" x14ac:dyDescent="0.55000000000000004">
      <c r="A245" s="592">
        <v>244</v>
      </c>
      <c r="B245" s="596" t="s">
        <v>3594</v>
      </c>
      <c r="C245" s="592" t="s">
        <v>3595</v>
      </c>
      <c r="D245" s="592">
        <v>5</v>
      </c>
      <c r="E245" s="597">
        <v>6500</v>
      </c>
      <c r="F245" s="597">
        <v>6500</v>
      </c>
      <c r="G245" s="597">
        <v>19000</v>
      </c>
      <c r="H245" s="592" t="s">
        <v>1397</v>
      </c>
    </row>
    <row r="246" spans="1:8" ht="24.75" customHeight="1" x14ac:dyDescent="0.55000000000000004">
      <c r="A246" s="592">
        <v>245</v>
      </c>
      <c r="B246" s="596" t="s">
        <v>3596</v>
      </c>
      <c r="C246" s="592" t="s">
        <v>7477</v>
      </c>
      <c r="D246" s="592">
        <v>1</v>
      </c>
      <c r="E246" s="597">
        <v>3000</v>
      </c>
      <c r="F246" s="597">
        <v>3000</v>
      </c>
      <c r="G246" s="597">
        <v>1950</v>
      </c>
      <c r="H246" s="592" t="s">
        <v>933</v>
      </c>
    </row>
    <row r="247" spans="1:8" ht="24.75" customHeight="1" x14ac:dyDescent="0.55000000000000004">
      <c r="A247" s="592">
        <v>246</v>
      </c>
      <c r="B247" s="596" t="s">
        <v>3597</v>
      </c>
      <c r="C247" s="592" t="s">
        <v>3598</v>
      </c>
      <c r="D247" s="592">
        <v>7</v>
      </c>
      <c r="E247" s="597">
        <v>300</v>
      </c>
      <c r="F247" s="597">
        <v>300</v>
      </c>
      <c r="G247" s="597">
        <v>1015</v>
      </c>
      <c r="H247" s="592" t="s">
        <v>933</v>
      </c>
    </row>
    <row r="248" spans="1:8" ht="24.75" customHeight="1" x14ac:dyDescent="0.55000000000000004">
      <c r="A248" s="592">
        <v>247</v>
      </c>
      <c r="B248" s="596" t="s">
        <v>3599</v>
      </c>
      <c r="C248" s="592" t="s">
        <v>3600</v>
      </c>
      <c r="D248" s="592">
        <v>1</v>
      </c>
      <c r="E248" s="597">
        <v>5000</v>
      </c>
      <c r="F248" s="597">
        <v>5000</v>
      </c>
      <c r="G248" s="597">
        <v>2700</v>
      </c>
      <c r="H248" s="592" t="s">
        <v>933</v>
      </c>
    </row>
    <row r="249" spans="1:8" ht="24.75" customHeight="1" x14ac:dyDescent="0.55000000000000004">
      <c r="A249" s="592">
        <v>248</v>
      </c>
      <c r="B249" s="596" t="s">
        <v>3601</v>
      </c>
      <c r="C249" s="592" t="s">
        <v>3602</v>
      </c>
      <c r="D249" s="592">
        <v>1</v>
      </c>
      <c r="E249" s="597">
        <v>103800</v>
      </c>
      <c r="F249" s="597">
        <v>103800</v>
      </c>
      <c r="G249" s="597">
        <v>58000</v>
      </c>
      <c r="H249" s="592" t="s">
        <v>933</v>
      </c>
    </row>
    <row r="250" spans="1:8" ht="24.75" customHeight="1" x14ac:dyDescent="0.55000000000000004">
      <c r="A250" s="592">
        <v>249</v>
      </c>
      <c r="B250" s="596" t="s">
        <v>3605</v>
      </c>
      <c r="C250" s="592" t="s">
        <v>3606</v>
      </c>
      <c r="D250" s="592">
        <v>1</v>
      </c>
      <c r="E250" s="597">
        <v>30900</v>
      </c>
      <c r="F250" s="597">
        <v>30900</v>
      </c>
      <c r="G250" s="597">
        <v>16700</v>
      </c>
      <c r="H250" s="592" t="s">
        <v>933</v>
      </c>
    </row>
    <row r="251" spans="1:8" ht="24.75" customHeight="1" x14ac:dyDescent="0.55000000000000004">
      <c r="A251" s="592">
        <v>250</v>
      </c>
      <c r="B251" s="596" t="s">
        <v>3095</v>
      </c>
      <c r="C251" s="592" t="s">
        <v>3096</v>
      </c>
      <c r="D251" s="592">
        <v>2</v>
      </c>
      <c r="E251" s="597">
        <v>4200</v>
      </c>
      <c r="F251" s="597">
        <v>4200</v>
      </c>
      <c r="G251" s="597">
        <v>4600</v>
      </c>
      <c r="H251" s="592" t="s">
        <v>933</v>
      </c>
    </row>
    <row r="252" spans="1:8" ht="24.75" customHeight="1" x14ac:dyDescent="0.55000000000000004">
      <c r="A252" s="592">
        <v>251</v>
      </c>
      <c r="B252" s="596" t="s">
        <v>3607</v>
      </c>
      <c r="C252" s="592" t="s">
        <v>3608</v>
      </c>
      <c r="D252" s="592">
        <v>2</v>
      </c>
      <c r="E252" s="597">
        <v>130000</v>
      </c>
      <c r="F252" s="597">
        <v>130000</v>
      </c>
      <c r="G252" s="597">
        <v>195820</v>
      </c>
      <c r="H252" s="592" t="s">
        <v>933</v>
      </c>
    </row>
    <row r="253" spans="1:8" ht="24.75" customHeight="1" x14ac:dyDescent="0.55000000000000004">
      <c r="A253" s="592">
        <v>252</v>
      </c>
      <c r="B253" s="596" t="s">
        <v>3097</v>
      </c>
      <c r="C253" s="592" t="s">
        <v>3098</v>
      </c>
      <c r="D253" s="592">
        <v>5</v>
      </c>
      <c r="E253" s="597">
        <v>4000</v>
      </c>
      <c r="F253" s="597">
        <v>4000</v>
      </c>
      <c r="G253" s="597">
        <v>14000</v>
      </c>
      <c r="H253" s="592" t="s">
        <v>933</v>
      </c>
    </row>
    <row r="254" spans="1:8" ht="24.75" customHeight="1" x14ac:dyDescent="0.55000000000000004">
      <c r="A254" s="592">
        <v>253</v>
      </c>
      <c r="B254" s="596" t="s">
        <v>3099</v>
      </c>
      <c r="C254" s="592" t="s">
        <v>3100</v>
      </c>
      <c r="D254" s="592">
        <v>11</v>
      </c>
      <c r="E254" s="597">
        <v>300</v>
      </c>
      <c r="F254" s="597">
        <v>300</v>
      </c>
      <c r="G254" s="597">
        <v>2200</v>
      </c>
      <c r="H254" s="592" t="s">
        <v>933</v>
      </c>
    </row>
    <row r="255" spans="1:8" ht="24.75" customHeight="1" x14ac:dyDescent="0.55000000000000004">
      <c r="A255" s="592">
        <v>254</v>
      </c>
      <c r="B255" s="596" t="s">
        <v>3609</v>
      </c>
      <c r="C255" s="592" t="s">
        <v>3610</v>
      </c>
      <c r="D255" s="592">
        <v>3</v>
      </c>
      <c r="E255" s="597">
        <v>4000</v>
      </c>
      <c r="F255" s="597">
        <v>4000</v>
      </c>
      <c r="G255" s="597">
        <v>3000</v>
      </c>
      <c r="H255" s="592" t="s">
        <v>933</v>
      </c>
    </row>
    <row r="256" spans="1:8" ht="24.75" customHeight="1" x14ac:dyDescent="0.55000000000000004">
      <c r="A256" s="592">
        <v>255</v>
      </c>
      <c r="B256" s="596" t="s">
        <v>3611</v>
      </c>
      <c r="C256" s="592" t="s">
        <v>3612</v>
      </c>
      <c r="D256" s="592">
        <v>5</v>
      </c>
      <c r="E256" s="597">
        <v>7500</v>
      </c>
      <c r="F256" s="597">
        <v>7500</v>
      </c>
      <c r="G256" s="597">
        <v>22500</v>
      </c>
      <c r="H256" s="592" t="s">
        <v>933</v>
      </c>
    </row>
    <row r="257" spans="1:8" ht="24.75" customHeight="1" x14ac:dyDescent="0.55000000000000004">
      <c r="A257" s="592">
        <v>256</v>
      </c>
      <c r="B257" s="596" t="s">
        <v>3613</v>
      </c>
      <c r="C257" s="592" t="s">
        <v>3614</v>
      </c>
      <c r="D257" s="592">
        <v>19</v>
      </c>
      <c r="E257" s="597">
        <v>500</v>
      </c>
      <c r="F257" s="597">
        <v>500</v>
      </c>
      <c r="G257" s="597">
        <v>4750</v>
      </c>
      <c r="H257" s="592" t="s">
        <v>1397</v>
      </c>
    </row>
    <row r="258" spans="1:8" ht="24.75" customHeight="1" x14ac:dyDescent="0.55000000000000004">
      <c r="A258" s="592">
        <v>257</v>
      </c>
      <c r="B258" s="596" t="s">
        <v>3615</v>
      </c>
      <c r="C258" s="592" t="s">
        <v>3616</v>
      </c>
      <c r="D258" s="592">
        <v>4</v>
      </c>
      <c r="E258" s="597">
        <v>1500</v>
      </c>
      <c r="F258" s="597">
        <v>1500</v>
      </c>
      <c r="G258" s="597">
        <v>4340</v>
      </c>
      <c r="H258" s="592" t="s">
        <v>1397</v>
      </c>
    </row>
    <row r="259" spans="1:8" ht="24.75" customHeight="1" x14ac:dyDescent="0.55000000000000004">
      <c r="A259" s="592">
        <v>258</v>
      </c>
      <c r="B259" s="596" t="s">
        <v>1408</v>
      </c>
      <c r="C259" s="592" t="s">
        <v>1409</v>
      </c>
      <c r="D259" s="592">
        <v>3</v>
      </c>
      <c r="E259" s="597">
        <v>17500</v>
      </c>
      <c r="F259" s="597">
        <v>17500</v>
      </c>
      <c r="G259" s="597">
        <v>33000</v>
      </c>
      <c r="H259" s="592" t="s">
        <v>1397</v>
      </c>
    </row>
    <row r="260" spans="1:8" ht="24.75" customHeight="1" x14ac:dyDescent="0.55000000000000004">
      <c r="A260" s="592">
        <v>259</v>
      </c>
      <c r="B260" s="596" t="s">
        <v>3393</v>
      </c>
      <c r="C260" s="592" t="s">
        <v>3394</v>
      </c>
      <c r="D260" s="592">
        <v>1</v>
      </c>
      <c r="E260" s="597">
        <v>24000</v>
      </c>
      <c r="F260" s="597">
        <v>24000</v>
      </c>
      <c r="G260" s="597">
        <v>15500</v>
      </c>
      <c r="H260" s="592" t="s">
        <v>1397</v>
      </c>
    </row>
    <row r="261" spans="1:8" ht="24.75" customHeight="1" x14ac:dyDescent="0.55000000000000004">
      <c r="A261" s="592">
        <v>260</v>
      </c>
      <c r="B261" s="596" t="s">
        <v>3617</v>
      </c>
      <c r="C261" s="592" t="s">
        <v>3618</v>
      </c>
      <c r="D261" s="592">
        <v>2</v>
      </c>
      <c r="E261" s="597">
        <v>6000</v>
      </c>
      <c r="F261" s="597">
        <v>6000</v>
      </c>
      <c r="G261" s="597">
        <v>4200</v>
      </c>
      <c r="H261" s="592" t="s">
        <v>1397</v>
      </c>
    </row>
    <row r="262" spans="1:8" ht="24.75" customHeight="1" x14ac:dyDescent="0.55000000000000004">
      <c r="A262" s="592">
        <v>261</v>
      </c>
      <c r="B262" s="596" t="s">
        <v>3619</v>
      </c>
      <c r="C262" s="592" t="s">
        <v>7478</v>
      </c>
      <c r="D262" s="592">
        <v>2</v>
      </c>
      <c r="E262" s="597">
        <v>3000</v>
      </c>
      <c r="F262" s="597">
        <v>3000</v>
      </c>
      <c r="G262" s="597">
        <v>3800</v>
      </c>
      <c r="H262" s="592" t="s">
        <v>1397</v>
      </c>
    </row>
    <row r="263" spans="1:8" ht="24.75" customHeight="1" x14ac:dyDescent="0.55000000000000004">
      <c r="A263" s="592">
        <v>262</v>
      </c>
      <c r="B263" s="596" t="s">
        <v>3620</v>
      </c>
      <c r="C263" s="592" t="s">
        <v>3621</v>
      </c>
      <c r="D263" s="592">
        <v>1</v>
      </c>
      <c r="E263" s="597">
        <v>12900</v>
      </c>
      <c r="F263" s="597">
        <v>12900</v>
      </c>
      <c r="G263" s="597">
        <v>5600</v>
      </c>
      <c r="H263" s="592" t="s">
        <v>1397</v>
      </c>
    </row>
    <row r="264" spans="1:8" ht="24.75" customHeight="1" x14ac:dyDescent="0.55000000000000004">
      <c r="A264" s="592">
        <v>263</v>
      </c>
      <c r="B264" s="596" t="s">
        <v>8363</v>
      </c>
      <c r="C264" s="592" t="s">
        <v>8364</v>
      </c>
      <c r="D264" s="592">
        <v>1</v>
      </c>
      <c r="E264" s="597">
        <v>22000</v>
      </c>
      <c r="F264" s="597">
        <v>22000</v>
      </c>
      <c r="G264" s="597">
        <v>18000</v>
      </c>
      <c r="H264" s="592" t="s">
        <v>1397</v>
      </c>
    </row>
    <row r="265" spans="1:8" ht="24.75" customHeight="1" x14ac:dyDescent="0.55000000000000004">
      <c r="A265" s="592">
        <v>264</v>
      </c>
      <c r="B265" s="596" t="s">
        <v>3395</v>
      </c>
      <c r="C265" s="592" t="s">
        <v>3396</v>
      </c>
      <c r="D265" s="592">
        <v>3</v>
      </c>
      <c r="E265" s="597">
        <v>200</v>
      </c>
      <c r="F265" s="597">
        <v>200</v>
      </c>
      <c r="G265" s="597">
        <v>180</v>
      </c>
      <c r="H265" s="592" t="s">
        <v>1397</v>
      </c>
    </row>
    <row r="266" spans="1:8" ht="24.75" customHeight="1" x14ac:dyDescent="0.55000000000000004">
      <c r="A266" s="592">
        <v>265</v>
      </c>
      <c r="B266" s="596" t="s">
        <v>3397</v>
      </c>
      <c r="C266" s="592" t="s">
        <v>3398</v>
      </c>
      <c r="D266" s="592">
        <v>1</v>
      </c>
      <c r="E266" s="597">
        <v>8500</v>
      </c>
      <c r="F266" s="597">
        <v>8500</v>
      </c>
      <c r="G266" s="597">
        <v>4445</v>
      </c>
      <c r="H266" s="592" t="s">
        <v>1397</v>
      </c>
    </row>
    <row r="267" spans="1:8" ht="24.75" customHeight="1" x14ac:dyDescent="0.55000000000000004">
      <c r="A267" s="592">
        <v>266</v>
      </c>
      <c r="B267" s="596" t="s">
        <v>3399</v>
      </c>
      <c r="C267" s="592" t="s">
        <v>3400</v>
      </c>
      <c r="D267" s="592">
        <v>2</v>
      </c>
      <c r="E267" s="597">
        <v>18500</v>
      </c>
      <c r="F267" s="597">
        <v>18500</v>
      </c>
      <c r="G267" s="597">
        <v>30000</v>
      </c>
      <c r="H267" s="592" t="s">
        <v>1397</v>
      </c>
    </row>
    <row r="268" spans="1:8" ht="24.75" customHeight="1" x14ac:dyDescent="0.55000000000000004">
      <c r="A268" s="592">
        <v>267</v>
      </c>
      <c r="B268" s="596" t="s">
        <v>3401</v>
      </c>
      <c r="C268" s="592" t="s">
        <v>3402</v>
      </c>
      <c r="D268" s="592">
        <v>2</v>
      </c>
      <c r="E268" s="597">
        <v>15600</v>
      </c>
      <c r="F268" s="597">
        <v>15600</v>
      </c>
      <c r="G268" s="597">
        <v>15570</v>
      </c>
      <c r="H268" s="592" t="s">
        <v>1397</v>
      </c>
    </row>
    <row r="269" spans="1:8" ht="24.75" customHeight="1" x14ac:dyDescent="0.55000000000000004">
      <c r="A269" s="592">
        <v>268</v>
      </c>
      <c r="B269" s="596" t="s">
        <v>3403</v>
      </c>
      <c r="C269" s="592" t="s">
        <v>3404</v>
      </c>
      <c r="D269" s="592">
        <v>1</v>
      </c>
      <c r="E269" s="597">
        <v>9600</v>
      </c>
      <c r="F269" s="597">
        <v>9600</v>
      </c>
      <c r="G269" s="597">
        <v>4600</v>
      </c>
      <c r="H269" s="592" t="s">
        <v>933</v>
      </c>
    </row>
    <row r="270" spans="1:8" ht="24.75" customHeight="1" x14ac:dyDescent="0.55000000000000004">
      <c r="A270" s="592">
        <v>269</v>
      </c>
      <c r="B270" s="596" t="s">
        <v>1410</v>
      </c>
      <c r="C270" s="592" t="s">
        <v>1411</v>
      </c>
      <c r="D270" s="592">
        <v>5</v>
      </c>
      <c r="E270" s="597">
        <v>4500</v>
      </c>
      <c r="F270" s="597">
        <v>4500</v>
      </c>
      <c r="G270" s="597">
        <v>8400</v>
      </c>
      <c r="H270" s="592" t="s">
        <v>1397</v>
      </c>
    </row>
    <row r="271" spans="1:8" ht="24.75" customHeight="1" x14ac:dyDescent="0.55000000000000004">
      <c r="A271" s="592">
        <v>270</v>
      </c>
      <c r="B271" s="596" t="s">
        <v>3622</v>
      </c>
      <c r="C271" s="592" t="s">
        <v>3623</v>
      </c>
      <c r="D271" s="592">
        <v>1</v>
      </c>
      <c r="E271" s="597">
        <v>27000</v>
      </c>
      <c r="F271" s="597">
        <v>27000</v>
      </c>
      <c r="G271" s="597">
        <v>14000</v>
      </c>
      <c r="H271" s="592" t="s">
        <v>933</v>
      </c>
    </row>
    <row r="272" spans="1:8" ht="24.75" customHeight="1" x14ac:dyDescent="0.55000000000000004">
      <c r="A272" s="592">
        <v>271</v>
      </c>
      <c r="B272" s="596" t="s">
        <v>6935</v>
      </c>
      <c r="C272" s="592" t="s">
        <v>8516</v>
      </c>
      <c r="D272" s="592">
        <v>8</v>
      </c>
      <c r="E272" s="597">
        <v>500</v>
      </c>
      <c r="F272" s="597">
        <v>500</v>
      </c>
      <c r="G272" s="597">
        <v>1600</v>
      </c>
      <c r="H272" s="592" t="s">
        <v>1397</v>
      </c>
    </row>
    <row r="273" spans="1:8" ht="24.75" customHeight="1" x14ac:dyDescent="0.55000000000000004">
      <c r="A273" s="592">
        <v>272</v>
      </c>
      <c r="B273" s="596" t="s">
        <v>6936</v>
      </c>
      <c r="C273" s="592" t="s">
        <v>6937</v>
      </c>
      <c r="D273" s="592">
        <v>1</v>
      </c>
      <c r="E273" s="597">
        <v>4500</v>
      </c>
      <c r="F273" s="597">
        <v>4500</v>
      </c>
      <c r="G273" s="597">
        <v>3500</v>
      </c>
      <c r="H273" s="592" t="s">
        <v>1397</v>
      </c>
    </row>
    <row r="274" spans="1:8" ht="24.75" customHeight="1" x14ac:dyDescent="0.55000000000000004">
      <c r="A274" s="592">
        <v>273</v>
      </c>
      <c r="B274" s="596" t="s">
        <v>6938</v>
      </c>
      <c r="C274" s="592" t="s">
        <v>6939</v>
      </c>
      <c r="D274" s="592">
        <v>20</v>
      </c>
      <c r="E274" s="597">
        <v>200</v>
      </c>
      <c r="F274" s="597">
        <v>200</v>
      </c>
      <c r="G274" s="597">
        <v>2000</v>
      </c>
      <c r="H274" s="592" t="s">
        <v>1397</v>
      </c>
    </row>
    <row r="275" spans="1:8" ht="24.75" customHeight="1" x14ac:dyDescent="0.55000000000000004">
      <c r="A275" s="592">
        <v>274</v>
      </c>
      <c r="B275" s="596" t="s">
        <v>6786</v>
      </c>
      <c r="C275" s="592" t="s">
        <v>7308</v>
      </c>
      <c r="D275" s="592">
        <v>1</v>
      </c>
      <c r="E275" s="597">
        <v>51600</v>
      </c>
      <c r="F275" s="597">
        <v>51600</v>
      </c>
      <c r="G275" s="597">
        <v>36500</v>
      </c>
      <c r="H275" s="592" t="s">
        <v>1397</v>
      </c>
    </row>
    <row r="276" spans="1:8" ht="24.75" customHeight="1" x14ac:dyDescent="0.55000000000000004">
      <c r="A276" s="592">
        <v>275</v>
      </c>
      <c r="B276" s="596" t="s">
        <v>6940</v>
      </c>
      <c r="C276" s="592" t="s">
        <v>6941</v>
      </c>
      <c r="D276" s="592">
        <v>4</v>
      </c>
      <c r="E276" s="597">
        <v>800</v>
      </c>
      <c r="F276" s="597">
        <v>800</v>
      </c>
      <c r="G276" s="597">
        <v>1760</v>
      </c>
      <c r="H276" s="592" t="s">
        <v>1397</v>
      </c>
    </row>
    <row r="277" spans="1:8" ht="24.75" customHeight="1" x14ac:dyDescent="0.55000000000000004">
      <c r="A277" s="592">
        <v>276</v>
      </c>
      <c r="B277" s="596" t="s">
        <v>7309</v>
      </c>
      <c r="C277" s="592" t="s">
        <v>7310</v>
      </c>
      <c r="D277" s="592">
        <v>18</v>
      </c>
      <c r="E277" s="597">
        <v>400</v>
      </c>
      <c r="F277" s="597">
        <v>400</v>
      </c>
      <c r="G277" s="597">
        <v>3600</v>
      </c>
      <c r="H277" s="592" t="s">
        <v>1397</v>
      </c>
    </row>
    <row r="278" spans="1:8" ht="24.75" customHeight="1" x14ac:dyDescent="0.55000000000000004">
      <c r="A278" s="592">
        <v>277</v>
      </c>
      <c r="B278" s="596" t="s">
        <v>7479</v>
      </c>
      <c r="C278" s="592" t="s">
        <v>7480</v>
      </c>
      <c r="D278" s="592">
        <v>10</v>
      </c>
      <c r="E278" s="597">
        <v>1000</v>
      </c>
      <c r="F278" s="597">
        <v>1000</v>
      </c>
      <c r="G278" s="597">
        <v>7000</v>
      </c>
      <c r="H278" s="592" t="s">
        <v>1397</v>
      </c>
    </row>
    <row r="279" spans="1:8" ht="24.75" customHeight="1" x14ac:dyDescent="0.55000000000000004">
      <c r="A279" s="592">
        <v>278</v>
      </c>
      <c r="B279" s="596" t="s">
        <v>7481</v>
      </c>
      <c r="C279" s="592" t="s">
        <v>7482</v>
      </c>
      <c r="D279" s="592">
        <v>3</v>
      </c>
      <c r="E279" s="597">
        <v>3000</v>
      </c>
      <c r="F279" s="597">
        <v>3000</v>
      </c>
      <c r="G279" s="597">
        <v>7200</v>
      </c>
      <c r="H279" s="592" t="s">
        <v>1397</v>
      </c>
    </row>
    <row r="280" spans="1:8" ht="24.75" customHeight="1" x14ac:dyDescent="0.55000000000000004">
      <c r="A280" s="592">
        <v>279</v>
      </c>
      <c r="B280" s="596" t="s">
        <v>8365</v>
      </c>
      <c r="C280" s="592" t="s">
        <v>8366</v>
      </c>
      <c r="D280" s="592">
        <v>2</v>
      </c>
      <c r="E280" s="597">
        <v>12000</v>
      </c>
      <c r="F280" s="597">
        <v>12000</v>
      </c>
      <c r="G280" s="597">
        <v>17000</v>
      </c>
      <c r="H280" s="592" t="s">
        <v>1397</v>
      </c>
    </row>
    <row r="281" spans="1:8" ht="24.75" customHeight="1" x14ac:dyDescent="0.55000000000000004">
      <c r="A281" s="592">
        <v>280</v>
      </c>
      <c r="B281" s="596" t="s">
        <v>1412</v>
      </c>
      <c r="C281" s="592" t="s">
        <v>1413</v>
      </c>
      <c r="D281" s="592">
        <v>13</v>
      </c>
      <c r="E281" s="597">
        <v>1000</v>
      </c>
      <c r="F281" s="597">
        <v>1000</v>
      </c>
      <c r="G281" s="597">
        <v>5590</v>
      </c>
      <c r="H281" s="592" t="s">
        <v>1397</v>
      </c>
    </row>
    <row r="282" spans="1:8" ht="24.75" customHeight="1" x14ac:dyDescent="0.55000000000000004">
      <c r="A282" s="592">
        <v>281</v>
      </c>
      <c r="B282" s="596" t="s">
        <v>8367</v>
      </c>
      <c r="C282" s="592" t="s">
        <v>8368</v>
      </c>
      <c r="D282" s="592">
        <v>1</v>
      </c>
      <c r="E282" s="597">
        <v>8000</v>
      </c>
      <c r="F282" s="597">
        <v>8000</v>
      </c>
      <c r="G282" s="597">
        <v>5500</v>
      </c>
      <c r="H282" s="592" t="s">
        <v>1397</v>
      </c>
    </row>
    <row r="283" spans="1:8" ht="24.75" customHeight="1" x14ac:dyDescent="0.55000000000000004">
      <c r="A283" s="592">
        <v>282</v>
      </c>
      <c r="B283" s="596" t="s">
        <v>3624</v>
      </c>
      <c r="C283" s="592" t="s">
        <v>3625</v>
      </c>
      <c r="D283" s="592">
        <v>38</v>
      </c>
      <c r="E283" s="597">
        <v>150</v>
      </c>
      <c r="F283" s="597">
        <v>150</v>
      </c>
      <c r="G283" s="597">
        <v>1710</v>
      </c>
      <c r="H283" s="592" t="s">
        <v>1397</v>
      </c>
    </row>
    <row r="284" spans="1:8" ht="24.75" customHeight="1" x14ac:dyDescent="0.55000000000000004">
      <c r="A284" s="592">
        <v>283</v>
      </c>
      <c r="B284" s="596" t="s">
        <v>1414</v>
      </c>
      <c r="C284" s="592" t="s">
        <v>1415</v>
      </c>
      <c r="D284" s="592">
        <v>33</v>
      </c>
      <c r="E284" s="597">
        <v>500</v>
      </c>
      <c r="F284" s="597">
        <v>500</v>
      </c>
      <c r="G284" s="597">
        <v>8910</v>
      </c>
      <c r="H284" s="592" t="s">
        <v>1397</v>
      </c>
    </row>
    <row r="285" spans="1:8" ht="24.75" customHeight="1" x14ac:dyDescent="0.55000000000000004">
      <c r="A285" s="592">
        <v>284</v>
      </c>
      <c r="B285" s="596" t="s">
        <v>1416</v>
      </c>
      <c r="C285" s="592" t="s">
        <v>1417</v>
      </c>
      <c r="D285" s="592">
        <v>1</v>
      </c>
      <c r="E285" s="597">
        <v>25200</v>
      </c>
      <c r="F285" s="597">
        <v>25200</v>
      </c>
      <c r="G285" s="597">
        <v>13500</v>
      </c>
      <c r="H285" s="592" t="s">
        <v>1397</v>
      </c>
    </row>
    <row r="286" spans="1:8" ht="24.75" customHeight="1" x14ac:dyDescent="0.55000000000000004">
      <c r="A286" s="592">
        <v>285</v>
      </c>
      <c r="B286" s="596" t="s">
        <v>1418</v>
      </c>
      <c r="C286" s="592" t="s">
        <v>1419</v>
      </c>
      <c r="D286" s="592">
        <v>6</v>
      </c>
      <c r="E286" s="597">
        <v>4800</v>
      </c>
      <c r="F286" s="597">
        <v>4800</v>
      </c>
      <c r="G286" s="597">
        <v>12486</v>
      </c>
      <c r="H286" s="592" t="s">
        <v>1397</v>
      </c>
    </row>
    <row r="287" spans="1:8" ht="24.75" customHeight="1" x14ac:dyDescent="0.55000000000000004">
      <c r="A287" s="592">
        <v>286</v>
      </c>
      <c r="B287" s="596" t="s">
        <v>3626</v>
      </c>
      <c r="C287" s="592" t="s">
        <v>3627</v>
      </c>
      <c r="D287" s="592">
        <v>5</v>
      </c>
      <c r="E287" s="597">
        <v>9600</v>
      </c>
      <c r="F287" s="597">
        <v>9600</v>
      </c>
      <c r="G287" s="597">
        <v>18500</v>
      </c>
      <c r="H287" s="592" t="s">
        <v>1397</v>
      </c>
    </row>
    <row r="288" spans="1:8" ht="24.75" customHeight="1" x14ac:dyDescent="0.55000000000000004">
      <c r="A288" s="592">
        <v>287</v>
      </c>
      <c r="B288" s="596" t="s">
        <v>3405</v>
      </c>
      <c r="C288" s="592" t="s">
        <v>7981</v>
      </c>
      <c r="D288" s="592">
        <v>2</v>
      </c>
      <c r="E288" s="597">
        <v>30000</v>
      </c>
      <c r="F288" s="597">
        <v>30000</v>
      </c>
      <c r="G288" s="597">
        <v>32000</v>
      </c>
      <c r="H288" s="592" t="s">
        <v>1397</v>
      </c>
    </row>
    <row r="289" spans="1:8" ht="24.75" customHeight="1" x14ac:dyDescent="0.55000000000000004">
      <c r="A289" s="592">
        <v>288</v>
      </c>
      <c r="B289" s="596" t="s">
        <v>6629</v>
      </c>
      <c r="C289" s="592" t="s">
        <v>6630</v>
      </c>
      <c r="D289" s="592">
        <v>3</v>
      </c>
      <c r="E289" s="597">
        <v>5000</v>
      </c>
      <c r="F289" s="597">
        <v>5000</v>
      </c>
      <c r="G289" s="597">
        <v>10800</v>
      </c>
      <c r="H289" s="592" t="s">
        <v>1397</v>
      </c>
    </row>
    <row r="290" spans="1:8" ht="24.75" customHeight="1" x14ac:dyDescent="0.55000000000000004">
      <c r="A290" s="592">
        <v>289</v>
      </c>
      <c r="B290" s="596" t="s">
        <v>6631</v>
      </c>
      <c r="C290" s="592" t="s">
        <v>6632</v>
      </c>
      <c r="D290" s="592">
        <v>5</v>
      </c>
      <c r="E290" s="597">
        <v>1500</v>
      </c>
      <c r="F290" s="597">
        <v>1500</v>
      </c>
      <c r="G290" s="597">
        <v>4250</v>
      </c>
      <c r="H290" s="592" t="s">
        <v>1397</v>
      </c>
    </row>
    <row r="291" spans="1:8" ht="24.75" customHeight="1" x14ac:dyDescent="0.55000000000000004">
      <c r="A291" s="592">
        <v>290</v>
      </c>
      <c r="B291" s="596" t="s">
        <v>7982</v>
      </c>
      <c r="C291" s="592" t="s">
        <v>7983</v>
      </c>
      <c r="D291" s="592">
        <v>1</v>
      </c>
      <c r="E291" s="597">
        <v>8500</v>
      </c>
      <c r="F291" s="597">
        <v>8500</v>
      </c>
      <c r="G291" s="597">
        <v>6500</v>
      </c>
      <c r="H291" s="592" t="s">
        <v>1397</v>
      </c>
    </row>
    <row r="292" spans="1:8" ht="24.75" customHeight="1" x14ac:dyDescent="0.55000000000000004">
      <c r="A292" s="592">
        <v>291</v>
      </c>
      <c r="B292" s="596" t="s">
        <v>8371</v>
      </c>
      <c r="C292" s="592" t="s">
        <v>8372</v>
      </c>
      <c r="D292" s="592">
        <v>1</v>
      </c>
      <c r="E292" s="597">
        <v>38000</v>
      </c>
      <c r="F292" s="597">
        <v>38000</v>
      </c>
      <c r="G292" s="597">
        <v>32000</v>
      </c>
      <c r="H292" s="592" t="s">
        <v>1397</v>
      </c>
    </row>
    <row r="293" spans="1:8" ht="24.75" customHeight="1" x14ac:dyDescent="0.55000000000000004">
      <c r="A293" s="592">
        <v>292</v>
      </c>
      <c r="B293" s="596" t="s">
        <v>3628</v>
      </c>
      <c r="C293" s="592" t="s">
        <v>3629</v>
      </c>
      <c r="D293" s="592">
        <v>2</v>
      </c>
      <c r="E293" s="597">
        <v>1700</v>
      </c>
      <c r="F293" s="597">
        <v>1700</v>
      </c>
      <c r="G293" s="597">
        <v>2400</v>
      </c>
      <c r="H293" s="592" t="s">
        <v>1397</v>
      </c>
    </row>
    <row r="294" spans="1:8" ht="24.75" customHeight="1" x14ac:dyDescent="0.55000000000000004">
      <c r="A294" s="592">
        <v>293</v>
      </c>
      <c r="B294" s="596" t="s">
        <v>3630</v>
      </c>
      <c r="C294" s="592" t="s">
        <v>3631</v>
      </c>
      <c r="D294" s="592">
        <v>1</v>
      </c>
      <c r="E294" s="597">
        <v>57600</v>
      </c>
      <c r="F294" s="597">
        <v>57600</v>
      </c>
      <c r="G294" s="597">
        <v>27000</v>
      </c>
      <c r="H294" s="592" t="s">
        <v>1397</v>
      </c>
    </row>
    <row r="295" spans="1:8" ht="24.75" customHeight="1" x14ac:dyDescent="0.55000000000000004">
      <c r="A295" s="592">
        <v>294</v>
      </c>
      <c r="B295" s="596" t="s">
        <v>3632</v>
      </c>
      <c r="C295" s="592" t="s">
        <v>3633</v>
      </c>
      <c r="D295" s="592">
        <v>2</v>
      </c>
      <c r="E295" s="597">
        <v>8000</v>
      </c>
      <c r="F295" s="597">
        <v>8000</v>
      </c>
      <c r="G295" s="597">
        <v>9600</v>
      </c>
      <c r="H295" s="592" t="s">
        <v>1397</v>
      </c>
    </row>
    <row r="296" spans="1:8" ht="24.75" customHeight="1" x14ac:dyDescent="0.55000000000000004">
      <c r="A296" s="592">
        <v>295</v>
      </c>
      <c r="B296" s="596" t="s">
        <v>3634</v>
      </c>
      <c r="C296" s="592" t="s">
        <v>3635</v>
      </c>
      <c r="D296" s="592">
        <v>1</v>
      </c>
      <c r="E296" s="597">
        <v>80000</v>
      </c>
      <c r="F296" s="597">
        <v>80000</v>
      </c>
      <c r="G296" s="597">
        <v>52500</v>
      </c>
      <c r="H296" s="592" t="s">
        <v>1397</v>
      </c>
    </row>
    <row r="297" spans="1:8" ht="24.75" customHeight="1" x14ac:dyDescent="0.55000000000000004">
      <c r="A297" s="592">
        <v>296</v>
      </c>
      <c r="B297" s="596" t="s">
        <v>3212</v>
      </c>
      <c r="C297" s="592" t="s">
        <v>3213</v>
      </c>
      <c r="D297" s="592">
        <v>7</v>
      </c>
      <c r="E297" s="597">
        <v>2000</v>
      </c>
      <c r="F297" s="597">
        <v>2000</v>
      </c>
      <c r="G297" s="597">
        <v>7700</v>
      </c>
      <c r="H297" s="592" t="s">
        <v>1397</v>
      </c>
    </row>
    <row r="298" spans="1:8" ht="24.75" customHeight="1" x14ac:dyDescent="0.55000000000000004">
      <c r="A298" s="592">
        <v>297</v>
      </c>
      <c r="B298" s="596" t="s">
        <v>2474</v>
      </c>
      <c r="C298" s="592" t="s">
        <v>2475</v>
      </c>
      <c r="D298" s="592">
        <v>14</v>
      </c>
      <c r="E298" s="597">
        <v>2000</v>
      </c>
      <c r="F298" s="597">
        <v>2000</v>
      </c>
      <c r="G298" s="597">
        <v>19530</v>
      </c>
      <c r="H298" s="592" t="s">
        <v>1397</v>
      </c>
    </row>
    <row r="299" spans="1:8" ht="24.75" customHeight="1" x14ac:dyDescent="0.55000000000000004">
      <c r="A299" s="592">
        <v>298</v>
      </c>
      <c r="B299" s="596" t="s">
        <v>3636</v>
      </c>
      <c r="C299" s="592" t="s">
        <v>3637</v>
      </c>
      <c r="D299" s="592">
        <v>36</v>
      </c>
      <c r="E299" s="597">
        <v>800</v>
      </c>
      <c r="F299" s="597">
        <v>800</v>
      </c>
      <c r="G299" s="597">
        <v>12240</v>
      </c>
      <c r="H299" s="592" t="s">
        <v>1397</v>
      </c>
    </row>
    <row r="300" spans="1:8" ht="24.75" customHeight="1" x14ac:dyDescent="0.55000000000000004">
      <c r="A300" s="592">
        <v>299</v>
      </c>
      <c r="B300" s="596" t="s">
        <v>7984</v>
      </c>
      <c r="C300" s="592" t="s">
        <v>8233</v>
      </c>
      <c r="D300" s="592">
        <v>1</v>
      </c>
      <c r="E300" s="597">
        <v>20000</v>
      </c>
      <c r="F300" s="597">
        <v>20000</v>
      </c>
      <c r="G300" s="597">
        <v>15000</v>
      </c>
      <c r="H300" s="592" t="s">
        <v>1397</v>
      </c>
    </row>
    <row r="301" spans="1:8" ht="24.75" customHeight="1" x14ac:dyDescent="0.55000000000000004">
      <c r="A301" s="592">
        <v>300</v>
      </c>
      <c r="B301" s="596" t="s">
        <v>8373</v>
      </c>
      <c r="C301" s="592" t="s">
        <v>6633</v>
      </c>
      <c r="D301" s="592">
        <v>1</v>
      </c>
      <c r="E301" s="597">
        <v>27000</v>
      </c>
      <c r="F301" s="597">
        <v>27000</v>
      </c>
      <c r="G301" s="597">
        <v>22000</v>
      </c>
      <c r="H301" s="592" t="s">
        <v>1397</v>
      </c>
    </row>
    <row r="302" spans="1:8" ht="24.75" customHeight="1" x14ac:dyDescent="0.55000000000000004">
      <c r="A302" s="592">
        <v>301</v>
      </c>
      <c r="B302" s="596" t="s">
        <v>3638</v>
      </c>
      <c r="C302" s="592" t="s">
        <v>2476</v>
      </c>
      <c r="D302" s="592">
        <v>2</v>
      </c>
      <c r="E302" s="597">
        <v>500</v>
      </c>
      <c r="F302" s="597">
        <v>500</v>
      </c>
      <c r="G302" s="597">
        <v>700</v>
      </c>
      <c r="H302" s="592" t="s">
        <v>1397</v>
      </c>
    </row>
    <row r="303" spans="1:8" ht="24.75" customHeight="1" x14ac:dyDescent="0.55000000000000004">
      <c r="A303" s="592">
        <v>302</v>
      </c>
      <c r="B303" s="596" t="s">
        <v>3639</v>
      </c>
      <c r="C303" s="592" t="s">
        <v>3640</v>
      </c>
      <c r="D303" s="592">
        <v>27</v>
      </c>
      <c r="E303" s="597">
        <v>500</v>
      </c>
      <c r="F303" s="597">
        <v>500</v>
      </c>
      <c r="G303" s="597">
        <v>5940</v>
      </c>
      <c r="H303" s="592" t="s">
        <v>1397</v>
      </c>
    </row>
    <row r="304" spans="1:8" ht="24.75" customHeight="1" x14ac:dyDescent="0.55000000000000004">
      <c r="A304" s="592">
        <v>303</v>
      </c>
      <c r="B304" s="596" t="s">
        <v>6378</v>
      </c>
      <c r="C304" s="592" t="s">
        <v>6942</v>
      </c>
      <c r="D304" s="592">
        <v>3</v>
      </c>
      <c r="E304" s="597">
        <v>80000</v>
      </c>
      <c r="F304" s="597">
        <v>80000</v>
      </c>
      <c r="G304" s="597">
        <v>225000</v>
      </c>
      <c r="H304" s="592" t="s">
        <v>1397</v>
      </c>
    </row>
    <row r="305" spans="1:8" ht="24.75" customHeight="1" x14ac:dyDescent="0.55000000000000004">
      <c r="A305" s="592">
        <v>304</v>
      </c>
      <c r="B305" s="596" t="s">
        <v>3641</v>
      </c>
      <c r="C305" s="592" t="s">
        <v>3642</v>
      </c>
      <c r="D305" s="592">
        <v>1</v>
      </c>
      <c r="E305" s="597">
        <v>2500</v>
      </c>
      <c r="F305" s="597">
        <v>2500</v>
      </c>
      <c r="G305" s="597">
        <v>1350</v>
      </c>
      <c r="H305" s="592" t="s">
        <v>1397</v>
      </c>
    </row>
    <row r="306" spans="1:8" ht="24.75" customHeight="1" x14ac:dyDescent="0.55000000000000004">
      <c r="A306" s="592">
        <v>305</v>
      </c>
      <c r="B306" s="596" t="s">
        <v>3643</v>
      </c>
      <c r="C306" s="592" t="s">
        <v>3644</v>
      </c>
      <c r="D306" s="592">
        <v>2</v>
      </c>
      <c r="E306" s="597">
        <v>3200</v>
      </c>
      <c r="F306" s="597">
        <v>3200</v>
      </c>
      <c r="G306" s="597">
        <v>4560</v>
      </c>
      <c r="H306" s="592" t="s">
        <v>1397</v>
      </c>
    </row>
    <row r="307" spans="1:8" ht="24.75" customHeight="1" x14ac:dyDescent="0.55000000000000004">
      <c r="A307" s="592">
        <v>306</v>
      </c>
      <c r="B307" s="596" t="s">
        <v>2534</v>
      </c>
      <c r="C307" s="592" t="s">
        <v>2535</v>
      </c>
      <c r="D307" s="592">
        <v>12</v>
      </c>
      <c r="E307" s="597">
        <v>500</v>
      </c>
      <c r="F307" s="597">
        <v>500</v>
      </c>
      <c r="G307" s="597">
        <v>3360</v>
      </c>
      <c r="H307" s="592" t="s">
        <v>1397</v>
      </c>
    </row>
    <row r="308" spans="1:8" ht="24.75" customHeight="1" x14ac:dyDescent="0.55000000000000004">
      <c r="A308" s="592">
        <v>307</v>
      </c>
      <c r="B308" s="596" t="s">
        <v>3645</v>
      </c>
      <c r="C308" s="592" t="s">
        <v>3646</v>
      </c>
      <c r="D308" s="592">
        <v>2</v>
      </c>
      <c r="E308" s="597">
        <v>10000</v>
      </c>
      <c r="F308" s="597">
        <v>10000</v>
      </c>
      <c r="G308" s="597">
        <v>14000</v>
      </c>
      <c r="H308" s="592" t="s">
        <v>1397</v>
      </c>
    </row>
    <row r="309" spans="1:8" ht="24.75" customHeight="1" x14ac:dyDescent="0.55000000000000004">
      <c r="A309" s="592">
        <v>308</v>
      </c>
      <c r="B309" s="596" t="s">
        <v>3647</v>
      </c>
      <c r="C309" s="592" t="s">
        <v>7483</v>
      </c>
      <c r="D309" s="592">
        <v>2</v>
      </c>
      <c r="E309" s="597">
        <v>25000</v>
      </c>
      <c r="F309" s="597">
        <v>25000</v>
      </c>
      <c r="G309" s="597">
        <v>36000</v>
      </c>
      <c r="H309" s="592" t="s">
        <v>1397</v>
      </c>
    </row>
    <row r="310" spans="1:8" ht="24.75" customHeight="1" x14ac:dyDescent="0.55000000000000004">
      <c r="A310" s="592">
        <v>309</v>
      </c>
      <c r="B310" s="596" t="s">
        <v>2844</v>
      </c>
      <c r="C310" s="592" t="s">
        <v>2845</v>
      </c>
      <c r="D310" s="592">
        <v>1</v>
      </c>
      <c r="E310" s="597">
        <v>7000</v>
      </c>
      <c r="F310" s="597">
        <v>7000</v>
      </c>
      <c r="G310" s="597">
        <v>5500</v>
      </c>
      <c r="H310" s="592" t="s">
        <v>1397</v>
      </c>
    </row>
    <row r="311" spans="1:8" ht="24.75" customHeight="1" x14ac:dyDescent="0.55000000000000004">
      <c r="A311" s="592">
        <v>310</v>
      </c>
      <c r="B311" s="596" t="s">
        <v>3648</v>
      </c>
      <c r="C311" s="592" t="s">
        <v>3649</v>
      </c>
      <c r="D311" s="592">
        <v>3</v>
      </c>
      <c r="E311" s="597">
        <v>3600</v>
      </c>
      <c r="F311" s="597">
        <v>3600</v>
      </c>
      <c r="G311" s="597">
        <v>4500</v>
      </c>
      <c r="H311" s="592" t="s">
        <v>1397</v>
      </c>
    </row>
    <row r="312" spans="1:8" ht="24.75" customHeight="1" x14ac:dyDescent="0.55000000000000004">
      <c r="A312" s="592">
        <v>311</v>
      </c>
      <c r="B312" s="596" t="s">
        <v>3650</v>
      </c>
      <c r="C312" s="592" t="s">
        <v>3651</v>
      </c>
      <c r="D312" s="592">
        <v>2</v>
      </c>
      <c r="E312" s="597">
        <v>7800</v>
      </c>
      <c r="F312" s="597">
        <v>7800</v>
      </c>
      <c r="G312" s="597">
        <v>7000</v>
      </c>
      <c r="H312" s="592" t="s">
        <v>1397</v>
      </c>
    </row>
    <row r="313" spans="1:8" ht="24.75" customHeight="1" x14ac:dyDescent="0.55000000000000004">
      <c r="A313" s="592">
        <v>312</v>
      </c>
      <c r="B313" s="596" t="s">
        <v>3652</v>
      </c>
      <c r="C313" s="592" t="s">
        <v>7484</v>
      </c>
      <c r="D313" s="592">
        <v>4</v>
      </c>
      <c r="E313" s="597">
        <v>1400</v>
      </c>
      <c r="F313" s="597">
        <v>1400</v>
      </c>
      <c r="G313" s="597">
        <v>2000</v>
      </c>
      <c r="H313" s="592" t="s">
        <v>1397</v>
      </c>
    </row>
    <row r="314" spans="1:8" ht="24.75" customHeight="1" x14ac:dyDescent="0.55000000000000004">
      <c r="A314" s="592">
        <v>313</v>
      </c>
      <c r="B314" s="596" t="s">
        <v>7985</v>
      </c>
      <c r="C314" s="592" t="s">
        <v>7986</v>
      </c>
      <c r="D314" s="592">
        <v>2</v>
      </c>
      <c r="E314" s="597">
        <v>10000</v>
      </c>
      <c r="F314" s="597">
        <v>10000</v>
      </c>
      <c r="G314" s="597">
        <v>16000</v>
      </c>
      <c r="H314" s="592" t="s">
        <v>1397</v>
      </c>
    </row>
    <row r="315" spans="1:8" ht="24.75" customHeight="1" x14ac:dyDescent="0.55000000000000004">
      <c r="A315" s="592">
        <v>314</v>
      </c>
      <c r="B315" s="596" t="s">
        <v>7987</v>
      </c>
      <c r="C315" s="592" t="s">
        <v>7988</v>
      </c>
      <c r="D315" s="592">
        <v>2</v>
      </c>
      <c r="E315" s="597">
        <v>8500</v>
      </c>
      <c r="F315" s="597">
        <v>8500</v>
      </c>
      <c r="G315" s="597">
        <v>13000</v>
      </c>
      <c r="H315" s="592" t="s">
        <v>1397</v>
      </c>
    </row>
    <row r="316" spans="1:8" ht="24.75" customHeight="1" x14ac:dyDescent="0.55000000000000004">
      <c r="A316" s="592">
        <v>315</v>
      </c>
      <c r="B316" s="596" t="s">
        <v>3653</v>
      </c>
      <c r="C316" s="592" t="s">
        <v>3654</v>
      </c>
      <c r="D316" s="592">
        <v>2</v>
      </c>
      <c r="E316" s="597">
        <v>10200</v>
      </c>
      <c r="F316" s="597">
        <v>10200</v>
      </c>
      <c r="G316" s="597">
        <v>13800</v>
      </c>
      <c r="H316" s="592" t="s">
        <v>1397</v>
      </c>
    </row>
    <row r="317" spans="1:8" ht="24.75" customHeight="1" x14ac:dyDescent="0.55000000000000004">
      <c r="A317" s="592">
        <v>316</v>
      </c>
      <c r="B317" s="596" t="s">
        <v>3655</v>
      </c>
      <c r="C317" s="592" t="s">
        <v>3656</v>
      </c>
      <c r="D317" s="592">
        <v>2</v>
      </c>
      <c r="E317" s="597">
        <v>15000</v>
      </c>
      <c r="F317" s="597">
        <v>15000</v>
      </c>
      <c r="G317" s="597">
        <v>13800</v>
      </c>
      <c r="H317" s="592" t="s">
        <v>1397</v>
      </c>
    </row>
    <row r="318" spans="1:8" ht="24.75" customHeight="1" x14ac:dyDescent="0.55000000000000004">
      <c r="A318" s="592">
        <v>317</v>
      </c>
      <c r="B318" s="596" t="s">
        <v>2846</v>
      </c>
      <c r="C318" s="592" t="s">
        <v>2847</v>
      </c>
      <c r="D318" s="592">
        <v>1</v>
      </c>
      <c r="E318" s="597">
        <v>14400</v>
      </c>
      <c r="F318" s="597">
        <v>14400</v>
      </c>
      <c r="G318" s="597">
        <v>6500</v>
      </c>
      <c r="H318" s="592" t="s">
        <v>1397</v>
      </c>
    </row>
    <row r="319" spans="1:8" ht="24.75" customHeight="1" x14ac:dyDescent="0.55000000000000004">
      <c r="A319" s="592">
        <v>318</v>
      </c>
      <c r="B319" s="596" t="s">
        <v>2848</v>
      </c>
      <c r="C319" s="592" t="s">
        <v>2849</v>
      </c>
      <c r="D319" s="592">
        <v>6</v>
      </c>
      <c r="E319" s="597">
        <v>10200</v>
      </c>
      <c r="F319" s="597">
        <v>10200</v>
      </c>
      <c r="G319" s="597">
        <v>28650</v>
      </c>
      <c r="H319" s="592" t="s">
        <v>1397</v>
      </c>
    </row>
    <row r="320" spans="1:8" ht="24.75" customHeight="1" x14ac:dyDescent="0.55000000000000004">
      <c r="A320" s="592">
        <v>319</v>
      </c>
      <c r="B320" s="596" t="s">
        <v>3657</v>
      </c>
      <c r="C320" s="592" t="s">
        <v>7485</v>
      </c>
      <c r="D320" s="592">
        <v>2</v>
      </c>
      <c r="E320" s="597">
        <v>21600</v>
      </c>
      <c r="F320" s="597">
        <v>21600</v>
      </c>
      <c r="G320" s="597">
        <v>18200</v>
      </c>
      <c r="H320" s="592" t="s">
        <v>1397</v>
      </c>
    </row>
    <row r="321" spans="1:8" ht="24.75" customHeight="1" x14ac:dyDescent="0.55000000000000004">
      <c r="A321" s="592">
        <v>320</v>
      </c>
      <c r="B321" s="596" t="s">
        <v>2828</v>
      </c>
      <c r="C321" s="592" t="s">
        <v>7486</v>
      </c>
      <c r="D321" s="592">
        <v>1</v>
      </c>
      <c r="E321" s="597">
        <v>24000</v>
      </c>
      <c r="F321" s="597">
        <v>24000</v>
      </c>
      <c r="G321" s="597">
        <v>12500</v>
      </c>
      <c r="H321" s="592" t="s">
        <v>1397</v>
      </c>
    </row>
    <row r="322" spans="1:8" ht="24.75" customHeight="1" x14ac:dyDescent="0.55000000000000004">
      <c r="A322" s="592">
        <v>321</v>
      </c>
      <c r="B322" s="596" t="s">
        <v>3658</v>
      </c>
      <c r="C322" s="592" t="s">
        <v>3659</v>
      </c>
      <c r="D322" s="592">
        <v>2</v>
      </c>
      <c r="E322" s="597">
        <v>13800</v>
      </c>
      <c r="F322" s="597">
        <v>13800</v>
      </c>
      <c r="G322" s="597">
        <v>13000</v>
      </c>
      <c r="H322" s="592" t="s">
        <v>1397</v>
      </c>
    </row>
    <row r="323" spans="1:8" ht="24.75" customHeight="1" x14ac:dyDescent="0.55000000000000004">
      <c r="A323" s="592">
        <v>322</v>
      </c>
      <c r="B323" s="596" t="s">
        <v>3660</v>
      </c>
      <c r="C323" s="592" t="s">
        <v>3661</v>
      </c>
      <c r="D323" s="592">
        <v>2</v>
      </c>
      <c r="E323" s="597">
        <v>16800</v>
      </c>
      <c r="F323" s="597">
        <v>16800</v>
      </c>
      <c r="G323" s="597">
        <v>15600</v>
      </c>
      <c r="H323" s="592" t="s">
        <v>1397</v>
      </c>
    </row>
    <row r="324" spans="1:8" ht="24.75" customHeight="1" x14ac:dyDescent="0.55000000000000004">
      <c r="A324" s="592">
        <v>323</v>
      </c>
      <c r="B324" s="596" t="s">
        <v>3662</v>
      </c>
      <c r="C324" s="592" t="s">
        <v>3663</v>
      </c>
      <c r="D324" s="592">
        <v>1</v>
      </c>
      <c r="E324" s="597">
        <v>10200</v>
      </c>
      <c r="F324" s="597">
        <v>10200</v>
      </c>
      <c r="G324" s="597">
        <v>6700</v>
      </c>
      <c r="H324" s="592" t="s">
        <v>1397</v>
      </c>
    </row>
    <row r="325" spans="1:8" ht="24.75" customHeight="1" x14ac:dyDescent="0.55000000000000004">
      <c r="A325" s="592">
        <v>324</v>
      </c>
      <c r="B325" s="596" t="s">
        <v>3664</v>
      </c>
      <c r="C325" s="592" t="s">
        <v>7487</v>
      </c>
      <c r="D325" s="592">
        <v>2</v>
      </c>
      <c r="E325" s="597">
        <v>18900</v>
      </c>
      <c r="F325" s="597">
        <v>18900</v>
      </c>
      <c r="G325" s="597">
        <v>19000</v>
      </c>
      <c r="H325" s="592" t="s">
        <v>1397</v>
      </c>
    </row>
    <row r="326" spans="1:8" ht="24.75" customHeight="1" x14ac:dyDescent="0.55000000000000004">
      <c r="A326" s="592">
        <v>325</v>
      </c>
      <c r="B326" s="596" t="s">
        <v>3665</v>
      </c>
      <c r="C326" s="592" t="s">
        <v>7488</v>
      </c>
      <c r="D326" s="592">
        <v>1</v>
      </c>
      <c r="E326" s="597">
        <v>14400</v>
      </c>
      <c r="F326" s="597">
        <v>14400</v>
      </c>
      <c r="G326" s="597">
        <v>6800</v>
      </c>
      <c r="H326" s="592" t="s">
        <v>1397</v>
      </c>
    </row>
    <row r="327" spans="1:8" ht="24.75" customHeight="1" x14ac:dyDescent="0.55000000000000004">
      <c r="A327" s="592">
        <v>326</v>
      </c>
      <c r="B327" s="596" t="s">
        <v>3666</v>
      </c>
      <c r="C327" s="592" t="s">
        <v>7489</v>
      </c>
      <c r="D327" s="592">
        <v>1</v>
      </c>
      <c r="E327" s="597">
        <v>16200</v>
      </c>
      <c r="F327" s="597">
        <v>16200</v>
      </c>
      <c r="G327" s="597">
        <v>8200</v>
      </c>
      <c r="H327" s="592" t="s">
        <v>1397</v>
      </c>
    </row>
    <row r="328" spans="1:8" ht="24.75" customHeight="1" x14ac:dyDescent="0.55000000000000004">
      <c r="A328" s="592">
        <v>327</v>
      </c>
      <c r="B328" s="596" t="s">
        <v>3667</v>
      </c>
      <c r="C328" s="592" t="s">
        <v>7490</v>
      </c>
      <c r="D328" s="592">
        <v>1</v>
      </c>
      <c r="E328" s="597">
        <v>17600</v>
      </c>
      <c r="F328" s="597">
        <v>17600</v>
      </c>
      <c r="G328" s="597">
        <v>8700</v>
      </c>
      <c r="H328" s="592" t="s">
        <v>1397</v>
      </c>
    </row>
    <row r="329" spans="1:8" ht="24.75" customHeight="1" x14ac:dyDescent="0.55000000000000004">
      <c r="A329" s="592">
        <v>328</v>
      </c>
      <c r="B329" s="596" t="s">
        <v>3668</v>
      </c>
      <c r="C329" s="592" t="s">
        <v>3669</v>
      </c>
      <c r="D329" s="592">
        <v>2</v>
      </c>
      <c r="E329" s="597">
        <v>8500</v>
      </c>
      <c r="F329" s="597">
        <v>8500</v>
      </c>
      <c r="G329" s="597">
        <v>13600</v>
      </c>
      <c r="H329" s="592" t="s">
        <v>1397</v>
      </c>
    </row>
    <row r="330" spans="1:8" ht="24.75" customHeight="1" x14ac:dyDescent="0.55000000000000004">
      <c r="A330" s="592">
        <v>329</v>
      </c>
      <c r="B330" s="596" t="s">
        <v>3670</v>
      </c>
      <c r="C330" s="592" t="s">
        <v>3671</v>
      </c>
      <c r="D330" s="592">
        <v>3</v>
      </c>
      <c r="E330" s="597">
        <v>19000</v>
      </c>
      <c r="F330" s="597">
        <v>19000</v>
      </c>
      <c r="G330" s="597">
        <v>48000</v>
      </c>
      <c r="H330" s="592" t="s">
        <v>1397</v>
      </c>
    </row>
    <row r="331" spans="1:8" ht="24.75" customHeight="1" x14ac:dyDescent="0.55000000000000004">
      <c r="A331" s="592">
        <v>330</v>
      </c>
      <c r="B331" s="596" t="s">
        <v>3672</v>
      </c>
      <c r="C331" s="592" t="s">
        <v>3673</v>
      </c>
      <c r="D331" s="592">
        <v>3</v>
      </c>
      <c r="E331" s="597">
        <v>14000</v>
      </c>
      <c r="F331" s="597">
        <v>14000</v>
      </c>
      <c r="G331" s="597">
        <v>27600</v>
      </c>
      <c r="H331" s="592" t="s">
        <v>1397</v>
      </c>
    </row>
    <row r="332" spans="1:8" ht="24.75" customHeight="1" x14ac:dyDescent="0.55000000000000004">
      <c r="A332" s="592">
        <v>331</v>
      </c>
      <c r="B332" s="596" t="s">
        <v>3674</v>
      </c>
      <c r="C332" s="592" t="s">
        <v>3675</v>
      </c>
      <c r="D332" s="592">
        <v>2</v>
      </c>
      <c r="E332" s="597">
        <v>12000</v>
      </c>
      <c r="F332" s="597">
        <v>12000</v>
      </c>
      <c r="G332" s="597">
        <v>11300</v>
      </c>
      <c r="H332" s="592" t="s">
        <v>1397</v>
      </c>
    </row>
    <row r="333" spans="1:8" ht="24.75" customHeight="1" x14ac:dyDescent="0.55000000000000004">
      <c r="A333" s="592">
        <v>332</v>
      </c>
      <c r="B333" s="596" t="s">
        <v>7989</v>
      </c>
      <c r="C333" s="592" t="s">
        <v>7990</v>
      </c>
      <c r="D333" s="592">
        <v>2</v>
      </c>
      <c r="E333" s="597">
        <v>16000</v>
      </c>
      <c r="F333" s="597">
        <v>16000</v>
      </c>
      <c r="G333" s="597">
        <v>24000</v>
      </c>
      <c r="H333" s="592" t="s">
        <v>1397</v>
      </c>
    </row>
    <row r="334" spans="1:8" ht="24.75" customHeight="1" x14ac:dyDescent="0.55000000000000004">
      <c r="A334" s="592">
        <v>333</v>
      </c>
      <c r="B334" s="596" t="s">
        <v>2850</v>
      </c>
      <c r="C334" s="592" t="s">
        <v>2851</v>
      </c>
      <c r="D334" s="592">
        <v>2</v>
      </c>
      <c r="E334" s="597">
        <v>13800</v>
      </c>
      <c r="F334" s="597">
        <v>13800</v>
      </c>
      <c r="G334" s="597">
        <v>12200</v>
      </c>
      <c r="H334" s="592" t="s">
        <v>1397</v>
      </c>
    </row>
    <row r="335" spans="1:8" ht="24.75" customHeight="1" x14ac:dyDescent="0.55000000000000004">
      <c r="A335" s="592">
        <v>334</v>
      </c>
      <c r="B335" s="596" t="s">
        <v>7991</v>
      </c>
      <c r="C335" s="592" t="s">
        <v>7992</v>
      </c>
      <c r="D335" s="592">
        <v>1</v>
      </c>
      <c r="E335" s="597">
        <v>11000</v>
      </c>
      <c r="F335" s="597">
        <v>11000</v>
      </c>
      <c r="G335" s="597">
        <v>8000</v>
      </c>
      <c r="H335" s="592" t="s">
        <v>1397</v>
      </c>
    </row>
    <row r="336" spans="1:8" ht="24.75" customHeight="1" x14ac:dyDescent="0.55000000000000004">
      <c r="A336" s="592">
        <v>335</v>
      </c>
      <c r="B336" s="596" t="s">
        <v>3676</v>
      </c>
      <c r="C336" s="592" t="s">
        <v>7993</v>
      </c>
      <c r="D336" s="592">
        <v>2</v>
      </c>
      <c r="E336" s="597">
        <v>12000</v>
      </c>
      <c r="F336" s="597">
        <v>12000</v>
      </c>
      <c r="G336" s="597">
        <v>11920</v>
      </c>
      <c r="H336" s="592" t="s">
        <v>1397</v>
      </c>
    </row>
    <row r="337" spans="1:8" ht="24.75" customHeight="1" x14ac:dyDescent="0.55000000000000004">
      <c r="A337" s="592">
        <v>336</v>
      </c>
      <c r="B337" s="596" t="s">
        <v>3677</v>
      </c>
      <c r="C337" s="592" t="s">
        <v>3678</v>
      </c>
      <c r="D337" s="592">
        <v>1</v>
      </c>
      <c r="E337" s="597">
        <v>3000</v>
      </c>
      <c r="F337" s="597">
        <v>3000</v>
      </c>
      <c r="G337" s="597">
        <v>1500</v>
      </c>
      <c r="H337" s="592" t="s">
        <v>1397</v>
      </c>
    </row>
    <row r="338" spans="1:8" ht="24.75" customHeight="1" x14ac:dyDescent="0.55000000000000004">
      <c r="A338" s="592">
        <v>337</v>
      </c>
      <c r="B338" s="596" t="s">
        <v>3679</v>
      </c>
      <c r="C338" s="592" t="s">
        <v>3680</v>
      </c>
      <c r="D338" s="592">
        <v>2</v>
      </c>
      <c r="E338" s="597">
        <v>700</v>
      </c>
      <c r="F338" s="597">
        <v>700</v>
      </c>
      <c r="G338" s="597">
        <v>520</v>
      </c>
      <c r="H338" s="592" t="s">
        <v>1397</v>
      </c>
    </row>
    <row r="339" spans="1:8" ht="24.75" customHeight="1" x14ac:dyDescent="0.55000000000000004">
      <c r="A339" s="592">
        <v>338</v>
      </c>
      <c r="B339" s="596" t="s">
        <v>7994</v>
      </c>
      <c r="C339" s="592" t="s">
        <v>7995</v>
      </c>
      <c r="D339" s="592">
        <v>1</v>
      </c>
      <c r="E339" s="597">
        <v>6500</v>
      </c>
      <c r="F339" s="597">
        <v>6500</v>
      </c>
      <c r="G339" s="597">
        <v>5300</v>
      </c>
      <c r="H339" s="592" t="s">
        <v>1397</v>
      </c>
    </row>
    <row r="340" spans="1:8" ht="24.75" customHeight="1" x14ac:dyDescent="0.55000000000000004">
      <c r="A340" s="592">
        <v>339</v>
      </c>
      <c r="B340" s="596" t="s">
        <v>3681</v>
      </c>
      <c r="C340" s="592" t="s">
        <v>3682</v>
      </c>
      <c r="D340" s="592">
        <v>3</v>
      </c>
      <c r="E340" s="597">
        <v>8000</v>
      </c>
      <c r="F340" s="597">
        <v>8000</v>
      </c>
      <c r="G340" s="597">
        <v>16500</v>
      </c>
      <c r="H340" s="592" t="s">
        <v>1397</v>
      </c>
    </row>
    <row r="341" spans="1:8" ht="24.75" customHeight="1" x14ac:dyDescent="0.55000000000000004">
      <c r="A341" s="592">
        <v>340</v>
      </c>
      <c r="B341" s="596" t="s">
        <v>3683</v>
      </c>
      <c r="C341" s="592" t="s">
        <v>3684</v>
      </c>
      <c r="D341" s="592">
        <v>8</v>
      </c>
      <c r="E341" s="597">
        <v>150</v>
      </c>
      <c r="F341" s="597">
        <v>150</v>
      </c>
      <c r="G341" s="597">
        <v>560</v>
      </c>
      <c r="H341" s="592" t="s">
        <v>1397</v>
      </c>
    </row>
    <row r="342" spans="1:8" ht="24.75" customHeight="1" x14ac:dyDescent="0.55000000000000004">
      <c r="A342" s="592">
        <v>341</v>
      </c>
      <c r="B342" s="596" t="s">
        <v>3685</v>
      </c>
      <c r="C342" s="592" t="s">
        <v>3686</v>
      </c>
      <c r="D342" s="592">
        <v>5</v>
      </c>
      <c r="E342" s="597">
        <v>900</v>
      </c>
      <c r="F342" s="597">
        <v>900</v>
      </c>
      <c r="G342" s="597">
        <v>1750</v>
      </c>
      <c r="H342" s="592" t="s">
        <v>1397</v>
      </c>
    </row>
    <row r="343" spans="1:8" ht="24.75" customHeight="1" x14ac:dyDescent="0.55000000000000004">
      <c r="A343" s="592">
        <v>342</v>
      </c>
      <c r="B343" s="596" t="s">
        <v>2829</v>
      </c>
      <c r="C343" s="592" t="s">
        <v>2830</v>
      </c>
      <c r="D343" s="592">
        <v>1</v>
      </c>
      <c r="E343" s="597">
        <v>150</v>
      </c>
      <c r="F343" s="597">
        <v>150</v>
      </c>
      <c r="G343" s="597">
        <v>55</v>
      </c>
      <c r="H343" s="592" t="s">
        <v>1397</v>
      </c>
    </row>
    <row r="344" spans="1:8" ht="24.75" customHeight="1" x14ac:dyDescent="0.55000000000000004">
      <c r="A344" s="592">
        <v>343</v>
      </c>
      <c r="B344" s="596" t="s">
        <v>3687</v>
      </c>
      <c r="C344" s="592" t="s">
        <v>3688</v>
      </c>
      <c r="D344" s="592">
        <v>6</v>
      </c>
      <c r="E344" s="597">
        <v>6600</v>
      </c>
      <c r="F344" s="597">
        <v>6600</v>
      </c>
      <c r="G344" s="597">
        <v>18000</v>
      </c>
      <c r="H344" s="592" t="s">
        <v>1397</v>
      </c>
    </row>
    <row r="345" spans="1:8" ht="24.75" customHeight="1" x14ac:dyDescent="0.55000000000000004">
      <c r="A345" s="592">
        <v>344</v>
      </c>
      <c r="B345" s="596" t="s">
        <v>2852</v>
      </c>
      <c r="C345" s="592" t="s">
        <v>2853</v>
      </c>
      <c r="D345" s="592">
        <v>7</v>
      </c>
      <c r="E345" s="597">
        <v>100</v>
      </c>
      <c r="F345" s="597">
        <v>100</v>
      </c>
      <c r="G345" s="597">
        <v>455</v>
      </c>
      <c r="H345" s="592" t="s">
        <v>1397</v>
      </c>
    </row>
    <row r="346" spans="1:8" ht="24.75" customHeight="1" x14ac:dyDescent="0.55000000000000004">
      <c r="A346" s="592">
        <v>345</v>
      </c>
      <c r="B346" s="596" t="s">
        <v>3689</v>
      </c>
      <c r="C346" s="592" t="s">
        <v>3690</v>
      </c>
      <c r="D346" s="592">
        <v>2</v>
      </c>
      <c r="E346" s="597">
        <v>4000</v>
      </c>
      <c r="F346" s="597">
        <v>4000</v>
      </c>
      <c r="G346" s="597">
        <v>4800</v>
      </c>
      <c r="H346" s="592" t="s">
        <v>1397</v>
      </c>
    </row>
    <row r="347" spans="1:8" ht="24.75" customHeight="1" x14ac:dyDescent="0.55000000000000004">
      <c r="A347" s="592">
        <v>346</v>
      </c>
      <c r="B347" s="596" t="s">
        <v>3691</v>
      </c>
      <c r="C347" s="592" t="s">
        <v>3692</v>
      </c>
      <c r="D347" s="592">
        <v>2</v>
      </c>
      <c r="E347" s="597">
        <v>10800</v>
      </c>
      <c r="F347" s="597">
        <v>10800</v>
      </c>
      <c r="G347" s="597">
        <v>10000</v>
      </c>
      <c r="H347" s="592" t="s">
        <v>1397</v>
      </c>
    </row>
    <row r="348" spans="1:8" ht="24.75" customHeight="1" x14ac:dyDescent="0.55000000000000004">
      <c r="A348" s="592">
        <v>347</v>
      </c>
      <c r="B348" s="596" t="s">
        <v>3693</v>
      </c>
      <c r="C348" s="592" t="s">
        <v>3694</v>
      </c>
      <c r="D348" s="592">
        <v>3</v>
      </c>
      <c r="E348" s="597">
        <v>10800</v>
      </c>
      <c r="F348" s="597">
        <v>10800</v>
      </c>
      <c r="G348" s="597">
        <v>15000</v>
      </c>
      <c r="H348" s="592" t="s">
        <v>1397</v>
      </c>
    </row>
    <row r="349" spans="1:8" ht="24.75" customHeight="1" x14ac:dyDescent="0.55000000000000004">
      <c r="A349" s="592">
        <v>348</v>
      </c>
      <c r="B349" s="596" t="s">
        <v>3695</v>
      </c>
      <c r="C349" s="592" t="s">
        <v>3696</v>
      </c>
      <c r="D349" s="592">
        <v>2</v>
      </c>
      <c r="E349" s="597">
        <v>7000</v>
      </c>
      <c r="F349" s="597">
        <v>7000</v>
      </c>
      <c r="G349" s="597">
        <v>11000</v>
      </c>
      <c r="H349" s="592" t="s">
        <v>1397</v>
      </c>
    </row>
    <row r="350" spans="1:8" ht="24.75" customHeight="1" x14ac:dyDescent="0.55000000000000004">
      <c r="A350" s="592">
        <v>349</v>
      </c>
      <c r="B350" s="596" t="s">
        <v>3697</v>
      </c>
      <c r="C350" s="592" t="s">
        <v>3698</v>
      </c>
      <c r="D350" s="592">
        <v>2</v>
      </c>
      <c r="E350" s="597">
        <v>4800</v>
      </c>
      <c r="F350" s="597">
        <v>4800</v>
      </c>
      <c r="G350" s="597">
        <v>5600</v>
      </c>
      <c r="H350" s="592" t="s">
        <v>1397</v>
      </c>
    </row>
    <row r="351" spans="1:8" ht="24.75" customHeight="1" x14ac:dyDescent="0.55000000000000004">
      <c r="A351" s="592">
        <v>350</v>
      </c>
      <c r="B351" s="596" t="s">
        <v>3699</v>
      </c>
      <c r="C351" s="592" t="s">
        <v>7491</v>
      </c>
      <c r="D351" s="592">
        <v>2</v>
      </c>
      <c r="E351" s="597">
        <v>6000</v>
      </c>
      <c r="F351" s="597">
        <v>6000</v>
      </c>
      <c r="G351" s="597">
        <v>7600</v>
      </c>
      <c r="H351" s="592" t="s">
        <v>1397</v>
      </c>
    </row>
    <row r="352" spans="1:8" ht="24.75" customHeight="1" x14ac:dyDescent="0.55000000000000004">
      <c r="A352" s="592">
        <v>351</v>
      </c>
      <c r="B352" s="596" t="s">
        <v>3700</v>
      </c>
      <c r="C352" s="592" t="s">
        <v>7492</v>
      </c>
      <c r="D352" s="592">
        <v>2</v>
      </c>
      <c r="E352" s="597">
        <v>9600</v>
      </c>
      <c r="F352" s="597">
        <v>9600</v>
      </c>
      <c r="G352" s="597">
        <v>8200</v>
      </c>
      <c r="H352" s="592" t="s">
        <v>1397</v>
      </c>
    </row>
    <row r="353" spans="1:8" ht="24.75" customHeight="1" x14ac:dyDescent="0.55000000000000004">
      <c r="A353" s="592">
        <v>352</v>
      </c>
      <c r="B353" s="596" t="s">
        <v>3701</v>
      </c>
      <c r="C353" s="592" t="s">
        <v>3702</v>
      </c>
      <c r="D353" s="592">
        <v>2</v>
      </c>
      <c r="E353" s="597">
        <v>19800</v>
      </c>
      <c r="F353" s="597">
        <v>19800</v>
      </c>
      <c r="G353" s="597">
        <v>24000</v>
      </c>
      <c r="H353" s="592" t="s">
        <v>1397</v>
      </c>
    </row>
    <row r="354" spans="1:8" ht="24.75" customHeight="1" x14ac:dyDescent="0.55000000000000004">
      <c r="A354" s="592">
        <v>353</v>
      </c>
      <c r="B354" s="596" t="s">
        <v>3703</v>
      </c>
      <c r="C354" s="592" t="s">
        <v>7996</v>
      </c>
      <c r="D354" s="592">
        <v>1</v>
      </c>
      <c r="E354" s="597">
        <v>3000</v>
      </c>
      <c r="F354" s="597">
        <v>3000</v>
      </c>
      <c r="G354" s="597">
        <v>2000</v>
      </c>
      <c r="H354" s="592" t="s">
        <v>1397</v>
      </c>
    </row>
    <row r="355" spans="1:8" ht="24.75" customHeight="1" x14ac:dyDescent="0.55000000000000004">
      <c r="A355" s="592">
        <v>354</v>
      </c>
      <c r="B355" s="596" t="s">
        <v>3704</v>
      </c>
      <c r="C355" s="592" t="s">
        <v>1910</v>
      </c>
      <c r="D355" s="592">
        <v>1</v>
      </c>
      <c r="E355" s="597">
        <v>14400</v>
      </c>
      <c r="F355" s="597">
        <v>14400</v>
      </c>
      <c r="G355" s="597">
        <v>9000</v>
      </c>
      <c r="H355" s="592" t="s">
        <v>1397</v>
      </c>
    </row>
    <row r="356" spans="1:8" ht="24.75" customHeight="1" x14ac:dyDescent="0.55000000000000004">
      <c r="A356" s="592">
        <v>355</v>
      </c>
      <c r="B356" s="596" t="s">
        <v>2854</v>
      </c>
      <c r="C356" s="592" t="s">
        <v>2855</v>
      </c>
      <c r="D356" s="592">
        <v>4</v>
      </c>
      <c r="E356" s="597">
        <v>800</v>
      </c>
      <c r="F356" s="597">
        <v>800</v>
      </c>
      <c r="G356" s="597">
        <v>1420</v>
      </c>
      <c r="H356" s="592" t="s">
        <v>1397</v>
      </c>
    </row>
    <row r="357" spans="1:8" ht="24.75" customHeight="1" x14ac:dyDescent="0.55000000000000004">
      <c r="A357" s="592">
        <v>356</v>
      </c>
      <c r="B357" s="596" t="s">
        <v>3705</v>
      </c>
      <c r="C357" s="592" t="s">
        <v>7311</v>
      </c>
      <c r="D357" s="592">
        <v>2</v>
      </c>
      <c r="E357" s="597">
        <v>1000</v>
      </c>
      <c r="F357" s="597">
        <v>1000</v>
      </c>
      <c r="G357" s="597">
        <v>1000</v>
      </c>
      <c r="H357" s="592" t="s">
        <v>1397</v>
      </c>
    </row>
    <row r="358" spans="1:8" ht="24.75" customHeight="1" x14ac:dyDescent="0.55000000000000004">
      <c r="A358" s="592">
        <v>357</v>
      </c>
      <c r="B358" s="596" t="s">
        <v>2856</v>
      </c>
      <c r="C358" s="592" t="s">
        <v>2857</v>
      </c>
      <c r="D358" s="592">
        <v>1</v>
      </c>
      <c r="E358" s="597">
        <v>6600</v>
      </c>
      <c r="F358" s="597">
        <v>6600</v>
      </c>
      <c r="G358" s="597">
        <v>2800</v>
      </c>
      <c r="H358" s="592" t="s">
        <v>1397</v>
      </c>
    </row>
    <row r="359" spans="1:8" ht="24.75" customHeight="1" x14ac:dyDescent="0.55000000000000004">
      <c r="A359" s="592">
        <v>358</v>
      </c>
      <c r="B359" s="596" t="s">
        <v>3706</v>
      </c>
      <c r="C359" s="592" t="s">
        <v>3707</v>
      </c>
      <c r="D359" s="592">
        <v>2</v>
      </c>
      <c r="E359" s="597">
        <v>13500</v>
      </c>
      <c r="F359" s="597">
        <v>13500</v>
      </c>
      <c r="G359" s="597">
        <v>16000</v>
      </c>
      <c r="H359" s="592" t="s">
        <v>1397</v>
      </c>
    </row>
    <row r="360" spans="1:8" ht="24.75" customHeight="1" x14ac:dyDescent="0.55000000000000004">
      <c r="A360" s="592">
        <v>359</v>
      </c>
      <c r="B360" s="596" t="s">
        <v>3708</v>
      </c>
      <c r="C360" s="592" t="s">
        <v>3709</v>
      </c>
      <c r="D360" s="592">
        <v>1</v>
      </c>
      <c r="E360" s="597">
        <v>3800</v>
      </c>
      <c r="F360" s="597">
        <v>3800</v>
      </c>
      <c r="G360" s="597">
        <v>2500</v>
      </c>
      <c r="H360" s="592" t="s">
        <v>1397</v>
      </c>
    </row>
    <row r="361" spans="1:8" ht="24.75" customHeight="1" x14ac:dyDescent="0.55000000000000004">
      <c r="A361" s="592">
        <v>360</v>
      </c>
      <c r="B361" s="596" t="s">
        <v>3710</v>
      </c>
      <c r="C361" s="592" t="s">
        <v>3711</v>
      </c>
      <c r="D361" s="592">
        <v>1</v>
      </c>
      <c r="E361" s="597">
        <v>4000</v>
      </c>
      <c r="F361" s="597">
        <v>4000</v>
      </c>
      <c r="G361" s="597">
        <v>3100</v>
      </c>
      <c r="H361" s="592" t="s">
        <v>1397</v>
      </c>
    </row>
    <row r="362" spans="1:8" ht="24.75" customHeight="1" x14ac:dyDescent="0.55000000000000004">
      <c r="A362" s="592">
        <v>361</v>
      </c>
      <c r="B362" s="596" t="s">
        <v>2858</v>
      </c>
      <c r="C362" s="592" t="s">
        <v>2859</v>
      </c>
      <c r="D362" s="592">
        <v>5</v>
      </c>
      <c r="E362" s="597">
        <v>5200</v>
      </c>
      <c r="F362" s="597">
        <v>5200</v>
      </c>
      <c r="G362" s="597">
        <v>11355</v>
      </c>
      <c r="H362" s="592" t="s">
        <v>1397</v>
      </c>
    </row>
    <row r="363" spans="1:8" ht="24.75" customHeight="1" x14ac:dyDescent="0.55000000000000004">
      <c r="A363" s="592">
        <v>362</v>
      </c>
      <c r="B363" s="596" t="s">
        <v>3712</v>
      </c>
      <c r="C363" s="592" t="s">
        <v>3713</v>
      </c>
      <c r="D363" s="592">
        <v>2</v>
      </c>
      <c r="E363" s="597">
        <v>3000</v>
      </c>
      <c r="F363" s="597">
        <v>3000</v>
      </c>
      <c r="G363" s="597">
        <v>5000</v>
      </c>
      <c r="H363" s="592" t="s">
        <v>1397</v>
      </c>
    </row>
    <row r="364" spans="1:8" ht="24.75" customHeight="1" x14ac:dyDescent="0.55000000000000004">
      <c r="A364" s="592">
        <v>363</v>
      </c>
      <c r="B364" s="596" t="s">
        <v>3714</v>
      </c>
      <c r="C364" s="592" t="s">
        <v>3715</v>
      </c>
      <c r="D364" s="592">
        <v>2</v>
      </c>
      <c r="E364" s="597">
        <v>2000</v>
      </c>
      <c r="F364" s="597">
        <v>2000</v>
      </c>
      <c r="G364" s="597">
        <v>1680</v>
      </c>
      <c r="H364" s="592" t="s">
        <v>1397</v>
      </c>
    </row>
    <row r="365" spans="1:8" ht="24.75" customHeight="1" x14ac:dyDescent="0.55000000000000004">
      <c r="A365" s="592">
        <v>364</v>
      </c>
      <c r="B365" s="596" t="s">
        <v>2860</v>
      </c>
      <c r="C365" s="592" t="s">
        <v>2861</v>
      </c>
      <c r="D365" s="592">
        <v>4</v>
      </c>
      <c r="E365" s="597">
        <v>2400</v>
      </c>
      <c r="F365" s="597">
        <v>2400</v>
      </c>
      <c r="G365" s="597">
        <v>4000</v>
      </c>
      <c r="H365" s="592" t="s">
        <v>1397</v>
      </c>
    </row>
    <row r="366" spans="1:8" ht="24.75" customHeight="1" x14ac:dyDescent="0.55000000000000004">
      <c r="A366" s="592">
        <v>365</v>
      </c>
      <c r="B366" s="596" t="s">
        <v>2862</v>
      </c>
      <c r="C366" s="592" t="s">
        <v>2863</v>
      </c>
      <c r="D366" s="592">
        <v>8</v>
      </c>
      <c r="E366" s="597">
        <v>150</v>
      </c>
      <c r="F366" s="597">
        <v>150</v>
      </c>
      <c r="G366" s="597">
        <v>320</v>
      </c>
      <c r="H366" s="592" t="s">
        <v>1397</v>
      </c>
    </row>
    <row r="367" spans="1:8" ht="24.75" customHeight="1" x14ac:dyDescent="0.55000000000000004">
      <c r="A367" s="592">
        <v>366</v>
      </c>
      <c r="B367" s="596" t="s">
        <v>2864</v>
      </c>
      <c r="C367" s="592" t="s">
        <v>2865</v>
      </c>
      <c r="D367" s="592">
        <v>10</v>
      </c>
      <c r="E367" s="597">
        <v>150</v>
      </c>
      <c r="F367" s="597">
        <v>150</v>
      </c>
      <c r="G367" s="597">
        <v>550</v>
      </c>
      <c r="H367" s="592" t="s">
        <v>1397</v>
      </c>
    </row>
    <row r="368" spans="1:8" ht="24.75" customHeight="1" x14ac:dyDescent="0.55000000000000004">
      <c r="A368" s="592">
        <v>367</v>
      </c>
      <c r="B368" s="596" t="s">
        <v>3716</v>
      </c>
      <c r="C368" s="592" t="s">
        <v>7493</v>
      </c>
      <c r="D368" s="592">
        <v>2</v>
      </c>
      <c r="E368" s="597">
        <v>9600</v>
      </c>
      <c r="F368" s="597">
        <v>9600</v>
      </c>
      <c r="G368" s="597">
        <v>8100</v>
      </c>
      <c r="H368" s="592" t="s">
        <v>1397</v>
      </c>
    </row>
    <row r="369" spans="1:8" ht="24.75" customHeight="1" x14ac:dyDescent="0.55000000000000004">
      <c r="A369" s="592">
        <v>368</v>
      </c>
      <c r="B369" s="596" t="s">
        <v>3717</v>
      </c>
      <c r="C369" s="592" t="s">
        <v>3718</v>
      </c>
      <c r="D369" s="592">
        <v>2</v>
      </c>
      <c r="E369" s="597">
        <v>18000</v>
      </c>
      <c r="F369" s="597">
        <v>18000</v>
      </c>
      <c r="G369" s="597">
        <v>21000</v>
      </c>
      <c r="H369" s="592" t="s">
        <v>1397</v>
      </c>
    </row>
    <row r="370" spans="1:8" ht="24.75" customHeight="1" x14ac:dyDescent="0.55000000000000004">
      <c r="A370" s="592">
        <v>369</v>
      </c>
      <c r="B370" s="596" t="s">
        <v>2866</v>
      </c>
      <c r="C370" s="592" t="s">
        <v>2867</v>
      </c>
      <c r="D370" s="592">
        <v>1</v>
      </c>
      <c r="E370" s="597">
        <v>13800</v>
      </c>
      <c r="F370" s="597">
        <v>13800</v>
      </c>
      <c r="G370" s="597">
        <v>6750</v>
      </c>
      <c r="H370" s="592" t="s">
        <v>1397</v>
      </c>
    </row>
    <row r="371" spans="1:8" ht="24.75" customHeight="1" x14ac:dyDescent="0.55000000000000004">
      <c r="A371" s="592">
        <v>370</v>
      </c>
      <c r="B371" s="596" t="s">
        <v>3719</v>
      </c>
      <c r="C371" s="592" t="s">
        <v>3720</v>
      </c>
      <c r="D371" s="592">
        <v>6</v>
      </c>
      <c r="E371" s="597">
        <v>13000</v>
      </c>
      <c r="F371" s="597">
        <v>13000</v>
      </c>
      <c r="G371" s="597">
        <v>48000</v>
      </c>
      <c r="H371" s="592" t="s">
        <v>1397</v>
      </c>
    </row>
    <row r="372" spans="1:8" ht="24.75" customHeight="1" x14ac:dyDescent="0.55000000000000004">
      <c r="A372" s="592">
        <v>371</v>
      </c>
      <c r="B372" s="596" t="s">
        <v>3721</v>
      </c>
      <c r="C372" s="592" t="s">
        <v>3722</v>
      </c>
      <c r="D372" s="592">
        <v>4</v>
      </c>
      <c r="E372" s="597">
        <v>13000</v>
      </c>
      <c r="F372" s="597">
        <v>13000</v>
      </c>
      <c r="G372" s="597">
        <v>32000</v>
      </c>
      <c r="H372" s="592" t="s">
        <v>1397</v>
      </c>
    </row>
    <row r="373" spans="1:8" ht="24.75" customHeight="1" x14ac:dyDescent="0.55000000000000004">
      <c r="A373" s="592">
        <v>372</v>
      </c>
      <c r="B373" s="596" t="s">
        <v>3723</v>
      </c>
      <c r="C373" s="592" t="s">
        <v>3724</v>
      </c>
      <c r="D373" s="592">
        <v>1</v>
      </c>
      <c r="E373" s="597">
        <v>12000</v>
      </c>
      <c r="F373" s="597">
        <v>12000</v>
      </c>
      <c r="G373" s="597">
        <v>5300</v>
      </c>
      <c r="H373" s="592" t="s">
        <v>1397</v>
      </c>
    </row>
    <row r="374" spans="1:8" ht="24.75" customHeight="1" x14ac:dyDescent="0.55000000000000004">
      <c r="A374" s="592">
        <v>373</v>
      </c>
      <c r="B374" s="596" t="s">
        <v>3725</v>
      </c>
      <c r="C374" s="592" t="s">
        <v>3726</v>
      </c>
      <c r="D374" s="592">
        <v>3</v>
      </c>
      <c r="E374" s="597">
        <v>900</v>
      </c>
      <c r="F374" s="597">
        <v>900</v>
      </c>
      <c r="G374" s="597">
        <v>1140</v>
      </c>
      <c r="H374" s="592" t="s">
        <v>1397</v>
      </c>
    </row>
    <row r="375" spans="1:8" ht="24.75" customHeight="1" x14ac:dyDescent="0.55000000000000004">
      <c r="A375" s="592">
        <v>374</v>
      </c>
      <c r="B375" s="596" t="s">
        <v>3727</v>
      </c>
      <c r="C375" s="592" t="s">
        <v>3728</v>
      </c>
      <c r="D375" s="592">
        <v>2</v>
      </c>
      <c r="E375" s="597">
        <v>800</v>
      </c>
      <c r="F375" s="597">
        <v>800</v>
      </c>
      <c r="G375" s="597">
        <v>700</v>
      </c>
      <c r="H375" s="592" t="s">
        <v>1397</v>
      </c>
    </row>
    <row r="376" spans="1:8" ht="24.75" customHeight="1" x14ac:dyDescent="0.55000000000000004">
      <c r="A376" s="592">
        <v>375</v>
      </c>
      <c r="B376" s="596" t="s">
        <v>3729</v>
      </c>
      <c r="C376" s="592" t="s">
        <v>3730</v>
      </c>
      <c r="D376" s="592">
        <v>5</v>
      </c>
      <c r="E376" s="597">
        <v>7200</v>
      </c>
      <c r="F376" s="597">
        <v>7200</v>
      </c>
      <c r="G376" s="597">
        <v>21000</v>
      </c>
      <c r="H376" s="592" t="s">
        <v>1397</v>
      </c>
    </row>
    <row r="377" spans="1:8" ht="24.75" customHeight="1" x14ac:dyDescent="0.55000000000000004">
      <c r="A377" s="592">
        <v>376</v>
      </c>
      <c r="B377" s="596" t="s">
        <v>3731</v>
      </c>
      <c r="C377" s="592" t="s">
        <v>3732</v>
      </c>
      <c r="D377" s="592">
        <v>8</v>
      </c>
      <c r="E377" s="597">
        <v>150</v>
      </c>
      <c r="F377" s="597">
        <v>150</v>
      </c>
      <c r="G377" s="597">
        <v>560</v>
      </c>
      <c r="H377" s="592" t="s">
        <v>1397</v>
      </c>
    </row>
    <row r="378" spans="1:8" ht="24.75" customHeight="1" x14ac:dyDescent="0.55000000000000004">
      <c r="A378" s="592">
        <v>377</v>
      </c>
      <c r="B378" s="596" t="s">
        <v>3733</v>
      </c>
      <c r="C378" s="592" t="s">
        <v>3734</v>
      </c>
      <c r="D378" s="592">
        <v>2</v>
      </c>
      <c r="E378" s="597">
        <v>9600</v>
      </c>
      <c r="F378" s="597">
        <v>9600</v>
      </c>
      <c r="G378" s="597">
        <v>8600</v>
      </c>
      <c r="H378" s="592" t="s">
        <v>1397</v>
      </c>
    </row>
    <row r="379" spans="1:8" ht="24.75" customHeight="1" x14ac:dyDescent="0.55000000000000004">
      <c r="A379" s="592">
        <v>378</v>
      </c>
      <c r="B379" s="596" t="s">
        <v>2868</v>
      </c>
      <c r="C379" s="592" t="s">
        <v>2869</v>
      </c>
      <c r="D379" s="592">
        <v>1</v>
      </c>
      <c r="E379" s="597">
        <v>11400</v>
      </c>
      <c r="F379" s="597">
        <v>11400</v>
      </c>
      <c r="G379" s="597">
        <v>5200</v>
      </c>
      <c r="H379" s="592" t="s">
        <v>1397</v>
      </c>
    </row>
    <row r="380" spans="1:8" ht="24.75" customHeight="1" x14ac:dyDescent="0.55000000000000004">
      <c r="A380" s="592">
        <v>379</v>
      </c>
      <c r="B380" s="596" t="s">
        <v>3735</v>
      </c>
      <c r="C380" s="592" t="s">
        <v>3736</v>
      </c>
      <c r="D380" s="592">
        <v>2</v>
      </c>
      <c r="E380" s="597">
        <v>12600</v>
      </c>
      <c r="F380" s="597">
        <v>12600</v>
      </c>
      <c r="G380" s="597">
        <v>12400</v>
      </c>
      <c r="H380" s="592" t="s">
        <v>1397</v>
      </c>
    </row>
    <row r="381" spans="1:8" ht="24.75" customHeight="1" x14ac:dyDescent="0.55000000000000004">
      <c r="A381" s="592">
        <v>380</v>
      </c>
      <c r="B381" s="596" t="s">
        <v>3737</v>
      </c>
      <c r="C381" s="592" t="s">
        <v>3738</v>
      </c>
      <c r="D381" s="592">
        <v>6</v>
      </c>
      <c r="E381" s="597">
        <v>14000</v>
      </c>
      <c r="F381" s="597">
        <v>14000</v>
      </c>
      <c r="G381" s="597">
        <v>54000</v>
      </c>
      <c r="H381" s="592" t="s">
        <v>1397</v>
      </c>
    </row>
    <row r="382" spans="1:8" ht="24.75" customHeight="1" x14ac:dyDescent="0.55000000000000004">
      <c r="A382" s="592">
        <v>381</v>
      </c>
      <c r="B382" s="596" t="s">
        <v>3739</v>
      </c>
      <c r="C382" s="592" t="s">
        <v>3740</v>
      </c>
      <c r="D382" s="592">
        <v>5</v>
      </c>
      <c r="E382" s="597">
        <v>4800</v>
      </c>
      <c r="F382" s="597">
        <v>4800</v>
      </c>
      <c r="G382" s="597">
        <v>12380</v>
      </c>
      <c r="H382" s="592" t="s">
        <v>1397</v>
      </c>
    </row>
    <row r="383" spans="1:8" ht="24.75" customHeight="1" x14ac:dyDescent="0.55000000000000004">
      <c r="A383" s="592">
        <v>382</v>
      </c>
      <c r="B383" s="596" t="s">
        <v>3741</v>
      </c>
      <c r="C383" s="592" t="s">
        <v>3742</v>
      </c>
      <c r="D383" s="592">
        <v>1</v>
      </c>
      <c r="E383" s="597">
        <v>27000</v>
      </c>
      <c r="F383" s="597">
        <v>27000</v>
      </c>
      <c r="G383" s="597">
        <v>14380</v>
      </c>
      <c r="H383" s="592" t="s">
        <v>1397</v>
      </c>
    </row>
    <row r="384" spans="1:8" ht="24.75" customHeight="1" x14ac:dyDescent="0.55000000000000004">
      <c r="A384" s="592">
        <v>383</v>
      </c>
      <c r="B384" s="596" t="s">
        <v>3101</v>
      </c>
      <c r="C384" s="592" t="s">
        <v>3102</v>
      </c>
      <c r="D384" s="592">
        <v>5</v>
      </c>
      <c r="E384" s="597">
        <v>700</v>
      </c>
      <c r="F384" s="597">
        <v>700</v>
      </c>
      <c r="G384" s="597">
        <v>1500</v>
      </c>
      <c r="H384" s="592" t="s">
        <v>933</v>
      </c>
    </row>
    <row r="385" spans="1:8" ht="24.75" customHeight="1" x14ac:dyDescent="0.55000000000000004">
      <c r="A385" s="592">
        <v>384</v>
      </c>
      <c r="B385" s="596" t="s">
        <v>3743</v>
      </c>
      <c r="C385" s="592" t="s">
        <v>3744</v>
      </c>
      <c r="D385" s="592">
        <v>8</v>
      </c>
      <c r="E385" s="597">
        <v>700</v>
      </c>
      <c r="F385" s="597">
        <v>700</v>
      </c>
      <c r="G385" s="597">
        <v>2800</v>
      </c>
      <c r="H385" s="592" t="s">
        <v>1397</v>
      </c>
    </row>
    <row r="386" spans="1:8" ht="24.75" customHeight="1" x14ac:dyDescent="0.55000000000000004">
      <c r="A386" s="592">
        <v>385</v>
      </c>
      <c r="B386" s="596" t="s">
        <v>3214</v>
      </c>
      <c r="C386" s="592" t="s">
        <v>3215</v>
      </c>
      <c r="D386" s="592">
        <v>3</v>
      </c>
      <c r="E386" s="597">
        <v>19800</v>
      </c>
      <c r="F386" s="597">
        <v>19800</v>
      </c>
      <c r="G386" s="597">
        <v>29550</v>
      </c>
      <c r="H386" s="592" t="s">
        <v>1397</v>
      </c>
    </row>
    <row r="387" spans="1:8" ht="24.75" customHeight="1" x14ac:dyDescent="0.55000000000000004">
      <c r="A387" s="592">
        <v>386</v>
      </c>
      <c r="B387" s="596" t="s">
        <v>3745</v>
      </c>
      <c r="C387" s="592" t="s">
        <v>3746</v>
      </c>
      <c r="D387" s="592">
        <v>4</v>
      </c>
      <c r="E387" s="597">
        <v>19200</v>
      </c>
      <c r="F387" s="597">
        <v>19200</v>
      </c>
      <c r="G387" s="597">
        <v>36000</v>
      </c>
      <c r="H387" s="592" t="s">
        <v>1397</v>
      </c>
    </row>
    <row r="388" spans="1:8" ht="24.75" customHeight="1" x14ac:dyDescent="0.55000000000000004">
      <c r="A388" s="592">
        <v>387</v>
      </c>
      <c r="B388" s="596" t="s">
        <v>3747</v>
      </c>
      <c r="C388" s="592" t="s">
        <v>3748</v>
      </c>
      <c r="D388" s="592">
        <v>4</v>
      </c>
      <c r="E388" s="597">
        <v>7200</v>
      </c>
      <c r="F388" s="597">
        <v>7200</v>
      </c>
      <c r="G388" s="597">
        <v>12000</v>
      </c>
      <c r="H388" s="592" t="s">
        <v>1397</v>
      </c>
    </row>
    <row r="389" spans="1:8" ht="24.75" customHeight="1" x14ac:dyDescent="0.55000000000000004">
      <c r="A389" s="592">
        <v>388</v>
      </c>
      <c r="B389" s="596" t="s">
        <v>3749</v>
      </c>
      <c r="C389" s="592" t="s">
        <v>3750</v>
      </c>
      <c r="D389" s="592">
        <v>3</v>
      </c>
      <c r="E389" s="597">
        <v>11400</v>
      </c>
      <c r="F389" s="597">
        <v>11400</v>
      </c>
      <c r="G389" s="597">
        <v>18000</v>
      </c>
      <c r="H389" s="592" t="s">
        <v>1397</v>
      </c>
    </row>
    <row r="390" spans="1:8" ht="24.75" customHeight="1" x14ac:dyDescent="0.55000000000000004">
      <c r="A390" s="592">
        <v>389</v>
      </c>
      <c r="B390" s="596" t="s">
        <v>3751</v>
      </c>
      <c r="C390" s="592" t="s">
        <v>3752</v>
      </c>
      <c r="D390" s="592">
        <v>2</v>
      </c>
      <c r="E390" s="597">
        <v>8700</v>
      </c>
      <c r="F390" s="597">
        <v>8700</v>
      </c>
      <c r="G390" s="597">
        <v>14040</v>
      </c>
      <c r="H390" s="592" t="s">
        <v>1397</v>
      </c>
    </row>
    <row r="391" spans="1:8" ht="24.75" customHeight="1" x14ac:dyDescent="0.55000000000000004">
      <c r="A391" s="592">
        <v>390</v>
      </c>
      <c r="B391" s="596" t="s">
        <v>3753</v>
      </c>
      <c r="C391" s="592" t="s">
        <v>3754</v>
      </c>
      <c r="D391" s="592">
        <v>10</v>
      </c>
      <c r="E391" s="597">
        <v>1500</v>
      </c>
      <c r="F391" s="597">
        <v>1500</v>
      </c>
      <c r="G391" s="597">
        <v>10000</v>
      </c>
      <c r="H391" s="592" t="s">
        <v>1397</v>
      </c>
    </row>
    <row r="392" spans="1:8" ht="24.75" customHeight="1" x14ac:dyDescent="0.55000000000000004">
      <c r="A392" s="592">
        <v>391</v>
      </c>
      <c r="B392" s="596" t="s">
        <v>3216</v>
      </c>
      <c r="C392" s="592" t="s">
        <v>3217</v>
      </c>
      <c r="D392" s="592">
        <v>10</v>
      </c>
      <c r="E392" s="597">
        <v>400</v>
      </c>
      <c r="F392" s="597">
        <v>400</v>
      </c>
      <c r="G392" s="597">
        <v>2000</v>
      </c>
      <c r="H392" s="592" t="s">
        <v>1397</v>
      </c>
    </row>
    <row r="393" spans="1:8" ht="24.75" customHeight="1" x14ac:dyDescent="0.55000000000000004">
      <c r="A393" s="592">
        <v>392</v>
      </c>
      <c r="B393" s="596" t="s">
        <v>3218</v>
      </c>
      <c r="C393" s="592" t="s">
        <v>3219</v>
      </c>
      <c r="D393" s="592">
        <v>11</v>
      </c>
      <c r="E393" s="597">
        <v>1000</v>
      </c>
      <c r="F393" s="597">
        <v>1000</v>
      </c>
      <c r="G393" s="597">
        <v>5500</v>
      </c>
      <c r="H393" s="592" t="s">
        <v>1397</v>
      </c>
    </row>
    <row r="394" spans="1:8" ht="24.75" customHeight="1" x14ac:dyDescent="0.55000000000000004">
      <c r="A394" s="592">
        <v>393</v>
      </c>
      <c r="B394" s="596" t="s">
        <v>3755</v>
      </c>
      <c r="C394" s="592" t="s">
        <v>8517</v>
      </c>
      <c r="D394" s="592">
        <v>6</v>
      </c>
      <c r="E394" s="597">
        <v>6000</v>
      </c>
      <c r="F394" s="597">
        <v>6000</v>
      </c>
      <c r="G394" s="597">
        <v>19800</v>
      </c>
      <c r="H394" s="592" t="s">
        <v>1397</v>
      </c>
    </row>
    <row r="395" spans="1:8" ht="24.75" customHeight="1" x14ac:dyDescent="0.55000000000000004">
      <c r="A395" s="592">
        <v>394</v>
      </c>
      <c r="B395" s="596" t="s">
        <v>3756</v>
      </c>
      <c r="C395" s="592" t="s">
        <v>3757</v>
      </c>
      <c r="D395" s="592">
        <v>1</v>
      </c>
      <c r="E395" s="597">
        <v>2500</v>
      </c>
      <c r="F395" s="597">
        <v>2500</v>
      </c>
      <c r="G395" s="597">
        <v>1600</v>
      </c>
      <c r="H395" s="592" t="s">
        <v>1397</v>
      </c>
    </row>
    <row r="396" spans="1:8" ht="24.75" customHeight="1" x14ac:dyDescent="0.55000000000000004">
      <c r="A396" s="592">
        <v>395</v>
      </c>
      <c r="B396" s="596" t="s">
        <v>3312</v>
      </c>
      <c r="C396" s="592" t="s">
        <v>3313</v>
      </c>
      <c r="D396" s="592">
        <v>8</v>
      </c>
      <c r="E396" s="597">
        <v>600</v>
      </c>
      <c r="F396" s="597">
        <v>600</v>
      </c>
      <c r="G396" s="597">
        <v>2800</v>
      </c>
      <c r="H396" s="592" t="s">
        <v>1397</v>
      </c>
    </row>
    <row r="397" spans="1:8" ht="24.75" customHeight="1" x14ac:dyDescent="0.55000000000000004">
      <c r="A397" s="592">
        <v>396</v>
      </c>
      <c r="B397" s="596" t="s">
        <v>3758</v>
      </c>
      <c r="C397" s="592" t="s">
        <v>3759</v>
      </c>
      <c r="D397" s="592">
        <v>4</v>
      </c>
      <c r="E397" s="597">
        <v>10200</v>
      </c>
      <c r="F397" s="597">
        <v>10200</v>
      </c>
      <c r="G397" s="597">
        <v>20800</v>
      </c>
      <c r="H397" s="592" t="s">
        <v>933</v>
      </c>
    </row>
    <row r="398" spans="1:8" ht="24.75" customHeight="1" x14ac:dyDescent="0.55000000000000004">
      <c r="A398" s="592">
        <v>397</v>
      </c>
      <c r="B398" s="596" t="s">
        <v>3760</v>
      </c>
      <c r="C398" s="592" t="s">
        <v>3761</v>
      </c>
      <c r="D398" s="592">
        <v>20</v>
      </c>
      <c r="E398" s="597">
        <v>1000</v>
      </c>
      <c r="F398" s="597">
        <v>1000</v>
      </c>
      <c r="G398" s="597">
        <v>10000</v>
      </c>
      <c r="H398" s="592" t="s">
        <v>1397</v>
      </c>
    </row>
    <row r="399" spans="1:8" ht="24.75" customHeight="1" x14ac:dyDescent="0.55000000000000004">
      <c r="A399" s="592">
        <v>398</v>
      </c>
      <c r="B399" s="596" t="s">
        <v>3762</v>
      </c>
      <c r="C399" s="592" t="s">
        <v>3763</v>
      </c>
      <c r="D399" s="592">
        <v>10</v>
      </c>
      <c r="E399" s="597">
        <v>1800</v>
      </c>
      <c r="F399" s="597">
        <v>1800</v>
      </c>
      <c r="G399" s="597">
        <v>7000</v>
      </c>
      <c r="H399" s="592" t="s">
        <v>1397</v>
      </c>
    </row>
    <row r="400" spans="1:8" ht="24.75" customHeight="1" x14ac:dyDescent="0.55000000000000004">
      <c r="A400" s="592">
        <v>399</v>
      </c>
      <c r="B400" s="596" t="s">
        <v>3220</v>
      </c>
      <c r="C400" s="592" t="s">
        <v>7494</v>
      </c>
      <c r="D400" s="592">
        <v>14</v>
      </c>
      <c r="E400" s="597">
        <v>1200</v>
      </c>
      <c r="F400" s="597">
        <v>1200</v>
      </c>
      <c r="G400" s="597">
        <v>9310</v>
      </c>
      <c r="H400" s="592" t="s">
        <v>1397</v>
      </c>
    </row>
    <row r="401" spans="1:8" ht="24.75" customHeight="1" x14ac:dyDescent="0.55000000000000004">
      <c r="A401" s="592">
        <v>400</v>
      </c>
      <c r="B401" s="596" t="s">
        <v>3764</v>
      </c>
      <c r="C401" s="592" t="s">
        <v>3765</v>
      </c>
      <c r="D401" s="592">
        <v>3</v>
      </c>
      <c r="E401" s="597">
        <v>1200</v>
      </c>
      <c r="F401" s="597">
        <v>1200</v>
      </c>
      <c r="G401" s="597">
        <v>1500</v>
      </c>
      <c r="H401" s="592" t="s">
        <v>1397</v>
      </c>
    </row>
    <row r="402" spans="1:8" ht="24.75" customHeight="1" x14ac:dyDescent="0.55000000000000004">
      <c r="A402" s="592">
        <v>401</v>
      </c>
      <c r="B402" s="596" t="s">
        <v>3766</v>
      </c>
      <c r="C402" s="592" t="s">
        <v>3767</v>
      </c>
      <c r="D402" s="592">
        <v>4</v>
      </c>
      <c r="E402" s="597">
        <v>3600</v>
      </c>
      <c r="F402" s="597">
        <v>3600</v>
      </c>
      <c r="G402" s="597">
        <v>6000</v>
      </c>
      <c r="H402" s="592" t="s">
        <v>1397</v>
      </c>
    </row>
    <row r="403" spans="1:8" ht="24.75" customHeight="1" x14ac:dyDescent="0.55000000000000004">
      <c r="A403" s="592">
        <v>402</v>
      </c>
      <c r="B403" s="596" t="s">
        <v>3768</v>
      </c>
      <c r="C403" s="592" t="s">
        <v>3769</v>
      </c>
      <c r="D403" s="592">
        <v>4</v>
      </c>
      <c r="E403" s="597">
        <v>7200</v>
      </c>
      <c r="F403" s="597">
        <v>7200</v>
      </c>
      <c r="G403" s="597">
        <v>13200</v>
      </c>
      <c r="H403" s="592" t="s">
        <v>1397</v>
      </c>
    </row>
    <row r="404" spans="1:8" ht="24.75" customHeight="1" x14ac:dyDescent="0.55000000000000004">
      <c r="A404" s="592">
        <v>403</v>
      </c>
      <c r="B404" s="596" t="s">
        <v>3770</v>
      </c>
      <c r="C404" s="592" t="s">
        <v>3771</v>
      </c>
      <c r="D404" s="592">
        <v>10</v>
      </c>
      <c r="E404" s="597">
        <v>800</v>
      </c>
      <c r="F404" s="597">
        <v>800</v>
      </c>
      <c r="G404" s="597">
        <v>4000</v>
      </c>
      <c r="H404" s="592" t="s">
        <v>1397</v>
      </c>
    </row>
    <row r="405" spans="1:8" ht="24.75" customHeight="1" x14ac:dyDescent="0.55000000000000004">
      <c r="A405" s="592">
        <v>404</v>
      </c>
      <c r="B405" s="596" t="s">
        <v>3772</v>
      </c>
      <c r="C405" s="592" t="s">
        <v>3773</v>
      </c>
      <c r="D405" s="592">
        <v>1</v>
      </c>
      <c r="E405" s="597">
        <v>16200</v>
      </c>
      <c r="F405" s="597">
        <v>16200</v>
      </c>
      <c r="G405" s="597">
        <v>7500</v>
      </c>
      <c r="H405" s="592" t="s">
        <v>1397</v>
      </c>
    </row>
    <row r="406" spans="1:8" ht="24.75" customHeight="1" x14ac:dyDescent="0.55000000000000004">
      <c r="A406" s="592">
        <v>405</v>
      </c>
      <c r="B406" s="596" t="s">
        <v>3316</v>
      </c>
      <c r="C406" s="592" t="s">
        <v>3317</v>
      </c>
      <c r="D406" s="592">
        <v>1</v>
      </c>
      <c r="E406" s="597">
        <v>16200</v>
      </c>
      <c r="F406" s="597">
        <v>16200</v>
      </c>
      <c r="G406" s="597">
        <v>8200</v>
      </c>
      <c r="H406" s="592" t="s">
        <v>1397</v>
      </c>
    </row>
    <row r="407" spans="1:8" ht="24.75" customHeight="1" x14ac:dyDescent="0.55000000000000004">
      <c r="A407" s="592">
        <v>406</v>
      </c>
      <c r="B407" s="596" t="s">
        <v>3774</v>
      </c>
      <c r="C407" s="592" t="s">
        <v>3775</v>
      </c>
      <c r="D407" s="592">
        <v>1</v>
      </c>
      <c r="E407" s="597">
        <v>29200</v>
      </c>
      <c r="F407" s="597">
        <v>29200</v>
      </c>
      <c r="G407" s="597">
        <v>11700</v>
      </c>
      <c r="H407" s="592" t="s">
        <v>1397</v>
      </c>
    </row>
    <row r="408" spans="1:8" ht="24.75" customHeight="1" x14ac:dyDescent="0.55000000000000004">
      <c r="A408" s="592">
        <v>407</v>
      </c>
      <c r="B408" s="596" t="s">
        <v>3221</v>
      </c>
      <c r="C408" s="592" t="s">
        <v>3222</v>
      </c>
      <c r="D408" s="592">
        <v>10</v>
      </c>
      <c r="E408" s="597">
        <v>800</v>
      </c>
      <c r="F408" s="597">
        <v>800</v>
      </c>
      <c r="G408" s="597">
        <v>4200</v>
      </c>
      <c r="H408" s="592" t="s">
        <v>1397</v>
      </c>
    </row>
    <row r="409" spans="1:8" ht="24.75" customHeight="1" x14ac:dyDescent="0.55000000000000004">
      <c r="A409" s="592">
        <v>408</v>
      </c>
      <c r="B409" s="596" t="s">
        <v>3776</v>
      </c>
      <c r="C409" s="592" t="s">
        <v>3777</v>
      </c>
      <c r="D409" s="592">
        <v>3</v>
      </c>
      <c r="E409" s="597">
        <v>5000</v>
      </c>
      <c r="F409" s="597">
        <v>5000</v>
      </c>
      <c r="G409" s="597">
        <v>7200</v>
      </c>
      <c r="H409" s="592" t="s">
        <v>1397</v>
      </c>
    </row>
    <row r="410" spans="1:8" ht="24.75" customHeight="1" x14ac:dyDescent="0.55000000000000004">
      <c r="A410" s="592">
        <v>409</v>
      </c>
      <c r="B410" s="596" t="s">
        <v>3778</v>
      </c>
      <c r="C410" s="592" t="s">
        <v>3779</v>
      </c>
      <c r="D410" s="592">
        <v>3</v>
      </c>
      <c r="E410" s="597">
        <v>6500</v>
      </c>
      <c r="F410" s="597">
        <v>6500</v>
      </c>
      <c r="G410" s="597">
        <v>8400</v>
      </c>
      <c r="H410" s="592" t="s">
        <v>1397</v>
      </c>
    </row>
    <row r="411" spans="1:8" ht="24.75" customHeight="1" x14ac:dyDescent="0.55000000000000004">
      <c r="A411" s="592">
        <v>410</v>
      </c>
      <c r="B411" s="596" t="s">
        <v>3223</v>
      </c>
      <c r="C411" s="592" t="s">
        <v>3224</v>
      </c>
      <c r="D411" s="592">
        <v>2</v>
      </c>
      <c r="E411" s="597">
        <v>3000</v>
      </c>
      <c r="F411" s="597">
        <v>3000</v>
      </c>
      <c r="G411" s="597">
        <v>2700</v>
      </c>
      <c r="H411" s="592" t="s">
        <v>1397</v>
      </c>
    </row>
    <row r="412" spans="1:8" ht="24.75" customHeight="1" x14ac:dyDescent="0.55000000000000004">
      <c r="A412" s="592">
        <v>411</v>
      </c>
      <c r="B412" s="596" t="s">
        <v>3780</v>
      </c>
      <c r="C412" s="592" t="s">
        <v>3781</v>
      </c>
      <c r="D412" s="592">
        <v>1</v>
      </c>
      <c r="E412" s="597">
        <v>50000</v>
      </c>
      <c r="F412" s="597">
        <v>50000</v>
      </c>
      <c r="G412" s="597">
        <v>35000</v>
      </c>
      <c r="H412" s="592" t="s">
        <v>1397</v>
      </c>
    </row>
    <row r="413" spans="1:8" ht="24.75" customHeight="1" x14ac:dyDescent="0.55000000000000004">
      <c r="A413" s="592">
        <v>412</v>
      </c>
      <c r="B413" s="596" t="s">
        <v>3782</v>
      </c>
      <c r="C413" s="592" t="s">
        <v>3783</v>
      </c>
      <c r="D413" s="592">
        <v>3</v>
      </c>
      <c r="E413" s="597">
        <v>20000</v>
      </c>
      <c r="F413" s="597">
        <v>20000</v>
      </c>
      <c r="G413" s="597">
        <v>49500</v>
      </c>
      <c r="H413" s="592" t="s">
        <v>1397</v>
      </c>
    </row>
    <row r="414" spans="1:8" ht="24.75" customHeight="1" x14ac:dyDescent="0.55000000000000004">
      <c r="A414" s="592">
        <v>413</v>
      </c>
      <c r="B414" s="596" t="s">
        <v>3784</v>
      </c>
      <c r="C414" s="592" t="s">
        <v>3785</v>
      </c>
      <c r="D414" s="592">
        <v>18</v>
      </c>
      <c r="E414" s="597">
        <v>3800</v>
      </c>
      <c r="F414" s="597">
        <v>3800</v>
      </c>
      <c r="G414" s="597">
        <v>27000</v>
      </c>
      <c r="H414" s="592" t="s">
        <v>1397</v>
      </c>
    </row>
    <row r="415" spans="1:8" ht="24.75" customHeight="1" x14ac:dyDescent="0.55000000000000004">
      <c r="A415" s="592">
        <v>414</v>
      </c>
      <c r="B415" s="596" t="s">
        <v>3786</v>
      </c>
      <c r="C415" s="592" t="s">
        <v>3787</v>
      </c>
      <c r="D415" s="592">
        <v>7</v>
      </c>
      <c r="E415" s="597">
        <v>3000</v>
      </c>
      <c r="F415" s="597">
        <v>3000</v>
      </c>
      <c r="G415" s="597">
        <v>7000</v>
      </c>
      <c r="H415" s="592" t="s">
        <v>1397</v>
      </c>
    </row>
    <row r="416" spans="1:8" ht="24.75" customHeight="1" x14ac:dyDescent="0.55000000000000004">
      <c r="A416" s="592">
        <v>415</v>
      </c>
      <c r="B416" s="596" t="s">
        <v>3788</v>
      </c>
      <c r="C416" s="592" t="s">
        <v>3789</v>
      </c>
      <c r="D416" s="592">
        <v>20</v>
      </c>
      <c r="E416" s="597">
        <v>1800</v>
      </c>
      <c r="F416" s="597">
        <v>1800</v>
      </c>
      <c r="G416" s="597">
        <v>16000</v>
      </c>
      <c r="H416" s="592" t="s">
        <v>1397</v>
      </c>
    </row>
    <row r="417" spans="1:8" ht="24.75" customHeight="1" x14ac:dyDescent="0.55000000000000004">
      <c r="A417" s="592">
        <v>416</v>
      </c>
      <c r="B417" s="596" t="s">
        <v>3790</v>
      </c>
      <c r="C417" s="592" t="s">
        <v>3791</v>
      </c>
      <c r="D417" s="592">
        <v>2</v>
      </c>
      <c r="E417" s="597">
        <v>44000</v>
      </c>
      <c r="F417" s="597">
        <v>44000</v>
      </c>
      <c r="G417" s="597">
        <v>48000</v>
      </c>
      <c r="H417" s="592" t="s">
        <v>1397</v>
      </c>
    </row>
    <row r="418" spans="1:8" ht="24.75" customHeight="1" x14ac:dyDescent="0.55000000000000004">
      <c r="A418" s="592">
        <v>417</v>
      </c>
      <c r="B418" s="596" t="s">
        <v>3318</v>
      </c>
      <c r="C418" s="592" t="s">
        <v>3319</v>
      </c>
      <c r="D418" s="592">
        <v>4</v>
      </c>
      <c r="E418" s="597">
        <v>7200</v>
      </c>
      <c r="F418" s="597">
        <v>7200</v>
      </c>
      <c r="G418" s="597">
        <v>14140</v>
      </c>
      <c r="H418" s="592" t="s">
        <v>1397</v>
      </c>
    </row>
    <row r="419" spans="1:8" ht="24.75" customHeight="1" x14ac:dyDescent="0.55000000000000004">
      <c r="A419" s="592">
        <v>418</v>
      </c>
      <c r="B419" s="596" t="s">
        <v>3406</v>
      </c>
      <c r="C419" s="592" t="s">
        <v>3407</v>
      </c>
      <c r="D419" s="592">
        <v>2</v>
      </c>
      <c r="E419" s="597">
        <v>7800</v>
      </c>
      <c r="F419" s="597">
        <v>7800</v>
      </c>
      <c r="G419" s="597">
        <v>7000</v>
      </c>
      <c r="H419" s="592" t="s">
        <v>933</v>
      </c>
    </row>
    <row r="420" spans="1:8" ht="24.75" customHeight="1" x14ac:dyDescent="0.55000000000000004">
      <c r="A420" s="592">
        <v>419</v>
      </c>
      <c r="B420" s="596" t="s">
        <v>3408</v>
      </c>
      <c r="C420" s="592" t="s">
        <v>3409</v>
      </c>
      <c r="D420" s="592">
        <v>2</v>
      </c>
      <c r="E420" s="597">
        <v>29500</v>
      </c>
      <c r="F420" s="597">
        <v>29500</v>
      </c>
      <c r="G420" s="597">
        <v>45000</v>
      </c>
      <c r="H420" s="592" t="s">
        <v>1397</v>
      </c>
    </row>
    <row r="421" spans="1:8" ht="24.75" customHeight="1" x14ac:dyDescent="0.55000000000000004">
      <c r="A421" s="592">
        <v>420</v>
      </c>
      <c r="B421" s="596" t="s">
        <v>3792</v>
      </c>
      <c r="C421" s="592" t="s">
        <v>3793</v>
      </c>
      <c r="D421" s="592">
        <v>2</v>
      </c>
      <c r="E421" s="597">
        <v>25500</v>
      </c>
      <c r="F421" s="597">
        <v>25500</v>
      </c>
      <c r="G421" s="597">
        <v>33000</v>
      </c>
      <c r="H421" s="592" t="s">
        <v>1397</v>
      </c>
    </row>
    <row r="422" spans="1:8" ht="24.75" customHeight="1" x14ac:dyDescent="0.55000000000000004">
      <c r="A422" s="592">
        <v>421</v>
      </c>
      <c r="B422" s="596" t="s">
        <v>3794</v>
      </c>
      <c r="C422" s="592" t="s">
        <v>3795</v>
      </c>
      <c r="D422" s="592">
        <v>5</v>
      </c>
      <c r="E422" s="597">
        <v>5400</v>
      </c>
      <c r="F422" s="597">
        <v>5400</v>
      </c>
      <c r="G422" s="597">
        <v>10000</v>
      </c>
      <c r="H422" s="592" t="s">
        <v>1397</v>
      </c>
    </row>
    <row r="423" spans="1:8" ht="24.75" customHeight="1" x14ac:dyDescent="0.55000000000000004">
      <c r="A423" s="592">
        <v>422</v>
      </c>
      <c r="B423" s="596" t="s">
        <v>3410</v>
      </c>
      <c r="C423" s="592" t="s">
        <v>3411</v>
      </c>
      <c r="D423" s="592">
        <v>1</v>
      </c>
      <c r="E423" s="597">
        <v>9500</v>
      </c>
      <c r="F423" s="597">
        <v>9500</v>
      </c>
      <c r="G423" s="597">
        <v>6200</v>
      </c>
      <c r="H423" s="592" t="s">
        <v>1397</v>
      </c>
    </row>
    <row r="424" spans="1:8" ht="24.75" customHeight="1" x14ac:dyDescent="0.55000000000000004">
      <c r="A424" s="592">
        <v>423</v>
      </c>
      <c r="B424" s="596" t="s">
        <v>3412</v>
      </c>
      <c r="C424" s="592" t="s">
        <v>8234</v>
      </c>
      <c r="D424" s="592">
        <v>6</v>
      </c>
      <c r="E424" s="597">
        <v>2000</v>
      </c>
      <c r="F424" s="597">
        <v>2000</v>
      </c>
      <c r="G424" s="597">
        <v>6300</v>
      </c>
      <c r="H424" s="592" t="s">
        <v>1397</v>
      </c>
    </row>
    <row r="425" spans="1:8" ht="24.75" customHeight="1" x14ac:dyDescent="0.55000000000000004">
      <c r="A425" s="592">
        <v>424</v>
      </c>
      <c r="B425" s="596" t="s">
        <v>3413</v>
      </c>
      <c r="C425" s="592" t="s">
        <v>3414</v>
      </c>
      <c r="D425" s="592">
        <v>12</v>
      </c>
      <c r="E425" s="597">
        <v>1500</v>
      </c>
      <c r="F425" s="597">
        <v>1500</v>
      </c>
      <c r="G425" s="597">
        <v>7800</v>
      </c>
      <c r="H425" s="592" t="s">
        <v>1397</v>
      </c>
    </row>
    <row r="426" spans="1:8" ht="24.75" customHeight="1" x14ac:dyDescent="0.55000000000000004">
      <c r="A426" s="592">
        <v>425</v>
      </c>
      <c r="B426" s="596" t="s">
        <v>3415</v>
      </c>
      <c r="C426" s="592" t="s">
        <v>3416</v>
      </c>
      <c r="D426" s="592">
        <v>2</v>
      </c>
      <c r="E426" s="597">
        <v>24000</v>
      </c>
      <c r="F426" s="597">
        <v>24000</v>
      </c>
      <c r="G426" s="597">
        <v>33000</v>
      </c>
      <c r="H426" s="592" t="s">
        <v>1397</v>
      </c>
    </row>
    <row r="427" spans="1:8" ht="24.75" customHeight="1" x14ac:dyDescent="0.55000000000000004">
      <c r="A427" s="592">
        <v>426</v>
      </c>
      <c r="B427" s="596" t="s">
        <v>3417</v>
      </c>
      <c r="C427" s="592" t="s">
        <v>3418</v>
      </c>
      <c r="D427" s="592">
        <v>4</v>
      </c>
      <c r="E427" s="597">
        <v>22000</v>
      </c>
      <c r="F427" s="597">
        <v>22000</v>
      </c>
      <c r="G427" s="597">
        <v>88000</v>
      </c>
      <c r="H427" s="592" t="s">
        <v>1397</v>
      </c>
    </row>
    <row r="428" spans="1:8" ht="24.75" customHeight="1" x14ac:dyDescent="0.55000000000000004">
      <c r="A428" s="592">
        <v>427</v>
      </c>
      <c r="B428" s="596" t="s">
        <v>3419</v>
      </c>
      <c r="C428" s="592" t="s">
        <v>3420</v>
      </c>
      <c r="D428" s="592">
        <v>1</v>
      </c>
      <c r="E428" s="597">
        <v>9600</v>
      </c>
      <c r="F428" s="597">
        <v>9600</v>
      </c>
      <c r="G428" s="597">
        <v>5851</v>
      </c>
      <c r="H428" s="592" t="s">
        <v>1397</v>
      </c>
    </row>
    <row r="429" spans="1:8" ht="24.75" customHeight="1" x14ac:dyDescent="0.55000000000000004">
      <c r="A429" s="592">
        <v>428</v>
      </c>
      <c r="B429" s="596" t="s">
        <v>3421</v>
      </c>
      <c r="C429" s="592" t="s">
        <v>3422</v>
      </c>
      <c r="D429" s="592">
        <v>2</v>
      </c>
      <c r="E429" s="597">
        <v>2500</v>
      </c>
      <c r="F429" s="597">
        <v>2500</v>
      </c>
      <c r="G429" s="597">
        <v>3400</v>
      </c>
      <c r="H429" s="592" t="s">
        <v>1397</v>
      </c>
    </row>
    <row r="430" spans="1:8" ht="24.75" customHeight="1" x14ac:dyDescent="0.55000000000000004">
      <c r="A430" s="592">
        <v>429</v>
      </c>
      <c r="B430" s="596" t="s">
        <v>3796</v>
      </c>
      <c r="C430" s="592" t="s">
        <v>8518</v>
      </c>
      <c r="D430" s="592">
        <v>3</v>
      </c>
      <c r="E430" s="597">
        <v>80000</v>
      </c>
      <c r="F430" s="597">
        <v>80000</v>
      </c>
      <c r="G430" s="597">
        <v>194001</v>
      </c>
      <c r="H430" s="592" t="s">
        <v>1397</v>
      </c>
    </row>
    <row r="431" spans="1:8" ht="24.75" customHeight="1" x14ac:dyDescent="0.55000000000000004">
      <c r="A431" s="592">
        <v>430</v>
      </c>
      <c r="B431" s="596" t="s">
        <v>3797</v>
      </c>
      <c r="C431" s="592" t="s">
        <v>3798</v>
      </c>
      <c r="D431" s="592">
        <v>1</v>
      </c>
      <c r="E431" s="597">
        <v>22800</v>
      </c>
      <c r="F431" s="597">
        <v>22800</v>
      </c>
      <c r="G431" s="597">
        <v>11445</v>
      </c>
      <c r="H431" s="592" t="s">
        <v>1397</v>
      </c>
    </row>
    <row r="432" spans="1:8" ht="24.75" customHeight="1" x14ac:dyDescent="0.55000000000000004">
      <c r="A432" s="592">
        <v>431</v>
      </c>
      <c r="B432" s="596" t="s">
        <v>3423</v>
      </c>
      <c r="C432" s="592" t="s">
        <v>3424</v>
      </c>
      <c r="D432" s="592">
        <v>1</v>
      </c>
      <c r="E432" s="597">
        <v>22800</v>
      </c>
      <c r="F432" s="597">
        <v>22800</v>
      </c>
      <c r="G432" s="597">
        <v>11445</v>
      </c>
      <c r="H432" s="592" t="s">
        <v>1397</v>
      </c>
    </row>
    <row r="433" spans="1:8" ht="24.75" customHeight="1" x14ac:dyDescent="0.55000000000000004">
      <c r="A433" s="592">
        <v>432</v>
      </c>
      <c r="B433" s="596" t="s">
        <v>3799</v>
      </c>
      <c r="C433" s="592" t="s">
        <v>7999</v>
      </c>
      <c r="D433" s="592">
        <v>6</v>
      </c>
      <c r="E433" s="597">
        <v>9600</v>
      </c>
      <c r="F433" s="597">
        <v>9600</v>
      </c>
      <c r="G433" s="597">
        <v>24030</v>
      </c>
      <c r="H433" s="592" t="s">
        <v>1397</v>
      </c>
    </row>
    <row r="434" spans="1:8" ht="24.75" customHeight="1" x14ac:dyDescent="0.55000000000000004">
      <c r="A434" s="592">
        <v>433</v>
      </c>
      <c r="B434" s="596" t="s">
        <v>3800</v>
      </c>
      <c r="C434" s="592" t="s">
        <v>3801</v>
      </c>
      <c r="D434" s="592">
        <v>1</v>
      </c>
      <c r="E434" s="597">
        <v>34200</v>
      </c>
      <c r="F434" s="597">
        <v>34200</v>
      </c>
      <c r="G434" s="597">
        <v>25000</v>
      </c>
      <c r="H434" s="592" t="s">
        <v>1397</v>
      </c>
    </row>
    <row r="435" spans="1:8" ht="24.75" customHeight="1" x14ac:dyDescent="0.55000000000000004">
      <c r="A435" s="592">
        <v>434</v>
      </c>
      <c r="B435" s="596" t="s">
        <v>3802</v>
      </c>
      <c r="C435" s="592" t="s">
        <v>3803</v>
      </c>
      <c r="D435" s="592">
        <v>14</v>
      </c>
      <c r="E435" s="597">
        <v>2500</v>
      </c>
      <c r="F435" s="597">
        <v>2500</v>
      </c>
      <c r="G435" s="597">
        <v>19334</v>
      </c>
      <c r="H435" s="592" t="s">
        <v>1397</v>
      </c>
    </row>
    <row r="436" spans="1:8" ht="24.75" customHeight="1" x14ac:dyDescent="0.55000000000000004">
      <c r="A436" s="592">
        <v>435</v>
      </c>
      <c r="B436" s="596" t="s">
        <v>6379</v>
      </c>
      <c r="C436" s="592" t="s">
        <v>6380</v>
      </c>
      <c r="D436" s="592">
        <v>4</v>
      </c>
      <c r="E436" s="597">
        <v>4500</v>
      </c>
      <c r="F436" s="597">
        <v>4500</v>
      </c>
      <c r="G436" s="597">
        <v>10200</v>
      </c>
      <c r="H436" s="592" t="s">
        <v>1397</v>
      </c>
    </row>
    <row r="437" spans="1:8" ht="24.75" customHeight="1" x14ac:dyDescent="0.55000000000000004">
      <c r="A437" s="592">
        <v>436</v>
      </c>
      <c r="B437" s="596" t="s">
        <v>3804</v>
      </c>
      <c r="C437" s="592" t="s">
        <v>3805</v>
      </c>
      <c r="D437" s="592">
        <v>1</v>
      </c>
      <c r="E437" s="597">
        <v>14000</v>
      </c>
      <c r="F437" s="597">
        <v>14000</v>
      </c>
      <c r="G437" s="597">
        <v>6244</v>
      </c>
      <c r="H437" s="592" t="s">
        <v>1397</v>
      </c>
    </row>
    <row r="438" spans="1:8" ht="24.75" customHeight="1" x14ac:dyDescent="0.55000000000000004">
      <c r="A438" s="592">
        <v>437</v>
      </c>
      <c r="B438" s="596" t="s">
        <v>6413</v>
      </c>
      <c r="C438" s="592" t="s">
        <v>6414</v>
      </c>
      <c r="D438" s="592">
        <v>6</v>
      </c>
      <c r="E438" s="597">
        <v>8000</v>
      </c>
      <c r="F438" s="597">
        <v>8000</v>
      </c>
      <c r="G438" s="597">
        <v>33000</v>
      </c>
      <c r="H438" s="592" t="s">
        <v>1397</v>
      </c>
    </row>
    <row r="439" spans="1:8" ht="24.75" customHeight="1" x14ac:dyDescent="0.55000000000000004">
      <c r="A439" s="592">
        <v>438</v>
      </c>
      <c r="B439" s="596" t="s">
        <v>8656</v>
      </c>
      <c r="C439" s="592" t="s">
        <v>8657</v>
      </c>
      <c r="D439" s="592">
        <v>2</v>
      </c>
      <c r="E439" s="597">
        <v>9000</v>
      </c>
      <c r="F439" s="597">
        <v>9000</v>
      </c>
      <c r="G439" s="597">
        <v>14000</v>
      </c>
      <c r="H439" s="592" t="s">
        <v>1397</v>
      </c>
    </row>
    <row r="440" spans="1:8" ht="24.75" customHeight="1" x14ac:dyDescent="0.55000000000000004">
      <c r="A440" s="592">
        <v>439</v>
      </c>
      <c r="B440" s="596" t="s">
        <v>8658</v>
      </c>
      <c r="C440" s="592" t="s">
        <v>8659</v>
      </c>
      <c r="D440" s="592">
        <v>1</v>
      </c>
      <c r="E440" s="597">
        <v>77000</v>
      </c>
      <c r="F440" s="597">
        <v>77000</v>
      </c>
      <c r="G440" s="597">
        <v>62000</v>
      </c>
      <c r="H440" s="592" t="s">
        <v>1397</v>
      </c>
    </row>
    <row r="441" spans="1:8" ht="24.75" customHeight="1" x14ac:dyDescent="0.55000000000000004">
      <c r="A441" s="592">
        <v>440</v>
      </c>
      <c r="B441" s="596" t="s">
        <v>3806</v>
      </c>
      <c r="C441" s="592" t="s">
        <v>3807</v>
      </c>
      <c r="D441" s="592">
        <v>1</v>
      </c>
      <c r="E441" s="597">
        <v>12000</v>
      </c>
      <c r="F441" s="597">
        <v>12000</v>
      </c>
      <c r="G441" s="597">
        <v>8500</v>
      </c>
      <c r="H441" s="592" t="s">
        <v>1397</v>
      </c>
    </row>
    <row r="442" spans="1:8" ht="24.75" customHeight="1" x14ac:dyDescent="0.55000000000000004">
      <c r="A442" s="592">
        <v>441</v>
      </c>
      <c r="B442" s="596" t="s">
        <v>7890</v>
      </c>
      <c r="C442" s="592" t="s">
        <v>7891</v>
      </c>
      <c r="D442" s="592">
        <v>2</v>
      </c>
      <c r="E442" s="597">
        <v>15000</v>
      </c>
      <c r="F442" s="597">
        <v>15000</v>
      </c>
      <c r="G442" s="597">
        <v>22000</v>
      </c>
      <c r="H442" s="592" t="s">
        <v>1397</v>
      </c>
    </row>
    <row r="443" spans="1:8" ht="24.75" customHeight="1" x14ac:dyDescent="0.55000000000000004">
      <c r="A443" s="592">
        <v>442</v>
      </c>
      <c r="B443" s="596" t="s">
        <v>3808</v>
      </c>
      <c r="C443" s="592" t="s">
        <v>3809</v>
      </c>
      <c r="D443" s="592">
        <v>1</v>
      </c>
      <c r="E443" s="597">
        <v>4800</v>
      </c>
      <c r="F443" s="597">
        <v>4800</v>
      </c>
      <c r="G443" s="597">
        <v>2800</v>
      </c>
      <c r="H443" s="592" t="s">
        <v>1397</v>
      </c>
    </row>
    <row r="444" spans="1:8" ht="24.75" customHeight="1" x14ac:dyDescent="0.55000000000000004">
      <c r="A444" s="592">
        <v>443</v>
      </c>
      <c r="B444" s="596" t="s">
        <v>2870</v>
      </c>
      <c r="C444" s="592" t="s">
        <v>2871</v>
      </c>
      <c r="D444" s="592">
        <v>6</v>
      </c>
      <c r="E444" s="597">
        <v>1000</v>
      </c>
      <c r="F444" s="597">
        <v>1000</v>
      </c>
      <c r="G444" s="597">
        <v>2700</v>
      </c>
      <c r="H444" s="592" t="s">
        <v>1397</v>
      </c>
    </row>
    <row r="445" spans="1:8" ht="24.75" customHeight="1" x14ac:dyDescent="0.55000000000000004">
      <c r="A445" s="592">
        <v>444</v>
      </c>
      <c r="B445" s="596" t="s">
        <v>3810</v>
      </c>
      <c r="C445" s="592" t="s">
        <v>3811</v>
      </c>
      <c r="D445" s="592">
        <v>10</v>
      </c>
      <c r="E445" s="597">
        <v>500</v>
      </c>
      <c r="F445" s="597">
        <v>500</v>
      </c>
      <c r="G445" s="597">
        <v>2500</v>
      </c>
      <c r="H445" s="592" t="s">
        <v>1397</v>
      </c>
    </row>
    <row r="446" spans="1:8" ht="24.75" customHeight="1" x14ac:dyDescent="0.55000000000000004">
      <c r="A446" s="592">
        <v>445</v>
      </c>
      <c r="B446" s="596" t="s">
        <v>2997</v>
      </c>
      <c r="C446" s="592" t="s">
        <v>2998</v>
      </c>
      <c r="D446" s="592">
        <v>1</v>
      </c>
      <c r="E446" s="597">
        <v>18000</v>
      </c>
      <c r="F446" s="597">
        <v>18000</v>
      </c>
      <c r="G446" s="597">
        <v>11500</v>
      </c>
      <c r="H446" s="592" t="s">
        <v>1397</v>
      </c>
    </row>
    <row r="447" spans="1:8" ht="24.75" customHeight="1" x14ac:dyDescent="0.55000000000000004">
      <c r="A447" s="592">
        <v>446</v>
      </c>
      <c r="B447" s="596" t="s">
        <v>3812</v>
      </c>
      <c r="C447" s="592" t="s">
        <v>3813</v>
      </c>
      <c r="D447" s="592">
        <v>2</v>
      </c>
      <c r="E447" s="597">
        <v>10200</v>
      </c>
      <c r="F447" s="597">
        <v>10200</v>
      </c>
      <c r="G447" s="597">
        <v>8890</v>
      </c>
      <c r="H447" s="592" t="s">
        <v>1397</v>
      </c>
    </row>
    <row r="448" spans="1:8" ht="24.75" customHeight="1" x14ac:dyDescent="0.55000000000000004">
      <c r="A448" s="592">
        <v>447</v>
      </c>
      <c r="B448" s="596" t="s">
        <v>3814</v>
      </c>
      <c r="C448" s="592" t="s">
        <v>3815</v>
      </c>
      <c r="D448" s="592">
        <v>2</v>
      </c>
      <c r="E448" s="597">
        <v>12000</v>
      </c>
      <c r="F448" s="597">
        <v>12000</v>
      </c>
      <c r="G448" s="597">
        <v>10740</v>
      </c>
      <c r="H448" s="592" t="s">
        <v>1397</v>
      </c>
    </row>
    <row r="449" spans="1:8" ht="24.75" customHeight="1" x14ac:dyDescent="0.55000000000000004">
      <c r="A449" s="592">
        <v>448</v>
      </c>
      <c r="B449" s="596" t="s">
        <v>3320</v>
      </c>
      <c r="C449" s="592" t="s">
        <v>3321</v>
      </c>
      <c r="D449" s="592">
        <v>2</v>
      </c>
      <c r="E449" s="597">
        <v>22000</v>
      </c>
      <c r="F449" s="597">
        <v>22000</v>
      </c>
      <c r="G449" s="597">
        <v>36000</v>
      </c>
      <c r="H449" s="592" t="s">
        <v>1397</v>
      </c>
    </row>
    <row r="450" spans="1:8" ht="24.75" customHeight="1" x14ac:dyDescent="0.55000000000000004">
      <c r="A450" s="592">
        <v>449</v>
      </c>
      <c r="B450" s="596" t="s">
        <v>3816</v>
      </c>
      <c r="C450" s="592" t="s">
        <v>3817</v>
      </c>
      <c r="D450" s="592">
        <v>1</v>
      </c>
      <c r="E450" s="597">
        <v>14400</v>
      </c>
      <c r="F450" s="597">
        <v>14400</v>
      </c>
      <c r="G450" s="597">
        <v>7160</v>
      </c>
      <c r="H450" s="592" t="s">
        <v>1397</v>
      </c>
    </row>
    <row r="451" spans="1:8" ht="24.75" customHeight="1" x14ac:dyDescent="0.55000000000000004">
      <c r="A451" s="592">
        <v>450</v>
      </c>
      <c r="B451" s="596" t="s">
        <v>1421</v>
      </c>
      <c r="C451" s="592" t="s">
        <v>1422</v>
      </c>
      <c r="D451" s="592">
        <v>1</v>
      </c>
      <c r="E451" s="597">
        <v>23000</v>
      </c>
      <c r="F451" s="597">
        <v>23000</v>
      </c>
      <c r="G451" s="597">
        <v>17500</v>
      </c>
      <c r="H451" s="592" t="s">
        <v>1420</v>
      </c>
    </row>
    <row r="452" spans="1:8" ht="24.75" customHeight="1" x14ac:dyDescent="0.55000000000000004">
      <c r="A452" s="592">
        <v>451</v>
      </c>
      <c r="B452" s="596" t="s">
        <v>3818</v>
      </c>
      <c r="C452" s="592" t="s">
        <v>7495</v>
      </c>
      <c r="D452" s="592">
        <v>1</v>
      </c>
      <c r="E452" s="597">
        <v>26300</v>
      </c>
      <c r="F452" s="597">
        <v>26300</v>
      </c>
      <c r="G452" s="597">
        <v>23940</v>
      </c>
      <c r="H452" s="592" t="s">
        <v>1420</v>
      </c>
    </row>
    <row r="453" spans="1:8" ht="24.75" customHeight="1" x14ac:dyDescent="0.55000000000000004">
      <c r="A453" s="592">
        <v>452</v>
      </c>
      <c r="B453" s="596" t="s">
        <v>1423</v>
      </c>
      <c r="C453" s="592" t="s">
        <v>1424</v>
      </c>
      <c r="D453" s="592">
        <v>2</v>
      </c>
      <c r="E453" s="597">
        <v>6500</v>
      </c>
      <c r="F453" s="597">
        <v>6500</v>
      </c>
      <c r="G453" s="597">
        <v>11700</v>
      </c>
      <c r="H453" s="592" t="s">
        <v>1420</v>
      </c>
    </row>
    <row r="454" spans="1:8" ht="24.75" customHeight="1" x14ac:dyDescent="0.55000000000000004">
      <c r="A454" s="592">
        <v>453</v>
      </c>
      <c r="B454" s="596" t="s">
        <v>2435</v>
      </c>
      <c r="C454" s="592" t="s">
        <v>2436</v>
      </c>
      <c r="D454" s="592">
        <v>1</v>
      </c>
      <c r="E454" s="597">
        <v>4000</v>
      </c>
      <c r="F454" s="597">
        <v>4000</v>
      </c>
      <c r="G454" s="597">
        <v>1800</v>
      </c>
      <c r="H454" s="592" t="s">
        <v>1420</v>
      </c>
    </row>
    <row r="455" spans="1:8" ht="24.75" customHeight="1" x14ac:dyDescent="0.55000000000000004">
      <c r="A455" s="592">
        <v>454</v>
      </c>
      <c r="B455" s="596" t="s">
        <v>3819</v>
      </c>
      <c r="C455" s="592" t="s">
        <v>3820</v>
      </c>
      <c r="D455" s="592">
        <v>2</v>
      </c>
      <c r="E455" s="597">
        <v>22500</v>
      </c>
      <c r="F455" s="597">
        <v>22500</v>
      </c>
      <c r="G455" s="597">
        <v>38700</v>
      </c>
      <c r="H455" s="592" t="s">
        <v>1420</v>
      </c>
    </row>
    <row r="456" spans="1:8" ht="24.75" customHeight="1" x14ac:dyDescent="0.55000000000000004">
      <c r="A456" s="592">
        <v>455</v>
      </c>
      <c r="B456" s="596" t="s">
        <v>3821</v>
      </c>
      <c r="C456" s="592" t="s">
        <v>3822</v>
      </c>
      <c r="D456" s="592">
        <v>5</v>
      </c>
      <c r="E456" s="597">
        <v>18000</v>
      </c>
      <c r="F456" s="597">
        <v>18000</v>
      </c>
      <c r="G456" s="597">
        <v>43500</v>
      </c>
      <c r="H456" s="592" t="s">
        <v>1397</v>
      </c>
    </row>
    <row r="457" spans="1:8" ht="24.75" customHeight="1" x14ac:dyDescent="0.55000000000000004">
      <c r="A457" s="592">
        <v>456</v>
      </c>
      <c r="B457" s="596" t="s">
        <v>3823</v>
      </c>
      <c r="C457" s="592" t="s">
        <v>3824</v>
      </c>
      <c r="D457" s="592">
        <v>4</v>
      </c>
      <c r="E457" s="597">
        <v>15000</v>
      </c>
      <c r="F457" s="597">
        <v>15000</v>
      </c>
      <c r="G457" s="597">
        <v>27600</v>
      </c>
      <c r="H457" s="592" t="s">
        <v>1397</v>
      </c>
    </row>
    <row r="458" spans="1:8" ht="24.75" customHeight="1" x14ac:dyDescent="0.55000000000000004">
      <c r="A458" s="592">
        <v>457</v>
      </c>
      <c r="B458" s="596" t="s">
        <v>3825</v>
      </c>
      <c r="C458" s="592" t="s">
        <v>3826</v>
      </c>
      <c r="D458" s="592">
        <v>5</v>
      </c>
      <c r="E458" s="597">
        <v>4000</v>
      </c>
      <c r="F458" s="597">
        <v>4000</v>
      </c>
      <c r="G458" s="597">
        <v>6000</v>
      </c>
      <c r="H458" s="592" t="s">
        <v>1397</v>
      </c>
    </row>
    <row r="459" spans="1:8" ht="24.75" customHeight="1" x14ac:dyDescent="0.55000000000000004">
      <c r="A459" s="592">
        <v>458</v>
      </c>
      <c r="B459" s="596" t="s">
        <v>3827</v>
      </c>
      <c r="C459" s="592" t="s">
        <v>3828</v>
      </c>
      <c r="D459" s="592">
        <v>4</v>
      </c>
      <c r="E459" s="597">
        <v>18000</v>
      </c>
      <c r="F459" s="597">
        <v>18000</v>
      </c>
      <c r="G459" s="597">
        <v>34800</v>
      </c>
      <c r="H459" s="592" t="s">
        <v>1397</v>
      </c>
    </row>
    <row r="460" spans="1:8" ht="24.75" customHeight="1" x14ac:dyDescent="0.55000000000000004">
      <c r="A460" s="592">
        <v>459</v>
      </c>
      <c r="B460" s="596" t="s">
        <v>3829</v>
      </c>
      <c r="C460" s="592" t="s">
        <v>3830</v>
      </c>
      <c r="D460" s="592">
        <v>1</v>
      </c>
      <c r="E460" s="597">
        <v>15000</v>
      </c>
      <c r="F460" s="597">
        <v>15000</v>
      </c>
      <c r="G460" s="597">
        <v>7500</v>
      </c>
      <c r="H460" s="592" t="s">
        <v>1397</v>
      </c>
    </row>
    <row r="461" spans="1:8" ht="24.75" customHeight="1" x14ac:dyDescent="0.55000000000000004">
      <c r="A461" s="592">
        <v>460</v>
      </c>
      <c r="B461" s="596" t="s">
        <v>6322</v>
      </c>
      <c r="C461" s="592" t="s">
        <v>7496</v>
      </c>
      <c r="D461" s="592">
        <v>3</v>
      </c>
      <c r="E461" s="597">
        <v>3500</v>
      </c>
      <c r="F461" s="597">
        <v>3500</v>
      </c>
      <c r="G461" s="597">
        <v>4770</v>
      </c>
      <c r="H461" s="592" t="s">
        <v>1397</v>
      </c>
    </row>
    <row r="462" spans="1:8" ht="24.75" customHeight="1" x14ac:dyDescent="0.55000000000000004">
      <c r="A462" s="592">
        <v>461</v>
      </c>
      <c r="B462" s="596" t="s">
        <v>1425</v>
      </c>
      <c r="C462" s="592" t="s">
        <v>8000</v>
      </c>
      <c r="D462" s="592">
        <v>8</v>
      </c>
      <c r="E462" s="597">
        <v>19000</v>
      </c>
      <c r="F462" s="597">
        <v>19000</v>
      </c>
      <c r="G462" s="597">
        <v>127256</v>
      </c>
      <c r="H462" s="592" t="s">
        <v>933</v>
      </c>
    </row>
    <row r="463" spans="1:8" ht="24.75" customHeight="1" x14ac:dyDescent="0.55000000000000004">
      <c r="A463" s="592">
        <v>462</v>
      </c>
      <c r="B463" s="596" t="s">
        <v>3103</v>
      </c>
      <c r="C463" s="592" t="s">
        <v>8000</v>
      </c>
      <c r="D463" s="592">
        <v>3</v>
      </c>
      <c r="E463" s="597">
        <v>19000</v>
      </c>
      <c r="F463" s="597">
        <v>19000</v>
      </c>
      <c r="G463" s="597">
        <v>35400</v>
      </c>
      <c r="H463" s="592" t="s">
        <v>1397</v>
      </c>
    </row>
    <row r="464" spans="1:8" ht="24.75" customHeight="1" x14ac:dyDescent="0.55000000000000004">
      <c r="A464" s="592">
        <v>463</v>
      </c>
      <c r="B464" s="596" t="s">
        <v>3425</v>
      </c>
      <c r="C464" s="592" t="s">
        <v>8001</v>
      </c>
      <c r="D464" s="592">
        <v>2</v>
      </c>
      <c r="E464" s="597">
        <v>5000</v>
      </c>
      <c r="F464" s="597">
        <v>5000</v>
      </c>
      <c r="G464" s="597">
        <v>5340</v>
      </c>
      <c r="H464" s="592" t="s">
        <v>1397</v>
      </c>
    </row>
    <row r="465" spans="1:8" ht="24.75" customHeight="1" x14ac:dyDescent="0.55000000000000004">
      <c r="A465" s="592">
        <v>464</v>
      </c>
      <c r="B465" s="596" t="s">
        <v>3831</v>
      </c>
      <c r="C465" s="592" t="s">
        <v>3832</v>
      </c>
      <c r="D465" s="592">
        <v>4</v>
      </c>
      <c r="E465" s="597">
        <v>3000</v>
      </c>
      <c r="F465" s="597">
        <v>3000</v>
      </c>
      <c r="G465" s="597">
        <v>7280</v>
      </c>
      <c r="H465" s="592" t="s">
        <v>1397</v>
      </c>
    </row>
    <row r="466" spans="1:8" ht="24.75" customHeight="1" x14ac:dyDescent="0.55000000000000004">
      <c r="A466" s="592">
        <v>465</v>
      </c>
      <c r="B466" s="596" t="s">
        <v>3833</v>
      </c>
      <c r="C466" s="592" t="s">
        <v>3834</v>
      </c>
      <c r="D466" s="592">
        <v>3</v>
      </c>
      <c r="E466" s="597">
        <v>1000</v>
      </c>
      <c r="F466" s="597">
        <v>1000</v>
      </c>
      <c r="G466" s="597">
        <v>1530</v>
      </c>
      <c r="H466" s="592" t="s">
        <v>1397</v>
      </c>
    </row>
    <row r="467" spans="1:8" ht="24.75" customHeight="1" x14ac:dyDescent="0.55000000000000004">
      <c r="A467" s="592">
        <v>466</v>
      </c>
      <c r="B467" s="596" t="s">
        <v>3835</v>
      </c>
      <c r="C467" s="592" t="s">
        <v>3836</v>
      </c>
      <c r="D467" s="592">
        <v>2</v>
      </c>
      <c r="E467" s="597">
        <v>27000</v>
      </c>
      <c r="F467" s="597">
        <v>27000</v>
      </c>
      <c r="G467" s="597">
        <v>40400</v>
      </c>
      <c r="H467" s="592" t="s">
        <v>1397</v>
      </c>
    </row>
    <row r="468" spans="1:8" ht="24.75" customHeight="1" x14ac:dyDescent="0.55000000000000004">
      <c r="A468" s="592">
        <v>467</v>
      </c>
      <c r="B468" s="596" t="s">
        <v>3837</v>
      </c>
      <c r="C468" s="592" t="s">
        <v>3838</v>
      </c>
      <c r="D468" s="592">
        <v>4</v>
      </c>
      <c r="E468" s="597">
        <v>1000</v>
      </c>
      <c r="F468" s="597">
        <v>1000</v>
      </c>
      <c r="G468" s="597">
        <v>2080</v>
      </c>
      <c r="H468" s="592" t="s">
        <v>1397</v>
      </c>
    </row>
    <row r="469" spans="1:8" ht="24.75" customHeight="1" x14ac:dyDescent="0.55000000000000004">
      <c r="A469" s="592">
        <v>468</v>
      </c>
      <c r="B469" s="596" t="s">
        <v>3839</v>
      </c>
      <c r="C469" s="592" t="s">
        <v>8002</v>
      </c>
      <c r="D469" s="592">
        <v>3</v>
      </c>
      <c r="E469" s="597">
        <v>500</v>
      </c>
      <c r="F469" s="597">
        <v>500</v>
      </c>
      <c r="G469" s="597">
        <v>390</v>
      </c>
      <c r="H469" s="592" t="s">
        <v>1397</v>
      </c>
    </row>
    <row r="470" spans="1:8" ht="24.75" customHeight="1" x14ac:dyDescent="0.55000000000000004">
      <c r="A470" s="592">
        <v>469</v>
      </c>
      <c r="B470" s="596" t="s">
        <v>3840</v>
      </c>
      <c r="C470" s="592" t="s">
        <v>8003</v>
      </c>
      <c r="D470" s="592">
        <v>5</v>
      </c>
      <c r="E470" s="597">
        <v>1500</v>
      </c>
      <c r="F470" s="597">
        <v>1500</v>
      </c>
      <c r="G470" s="597">
        <v>3450</v>
      </c>
      <c r="H470" s="592" t="s">
        <v>1397</v>
      </c>
    </row>
    <row r="471" spans="1:8" ht="24.75" customHeight="1" x14ac:dyDescent="0.55000000000000004">
      <c r="A471" s="592">
        <v>470</v>
      </c>
      <c r="B471" s="596" t="s">
        <v>3841</v>
      </c>
      <c r="C471" s="592" t="s">
        <v>3842</v>
      </c>
      <c r="D471" s="592">
        <v>1</v>
      </c>
      <c r="E471" s="597">
        <v>15000</v>
      </c>
      <c r="F471" s="597">
        <v>15000</v>
      </c>
      <c r="G471" s="597">
        <v>9050</v>
      </c>
      <c r="H471" s="592" t="s">
        <v>1397</v>
      </c>
    </row>
    <row r="472" spans="1:8" ht="24.75" customHeight="1" x14ac:dyDescent="0.55000000000000004">
      <c r="A472" s="592">
        <v>471</v>
      </c>
      <c r="B472" s="596" t="s">
        <v>3843</v>
      </c>
      <c r="C472" s="592" t="s">
        <v>3844</v>
      </c>
      <c r="D472" s="592">
        <v>1</v>
      </c>
      <c r="E472" s="597">
        <v>5000</v>
      </c>
      <c r="F472" s="597">
        <v>5000</v>
      </c>
      <c r="G472" s="597">
        <v>2400</v>
      </c>
      <c r="H472" s="592" t="s">
        <v>1397</v>
      </c>
    </row>
    <row r="473" spans="1:8" ht="24.75" customHeight="1" x14ac:dyDescent="0.55000000000000004">
      <c r="A473" s="592">
        <v>472</v>
      </c>
      <c r="B473" s="596" t="s">
        <v>3845</v>
      </c>
      <c r="C473" s="592" t="s">
        <v>3846</v>
      </c>
      <c r="D473" s="592">
        <v>2</v>
      </c>
      <c r="E473" s="597">
        <v>10000</v>
      </c>
      <c r="F473" s="597">
        <v>10000</v>
      </c>
      <c r="G473" s="597">
        <v>12520</v>
      </c>
      <c r="H473" s="592" t="s">
        <v>1397</v>
      </c>
    </row>
    <row r="474" spans="1:8" ht="24.75" customHeight="1" x14ac:dyDescent="0.55000000000000004">
      <c r="A474" s="592">
        <v>473</v>
      </c>
      <c r="B474" s="596" t="s">
        <v>3847</v>
      </c>
      <c r="C474" s="592" t="s">
        <v>3848</v>
      </c>
      <c r="D474" s="592">
        <v>1</v>
      </c>
      <c r="E474" s="597">
        <v>30000</v>
      </c>
      <c r="F474" s="597">
        <v>30000</v>
      </c>
      <c r="G474" s="597">
        <v>24732</v>
      </c>
      <c r="H474" s="592" t="s">
        <v>1397</v>
      </c>
    </row>
    <row r="475" spans="1:8" ht="24.75" customHeight="1" x14ac:dyDescent="0.55000000000000004">
      <c r="A475" s="592">
        <v>474</v>
      </c>
      <c r="B475" s="596" t="s">
        <v>3849</v>
      </c>
      <c r="C475" s="592" t="s">
        <v>3850</v>
      </c>
      <c r="D475" s="592">
        <v>2</v>
      </c>
      <c r="E475" s="597">
        <v>18500</v>
      </c>
      <c r="F475" s="597">
        <v>18500</v>
      </c>
      <c r="G475" s="597">
        <v>27000</v>
      </c>
      <c r="H475" s="592" t="s">
        <v>1397</v>
      </c>
    </row>
    <row r="476" spans="1:8" ht="24.75" customHeight="1" x14ac:dyDescent="0.55000000000000004">
      <c r="A476" s="592">
        <v>475</v>
      </c>
      <c r="B476" s="596" t="s">
        <v>3851</v>
      </c>
      <c r="C476" s="592" t="s">
        <v>3852</v>
      </c>
      <c r="D476" s="592">
        <v>1</v>
      </c>
      <c r="E476" s="597">
        <v>62000</v>
      </c>
      <c r="F476" s="597">
        <v>62000</v>
      </c>
      <c r="G476" s="597">
        <v>52784</v>
      </c>
      <c r="H476" s="592" t="s">
        <v>1397</v>
      </c>
    </row>
    <row r="477" spans="1:8" ht="24.75" customHeight="1" x14ac:dyDescent="0.55000000000000004">
      <c r="A477" s="592">
        <v>476</v>
      </c>
      <c r="B477" s="596" t="s">
        <v>6943</v>
      </c>
      <c r="C477" s="592" t="s">
        <v>6944</v>
      </c>
      <c r="D477" s="592">
        <v>4</v>
      </c>
      <c r="E477" s="597">
        <v>4000</v>
      </c>
      <c r="F477" s="597">
        <v>4000</v>
      </c>
      <c r="G477" s="597">
        <v>10200</v>
      </c>
      <c r="H477" s="592" t="s">
        <v>1397</v>
      </c>
    </row>
    <row r="478" spans="1:8" ht="24.75" customHeight="1" x14ac:dyDescent="0.55000000000000004">
      <c r="A478" s="592">
        <v>477</v>
      </c>
      <c r="B478" s="596" t="s">
        <v>6945</v>
      </c>
      <c r="C478" s="592" t="s">
        <v>6946</v>
      </c>
      <c r="D478" s="592">
        <v>5</v>
      </c>
      <c r="E478" s="597">
        <v>1000</v>
      </c>
      <c r="F478" s="597">
        <v>1000</v>
      </c>
      <c r="G478" s="597">
        <v>3250</v>
      </c>
      <c r="H478" s="592" t="s">
        <v>1397</v>
      </c>
    </row>
    <row r="479" spans="1:8" ht="24.75" customHeight="1" x14ac:dyDescent="0.55000000000000004">
      <c r="A479" s="592">
        <v>478</v>
      </c>
      <c r="B479" s="596" t="s">
        <v>8004</v>
      </c>
      <c r="C479" s="592" t="s">
        <v>8005</v>
      </c>
      <c r="D479" s="592">
        <v>1</v>
      </c>
      <c r="E479" s="597">
        <v>6000</v>
      </c>
      <c r="F479" s="597">
        <v>6000</v>
      </c>
      <c r="G479" s="597">
        <v>4200</v>
      </c>
      <c r="H479" s="592" t="s">
        <v>1397</v>
      </c>
    </row>
    <row r="480" spans="1:8" ht="24.75" customHeight="1" x14ac:dyDescent="0.55000000000000004">
      <c r="A480" s="592">
        <v>479</v>
      </c>
      <c r="B480" s="596" t="s">
        <v>8006</v>
      </c>
      <c r="C480" s="592" t="s">
        <v>8007</v>
      </c>
      <c r="D480" s="592">
        <v>1</v>
      </c>
      <c r="E480" s="597">
        <v>2300</v>
      </c>
      <c r="F480" s="597">
        <v>2300</v>
      </c>
      <c r="G480" s="597">
        <v>1550</v>
      </c>
      <c r="H480" s="592" t="s">
        <v>1397</v>
      </c>
    </row>
    <row r="481" spans="1:8" ht="24.75" customHeight="1" x14ac:dyDescent="0.55000000000000004">
      <c r="A481" s="592">
        <v>480</v>
      </c>
      <c r="B481" s="596" t="s">
        <v>8374</v>
      </c>
      <c r="C481" s="592" t="s">
        <v>8375</v>
      </c>
      <c r="D481" s="592">
        <v>1</v>
      </c>
      <c r="E481" s="597">
        <v>4000</v>
      </c>
      <c r="F481" s="597">
        <v>4000</v>
      </c>
      <c r="G481" s="597">
        <v>1500</v>
      </c>
      <c r="H481" s="592" t="s">
        <v>1397</v>
      </c>
    </row>
    <row r="482" spans="1:8" ht="24.75" customHeight="1" x14ac:dyDescent="0.55000000000000004">
      <c r="A482" s="592">
        <v>481</v>
      </c>
      <c r="B482" s="596" t="s">
        <v>8519</v>
      </c>
      <c r="C482" s="592" t="s">
        <v>8520</v>
      </c>
      <c r="D482" s="592">
        <v>1</v>
      </c>
      <c r="E482" s="597">
        <v>7500</v>
      </c>
      <c r="F482" s="597">
        <v>7500</v>
      </c>
      <c r="G482" s="597">
        <v>5000</v>
      </c>
      <c r="H482" s="592" t="s">
        <v>1397</v>
      </c>
    </row>
    <row r="483" spans="1:8" ht="24.75" customHeight="1" x14ac:dyDescent="0.55000000000000004">
      <c r="A483" s="592">
        <v>482</v>
      </c>
      <c r="B483" s="596" t="s">
        <v>8660</v>
      </c>
      <c r="C483" s="592" t="s">
        <v>8661</v>
      </c>
      <c r="D483" s="592">
        <v>2</v>
      </c>
      <c r="E483" s="597">
        <v>1500</v>
      </c>
      <c r="F483" s="597">
        <v>1500</v>
      </c>
      <c r="G483" s="597">
        <v>2000</v>
      </c>
      <c r="H483" s="592" t="s">
        <v>1397</v>
      </c>
    </row>
    <row r="484" spans="1:8" ht="24.75" customHeight="1" x14ac:dyDescent="0.55000000000000004">
      <c r="A484" s="592">
        <v>483</v>
      </c>
      <c r="B484" s="596" t="s">
        <v>8662</v>
      </c>
      <c r="C484" s="592" t="s">
        <v>8663</v>
      </c>
      <c r="D484" s="592">
        <v>1</v>
      </c>
      <c r="E484" s="597">
        <v>170000</v>
      </c>
      <c r="F484" s="597">
        <v>170000</v>
      </c>
      <c r="G484" s="597">
        <v>120000</v>
      </c>
      <c r="H484" s="592" t="s">
        <v>1397</v>
      </c>
    </row>
    <row r="485" spans="1:8" ht="24.75" customHeight="1" x14ac:dyDescent="0.55000000000000004">
      <c r="A485" s="592">
        <v>484</v>
      </c>
      <c r="B485" s="596" t="s">
        <v>8664</v>
      </c>
      <c r="C485" s="592" t="s">
        <v>8665</v>
      </c>
      <c r="D485" s="592">
        <v>1</v>
      </c>
      <c r="E485" s="597">
        <v>300000</v>
      </c>
      <c r="F485" s="597">
        <v>300000</v>
      </c>
      <c r="G485" s="597">
        <v>225000</v>
      </c>
      <c r="H485" s="592" t="s">
        <v>1397</v>
      </c>
    </row>
    <row r="486" spans="1:8" ht="24.75" customHeight="1" x14ac:dyDescent="0.55000000000000004">
      <c r="A486" s="592">
        <v>485</v>
      </c>
      <c r="B486" s="596" t="s">
        <v>8666</v>
      </c>
      <c r="C486" s="592" t="s">
        <v>8667</v>
      </c>
      <c r="D486" s="592">
        <v>1</v>
      </c>
      <c r="E486" s="597">
        <v>20000</v>
      </c>
      <c r="F486" s="597">
        <v>20000</v>
      </c>
      <c r="G486" s="597">
        <v>15000</v>
      </c>
      <c r="H486" s="592" t="s">
        <v>1397</v>
      </c>
    </row>
    <row r="487" spans="1:8" ht="24.75" customHeight="1" x14ac:dyDescent="0.55000000000000004">
      <c r="A487" s="592">
        <v>486</v>
      </c>
      <c r="B487" s="596" t="s">
        <v>8668</v>
      </c>
      <c r="C487" s="592" t="s">
        <v>8669</v>
      </c>
      <c r="D487" s="592">
        <v>1</v>
      </c>
      <c r="E487" s="597">
        <v>50000</v>
      </c>
      <c r="F487" s="597">
        <v>50000</v>
      </c>
      <c r="G487" s="597">
        <v>30000</v>
      </c>
      <c r="H487" s="592" t="s">
        <v>1397</v>
      </c>
    </row>
    <row r="488" spans="1:8" ht="24.75" customHeight="1" x14ac:dyDescent="0.55000000000000004">
      <c r="A488" s="592">
        <v>487</v>
      </c>
      <c r="B488" s="596" t="s">
        <v>8670</v>
      </c>
      <c r="C488" s="592" t="s">
        <v>8671</v>
      </c>
      <c r="D488" s="592">
        <v>1</v>
      </c>
      <c r="E488" s="597">
        <v>25000</v>
      </c>
      <c r="F488" s="597">
        <v>25000</v>
      </c>
      <c r="G488" s="597">
        <v>15000</v>
      </c>
      <c r="H488" s="592" t="s">
        <v>1397</v>
      </c>
    </row>
    <row r="489" spans="1:8" ht="24.75" customHeight="1" x14ac:dyDescent="0.55000000000000004">
      <c r="A489" s="592">
        <v>488</v>
      </c>
      <c r="B489" s="596" t="s">
        <v>8672</v>
      </c>
      <c r="C489" s="592" t="s">
        <v>8673</v>
      </c>
      <c r="D489" s="592">
        <v>1</v>
      </c>
      <c r="E489" s="597">
        <v>35000</v>
      </c>
      <c r="F489" s="597">
        <v>35000</v>
      </c>
      <c r="G489" s="597">
        <v>28000</v>
      </c>
      <c r="H489" s="592" t="s">
        <v>1397</v>
      </c>
    </row>
    <row r="490" spans="1:8" ht="24.75" customHeight="1" x14ac:dyDescent="0.55000000000000004">
      <c r="A490" s="592">
        <v>489</v>
      </c>
      <c r="B490" s="596" t="s">
        <v>8674</v>
      </c>
      <c r="C490" s="592" t="s">
        <v>8675</v>
      </c>
      <c r="D490" s="592">
        <v>1</v>
      </c>
      <c r="E490" s="597">
        <v>21000</v>
      </c>
      <c r="F490" s="597">
        <v>21000</v>
      </c>
      <c r="G490" s="597">
        <v>13000</v>
      </c>
      <c r="H490" s="592" t="s">
        <v>1397</v>
      </c>
    </row>
    <row r="491" spans="1:8" ht="24.75" customHeight="1" x14ac:dyDescent="0.55000000000000004">
      <c r="A491" s="592">
        <v>490</v>
      </c>
      <c r="B491" s="596" t="s">
        <v>8676</v>
      </c>
      <c r="C491" s="592" t="s">
        <v>8677</v>
      </c>
      <c r="D491" s="592">
        <v>1</v>
      </c>
      <c r="E491" s="597">
        <v>5000</v>
      </c>
      <c r="F491" s="597">
        <v>5000</v>
      </c>
      <c r="G491" s="597">
        <v>3000</v>
      </c>
      <c r="H491" s="592" t="s">
        <v>1397</v>
      </c>
    </row>
    <row r="492" spans="1:8" ht="24.75" customHeight="1" x14ac:dyDescent="0.55000000000000004">
      <c r="A492" s="592">
        <v>491</v>
      </c>
      <c r="B492" s="596" t="s">
        <v>8008</v>
      </c>
      <c r="C492" s="592" t="s">
        <v>8009</v>
      </c>
      <c r="D492" s="592">
        <v>1</v>
      </c>
      <c r="E492" s="597">
        <v>115000</v>
      </c>
      <c r="F492" s="597">
        <v>115000</v>
      </c>
      <c r="G492" s="597">
        <v>93930</v>
      </c>
      <c r="H492" s="592" t="s">
        <v>933</v>
      </c>
    </row>
    <row r="493" spans="1:8" ht="24.75" customHeight="1" x14ac:dyDescent="0.55000000000000004">
      <c r="A493" s="592">
        <v>492</v>
      </c>
      <c r="B493" s="596" t="s">
        <v>3855</v>
      </c>
      <c r="C493" s="592" t="s">
        <v>3856</v>
      </c>
      <c r="D493" s="592">
        <v>1</v>
      </c>
      <c r="E493" s="597">
        <v>5000</v>
      </c>
      <c r="F493" s="597">
        <v>5000</v>
      </c>
      <c r="G493" s="597">
        <v>4000</v>
      </c>
      <c r="H493" s="592" t="s">
        <v>933</v>
      </c>
    </row>
    <row r="494" spans="1:8" ht="24.75" customHeight="1" x14ac:dyDescent="0.55000000000000004">
      <c r="A494" s="592">
        <v>493</v>
      </c>
      <c r="B494" s="596" t="s">
        <v>8235</v>
      </c>
      <c r="C494" s="592" t="s">
        <v>8236</v>
      </c>
      <c r="D494" s="592">
        <v>20</v>
      </c>
      <c r="E494" s="597">
        <v>3000</v>
      </c>
      <c r="F494" s="597">
        <v>3000</v>
      </c>
      <c r="G494" s="597">
        <v>45040</v>
      </c>
      <c r="H494" s="592" t="s">
        <v>933</v>
      </c>
    </row>
    <row r="495" spans="1:8" ht="24.75" customHeight="1" x14ac:dyDescent="0.55000000000000004">
      <c r="A495" s="592">
        <v>494</v>
      </c>
      <c r="B495" s="596" t="s">
        <v>8376</v>
      </c>
      <c r="C495" s="592" t="s">
        <v>8377</v>
      </c>
      <c r="D495" s="592">
        <v>1</v>
      </c>
      <c r="E495" s="597">
        <v>12000</v>
      </c>
      <c r="F495" s="597">
        <v>12000</v>
      </c>
      <c r="G495" s="597">
        <v>8399</v>
      </c>
      <c r="H495" s="592" t="s">
        <v>933</v>
      </c>
    </row>
    <row r="496" spans="1:8" ht="24.75" customHeight="1" x14ac:dyDescent="0.55000000000000004">
      <c r="A496" s="592">
        <v>495</v>
      </c>
      <c r="B496" s="596" t="s">
        <v>8678</v>
      </c>
      <c r="C496" s="592" t="s">
        <v>8679</v>
      </c>
      <c r="D496" s="592">
        <v>1</v>
      </c>
      <c r="E496" s="597">
        <v>8000</v>
      </c>
      <c r="F496" s="597">
        <v>8000</v>
      </c>
      <c r="G496" s="597">
        <v>6510</v>
      </c>
      <c r="H496" s="592" t="s">
        <v>933</v>
      </c>
    </row>
    <row r="497" spans="1:8" ht="24.75" customHeight="1" x14ac:dyDescent="0.55000000000000004">
      <c r="A497" s="592">
        <v>496</v>
      </c>
      <c r="B497" s="596" t="s">
        <v>2477</v>
      </c>
      <c r="C497" s="592" t="s">
        <v>2478</v>
      </c>
      <c r="D497" s="592">
        <v>145</v>
      </c>
      <c r="E497" s="597">
        <v>300</v>
      </c>
      <c r="F497" s="597">
        <v>300</v>
      </c>
      <c r="G497" s="597">
        <v>11745</v>
      </c>
      <c r="H497" s="592" t="s">
        <v>933</v>
      </c>
    </row>
    <row r="498" spans="1:8" ht="24.75" customHeight="1" x14ac:dyDescent="0.55000000000000004">
      <c r="A498" s="592">
        <v>497</v>
      </c>
      <c r="B498" s="596" t="s">
        <v>3857</v>
      </c>
      <c r="C498" s="592" t="s">
        <v>3858</v>
      </c>
      <c r="D498" s="592">
        <v>2</v>
      </c>
      <c r="E498" s="597">
        <v>3500</v>
      </c>
      <c r="F498" s="597">
        <v>3500</v>
      </c>
      <c r="G498" s="597">
        <v>5000</v>
      </c>
      <c r="H498" s="592" t="s">
        <v>933</v>
      </c>
    </row>
    <row r="499" spans="1:8" ht="24.75" customHeight="1" x14ac:dyDescent="0.55000000000000004">
      <c r="A499" s="592">
        <v>498</v>
      </c>
      <c r="B499" s="596" t="s">
        <v>2536</v>
      </c>
      <c r="C499" s="592" t="s">
        <v>2537</v>
      </c>
      <c r="D499" s="592">
        <v>4</v>
      </c>
      <c r="E499" s="597">
        <v>5500</v>
      </c>
      <c r="F499" s="597">
        <v>5500</v>
      </c>
      <c r="G499" s="597">
        <v>17632</v>
      </c>
      <c r="H499" s="592" t="s">
        <v>933</v>
      </c>
    </row>
    <row r="500" spans="1:8" ht="24.75" customHeight="1" x14ac:dyDescent="0.55000000000000004">
      <c r="A500" s="592">
        <v>499</v>
      </c>
      <c r="B500" s="596" t="s">
        <v>3859</v>
      </c>
      <c r="C500" s="592" t="s">
        <v>3860</v>
      </c>
      <c r="D500" s="592">
        <v>2</v>
      </c>
      <c r="E500" s="597">
        <v>23000</v>
      </c>
      <c r="F500" s="597">
        <v>23000</v>
      </c>
      <c r="G500" s="597">
        <v>33922</v>
      </c>
      <c r="H500" s="592" t="s">
        <v>933</v>
      </c>
    </row>
    <row r="501" spans="1:8" ht="24.75" customHeight="1" x14ac:dyDescent="0.55000000000000004">
      <c r="A501" s="592">
        <v>500</v>
      </c>
      <c r="B501" s="596" t="s">
        <v>6158</v>
      </c>
      <c r="C501" s="592">
        <v>6205</v>
      </c>
      <c r="D501" s="592">
        <v>1</v>
      </c>
      <c r="E501" s="597">
        <v>1500</v>
      </c>
      <c r="F501" s="597">
        <v>1500</v>
      </c>
      <c r="G501" s="597">
        <v>1500</v>
      </c>
      <c r="H501" s="592" t="s">
        <v>933</v>
      </c>
    </row>
    <row r="502" spans="1:8" ht="24.75" customHeight="1" x14ac:dyDescent="0.55000000000000004">
      <c r="A502" s="592">
        <v>501</v>
      </c>
      <c r="B502" s="596" t="s">
        <v>3861</v>
      </c>
      <c r="C502" s="592">
        <v>6005</v>
      </c>
      <c r="D502" s="592">
        <v>8</v>
      </c>
      <c r="E502" s="597">
        <v>1700</v>
      </c>
      <c r="F502" s="597">
        <v>1700</v>
      </c>
      <c r="G502" s="597">
        <v>7600</v>
      </c>
      <c r="H502" s="592" t="s">
        <v>933</v>
      </c>
    </row>
    <row r="503" spans="1:8" ht="24.75" customHeight="1" x14ac:dyDescent="0.55000000000000004">
      <c r="A503" s="592">
        <v>502</v>
      </c>
      <c r="B503" s="596" t="s">
        <v>3862</v>
      </c>
      <c r="C503" s="592" t="s">
        <v>3863</v>
      </c>
      <c r="D503" s="592">
        <v>4</v>
      </c>
      <c r="E503" s="597">
        <v>1000</v>
      </c>
      <c r="F503" s="597">
        <v>1000</v>
      </c>
      <c r="G503" s="597">
        <v>2200</v>
      </c>
      <c r="H503" s="592" t="s">
        <v>933</v>
      </c>
    </row>
    <row r="504" spans="1:8" ht="24.75" customHeight="1" x14ac:dyDescent="0.55000000000000004">
      <c r="A504" s="592">
        <v>503</v>
      </c>
      <c r="B504" s="596" t="s">
        <v>3864</v>
      </c>
      <c r="C504" s="592" t="s">
        <v>3865</v>
      </c>
      <c r="D504" s="592">
        <v>1</v>
      </c>
      <c r="E504" s="597">
        <v>80000</v>
      </c>
      <c r="F504" s="597">
        <v>80000</v>
      </c>
      <c r="G504" s="597">
        <v>42200</v>
      </c>
      <c r="H504" s="592" t="s">
        <v>933</v>
      </c>
    </row>
    <row r="505" spans="1:8" ht="24.75" customHeight="1" x14ac:dyDescent="0.55000000000000004">
      <c r="A505" s="592">
        <v>504</v>
      </c>
      <c r="B505" s="596" t="s">
        <v>3866</v>
      </c>
      <c r="C505" s="592" t="s">
        <v>3867</v>
      </c>
      <c r="D505" s="592">
        <v>3</v>
      </c>
      <c r="E505" s="597">
        <v>3000</v>
      </c>
      <c r="F505" s="597">
        <v>3000</v>
      </c>
      <c r="G505" s="597">
        <v>5850</v>
      </c>
      <c r="H505" s="592" t="s">
        <v>933</v>
      </c>
    </row>
    <row r="506" spans="1:8" ht="24.75" customHeight="1" x14ac:dyDescent="0.55000000000000004">
      <c r="A506" s="592">
        <v>505</v>
      </c>
      <c r="B506" s="596" t="s">
        <v>2872</v>
      </c>
      <c r="C506" s="592" t="s">
        <v>2827</v>
      </c>
      <c r="D506" s="592">
        <v>2</v>
      </c>
      <c r="E506" s="597">
        <v>6500</v>
      </c>
      <c r="F506" s="597">
        <v>6500</v>
      </c>
      <c r="G506" s="597">
        <v>5500</v>
      </c>
      <c r="H506" s="592" t="s">
        <v>933</v>
      </c>
    </row>
    <row r="507" spans="1:8" ht="24.75" customHeight="1" x14ac:dyDescent="0.55000000000000004">
      <c r="A507" s="592">
        <v>506</v>
      </c>
      <c r="B507" s="596" t="s">
        <v>3868</v>
      </c>
      <c r="C507" s="592" t="s">
        <v>3869</v>
      </c>
      <c r="D507" s="592">
        <v>47</v>
      </c>
      <c r="E507" s="597">
        <v>950</v>
      </c>
      <c r="F507" s="597">
        <v>950</v>
      </c>
      <c r="G507" s="597">
        <v>37036</v>
      </c>
      <c r="H507" s="592" t="s">
        <v>933</v>
      </c>
    </row>
    <row r="508" spans="1:8" ht="24.75" customHeight="1" x14ac:dyDescent="0.55000000000000004">
      <c r="A508" s="592">
        <v>507</v>
      </c>
      <c r="B508" s="596" t="s">
        <v>3870</v>
      </c>
      <c r="C508" s="592" t="s">
        <v>3871</v>
      </c>
      <c r="D508" s="592">
        <v>10</v>
      </c>
      <c r="E508" s="597">
        <v>35000</v>
      </c>
      <c r="F508" s="597">
        <v>35000</v>
      </c>
      <c r="G508" s="597">
        <v>290760</v>
      </c>
      <c r="H508" s="592" t="s">
        <v>933</v>
      </c>
    </row>
    <row r="509" spans="1:8" ht="24.75" customHeight="1" x14ac:dyDescent="0.55000000000000004">
      <c r="A509" s="592">
        <v>508</v>
      </c>
      <c r="B509" s="596" t="s">
        <v>3872</v>
      </c>
      <c r="C509" s="592" t="s">
        <v>3873</v>
      </c>
      <c r="D509" s="592">
        <v>1</v>
      </c>
      <c r="E509" s="597">
        <v>24000</v>
      </c>
      <c r="F509" s="597">
        <v>24000</v>
      </c>
      <c r="G509" s="597">
        <v>17500</v>
      </c>
      <c r="H509" s="592" t="s">
        <v>933</v>
      </c>
    </row>
    <row r="510" spans="1:8" ht="24.75" customHeight="1" x14ac:dyDescent="0.55000000000000004">
      <c r="A510" s="592">
        <v>509</v>
      </c>
      <c r="B510" s="596" t="s">
        <v>3874</v>
      </c>
      <c r="C510" s="592" t="s">
        <v>1792</v>
      </c>
      <c r="D510" s="592">
        <v>2</v>
      </c>
      <c r="E510" s="597">
        <v>1100</v>
      </c>
      <c r="F510" s="597">
        <v>1100</v>
      </c>
      <c r="G510" s="597">
        <v>1310</v>
      </c>
      <c r="H510" s="592" t="s">
        <v>933</v>
      </c>
    </row>
    <row r="511" spans="1:8" ht="24.75" customHeight="1" x14ac:dyDescent="0.55000000000000004">
      <c r="A511" s="592">
        <v>510</v>
      </c>
      <c r="B511" s="596" t="s">
        <v>3875</v>
      </c>
      <c r="C511" s="592" t="s">
        <v>1796</v>
      </c>
      <c r="D511" s="592">
        <v>3</v>
      </c>
      <c r="E511" s="597">
        <v>1300</v>
      </c>
      <c r="F511" s="597">
        <v>1300</v>
      </c>
      <c r="G511" s="597">
        <v>2700</v>
      </c>
      <c r="H511" s="592" t="s">
        <v>933</v>
      </c>
    </row>
    <row r="512" spans="1:8" ht="24.75" customHeight="1" x14ac:dyDescent="0.55000000000000004">
      <c r="A512" s="592">
        <v>511</v>
      </c>
      <c r="B512" s="596" t="s">
        <v>3876</v>
      </c>
      <c r="C512" s="592" t="s">
        <v>3877</v>
      </c>
      <c r="D512" s="592">
        <v>3</v>
      </c>
      <c r="E512" s="597">
        <v>1700</v>
      </c>
      <c r="F512" s="597">
        <v>1700</v>
      </c>
      <c r="G512" s="597">
        <v>2610</v>
      </c>
      <c r="H512" s="592" t="s">
        <v>933</v>
      </c>
    </row>
    <row r="513" spans="1:8" ht="24.75" customHeight="1" x14ac:dyDescent="0.55000000000000004">
      <c r="A513" s="592">
        <v>512</v>
      </c>
      <c r="B513" s="596" t="s">
        <v>3878</v>
      </c>
      <c r="C513" s="592" t="s">
        <v>3879</v>
      </c>
      <c r="D513" s="592">
        <v>2</v>
      </c>
      <c r="E513" s="597">
        <v>1400</v>
      </c>
      <c r="F513" s="597">
        <v>1400</v>
      </c>
      <c r="G513" s="597">
        <v>1430</v>
      </c>
      <c r="H513" s="592" t="s">
        <v>933</v>
      </c>
    </row>
    <row r="514" spans="1:8" ht="24.75" customHeight="1" x14ac:dyDescent="0.55000000000000004">
      <c r="A514" s="592">
        <v>513</v>
      </c>
      <c r="B514" s="596" t="s">
        <v>2982</v>
      </c>
      <c r="C514" s="592" t="s">
        <v>2983</v>
      </c>
      <c r="D514" s="592">
        <v>3</v>
      </c>
      <c r="E514" s="597">
        <v>1700</v>
      </c>
      <c r="F514" s="597">
        <v>1700</v>
      </c>
      <c r="G514" s="597">
        <v>2706</v>
      </c>
      <c r="H514" s="592" t="s">
        <v>933</v>
      </c>
    </row>
    <row r="515" spans="1:8" ht="24.75" customHeight="1" x14ac:dyDescent="0.55000000000000004">
      <c r="A515" s="592">
        <v>514</v>
      </c>
      <c r="B515" s="596" t="s">
        <v>6787</v>
      </c>
      <c r="C515" s="592" t="s">
        <v>6788</v>
      </c>
      <c r="D515" s="592">
        <v>6</v>
      </c>
      <c r="E515" s="597">
        <v>10000</v>
      </c>
      <c r="F515" s="597">
        <v>10000</v>
      </c>
      <c r="G515" s="597">
        <v>39372</v>
      </c>
      <c r="H515" s="592" t="s">
        <v>933</v>
      </c>
    </row>
    <row r="516" spans="1:8" ht="24.75" customHeight="1" x14ac:dyDescent="0.55000000000000004">
      <c r="A516" s="592">
        <v>515</v>
      </c>
      <c r="B516" s="596" t="s">
        <v>3880</v>
      </c>
      <c r="C516" s="592" t="s">
        <v>3881</v>
      </c>
      <c r="D516" s="592">
        <v>2</v>
      </c>
      <c r="E516" s="597">
        <v>4200</v>
      </c>
      <c r="F516" s="597">
        <v>4200</v>
      </c>
      <c r="G516" s="597">
        <v>4200</v>
      </c>
      <c r="H516" s="592" t="s">
        <v>933</v>
      </c>
    </row>
    <row r="517" spans="1:8" ht="24.75" customHeight="1" x14ac:dyDescent="0.55000000000000004">
      <c r="A517" s="592">
        <v>516</v>
      </c>
      <c r="B517" s="596" t="s">
        <v>3882</v>
      </c>
      <c r="C517" s="592" t="s">
        <v>8378</v>
      </c>
      <c r="D517" s="592">
        <v>2</v>
      </c>
      <c r="E517" s="597">
        <v>9500</v>
      </c>
      <c r="F517" s="597">
        <v>9500</v>
      </c>
      <c r="G517" s="597">
        <v>9156</v>
      </c>
      <c r="H517" s="592" t="s">
        <v>933</v>
      </c>
    </row>
    <row r="518" spans="1:8" ht="24.75" customHeight="1" x14ac:dyDescent="0.55000000000000004">
      <c r="A518" s="592">
        <v>517</v>
      </c>
      <c r="B518" s="596" t="s">
        <v>3028</v>
      </c>
      <c r="C518" s="592" t="s">
        <v>8525</v>
      </c>
      <c r="D518" s="592">
        <v>33</v>
      </c>
      <c r="E518" s="597">
        <v>4500</v>
      </c>
      <c r="F518" s="597">
        <v>4500</v>
      </c>
      <c r="G518" s="597">
        <v>121143</v>
      </c>
      <c r="H518" s="592" t="s">
        <v>933</v>
      </c>
    </row>
    <row r="519" spans="1:8" ht="24.75" customHeight="1" x14ac:dyDescent="0.55000000000000004">
      <c r="A519" s="592">
        <v>518</v>
      </c>
      <c r="B519" s="596" t="s">
        <v>3050</v>
      </c>
      <c r="C519" s="592" t="s">
        <v>3051</v>
      </c>
      <c r="D519" s="592">
        <v>21</v>
      </c>
      <c r="E519" s="597">
        <v>7500</v>
      </c>
      <c r="F519" s="597">
        <v>7500</v>
      </c>
      <c r="G519" s="597">
        <v>106134</v>
      </c>
      <c r="H519" s="592" t="s">
        <v>933</v>
      </c>
    </row>
    <row r="520" spans="1:8" ht="24.75" customHeight="1" x14ac:dyDescent="0.55000000000000004">
      <c r="A520" s="592">
        <v>519</v>
      </c>
      <c r="B520" s="596" t="s">
        <v>3883</v>
      </c>
      <c r="C520" s="592" t="s">
        <v>3884</v>
      </c>
      <c r="D520" s="592">
        <v>13</v>
      </c>
      <c r="E520" s="597">
        <v>200</v>
      </c>
      <c r="F520" s="597">
        <v>200</v>
      </c>
      <c r="G520" s="597">
        <v>1092</v>
      </c>
      <c r="H520" s="592" t="s">
        <v>933</v>
      </c>
    </row>
    <row r="521" spans="1:8" ht="24.75" customHeight="1" x14ac:dyDescent="0.55000000000000004">
      <c r="A521" s="592">
        <v>520</v>
      </c>
      <c r="B521" s="596" t="s">
        <v>3104</v>
      </c>
      <c r="C521" s="592" t="s">
        <v>3105</v>
      </c>
      <c r="D521" s="592">
        <v>1</v>
      </c>
      <c r="E521" s="597">
        <v>1800</v>
      </c>
      <c r="F521" s="597">
        <v>1800</v>
      </c>
      <c r="G521" s="597">
        <v>1200</v>
      </c>
      <c r="H521" s="592" t="s">
        <v>933</v>
      </c>
    </row>
    <row r="522" spans="1:8" ht="24.75" customHeight="1" x14ac:dyDescent="0.55000000000000004">
      <c r="A522" s="592">
        <v>521</v>
      </c>
      <c r="B522" s="596" t="s">
        <v>3106</v>
      </c>
      <c r="C522" s="592" t="s">
        <v>3107</v>
      </c>
      <c r="D522" s="592">
        <v>5</v>
      </c>
      <c r="E522" s="597">
        <v>2000</v>
      </c>
      <c r="F522" s="597">
        <v>2000</v>
      </c>
      <c r="G522" s="597">
        <v>3500</v>
      </c>
      <c r="H522" s="592" t="s">
        <v>933</v>
      </c>
    </row>
    <row r="523" spans="1:8" ht="24.75" customHeight="1" x14ac:dyDescent="0.55000000000000004">
      <c r="A523" s="592">
        <v>522</v>
      </c>
      <c r="B523" s="596" t="s">
        <v>3225</v>
      </c>
      <c r="C523" s="592" t="s">
        <v>3226</v>
      </c>
      <c r="D523" s="592">
        <v>4</v>
      </c>
      <c r="E523" s="597">
        <v>5000</v>
      </c>
      <c r="F523" s="597">
        <v>5000</v>
      </c>
      <c r="G523" s="597">
        <v>8800</v>
      </c>
      <c r="H523" s="592" t="s">
        <v>933</v>
      </c>
    </row>
    <row r="524" spans="1:8" ht="24.75" customHeight="1" x14ac:dyDescent="0.55000000000000004">
      <c r="A524" s="592">
        <v>523</v>
      </c>
      <c r="B524" s="596" t="s">
        <v>3885</v>
      </c>
      <c r="C524" s="592" t="s">
        <v>3886</v>
      </c>
      <c r="D524" s="592">
        <v>1</v>
      </c>
      <c r="E524" s="597">
        <v>53000</v>
      </c>
      <c r="F524" s="597">
        <v>53000</v>
      </c>
      <c r="G524" s="597">
        <v>40800</v>
      </c>
      <c r="H524" s="592" t="s">
        <v>933</v>
      </c>
    </row>
    <row r="525" spans="1:8" ht="24.75" customHeight="1" x14ac:dyDescent="0.55000000000000004">
      <c r="A525" s="592">
        <v>524</v>
      </c>
      <c r="B525" s="596" t="s">
        <v>8379</v>
      </c>
      <c r="C525" s="592" t="s">
        <v>8380</v>
      </c>
      <c r="D525" s="592">
        <v>38</v>
      </c>
      <c r="E525" s="597">
        <v>2000</v>
      </c>
      <c r="F525" s="597">
        <v>2000</v>
      </c>
      <c r="G525" s="597">
        <v>58634</v>
      </c>
      <c r="H525" s="592" t="s">
        <v>933</v>
      </c>
    </row>
    <row r="526" spans="1:8" ht="24.75" customHeight="1" x14ac:dyDescent="0.55000000000000004">
      <c r="A526" s="592">
        <v>525</v>
      </c>
      <c r="B526" s="596" t="s">
        <v>3887</v>
      </c>
      <c r="C526" s="592" t="s">
        <v>3888</v>
      </c>
      <c r="D526" s="592">
        <v>4</v>
      </c>
      <c r="E526" s="597">
        <v>500</v>
      </c>
      <c r="F526" s="597">
        <v>500</v>
      </c>
      <c r="G526" s="597">
        <v>464</v>
      </c>
      <c r="H526" s="592" t="s">
        <v>933</v>
      </c>
    </row>
    <row r="527" spans="1:8" ht="24.75" customHeight="1" x14ac:dyDescent="0.55000000000000004">
      <c r="A527" s="592">
        <v>526</v>
      </c>
      <c r="B527" s="596" t="s">
        <v>3052</v>
      </c>
      <c r="C527" s="592" t="s">
        <v>3053</v>
      </c>
      <c r="D527" s="592">
        <v>49</v>
      </c>
      <c r="E527" s="597">
        <v>6500</v>
      </c>
      <c r="F527" s="597">
        <v>6500</v>
      </c>
      <c r="G527" s="597">
        <v>285768</v>
      </c>
      <c r="H527" s="592" t="s">
        <v>933</v>
      </c>
    </row>
    <row r="528" spans="1:8" ht="24.75" customHeight="1" x14ac:dyDescent="0.55000000000000004">
      <c r="A528" s="592">
        <v>527</v>
      </c>
      <c r="B528" s="596" t="s">
        <v>3054</v>
      </c>
      <c r="C528" s="592" t="s">
        <v>3055</v>
      </c>
      <c r="D528" s="592">
        <v>36</v>
      </c>
      <c r="E528" s="597">
        <v>1000</v>
      </c>
      <c r="F528" s="597">
        <v>1000</v>
      </c>
      <c r="G528" s="597">
        <v>20088</v>
      </c>
      <c r="H528" s="592" t="s">
        <v>933</v>
      </c>
    </row>
    <row r="529" spans="1:8" ht="24.75" customHeight="1" x14ac:dyDescent="0.55000000000000004">
      <c r="A529" s="592">
        <v>528</v>
      </c>
      <c r="B529" s="596" t="s">
        <v>3889</v>
      </c>
      <c r="C529" s="592" t="s">
        <v>3890</v>
      </c>
      <c r="D529" s="592">
        <v>3</v>
      </c>
      <c r="E529" s="597">
        <v>10000</v>
      </c>
      <c r="F529" s="597">
        <v>10000</v>
      </c>
      <c r="G529" s="597">
        <v>18300</v>
      </c>
      <c r="H529" s="592" t="s">
        <v>933</v>
      </c>
    </row>
    <row r="530" spans="1:8" ht="24.75" customHeight="1" x14ac:dyDescent="0.55000000000000004">
      <c r="A530" s="592">
        <v>529</v>
      </c>
      <c r="B530" s="596" t="s">
        <v>6544</v>
      </c>
      <c r="C530" s="592" t="s">
        <v>6545</v>
      </c>
      <c r="D530" s="592">
        <v>1</v>
      </c>
      <c r="E530" s="597">
        <v>12000</v>
      </c>
      <c r="F530" s="597">
        <v>12000</v>
      </c>
      <c r="G530" s="597">
        <v>8540</v>
      </c>
      <c r="H530" s="592" t="s">
        <v>933</v>
      </c>
    </row>
    <row r="531" spans="1:8" ht="24.75" customHeight="1" x14ac:dyDescent="0.55000000000000004">
      <c r="A531" s="592">
        <v>530</v>
      </c>
      <c r="B531" s="596" t="s">
        <v>6546</v>
      </c>
      <c r="C531" s="592" t="s">
        <v>6547</v>
      </c>
      <c r="D531" s="592">
        <v>1</v>
      </c>
      <c r="E531" s="597">
        <v>65000</v>
      </c>
      <c r="F531" s="597">
        <v>65000</v>
      </c>
      <c r="G531" s="597">
        <v>20000</v>
      </c>
      <c r="H531" s="592" t="s">
        <v>933</v>
      </c>
    </row>
    <row r="532" spans="1:8" ht="24.75" customHeight="1" x14ac:dyDescent="0.55000000000000004">
      <c r="A532" s="592">
        <v>531</v>
      </c>
      <c r="B532" s="596" t="s">
        <v>6947</v>
      </c>
      <c r="C532" s="592" t="s">
        <v>6948</v>
      </c>
      <c r="D532" s="592">
        <v>14</v>
      </c>
      <c r="E532" s="597">
        <v>12000</v>
      </c>
      <c r="F532" s="597">
        <v>12000</v>
      </c>
      <c r="G532" s="597">
        <v>133616</v>
      </c>
      <c r="H532" s="592" t="s">
        <v>933</v>
      </c>
    </row>
    <row r="533" spans="1:8" ht="24.75" customHeight="1" x14ac:dyDescent="0.55000000000000004">
      <c r="A533" s="592">
        <v>532</v>
      </c>
      <c r="B533" s="596" t="s">
        <v>6949</v>
      </c>
      <c r="C533" s="592" t="s">
        <v>7312</v>
      </c>
      <c r="D533" s="592">
        <v>2</v>
      </c>
      <c r="E533" s="597">
        <v>2700</v>
      </c>
      <c r="F533" s="597">
        <v>2700</v>
      </c>
      <c r="G533" s="597">
        <v>3940</v>
      </c>
      <c r="H533" s="592" t="s">
        <v>933</v>
      </c>
    </row>
    <row r="534" spans="1:8" ht="24.75" customHeight="1" x14ac:dyDescent="0.55000000000000004">
      <c r="A534" s="592">
        <v>533</v>
      </c>
      <c r="B534" s="596" t="s">
        <v>6950</v>
      </c>
      <c r="C534" s="592" t="s">
        <v>7313</v>
      </c>
      <c r="D534" s="592">
        <v>8</v>
      </c>
      <c r="E534" s="597">
        <v>5000</v>
      </c>
      <c r="F534" s="597">
        <v>5000</v>
      </c>
      <c r="G534" s="597">
        <v>27408</v>
      </c>
      <c r="H534" s="592" t="s">
        <v>933</v>
      </c>
    </row>
    <row r="535" spans="1:8" ht="24.75" customHeight="1" x14ac:dyDescent="0.55000000000000004">
      <c r="A535" s="592">
        <v>534</v>
      </c>
      <c r="B535" s="596" t="s">
        <v>6951</v>
      </c>
      <c r="C535" s="592" t="s">
        <v>6952</v>
      </c>
      <c r="D535" s="592">
        <v>8</v>
      </c>
      <c r="E535" s="597">
        <v>5500</v>
      </c>
      <c r="F535" s="597">
        <v>5500</v>
      </c>
      <c r="G535" s="597">
        <v>27408</v>
      </c>
      <c r="H535" s="592" t="s">
        <v>933</v>
      </c>
    </row>
    <row r="536" spans="1:8" ht="24.75" customHeight="1" x14ac:dyDescent="0.55000000000000004">
      <c r="A536" s="592">
        <v>535</v>
      </c>
      <c r="B536" s="596" t="s">
        <v>6953</v>
      </c>
      <c r="C536" s="592" t="s">
        <v>6954</v>
      </c>
      <c r="D536" s="592">
        <v>1</v>
      </c>
      <c r="E536" s="597">
        <v>35000</v>
      </c>
      <c r="F536" s="597">
        <v>35000</v>
      </c>
      <c r="G536" s="597">
        <v>30581</v>
      </c>
      <c r="H536" s="592" t="s">
        <v>933</v>
      </c>
    </row>
    <row r="537" spans="1:8" ht="24.75" customHeight="1" x14ac:dyDescent="0.55000000000000004">
      <c r="A537" s="592">
        <v>536</v>
      </c>
      <c r="B537" s="596" t="s">
        <v>6955</v>
      </c>
      <c r="C537" s="592" t="s">
        <v>3254</v>
      </c>
      <c r="D537" s="592">
        <v>19</v>
      </c>
      <c r="E537" s="597">
        <v>2500</v>
      </c>
      <c r="F537" s="597">
        <v>2500</v>
      </c>
      <c r="G537" s="597">
        <v>32547</v>
      </c>
      <c r="H537" s="592" t="s">
        <v>933</v>
      </c>
    </row>
    <row r="538" spans="1:8" ht="24.75" customHeight="1" x14ac:dyDescent="0.55000000000000004">
      <c r="A538" s="592">
        <v>537</v>
      </c>
      <c r="B538" s="596" t="s">
        <v>6957</v>
      </c>
      <c r="C538" s="592" t="s">
        <v>6958</v>
      </c>
      <c r="D538" s="592">
        <v>2</v>
      </c>
      <c r="E538" s="597">
        <v>23000</v>
      </c>
      <c r="F538" s="597">
        <v>23000</v>
      </c>
      <c r="G538" s="597">
        <v>35970</v>
      </c>
      <c r="H538" s="592" t="s">
        <v>933</v>
      </c>
    </row>
    <row r="539" spans="1:8" ht="24.75" customHeight="1" x14ac:dyDescent="0.55000000000000004">
      <c r="A539" s="592">
        <v>538</v>
      </c>
      <c r="B539" s="596" t="s">
        <v>6959</v>
      </c>
      <c r="C539" s="592" t="s">
        <v>6960</v>
      </c>
      <c r="D539" s="592">
        <v>1</v>
      </c>
      <c r="E539" s="597">
        <v>20000</v>
      </c>
      <c r="F539" s="597">
        <v>20000</v>
      </c>
      <c r="G539" s="597">
        <v>16618</v>
      </c>
      <c r="H539" s="592" t="s">
        <v>933</v>
      </c>
    </row>
    <row r="540" spans="1:8" ht="24.75" customHeight="1" x14ac:dyDescent="0.55000000000000004">
      <c r="A540" s="592">
        <v>539</v>
      </c>
      <c r="B540" s="596" t="s">
        <v>6961</v>
      </c>
      <c r="C540" s="592" t="s">
        <v>6962</v>
      </c>
      <c r="D540" s="592">
        <v>6</v>
      </c>
      <c r="E540" s="597">
        <v>28000</v>
      </c>
      <c r="F540" s="597">
        <v>28000</v>
      </c>
      <c r="G540" s="597">
        <v>142410</v>
      </c>
      <c r="H540" s="592" t="s">
        <v>933</v>
      </c>
    </row>
    <row r="541" spans="1:8" ht="24.75" customHeight="1" x14ac:dyDescent="0.55000000000000004">
      <c r="A541" s="592">
        <v>540</v>
      </c>
      <c r="B541" s="596" t="s">
        <v>7497</v>
      </c>
      <c r="C541" s="592" t="s">
        <v>7498</v>
      </c>
      <c r="D541" s="592">
        <v>10</v>
      </c>
      <c r="E541" s="597">
        <v>800</v>
      </c>
      <c r="F541" s="597">
        <v>800</v>
      </c>
      <c r="G541" s="597">
        <v>5130</v>
      </c>
      <c r="H541" s="592" t="s">
        <v>933</v>
      </c>
    </row>
    <row r="542" spans="1:8" ht="24.75" customHeight="1" x14ac:dyDescent="0.55000000000000004">
      <c r="A542" s="592">
        <v>541</v>
      </c>
      <c r="B542" s="596" t="s">
        <v>7499</v>
      </c>
      <c r="C542" s="592" t="s">
        <v>7500</v>
      </c>
      <c r="D542" s="592">
        <v>2</v>
      </c>
      <c r="E542" s="597">
        <v>30000</v>
      </c>
      <c r="F542" s="597">
        <v>30000</v>
      </c>
      <c r="G542" s="597">
        <v>51548</v>
      </c>
      <c r="H542" s="592" t="s">
        <v>933</v>
      </c>
    </row>
    <row r="543" spans="1:8" ht="24.75" customHeight="1" x14ac:dyDescent="0.55000000000000004">
      <c r="A543" s="592">
        <v>542</v>
      </c>
      <c r="B543" s="596" t="s">
        <v>7501</v>
      </c>
      <c r="C543" s="592" t="s">
        <v>7502</v>
      </c>
      <c r="D543" s="592">
        <v>3</v>
      </c>
      <c r="E543" s="597">
        <v>30000</v>
      </c>
      <c r="F543" s="597">
        <v>30000</v>
      </c>
      <c r="G543" s="597">
        <v>77322</v>
      </c>
      <c r="H543" s="592" t="s">
        <v>933</v>
      </c>
    </row>
    <row r="544" spans="1:8" ht="24.75" customHeight="1" x14ac:dyDescent="0.55000000000000004">
      <c r="A544" s="592">
        <v>543</v>
      </c>
      <c r="B544" s="596" t="s">
        <v>7503</v>
      </c>
      <c r="C544" s="592" t="s">
        <v>7504</v>
      </c>
      <c r="D544" s="592">
        <v>9</v>
      </c>
      <c r="E544" s="597">
        <v>10000</v>
      </c>
      <c r="F544" s="597">
        <v>10000</v>
      </c>
      <c r="G544" s="597">
        <v>73233</v>
      </c>
      <c r="H544" s="592" t="s">
        <v>933</v>
      </c>
    </row>
    <row r="545" spans="1:8" ht="24.75" customHeight="1" x14ac:dyDescent="0.55000000000000004">
      <c r="A545" s="592">
        <v>544</v>
      </c>
      <c r="B545" s="596" t="s">
        <v>8010</v>
      </c>
      <c r="C545" s="592" t="s">
        <v>8011</v>
      </c>
      <c r="D545" s="592">
        <v>2</v>
      </c>
      <c r="E545" s="597">
        <v>1500</v>
      </c>
      <c r="F545" s="597">
        <v>1500</v>
      </c>
      <c r="G545" s="597">
        <v>1918</v>
      </c>
      <c r="H545" s="592" t="s">
        <v>933</v>
      </c>
    </row>
    <row r="546" spans="1:8" ht="24.75" customHeight="1" x14ac:dyDescent="0.55000000000000004">
      <c r="A546" s="592">
        <v>545</v>
      </c>
      <c r="B546" s="596" t="s">
        <v>8012</v>
      </c>
      <c r="C546" s="592" t="s">
        <v>8013</v>
      </c>
      <c r="D546" s="592">
        <v>1</v>
      </c>
      <c r="E546" s="597">
        <v>27000</v>
      </c>
      <c r="F546" s="597">
        <v>27000</v>
      </c>
      <c r="G546" s="597">
        <v>20794</v>
      </c>
      <c r="H546" s="592" t="s">
        <v>933</v>
      </c>
    </row>
    <row r="547" spans="1:8" ht="24.75" customHeight="1" x14ac:dyDescent="0.55000000000000004">
      <c r="A547" s="592">
        <v>546</v>
      </c>
      <c r="B547" s="596" t="s">
        <v>8014</v>
      </c>
      <c r="C547" s="592" t="s">
        <v>8015</v>
      </c>
      <c r="D547" s="592">
        <v>1</v>
      </c>
      <c r="E547" s="597">
        <v>30000</v>
      </c>
      <c r="F547" s="597">
        <v>30000</v>
      </c>
      <c r="G547" s="597">
        <v>23255</v>
      </c>
      <c r="H547" s="592" t="s">
        <v>933</v>
      </c>
    </row>
    <row r="548" spans="1:8" ht="24.75" customHeight="1" x14ac:dyDescent="0.55000000000000004">
      <c r="A548" s="592">
        <v>547</v>
      </c>
      <c r="B548" s="596" t="s">
        <v>8016</v>
      </c>
      <c r="C548" s="592" t="s">
        <v>8017</v>
      </c>
      <c r="D548" s="592">
        <v>2</v>
      </c>
      <c r="E548" s="597">
        <v>14000</v>
      </c>
      <c r="F548" s="597">
        <v>14000</v>
      </c>
      <c r="G548" s="597">
        <v>22912</v>
      </c>
      <c r="H548" s="592" t="s">
        <v>933</v>
      </c>
    </row>
    <row r="549" spans="1:8" ht="24.75" customHeight="1" x14ac:dyDescent="0.55000000000000004">
      <c r="A549" s="592">
        <v>548</v>
      </c>
      <c r="B549" s="596" t="s">
        <v>8018</v>
      </c>
      <c r="C549" s="592" t="s">
        <v>8019</v>
      </c>
      <c r="D549" s="592">
        <v>2</v>
      </c>
      <c r="E549" s="597">
        <v>14000</v>
      </c>
      <c r="F549" s="597">
        <v>14000</v>
      </c>
      <c r="G549" s="597">
        <v>23152</v>
      </c>
      <c r="H549" s="592" t="s">
        <v>933</v>
      </c>
    </row>
    <row r="550" spans="1:8" ht="24.75" customHeight="1" x14ac:dyDescent="0.55000000000000004">
      <c r="A550" s="592">
        <v>549</v>
      </c>
      <c r="B550" s="596" t="s">
        <v>8020</v>
      </c>
      <c r="C550" s="592" t="s">
        <v>8021</v>
      </c>
      <c r="D550" s="592">
        <v>2</v>
      </c>
      <c r="E550" s="597">
        <v>13500</v>
      </c>
      <c r="F550" s="597">
        <v>13500</v>
      </c>
      <c r="G550" s="597">
        <v>20726</v>
      </c>
      <c r="H550" s="592" t="s">
        <v>933</v>
      </c>
    </row>
    <row r="551" spans="1:8" ht="24.75" customHeight="1" x14ac:dyDescent="0.55000000000000004">
      <c r="A551" s="592">
        <v>550</v>
      </c>
      <c r="B551" s="596" t="s">
        <v>8022</v>
      </c>
      <c r="C551" s="592" t="s">
        <v>8023</v>
      </c>
      <c r="D551" s="592">
        <v>2</v>
      </c>
      <c r="E551" s="597">
        <v>8000</v>
      </c>
      <c r="F551" s="597">
        <v>8000</v>
      </c>
      <c r="G551" s="597">
        <v>10908</v>
      </c>
      <c r="H551" s="592" t="s">
        <v>933</v>
      </c>
    </row>
    <row r="552" spans="1:8" ht="24.75" customHeight="1" x14ac:dyDescent="0.55000000000000004">
      <c r="A552" s="592">
        <v>551</v>
      </c>
      <c r="B552" s="596" t="s">
        <v>8680</v>
      </c>
      <c r="C552" s="592" t="s">
        <v>8681</v>
      </c>
      <c r="D552" s="592">
        <v>1</v>
      </c>
      <c r="E552" s="597">
        <v>32000</v>
      </c>
      <c r="F552" s="597">
        <v>32000</v>
      </c>
      <c r="G552" s="597">
        <v>25725</v>
      </c>
      <c r="H552" s="592" t="s">
        <v>933</v>
      </c>
    </row>
    <row r="553" spans="1:8" ht="24.75" customHeight="1" x14ac:dyDescent="0.55000000000000004">
      <c r="A553" s="592">
        <v>552</v>
      </c>
      <c r="B553" s="596" t="s">
        <v>8682</v>
      </c>
      <c r="C553" s="592" t="s">
        <v>8683</v>
      </c>
      <c r="D553" s="592">
        <v>1</v>
      </c>
      <c r="E553" s="597">
        <v>98000</v>
      </c>
      <c r="F553" s="597">
        <v>98000</v>
      </c>
      <c r="G553" s="597">
        <v>82491</v>
      </c>
      <c r="H553" s="592" t="s">
        <v>933</v>
      </c>
    </row>
    <row r="554" spans="1:8" ht="24.75" customHeight="1" x14ac:dyDescent="0.55000000000000004">
      <c r="A554" s="592">
        <v>553</v>
      </c>
      <c r="B554" s="596" t="s">
        <v>8684</v>
      </c>
      <c r="C554" s="592" t="s">
        <v>8685</v>
      </c>
      <c r="D554" s="592">
        <v>1</v>
      </c>
      <c r="E554" s="597">
        <v>37000</v>
      </c>
      <c r="F554" s="597">
        <v>37000</v>
      </c>
      <c r="G554" s="597">
        <v>29088</v>
      </c>
      <c r="H554" s="592" t="s">
        <v>933</v>
      </c>
    </row>
    <row r="555" spans="1:8" ht="24.75" customHeight="1" x14ac:dyDescent="0.55000000000000004">
      <c r="A555" s="592">
        <v>554</v>
      </c>
      <c r="B555" s="596" t="s">
        <v>8686</v>
      </c>
      <c r="C555" s="592" t="s">
        <v>8687</v>
      </c>
      <c r="D555" s="592">
        <v>5</v>
      </c>
      <c r="E555" s="597">
        <v>3000</v>
      </c>
      <c r="F555" s="597">
        <v>3000</v>
      </c>
      <c r="G555" s="597">
        <v>6850</v>
      </c>
      <c r="H555" s="592" t="s">
        <v>933</v>
      </c>
    </row>
    <row r="556" spans="1:8" ht="24.75" customHeight="1" x14ac:dyDescent="0.55000000000000004">
      <c r="A556" s="592">
        <v>555</v>
      </c>
      <c r="B556" s="596" t="s">
        <v>8381</v>
      </c>
      <c r="C556" s="592" t="s">
        <v>8382</v>
      </c>
      <c r="D556" s="592">
        <v>1</v>
      </c>
      <c r="E556" s="597">
        <v>74500</v>
      </c>
      <c r="F556" s="597">
        <v>74500</v>
      </c>
      <c r="G556" s="597">
        <v>63561</v>
      </c>
      <c r="H556" s="592" t="s">
        <v>933</v>
      </c>
    </row>
    <row r="557" spans="1:8" ht="24.75" customHeight="1" x14ac:dyDescent="0.55000000000000004">
      <c r="A557" s="592">
        <v>556</v>
      </c>
      <c r="B557" s="596" t="s">
        <v>3891</v>
      </c>
      <c r="C557" s="592" t="s">
        <v>3892</v>
      </c>
      <c r="D557" s="592">
        <v>3</v>
      </c>
      <c r="E557" s="597">
        <v>38000</v>
      </c>
      <c r="F557" s="597">
        <v>38000</v>
      </c>
      <c r="G557" s="597">
        <v>106500</v>
      </c>
      <c r="H557" s="592" t="s">
        <v>1380</v>
      </c>
    </row>
    <row r="558" spans="1:8" ht="24.75" customHeight="1" x14ac:dyDescent="0.55000000000000004">
      <c r="A558" s="592">
        <v>557</v>
      </c>
      <c r="B558" s="596" t="s">
        <v>6138</v>
      </c>
      <c r="C558" s="592" t="s">
        <v>7505</v>
      </c>
      <c r="D558" s="592">
        <v>5</v>
      </c>
      <c r="E558" s="597">
        <v>50000</v>
      </c>
      <c r="F558" s="597">
        <v>50000</v>
      </c>
      <c r="G558" s="597">
        <v>227500</v>
      </c>
      <c r="H558" s="592" t="s">
        <v>6137</v>
      </c>
    </row>
    <row r="559" spans="1:8" ht="24.75" customHeight="1" x14ac:dyDescent="0.55000000000000004">
      <c r="A559" s="592">
        <v>558</v>
      </c>
      <c r="B559" s="596" t="s">
        <v>3893</v>
      </c>
      <c r="C559" s="592" t="s">
        <v>3894</v>
      </c>
      <c r="D559" s="592">
        <v>1</v>
      </c>
      <c r="E559" s="597">
        <v>170000</v>
      </c>
      <c r="F559" s="597">
        <v>170000</v>
      </c>
      <c r="G559" s="597">
        <v>128800</v>
      </c>
      <c r="H559" s="592" t="s">
        <v>1429</v>
      </c>
    </row>
    <row r="560" spans="1:8" ht="24.75" customHeight="1" x14ac:dyDescent="0.55000000000000004">
      <c r="A560" s="592">
        <v>559</v>
      </c>
      <c r="B560" s="596" t="s">
        <v>3895</v>
      </c>
      <c r="C560" s="592" t="s">
        <v>3896</v>
      </c>
      <c r="D560" s="592">
        <v>1</v>
      </c>
      <c r="E560" s="597">
        <v>95000</v>
      </c>
      <c r="F560" s="597">
        <v>95000</v>
      </c>
      <c r="G560" s="597">
        <v>80960</v>
      </c>
      <c r="H560" s="592" t="s">
        <v>1429</v>
      </c>
    </row>
    <row r="561" spans="1:8" ht="24.75" customHeight="1" x14ac:dyDescent="0.55000000000000004">
      <c r="A561" s="592">
        <v>560</v>
      </c>
      <c r="B561" s="596" t="s">
        <v>3897</v>
      </c>
      <c r="C561" s="592" t="s">
        <v>7506</v>
      </c>
      <c r="D561" s="592">
        <v>1</v>
      </c>
      <c r="E561" s="597">
        <v>130000</v>
      </c>
      <c r="F561" s="597">
        <v>130000</v>
      </c>
      <c r="G561" s="597">
        <v>119600</v>
      </c>
      <c r="H561" s="592" t="s">
        <v>1429</v>
      </c>
    </row>
    <row r="562" spans="1:8" ht="24.75" customHeight="1" x14ac:dyDescent="0.55000000000000004">
      <c r="A562" s="592">
        <v>561</v>
      </c>
      <c r="B562" s="596" t="s">
        <v>3898</v>
      </c>
      <c r="C562" s="592" t="s">
        <v>3899</v>
      </c>
      <c r="D562" s="592">
        <v>1</v>
      </c>
      <c r="E562" s="597">
        <v>165000</v>
      </c>
      <c r="F562" s="597">
        <v>165000</v>
      </c>
      <c r="G562" s="597">
        <v>151800</v>
      </c>
      <c r="H562" s="592" t="s">
        <v>1429</v>
      </c>
    </row>
    <row r="563" spans="1:8" ht="24.75" customHeight="1" x14ac:dyDescent="0.55000000000000004">
      <c r="A563" s="592">
        <v>562</v>
      </c>
      <c r="B563" s="596" t="s">
        <v>3900</v>
      </c>
      <c r="C563" s="592" t="s">
        <v>3901</v>
      </c>
      <c r="D563" s="592">
        <v>1</v>
      </c>
      <c r="E563" s="597">
        <v>33000</v>
      </c>
      <c r="F563" s="597">
        <v>33000</v>
      </c>
      <c r="G563" s="597">
        <v>30360</v>
      </c>
      <c r="H563" s="592" t="s">
        <v>1429</v>
      </c>
    </row>
    <row r="564" spans="1:8" ht="24.75" customHeight="1" x14ac:dyDescent="0.55000000000000004">
      <c r="A564" s="592">
        <v>563</v>
      </c>
      <c r="B564" s="596" t="s">
        <v>3902</v>
      </c>
      <c r="C564" s="592" t="s">
        <v>7507</v>
      </c>
      <c r="D564" s="592">
        <v>1</v>
      </c>
      <c r="E564" s="597">
        <v>90000</v>
      </c>
      <c r="F564" s="597">
        <v>90000</v>
      </c>
      <c r="G564" s="597">
        <v>90000</v>
      </c>
      <c r="H564" s="592" t="s">
        <v>1429</v>
      </c>
    </row>
    <row r="565" spans="1:8" ht="24.75" customHeight="1" x14ac:dyDescent="0.55000000000000004">
      <c r="A565" s="592">
        <v>564</v>
      </c>
      <c r="B565" s="596" t="s">
        <v>3903</v>
      </c>
      <c r="C565" s="592" t="s">
        <v>7508</v>
      </c>
      <c r="D565" s="592">
        <v>1</v>
      </c>
      <c r="E565" s="597">
        <v>82000</v>
      </c>
      <c r="F565" s="597">
        <v>82000</v>
      </c>
      <c r="G565" s="597">
        <v>75440</v>
      </c>
      <c r="H565" s="592" t="s">
        <v>1429</v>
      </c>
    </row>
    <row r="566" spans="1:8" ht="24.75" customHeight="1" x14ac:dyDescent="0.55000000000000004">
      <c r="A566" s="592">
        <v>565</v>
      </c>
      <c r="B566" s="596" t="s">
        <v>3904</v>
      </c>
      <c r="C566" s="592" t="s">
        <v>7509</v>
      </c>
      <c r="D566" s="592">
        <v>1</v>
      </c>
      <c r="E566" s="597">
        <v>170000</v>
      </c>
      <c r="F566" s="597">
        <v>170000</v>
      </c>
      <c r="G566" s="597">
        <v>110400</v>
      </c>
      <c r="H566" s="592" t="s">
        <v>1429</v>
      </c>
    </row>
    <row r="567" spans="1:8" ht="24.75" customHeight="1" x14ac:dyDescent="0.55000000000000004">
      <c r="A567" s="592">
        <v>566</v>
      </c>
      <c r="B567" s="596" t="s">
        <v>3905</v>
      </c>
      <c r="C567" s="592" t="s">
        <v>3906</v>
      </c>
      <c r="D567" s="592">
        <v>2</v>
      </c>
      <c r="E567" s="597">
        <v>60000</v>
      </c>
      <c r="F567" s="597">
        <v>60000</v>
      </c>
      <c r="G567" s="597">
        <v>69920</v>
      </c>
      <c r="H567" s="592" t="s">
        <v>1429</v>
      </c>
    </row>
    <row r="568" spans="1:8" ht="24.75" customHeight="1" x14ac:dyDescent="0.55000000000000004">
      <c r="A568" s="592">
        <v>567</v>
      </c>
      <c r="B568" s="596" t="s">
        <v>3907</v>
      </c>
      <c r="C568" s="592" t="s">
        <v>7510</v>
      </c>
      <c r="D568" s="592">
        <v>2</v>
      </c>
      <c r="E568" s="597">
        <v>78000</v>
      </c>
      <c r="F568" s="597">
        <v>78000</v>
      </c>
      <c r="G568" s="597">
        <v>92000</v>
      </c>
      <c r="H568" s="592" t="s">
        <v>1429</v>
      </c>
    </row>
    <row r="569" spans="1:8" ht="24.75" customHeight="1" x14ac:dyDescent="0.55000000000000004">
      <c r="A569" s="592">
        <v>568</v>
      </c>
      <c r="B569" s="596" t="s">
        <v>3908</v>
      </c>
      <c r="C569" s="592" t="s">
        <v>3909</v>
      </c>
      <c r="D569" s="592">
        <v>1</v>
      </c>
      <c r="E569" s="597">
        <v>65000</v>
      </c>
      <c r="F569" s="597">
        <v>65000</v>
      </c>
      <c r="G569" s="597">
        <v>44620</v>
      </c>
      <c r="H569" s="592" t="s">
        <v>1429</v>
      </c>
    </row>
    <row r="570" spans="1:8" ht="24.75" customHeight="1" x14ac:dyDescent="0.55000000000000004">
      <c r="A570" s="592">
        <v>569</v>
      </c>
      <c r="B570" s="596" t="s">
        <v>3910</v>
      </c>
      <c r="C570" s="592" t="s">
        <v>3911</v>
      </c>
      <c r="D570" s="592">
        <v>1</v>
      </c>
      <c r="E570" s="597">
        <v>27500</v>
      </c>
      <c r="F570" s="597">
        <v>27500</v>
      </c>
      <c r="G570" s="597">
        <v>25300</v>
      </c>
      <c r="H570" s="592" t="s">
        <v>1429</v>
      </c>
    </row>
    <row r="571" spans="1:8" ht="24.75" customHeight="1" x14ac:dyDescent="0.55000000000000004">
      <c r="A571" s="592">
        <v>570</v>
      </c>
      <c r="B571" s="596" t="s">
        <v>3912</v>
      </c>
      <c r="C571" s="592" t="s">
        <v>3913</v>
      </c>
      <c r="D571" s="592">
        <v>1</v>
      </c>
      <c r="E571" s="597">
        <v>40000</v>
      </c>
      <c r="F571" s="597">
        <v>40000</v>
      </c>
      <c r="G571" s="597">
        <v>25300</v>
      </c>
      <c r="H571" s="592" t="s">
        <v>1429</v>
      </c>
    </row>
    <row r="572" spans="1:8" ht="24.75" customHeight="1" x14ac:dyDescent="0.55000000000000004">
      <c r="A572" s="592">
        <v>571</v>
      </c>
      <c r="B572" s="596" t="s">
        <v>3914</v>
      </c>
      <c r="C572" s="592" t="s">
        <v>3915</v>
      </c>
      <c r="D572" s="592">
        <v>1</v>
      </c>
      <c r="E572" s="597">
        <v>82000</v>
      </c>
      <c r="F572" s="597">
        <v>82000</v>
      </c>
      <c r="G572" s="597">
        <v>57000</v>
      </c>
      <c r="H572" s="592" t="s">
        <v>1429</v>
      </c>
    </row>
    <row r="573" spans="1:8" ht="24.75" customHeight="1" x14ac:dyDescent="0.55000000000000004">
      <c r="A573" s="592">
        <v>572</v>
      </c>
      <c r="B573" s="596" t="s">
        <v>3916</v>
      </c>
      <c r="C573" s="592" t="s">
        <v>3917</v>
      </c>
      <c r="D573" s="592">
        <v>2</v>
      </c>
      <c r="E573" s="597">
        <v>11500</v>
      </c>
      <c r="F573" s="597">
        <v>11500</v>
      </c>
      <c r="G573" s="597">
        <v>20000</v>
      </c>
      <c r="H573" s="592" t="s">
        <v>1429</v>
      </c>
    </row>
    <row r="574" spans="1:8" ht="24.75" customHeight="1" x14ac:dyDescent="0.55000000000000004">
      <c r="A574" s="592">
        <v>573</v>
      </c>
      <c r="B574" s="596" t="s">
        <v>3918</v>
      </c>
      <c r="C574" s="592" t="s">
        <v>3919</v>
      </c>
      <c r="D574" s="592">
        <v>1</v>
      </c>
      <c r="E574" s="597">
        <v>21000</v>
      </c>
      <c r="F574" s="597">
        <v>21000</v>
      </c>
      <c r="G574" s="597">
        <v>19000</v>
      </c>
      <c r="H574" s="592" t="s">
        <v>1429</v>
      </c>
    </row>
    <row r="575" spans="1:8" ht="24.75" customHeight="1" x14ac:dyDescent="0.55000000000000004">
      <c r="A575" s="592">
        <v>574</v>
      </c>
      <c r="B575" s="596" t="s">
        <v>3920</v>
      </c>
      <c r="C575" s="592" t="s">
        <v>3921</v>
      </c>
      <c r="D575" s="592">
        <v>2</v>
      </c>
      <c r="E575" s="597">
        <v>8000</v>
      </c>
      <c r="F575" s="597">
        <v>8000</v>
      </c>
      <c r="G575" s="597">
        <v>12000</v>
      </c>
      <c r="H575" s="592" t="s">
        <v>1429</v>
      </c>
    </row>
    <row r="576" spans="1:8" ht="24.75" customHeight="1" x14ac:dyDescent="0.55000000000000004">
      <c r="A576" s="592">
        <v>575</v>
      </c>
      <c r="B576" s="596" t="s">
        <v>3922</v>
      </c>
      <c r="C576" s="592" t="s">
        <v>3923</v>
      </c>
      <c r="D576" s="592">
        <v>2</v>
      </c>
      <c r="E576" s="597">
        <v>58000</v>
      </c>
      <c r="F576" s="597">
        <v>58000</v>
      </c>
      <c r="G576" s="597">
        <v>110000</v>
      </c>
      <c r="H576" s="592" t="s">
        <v>1429</v>
      </c>
    </row>
    <row r="577" spans="1:8" ht="24.75" customHeight="1" x14ac:dyDescent="0.55000000000000004">
      <c r="A577" s="592">
        <v>576</v>
      </c>
      <c r="B577" s="596" t="s">
        <v>6417</v>
      </c>
      <c r="C577" s="592" t="s">
        <v>6418</v>
      </c>
      <c r="D577" s="592">
        <v>8</v>
      </c>
      <c r="E577" s="597">
        <v>10000</v>
      </c>
      <c r="F577" s="597">
        <v>10000</v>
      </c>
      <c r="G577" s="597">
        <v>54000</v>
      </c>
      <c r="H577" s="592" t="s">
        <v>1397</v>
      </c>
    </row>
    <row r="578" spans="1:8" ht="24.75" customHeight="1" x14ac:dyDescent="0.55000000000000004">
      <c r="A578" s="592">
        <v>577</v>
      </c>
      <c r="B578" s="596" t="s">
        <v>6548</v>
      </c>
      <c r="C578" s="592" t="s">
        <v>6549</v>
      </c>
      <c r="D578" s="592">
        <v>10</v>
      </c>
      <c r="E578" s="597">
        <v>2500</v>
      </c>
      <c r="F578" s="597">
        <v>2500</v>
      </c>
      <c r="G578" s="597">
        <v>18000</v>
      </c>
      <c r="H578" s="592" t="s">
        <v>1397</v>
      </c>
    </row>
    <row r="579" spans="1:8" ht="24.75" customHeight="1" x14ac:dyDescent="0.55000000000000004">
      <c r="A579" s="592">
        <v>578</v>
      </c>
      <c r="B579" s="596" t="s">
        <v>6550</v>
      </c>
      <c r="C579" s="592" t="s">
        <v>6551</v>
      </c>
      <c r="D579" s="592">
        <v>1</v>
      </c>
      <c r="E579" s="597">
        <v>16000</v>
      </c>
      <c r="F579" s="597">
        <v>16000</v>
      </c>
      <c r="G579" s="597">
        <v>13000</v>
      </c>
      <c r="H579" s="592" t="s">
        <v>1397</v>
      </c>
    </row>
    <row r="580" spans="1:8" ht="24.75" customHeight="1" x14ac:dyDescent="0.55000000000000004">
      <c r="A580" s="592">
        <v>579</v>
      </c>
      <c r="B580" s="596" t="s">
        <v>6636</v>
      </c>
      <c r="C580" s="592" t="s">
        <v>6963</v>
      </c>
      <c r="D580" s="592">
        <v>1</v>
      </c>
      <c r="E580" s="597">
        <v>40000</v>
      </c>
      <c r="F580" s="597">
        <v>40000</v>
      </c>
      <c r="G580" s="597">
        <v>34800</v>
      </c>
      <c r="H580" s="592" t="s">
        <v>1397</v>
      </c>
    </row>
    <row r="581" spans="1:8" ht="24.75" customHeight="1" x14ac:dyDescent="0.55000000000000004">
      <c r="A581" s="592">
        <v>580</v>
      </c>
      <c r="B581" s="596" t="s">
        <v>6637</v>
      </c>
      <c r="C581" s="592" t="s">
        <v>6638</v>
      </c>
      <c r="D581" s="592">
        <v>3</v>
      </c>
      <c r="E581" s="597">
        <v>18000</v>
      </c>
      <c r="F581" s="597">
        <v>18000</v>
      </c>
      <c r="G581" s="597">
        <v>44550</v>
      </c>
      <c r="H581" s="592" t="s">
        <v>1397</v>
      </c>
    </row>
    <row r="582" spans="1:8" ht="24.75" customHeight="1" x14ac:dyDescent="0.55000000000000004">
      <c r="A582" s="592">
        <v>581</v>
      </c>
      <c r="B582" s="596" t="s">
        <v>6639</v>
      </c>
      <c r="C582" s="592" t="s">
        <v>6640</v>
      </c>
      <c r="D582" s="592">
        <v>1</v>
      </c>
      <c r="E582" s="597">
        <v>11500</v>
      </c>
      <c r="F582" s="597">
        <v>11500</v>
      </c>
      <c r="G582" s="597">
        <v>9500</v>
      </c>
      <c r="H582" s="592" t="s">
        <v>1397</v>
      </c>
    </row>
    <row r="583" spans="1:8" ht="24.75" customHeight="1" x14ac:dyDescent="0.55000000000000004">
      <c r="A583" s="592">
        <v>582</v>
      </c>
      <c r="B583" s="596" t="s">
        <v>8526</v>
      </c>
      <c r="C583" s="592" t="s">
        <v>8527</v>
      </c>
      <c r="D583" s="592">
        <v>9</v>
      </c>
      <c r="E583" s="597">
        <v>5500</v>
      </c>
      <c r="F583" s="597">
        <v>5500</v>
      </c>
      <c r="G583" s="597">
        <v>44550</v>
      </c>
      <c r="H583" s="592" t="s">
        <v>1397</v>
      </c>
    </row>
    <row r="584" spans="1:8" ht="24.75" customHeight="1" x14ac:dyDescent="0.55000000000000004">
      <c r="A584" s="592">
        <v>583</v>
      </c>
      <c r="B584" s="596" t="s">
        <v>6641</v>
      </c>
      <c r="C584" s="592" t="s">
        <v>6642</v>
      </c>
      <c r="D584" s="592">
        <v>1</v>
      </c>
      <c r="E584" s="597">
        <v>8500</v>
      </c>
      <c r="F584" s="597">
        <v>8500</v>
      </c>
      <c r="G584" s="597">
        <v>7500</v>
      </c>
      <c r="H584" s="592" t="s">
        <v>1397</v>
      </c>
    </row>
    <row r="585" spans="1:8" ht="24.75" customHeight="1" x14ac:dyDescent="0.55000000000000004">
      <c r="A585" s="592">
        <v>584</v>
      </c>
      <c r="B585" s="596" t="s">
        <v>8688</v>
      </c>
      <c r="C585" s="592" t="s">
        <v>8689</v>
      </c>
      <c r="D585" s="592">
        <v>5</v>
      </c>
      <c r="E585" s="597">
        <v>6000</v>
      </c>
      <c r="F585" s="597">
        <v>6000</v>
      </c>
      <c r="G585" s="597">
        <v>27000</v>
      </c>
      <c r="H585" s="592" t="s">
        <v>1397</v>
      </c>
    </row>
    <row r="586" spans="1:8" ht="24.75" customHeight="1" x14ac:dyDescent="0.55000000000000004">
      <c r="A586" s="592">
        <v>585</v>
      </c>
      <c r="B586" s="596" t="s">
        <v>6643</v>
      </c>
      <c r="C586" s="592" t="s">
        <v>6644</v>
      </c>
      <c r="D586" s="592">
        <v>3</v>
      </c>
      <c r="E586" s="597">
        <v>3500</v>
      </c>
      <c r="F586" s="597">
        <v>3500</v>
      </c>
      <c r="G586" s="597">
        <v>8400</v>
      </c>
      <c r="H586" s="592" t="s">
        <v>1397</v>
      </c>
    </row>
    <row r="587" spans="1:8" ht="24.75" customHeight="1" x14ac:dyDescent="0.55000000000000004">
      <c r="A587" s="592">
        <v>586</v>
      </c>
      <c r="B587" s="596" t="s">
        <v>6645</v>
      </c>
      <c r="C587" s="592" t="s">
        <v>6646</v>
      </c>
      <c r="D587" s="592">
        <v>3</v>
      </c>
      <c r="E587" s="597">
        <v>4500</v>
      </c>
      <c r="F587" s="597">
        <v>4500</v>
      </c>
      <c r="G587" s="597">
        <v>10800</v>
      </c>
      <c r="H587" s="592" t="s">
        <v>1397</v>
      </c>
    </row>
    <row r="588" spans="1:8" ht="24.75" customHeight="1" x14ac:dyDescent="0.55000000000000004">
      <c r="A588" s="592">
        <v>587</v>
      </c>
      <c r="B588" s="596" t="s">
        <v>6552</v>
      </c>
      <c r="C588" s="592" t="s">
        <v>6789</v>
      </c>
      <c r="D588" s="592">
        <v>1</v>
      </c>
      <c r="E588" s="597">
        <v>68000</v>
      </c>
      <c r="F588" s="597">
        <v>68000</v>
      </c>
      <c r="G588" s="597">
        <v>59400</v>
      </c>
      <c r="H588" s="592" t="s">
        <v>1397</v>
      </c>
    </row>
    <row r="589" spans="1:8" ht="24.75" customHeight="1" x14ac:dyDescent="0.55000000000000004">
      <c r="A589" s="592">
        <v>588</v>
      </c>
      <c r="B589" s="596" t="s">
        <v>6647</v>
      </c>
      <c r="C589" s="592" t="s">
        <v>6648</v>
      </c>
      <c r="D589" s="592">
        <v>8</v>
      </c>
      <c r="E589" s="597">
        <v>6000</v>
      </c>
      <c r="F589" s="597">
        <v>6000</v>
      </c>
      <c r="G589" s="597">
        <v>39600</v>
      </c>
      <c r="H589" s="592" t="s">
        <v>1397</v>
      </c>
    </row>
    <row r="590" spans="1:8" ht="24.75" customHeight="1" x14ac:dyDescent="0.55000000000000004">
      <c r="A590" s="592">
        <v>589</v>
      </c>
      <c r="B590" s="596" t="s">
        <v>6649</v>
      </c>
      <c r="C590" s="592" t="s">
        <v>6790</v>
      </c>
      <c r="D590" s="592">
        <v>1</v>
      </c>
      <c r="E590" s="597">
        <v>16000</v>
      </c>
      <c r="F590" s="597">
        <v>16000</v>
      </c>
      <c r="G590" s="597">
        <v>13000</v>
      </c>
      <c r="H590" s="592" t="s">
        <v>1397</v>
      </c>
    </row>
    <row r="591" spans="1:8" ht="24.75" customHeight="1" x14ac:dyDescent="0.55000000000000004">
      <c r="A591" s="592">
        <v>590</v>
      </c>
      <c r="B591" s="596" t="s">
        <v>6791</v>
      </c>
      <c r="C591" s="592" t="s">
        <v>6792</v>
      </c>
      <c r="D591" s="592">
        <v>2</v>
      </c>
      <c r="E591" s="597">
        <v>8000</v>
      </c>
      <c r="F591" s="597">
        <v>8000</v>
      </c>
      <c r="G591" s="597">
        <v>16000</v>
      </c>
      <c r="H591" s="592" t="s">
        <v>1397</v>
      </c>
    </row>
    <row r="592" spans="1:8" ht="24.75" customHeight="1" x14ac:dyDescent="0.55000000000000004">
      <c r="A592" s="592">
        <v>591</v>
      </c>
      <c r="B592" s="596" t="s">
        <v>7892</v>
      </c>
      <c r="C592" s="592" t="s">
        <v>7893</v>
      </c>
      <c r="D592" s="592">
        <v>1</v>
      </c>
      <c r="E592" s="597">
        <v>900</v>
      </c>
      <c r="F592" s="597">
        <v>900</v>
      </c>
      <c r="G592" s="597">
        <v>800</v>
      </c>
      <c r="H592" s="592" t="s">
        <v>1397</v>
      </c>
    </row>
    <row r="593" spans="1:8" ht="24.75" customHeight="1" x14ac:dyDescent="0.55000000000000004">
      <c r="A593" s="592">
        <v>592</v>
      </c>
      <c r="B593" s="596" t="s">
        <v>6793</v>
      </c>
      <c r="C593" s="592" t="s">
        <v>6794</v>
      </c>
      <c r="D593" s="592">
        <v>2</v>
      </c>
      <c r="E593" s="597">
        <v>6000</v>
      </c>
      <c r="F593" s="597">
        <v>6000</v>
      </c>
      <c r="G593" s="597">
        <v>8460</v>
      </c>
      <c r="H593" s="592" t="s">
        <v>1397</v>
      </c>
    </row>
    <row r="594" spans="1:8" ht="24.75" customHeight="1" x14ac:dyDescent="0.55000000000000004">
      <c r="A594" s="592">
        <v>593</v>
      </c>
      <c r="B594" s="596" t="s">
        <v>6795</v>
      </c>
      <c r="C594" s="592" t="s">
        <v>6796</v>
      </c>
      <c r="D594" s="592">
        <v>14</v>
      </c>
      <c r="E594" s="597">
        <v>4000</v>
      </c>
      <c r="F594" s="597">
        <v>4000</v>
      </c>
      <c r="G594" s="597">
        <v>44100</v>
      </c>
      <c r="H594" s="592" t="s">
        <v>1397</v>
      </c>
    </row>
    <row r="595" spans="1:8" ht="24.75" customHeight="1" x14ac:dyDescent="0.55000000000000004">
      <c r="A595" s="592">
        <v>594</v>
      </c>
      <c r="B595" s="596" t="s">
        <v>6964</v>
      </c>
      <c r="C595" s="592" t="s">
        <v>8383</v>
      </c>
      <c r="D595" s="592">
        <v>6</v>
      </c>
      <c r="E595" s="597">
        <v>8000</v>
      </c>
      <c r="F595" s="597">
        <v>8000</v>
      </c>
      <c r="G595" s="597">
        <v>35100</v>
      </c>
      <c r="H595" s="592" t="s">
        <v>1397</v>
      </c>
    </row>
    <row r="596" spans="1:8" ht="24.75" customHeight="1" x14ac:dyDescent="0.55000000000000004">
      <c r="A596" s="592">
        <v>595</v>
      </c>
      <c r="B596" s="596" t="s">
        <v>6965</v>
      </c>
      <c r="C596" s="592" t="s">
        <v>6966</v>
      </c>
      <c r="D596" s="592">
        <v>4</v>
      </c>
      <c r="E596" s="597">
        <v>5000</v>
      </c>
      <c r="F596" s="597">
        <v>5000</v>
      </c>
      <c r="G596" s="597">
        <v>14000</v>
      </c>
      <c r="H596" s="592" t="s">
        <v>1397</v>
      </c>
    </row>
    <row r="597" spans="1:8" ht="24.75" customHeight="1" x14ac:dyDescent="0.55000000000000004">
      <c r="A597" s="592">
        <v>596</v>
      </c>
      <c r="B597" s="596" t="s">
        <v>6798</v>
      </c>
      <c r="C597" s="592" t="s">
        <v>6799</v>
      </c>
      <c r="D597" s="592">
        <v>3</v>
      </c>
      <c r="E597" s="597">
        <v>8000</v>
      </c>
      <c r="F597" s="597">
        <v>8000</v>
      </c>
      <c r="G597" s="597">
        <v>17550</v>
      </c>
      <c r="H597" s="592" t="s">
        <v>1397</v>
      </c>
    </row>
    <row r="598" spans="1:8" ht="24.75" customHeight="1" x14ac:dyDescent="0.55000000000000004">
      <c r="A598" s="592">
        <v>597</v>
      </c>
      <c r="B598" s="596" t="s">
        <v>6800</v>
      </c>
      <c r="C598" s="592" t="s">
        <v>6801</v>
      </c>
      <c r="D598" s="592">
        <v>1</v>
      </c>
      <c r="E598" s="597">
        <v>16000</v>
      </c>
      <c r="F598" s="597">
        <v>16000</v>
      </c>
      <c r="G598" s="597">
        <v>11700</v>
      </c>
      <c r="H598" s="592" t="s">
        <v>1397</v>
      </c>
    </row>
    <row r="599" spans="1:8" ht="24.75" customHeight="1" x14ac:dyDescent="0.55000000000000004">
      <c r="A599" s="592">
        <v>598</v>
      </c>
      <c r="B599" s="596" t="s">
        <v>6967</v>
      </c>
      <c r="C599" s="592" t="s">
        <v>6968</v>
      </c>
      <c r="D599" s="592">
        <v>1</v>
      </c>
      <c r="E599" s="597">
        <v>17000</v>
      </c>
      <c r="F599" s="597">
        <v>17000</v>
      </c>
      <c r="G599" s="597">
        <v>13500</v>
      </c>
      <c r="H599" s="592" t="s">
        <v>1397</v>
      </c>
    </row>
    <row r="600" spans="1:8" ht="24.75" customHeight="1" x14ac:dyDescent="0.55000000000000004">
      <c r="A600" s="592">
        <v>599</v>
      </c>
      <c r="B600" s="596" t="s">
        <v>8384</v>
      </c>
      <c r="C600" s="592" t="s">
        <v>8385</v>
      </c>
      <c r="D600" s="592">
        <v>1</v>
      </c>
      <c r="E600" s="597">
        <v>19000</v>
      </c>
      <c r="F600" s="597">
        <v>19000</v>
      </c>
      <c r="G600" s="597">
        <v>15750</v>
      </c>
      <c r="H600" s="592" t="s">
        <v>1397</v>
      </c>
    </row>
    <row r="601" spans="1:8" ht="24.75" customHeight="1" x14ac:dyDescent="0.55000000000000004">
      <c r="A601" s="592">
        <v>600</v>
      </c>
      <c r="B601" s="596" t="s">
        <v>6969</v>
      </c>
      <c r="C601" s="592" t="s">
        <v>6970</v>
      </c>
      <c r="D601" s="592">
        <v>1</v>
      </c>
      <c r="E601" s="597">
        <v>24000</v>
      </c>
      <c r="F601" s="597">
        <v>24000</v>
      </c>
      <c r="G601" s="597">
        <v>19500</v>
      </c>
      <c r="H601" s="592" t="s">
        <v>1397</v>
      </c>
    </row>
    <row r="602" spans="1:8" ht="24.75" customHeight="1" x14ac:dyDescent="0.55000000000000004">
      <c r="A602" s="592">
        <v>601</v>
      </c>
      <c r="B602" s="596" t="s">
        <v>8690</v>
      </c>
      <c r="C602" s="592" t="s">
        <v>8691</v>
      </c>
      <c r="D602" s="592">
        <v>1</v>
      </c>
      <c r="E602" s="597">
        <v>13500</v>
      </c>
      <c r="F602" s="597">
        <v>13500</v>
      </c>
      <c r="G602" s="597">
        <v>13500</v>
      </c>
      <c r="H602" s="592" t="s">
        <v>1397</v>
      </c>
    </row>
    <row r="603" spans="1:8" ht="24.75" customHeight="1" x14ac:dyDescent="0.55000000000000004">
      <c r="A603" s="592">
        <v>602</v>
      </c>
      <c r="B603" s="596" t="s">
        <v>6802</v>
      </c>
      <c r="C603" s="592" t="s">
        <v>6297</v>
      </c>
      <c r="D603" s="592">
        <v>2</v>
      </c>
      <c r="E603" s="597">
        <v>11000</v>
      </c>
      <c r="F603" s="597">
        <v>11000</v>
      </c>
      <c r="G603" s="597">
        <v>15300</v>
      </c>
      <c r="H603" s="592" t="s">
        <v>1397</v>
      </c>
    </row>
    <row r="604" spans="1:8" ht="24.75" customHeight="1" x14ac:dyDescent="0.55000000000000004">
      <c r="A604" s="592">
        <v>603</v>
      </c>
      <c r="B604" s="596" t="s">
        <v>6971</v>
      </c>
      <c r="C604" s="592" t="s">
        <v>6972</v>
      </c>
      <c r="D604" s="592">
        <v>10</v>
      </c>
      <c r="E604" s="597">
        <v>6000</v>
      </c>
      <c r="F604" s="597">
        <v>6000</v>
      </c>
      <c r="G604" s="597">
        <v>50000</v>
      </c>
      <c r="H604" s="592" t="s">
        <v>1397</v>
      </c>
    </row>
    <row r="605" spans="1:8" ht="24.75" customHeight="1" x14ac:dyDescent="0.55000000000000004">
      <c r="A605" s="592">
        <v>604</v>
      </c>
      <c r="B605" s="596" t="s">
        <v>6803</v>
      </c>
      <c r="C605" s="592" t="s">
        <v>6804</v>
      </c>
      <c r="D605" s="592">
        <v>1</v>
      </c>
      <c r="E605" s="597">
        <v>5000</v>
      </c>
      <c r="F605" s="597">
        <v>5000</v>
      </c>
      <c r="G605" s="597">
        <v>3500</v>
      </c>
      <c r="H605" s="592" t="s">
        <v>1397</v>
      </c>
    </row>
    <row r="606" spans="1:8" ht="24.75" customHeight="1" x14ac:dyDescent="0.55000000000000004">
      <c r="A606" s="592">
        <v>605</v>
      </c>
      <c r="B606" s="596" t="s">
        <v>8237</v>
      </c>
      <c r="C606" s="592" t="s">
        <v>8238</v>
      </c>
      <c r="D606" s="592">
        <v>2</v>
      </c>
      <c r="E606" s="597">
        <v>19000</v>
      </c>
      <c r="F606" s="597">
        <v>19000</v>
      </c>
      <c r="G606" s="597">
        <v>31500</v>
      </c>
      <c r="H606" s="592" t="s">
        <v>1397</v>
      </c>
    </row>
    <row r="607" spans="1:8" ht="24.75" customHeight="1" x14ac:dyDescent="0.55000000000000004">
      <c r="A607" s="592">
        <v>606</v>
      </c>
      <c r="B607" s="596" t="s">
        <v>6973</v>
      </c>
      <c r="C607" s="592" t="s">
        <v>6974</v>
      </c>
      <c r="D607" s="592">
        <v>1</v>
      </c>
      <c r="E607" s="597">
        <v>37000</v>
      </c>
      <c r="F607" s="597">
        <v>37000</v>
      </c>
      <c r="G607" s="597">
        <v>32500</v>
      </c>
      <c r="H607" s="592" t="s">
        <v>1397</v>
      </c>
    </row>
    <row r="608" spans="1:8" ht="24.75" customHeight="1" x14ac:dyDescent="0.55000000000000004">
      <c r="A608" s="592">
        <v>607</v>
      </c>
      <c r="B608" s="596" t="s">
        <v>6805</v>
      </c>
      <c r="C608" s="592" t="s">
        <v>6806</v>
      </c>
      <c r="D608" s="592">
        <v>2</v>
      </c>
      <c r="E608" s="597">
        <v>9000</v>
      </c>
      <c r="F608" s="597">
        <v>9000</v>
      </c>
      <c r="G608" s="597">
        <v>13500</v>
      </c>
      <c r="H608" s="592" t="s">
        <v>1397</v>
      </c>
    </row>
    <row r="609" spans="1:8" ht="24.75" customHeight="1" x14ac:dyDescent="0.55000000000000004">
      <c r="A609" s="592">
        <v>608</v>
      </c>
      <c r="B609" s="596" t="s">
        <v>7316</v>
      </c>
      <c r="C609" s="592" t="s">
        <v>7317</v>
      </c>
      <c r="D609" s="592">
        <v>3</v>
      </c>
      <c r="E609" s="597">
        <v>3500</v>
      </c>
      <c r="F609" s="597">
        <v>3500</v>
      </c>
      <c r="G609" s="597">
        <v>7500</v>
      </c>
      <c r="H609" s="592" t="s">
        <v>1397</v>
      </c>
    </row>
    <row r="610" spans="1:8" ht="24.75" customHeight="1" x14ac:dyDescent="0.55000000000000004">
      <c r="A610" s="592">
        <v>609</v>
      </c>
      <c r="B610" s="596" t="s">
        <v>7511</v>
      </c>
      <c r="C610" s="592" t="s">
        <v>7512</v>
      </c>
      <c r="D610" s="592">
        <v>3</v>
      </c>
      <c r="E610" s="597">
        <v>2800</v>
      </c>
      <c r="F610" s="597">
        <v>2800</v>
      </c>
      <c r="G610" s="597">
        <v>5400</v>
      </c>
      <c r="H610" s="592" t="s">
        <v>1397</v>
      </c>
    </row>
    <row r="611" spans="1:8" ht="24.75" customHeight="1" x14ac:dyDescent="0.55000000000000004">
      <c r="A611" s="592">
        <v>610</v>
      </c>
      <c r="B611" s="596" t="s">
        <v>7318</v>
      </c>
      <c r="C611" s="592" t="s">
        <v>7319</v>
      </c>
      <c r="D611" s="592">
        <v>10</v>
      </c>
      <c r="E611" s="597">
        <v>4500</v>
      </c>
      <c r="F611" s="597">
        <v>4500</v>
      </c>
      <c r="G611" s="597">
        <v>34200</v>
      </c>
      <c r="H611" s="592" t="s">
        <v>1397</v>
      </c>
    </row>
    <row r="612" spans="1:8" ht="24.75" customHeight="1" x14ac:dyDescent="0.55000000000000004">
      <c r="A612" s="592">
        <v>611</v>
      </c>
      <c r="B612" s="596" t="s">
        <v>7513</v>
      </c>
      <c r="C612" s="592" t="s">
        <v>7514</v>
      </c>
      <c r="D612" s="592">
        <v>1</v>
      </c>
      <c r="E612" s="597">
        <v>65000</v>
      </c>
      <c r="F612" s="597">
        <v>65000</v>
      </c>
      <c r="G612" s="597">
        <v>61000</v>
      </c>
      <c r="H612" s="592" t="s">
        <v>1397</v>
      </c>
    </row>
    <row r="613" spans="1:8" ht="24.75" customHeight="1" x14ac:dyDescent="0.55000000000000004">
      <c r="A613" s="592">
        <v>612</v>
      </c>
      <c r="B613" s="596" t="s">
        <v>7515</v>
      </c>
      <c r="C613" s="592" t="s">
        <v>7516</v>
      </c>
      <c r="D613" s="592">
        <v>1</v>
      </c>
      <c r="E613" s="597">
        <v>85000</v>
      </c>
      <c r="F613" s="597">
        <v>85000</v>
      </c>
      <c r="G613" s="597">
        <v>77850</v>
      </c>
      <c r="H613" s="592" t="s">
        <v>1397</v>
      </c>
    </row>
    <row r="614" spans="1:8" ht="24.75" customHeight="1" x14ac:dyDescent="0.55000000000000004">
      <c r="A614" s="592">
        <v>613</v>
      </c>
      <c r="B614" s="596" t="s">
        <v>7320</v>
      </c>
      <c r="C614" s="592" t="s">
        <v>7321</v>
      </c>
      <c r="D614" s="592">
        <v>4</v>
      </c>
      <c r="E614" s="597">
        <v>12000</v>
      </c>
      <c r="F614" s="597">
        <v>12000</v>
      </c>
      <c r="G614" s="597">
        <v>39600</v>
      </c>
      <c r="H614" s="592" t="s">
        <v>1397</v>
      </c>
    </row>
    <row r="615" spans="1:8" ht="24.75" customHeight="1" x14ac:dyDescent="0.55000000000000004">
      <c r="A615" s="592">
        <v>614</v>
      </c>
      <c r="B615" s="596" t="s">
        <v>7322</v>
      </c>
      <c r="C615" s="592" t="s">
        <v>7894</v>
      </c>
      <c r="D615" s="592">
        <v>1</v>
      </c>
      <c r="E615" s="597">
        <v>12000</v>
      </c>
      <c r="F615" s="597">
        <v>12000</v>
      </c>
      <c r="G615" s="597">
        <v>9000</v>
      </c>
      <c r="H615" s="592" t="s">
        <v>1397</v>
      </c>
    </row>
    <row r="616" spans="1:8" ht="24.75" customHeight="1" x14ac:dyDescent="0.55000000000000004">
      <c r="A616" s="592">
        <v>615</v>
      </c>
      <c r="B616" s="596" t="s">
        <v>7323</v>
      </c>
      <c r="C616" s="592" t="s">
        <v>7324</v>
      </c>
      <c r="D616" s="592">
        <v>7</v>
      </c>
      <c r="E616" s="597">
        <v>300</v>
      </c>
      <c r="F616" s="597">
        <v>300</v>
      </c>
      <c r="G616" s="597">
        <v>1050</v>
      </c>
      <c r="H616" s="592" t="s">
        <v>1397</v>
      </c>
    </row>
    <row r="617" spans="1:8" ht="24.75" customHeight="1" x14ac:dyDescent="0.55000000000000004">
      <c r="A617" s="592">
        <v>616</v>
      </c>
      <c r="B617" s="596" t="s">
        <v>8386</v>
      </c>
      <c r="C617" s="592" t="s">
        <v>8387</v>
      </c>
      <c r="D617" s="592">
        <v>1</v>
      </c>
      <c r="E617" s="597">
        <v>33000</v>
      </c>
      <c r="F617" s="597">
        <v>33000</v>
      </c>
      <c r="G617" s="597">
        <v>29700</v>
      </c>
      <c r="H617" s="592" t="s">
        <v>1397</v>
      </c>
    </row>
    <row r="618" spans="1:8" ht="24.75" customHeight="1" x14ac:dyDescent="0.55000000000000004">
      <c r="A618" s="592">
        <v>617</v>
      </c>
      <c r="B618" s="596" t="s">
        <v>7325</v>
      </c>
      <c r="C618" s="592" t="s">
        <v>7326</v>
      </c>
      <c r="D618" s="592">
        <v>5</v>
      </c>
      <c r="E618" s="597">
        <v>2500</v>
      </c>
      <c r="F618" s="597">
        <v>2500</v>
      </c>
      <c r="G618" s="597">
        <v>9000</v>
      </c>
      <c r="H618" s="592" t="s">
        <v>1397</v>
      </c>
    </row>
    <row r="619" spans="1:8" ht="24.75" customHeight="1" x14ac:dyDescent="0.55000000000000004">
      <c r="A619" s="592">
        <v>618</v>
      </c>
      <c r="B619" s="596" t="s">
        <v>7517</v>
      </c>
      <c r="C619" s="592" t="s">
        <v>7518</v>
      </c>
      <c r="D619" s="592">
        <v>5</v>
      </c>
      <c r="E619" s="597">
        <v>2500</v>
      </c>
      <c r="F619" s="597">
        <v>2500</v>
      </c>
      <c r="G619" s="597">
        <v>10000</v>
      </c>
      <c r="H619" s="592" t="s">
        <v>1397</v>
      </c>
    </row>
    <row r="620" spans="1:8" ht="24.75" customHeight="1" x14ac:dyDescent="0.55000000000000004">
      <c r="A620" s="592">
        <v>619</v>
      </c>
      <c r="B620" s="596" t="s">
        <v>7519</v>
      </c>
      <c r="C620" s="592" t="s">
        <v>7520</v>
      </c>
      <c r="D620" s="592">
        <v>3</v>
      </c>
      <c r="E620" s="597">
        <v>23000</v>
      </c>
      <c r="F620" s="597">
        <v>23000</v>
      </c>
      <c r="G620" s="597">
        <v>59400</v>
      </c>
      <c r="H620" s="592" t="s">
        <v>1397</v>
      </c>
    </row>
    <row r="621" spans="1:8" ht="24.75" customHeight="1" x14ac:dyDescent="0.55000000000000004">
      <c r="A621" s="592">
        <v>620</v>
      </c>
      <c r="B621" s="596" t="s">
        <v>7327</v>
      </c>
      <c r="C621" s="592" t="s">
        <v>7328</v>
      </c>
      <c r="D621" s="592">
        <v>8</v>
      </c>
      <c r="E621" s="597">
        <v>600</v>
      </c>
      <c r="F621" s="597">
        <v>600</v>
      </c>
      <c r="G621" s="597">
        <v>3200</v>
      </c>
      <c r="H621" s="592" t="s">
        <v>1397</v>
      </c>
    </row>
    <row r="622" spans="1:8" ht="24.75" customHeight="1" x14ac:dyDescent="0.55000000000000004">
      <c r="A622" s="592">
        <v>621</v>
      </c>
      <c r="B622" s="596" t="s">
        <v>7521</v>
      </c>
      <c r="C622" s="592" t="s">
        <v>7522</v>
      </c>
      <c r="D622" s="592">
        <v>3</v>
      </c>
      <c r="E622" s="597">
        <v>16000</v>
      </c>
      <c r="F622" s="597">
        <v>16000</v>
      </c>
      <c r="G622" s="597">
        <v>35100</v>
      </c>
      <c r="H622" s="592" t="s">
        <v>1397</v>
      </c>
    </row>
    <row r="623" spans="1:8" ht="24.75" customHeight="1" x14ac:dyDescent="0.55000000000000004">
      <c r="A623" s="592">
        <v>622</v>
      </c>
      <c r="B623" s="596" t="s">
        <v>7523</v>
      </c>
      <c r="C623" s="592" t="s">
        <v>7524</v>
      </c>
      <c r="D623" s="592">
        <v>3</v>
      </c>
      <c r="E623" s="597">
        <v>3000</v>
      </c>
      <c r="F623" s="597">
        <v>3000</v>
      </c>
      <c r="G623" s="597">
        <v>5400</v>
      </c>
      <c r="H623" s="592" t="s">
        <v>1397</v>
      </c>
    </row>
    <row r="624" spans="1:8" ht="24.75" customHeight="1" x14ac:dyDescent="0.55000000000000004">
      <c r="A624" s="592">
        <v>623</v>
      </c>
      <c r="B624" s="596" t="s">
        <v>7525</v>
      </c>
      <c r="C624" s="592" t="s">
        <v>7526</v>
      </c>
      <c r="D624" s="592">
        <v>1</v>
      </c>
      <c r="E624" s="597">
        <v>28000</v>
      </c>
      <c r="F624" s="597">
        <v>28000</v>
      </c>
      <c r="G624" s="597">
        <v>23850</v>
      </c>
      <c r="H624" s="592" t="s">
        <v>1397</v>
      </c>
    </row>
    <row r="625" spans="1:8" ht="24.75" customHeight="1" x14ac:dyDescent="0.55000000000000004">
      <c r="A625" s="592">
        <v>624</v>
      </c>
      <c r="B625" s="596" t="s">
        <v>7527</v>
      </c>
      <c r="C625" s="592" t="s">
        <v>7528</v>
      </c>
      <c r="D625" s="592">
        <v>1</v>
      </c>
      <c r="E625" s="597">
        <v>23000</v>
      </c>
      <c r="F625" s="597">
        <v>23000</v>
      </c>
      <c r="G625" s="597">
        <v>16650</v>
      </c>
      <c r="H625" s="592" t="s">
        <v>1397</v>
      </c>
    </row>
    <row r="626" spans="1:8" ht="24.75" customHeight="1" x14ac:dyDescent="0.55000000000000004">
      <c r="A626" s="592">
        <v>625</v>
      </c>
      <c r="B626" s="596" t="s">
        <v>8024</v>
      </c>
      <c r="C626" s="592" t="s">
        <v>8025</v>
      </c>
      <c r="D626" s="592">
        <v>1</v>
      </c>
      <c r="E626" s="597">
        <v>67000</v>
      </c>
      <c r="F626" s="597">
        <v>67000</v>
      </c>
      <c r="G626" s="597">
        <v>61650</v>
      </c>
      <c r="H626" s="592" t="s">
        <v>1397</v>
      </c>
    </row>
    <row r="627" spans="1:8" ht="24.75" customHeight="1" x14ac:dyDescent="0.55000000000000004">
      <c r="A627" s="592">
        <v>626</v>
      </c>
      <c r="B627" s="596" t="s">
        <v>8026</v>
      </c>
      <c r="C627" s="592" t="s">
        <v>8027</v>
      </c>
      <c r="D627" s="592">
        <v>1</v>
      </c>
      <c r="E627" s="597">
        <v>52000</v>
      </c>
      <c r="F627" s="597">
        <v>52000</v>
      </c>
      <c r="G627" s="597">
        <v>47250</v>
      </c>
      <c r="H627" s="592" t="s">
        <v>1397</v>
      </c>
    </row>
    <row r="628" spans="1:8" ht="24.75" customHeight="1" x14ac:dyDescent="0.55000000000000004">
      <c r="A628" s="592">
        <v>627</v>
      </c>
      <c r="B628" s="596" t="s">
        <v>7895</v>
      </c>
      <c r="C628" s="592" t="s">
        <v>7896</v>
      </c>
      <c r="D628" s="592">
        <v>7</v>
      </c>
      <c r="E628" s="597">
        <v>7500</v>
      </c>
      <c r="F628" s="597">
        <v>7500</v>
      </c>
      <c r="G628" s="597">
        <v>47250</v>
      </c>
      <c r="H628" s="592" t="s">
        <v>1397</v>
      </c>
    </row>
    <row r="629" spans="1:8" ht="24.75" customHeight="1" x14ac:dyDescent="0.55000000000000004">
      <c r="A629" s="592">
        <v>628</v>
      </c>
      <c r="B629" s="596" t="s">
        <v>8028</v>
      </c>
      <c r="C629" s="592" t="s">
        <v>8029</v>
      </c>
      <c r="D629" s="592">
        <v>36</v>
      </c>
      <c r="E629" s="597">
        <v>500</v>
      </c>
      <c r="F629" s="597">
        <v>500</v>
      </c>
      <c r="G629" s="597">
        <v>13680</v>
      </c>
      <c r="H629" s="592" t="s">
        <v>1397</v>
      </c>
    </row>
    <row r="630" spans="1:8" ht="24.75" customHeight="1" x14ac:dyDescent="0.55000000000000004">
      <c r="A630" s="592">
        <v>629</v>
      </c>
      <c r="B630" s="596" t="s">
        <v>8030</v>
      </c>
      <c r="C630" s="592" t="s">
        <v>8031</v>
      </c>
      <c r="D630" s="592">
        <v>3</v>
      </c>
      <c r="E630" s="597">
        <v>6500</v>
      </c>
      <c r="F630" s="597">
        <v>6500</v>
      </c>
      <c r="G630" s="597">
        <v>16200</v>
      </c>
      <c r="H630" s="592" t="s">
        <v>1397</v>
      </c>
    </row>
    <row r="631" spans="1:8" ht="24.75" customHeight="1" x14ac:dyDescent="0.55000000000000004">
      <c r="A631" s="592">
        <v>630</v>
      </c>
      <c r="B631" s="596" t="s">
        <v>8032</v>
      </c>
      <c r="C631" s="592" t="s">
        <v>8033</v>
      </c>
      <c r="D631" s="592">
        <v>1</v>
      </c>
      <c r="E631" s="597">
        <v>66500</v>
      </c>
      <c r="F631" s="597">
        <v>66500</v>
      </c>
      <c r="G631" s="597">
        <v>61500</v>
      </c>
      <c r="H631" s="592" t="s">
        <v>1397</v>
      </c>
    </row>
    <row r="632" spans="1:8" ht="24.75" customHeight="1" x14ac:dyDescent="0.55000000000000004">
      <c r="A632" s="592">
        <v>631</v>
      </c>
      <c r="B632" s="596" t="s">
        <v>8239</v>
      </c>
      <c r="C632" s="592" t="s">
        <v>8240</v>
      </c>
      <c r="D632" s="592">
        <v>1</v>
      </c>
      <c r="E632" s="597">
        <v>20000</v>
      </c>
      <c r="F632" s="597">
        <v>20000</v>
      </c>
      <c r="G632" s="597">
        <v>14850</v>
      </c>
      <c r="H632" s="592" t="s">
        <v>1397</v>
      </c>
    </row>
    <row r="633" spans="1:8" ht="24.75" customHeight="1" x14ac:dyDescent="0.55000000000000004">
      <c r="A633" s="592">
        <v>632</v>
      </c>
      <c r="B633" s="596" t="s">
        <v>8241</v>
      </c>
      <c r="C633" s="592" t="s">
        <v>8242</v>
      </c>
      <c r="D633" s="592">
        <v>1</v>
      </c>
      <c r="E633" s="597">
        <v>7500</v>
      </c>
      <c r="F633" s="597">
        <v>7500</v>
      </c>
      <c r="G633" s="597">
        <v>5850</v>
      </c>
      <c r="H633" s="592" t="s">
        <v>1397</v>
      </c>
    </row>
    <row r="634" spans="1:8" ht="24.75" customHeight="1" x14ac:dyDescent="0.55000000000000004">
      <c r="A634" s="592">
        <v>633</v>
      </c>
      <c r="B634" s="596" t="s">
        <v>8243</v>
      </c>
      <c r="C634" s="592" t="s">
        <v>8244</v>
      </c>
      <c r="D634" s="592">
        <v>4</v>
      </c>
      <c r="E634" s="597">
        <v>7000</v>
      </c>
      <c r="F634" s="597">
        <v>7000</v>
      </c>
      <c r="G634" s="597">
        <v>21600</v>
      </c>
      <c r="H634" s="592" t="s">
        <v>1397</v>
      </c>
    </row>
    <row r="635" spans="1:8" ht="24.75" customHeight="1" x14ac:dyDescent="0.55000000000000004">
      <c r="A635" s="592">
        <v>634</v>
      </c>
      <c r="B635" s="596" t="s">
        <v>8388</v>
      </c>
      <c r="C635" s="592" t="s">
        <v>8389</v>
      </c>
      <c r="D635" s="592">
        <v>2</v>
      </c>
      <c r="E635" s="597">
        <v>62000</v>
      </c>
      <c r="F635" s="597">
        <v>62000</v>
      </c>
      <c r="G635" s="597">
        <v>111600</v>
      </c>
      <c r="H635" s="592" t="s">
        <v>1397</v>
      </c>
    </row>
    <row r="636" spans="1:8" ht="24.75" customHeight="1" x14ac:dyDescent="0.55000000000000004">
      <c r="A636" s="592">
        <v>635</v>
      </c>
      <c r="B636" s="596" t="s">
        <v>8390</v>
      </c>
      <c r="C636" s="592" t="s">
        <v>8391</v>
      </c>
      <c r="D636" s="592">
        <v>1</v>
      </c>
      <c r="E636" s="597">
        <v>35000</v>
      </c>
      <c r="F636" s="597">
        <v>35000</v>
      </c>
      <c r="G636" s="597">
        <v>32000</v>
      </c>
      <c r="H636" s="592" t="s">
        <v>1397</v>
      </c>
    </row>
    <row r="637" spans="1:8" ht="24.75" customHeight="1" x14ac:dyDescent="0.55000000000000004">
      <c r="A637" s="592">
        <v>636</v>
      </c>
      <c r="B637" s="596" t="s">
        <v>8392</v>
      </c>
      <c r="C637" s="592" t="s">
        <v>8393</v>
      </c>
      <c r="D637" s="592">
        <v>2</v>
      </c>
      <c r="E637" s="597">
        <v>16000</v>
      </c>
      <c r="F637" s="597">
        <v>16000</v>
      </c>
      <c r="G637" s="597">
        <v>25200</v>
      </c>
      <c r="H637" s="592" t="s">
        <v>1397</v>
      </c>
    </row>
    <row r="638" spans="1:8" ht="24.75" customHeight="1" x14ac:dyDescent="0.55000000000000004">
      <c r="A638" s="592">
        <v>637</v>
      </c>
      <c r="B638" s="596" t="s">
        <v>8394</v>
      </c>
      <c r="C638" s="592" t="s">
        <v>8395</v>
      </c>
      <c r="D638" s="592">
        <v>3</v>
      </c>
      <c r="E638" s="597">
        <v>17000</v>
      </c>
      <c r="F638" s="597">
        <v>17000</v>
      </c>
      <c r="G638" s="597">
        <v>41850</v>
      </c>
      <c r="H638" s="592" t="s">
        <v>1397</v>
      </c>
    </row>
    <row r="639" spans="1:8" ht="24.75" customHeight="1" x14ac:dyDescent="0.55000000000000004">
      <c r="A639" s="592">
        <v>638</v>
      </c>
      <c r="B639" s="596" t="s">
        <v>8528</v>
      </c>
      <c r="C639" s="592" t="s">
        <v>8529</v>
      </c>
      <c r="D639" s="592">
        <v>9</v>
      </c>
      <c r="E639" s="597">
        <v>2500</v>
      </c>
      <c r="F639" s="597">
        <v>2500</v>
      </c>
      <c r="G639" s="597">
        <v>20250</v>
      </c>
      <c r="H639" s="592" t="s">
        <v>1397</v>
      </c>
    </row>
    <row r="640" spans="1:8" ht="24.75" customHeight="1" x14ac:dyDescent="0.55000000000000004">
      <c r="A640" s="592">
        <v>639</v>
      </c>
      <c r="B640" s="596" t="s">
        <v>8692</v>
      </c>
      <c r="C640" s="592" t="s">
        <v>8693</v>
      </c>
      <c r="D640" s="592">
        <v>1</v>
      </c>
      <c r="E640" s="597">
        <v>15000</v>
      </c>
      <c r="F640" s="597">
        <v>15000</v>
      </c>
      <c r="G640" s="597">
        <v>10500</v>
      </c>
      <c r="H640" s="592" t="s">
        <v>1397</v>
      </c>
    </row>
    <row r="641" spans="1:8" ht="24.75" customHeight="1" x14ac:dyDescent="0.55000000000000004">
      <c r="A641" s="592">
        <v>640</v>
      </c>
      <c r="B641" s="596" t="s">
        <v>8694</v>
      </c>
      <c r="C641" s="592" t="s">
        <v>8695</v>
      </c>
      <c r="D641" s="592">
        <v>3</v>
      </c>
      <c r="E641" s="597">
        <v>32000</v>
      </c>
      <c r="F641" s="597">
        <v>32000</v>
      </c>
      <c r="G641" s="597">
        <v>86400</v>
      </c>
      <c r="H641" s="592" t="s">
        <v>1397</v>
      </c>
    </row>
    <row r="642" spans="1:8" ht="24.75" customHeight="1" x14ac:dyDescent="0.55000000000000004">
      <c r="A642" s="592">
        <v>641</v>
      </c>
      <c r="B642" s="596" t="s">
        <v>3924</v>
      </c>
      <c r="C642" s="592" t="s">
        <v>3925</v>
      </c>
      <c r="D642" s="592">
        <v>1</v>
      </c>
      <c r="E642" s="597">
        <v>21000</v>
      </c>
      <c r="F642" s="597">
        <v>21000</v>
      </c>
      <c r="G642" s="597">
        <v>17600</v>
      </c>
      <c r="H642" s="592" t="s">
        <v>1093</v>
      </c>
    </row>
    <row r="643" spans="1:8" ht="24.75" customHeight="1" x14ac:dyDescent="0.55000000000000004">
      <c r="A643" s="592">
        <v>642</v>
      </c>
      <c r="B643" s="596" t="s">
        <v>6159</v>
      </c>
      <c r="C643" s="592" t="s">
        <v>6160</v>
      </c>
      <c r="D643" s="592">
        <v>1</v>
      </c>
      <c r="E643" s="597">
        <v>73000</v>
      </c>
      <c r="F643" s="597">
        <v>73000</v>
      </c>
      <c r="G643" s="597">
        <v>68700</v>
      </c>
      <c r="H643" s="592" t="s">
        <v>1093</v>
      </c>
    </row>
    <row r="644" spans="1:8" ht="24.75" customHeight="1" x14ac:dyDescent="0.55000000000000004">
      <c r="A644" s="592">
        <v>643</v>
      </c>
      <c r="B644" s="596" t="s">
        <v>3926</v>
      </c>
      <c r="C644" s="592" t="s">
        <v>3927</v>
      </c>
      <c r="D644" s="592">
        <v>1</v>
      </c>
      <c r="E644" s="597">
        <v>2000</v>
      </c>
      <c r="F644" s="597">
        <v>2000</v>
      </c>
      <c r="G644" s="597">
        <v>904</v>
      </c>
      <c r="H644" s="592" t="s">
        <v>1093</v>
      </c>
    </row>
    <row r="645" spans="1:8" ht="24.75" customHeight="1" x14ac:dyDescent="0.55000000000000004">
      <c r="A645" s="592">
        <v>644</v>
      </c>
      <c r="B645" s="596" t="s">
        <v>1430</v>
      </c>
      <c r="C645" s="592" t="s">
        <v>7329</v>
      </c>
      <c r="D645" s="592">
        <v>2</v>
      </c>
      <c r="E645" s="597">
        <v>7000</v>
      </c>
      <c r="F645" s="597">
        <v>7000</v>
      </c>
      <c r="G645" s="597">
        <v>9400</v>
      </c>
      <c r="H645" s="592" t="s">
        <v>1093</v>
      </c>
    </row>
    <row r="646" spans="1:8" ht="24.75" customHeight="1" x14ac:dyDescent="0.55000000000000004">
      <c r="A646" s="592">
        <v>645</v>
      </c>
      <c r="B646" s="596" t="s">
        <v>1431</v>
      </c>
      <c r="C646" s="592" t="s">
        <v>1432</v>
      </c>
      <c r="D646" s="592">
        <v>3</v>
      </c>
      <c r="E646" s="597">
        <v>2700</v>
      </c>
      <c r="F646" s="597">
        <v>2700</v>
      </c>
      <c r="G646" s="597">
        <v>5733</v>
      </c>
      <c r="H646" s="592" t="s">
        <v>1093</v>
      </c>
    </row>
    <row r="647" spans="1:8" ht="24.75" customHeight="1" x14ac:dyDescent="0.55000000000000004">
      <c r="A647" s="592">
        <v>646</v>
      </c>
      <c r="B647" s="596" t="s">
        <v>6242</v>
      </c>
      <c r="C647" s="592" t="s">
        <v>6243</v>
      </c>
      <c r="D647" s="592">
        <v>4</v>
      </c>
      <c r="E647" s="597">
        <v>11000</v>
      </c>
      <c r="F647" s="597">
        <v>11000</v>
      </c>
      <c r="G647" s="597">
        <v>38000</v>
      </c>
      <c r="H647" s="592" t="s">
        <v>1093</v>
      </c>
    </row>
    <row r="648" spans="1:8" ht="24.75" customHeight="1" x14ac:dyDescent="0.55000000000000004">
      <c r="A648" s="592">
        <v>647</v>
      </c>
      <c r="B648" s="596" t="s">
        <v>8532</v>
      </c>
      <c r="C648" s="592" t="s">
        <v>8533</v>
      </c>
      <c r="D648" s="592">
        <v>4</v>
      </c>
      <c r="E648" s="597">
        <v>6500</v>
      </c>
      <c r="F648" s="597">
        <v>6500</v>
      </c>
      <c r="G648" s="597">
        <v>20800</v>
      </c>
      <c r="H648" s="592" t="s">
        <v>1093</v>
      </c>
    </row>
    <row r="649" spans="1:8" ht="24.75" customHeight="1" x14ac:dyDescent="0.55000000000000004">
      <c r="A649" s="592">
        <v>648</v>
      </c>
      <c r="B649" s="596" t="s">
        <v>3928</v>
      </c>
      <c r="C649" s="592" t="s">
        <v>3929</v>
      </c>
      <c r="D649" s="592">
        <v>1</v>
      </c>
      <c r="E649" s="597">
        <v>200000</v>
      </c>
      <c r="F649" s="597">
        <v>200000</v>
      </c>
      <c r="G649" s="597">
        <v>168000</v>
      </c>
      <c r="H649" s="592" t="s">
        <v>1093</v>
      </c>
    </row>
    <row r="650" spans="1:8" ht="24.75" customHeight="1" x14ac:dyDescent="0.55000000000000004">
      <c r="A650" s="592">
        <v>649</v>
      </c>
      <c r="B650" s="596" t="s">
        <v>3930</v>
      </c>
      <c r="C650" s="592" t="s">
        <v>3931</v>
      </c>
      <c r="D650" s="592">
        <v>1</v>
      </c>
      <c r="E650" s="597">
        <v>2000</v>
      </c>
      <c r="F650" s="597">
        <v>2000</v>
      </c>
      <c r="G650" s="597">
        <v>1619</v>
      </c>
      <c r="H650" s="592" t="s">
        <v>1093</v>
      </c>
    </row>
    <row r="651" spans="1:8" ht="24.75" customHeight="1" x14ac:dyDescent="0.55000000000000004">
      <c r="A651" s="592">
        <v>650</v>
      </c>
      <c r="B651" s="596" t="s">
        <v>3932</v>
      </c>
      <c r="C651" s="592" t="s">
        <v>3933</v>
      </c>
      <c r="D651" s="592">
        <v>6</v>
      </c>
      <c r="E651" s="597">
        <v>2000</v>
      </c>
      <c r="F651" s="597">
        <v>2000</v>
      </c>
      <c r="G651" s="597">
        <v>7854</v>
      </c>
      <c r="H651" s="592" t="s">
        <v>1093</v>
      </c>
    </row>
    <row r="652" spans="1:8" ht="24.75" customHeight="1" x14ac:dyDescent="0.55000000000000004">
      <c r="A652" s="592">
        <v>651</v>
      </c>
      <c r="B652" s="596" t="s">
        <v>2479</v>
      </c>
      <c r="C652" s="592" t="s">
        <v>2480</v>
      </c>
      <c r="D652" s="592">
        <v>4</v>
      </c>
      <c r="E652" s="597">
        <v>3000</v>
      </c>
      <c r="F652" s="597">
        <v>3000</v>
      </c>
      <c r="G652" s="597">
        <v>9200</v>
      </c>
      <c r="H652" s="592" t="s">
        <v>1093</v>
      </c>
    </row>
    <row r="653" spans="1:8" ht="24.75" customHeight="1" x14ac:dyDescent="0.55000000000000004">
      <c r="A653" s="592">
        <v>652</v>
      </c>
      <c r="B653" s="596" t="s">
        <v>8245</v>
      </c>
      <c r="C653" s="592" t="s">
        <v>8246</v>
      </c>
      <c r="D653" s="592">
        <v>4</v>
      </c>
      <c r="E653" s="597">
        <v>2500</v>
      </c>
      <c r="F653" s="597">
        <v>2500</v>
      </c>
      <c r="G653" s="597">
        <v>7200</v>
      </c>
      <c r="H653" s="592" t="s">
        <v>1093</v>
      </c>
    </row>
    <row r="654" spans="1:8" ht="24.75" customHeight="1" x14ac:dyDescent="0.55000000000000004">
      <c r="A654" s="592">
        <v>653</v>
      </c>
      <c r="B654" s="596" t="s">
        <v>8696</v>
      </c>
      <c r="C654" s="592" t="s">
        <v>8697</v>
      </c>
      <c r="D654" s="592">
        <v>2</v>
      </c>
      <c r="E654" s="597">
        <v>57500</v>
      </c>
      <c r="F654" s="597">
        <v>57500</v>
      </c>
      <c r="G654" s="597">
        <v>95000</v>
      </c>
      <c r="H654" s="592" t="s">
        <v>1093</v>
      </c>
    </row>
    <row r="655" spans="1:8" ht="24.75" customHeight="1" x14ac:dyDescent="0.55000000000000004">
      <c r="A655" s="592">
        <v>654</v>
      </c>
      <c r="B655" s="596" t="s">
        <v>1433</v>
      </c>
      <c r="C655" s="592" t="s">
        <v>1434</v>
      </c>
      <c r="D655" s="592">
        <v>1</v>
      </c>
      <c r="E655" s="597">
        <v>12000</v>
      </c>
      <c r="F655" s="597">
        <v>12000</v>
      </c>
      <c r="G655" s="597">
        <v>8438</v>
      </c>
      <c r="H655" s="592" t="s">
        <v>1093</v>
      </c>
    </row>
    <row r="656" spans="1:8" ht="24.75" customHeight="1" x14ac:dyDescent="0.55000000000000004">
      <c r="A656" s="592">
        <v>655</v>
      </c>
      <c r="B656" s="596" t="s">
        <v>1435</v>
      </c>
      <c r="C656" s="592" t="s">
        <v>1436</v>
      </c>
      <c r="D656" s="592">
        <v>13</v>
      </c>
      <c r="E656" s="597">
        <v>8500</v>
      </c>
      <c r="F656" s="597">
        <v>8500</v>
      </c>
      <c r="G656" s="597">
        <v>84500</v>
      </c>
      <c r="H656" s="592" t="s">
        <v>1093</v>
      </c>
    </row>
    <row r="657" spans="1:8" ht="24.75" customHeight="1" x14ac:dyDescent="0.55000000000000004">
      <c r="A657" s="592">
        <v>656</v>
      </c>
      <c r="B657" s="596" t="s">
        <v>6323</v>
      </c>
      <c r="C657" s="592" t="s">
        <v>6324</v>
      </c>
      <c r="D657" s="592">
        <v>2</v>
      </c>
      <c r="E657" s="597">
        <v>6000</v>
      </c>
      <c r="F657" s="597">
        <v>6000</v>
      </c>
      <c r="G657" s="597">
        <v>8450</v>
      </c>
      <c r="H657" s="592" t="s">
        <v>1093</v>
      </c>
    </row>
    <row r="658" spans="1:8" ht="24.75" customHeight="1" x14ac:dyDescent="0.55000000000000004">
      <c r="A658" s="592">
        <v>657</v>
      </c>
      <c r="B658" s="596" t="s">
        <v>1437</v>
      </c>
      <c r="C658" s="592" t="s">
        <v>1438</v>
      </c>
      <c r="D658" s="592">
        <v>2</v>
      </c>
      <c r="E658" s="597">
        <v>3000</v>
      </c>
      <c r="F658" s="597">
        <v>3000</v>
      </c>
      <c r="G658" s="597">
        <v>3370</v>
      </c>
      <c r="H658" s="592" t="s">
        <v>1093</v>
      </c>
    </row>
    <row r="659" spans="1:8" ht="24.75" customHeight="1" x14ac:dyDescent="0.55000000000000004">
      <c r="A659" s="592">
        <v>658</v>
      </c>
      <c r="B659" s="596" t="s">
        <v>6808</v>
      </c>
      <c r="C659" s="592" t="s">
        <v>6809</v>
      </c>
      <c r="D659" s="592">
        <v>7</v>
      </c>
      <c r="E659" s="597">
        <v>5000</v>
      </c>
      <c r="F659" s="597">
        <v>5000</v>
      </c>
      <c r="G659" s="597">
        <v>27440</v>
      </c>
      <c r="H659" s="592" t="s">
        <v>1093</v>
      </c>
    </row>
    <row r="660" spans="1:8" ht="24.75" customHeight="1" x14ac:dyDescent="0.55000000000000004">
      <c r="A660" s="592">
        <v>659</v>
      </c>
      <c r="B660" s="596" t="s">
        <v>1439</v>
      </c>
      <c r="C660" s="592" t="s">
        <v>1440</v>
      </c>
      <c r="D660" s="592">
        <v>1</v>
      </c>
      <c r="E660" s="597">
        <v>11000</v>
      </c>
      <c r="F660" s="597">
        <v>11000</v>
      </c>
      <c r="G660" s="597">
        <v>4500</v>
      </c>
      <c r="H660" s="592" t="s">
        <v>1093</v>
      </c>
    </row>
    <row r="661" spans="1:8" ht="24.75" customHeight="1" x14ac:dyDescent="0.55000000000000004">
      <c r="A661" s="592">
        <v>660</v>
      </c>
      <c r="B661" s="596" t="s">
        <v>6810</v>
      </c>
      <c r="C661" s="592" t="s">
        <v>6811</v>
      </c>
      <c r="D661" s="592">
        <v>5</v>
      </c>
      <c r="E661" s="597">
        <v>6000</v>
      </c>
      <c r="F661" s="597">
        <v>6000</v>
      </c>
      <c r="G661" s="597">
        <v>22500</v>
      </c>
      <c r="H661" s="592" t="s">
        <v>1093</v>
      </c>
    </row>
    <row r="662" spans="1:8" ht="24.75" customHeight="1" x14ac:dyDescent="0.55000000000000004">
      <c r="A662" s="592">
        <v>661</v>
      </c>
      <c r="B662" s="596" t="s">
        <v>3934</v>
      </c>
      <c r="C662" s="592" t="s">
        <v>3935</v>
      </c>
      <c r="D662" s="592">
        <v>2</v>
      </c>
      <c r="E662" s="597">
        <v>2500</v>
      </c>
      <c r="F662" s="597">
        <v>2500</v>
      </c>
      <c r="G662" s="597">
        <v>4050</v>
      </c>
      <c r="H662" s="592" t="s">
        <v>1093</v>
      </c>
    </row>
    <row r="663" spans="1:8" ht="24.75" customHeight="1" x14ac:dyDescent="0.55000000000000004">
      <c r="A663" s="592">
        <v>662</v>
      </c>
      <c r="B663" s="596" t="s">
        <v>3936</v>
      </c>
      <c r="C663" s="592" t="s">
        <v>3937</v>
      </c>
      <c r="D663" s="592">
        <v>3</v>
      </c>
      <c r="E663" s="597">
        <v>2500</v>
      </c>
      <c r="F663" s="597">
        <v>2500</v>
      </c>
      <c r="G663" s="597">
        <v>6075</v>
      </c>
      <c r="H663" s="592" t="s">
        <v>1093</v>
      </c>
    </row>
    <row r="664" spans="1:8" ht="24.75" customHeight="1" x14ac:dyDescent="0.55000000000000004">
      <c r="A664" s="592">
        <v>663</v>
      </c>
      <c r="B664" s="596" t="s">
        <v>3938</v>
      </c>
      <c r="C664" s="592" t="s">
        <v>3939</v>
      </c>
      <c r="D664" s="592">
        <v>3</v>
      </c>
      <c r="E664" s="597">
        <v>4000</v>
      </c>
      <c r="F664" s="597">
        <v>4000</v>
      </c>
      <c r="G664" s="597">
        <v>7605</v>
      </c>
      <c r="H664" s="592" t="s">
        <v>1093</v>
      </c>
    </row>
    <row r="665" spans="1:8" ht="24.75" customHeight="1" x14ac:dyDescent="0.55000000000000004">
      <c r="A665" s="592">
        <v>664</v>
      </c>
      <c r="B665" s="596" t="s">
        <v>1441</v>
      </c>
      <c r="C665" s="592" t="s">
        <v>1442</v>
      </c>
      <c r="D665" s="592">
        <v>5</v>
      </c>
      <c r="E665" s="597">
        <v>8600</v>
      </c>
      <c r="F665" s="597">
        <v>8600</v>
      </c>
      <c r="G665" s="597">
        <v>33125</v>
      </c>
      <c r="H665" s="592" t="s">
        <v>1093</v>
      </c>
    </row>
    <row r="666" spans="1:8" ht="24.75" customHeight="1" x14ac:dyDescent="0.55000000000000004">
      <c r="A666" s="592">
        <v>665</v>
      </c>
      <c r="B666" s="596" t="s">
        <v>3940</v>
      </c>
      <c r="C666" s="592" t="s">
        <v>3941</v>
      </c>
      <c r="D666" s="592">
        <v>4</v>
      </c>
      <c r="E666" s="597">
        <v>10000</v>
      </c>
      <c r="F666" s="597">
        <v>10000</v>
      </c>
      <c r="G666" s="597">
        <v>31620</v>
      </c>
      <c r="H666" s="592" t="s">
        <v>1093</v>
      </c>
    </row>
    <row r="667" spans="1:8" ht="24.75" customHeight="1" x14ac:dyDescent="0.55000000000000004">
      <c r="A667" s="592">
        <v>666</v>
      </c>
      <c r="B667" s="596" t="s">
        <v>3942</v>
      </c>
      <c r="C667" s="592" t="s">
        <v>3943</v>
      </c>
      <c r="D667" s="592">
        <v>4</v>
      </c>
      <c r="E667" s="597">
        <v>1500</v>
      </c>
      <c r="F667" s="597">
        <v>1500</v>
      </c>
      <c r="G667" s="597">
        <v>2680</v>
      </c>
      <c r="H667" s="592" t="s">
        <v>1093</v>
      </c>
    </row>
    <row r="668" spans="1:8" ht="24.75" customHeight="1" x14ac:dyDescent="0.55000000000000004">
      <c r="A668" s="592">
        <v>667</v>
      </c>
      <c r="B668" s="596" t="s">
        <v>3944</v>
      </c>
      <c r="C668" s="592" t="s">
        <v>3945</v>
      </c>
      <c r="D668" s="592">
        <v>1</v>
      </c>
      <c r="E668" s="597">
        <v>2000</v>
      </c>
      <c r="F668" s="597">
        <v>2000</v>
      </c>
      <c r="G668" s="597">
        <v>1321</v>
      </c>
      <c r="H668" s="592" t="s">
        <v>1093</v>
      </c>
    </row>
    <row r="669" spans="1:8" ht="24.75" customHeight="1" x14ac:dyDescent="0.55000000000000004">
      <c r="A669" s="592">
        <v>668</v>
      </c>
      <c r="B669" s="596" t="s">
        <v>3946</v>
      </c>
      <c r="C669" s="592" t="s">
        <v>3947</v>
      </c>
      <c r="D669" s="592">
        <v>9</v>
      </c>
      <c r="E669" s="597">
        <v>1800</v>
      </c>
      <c r="F669" s="597">
        <v>1800</v>
      </c>
      <c r="G669" s="597">
        <v>10260</v>
      </c>
      <c r="H669" s="592" t="s">
        <v>1093</v>
      </c>
    </row>
    <row r="670" spans="1:8" ht="24.75" customHeight="1" x14ac:dyDescent="0.55000000000000004">
      <c r="A670" s="592">
        <v>669</v>
      </c>
      <c r="B670" s="596" t="s">
        <v>6650</v>
      </c>
      <c r="C670" s="592" t="s">
        <v>6651</v>
      </c>
      <c r="D670" s="592">
        <v>3</v>
      </c>
      <c r="E670" s="597">
        <v>2000</v>
      </c>
      <c r="F670" s="597">
        <v>2000</v>
      </c>
      <c r="G670" s="597">
        <v>4095</v>
      </c>
      <c r="H670" s="592" t="s">
        <v>1093</v>
      </c>
    </row>
    <row r="671" spans="1:8" ht="24.75" customHeight="1" x14ac:dyDescent="0.55000000000000004">
      <c r="A671" s="592">
        <v>670</v>
      </c>
      <c r="B671" s="596" t="s">
        <v>3948</v>
      </c>
      <c r="C671" s="592" t="s">
        <v>3949</v>
      </c>
      <c r="D671" s="592">
        <v>30</v>
      </c>
      <c r="E671" s="597">
        <v>700</v>
      </c>
      <c r="F671" s="597">
        <v>700</v>
      </c>
      <c r="G671" s="597">
        <v>12450</v>
      </c>
      <c r="H671" s="592" t="s">
        <v>1093</v>
      </c>
    </row>
    <row r="672" spans="1:8" ht="24.75" customHeight="1" x14ac:dyDescent="0.55000000000000004">
      <c r="A672" s="592">
        <v>671</v>
      </c>
      <c r="B672" s="596" t="s">
        <v>3950</v>
      </c>
      <c r="C672" s="592" t="s">
        <v>3951</v>
      </c>
      <c r="D672" s="592">
        <v>1</v>
      </c>
      <c r="E672" s="597">
        <v>4000</v>
      </c>
      <c r="F672" s="597">
        <v>4000</v>
      </c>
      <c r="G672" s="597">
        <v>2650</v>
      </c>
      <c r="H672" s="592" t="s">
        <v>1093</v>
      </c>
    </row>
    <row r="673" spans="1:8" ht="24.75" customHeight="1" x14ac:dyDescent="0.55000000000000004">
      <c r="A673" s="592">
        <v>672</v>
      </c>
      <c r="B673" s="596" t="s">
        <v>3952</v>
      </c>
      <c r="C673" s="592" t="s">
        <v>3953</v>
      </c>
      <c r="D673" s="592">
        <v>5</v>
      </c>
      <c r="E673" s="597">
        <v>1500</v>
      </c>
      <c r="F673" s="597">
        <v>1500</v>
      </c>
      <c r="G673" s="597">
        <v>2815</v>
      </c>
      <c r="H673" s="592" t="s">
        <v>1093</v>
      </c>
    </row>
    <row r="674" spans="1:8" ht="24.75" customHeight="1" x14ac:dyDescent="0.55000000000000004">
      <c r="A674" s="592">
        <v>673</v>
      </c>
      <c r="B674" s="596" t="s">
        <v>3954</v>
      </c>
      <c r="C674" s="592" t="s">
        <v>7529</v>
      </c>
      <c r="D674" s="592">
        <v>2</v>
      </c>
      <c r="E674" s="597">
        <v>2000</v>
      </c>
      <c r="F674" s="597">
        <v>2000</v>
      </c>
      <c r="G674" s="597">
        <v>3140</v>
      </c>
      <c r="H674" s="592" t="s">
        <v>1093</v>
      </c>
    </row>
    <row r="675" spans="1:8" ht="24.75" customHeight="1" x14ac:dyDescent="0.55000000000000004">
      <c r="A675" s="592">
        <v>674</v>
      </c>
      <c r="B675" s="596" t="s">
        <v>2538</v>
      </c>
      <c r="C675" s="592" t="s">
        <v>2539</v>
      </c>
      <c r="D675" s="592">
        <v>7</v>
      </c>
      <c r="E675" s="597">
        <v>500</v>
      </c>
      <c r="F675" s="597">
        <v>500</v>
      </c>
      <c r="G675" s="597">
        <v>1659</v>
      </c>
      <c r="H675" s="592" t="s">
        <v>1093</v>
      </c>
    </row>
    <row r="676" spans="1:8" ht="24.75" customHeight="1" x14ac:dyDescent="0.55000000000000004">
      <c r="A676" s="592">
        <v>675</v>
      </c>
      <c r="B676" s="596" t="s">
        <v>3955</v>
      </c>
      <c r="C676" s="592" t="s">
        <v>3956</v>
      </c>
      <c r="D676" s="592">
        <v>2</v>
      </c>
      <c r="E676" s="597">
        <v>2500</v>
      </c>
      <c r="F676" s="597">
        <v>2500</v>
      </c>
      <c r="G676" s="597">
        <v>1844</v>
      </c>
      <c r="H676" s="592" t="s">
        <v>1093</v>
      </c>
    </row>
    <row r="677" spans="1:8" ht="24.75" customHeight="1" x14ac:dyDescent="0.55000000000000004">
      <c r="A677" s="592">
        <v>676</v>
      </c>
      <c r="B677" s="596" t="s">
        <v>3957</v>
      </c>
      <c r="C677" s="592" t="s">
        <v>3958</v>
      </c>
      <c r="D677" s="592">
        <v>4</v>
      </c>
      <c r="E677" s="597">
        <v>2500</v>
      </c>
      <c r="F677" s="597">
        <v>2500</v>
      </c>
      <c r="G677" s="597">
        <v>3140</v>
      </c>
      <c r="H677" s="592" t="s">
        <v>1093</v>
      </c>
    </row>
    <row r="678" spans="1:8" ht="24.75" customHeight="1" x14ac:dyDescent="0.55000000000000004">
      <c r="A678" s="592">
        <v>677</v>
      </c>
      <c r="B678" s="596" t="s">
        <v>2540</v>
      </c>
      <c r="C678" s="592" t="s">
        <v>2541</v>
      </c>
      <c r="D678" s="592">
        <v>3</v>
      </c>
      <c r="E678" s="597">
        <v>2000</v>
      </c>
      <c r="F678" s="597">
        <v>2000</v>
      </c>
      <c r="G678" s="597">
        <v>2859</v>
      </c>
      <c r="H678" s="592" t="s">
        <v>1093</v>
      </c>
    </row>
    <row r="679" spans="1:8" ht="24.75" customHeight="1" x14ac:dyDescent="0.55000000000000004">
      <c r="A679" s="592">
        <v>678</v>
      </c>
      <c r="B679" s="596" t="s">
        <v>3227</v>
      </c>
      <c r="C679" s="592" t="s">
        <v>3228</v>
      </c>
      <c r="D679" s="592">
        <v>1</v>
      </c>
      <c r="E679" s="597">
        <v>3500</v>
      </c>
      <c r="F679" s="597">
        <v>3500</v>
      </c>
      <c r="G679" s="597">
        <v>2280</v>
      </c>
      <c r="H679" s="592" t="s">
        <v>1093</v>
      </c>
    </row>
    <row r="680" spans="1:8" ht="24.75" customHeight="1" x14ac:dyDescent="0.55000000000000004">
      <c r="A680" s="592">
        <v>679</v>
      </c>
      <c r="B680" s="596" t="s">
        <v>6553</v>
      </c>
      <c r="C680" s="592" t="s">
        <v>2476</v>
      </c>
      <c r="D680" s="592">
        <v>1</v>
      </c>
      <c r="E680" s="597">
        <v>900</v>
      </c>
      <c r="F680" s="597">
        <v>900</v>
      </c>
      <c r="G680" s="597">
        <v>237</v>
      </c>
      <c r="H680" s="592" t="s">
        <v>1093</v>
      </c>
    </row>
    <row r="681" spans="1:8" ht="24.75" customHeight="1" x14ac:dyDescent="0.55000000000000004">
      <c r="A681" s="592">
        <v>680</v>
      </c>
      <c r="B681" s="596" t="s">
        <v>3959</v>
      </c>
      <c r="C681" s="592" t="s">
        <v>3960</v>
      </c>
      <c r="D681" s="592">
        <v>11</v>
      </c>
      <c r="E681" s="597">
        <v>5000</v>
      </c>
      <c r="F681" s="597">
        <v>5000</v>
      </c>
      <c r="G681" s="597">
        <v>49500</v>
      </c>
      <c r="H681" s="592" t="s">
        <v>1093</v>
      </c>
    </row>
    <row r="682" spans="1:8" ht="24.75" customHeight="1" x14ac:dyDescent="0.55000000000000004">
      <c r="A682" s="592">
        <v>681</v>
      </c>
      <c r="B682" s="596" t="s">
        <v>6812</v>
      </c>
      <c r="C682" s="592" t="s">
        <v>6813</v>
      </c>
      <c r="D682" s="592">
        <v>1</v>
      </c>
      <c r="E682" s="597">
        <v>5000</v>
      </c>
      <c r="F682" s="597">
        <v>5000</v>
      </c>
      <c r="G682" s="597">
        <v>3800</v>
      </c>
      <c r="H682" s="592" t="s">
        <v>1093</v>
      </c>
    </row>
    <row r="683" spans="1:8" ht="24.75" customHeight="1" x14ac:dyDescent="0.55000000000000004">
      <c r="A683" s="592">
        <v>682</v>
      </c>
      <c r="B683" s="596" t="s">
        <v>3110</v>
      </c>
      <c r="C683" s="592" t="s">
        <v>3111</v>
      </c>
      <c r="D683" s="592">
        <v>4</v>
      </c>
      <c r="E683" s="597">
        <v>5000</v>
      </c>
      <c r="F683" s="597">
        <v>5000</v>
      </c>
      <c r="G683" s="597">
        <v>15716</v>
      </c>
      <c r="H683" s="592" t="s">
        <v>1093</v>
      </c>
    </row>
    <row r="684" spans="1:8" ht="24.75" customHeight="1" x14ac:dyDescent="0.55000000000000004">
      <c r="A684" s="592">
        <v>683</v>
      </c>
      <c r="B684" s="596" t="s">
        <v>3961</v>
      </c>
      <c r="C684" s="592" t="s">
        <v>3962</v>
      </c>
      <c r="D684" s="592">
        <v>16</v>
      </c>
      <c r="E684" s="597">
        <v>400</v>
      </c>
      <c r="F684" s="597">
        <v>400</v>
      </c>
      <c r="G684" s="597">
        <v>3360</v>
      </c>
      <c r="H684" s="592" t="s">
        <v>1093</v>
      </c>
    </row>
    <row r="685" spans="1:8" ht="24.75" customHeight="1" x14ac:dyDescent="0.55000000000000004">
      <c r="A685" s="592">
        <v>684</v>
      </c>
      <c r="B685" s="596" t="s">
        <v>3963</v>
      </c>
      <c r="C685" s="592" t="s">
        <v>3964</v>
      </c>
      <c r="D685" s="592">
        <v>1</v>
      </c>
      <c r="E685" s="597">
        <v>2500</v>
      </c>
      <c r="F685" s="597">
        <v>2500</v>
      </c>
      <c r="G685" s="597">
        <v>814</v>
      </c>
      <c r="H685" s="592" t="s">
        <v>1093</v>
      </c>
    </row>
    <row r="686" spans="1:8" ht="24.75" customHeight="1" x14ac:dyDescent="0.55000000000000004">
      <c r="A686" s="592">
        <v>685</v>
      </c>
      <c r="B686" s="596" t="s">
        <v>3965</v>
      </c>
      <c r="C686" s="592" t="s">
        <v>3966</v>
      </c>
      <c r="D686" s="592">
        <v>1</v>
      </c>
      <c r="E686" s="597">
        <v>3000</v>
      </c>
      <c r="F686" s="597">
        <v>3000</v>
      </c>
      <c r="G686" s="597">
        <v>2077</v>
      </c>
      <c r="H686" s="592" t="s">
        <v>1093</v>
      </c>
    </row>
    <row r="687" spans="1:8" ht="24.75" customHeight="1" x14ac:dyDescent="0.55000000000000004">
      <c r="A687" s="592">
        <v>686</v>
      </c>
      <c r="B687" s="596" t="s">
        <v>3967</v>
      </c>
      <c r="C687" s="592" t="s">
        <v>6814</v>
      </c>
      <c r="D687" s="592">
        <v>16</v>
      </c>
      <c r="E687" s="597">
        <v>500</v>
      </c>
      <c r="F687" s="597">
        <v>500</v>
      </c>
      <c r="G687" s="597">
        <v>4800</v>
      </c>
      <c r="H687" s="592" t="s">
        <v>1093</v>
      </c>
    </row>
    <row r="688" spans="1:8" ht="24.75" customHeight="1" x14ac:dyDescent="0.55000000000000004">
      <c r="A688" s="592">
        <v>687</v>
      </c>
      <c r="B688" s="596" t="s">
        <v>3426</v>
      </c>
      <c r="C688" s="592" t="s">
        <v>8534</v>
      </c>
      <c r="D688" s="592">
        <v>2</v>
      </c>
      <c r="E688" s="597">
        <v>20000</v>
      </c>
      <c r="F688" s="597">
        <v>20000</v>
      </c>
      <c r="G688" s="597">
        <v>33800</v>
      </c>
      <c r="H688" s="592" t="s">
        <v>1093</v>
      </c>
    </row>
    <row r="689" spans="1:8" ht="24.75" customHeight="1" x14ac:dyDescent="0.55000000000000004">
      <c r="A689" s="592">
        <v>688</v>
      </c>
      <c r="B689" s="596" t="s">
        <v>3968</v>
      </c>
      <c r="C689" s="592" t="s">
        <v>3969</v>
      </c>
      <c r="D689" s="592">
        <v>5</v>
      </c>
      <c r="E689" s="597">
        <v>8500</v>
      </c>
      <c r="F689" s="597">
        <v>8500</v>
      </c>
      <c r="G689" s="597">
        <v>30615</v>
      </c>
      <c r="H689" s="592" t="s">
        <v>1093</v>
      </c>
    </row>
    <row r="690" spans="1:8" ht="24.75" customHeight="1" x14ac:dyDescent="0.55000000000000004">
      <c r="A690" s="592">
        <v>689</v>
      </c>
      <c r="B690" s="596" t="s">
        <v>3029</v>
      </c>
      <c r="C690" s="592" t="s">
        <v>3030</v>
      </c>
      <c r="D690" s="592">
        <v>57</v>
      </c>
      <c r="E690" s="597">
        <v>900</v>
      </c>
      <c r="F690" s="597">
        <v>900</v>
      </c>
      <c r="G690" s="597">
        <v>37050</v>
      </c>
      <c r="H690" s="592" t="s">
        <v>1093</v>
      </c>
    </row>
    <row r="691" spans="1:8" ht="24.75" customHeight="1" x14ac:dyDescent="0.55000000000000004">
      <c r="A691" s="592">
        <v>690</v>
      </c>
      <c r="B691" s="596" t="s">
        <v>6975</v>
      </c>
      <c r="C691" s="592" t="s">
        <v>6976</v>
      </c>
      <c r="D691" s="592">
        <v>5</v>
      </c>
      <c r="E691" s="597">
        <v>3500</v>
      </c>
      <c r="F691" s="597">
        <v>3500</v>
      </c>
      <c r="G691" s="597">
        <v>16000</v>
      </c>
      <c r="H691" s="592" t="s">
        <v>1093</v>
      </c>
    </row>
    <row r="692" spans="1:8" ht="24.75" customHeight="1" x14ac:dyDescent="0.55000000000000004">
      <c r="A692" s="592">
        <v>691</v>
      </c>
      <c r="B692" s="596" t="s">
        <v>3970</v>
      </c>
      <c r="C692" s="592" t="s">
        <v>3971</v>
      </c>
      <c r="D692" s="592">
        <v>2</v>
      </c>
      <c r="E692" s="597">
        <v>24000</v>
      </c>
      <c r="F692" s="597">
        <v>24000</v>
      </c>
      <c r="G692" s="597">
        <v>40750</v>
      </c>
      <c r="H692" s="592" t="s">
        <v>1093</v>
      </c>
    </row>
    <row r="693" spans="1:8" ht="24.75" customHeight="1" x14ac:dyDescent="0.55000000000000004">
      <c r="A693" s="592">
        <v>692</v>
      </c>
      <c r="B693" s="596" t="s">
        <v>3056</v>
      </c>
      <c r="C693" s="592" t="s">
        <v>3057</v>
      </c>
      <c r="D693" s="592">
        <v>2</v>
      </c>
      <c r="E693" s="597">
        <v>5500</v>
      </c>
      <c r="F693" s="597">
        <v>5500</v>
      </c>
      <c r="G693" s="597">
        <v>8640</v>
      </c>
      <c r="H693" s="592" t="s">
        <v>1093</v>
      </c>
    </row>
    <row r="694" spans="1:8" ht="24.75" customHeight="1" x14ac:dyDescent="0.55000000000000004">
      <c r="A694" s="592">
        <v>693</v>
      </c>
      <c r="B694" s="596" t="s">
        <v>3972</v>
      </c>
      <c r="C694" s="592" t="s">
        <v>3973</v>
      </c>
      <c r="D694" s="592">
        <v>4</v>
      </c>
      <c r="E694" s="597">
        <v>1700</v>
      </c>
      <c r="F694" s="597">
        <v>1700</v>
      </c>
      <c r="G694" s="597">
        <v>4556</v>
      </c>
      <c r="H694" s="592" t="s">
        <v>1093</v>
      </c>
    </row>
    <row r="695" spans="1:8" ht="24.75" customHeight="1" x14ac:dyDescent="0.55000000000000004">
      <c r="A695" s="592">
        <v>694</v>
      </c>
      <c r="B695" s="596" t="s">
        <v>3974</v>
      </c>
      <c r="C695" s="592" t="s">
        <v>8698</v>
      </c>
      <c r="D695" s="592">
        <v>2</v>
      </c>
      <c r="E695" s="597">
        <v>6000</v>
      </c>
      <c r="F695" s="597">
        <v>6000</v>
      </c>
      <c r="G695" s="597">
        <v>7554</v>
      </c>
      <c r="H695" s="592" t="s">
        <v>1093</v>
      </c>
    </row>
    <row r="696" spans="1:8" ht="24.75" customHeight="1" x14ac:dyDescent="0.55000000000000004">
      <c r="A696" s="592">
        <v>695</v>
      </c>
      <c r="B696" s="596" t="s">
        <v>3975</v>
      </c>
      <c r="C696" s="592" t="s">
        <v>8699</v>
      </c>
      <c r="D696" s="592">
        <v>2</v>
      </c>
      <c r="E696" s="597">
        <v>5500</v>
      </c>
      <c r="F696" s="597">
        <v>5500</v>
      </c>
      <c r="G696" s="597">
        <v>5530</v>
      </c>
      <c r="H696" s="592" t="s">
        <v>1093</v>
      </c>
    </row>
    <row r="697" spans="1:8" ht="24.75" customHeight="1" x14ac:dyDescent="0.55000000000000004">
      <c r="A697" s="592">
        <v>696</v>
      </c>
      <c r="B697" s="596" t="s">
        <v>3976</v>
      </c>
      <c r="C697" s="592" t="s">
        <v>3977</v>
      </c>
      <c r="D697" s="592">
        <v>1</v>
      </c>
      <c r="E697" s="597">
        <v>28000</v>
      </c>
      <c r="F697" s="597">
        <v>28000</v>
      </c>
      <c r="G697" s="597">
        <v>15462</v>
      </c>
      <c r="H697" s="592" t="s">
        <v>1093</v>
      </c>
    </row>
    <row r="698" spans="1:8" ht="24.75" customHeight="1" x14ac:dyDescent="0.55000000000000004">
      <c r="A698" s="592">
        <v>697</v>
      </c>
      <c r="B698" s="596" t="s">
        <v>3978</v>
      </c>
      <c r="C698" s="592" t="s">
        <v>3979</v>
      </c>
      <c r="D698" s="592">
        <v>1</v>
      </c>
      <c r="E698" s="597">
        <v>26000</v>
      </c>
      <c r="F698" s="597">
        <v>26000</v>
      </c>
      <c r="G698" s="597">
        <v>14312</v>
      </c>
      <c r="H698" s="592" t="s">
        <v>1093</v>
      </c>
    </row>
    <row r="699" spans="1:8" ht="24.75" customHeight="1" x14ac:dyDescent="0.55000000000000004">
      <c r="A699" s="592">
        <v>698</v>
      </c>
      <c r="B699" s="596" t="s">
        <v>6652</v>
      </c>
      <c r="C699" s="592" t="s">
        <v>3058</v>
      </c>
      <c r="D699" s="592">
        <v>53</v>
      </c>
      <c r="E699" s="597">
        <v>700</v>
      </c>
      <c r="F699" s="597">
        <v>700</v>
      </c>
      <c r="G699" s="597">
        <v>22366</v>
      </c>
      <c r="H699" s="592" t="s">
        <v>1093</v>
      </c>
    </row>
    <row r="700" spans="1:8" ht="24.75" customHeight="1" x14ac:dyDescent="0.55000000000000004">
      <c r="A700" s="592">
        <v>699</v>
      </c>
      <c r="B700" s="596" t="s">
        <v>3980</v>
      </c>
      <c r="C700" s="592" t="s">
        <v>3981</v>
      </c>
      <c r="D700" s="592">
        <v>6</v>
      </c>
      <c r="E700" s="597">
        <v>600</v>
      </c>
      <c r="F700" s="597">
        <v>600</v>
      </c>
      <c r="G700" s="597">
        <v>1044</v>
      </c>
      <c r="H700" s="592" t="s">
        <v>1093</v>
      </c>
    </row>
    <row r="701" spans="1:8" ht="24.75" customHeight="1" x14ac:dyDescent="0.55000000000000004">
      <c r="A701" s="592">
        <v>700</v>
      </c>
      <c r="B701" s="596" t="s">
        <v>3032</v>
      </c>
      <c r="C701" s="592" t="s">
        <v>3033</v>
      </c>
      <c r="D701" s="592">
        <v>1</v>
      </c>
      <c r="E701" s="597">
        <v>1200</v>
      </c>
      <c r="F701" s="597">
        <v>1200</v>
      </c>
      <c r="G701" s="597">
        <v>980</v>
      </c>
      <c r="H701" s="592" t="s">
        <v>1093</v>
      </c>
    </row>
    <row r="702" spans="1:8" ht="24.75" customHeight="1" x14ac:dyDescent="0.55000000000000004">
      <c r="A702" s="592">
        <v>701</v>
      </c>
      <c r="B702" s="596" t="s">
        <v>8247</v>
      </c>
      <c r="C702" s="592" t="s">
        <v>8248</v>
      </c>
      <c r="D702" s="592">
        <v>3</v>
      </c>
      <c r="E702" s="597">
        <v>30300</v>
      </c>
      <c r="F702" s="597">
        <v>30300</v>
      </c>
      <c r="G702" s="597">
        <v>81810</v>
      </c>
      <c r="H702" s="592" t="s">
        <v>1093</v>
      </c>
    </row>
    <row r="703" spans="1:8" ht="24.75" customHeight="1" x14ac:dyDescent="0.55000000000000004">
      <c r="A703" s="592">
        <v>702</v>
      </c>
      <c r="B703" s="596" t="s">
        <v>3982</v>
      </c>
      <c r="C703" s="592" t="s">
        <v>3983</v>
      </c>
      <c r="D703" s="592">
        <v>8</v>
      </c>
      <c r="E703" s="597">
        <v>700</v>
      </c>
      <c r="F703" s="597">
        <v>700</v>
      </c>
      <c r="G703" s="597">
        <v>1704</v>
      </c>
      <c r="H703" s="592" t="s">
        <v>1093</v>
      </c>
    </row>
    <row r="704" spans="1:8" ht="24.75" customHeight="1" x14ac:dyDescent="0.55000000000000004">
      <c r="A704" s="592">
        <v>703</v>
      </c>
      <c r="B704" s="596" t="s">
        <v>3034</v>
      </c>
      <c r="C704" s="592" t="s">
        <v>3035</v>
      </c>
      <c r="D704" s="592">
        <v>7</v>
      </c>
      <c r="E704" s="597">
        <v>700</v>
      </c>
      <c r="F704" s="597">
        <v>700</v>
      </c>
      <c r="G704" s="597">
        <v>1659</v>
      </c>
      <c r="H704" s="592" t="s">
        <v>1093</v>
      </c>
    </row>
    <row r="705" spans="1:8" ht="24.75" customHeight="1" x14ac:dyDescent="0.55000000000000004">
      <c r="A705" s="592">
        <v>704</v>
      </c>
      <c r="B705" s="596" t="s">
        <v>3984</v>
      </c>
      <c r="C705" s="592" t="s">
        <v>3985</v>
      </c>
      <c r="D705" s="592">
        <v>11</v>
      </c>
      <c r="E705" s="597">
        <v>4000</v>
      </c>
      <c r="F705" s="597">
        <v>4000</v>
      </c>
      <c r="G705" s="597">
        <v>31460</v>
      </c>
      <c r="H705" s="592" t="s">
        <v>1093</v>
      </c>
    </row>
    <row r="706" spans="1:8" ht="24.75" customHeight="1" x14ac:dyDescent="0.55000000000000004">
      <c r="A706" s="592">
        <v>705</v>
      </c>
      <c r="B706" s="596" t="s">
        <v>3986</v>
      </c>
      <c r="C706" s="592" t="s">
        <v>3987</v>
      </c>
      <c r="D706" s="592">
        <v>9</v>
      </c>
      <c r="E706" s="597">
        <v>1300</v>
      </c>
      <c r="F706" s="597">
        <v>1300</v>
      </c>
      <c r="G706" s="597">
        <v>4860</v>
      </c>
      <c r="H706" s="592" t="s">
        <v>1093</v>
      </c>
    </row>
    <row r="707" spans="1:8" ht="24.75" customHeight="1" x14ac:dyDescent="0.55000000000000004">
      <c r="A707" s="592">
        <v>706</v>
      </c>
      <c r="B707" s="596" t="s">
        <v>3988</v>
      </c>
      <c r="C707" s="592" t="s">
        <v>3989</v>
      </c>
      <c r="D707" s="592">
        <v>2</v>
      </c>
      <c r="E707" s="597">
        <v>200</v>
      </c>
      <c r="F707" s="597">
        <v>200</v>
      </c>
      <c r="G707" s="597">
        <v>346</v>
      </c>
      <c r="H707" s="592" t="s">
        <v>1093</v>
      </c>
    </row>
    <row r="708" spans="1:8" ht="24.75" customHeight="1" x14ac:dyDescent="0.55000000000000004">
      <c r="A708" s="592">
        <v>707</v>
      </c>
      <c r="B708" s="596" t="s">
        <v>3990</v>
      </c>
      <c r="C708" s="592" t="s">
        <v>3991</v>
      </c>
      <c r="D708" s="592">
        <v>10</v>
      </c>
      <c r="E708" s="597">
        <v>1500</v>
      </c>
      <c r="F708" s="597">
        <v>1500</v>
      </c>
      <c r="G708" s="597">
        <v>10300</v>
      </c>
      <c r="H708" s="592" t="s">
        <v>1093</v>
      </c>
    </row>
    <row r="709" spans="1:8" ht="24.75" customHeight="1" x14ac:dyDescent="0.55000000000000004">
      <c r="A709" s="592">
        <v>708</v>
      </c>
      <c r="B709" s="596" t="s">
        <v>6653</v>
      </c>
      <c r="C709" s="592" t="s">
        <v>6654</v>
      </c>
      <c r="D709" s="592">
        <v>9</v>
      </c>
      <c r="E709" s="597">
        <v>3200</v>
      </c>
      <c r="F709" s="597">
        <v>3200</v>
      </c>
      <c r="G709" s="597">
        <v>19800</v>
      </c>
      <c r="H709" s="592" t="s">
        <v>1093</v>
      </c>
    </row>
    <row r="710" spans="1:8" ht="24.75" customHeight="1" x14ac:dyDescent="0.55000000000000004">
      <c r="A710" s="592">
        <v>709</v>
      </c>
      <c r="B710" s="596" t="s">
        <v>3992</v>
      </c>
      <c r="C710" s="592" t="s">
        <v>3993</v>
      </c>
      <c r="D710" s="592">
        <v>2</v>
      </c>
      <c r="E710" s="597">
        <v>1000</v>
      </c>
      <c r="F710" s="597">
        <v>1000</v>
      </c>
      <c r="G710" s="597">
        <v>1270</v>
      </c>
      <c r="H710" s="592" t="s">
        <v>1093</v>
      </c>
    </row>
    <row r="711" spans="1:8" ht="24.75" customHeight="1" x14ac:dyDescent="0.55000000000000004">
      <c r="A711" s="592">
        <v>710</v>
      </c>
      <c r="B711" s="596" t="s">
        <v>3994</v>
      </c>
      <c r="C711" s="592" t="s">
        <v>3995</v>
      </c>
      <c r="D711" s="592">
        <v>3</v>
      </c>
      <c r="E711" s="597">
        <v>500</v>
      </c>
      <c r="F711" s="597">
        <v>500</v>
      </c>
      <c r="G711" s="597">
        <v>468</v>
      </c>
      <c r="H711" s="592" t="s">
        <v>1093</v>
      </c>
    </row>
    <row r="712" spans="1:8" ht="24.75" customHeight="1" x14ac:dyDescent="0.55000000000000004">
      <c r="A712" s="592">
        <v>711</v>
      </c>
      <c r="B712" s="596" t="s">
        <v>3112</v>
      </c>
      <c r="C712" s="592" t="s">
        <v>7330</v>
      </c>
      <c r="D712" s="592">
        <v>7</v>
      </c>
      <c r="E712" s="597">
        <v>5000</v>
      </c>
      <c r="F712" s="597">
        <v>5000</v>
      </c>
      <c r="G712" s="597">
        <v>23240</v>
      </c>
      <c r="H712" s="592" t="s">
        <v>1093</v>
      </c>
    </row>
    <row r="713" spans="1:8" ht="24.75" customHeight="1" x14ac:dyDescent="0.55000000000000004">
      <c r="A713" s="592">
        <v>712</v>
      </c>
      <c r="B713" s="596" t="s">
        <v>3996</v>
      </c>
      <c r="C713" s="592" t="s">
        <v>3997</v>
      </c>
      <c r="D713" s="592">
        <v>1</v>
      </c>
      <c r="E713" s="597">
        <v>1500</v>
      </c>
      <c r="F713" s="597">
        <v>1500</v>
      </c>
      <c r="G713" s="597">
        <v>900</v>
      </c>
      <c r="H713" s="592" t="s">
        <v>1093</v>
      </c>
    </row>
    <row r="714" spans="1:8" ht="24.75" customHeight="1" x14ac:dyDescent="0.55000000000000004">
      <c r="A714" s="592">
        <v>713</v>
      </c>
      <c r="B714" s="596" t="s">
        <v>8700</v>
      </c>
      <c r="C714" s="592" t="s">
        <v>8701</v>
      </c>
      <c r="D714" s="592">
        <v>2</v>
      </c>
      <c r="E714" s="597">
        <v>19500</v>
      </c>
      <c r="F714" s="597">
        <v>19500</v>
      </c>
      <c r="G714" s="597">
        <v>28750</v>
      </c>
      <c r="H714" s="592" t="s">
        <v>1093</v>
      </c>
    </row>
    <row r="715" spans="1:8" ht="24.75" customHeight="1" x14ac:dyDescent="0.55000000000000004">
      <c r="A715" s="592">
        <v>714</v>
      </c>
      <c r="B715" s="596" t="s">
        <v>8702</v>
      </c>
      <c r="C715" s="592" t="s">
        <v>8703</v>
      </c>
      <c r="D715" s="592">
        <v>2</v>
      </c>
      <c r="E715" s="597">
        <v>26500</v>
      </c>
      <c r="F715" s="597">
        <v>26500</v>
      </c>
      <c r="G715" s="597">
        <v>42500</v>
      </c>
      <c r="H715" s="592" t="s">
        <v>1093</v>
      </c>
    </row>
    <row r="716" spans="1:8" ht="24.75" customHeight="1" x14ac:dyDescent="0.55000000000000004">
      <c r="A716" s="592">
        <v>715</v>
      </c>
      <c r="B716" s="596" t="s">
        <v>3998</v>
      </c>
      <c r="C716" s="592" t="s">
        <v>8249</v>
      </c>
      <c r="D716" s="592">
        <v>13</v>
      </c>
      <c r="E716" s="597">
        <v>2000</v>
      </c>
      <c r="F716" s="597">
        <v>2000</v>
      </c>
      <c r="G716" s="597">
        <v>18200</v>
      </c>
      <c r="H716" s="592" t="s">
        <v>1093</v>
      </c>
    </row>
    <row r="717" spans="1:8" ht="24.75" customHeight="1" x14ac:dyDescent="0.55000000000000004">
      <c r="A717" s="592">
        <v>716</v>
      </c>
      <c r="B717" s="596" t="s">
        <v>3113</v>
      </c>
      <c r="C717" s="592" t="s">
        <v>3114</v>
      </c>
      <c r="D717" s="592">
        <v>5</v>
      </c>
      <c r="E717" s="597">
        <v>8500</v>
      </c>
      <c r="F717" s="597">
        <v>8500</v>
      </c>
      <c r="G717" s="597">
        <v>31875</v>
      </c>
      <c r="H717" s="592" t="s">
        <v>1093</v>
      </c>
    </row>
    <row r="718" spans="1:8" ht="24.75" customHeight="1" x14ac:dyDescent="0.55000000000000004">
      <c r="A718" s="592">
        <v>717</v>
      </c>
      <c r="B718" s="596" t="s">
        <v>6294</v>
      </c>
      <c r="C718" s="592" t="s">
        <v>6295</v>
      </c>
      <c r="D718" s="592">
        <v>9</v>
      </c>
      <c r="E718" s="597">
        <v>2000</v>
      </c>
      <c r="F718" s="597">
        <v>2000</v>
      </c>
      <c r="G718" s="597">
        <v>14220</v>
      </c>
      <c r="H718" s="592" t="s">
        <v>1093</v>
      </c>
    </row>
    <row r="719" spans="1:8" ht="24.75" customHeight="1" x14ac:dyDescent="0.55000000000000004">
      <c r="A719" s="592">
        <v>718</v>
      </c>
      <c r="B719" s="596" t="s">
        <v>3999</v>
      </c>
      <c r="C719" s="592" t="s">
        <v>4000</v>
      </c>
      <c r="D719" s="592">
        <v>5</v>
      </c>
      <c r="E719" s="597">
        <v>1500</v>
      </c>
      <c r="F719" s="597">
        <v>1500</v>
      </c>
      <c r="G719" s="597">
        <v>5270</v>
      </c>
      <c r="H719" s="592" t="s">
        <v>1093</v>
      </c>
    </row>
    <row r="720" spans="1:8" ht="24.75" customHeight="1" x14ac:dyDescent="0.55000000000000004">
      <c r="A720" s="592">
        <v>719</v>
      </c>
      <c r="B720" s="596" t="s">
        <v>4001</v>
      </c>
      <c r="C720" s="592" t="s">
        <v>4002</v>
      </c>
      <c r="D720" s="592">
        <v>2</v>
      </c>
      <c r="E720" s="597">
        <v>33000</v>
      </c>
      <c r="F720" s="597">
        <v>33000</v>
      </c>
      <c r="G720" s="597">
        <v>56000</v>
      </c>
      <c r="H720" s="592" t="s">
        <v>1093</v>
      </c>
    </row>
    <row r="721" spans="1:8" ht="24.75" customHeight="1" x14ac:dyDescent="0.55000000000000004">
      <c r="A721" s="592">
        <v>720</v>
      </c>
      <c r="B721" s="596" t="s">
        <v>4003</v>
      </c>
      <c r="C721" s="592" t="s">
        <v>4004</v>
      </c>
      <c r="D721" s="592">
        <v>2</v>
      </c>
      <c r="E721" s="597">
        <v>7500</v>
      </c>
      <c r="F721" s="597">
        <v>7500</v>
      </c>
      <c r="G721" s="597">
        <v>10000</v>
      </c>
      <c r="H721" s="592" t="s">
        <v>1093</v>
      </c>
    </row>
    <row r="722" spans="1:8" ht="24.75" customHeight="1" x14ac:dyDescent="0.55000000000000004">
      <c r="A722" s="592">
        <v>721</v>
      </c>
      <c r="B722" s="596" t="s">
        <v>4005</v>
      </c>
      <c r="C722" s="592" t="s">
        <v>4006</v>
      </c>
      <c r="D722" s="592">
        <v>9</v>
      </c>
      <c r="E722" s="597">
        <v>800</v>
      </c>
      <c r="F722" s="597">
        <v>800</v>
      </c>
      <c r="G722" s="597">
        <v>4590</v>
      </c>
      <c r="H722" s="592" t="s">
        <v>1093</v>
      </c>
    </row>
    <row r="723" spans="1:8" ht="24.75" customHeight="1" x14ac:dyDescent="0.55000000000000004">
      <c r="A723" s="592">
        <v>722</v>
      </c>
      <c r="B723" s="596" t="s">
        <v>4007</v>
      </c>
      <c r="C723" s="592" t="s">
        <v>7331</v>
      </c>
      <c r="D723" s="592">
        <v>2</v>
      </c>
      <c r="E723" s="597">
        <v>2500</v>
      </c>
      <c r="F723" s="597">
        <v>2500</v>
      </c>
      <c r="G723" s="597">
        <v>3800</v>
      </c>
      <c r="H723" s="592" t="s">
        <v>1093</v>
      </c>
    </row>
    <row r="724" spans="1:8" ht="24.75" customHeight="1" x14ac:dyDescent="0.55000000000000004">
      <c r="A724" s="592">
        <v>723</v>
      </c>
      <c r="B724" s="596" t="s">
        <v>3115</v>
      </c>
      <c r="C724" s="592" t="s">
        <v>3116</v>
      </c>
      <c r="D724" s="592">
        <v>1</v>
      </c>
      <c r="E724" s="597">
        <v>1600</v>
      </c>
      <c r="F724" s="597">
        <v>1600</v>
      </c>
      <c r="G724" s="597">
        <v>1146</v>
      </c>
      <c r="H724" s="592" t="s">
        <v>1093</v>
      </c>
    </row>
    <row r="725" spans="1:8" ht="24.75" customHeight="1" x14ac:dyDescent="0.55000000000000004">
      <c r="A725" s="592">
        <v>724</v>
      </c>
      <c r="B725" s="596" t="s">
        <v>3117</v>
      </c>
      <c r="C725" s="592" t="s">
        <v>3118</v>
      </c>
      <c r="D725" s="592">
        <v>6</v>
      </c>
      <c r="E725" s="597">
        <v>2000</v>
      </c>
      <c r="F725" s="597">
        <v>2000</v>
      </c>
      <c r="G725" s="597">
        <v>4728</v>
      </c>
      <c r="H725" s="592" t="s">
        <v>1093</v>
      </c>
    </row>
    <row r="726" spans="1:8" ht="24.75" customHeight="1" x14ac:dyDescent="0.55000000000000004">
      <c r="A726" s="592">
        <v>725</v>
      </c>
      <c r="B726" s="596" t="s">
        <v>4008</v>
      </c>
      <c r="C726" s="592" t="s">
        <v>4009</v>
      </c>
      <c r="D726" s="592">
        <v>1</v>
      </c>
      <c r="E726" s="597">
        <v>1500</v>
      </c>
      <c r="F726" s="597">
        <v>1500</v>
      </c>
      <c r="G726" s="597">
        <v>859</v>
      </c>
      <c r="H726" s="592" t="s">
        <v>1093</v>
      </c>
    </row>
    <row r="727" spans="1:8" ht="24.75" customHeight="1" x14ac:dyDescent="0.55000000000000004">
      <c r="A727" s="592">
        <v>726</v>
      </c>
      <c r="B727" s="596" t="s">
        <v>4010</v>
      </c>
      <c r="C727" s="592" t="s">
        <v>4011</v>
      </c>
      <c r="D727" s="592">
        <v>9</v>
      </c>
      <c r="E727" s="597">
        <v>5000</v>
      </c>
      <c r="F727" s="597">
        <v>5000</v>
      </c>
      <c r="G727" s="597">
        <v>36000</v>
      </c>
      <c r="H727" s="592" t="s">
        <v>1093</v>
      </c>
    </row>
    <row r="728" spans="1:8" ht="24.75" customHeight="1" x14ac:dyDescent="0.55000000000000004">
      <c r="A728" s="592">
        <v>727</v>
      </c>
      <c r="B728" s="596" t="s">
        <v>4012</v>
      </c>
      <c r="C728" s="592" t="s">
        <v>4013</v>
      </c>
      <c r="D728" s="592">
        <v>6</v>
      </c>
      <c r="E728" s="597">
        <v>6000</v>
      </c>
      <c r="F728" s="597">
        <v>6000</v>
      </c>
      <c r="G728" s="597">
        <v>26700</v>
      </c>
      <c r="H728" s="592" t="s">
        <v>1093</v>
      </c>
    </row>
    <row r="729" spans="1:8" ht="24.75" customHeight="1" x14ac:dyDescent="0.55000000000000004">
      <c r="A729" s="592">
        <v>728</v>
      </c>
      <c r="B729" s="596" t="s">
        <v>4014</v>
      </c>
      <c r="C729" s="592" t="s">
        <v>7332</v>
      </c>
      <c r="D729" s="592">
        <v>2</v>
      </c>
      <c r="E729" s="597">
        <v>8000</v>
      </c>
      <c r="F729" s="597">
        <v>8000</v>
      </c>
      <c r="G729" s="597">
        <v>14300</v>
      </c>
      <c r="H729" s="592" t="s">
        <v>1093</v>
      </c>
    </row>
    <row r="730" spans="1:8" ht="24.75" customHeight="1" x14ac:dyDescent="0.55000000000000004">
      <c r="A730" s="592">
        <v>729</v>
      </c>
      <c r="B730" s="596" t="s">
        <v>4015</v>
      </c>
      <c r="C730" s="592" t="s">
        <v>6383</v>
      </c>
      <c r="D730" s="592">
        <v>2</v>
      </c>
      <c r="E730" s="597">
        <v>27000</v>
      </c>
      <c r="F730" s="597">
        <v>27000</v>
      </c>
      <c r="G730" s="597">
        <v>38292</v>
      </c>
      <c r="H730" s="592" t="s">
        <v>1093</v>
      </c>
    </row>
    <row r="731" spans="1:8" ht="24.75" customHeight="1" x14ac:dyDescent="0.55000000000000004">
      <c r="A731" s="592">
        <v>730</v>
      </c>
      <c r="B731" s="596" t="s">
        <v>3119</v>
      </c>
      <c r="C731" s="592" t="s">
        <v>3120</v>
      </c>
      <c r="D731" s="592">
        <v>7</v>
      </c>
      <c r="E731" s="597">
        <v>4000</v>
      </c>
      <c r="F731" s="597">
        <v>4000</v>
      </c>
      <c r="G731" s="597">
        <v>14525</v>
      </c>
      <c r="H731" s="592" t="s">
        <v>1093</v>
      </c>
    </row>
    <row r="732" spans="1:8" ht="24.75" customHeight="1" x14ac:dyDescent="0.55000000000000004">
      <c r="A732" s="592">
        <v>731</v>
      </c>
      <c r="B732" s="596" t="s">
        <v>4016</v>
      </c>
      <c r="C732" s="592" t="s">
        <v>4017</v>
      </c>
      <c r="D732" s="592">
        <v>3</v>
      </c>
      <c r="E732" s="597">
        <v>3700</v>
      </c>
      <c r="F732" s="597">
        <v>3700</v>
      </c>
      <c r="G732" s="597">
        <v>6564</v>
      </c>
      <c r="H732" s="592" t="s">
        <v>1093</v>
      </c>
    </row>
    <row r="733" spans="1:8" ht="24.75" customHeight="1" x14ac:dyDescent="0.55000000000000004">
      <c r="A733" s="592">
        <v>732</v>
      </c>
      <c r="B733" s="596" t="s">
        <v>4018</v>
      </c>
      <c r="C733" s="592" t="s">
        <v>7333</v>
      </c>
      <c r="D733" s="592">
        <v>6</v>
      </c>
      <c r="E733" s="597">
        <v>500</v>
      </c>
      <c r="F733" s="597">
        <v>500</v>
      </c>
      <c r="G733" s="597">
        <v>2400</v>
      </c>
      <c r="H733" s="592" t="s">
        <v>1093</v>
      </c>
    </row>
    <row r="734" spans="1:8" ht="24.75" customHeight="1" x14ac:dyDescent="0.55000000000000004">
      <c r="A734" s="592">
        <v>733</v>
      </c>
      <c r="B734" s="596" t="s">
        <v>8704</v>
      </c>
      <c r="C734" s="592" t="s">
        <v>8705</v>
      </c>
      <c r="D734" s="592">
        <v>1</v>
      </c>
      <c r="E734" s="597">
        <v>75000</v>
      </c>
      <c r="F734" s="597">
        <v>75000</v>
      </c>
      <c r="G734" s="597">
        <v>70500</v>
      </c>
      <c r="H734" s="592" t="s">
        <v>1093</v>
      </c>
    </row>
    <row r="735" spans="1:8" ht="24.75" customHeight="1" x14ac:dyDescent="0.55000000000000004">
      <c r="A735" s="592">
        <v>734</v>
      </c>
      <c r="B735" s="596" t="s">
        <v>4019</v>
      </c>
      <c r="C735" s="592" t="s">
        <v>4020</v>
      </c>
      <c r="D735" s="592">
        <v>5</v>
      </c>
      <c r="E735" s="597">
        <v>4500</v>
      </c>
      <c r="F735" s="597">
        <v>4500</v>
      </c>
      <c r="G735" s="597">
        <v>14820</v>
      </c>
      <c r="H735" s="592" t="s">
        <v>1093</v>
      </c>
    </row>
    <row r="736" spans="1:8" ht="24.75" customHeight="1" x14ac:dyDescent="0.55000000000000004">
      <c r="A736" s="592">
        <v>735</v>
      </c>
      <c r="B736" s="596" t="s">
        <v>4021</v>
      </c>
      <c r="C736" s="592" t="s">
        <v>4022</v>
      </c>
      <c r="D736" s="592">
        <v>5</v>
      </c>
      <c r="E736" s="597">
        <v>4000</v>
      </c>
      <c r="F736" s="597">
        <v>4000</v>
      </c>
      <c r="G736" s="597">
        <v>11475</v>
      </c>
      <c r="H736" s="592" t="s">
        <v>1093</v>
      </c>
    </row>
    <row r="737" spans="1:8" ht="24.75" customHeight="1" x14ac:dyDescent="0.55000000000000004">
      <c r="A737" s="592">
        <v>736</v>
      </c>
      <c r="B737" s="596" t="s">
        <v>4023</v>
      </c>
      <c r="C737" s="592" t="s">
        <v>4024</v>
      </c>
      <c r="D737" s="592">
        <v>12</v>
      </c>
      <c r="E737" s="597">
        <v>4500</v>
      </c>
      <c r="F737" s="597">
        <v>4500</v>
      </c>
      <c r="G737" s="597">
        <v>39840</v>
      </c>
      <c r="H737" s="592" t="s">
        <v>1093</v>
      </c>
    </row>
    <row r="738" spans="1:8" ht="24.75" customHeight="1" x14ac:dyDescent="0.55000000000000004">
      <c r="A738" s="592">
        <v>737</v>
      </c>
      <c r="B738" s="596" t="s">
        <v>3229</v>
      </c>
      <c r="C738" s="592" t="s">
        <v>3230</v>
      </c>
      <c r="D738" s="592">
        <v>14</v>
      </c>
      <c r="E738" s="597">
        <v>5000</v>
      </c>
      <c r="F738" s="597">
        <v>5000</v>
      </c>
      <c r="G738" s="597">
        <v>70000</v>
      </c>
      <c r="H738" s="592" t="s">
        <v>1093</v>
      </c>
    </row>
    <row r="739" spans="1:8" ht="24.75" customHeight="1" x14ac:dyDescent="0.55000000000000004">
      <c r="A739" s="592">
        <v>738</v>
      </c>
      <c r="B739" s="596" t="s">
        <v>4025</v>
      </c>
      <c r="C739" s="592" t="s">
        <v>4026</v>
      </c>
      <c r="D739" s="592">
        <v>1</v>
      </c>
      <c r="E739" s="597">
        <v>2500</v>
      </c>
      <c r="F739" s="597">
        <v>2500</v>
      </c>
      <c r="G739" s="597">
        <v>1263</v>
      </c>
      <c r="H739" s="592" t="s">
        <v>1093</v>
      </c>
    </row>
    <row r="740" spans="1:8" ht="24.75" customHeight="1" x14ac:dyDescent="0.55000000000000004">
      <c r="A740" s="592">
        <v>739</v>
      </c>
      <c r="B740" s="596" t="s">
        <v>6815</v>
      </c>
      <c r="C740" s="592" t="s">
        <v>4132</v>
      </c>
      <c r="D740" s="592">
        <v>5</v>
      </c>
      <c r="E740" s="597">
        <v>19700</v>
      </c>
      <c r="F740" s="597">
        <v>19700</v>
      </c>
      <c r="G740" s="597">
        <v>83500</v>
      </c>
      <c r="H740" s="592" t="s">
        <v>1093</v>
      </c>
    </row>
    <row r="741" spans="1:8" ht="24.75" customHeight="1" x14ac:dyDescent="0.55000000000000004">
      <c r="A741" s="592">
        <v>740</v>
      </c>
      <c r="B741" s="596" t="s">
        <v>1443</v>
      </c>
      <c r="C741" s="592" t="s">
        <v>1444</v>
      </c>
      <c r="D741" s="592">
        <v>1</v>
      </c>
      <c r="E741" s="597">
        <v>6000</v>
      </c>
      <c r="F741" s="597">
        <v>6000</v>
      </c>
      <c r="G741" s="597">
        <v>3193</v>
      </c>
      <c r="H741" s="592" t="s">
        <v>1093</v>
      </c>
    </row>
    <row r="742" spans="1:8" ht="24.75" customHeight="1" x14ac:dyDescent="0.55000000000000004">
      <c r="A742" s="592">
        <v>741</v>
      </c>
      <c r="B742" s="596" t="s">
        <v>6161</v>
      </c>
      <c r="C742" s="592" t="s">
        <v>6162</v>
      </c>
      <c r="D742" s="592">
        <v>3</v>
      </c>
      <c r="E742" s="597">
        <v>2500</v>
      </c>
      <c r="F742" s="597">
        <v>2500</v>
      </c>
      <c r="G742" s="597">
        <v>4470</v>
      </c>
      <c r="H742" s="592" t="s">
        <v>1093</v>
      </c>
    </row>
    <row r="743" spans="1:8" ht="24.75" customHeight="1" x14ac:dyDescent="0.55000000000000004">
      <c r="A743" s="592">
        <v>742</v>
      </c>
      <c r="B743" s="596" t="s">
        <v>3322</v>
      </c>
      <c r="C743" s="592" t="s">
        <v>6554</v>
      </c>
      <c r="D743" s="592">
        <v>4</v>
      </c>
      <c r="E743" s="597">
        <v>5000</v>
      </c>
      <c r="F743" s="597">
        <v>5000</v>
      </c>
      <c r="G743" s="597">
        <v>17000</v>
      </c>
      <c r="H743" s="592" t="s">
        <v>1093</v>
      </c>
    </row>
    <row r="744" spans="1:8" ht="24.75" customHeight="1" x14ac:dyDescent="0.55000000000000004">
      <c r="A744" s="592">
        <v>743</v>
      </c>
      <c r="B744" s="596" t="s">
        <v>3231</v>
      </c>
      <c r="C744" s="592" t="s">
        <v>7334</v>
      </c>
      <c r="D744" s="592">
        <v>1</v>
      </c>
      <c r="E744" s="597">
        <v>3000</v>
      </c>
      <c r="F744" s="597">
        <v>3000</v>
      </c>
      <c r="G744" s="597">
        <v>2175</v>
      </c>
      <c r="H744" s="592" t="s">
        <v>1093</v>
      </c>
    </row>
    <row r="745" spans="1:8" ht="24.75" customHeight="1" x14ac:dyDescent="0.55000000000000004">
      <c r="A745" s="592">
        <v>744</v>
      </c>
      <c r="B745" s="596" t="s">
        <v>3232</v>
      </c>
      <c r="C745" s="592" t="s">
        <v>3233</v>
      </c>
      <c r="D745" s="592">
        <v>5</v>
      </c>
      <c r="E745" s="597">
        <v>18000</v>
      </c>
      <c r="F745" s="597">
        <v>18000</v>
      </c>
      <c r="G745" s="597">
        <v>73500</v>
      </c>
      <c r="H745" s="592" t="s">
        <v>1093</v>
      </c>
    </row>
    <row r="746" spans="1:8" ht="24.75" customHeight="1" x14ac:dyDescent="0.55000000000000004">
      <c r="A746" s="592">
        <v>745</v>
      </c>
      <c r="B746" s="596" t="s">
        <v>4027</v>
      </c>
      <c r="C746" s="592" t="s">
        <v>4028</v>
      </c>
      <c r="D746" s="592">
        <v>1</v>
      </c>
      <c r="E746" s="597">
        <v>4000</v>
      </c>
      <c r="F746" s="597">
        <v>4000</v>
      </c>
      <c r="G746" s="597">
        <v>2934</v>
      </c>
      <c r="H746" s="592" t="s">
        <v>1093</v>
      </c>
    </row>
    <row r="747" spans="1:8" ht="24.75" customHeight="1" x14ac:dyDescent="0.55000000000000004">
      <c r="A747" s="592">
        <v>746</v>
      </c>
      <c r="B747" s="596" t="s">
        <v>4029</v>
      </c>
      <c r="C747" s="592" t="s">
        <v>4030</v>
      </c>
      <c r="D747" s="592">
        <v>2</v>
      </c>
      <c r="E747" s="597">
        <v>11000</v>
      </c>
      <c r="F747" s="597">
        <v>11000</v>
      </c>
      <c r="G747" s="597">
        <v>15556</v>
      </c>
      <c r="H747" s="592" t="s">
        <v>1093</v>
      </c>
    </row>
    <row r="748" spans="1:8" ht="24.75" customHeight="1" x14ac:dyDescent="0.55000000000000004">
      <c r="A748" s="592">
        <v>747</v>
      </c>
      <c r="B748" s="596" t="s">
        <v>6325</v>
      </c>
      <c r="C748" s="592" t="s">
        <v>6326</v>
      </c>
      <c r="D748" s="592">
        <v>2</v>
      </c>
      <c r="E748" s="597">
        <v>10000</v>
      </c>
      <c r="F748" s="597">
        <v>10000</v>
      </c>
      <c r="G748" s="597">
        <v>15300</v>
      </c>
      <c r="H748" s="592" t="s">
        <v>1093</v>
      </c>
    </row>
    <row r="749" spans="1:8" ht="24.75" customHeight="1" x14ac:dyDescent="0.55000000000000004">
      <c r="A749" s="592">
        <v>748</v>
      </c>
      <c r="B749" s="596" t="s">
        <v>4031</v>
      </c>
      <c r="C749" s="592" t="s">
        <v>4032</v>
      </c>
      <c r="D749" s="592">
        <v>9</v>
      </c>
      <c r="E749" s="597">
        <v>1700</v>
      </c>
      <c r="F749" s="597">
        <v>1700</v>
      </c>
      <c r="G749" s="597">
        <v>0</v>
      </c>
      <c r="H749" s="592" t="s">
        <v>1093</v>
      </c>
    </row>
    <row r="750" spans="1:8" ht="24.75" customHeight="1" x14ac:dyDescent="0.55000000000000004">
      <c r="A750" s="592">
        <v>749</v>
      </c>
      <c r="B750" s="596" t="s">
        <v>4035</v>
      </c>
      <c r="C750" s="592" t="s">
        <v>4036</v>
      </c>
      <c r="D750" s="592">
        <v>5</v>
      </c>
      <c r="E750" s="597">
        <v>3000</v>
      </c>
      <c r="F750" s="597">
        <v>3000</v>
      </c>
      <c r="G750" s="597">
        <v>5960</v>
      </c>
      <c r="H750" s="592" t="s">
        <v>1093</v>
      </c>
    </row>
    <row r="751" spans="1:8" ht="24.75" customHeight="1" x14ac:dyDescent="0.55000000000000004">
      <c r="A751" s="592">
        <v>750</v>
      </c>
      <c r="B751" s="596" t="s">
        <v>3323</v>
      </c>
      <c r="C751" s="592" t="s">
        <v>3324</v>
      </c>
      <c r="D751" s="592">
        <v>2</v>
      </c>
      <c r="E751" s="597">
        <v>6500</v>
      </c>
      <c r="F751" s="597">
        <v>6500</v>
      </c>
      <c r="G751" s="597">
        <v>6078</v>
      </c>
      <c r="H751" s="592" t="s">
        <v>1093</v>
      </c>
    </row>
    <row r="752" spans="1:8" ht="24.75" customHeight="1" x14ac:dyDescent="0.55000000000000004">
      <c r="A752" s="592">
        <v>751</v>
      </c>
      <c r="B752" s="596" t="s">
        <v>3325</v>
      </c>
      <c r="C752" s="592" t="s">
        <v>3326</v>
      </c>
      <c r="D752" s="592">
        <v>2</v>
      </c>
      <c r="E752" s="597">
        <v>2500</v>
      </c>
      <c r="F752" s="597">
        <v>2500</v>
      </c>
      <c r="G752" s="597">
        <v>2620</v>
      </c>
      <c r="H752" s="592" t="s">
        <v>1093</v>
      </c>
    </row>
    <row r="753" spans="1:8" ht="24.75" customHeight="1" x14ac:dyDescent="0.55000000000000004">
      <c r="A753" s="592">
        <v>752</v>
      </c>
      <c r="B753" s="596" t="s">
        <v>4037</v>
      </c>
      <c r="C753" s="592" t="s">
        <v>4038</v>
      </c>
      <c r="D753" s="592">
        <v>5</v>
      </c>
      <c r="E753" s="597">
        <v>1000</v>
      </c>
      <c r="F753" s="597">
        <v>1000</v>
      </c>
      <c r="G753" s="597">
        <v>2655</v>
      </c>
      <c r="H753" s="592" t="s">
        <v>1093</v>
      </c>
    </row>
    <row r="754" spans="1:8" ht="24.75" customHeight="1" x14ac:dyDescent="0.55000000000000004">
      <c r="A754" s="592">
        <v>753</v>
      </c>
      <c r="B754" s="596" t="s">
        <v>3327</v>
      </c>
      <c r="C754" s="592" t="s">
        <v>3328</v>
      </c>
      <c r="D754" s="592">
        <v>8</v>
      </c>
      <c r="E754" s="597">
        <v>2300</v>
      </c>
      <c r="F754" s="597">
        <v>2300</v>
      </c>
      <c r="G754" s="597">
        <v>9032</v>
      </c>
      <c r="H754" s="592" t="s">
        <v>1093</v>
      </c>
    </row>
    <row r="755" spans="1:8" ht="24.75" customHeight="1" x14ac:dyDescent="0.55000000000000004">
      <c r="A755" s="592">
        <v>754</v>
      </c>
      <c r="B755" s="596" t="s">
        <v>3234</v>
      </c>
      <c r="C755" s="592" t="s">
        <v>3235</v>
      </c>
      <c r="D755" s="592">
        <v>5</v>
      </c>
      <c r="E755" s="597">
        <v>8000</v>
      </c>
      <c r="F755" s="597">
        <v>8000</v>
      </c>
      <c r="G755" s="597">
        <v>28305</v>
      </c>
      <c r="H755" s="592" t="s">
        <v>1093</v>
      </c>
    </row>
    <row r="756" spans="1:8" ht="24.75" customHeight="1" x14ac:dyDescent="0.55000000000000004">
      <c r="A756" s="592">
        <v>755</v>
      </c>
      <c r="B756" s="596" t="s">
        <v>8535</v>
      </c>
      <c r="C756" s="592" t="s">
        <v>8536</v>
      </c>
      <c r="D756" s="592">
        <v>1</v>
      </c>
      <c r="E756" s="597">
        <v>6000</v>
      </c>
      <c r="F756" s="597">
        <v>6000</v>
      </c>
      <c r="G756" s="597">
        <v>5450</v>
      </c>
      <c r="H756" s="592" t="s">
        <v>1093</v>
      </c>
    </row>
    <row r="757" spans="1:8" ht="24.75" customHeight="1" x14ac:dyDescent="0.55000000000000004">
      <c r="A757" s="592">
        <v>756</v>
      </c>
      <c r="B757" s="596" t="s">
        <v>3329</v>
      </c>
      <c r="C757" s="592" t="s">
        <v>3330</v>
      </c>
      <c r="D757" s="592">
        <v>2</v>
      </c>
      <c r="E757" s="597">
        <v>3200</v>
      </c>
      <c r="F757" s="597">
        <v>3200</v>
      </c>
      <c r="G757" s="597">
        <v>4514</v>
      </c>
      <c r="H757" s="592" t="s">
        <v>1093</v>
      </c>
    </row>
    <row r="758" spans="1:8" ht="24.75" customHeight="1" x14ac:dyDescent="0.55000000000000004">
      <c r="A758" s="592">
        <v>757</v>
      </c>
      <c r="B758" s="596" t="s">
        <v>4039</v>
      </c>
      <c r="C758" s="592" t="s">
        <v>4040</v>
      </c>
      <c r="D758" s="592">
        <v>1</v>
      </c>
      <c r="E758" s="597">
        <v>8000</v>
      </c>
      <c r="F758" s="597">
        <v>8000</v>
      </c>
      <c r="G758" s="597">
        <v>5049</v>
      </c>
      <c r="H758" s="592" t="s">
        <v>1093</v>
      </c>
    </row>
    <row r="759" spans="1:8" ht="24.75" customHeight="1" x14ac:dyDescent="0.55000000000000004">
      <c r="A759" s="592">
        <v>758</v>
      </c>
      <c r="B759" s="596" t="s">
        <v>4043</v>
      </c>
      <c r="C759" s="592" t="s">
        <v>8537</v>
      </c>
      <c r="D759" s="592">
        <v>2</v>
      </c>
      <c r="E759" s="597">
        <v>6000</v>
      </c>
      <c r="F759" s="597">
        <v>6000</v>
      </c>
      <c r="G759" s="597">
        <v>8738</v>
      </c>
      <c r="H759" s="592" t="s">
        <v>1093</v>
      </c>
    </row>
    <row r="760" spans="1:8" ht="24.75" customHeight="1" x14ac:dyDescent="0.55000000000000004">
      <c r="A760" s="592">
        <v>759</v>
      </c>
      <c r="B760" s="596" t="s">
        <v>3427</v>
      </c>
      <c r="C760" s="592" t="s">
        <v>3428</v>
      </c>
      <c r="D760" s="592">
        <v>4</v>
      </c>
      <c r="E760" s="597">
        <v>4500</v>
      </c>
      <c r="F760" s="597">
        <v>4500</v>
      </c>
      <c r="G760" s="597">
        <v>14404</v>
      </c>
      <c r="H760" s="592" t="s">
        <v>1093</v>
      </c>
    </row>
    <row r="761" spans="1:8" ht="24.75" customHeight="1" x14ac:dyDescent="0.55000000000000004">
      <c r="A761" s="592">
        <v>760</v>
      </c>
      <c r="B761" s="596" t="s">
        <v>4044</v>
      </c>
      <c r="C761" s="592" t="s">
        <v>4045</v>
      </c>
      <c r="D761" s="592">
        <v>6</v>
      </c>
      <c r="E761" s="597">
        <v>3500</v>
      </c>
      <c r="F761" s="597">
        <v>3500</v>
      </c>
      <c r="G761" s="597">
        <v>12648</v>
      </c>
      <c r="H761" s="592" t="s">
        <v>1093</v>
      </c>
    </row>
    <row r="762" spans="1:8" ht="24.75" customHeight="1" x14ac:dyDescent="0.55000000000000004">
      <c r="A762" s="592">
        <v>761</v>
      </c>
      <c r="B762" s="596" t="s">
        <v>4046</v>
      </c>
      <c r="C762" s="592" t="s">
        <v>4047</v>
      </c>
      <c r="D762" s="592">
        <v>3</v>
      </c>
      <c r="E762" s="597">
        <v>19000</v>
      </c>
      <c r="F762" s="597">
        <v>19000</v>
      </c>
      <c r="G762" s="597">
        <v>49500</v>
      </c>
      <c r="H762" s="592" t="s">
        <v>1093</v>
      </c>
    </row>
    <row r="763" spans="1:8" ht="24.75" customHeight="1" x14ac:dyDescent="0.55000000000000004">
      <c r="A763" s="592">
        <v>762</v>
      </c>
      <c r="B763" s="596" t="s">
        <v>4048</v>
      </c>
      <c r="C763" s="592" t="s">
        <v>4049</v>
      </c>
      <c r="D763" s="592">
        <v>4</v>
      </c>
      <c r="E763" s="597">
        <v>3500</v>
      </c>
      <c r="F763" s="597">
        <v>3500</v>
      </c>
      <c r="G763" s="597">
        <v>7352</v>
      </c>
      <c r="H763" s="592" t="s">
        <v>1093</v>
      </c>
    </row>
    <row r="764" spans="1:8" ht="24.75" customHeight="1" x14ac:dyDescent="0.55000000000000004">
      <c r="A764" s="592">
        <v>763</v>
      </c>
      <c r="B764" s="596" t="s">
        <v>8250</v>
      </c>
      <c r="C764" s="592" t="s">
        <v>8251</v>
      </c>
      <c r="D764" s="592">
        <v>3</v>
      </c>
      <c r="E764" s="597">
        <v>22000</v>
      </c>
      <c r="F764" s="597">
        <v>22000</v>
      </c>
      <c r="G764" s="597">
        <v>54000</v>
      </c>
      <c r="H764" s="592" t="s">
        <v>1093</v>
      </c>
    </row>
    <row r="765" spans="1:8" ht="24.75" customHeight="1" x14ac:dyDescent="0.55000000000000004">
      <c r="A765" s="592">
        <v>764</v>
      </c>
      <c r="B765" s="596" t="s">
        <v>3430</v>
      </c>
      <c r="C765" s="592" t="s">
        <v>6816</v>
      </c>
      <c r="D765" s="592">
        <v>1</v>
      </c>
      <c r="E765" s="597">
        <v>800</v>
      </c>
      <c r="F765" s="597">
        <v>800</v>
      </c>
      <c r="G765" s="597">
        <v>573</v>
      </c>
      <c r="H765" s="592" t="s">
        <v>1093</v>
      </c>
    </row>
    <row r="766" spans="1:8" ht="24.75" customHeight="1" x14ac:dyDescent="0.55000000000000004">
      <c r="A766" s="592">
        <v>765</v>
      </c>
      <c r="B766" s="596" t="s">
        <v>8396</v>
      </c>
      <c r="C766" s="592" t="s">
        <v>8397</v>
      </c>
      <c r="D766" s="592">
        <v>1</v>
      </c>
      <c r="E766" s="597">
        <v>35000</v>
      </c>
      <c r="F766" s="597">
        <v>35000</v>
      </c>
      <c r="G766" s="597">
        <v>29375</v>
      </c>
      <c r="H766" s="592" t="s">
        <v>1093</v>
      </c>
    </row>
    <row r="767" spans="1:8" ht="24.75" customHeight="1" x14ac:dyDescent="0.55000000000000004">
      <c r="A767" s="592">
        <v>766</v>
      </c>
      <c r="B767" s="596" t="s">
        <v>4050</v>
      </c>
      <c r="C767" s="592" t="s">
        <v>4051</v>
      </c>
      <c r="D767" s="592">
        <v>1</v>
      </c>
      <c r="E767" s="597">
        <v>37000</v>
      </c>
      <c r="F767" s="597">
        <v>37000</v>
      </c>
      <c r="G767" s="597">
        <v>33000</v>
      </c>
      <c r="H767" s="592" t="s">
        <v>1093</v>
      </c>
    </row>
    <row r="768" spans="1:8" ht="24.75" customHeight="1" x14ac:dyDescent="0.55000000000000004">
      <c r="A768" s="592">
        <v>767</v>
      </c>
      <c r="B768" s="596" t="s">
        <v>6163</v>
      </c>
      <c r="C768" s="592" t="s">
        <v>6164</v>
      </c>
      <c r="D768" s="592">
        <v>1</v>
      </c>
      <c r="E768" s="597">
        <v>8000</v>
      </c>
      <c r="F768" s="597">
        <v>8000</v>
      </c>
      <c r="G768" s="597">
        <v>4530</v>
      </c>
      <c r="H768" s="592" t="s">
        <v>1093</v>
      </c>
    </row>
    <row r="769" spans="1:8" ht="24.75" customHeight="1" x14ac:dyDescent="0.55000000000000004">
      <c r="A769" s="592">
        <v>768</v>
      </c>
      <c r="B769" s="596" t="s">
        <v>7533</v>
      </c>
      <c r="C769" s="592" t="s">
        <v>7534</v>
      </c>
      <c r="D769" s="592">
        <v>3</v>
      </c>
      <c r="E769" s="597">
        <v>4500</v>
      </c>
      <c r="F769" s="597">
        <v>4500</v>
      </c>
      <c r="G769" s="597">
        <v>9432</v>
      </c>
      <c r="H769" s="592" t="s">
        <v>1093</v>
      </c>
    </row>
    <row r="770" spans="1:8" ht="24.75" customHeight="1" x14ac:dyDescent="0.55000000000000004">
      <c r="A770" s="592">
        <v>769</v>
      </c>
      <c r="B770" s="596" t="s">
        <v>6244</v>
      </c>
      <c r="C770" s="592" t="s">
        <v>6245</v>
      </c>
      <c r="D770" s="592">
        <v>3</v>
      </c>
      <c r="E770" s="597">
        <v>21000</v>
      </c>
      <c r="F770" s="597">
        <v>21000</v>
      </c>
      <c r="G770" s="597">
        <v>51450</v>
      </c>
      <c r="H770" s="592" t="s">
        <v>1093</v>
      </c>
    </row>
    <row r="771" spans="1:8" ht="24.75" customHeight="1" x14ac:dyDescent="0.55000000000000004">
      <c r="A771" s="592">
        <v>770</v>
      </c>
      <c r="B771" s="596" t="s">
        <v>4052</v>
      </c>
      <c r="C771" s="592" t="s">
        <v>7535</v>
      </c>
      <c r="D771" s="592">
        <v>1</v>
      </c>
      <c r="E771" s="597">
        <v>50000</v>
      </c>
      <c r="F771" s="597">
        <v>50000</v>
      </c>
      <c r="G771" s="597">
        <v>41000</v>
      </c>
      <c r="H771" s="592" t="s">
        <v>1093</v>
      </c>
    </row>
    <row r="772" spans="1:8" ht="24.75" customHeight="1" x14ac:dyDescent="0.55000000000000004">
      <c r="A772" s="592">
        <v>771</v>
      </c>
      <c r="B772" s="596" t="s">
        <v>6246</v>
      </c>
      <c r="C772" s="592" t="s">
        <v>6247</v>
      </c>
      <c r="D772" s="592">
        <v>5</v>
      </c>
      <c r="E772" s="597">
        <v>1500</v>
      </c>
      <c r="F772" s="597">
        <v>1500</v>
      </c>
      <c r="G772" s="597">
        <v>5235</v>
      </c>
      <c r="H772" s="592" t="s">
        <v>1093</v>
      </c>
    </row>
    <row r="773" spans="1:8" ht="24.75" customHeight="1" x14ac:dyDescent="0.55000000000000004">
      <c r="A773" s="592">
        <v>772</v>
      </c>
      <c r="B773" s="596" t="s">
        <v>6248</v>
      </c>
      <c r="C773" s="592" t="s">
        <v>6249</v>
      </c>
      <c r="D773" s="592">
        <v>3</v>
      </c>
      <c r="E773" s="597">
        <v>1500</v>
      </c>
      <c r="F773" s="597">
        <v>1500</v>
      </c>
      <c r="G773" s="597">
        <v>3141</v>
      </c>
      <c r="H773" s="592" t="s">
        <v>1093</v>
      </c>
    </row>
    <row r="774" spans="1:8" ht="24.75" customHeight="1" x14ac:dyDescent="0.55000000000000004">
      <c r="A774" s="592">
        <v>773</v>
      </c>
      <c r="B774" s="596" t="s">
        <v>6250</v>
      </c>
      <c r="C774" s="592" t="s">
        <v>6251</v>
      </c>
      <c r="D774" s="592">
        <v>4</v>
      </c>
      <c r="E774" s="597">
        <v>1800</v>
      </c>
      <c r="F774" s="597">
        <v>1800</v>
      </c>
      <c r="G774" s="597">
        <v>5304</v>
      </c>
      <c r="H774" s="592" t="s">
        <v>1093</v>
      </c>
    </row>
    <row r="775" spans="1:8" ht="24.75" customHeight="1" x14ac:dyDescent="0.55000000000000004">
      <c r="A775" s="592">
        <v>774</v>
      </c>
      <c r="B775" s="596" t="s">
        <v>6252</v>
      </c>
      <c r="C775" s="592" t="s">
        <v>6253</v>
      </c>
      <c r="D775" s="592">
        <v>5</v>
      </c>
      <c r="E775" s="597">
        <v>1500</v>
      </c>
      <c r="F775" s="597">
        <v>1500</v>
      </c>
      <c r="G775" s="597">
        <v>5930</v>
      </c>
      <c r="H775" s="592" t="s">
        <v>1093</v>
      </c>
    </row>
    <row r="776" spans="1:8" ht="24.75" customHeight="1" x14ac:dyDescent="0.55000000000000004">
      <c r="A776" s="592">
        <v>775</v>
      </c>
      <c r="B776" s="596" t="s">
        <v>8706</v>
      </c>
      <c r="C776" s="592" t="s">
        <v>8707</v>
      </c>
      <c r="D776" s="592">
        <v>2</v>
      </c>
      <c r="E776" s="597">
        <v>8000</v>
      </c>
      <c r="F776" s="597">
        <v>8000</v>
      </c>
      <c r="G776" s="597">
        <v>12600</v>
      </c>
      <c r="H776" s="592" t="s">
        <v>1093</v>
      </c>
    </row>
    <row r="777" spans="1:8" ht="24.75" customHeight="1" x14ac:dyDescent="0.55000000000000004">
      <c r="A777" s="592">
        <v>776</v>
      </c>
      <c r="B777" s="596" t="s">
        <v>6254</v>
      </c>
      <c r="C777" s="592" t="s">
        <v>6255</v>
      </c>
      <c r="D777" s="592">
        <v>4</v>
      </c>
      <c r="E777" s="597">
        <v>6000</v>
      </c>
      <c r="F777" s="597">
        <v>6000</v>
      </c>
      <c r="G777" s="597">
        <v>14600</v>
      </c>
      <c r="H777" s="592" t="s">
        <v>1093</v>
      </c>
    </row>
    <row r="778" spans="1:8" ht="24.75" customHeight="1" x14ac:dyDescent="0.55000000000000004">
      <c r="A778" s="592">
        <v>777</v>
      </c>
      <c r="B778" s="596" t="s">
        <v>8398</v>
      </c>
      <c r="C778" s="592" t="s">
        <v>8399</v>
      </c>
      <c r="D778" s="592">
        <v>1</v>
      </c>
      <c r="E778" s="597">
        <v>15000</v>
      </c>
      <c r="F778" s="597">
        <v>15000</v>
      </c>
      <c r="G778" s="597">
        <v>13000</v>
      </c>
      <c r="H778" s="592" t="s">
        <v>1093</v>
      </c>
    </row>
    <row r="779" spans="1:8" ht="24.75" customHeight="1" x14ac:dyDescent="0.55000000000000004">
      <c r="A779" s="592">
        <v>778</v>
      </c>
      <c r="B779" s="596" t="s">
        <v>4053</v>
      </c>
      <c r="C779" s="592" t="s">
        <v>7536</v>
      </c>
      <c r="D779" s="592">
        <v>1</v>
      </c>
      <c r="E779" s="597">
        <v>50000</v>
      </c>
      <c r="F779" s="597">
        <v>50000</v>
      </c>
      <c r="G779" s="597">
        <v>41000</v>
      </c>
      <c r="H779" s="592" t="s">
        <v>1093</v>
      </c>
    </row>
    <row r="780" spans="1:8" ht="24.75" customHeight="1" x14ac:dyDescent="0.55000000000000004">
      <c r="A780" s="592">
        <v>779</v>
      </c>
      <c r="B780" s="596" t="s">
        <v>6296</v>
      </c>
      <c r="C780" s="592" t="s">
        <v>6977</v>
      </c>
      <c r="D780" s="592">
        <v>2</v>
      </c>
      <c r="E780" s="597">
        <v>22000</v>
      </c>
      <c r="F780" s="597">
        <v>22000</v>
      </c>
      <c r="G780" s="597">
        <v>35946</v>
      </c>
      <c r="H780" s="592" t="s">
        <v>1093</v>
      </c>
    </row>
    <row r="781" spans="1:8" ht="24.75" customHeight="1" x14ac:dyDescent="0.55000000000000004">
      <c r="A781" s="592">
        <v>780</v>
      </c>
      <c r="B781" s="596" t="s">
        <v>8708</v>
      </c>
      <c r="C781" s="592" t="s">
        <v>8709</v>
      </c>
      <c r="D781" s="592">
        <v>4</v>
      </c>
      <c r="E781" s="597">
        <v>27000</v>
      </c>
      <c r="F781" s="597">
        <v>27000</v>
      </c>
      <c r="G781" s="597">
        <v>91500</v>
      </c>
      <c r="H781" s="592" t="s">
        <v>1093</v>
      </c>
    </row>
    <row r="782" spans="1:8" ht="24.75" customHeight="1" x14ac:dyDescent="0.55000000000000004">
      <c r="A782" s="592">
        <v>781</v>
      </c>
      <c r="B782" s="596" t="s">
        <v>8710</v>
      </c>
      <c r="C782" s="592" t="s">
        <v>8711</v>
      </c>
      <c r="D782" s="592">
        <v>1</v>
      </c>
      <c r="E782" s="597">
        <v>35000</v>
      </c>
      <c r="F782" s="597">
        <v>35000</v>
      </c>
      <c r="G782" s="597">
        <v>29750</v>
      </c>
      <c r="H782" s="592" t="s">
        <v>1093</v>
      </c>
    </row>
    <row r="783" spans="1:8" ht="24.75" customHeight="1" x14ac:dyDescent="0.55000000000000004">
      <c r="A783" s="592">
        <v>782</v>
      </c>
      <c r="B783" s="596" t="s">
        <v>6327</v>
      </c>
      <c r="C783" s="592" t="s">
        <v>6328</v>
      </c>
      <c r="D783" s="592">
        <v>2</v>
      </c>
      <c r="E783" s="597">
        <v>20000</v>
      </c>
      <c r="F783" s="597">
        <v>20000</v>
      </c>
      <c r="G783" s="597">
        <v>33324</v>
      </c>
      <c r="H783" s="592" t="s">
        <v>1093</v>
      </c>
    </row>
    <row r="784" spans="1:8" ht="24.75" customHeight="1" x14ac:dyDescent="0.55000000000000004">
      <c r="A784" s="592">
        <v>783</v>
      </c>
      <c r="B784" s="596" t="s">
        <v>6329</v>
      </c>
      <c r="C784" s="592" t="s">
        <v>6330</v>
      </c>
      <c r="D784" s="592">
        <v>3</v>
      </c>
      <c r="E784" s="597">
        <v>7000</v>
      </c>
      <c r="F784" s="597">
        <v>7000</v>
      </c>
      <c r="G784" s="597">
        <v>16740</v>
      </c>
      <c r="H784" s="592" t="s">
        <v>1093</v>
      </c>
    </row>
    <row r="785" spans="1:8" ht="24.75" customHeight="1" x14ac:dyDescent="0.55000000000000004">
      <c r="A785" s="592">
        <v>784</v>
      </c>
      <c r="B785" s="596" t="s">
        <v>6331</v>
      </c>
      <c r="C785" s="592" t="s">
        <v>6332</v>
      </c>
      <c r="D785" s="592">
        <v>4</v>
      </c>
      <c r="E785" s="597">
        <v>9000</v>
      </c>
      <c r="F785" s="597">
        <v>9000</v>
      </c>
      <c r="G785" s="597">
        <v>32280</v>
      </c>
      <c r="H785" s="592" t="s">
        <v>1093</v>
      </c>
    </row>
    <row r="786" spans="1:8" ht="24.75" customHeight="1" x14ac:dyDescent="0.55000000000000004">
      <c r="A786" s="592">
        <v>785</v>
      </c>
      <c r="B786" s="596" t="s">
        <v>6419</v>
      </c>
      <c r="C786" s="592" t="s">
        <v>6420</v>
      </c>
      <c r="D786" s="592">
        <v>4</v>
      </c>
      <c r="E786" s="597">
        <v>11000</v>
      </c>
      <c r="F786" s="597">
        <v>11000</v>
      </c>
      <c r="G786" s="597">
        <v>38080</v>
      </c>
      <c r="H786" s="592" t="s">
        <v>1093</v>
      </c>
    </row>
    <row r="787" spans="1:8" ht="24.75" customHeight="1" x14ac:dyDescent="0.55000000000000004">
      <c r="A787" s="592">
        <v>786</v>
      </c>
      <c r="B787" s="596" t="s">
        <v>6421</v>
      </c>
      <c r="C787" s="592" t="s">
        <v>6422</v>
      </c>
      <c r="D787" s="592">
        <v>8</v>
      </c>
      <c r="E787" s="597">
        <v>6500</v>
      </c>
      <c r="F787" s="597">
        <v>6500</v>
      </c>
      <c r="G787" s="597">
        <v>42120</v>
      </c>
      <c r="H787" s="592" t="s">
        <v>1093</v>
      </c>
    </row>
    <row r="788" spans="1:8" ht="24.75" customHeight="1" x14ac:dyDescent="0.55000000000000004">
      <c r="A788" s="592">
        <v>787</v>
      </c>
      <c r="B788" s="596" t="s">
        <v>6423</v>
      </c>
      <c r="C788" s="592" t="s">
        <v>6424</v>
      </c>
      <c r="D788" s="592">
        <v>2</v>
      </c>
      <c r="E788" s="597">
        <v>6500</v>
      </c>
      <c r="F788" s="597">
        <v>6500</v>
      </c>
      <c r="G788" s="597">
        <v>10000</v>
      </c>
      <c r="H788" s="592" t="s">
        <v>1093</v>
      </c>
    </row>
    <row r="789" spans="1:8" ht="24.75" customHeight="1" x14ac:dyDescent="0.55000000000000004">
      <c r="A789" s="592">
        <v>788</v>
      </c>
      <c r="B789" s="596" t="s">
        <v>4054</v>
      </c>
      <c r="C789" s="592" t="s">
        <v>4055</v>
      </c>
      <c r="D789" s="592">
        <v>9</v>
      </c>
      <c r="E789" s="597">
        <v>500</v>
      </c>
      <c r="F789" s="597">
        <v>500</v>
      </c>
      <c r="G789" s="597">
        <v>2538</v>
      </c>
      <c r="H789" s="592" t="s">
        <v>1093</v>
      </c>
    </row>
    <row r="790" spans="1:8" ht="24.75" customHeight="1" x14ac:dyDescent="0.55000000000000004">
      <c r="A790" s="592">
        <v>789</v>
      </c>
      <c r="B790" s="596" t="s">
        <v>6425</v>
      </c>
      <c r="C790" s="592" t="s">
        <v>6426</v>
      </c>
      <c r="D790" s="592">
        <v>1</v>
      </c>
      <c r="E790" s="597">
        <v>5500</v>
      </c>
      <c r="F790" s="597">
        <v>5500</v>
      </c>
      <c r="G790" s="597">
        <v>4000</v>
      </c>
      <c r="H790" s="592" t="s">
        <v>1093</v>
      </c>
    </row>
    <row r="791" spans="1:8" ht="24.75" customHeight="1" x14ac:dyDescent="0.55000000000000004">
      <c r="A791" s="592">
        <v>790</v>
      </c>
      <c r="B791" s="596" t="s">
        <v>6427</v>
      </c>
      <c r="C791" s="592" t="s">
        <v>6428</v>
      </c>
      <c r="D791" s="592">
        <v>1</v>
      </c>
      <c r="E791" s="597">
        <v>5000</v>
      </c>
      <c r="F791" s="597">
        <v>5000</v>
      </c>
      <c r="G791" s="597">
        <v>3440</v>
      </c>
      <c r="H791" s="592" t="s">
        <v>1093</v>
      </c>
    </row>
    <row r="792" spans="1:8" ht="24.75" customHeight="1" x14ac:dyDescent="0.55000000000000004">
      <c r="A792" s="592">
        <v>791</v>
      </c>
      <c r="B792" s="596" t="s">
        <v>6384</v>
      </c>
      <c r="C792" s="592" t="s">
        <v>6385</v>
      </c>
      <c r="D792" s="592">
        <v>6</v>
      </c>
      <c r="E792" s="597">
        <v>10000</v>
      </c>
      <c r="F792" s="597">
        <v>10000</v>
      </c>
      <c r="G792" s="597">
        <v>45000</v>
      </c>
      <c r="H792" s="592" t="s">
        <v>1093</v>
      </c>
    </row>
    <row r="793" spans="1:8" ht="24.75" customHeight="1" x14ac:dyDescent="0.55000000000000004">
      <c r="A793" s="592">
        <v>792</v>
      </c>
      <c r="B793" s="596" t="s">
        <v>6429</v>
      </c>
      <c r="C793" s="592" t="s">
        <v>6430</v>
      </c>
      <c r="D793" s="592">
        <v>1</v>
      </c>
      <c r="E793" s="597">
        <v>4000</v>
      </c>
      <c r="F793" s="597">
        <v>4000</v>
      </c>
      <c r="G793" s="597">
        <v>2377</v>
      </c>
      <c r="H793" s="592" t="s">
        <v>1093</v>
      </c>
    </row>
    <row r="794" spans="1:8" ht="24.75" customHeight="1" x14ac:dyDescent="0.55000000000000004">
      <c r="A794" s="592">
        <v>793</v>
      </c>
      <c r="B794" s="596" t="s">
        <v>6978</v>
      </c>
      <c r="C794" s="592" t="s">
        <v>6979</v>
      </c>
      <c r="D794" s="592">
        <v>4</v>
      </c>
      <c r="E794" s="597">
        <v>2300</v>
      </c>
      <c r="F794" s="597">
        <v>2300</v>
      </c>
      <c r="G794" s="597">
        <v>5200</v>
      </c>
      <c r="H794" s="592" t="s">
        <v>1093</v>
      </c>
    </row>
    <row r="795" spans="1:8" ht="24.75" customHeight="1" x14ac:dyDescent="0.55000000000000004">
      <c r="A795" s="592">
        <v>794</v>
      </c>
      <c r="B795" s="596" t="s">
        <v>6431</v>
      </c>
      <c r="C795" s="592" t="s">
        <v>6432</v>
      </c>
      <c r="D795" s="592">
        <v>1</v>
      </c>
      <c r="E795" s="597">
        <v>4000</v>
      </c>
      <c r="F795" s="597">
        <v>4000</v>
      </c>
      <c r="G795" s="597">
        <v>2500</v>
      </c>
      <c r="H795" s="592" t="s">
        <v>1093</v>
      </c>
    </row>
    <row r="796" spans="1:8" ht="24.75" customHeight="1" x14ac:dyDescent="0.55000000000000004">
      <c r="A796" s="592">
        <v>795</v>
      </c>
      <c r="B796" s="596" t="s">
        <v>6433</v>
      </c>
      <c r="C796" s="592" t="s">
        <v>6434</v>
      </c>
      <c r="D796" s="592">
        <v>1</v>
      </c>
      <c r="E796" s="597">
        <v>3000</v>
      </c>
      <c r="F796" s="597">
        <v>3000</v>
      </c>
      <c r="G796" s="597">
        <v>2000</v>
      </c>
      <c r="H796" s="592" t="s">
        <v>1093</v>
      </c>
    </row>
    <row r="797" spans="1:8" ht="24.75" customHeight="1" x14ac:dyDescent="0.55000000000000004">
      <c r="A797" s="592">
        <v>796</v>
      </c>
      <c r="B797" s="596" t="s">
        <v>6435</v>
      </c>
      <c r="C797" s="592" t="s">
        <v>6436</v>
      </c>
      <c r="D797" s="592">
        <v>1</v>
      </c>
      <c r="E797" s="597">
        <v>7000</v>
      </c>
      <c r="F797" s="597">
        <v>7000</v>
      </c>
      <c r="G797" s="597">
        <v>5000</v>
      </c>
      <c r="H797" s="592" t="s">
        <v>1093</v>
      </c>
    </row>
    <row r="798" spans="1:8" ht="24.75" customHeight="1" x14ac:dyDescent="0.55000000000000004">
      <c r="A798" s="592">
        <v>797</v>
      </c>
      <c r="B798" s="596" t="s">
        <v>6256</v>
      </c>
      <c r="C798" s="592" t="s">
        <v>6257</v>
      </c>
      <c r="D798" s="592">
        <v>3</v>
      </c>
      <c r="E798" s="597">
        <v>30000</v>
      </c>
      <c r="F798" s="597">
        <v>30000</v>
      </c>
      <c r="G798" s="597">
        <v>80625</v>
      </c>
      <c r="H798" s="592" t="s">
        <v>1093</v>
      </c>
    </row>
    <row r="799" spans="1:8" ht="24.75" customHeight="1" x14ac:dyDescent="0.55000000000000004">
      <c r="A799" s="592">
        <v>798</v>
      </c>
      <c r="B799" s="596" t="s">
        <v>4056</v>
      </c>
      <c r="C799" s="592" t="s">
        <v>4057</v>
      </c>
      <c r="D799" s="592">
        <v>4</v>
      </c>
      <c r="E799" s="597">
        <v>2000</v>
      </c>
      <c r="F799" s="597">
        <v>2000</v>
      </c>
      <c r="G799" s="597">
        <v>3664</v>
      </c>
      <c r="H799" s="592" t="s">
        <v>1093</v>
      </c>
    </row>
    <row r="800" spans="1:8" ht="24.75" customHeight="1" x14ac:dyDescent="0.55000000000000004">
      <c r="A800" s="592">
        <v>799</v>
      </c>
      <c r="B800" s="596" t="s">
        <v>4058</v>
      </c>
      <c r="C800" s="592" t="s">
        <v>7537</v>
      </c>
      <c r="D800" s="592">
        <v>3</v>
      </c>
      <c r="E800" s="597">
        <v>3000</v>
      </c>
      <c r="F800" s="597">
        <v>3000</v>
      </c>
      <c r="G800" s="597">
        <v>7086</v>
      </c>
      <c r="H800" s="592" t="s">
        <v>1093</v>
      </c>
    </row>
    <row r="801" spans="1:8" ht="24.75" customHeight="1" x14ac:dyDescent="0.55000000000000004">
      <c r="A801" s="592">
        <v>800</v>
      </c>
      <c r="B801" s="596" t="s">
        <v>6437</v>
      </c>
      <c r="C801" s="592" t="s">
        <v>6438</v>
      </c>
      <c r="D801" s="592">
        <v>5</v>
      </c>
      <c r="E801" s="597">
        <v>800</v>
      </c>
      <c r="F801" s="597">
        <v>800</v>
      </c>
      <c r="G801" s="597">
        <v>2910</v>
      </c>
      <c r="H801" s="592" t="s">
        <v>1093</v>
      </c>
    </row>
    <row r="802" spans="1:8" ht="24.75" customHeight="1" x14ac:dyDescent="0.55000000000000004">
      <c r="A802" s="592">
        <v>801</v>
      </c>
      <c r="B802" s="596" t="s">
        <v>6439</v>
      </c>
      <c r="C802" s="592" t="s">
        <v>6440</v>
      </c>
      <c r="D802" s="592">
        <v>5</v>
      </c>
      <c r="E802" s="597">
        <v>1000</v>
      </c>
      <c r="F802" s="597">
        <v>1000</v>
      </c>
      <c r="G802" s="597">
        <v>3550</v>
      </c>
      <c r="H802" s="592" t="s">
        <v>1093</v>
      </c>
    </row>
    <row r="803" spans="1:8" ht="24.75" customHeight="1" x14ac:dyDescent="0.55000000000000004">
      <c r="A803" s="592">
        <v>802</v>
      </c>
      <c r="B803" s="596" t="s">
        <v>6441</v>
      </c>
      <c r="C803" s="592" t="s">
        <v>6442</v>
      </c>
      <c r="D803" s="592">
        <v>1</v>
      </c>
      <c r="E803" s="597">
        <v>800</v>
      </c>
      <c r="F803" s="597">
        <v>800</v>
      </c>
      <c r="G803" s="597">
        <v>532</v>
      </c>
      <c r="H803" s="592" t="s">
        <v>1093</v>
      </c>
    </row>
    <row r="804" spans="1:8" ht="24.75" customHeight="1" x14ac:dyDescent="0.55000000000000004">
      <c r="A804" s="592">
        <v>803</v>
      </c>
      <c r="B804" s="596" t="s">
        <v>6443</v>
      </c>
      <c r="C804" s="592" t="s">
        <v>8712</v>
      </c>
      <c r="D804" s="592">
        <v>2</v>
      </c>
      <c r="E804" s="597">
        <v>26500</v>
      </c>
      <c r="F804" s="597">
        <v>26500</v>
      </c>
      <c r="G804" s="597">
        <v>39000</v>
      </c>
      <c r="H804" s="592" t="s">
        <v>1093</v>
      </c>
    </row>
    <row r="805" spans="1:8" ht="24.75" customHeight="1" x14ac:dyDescent="0.55000000000000004">
      <c r="A805" s="592">
        <v>804</v>
      </c>
      <c r="B805" s="596" t="s">
        <v>7538</v>
      </c>
      <c r="C805" s="592" t="s">
        <v>7539</v>
      </c>
      <c r="D805" s="592">
        <v>3</v>
      </c>
      <c r="E805" s="597">
        <v>28500</v>
      </c>
      <c r="F805" s="597">
        <v>28500</v>
      </c>
      <c r="G805" s="597">
        <v>70620</v>
      </c>
      <c r="H805" s="592" t="s">
        <v>1093</v>
      </c>
    </row>
    <row r="806" spans="1:8" ht="24.75" customHeight="1" x14ac:dyDescent="0.55000000000000004">
      <c r="A806" s="592">
        <v>805</v>
      </c>
      <c r="B806" s="596" t="s">
        <v>6555</v>
      </c>
      <c r="C806" s="592" t="s">
        <v>6556</v>
      </c>
      <c r="D806" s="592">
        <v>4</v>
      </c>
      <c r="E806" s="597">
        <v>4500</v>
      </c>
      <c r="F806" s="597">
        <v>4500</v>
      </c>
      <c r="G806" s="597">
        <v>10796</v>
      </c>
      <c r="H806" s="592" t="s">
        <v>1093</v>
      </c>
    </row>
    <row r="807" spans="1:8" ht="24.75" customHeight="1" x14ac:dyDescent="0.55000000000000004">
      <c r="A807" s="592">
        <v>806</v>
      </c>
      <c r="B807" s="596" t="s">
        <v>4059</v>
      </c>
      <c r="C807" s="592" t="s">
        <v>4060</v>
      </c>
      <c r="D807" s="592">
        <v>2</v>
      </c>
      <c r="E807" s="597">
        <v>16500</v>
      </c>
      <c r="F807" s="597">
        <v>16500</v>
      </c>
      <c r="G807" s="597">
        <v>19900</v>
      </c>
      <c r="H807" s="592" t="s">
        <v>1093</v>
      </c>
    </row>
    <row r="808" spans="1:8" ht="24.75" customHeight="1" x14ac:dyDescent="0.55000000000000004">
      <c r="A808" s="592">
        <v>807</v>
      </c>
      <c r="B808" s="596" t="s">
        <v>6655</v>
      </c>
      <c r="C808" s="592" t="s">
        <v>6656</v>
      </c>
      <c r="D808" s="592">
        <v>1</v>
      </c>
      <c r="E808" s="597">
        <v>3500</v>
      </c>
      <c r="F808" s="597">
        <v>3500</v>
      </c>
      <c r="G808" s="597">
        <v>2420</v>
      </c>
      <c r="H808" s="592" t="s">
        <v>1093</v>
      </c>
    </row>
    <row r="809" spans="1:8" ht="24.75" customHeight="1" x14ac:dyDescent="0.55000000000000004">
      <c r="A809" s="592">
        <v>808</v>
      </c>
      <c r="B809" s="596" t="s">
        <v>6657</v>
      </c>
      <c r="C809" s="592" t="s">
        <v>6658</v>
      </c>
      <c r="D809" s="592">
        <v>2</v>
      </c>
      <c r="E809" s="597">
        <v>4000</v>
      </c>
      <c r="F809" s="597">
        <v>4000</v>
      </c>
      <c r="G809" s="597">
        <v>5780</v>
      </c>
      <c r="H809" s="592" t="s">
        <v>1093</v>
      </c>
    </row>
    <row r="810" spans="1:8" ht="24.75" customHeight="1" x14ac:dyDescent="0.55000000000000004">
      <c r="A810" s="592">
        <v>809</v>
      </c>
      <c r="B810" s="596" t="s">
        <v>6659</v>
      </c>
      <c r="C810" s="592" t="s">
        <v>6660</v>
      </c>
      <c r="D810" s="592">
        <v>2</v>
      </c>
      <c r="E810" s="597">
        <v>4000</v>
      </c>
      <c r="F810" s="597">
        <v>4000</v>
      </c>
      <c r="G810" s="597">
        <v>5598</v>
      </c>
      <c r="H810" s="592" t="s">
        <v>1093</v>
      </c>
    </row>
    <row r="811" spans="1:8" ht="24.75" customHeight="1" x14ac:dyDescent="0.55000000000000004">
      <c r="A811" s="592">
        <v>810</v>
      </c>
      <c r="B811" s="596" t="s">
        <v>6661</v>
      </c>
      <c r="C811" s="592" t="s">
        <v>6662</v>
      </c>
      <c r="D811" s="592">
        <v>7</v>
      </c>
      <c r="E811" s="597">
        <v>3500</v>
      </c>
      <c r="F811" s="597">
        <v>3500</v>
      </c>
      <c r="G811" s="597">
        <v>21000</v>
      </c>
      <c r="H811" s="592" t="s">
        <v>1093</v>
      </c>
    </row>
    <row r="812" spans="1:8" ht="24.75" customHeight="1" x14ac:dyDescent="0.55000000000000004">
      <c r="A812" s="592">
        <v>811</v>
      </c>
      <c r="B812" s="596" t="s">
        <v>6663</v>
      </c>
      <c r="C812" s="592" t="s">
        <v>6664</v>
      </c>
      <c r="D812" s="592">
        <v>5</v>
      </c>
      <c r="E812" s="597">
        <v>2000</v>
      </c>
      <c r="F812" s="597">
        <v>2000</v>
      </c>
      <c r="G812" s="597">
        <v>6500</v>
      </c>
      <c r="H812" s="592" t="s">
        <v>1093</v>
      </c>
    </row>
    <row r="813" spans="1:8" ht="24.75" customHeight="1" x14ac:dyDescent="0.55000000000000004">
      <c r="A813" s="592">
        <v>812</v>
      </c>
      <c r="B813" s="596" t="s">
        <v>6557</v>
      </c>
      <c r="C813" s="592" t="s">
        <v>6558</v>
      </c>
      <c r="D813" s="592">
        <v>6</v>
      </c>
      <c r="E813" s="597">
        <v>5500</v>
      </c>
      <c r="F813" s="597">
        <v>5500</v>
      </c>
      <c r="G813" s="597">
        <v>22800</v>
      </c>
      <c r="H813" s="592" t="s">
        <v>1093</v>
      </c>
    </row>
    <row r="814" spans="1:8" ht="24.75" customHeight="1" x14ac:dyDescent="0.55000000000000004">
      <c r="A814" s="592">
        <v>813</v>
      </c>
      <c r="B814" s="596" t="s">
        <v>6665</v>
      </c>
      <c r="C814" s="592" t="s">
        <v>6666</v>
      </c>
      <c r="D814" s="592">
        <v>4</v>
      </c>
      <c r="E814" s="597">
        <v>45000</v>
      </c>
      <c r="F814" s="597">
        <v>45000</v>
      </c>
      <c r="G814" s="597">
        <v>150500</v>
      </c>
      <c r="H814" s="592" t="s">
        <v>1093</v>
      </c>
    </row>
    <row r="815" spans="1:8" ht="24.75" customHeight="1" x14ac:dyDescent="0.55000000000000004">
      <c r="A815" s="592">
        <v>814</v>
      </c>
      <c r="B815" s="596" t="s">
        <v>6667</v>
      </c>
      <c r="C815" s="592" t="s">
        <v>6083</v>
      </c>
      <c r="D815" s="592">
        <v>4</v>
      </c>
      <c r="E815" s="597">
        <v>250</v>
      </c>
      <c r="F815" s="597">
        <v>250</v>
      </c>
      <c r="G815" s="597">
        <v>600</v>
      </c>
      <c r="H815" s="592" t="s">
        <v>1093</v>
      </c>
    </row>
    <row r="816" spans="1:8" ht="24.75" customHeight="1" x14ac:dyDescent="0.55000000000000004">
      <c r="A816" s="592">
        <v>815</v>
      </c>
      <c r="B816" s="596" t="s">
        <v>4061</v>
      </c>
      <c r="C816" s="592" t="s">
        <v>4062</v>
      </c>
      <c r="D816" s="592">
        <v>16</v>
      </c>
      <c r="E816" s="597">
        <v>500</v>
      </c>
      <c r="F816" s="597">
        <v>500</v>
      </c>
      <c r="G816" s="597">
        <v>3792</v>
      </c>
      <c r="H816" s="592" t="s">
        <v>1093</v>
      </c>
    </row>
    <row r="817" spans="1:8" ht="24.75" customHeight="1" x14ac:dyDescent="0.55000000000000004">
      <c r="A817" s="592">
        <v>816</v>
      </c>
      <c r="B817" s="596" t="s">
        <v>6668</v>
      </c>
      <c r="C817" s="592" t="s">
        <v>6669</v>
      </c>
      <c r="D817" s="592">
        <v>3</v>
      </c>
      <c r="E817" s="597">
        <v>5000</v>
      </c>
      <c r="F817" s="597">
        <v>5000</v>
      </c>
      <c r="G817" s="597">
        <v>10500</v>
      </c>
      <c r="H817" s="592" t="s">
        <v>1093</v>
      </c>
    </row>
    <row r="818" spans="1:8" ht="24.75" customHeight="1" x14ac:dyDescent="0.55000000000000004">
      <c r="A818" s="592">
        <v>817</v>
      </c>
      <c r="B818" s="596" t="s">
        <v>6670</v>
      </c>
      <c r="C818" s="592" t="s">
        <v>6671</v>
      </c>
      <c r="D818" s="592">
        <v>2</v>
      </c>
      <c r="E818" s="597">
        <v>1500</v>
      </c>
      <c r="F818" s="597">
        <v>1500</v>
      </c>
      <c r="G818" s="597">
        <v>1470</v>
      </c>
      <c r="H818" s="592" t="s">
        <v>1093</v>
      </c>
    </row>
    <row r="819" spans="1:8" ht="24.75" customHeight="1" x14ac:dyDescent="0.55000000000000004">
      <c r="A819" s="592">
        <v>818</v>
      </c>
      <c r="B819" s="596" t="s">
        <v>6672</v>
      </c>
      <c r="C819" s="592" t="s">
        <v>6673</v>
      </c>
      <c r="D819" s="592">
        <v>5</v>
      </c>
      <c r="E819" s="597">
        <v>800</v>
      </c>
      <c r="F819" s="597">
        <v>800</v>
      </c>
      <c r="G819" s="597">
        <v>2250</v>
      </c>
      <c r="H819" s="592" t="s">
        <v>1093</v>
      </c>
    </row>
    <row r="820" spans="1:8" ht="24.75" customHeight="1" x14ac:dyDescent="0.55000000000000004">
      <c r="A820" s="592">
        <v>819</v>
      </c>
      <c r="B820" s="596" t="s">
        <v>6674</v>
      </c>
      <c r="C820" s="592" t="s">
        <v>6675</v>
      </c>
      <c r="D820" s="592">
        <v>2</v>
      </c>
      <c r="E820" s="597">
        <v>40000</v>
      </c>
      <c r="F820" s="597">
        <v>40000</v>
      </c>
      <c r="G820" s="597">
        <v>68000</v>
      </c>
      <c r="H820" s="592" t="s">
        <v>1093</v>
      </c>
    </row>
    <row r="821" spans="1:8" ht="24.75" customHeight="1" x14ac:dyDescent="0.55000000000000004">
      <c r="A821" s="592">
        <v>820</v>
      </c>
      <c r="B821" s="596" t="s">
        <v>6676</v>
      </c>
      <c r="C821" s="592" t="s">
        <v>6677</v>
      </c>
      <c r="D821" s="592">
        <v>11</v>
      </c>
      <c r="E821" s="597">
        <v>600</v>
      </c>
      <c r="F821" s="597">
        <v>600</v>
      </c>
      <c r="G821" s="597">
        <v>3850</v>
      </c>
      <c r="H821" s="592" t="s">
        <v>1093</v>
      </c>
    </row>
    <row r="822" spans="1:8" ht="24.75" customHeight="1" x14ac:dyDescent="0.55000000000000004">
      <c r="A822" s="592">
        <v>821</v>
      </c>
      <c r="B822" s="596" t="s">
        <v>6678</v>
      </c>
      <c r="C822" s="592" t="s">
        <v>6679</v>
      </c>
      <c r="D822" s="592">
        <v>1</v>
      </c>
      <c r="E822" s="597">
        <v>800</v>
      </c>
      <c r="F822" s="597">
        <v>800</v>
      </c>
      <c r="G822" s="597">
        <v>468</v>
      </c>
      <c r="H822" s="592" t="s">
        <v>1093</v>
      </c>
    </row>
    <row r="823" spans="1:8" ht="24.75" customHeight="1" x14ac:dyDescent="0.55000000000000004">
      <c r="A823" s="592">
        <v>822</v>
      </c>
      <c r="B823" s="596" t="s">
        <v>6680</v>
      </c>
      <c r="C823" s="592" t="s">
        <v>6681</v>
      </c>
      <c r="D823" s="592">
        <v>7</v>
      </c>
      <c r="E823" s="597">
        <v>800</v>
      </c>
      <c r="F823" s="597">
        <v>800</v>
      </c>
      <c r="G823" s="597">
        <v>3276</v>
      </c>
      <c r="H823" s="592" t="s">
        <v>1093</v>
      </c>
    </row>
    <row r="824" spans="1:8" ht="24.75" customHeight="1" x14ac:dyDescent="0.55000000000000004">
      <c r="A824" s="592">
        <v>823</v>
      </c>
      <c r="B824" s="596" t="s">
        <v>6980</v>
      </c>
      <c r="C824" s="592" t="s">
        <v>6981</v>
      </c>
      <c r="D824" s="592">
        <v>5</v>
      </c>
      <c r="E824" s="597">
        <v>7000</v>
      </c>
      <c r="F824" s="597">
        <v>7000</v>
      </c>
      <c r="G824" s="597">
        <v>25985</v>
      </c>
      <c r="H824" s="592" t="s">
        <v>1093</v>
      </c>
    </row>
    <row r="825" spans="1:8" ht="24.75" customHeight="1" x14ac:dyDescent="0.55000000000000004">
      <c r="A825" s="592">
        <v>824</v>
      </c>
      <c r="B825" s="596" t="s">
        <v>4063</v>
      </c>
      <c r="C825" s="592" t="s">
        <v>4064</v>
      </c>
      <c r="D825" s="592">
        <v>3</v>
      </c>
      <c r="E825" s="597">
        <v>14000</v>
      </c>
      <c r="F825" s="597">
        <v>14000</v>
      </c>
      <c r="G825" s="597">
        <v>28290</v>
      </c>
      <c r="H825" s="592" t="s">
        <v>1093</v>
      </c>
    </row>
    <row r="826" spans="1:8" ht="24.75" customHeight="1" x14ac:dyDescent="0.55000000000000004">
      <c r="A826" s="592">
        <v>825</v>
      </c>
      <c r="B826" s="596" t="s">
        <v>6819</v>
      </c>
      <c r="C826" s="592" t="s">
        <v>6820</v>
      </c>
      <c r="D826" s="592">
        <v>11</v>
      </c>
      <c r="E826" s="597">
        <v>2500</v>
      </c>
      <c r="F826" s="597">
        <v>2500</v>
      </c>
      <c r="G826" s="597">
        <v>21780</v>
      </c>
      <c r="H826" s="592" t="s">
        <v>1093</v>
      </c>
    </row>
    <row r="827" spans="1:8" ht="24.75" customHeight="1" x14ac:dyDescent="0.55000000000000004">
      <c r="A827" s="592">
        <v>826</v>
      </c>
      <c r="B827" s="596" t="s">
        <v>6821</v>
      </c>
      <c r="C827" s="592" t="s">
        <v>6822</v>
      </c>
      <c r="D827" s="592">
        <v>5</v>
      </c>
      <c r="E827" s="597">
        <v>2500</v>
      </c>
      <c r="F827" s="597">
        <v>2500</v>
      </c>
      <c r="G827" s="597">
        <v>8500</v>
      </c>
      <c r="H827" s="592" t="s">
        <v>1093</v>
      </c>
    </row>
    <row r="828" spans="1:8" ht="24.75" customHeight="1" x14ac:dyDescent="0.55000000000000004">
      <c r="A828" s="592">
        <v>827</v>
      </c>
      <c r="B828" s="596" t="s">
        <v>6982</v>
      </c>
      <c r="C828" s="592" t="s">
        <v>6983</v>
      </c>
      <c r="D828" s="592">
        <v>2</v>
      </c>
      <c r="E828" s="597">
        <v>5000</v>
      </c>
      <c r="F828" s="597">
        <v>5000</v>
      </c>
      <c r="G828" s="597">
        <v>6600</v>
      </c>
      <c r="H828" s="592" t="s">
        <v>1093</v>
      </c>
    </row>
    <row r="829" spans="1:8" ht="24.75" customHeight="1" x14ac:dyDescent="0.55000000000000004">
      <c r="A829" s="592">
        <v>828</v>
      </c>
      <c r="B829" s="596" t="s">
        <v>6984</v>
      </c>
      <c r="C829" s="592" t="s">
        <v>6985</v>
      </c>
      <c r="D829" s="592">
        <v>3</v>
      </c>
      <c r="E829" s="597">
        <v>15000</v>
      </c>
      <c r="F829" s="597">
        <v>15000</v>
      </c>
      <c r="G829" s="597">
        <v>28500</v>
      </c>
      <c r="H829" s="592" t="s">
        <v>1093</v>
      </c>
    </row>
    <row r="830" spans="1:8" ht="24.75" customHeight="1" x14ac:dyDescent="0.55000000000000004">
      <c r="A830" s="592">
        <v>829</v>
      </c>
      <c r="B830" s="596" t="s">
        <v>6986</v>
      </c>
      <c r="C830" s="592" t="s">
        <v>8400</v>
      </c>
      <c r="D830" s="592">
        <v>3</v>
      </c>
      <c r="E830" s="597">
        <v>22000</v>
      </c>
      <c r="F830" s="597">
        <v>22000</v>
      </c>
      <c r="G830" s="597">
        <v>48990</v>
      </c>
      <c r="H830" s="592" t="s">
        <v>1093</v>
      </c>
    </row>
    <row r="831" spans="1:8" ht="24.75" customHeight="1" x14ac:dyDescent="0.55000000000000004">
      <c r="A831" s="592">
        <v>830</v>
      </c>
      <c r="B831" s="596" t="s">
        <v>6987</v>
      </c>
      <c r="C831" s="592" t="s">
        <v>6988</v>
      </c>
      <c r="D831" s="592">
        <v>2</v>
      </c>
      <c r="E831" s="597">
        <v>20500</v>
      </c>
      <c r="F831" s="597">
        <v>20500</v>
      </c>
      <c r="G831" s="597">
        <v>31230</v>
      </c>
      <c r="H831" s="592" t="s">
        <v>1093</v>
      </c>
    </row>
    <row r="832" spans="1:8" ht="24.75" customHeight="1" x14ac:dyDescent="0.55000000000000004">
      <c r="A832" s="592">
        <v>831</v>
      </c>
      <c r="B832" s="596" t="s">
        <v>6823</v>
      </c>
      <c r="C832" s="592" t="s">
        <v>6824</v>
      </c>
      <c r="D832" s="592">
        <v>1</v>
      </c>
      <c r="E832" s="597">
        <v>22500</v>
      </c>
      <c r="F832" s="597">
        <v>22500</v>
      </c>
      <c r="G832" s="597">
        <v>17887</v>
      </c>
      <c r="H832" s="592" t="s">
        <v>1093</v>
      </c>
    </row>
    <row r="833" spans="1:8" ht="24.75" customHeight="1" x14ac:dyDescent="0.55000000000000004">
      <c r="A833" s="592">
        <v>832</v>
      </c>
      <c r="B833" s="596" t="s">
        <v>1445</v>
      </c>
      <c r="C833" s="592" t="s">
        <v>1446</v>
      </c>
      <c r="D833" s="592">
        <v>1</v>
      </c>
      <c r="E833" s="597">
        <v>3000</v>
      </c>
      <c r="F833" s="597">
        <v>3000</v>
      </c>
      <c r="G833" s="597">
        <v>1745</v>
      </c>
      <c r="H833" s="592" t="s">
        <v>1093</v>
      </c>
    </row>
    <row r="834" spans="1:8" ht="24.75" customHeight="1" x14ac:dyDescent="0.55000000000000004">
      <c r="A834" s="592">
        <v>833</v>
      </c>
      <c r="B834" s="596" t="s">
        <v>6989</v>
      </c>
      <c r="C834" s="592" t="s">
        <v>6990</v>
      </c>
      <c r="D834" s="592">
        <v>1</v>
      </c>
      <c r="E834" s="597">
        <v>10000</v>
      </c>
      <c r="F834" s="597">
        <v>10000</v>
      </c>
      <c r="G834" s="597">
        <v>7000</v>
      </c>
      <c r="H834" s="592" t="s">
        <v>1093</v>
      </c>
    </row>
    <row r="835" spans="1:8" ht="24.75" customHeight="1" x14ac:dyDescent="0.55000000000000004">
      <c r="A835" s="592">
        <v>834</v>
      </c>
      <c r="B835" s="596" t="s">
        <v>8540</v>
      </c>
      <c r="C835" s="592" t="s">
        <v>8541</v>
      </c>
      <c r="D835" s="592">
        <v>5</v>
      </c>
      <c r="E835" s="597">
        <v>7500</v>
      </c>
      <c r="F835" s="597">
        <v>7500</v>
      </c>
      <c r="G835" s="597">
        <v>28750</v>
      </c>
      <c r="H835" s="592" t="s">
        <v>1093</v>
      </c>
    </row>
    <row r="836" spans="1:8" ht="24.75" customHeight="1" x14ac:dyDescent="0.55000000000000004">
      <c r="A836" s="592">
        <v>835</v>
      </c>
      <c r="B836" s="596" t="s">
        <v>6825</v>
      </c>
      <c r="C836" s="592" t="s">
        <v>8034</v>
      </c>
      <c r="D836" s="592">
        <v>2</v>
      </c>
      <c r="E836" s="597">
        <v>25000</v>
      </c>
      <c r="F836" s="597">
        <v>25000</v>
      </c>
      <c r="G836" s="597">
        <v>39000</v>
      </c>
      <c r="H836" s="592" t="s">
        <v>1093</v>
      </c>
    </row>
    <row r="837" spans="1:8" ht="24.75" customHeight="1" x14ac:dyDescent="0.55000000000000004">
      <c r="A837" s="592">
        <v>836</v>
      </c>
      <c r="B837" s="596" t="s">
        <v>6991</v>
      </c>
      <c r="C837" s="592" t="s">
        <v>6992</v>
      </c>
      <c r="D837" s="592">
        <v>4</v>
      </c>
      <c r="E837" s="597">
        <v>11000</v>
      </c>
      <c r="F837" s="597">
        <v>11000</v>
      </c>
      <c r="G837" s="597">
        <v>34800</v>
      </c>
      <c r="H837" s="592" t="s">
        <v>1093</v>
      </c>
    </row>
    <row r="838" spans="1:8" ht="24.75" customHeight="1" x14ac:dyDescent="0.55000000000000004">
      <c r="A838" s="592">
        <v>837</v>
      </c>
      <c r="B838" s="596" t="s">
        <v>6993</v>
      </c>
      <c r="C838" s="592" t="s">
        <v>6994</v>
      </c>
      <c r="D838" s="592">
        <v>3</v>
      </c>
      <c r="E838" s="597">
        <v>9000</v>
      </c>
      <c r="F838" s="597">
        <v>9000</v>
      </c>
      <c r="G838" s="597">
        <v>21000</v>
      </c>
      <c r="H838" s="592" t="s">
        <v>1093</v>
      </c>
    </row>
    <row r="839" spans="1:8" ht="24.75" customHeight="1" x14ac:dyDescent="0.55000000000000004">
      <c r="A839" s="592">
        <v>838</v>
      </c>
      <c r="B839" s="596" t="s">
        <v>6826</v>
      </c>
      <c r="C839" s="592" t="s">
        <v>6827</v>
      </c>
      <c r="D839" s="592">
        <v>1</v>
      </c>
      <c r="E839" s="597">
        <v>25000</v>
      </c>
      <c r="F839" s="597">
        <v>25000</v>
      </c>
      <c r="G839" s="597">
        <v>21000</v>
      </c>
      <c r="H839" s="592" t="s">
        <v>1093</v>
      </c>
    </row>
    <row r="840" spans="1:8" ht="24.75" customHeight="1" x14ac:dyDescent="0.55000000000000004">
      <c r="A840" s="592">
        <v>839</v>
      </c>
      <c r="B840" s="596" t="s">
        <v>6995</v>
      </c>
      <c r="C840" s="592" t="s">
        <v>6996</v>
      </c>
      <c r="D840" s="592">
        <v>2</v>
      </c>
      <c r="E840" s="597">
        <v>6000</v>
      </c>
      <c r="F840" s="597">
        <v>6000</v>
      </c>
      <c r="G840" s="597">
        <v>7968</v>
      </c>
      <c r="H840" s="592" t="s">
        <v>1093</v>
      </c>
    </row>
    <row r="841" spans="1:8" ht="24.75" customHeight="1" x14ac:dyDescent="0.55000000000000004">
      <c r="A841" s="592">
        <v>840</v>
      </c>
      <c r="B841" s="596" t="s">
        <v>6828</v>
      </c>
      <c r="C841" s="592" t="s">
        <v>6829</v>
      </c>
      <c r="D841" s="592">
        <v>9</v>
      </c>
      <c r="E841" s="597">
        <v>5000</v>
      </c>
      <c r="F841" s="597">
        <v>5000</v>
      </c>
      <c r="G841" s="597">
        <v>31500</v>
      </c>
      <c r="H841" s="592" t="s">
        <v>1093</v>
      </c>
    </row>
    <row r="842" spans="1:8" ht="24.75" customHeight="1" x14ac:dyDescent="0.55000000000000004">
      <c r="A842" s="592">
        <v>841</v>
      </c>
      <c r="B842" s="596" t="s">
        <v>4065</v>
      </c>
      <c r="C842" s="592" t="s">
        <v>4066</v>
      </c>
      <c r="D842" s="592">
        <v>3</v>
      </c>
      <c r="E842" s="597">
        <v>2500</v>
      </c>
      <c r="F842" s="597">
        <v>2500</v>
      </c>
      <c r="G842" s="597">
        <v>5235</v>
      </c>
      <c r="H842" s="592" t="s">
        <v>1093</v>
      </c>
    </row>
    <row r="843" spans="1:8" ht="24.75" customHeight="1" x14ac:dyDescent="0.55000000000000004">
      <c r="A843" s="592">
        <v>842</v>
      </c>
      <c r="B843" s="596" t="s">
        <v>6997</v>
      </c>
      <c r="C843" s="592" t="s">
        <v>6998</v>
      </c>
      <c r="D843" s="592">
        <v>4</v>
      </c>
      <c r="E843" s="597">
        <v>4000</v>
      </c>
      <c r="F843" s="597">
        <v>4000</v>
      </c>
      <c r="G843" s="597">
        <v>10912</v>
      </c>
      <c r="H843" s="592" t="s">
        <v>1093</v>
      </c>
    </row>
    <row r="844" spans="1:8" ht="24.75" customHeight="1" x14ac:dyDescent="0.55000000000000004">
      <c r="A844" s="592">
        <v>843</v>
      </c>
      <c r="B844" s="596" t="s">
        <v>6999</v>
      </c>
      <c r="C844" s="592" t="s">
        <v>7000</v>
      </c>
      <c r="D844" s="592">
        <v>3</v>
      </c>
      <c r="E844" s="597">
        <v>2800</v>
      </c>
      <c r="F844" s="597">
        <v>2800</v>
      </c>
      <c r="G844" s="597">
        <v>5250</v>
      </c>
      <c r="H844" s="592" t="s">
        <v>1093</v>
      </c>
    </row>
    <row r="845" spans="1:8" ht="24.75" customHeight="1" x14ac:dyDescent="0.55000000000000004">
      <c r="A845" s="592">
        <v>844</v>
      </c>
      <c r="B845" s="596" t="s">
        <v>6830</v>
      </c>
      <c r="C845" s="592" t="s">
        <v>6831</v>
      </c>
      <c r="D845" s="592">
        <v>2</v>
      </c>
      <c r="E845" s="597">
        <v>20000</v>
      </c>
      <c r="F845" s="597">
        <v>20000</v>
      </c>
      <c r="G845" s="597">
        <v>34000</v>
      </c>
      <c r="H845" s="592" t="s">
        <v>1093</v>
      </c>
    </row>
    <row r="846" spans="1:8" ht="24.75" customHeight="1" x14ac:dyDescent="0.55000000000000004">
      <c r="A846" s="592">
        <v>845</v>
      </c>
      <c r="B846" s="596" t="s">
        <v>7001</v>
      </c>
      <c r="C846" s="592" t="s">
        <v>7002</v>
      </c>
      <c r="D846" s="592">
        <v>3</v>
      </c>
      <c r="E846" s="597">
        <v>4000</v>
      </c>
      <c r="F846" s="597">
        <v>4000</v>
      </c>
      <c r="G846" s="597">
        <v>9210</v>
      </c>
      <c r="H846" s="592" t="s">
        <v>1093</v>
      </c>
    </row>
    <row r="847" spans="1:8" ht="24.75" customHeight="1" x14ac:dyDescent="0.55000000000000004">
      <c r="A847" s="592">
        <v>846</v>
      </c>
      <c r="B847" s="596" t="s">
        <v>7003</v>
      </c>
      <c r="C847" s="592" t="s">
        <v>7004</v>
      </c>
      <c r="D847" s="592">
        <v>5</v>
      </c>
      <c r="E847" s="597">
        <v>2000</v>
      </c>
      <c r="F847" s="597">
        <v>2000</v>
      </c>
      <c r="G847" s="597">
        <v>6815</v>
      </c>
      <c r="H847" s="592" t="s">
        <v>1093</v>
      </c>
    </row>
    <row r="848" spans="1:8" ht="24.75" customHeight="1" x14ac:dyDescent="0.55000000000000004">
      <c r="A848" s="592">
        <v>847</v>
      </c>
      <c r="B848" s="596" t="s">
        <v>7005</v>
      </c>
      <c r="C848" s="592" t="s">
        <v>7006</v>
      </c>
      <c r="D848" s="592">
        <v>1</v>
      </c>
      <c r="E848" s="597">
        <v>25000</v>
      </c>
      <c r="F848" s="597">
        <v>25000</v>
      </c>
      <c r="G848" s="597">
        <v>20000</v>
      </c>
      <c r="H848" s="592" t="s">
        <v>1093</v>
      </c>
    </row>
    <row r="849" spans="1:8" ht="24.75" customHeight="1" x14ac:dyDescent="0.55000000000000004">
      <c r="A849" s="592">
        <v>848</v>
      </c>
      <c r="B849" s="596" t="s">
        <v>7007</v>
      </c>
      <c r="C849" s="592" t="s">
        <v>7008</v>
      </c>
      <c r="D849" s="592">
        <v>3</v>
      </c>
      <c r="E849" s="597">
        <v>8500</v>
      </c>
      <c r="F849" s="597">
        <v>8500</v>
      </c>
      <c r="G849" s="597">
        <v>19800</v>
      </c>
      <c r="H849" s="592" t="s">
        <v>1093</v>
      </c>
    </row>
    <row r="850" spans="1:8" ht="24.75" customHeight="1" x14ac:dyDescent="0.55000000000000004">
      <c r="A850" s="592">
        <v>849</v>
      </c>
      <c r="B850" s="596" t="s">
        <v>7009</v>
      </c>
      <c r="C850" s="592" t="s">
        <v>7010</v>
      </c>
      <c r="D850" s="592">
        <v>10</v>
      </c>
      <c r="E850" s="597">
        <v>3500</v>
      </c>
      <c r="F850" s="597">
        <v>3500</v>
      </c>
      <c r="G850" s="597">
        <v>29000</v>
      </c>
      <c r="H850" s="592" t="s">
        <v>1093</v>
      </c>
    </row>
    <row r="851" spans="1:8" ht="24.75" customHeight="1" x14ac:dyDescent="0.55000000000000004">
      <c r="A851" s="592">
        <v>850</v>
      </c>
      <c r="B851" s="596" t="s">
        <v>7011</v>
      </c>
      <c r="C851" s="592" t="s">
        <v>7012</v>
      </c>
      <c r="D851" s="592">
        <v>9</v>
      </c>
      <c r="E851" s="597">
        <v>3800</v>
      </c>
      <c r="F851" s="597">
        <v>3800</v>
      </c>
      <c r="G851" s="597">
        <v>22680</v>
      </c>
      <c r="H851" s="592" t="s">
        <v>1093</v>
      </c>
    </row>
    <row r="852" spans="1:8" ht="24.75" customHeight="1" x14ac:dyDescent="0.55000000000000004">
      <c r="A852" s="592">
        <v>851</v>
      </c>
      <c r="B852" s="596" t="s">
        <v>7013</v>
      </c>
      <c r="C852" s="592" t="s">
        <v>7540</v>
      </c>
      <c r="D852" s="592">
        <v>5</v>
      </c>
      <c r="E852" s="597">
        <v>4000</v>
      </c>
      <c r="F852" s="597">
        <v>4000</v>
      </c>
      <c r="G852" s="597">
        <v>11645</v>
      </c>
      <c r="H852" s="592" t="s">
        <v>1093</v>
      </c>
    </row>
    <row r="853" spans="1:8" ht="24.75" customHeight="1" x14ac:dyDescent="0.55000000000000004">
      <c r="A853" s="592">
        <v>852</v>
      </c>
      <c r="B853" s="596" t="s">
        <v>4067</v>
      </c>
      <c r="C853" s="592" t="s">
        <v>4068</v>
      </c>
      <c r="D853" s="592">
        <v>3</v>
      </c>
      <c r="E853" s="597">
        <v>3500</v>
      </c>
      <c r="F853" s="597">
        <v>3500</v>
      </c>
      <c r="G853" s="597">
        <v>6915</v>
      </c>
      <c r="H853" s="592" t="s">
        <v>1093</v>
      </c>
    </row>
    <row r="854" spans="1:8" ht="24.75" customHeight="1" x14ac:dyDescent="0.55000000000000004">
      <c r="A854" s="592">
        <v>853</v>
      </c>
      <c r="B854" s="596" t="s">
        <v>6832</v>
      </c>
      <c r="C854" s="592" t="s">
        <v>6833</v>
      </c>
      <c r="D854" s="592">
        <v>3</v>
      </c>
      <c r="E854" s="597">
        <v>4000</v>
      </c>
      <c r="F854" s="597">
        <v>4000</v>
      </c>
      <c r="G854" s="597">
        <v>8055</v>
      </c>
      <c r="H854" s="592" t="s">
        <v>1093</v>
      </c>
    </row>
    <row r="855" spans="1:8" ht="24.75" customHeight="1" x14ac:dyDescent="0.55000000000000004">
      <c r="A855" s="592">
        <v>854</v>
      </c>
      <c r="B855" s="596" t="s">
        <v>7014</v>
      </c>
      <c r="C855" s="592" t="s">
        <v>7015</v>
      </c>
      <c r="D855" s="592">
        <v>5</v>
      </c>
      <c r="E855" s="597">
        <v>4000</v>
      </c>
      <c r="F855" s="597">
        <v>4000</v>
      </c>
      <c r="G855" s="597">
        <v>14080</v>
      </c>
      <c r="H855" s="592" t="s">
        <v>1093</v>
      </c>
    </row>
    <row r="856" spans="1:8" ht="24.75" customHeight="1" x14ac:dyDescent="0.55000000000000004">
      <c r="A856" s="592">
        <v>855</v>
      </c>
      <c r="B856" s="596" t="s">
        <v>6834</v>
      </c>
      <c r="C856" s="592" t="s">
        <v>6835</v>
      </c>
      <c r="D856" s="592">
        <v>1</v>
      </c>
      <c r="E856" s="597">
        <v>5000</v>
      </c>
      <c r="F856" s="597">
        <v>5000</v>
      </c>
      <c r="G856" s="597">
        <v>4212</v>
      </c>
      <c r="H856" s="592" t="s">
        <v>1093</v>
      </c>
    </row>
    <row r="857" spans="1:8" ht="24.75" customHeight="1" x14ac:dyDescent="0.55000000000000004">
      <c r="A857" s="592">
        <v>856</v>
      </c>
      <c r="B857" s="596" t="s">
        <v>7018</v>
      </c>
      <c r="C857" s="592" t="s">
        <v>7019</v>
      </c>
      <c r="D857" s="592">
        <v>1</v>
      </c>
      <c r="E857" s="597">
        <v>6000</v>
      </c>
      <c r="F857" s="597">
        <v>6000</v>
      </c>
      <c r="G857" s="597">
        <v>4500</v>
      </c>
      <c r="H857" s="592" t="s">
        <v>1093</v>
      </c>
    </row>
    <row r="858" spans="1:8" ht="24.75" customHeight="1" x14ac:dyDescent="0.55000000000000004">
      <c r="A858" s="592">
        <v>857</v>
      </c>
      <c r="B858" s="596" t="s">
        <v>7020</v>
      </c>
      <c r="C858" s="592" t="s">
        <v>7021</v>
      </c>
      <c r="D858" s="592">
        <v>1</v>
      </c>
      <c r="E858" s="597">
        <v>5500</v>
      </c>
      <c r="F858" s="597">
        <v>5500</v>
      </c>
      <c r="G858" s="597">
        <v>4270</v>
      </c>
      <c r="H858" s="592" t="s">
        <v>1093</v>
      </c>
    </row>
    <row r="859" spans="1:8" ht="24.75" customHeight="1" x14ac:dyDescent="0.55000000000000004">
      <c r="A859" s="592">
        <v>858</v>
      </c>
      <c r="B859" s="596" t="s">
        <v>7022</v>
      </c>
      <c r="C859" s="592" t="s">
        <v>7023</v>
      </c>
      <c r="D859" s="592">
        <v>6</v>
      </c>
      <c r="E859" s="597">
        <v>6500</v>
      </c>
      <c r="F859" s="597">
        <v>6500</v>
      </c>
      <c r="G859" s="597">
        <v>32820</v>
      </c>
      <c r="H859" s="592" t="s">
        <v>1093</v>
      </c>
    </row>
    <row r="860" spans="1:8" ht="24.75" customHeight="1" x14ac:dyDescent="0.55000000000000004">
      <c r="A860" s="592">
        <v>859</v>
      </c>
      <c r="B860" s="596" t="s">
        <v>7024</v>
      </c>
      <c r="C860" s="592" t="s">
        <v>7025</v>
      </c>
      <c r="D860" s="592">
        <v>3</v>
      </c>
      <c r="E860" s="597">
        <v>5500</v>
      </c>
      <c r="F860" s="597">
        <v>5500</v>
      </c>
      <c r="G860" s="597">
        <v>12810</v>
      </c>
      <c r="H860" s="592" t="s">
        <v>1093</v>
      </c>
    </row>
    <row r="861" spans="1:8" ht="24.75" customHeight="1" x14ac:dyDescent="0.55000000000000004">
      <c r="A861" s="592">
        <v>860</v>
      </c>
      <c r="B861" s="596" t="s">
        <v>6836</v>
      </c>
      <c r="C861" s="592" t="s">
        <v>6837</v>
      </c>
      <c r="D861" s="592">
        <v>1</v>
      </c>
      <c r="E861" s="597">
        <v>11000</v>
      </c>
      <c r="F861" s="597">
        <v>11000</v>
      </c>
      <c r="G861" s="597">
        <v>9520</v>
      </c>
      <c r="H861" s="592" t="s">
        <v>1093</v>
      </c>
    </row>
    <row r="862" spans="1:8" ht="24.75" customHeight="1" x14ac:dyDescent="0.55000000000000004">
      <c r="A862" s="592">
        <v>861</v>
      </c>
      <c r="B862" s="596" t="s">
        <v>7026</v>
      </c>
      <c r="C862" s="592" t="s">
        <v>7027</v>
      </c>
      <c r="D862" s="592">
        <v>3</v>
      </c>
      <c r="E862" s="597">
        <v>11000</v>
      </c>
      <c r="F862" s="597">
        <v>11000</v>
      </c>
      <c r="G862" s="597">
        <v>33000</v>
      </c>
      <c r="H862" s="592" t="s">
        <v>1093</v>
      </c>
    </row>
    <row r="863" spans="1:8" ht="24.75" customHeight="1" x14ac:dyDescent="0.55000000000000004">
      <c r="A863" s="592">
        <v>862</v>
      </c>
      <c r="B863" s="596" t="s">
        <v>4069</v>
      </c>
      <c r="C863" s="592" t="s">
        <v>4070</v>
      </c>
      <c r="D863" s="592">
        <v>5</v>
      </c>
      <c r="E863" s="597">
        <v>3500</v>
      </c>
      <c r="F863" s="597">
        <v>3500</v>
      </c>
      <c r="G863" s="597">
        <v>11525</v>
      </c>
      <c r="H863" s="592" t="s">
        <v>1093</v>
      </c>
    </row>
    <row r="864" spans="1:8" ht="24.75" customHeight="1" x14ac:dyDescent="0.55000000000000004">
      <c r="A864" s="592">
        <v>863</v>
      </c>
      <c r="B864" s="596" t="s">
        <v>7028</v>
      </c>
      <c r="C864" s="592" t="s">
        <v>7029</v>
      </c>
      <c r="D864" s="592">
        <v>3</v>
      </c>
      <c r="E864" s="597">
        <v>11000</v>
      </c>
      <c r="F864" s="597">
        <v>11000</v>
      </c>
      <c r="G864" s="597">
        <v>28560</v>
      </c>
      <c r="H864" s="592" t="s">
        <v>1093</v>
      </c>
    </row>
    <row r="865" spans="1:8" ht="24.75" customHeight="1" x14ac:dyDescent="0.55000000000000004">
      <c r="A865" s="592">
        <v>864</v>
      </c>
      <c r="B865" s="596" t="s">
        <v>7030</v>
      </c>
      <c r="C865" s="592" t="s">
        <v>7031</v>
      </c>
      <c r="D865" s="592">
        <v>2</v>
      </c>
      <c r="E865" s="597">
        <v>7000</v>
      </c>
      <c r="F865" s="597">
        <v>7000</v>
      </c>
      <c r="G865" s="597">
        <v>10800</v>
      </c>
      <c r="H865" s="592" t="s">
        <v>1093</v>
      </c>
    </row>
    <row r="866" spans="1:8" ht="24.75" customHeight="1" x14ac:dyDescent="0.55000000000000004">
      <c r="A866" s="592">
        <v>865</v>
      </c>
      <c r="B866" s="596" t="s">
        <v>7032</v>
      </c>
      <c r="C866" s="592" t="s">
        <v>7033</v>
      </c>
      <c r="D866" s="592">
        <v>2</v>
      </c>
      <c r="E866" s="597">
        <v>7000</v>
      </c>
      <c r="F866" s="597">
        <v>7000</v>
      </c>
      <c r="G866" s="597">
        <v>10800</v>
      </c>
      <c r="H866" s="592" t="s">
        <v>1093</v>
      </c>
    </row>
    <row r="867" spans="1:8" ht="24.75" customHeight="1" x14ac:dyDescent="0.55000000000000004">
      <c r="A867" s="592">
        <v>866</v>
      </c>
      <c r="B867" s="596" t="s">
        <v>7034</v>
      </c>
      <c r="C867" s="592" t="s">
        <v>7035</v>
      </c>
      <c r="D867" s="592">
        <v>10</v>
      </c>
      <c r="E867" s="597">
        <v>4000</v>
      </c>
      <c r="F867" s="597">
        <v>4000</v>
      </c>
      <c r="G867" s="597">
        <v>31590</v>
      </c>
      <c r="H867" s="592" t="s">
        <v>1093</v>
      </c>
    </row>
    <row r="868" spans="1:8" ht="24.75" customHeight="1" x14ac:dyDescent="0.55000000000000004">
      <c r="A868" s="592">
        <v>867</v>
      </c>
      <c r="B868" s="596" t="s">
        <v>7036</v>
      </c>
      <c r="C868" s="592" t="s">
        <v>7037</v>
      </c>
      <c r="D868" s="592">
        <v>3</v>
      </c>
      <c r="E868" s="597">
        <v>23000</v>
      </c>
      <c r="F868" s="597">
        <v>23000</v>
      </c>
      <c r="G868" s="597">
        <v>53475</v>
      </c>
      <c r="H868" s="592" t="s">
        <v>1093</v>
      </c>
    </row>
    <row r="869" spans="1:8" ht="24.75" customHeight="1" x14ac:dyDescent="0.55000000000000004">
      <c r="A869" s="592">
        <v>868</v>
      </c>
      <c r="B869" s="596" t="s">
        <v>7038</v>
      </c>
      <c r="C869" s="592" t="s">
        <v>7039</v>
      </c>
      <c r="D869" s="592">
        <v>3</v>
      </c>
      <c r="E869" s="597">
        <v>12000</v>
      </c>
      <c r="F869" s="597">
        <v>12000</v>
      </c>
      <c r="G869" s="597">
        <v>18000</v>
      </c>
      <c r="H869" s="592" t="s">
        <v>1093</v>
      </c>
    </row>
    <row r="870" spans="1:8" ht="24.75" customHeight="1" x14ac:dyDescent="0.55000000000000004">
      <c r="A870" s="592">
        <v>869</v>
      </c>
      <c r="B870" s="596" t="s">
        <v>7040</v>
      </c>
      <c r="C870" s="592" t="s">
        <v>7041</v>
      </c>
      <c r="D870" s="592">
        <v>10</v>
      </c>
      <c r="E870" s="597">
        <v>500</v>
      </c>
      <c r="F870" s="597">
        <v>500</v>
      </c>
      <c r="G870" s="597">
        <v>3750</v>
      </c>
      <c r="H870" s="592" t="s">
        <v>1093</v>
      </c>
    </row>
    <row r="871" spans="1:8" ht="24.75" customHeight="1" x14ac:dyDescent="0.55000000000000004">
      <c r="A871" s="592">
        <v>870</v>
      </c>
      <c r="B871" s="596" t="s">
        <v>7042</v>
      </c>
      <c r="C871" s="592" t="s">
        <v>7043</v>
      </c>
      <c r="D871" s="592">
        <v>2</v>
      </c>
      <c r="E871" s="597">
        <v>5000</v>
      </c>
      <c r="F871" s="597">
        <v>5000</v>
      </c>
      <c r="G871" s="597">
        <v>6000</v>
      </c>
      <c r="H871" s="592" t="s">
        <v>1093</v>
      </c>
    </row>
    <row r="872" spans="1:8" ht="24.75" customHeight="1" x14ac:dyDescent="0.55000000000000004">
      <c r="A872" s="592">
        <v>871</v>
      </c>
      <c r="B872" s="596" t="s">
        <v>1447</v>
      </c>
      <c r="C872" s="592" t="s">
        <v>1448</v>
      </c>
      <c r="D872" s="592">
        <v>12</v>
      </c>
      <c r="E872" s="597">
        <v>300</v>
      </c>
      <c r="F872" s="597">
        <v>300</v>
      </c>
      <c r="G872" s="597">
        <v>1116</v>
      </c>
      <c r="H872" s="592" t="s">
        <v>1093</v>
      </c>
    </row>
    <row r="873" spans="1:8" ht="24.75" customHeight="1" x14ac:dyDescent="0.55000000000000004">
      <c r="A873" s="592">
        <v>872</v>
      </c>
      <c r="B873" s="596" t="s">
        <v>7046</v>
      </c>
      <c r="C873" s="592" t="s">
        <v>7047</v>
      </c>
      <c r="D873" s="592">
        <v>9</v>
      </c>
      <c r="E873" s="597">
        <v>1500</v>
      </c>
      <c r="F873" s="597">
        <v>1500</v>
      </c>
      <c r="G873" s="597">
        <v>9657</v>
      </c>
      <c r="H873" s="592" t="s">
        <v>1093</v>
      </c>
    </row>
    <row r="874" spans="1:8" ht="24.75" customHeight="1" x14ac:dyDescent="0.55000000000000004">
      <c r="A874" s="592">
        <v>873</v>
      </c>
      <c r="B874" s="596" t="s">
        <v>7048</v>
      </c>
      <c r="C874" s="592" t="s">
        <v>7049</v>
      </c>
      <c r="D874" s="592">
        <v>1</v>
      </c>
      <c r="E874" s="597">
        <v>8000</v>
      </c>
      <c r="F874" s="597">
        <v>8000</v>
      </c>
      <c r="G874" s="597">
        <v>5000</v>
      </c>
      <c r="H874" s="592" t="s">
        <v>1093</v>
      </c>
    </row>
    <row r="875" spans="1:8" ht="24.75" customHeight="1" x14ac:dyDescent="0.55000000000000004">
      <c r="A875" s="592">
        <v>874</v>
      </c>
      <c r="B875" s="596" t="s">
        <v>7050</v>
      </c>
      <c r="C875" s="592" t="s">
        <v>7051</v>
      </c>
      <c r="D875" s="592">
        <v>5</v>
      </c>
      <c r="E875" s="597">
        <v>4000</v>
      </c>
      <c r="F875" s="597">
        <v>4000</v>
      </c>
      <c r="G875" s="597">
        <v>16225</v>
      </c>
      <c r="H875" s="592" t="s">
        <v>1093</v>
      </c>
    </row>
    <row r="876" spans="1:8" ht="24.75" customHeight="1" x14ac:dyDescent="0.55000000000000004">
      <c r="A876" s="592">
        <v>875</v>
      </c>
      <c r="B876" s="596" t="s">
        <v>7052</v>
      </c>
      <c r="C876" s="592" t="s">
        <v>7053</v>
      </c>
      <c r="D876" s="592">
        <v>7</v>
      </c>
      <c r="E876" s="597">
        <v>2500</v>
      </c>
      <c r="F876" s="597">
        <v>2500</v>
      </c>
      <c r="G876" s="597">
        <v>10115</v>
      </c>
      <c r="H876" s="592" t="s">
        <v>1093</v>
      </c>
    </row>
    <row r="877" spans="1:8" ht="24.75" customHeight="1" x14ac:dyDescent="0.55000000000000004">
      <c r="A877" s="592">
        <v>876</v>
      </c>
      <c r="B877" s="596" t="s">
        <v>7541</v>
      </c>
      <c r="C877" s="592" t="s">
        <v>7542</v>
      </c>
      <c r="D877" s="592">
        <v>1</v>
      </c>
      <c r="E877" s="597">
        <v>40000</v>
      </c>
      <c r="F877" s="597">
        <v>40000</v>
      </c>
      <c r="G877" s="597">
        <v>33000</v>
      </c>
      <c r="H877" s="592" t="s">
        <v>1093</v>
      </c>
    </row>
    <row r="878" spans="1:8" ht="24.75" customHeight="1" x14ac:dyDescent="0.55000000000000004">
      <c r="A878" s="592">
        <v>877</v>
      </c>
      <c r="B878" s="596" t="s">
        <v>7543</v>
      </c>
      <c r="C878" s="592" t="s">
        <v>7544</v>
      </c>
      <c r="D878" s="592">
        <v>3</v>
      </c>
      <c r="E878" s="597">
        <v>3000</v>
      </c>
      <c r="F878" s="597">
        <v>3000</v>
      </c>
      <c r="G878" s="597">
        <v>6600</v>
      </c>
      <c r="H878" s="592" t="s">
        <v>1093</v>
      </c>
    </row>
    <row r="879" spans="1:8" ht="24.75" customHeight="1" x14ac:dyDescent="0.55000000000000004">
      <c r="A879" s="592">
        <v>878</v>
      </c>
      <c r="B879" s="596" t="s">
        <v>7545</v>
      </c>
      <c r="C879" s="592" t="s">
        <v>7546</v>
      </c>
      <c r="D879" s="592">
        <v>1</v>
      </c>
      <c r="E879" s="597">
        <v>10000</v>
      </c>
      <c r="F879" s="597">
        <v>10000</v>
      </c>
      <c r="G879" s="597">
        <v>8120</v>
      </c>
      <c r="H879" s="592" t="s">
        <v>1093</v>
      </c>
    </row>
    <row r="880" spans="1:8" ht="24.75" customHeight="1" x14ac:dyDescent="0.55000000000000004">
      <c r="A880" s="592">
        <v>879</v>
      </c>
      <c r="B880" s="596" t="s">
        <v>7547</v>
      </c>
      <c r="C880" s="592" t="s">
        <v>8401</v>
      </c>
      <c r="D880" s="592">
        <v>4</v>
      </c>
      <c r="E880" s="597">
        <v>12500</v>
      </c>
      <c r="F880" s="597">
        <v>12500</v>
      </c>
      <c r="G880" s="597">
        <v>37260</v>
      </c>
      <c r="H880" s="592" t="s">
        <v>1093</v>
      </c>
    </row>
    <row r="881" spans="1:8" ht="24.75" customHeight="1" x14ac:dyDescent="0.55000000000000004">
      <c r="A881" s="592">
        <v>880</v>
      </c>
      <c r="B881" s="596" t="s">
        <v>7548</v>
      </c>
      <c r="C881" s="592" t="s">
        <v>7549</v>
      </c>
      <c r="D881" s="592">
        <v>4</v>
      </c>
      <c r="E881" s="597">
        <v>22000</v>
      </c>
      <c r="F881" s="597">
        <v>22000</v>
      </c>
      <c r="G881" s="597">
        <v>68000</v>
      </c>
      <c r="H881" s="592" t="s">
        <v>1093</v>
      </c>
    </row>
    <row r="882" spans="1:8" ht="24.75" customHeight="1" x14ac:dyDescent="0.55000000000000004">
      <c r="A882" s="592">
        <v>881</v>
      </c>
      <c r="B882" s="596" t="s">
        <v>7550</v>
      </c>
      <c r="C882" s="592" t="s">
        <v>7551</v>
      </c>
      <c r="D882" s="592">
        <v>10</v>
      </c>
      <c r="E882" s="597">
        <v>3500</v>
      </c>
      <c r="F882" s="597">
        <v>3500</v>
      </c>
      <c r="G882" s="597">
        <v>24800</v>
      </c>
      <c r="H882" s="592" t="s">
        <v>1093</v>
      </c>
    </row>
    <row r="883" spans="1:8" ht="24.75" customHeight="1" x14ac:dyDescent="0.55000000000000004">
      <c r="A883" s="592">
        <v>882</v>
      </c>
      <c r="B883" s="596" t="s">
        <v>6258</v>
      </c>
      <c r="C883" s="592" t="s">
        <v>8252</v>
      </c>
      <c r="D883" s="592">
        <v>3</v>
      </c>
      <c r="E883" s="597">
        <v>16500</v>
      </c>
      <c r="F883" s="597">
        <v>16500</v>
      </c>
      <c r="G883" s="597">
        <v>37500</v>
      </c>
      <c r="H883" s="592" t="s">
        <v>1093</v>
      </c>
    </row>
    <row r="884" spans="1:8" ht="24.75" customHeight="1" x14ac:dyDescent="0.55000000000000004">
      <c r="A884" s="592">
        <v>883</v>
      </c>
      <c r="B884" s="596" t="s">
        <v>7552</v>
      </c>
      <c r="C884" s="592" t="s">
        <v>7553</v>
      </c>
      <c r="D884" s="592">
        <v>3</v>
      </c>
      <c r="E884" s="597">
        <v>3000</v>
      </c>
      <c r="F884" s="597">
        <v>3000</v>
      </c>
      <c r="G884" s="597">
        <v>6630</v>
      </c>
      <c r="H884" s="592" t="s">
        <v>1093</v>
      </c>
    </row>
    <row r="885" spans="1:8" ht="24.75" customHeight="1" x14ac:dyDescent="0.55000000000000004">
      <c r="A885" s="592">
        <v>884</v>
      </c>
      <c r="B885" s="596" t="s">
        <v>7554</v>
      </c>
      <c r="C885" s="592" t="s">
        <v>7555</v>
      </c>
      <c r="D885" s="592">
        <v>3</v>
      </c>
      <c r="E885" s="597">
        <v>2000</v>
      </c>
      <c r="F885" s="597">
        <v>2000</v>
      </c>
      <c r="G885" s="597">
        <v>4185</v>
      </c>
      <c r="H885" s="592" t="s">
        <v>1093</v>
      </c>
    </row>
    <row r="886" spans="1:8" ht="24.75" customHeight="1" x14ac:dyDescent="0.55000000000000004">
      <c r="A886" s="592">
        <v>885</v>
      </c>
      <c r="B886" s="596" t="s">
        <v>7556</v>
      </c>
      <c r="C886" s="592" t="s">
        <v>7557</v>
      </c>
      <c r="D886" s="592">
        <v>3</v>
      </c>
      <c r="E886" s="597">
        <v>3000</v>
      </c>
      <c r="F886" s="597">
        <v>3000</v>
      </c>
      <c r="G886" s="597">
        <v>6864</v>
      </c>
      <c r="H886" s="592" t="s">
        <v>1093</v>
      </c>
    </row>
    <row r="887" spans="1:8" ht="24.75" customHeight="1" x14ac:dyDescent="0.55000000000000004">
      <c r="A887" s="592">
        <v>886</v>
      </c>
      <c r="B887" s="596" t="s">
        <v>7558</v>
      </c>
      <c r="C887" s="592" t="s">
        <v>7559</v>
      </c>
      <c r="D887" s="592">
        <v>3</v>
      </c>
      <c r="E887" s="597">
        <v>4300</v>
      </c>
      <c r="F887" s="597">
        <v>4300</v>
      </c>
      <c r="G887" s="597">
        <v>10530</v>
      </c>
      <c r="H887" s="592" t="s">
        <v>1093</v>
      </c>
    </row>
    <row r="888" spans="1:8" ht="24.75" customHeight="1" x14ac:dyDescent="0.55000000000000004">
      <c r="A888" s="592">
        <v>887</v>
      </c>
      <c r="B888" s="596" t="s">
        <v>7560</v>
      </c>
      <c r="C888" s="592" t="s">
        <v>7561</v>
      </c>
      <c r="D888" s="592">
        <v>2</v>
      </c>
      <c r="E888" s="597">
        <v>8500</v>
      </c>
      <c r="F888" s="597">
        <v>8500</v>
      </c>
      <c r="G888" s="597">
        <v>12930</v>
      </c>
      <c r="H888" s="592" t="s">
        <v>1093</v>
      </c>
    </row>
    <row r="889" spans="1:8" ht="24.75" customHeight="1" x14ac:dyDescent="0.55000000000000004">
      <c r="A889" s="592">
        <v>888</v>
      </c>
      <c r="B889" s="596" t="s">
        <v>7562</v>
      </c>
      <c r="C889" s="592" t="s">
        <v>7563</v>
      </c>
      <c r="D889" s="592">
        <v>2</v>
      </c>
      <c r="E889" s="597">
        <v>9000</v>
      </c>
      <c r="F889" s="597">
        <v>9000</v>
      </c>
      <c r="G889" s="597">
        <v>13498</v>
      </c>
      <c r="H889" s="592" t="s">
        <v>1093</v>
      </c>
    </row>
    <row r="890" spans="1:8" ht="24.75" customHeight="1" x14ac:dyDescent="0.55000000000000004">
      <c r="A890" s="592">
        <v>889</v>
      </c>
      <c r="B890" s="596" t="s">
        <v>7564</v>
      </c>
      <c r="C890" s="592" t="s">
        <v>7565</v>
      </c>
      <c r="D890" s="592">
        <v>3</v>
      </c>
      <c r="E890" s="597">
        <v>2000</v>
      </c>
      <c r="F890" s="597">
        <v>2000</v>
      </c>
      <c r="G890" s="597">
        <v>4500</v>
      </c>
      <c r="H890" s="592" t="s">
        <v>1093</v>
      </c>
    </row>
    <row r="891" spans="1:8" ht="24.75" customHeight="1" x14ac:dyDescent="0.55000000000000004">
      <c r="A891" s="592">
        <v>890</v>
      </c>
      <c r="B891" s="596" t="s">
        <v>7566</v>
      </c>
      <c r="C891" s="592" t="s">
        <v>7567</v>
      </c>
      <c r="D891" s="592">
        <v>4</v>
      </c>
      <c r="E891" s="597">
        <v>8000</v>
      </c>
      <c r="F891" s="597">
        <v>8000</v>
      </c>
      <c r="G891" s="597">
        <v>26000</v>
      </c>
      <c r="H891" s="592" t="s">
        <v>1093</v>
      </c>
    </row>
    <row r="892" spans="1:8" ht="24.75" customHeight="1" x14ac:dyDescent="0.55000000000000004">
      <c r="A892" s="592">
        <v>891</v>
      </c>
      <c r="B892" s="596" t="s">
        <v>7568</v>
      </c>
      <c r="C892" s="592" t="s">
        <v>7569</v>
      </c>
      <c r="D892" s="592">
        <v>1</v>
      </c>
      <c r="E892" s="597">
        <v>3500</v>
      </c>
      <c r="F892" s="597">
        <v>3500</v>
      </c>
      <c r="G892" s="597">
        <v>2365</v>
      </c>
      <c r="H892" s="592" t="s">
        <v>1093</v>
      </c>
    </row>
    <row r="893" spans="1:8" ht="24.75" customHeight="1" x14ac:dyDescent="0.55000000000000004">
      <c r="A893" s="592">
        <v>892</v>
      </c>
      <c r="B893" s="596" t="s">
        <v>7570</v>
      </c>
      <c r="C893" s="592" t="s">
        <v>7571</v>
      </c>
      <c r="D893" s="592">
        <v>1</v>
      </c>
      <c r="E893" s="597">
        <v>22000</v>
      </c>
      <c r="F893" s="597">
        <v>22000</v>
      </c>
      <c r="G893" s="597">
        <v>17500</v>
      </c>
      <c r="H893" s="592" t="s">
        <v>1093</v>
      </c>
    </row>
    <row r="894" spans="1:8" ht="24.75" customHeight="1" x14ac:dyDescent="0.55000000000000004">
      <c r="A894" s="592">
        <v>893</v>
      </c>
      <c r="B894" s="596" t="s">
        <v>6559</v>
      </c>
      <c r="C894" s="592" t="s">
        <v>7335</v>
      </c>
      <c r="D894" s="592">
        <v>6</v>
      </c>
      <c r="E894" s="597">
        <v>1000</v>
      </c>
      <c r="F894" s="597">
        <v>1000</v>
      </c>
      <c r="G894" s="597">
        <v>3048</v>
      </c>
      <c r="H894" s="592" t="s">
        <v>1093</v>
      </c>
    </row>
    <row r="895" spans="1:8" ht="24.75" customHeight="1" x14ac:dyDescent="0.55000000000000004">
      <c r="A895" s="592">
        <v>894</v>
      </c>
      <c r="B895" s="596" t="s">
        <v>7336</v>
      </c>
      <c r="C895" s="592" t="s">
        <v>7337</v>
      </c>
      <c r="D895" s="592">
        <v>2</v>
      </c>
      <c r="E895" s="597">
        <v>8500</v>
      </c>
      <c r="F895" s="597">
        <v>8500</v>
      </c>
      <c r="G895" s="597">
        <v>12292</v>
      </c>
      <c r="H895" s="592" t="s">
        <v>1093</v>
      </c>
    </row>
    <row r="896" spans="1:8" ht="24.75" customHeight="1" x14ac:dyDescent="0.55000000000000004">
      <c r="A896" s="592">
        <v>895</v>
      </c>
      <c r="B896" s="596" t="s">
        <v>7338</v>
      </c>
      <c r="C896" s="592" t="s">
        <v>7339</v>
      </c>
      <c r="D896" s="592">
        <v>6</v>
      </c>
      <c r="E896" s="597">
        <v>3500</v>
      </c>
      <c r="F896" s="597">
        <v>3500</v>
      </c>
      <c r="G896" s="597">
        <v>15000</v>
      </c>
      <c r="H896" s="592" t="s">
        <v>1093</v>
      </c>
    </row>
    <row r="897" spans="1:8" ht="24.75" customHeight="1" x14ac:dyDescent="0.55000000000000004">
      <c r="A897" s="592">
        <v>896</v>
      </c>
      <c r="B897" s="596" t="s">
        <v>7572</v>
      </c>
      <c r="C897" s="592" t="s">
        <v>7573</v>
      </c>
      <c r="D897" s="592">
        <v>2</v>
      </c>
      <c r="E897" s="597">
        <v>500</v>
      </c>
      <c r="F897" s="597">
        <v>500</v>
      </c>
      <c r="G897" s="597">
        <v>450</v>
      </c>
      <c r="H897" s="592" t="s">
        <v>1093</v>
      </c>
    </row>
    <row r="898" spans="1:8" ht="24.75" customHeight="1" x14ac:dyDescent="0.55000000000000004">
      <c r="A898" s="592">
        <v>897</v>
      </c>
      <c r="B898" s="596" t="s">
        <v>7574</v>
      </c>
      <c r="C898" s="592" t="s">
        <v>7575</v>
      </c>
      <c r="D898" s="592">
        <v>2</v>
      </c>
      <c r="E898" s="597">
        <v>4500</v>
      </c>
      <c r="F898" s="597">
        <v>4500</v>
      </c>
      <c r="G898" s="597">
        <v>5800</v>
      </c>
      <c r="H898" s="592" t="s">
        <v>1093</v>
      </c>
    </row>
    <row r="899" spans="1:8" ht="24.75" customHeight="1" x14ac:dyDescent="0.55000000000000004">
      <c r="A899" s="592">
        <v>898</v>
      </c>
      <c r="B899" s="596" t="s">
        <v>7576</v>
      </c>
      <c r="C899" s="592" t="s">
        <v>7577</v>
      </c>
      <c r="D899" s="592">
        <v>2</v>
      </c>
      <c r="E899" s="597">
        <v>4500</v>
      </c>
      <c r="F899" s="597">
        <v>4500</v>
      </c>
      <c r="G899" s="597">
        <v>5760</v>
      </c>
      <c r="H899" s="592" t="s">
        <v>1093</v>
      </c>
    </row>
    <row r="900" spans="1:8" ht="24.75" customHeight="1" x14ac:dyDescent="0.55000000000000004">
      <c r="A900" s="592">
        <v>899</v>
      </c>
      <c r="B900" s="596" t="s">
        <v>7578</v>
      </c>
      <c r="C900" s="592" t="s">
        <v>7579</v>
      </c>
      <c r="D900" s="592">
        <v>3</v>
      </c>
      <c r="E900" s="597">
        <v>15000</v>
      </c>
      <c r="F900" s="597">
        <v>15000</v>
      </c>
      <c r="G900" s="597">
        <v>36000</v>
      </c>
      <c r="H900" s="592" t="s">
        <v>1093</v>
      </c>
    </row>
    <row r="901" spans="1:8" ht="24.75" customHeight="1" x14ac:dyDescent="0.55000000000000004">
      <c r="A901" s="592">
        <v>900</v>
      </c>
      <c r="B901" s="596" t="s">
        <v>7580</v>
      </c>
      <c r="C901" s="592" t="s">
        <v>7581</v>
      </c>
      <c r="D901" s="592">
        <v>12</v>
      </c>
      <c r="E901" s="597">
        <v>4000</v>
      </c>
      <c r="F901" s="597">
        <v>4000</v>
      </c>
      <c r="G901" s="597">
        <v>35568</v>
      </c>
      <c r="H901" s="592" t="s">
        <v>1093</v>
      </c>
    </row>
    <row r="902" spans="1:8" ht="24.75" customHeight="1" x14ac:dyDescent="0.55000000000000004">
      <c r="A902" s="592">
        <v>901</v>
      </c>
      <c r="B902" s="596" t="s">
        <v>7582</v>
      </c>
      <c r="C902" s="592" t="s">
        <v>7583</v>
      </c>
      <c r="D902" s="592">
        <v>1</v>
      </c>
      <c r="E902" s="597">
        <v>10000</v>
      </c>
      <c r="F902" s="597">
        <v>10000</v>
      </c>
      <c r="G902" s="597">
        <v>6860</v>
      </c>
      <c r="H902" s="592" t="s">
        <v>1093</v>
      </c>
    </row>
    <row r="903" spans="1:8" ht="24.75" customHeight="1" x14ac:dyDescent="0.55000000000000004">
      <c r="A903" s="592">
        <v>902</v>
      </c>
      <c r="B903" s="596" t="s">
        <v>7584</v>
      </c>
      <c r="C903" s="592" t="s">
        <v>7585</v>
      </c>
      <c r="D903" s="592">
        <v>1</v>
      </c>
      <c r="E903" s="597">
        <v>10000</v>
      </c>
      <c r="F903" s="597">
        <v>10000</v>
      </c>
      <c r="G903" s="597">
        <v>6860</v>
      </c>
      <c r="H903" s="592" t="s">
        <v>1093</v>
      </c>
    </row>
    <row r="904" spans="1:8" ht="24.75" customHeight="1" x14ac:dyDescent="0.55000000000000004">
      <c r="A904" s="592">
        <v>903</v>
      </c>
      <c r="B904" s="596" t="s">
        <v>7586</v>
      </c>
      <c r="C904" s="592" t="s">
        <v>7587</v>
      </c>
      <c r="D904" s="592">
        <v>1</v>
      </c>
      <c r="E904" s="597">
        <v>10000</v>
      </c>
      <c r="F904" s="597">
        <v>10000</v>
      </c>
      <c r="G904" s="597">
        <v>6604</v>
      </c>
      <c r="H904" s="592" t="s">
        <v>1093</v>
      </c>
    </row>
    <row r="905" spans="1:8" ht="24.75" customHeight="1" x14ac:dyDescent="0.55000000000000004">
      <c r="A905" s="592">
        <v>904</v>
      </c>
      <c r="B905" s="596" t="s">
        <v>7588</v>
      </c>
      <c r="C905" s="592" t="s">
        <v>7587</v>
      </c>
      <c r="D905" s="592">
        <v>1</v>
      </c>
      <c r="E905" s="597">
        <v>10000</v>
      </c>
      <c r="F905" s="597">
        <v>10000</v>
      </c>
      <c r="G905" s="597">
        <v>6625</v>
      </c>
      <c r="H905" s="592" t="s">
        <v>1093</v>
      </c>
    </row>
    <row r="906" spans="1:8" ht="24.75" customHeight="1" x14ac:dyDescent="0.55000000000000004">
      <c r="A906" s="592">
        <v>905</v>
      </c>
      <c r="B906" s="596" t="s">
        <v>7340</v>
      </c>
      <c r="C906" s="592" t="s">
        <v>7341</v>
      </c>
      <c r="D906" s="592">
        <v>3</v>
      </c>
      <c r="E906" s="597">
        <v>22000</v>
      </c>
      <c r="F906" s="597">
        <v>22000</v>
      </c>
      <c r="G906" s="597">
        <v>49590</v>
      </c>
      <c r="H906" s="592" t="s">
        <v>1093</v>
      </c>
    </row>
    <row r="907" spans="1:8" ht="24.75" customHeight="1" x14ac:dyDescent="0.55000000000000004">
      <c r="A907" s="592">
        <v>906</v>
      </c>
      <c r="B907" s="596" t="s">
        <v>7589</v>
      </c>
      <c r="C907" s="592" t="s">
        <v>7590</v>
      </c>
      <c r="D907" s="592">
        <v>7</v>
      </c>
      <c r="E907" s="597">
        <v>5000</v>
      </c>
      <c r="F907" s="597">
        <v>5000</v>
      </c>
      <c r="G907" s="597">
        <v>25207</v>
      </c>
      <c r="H907" s="592" t="s">
        <v>1093</v>
      </c>
    </row>
    <row r="908" spans="1:8" ht="24.75" customHeight="1" x14ac:dyDescent="0.55000000000000004">
      <c r="A908" s="592">
        <v>907</v>
      </c>
      <c r="B908" s="596" t="s">
        <v>7591</v>
      </c>
      <c r="C908" s="592" t="s">
        <v>7592</v>
      </c>
      <c r="D908" s="592">
        <v>2</v>
      </c>
      <c r="E908" s="597">
        <v>5000</v>
      </c>
      <c r="F908" s="597">
        <v>5000</v>
      </c>
      <c r="G908" s="597">
        <v>6200</v>
      </c>
      <c r="H908" s="592" t="s">
        <v>1093</v>
      </c>
    </row>
    <row r="909" spans="1:8" ht="24.75" customHeight="1" x14ac:dyDescent="0.55000000000000004">
      <c r="A909" s="592">
        <v>908</v>
      </c>
      <c r="B909" s="596" t="s">
        <v>7897</v>
      </c>
      <c r="C909" s="592" t="s">
        <v>7898</v>
      </c>
      <c r="D909" s="592">
        <v>2</v>
      </c>
      <c r="E909" s="597">
        <v>24000</v>
      </c>
      <c r="F909" s="597">
        <v>24000</v>
      </c>
      <c r="G909" s="597">
        <v>37950</v>
      </c>
      <c r="H909" s="592" t="s">
        <v>1093</v>
      </c>
    </row>
    <row r="910" spans="1:8" ht="24.75" customHeight="1" x14ac:dyDescent="0.55000000000000004">
      <c r="A910" s="592">
        <v>909</v>
      </c>
      <c r="B910" s="596" t="s">
        <v>8035</v>
      </c>
      <c r="C910" s="592" t="s">
        <v>8036</v>
      </c>
      <c r="D910" s="592">
        <v>1</v>
      </c>
      <c r="E910" s="597">
        <v>33000</v>
      </c>
      <c r="F910" s="597">
        <v>33000</v>
      </c>
      <c r="G910" s="597">
        <v>29500</v>
      </c>
      <c r="H910" s="592" t="s">
        <v>1093</v>
      </c>
    </row>
    <row r="911" spans="1:8" ht="24.75" customHeight="1" x14ac:dyDescent="0.55000000000000004">
      <c r="A911" s="592">
        <v>910</v>
      </c>
      <c r="B911" s="596" t="s">
        <v>8037</v>
      </c>
      <c r="C911" s="592" t="s">
        <v>8038</v>
      </c>
      <c r="D911" s="592">
        <v>5</v>
      </c>
      <c r="E911" s="597">
        <v>1500</v>
      </c>
      <c r="F911" s="597">
        <v>1500</v>
      </c>
      <c r="G911" s="597">
        <v>4660</v>
      </c>
      <c r="H911" s="592" t="s">
        <v>1093</v>
      </c>
    </row>
    <row r="912" spans="1:8" ht="24.75" customHeight="1" x14ac:dyDescent="0.55000000000000004">
      <c r="A912" s="592">
        <v>911</v>
      </c>
      <c r="B912" s="596" t="s">
        <v>4071</v>
      </c>
      <c r="C912" s="592" t="s">
        <v>4072</v>
      </c>
      <c r="D912" s="592">
        <v>3</v>
      </c>
      <c r="E912" s="597">
        <v>2000</v>
      </c>
      <c r="F912" s="597">
        <v>2000</v>
      </c>
      <c r="G912" s="597">
        <v>2712</v>
      </c>
      <c r="H912" s="592" t="s">
        <v>1093</v>
      </c>
    </row>
    <row r="913" spans="1:8" ht="24.75" customHeight="1" x14ac:dyDescent="0.55000000000000004">
      <c r="A913" s="592">
        <v>912</v>
      </c>
      <c r="B913" s="596" t="s">
        <v>8039</v>
      </c>
      <c r="C913" s="592" t="s">
        <v>8040</v>
      </c>
      <c r="D913" s="592">
        <v>1</v>
      </c>
      <c r="E913" s="597">
        <v>21000</v>
      </c>
      <c r="F913" s="597">
        <v>21000</v>
      </c>
      <c r="G913" s="597">
        <v>17000</v>
      </c>
      <c r="H913" s="592" t="s">
        <v>1093</v>
      </c>
    </row>
    <row r="914" spans="1:8" ht="24.75" customHeight="1" x14ac:dyDescent="0.55000000000000004">
      <c r="A914" s="592">
        <v>913</v>
      </c>
      <c r="B914" s="596" t="s">
        <v>8041</v>
      </c>
      <c r="C914" s="592" t="s">
        <v>8042</v>
      </c>
      <c r="D914" s="592">
        <v>2</v>
      </c>
      <c r="E914" s="597">
        <v>7000</v>
      </c>
      <c r="F914" s="597">
        <v>7000</v>
      </c>
      <c r="G914" s="597">
        <v>9430</v>
      </c>
      <c r="H914" s="592" t="s">
        <v>1093</v>
      </c>
    </row>
    <row r="915" spans="1:8" ht="24.75" customHeight="1" x14ac:dyDescent="0.55000000000000004">
      <c r="A915" s="592">
        <v>914</v>
      </c>
      <c r="B915" s="596" t="s">
        <v>8043</v>
      </c>
      <c r="C915" s="592" t="s">
        <v>8044</v>
      </c>
      <c r="D915" s="592">
        <v>2</v>
      </c>
      <c r="E915" s="597">
        <v>7000</v>
      </c>
      <c r="F915" s="597">
        <v>7000</v>
      </c>
      <c r="G915" s="597">
        <v>9430</v>
      </c>
      <c r="H915" s="592" t="s">
        <v>1093</v>
      </c>
    </row>
    <row r="916" spans="1:8" ht="24.75" customHeight="1" x14ac:dyDescent="0.55000000000000004">
      <c r="A916" s="592">
        <v>915</v>
      </c>
      <c r="B916" s="596" t="s">
        <v>8045</v>
      </c>
      <c r="C916" s="592" t="s">
        <v>8046</v>
      </c>
      <c r="D916" s="592">
        <v>1</v>
      </c>
      <c r="E916" s="597">
        <v>700</v>
      </c>
      <c r="F916" s="597">
        <v>700</v>
      </c>
      <c r="G916" s="597">
        <v>420</v>
      </c>
      <c r="H916" s="592" t="s">
        <v>1093</v>
      </c>
    </row>
    <row r="917" spans="1:8" ht="24.75" customHeight="1" x14ac:dyDescent="0.55000000000000004">
      <c r="A917" s="592">
        <v>916</v>
      </c>
      <c r="B917" s="596" t="s">
        <v>7899</v>
      </c>
      <c r="C917" s="592" t="s">
        <v>7900</v>
      </c>
      <c r="D917" s="592">
        <v>12</v>
      </c>
      <c r="E917" s="597">
        <v>2000</v>
      </c>
      <c r="F917" s="597">
        <v>2000</v>
      </c>
      <c r="G917" s="597">
        <v>19080</v>
      </c>
      <c r="H917" s="592" t="s">
        <v>1093</v>
      </c>
    </row>
    <row r="918" spans="1:8" ht="24.75" customHeight="1" x14ac:dyDescent="0.55000000000000004">
      <c r="A918" s="592">
        <v>917</v>
      </c>
      <c r="B918" s="596" t="s">
        <v>7901</v>
      </c>
      <c r="C918" s="592" t="s">
        <v>7902</v>
      </c>
      <c r="D918" s="592">
        <v>1</v>
      </c>
      <c r="E918" s="597">
        <v>35000</v>
      </c>
      <c r="F918" s="597">
        <v>35000</v>
      </c>
      <c r="G918" s="597">
        <v>31000</v>
      </c>
      <c r="H918" s="592" t="s">
        <v>1093</v>
      </c>
    </row>
    <row r="919" spans="1:8" ht="24.75" customHeight="1" x14ac:dyDescent="0.55000000000000004">
      <c r="A919" s="592">
        <v>918</v>
      </c>
      <c r="B919" s="596" t="s">
        <v>8047</v>
      </c>
      <c r="C919" s="592" t="s">
        <v>8048</v>
      </c>
      <c r="D919" s="592">
        <v>2</v>
      </c>
      <c r="E919" s="597">
        <v>16000</v>
      </c>
      <c r="F919" s="597">
        <v>16000</v>
      </c>
      <c r="G919" s="597">
        <v>22000</v>
      </c>
      <c r="H919" s="592" t="s">
        <v>1093</v>
      </c>
    </row>
    <row r="920" spans="1:8" ht="24.75" customHeight="1" x14ac:dyDescent="0.55000000000000004">
      <c r="A920" s="592">
        <v>919</v>
      </c>
      <c r="B920" s="596" t="s">
        <v>8049</v>
      </c>
      <c r="C920" s="592" t="s">
        <v>8050</v>
      </c>
      <c r="D920" s="592">
        <v>10</v>
      </c>
      <c r="E920" s="597">
        <v>2500</v>
      </c>
      <c r="F920" s="597">
        <v>2500</v>
      </c>
      <c r="G920" s="597">
        <v>14410</v>
      </c>
      <c r="H920" s="592" t="s">
        <v>1093</v>
      </c>
    </row>
    <row r="921" spans="1:8" ht="24.75" customHeight="1" x14ac:dyDescent="0.55000000000000004">
      <c r="A921" s="592">
        <v>920</v>
      </c>
      <c r="B921" s="596" t="s">
        <v>8051</v>
      </c>
      <c r="C921" s="592" t="s">
        <v>8052</v>
      </c>
      <c r="D921" s="592">
        <v>1</v>
      </c>
      <c r="E921" s="597">
        <v>2000</v>
      </c>
      <c r="F921" s="597">
        <v>2000</v>
      </c>
      <c r="G921" s="597">
        <v>1231</v>
      </c>
      <c r="H921" s="592" t="s">
        <v>1093</v>
      </c>
    </row>
    <row r="922" spans="1:8" ht="24.75" customHeight="1" x14ac:dyDescent="0.55000000000000004">
      <c r="A922" s="592">
        <v>921</v>
      </c>
      <c r="B922" s="596" t="s">
        <v>8053</v>
      </c>
      <c r="C922" s="592" t="s">
        <v>8054</v>
      </c>
      <c r="D922" s="592">
        <v>2</v>
      </c>
      <c r="E922" s="597">
        <v>29000</v>
      </c>
      <c r="F922" s="597">
        <v>29000</v>
      </c>
      <c r="G922" s="597">
        <v>46912</v>
      </c>
      <c r="H922" s="592" t="s">
        <v>1093</v>
      </c>
    </row>
    <row r="923" spans="1:8" ht="24.75" customHeight="1" x14ac:dyDescent="0.55000000000000004">
      <c r="A923" s="592">
        <v>922</v>
      </c>
      <c r="B923" s="596" t="s">
        <v>8055</v>
      </c>
      <c r="C923" s="592" t="s">
        <v>8056</v>
      </c>
      <c r="D923" s="592">
        <v>5</v>
      </c>
      <c r="E923" s="597">
        <v>5000</v>
      </c>
      <c r="F923" s="597">
        <v>5000</v>
      </c>
      <c r="G923" s="597">
        <v>17750</v>
      </c>
      <c r="H923" s="592" t="s">
        <v>1093</v>
      </c>
    </row>
    <row r="924" spans="1:8" ht="24.75" customHeight="1" x14ac:dyDescent="0.55000000000000004">
      <c r="A924" s="592">
        <v>923</v>
      </c>
      <c r="B924" s="596" t="s">
        <v>7903</v>
      </c>
      <c r="C924" s="592" t="s">
        <v>7904</v>
      </c>
      <c r="D924" s="592">
        <v>3</v>
      </c>
      <c r="E924" s="597">
        <v>1000</v>
      </c>
      <c r="F924" s="597">
        <v>1000</v>
      </c>
      <c r="G924" s="597">
        <v>1935</v>
      </c>
      <c r="H924" s="592" t="s">
        <v>1093</v>
      </c>
    </row>
    <row r="925" spans="1:8" ht="24.75" customHeight="1" x14ac:dyDescent="0.55000000000000004">
      <c r="A925" s="592">
        <v>924</v>
      </c>
      <c r="B925" s="596" t="s">
        <v>7905</v>
      </c>
      <c r="C925" s="592" t="s">
        <v>7906</v>
      </c>
      <c r="D925" s="592">
        <v>5</v>
      </c>
      <c r="E925" s="597">
        <v>900</v>
      </c>
      <c r="F925" s="597">
        <v>900</v>
      </c>
      <c r="G925" s="597">
        <v>3250</v>
      </c>
      <c r="H925" s="592" t="s">
        <v>1093</v>
      </c>
    </row>
    <row r="926" spans="1:8" ht="24.75" customHeight="1" x14ac:dyDescent="0.55000000000000004">
      <c r="A926" s="592">
        <v>925</v>
      </c>
      <c r="B926" s="596" t="s">
        <v>8057</v>
      </c>
      <c r="C926" s="592" t="s">
        <v>8058</v>
      </c>
      <c r="D926" s="592">
        <v>5</v>
      </c>
      <c r="E926" s="597">
        <v>2300</v>
      </c>
      <c r="F926" s="597">
        <v>2300</v>
      </c>
      <c r="G926" s="597">
        <v>5790</v>
      </c>
      <c r="H926" s="592" t="s">
        <v>1093</v>
      </c>
    </row>
    <row r="927" spans="1:8" ht="24.75" customHeight="1" x14ac:dyDescent="0.55000000000000004">
      <c r="A927" s="592">
        <v>926</v>
      </c>
      <c r="B927" s="596" t="s">
        <v>8253</v>
      </c>
      <c r="C927" s="592" t="s">
        <v>8254</v>
      </c>
      <c r="D927" s="592">
        <v>2</v>
      </c>
      <c r="E927" s="597">
        <v>18000</v>
      </c>
      <c r="F927" s="597">
        <v>18000</v>
      </c>
      <c r="G927" s="597">
        <v>25200</v>
      </c>
      <c r="H927" s="592" t="s">
        <v>1093</v>
      </c>
    </row>
    <row r="928" spans="1:8" ht="24.75" customHeight="1" x14ac:dyDescent="0.55000000000000004">
      <c r="A928" s="592">
        <v>927</v>
      </c>
      <c r="B928" s="596" t="s">
        <v>8255</v>
      </c>
      <c r="C928" s="592" t="s">
        <v>8256</v>
      </c>
      <c r="D928" s="592">
        <v>4</v>
      </c>
      <c r="E928" s="597">
        <v>5500</v>
      </c>
      <c r="F928" s="597">
        <v>5500</v>
      </c>
      <c r="G928" s="597">
        <v>17292</v>
      </c>
      <c r="H928" s="592" t="s">
        <v>1093</v>
      </c>
    </row>
    <row r="929" spans="1:8" ht="24.75" customHeight="1" x14ac:dyDescent="0.55000000000000004">
      <c r="A929" s="592">
        <v>928</v>
      </c>
      <c r="B929" s="596" t="s">
        <v>8257</v>
      </c>
      <c r="C929" s="592" t="s">
        <v>8258</v>
      </c>
      <c r="D929" s="592">
        <v>3</v>
      </c>
      <c r="E929" s="597">
        <v>5500</v>
      </c>
      <c r="F929" s="597">
        <v>5500</v>
      </c>
      <c r="G929" s="597">
        <v>13365</v>
      </c>
      <c r="H929" s="592" t="s">
        <v>1093</v>
      </c>
    </row>
    <row r="930" spans="1:8" ht="24.75" customHeight="1" x14ac:dyDescent="0.55000000000000004">
      <c r="A930" s="592">
        <v>929</v>
      </c>
      <c r="B930" s="596" t="s">
        <v>8402</v>
      </c>
      <c r="C930" s="592" t="s">
        <v>8403</v>
      </c>
      <c r="D930" s="592">
        <v>3</v>
      </c>
      <c r="E930" s="597">
        <v>2000</v>
      </c>
      <c r="F930" s="597">
        <v>2000</v>
      </c>
      <c r="G930" s="597">
        <v>4389</v>
      </c>
      <c r="H930" s="592" t="s">
        <v>1093</v>
      </c>
    </row>
    <row r="931" spans="1:8" ht="24.75" customHeight="1" x14ac:dyDescent="0.55000000000000004">
      <c r="A931" s="592">
        <v>930</v>
      </c>
      <c r="B931" s="596" t="s">
        <v>8404</v>
      </c>
      <c r="C931" s="592" t="s">
        <v>8405</v>
      </c>
      <c r="D931" s="592">
        <v>2</v>
      </c>
      <c r="E931" s="597">
        <v>3500</v>
      </c>
      <c r="F931" s="597">
        <v>3500</v>
      </c>
      <c r="G931" s="597">
        <v>6004</v>
      </c>
      <c r="H931" s="592" t="s">
        <v>1093</v>
      </c>
    </row>
    <row r="932" spans="1:8" ht="24.75" customHeight="1" x14ac:dyDescent="0.55000000000000004">
      <c r="A932" s="592">
        <v>931</v>
      </c>
      <c r="B932" s="596" t="s">
        <v>8406</v>
      </c>
      <c r="C932" s="592" t="s">
        <v>8407</v>
      </c>
      <c r="D932" s="592">
        <v>3</v>
      </c>
      <c r="E932" s="597">
        <v>5500</v>
      </c>
      <c r="F932" s="597">
        <v>5500</v>
      </c>
      <c r="G932" s="597">
        <v>12000</v>
      </c>
      <c r="H932" s="592" t="s">
        <v>1093</v>
      </c>
    </row>
    <row r="933" spans="1:8" ht="24.75" customHeight="1" x14ac:dyDescent="0.55000000000000004">
      <c r="A933" s="592">
        <v>932</v>
      </c>
      <c r="B933" s="596" t="s">
        <v>8408</v>
      </c>
      <c r="C933" s="592" t="s">
        <v>8409</v>
      </c>
      <c r="D933" s="592">
        <v>3</v>
      </c>
      <c r="E933" s="597">
        <v>5000</v>
      </c>
      <c r="F933" s="597">
        <v>5000</v>
      </c>
      <c r="G933" s="597">
        <v>10107</v>
      </c>
      <c r="H933" s="592" t="s">
        <v>1093</v>
      </c>
    </row>
    <row r="934" spans="1:8" ht="24.75" customHeight="1" x14ac:dyDescent="0.55000000000000004">
      <c r="A934" s="592">
        <v>933</v>
      </c>
      <c r="B934" s="596" t="s">
        <v>8410</v>
      </c>
      <c r="C934" s="592" t="s">
        <v>8411</v>
      </c>
      <c r="D934" s="592">
        <v>3</v>
      </c>
      <c r="E934" s="597">
        <v>4000</v>
      </c>
      <c r="F934" s="597">
        <v>4000</v>
      </c>
      <c r="G934" s="597">
        <v>9162</v>
      </c>
      <c r="H934" s="592" t="s">
        <v>1093</v>
      </c>
    </row>
    <row r="935" spans="1:8" ht="24.75" customHeight="1" x14ac:dyDescent="0.55000000000000004">
      <c r="A935" s="592">
        <v>934</v>
      </c>
      <c r="B935" s="596" t="s">
        <v>8412</v>
      </c>
      <c r="C935" s="592" t="s">
        <v>8413</v>
      </c>
      <c r="D935" s="592">
        <v>3</v>
      </c>
      <c r="E935" s="597">
        <v>6000</v>
      </c>
      <c r="F935" s="597">
        <v>6000</v>
      </c>
      <c r="G935" s="597">
        <v>13500</v>
      </c>
      <c r="H935" s="592" t="s">
        <v>1093</v>
      </c>
    </row>
    <row r="936" spans="1:8" ht="24.75" customHeight="1" x14ac:dyDescent="0.55000000000000004">
      <c r="A936" s="592">
        <v>935</v>
      </c>
      <c r="B936" s="596" t="s">
        <v>8259</v>
      </c>
      <c r="C936" s="592" t="s">
        <v>8260</v>
      </c>
      <c r="D936" s="592">
        <v>1</v>
      </c>
      <c r="E936" s="597">
        <v>26000</v>
      </c>
      <c r="F936" s="597">
        <v>26000</v>
      </c>
      <c r="G936" s="597">
        <v>22506</v>
      </c>
      <c r="H936" s="592" t="s">
        <v>1093</v>
      </c>
    </row>
    <row r="937" spans="1:8" ht="24.75" customHeight="1" x14ac:dyDescent="0.55000000000000004">
      <c r="A937" s="592">
        <v>936</v>
      </c>
      <c r="B937" s="596" t="s">
        <v>8713</v>
      </c>
      <c r="C937" s="592" t="s">
        <v>8714</v>
      </c>
      <c r="D937" s="592">
        <v>5</v>
      </c>
      <c r="E937" s="597">
        <v>1600</v>
      </c>
      <c r="F937" s="597">
        <v>1600</v>
      </c>
      <c r="G937" s="597">
        <v>5555</v>
      </c>
      <c r="H937" s="592" t="s">
        <v>1093</v>
      </c>
    </row>
    <row r="938" spans="1:8" ht="24.75" customHeight="1" x14ac:dyDescent="0.55000000000000004">
      <c r="A938" s="592">
        <v>937</v>
      </c>
      <c r="B938" s="596" t="s">
        <v>8715</v>
      </c>
      <c r="C938" s="592" t="s">
        <v>8716</v>
      </c>
      <c r="D938" s="592">
        <v>1</v>
      </c>
      <c r="E938" s="597">
        <v>115000</v>
      </c>
      <c r="F938" s="597">
        <v>115000</v>
      </c>
      <c r="G938" s="597">
        <v>102000</v>
      </c>
      <c r="H938" s="592" t="s">
        <v>1093</v>
      </c>
    </row>
    <row r="939" spans="1:8" ht="24.75" customHeight="1" x14ac:dyDescent="0.55000000000000004">
      <c r="A939" s="592">
        <v>938</v>
      </c>
      <c r="B939" s="596" t="s">
        <v>8717</v>
      </c>
      <c r="C939" s="592" t="s">
        <v>8718</v>
      </c>
      <c r="D939" s="592">
        <v>2</v>
      </c>
      <c r="E939" s="597">
        <v>3500</v>
      </c>
      <c r="F939" s="597">
        <v>3500</v>
      </c>
      <c r="G939" s="597">
        <v>4290</v>
      </c>
      <c r="H939" s="592" t="s">
        <v>1093</v>
      </c>
    </row>
    <row r="940" spans="1:8" ht="24.75" customHeight="1" x14ac:dyDescent="0.55000000000000004">
      <c r="A940" s="592">
        <v>939</v>
      </c>
      <c r="B940" s="596" t="s">
        <v>8542</v>
      </c>
      <c r="C940" s="592" t="s">
        <v>8543</v>
      </c>
      <c r="D940" s="592">
        <v>2</v>
      </c>
      <c r="E940" s="597">
        <v>27000</v>
      </c>
      <c r="F940" s="597">
        <v>27000</v>
      </c>
      <c r="G940" s="597">
        <v>45750</v>
      </c>
      <c r="H940" s="592" t="s">
        <v>1093</v>
      </c>
    </row>
    <row r="941" spans="1:8" ht="24.75" customHeight="1" x14ac:dyDescent="0.55000000000000004">
      <c r="A941" s="592">
        <v>940</v>
      </c>
      <c r="B941" s="596" t="s">
        <v>8719</v>
      </c>
      <c r="C941" s="592" t="s">
        <v>8720</v>
      </c>
      <c r="D941" s="592">
        <v>10</v>
      </c>
      <c r="E941" s="597">
        <v>3000</v>
      </c>
      <c r="F941" s="597">
        <v>3000</v>
      </c>
      <c r="G941" s="597">
        <v>23500</v>
      </c>
      <c r="H941" s="592" t="s">
        <v>1093</v>
      </c>
    </row>
    <row r="942" spans="1:8" ht="24.75" customHeight="1" x14ac:dyDescent="0.55000000000000004">
      <c r="A942" s="592">
        <v>941</v>
      </c>
      <c r="B942" s="596" t="s">
        <v>8721</v>
      </c>
      <c r="C942" s="592" t="s">
        <v>8722</v>
      </c>
      <c r="D942" s="592">
        <v>2</v>
      </c>
      <c r="E942" s="597">
        <v>7500</v>
      </c>
      <c r="F942" s="597">
        <v>7500</v>
      </c>
      <c r="G942" s="597">
        <v>9500</v>
      </c>
      <c r="H942" s="592" t="s">
        <v>1093</v>
      </c>
    </row>
    <row r="943" spans="1:8" ht="24.75" customHeight="1" x14ac:dyDescent="0.55000000000000004">
      <c r="A943" s="592">
        <v>942</v>
      </c>
      <c r="B943" s="596" t="s">
        <v>8723</v>
      </c>
      <c r="C943" s="592" t="s">
        <v>8724</v>
      </c>
      <c r="D943" s="592">
        <v>2</v>
      </c>
      <c r="E943" s="597">
        <v>17000</v>
      </c>
      <c r="F943" s="597">
        <v>17000</v>
      </c>
      <c r="G943" s="597">
        <v>28600</v>
      </c>
      <c r="H943" s="592" t="s">
        <v>1093</v>
      </c>
    </row>
    <row r="944" spans="1:8" ht="24.75" customHeight="1" x14ac:dyDescent="0.55000000000000004">
      <c r="A944" s="592">
        <v>943</v>
      </c>
      <c r="B944" s="596" t="s">
        <v>8725</v>
      </c>
      <c r="C944" s="592" t="s">
        <v>8726</v>
      </c>
      <c r="D944" s="592">
        <v>10</v>
      </c>
      <c r="E944" s="597">
        <v>2500</v>
      </c>
      <c r="F944" s="597">
        <v>2500</v>
      </c>
      <c r="G944" s="597">
        <v>17030</v>
      </c>
      <c r="H944" s="592" t="s">
        <v>1093</v>
      </c>
    </row>
    <row r="945" spans="1:8" ht="24.75" customHeight="1" x14ac:dyDescent="0.55000000000000004">
      <c r="A945" s="592">
        <v>944</v>
      </c>
      <c r="B945" s="596" t="s">
        <v>8544</v>
      </c>
      <c r="C945" s="592" t="s">
        <v>8545</v>
      </c>
      <c r="D945" s="592">
        <v>23</v>
      </c>
      <c r="E945" s="597">
        <v>500</v>
      </c>
      <c r="F945" s="597">
        <v>500</v>
      </c>
      <c r="G945" s="597">
        <v>4922</v>
      </c>
      <c r="H945" s="592" t="s">
        <v>1093</v>
      </c>
    </row>
    <row r="946" spans="1:8" ht="24.75" customHeight="1" x14ac:dyDescent="0.55000000000000004">
      <c r="A946" s="592">
        <v>945</v>
      </c>
      <c r="B946" s="596" t="s">
        <v>1449</v>
      </c>
      <c r="C946" s="592" t="s">
        <v>1450</v>
      </c>
      <c r="D946" s="592">
        <v>8</v>
      </c>
      <c r="E946" s="597">
        <v>4000</v>
      </c>
      <c r="F946" s="597">
        <v>4000</v>
      </c>
      <c r="G946" s="597">
        <v>24488</v>
      </c>
      <c r="H946" s="592" t="s">
        <v>1093</v>
      </c>
    </row>
    <row r="947" spans="1:8" ht="24.75" customHeight="1" x14ac:dyDescent="0.55000000000000004">
      <c r="A947" s="592">
        <v>946</v>
      </c>
      <c r="B947" s="596" t="s">
        <v>8727</v>
      </c>
      <c r="C947" s="592" t="s">
        <v>8728</v>
      </c>
      <c r="D947" s="592">
        <v>2</v>
      </c>
      <c r="E947" s="597">
        <v>8500</v>
      </c>
      <c r="F947" s="597">
        <v>8500</v>
      </c>
      <c r="G947" s="597">
        <v>11000</v>
      </c>
      <c r="H947" s="592" t="s">
        <v>1093</v>
      </c>
    </row>
    <row r="948" spans="1:8" ht="24.75" customHeight="1" x14ac:dyDescent="0.55000000000000004">
      <c r="A948" s="592">
        <v>947</v>
      </c>
      <c r="B948" s="596" t="s">
        <v>8729</v>
      </c>
      <c r="C948" s="592" t="s">
        <v>8730</v>
      </c>
      <c r="D948" s="592">
        <v>2</v>
      </c>
      <c r="E948" s="597">
        <v>15000</v>
      </c>
      <c r="F948" s="597">
        <v>15000</v>
      </c>
      <c r="G948" s="597">
        <v>22000</v>
      </c>
      <c r="H948" s="592" t="s">
        <v>1093</v>
      </c>
    </row>
    <row r="949" spans="1:8" ht="24.75" customHeight="1" x14ac:dyDescent="0.55000000000000004">
      <c r="A949" s="592">
        <v>948</v>
      </c>
      <c r="B949" s="596" t="s">
        <v>8731</v>
      </c>
      <c r="C949" s="592" t="s">
        <v>8732</v>
      </c>
      <c r="D949" s="592">
        <v>1</v>
      </c>
      <c r="E949" s="597">
        <v>26500</v>
      </c>
      <c r="F949" s="597">
        <v>26500</v>
      </c>
      <c r="G949" s="597">
        <v>19500</v>
      </c>
      <c r="H949" s="592" t="s">
        <v>1093</v>
      </c>
    </row>
    <row r="950" spans="1:8" ht="24.75" customHeight="1" x14ac:dyDescent="0.55000000000000004">
      <c r="A950" s="592">
        <v>949</v>
      </c>
      <c r="B950" s="596" t="s">
        <v>8733</v>
      </c>
      <c r="C950" s="592" t="s">
        <v>8734</v>
      </c>
      <c r="D950" s="592">
        <v>2</v>
      </c>
      <c r="E950" s="597">
        <v>9000</v>
      </c>
      <c r="F950" s="597">
        <v>9000</v>
      </c>
      <c r="G950" s="597">
        <v>13588</v>
      </c>
      <c r="H950" s="592" t="s">
        <v>1093</v>
      </c>
    </row>
    <row r="951" spans="1:8" ht="24.75" customHeight="1" x14ac:dyDescent="0.55000000000000004">
      <c r="A951" s="592">
        <v>950</v>
      </c>
      <c r="B951" s="596" t="s">
        <v>8735</v>
      </c>
      <c r="C951" s="592" t="s">
        <v>8736</v>
      </c>
      <c r="D951" s="592">
        <v>2</v>
      </c>
      <c r="E951" s="597">
        <v>10500</v>
      </c>
      <c r="F951" s="597">
        <v>10500</v>
      </c>
      <c r="G951" s="597">
        <v>16430</v>
      </c>
      <c r="H951" s="592" t="s">
        <v>1093</v>
      </c>
    </row>
    <row r="952" spans="1:8" ht="24.75" customHeight="1" x14ac:dyDescent="0.55000000000000004">
      <c r="A952" s="592">
        <v>951</v>
      </c>
      <c r="B952" s="596" t="s">
        <v>8737</v>
      </c>
      <c r="C952" s="592" t="s">
        <v>8738</v>
      </c>
      <c r="D952" s="592">
        <v>3</v>
      </c>
      <c r="E952" s="597">
        <v>15000</v>
      </c>
      <c r="F952" s="597">
        <v>15000</v>
      </c>
      <c r="G952" s="597">
        <v>36000</v>
      </c>
      <c r="H952" s="592" t="s">
        <v>1093</v>
      </c>
    </row>
    <row r="953" spans="1:8" ht="24.75" customHeight="1" x14ac:dyDescent="0.55000000000000004">
      <c r="A953" s="592">
        <v>952</v>
      </c>
      <c r="B953" s="596" t="s">
        <v>8739</v>
      </c>
      <c r="C953" s="592" t="s">
        <v>8740</v>
      </c>
      <c r="D953" s="592">
        <v>3</v>
      </c>
      <c r="E953" s="597">
        <v>15000</v>
      </c>
      <c r="F953" s="597">
        <v>15000</v>
      </c>
      <c r="G953" s="597">
        <v>36000</v>
      </c>
      <c r="H953" s="592" t="s">
        <v>1093</v>
      </c>
    </row>
    <row r="954" spans="1:8" ht="24.75" customHeight="1" x14ac:dyDescent="0.55000000000000004">
      <c r="A954" s="592">
        <v>953</v>
      </c>
      <c r="B954" s="596" t="s">
        <v>8741</v>
      </c>
      <c r="C954" s="592" t="s">
        <v>8742</v>
      </c>
      <c r="D954" s="592">
        <v>3</v>
      </c>
      <c r="E954" s="597">
        <v>12000</v>
      </c>
      <c r="F954" s="597">
        <v>12000</v>
      </c>
      <c r="G954" s="597">
        <v>27600</v>
      </c>
      <c r="H954" s="592" t="s">
        <v>1093</v>
      </c>
    </row>
    <row r="955" spans="1:8" ht="24.75" customHeight="1" x14ac:dyDescent="0.55000000000000004">
      <c r="A955" s="592">
        <v>954</v>
      </c>
      <c r="B955" s="596" t="s">
        <v>8743</v>
      </c>
      <c r="C955" s="592" t="s">
        <v>8744</v>
      </c>
      <c r="D955" s="592">
        <v>5</v>
      </c>
      <c r="E955" s="597">
        <v>6500</v>
      </c>
      <c r="F955" s="597">
        <v>6500</v>
      </c>
      <c r="G955" s="597">
        <v>23750</v>
      </c>
      <c r="H955" s="592" t="s">
        <v>1093</v>
      </c>
    </row>
    <row r="956" spans="1:8" ht="24.75" customHeight="1" x14ac:dyDescent="0.55000000000000004">
      <c r="A956" s="592">
        <v>955</v>
      </c>
      <c r="B956" s="596" t="s">
        <v>8745</v>
      </c>
      <c r="C956" s="592" t="s">
        <v>8746</v>
      </c>
      <c r="D956" s="592">
        <v>3</v>
      </c>
      <c r="E956" s="597">
        <v>23000</v>
      </c>
      <c r="F956" s="597">
        <v>23000</v>
      </c>
      <c r="G956" s="597">
        <v>55500</v>
      </c>
      <c r="H956" s="592" t="s">
        <v>1093</v>
      </c>
    </row>
    <row r="957" spans="1:8" ht="24.75" customHeight="1" x14ac:dyDescent="0.55000000000000004">
      <c r="A957" s="592">
        <v>956</v>
      </c>
      <c r="B957" s="596" t="s">
        <v>4073</v>
      </c>
      <c r="C957" s="592" t="s">
        <v>4074</v>
      </c>
      <c r="D957" s="592">
        <v>1</v>
      </c>
      <c r="E957" s="597">
        <v>34000</v>
      </c>
      <c r="F957" s="597">
        <v>34000</v>
      </c>
      <c r="G957" s="597">
        <v>26450</v>
      </c>
      <c r="H957" s="592" t="s">
        <v>1093</v>
      </c>
    </row>
    <row r="958" spans="1:8" ht="24.75" customHeight="1" x14ac:dyDescent="0.55000000000000004">
      <c r="A958" s="592">
        <v>957</v>
      </c>
      <c r="B958" s="596" t="s">
        <v>8747</v>
      </c>
      <c r="C958" s="592" t="s">
        <v>8748</v>
      </c>
      <c r="D958" s="592">
        <v>2</v>
      </c>
      <c r="E958" s="597">
        <v>20000</v>
      </c>
      <c r="F958" s="597">
        <v>20000</v>
      </c>
      <c r="G958" s="597">
        <v>34500</v>
      </c>
      <c r="H958" s="592" t="s">
        <v>1093</v>
      </c>
    </row>
    <row r="959" spans="1:8" ht="24.75" customHeight="1" x14ac:dyDescent="0.55000000000000004">
      <c r="A959" s="592">
        <v>958</v>
      </c>
      <c r="B959" s="596" t="s">
        <v>8749</v>
      </c>
      <c r="C959" s="592" t="s">
        <v>8750</v>
      </c>
      <c r="D959" s="592">
        <v>3</v>
      </c>
      <c r="E959" s="597">
        <v>20000</v>
      </c>
      <c r="F959" s="597">
        <v>20000</v>
      </c>
      <c r="G959" s="597">
        <v>51000</v>
      </c>
      <c r="H959" s="592" t="s">
        <v>1093</v>
      </c>
    </row>
    <row r="960" spans="1:8" ht="24.75" customHeight="1" x14ac:dyDescent="0.55000000000000004">
      <c r="A960" s="592">
        <v>959</v>
      </c>
      <c r="B960" s="596" t="s">
        <v>8751</v>
      </c>
      <c r="C960" s="592" t="s">
        <v>8752</v>
      </c>
      <c r="D960" s="592">
        <v>3</v>
      </c>
      <c r="E960" s="597">
        <v>27000</v>
      </c>
      <c r="F960" s="597">
        <v>27000</v>
      </c>
      <c r="G960" s="597">
        <v>69000</v>
      </c>
      <c r="H960" s="592" t="s">
        <v>1093</v>
      </c>
    </row>
    <row r="961" spans="1:8" ht="24.75" customHeight="1" x14ac:dyDescent="0.55000000000000004">
      <c r="A961" s="592">
        <v>960</v>
      </c>
      <c r="B961" s="596" t="s">
        <v>8753</v>
      </c>
      <c r="C961" s="592" t="s">
        <v>8754</v>
      </c>
      <c r="D961" s="592">
        <v>5</v>
      </c>
      <c r="E961" s="597">
        <v>14000</v>
      </c>
      <c r="F961" s="597">
        <v>14000</v>
      </c>
      <c r="G961" s="597">
        <v>53125</v>
      </c>
      <c r="H961" s="592" t="s">
        <v>1093</v>
      </c>
    </row>
    <row r="962" spans="1:8" ht="24.75" customHeight="1" x14ac:dyDescent="0.55000000000000004">
      <c r="A962" s="592">
        <v>961</v>
      </c>
      <c r="B962" s="596" t="s">
        <v>4075</v>
      </c>
      <c r="C962" s="592" t="s">
        <v>4076</v>
      </c>
      <c r="D962" s="592">
        <v>1</v>
      </c>
      <c r="E962" s="597">
        <v>40000</v>
      </c>
      <c r="F962" s="597">
        <v>40000</v>
      </c>
      <c r="G962" s="597">
        <v>31050</v>
      </c>
      <c r="H962" s="592" t="s">
        <v>1093</v>
      </c>
    </row>
    <row r="963" spans="1:8" ht="24.75" customHeight="1" x14ac:dyDescent="0.55000000000000004">
      <c r="A963" s="592">
        <v>962</v>
      </c>
      <c r="B963" s="596" t="s">
        <v>4077</v>
      </c>
      <c r="C963" s="592" t="s">
        <v>4078</v>
      </c>
      <c r="D963" s="592">
        <v>1</v>
      </c>
      <c r="E963" s="597">
        <v>8500</v>
      </c>
      <c r="F963" s="597">
        <v>8500</v>
      </c>
      <c r="G963" s="597">
        <v>4520</v>
      </c>
      <c r="H963" s="592" t="s">
        <v>1093</v>
      </c>
    </row>
    <row r="964" spans="1:8" ht="24.75" customHeight="1" x14ac:dyDescent="0.55000000000000004">
      <c r="A964" s="592">
        <v>963</v>
      </c>
      <c r="B964" s="596" t="s">
        <v>7054</v>
      </c>
      <c r="C964" s="592" t="s">
        <v>6297</v>
      </c>
      <c r="D964" s="592">
        <v>1</v>
      </c>
      <c r="E964" s="597">
        <v>10000</v>
      </c>
      <c r="F964" s="597">
        <v>10000</v>
      </c>
      <c r="G964" s="597">
        <v>7475</v>
      </c>
      <c r="H964" s="592" t="s">
        <v>1093</v>
      </c>
    </row>
    <row r="965" spans="1:8" ht="24.75" customHeight="1" x14ac:dyDescent="0.55000000000000004">
      <c r="A965" s="592">
        <v>964</v>
      </c>
      <c r="B965" s="596" t="s">
        <v>3036</v>
      </c>
      <c r="C965" s="592" t="s">
        <v>3037</v>
      </c>
      <c r="D965" s="592">
        <v>12</v>
      </c>
      <c r="E965" s="597">
        <v>300</v>
      </c>
      <c r="F965" s="597">
        <v>300</v>
      </c>
      <c r="G965" s="597">
        <v>1200</v>
      </c>
      <c r="H965" s="592" t="s">
        <v>1093</v>
      </c>
    </row>
    <row r="966" spans="1:8" ht="24.75" customHeight="1" x14ac:dyDescent="0.55000000000000004">
      <c r="A966" s="592">
        <v>965</v>
      </c>
      <c r="B966" s="596" t="s">
        <v>6165</v>
      </c>
      <c r="C966" s="592" t="s">
        <v>7342</v>
      </c>
      <c r="D966" s="592">
        <v>5</v>
      </c>
      <c r="E966" s="597">
        <v>6000</v>
      </c>
      <c r="F966" s="597">
        <v>6000</v>
      </c>
      <c r="G966" s="597">
        <v>23125</v>
      </c>
      <c r="H966" s="592" t="s">
        <v>1093</v>
      </c>
    </row>
    <row r="967" spans="1:8" ht="24.75" customHeight="1" x14ac:dyDescent="0.55000000000000004">
      <c r="A967" s="592">
        <v>966</v>
      </c>
      <c r="B967" s="596" t="s">
        <v>8414</v>
      </c>
      <c r="C967" s="592" t="s">
        <v>8415</v>
      </c>
      <c r="D967" s="592">
        <v>5</v>
      </c>
      <c r="E967" s="597">
        <v>8000</v>
      </c>
      <c r="F967" s="597">
        <v>8000</v>
      </c>
      <c r="G967" s="597">
        <v>25920</v>
      </c>
      <c r="H967" s="592" t="s">
        <v>1093</v>
      </c>
    </row>
    <row r="968" spans="1:8" ht="24.75" customHeight="1" x14ac:dyDescent="0.55000000000000004">
      <c r="A968" s="592">
        <v>967</v>
      </c>
      <c r="B968" s="596" t="s">
        <v>7907</v>
      </c>
      <c r="C968" s="592" t="s">
        <v>8416</v>
      </c>
      <c r="D968" s="592">
        <v>4</v>
      </c>
      <c r="E968" s="597">
        <v>15000</v>
      </c>
      <c r="F968" s="597">
        <v>15000</v>
      </c>
      <c r="G968" s="597">
        <v>48500</v>
      </c>
      <c r="H968" s="592" t="s">
        <v>1093</v>
      </c>
    </row>
    <row r="969" spans="1:8" ht="24.75" customHeight="1" x14ac:dyDescent="0.55000000000000004">
      <c r="A969" s="592">
        <v>968</v>
      </c>
      <c r="B969" s="596" t="s">
        <v>6229</v>
      </c>
      <c r="C969" s="592" t="s">
        <v>6230</v>
      </c>
      <c r="D969" s="592">
        <v>7</v>
      </c>
      <c r="E969" s="597">
        <v>1500</v>
      </c>
      <c r="F969" s="597">
        <v>1500</v>
      </c>
      <c r="G969" s="597">
        <v>8491</v>
      </c>
      <c r="H969" s="592" t="s">
        <v>1093</v>
      </c>
    </row>
    <row r="970" spans="1:8" ht="24.75" customHeight="1" x14ac:dyDescent="0.55000000000000004">
      <c r="A970" s="592">
        <v>969</v>
      </c>
      <c r="B970" s="596" t="s">
        <v>4079</v>
      </c>
      <c r="C970" s="592" t="s">
        <v>4080</v>
      </c>
      <c r="D970" s="592">
        <v>2</v>
      </c>
      <c r="E970" s="597">
        <v>500</v>
      </c>
      <c r="F970" s="597">
        <v>500</v>
      </c>
      <c r="G970" s="597">
        <v>500</v>
      </c>
      <c r="H970" s="592" t="s">
        <v>1093</v>
      </c>
    </row>
    <row r="971" spans="1:8" ht="24.75" customHeight="1" x14ac:dyDescent="0.55000000000000004">
      <c r="A971" s="592">
        <v>970</v>
      </c>
      <c r="B971" s="596" t="s">
        <v>6259</v>
      </c>
      <c r="C971" s="592" t="s">
        <v>6260</v>
      </c>
      <c r="D971" s="592">
        <v>3</v>
      </c>
      <c r="E971" s="597">
        <v>10000</v>
      </c>
      <c r="F971" s="597">
        <v>10000</v>
      </c>
      <c r="G971" s="597">
        <v>18600</v>
      </c>
      <c r="H971" s="592" t="s">
        <v>1093</v>
      </c>
    </row>
    <row r="972" spans="1:8" ht="24.75" customHeight="1" x14ac:dyDescent="0.55000000000000004">
      <c r="A972" s="592">
        <v>971</v>
      </c>
      <c r="B972" s="596" t="s">
        <v>4081</v>
      </c>
      <c r="C972" s="592" t="s">
        <v>4082</v>
      </c>
      <c r="D972" s="592">
        <v>10</v>
      </c>
      <c r="E972" s="597">
        <v>2500</v>
      </c>
      <c r="F972" s="597">
        <v>2500</v>
      </c>
      <c r="G972" s="597">
        <v>18500</v>
      </c>
      <c r="H972" s="592" t="s">
        <v>1093</v>
      </c>
    </row>
    <row r="973" spans="1:8" ht="24.75" customHeight="1" x14ac:dyDescent="0.55000000000000004">
      <c r="A973" s="592">
        <v>972</v>
      </c>
      <c r="B973" s="596" t="s">
        <v>4083</v>
      </c>
      <c r="C973" s="592" t="s">
        <v>4084</v>
      </c>
      <c r="D973" s="592">
        <v>2</v>
      </c>
      <c r="E973" s="597">
        <v>1700</v>
      </c>
      <c r="F973" s="597">
        <v>1700</v>
      </c>
      <c r="G973" s="597">
        <v>2500</v>
      </c>
      <c r="H973" s="592" t="s">
        <v>1093</v>
      </c>
    </row>
    <row r="974" spans="1:8" ht="24.75" customHeight="1" x14ac:dyDescent="0.55000000000000004">
      <c r="A974" s="592">
        <v>973</v>
      </c>
      <c r="B974" s="596" t="s">
        <v>1451</v>
      </c>
      <c r="C974" s="592" t="s">
        <v>1452</v>
      </c>
      <c r="D974" s="592">
        <v>5</v>
      </c>
      <c r="E974" s="597">
        <v>3000</v>
      </c>
      <c r="F974" s="597">
        <v>3000</v>
      </c>
      <c r="G974" s="597">
        <v>9950</v>
      </c>
      <c r="H974" s="592" t="s">
        <v>1093</v>
      </c>
    </row>
    <row r="975" spans="1:8" ht="24.75" customHeight="1" x14ac:dyDescent="0.55000000000000004">
      <c r="A975" s="592">
        <v>974</v>
      </c>
      <c r="B975" s="596" t="s">
        <v>8546</v>
      </c>
      <c r="C975" s="592" t="s">
        <v>8547</v>
      </c>
      <c r="D975" s="592">
        <v>45</v>
      </c>
      <c r="E975" s="597">
        <v>500</v>
      </c>
      <c r="F975" s="597">
        <v>500</v>
      </c>
      <c r="G975" s="597">
        <v>10170</v>
      </c>
      <c r="H975" s="592" t="s">
        <v>1093</v>
      </c>
    </row>
    <row r="976" spans="1:8" ht="24.75" customHeight="1" x14ac:dyDescent="0.55000000000000004">
      <c r="A976" s="592">
        <v>975</v>
      </c>
      <c r="B976" s="596" t="s">
        <v>2259</v>
      </c>
      <c r="C976" s="592" t="s">
        <v>7908</v>
      </c>
      <c r="D976" s="592">
        <v>3</v>
      </c>
      <c r="E976" s="597">
        <v>700</v>
      </c>
      <c r="F976" s="597">
        <v>700</v>
      </c>
      <c r="G976" s="597">
        <v>705</v>
      </c>
      <c r="H976" s="592" t="s">
        <v>1093</v>
      </c>
    </row>
    <row r="977" spans="1:8" ht="24.75" customHeight="1" x14ac:dyDescent="0.55000000000000004">
      <c r="A977" s="592">
        <v>976</v>
      </c>
      <c r="B977" s="596" t="s">
        <v>4085</v>
      </c>
      <c r="C977" s="592" t="s">
        <v>4086</v>
      </c>
      <c r="D977" s="592">
        <v>1</v>
      </c>
      <c r="E977" s="597">
        <v>15000</v>
      </c>
      <c r="F977" s="597">
        <v>15000</v>
      </c>
      <c r="G977" s="597">
        <v>6780</v>
      </c>
      <c r="H977" s="592" t="s">
        <v>1093</v>
      </c>
    </row>
    <row r="978" spans="1:8" ht="24.75" customHeight="1" x14ac:dyDescent="0.55000000000000004">
      <c r="A978" s="592">
        <v>977</v>
      </c>
      <c r="B978" s="596" t="s">
        <v>4087</v>
      </c>
      <c r="C978" s="592" t="s">
        <v>7593</v>
      </c>
      <c r="D978" s="592">
        <v>3</v>
      </c>
      <c r="E978" s="597">
        <v>12500</v>
      </c>
      <c r="F978" s="597">
        <v>12500</v>
      </c>
      <c r="G978" s="597">
        <v>21873</v>
      </c>
      <c r="H978" s="592" t="s">
        <v>1093</v>
      </c>
    </row>
    <row r="979" spans="1:8" ht="24.75" customHeight="1" x14ac:dyDescent="0.55000000000000004">
      <c r="A979" s="592">
        <v>978</v>
      </c>
      <c r="B979" s="596" t="s">
        <v>4088</v>
      </c>
      <c r="C979" s="592" t="s">
        <v>4089</v>
      </c>
      <c r="D979" s="592">
        <v>5</v>
      </c>
      <c r="E979" s="597">
        <v>1800</v>
      </c>
      <c r="F979" s="597">
        <v>1800</v>
      </c>
      <c r="G979" s="597">
        <v>5650</v>
      </c>
      <c r="H979" s="592" t="s">
        <v>1093</v>
      </c>
    </row>
    <row r="980" spans="1:8" ht="24.75" customHeight="1" x14ac:dyDescent="0.55000000000000004">
      <c r="A980" s="592">
        <v>979</v>
      </c>
      <c r="B980" s="596" t="s">
        <v>6444</v>
      </c>
      <c r="C980" s="592" t="s">
        <v>6445</v>
      </c>
      <c r="D980" s="592">
        <v>1</v>
      </c>
      <c r="E980" s="597">
        <v>500</v>
      </c>
      <c r="F980" s="597">
        <v>500</v>
      </c>
      <c r="G980" s="597">
        <v>301</v>
      </c>
      <c r="H980" s="592" t="s">
        <v>1093</v>
      </c>
    </row>
    <row r="981" spans="1:8" ht="24.75" customHeight="1" x14ac:dyDescent="0.55000000000000004">
      <c r="A981" s="592">
        <v>980</v>
      </c>
      <c r="B981" s="596" t="s">
        <v>4090</v>
      </c>
      <c r="C981" s="592" t="s">
        <v>4091</v>
      </c>
      <c r="D981" s="592">
        <v>1</v>
      </c>
      <c r="E981" s="597">
        <v>14500</v>
      </c>
      <c r="F981" s="597">
        <v>14500</v>
      </c>
      <c r="G981" s="597">
        <v>11900</v>
      </c>
      <c r="H981" s="592" t="s">
        <v>1093</v>
      </c>
    </row>
    <row r="982" spans="1:8" ht="24.75" customHeight="1" x14ac:dyDescent="0.55000000000000004">
      <c r="A982" s="592">
        <v>981</v>
      </c>
      <c r="B982" s="596" t="s">
        <v>6333</v>
      </c>
      <c r="C982" s="592" t="s">
        <v>6334</v>
      </c>
      <c r="D982" s="592">
        <v>6</v>
      </c>
      <c r="E982" s="597">
        <v>25000</v>
      </c>
      <c r="F982" s="597">
        <v>25000</v>
      </c>
      <c r="G982" s="597">
        <v>123750</v>
      </c>
      <c r="H982" s="592" t="s">
        <v>1093</v>
      </c>
    </row>
    <row r="983" spans="1:8" ht="24.75" customHeight="1" x14ac:dyDescent="0.55000000000000004">
      <c r="A983" s="592">
        <v>982</v>
      </c>
      <c r="B983" s="596" t="s">
        <v>8755</v>
      </c>
      <c r="C983" s="592" t="s">
        <v>8756</v>
      </c>
      <c r="D983" s="592">
        <v>1</v>
      </c>
      <c r="E983" s="597">
        <v>63000</v>
      </c>
      <c r="F983" s="597">
        <v>63000</v>
      </c>
      <c r="G983" s="597">
        <v>55000</v>
      </c>
      <c r="H983" s="592" t="s">
        <v>1093</v>
      </c>
    </row>
    <row r="984" spans="1:8" ht="24.75" customHeight="1" x14ac:dyDescent="0.55000000000000004">
      <c r="A984" s="592">
        <v>983</v>
      </c>
      <c r="B984" s="596" t="s">
        <v>4092</v>
      </c>
      <c r="C984" s="592" t="s">
        <v>6298</v>
      </c>
      <c r="D984" s="592">
        <v>2</v>
      </c>
      <c r="E984" s="597">
        <v>6500</v>
      </c>
      <c r="F984" s="597">
        <v>6500</v>
      </c>
      <c r="G984" s="597">
        <v>10400</v>
      </c>
      <c r="H984" s="592" t="s">
        <v>1093</v>
      </c>
    </row>
    <row r="985" spans="1:8" ht="24.75" customHeight="1" x14ac:dyDescent="0.55000000000000004">
      <c r="A985" s="592">
        <v>984</v>
      </c>
      <c r="B985" s="596" t="s">
        <v>6335</v>
      </c>
      <c r="C985" s="592" t="s">
        <v>6336</v>
      </c>
      <c r="D985" s="592">
        <v>1</v>
      </c>
      <c r="E985" s="597">
        <v>15000</v>
      </c>
      <c r="F985" s="597">
        <v>15000</v>
      </c>
      <c r="G985" s="597">
        <v>13020</v>
      </c>
      <c r="H985" s="592" t="s">
        <v>1093</v>
      </c>
    </row>
    <row r="986" spans="1:8" ht="24.75" customHeight="1" x14ac:dyDescent="0.55000000000000004">
      <c r="A986" s="592">
        <v>985</v>
      </c>
      <c r="B986" s="596" t="s">
        <v>2481</v>
      </c>
      <c r="C986" s="592" t="s">
        <v>2482</v>
      </c>
      <c r="D986" s="592">
        <v>5</v>
      </c>
      <c r="E986" s="597">
        <v>55000</v>
      </c>
      <c r="F986" s="597">
        <v>55000</v>
      </c>
      <c r="G986" s="597">
        <v>250000</v>
      </c>
      <c r="H986" s="592" t="s">
        <v>1093</v>
      </c>
    </row>
    <row r="987" spans="1:8" ht="24.75" customHeight="1" x14ac:dyDescent="0.55000000000000004">
      <c r="A987" s="592">
        <v>986</v>
      </c>
      <c r="B987" s="596" t="s">
        <v>2483</v>
      </c>
      <c r="C987" s="592" t="s">
        <v>6838</v>
      </c>
      <c r="D987" s="592">
        <v>6</v>
      </c>
      <c r="E987" s="597">
        <v>500</v>
      </c>
      <c r="F987" s="597">
        <v>500</v>
      </c>
      <c r="G987" s="597">
        <v>1680</v>
      </c>
      <c r="H987" s="592" t="s">
        <v>1093</v>
      </c>
    </row>
    <row r="988" spans="1:8" ht="24.75" customHeight="1" x14ac:dyDescent="0.55000000000000004">
      <c r="A988" s="592">
        <v>987</v>
      </c>
      <c r="B988" s="596" t="s">
        <v>2484</v>
      </c>
      <c r="C988" s="592" t="s">
        <v>2485</v>
      </c>
      <c r="D988" s="592">
        <v>18</v>
      </c>
      <c r="E988" s="597">
        <v>500</v>
      </c>
      <c r="F988" s="597">
        <v>500</v>
      </c>
      <c r="G988" s="597">
        <v>7020</v>
      </c>
      <c r="H988" s="592" t="s">
        <v>1093</v>
      </c>
    </row>
    <row r="989" spans="1:8" ht="24.75" customHeight="1" x14ac:dyDescent="0.55000000000000004">
      <c r="A989" s="592">
        <v>988</v>
      </c>
      <c r="B989" s="596" t="s">
        <v>2486</v>
      </c>
      <c r="C989" s="592" t="s">
        <v>2487</v>
      </c>
      <c r="D989" s="592">
        <v>70</v>
      </c>
      <c r="E989" s="597">
        <v>400</v>
      </c>
      <c r="F989" s="597">
        <v>400</v>
      </c>
      <c r="G989" s="597">
        <v>14980</v>
      </c>
      <c r="H989" s="592" t="s">
        <v>1093</v>
      </c>
    </row>
    <row r="990" spans="1:8" ht="24.75" customHeight="1" x14ac:dyDescent="0.55000000000000004">
      <c r="A990" s="592">
        <v>989</v>
      </c>
      <c r="B990" s="596" t="s">
        <v>4093</v>
      </c>
      <c r="C990" s="592" t="s">
        <v>4094</v>
      </c>
      <c r="D990" s="592">
        <v>10</v>
      </c>
      <c r="E990" s="597">
        <v>2000</v>
      </c>
      <c r="F990" s="597">
        <v>2000</v>
      </c>
      <c r="G990" s="597">
        <v>8670</v>
      </c>
      <c r="H990" s="592" t="s">
        <v>1093</v>
      </c>
    </row>
    <row r="991" spans="1:8" ht="24.75" customHeight="1" x14ac:dyDescent="0.55000000000000004">
      <c r="A991" s="592">
        <v>990</v>
      </c>
      <c r="B991" s="596" t="s">
        <v>2488</v>
      </c>
      <c r="C991" s="592" t="s">
        <v>2489</v>
      </c>
      <c r="D991" s="592">
        <v>2</v>
      </c>
      <c r="E991" s="597">
        <v>700</v>
      </c>
      <c r="F991" s="597">
        <v>700</v>
      </c>
      <c r="G991" s="597">
        <v>860</v>
      </c>
      <c r="H991" s="592" t="s">
        <v>1093</v>
      </c>
    </row>
    <row r="992" spans="1:8" ht="24.75" customHeight="1" x14ac:dyDescent="0.55000000000000004">
      <c r="A992" s="592">
        <v>991</v>
      </c>
      <c r="B992" s="596" t="s">
        <v>4095</v>
      </c>
      <c r="C992" s="592" t="s">
        <v>4096</v>
      </c>
      <c r="D992" s="592">
        <v>33</v>
      </c>
      <c r="E992" s="597">
        <v>800</v>
      </c>
      <c r="F992" s="597">
        <v>800</v>
      </c>
      <c r="G992" s="597">
        <v>11385</v>
      </c>
      <c r="H992" s="592" t="s">
        <v>1093</v>
      </c>
    </row>
    <row r="993" spans="1:8" ht="24.75" customHeight="1" x14ac:dyDescent="0.55000000000000004">
      <c r="A993" s="592">
        <v>992</v>
      </c>
      <c r="B993" s="596" t="s">
        <v>6839</v>
      </c>
      <c r="C993" s="592" t="s">
        <v>8059</v>
      </c>
      <c r="D993" s="592">
        <v>2</v>
      </c>
      <c r="E993" s="597">
        <v>45000</v>
      </c>
      <c r="F993" s="597">
        <v>45000</v>
      </c>
      <c r="G993" s="597">
        <v>75800</v>
      </c>
      <c r="H993" s="592" t="s">
        <v>1093</v>
      </c>
    </row>
    <row r="994" spans="1:8" ht="24.75" customHeight="1" x14ac:dyDescent="0.55000000000000004">
      <c r="A994" s="592">
        <v>993</v>
      </c>
      <c r="B994" s="596" t="s">
        <v>4097</v>
      </c>
      <c r="C994" s="592" t="s">
        <v>4098</v>
      </c>
      <c r="D994" s="592">
        <v>2</v>
      </c>
      <c r="E994" s="597">
        <v>2000</v>
      </c>
      <c r="F994" s="597">
        <v>2000</v>
      </c>
      <c r="G994" s="597">
        <v>2380</v>
      </c>
      <c r="H994" s="592" t="s">
        <v>1093</v>
      </c>
    </row>
    <row r="995" spans="1:8" ht="24.75" customHeight="1" x14ac:dyDescent="0.55000000000000004">
      <c r="A995" s="592">
        <v>994</v>
      </c>
      <c r="B995" s="596" t="s">
        <v>4099</v>
      </c>
      <c r="C995" s="592" t="s">
        <v>4100</v>
      </c>
      <c r="D995" s="592">
        <v>1</v>
      </c>
      <c r="E995" s="597">
        <v>2000</v>
      </c>
      <c r="F995" s="597">
        <v>2000</v>
      </c>
      <c r="G995" s="597">
        <v>1130</v>
      </c>
      <c r="H995" s="592" t="s">
        <v>1093</v>
      </c>
    </row>
    <row r="996" spans="1:8" ht="24.75" customHeight="1" x14ac:dyDescent="0.55000000000000004">
      <c r="A996" s="592">
        <v>995</v>
      </c>
      <c r="B996" s="596" t="s">
        <v>4101</v>
      </c>
      <c r="C996" s="592" t="s">
        <v>4102</v>
      </c>
      <c r="D996" s="592">
        <v>1</v>
      </c>
      <c r="E996" s="597">
        <v>2000</v>
      </c>
      <c r="F996" s="597">
        <v>2000</v>
      </c>
      <c r="G996" s="597">
        <v>1130</v>
      </c>
      <c r="H996" s="592" t="s">
        <v>1093</v>
      </c>
    </row>
    <row r="997" spans="1:8" ht="24.75" customHeight="1" x14ac:dyDescent="0.55000000000000004">
      <c r="A997" s="592">
        <v>996</v>
      </c>
      <c r="B997" s="596" t="s">
        <v>4103</v>
      </c>
      <c r="C997" s="592" t="s">
        <v>4104</v>
      </c>
      <c r="D997" s="592">
        <v>4</v>
      </c>
      <c r="E997" s="597">
        <v>4500</v>
      </c>
      <c r="F997" s="597">
        <v>4500</v>
      </c>
      <c r="G997" s="597">
        <v>14644</v>
      </c>
      <c r="H997" s="592" t="s">
        <v>1093</v>
      </c>
    </row>
    <row r="998" spans="1:8" ht="24.75" customHeight="1" x14ac:dyDescent="0.55000000000000004">
      <c r="A998" s="592">
        <v>997</v>
      </c>
      <c r="B998" s="596" t="s">
        <v>2542</v>
      </c>
      <c r="C998" s="592" t="s">
        <v>2465</v>
      </c>
      <c r="D998" s="592">
        <v>4</v>
      </c>
      <c r="E998" s="597">
        <v>5000</v>
      </c>
      <c r="F998" s="597">
        <v>5000</v>
      </c>
      <c r="G998" s="597">
        <v>15996</v>
      </c>
      <c r="H998" s="592" t="s">
        <v>1093</v>
      </c>
    </row>
    <row r="999" spans="1:8" ht="24.75" customHeight="1" x14ac:dyDescent="0.55000000000000004">
      <c r="A999" s="592">
        <v>998</v>
      </c>
      <c r="B999" s="596" t="s">
        <v>4105</v>
      </c>
      <c r="C999" s="592" t="s">
        <v>7343</v>
      </c>
      <c r="D999" s="592">
        <v>8</v>
      </c>
      <c r="E999" s="597">
        <v>7500</v>
      </c>
      <c r="F999" s="597">
        <v>7500</v>
      </c>
      <c r="G999" s="597">
        <v>35408</v>
      </c>
      <c r="H999" s="592" t="s">
        <v>1093</v>
      </c>
    </row>
    <row r="1000" spans="1:8" ht="24.75" customHeight="1" x14ac:dyDescent="0.55000000000000004">
      <c r="A1000" s="592">
        <v>999</v>
      </c>
      <c r="B1000" s="596" t="s">
        <v>7594</v>
      </c>
      <c r="C1000" s="592" t="s">
        <v>7595</v>
      </c>
      <c r="D1000" s="592">
        <v>1</v>
      </c>
      <c r="E1000" s="597">
        <v>18000</v>
      </c>
      <c r="F1000" s="597">
        <v>18000</v>
      </c>
      <c r="G1000" s="597">
        <v>14160</v>
      </c>
      <c r="H1000" s="592" t="s">
        <v>1093</v>
      </c>
    </row>
    <row r="1001" spans="1:8" ht="24.75" customHeight="1" x14ac:dyDescent="0.55000000000000004">
      <c r="A1001" s="592">
        <v>1000</v>
      </c>
      <c r="B1001" s="596" t="s">
        <v>2873</v>
      </c>
      <c r="C1001" s="592" t="s">
        <v>2874</v>
      </c>
      <c r="D1001" s="592">
        <v>8</v>
      </c>
      <c r="E1001" s="597">
        <v>250</v>
      </c>
      <c r="F1001" s="597">
        <v>250</v>
      </c>
      <c r="G1001" s="597">
        <v>1080</v>
      </c>
      <c r="H1001" s="592" t="s">
        <v>1093</v>
      </c>
    </row>
    <row r="1002" spans="1:8" ht="24.75" customHeight="1" x14ac:dyDescent="0.55000000000000004">
      <c r="A1002" s="592">
        <v>1001</v>
      </c>
      <c r="B1002" s="596" t="s">
        <v>6446</v>
      </c>
      <c r="C1002" s="592" t="s">
        <v>7055</v>
      </c>
      <c r="D1002" s="592">
        <v>10</v>
      </c>
      <c r="E1002" s="597">
        <v>800</v>
      </c>
      <c r="F1002" s="597">
        <v>800</v>
      </c>
      <c r="G1002" s="597">
        <v>6000</v>
      </c>
      <c r="H1002" s="592" t="s">
        <v>1093</v>
      </c>
    </row>
    <row r="1003" spans="1:8" ht="24.75" customHeight="1" x14ac:dyDescent="0.55000000000000004">
      <c r="A1003" s="592">
        <v>1002</v>
      </c>
      <c r="B1003" s="596" t="s">
        <v>7596</v>
      </c>
      <c r="C1003" s="592" t="s">
        <v>7597</v>
      </c>
      <c r="D1003" s="592">
        <v>2</v>
      </c>
      <c r="E1003" s="597">
        <v>120000</v>
      </c>
      <c r="F1003" s="597">
        <v>120000</v>
      </c>
      <c r="G1003" s="597">
        <v>208000</v>
      </c>
      <c r="H1003" s="592" t="s">
        <v>1093</v>
      </c>
    </row>
    <row r="1004" spans="1:8" ht="24.75" customHeight="1" x14ac:dyDescent="0.55000000000000004">
      <c r="A1004" s="592">
        <v>1003</v>
      </c>
      <c r="B1004" s="596" t="s">
        <v>4106</v>
      </c>
      <c r="C1004" s="592" t="s">
        <v>4107</v>
      </c>
      <c r="D1004" s="592">
        <v>18</v>
      </c>
      <c r="E1004" s="597">
        <v>1000</v>
      </c>
      <c r="F1004" s="597">
        <v>1000</v>
      </c>
      <c r="G1004" s="597">
        <v>10800</v>
      </c>
      <c r="H1004" s="592" t="s">
        <v>1093</v>
      </c>
    </row>
    <row r="1005" spans="1:8" ht="24.75" customHeight="1" x14ac:dyDescent="0.55000000000000004">
      <c r="A1005" s="592">
        <v>1004</v>
      </c>
      <c r="B1005" s="596" t="s">
        <v>4108</v>
      </c>
      <c r="C1005" s="592" t="s">
        <v>4109</v>
      </c>
      <c r="D1005" s="592">
        <v>1</v>
      </c>
      <c r="E1005" s="597">
        <v>6000</v>
      </c>
      <c r="F1005" s="597">
        <v>6000</v>
      </c>
      <c r="G1005" s="597">
        <v>4461</v>
      </c>
      <c r="H1005" s="592" t="s">
        <v>1093</v>
      </c>
    </row>
    <row r="1006" spans="1:8" ht="24.75" customHeight="1" x14ac:dyDescent="0.55000000000000004">
      <c r="A1006" s="592">
        <v>1005</v>
      </c>
      <c r="B1006" s="596" t="s">
        <v>6299</v>
      </c>
      <c r="C1006" s="592" t="s">
        <v>6300</v>
      </c>
      <c r="D1006" s="592">
        <v>4</v>
      </c>
      <c r="E1006" s="597">
        <v>8500</v>
      </c>
      <c r="F1006" s="597">
        <v>8500</v>
      </c>
      <c r="G1006" s="597">
        <v>26000</v>
      </c>
      <c r="H1006" s="592" t="s">
        <v>1093</v>
      </c>
    </row>
    <row r="1007" spans="1:8" ht="24.75" customHeight="1" x14ac:dyDescent="0.55000000000000004">
      <c r="A1007" s="592">
        <v>1006</v>
      </c>
      <c r="B1007" s="596" t="s">
        <v>4110</v>
      </c>
      <c r="C1007" s="592" t="s">
        <v>4111</v>
      </c>
      <c r="D1007" s="592">
        <v>1</v>
      </c>
      <c r="E1007" s="597">
        <v>1500</v>
      </c>
      <c r="F1007" s="597">
        <v>1500</v>
      </c>
      <c r="G1007" s="597">
        <v>625</v>
      </c>
      <c r="H1007" s="592" t="s">
        <v>1093</v>
      </c>
    </row>
    <row r="1008" spans="1:8" ht="24.75" customHeight="1" x14ac:dyDescent="0.55000000000000004">
      <c r="A1008" s="592">
        <v>1007</v>
      </c>
      <c r="B1008" s="596" t="s">
        <v>4112</v>
      </c>
      <c r="C1008" s="592" t="s">
        <v>4113</v>
      </c>
      <c r="D1008" s="592">
        <v>2</v>
      </c>
      <c r="E1008" s="597">
        <v>2500</v>
      </c>
      <c r="F1008" s="597">
        <v>2500</v>
      </c>
      <c r="G1008" s="597">
        <v>1500</v>
      </c>
      <c r="H1008" s="592" t="s">
        <v>1093</v>
      </c>
    </row>
    <row r="1009" spans="1:8" ht="24.75" customHeight="1" x14ac:dyDescent="0.55000000000000004">
      <c r="A1009" s="592">
        <v>1008</v>
      </c>
      <c r="B1009" s="596" t="s">
        <v>4114</v>
      </c>
      <c r="C1009" s="592" t="s">
        <v>4115</v>
      </c>
      <c r="D1009" s="592">
        <v>1</v>
      </c>
      <c r="E1009" s="597">
        <v>6000</v>
      </c>
      <c r="F1009" s="597">
        <v>6000</v>
      </c>
      <c r="G1009" s="597">
        <v>2250</v>
      </c>
      <c r="H1009" s="592" t="s">
        <v>1093</v>
      </c>
    </row>
    <row r="1010" spans="1:8" ht="24.75" customHeight="1" x14ac:dyDescent="0.55000000000000004">
      <c r="A1010" s="592">
        <v>1009</v>
      </c>
      <c r="B1010" s="596" t="s">
        <v>4116</v>
      </c>
      <c r="C1010" s="592" t="s">
        <v>7598</v>
      </c>
      <c r="D1010" s="592">
        <v>1</v>
      </c>
      <c r="E1010" s="597">
        <v>6000</v>
      </c>
      <c r="F1010" s="597">
        <v>6000</v>
      </c>
      <c r="G1010" s="597">
        <v>2250</v>
      </c>
      <c r="H1010" s="592" t="s">
        <v>1093</v>
      </c>
    </row>
    <row r="1011" spans="1:8" ht="24.75" customHeight="1" x14ac:dyDescent="0.55000000000000004">
      <c r="A1011" s="592">
        <v>1010</v>
      </c>
      <c r="B1011" s="596" t="s">
        <v>4117</v>
      </c>
      <c r="C1011" s="592" t="s">
        <v>4118</v>
      </c>
      <c r="D1011" s="592">
        <v>1</v>
      </c>
      <c r="E1011" s="597">
        <v>5000</v>
      </c>
      <c r="F1011" s="597">
        <v>5000</v>
      </c>
      <c r="G1011" s="597">
        <v>1500</v>
      </c>
      <c r="H1011" s="592" t="s">
        <v>1093</v>
      </c>
    </row>
    <row r="1012" spans="1:8" ht="24.75" customHeight="1" x14ac:dyDescent="0.55000000000000004">
      <c r="A1012" s="592">
        <v>1011</v>
      </c>
      <c r="B1012" s="596" t="s">
        <v>4119</v>
      </c>
      <c r="C1012" s="592" t="s">
        <v>4120</v>
      </c>
      <c r="D1012" s="592">
        <v>1</v>
      </c>
      <c r="E1012" s="597">
        <v>2000</v>
      </c>
      <c r="F1012" s="597">
        <v>2000</v>
      </c>
      <c r="G1012" s="597">
        <v>1250</v>
      </c>
      <c r="H1012" s="592" t="s">
        <v>1093</v>
      </c>
    </row>
    <row r="1013" spans="1:8" ht="24.75" customHeight="1" x14ac:dyDescent="0.55000000000000004">
      <c r="A1013" s="592">
        <v>1012</v>
      </c>
      <c r="B1013" s="596" t="s">
        <v>2832</v>
      </c>
      <c r="C1013" s="592" t="s">
        <v>2833</v>
      </c>
      <c r="D1013" s="592">
        <v>60</v>
      </c>
      <c r="E1013" s="597">
        <v>100</v>
      </c>
      <c r="F1013" s="597">
        <v>100</v>
      </c>
      <c r="G1013" s="597">
        <v>1560</v>
      </c>
      <c r="H1013" s="592" t="s">
        <v>1093</v>
      </c>
    </row>
    <row r="1014" spans="1:8" ht="24.75" customHeight="1" x14ac:dyDescent="0.55000000000000004">
      <c r="A1014" s="592">
        <v>1013</v>
      </c>
      <c r="B1014" s="596" t="s">
        <v>4121</v>
      </c>
      <c r="C1014" s="592" t="s">
        <v>4122</v>
      </c>
      <c r="D1014" s="592">
        <v>2</v>
      </c>
      <c r="E1014" s="597">
        <v>3000</v>
      </c>
      <c r="F1014" s="597">
        <v>3000</v>
      </c>
      <c r="G1014" s="597">
        <v>2500</v>
      </c>
      <c r="H1014" s="592" t="s">
        <v>1093</v>
      </c>
    </row>
    <row r="1015" spans="1:8" ht="24.75" customHeight="1" x14ac:dyDescent="0.55000000000000004">
      <c r="A1015" s="592">
        <v>1014</v>
      </c>
      <c r="B1015" s="596" t="s">
        <v>4123</v>
      </c>
      <c r="C1015" s="592" t="s">
        <v>4124</v>
      </c>
      <c r="D1015" s="592">
        <v>1</v>
      </c>
      <c r="E1015" s="597">
        <v>3000</v>
      </c>
      <c r="F1015" s="597">
        <v>3000</v>
      </c>
      <c r="G1015" s="597">
        <v>1250</v>
      </c>
      <c r="H1015" s="592" t="s">
        <v>1093</v>
      </c>
    </row>
    <row r="1016" spans="1:8" ht="24.75" customHeight="1" x14ac:dyDescent="0.55000000000000004">
      <c r="A1016" s="592">
        <v>1015</v>
      </c>
      <c r="B1016" s="596" t="s">
        <v>4125</v>
      </c>
      <c r="C1016" s="592" t="s">
        <v>7344</v>
      </c>
      <c r="D1016" s="592">
        <v>4</v>
      </c>
      <c r="E1016" s="597">
        <v>9300</v>
      </c>
      <c r="F1016" s="597">
        <v>9300</v>
      </c>
      <c r="G1016" s="597">
        <v>34800</v>
      </c>
      <c r="H1016" s="592" t="s">
        <v>1093</v>
      </c>
    </row>
    <row r="1017" spans="1:8" ht="24.75" customHeight="1" x14ac:dyDescent="0.55000000000000004">
      <c r="A1017" s="592">
        <v>1016</v>
      </c>
      <c r="B1017" s="596" t="s">
        <v>4126</v>
      </c>
      <c r="C1017" s="592" t="s">
        <v>4127</v>
      </c>
      <c r="D1017" s="592">
        <v>13</v>
      </c>
      <c r="E1017" s="597">
        <v>500</v>
      </c>
      <c r="F1017" s="597">
        <v>500</v>
      </c>
      <c r="G1017" s="597">
        <v>4394</v>
      </c>
      <c r="H1017" s="592" t="s">
        <v>1093</v>
      </c>
    </row>
    <row r="1018" spans="1:8" ht="24.75" customHeight="1" x14ac:dyDescent="0.55000000000000004">
      <c r="A1018" s="592">
        <v>1017</v>
      </c>
      <c r="B1018" s="596" t="s">
        <v>4128</v>
      </c>
      <c r="C1018" s="592" t="s">
        <v>4129</v>
      </c>
      <c r="D1018" s="592">
        <v>2</v>
      </c>
      <c r="E1018" s="597">
        <v>37000</v>
      </c>
      <c r="F1018" s="597">
        <v>37000</v>
      </c>
      <c r="G1018" s="597">
        <v>48930</v>
      </c>
      <c r="H1018" s="592" t="s">
        <v>1093</v>
      </c>
    </row>
    <row r="1019" spans="1:8" ht="24.75" customHeight="1" x14ac:dyDescent="0.55000000000000004">
      <c r="A1019" s="592">
        <v>1018</v>
      </c>
      <c r="B1019" s="596" t="s">
        <v>3236</v>
      </c>
      <c r="C1019" s="592" t="s">
        <v>3237</v>
      </c>
      <c r="D1019" s="592">
        <v>2</v>
      </c>
      <c r="E1019" s="597">
        <v>7000</v>
      </c>
      <c r="F1019" s="597">
        <v>7000</v>
      </c>
      <c r="G1019" s="597">
        <v>12040</v>
      </c>
      <c r="H1019" s="592" t="s">
        <v>1093</v>
      </c>
    </row>
    <row r="1020" spans="1:8" ht="24.75" customHeight="1" x14ac:dyDescent="0.55000000000000004">
      <c r="A1020" s="592">
        <v>1019</v>
      </c>
      <c r="B1020" s="596" t="s">
        <v>4130</v>
      </c>
      <c r="C1020" s="592" t="s">
        <v>4131</v>
      </c>
      <c r="D1020" s="592">
        <v>1</v>
      </c>
      <c r="E1020" s="597">
        <v>2000</v>
      </c>
      <c r="F1020" s="597">
        <v>2000</v>
      </c>
      <c r="G1020" s="597">
        <v>1538</v>
      </c>
      <c r="H1020" s="592" t="s">
        <v>1093</v>
      </c>
    </row>
    <row r="1021" spans="1:8" ht="24.75" customHeight="1" x14ac:dyDescent="0.55000000000000004">
      <c r="A1021" s="592">
        <v>1020</v>
      </c>
      <c r="B1021" s="596" t="s">
        <v>4133</v>
      </c>
      <c r="C1021" s="592" t="s">
        <v>4134</v>
      </c>
      <c r="D1021" s="592">
        <v>3</v>
      </c>
      <c r="E1021" s="597">
        <v>2700</v>
      </c>
      <c r="F1021" s="597">
        <v>2700</v>
      </c>
      <c r="G1021" s="597">
        <v>4689</v>
      </c>
      <c r="H1021" s="592" t="s">
        <v>1093</v>
      </c>
    </row>
    <row r="1022" spans="1:8" ht="24.75" customHeight="1" x14ac:dyDescent="0.55000000000000004">
      <c r="A1022" s="592">
        <v>1021</v>
      </c>
      <c r="B1022" s="596" t="s">
        <v>4135</v>
      </c>
      <c r="C1022" s="592" t="s">
        <v>4136</v>
      </c>
      <c r="D1022" s="592">
        <v>3</v>
      </c>
      <c r="E1022" s="597">
        <v>12000</v>
      </c>
      <c r="F1022" s="597">
        <v>12000</v>
      </c>
      <c r="G1022" s="597">
        <v>24366</v>
      </c>
      <c r="H1022" s="592" t="s">
        <v>1093</v>
      </c>
    </row>
    <row r="1023" spans="1:8" ht="24.75" customHeight="1" x14ac:dyDescent="0.55000000000000004">
      <c r="A1023" s="592">
        <v>1022</v>
      </c>
      <c r="B1023" s="596" t="s">
        <v>6166</v>
      </c>
      <c r="C1023" s="592" t="s">
        <v>6167</v>
      </c>
      <c r="D1023" s="592">
        <v>7</v>
      </c>
      <c r="E1023" s="597">
        <v>12500</v>
      </c>
      <c r="F1023" s="597">
        <v>12500</v>
      </c>
      <c r="G1023" s="597">
        <v>73031</v>
      </c>
      <c r="H1023" s="592" t="s">
        <v>1093</v>
      </c>
    </row>
    <row r="1024" spans="1:8" ht="24.75" customHeight="1" x14ac:dyDescent="0.55000000000000004">
      <c r="A1024" s="592">
        <v>1023</v>
      </c>
      <c r="B1024" s="596" t="s">
        <v>2875</v>
      </c>
      <c r="C1024" s="592" t="s">
        <v>2876</v>
      </c>
      <c r="D1024" s="592">
        <v>3</v>
      </c>
      <c r="E1024" s="597">
        <v>18000</v>
      </c>
      <c r="F1024" s="597">
        <v>18000</v>
      </c>
      <c r="G1024" s="597">
        <v>45600</v>
      </c>
      <c r="H1024" s="592" t="s">
        <v>1093</v>
      </c>
    </row>
    <row r="1025" spans="1:8" ht="24.75" customHeight="1" x14ac:dyDescent="0.55000000000000004">
      <c r="A1025" s="592">
        <v>1024</v>
      </c>
      <c r="B1025" s="596" t="s">
        <v>4137</v>
      </c>
      <c r="C1025" s="592" t="s">
        <v>8261</v>
      </c>
      <c r="D1025" s="592">
        <v>7</v>
      </c>
      <c r="E1025" s="597">
        <v>1500</v>
      </c>
      <c r="F1025" s="597">
        <v>1500</v>
      </c>
      <c r="G1025" s="597">
        <v>6265</v>
      </c>
      <c r="H1025" s="592" t="s">
        <v>1093</v>
      </c>
    </row>
    <row r="1026" spans="1:8" ht="24.75" customHeight="1" x14ac:dyDescent="0.55000000000000004">
      <c r="A1026" s="592">
        <v>1025</v>
      </c>
      <c r="B1026" s="596" t="s">
        <v>2877</v>
      </c>
      <c r="C1026" s="592" t="s">
        <v>2878</v>
      </c>
      <c r="D1026" s="592">
        <v>7</v>
      </c>
      <c r="E1026" s="597">
        <v>2500</v>
      </c>
      <c r="F1026" s="597">
        <v>2500</v>
      </c>
      <c r="G1026" s="597">
        <v>11900</v>
      </c>
      <c r="H1026" s="592" t="s">
        <v>1093</v>
      </c>
    </row>
    <row r="1027" spans="1:8" ht="24.75" customHeight="1" x14ac:dyDescent="0.55000000000000004">
      <c r="A1027" s="592">
        <v>1026</v>
      </c>
      <c r="B1027" s="596" t="s">
        <v>4138</v>
      </c>
      <c r="C1027" s="592" t="s">
        <v>4139</v>
      </c>
      <c r="D1027" s="592">
        <v>16</v>
      </c>
      <c r="E1027" s="597">
        <v>1000</v>
      </c>
      <c r="F1027" s="597">
        <v>1000</v>
      </c>
      <c r="G1027" s="597">
        <v>11200</v>
      </c>
      <c r="H1027" s="592" t="s">
        <v>1093</v>
      </c>
    </row>
    <row r="1028" spans="1:8" ht="24.75" customHeight="1" x14ac:dyDescent="0.55000000000000004">
      <c r="A1028" s="592">
        <v>1027</v>
      </c>
      <c r="B1028" s="596" t="s">
        <v>2879</v>
      </c>
      <c r="C1028" s="592" t="s">
        <v>2880</v>
      </c>
      <c r="D1028" s="592">
        <v>13</v>
      </c>
      <c r="E1028" s="597">
        <v>1100</v>
      </c>
      <c r="F1028" s="597">
        <v>1100</v>
      </c>
      <c r="G1028" s="597">
        <v>5655</v>
      </c>
      <c r="H1028" s="592" t="s">
        <v>1093</v>
      </c>
    </row>
    <row r="1029" spans="1:8" ht="24.75" customHeight="1" x14ac:dyDescent="0.55000000000000004">
      <c r="A1029" s="592">
        <v>1028</v>
      </c>
      <c r="B1029" s="596" t="s">
        <v>4140</v>
      </c>
      <c r="C1029" s="592" t="s">
        <v>7599</v>
      </c>
      <c r="D1029" s="592">
        <v>3</v>
      </c>
      <c r="E1029" s="597">
        <v>4000</v>
      </c>
      <c r="F1029" s="597">
        <v>4000</v>
      </c>
      <c r="G1029" s="597">
        <v>8700</v>
      </c>
      <c r="H1029" s="592" t="s">
        <v>1093</v>
      </c>
    </row>
    <row r="1030" spans="1:8" ht="24.75" customHeight="1" x14ac:dyDescent="0.55000000000000004">
      <c r="A1030" s="592">
        <v>1029</v>
      </c>
      <c r="B1030" s="596" t="s">
        <v>4141</v>
      </c>
      <c r="C1030" s="592" t="s">
        <v>7600</v>
      </c>
      <c r="D1030" s="592">
        <v>10</v>
      </c>
      <c r="E1030" s="597">
        <v>3000</v>
      </c>
      <c r="F1030" s="597">
        <v>3000</v>
      </c>
      <c r="G1030" s="597">
        <v>23620</v>
      </c>
      <c r="H1030" s="592" t="s">
        <v>1093</v>
      </c>
    </row>
    <row r="1031" spans="1:8" ht="24.75" customHeight="1" x14ac:dyDescent="0.55000000000000004">
      <c r="A1031" s="592">
        <v>1030</v>
      </c>
      <c r="B1031" s="596" t="s">
        <v>4142</v>
      </c>
      <c r="C1031" s="592" t="s">
        <v>6337</v>
      </c>
      <c r="D1031" s="592">
        <v>4</v>
      </c>
      <c r="E1031" s="597">
        <v>3000</v>
      </c>
      <c r="F1031" s="597">
        <v>3000</v>
      </c>
      <c r="G1031" s="597">
        <v>7864</v>
      </c>
      <c r="H1031" s="592" t="s">
        <v>1093</v>
      </c>
    </row>
    <row r="1032" spans="1:8" ht="24.75" customHeight="1" x14ac:dyDescent="0.55000000000000004">
      <c r="A1032" s="592">
        <v>1031</v>
      </c>
      <c r="B1032" s="596" t="s">
        <v>4143</v>
      </c>
      <c r="C1032" s="592" t="s">
        <v>6301</v>
      </c>
      <c r="D1032" s="592">
        <v>4</v>
      </c>
      <c r="E1032" s="597">
        <v>3500</v>
      </c>
      <c r="F1032" s="597">
        <v>3500</v>
      </c>
      <c r="G1032" s="597">
        <v>7864</v>
      </c>
      <c r="H1032" s="592" t="s">
        <v>1093</v>
      </c>
    </row>
    <row r="1033" spans="1:8" ht="24.75" customHeight="1" x14ac:dyDescent="0.55000000000000004">
      <c r="A1033" s="592">
        <v>1032</v>
      </c>
      <c r="B1033" s="596" t="s">
        <v>6386</v>
      </c>
      <c r="C1033" s="592" t="s">
        <v>6387</v>
      </c>
      <c r="D1033" s="592">
        <v>9</v>
      </c>
      <c r="E1033" s="597">
        <v>5000</v>
      </c>
      <c r="F1033" s="597">
        <v>5000</v>
      </c>
      <c r="G1033" s="597">
        <v>36900</v>
      </c>
      <c r="H1033" s="592" t="s">
        <v>1093</v>
      </c>
    </row>
    <row r="1034" spans="1:8" ht="24.75" customHeight="1" x14ac:dyDescent="0.55000000000000004">
      <c r="A1034" s="592">
        <v>1033</v>
      </c>
      <c r="B1034" s="596" t="s">
        <v>2881</v>
      </c>
      <c r="C1034" s="592" t="s">
        <v>8060</v>
      </c>
      <c r="D1034" s="592">
        <v>1</v>
      </c>
      <c r="E1034" s="597">
        <v>3500</v>
      </c>
      <c r="F1034" s="597">
        <v>3500</v>
      </c>
      <c r="G1034" s="597">
        <v>2722</v>
      </c>
      <c r="H1034" s="592" t="s">
        <v>1093</v>
      </c>
    </row>
    <row r="1035" spans="1:8" ht="24.75" customHeight="1" x14ac:dyDescent="0.55000000000000004">
      <c r="A1035" s="592">
        <v>1034</v>
      </c>
      <c r="B1035" s="596" t="s">
        <v>7056</v>
      </c>
      <c r="C1035" s="592" t="s">
        <v>7601</v>
      </c>
      <c r="D1035" s="592">
        <v>4</v>
      </c>
      <c r="E1035" s="597">
        <v>9000</v>
      </c>
      <c r="F1035" s="597">
        <v>9000</v>
      </c>
      <c r="G1035" s="597">
        <v>26880</v>
      </c>
      <c r="H1035" s="592" t="s">
        <v>1093</v>
      </c>
    </row>
    <row r="1036" spans="1:8" ht="24.75" customHeight="1" x14ac:dyDescent="0.55000000000000004">
      <c r="A1036" s="592">
        <v>1035</v>
      </c>
      <c r="B1036" s="596" t="s">
        <v>4144</v>
      </c>
      <c r="C1036" s="592" t="s">
        <v>4145</v>
      </c>
      <c r="D1036" s="592">
        <v>1</v>
      </c>
      <c r="E1036" s="597">
        <v>28000</v>
      </c>
      <c r="F1036" s="597">
        <v>28000</v>
      </c>
      <c r="G1036" s="597">
        <v>15462</v>
      </c>
      <c r="H1036" s="592" t="s">
        <v>1093</v>
      </c>
    </row>
    <row r="1037" spans="1:8" ht="24.75" customHeight="1" x14ac:dyDescent="0.55000000000000004">
      <c r="A1037" s="592">
        <v>1036</v>
      </c>
      <c r="B1037" s="596" t="s">
        <v>4146</v>
      </c>
      <c r="C1037" s="592" t="s">
        <v>4147</v>
      </c>
      <c r="D1037" s="592">
        <v>1</v>
      </c>
      <c r="E1037" s="597">
        <v>24500</v>
      </c>
      <c r="F1037" s="597">
        <v>24500</v>
      </c>
      <c r="G1037" s="597">
        <v>14312</v>
      </c>
      <c r="H1037" s="592" t="s">
        <v>1093</v>
      </c>
    </row>
    <row r="1038" spans="1:8" ht="24.75" customHeight="1" x14ac:dyDescent="0.55000000000000004">
      <c r="A1038" s="592">
        <v>1037</v>
      </c>
      <c r="B1038" s="596" t="s">
        <v>4148</v>
      </c>
      <c r="C1038" s="592" t="s">
        <v>4149</v>
      </c>
      <c r="D1038" s="592">
        <v>1</v>
      </c>
      <c r="E1038" s="597">
        <v>27000</v>
      </c>
      <c r="F1038" s="597">
        <v>27000</v>
      </c>
      <c r="G1038" s="597">
        <v>15750</v>
      </c>
      <c r="H1038" s="592" t="s">
        <v>1093</v>
      </c>
    </row>
    <row r="1039" spans="1:8" ht="24.75" customHeight="1" x14ac:dyDescent="0.55000000000000004">
      <c r="A1039" s="592">
        <v>1038</v>
      </c>
      <c r="B1039" s="596" t="s">
        <v>4150</v>
      </c>
      <c r="C1039" s="592" t="s">
        <v>4151</v>
      </c>
      <c r="D1039" s="592">
        <v>1</v>
      </c>
      <c r="E1039" s="597">
        <v>19500</v>
      </c>
      <c r="F1039" s="597">
        <v>19500</v>
      </c>
      <c r="G1039" s="597">
        <v>10000</v>
      </c>
      <c r="H1039" s="592" t="s">
        <v>1093</v>
      </c>
    </row>
    <row r="1040" spans="1:8" ht="24.75" customHeight="1" x14ac:dyDescent="0.55000000000000004">
      <c r="A1040" s="592">
        <v>1039</v>
      </c>
      <c r="B1040" s="596" t="s">
        <v>6388</v>
      </c>
      <c r="C1040" s="592" t="s">
        <v>6389</v>
      </c>
      <c r="D1040" s="592">
        <v>1</v>
      </c>
      <c r="E1040" s="597">
        <v>24000</v>
      </c>
      <c r="F1040" s="597">
        <v>24000</v>
      </c>
      <c r="G1040" s="597">
        <v>17426</v>
      </c>
      <c r="H1040" s="592" t="s">
        <v>1093</v>
      </c>
    </row>
    <row r="1041" spans="1:8" ht="24.75" customHeight="1" x14ac:dyDescent="0.55000000000000004">
      <c r="A1041" s="592">
        <v>1040</v>
      </c>
      <c r="B1041" s="596" t="s">
        <v>4152</v>
      </c>
      <c r="C1041" s="592" t="s">
        <v>4153</v>
      </c>
      <c r="D1041" s="592">
        <v>8</v>
      </c>
      <c r="E1041" s="597">
        <v>200</v>
      </c>
      <c r="F1041" s="597">
        <v>200</v>
      </c>
      <c r="G1041" s="597">
        <v>1000</v>
      </c>
      <c r="H1041" s="592" t="s">
        <v>1093</v>
      </c>
    </row>
    <row r="1042" spans="1:8" ht="24.75" customHeight="1" x14ac:dyDescent="0.55000000000000004">
      <c r="A1042" s="592">
        <v>1041</v>
      </c>
      <c r="B1042" s="596" t="s">
        <v>2984</v>
      </c>
      <c r="C1042" s="592" t="s">
        <v>2985</v>
      </c>
      <c r="D1042" s="592">
        <v>26</v>
      </c>
      <c r="E1042" s="597">
        <v>400</v>
      </c>
      <c r="F1042" s="597">
        <v>400</v>
      </c>
      <c r="G1042" s="597">
        <v>5616</v>
      </c>
      <c r="H1042" s="592" t="s">
        <v>1093</v>
      </c>
    </row>
    <row r="1043" spans="1:8" ht="24.75" customHeight="1" x14ac:dyDescent="0.55000000000000004">
      <c r="A1043" s="592">
        <v>1042</v>
      </c>
      <c r="B1043" s="596" t="s">
        <v>4154</v>
      </c>
      <c r="C1043" s="592" t="s">
        <v>4155</v>
      </c>
      <c r="D1043" s="592">
        <v>2</v>
      </c>
      <c r="E1043" s="597">
        <v>4800</v>
      </c>
      <c r="F1043" s="597">
        <v>4800</v>
      </c>
      <c r="G1043" s="597">
        <v>8600</v>
      </c>
      <c r="H1043" s="592" t="s">
        <v>1093</v>
      </c>
    </row>
    <row r="1044" spans="1:8" ht="24.75" customHeight="1" x14ac:dyDescent="0.55000000000000004">
      <c r="A1044" s="592">
        <v>1043</v>
      </c>
      <c r="B1044" s="596" t="s">
        <v>4156</v>
      </c>
      <c r="C1044" s="592" t="s">
        <v>4157</v>
      </c>
      <c r="D1044" s="592">
        <v>8</v>
      </c>
      <c r="E1044" s="597">
        <v>8000</v>
      </c>
      <c r="F1044" s="597">
        <v>8000</v>
      </c>
      <c r="G1044" s="597">
        <v>51720</v>
      </c>
      <c r="H1044" s="592" t="s">
        <v>1093</v>
      </c>
    </row>
    <row r="1045" spans="1:8" ht="24.75" customHeight="1" x14ac:dyDescent="0.55000000000000004">
      <c r="A1045" s="592">
        <v>1044</v>
      </c>
      <c r="B1045" s="596" t="s">
        <v>4158</v>
      </c>
      <c r="C1045" s="592" t="s">
        <v>6447</v>
      </c>
      <c r="D1045" s="592">
        <v>5</v>
      </c>
      <c r="E1045" s="597">
        <v>4500</v>
      </c>
      <c r="F1045" s="597">
        <v>4500</v>
      </c>
      <c r="G1045" s="597">
        <v>14750</v>
      </c>
      <c r="H1045" s="592" t="s">
        <v>1093</v>
      </c>
    </row>
    <row r="1046" spans="1:8" ht="24.75" customHeight="1" x14ac:dyDescent="0.55000000000000004">
      <c r="A1046" s="592">
        <v>1045</v>
      </c>
      <c r="B1046" s="596" t="s">
        <v>4159</v>
      </c>
      <c r="C1046" s="592" t="s">
        <v>6448</v>
      </c>
      <c r="D1046" s="592">
        <v>4</v>
      </c>
      <c r="E1046" s="597">
        <v>4500</v>
      </c>
      <c r="F1046" s="597">
        <v>4500</v>
      </c>
      <c r="G1046" s="597">
        <v>11800</v>
      </c>
      <c r="H1046" s="592" t="s">
        <v>1093</v>
      </c>
    </row>
    <row r="1047" spans="1:8" ht="24.75" customHeight="1" x14ac:dyDescent="0.55000000000000004">
      <c r="A1047" s="592">
        <v>1046</v>
      </c>
      <c r="B1047" s="596" t="s">
        <v>4160</v>
      </c>
      <c r="C1047" s="592" t="s">
        <v>4161</v>
      </c>
      <c r="D1047" s="592">
        <v>1</v>
      </c>
      <c r="E1047" s="597">
        <v>17000</v>
      </c>
      <c r="F1047" s="597">
        <v>17000</v>
      </c>
      <c r="G1047" s="597">
        <v>10374</v>
      </c>
      <c r="H1047" s="592" t="s">
        <v>1093</v>
      </c>
    </row>
    <row r="1048" spans="1:8" ht="24.75" customHeight="1" x14ac:dyDescent="0.55000000000000004">
      <c r="A1048" s="592">
        <v>1047</v>
      </c>
      <c r="B1048" s="596" t="s">
        <v>4162</v>
      </c>
      <c r="C1048" s="592" t="s">
        <v>4163</v>
      </c>
      <c r="D1048" s="592">
        <v>5</v>
      </c>
      <c r="E1048" s="597">
        <v>1800</v>
      </c>
      <c r="F1048" s="597">
        <v>1800</v>
      </c>
      <c r="G1048" s="597">
        <v>3125</v>
      </c>
      <c r="H1048" s="592" t="s">
        <v>1093</v>
      </c>
    </row>
    <row r="1049" spans="1:8" ht="24.75" customHeight="1" x14ac:dyDescent="0.55000000000000004">
      <c r="A1049" s="592">
        <v>1048</v>
      </c>
      <c r="B1049" s="596" t="s">
        <v>4164</v>
      </c>
      <c r="C1049" s="592" t="s">
        <v>4165</v>
      </c>
      <c r="D1049" s="592">
        <v>1</v>
      </c>
      <c r="E1049" s="597">
        <v>6800</v>
      </c>
      <c r="F1049" s="597">
        <v>6800</v>
      </c>
      <c r="G1049" s="597">
        <v>6800</v>
      </c>
      <c r="H1049" s="592" t="s">
        <v>1093</v>
      </c>
    </row>
    <row r="1050" spans="1:8" ht="24.75" customHeight="1" x14ac:dyDescent="0.55000000000000004">
      <c r="A1050" s="592">
        <v>1049</v>
      </c>
      <c r="B1050" s="596" t="s">
        <v>4166</v>
      </c>
      <c r="C1050" s="592" t="s">
        <v>4167</v>
      </c>
      <c r="D1050" s="592">
        <v>15</v>
      </c>
      <c r="E1050" s="597">
        <v>2200</v>
      </c>
      <c r="F1050" s="597">
        <v>2200</v>
      </c>
      <c r="G1050" s="597">
        <v>24750</v>
      </c>
      <c r="H1050" s="592" t="s">
        <v>1093</v>
      </c>
    </row>
    <row r="1051" spans="1:8" ht="24.75" customHeight="1" x14ac:dyDescent="0.55000000000000004">
      <c r="A1051" s="592">
        <v>1050</v>
      </c>
      <c r="B1051" s="596" t="s">
        <v>3000</v>
      </c>
      <c r="C1051" s="592" t="s">
        <v>3001</v>
      </c>
      <c r="D1051" s="592">
        <v>4</v>
      </c>
      <c r="E1051" s="597">
        <v>5000</v>
      </c>
      <c r="F1051" s="597">
        <v>5000</v>
      </c>
      <c r="G1051" s="597">
        <v>16000</v>
      </c>
      <c r="H1051" s="592" t="s">
        <v>1093</v>
      </c>
    </row>
    <row r="1052" spans="1:8" ht="24.75" customHeight="1" x14ac:dyDescent="0.55000000000000004">
      <c r="A1052" s="592">
        <v>1051</v>
      </c>
      <c r="B1052" s="596" t="s">
        <v>3038</v>
      </c>
      <c r="C1052" s="592" t="s">
        <v>3039</v>
      </c>
      <c r="D1052" s="592">
        <v>8</v>
      </c>
      <c r="E1052" s="597">
        <v>1800</v>
      </c>
      <c r="F1052" s="597">
        <v>1800</v>
      </c>
      <c r="G1052" s="597">
        <v>9728</v>
      </c>
      <c r="H1052" s="592" t="s">
        <v>1093</v>
      </c>
    </row>
    <row r="1053" spans="1:8" ht="24.75" customHeight="1" x14ac:dyDescent="0.55000000000000004">
      <c r="A1053" s="592">
        <v>1052</v>
      </c>
      <c r="B1053" s="596" t="s">
        <v>4168</v>
      </c>
      <c r="C1053" s="592" t="s">
        <v>4169</v>
      </c>
      <c r="D1053" s="592">
        <v>1</v>
      </c>
      <c r="E1053" s="597">
        <v>5500</v>
      </c>
      <c r="F1053" s="597">
        <v>5500</v>
      </c>
      <c r="G1053" s="597">
        <v>3121</v>
      </c>
      <c r="H1053" s="592" t="s">
        <v>1093</v>
      </c>
    </row>
    <row r="1054" spans="1:8" ht="24.75" customHeight="1" x14ac:dyDescent="0.55000000000000004">
      <c r="A1054" s="592">
        <v>1053</v>
      </c>
      <c r="B1054" s="596" t="s">
        <v>6338</v>
      </c>
      <c r="C1054" s="592" t="s">
        <v>7057</v>
      </c>
      <c r="D1054" s="592">
        <v>3</v>
      </c>
      <c r="E1054" s="597">
        <v>16000</v>
      </c>
      <c r="F1054" s="597">
        <v>16000</v>
      </c>
      <c r="G1054" s="597">
        <v>41325</v>
      </c>
      <c r="H1054" s="592" t="s">
        <v>1093</v>
      </c>
    </row>
    <row r="1055" spans="1:8" ht="24.75" customHeight="1" x14ac:dyDescent="0.55000000000000004">
      <c r="A1055" s="592">
        <v>1054</v>
      </c>
      <c r="B1055" s="596" t="s">
        <v>4170</v>
      </c>
      <c r="C1055" s="592" t="s">
        <v>6682</v>
      </c>
      <c r="D1055" s="592">
        <v>4</v>
      </c>
      <c r="E1055" s="597">
        <v>5500</v>
      </c>
      <c r="F1055" s="597">
        <v>5500</v>
      </c>
      <c r="G1055" s="597">
        <v>16000</v>
      </c>
      <c r="H1055" s="592" t="s">
        <v>1093</v>
      </c>
    </row>
    <row r="1056" spans="1:8" ht="24.75" customHeight="1" x14ac:dyDescent="0.55000000000000004">
      <c r="A1056" s="592">
        <v>1055</v>
      </c>
      <c r="B1056" s="596" t="s">
        <v>4171</v>
      </c>
      <c r="C1056" s="592" t="s">
        <v>4172</v>
      </c>
      <c r="D1056" s="592">
        <v>1</v>
      </c>
      <c r="E1056" s="597">
        <v>10500</v>
      </c>
      <c r="F1056" s="597">
        <v>10500</v>
      </c>
      <c r="G1056" s="597">
        <v>8900</v>
      </c>
      <c r="H1056" s="592" t="s">
        <v>1093</v>
      </c>
    </row>
    <row r="1057" spans="1:8" ht="24.75" customHeight="1" x14ac:dyDescent="0.55000000000000004">
      <c r="A1057" s="592">
        <v>1056</v>
      </c>
      <c r="B1057" s="596" t="s">
        <v>4173</v>
      </c>
      <c r="C1057" s="592" t="s">
        <v>4174</v>
      </c>
      <c r="D1057" s="592">
        <v>3</v>
      </c>
      <c r="E1057" s="597">
        <v>12000</v>
      </c>
      <c r="F1057" s="597">
        <v>12000</v>
      </c>
      <c r="G1057" s="597">
        <v>31590</v>
      </c>
      <c r="H1057" s="592" t="s">
        <v>1093</v>
      </c>
    </row>
    <row r="1058" spans="1:8" ht="24.75" customHeight="1" x14ac:dyDescent="0.55000000000000004">
      <c r="A1058" s="592">
        <v>1057</v>
      </c>
      <c r="B1058" s="596" t="s">
        <v>2986</v>
      </c>
      <c r="C1058" s="592" t="s">
        <v>2987</v>
      </c>
      <c r="D1058" s="592">
        <v>41</v>
      </c>
      <c r="E1058" s="597">
        <v>900</v>
      </c>
      <c r="F1058" s="597">
        <v>900</v>
      </c>
      <c r="G1058" s="597">
        <v>26650</v>
      </c>
      <c r="H1058" s="592" t="s">
        <v>1093</v>
      </c>
    </row>
    <row r="1059" spans="1:8" ht="24.75" customHeight="1" x14ac:dyDescent="0.55000000000000004">
      <c r="A1059" s="592">
        <v>1058</v>
      </c>
      <c r="B1059" s="596" t="s">
        <v>4175</v>
      </c>
      <c r="C1059" s="592" t="s">
        <v>4176</v>
      </c>
      <c r="D1059" s="592">
        <v>2</v>
      </c>
      <c r="E1059" s="597">
        <v>6000</v>
      </c>
      <c r="F1059" s="597">
        <v>6000</v>
      </c>
      <c r="G1059" s="597">
        <v>6916</v>
      </c>
      <c r="H1059" s="592" t="s">
        <v>1093</v>
      </c>
    </row>
    <row r="1060" spans="1:8" ht="24.75" customHeight="1" x14ac:dyDescent="0.55000000000000004">
      <c r="A1060" s="592">
        <v>1059</v>
      </c>
      <c r="B1060" s="596" t="s">
        <v>6261</v>
      </c>
      <c r="C1060" s="592" t="s">
        <v>6840</v>
      </c>
      <c r="D1060" s="592">
        <v>3</v>
      </c>
      <c r="E1060" s="597">
        <v>9000</v>
      </c>
      <c r="F1060" s="597">
        <v>9000</v>
      </c>
      <c r="G1060" s="597">
        <v>20160</v>
      </c>
      <c r="H1060" s="592" t="s">
        <v>1093</v>
      </c>
    </row>
    <row r="1061" spans="1:8" ht="24.75" customHeight="1" x14ac:dyDescent="0.55000000000000004">
      <c r="A1061" s="592">
        <v>1060</v>
      </c>
      <c r="B1061" s="596" t="s">
        <v>8262</v>
      </c>
      <c r="C1061" s="592" t="s">
        <v>8263</v>
      </c>
      <c r="D1061" s="592">
        <v>8</v>
      </c>
      <c r="E1061" s="597">
        <v>3500</v>
      </c>
      <c r="F1061" s="597">
        <v>3500</v>
      </c>
      <c r="G1061" s="597">
        <v>21600</v>
      </c>
      <c r="H1061" s="592" t="s">
        <v>1093</v>
      </c>
    </row>
    <row r="1062" spans="1:8" ht="24.75" customHeight="1" x14ac:dyDescent="0.55000000000000004">
      <c r="A1062" s="592">
        <v>1061</v>
      </c>
      <c r="B1062" s="596" t="s">
        <v>3121</v>
      </c>
      <c r="C1062" s="592" t="s">
        <v>3122</v>
      </c>
      <c r="D1062" s="592">
        <v>1</v>
      </c>
      <c r="E1062" s="597">
        <v>6000</v>
      </c>
      <c r="F1062" s="597">
        <v>6000</v>
      </c>
      <c r="G1062" s="597">
        <v>3865</v>
      </c>
      <c r="H1062" s="592" t="s">
        <v>1093</v>
      </c>
    </row>
    <row r="1063" spans="1:8" ht="24.75" customHeight="1" x14ac:dyDescent="0.55000000000000004">
      <c r="A1063" s="592">
        <v>1062</v>
      </c>
      <c r="B1063" s="596" t="s">
        <v>4177</v>
      </c>
      <c r="C1063" s="592" t="s">
        <v>4178</v>
      </c>
      <c r="D1063" s="592">
        <v>5</v>
      </c>
      <c r="E1063" s="597">
        <v>4000</v>
      </c>
      <c r="F1063" s="597">
        <v>4000</v>
      </c>
      <c r="G1063" s="597">
        <v>15250</v>
      </c>
      <c r="H1063" s="592" t="s">
        <v>1093</v>
      </c>
    </row>
    <row r="1064" spans="1:8" ht="24.75" customHeight="1" x14ac:dyDescent="0.55000000000000004">
      <c r="A1064" s="592">
        <v>1063</v>
      </c>
      <c r="B1064" s="596" t="s">
        <v>3331</v>
      </c>
      <c r="C1064" s="592" t="s">
        <v>7602</v>
      </c>
      <c r="D1064" s="592">
        <v>17</v>
      </c>
      <c r="E1064" s="597">
        <v>4000</v>
      </c>
      <c r="F1064" s="597">
        <v>4000</v>
      </c>
      <c r="G1064" s="597">
        <v>50830</v>
      </c>
      <c r="H1064" s="592" t="s">
        <v>1093</v>
      </c>
    </row>
    <row r="1065" spans="1:8" ht="24.75" customHeight="1" x14ac:dyDescent="0.55000000000000004">
      <c r="A1065" s="592">
        <v>1064</v>
      </c>
      <c r="B1065" s="596" t="s">
        <v>3238</v>
      </c>
      <c r="C1065" s="592" t="s">
        <v>3239</v>
      </c>
      <c r="D1065" s="592">
        <v>13</v>
      </c>
      <c r="E1065" s="597">
        <v>3200</v>
      </c>
      <c r="F1065" s="597">
        <v>3200</v>
      </c>
      <c r="G1065" s="597">
        <v>34099</v>
      </c>
      <c r="H1065" s="592" t="s">
        <v>1093</v>
      </c>
    </row>
    <row r="1066" spans="1:8" ht="24.75" customHeight="1" x14ac:dyDescent="0.55000000000000004">
      <c r="A1066" s="592">
        <v>1065</v>
      </c>
      <c r="B1066" s="596" t="s">
        <v>7909</v>
      </c>
      <c r="C1066" s="592" t="s">
        <v>7910</v>
      </c>
      <c r="D1066" s="592">
        <v>5</v>
      </c>
      <c r="E1066" s="597">
        <v>6800</v>
      </c>
      <c r="F1066" s="597">
        <v>6800</v>
      </c>
      <c r="G1066" s="597">
        <v>27500</v>
      </c>
      <c r="H1066" s="592" t="s">
        <v>1093</v>
      </c>
    </row>
    <row r="1067" spans="1:8" ht="24.75" customHeight="1" x14ac:dyDescent="0.55000000000000004">
      <c r="A1067" s="592">
        <v>1066</v>
      </c>
      <c r="B1067" s="596" t="s">
        <v>4179</v>
      </c>
      <c r="C1067" s="592" t="s">
        <v>4180</v>
      </c>
      <c r="D1067" s="592">
        <v>1</v>
      </c>
      <c r="E1067" s="597">
        <v>800</v>
      </c>
      <c r="F1067" s="597">
        <v>800</v>
      </c>
      <c r="G1067" s="597">
        <v>326</v>
      </c>
      <c r="H1067" s="592" t="s">
        <v>1093</v>
      </c>
    </row>
    <row r="1068" spans="1:8" ht="24.75" customHeight="1" x14ac:dyDescent="0.55000000000000004">
      <c r="A1068" s="592">
        <v>1067</v>
      </c>
      <c r="B1068" s="596" t="s">
        <v>8757</v>
      </c>
      <c r="C1068" s="592" t="s">
        <v>8758</v>
      </c>
      <c r="D1068" s="592">
        <v>2</v>
      </c>
      <c r="E1068" s="597">
        <v>44500</v>
      </c>
      <c r="F1068" s="597">
        <v>44500</v>
      </c>
      <c r="G1068" s="597">
        <v>86750</v>
      </c>
      <c r="H1068" s="592" t="s">
        <v>1093</v>
      </c>
    </row>
    <row r="1069" spans="1:8" ht="24.75" customHeight="1" x14ac:dyDescent="0.55000000000000004">
      <c r="A1069" s="592">
        <v>1068</v>
      </c>
      <c r="B1069" s="596" t="s">
        <v>8759</v>
      </c>
      <c r="C1069" s="592" t="s">
        <v>8760</v>
      </c>
      <c r="D1069" s="592">
        <v>2</v>
      </c>
      <c r="E1069" s="597">
        <v>45000</v>
      </c>
      <c r="F1069" s="597">
        <v>45000</v>
      </c>
      <c r="G1069" s="597">
        <v>75250</v>
      </c>
      <c r="H1069" s="592" t="s">
        <v>1093</v>
      </c>
    </row>
    <row r="1070" spans="1:8" ht="24.75" customHeight="1" x14ac:dyDescent="0.55000000000000004">
      <c r="A1070" s="592">
        <v>1069</v>
      </c>
      <c r="B1070" s="596" t="s">
        <v>4181</v>
      </c>
      <c r="C1070" s="592" t="s">
        <v>4182</v>
      </c>
      <c r="D1070" s="592">
        <v>8</v>
      </c>
      <c r="E1070" s="597">
        <v>2500</v>
      </c>
      <c r="F1070" s="597">
        <v>2500</v>
      </c>
      <c r="G1070" s="597">
        <v>13480</v>
      </c>
      <c r="H1070" s="592" t="s">
        <v>1093</v>
      </c>
    </row>
    <row r="1071" spans="1:8" ht="24.75" customHeight="1" x14ac:dyDescent="0.55000000000000004">
      <c r="A1071" s="592">
        <v>1070</v>
      </c>
      <c r="B1071" s="596" t="s">
        <v>4183</v>
      </c>
      <c r="C1071" s="592" t="s">
        <v>4184</v>
      </c>
      <c r="D1071" s="592">
        <v>4</v>
      </c>
      <c r="E1071" s="597">
        <v>20500</v>
      </c>
      <c r="F1071" s="597">
        <v>20500</v>
      </c>
      <c r="G1071" s="597">
        <v>66652</v>
      </c>
      <c r="H1071" s="592" t="s">
        <v>1093</v>
      </c>
    </row>
    <row r="1072" spans="1:8" ht="24.75" customHeight="1" x14ac:dyDescent="0.55000000000000004">
      <c r="A1072" s="592">
        <v>1071</v>
      </c>
      <c r="B1072" s="596" t="s">
        <v>4185</v>
      </c>
      <c r="C1072" s="592" t="s">
        <v>4186</v>
      </c>
      <c r="D1072" s="592">
        <v>1</v>
      </c>
      <c r="E1072" s="597">
        <v>14000</v>
      </c>
      <c r="F1072" s="597">
        <v>14000</v>
      </c>
      <c r="G1072" s="597">
        <v>10401</v>
      </c>
      <c r="H1072" s="592" t="s">
        <v>1093</v>
      </c>
    </row>
    <row r="1073" spans="1:8" ht="24.75" customHeight="1" x14ac:dyDescent="0.55000000000000004">
      <c r="A1073" s="592">
        <v>1072</v>
      </c>
      <c r="B1073" s="596" t="s">
        <v>4187</v>
      </c>
      <c r="C1073" s="592" t="s">
        <v>4188</v>
      </c>
      <c r="D1073" s="592">
        <v>5</v>
      </c>
      <c r="E1073" s="597">
        <v>2000</v>
      </c>
      <c r="F1073" s="597">
        <v>2000</v>
      </c>
      <c r="G1073" s="597">
        <v>5575</v>
      </c>
      <c r="H1073" s="592" t="s">
        <v>1093</v>
      </c>
    </row>
    <row r="1074" spans="1:8" ht="24.75" customHeight="1" x14ac:dyDescent="0.55000000000000004">
      <c r="A1074" s="592">
        <v>1073</v>
      </c>
      <c r="B1074" s="596" t="s">
        <v>4189</v>
      </c>
      <c r="C1074" s="592" t="s">
        <v>4190</v>
      </c>
      <c r="D1074" s="592">
        <v>3</v>
      </c>
      <c r="E1074" s="597">
        <v>3000</v>
      </c>
      <c r="F1074" s="597">
        <v>3000</v>
      </c>
      <c r="G1074" s="597">
        <v>6900</v>
      </c>
      <c r="H1074" s="592" t="s">
        <v>1093</v>
      </c>
    </row>
    <row r="1075" spans="1:8" ht="24.75" customHeight="1" x14ac:dyDescent="0.55000000000000004">
      <c r="A1075" s="592">
        <v>1074</v>
      </c>
      <c r="B1075" s="596" t="s">
        <v>4191</v>
      </c>
      <c r="C1075" s="592" t="s">
        <v>4192</v>
      </c>
      <c r="D1075" s="592">
        <v>38</v>
      </c>
      <c r="E1075" s="597">
        <v>500</v>
      </c>
      <c r="F1075" s="597">
        <v>500</v>
      </c>
      <c r="G1075" s="597">
        <v>10070</v>
      </c>
      <c r="H1075" s="592" t="s">
        <v>1093</v>
      </c>
    </row>
    <row r="1076" spans="1:8" ht="24.75" customHeight="1" x14ac:dyDescent="0.55000000000000004">
      <c r="A1076" s="592">
        <v>1075</v>
      </c>
      <c r="B1076" s="596" t="s">
        <v>4193</v>
      </c>
      <c r="C1076" s="592" t="s">
        <v>4194</v>
      </c>
      <c r="D1076" s="592">
        <v>9</v>
      </c>
      <c r="E1076" s="597">
        <v>1500</v>
      </c>
      <c r="F1076" s="597">
        <v>1500</v>
      </c>
      <c r="G1076" s="597">
        <v>6750</v>
      </c>
      <c r="H1076" s="592" t="s">
        <v>1093</v>
      </c>
    </row>
    <row r="1077" spans="1:8" ht="24.75" customHeight="1" x14ac:dyDescent="0.55000000000000004">
      <c r="A1077" s="592">
        <v>1076</v>
      </c>
      <c r="B1077" s="596" t="s">
        <v>4195</v>
      </c>
      <c r="C1077" s="592" t="s">
        <v>4196</v>
      </c>
      <c r="D1077" s="592">
        <v>4</v>
      </c>
      <c r="E1077" s="597">
        <v>2000</v>
      </c>
      <c r="F1077" s="597">
        <v>2000</v>
      </c>
      <c r="G1077" s="597">
        <v>4460</v>
      </c>
      <c r="H1077" s="592" t="s">
        <v>1093</v>
      </c>
    </row>
    <row r="1078" spans="1:8" ht="24.75" customHeight="1" x14ac:dyDescent="0.55000000000000004">
      <c r="A1078" s="592">
        <v>1077</v>
      </c>
      <c r="B1078" s="596" t="s">
        <v>4197</v>
      </c>
      <c r="C1078" s="592" t="s">
        <v>4198</v>
      </c>
      <c r="D1078" s="592">
        <v>6</v>
      </c>
      <c r="E1078" s="597">
        <v>1200</v>
      </c>
      <c r="F1078" s="597">
        <v>1200</v>
      </c>
      <c r="G1078" s="597">
        <v>3810</v>
      </c>
      <c r="H1078" s="592" t="s">
        <v>1093</v>
      </c>
    </row>
    <row r="1079" spans="1:8" ht="24.75" customHeight="1" x14ac:dyDescent="0.55000000000000004">
      <c r="A1079" s="592">
        <v>1078</v>
      </c>
      <c r="B1079" s="596" t="s">
        <v>2543</v>
      </c>
      <c r="C1079" s="592" t="s">
        <v>2544</v>
      </c>
      <c r="D1079" s="592">
        <v>12</v>
      </c>
      <c r="E1079" s="597">
        <v>2000</v>
      </c>
      <c r="F1079" s="597">
        <v>2000</v>
      </c>
      <c r="G1079" s="597">
        <v>18348</v>
      </c>
      <c r="H1079" s="592" t="s">
        <v>1093</v>
      </c>
    </row>
    <row r="1080" spans="1:8" ht="24.75" customHeight="1" x14ac:dyDescent="0.55000000000000004">
      <c r="A1080" s="592">
        <v>1079</v>
      </c>
      <c r="B1080" s="596" t="s">
        <v>4199</v>
      </c>
      <c r="C1080" s="592" t="s">
        <v>4200</v>
      </c>
      <c r="D1080" s="592">
        <v>5</v>
      </c>
      <c r="E1080" s="597">
        <v>1000</v>
      </c>
      <c r="F1080" s="597">
        <v>1000</v>
      </c>
      <c r="G1080" s="597">
        <v>3000</v>
      </c>
      <c r="H1080" s="592" t="s">
        <v>1093</v>
      </c>
    </row>
    <row r="1081" spans="1:8" ht="24.75" customHeight="1" x14ac:dyDescent="0.55000000000000004">
      <c r="A1081" s="592">
        <v>1080</v>
      </c>
      <c r="B1081" s="596" t="s">
        <v>6168</v>
      </c>
      <c r="C1081" s="592" t="s">
        <v>6169</v>
      </c>
      <c r="D1081" s="592">
        <v>19</v>
      </c>
      <c r="E1081" s="597">
        <v>1000</v>
      </c>
      <c r="F1081" s="597">
        <v>1000</v>
      </c>
      <c r="G1081" s="597">
        <v>10108</v>
      </c>
      <c r="H1081" s="592" t="s">
        <v>1093</v>
      </c>
    </row>
    <row r="1082" spans="1:8" ht="24.75" customHeight="1" x14ac:dyDescent="0.55000000000000004">
      <c r="A1082" s="592">
        <v>1081</v>
      </c>
      <c r="B1082" s="596" t="s">
        <v>4201</v>
      </c>
      <c r="C1082" s="592" t="s">
        <v>4202</v>
      </c>
      <c r="D1082" s="592">
        <v>4</v>
      </c>
      <c r="E1082" s="597">
        <v>1200</v>
      </c>
      <c r="F1082" s="597">
        <v>1200</v>
      </c>
      <c r="G1082" s="597">
        <v>3392</v>
      </c>
      <c r="H1082" s="592" t="s">
        <v>1093</v>
      </c>
    </row>
    <row r="1083" spans="1:8" ht="24.75" customHeight="1" x14ac:dyDescent="0.55000000000000004">
      <c r="A1083" s="592">
        <v>1082</v>
      </c>
      <c r="B1083" s="596" t="s">
        <v>4203</v>
      </c>
      <c r="C1083" s="592" t="s">
        <v>4204</v>
      </c>
      <c r="D1083" s="592">
        <v>7</v>
      </c>
      <c r="E1083" s="597">
        <v>1500</v>
      </c>
      <c r="F1083" s="597">
        <v>1500</v>
      </c>
      <c r="G1083" s="597">
        <v>6188</v>
      </c>
      <c r="H1083" s="592" t="s">
        <v>1093</v>
      </c>
    </row>
    <row r="1084" spans="1:8" ht="24.75" customHeight="1" x14ac:dyDescent="0.55000000000000004">
      <c r="A1084" s="592">
        <v>1083</v>
      </c>
      <c r="B1084" s="596" t="s">
        <v>4205</v>
      </c>
      <c r="C1084" s="592" t="s">
        <v>4206</v>
      </c>
      <c r="D1084" s="592">
        <v>4</v>
      </c>
      <c r="E1084" s="597">
        <v>2000</v>
      </c>
      <c r="F1084" s="597">
        <v>2000</v>
      </c>
      <c r="G1084" s="597">
        <v>4736</v>
      </c>
      <c r="H1084" s="592" t="s">
        <v>1093</v>
      </c>
    </row>
    <row r="1085" spans="1:8" ht="24.75" customHeight="1" x14ac:dyDescent="0.55000000000000004">
      <c r="A1085" s="592">
        <v>1084</v>
      </c>
      <c r="B1085" s="596" t="s">
        <v>4207</v>
      </c>
      <c r="C1085" s="592" t="s">
        <v>4208</v>
      </c>
      <c r="D1085" s="592">
        <v>5</v>
      </c>
      <c r="E1085" s="597">
        <v>2000</v>
      </c>
      <c r="F1085" s="597">
        <v>2000</v>
      </c>
      <c r="G1085" s="597">
        <v>7160</v>
      </c>
      <c r="H1085" s="592" t="s">
        <v>1093</v>
      </c>
    </row>
    <row r="1086" spans="1:8" ht="24.75" customHeight="1" x14ac:dyDescent="0.55000000000000004">
      <c r="A1086" s="592">
        <v>1085</v>
      </c>
      <c r="B1086" s="596" t="s">
        <v>4209</v>
      </c>
      <c r="C1086" s="592" t="s">
        <v>4210</v>
      </c>
      <c r="D1086" s="592">
        <v>4</v>
      </c>
      <c r="E1086" s="597">
        <v>2200</v>
      </c>
      <c r="F1086" s="597">
        <v>2200</v>
      </c>
      <c r="G1086" s="597">
        <v>6732</v>
      </c>
      <c r="H1086" s="592" t="s">
        <v>1093</v>
      </c>
    </row>
    <row r="1087" spans="1:8" ht="24.75" customHeight="1" x14ac:dyDescent="0.55000000000000004">
      <c r="A1087" s="592">
        <v>1086</v>
      </c>
      <c r="B1087" s="596" t="s">
        <v>2545</v>
      </c>
      <c r="C1087" s="592" t="s">
        <v>2546</v>
      </c>
      <c r="D1087" s="592">
        <v>3</v>
      </c>
      <c r="E1087" s="597">
        <v>2000</v>
      </c>
      <c r="F1087" s="597">
        <v>2000</v>
      </c>
      <c r="G1087" s="597">
        <v>4674</v>
      </c>
      <c r="H1087" s="592" t="s">
        <v>1093</v>
      </c>
    </row>
    <row r="1088" spans="1:8" ht="24.75" customHeight="1" x14ac:dyDescent="0.55000000000000004">
      <c r="A1088" s="592">
        <v>1087</v>
      </c>
      <c r="B1088" s="596" t="s">
        <v>3002</v>
      </c>
      <c r="C1088" s="592" t="s">
        <v>3003</v>
      </c>
      <c r="D1088" s="592">
        <v>5</v>
      </c>
      <c r="E1088" s="597">
        <v>4000</v>
      </c>
      <c r="F1088" s="597">
        <v>4000</v>
      </c>
      <c r="G1088" s="597">
        <v>8525</v>
      </c>
      <c r="H1088" s="592" t="s">
        <v>1093</v>
      </c>
    </row>
    <row r="1089" spans="1:8" ht="24.75" customHeight="1" x14ac:dyDescent="0.55000000000000004">
      <c r="A1089" s="592">
        <v>1088</v>
      </c>
      <c r="B1089" s="596" t="s">
        <v>4211</v>
      </c>
      <c r="C1089" s="592" t="s">
        <v>4212</v>
      </c>
      <c r="D1089" s="592">
        <v>11</v>
      </c>
      <c r="E1089" s="597">
        <v>1000</v>
      </c>
      <c r="F1089" s="597">
        <v>1000</v>
      </c>
      <c r="G1089" s="597">
        <v>6875</v>
      </c>
      <c r="H1089" s="592" t="s">
        <v>1093</v>
      </c>
    </row>
    <row r="1090" spans="1:8" ht="24.75" customHeight="1" x14ac:dyDescent="0.55000000000000004">
      <c r="A1090" s="592">
        <v>1089</v>
      </c>
      <c r="B1090" s="596" t="s">
        <v>8548</v>
      </c>
      <c r="C1090" s="592" t="s">
        <v>8549</v>
      </c>
      <c r="D1090" s="592">
        <v>20</v>
      </c>
      <c r="E1090" s="597">
        <v>500</v>
      </c>
      <c r="F1090" s="597">
        <v>500</v>
      </c>
      <c r="G1090" s="597">
        <v>4620</v>
      </c>
      <c r="H1090" s="592" t="s">
        <v>1093</v>
      </c>
    </row>
    <row r="1091" spans="1:8" ht="24.75" customHeight="1" x14ac:dyDescent="0.55000000000000004">
      <c r="A1091" s="592">
        <v>1090</v>
      </c>
      <c r="B1091" s="596" t="s">
        <v>3004</v>
      </c>
      <c r="C1091" s="592" t="s">
        <v>3005</v>
      </c>
      <c r="D1091" s="592">
        <v>2</v>
      </c>
      <c r="E1091" s="597">
        <v>1000</v>
      </c>
      <c r="F1091" s="597">
        <v>1000</v>
      </c>
      <c r="G1091" s="597">
        <v>1130</v>
      </c>
      <c r="H1091" s="592" t="s">
        <v>1093</v>
      </c>
    </row>
    <row r="1092" spans="1:8" ht="24.75" customHeight="1" x14ac:dyDescent="0.55000000000000004">
      <c r="A1092" s="592">
        <v>1091</v>
      </c>
      <c r="B1092" s="596" t="s">
        <v>3125</v>
      </c>
      <c r="C1092" s="592" t="s">
        <v>8550</v>
      </c>
      <c r="D1092" s="592">
        <v>32</v>
      </c>
      <c r="E1092" s="597">
        <v>500</v>
      </c>
      <c r="F1092" s="597">
        <v>500</v>
      </c>
      <c r="G1092" s="597">
        <v>9184</v>
      </c>
      <c r="H1092" s="592" t="s">
        <v>1093</v>
      </c>
    </row>
    <row r="1093" spans="1:8" ht="24.75" customHeight="1" x14ac:dyDescent="0.55000000000000004">
      <c r="A1093" s="592">
        <v>1092</v>
      </c>
      <c r="B1093" s="596" t="s">
        <v>8417</v>
      </c>
      <c r="C1093" s="592" t="s">
        <v>8418</v>
      </c>
      <c r="D1093" s="592">
        <v>2</v>
      </c>
      <c r="E1093" s="597">
        <v>22000</v>
      </c>
      <c r="F1093" s="597">
        <v>22000</v>
      </c>
      <c r="G1093" s="597">
        <v>34340</v>
      </c>
      <c r="H1093" s="592" t="s">
        <v>1093</v>
      </c>
    </row>
    <row r="1094" spans="1:8" ht="24.75" customHeight="1" x14ac:dyDescent="0.55000000000000004">
      <c r="A1094" s="592">
        <v>1093</v>
      </c>
      <c r="B1094" s="596" t="s">
        <v>7603</v>
      </c>
      <c r="C1094" s="592" t="s">
        <v>7604</v>
      </c>
      <c r="D1094" s="592">
        <v>2</v>
      </c>
      <c r="E1094" s="597">
        <v>4300</v>
      </c>
      <c r="F1094" s="597">
        <v>4300</v>
      </c>
      <c r="G1094" s="597">
        <v>6616</v>
      </c>
      <c r="H1094" s="592" t="s">
        <v>1093</v>
      </c>
    </row>
    <row r="1095" spans="1:8" ht="24.75" customHeight="1" x14ac:dyDescent="0.55000000000000004">
      <c r="A1095" s="592">
        <v>1094</v>
      </c>
      <c r="B1095" s="596" t="s">
        <v>7605</v>
      </c>
      <c r="C1095" s="592" t="s">
        <v>7606</v>
      </c>
      <c r="D1095" s="592">
        <v>2</v>
      </c>
      <c r="E1095" s="597">
        <v>3500</v>
      </c>
      <c r="F1095" s="597">
        <v>3500</v>
      </c>
      <c r="G1095" s="597">
        <v>5060</v>
      </c>
      <c r="H1095" s="592" t="s">
        <v>1093</v>
      </c>
    </row>
    <row r="1096" spans="1:8" ht="24.75" customHeight="1" x14ac:dyDescent="0.55000000000000004">
      <c r="A1096" s="592">
        <v>1095</v>
      </c>
      <c r="B1096" s="596" t="s">
        <v>3126</v>
      </c>
      <c r="C1096" s="592" t="s">
        <v>958</v>
      </c>
      <c r="D1096" s="592">
        <v>4</v>
      </c>
      <c r="E1096" s="597">
        <v>12000</v>
      </c>
      <c r="F1096" s="597">
        <v>12000</v>
      </c>
      <c r="G1096" s="597">
        <v>28000</v>
      </c>
      <c r="H1096" s="592" t="s">
        <v>1397</v>
      </c>
    </row>
    <row r="1097" spans="1:8" ht="24.75" customHeight="1" x14ac:dyDescent="0.55000000000000004">
      <c r="A1097" s="592">
        <v>1096</v>
      </c>
      <c r="B1097" s="596" t="s">
        <v>4213</v>
      </c>
      <c r="C1097" s="592" t="s">
        <v>4214</v>
      </c>
      <c r="D1097" s="592">
        <v>18</v>
      </c>
      <c r="E1097" s="597">
        <v>7000</v>
      </c>
      <c r="F1097" s="597">
        <v>7000</v>
      </c>
      <c r="G1097" s="597">
        <v>90000</v>
      </c>
      <c r="H1097" s="592" t="s">
        <v>1397</v>
      </c>
    </row>
    <row r="1098" spans="1:8" ht="24.75" customHeight="1" x14ac:dyDescent="0.55000000000000004">
      <c r="A1098" s="592">
        <v>1097</v>
      </c>
      <c r="B1098" s="596" t="s">
        <v>4215</v>
      </c>
      <c r="C1098" s="592" t="s">
        <v>7058</v>
      </c>
      <c r="D1098" s="592">
        <v>9</v>
      </c>
      <c r="E1098" s="597">
        <v>2200</v>
      </c>
      <c r="F1098" s="597">
        <v>2200</v>
      </c>
      <c r="G1098" s="597">
        <v>13500</v>
      </c>
      <c r="H1098" s="592" t="s">
        <v>1397</v>
      </c>
    </row>
    <row r="1099" spans="1:8" ht="24.75" customHeight="1" x14ac:dyDescent="0.55000000000000004">
      <c r="A1099" s="592">
        <v>1098</v>
      </c>
      <c r="B1099" s="596" t="s">
        <v>4216</v>
      </c>
      <c r="C1099" s="592" t="s">
        <v>4217</v>
      </c>
      <c r="D1099" s="592">
        <v>1</v>
      </c>
      <c r="E1099" s="597">
        <v>8000</v>
      </c>
      <c r="F1099" s="597">
        <v>8000</v>
      </c>
      <c r="G1099" s="597">
        <v>6000</v>
      </c>
      <c r="H1099" s="592" t="s">
        <v>1397</v>
      </c>
    </row>
    <row r="1100" spans="1:8" ht="24.75" customHeight="1" x14ac:dyDescent="0.55000000000000004">
      <c r="A1100" s="592">
        <v>1099</v>
      </c>
      <c r="B1100" s="596" t="s">
        <v>7059</v>
      </c>
      <c r="C1100" s="592" t="s">
        <v>7060</v>
      </c>
      <c r="D1100" s="592">
        <v>8</v>
      </c>
      <c r="E1100" s="597">
        <v>2200</v>
      </c>
      <c r="F1100" s="597">
        <v>2200</v>
      </c>
      <c r="G1100" s="597">
        <v>13600</v>
      </c>
      <c r="H1100" s="592" t="s">
        <v>1397</v>
      </c>
    </row>
    <row r="1101" spans="1:8" ht="24.75" customHeight="1" x14ac:dyDescent="0.55000000000000004">
      <c r="A1101" s="592">
        <v>1100</v>
      </c>
      <c r="B1101" s="596" t="s">
        <v>957</v>
      </c>
      <c r="C1101" s="592" t="s">
        <v>958</v>
      </c>
      <c r="D1101" s="592">
        <v>2</v>
      </c>
      <c r="E1101" s="597">
        <v>10000</v>
      </c>
      <c r="F1101" s="597">
        <v>10000</v>
      </c>
      <c r="G1101" s="597">
        <v>12000</v>
      </c>
      <c r="H1101" s="592" t="s">
        <v>1397</v>
      </c>
    </row>
    <row r="1102" spans="1:8" ht="24.75" customHeight="1" x14ac:dyDescent="0.55000000000000004">
      <c r="A1102" s="592">
        <v>1101</v>
      </c>
      <c r="B1102" s="596" t="s">
        <v>7061</v>
      </c>
      <c r="C1102" s="592" t="s">
        <v>7062</v>
      </c>
      <c r="D1102" s="592">
        <v>5</v>
      </c>
      <c r="E1102" s="597">
        <v>23000</v>
      </c>
      <c r="F1102" s="597">
        <v>23000</v>
      </c>
      <c r="G1102" s="597">
        <v>87500</v>
      </c>
      <c r="H1102" s="592" t="s">
        <v>1397</v>
      </c>
    </row>
    <row r="1103" spans="1:8" ht="24.75" customHeight="1" x14ac:dyDescent="0.55000000000000004">
      <c r="A1103" s="592">
        <v>1102</v>
      </c>
      <c r="B1103" s="596" t="s">
        <v>4218</v>
      </c>
      <c r="C1103" s="592" t="s">
        <v>4219</v>
      </c>
      <c r="D1103" s="592">
        <v>6</v>
      </c>
      <c r="E1103" s="597">
        <v>5000</v>
      </c>
      <c r="F1103" s="597">
        <v>5000</v>
      </c>
      <c r="G1103" s="597">
        <v>24600</v>
      </c>
      <c r="H1103" s="592" t="s">
        <v>1397</v>
      </c>
    </row>
    <row r="1104" spans="1:8" ht="24.75" customHeight="1" x14ac:dyDescent="0.55000000000000004">
      <c r="A1104" s="592">
        <v>1103</v>
      </c>
      <c r="B1104" s="596" t="s">
        <v>1453</v>
      </c>
      <c r="C1104" s="592" t="s">
        <v>1454</v>
      </c>
      <c r="D1104" s="592">
        <v>5</v>
      </c>
      <c r="E1104" s="597">
        <v>17000</v>
      </c>
      <c r="F1104" s="597">
        <v>17000</v>
      </c>
      <c r="G1104" s="597">
        <v>50000</v>
      </c>
      <c r="H1104" s="592" t="s">
        <v>1397</v>
      </c>
    </row>
    <row r="1105" spans="1:8" ht="24.75" customHeight="1" x14ac:dyDescent="0.55000000000000004">
      <c r="A1105" s="592">
        <v>1104</v>
      </c>
      <c r="B1105" s="596" t="s">
        <v>1455</v>
      </c>
      <c r="C1105" s="592" t="s">
        <v>1456</v>
      </c>
      <c r="D1105" s="592">
        <v>2</v>
      </c>
      <c r="E1105" s="597">
        <v>45000</v>
      </c>
      <c r="F1105" s="597">
        <v>45000</v>
      </c>
      <c r="G1105" s="597">
        <v>47000</v>
      </c>
      <c r="H1105" s="592" t="s">
        <v>1397</v>
      </c>
    </row>
    <row r="1106" spans="1:8" ht="24.75" customHeight="1" x14ac:dyDescent="0.55000000000000004">
      <c r="A1106" s="592">
        <v>1105</v>
      </c>
      <c r="B1106" s="596" t="s">
        <v>1457</v>
      </c>
      <c r="C1106" s="592" t="s">
        <v>1458</v>
      </c>
      <c r="D1106" s="592">
        <v>4</v>
      </c>
      <c r="E1106" s="597">
        <v>53000</v>
      </c>
      <c r="F1106" s="597">
        <v>53000</v>
      </c>
      <c r="G1106" s="597">
        <v>160000</v>
      </c>
      <c r="H1106" s="592" t="s">
        <v>1397</v>
      </c>
    </row>
    <row r="1107" spans="1:8" ht="24.75" customHeight="1" x14ac:dyDescent="0.55000000000000004">
      <c r="A1107" s="592">
        <v>1106</v>
      </c>
      <c r="B1107" s="596" t="s">
        <v>6262</v>
      </c>
      <c r="C1107" s="592" t="s">
        <v>6263</v>
      </c>
      <c r="D1107" s="592">
        <v>2</v>
      </c>
      <c r="E1107" s="597">
        <v>73000</v>
      </c>
      <c r="F1107" s="597">
        <v>73000</v>
      </c>
      <c r="G1107" s="597">
        <v>122000</v>
      </c>
      <c r="H1107" s="592" t="s">
        <v>1397</v>
      </c>
    </row>
    <row r="1108" spans="1:8" ht="24.75" customHeight="1" x14ac:dyDescent="0.55000000000000004">
      <c r="A1108" s="592">
        <v>1107</v>
      </c>
      <c r="B1108" s="596" t="s">
        <v>1459</v>
      </c>
      <c r="C1108" s="592" t="s">
        <v>1460</v>
      </c>
      <c r="D1108" s="592">
        <v>1</v>
      </c>
      <c r="E1108" s="597">
        <v>17000</v>
      </c>
      <c r="F1108" s="597">
        <v>17000</v>
      </c>
      <c r="G1108" s="597">
        <v>14000</v>
      </c>
      <c r="H1108" s="592" t="s">
        <v>1397</v>
      </c>
    </row>
    <row r="1109" spans="1:8" ht="24.75" customHeight="1" x14ac:dyDescent="0.55000000000000004">
      <c r="A1109" s="592">
        <v>1108</v>
      </c>
      <c r="B1109" s="596" t="s">
        <v>1461</v>
      </c>
      <c r="C1109" s="592" t="s">
        <v>1462</v>
      </c>
      <c r="D1109" s="592">
        <v>5</v>
      </c>
      <c r="E1109" s="597">
        <v>28000</v>
      </c>
      <c r="F1109" s="597">
        <v>28000</v>
      </c>
      <c r="G1109" s="597">
        <v>82500</v>
      </c>
      <c r="H1109" s="592" t="s">
        <v>1397</v>
      </c>
    </row>
    <row r="1110" spans="1:8" ht="24.75" customHeight="1" x14ac:dyDescent="0.55000000000000004">
      <c r="A1110" s="592">
        <v>1109</v>
      </c>
      <c r="B1110" s="596" t="s">
        <v>3127</v>
      </c>
      <c r="C1110" s="592" t="s">
        <v>3128</v>
      </c>
      <c r="D1110" s="592">
        <v>2</v>
      </c>
      <c r="E1110" s="597">
        <v>5000</v>
      </c>
      <c r="F1110" s="597">
        <v>5000</v>
      </c>
      <c r="G1110" s="597">
        <v>8000</v>
      </c>
      <c r="H1110" s="592" t="s">
        <v>1397</v>
      </c>
    </row>
    <row r="1111" spans="1:8" ht="24.75" customHeight="1" x14ac:dyDescent="0.55000000000000004">
      <c r="A1111" s="592">
        <v>1110</v>
      </c>
      <c r="B1111" s="596" t="s">
        <v>4220</v>
      </c>
      <c r="C1111" s="592" t="s">
        <v>4221</v>
      </c>
      <c r="D1111" s="592">
        <v>2</v>
      </c>
      <c r="E1111" s="597">
        <v>11500</v>
      </c>
      <c r="F1111" s="597">
        <v>11500</v>
      </c>
      <c r="G1111" s="597">
        <v>19200</v>
      </c>
      <c r="H1111" s="592" t="s">
        <v>1397</v>
      </c>
    </row>
    <row r="1112" spans="1:8" ht="24.75" customHeight="1" x14ac:dyDescent="0.55000000000000004">
      <c r="A1112" s="592">
        <v>1111</v>
      </c>
      <c r="B1112" s="596" t="s">
        <v>4222</v>
      </c>
      <c r="C1112" s="592" t="s">
        <v>4223</v>
      </c>
      <c r="D1112" s="592">
        <v>20</v>
      </c>
      <c r="E1112" s="597">
        <v>700</v>
      </c>
      <c r="F1112" s="597">
        <v>700</v>
      </c>
      <c r="G1112" s="597">
        <v>9000</v>
      </c>
      <c r="H1112" s="592" t="s">
        <v>1397</v>
      </c>
    </row>
    <row r="1113" spans="1:8" ht="24.75" customHeight="1" x14ac:dyDescent="0.55000000000000004">
      <c r="A1113" s="592">
        <v>1112</v>
      </c>
      <c r="B1113" s="596" t="s">
        <v>3129</v>
      </c>
      <c r="C1113" s="592" t="s">
        <v>3130</v>
      </c>
      <c r="D1113" s="592">
        <v>11</v>
      </c>
      <c r="E1113" s="597">
        <v>10000</v>
      </c>
      <c r="F1113" s="597">
        <v>10000</v>
      </c>
      <c r="G1113" s="597">
        <v>82500</v>
      </c>
      <c r="H1113" s="592" t="s">
        <v>1397</v>
      </c>
    </row>
    <row r="1114" spans="1:8" ht="24.75" customHeight="1" x14ac:dyDescent="0.55000000000000004">
      <c r="A1114" s="592">
        <v>1113</v>
      </c>
      <c r="B1114" s="596" t="s">
        <v>1463</v>
      </c>
      <c r="C1114" s="592" t="s">
        <v>7063</v>
      </c>
      <c r="D1114" s="592">
        <v>5</v>
      </c>
      <c r="E1114" s="597">
        <v>3200</v>
      </c>
      <c r="F1114" s="597">
        <v>3200</v>
      </c>
      <c r="G1114" s="597">
        <v>10500</v>
      </c>
      <c r="H1114" s="592" t="s">
        <v>1397</v>
      </c>
    </row>
    <row r="1115" spans="1:8" ht="24.75" customHeight="1" x14ac:dyDescent="0.55000000000000004">
      <c r="A1115" s="592">
        <v>1114</v>
      </c>
      <c r="B1115" s="596" t="s">
        <v>4224</v>
      </c>
      <c r="C1115" s="592" t="s">
        <v>4225</v>
      </c>
      <c r="D1115" s="592">
        <v>4</v>
      </c>
      <c r="E1115" s="597">
        <v>16000</v>
      </c>
      <c r="F1115" s="597">
        <v>16000</v>
      </c>
      <c r="G1115" s="597">
        <v>44000</v>
      </c>
      <c r="H1115" s="592" t="s">
        <v>1397</v>
      </c>
    </row>
    <row r="1116" spans="1:8" ht="24.75" customHeight="1" x14ac:dyDescent="0.55000000000000004">
      <c r="A1116" s="592">
        <v>1115</v>
      </c>
      <c r="B1116" s="596" t="s">
        <v>4226</v>
      </c>
      <c r="C1116" s="592" t="s">
        <v>4227</v>
      </c>
      <c r="D1116" s="592">
        <v>1</v>
      </c>
      <c r="E1116" s="597">
        <v>50000</v>
      </c>
      <c r="F1116" s="597">
        <v>50000</v>
      </c>
      <c r="G1116" s="597">
        <v>39000</v>
      </c>
      <c r="H1116" s="592" t="s">
        <v>1397</v>
      </c>
    </row>
    <row r="1117" spans="1:8" ht="24.75" customHeight="1" x14ac:dyDescent="0.55000000000000004">
      <c r="A1117" s="592">
        <v>1116</v>
      </c>
      <c r="B1117" s="596" t="s">
        <v>1464</v>
      </c>
      <c r="C1117" s="592" t="s">
        <v>1465</v>
      </c>
      <c r="D1117" s="592">
        <v>3</v>
      </c>
      <c r="E1117" s="597">
        <v>19000</v>
      </c>
      <c r="F1117" s="597">
        <v>19000</v>
      </c>
      <c r="G1117" s="597">
        <v>39000</v>
      </c>
      <c r="H1117" s="592" t="s">
        <v>1397</v>
      </c>
    </row>
    <row r="1118" spans="1:8" ht="24.75" customHeight="1" x14ac:dyDescent="0.55000000000000004">
      <c r="A1118" s="592">
        <v>1117</v>
      </c>
      <c r="B1118" s="596" t="s">
        <v>7064</v>
      </c>
      <c r="C1118" s="592" t="s">
        <v>7065</v>
      </c>
      <c r="D1118" s="592">
        <v>1</v>
      </c>
      <c r="E1118" s="597">
        <v>40000</v>
      </c>
      <c r="F1118" s="597">
        <v>40000</v>
      </c>
      <c r="G1118" s="597">
        <v>35000</v>
      </c>
      <c r="H1118" s="592" t="s">
        <v>1397</v>
      </c>
    </row>
    <row r="1119" spans="1:8" ht="24.75" customHeight="1" x14ac:dyDescent="0.55000000000000004">
      <c r="A1119" s="592">
        <v>1118</v>
      </c>
      <c r="B1119" s="596" t="s">
        <v>7066</v>
      </c>
      <c r="C1119" s="592" t="s">
        <v>7067</v>
      </c>
      <c r="D1119" s="592">
        <v>7</v>
      </c>
      <c r="E1119" s="597">
        <v>2800</v>
      </c>
      <c r="F1119" s="597">
        <v>2800</v>
      </c>
      <c r="G1119" s="597">
        <v>14000</v>
      </c>
      <c r="H1119" s="592" t="s">
        <v>1397</v>
      </c>
    </row>
    <row r="1120" spans="1:8" ht="24.75" customHeight="1" x14ac:dyDescent="0.55000000000000004">
      <c r="A1120" s="592">
        <v>1119</v>
      </c>
      <c r="B1120" s="596" t="s">
        <v>4228</v>
      </c>
      <c r="C1120" s="592" t="s">
        <v>4229</v>
      </c>
      <c r="D1120" s="592">
        <v>3</v>
      </c>
      <c r="E1120" s="597">
        <v>2500</v>
      </c>
      <c r="F1120" s="597">
        <v>2500</v>
      </c>
      <c r="G1120" s="597">
        <v>3000</v>
      </c>
      <c r="H1120" s="592" t="s">
        <v>1397</v>
      </c>
    </row>
    <row r="1121" spans="1:8" ht="24.75" customHeight="1" x14ac:dyDescent="0.55000000000000004">
      <c r="A1121" s="592">
        <v>1120</v>
      </c>
      <c r="B1121" s="596" t="s">
        <v>1466</v>
      </c>
      <c r="C1121" s="592" t="s">
        <v>1467</v>
      </c>
      <c r="D1121" s="592">
        <v>36</v>
      </c>
      <c r="E1121" s="597">
        <v>8000</v>
      </c>
      <c r="F1121" s="597">
        <v>8000</v>
      </c>
      <c r="G1121" s="597">
        <v>223200</v>
      </c>
      <c r="H1121" s="592" t="s">
        <v>1397</v>
      </c>
    </row>
    <row r="1122" spans="1:8" ht="24.75" customHeight="1" x14ac:dyDescent="0.55000000000000004">
      <c r="A1122" s="592">
        <v>1121</v>
      </c>
      <c r="B1122" s="596" t="s">
        <v>1468</v>
      </c>
      <c r="C1122" s="592" t="s">
        <v>1469</v>
      </c>
      <c r="D1122" s="592">
        <v>1</v>
      </c>
      <c r="E1122" s="597">
        <v>5000</v>
      </c>
      <c r="F1122" s="597">
        <v>5000</v>
      </c>
      <c r="G1122" s="597">
        <v>2000</v>
      </c>
      <c r="H1122" s="592" t="s">
        <v>1397</v>
      </c>
    </row>
    <row r="1123" spans="1:8" ht="24.75" customHeight="1" x14ac:dyDescent="0.55000000000000004">
      <c r="A1123" s="592">
        <v>1122</v>
      </c>
      <c r="B1123" s="596" t="s">
        <v>1470</v>
      </c>
      <c r="C1123" s="592" t="s">
        <v>1471</v>
      </c>
      <c r="D1123" s="592">
        <v>11</v>
      </c>
      <c r="E1123" s="597">
        <v>1000</v>
      </c>
      <c r="F1123" s="597">
        <v>1000</v>
      </c>
      <c r="G1123" s="597">
        <v>6600</v>
      </c>
      <c r="H1123" s="592" t="s">
        <v>1397</v>
      </c>
    </row>
    <row r="1124" spans="1:8" ht="24.75" customHeight="1" x14ac:dyDescent="0.55000000000000004">
      <c r="A1124" s="592">
        <v>1123</v>
      </c>
      <c r="B1124" s="596" t="s">
        <v>1472</v>
      </c>
      <c r="C1124" s="592" t="s">
        <v>1473</v>
      </c>
      <c r="D1124" s="592">
        <v>2</v>
      </c>
      <c r="E1124" s="597">
        <v>6000</v>
      </c>
      <c r="F1124" s="597">
        <v>6000</v>
      </c>
      <c r="G1124" s="597">
        <v>5000</v>
      </c>
      <c r="H1124" s="592" t="s">
        <v>1397</v>
      </c>
    </row>
    <row r="1125" spans="1:8" ht="24.75" customHeight="1" x14ac:dyDescent="0.55000000000000004">
      <c r="A1125" s="592">
        <v>1124</v>
      </c>
      <c r="B1125" s="596" t="s">
        <v>4230</v>
      </c>
      <c r="C1125" s="592" t="s">
        <v>4231</v>
      </c>
      <c r="D1125" s="592">
        <v>2</v>
      </c>
      <c r="E1125" s="597">
        <v>6000</v>
      </c>
      <c r="F1125" s="597">
        <v>6000</v>
      </c>
      <c r="G1125" s="597">
        <v>5200</v>
      </c>
      <c r="H1125" s="592" t="s">
        <v>1397</v>
      </c>
    </row>
    <row r="1126" spans="1:8" ht="24.75" customHeight="1" x14ac:dyDescent="0.55000000000000004">
      <c r="A1126" s="592">
        <v>1125</v>
      </c>
      <c r="B1126" s="596" t="s">
        <v>3332</v>
      </c>
      <c r="C1126" s="592" t="s">
        <v>3333</v>
      </c>
      <c r="D1126" s="592">
        <v>2</v>
      </c>
      <c r="E1126" s="597">
        <v>23000</v>
      </c>
      <c r="F1126" s="597">
        <v>23000</v>
      </c>
      <c r="G1126" s="597">
        <v>30000</v>
      </c>
      <c r="H1126" s="592" t="s">
        <v>1397</v>
      </c>
    </row>
    <row r="1127" spans="1:8" ht="24.75" customHeight="1" x14ac:dyDescent="0.55000000000000004">
      <c r="A1127" s="592">
        <v>1126</v>
      </c>
      <c r="B1127" s="596" t="s">
        <v>7068</v>
      </c>
      <c r="C1127" s="592" t="s">
        <v>7069</v>
      </c>
      <c r="D1127" s="592">
        <v>20</v>
      </c>
      <c r="E1127" s="597">
        <v>1000</v>
      </c>
      <c r="F1127" s="597">
        <v>1000</v>
      </c>
      <c r="G1127" s="597">
        <v>16000</v>
      </c>
      <c r="H1127" s="592" t="s">
        <v>1397</v>
      </c>
    </row>
    <row r="1128" spans="1:8" ht="24.75" customHeight="1" x14ac:dyDescent="0.55000000000000004">
      <c r="A1128" s="592">
        <v>1127</v>
      </c>
      <c r="B1128" s="596" t="s">
        <v>7070</v>
      </c>
      <c r="C1128" s="592" t="s">
        <v>7071</v>
      </c>
      <c r="D1128" s="592">
        <v>5</v>
      </c>
      <c r="E1128" s="597">
        <v>2800</v>
      </c>
      <c r="F1128" s="597">
        <v>2800</v>
      </c>
      <c r="G1128" s="597">
        <v>9000</v>
      </c>
      <c r="H1128" s="592" t="s">
        <v>1397</v>
      </c>
    </row>
    <row r="1129" spans="1:8" ht="24.75" customHeight="1" x14ac:dyDescent="0.55000000000000004">
      <c r="A1129" s="592">
        <v>1128</v>
      </c>
      <c r="B1129" s="596" t="s">
        <v>7072</v>
      </c>
      <c r="C1129" s="592" t="s">
        <v>7073</v>
      </c>
      <c r="D1129" s="592">
        <v>10</v>
      </c>
      <c r="E1129" s="597">
        <v>2500</v>
      </c>
      <c r="F1129" s="597">
        <v>2500</v>
      </c>
      <c r="G1129" s="597">
        <v>18000</v>
      </c>
      <c r="H1129" s="592" t="s">
        <v>1397</v>
      </c>
    </row>
    <row r="1130" spans="1:8" ht="24.75" customHeight="1" x14ac:dyDescent="0.55000000000000004">
      <c r="A1130" s="592">
        <v>1129</v>
      </c>
      <c r="B1130" s="596" t="s">
        <v>7074</v>
      </c>
      <c r="C1130" s="592" t="s">
        <v>7075</v>
      </c>
      <c r="D1130" s="592">
        <v>3</v>
      </c>
      <c r="E1130" s="597">
        <v>5000</v>
      </c>
      <c r="F1130" s="597">
        <v>5000</v>
      </c>
      <c r="G1130" s="597">
        <v>11100</v>
      </c>
      <c r="H1130" s="592" t="s">
        <v>1397</v>
      </c>
    </row>
    <row r="1131" spans="1:8" ht="24.75" customHeight="1" x14ac:dyDescent="0.55000000000000004">
      <c r="A1131" s="592">
        <v>1130</v>
      </c>
      <c r="B1131" s="596" t="s">
        <v>8551</v>
      </c>
      <c r="C1131" s="592" t="s">
        <v>8552</v>
      </c>
      <c r="D1131" s="592">
        <v>4</v>
      </c>
      <c r="E1131" s="597">
        <v>6500</v>
      </c>
      <c r="F1131" s="597">
        <v>6500</v>
      </c>
      <c r="G1131" s="597">
        <v>20000</v>
      </c>
      <c r="H1131" s="592" t="s">
        <v>1397</v>
      </c>
    </row>
    <row r="1132" spans="1:8" ht="24.75" customHeight="1" x14ac:dyDescent="0.55000000000000004">
      <c r="A1132" s="592">
        <v>1131</v>
      </c>
      <c r="B1132" s="596" t="s">
        <v>8761</v>
      </c>
      <c r="C1132" s="592" t="s">
        <v>8762</v>
      </c>
      <c r="D1132" s="592">
        <v>2</v>
      </c>
      <c r="E1132" s="597">
        <v>45000</v>
      </c>
      <c r="F1132" s="597">
        <v>45000</v>
      </c>
      <c r="G1132" s="597">
        <v>77000</v>
      </c>
      <c r="H1132" s="592" t="s">
        <v>1397</v>
      </c>
    </row>
    <row r="1133" spans="1:8" ht="24.75" customHeight="1" x14ac:dyDescent="0.55000000000000004">
      <c r="A1133" s="592">
        <v>1132</v>
      </c>
      <c r="B1133" s="596" t="s">
        <v>8763</v>
      </c>
      <c r="C1133" s="592" t="s">
        <v>8764</v>
      </c>
      <c r="D1133" s="592">
        <v>10</v>
      </c>
      <c r="E1133" s="597">
        <v>5000</v>
      </c>
      <c r="F1133" s="597">
        <v>5000</v>
      </c>
      <c r="G1133" s="597">
        <v>35000</v>
      </c>
      <c r="H1133" s="592" t="s">
        <v>1397</v>
      </c>
    </row>
    <row r="1134" spans="1:8" ht="24.75" customHeight="1" x14ac:dyDescent="0.55000000000000004">
      <c r="A1134" s="592">
        <v>1133</v>
      </c>
      <c r="B1134" s="596" t="s">
        <v>4232</v>
      </c>
      <c r="C1134" s="592" t="s">
        <v>7607</v>
      </c>
      <c r="D1134" s="592">
        <v>2</v>
      </c>
      <c r="E1134" s="597">
        <v>15000</v>
      </c>
      <c r="F1134" s="597">
        <v>15000</v>
      </c>
      <c r="G1134" s="597">
        <v>17000</v>
      </c>
      <c r="H1134" s="592" t="s">
        <v>1397</v>
      </c>
    </row>
    <row r="1135" spans="1:8" ht="24.75" customHeight="1" x14ac:dyDescent="0.55000000000000004">
      <c r="A1135" s="592">
        <v>1134</v>
      </c>
      <c r="B1135" s="596" t="s">
        <v>1474</v>
      </c>
      <c r="C1135" s="592" t="s">
        <v>1475</v>
      </c>
      <c r="D1135" s="592">
        <v>5</v>
      </c>
      <c r="E1135" s="597">
        <v>9500</v>
      </c>
      <c r="F1135" s="597">
        <v>9500</v>
      </c>
      <c r="G1135" s="597">
        <v>17500</v>
      </c>
      <c r="H1135" s="592" t="s">
        <v>1397</v>
      </c>
    </row>
    <row r="1136" spans="1:8" ht="24.75" customHeight="1" x14ac:dyDescent="0.55000000000000004">
      <c r="A1136" s="592">
        <v>1135</v>
      </c>
      <c r="B1136" s="596" t="s">
        <v>1476</v>
      </c>
      <c r="C1136" s="592" t="s">
        <v>1477</v>
      </c>
      <c r="D1136" s="592">
        <v>2</v>
      </c>
      <c r="E1136" s="597">
        <v>8000</v>
      </c>
      <c r="F1136" s="597">
        <v>8000</v>
      </c>
      <c r="G1136" s="597">
        <v>9000</v>
      </c>
      <c r="H1136" s="592" t="s">
        <v>1397</v>
      </c>
    </row>
    <row r="1137" spans="1:8" ht="24.75" customHeight="1" x14ac:dyDescent="0.55000000000000004">
      <c r="A1137" s="592">
        <v>1136</v>
      </c>
      <c r="B1137" s="596" t="s">
        <v>1478</v>
      </c>
      <c r="C1137" s="592" t="s">
        <v>7608</v>
      </c>
      <c r="D1137" s="592">
        <v>12</v>
      </c>
      <c r="E1137" s="597">
        <v>2300</v>
      </c>
      <c r="F1137" s="597">
        <v>2300</v>
      </c>
      <c r="G1137" s="597">
        <v>7800</v>
      </c>
      <c r="H1137" s="592" t="s">
        <v>1397</v>
      </c>
    </row>
    <row r="1138" spans="1:8" ht="24.75" customHeight="1" x14ac:dyDescent="0.55000000000000004">
      <c r="A1138" s="592">
        <v>1137</v>
      </c>
      <c r="B1138" s="596" t="s">
        <v>4233</v>
      </c>
      <c r="C1138" s="592" t="s">
        <v>4234</v>
      </c>
      <c r="D1138" s="592">
        <v>2</v>
      </c>
      <c r="E1138" s="597">
        <v>1500</v>
      </c>
      <c r="F1138" s="597">
        <v>1500</v>
      </c>
      <c r="G1138" s="597">
        <v>1500</v>
      </c>
      <c r="H1138" s="592" t="s">
        <v>1397</v>
      </c>
    </row>
    <row r="1139" spans="1:8" ht="24.75" customHeight="1" x14ac:dyDescent="0.55000000000000004">
      <c r="A1139" s="592">
        <v>1138</v>
      </c>
      <c r="B1139" s="596" t="s">
        <v>4235</v>
      </c>
      <c r="C1139" s="592" t="s">
        <v>4236</v>
      </c>
      <c r="D1139" s="592">
        <v>3</v>
      </c>
      <c r="E1139" s="597">
        <v>5500</v>
      </c>
      <c r="F1139" s="597">
        <v>5500</v>
      </c>
      <c r="G1139" s="597">
        <v>12600</v>
      </c>
      <c r="H1139" s="592" t="s">
        <v>1397</v>
      </c>
    </row>
    <row r="1140" spans="1:8" ht="24.75" customHeight="1" x14ac:dyDescent="0.55000000000000004">
      <c r="A1140" s="592">
        <v>1139</v>
      </c>
      <c r="B1140" s="596" t="s">
        <v>1479</v>
      </c>
      <c r="C1140" s="592" t="s">
        <v>1480</v>
      </c>
      <c r="D1140" s="592">
        <v>10</v>
      </c>
      <c r="E1140" s="597">
        <v>25000</v>
      </c>
      <c r="F1140" s="597">
        <v>25000</v>
      </c>
      <c r="G1140" s="597">
        <v>200000</v>
      </c>
      <c r="H1140" s="592" t="s">
        <v>1397</v>
      </c>
    </row>
    <row r="1141" spans="1:8" ht="24.75" customHeight="1" x14ac:dyDescent="0.55000000000000004">
      <c r="A1141" s="592">
        <v>1140</v>
      </c>
      <c r="B1141" s="596" t="s">
        <v>2490</v>
      </c>
      <c r="C1141" s="592" t="s">
        <v>2491</v>
      </c>
      <c r="D1141" s="592">
        <v>16</v>
      </c>
      <c r="E1141" s="597">
        <v>7000</v>
      </c>
      <c r="F1141" s="597">
        <v>7000</v>
      </c>
      <c r="G1141" s="597">
        <v>88000</v>
      </c>
      <c r="H1141" s="592" t="s">
        <v>1397</v>
      </c>
    </row>
    <row r="1142" spans="1:8" ht="24.75" customHeight="1" x14ac:dyDescent="0.55000000000000004">
      <c r="A1142" s="592">
        <v>1141</v>
      </c>
      <c r="B1142" s="596" t="s">
        <v>4237</v>
      </c>
      <c r="C1142" s="592" t="s">
        <v>4238</v>
      </c>
      <c r="D1142" s="592">
        <v>1</v>
      </c>
      <c r="E1142" s="597">
        <v>20000</v>
      </c>
      <c r="F1142" s="597">
        <v>20000</v>
      </c>
      <c r="G1142" s="597">
        <v>17500</v>
      </c>
      <c r="H1142" s="592" t="s">
        <v>1397</v>
      </c>
    </row>
    <row r="1143" spans="1:8" ht="24.75" customHeight="1" x14ac:dyDescent="0.55000000000000004">
      <c r="A1143" s="592">
        <v>1142</v>
      </c>
      <c r="B1143" s="596" t="s">
        <v>4239</v>
      </c>
      <c r="C1143" s="592" t="s">
        <v>4240</v>
      </c>
      <c r="D1143" s="592">
        <v>1</v>
      </c>
      <c r="E1143" s="597">
        <v>8500</v>
      </c>
      <c r="F1143" s="597">
        <v>8500</v>
      </c>
      <c r="G1143" s="597">
        <v>7500</v>
      </c>
      <c r="H1143" s="592" t="s">
        <v>1397</v>
      </c>
    </row>
    <row r="1144" spans="1:8" ht="24.75" customHeight="1" x14ac:dyDescent="0.55000000000000004">
      <c r="A1144" s="592">
        <v>1143</v>
      </c>
      <c r="B1144" s="596" t="s">
        <v>6264</v>
      </c>
      <c r="C1144" s="592" t="s">
        <v>6265</v>
      </c>
      <c r="D1144" s="592">
        <v>1</v>
      </c>
      <c r="E1144" s="597">
        <v>22000</v>
      </c>
      <c r="F1144" s="597">
        <v>22000</v>
      </c>
      <c r="G1144" s="597">
        <v>16000</v>
      </c>
      <c r="H1144" s="592" t="s">
        <v>1397</v>
      </c>
    </row>
    <row r="1145" spans="1:8" ht="24.75" customHeight="1" x14ac:dyDescent="0.55000000000000004">
      <c r="A1145" s="592">
        <v>1144</v>
      </c>
      <c r="B1145" s="596" t="s">
        <v>1481</v>
      </c>
      <c r="C1145" s="592" t="s">
        <v>1482</v>
      </c>
      <c r="D1145" s="592">
        <v>16</v>
      </c>
      <c r="E1145" s="597">
        <v>15000</v>
      </c>
      <c r="F1145" s="597">
        <v>15000</v>
      </c>
      <c r="G1145" s="597">
        <v>200000</v>
      </c>
      <c r="H1145" s="592" t="s">
        <v>1397</v>
      </c>
    </row>
    <row r="1146" spans="1:8" ht="24.75" customHeight="1" x14ac:dyDescent="0.55000000000000004">
      <c r="A1146" s="592">
        <v>1145</v>
      </c>
      <c r="B1146" s="596" t="s">
        <v>4241</v>
      </c>
      <c r="C1146" s="592" t="s">
        <v>7609</v>
      </c>
      <c r="D1146" s="592">
        <v>2</v>
      </c>
      <c r="E1146" s="597">
        <v>15000</v>
      </c>
      <c r="F1146" s="597">
        <v>15000</v>
      </c>
      <c r="G1146" s="597">
        <v>20000</v>
      </c>
      <c r="H1146" s="592" t="s">
        <v>1397</v>
      </c>
    </row>
    <row r="1147" spans="1:8" ht="24.75" customHeight="1" x14ac:dyDescent="0.55000000000000004">
      <c r="A1147" s="592">
        <v>1146</v>
      </c>
      <c r="B1147" s="596" t="s">
        <v>4242</v>
      </c>
      <c r="C1147" s="592" t="s">
        <v>4243</v>
      </c>
      <c r="D1147" s="592">
        <v>2</v>
      </c>
      <c r="E1147" s="597">
        <v>8000</v>
      </c>
      <c r="F1147" s="597">
        <v>8000</v>
      </c>
      <c r="G1147" s="597">
        <v>7600</v>
      </c>
      <c r="H1147" s="592" t="s">
        <v>1397</v>
      </c>
    </row>
    <row r="1148" spans="1:8" ht="24.75" customHeight="1" x14ac:dyDescent="0.55000000000000004">
      <c r="A1148" s="592">
        <v>1147</v>
      </c>
      <c r="B1148" s="596" t="s">
        <v>1483</v>
      </c>
      <c r="C1148" s="592" t="s">
        <v>1484</v>
      </c>
      <c r="D1148" s="592">
        <v>2</v>
      </c>
      <c r="E1148" s="597">
        <v>15000</v>
      </c>
      <c r="F1148" s="597">
        <v>15000</v>
      </c>
      <c r="G1148" s="597">
        <v>21000</v>
      </c>
      <c r="H1148" s="592" t="s">
        <v>1397</v>
      </c>
    </row>
    <row r="1149" spans="1:8" ht="24.75" customHeight="1" x14ac:dyDescent="0.55000000000000004">
      <c r="A1149" s="592">
        <v>1148</v>
      </c>
      <c r="B1149" s="596" t="s">
        <v>1485</v>
      </c>
      <c r="C1149" s="592" t="s">
        <v>1486</v>
      </c>
      <c r="D1149" s="592">
        <v>19</v>
      </c>
      <c r="E1149" s="597">
        <v>2000</v>
      </c>
      <c r="F1149" s="597">
        <v>2000</v>
      </c>
      <c r="G1149" s="597">
        <v>15200</v>
      </c>
      <c r="H1149" s="592" t="s">
        <v>1397</v>
      </c>
    </row>
    <row r="1150" spans="1:8" ht="24.75" customHeight="1" x14ac:dyDescent="0.55000000000000004">
      <c r="A1150" s="592">
        <v>1149</v>
      </c>
      <c r="B1150" s="596" t="s">
        <v>8765</v>
      </c>
      <c r="C1150" s="592" t="s">
        <v>8766</v>
      </c>
      <c r="D1150" s="592">
        <v>1</v>
      </c>
      <c r="E1150" s="597">
        <v>17000</v>
      </c>
      <c r="F1150" s="597">
        <v>17000</v>
      </c>
      <c r="G1150" s="597">
        <v>11000</v>
      </c>
      <c r="H1150" s="592" t="s">
        <v>1397</v>
      </c>
    </row>
    <row r="1151" spans="1:8" ht="24.75" customHeight="1" x14ac:dyDescent="0.55000000000000004">
      <c r="A1151" s="592">
        <v>1150</v>
      </c>
      <c r="B1151" s="596" t="s">
        <v>7076</v>
      </c>
      <c r="C1151" s="592" t="s">
        <v>7077</v>
      </c>
      <c r="D1151" s="592">
        <v>12</v>
      </c>
      <c r="E1151" s="597">
        <v>3200</v>
      </c>
      <c r="F1151" s="597">
        <v>3200</v>
      </c>
      <c r="G1151" s="597">
        <v>25200</v>
      </c>
      <c r="H1151" s="592" t="s">
        <v>1397</v>
      </c>
    </row>
    <row r="1152" spans="1:8" ht="24.75" customHeight="1" x14ac:dyDescent="0.55000000000000004">
      <c r="A1152" s="592">
        <v>1151</v>
      </c>
      <c r="B1152" s="596" t="s">
        <v>4244</v>
      </c>
      <c r="C1152" s="592" t="s">
        <v>4245</v>
      </c>
      <c r="D1152" s="592">
        <v>2</v>
      </c>
      <c r="E1152" s="597">
        <v>15000</v>
      </c>
      <c r="F1152" s="597">
        <v>15000</v>
      </c>
      <c r="G1152" s="597">
        <v>24000</v>
      </c>
      <c r="H1152" s="592" t="s">
        <v>1397</v>
      </c>
    </row>
    <row r="1153" spans="1:8" ht="24.75" customHeight="1" x14ac:dyDescent="0.55000000000000004">
      <c r="A1153" s="592">
        <v>1152</v>
      </c>
      <c r="B1153" s="596" t="s">
        <v>6266</v>
      </c>
      <c r="C1153" s="592" t="s">
        <v>6267</v>
      </c>
      <c r="D1153" s="592">
        <v>1</v>
      </c>
      <c r="E1153" s="597">
        <v>155000</v>
      </c>
      <c r="F1153" s="597">
        <v>155000</v>
      </c>
      <c r="G1153" s="597">
        <v>130000</v>
      </c>
      <c r="H1153" s="592" t="s">
        <v>1397</v>
      </c>
    </row>
    <row r="1154" spans="1:8" ht="24.75" customHeight="1" x14ac:dyDescent="0.55000000000000004">
      <c r="A1154" s="592">
        <v>1153</v>
      </c>
      <c r="B1154" s="596" t="s">
        <v>1487</v>
      </c>
      <c r="C1154" s="592" t="s">
        <v>1488</v>
      </c>
      <c r="D1154" s="592">
        <v>1</v>
      </c>
      <c r="E1154" s="597">
        <v>90000</v>
      </c>
      <c r="F1154" s="597">
        <v>90000</v>
      </c>
      <c r="G1154" s="597">
        <v>70000</v>
      </c>
      <c r="H1154" s="592" t="s">
        <v>1397</v>
      </c>
    </row>
    <row r="1155" spans="1:8" ht="24.75" customHeight="1" x14ac:dyDescent="0.55000000000000004">
      <c r="A1155" s="592">
        <v>1154</v>
      </c>
      <c r="B1155" s="596" t="s">
        <v>4246</v>
      </c>
      <c r="C1155" s="592" t="s">
        <v>4247</v>
      </c>
      <c r="D1155" s="592">
        <v>1</v>
      </c>
      <c r="E1155" s="597">
        <v>7000</v>
      </c>
      <c r="F1155" s="597">
        <v>7000</v>
      </c>
      <c r="G1155" s="597">
        <v>5800</v>
      </c>
      <c r="H1155" s="592" t="s">
        <v>1397</v>
      </c>
    </row>
    <row r="1156" spans="1:8" ht="24.75" customHeight="1" x14ac:dyDescent="0.55000000000000004">
      <c r="A1156" s="592">
        <v>1155</v>
      </c>
      <c r="B1156" s="596" t="s">
        <v>4248</v>
      </c>
      <c r="C1156" s="592" t="s">
        <v>4249</v>
      </c>
      <c r="D1156" s="592">
        <v>1</v>
      </c>
      <c r="E1156" s="597">
        <v>35000</v>
      </c>
      <c r="F1156" s="597">
        <v>35000</v>
      </c>
      <c r="G1156" s="597">
        <v>23000</v>
      </c>
      <c r="H1156" s="592" t="s">
        <v>1397</v>
      </c>
    </row>
    <row r="1157" spans="1:8" ht="24.75" customHeight="1" x14ac:dyDescent="0.55000000000000004">
      <c r="A1157" s="592">
        <v>1156</v>
      </c>
      <c r="B1157" s="596" t="s">
        <v>7078</v>
      </c>
      <c r="C1157" s="592" t="s">
        <v>7079</v>
      </c>
      <c r="D1157" s="592">
        <v>1</v>
      </c>
      <c r="E1157" s="597">
        <v>2500</v>
      </c>
      <c r="F1157" s="597">
        <v>2500</v>
      </c>
      <c r="G1157" s="597">
        <v>1800</v>
      </c>
      <c r="H1157" s="592" t="s">
        <v>1397</v>
      </c>
    </row>
    <row r="1158" spans="1:8" ht="24.75" customHeight="1" x14ac:dyDescent="0.55000000000000004">
      <c r="A1158" s="592">
        <v>1157</v>
      </c>
      <c r="B1158" s="596" t="s">
        <v>4252</v>
      </c>
      <c r="C1158" s="592" t="s">
        <v>4253</v>
      </c>
      <c r="D1158" s="592">
        <v>1</v>
      </c>
      <c r="E1158" s="597">
        <v>19000</v>
      </c>
      <c r="F1158" s="597">
        <v>19000</v>
      </c>
      <c r="G1158" s="597">
        <v>14000</v>
      </c>
      <c r="H1158" s="592" t="s">
        <v>1397</v>
      </c>
    </row>
    <row r="1159" spans="1:8" ht="24.75" customHeight="1" x14ac:dyDescent="0.55000000000000004">
      <c r="A1159" s="592">
        <v>1158</v>
      </c>
      <c r="B1159" s="596" t="s">
        <v>4254</v>
      </c>
      <c r="C1159" s="592" t="s">
        <v>4247</v>
      </c>
      <c r="D1159" s="592">
        <v>1</v>
      </c>
      <c r="E1159" s="597">
        <v>10000</v>
      </c>
      <c r="F1159" s="597">
        <v>10000</v>
      </c>
      <c r="G1159" s="597">
        <v>5500</v>
      </c>
      <c r="H1159" s="592" t="s">
        <v>1397</v>
      </c>
    </row>
    <row r="1160" spans="1:8" ht="24.75" customHeight="1" x14ac:dyDescent="0.55000000000000004">
      <c r="A1160" s="592">
        <v>1159</v>
      </c>
      <c r="B1160" s="596" t="s">
        <v>4255</v>
      </c>
      <c r="C1160" s="592" t="s">
        <v>7610</v>
      </c>
      <c r="D1160" s="592">
        <v>1</v>
      </c>
      <c r="E1160" s="597">
        <v>27000</v>
      </c>
      <c r="F1160" s="597">
        <v>27000</v>
      </c>
      <c r="G1160" s="597">
        <v>25665</v>
      </c>
      <c r="H1160" s="592" t="s">
        <v>1397</v>
      </c>
    </row>
    <row r="1161" spans="1:8" ht="24.75" customHeight="1" x14ac:dyDescent="0.55000000000000004">
      <c r="A1161" s="592">
        <v>1160</v>
      </c>
      <c r="B1161" s="596" t="s">
        <v>4256</v>
      </c>
      <c r="C1161" s="592" t="s">
        <v>4257</v>
      </c>
      <c r="D1161" s="592">
        <v>2</v>
      </c>
      <c r="E1161" s="597">
        <v>3000</v>
      </c>
      <c r="F1161" s="597">
        <v>3000</v>
      </c>
      <c r="G1161" s="597">
        <v>5000</v>
      </c>
      <c r="H1161" s="592" t="s">
        <v>1397</v>
      </c>
    </row>
    <row r="1162" spans="1:8" ht="24.75" customHeight="1" x14ac:dyDescent="0.55000000000000004">
      <c r="A1162" s="592">
        <v>1161</v>
      </c>
      <c r="B1162" s="596" t="s">
        <v>4258</v>
      </c>
      <c r="C1162" s="592" t="s">
        <v>4259</v>
      </c>
      <c r="D1162" s="592">
        <v>3</v>
      </c>
      <c r="E1162" s="597">
        <v>18000</v>
      </c>
      <c r="F1162" s="597">
        <v>18000</v>
      </c>
      <c r="G1162" s="597">
        <v>45000</v>
      </c>
      <c r="H1162" s="592" t="s">
        <v>1397</v>
      </c>
    </row>
    <row r="1163" spans="1:8" ht="24.75" customHeight="1" x14ac:dyDescent="0.55000000000000004">
      <c r="A1163" s="592">
        <v>1162</v>
      </c>
      <c r="B1163" s="596" t="s">
        <v>4260</v>
      </c>
      <c r="C1163" s="592" t="s">
        <v>4261</v>
      </c>
      <c r="D1163" s="592">
        <v>1</v>
      </c>
      <c r="E1163" s="597">
        <v>15000</v>
      </c>
      <c r="F1163" s="597">
        <v>15000</v>
      </c>
      <c r="G1163" s="597">
        <v>12000</v>
      </c>
      <c r="H1163" s="592" t="s">
        <v>1397</v>
      </c>
    </row>
    <row r="1164" spans="1:8" ht="24.75" customHeight="1" x14ac:dyDescent="0.55000000000000004">
      <c r="A1164" s="592">
        <v>1163</v>
      </c>
      <c r="B1164" s="596" t="s">
        <v>7080</v>
      </c>
      <c r="C1164" s="592" t="s">
        <v>7081</v>
      </c>
      <c r="D1164" s="592">
        <v>4</v>
      </c>
      <c r="E1164" s="597">
        <v>1500</v>
      </c>
      <c r="F1164" s="597">
        <v>1500</v>
      </c>
      <c r="G1164" s="597">
        <v>4000</v>
      </c>
      <c r="H1164" s="592" t="s">
        <v>1397</v>
      </c>
    </row>
    <row r="1165" spans="1:8" ht="24.75" customHeight="1" x14ac:dyDescent="0.55000000000000004">
      <c r="A1165" s="592">
        <v>1164</v>
      </c>
      <c r="B1165" s="596" t="s">
        <v>7082</v>
      </c>
      <c r="C1165" s="592" t="s">
        <v>7083</v>
      </c>
      <c r="D1165" s="592">
        <v>2</v>
      </c>
      <c r="E1165" s="597">
        <v>3000</v>
      </c>
      <c r="F1165" s="597">
        <v>3000</v>
      </c>
      <c r="G1165" s="597">
        <v>3564</v>
      </c>
      <c r="H1165" s="592" t="s">
        <v>1397</v>
      </c>
    </row>
    <row r="1166" spans="1:8" ht="24.75" customHeight="1" x14ac:dyDescent="0.55000000000000004">
      <c r="A1166" s="592">
        <v>1165</v>
      </c>
      <c r="B1166" s="596" t="s">
        <v>4262</v>
      </c>
      <c r="C1166" s="592" t="s">
        <v>7611</v>
      </c>
      <c r="D1166" s="592">
        <v>1</v>
      </c>
      <c r="E1166" s="597">
        <v>18000</v>
      </c>
      <c r="F1166" s="597">
        <v>18000</v>
      </c>
      <c r="G1166" s="597">
        <v>16830</v>
      </c>
      <c r="H1166" s="592" t="s">
        <v>1397</v>
      </c>
    </row>
    <row r="1167" spans="1:8" ht="24.75" customHeight="1" x14ac:dyDescent="0.55000000000000004">
      <c r="A1167" s="592">
        <v>1166</v>
      </c>
      <c r="B1167" s="596" t="s">
        <v>6449</v>
      </c>
      <c r="C1167" s="592" t="s">
        <v>6450</v>
      </c>
      <c r="D1167" s="592">
        <v>2</v>
      </c>
      <c r="E1167" s="597">
        <v>7000</v>
      </c>
      <c r="F1167" s="597">
        <v>7000</v>
      </c>
      <c r="G1167" s="597">
        <v>10000</v>
      </c>
      <c r="H1167" s="592" t="s">
        <v>1397</v>
      </c>
    </row>
    <row r="1168" spans="1:8" ht="24.75" customHeight="1" x14ac:dyDescent="0.55000000000000004">
      <c r="A1168" s="592">
        <v>1167</v>
      </c>
      <c r="B1168" s="596" t="s">
        <v>6451</v>
      </c>
      <c r="C1168" s="592" t="s">
        <v>7612</v>
      </c>
      <c r="D1168" s="592">
        <v>2</v>
      </c>
      <c r="E1168" s="597">
        <v>74000</v>
      </c>
      <c r="F1168" s="597">
        <v>74000</v>
      </c>
      <c r="G1168" s="597">
        <v>130000</v>
      </c>
      <c r="H1168" s="592" t="s">
        <v>1397</v>
      </c>
    </row>
    <row r="1169" spans="1:8" ht="24.75" customHeight="1" x14ac:dyDescent="0.55000000000000004">
      <c r="A1169" s="592">
        <v>1168</v>
      </c>
      <c r="B1169" s="596" t="s">
        <v>4263</v>
      </c>
      <c r="C1169" s="592" t="s">
        <v>4264</v>
      </c>
      <c r="D1169" s="592">
        <v>5</v>
      </c>
      <c r="E1169" s="597">
        <v>8500</v>
      </c>
      <c r="F1169" s="597">
        <v>8500</v>
      </c>
      <c r="G1169" s="597">
        <v>22500</v>
      </c>
      <c r="H1169" s="592" t="s">
        <v>1397</v>
      </c>
    </row>
    <row r="1170" spans="1:8" ht="24.75" customHeight="1" x14ac:dyDescent="0.55000000000000004">
      <c r="A1170" s="592">
        <v>1169</v>
      </c>
      <c r="B1170" s="596" t="s">
        <v>3131</v>
      </c>
      <c r="C1170" s="592" t="s">
        <v>7613</v>
      </c>
      <c r="D1170" s="592">
        <v>10</v>
      </c>
      <c r="E1170" s="597">
        <v>18000</v>
      </c>
      <c r="F1170" s="597">
        <v>18000</v>
      </c>
      <c r="G1170" s="597">
        <v>125270</v>
      </c>
      <c r="H1170" s="592" t="s">
        <v>1397</v>
      </c>
    </row>
    <row r="1171" spans="1:8" ht="24.75" customHeight="1" x14ac:dyDescent="0.55000000000000004">
      <c r="A1171" s="592">
        <v>1170</v>
      </c>
      <c r="B1171" s="596" t="s">
        <v>3132</v>
      </c>
      <c r="C1171" s="592" t="s">
        <v>3133</v>
      </c>
      <c r="D1171" s="592">
        <v>2</v>
      </c>
      <c r="E1171" s="597">
        <v>35000</v>
      </c>
      <c r="F1171" s="597">
        <v>35000</v>
      </c>
      <c r="G1171" s="597">
        <v>45400</v>
      </c>
      <c r="H1171" s="592" t="s">
        <v>1397</v>
      </c>
    </row>
    <row r="1172" spans="1:8" ht="24.75" customHeight="1" x14ac:dyDescent="0.55000000000000004">
      <c r="A1172" s="592">
        <v>1171</v>
      </c>
      <c r="B1172" s="596" t="s">
        <v>1489</v>
      </c>
      <c r="C1172" s="592" t="s">
        <v>3431</v>
      </c>
      <c r="D1172" s="592">
        <v>3</v>
      </c>
      <c r="E1172" s="597">
        <v>30000</v>
      </c>
      <c r="F1172" s="597">
        <v>30000</v>
      </c>
      <c r="G1172" s="597">
        <v>60000</v>
      </c>
      <c r="H1172" s="592" t="s">
        <v>1397</v>
      </c>
    </row>
    <row r="1173" spans="1:8" ht="24.75" customHeight="1" x14ac:dyDescent="0.55000000000000004">
      <c r="A1173" s="592">
        <v>1172</v>
      </c>
      <c r="B1173" s="596" t="s">
        <v>1490</v>
      </c>
      <c r="C1173" s="592" t="s">
        <v>1031</v>
      </c>
      <c r="D1173" s="592">
        <v>8</v>
      </c>
      <c r="E1173" s="597">
        <v>35000</v>
      </c>
      <c r="F1173" s="597">
        <v>35000</v>
      </c>
      <c r="G1173" s="597">
        <v>172000</v>
      </c>
      <c r="H1173" s="592" t="s">
        <v>1397</v>
      </c>
    </row>
    <row r="1174" spans="1:8" ht="24.75" customHeight="1" x14ac:dyDescent="0.55000000000000004">
      <c r="A1174" s="592">
        <v>1173</v>
      </c>
      <c r="B1174" s="596" t="s">
        <v>1491</v>
      </c>
      <c r="C1174" s="592" t="s">
        <v>948</v>
      </c>
      <c r="D1174" s="592">
        <v>5</v>
      </c>
      <c r="E1174" s="597">
        <v>4000</v>
      </c>
      <c r="F1174" s="597">
        <v>4000</v>
      </c>
      <c r="G1174" s="597">
        <v>15000</v>
      </c>
      <c r="H1174" s="592" t="s">
        <v>1397</v>
      </c>
    </row>
    <row r="1175" spans="1:8" ht="24.75" customHeight="1" x14ac:dyDescent="0.55000000000000004">
      <c r="A1175" s="592">
        <v>1174</v>
      </c>
      <c r="B1175" s="596" t="s">
        <v>1492</v>
      </c>
      <c r="C1175" s="592" t="s">
        <v>1493</v>
      </c>
      <c r="D1175" s="592">
        <v>15</v>
      </c>
      <c r="E1175" s="597">
        <v>5000</v>
      </c>
      <c r="F1175" s="597">
        <v>5000</v>
      </c>
      <c r="G1175" s="597">
        <v>37500</v>
      </c>
      <c r="H1175" s="592" t="s">
        <v>1397</v>
      </c>
    </row>
    <row r="1176" spans="1:8" ht="24.75" customHeight="1" x14ac:dyDescent="0.55000000000000004">
      <c r="A1176" s="592">
        <v>1175</v>
      </c>
      <c r="B1176" s="596" t="s">
        <v>1494</v>
      </c>
      <c r="C1176" s="592" t="s">
        <v>947</v>
      </c>
      <c r="D1176" s="592">
        <v>10</v>
      </c>
      <c r="E1176" s="597">
        <v>21000</v>
      </c>
      <c r="F1176" s="597">
        <v>21000</v>
      </c>
      <c r="G1176" s="597">
        <v>135000</v>
      </c>
      <c r="H1176" s="592" t="s">
        <v>1397</v>
      </c>
    </row>
    <row r="1177" spans="1:8" ht="24.75" customHeight="1" x14ac:dyDescent="0.55000000000000004">
      <c r="A1177" s="592">
        <v>1176</v>
      </c>
      <c r="B1177" s="596" t="s">
        <v>3134</v>
      </c>
      <c r="C1177" s="592" t="s">
        <v>3135</v>
      </c>
      <c r="D1177" s="592">
        <v>23</v>
      </c>
      <c r="E1177" s="597">
        <v>3500</v>
      </c>
      <c r="F1177" s="597">
        <v>3500</v>
      </c>
      <c r="G1177" s="597">
        <v>52900</v>
      </c>
      <c r="H1177" s="592" t="s">
        <v>1397</v>
      </c>
    </row>
    <row r="1178" spans="1:8" ht="24.75" customHeight="1" x14ac:dyDescent="0.55000000000000004">
      <c r="A1178" s="592">
        <v>1177</v>
      </c>
      <c r="B1178" s="596" t="s">
        <v>4267</v>
      </c>
      <c r="C1178" s="592" t="s">
        <v>4268</v>
      </c>
      <c r="D1178" s="592">
        <v>7</v>
      </c>
      <c r="E1178" s="597">
        <v>14500</v>
      </c>
      <c r="F1178" s="597">
        <v>14500</v>
      </c>
      <c r="G1178" s="597">
        <v>59500</v>
      </c>
      <c r="H1178" s="592" t="s">
        <v>1397</v>
      </c>
    </row>
    <row r="1179" spans="1:8" ht="24.75" customHeight="1" x14ac:dyDescent="0.55000000000000004">
      <c r="A1179" s="592">
        <v>1178</v>
      </c>
      <c r="B1179" s="596" t="s">
        <v>1495</v>
      </c>
      <c r="C1179" s="592" t="s">
        <v>946</v>
      </c>
      <c r="D1179" s="592">
        <v>20</v>
      </c>
      <c r="E1179" s="597">
        <v>5000</v>
      </c>
      <c r="F1179" s="597">
        <v>5000</v>
      </c>
      <c r="G1179" s="597">
        <v>73600</v>
      </c>
      <c r="H1179" s="592" t="s">
        <v>1397</v>
      </c>
    </row>
    <row r="1180" spans="1:8" ht="24.75" customHeight="1" x14ac:dyDescent="0.55000000000000004">
      <c r="A1180" s="592">
        <v>1179</v>
      </c>
      <c r="B1180" s="596" t="s">
        <v>1496</v>
      </c>
      <c r="C1180" s="592" t="s">
        <v>1497</v>
      </c>
      <c r="D1180" s="592">
        <v>20</v>
      </c>
      <c r="E1180" s="597">
        <v>6000</v>
      </c>
      <c r="F1180" s="597">
        <v>6000</v>
      </c>
      <c r="G1180" s="597">
        <v>66000</v>
      </c>
      <c r="H1180" s="592" t="s">
        <v>1397</v>
      </c>
    </row>
    <row r="1181" spans="1:8" ht="24.75" customHeight="1" x14ac:dyDescent="0.55000000000000004">
      <c r="A1181" s="592">
        <v>1180</v>
      </c>
      <c r="B1181" s="596" t="s">
        <v>1498</v>
      </c>
      <c r="C1181" s="592" t="s">
        <v>977</v>
      </c>
      <c r="D1181" s="592">
        <v>43</v>
      </c>
      <c r="E1181" s="597">
        <v>2500</v>
      </c>
      <c r="F1181" s="597">
        <v>2500</v>
      </c>
      <c r="G1181" s="597">
        <v>71079</v>
      </c>
      <c r="H1181" s="592" t="s">
        <v>1397</v>
      </c>
    </row>
    <row r="1182" spans="1:8" ht="24.75" customHeight="1" x14ac:dyDescent="0.55000000000000004">
      <c r="A1182" s="592">
        <v>1181</v>
      </c>
      <c r="B1182" s="596" t="s">
        <v>1499</v>
      </c>
      <c r="C1182" s="592" t="s">
        <v>949</v>
      </c>
      <c r="D1182" s="592">
        <v>6</v>
      </c>
      <c r="E1182" s="597">
        <v>18000</v>
      </c>
      <c r="F1182" s="597">
        <v>18000</v>
      </c>
      <c r="G1182" s="597">
        <v>60000</v>
      </c>
      <c r="H1182" s="592" t="s">
        <v>1397</v>
      </c>
    </row>
    <row r="1183" spans="1:8" ht="24.75" customHeight="1" x14ac:dyDescent="0.55000000000000004">
      <c r="A1183" s="592">
        <v>1182</v>
      </c>
      <c r="B1183" s="596" t="s">
        <v>1500</v>
      </c>
      <c r="C1183" s="592" t="s">
        <v>950</v>
      </c>
      <c r="D1183" s="592">
        <v>3</v>
      </c>
      <c r="E1183" s="597">
        <v>3800</v>
      </c>
      <c r="F1183" s="597">
        <v>3800</v>
      </c>
      <c r="G1183" s="597">
        <v>6000</v>
      </c>
      <c r="H1183" s="592" t="s">
        <v>1397</v>
      </c>
    </row>
    <row r="1184" spans="1:8" ht="24.75" customHeight="1" x14ac:dyDescent="0.55000000000000004">
      <c r="A1184" s="592">
        <v>1183</v>
      </c>
      <c r="B1184" s="596" t="s">
        <v>1501</v>
      </c>
      <c r="C1184" s="592" t="s">
        <v>951</v>
      </c>
      <c r="D1184" s="592">
        <v>2</v>
      </c>
      <c r="E1184" s="597">
        <v>22000</v>
      </c>
      <c r="F1184" s="597">
        <v>22000</v>
      </c>
      <c r="G1184" s="597">
        <v>27000</v>
      </c>
      <c r="H1184" s="592" t="s">
        <v>1397</v>
      </c>
    </row>
    <row r="1185" spans="1:8" ht="24.75" customHeight="1" x14ac:dyDescent="0.55000000000000004">
      <c r="A1185" s="592">
        <v>1184</v>
      </c>
      <c r="B1185" s="596" t="s">
        <v>1502</v>
      </c>
      <c r="C1185" s="592" t="s">
        <v>1503</v>
      </c>
      <c r="D1185" s="592">
        <v>18</v>
      </c>
      <c r="E1185" s="597">
        <v>22000</v>
      </c>
      <c r="F1185" s="597">
        <v>22000</v>
      </c>
      <c r="G1185" s="597">
        <v>180000</v>
      </c>
      <c r="H1185" s="592" t="s">
        <v>1397</v>
      </c>
    </row>
    <row r="1186" spans="1:8" ht="24.75" customHeight="1" x14ac:dyDescent="0.55000000000000004">
      <c r="A1186" s="592">
        <v>1185</v>
      </c>
      <c r="B1186" s="596" t="s">
        <v>1504</v>
      </c>
      <c r="C1186" s="592" t="s">
        <v>1505</v>
      </c>
      <c r="D1186" s="592">
        <v>56</v>
      </c>
      <c r="E1186" s="597">
        <v>6500</v>
      </c>
      <c r="F1186" s="597">
        <v>6500</v>
      </c>
      <c r="G1186" s="597">
        <v>196000</v>
      </c>
      <c r="H1186" s="592" t="s">
        <v>1397</v>
      </c>
    </row>
    <row r="1187" spans="1:8" ht="24.75" customHeight="1" x14ac:dyDescent="0.55000000000000004">
      <c r="A1187" s="592">
        <v>1186</v>
      </c>
      <c r="B1187" s="596" t="s">
        <v>4269</v>
      </c>
      <c r="C1187" s="592" t="s">
        <v>4270</v>
      </c>
      <c r="D1187" s="592">
        <v>3</v>
      </c>
      <c r="E1187" s="597">
        <v>2000</v>
      </c>
      <c r="F1187" s="597">
        <v>2000</v>
      </c>
      <c r="G1187" s="597">
        <v>4500</v>
      </c>
      <c r="H1187" s="592" t="s">
        <v>1397</v>
      </c>
    </row>
    <row r="1188" spans="1:8" ht="24.75" customHeight="1" x14ac:dyDescent="0.55000000000000004">
      <c r="A1188" s="592">
        <v>1187</v>
      </c>
      <c r="B1188" s="596" t="s">
        <v>4271</v>
      </c>
      <c r="C1188" s="592" t="s">
        <v>7614</v>
      </c>
      <c r="D1188" s="592">
        <v>17</v>
      </c>
      <c r="E1188" s="597">
        <v>1000</v>
      </c>
      <c r="F1188" s="597">
        <v>1000</v>
      </c>
      <c r="G1188" s="597">
        <v>7650</v>
      </c>
      <c r="H1188" s="592" t="s">
        <v>1397</v>
      </c>
    </row>
    <row r="1189" spans="1:8" ht="24.75" customHeight="1" x14ac:dyDescent="0.55000000000000004">
      <c r="A1189" s="592">
        <v>1188</v>
      </c>
      <c r="B1189" s="596" t="s">
        <v>6562</v>
      </c>
      <c r="C1189" s="592" t="s">
        <v>3136</v>
      </c>
      <c r="D1189" s="592">
        <v>5</v>
      </c>
      <c r="E1189" s="597">
        <v>3900</v>
      </c>
      <c r="F1189" s="597">
        <v>3900</v>
      </c>
      <c r="G1189" s="597">
        <v>10000</v>
      </c>
      <c r="H1189" s="592" t="s">
        <v>1397</v>
      </c>
    </row>
    <row r="1190" spans="1:8" ht="24.75" customHeight="1" x14ac:dyDescent="0.55000000000000004">
      <c r="A1190" s="592">
        <v>1189</v>
      </c>
      <c r="B1190" s="596" t="s">
        <v>1506</v>
      </c>
      <c r="C1190" s="592" t="s">
        <v>1507</v>
      </c>
      <c r="D1190" s="592">
        <v>3</v>
      </c>
      <c r="E1190" s="597">
        <v>10000</v>
      </c>
      <c r="F1190" s="597">
        <v>10000</v>
      </c>
      <c r="G1190" s="597">
        <v>24000</v>
      </c>
      <c r="H1190" s="592" t="s">
        <v>1397</v>
      </c>
    </row>
    <row r="1191" spans="1:8" ht="24.75" customHeight="1" x14ac:dyDescent="0.55000000000000004">
      <c r="A1191" s="592">
        <v>1190</v>
      </c>
      <c r="B1191" s="596" t="s">
        <v>4272</v>
      </c>
      <c r="C1191" s="592" t="s">
        <v>4273</v>
      </c>
      <c r="D1191" s="592">
        <v>3</v>
      </c>
      <c r="E1191" s="597">
        <v>3000</v>
      </c>
      <c r="F1191" s="597">
        <v>3000</v>
      </c>
      <c r="G1191" s="597">
        <v>4950</v>
      </c>
      <c r="H1191" s="592" t="s">
        <v>1397</v>
      </c>
    </row>
    <row r="1192" spans="1:8" ht="24.75" customHeight="1" x14ac:dyDescent="0.55000000000000004">
      <c r="A1192" s="592">
        <v>1191</v>
      </c>
      <c r="B1192" s="596" t="s">
        <v>4274</v>
      </c>
      <c r="C1192" s="592" t="s">
        <v>4275</v>
      </c>
      <c r="D1192" s="592">
        <v>1</v>
      </c>
      <c r="E1192" s="597">
        <v>6000</v>
      </c>
      <c r="F1192" s="597">
        <v>6000</v>
      </c>
      <c r="G1192" s="597">
        <v>4800</v>
      </c>
      <c r="H1192" s="592" t="s">
        <v>1397</v>
      </c>
    </row>
    <row r="1193" spans="1:8" ht="24.75" customHeight="1" x14ac:dyDescent="0.55000000000000004">
      <c r="A1193" s="592">
        <v>1192</v>
      </c>
      <c r="B1193" s="596" t="s">
        <v>4276</v>
      </c>
      <c r="C1193" s="592" t="s">
        <v>4277</v>
      </c>
      <c r="D1193" s="592">
        <v>2</v>
      </c>
      <c r="E1193" s="597">
        <v>3600</v>
      </c>
      <c r="F1193" s="597">
        <v>3600</v>
      </c>
      <c r="G1193" s="597">
        <v>5500</v>
      </c>
      <c r="H1193" s="592" t="s">
        <v>1397</v>
      </c>
    </row>
    <row r="1194" spans="1:8" ht="24.75" customHeight="1" x14ac:dyDescent="0.55000000000000004">
      <c r="A1194" s="592">
        <v>1193</v>
      </c>
      <c r="B1194" s="596" t="s">
        <v>1508</v>
      </c>
      <c r="C1194" s="592" t="s">
        <v>1509</v>
      </c>
      <c r="D1194" s="592">
        <v>9</v>
      </c>
      <c r="E1194" s="597">
        <v>20200</v>
      </c>
      <c r="F1194" s="597">
        <v>20200</v>
      </c>
      <c r="G1194" s="597">
        <v>117000</v>
      </c>
      <c r="H1194" s="592" t="s">
        <v>1397</v>
      </c>
    </row>
    <row r="1195" spans="1:8" ht="24.75" customHeight="1" x14ac:dyDescent="0.55000000000000004">
      <c r="A1195" s="592">
        <v>1194</v>
      </c>
      <c r="B1195" s="596" t="s">
        <v>1510</v>
      </c>
      <c r="C1195" s="592" t="s">
        <v>7347</v>
      </c>
      <c r="D1195" s="592">
        <v>4</v>
      </c>
      <c r="E1195" s="597">
        <v>18000</v>
      </c>
      <c r="F1195" s="597">
        <v>18000</v>
      </c>
      <c r="G1195" s="597">
        <v>44800</v>
      </c>
      <c r="H1195" s="592" t="s">
        <v>1397</v>
      </c>
    </row>
    <row r="1196" spans="1:8" ht="24.75" customHeight="1" x14ac:dyDescent="0.55000000000000004">
      <c r="A1196" s="592">
        <v>1195</v>
      </c>
      <c r="B1196" s="596" t="s">
        <v>1511</v>
      </c>
      <c r="C1196" s="592" t="s">
        <v>955</v>
      </c>
      <c r="D1196" s="592">
        <v>11</v>
      </c>
      <c r="E1196" s="597">
        <v>20000</v>
      </c>
      <c r="F1196" s="597">
        <v>20000</v>
      </c>
      <c r="G1196" s="597">
        <v>165000</v>
      </c>
      <c r="H1196" s="592" t="s">
        <v>1397</v>
      </c>
    </row>
    <row r="1197" spans="1:8" ht="24.75" customHeight="1" x14ac:dyDescent="0.55000000000000004">
      <c r="A1197" s="592">
        <v>1196</v>
      </c>
      <c r="B1197" s="596" t="s">
        <v>1512</v>
      </c>
      <c r="C1197" s="592" t="s">
        <v>7615</v>
      </c>
      <c r="D1197" s="592">
        <v>3</v>
      </c>
      <c r="E1197" s="597">
        <v>16000</v>
      </c>
      <c r="F1197" s="597">
        <v>16000</v>
      </c>
      <c r="G1197" s="597">
        <v>35655</v>
      </c>
      <c r="H1197" s="592" t="s">
        <v>1397</v>
      </c>
    </row>
    <row r="1198" spans="1:8" ht="24.75" customHeight="1" x14ac:dyDescent="0.55000000000000004">
      <c r="A1198" s="592">
        <v>1197</v>
      </c>
      <c r="B1198" s="596" t="s">
        <v>1513</v>
      </c>
      <c r="C1198" s="592" t="s">
        <v>3137</v>
      </c>
      <c r="D1198" s="592">
        <v>5</v>
      </c>
      <c r="E1198" s="597">
        <v>6500</v>
      </c>
      <c r="F1198" s="597">
        <v>6500</v>
      </c>
      <c r="G1198" s="597">
        <v>23895</v>
      </c>
      <c r="H1198" s="592" t="s">
        <v>1397</v>
      </c>
    </row>
    <row r="1199" spans="1:8" ht="24.75" customHeight="1" x14ac:dyDescent="0.55000000000000004">
      <c r="A1199" s="592">
        <v>1198</v>
      </c>
      <c r="B1199" s="596" t="s">
        <v>1514</v>
      </c>
      <c r="C1199" s="592" t="s">
        <v>1545</v>
      </c>
      <c r="D1199" s="592">
        <v>4</v>
      </c>
      <c r="E1199" s="597">
        <v>6500</v>
      </c>
      <c r="F1199" s="597">
        <v>6500</v>
      </c>
      <c r="G1199" s="597">
        <v>22156</v>
      </c>
      <c r="H1199" s="592" t="s">
        <v>1397</v>
      </c>
    </row>
    <row r="1200" spans="1:8" ht="24.75" customHeight="1" x14ac:dyDescent="0.55000000000000004">
      <c r="A1200" s="592">
        <v>1199</v>
      </c>
      <c r="B1200" s="596" t="s">
        <v>1515</v>
      </c>
      <c r="C1200" s="592" t="s">
        <v>956</v>
      </c>
      <c r="D1200" s="592">
        <v>10</v>
      </c>
      <c r="E1200" s="597">
        <v>23500</v>
      </c>
      <c r="F1200" s="597">
        <v>23500</v>
      </c>
      <c r="G1200" s="597">
        <v>150000</v>
      </c>
      <c r="H1200" s="592" t="s">
        <v>1397</v>
      </c>
    </row>
    <row r="1201" spans="1:8" ht="24.75" customHeight="1" x14ac:dyDescent="0.55000000000000004">
      <c r="A1201" s="592">
        <v>1200</v>
      </c>
      <c r="B1201" s="596" t="s">
        <v>1516</v>
      </c>
      <c r="C1201" s="592" t="s">
        <v>1517</v>
      </c>
      <c r="D1201" s="592">
        <v>2</v>
      </c>
      <c r="E1201" s="597">
        <v>6500</v>
      </c>
      <c r="F1201" s="597">
        <v>6500</v>
      </c>
      <c r="G1201" s="597">
        <v>6200</v>
      </c>
      <c r="H1201" s="592" t="s">
        <v>1397</v>
      </c>
    </row>
    <row r="1202" spans="1:8" ht="24.75" customHeight="1" x14ac:dyDescent="0.55000000000000004">
      <c r="A1202" s="592">
        <v>1201</v>
      </c>
      <c r="B1202" s="596" t="s">
        <v>1518</v>
      </c>
      <c r="C1202" s="592" t="s">
        <v>7616</v>
      </c>
      <c r="D1202" s="592">
        <v>27</v>
      </c>
      <c r="E1202" s="597">
        <v>1200</v>
      </c>
      <c r="F1202" s="597">
        <v>1200</v>
      </c>
      <c r="G1202" s="597">
        <v>18090</v>
      </c>
      <c r="H1202" s="592" t="s">
        <v>1397</v>
      </c>
    </row>
    <row r="1203" spans="1:8" ht="24.75" customHeight="1" x14ac:dyDescent="0.55000000000000004">
      <c r="A1203" s="592">
        <v>1202</v>
      </c>
      <c r="B1203" s="596" t="s">
        <v>4278</v>
      </c>
      <c r="C1203" s="592" t="s">
        <v>6841</v>
      </c>
      <c r="D1203" s="592">
        <v>6</v>
      </c>
      <c r="E1203" s="597">
        <v>8000</v>
      </c>
      <c r="F1203" s="597">
        <v>8000</v>
      </c>
      <c r="G1203" s="597">
        <v>40200</v>
      </c>
      <c r="H1203" s="592" t="s">
        <v>1397</v>
      </c>
    </row>
    <row r="1204" spans="1:8" ht="24.75" customHeight="1" x14ac:dyDescent="0.55000000000000004">
      <c r="A1204" s="592">
        <v>1203</v>
      </c>
      <c r="B1204" s="596" t="s">
        <v>4279</v>
      </c>
      <c r="C1204" s="592" t="s">
        <v>4280</v>
      </c>
      <c r="D1204" s="592">
        <v>1</v>
      </c>
      <c r="E1204" s="597">
        <v>60000</v>
      </c>
      <c r="F1204" s="597">
        <v>60000</v>
      </c>
      <c r="G1204" s="597">
        <v>49500</v>
      </c>
      <c r="H1204" s="592" t="s">
        <v>1397</v>
      </c>
    </row>
    <row r="1205" spans="1:8" ht="24.75" customHeight="1" x14ac:dyDescent="0.55000000000000004">
      <c r="A1205" s="592">
        <v>1204</v>
      </c>
      <c r="B1205" s="596" t="s">
        <v>4281</v>
      </c>
      <c r="C1205" s="592" t="s">
        <v>4282</v>
      </c>
      <c r="D1205" s="592">
        <v>4</v>
      </c>
      <c r="E1205" s="597">
        <v>2500</v>
      </c>
      <c r="F1205" s="597">
        <v>2500</v>
      </c>
      <c r="G1205" s="597">
        <v>6000</v>
      </c>
      <c r="H1205" s="592" t="s">
        <v>1397</v>
      </c>
    </row>
    <row r="1206" spans="1:8" ht="24.75" customHeight="1" x14ac:dyDescent="0.55000000000000004">
      <c r="A1206" s="592">
        <v>1205</v>
      </c>
      <c r="B1206" s="596" t="s">
        <v>4283</v>
      </c>
      <c r="C1206" s="592" t="s">
        <v>4284</v>
      </c>
      <c r="D1206" s="592">
        <v>4</v>
      </c>
      <c r="E1206" s="597">
        <v>500</v>
      </c>
      <c r="F1206" s="597">
        <v>500</v>
      </c>
      <c r="G1206" s="597">
        <v>1336</v>
      </c>
      <c r="H1206" s="592" t="s">
        <v>1397</v>
      </c>
    </row>
    <row r="1207" spans="1:8" ht="24.75" customHeight="1" x14ac:dyDescent="0.55000000000000004">
      <c r="A1207" s="592">
        <v>1206</v>
      </c>
      <c r="B1207" s="596" t="s">
        <v>4285</v>
      </c>
      <c r="C1207" s="592" t="s">
        <v>4286</v>
      </c>
      <c r="D1207" s="592">
        <v>1</v>
      </c>
      <c r="E1207" s="597">
        <v>250000</v>
      </c>
      <c r="F1207" s="597">
        <v>250000</v>
      </c>
      <c r="G1207" s="597">
        <v>200000</v>
      </c>
      <c r="H1207" s="592" t="s">
        <v>1397</v>
      </c>
    </row>
    <row r="1208" spans="1:8" ht="24.75" customHeight="1" x14ac:dyDescent="0.55000000000000004">
      <c r="A1208" s="592">
        <v>1207</v>
      </c>
      <c r="B1208" s="596" t="s">
        <v>4287</v>
      </c>
      <c r="C1208" s="592" t="s">
        <v>4288</v>
      </c>
      <c r="D1208" s="592">
        <v>10</v>
      </c>
      <c r="E1208" s="597">
        <v>11500</v>
      </c>
      <c r="F1208" s="597">
        <v>11500</v>
      </c>
      <c r="G1208" s="597">
        <v>40000</v>
      </c>
      <c r="H1208" s="592" t="s">
        <v>1397</v>
      </c>
    </row>
    <row r="1209" spans="1:8" ht="24.75" customHeight="1" x14ac:dyDescent="0.55000000000000004">
      <c r="A1209" s="592">
        <v>1208</v>
      </c>
      <c r="B1209" s="596" t="s">
        <v>3242</v>
      </c>
      <c r="C1209" s="592" t="s">
        <v>3243</v>
      </c>
      <c r="D1209" s="592">
        <v>1</v>
      </c>
      <c r="E1209" s="597">
        <v>3000</v>
      </c>
      <c r="F1209" s="597">
        <v>3000</v>
      </c>
      <c r="G1209" s="597">
        <v>2376</v>
      </c>
      <c r="H1209" s="592" t="s">
        <v>1397</v>
      </c>
    </row>
    <row r="1210" spans="1:8" ht="24.75" customHeight="1" x14ac:dyDescent="0.55000000000000004">
      <c r="A1210" s="592">
        <v>1209</v>
      </c>
      <c r="B1210" s="596" t="s">
        <v>7348</v>
      </c>
      <c r="C1210" s="592" t="s">
        <v>7349</v>
      </c>
      <c r="D1210" s="592">
        <v>4</v>
      </c>
      <c r="E1210" s="597">
        <v>3000</v>
      </c>
      <c r="F1210" s="597">
        <v>3000</v>
      </c>
      <c r="G1210" s="597">
        <v>10208</v>
      </c>
      <c r="H1210" s="592" t="s">
        <v>1397</v>
      </c>
    </row>
    <row r="1211" spans="1:8" ht="24.75" customHeight="1" x14ac:dyDescent="0.55000000000000004">
      <c r="A1211" s="592">
        <v>1210</v>
      </c>
      <c r="B1211" s="596" t="s">
        <v>4289</v>
      </c>
      <c r="C1211" s="592" t="s">
        <v>4290</v>
      </c>
      <c r="D1211" s="592">
        <v>6</v>
      </c>
      <c r="E1211" s="597">
        <v>2500</v>
      </c>
      <c r="F1211" s="597">
        <v>2500</v>
      </c>
      <c r="G1211" s="597">
        <v>10788</v>
      </c>
      <c r="H1211" s="592" t="s">
        <v>1397</v>
      </c>
    </row>
    <row r="1212" spans="1:8" ht="24.75" customHeight="1" x14ac:dyDescent="0.55000000000000004">
      <c r="A1212" s="592">
        <v>1211</v>
      </c>
      <c r="B1212" s="596" t="s">
        <v>1520</v>
      </c>
      <c r="C1212" s="592" t="s">
        <v>1521</v>
      </c>
      <c r="D1212" s="592">
        <v>6</v>
      </c>
      <c r="E1212" s="597">
        <v>3000</v>
      </c>
      <c r="F1212" s="597">
        <v>3000</v>
      </c>
      <c r="G1212" s="597">
        <v>14784</v>
      </c>
      <c r="H1212" s="592" t="s">
        <v>1397</v>
      </c>
    </row>
    <row r="1213" spans="1:8" ht="24.75" customHeight="1" x14ac:dyDescent="0.55000000000000004">
      <c r="A1213" s="592">
        <v>1212</v>
      </c>
      <c r="B1213" s="596" t="s">
        <v>1522</v>
      </c>
      <c r="C1213" s="592" t="s">
        <v>1523</v>
      </c>
      <c r="D1213" s="592">
        <v>8</v>
      </c>
      <c r="E1213" s="597">
        <v>2300</v>
      </c>
      <c r="F1213" s="597">
        <v>2300</v>
      </c>
      <c r="G1213" s="597">
        <v>11664</v>
      </c>
      <c r="H1213" s="592" t="s">
        <v>1397</v>
      </c>
    </row>
    <row r="1214" spans="1:8" ht="24.75" customHeight="1" x14ac:dyDescent="0.55000000000000004">
      <c r="A1214" s="592">
        <v>1213</v>
      </c>
      <c r="B1214" s="596" t="s">
        <v>3244</v>
      </c>
      <c r="C1214" s="592" t="s">
        <v>3245</v>
      </c>
      <c r="D1214" s="592">
        <v>12</v>
      </c>
      <c r="E1214" s="597">
        <v>11500</v>
      </c>
      <c r="F1214" s="597">
        <v>11500</v>
      </c>
      <c r="G1214" s="597">
        <v>138000</v>
      </c>
      <c r="H1214" s="592" t="s">
        <v>1397</v>
      </c>
    </row>
    <row r="1215" spans="1:8" ht="24.75" customHeight="1" x14ac:dyDescent="0.55000000000000004">
      <c r="A1215" s="592">
        <v>1214</v>
      </c>
      <c r="B1215" s="596" t="s">
        <v>1524</v>
      </c>
      <c r="C1215" s="592" t="s">
        <v>1525</v>
      </c>
      <c r="D1215" s="592">
        <v>14</v>
      </c>
      <c r="E1215" s="597">
        <v>11000</v>
      </c>
      <c r="F1215" s="597">
        <v>11000</v>
      </c>
      <c r="G1215" s="597">
        <v>91000</v>
      </c>
      <c r="H1215" s="592" t="s">
        <v>1397</v>
      </c>
    </row>
    <row r="1216" spans="1:8" ht="24.75" customHeight="1" x14ac:dyDescent="0.55000000000000004">
      <c r="A1216" s="592">
        <v>1215</v>
      </c>
      <c r="B1216" s="596" t="s">
        <v>4291</v>
      </c>
      <c r="C1216" s="592" t="s">
        <v>4292</v>
      </c>
      <c r="D1216" s="592">
        <v>7</v>
      </c>
      <c r="E1216" s="597">
        <v>9000</v>
      </c>
      <c r="F1216" s="597">
        <v>9000</v>
      </c>
      <c r="G1216" s="597">
        <v>28000</v>
      </c>
      <c r="H1216" s="592" t="s">
        <v>1397</v>
      </c>
    </row>
    <row r="1217" spans="1:8" ht="24.75" customHeight="1" x14ac:dyDescent="0.55000000000000004">
      <c r="A1217" s="592">
        <v>1216</v>
      </c>
      <c r="B1217" s="596" t="s">
        <v>4293</v>
      </c>
      <c r="C1217" s="592" t="s">
        <v>4294</v>
      </c>
      <c r="D1217" s="592">
        <v>9</v>
      </c>
      <c r="E1217" s="597">
        <v>4000</v>
      </c>
      <c r="F1217" s="597">
        <v>4000</v>
      </c>
      <c r="G1217" s="597">
        <v>31500</v>
      </c>
      <c r="H1217" s="592" t="s">
        <v>1397</v>
      </c>
    </row>
    <row r="1218" spans="1:8" ht="24.75" customHeight="1" x14ac:dyDescent="0.55000000000000004">
      <c r="A1218" s="592">
        <v>1217</v>
      </c>
      <c r="B1218" s="596" t="s">
        <v>4295</v>
      </c>
      <c r="C1218" s="592" t="s">
        <v>4296</v>
      </c>
      <c r="D1218" s="592">
        <v>1</v>
      </c>
      <c r="E1218" s="597">
        <v>100</v>
      </c>
      <c r="F1218" s="597">
        <v>100</v>
      </c>
      <c r="G1218" s="597">
        <v>18</v>
      </c>
      <c r="H1218" s="592" t="s">
        <v>1397</v>
      </c>
    </row>
    <row r="1219" spans="1:8" ht="24.75" customHeight="1" x14ac:dyDescent="0.55000000000000004">
      <c r="A1219" s="592">
        <v>1218</v>
      </c>
      <c r="B1219" s="596" t="s">
        <v>4297</v>
      </c>
      <c r="C1219" s="592" t="s">
        <v>4298</v>
      </c>
      <c r="D1219" s="592">
        <v>13</v>
      </c>
      <c r="E1219" s="597">
        <v>100</v>
      </c>
      <c r="F1219" s="597">
        <v>100</v>
      </c>
      <c r="G1219" s="597">
        <v>208</v>
      </c>
      <c r="H1219" s="592" t="s">
        <v>1397</v>
      </c>
    </row>
    <row r="1220" spans="1:8" ht="24.75" customHeight="1" x14ac:dyDescent="0.55000000000000004">
      <c r="A1220" s="592">
        <v>1219</v>
      </c>
      <c r="B1220" s="596" t="s">
        <v>4299</v>
      </c>
      <c r="C1220" s="592" t="s">
        <v>4300</v>
      </c>
      <c r="D1220" s="592">
        <v>98</v>
      </c>
      <c r="E1220" s="597">
        <v>50</v>
      </c>
      <c r="F1220" s="597">
        <v>50</v>
      </c>
      <c r="G1220" s="597">
        <v>1372</v>
      </c>
      <c r="H1220" s="592" t="s">
        <v>1397</v>
      </c>
    </row>
    <row r="1221" spans="1:8" ht="24.75" customHeight="1" x14ac:dyDescent="0.55000000000000004">
      <c r="A1221" s="592">
        <v>1220</v>
      </c>
      <c r="B1221" s="596" t="s">
        <v>1526</v>
      </c>
      <c r="C1221" s="592" t="s">
        <v>8553</v>
      </c>
      <c r="D1221" s="592">
        <v>10</v>
      </c>
      <c r="E1221" s="597">
        <v>2000</v>
      </c>
      <c r="F1221" s="597">
        <v>2000</v>
      </c>
      <c r="G1221" s="597">
        <v>13500</v>
      </c>
      <c r="H1221" s="592" t="s">
        <v>1397</v>
      </c>
    </row>
    <row r="1222" spans="1:8" ht="24.75" customHeight="1" x14ac:dyDescent="0.55000000000000004">
      <c r="A1222" s="592">
        <v>1221</v>
      </c>
      <c r="B1222" s="596" t="s">
        <v>6683</v>
      </c>
      <c r="C1222" s="592" t="s">
        <v>6684</v>
      </c>
      <c r="D1222" s="592">
        <v>1</v>
      </c>
      <c r="E1222" s="597">
        <v>42000</v>
      </c>
      <c r="F1222" s="597">
        <v>42000</v>
      </c>
      <c r="G1222" s="597">
        <v>34000</v>
      </c>
      <c r="H1222" s="592" t="s">
        <v>1397</v>
      </c>
    </row>
    <row r="1223" spans="1:8" ht="24.75" customHeight="1" x14ac:dyDescent="0.55000000000000004">
      <c r="A1223" s="592">
        <v>1222</v>
      </c>
      <c r="B1223" s="596" t="s">
        <v>4301</v>
      </c>
      <c r="C1223" s="592" t="s">
        <v>6685</v>
      </c>
      <c r="D1223" s="592">
        <v>1</v>
      </c>
      <c r="E1223" s="597">
        <v>33000</v>
      </c>
      <c r="F1223" s="597">
        <v>33000</v>
      </c>
      <c r="G1223" s="597">
        <v>28000</v>
      </c>
      <c r="H1223" s="592" t="s">
        <v>1397</v>
      </c>
    </row>
    <row r="1224" spans="1:8" ht="24.75" customHeight="1" x14ac:dyDescent="0.55000000000000004">
      <c r="A1224" s="592">
        <v>1223</v>
      </c>
      <c r="B1224" s="596" t="s">
        <v>1527</v>
      </c>
      <c r="C1224" s="592" t="s">
        <v>7617</v>
      </c>
      <c r="D1224" s="592">
        <v>27</v>
      </c>
      <c r="E1224" s="597">
        <v>1500</v>
      </c>
      <c r="F1224" s="597">
        <v>1500</v>
      </c>
      <c r="G1224" s="597">
        <v>21600</v>
      </c>
      <c r="H1224" s="592" t="s">
        <v>1397</v>
      </c>
    </row>
    <row r="1225" spans="1:8" ht="24.75" customHeight="1" x14ac:dyDescent="0.55000000000000004">
      <c r="A1225" s="592">
        <v>1224</v>
      </c>
      <c r="B1225" s="596" t="s">
        <v>4302</v>
      </c>
      <c r="C1225" s="592" t="s">
        <v>4303</v>
      </c>
      <c r="D1225" s="592">
        <v>2</v>
      </c>
      <c r="E1225" s="597">
        <v>22500</v>
      </c>
      <c r="F1225" s="597">
        <v>22500</v>
      </c>
      <c r="G1225" s="597">
        <v>37720</v>
      </c>
      <c r="H1225" s="592" t="s">
        <v>1397</v>
      </c>
    </row>
    <row r="1226" spans="1:8" ht="24.75" customHeight="1" x14ac:dyDescent="0.55000000000000004">
      <c r="A1226" s="592">
        <v>1225</v>
      </c>
      <c r="B1226" s="596" t="s">
        <v>1529</v>
      </c>
      <c r="C1226" s="592" t="s">
        <v>8061</v>
      </c>
      <c r="D1226" s="592">
        <v>3</v>
      </c>
      <c r="E1226" s="597">
        <v>10000</v>
      </c>
      <c r="F1226" s="597">
        <v>10000</v>
      </c>
      <c r="G1226" s="597">
        <v>19500</v>
      </c>
      <c r="H1226" s="592" t="s">
        <v>1397</v>
      </c>
    </row>
    <row r="1227" spans="1:8" ht="24.75" customHeight="1" x14ac:dyDescent="0.55000000000000004">
      <c r="A1227" s="592">
        <v>1226</v>
      </c>
      <c r="B1227" s="596" t="s">
        <v>4304</v>
      </c>
      <c r="C1227" s="592" t="s">
        <v>4305</v>
      </c>
      <c r="D1227" s="592">
        <v>1</v>
      </c>
      <c r="E1227" s="597">
        <v>5500</v>
      </c>
      <c r="F1227" s="597">
        <v>5500</v>
      </c>
      <c r="G1227" s="597">
        <v>4500</v>
      </c>
      <c r="H1227" s="592" t="s">
        <v>1397</v>
      </c>
    </row>
    <row r="1228" spans="1:8" ht="24.75" customHeight="1" x14ac:dyDescent="0.55000000000000004">
      <c r="A1228" s="592">
        <v>1227</v>
      </c>
      <c r="B1228" s="596" t="s">
        <v>1530</v>
      </c>
      <c r="C1228" s="592" t="s">
        <v>1531</v>
      </c>
      <c r="D1228" s="592">
        <v>8</v>
      </c>
      <c r="E1228" s="597">
        <v>22000</v>
      </c>
      <c r="F1228" s="597">
        <v>22000</v>
      </c>
      <c r="G1228" s="597">
        <v>68000</v>
      </c>
      <c r="H1228" s="592" t="s">
        <v>1397</v>
      </c>
    </row>
    <row r="1229" spans="1:8" ht="24.75" customHeight="1" x14ac:dyDescent="0.55000000000000004">
      <c r="A1229" s="592">
        <v>1228</v>
      </c>
      <c r="B1229" s="596" t="s">
        <v>1532</v>
      </c>
      <c r="C1229" s="592" t="s">
        <v>1533</v>
      </c>
      <c r="D1229" s="592">
        <v>12</v>
      </c>
      <c r="E1229" s="597">
        <v>7500</v>
      </c>
      <c r="F1229" s="597">
        <v>7500</v>
      </c>
      <c r="G1229" s="597">
        <v>65448</v>
      </c>
      <c r="H1229" s="592" t="s">
        <v>1397</v>
      </c>
    </row>
    <row r="1230" spans="1:8" ht="24.75" customHeight="1" x14ac:dyDescent="0.55000000000000004">
      <c r="A1230" s="592">
        <v>1229</v>
      </c>
      <c r="B1230" s="596" t="s">
        <v>1534</v>
      </c>
      <c r="C1230" s="592" t="s">
        <v>8062</v>
      </c>
      <c r="D1230" s="592">
        <v>4</v>
      </c>
      <c r="E1230" s="597">
        <v>20000</v>
      </c>
      <c r="F1230" s="597">
        <v>20000</v>
      </c>
      <c r="G1230" s="597">
        <v>44000</v>
      </c>
      <c r="H1230" s="592" t="s">
        <v>1397</v>
      </c>
    </row>
    <row r="1231" spans="1:8" ht="24.75" customHeight="1" x14ac:dyDescent="0.55000000000000004">
      <c r="A1231" s="592">
        <v>1230</v>
      </c>
      <c r="B1231" s="596" t="s">
        <v>1535</v>
      </c>
      <c r="C1231" s="592" t="s">
        <v>8063</v>
      </c>
      <c r="D1231" s="592">
        <v>2</v>
      </c>
      <c r="E1231" s="597">
        <v>32000</v>
      </c>
      <c r="F1231" s="597">
        <v>32000</v>
      </c>
      <c r="G1231" s="597">
        <v>40000</v>
      </c>
      <c r="H1231" s="592" t="s">
        <v>1397</v>
      </c>
    </row>
    <row r="1232" spans="1:8" ht="24.75" customHeight="1" x14ac:dyDescent="0.55000000000000004">
      <c r="A1232" s="592">
        <v>1231</v>
      </c>
      <c r="B1232" s="596" t="s">
        <v>1536</v>
      </c>
      <c r="C1232" s="592" t="s">
        <v>1537</v>
      </c>
      <c r="D1232" s="592">
        <v>6</v>
      </c>
      <c r="E1232" s="597">
        <v>500</v>
      </c>
      <c r="F1232" s="597">
        <v>500</v>
      </c>
      <c r="G1232" s="597">
        <v>1800</v>
      </c>
      <c r="H1232" s="592" t="s">
        <v>1397</v>
      </c>
    </row>
    <row r="1233" spans="1:8" ht="24.75" customHeight="1" x14ac:dyDescent="0.55000000000000004">
      <c r="A1233" s="592">
        <v>1232</v>
      </c>
      <c r="B1233" s="596" t="s">
        <v>4306</v>
      </c>
      <c r="C1233" s="592" t="s">
        <v>4307</v>
      </c>
      <c r="D1233" s="592">
        <v>3</v>
      </c>
      <c r="E1233" s="597">
        <v>800</v>
      </c>
      <c r="F1233" s="597">
        <v>800</v>
      </c>
      <c r="G1233" s="597">
        <v>1500</v>
      </c>
      <c r="H1233" s="592" t="s">
        <v>1397</v>
      </c>
    </row>
    <row r="1234" spans="1:8" ht="24.75" customHeight="1" x14ac:dyDescent="0.55000000000000004">
      <c r="A1234" s="592">
        <v>1233</v>
      </c>
      <c r="B1234" s="596" t="s">
        <v>4308</v>
      </c>
      <c r="C1234" s="592" t="s">
        <v>4309</v>
      </c>
      <c r="D1234" s="592">
        <v>17</v>
      </c>
      <c r="E1234" s="597">
        <v>1000</v>
      </c>
      <c r="F1234" s="597">
        <v>1000</v>
      </c>
      <c r="G1234" s="597">
        <v>13600</v>
      </c>
      <c r="H1234" s="592" t="s">
        <v>1397</v>
      </c>
    </row>
    <row r="1235" spans="1:8" ht="24.75" customHeight="1" x14ac:dyDescent="0.55000000000000004">
      <c r="A1235" s="592">
        <v>1234</v>
      </c>
      <c r="B1235" s="596" t="s">
        <v>1538</v>
      </c>
      <c r="C1235" s="592" t="s">
        <v>1539</v>
      </c>
      <c r="D1235" s="592">
        <v>8</v>
      </c>
      <c r="E1235" s="597">
        <v>5000</v>
      </c>
      <c r="F1235" s="597">
        <v>5000</v>
      </c>
      <c r="G1235" s="597">
        <v>23200</v>
      </c>
      <c r="H1235" s="592" t="s">
        <v>1397</v>
      </c>
    </row>
    <row r="1236" spans="1:8" ht="24.75" customHeight="1" x14ac:dyDescent="0.55000000000000004">
      <c r="A1236" s="592">
        <v>1235</v>
      </c>
      <c r="B1236" s="596" t="s">
        <v>4310</v>
      </c>
      <c r="C1236" s="592" t="s">
        <v>4311</v>
      </c>
      <c r="D1236" s="592">
        <v>1</v>
      </c>
      <c r="E1236" s="597">
        <v>4000</v>
      </c>
      <c r="F1236" s="597">
        <v>4000</v>
      </c>
      <c r="G1236" s="597">
        <v>3000</v>
      </c>
      <c r="H1236" s="592" t="s">
        <v>1397</v>
      </c>
    </row>
    <row r="1237" spans="1:8" ht="24.75" customHeight="1" x14ac:dyDescent="0.55000000000000004">
      <c r="A1237" s="592">
        <v>1236</v>
      </c>
      <c r="B1237" s="596" t="s">
        <v>1540</v>
      </c>
      <c r="C1237" s="592" t="s">
        <v>1541</v>
      </c>
      <c r="D1237" s="592">
        <v>12</v>
      </c>
      <c r="E1237" s="597">
        <v>4000</v>
      </c>
      <c r="F1237" s="597">
        <v>4000</v>
      </c>
      <c r="G1237" s="597">
        <v>39000</v>
      </c>
      <c r="H1237" s="592" t="s">
        <v>1397</v>
      </c>
    </row>
    <row r="1238" spans="1:8" ht="24.75" customHeight="1" x14ac:dyDescent="0.55000000000000004">
      <c r="A1238" s="592">
        <v>1237</v>
      </c>
      <c r="B1238" s="596" t="s">
        <v>4312</v>
      </c>
      <c r="C1238" s="592" t="s">
        <v>4313</v>
      </c>
      <c r="D1238" s="592">
        <v>1</v>
      </c>
      <c r="E1238" s="597">
        <v>2000</v>
      </c>
      <c r="F1238" s="597">
        <v>2000</v>
      </c>
      <c r="G1238" s="597">
        <v>1700</v>
      </c>
      <c r="H1238" s="592" t="s">
        <v>1397</v>
      </c>
    </row>
    <row r="1239" spans="1:8" ht="24.75" customHeight="1" x14ac:dyDescent="0.55000000000000004">
      <c r="A1239" s="592">
        <v>1238</v>
      </c>
      <c r="B1239" s="596" t="s">
        <v>4314</v>
      </c>
      <c r="C1239" s="592" t="s">
        <v>4315</v>
      </c>
      <c r="D1239" s="592">
        <v>5</v>
      </c>
      <c r="E1239" s="597">
        <v>18000</v>
      </c>
      <c r="F1239" s="597">
        <v>18000</v>
      </c>
      <c r="G1239" s="597">
        <v>50000</v>
      </c>
      <c r="H1239" s="592" t="s">
        <v>1397</v>
      </c>
    </row>
    <row r="1240" spans="1:8" ht="24.75" customHeight="1" x14ac:dyDescent="0.55000000000000004">
      <c r="A1240" s="592">
        <v>1239</v>
      </c>
      <c r="B1240" s="596" t="s">
        <v>4316</v>
      </c>
      <c r="C1240" s="592" t="s">
        <v>4317</v>
      </c>
      <c r="D1240" s="592">
        <v>2</v>
      </c>
      <c r="E1240" s="597">
        <v>2000</v>
      </c>
      <c r="F1240" s="597">
        <v>2000</v>
      </c>
      <c r="G1240" s="597">
        <v>3000</v>
      </c>
      <c r="H1240" s="592" t="s">
        <v>1397</v>
      </c>
    </row>
    <row r="1241" spans="1:8" ht="24.75" customHeight="1" x14ac:dyDescent="0.55000000000000004">
      <c r="A1241" s="592">
        <v>1240</v>
      </c>
      <c r="B1241" s="596" t="s">
        <v>4318</v>
      </c>
      <c r="C1241" s="592" t="s">
        <v>4319</v>
      </c>
      <c r="D1241" s="592">
        <v>1</v>
      </c>
      <c r="E1241" s="597">
        <v>22000</v>
      </c>
      <c r="F1241" s="597">
        <v>22000</v>
      </c>
      <c r="G1241" s="597">
        <v>10000</v>
      </c>
      <c r="H1241" s="592" t="s">
        <v>1397</v>
      </c>
    </row>
    <row r="1242" spans="1:8" ht="24.75" customHeight="1" x14ac:dyDescent="0.55000000000000004">
      <c r="A1242" s="592">
        <v>1241</v>
      </c>
      <c r="B1242" s="596" t="s">
        <v>7084</v>
      </c>
      <c r="C1242" s="592" t="s">
        <v>7085</v>
      </c>
      <c r="D1242" s="592">
        <v>2</v>
      </c>
      <c r="E1242" s="597">
        <v>3000</v>
      </c>
      <c r="F1242" s="597">
        <v>3000</v>
      </c>
      <c r="G1242" s="597">
        <v>3710</v>
      </c>
      <c r="H1242" s="592" t="s">
        <v>1397</v>
      </c>
    </row>
    <row r="1243" spans="1:8" ht="24.75" customHeight="1" x14ac:dyDescent="0.55000000000000004">
      <c r="A1243" s="592">
        <v>1242</v>
      </c>
      <c r="B1243" s="596" t="s">
        <v>4320</v>
      </c>
      <c r="C1243" s="592" t="s">
        <v>4321</v>
      </c>
      <c r="D1243" s="592">
        <v>9</v>
      </c>
      <c r="E1243" s="597">
        <v>100</v>
      </c>
      <c r="F1243" s="597">
        <v>100</v>
      </c>
      <c r="G1243" s="597">
        <v>450</v>
      </c>
      <c r="H1243" s="592" t="s">
        <v>1397</v>
      </c>
    </row>
    <row r="1244" spans="1:8" ht="24.75" customHeight="1" x14ac:dyDescent="0.55000000000000004">
      <c r="A1244" s="592">
        <v>1243</v>
      </c>
      <c r="B1244" s="596" t="s">
        <v>1542</v>
      </c>
      <c r="C1244" s="592" t="s">
        <v>3246</v>
      </c>
      <c r="D1244" s="592">
        <v>2</v>
      </c>
      <c r="E1244" s="597">
        <v>2500</v>
      </c>
      <c r="F1244" s="597">
        <v>2500</v>
      </c>
      <c r="G1244" s="597">
        <v>3510</v>
      </c>
      <c r="H1244" s="592" t="s">
        <v>1397</v>
      </c>
    </row>
    <row r="1245" spans="1:8" ht="24.75" customHeight="1" x14ac:dyDescent="0.55000000000000004">
      <c r="A1245" s="592">
        <v>1244</v>
      </c>
      <c r="B1245" s="596" t="s">
        <v>1543</v>
      </c>
      <c r="C1245" s="592" t="s">
        <v>1544</v>
      </c>
      <c r="D1245" s="592">
        <v>16</v>
      </c>
      <c r="E1245" s="597">
        <v>1500</v>
      </c>
      <c r="F1245" s="597">
        <v>1500</v>
      </c>
      <c r="G1245" s="597">
        <v>14800</v>
      </c>
      <c r="H1245" s="592" t="s">
        <v>1397</v>
      </c>
    </row>
    <row r="1246" spans="1:8" ht="24.75" customHeight="1" x14ac:dyDescent="0.55000000000000004">
      <c r="A1246" s="592">
        <v>1245</v>
      </c>
      <c r="B1246" s="596" t="s">
        <v>4322</v>
      </c>
      <c r="C1246" s="592" t="s">
        <v>1545</v>
      </c>
      <c r="D1246" s="592">
        <v>3</v>
      </c>
      <c r="E1246" s="597">
        <v>8000</v>
      </c>
      <c r="F1246" s="597">
        <v>8000</v>
      </c>
      <c r="G1246" s="597">
        <v>24000</v>
      </c>
      <c r="H1246" s="592" t="s">
        <v>1397</v>
      </c>
    </row>
    <row r="1247" spans="1:8" ht="24.75" customHeight="1" x14ac:dyDescent="0.55000000000000004">
      <c r="A1247" s="592">
        <v>1246</v>
      </c>
      <c r="B1247" s="596" t="s">
        <v>4323</v>
      </c>
      <c r="C1247" s="592" t="s">
        <v>8419</v>
      </c>
      <c r="D1247" s="592">
        <v>9</v>
      </c>
      <c r="E1247" s="597">
        <v>2300</v>
      </c>
      <c r="F1247" s="597">
        <v>2300</v>
      </c>
      <c r="G1247" s="597">
        <v>12393</v>
      </c>
      <c r="H1247" s="592" t="s">
        <v>1397</v>
      </c>
    </row>
    <row r="1248" spans="1:8" ht="24.75" customHeight="1" x14ac:dyDescent="0.55000000000000004">
      <c r="A1248" s="592">
        <v>1247</v>
      </c>
      <c r="B1248" s="596" t="s">
        <v>1546</v>
      </c>
      <c r="C1248" s="592" t="s">
        <v>7618</v>
      </c>
      <c r="D1248" s="592">
        <v>2</v>
      </c>
      <c r="E1248" s="597">
        <v>2500</v>
      </c>
      <c r="F1248" s="597">
        <v>2500</v>
      </c>
      <c r="G1248" s="597">
        <v>3650</v>
      </c>
      <c r="H1248" s="592" t="s">
        <v>1397</v>
      </c>
    </row>
    <row r="1249" spans="1:8" ht="24.75" customHeight="1" x14ac:dyDescent="0.55000000000000004">
      <c r="A1249" s="592">
        <v>1248</v>
      </c>
      <c r="B1249" s="596" t="s">
        <v>4324</v>
      </c>
      <c r="C1249" s="592" t="s">
        <v>7350</v>
      </c>
      <c r="D1249" s="592">
        <v>8</v>
      </c>
      <c r="E1249" s="597">
        <v>2500</v>
      </c>
      <c r="F1249" s="597">
        <v>2500</v>
      </c>
      <c r="G1249" s="597">
        <v>14896</v>
      </c>
      <c r="H1249" s="592" t="s">
        <v>1397</v>
      </c>
    </row>
    <row r="1250" spans="1:8" ht="24.75" customHeight="1" x14ac:dyDescent="0.55000000000000004">
      <c r="A1250" s="592">
        <v>1249</v>
      </c>
      <c r="B1250" s="596" t="s">
        <v>1547</v>
      </c>
      <c r="C1250" s="592" t="s">
        <v>1548</v>
      </c>
      <c r="D1250" s="592">
        <v>11</v>
      </c>
      <c r="E1250" s="597">
        <v>3000</v>
      </c>
      <c r="F1250" s="597">
        <v>3000</v>
      </c>
      <c r="G1250" s="597">
        <v>27940</v>
      </c>
      <c r="H1250" s="592" t="s">
        <v>1397</v>
      </c>
    </row>
    <row r="1251" spans="1:8" ht="24.75" customHeight="1" x14ac:dyDescent="0.55000000000000004">
      <c r="A1251" s="592">
        <v>1250</v>
      </c>
      <c r="B1251" s="596" t="s">
        <v>2045</v>
      </c>
      <c r="C1251" s="592" t="s">
        <v>2046</v>
      </c>
      <c r="D1251" s="592">
        <v>7</v>
      </c>
      <c r="E1251" s="597">
        <v>1500</v>
      </c>
      <c r="F1251" s="597">
        <v>1500</v>
      </c>
      <c r="G1251" s="597">
        <v>6300</v>
      </c>
      <c r="H1251" s="592" t="s">
        <v>1397</v>
      </c>
    </row>
    <row r="1252" spans="1:8" ht="24.75" customHeight="1" x14ac:dyDescent="0.55000000000000004">
      <c r="A1252" s="592">
        <v>1251</v>
      </c>
      <c r="B1252" s="596" t="s">
        <v>2041</v>
      </c>
      <c r="C1252" s="592" t="s">
        <v>2042</v>
      </c>
      <c r="D1252" s="592">
        <v>9</v>
      </c>
      <c r="E1252" s="597">
        <v>1200</v>
      </c>
      <c r="F1252" s="597">
        <v>1200</v>
      </c>
      <c r="G1252" s="597">
        <v>6840</v>
      </c>
      <c r="H1252" s="592" t="s">
        <v>1397</v>
      </c>
    </row>
    <row r="1253" spans="1:8" ht="24.75" customHeight="1" x14ac:dyDescent="0.55000000000000004">
      <c r="A1253" s="592">
        <v>1252</v>
      </c>
      <c r="B1253" s="596" t="s">
        <v>1549</v>
      </c>
      <c r="C1253" s="592" t="s">
        <v>1550</v>
      </c>
      <c r="D1253" s="592">
        <v>7</v>
      </c>
      <c r="E1253" s="597">
        <v>50000</v>
      </c>
      <c r="F1253" s="597">
        <v>50000</v>
      </c>
      <c r="G1253" s="597">
        <v>231000</v>
      </c>
      <c r="H1253" s="592" t="s">
        <v>1397</v>
      </c>
    </row>
    <row r="1254" spans="1:8" ht="24.75" customHeight="1" x14ac:dyDescent="0.55000000000000004">
      <c r="A1254" s="592">
        <v>1253</v>
      </c>
      <c r="B1254" s="596" t="s">
        <v>4325</v>
      </c>
      <c r="C1254" s="592" t="s">
        <v>4326</v>
      </c>
      <c r="D1254" s="592">
        <v>6</v>
      </c>
      <c r="E1254" s="597">
        <v>18000</v>
      </c>
      <c r="F1254" s="597">
        <v>18000</v>
      </c>
      <c r="G1254" s="597">
        <v>78000</v>
      </c>
      <c r="H1254" s="592" t="s">
        <v>1397</v>
      </c>
    </row>
    <row r="1255" spans="1:8" ht="24.75" customHeight="1" x14ac:dyDescent="0.55000000000000004">
      <c r="A1255" s="592">
        <v>1254</v>
      </c>
      <c r="B1255" s="596" t="s">
        <v>4327</v>
      </c>
      <c r="C1255" s="592" t="s">
        <v>4328</v>
      </c>
      <c r="D1255" s="592">
        <v>1</v>
      </c>
      <c r="E1255" s="597">
        <v>2000</v>
      </c>
      <c r="F1255" s="597">
        <v>2000</v>
      </c>
      <c r="G1255" s="597">
        <v>1300</v>
      </c>
      <c r="H1255" s="592" t="s">
        <v>1397</v>
      </c>
    </row>
    <row r="1256" spans="1:8" ht="24.75" customHeight="1" x14ac:dyDescent="0.55000000000000004">
      <c r="A1256" s="592">
        <v>1255</v>
      </c>
      <c r="B1256" s="596" t="s">
        <v>1551</v>
      </c>
      <c r="C1256" s="592" t="s">
        <v>1552</v>
      </c>
      <c r="D1256" s="592">
        <v>4</v>
      </c>
      <c r="E1256" s="597">
        <v>2800</v>
      </c>
      <c r="F1256" s="597">
        <v>2800</v>
      </c>
      <c r="G1256" s="597">
        <v>9504</v>
      </c>
      <c r="H1256" s="592" t="s">
        <v>1397</v>
      </c>
    </row>
    <row r="1257" spans="1:8" ht="24.75" customHeight="1" x14ac:dyDescent="0.55000000000000004">
      <c r="A1257" s="592">
        <v>1256</v>
      </c>
      <c r="B1257" s="596" t="s">
        <v>4329</v>
      </c>
      <c r="C1257" s="592" t="s">
        <v>4330</v>
      </c>
      <c r="D1257" s="592">
        <v>7</v>
      </c>
      <c r="E1257" s="597">
        <v>4000</v>
      </c>
      <c r="F1257" s="597">
        <v>4000</v>
      </c>
      <c r="G1257" s="597">
        <v>23408</v>
      </c>
      <c r="H1257" s="592" t="s">
        <v>1397</v>
      </c>
    </row>
    <row r="1258" spans="1:8" ht="24.75" customHeight="1" x14ac:dyDescent="0.55000000000000004">
      <c r="A1258" s="592">
        <v>1257</v>
      </c>
      <c r="B1258" s="596" t="s">
        <v>4331</v>
      </c>
      <c r="C1258" s="592" t="s">
        <v>4332</v>
      </c>
      <c r="D1258" s="592">
        <v>6</v>
      </c>
      <c r="E1258" s="597">
        <v>3000</v>
      </c>
      <c r="F1258" s="597">
        <v>3000</v>
      </c>
      <c r="G1258" s="597">
        <v>14892</v>
      </c>
      <c r="H1258" s="592" t="s">
        <v>1397</v>
      </c>
    </row>
    <row r="1259" spans="1:8" ht="24.75" customHeight="1" x14ac:dyDescent="0.55000000000000004">
      <c r="A1259" s="592">
        <v>1258</v>
      </c>
      <c r="B1259" s="596" t="s">
        <v>6452</v>
      </c>
      <c r="C1259" s="592" t="s">
        <v>6453</v>
      </c>
      <c r="D1259" s="592">
        <v>29</v>
      </c>
      <c r="E1259" s="597">
        <v>5500</v>
      </c>
      <c r="F1259" s="597">
        <v>5500</v>
      </c>
      <c r="G1259" s="597">
        <v>143550</v>
      </c>
      <c r="H1259" s="592" t="s">
        <v>1397</v>
      </c>
    </row>
    <row r="1260" spans="1:8" ht="24.75" customHeight="1" x14ac:dyDescent="0.55000000000000004">
      <c r="A1260" s="592">
        <v>1259</v>
      </c>
      <c r="B1260" s="596" t="s">
        <v>1555</v>
      </c>
      <c r="C1260" s="592" t="s">
        <v>7619</v>
      </c>
      <c r="D1260" s="592">
        <v>5</v>
      </c>
      <c r="E1260" s="597">
        <v>5500</v>
      </c>
      <c r="F1260" s="597">
        <v>5500</v>
      </c>
      <c r="G1260" s="597">
        <v>24640</v>
      </c>
      <c r="H1260" s="592" t="s">
        <v>1397</v>
      </c>
    </row>
    <row r="1261" spans="1:8" ht="24.75" customHeight="1" x14ac:dyDescent="0.55000000000000004">
      <c r="A1261" s="592">
        <v>1260</v>
      </c>
      <c r="B1261" s="596" t="s">
        <v>1556</v>
      </c>
      <c r="C1261" s="592" t="s">
        <v>1557</v>
      </c>
      <c r="D1261" s="592">
        <v>4</v>
      </c>
      <c r="E1261" s="597">
        <v>8000</v>
      </c>
      <c r="F1261" s="597">
        <v>8000</v>
      </c>
      <c r="G1261" s="597">
        <v>32000</v>
      </c>
      <c r="H1261" s="592" t="s">
        <v>1397</v>
      </c>
    </row>
    <row r="1262" spans="1:8" ht="24.75" customHeight="1" x14ac:dyDescent="0.55000000000000004">
      <c r="A1262" s="592">
        <v>1261</v>
      </c>
      <c r="B1262" s="596" t="s">
        <v>4333</v>
      </c>
      <c r="C1262" s="592" t="s">
        <v>4334</v>
      </c>
      <c r="D1262" s="592">
        <v>20</v>
      </c>
      <c r="E1262" s="597">
        <v>1200</v>
      </c>
      <c r="F1262" s="597">
        <v>1200</v>
      </c>
      <c r="G1262" s="597">
        <v>16500</v>
      </c>
      <c r="H1262" s="592" t="s">
        <v>1397</v>
      </c>
    </row>
    <row r="1263" spans="1:8" ht="24.75" customHeight="1" x14ac:dyDescent="0.55000000000000004">
      <c r="A1263" s="592">
        <v>1262</v>
      </c>
      <c r="B1263" s="596" t="s">
        <v>4335</v>
      </c>
      <c r="C1263" s="592" t="s">
        <v>8064</v>
      </c>
      <c r="D1263" s="592">
        <v>2</v>
      </c>
      <c r="E1263" s="597">
        <v>12000</v>
      </c>
      <c r="F1263" s="597">
        <v>12000</v>
      </c>
      <c r="G1263" s="597">
        <v>19000</v>
      </c>
      <c r="H1263" s="592" t="s">
        <v>1397</v>
      </c>
    </row>
    <row r="1264" spans="1:8" ht="24.75" customHeight="1" x14ac:dyDescent="0.55000000000000004">
      <c r="A1264" s="592">
        <v>1263</v>
      </c>
      <c r="B1264" s="596" t="s">
        <v>6339</v>
      </c>
      <c r="C1264" s="592" t="s">
        <v>6340</v>
      </c>
      <c r="D1264" s="592">
        <v>1</v>
      </c>
      <c r="E1264" s="597">
        <v>2800</v>
      </c>
      <c r="F1264" s="597">
        <v>2800</v>
      </c>
      <c r="G1264" s="597">
        <v>2350</v>
      </c>
      <c r="H1264" s="592" t="s">
        <v>1397</v>
      </c>
    </row>
    <row r="1265" spans="1:8" ht="24.75" customHeight="1" x14ac:dyDescent="0.55000000000000004">
      <c r="A1265" s="592">
        <v>1264</v>
      </c>
      <c r="B1265" s="596" t="s">
        <v>4336</v>
      </c>
      <c r="C1265" s="592" t="s">
        <v>4337</v>
      </c>
      <c r="D1265" s="592">
        <v>1</v>
      </c>
      <c r="E1265" s="597">
        <v>35000</v>
      </c>
      <c r="F1265" s="597">
        <v>35000</v>
      </c>
      <c r="G1265" s="597">
        <v>28000</v>
      </c>
      <c r="H1265" s="592" t="s">
        <v>933</v>
      </c>
    </row>
    <row r="1266" spans="1:8" ht="24.75" customHeight="1" x14ac:dyDescent="0.55000000000000004">
      <c r="A1266" s="592">
        <v>1265</v>
      </c>
      <c r="B1266" s="596" t="s">
        <v>4338</v>
      </c>
      <c r="C1266" s="592" t="s">
        <v>4339</v>
      </c>
      <c r="D1266" s="592">
        <v>14</v>
      </c>
      <c r="E1266" s="597">
        <v>3000</v>
      </c>
      <c r="F1266" s="597">
        <v>3000</v>
      </c>
      <c r="G1266" s="597">
        <v>35420</v>
      </c>
      <c r="H1266" s="592" t="s">
        <v>1397</v>
      </c>
    </row>
    <row r="1267" spans="1:8" ht="24.75" customHeight="1" x14ac:dyDescent="0.55000000000000004">
      <c r="A1267" s="592">
        <v>1266</v>
      </c>
      <c r="B1267" s="596" t="s">
        <v>1558</v>
      </c>
      <c r="C1267" s="592" t="s">
        <v>7620</v>
      </c>
      <c r="D1267" s="592">
        <v>3</v>
      </c>
      <c r="E1267" s="597">
        <v>5000</v>
      </c>
      <c r="F1267" s="597">
        <v>5000</v>
      </c>
      <c r="G1267" s="597">
        <v>11448</v>
      </c>
      <c r="H1267" s="592" t="s">
        <v>1397</v>
      </c>
    </row>
    <row r="1268" spans="1:8" ht="24.75" customHeight="1" x14ac:dyDescent="0.55000000000000004">
      <c r="A1268" s="592">
        <v>1267</v>
      </c>
      <c r="B1268" s="596" t="s">
        <v>1559</v>
      </c>
      <c r="C1268" s="592" t="s">
        <v>1560</v>
      </c>
      <c r="D1268" s="592">
        <v>2</v>
      </c>
      <c r="E1268" s="597">
        <v>20000</v>
      </c>
      <c r="F1268" s="597">
        <v>20000</v>
      </c>
      <c r="G1268" s="597">
        <v>24000</v>
      </c>
      <c r="H1268" s="592" t="s">
        <v>1397</v>
      </c>
    </row>
    <row r="1269" spans="1:8" ht="24.75" customHeight="1" x14ac:dyDescent="0.55000000000000004">
      <c r="A1269" s="592">
        <v>1268</v>
      </c>
      <c r="B1269" s="596" t="s">
        <v>6341</v>
      </c>
      <c r="C1269" s="592" t="s">
        <v>6342</v>
      </c>
      <c r="D1269" s="592">
        <v>1</v>
      </c>
      <c r="E1269" s="597">
        <v>5700</v>
      </c>
      <c r="F1269" s="597">
        <v>5700</v>
      </c>
      <c r="G1269" s="597">
        <v>4350</v>
      </c>
      <c r="H1269" s="592" t="s">
        <v>1397</v>
      </c>
    </row>
    <row r="1270" spans="1:8" ht="24.75" customHeight="1" x14ac:dyDescent="0.55000000000000004">
      <c r="A1270" s="592">
        <v>1269</v>
      </c>
      <c r="B1270" s="596" t="s">
        <v>1561</v>
      </c>
      <c r="C1270" s="592" t="s">
        <v>6842</v>
      </c>
      <c r="D1270" s="592">
        <v>13</v>
      </c>
      <c r="E1270" s="597">
        <v>8000</v>
      </c>
      <c r="F1270" s="597">
        <v>8000</v>
      </c>
      <c r="G1270" s="597">
        <v>84500</v>
      </c>
      <c r="H1270" s="592" t="s">
        <v>1397</v>
      </c>
    </row>
    <row r="1271" spans="1:8" ht="24.75" customHeight="1" x14ac:dyDescent="0.55000000000000004">
      <c r="A1271" s="592">
        <v>1270</v>
      </c>
      <c r="B1271" s="596" t="s">
        <v>4340</v>
      </c>
      <c r="C1271" s="592" t="s">
        <v>4341</v>
      </c>
      <c r="D1271" s="592">
        <v>3</v>
      </c>
      <c r="E1271" s="597">
        <v>4500</v>
      </c>
      <c r="F1271" s="597">
        <v>4500</v>
      </c>
      <c r="G1271" s="597">
        <v>10050</v>
      </c>
      <c r="H1271" s="592" t="s">
        <v>1397</v>
      </c>
    </row>
    <row r="1272" spans="1:8" ht="24.75" customHeight="1" x14ac:dyDescent="0.55000000000000004">
      <c r="A1272" s="592">
        <v>1271</v>
      </c>
      <c r="B1272" s="596" t="s">
        <v>1562</v>
      </c>
      <c r="C1272" s="592" t="s">
        <v>1563</v>
      </c>
      <c r="D1272" s="592">
        <v>17</v>
      </c>
      <c r="E1272" s="597">
        <v>2200</v>
      </c>
      <c r="F1272" s="597">
        <v>2200</v>
      </c>
      <c r="G1272" s="597">
        <v>28101</v>
      </c>
      <c r="H1272" s="592" t="s">
        <v>1397</v>
      </c>
    </row>
    <row r="1273" spans="1:8" ht="24.75" customHeight="1" x14ac:dyDescent="0.55000000000000004">
      <c r="A1273" s="592">
        <v>1272</v>
      </c>
      <c r="B1273" s="596" t="s">
        <v>4342</v>
      </c>
      <c r="C1273" s="592" t="s">
        <v>4343</v>
      </c>
      <c r="D1273" s="592">
        <v>2</v>
      </c>
      <c r="E1273" s="597">
        <v>6000</v>
      </c>
      <c r="F1273" s="597">
        <v>6000</v>
      </c>
      <c r="G1273" s="597">
        <v>8000</v>
      </c>
      <c r="H1273" s="592" t="s">
        <v>1397</v>
      </c>
    </row>
    <row r="1274" spans="1:8" ht="24.75" customHeight="1" x14ac:dyDescent="0.55000000000000004">
      <c r="A1274" s="592">
        <v>1273</v>
      </c>
      <c r="B1274" s="596" t="s">
        <v>8065</v>
      </c>
      <c r="C1274" s="592" t="s">
        <v>8066</v>
      </c>
      <c r="D1274" s="592">
        <v>6</v>
      </c>
      <c r="E1274" s="597">
        <v>2800</v>
      </c>
      <c r="F1274" s="597">
        <v>2800</v>
      </c>
      <c r="G1274" s="597">
        <v>13860</v>
      </c>
      <c r="H1274" s="592" t="s">
        <v>1397</v>
      </c>
    </row>
    <row r="1275" spans="1:8" ht="24.75" customHeight="1" x14ac:dyDescent="0.55000000000000004">
      <c r="A1275" s="592">
        <v>1274</v>
      </c>
      <c r="B1275" s="596" t="s">
        <v>4344</v>
      </c>
      <c r="C1275" s="592" t="s">
        <v>4345</v>
      </c>
      <c r="D1275" s="592">
        <v>10</v>
      </c>
      <c r="E1275" s="597">
        <v>3000</v>
      </c>
      <c r="F1275" s="597">
        <v>3000</v>
      </c>
      <c r="G1275" s="597">
        <v>22000</v>
      </c>
      <c r="H1275" s="592" t="s">
        <v>1397</v>
      </c>
    </row>
    <row r="1276" spans="1:8" ht="24.75" customHeight="1" x14ac:dyDescent="0.55000000000000004">
      <c r="A1276" s="592">
        <v>1275</v>
      </c>
      <c r="B1276" s="596" t="s">
        <v>1564</v>
      </c>
      <c r="C1276" s="592" t="s">
        <v>1565</v>
      </c>
      <c r="D1276" s="592">
        <v>7</v>
      </c>
      <c r="E1276" s="597">
        <v>18500</v>
      </c>
      <c r="F1276" s="597">
        <v>18500</v>
      </c>
      <c r="G1276" s="597">
        <v>107800</v>
      </c>
      <c r="H1276" s="592" t="s">
        <v>1397</v>
      </c>
    </row>
    <row r="1277" spans="1:8" ht="24.75" customHeight="1" x14ac:dyDescent="0.55000000000000004">
      <c r="A1277" s="592">
        <v>1276</v>
      </c>
      <c r="B1277" s="596" t="s">
        <v>1566</v>
      </c>
      <c r="C1277" s="592" t="s">
        <v>1567</v>
      </c>
      <c r="D1277" s="592">
        <v>3</v>
      </c>
      <c r="E1277" s="597">
        <v>15000</v>
      </c>
      <c r="F1277" s="597">
        <v>15000</v>
      </c>
      <c r="G1277" s="597">
        <v>45000</v>
      </c>
      <c r="H1277" s="592" t="s">
        <v>1397</v>
      </c>
    </row>
    <row r="1278" spans="1:8" ht="24.75" customHeight="1" x14ac:dyDescent="0.55000000000000004">
      <c r="A1278" s="592">
        <v>1277</v>
      </c>
      <c r="B1278" s="596" t="s">
        <v>1568</v>
      </c>
      <c r="C1278" s="592" t="s">
        <v>1569</v>
      </c>
      <c r="D1278" s="592">
        <v>5</v>
      </c>
      <c r="E1278" s="597">
        <v>4000</v>
      </c>
      <c r="F1278" s="597">
        <v>4000</v>
      </c>
      <c r="G1278" s="597">
        <v>14615</v>
      </c>
      <c r="H1278" s="592" t="s">
        <v>1397</v>
      </c>
    </row>
    <row r="1279" spans="1:8" ht="24.75" customHeight="1" x14ac:dyDescent="0.55000000000000004">
      <c r="A1279" s="592">
        <v>1278</v>
      </c>
      <c r="B1279" s="596" t="s">
        <v>1570</v>
      </c>
      <c r="C1279" s="592" t="s">
        <v>1571</v>
      </c>
      <c r="D1279" s="592">
        <v>1</v>
      </c>
      <c r="E1279" s="597">
        <v>2000</v>
      </c>
      <c r="F1279" s="597">
        <v>2000</v>
      </c>
      <c r="G1279" s="597">
        <v>1000</v>
      </c>
      <c r="H1279" s="592" t="s">
        <v>1397</v>
      </c>
    </row>
    <row r="1280" spans="1:8" ht="24.75" customHeight="1" x14ac:dyDescent="0.55000000000000004">
      <c r="A1280" s="592">
        <v>1279</v>
      </c>
      <c r="B1280" s="596" t="s">
        <v>6170</v>
      </c>
      <c r="C1280" s="592" t="s">
        <v>6171</v>
      </c>
      <c r="D1280" s="592">
        <v>3</v>
      </c>
      <c r="E1280" s="597">
        <v>3000</v>
      </c>
      <c r="F1280" s="597">
        <v>3000</v>
      </c>
      <c r="G1280" s="597">
        <v>7050</v>
      </c>
      <c r="H1280" s="592" t="s">
        <v>1397</v>
      </c>
    </row>
    <row r="1281" spans="1:8" ht="24.75" customHeight="1" x14ac:dyDescent="0.55000000000000004">
      <c r="A1281" s="592">
        <v>1280</v>
      </c>
      <c r="B1281" s="596" t="s">
        <v>1572</v>
      </c>
      <c r="C1281" s="592" t="s">
        <v>1573</v>
      </c>
      <c r="D1281" s="592">
        <v>1</v>
      </c>
      <c r="E1281" s="597">
        <v>3300</v>
      </c>
      <c r="F1281" s="597">
        <v>3300</v>
      </c>
      <c r="G1281" s="597">
        <v>2750</v>
      </c>
      <c r="H1281" s="592" t="s">
        <v>1397</v>
      </c>
    </row>
    <row r="1282" spans="1:8" ht="24.75" customHeight="1" x14ac:dyDescent="0.55000000000000004">
      <c r="A1282" s="592">
        <v>1281</v>
      </c>
      <c r="B1282" s="596" t="s">
        <v>4346</v>
      </c>
      <c r="C1282" s="592" t="s">
        <v>4347</v>
      </c>
      <c r="D1282" s="592">
        <v>1</v>
      </c>
      <c r="E1282" s="597">
        <v>4000</v>
      </c>
      <c r="F1282" s="597">
        <v>4000</v>
      </c>
      <c r="G1282" s="597">
        <v>1938</v>
      </c>
      <c r="H1282" s="592" t="s">
        <v>1397</v>
      </c>
    </row>
    <row r="1283" spans="1:8" ht="24.75" customHeight="1" x14ac:dyDescent="0.55000000000000004">
      <c r="A1283" s="592">
        <v>1282</v>
      </c>
      <c r="B1283" s="596" t="s">
        <v>3247</v>
      </c>
      <c r="C1283" s="592" t="s">
        <v>3248</v>
      </c>
      <c r="D1283" s="592">
        <v>8</v>
      </c>
      <c r="E1283" s="597">
        <v>3000</v>
      </c>
      <c r="F1283" s="597">
        <v>3000</v>
      </c>
      <c r="G1283" s="597">
        <v>17632</v>
      </c>
      <c r="H1283" s="592" t="s">
        <v>1397</v>
      </c>
    </row>
    <row r="1284" spans="1:8" ht="24.75" customHeight="1" x14ac:dyDescent="0.55000000000000004">
      <c r="A1284" s="592">
        <v>1283</v>
      </c>
      <c r="B1284" s="596" t="s">
        <v>4348</v>
      </c>
      <c r="C1284" s="592" t="s">
        <v>4349</v>
      </c>
      <c r="D1284" s="592">
        <v>1</v>
      </c>
      <c r="E1284" s="597">
        <v>600</v>
      </c>
      <c r="F1284" s="597">
        <v>600</v>
      </c>
      <c r="G1284" s="597">
        <v>380</v>
      </c>
      <c r="H1284" s="592" t="s">
        <v>1397</v>
      </c>
    </row>
    <row r="1285" spans="1:8" ht="24.75" customHeight="1" x14ac:dyDescent="0.55000000000000004">
      <c r="A1285" s="592">
        <v>1284</v>
      </c>
      <c r="B1285" s="596" t="s">
        <v>4350</v>
      </c>
      <c r="C1285" s="592" t="s">
        <v>4351</v>
      </c>
      <c r="D1285" s="592">
        <v>3</v>
      </c>
      <c r="E1285" s="597">
        <v>17000</v>
      </c>
      <c r="F1285" s="597">
        <v>17000</v>
      </c>
      <c r="G1285" s="597">
        <v>44250</v>
      </c>
      <c r="H1285" s="592" t="s">
        <v>1397</v>
      </c>
    </row>
    <row r="1286" spans="1:8" ht="24.75" customHeight="1" x14ac:dyDescent="0.55000000000000004">
      <c r="A1286" s="592">
        <v>1285</v>
      </c>
      <c r="B1286" s="596" t="s">
        <v>8067</v>
      </c>
      <c r="C1286" s="592" t="s">
        <v>8068</v>
      </c>
      <c r="D1286" s="592">
        <v>2</v>
      </c>
      <c r="E1286" s="597">
        <v>4000</v>
      </c>
      <c r="F1286" s="597">
        <v>4000</v>
      </c>
      <c r="G1286" s="597">
        <v>6900</v>
      </c>
      <c r="H1286" s="592" t="s">
        <v>1397</v>
      </c>
    </row>
    <row r="1287" spans="1:8" ht="24.75" customHeight="1" x14ac:dyDescent="0.55000000000000004">
      <c r="A1287" s="592">
        <v>1286</v>
      </c>
      <c r="B1287" s="596" t="s">
        <v>1574</v>
      </c>
      <c r="C1287" s="592" t="s">
        <v>1575</v>
      </c>
      <c r="D1287" s="592">
        <v>3</v>
      </c>
      <c r="E1287" s="597">
        <v>2300</v>
      </c>
      <c r="F1287" s="597">
        <v>2300</v>
      </c>
      <c r="G1287" s="597">
        <v>4800</v>
      </c>
      <c r="H1287" s="592" t="s">
        <v>1397</v>
      </c>
    </row>
    <row r="1288" spans="1:8" ht="24.75" customHeight="1" x14ac:dyDescent="0.55000000000000004">
      <c r="A1288" s="592">
        <v>1287</v>
      </c>
      <c r="B1288" s="596" t="s">
        <v>2250</v>
      </c>
      <c r="C1288" s="592" t="s">
        <v>7621</v>
      </c>
      <c r="D1288" s="592">
        <v>10</v>
      </c>
      <c r="E1288" s="597">
        <v>2500</v>
      </c>
      <c r="F1288" s="597">
        <v>2500</v>
      </c>
      <c r="G1288" s="597">
        <v>18500</v>
      </c>
      <c r="H1288" s="592" t="s">
        <v>1397</v>
      </c>
    </row>
    <row r="1289" spans="1:8" ht="24.75" customHeight="1" x14ac:dyDescent="0.55000000000000004">
      <c r="A1289" s="592">
        <v>1288</v>
      </c>
      <c r="B1289" s="596" t="s">
        <v>4352</v>
      </c>
      <c r="C1289" s="592" t="s">
        <v>4353</v>
      </c>
      <c r="D1289" s="592">
        <v>1</v>
      </c>
      <c r="E1289" s="597">
        <v>3000</v>
      </c>
      <c r="F1289" s="597">
        <v>3000</v>
      </c>
      <c r="G1289" s="597">
        <v>1650</v>
      </c>
      <c r="H1289" s="592" t="s">
        <v>1397</v>
      </c>
    </row>
    <row r="1290" spans="1:8" ht="24.75" customHeight="1" x14ac:dyDescent="0.55000000000000004">
      <c r="A1290" s="592">
        <v>1289</v>
      </c>
      <c r="B1290" s="596" t="s">
        <v>4354</v>
      </c>
      <c r="C1290" s="592" t="s">
        <v>4355</v>
      </c>
      <c r="D1290" s="592">
        <v>2</v>
      </c>
      <c r="E1290" s="597">
        <v>3500</v>
      </c>
      <c r="F1290" s="597">
        <v>3500</v>
      </c>
      <c r="G1290" s="597">
        <v>5696</v>
      </c>
      <c r="H1290" s="592" t="s">
        <v>1397</v>
      </c>
    </row>
    <row r="1291" spans="1:8" ht="24.75" customHeight="1" x14ac:dyDescent="0.55000000000000004">
      <c r="A1291" s="592">
        <v>1290</v>
      </c>
      <c r="B1291" s="596" t="s">
        <v>2988</v>
      </c>
      <c r="C1291" s="592" t="s">
        <v>2989</v>
      </c>
      <c r="D1291" s="592">
        <v>1</v>
      </c>
      <c r="E1291" s="597">
        <v>1000</v>
      </c>
      <c r="F1291" s="597">
        <v>1000</v>
      </c>
      <c r="G1291" s="597">
        <v>600</v>
      </c>
      <c r="H1291" s="592" t="s">
        <v>1397</v>
      </c>
    </row>
    <row r="1292" spans="1:8" ht="24.75" customHeight="1" x14ac:dyDescent="0.55000000000000004">
      <c r="A1292" s="592">
        <v>1291</v>
      </c>
      <c r="B1292" s="596" t="s">
        <v>3006</v>
      </c>
      <c r="C1292" s="592" t="s">
        <v>3007</v>
      </c>
      <c r="D1292" s="592">
        <v>2</v>
      </c>
      <c r="E1292" s="597">
        <v>700</v>
      </c>
      <c r="F1292" s="597">
        <v>700</v>
      </c>
      <c r="G1292" s="597">
        <v>700</v>
      </c>
      <c r="H1292" s="592" t="s">
        <v>1397</v>
      </c>
    </row>
    <row r="1293" spans="1:8" ht="24.75" customHeight="1" x14ac:dyDescent="0.55000000000000004">
      <c r="A1293" s="592">
        <v>1292</v>
      </c>
      <c r="B1293" s="596" t="s">
        <v>4356</v>
      </c>
      <c r="C1293" s="592" t="s">
        <v>4357</v>
      </c>
      <c r="D1293" s="592">
        <v>16</v>
      </c>
      <c r="E1293" s="597">
        <v>700</v>
      </c>
      <c r="F1293" s="597">
        <v>700</v>
      </c>
      <c r="G1293" s="597">
        <v>8576</v>
      </c>
      <c r="H1293" s="592" t="s">
        <v>1397</v>
      </c>
    </row>
    <row r="1294" spans="1:8" ht="24.75" customHeight="1" x14ac:dyDescent="0.55000000000000004">
      <c r="A1294" s="592">
        <v>1293</v>
      </c>
      <c r="B1294" s="596" t="s">
        <v>4358</v>
      </c>
      <c r="C1294" s="592" t="s">
        <v>4359</v>
      </c>
      <c r="D1294" s="592">
        <v>1</v>
      </c>
      <c r="E1294" s="597">
        <v>1700</v>
      </c>
      <c r="F1294" s="597">
        <v>1700</v>
      </c>
      <c r="G1294" s="597">
        <v>1152</v>
      </c>
      <c r="H1294" s="592" t="s">
        <v>1397</v>
      </c>
    </row>
    <row r="1295" spans="1:8" ht="24.75" customHeight="1" x14ac:dyDescent="0.55000000000000004">
      <c r="A1295" s="592">
        <v>1294</v>
      </c>
      <c r="B1295" s="596" t="s">
        <v>4360</v>
      </c>
      <c r="C1295" s="592" t="s">
        <v>4361</v>
      </c>
      <c r="D1295" s="592">
        <v>9</v>
      </c>
      <c r="E1295" s="597">
        <v>1800</v>
      </c>
      <c r="F1295" s="597">
        <v>1800</v>
      </c>
      <c r="G1295" s="597">
        <v>11016</v>
      </c>
      <c r="H1295" s="592" t="s">
        <v>1397</v>
      </c>
    </row>
    <row r="1296" spans="1:8" ht="24.75" customHeight="1" x14ac:dyDescent="0.55000000000000004">
      <c r="A1296" s="592">
        <v>1295</v>
      </c>
      <c r="B1296" s="596" t="s">
        <v>8556</v>
      </c>
      <c r="C1296" s="592">
        <v>6207</v>
      </c>
      <c r="D1296" s="592">
        <v>9</v>
      </c>
      <c r="E1296" s="597">
        <v>2500</v>
      </c>
      <c r="F1296" s="597">
        <v>2500</v>
      </c>
      <c r="G1296" s="597">
        <v>24750</v>
      </c>
      <c r="H1296" s="592" t="s">
        <v>1397</v>
      </c>
    </row>
    <row r="1297" spans="1:8" ht="24.75" customHeight="1" x14ac:dyDescent="0.55000000000000004">
      <c r="A1297" s="592">
        <v>1296</v>
      </c>
      <c r="B1297" s="596" t="s">
        <v>4364</v>
      </c>
      <c r="C1297" s="592">
        <v>6214</v>
      </c>
      <c r="D1297" s="592">
        <v>3</v>
      </c>
      <c r="E1297" s="597">
        <v>6850</v>
      </c>
      <c r="F1297" s="597">
        <v>6850</v>
      </c>
      <c r="G1297" s="597">
        <v>17250</v>
      </c>
      <c r="H1297" s="592" t="s">
        <v>1397</v>
      </c>
    </row>
    <row r="1298" spans="1:8" ht="24.75" customHeight="1" x14ac:dyDescent="0.55000000000000004">
      <c r="A1298" s="592">
        <v>1297</v>
      </c>
      <c r="B1298" s="596" t="s">
        <v>3249</v>
      </c>
      <c r="C1298" s="592" t="s">
        <v>8420</v>
      </c>
      <c r="D1298" s="592">
        <v>8</v>
      </c>
      <c r="E1298" s="597">
        <v>2000</v>
      </c>
      <c r="F1298" s="597">
        <v>2000</v>
      </c>
      <c r="G1298" s="597">
        <v>10944</v>
      </c>
      <c r="H1298" s="592" t="s">
        <v>1397</v>
      </c>
    </row>
    <row r="1299" spans="1:8" ht="24.75" customHeight="1" x14ac:dyDescent="0.55000000000000004">
      <c r="A1299" s="592">
        <v>1298</v>
      </c>
      <c r="B1299" s="596" t="s">
        <v>3334</v>
      </c>
      <c r="C1299" s="592" t="s">
        <v>3335</v>
      </c>
      <c r="D1299" s="592">
        <v>8</v>
      </c>
      <c r="E1299" s="597">
        <v>2500</v>
      </c>
      <c r="F1299" s="597">
        <v>2500</v>
      </c>
      <c r="G1299" s="597">
        <v>14800</v>
      </c>
      <c r="H1299" s="592" t="s">
        <v>1397</v>
      </c>
    </row>
    <row r="1300" spans="1:8" ht="24.75" customHeight="1" x14ac:dyDescent="0.55000000000000004">
      <c r="A1300" s="592">
        <v>1299</v>
      </c>
      <c r="B1300" s="596" t="s">
        <v>3250</v>
      </c>
      <c r="C1300" s="592" t="s">
        <v>3251</v>
      </c>
      <c r="D1300" s="592">
        <v>2</v>
      </c>
      <c r="E1300" s="597">
        <v>800</v>
      </c>
      <c r="F1300" s="597">
        <v>800</v>
      </c>
      <c r="G1300" s="597">
        <v>990</v>
      </c>
      <c r="H1300" s="592" t="s">
        <v>1397</v>
      </c>
    </row>
    <row r="1301" spans="1:8" ht="24.75" customHeight="1" x14ac:dyDescent="0.55000000000000004">
      <c r="A1301" s="592">
        <v>1300</v>
      </c>
      <c r="B1301" s="596" t="s">
        <v>4365</v>
      </c>
      <c r="C1301" s="592" t="s">
        <v>4366</v>
      </c>
      <c r="D1301" s="592">
        <v>5</v>
      </c>
      <c r="E1301" s="597">
        <v>3800</v>
      </c>
      <c r="F1301" s="597">
        <v>3800</v>
      </c>
      <c r="G1301" s="597">
        <v>10000</v>
      </c>
      <c r="H1301" s="592" t="s">
        <v>1397</v>
      </c>
    </row>
    <row r="1302" spans="1:8" ht="24.75" customHeight="1" x14ac:dyDescent="0.55000000000000004">
      <c r="A1302" s="592">
        <v>1301</v>
      </c>
      <c r="B1302" s="596" t="s">
        <v>3252</v>
      </c>
      <c r="C1302" s="592" t="s">
        <v>7622</v>
      </c>
      <c r="D1302" s="592">
        <v>12</v>
      </c>
      <c r="E1302" s="597">
        <v>3800</v>
      </c>
      <c r="F1302" s="597">
        <v>3800</v>
      </c>
      <c r="G1302" s="597">
        <v>24000</v>
      </c>
      <c r="H1302" s="592" t="s">
        <v>1397</v>
      </c>
    </row>
    <row r="1303" spans="1:8" ht="24.75" customHeight="1" x14ac:dyDescent="0.55000000000000004">
      <c r="A1303" s="592">
        <v>1302</v>
      </c>
      <c r="B1303" s="596" t="s">
        <v>4367</v>
      </c>
      <c r="C1303" s="592" t="s">
        <v>4368</v>
      </c>
      <c r="D1303" s="592">
        <v>5</v>
      </c>
      <c r="E1303" s="597">
        <v>1500</v>
      </c>
      <c r="F1303" s="597">
        <v>1500</v>
      </c>
      <c r="G1303" s="597">
        <v>4600</v>
      </c>
      <c r="H1303" s="592" t="s">
        <v>1397</v>
      </c>
    </row>
    <row r="1304" spans="1:8" ht="24.75" customHeight="1" x14ac:dyDescent="0.55000000000000004">
      <c r="A1304" s="592">
        <v>1303</v>
      </c>
      <c r="B1304" s="596" t="s">
        <v>3432</v>
      </c>
      <c r="C1304" s="592" t="s">
        <v>3433</v>
      </c>
      <c r="D1304" s="592">
        <v>5</v>
      </c>
      <c r="E1304" s="597">
        <v>5700</v>
      </c>
      <c r="F1304" s="597">
        <v>5700</v>
      </c>
      <c r="G1304" s="597">
        <v>25080</v>
      </c>
      <c r="H1304" s="592" t="s">
        <v>1397</v>
      </c>
    </row>
    <row r="1305" spans="1:8" ht="24.75" customHeight="1" x14ac:dyDescent="0.55000000000000004">
      <c r="A1305" s="592">
        <v>1304</v>
      </c>
      <c r="B1305" s="596" t="s">
        <v>3434</v>
      </c>
      <c r="C1305" s="592" t="s">
        <v>3435</v>
      </c>
      <c r="D1305" s="592">
        <v>2</v>
      </c>
      <c r="E1305" s="597">
        <v>8500</v>
      </c>
      <c r="F1305" s="597">
        <v>8500</v>
      </c>
      <c r="G1305" s="597">
        <v>15000</v>
      </c>
      <c r="H1305" s="592" t="s">
        <v>1397</v>
      </c>
    </row>
    <row r="1306" spans="1:8" ht="24.75" customHeight="1" x14ac:dyDescent="0.55000000000000004">
      <c r="A1306" s="592">
        <v>1305</v>
      </c>
      <c r="B1306" s="596" t="s">
        <v>4369</v>
      </c>
      <c r="C1306" s="592" t="s">
        <v>4370</v>
      </c>
      <c r="D1306" s="592">
        <v>11</v>
      </c>
      <c r="E1306" s="597">
        <v>3000</v>
      </c>
      <c r="F1306" s="597">
        <v>3000</v>
      </c>
      <c r="G1306" s="597">
        <v>26620</v>
      </c>
      <c r="H1306" s="592" t="s">
        <v>1397</v>
      </c>
    </row>
    <row r="1307" spans="1:8" ht="24.75" customHeight="1" x14ac:dyDescent="0.55000000000000004">
      <c r="A1307" s="592">
        <v>1306</v>
      </c>
      <c r="B1307" s="596" t="s">
        <v>3436</v>
      </c>
      <c r="C1307" s="592" t="s">
        <v>7623</v>
      </c>
      <c r="D1307" s="592">
        <v>1</v>
      </c>
      <c r="E1307" s="597">
        <v>3000</v>
      </c>
      <c r="F1307" s="597">
        <v>3000</v>
      </c>
      <c r="G1307" s="597">
        <v>2508</v>
      </c>
      <c r="H1307" s="592" t="s">
        <v>1397</v>
      </c>
    </row>
    <row r="1308" spans="1:8" ht="24.75" customHeight="1" x14ac:dyDescent="0.55000000000000004">
      <c r="A1308" s="592">
        <v>1307</v>
      </c>
      <c r="B1308" s="596" t="s">
        <v>4371</v>
      </c>
      <c r="C1308" s="592" t="s">
        <v>4372</v>
      </c>
      <c r="D1308" s="592">
        <v>18</v>
      </c>
      <c r="E1308" s="597">
        <v>2200</v>
      </c>
      <c r="F1308" s="597">
        <v>2200</v>
      </c>
      <c r="G1308" s="597">
        <v>29754</v>
      </c>
      <c r="H1308" s="592" t="s">
        <v>1397</v>
      </c>
    </row>
    <row r="1309" spans="1:8" ht="24.75" customHeight="1" x14ac:dyDescent="0.55000000000000004">
      <c r="A1309" s="592">
        <v>1308</v>
      </c>
      <c r="B1309" s="596" t="s">
        <v>4373</v>
      </c>
      <c r="C1309" s="592" t="s">
        <v>4374</v>
      </c>
      <c r="D1309" s="592">
        <v>2</v>
      </c>
      <c r="E1309" s="597">
        <v>15000</v>
      </c>
      <c r="F1309" s="597">
        <v>15000</v>
      </c>
      <c r="G1309" s="597">
        <v>24000</v>
      </c>
      <c r="H1309" s="592" t="s">
        <v>1397</v>
      </c>
    </row>
    <row r="1310" spans="1:8" ht="24.75" customHeight="1" x14ac:dyDescent="0.55000000000000004">
      <c r="A1310" s="592">
        <v>1309</v>
      </c>
      <c r="B1310" s="596" t="s">
        <v>6563</v>
      </c>
      <c r="C1310" s="592" t="s">
        <v>6564</v>
      </c>
      <c r="D1310" s="592">
        <v>2</v>
      </c>
      <c r="E1310" s="597">
        <v>4300</v>
      </c>
      <c r="F1310" s="597">
        <v>4300</v>
      </c>
      <c r="G1310" s="597">
        <v>6300</v>
      </c>
      <c r="H1310" s="592" t="s">
        <v>1397</v>
      </c>
    </row>
    <row r="1311" spans="1:8" ht="24.75" customHeight="1" x14ac:dyDescent="0.55000000000000004">
      <c r="A1311" s="592">
        <v>1310</v>
      </c>
      <c r="B1311" s="596" t="s">
        <v>7351</v>
      </c>
      <c r="C1311" s="592" t="s">
        <v>7352</v>
      </c>
      <c r="D1311" s="592">
        <v>8</v>
      </c>
      <c r="E1311" s="597">
        <v>2000</v>
      </c>
      <c r="F1311" s="597">
        <v>2000</v>
      </c>
      <c r="G1311" s="597">
        <v>11600</v>
      </c>
      <c r="H1311" s="592" t="s">
        <v>1397</v>
      </c>
    </row>
    <row r="1312" spans="1:8" ht="24.75" customHeight="1" x14ac:dyDescent="0.55000000000000004">
      <c r="A1312" s="592">
        <v>1311</v>
      </c>
      <c r="B1312" s="596" t="s">
        <v>7911</v>
      </c>
      <c r="C1312" s="592" t="s">
        <v>7912</v>
      </c>
      <c r="D1312" s="592">
        <v>14</v>
      </c>
      <c r="E1312" s="597">
        <v>800</v>
      </c>
      <c r="F1312" s="597">
        <v>800</v>
      </c>
      <c r="G1312" s="597">
        <v>8400</v>
      </c>
      <c r="H1312" s="592" t="s">
        <v>1397</v>
      </c>
    </row>
    <row r="1313" spans="1:8" ht="24.75" customHeight="1" x14ac:dyDescent="0.55000000000000004">
      <c r="A1313" s="592">
        <v>1312</v>
      </c>
      <c r="B1313" s="596" t="s">
        <v>8767</v>
      </c>
      <c r="C1313" s="592" t="s">
        <v>8768</v>
      </c>
      <c r="D1313" s="592">
        <v>1</v>
      </c>
      <c r="E1313" s="597">
        <v>18000</v>
      </c>
      <c r="F1313" s="597">
        <v>18000</v>
      </c>
      <c r="G1313" s="597">
        <v>15750</v>
      </c>
      <c r="H1313" s="592" t="s">
        <v>1397</v>
      </c>
    </row>
    <row r="1314" spans="1:8" ht="24.75" customHeight="1" x14ac:dyDescent="0.55000000000000004">
      <c r="A1314" s="592">
        <v>1313</v>
      </c>
      <c r="B1314" s="596" t="s">
        <v>8769</v>
      </c>
      <c r="C1314" s="592" t="s">
        <v>8770</v>
      </c>
      <c r="D1314" s="592">
        <v>1</v>
      </c>
      <c r="E1314" s="597">
        <v>30000</v>
      </c>
      <c r="F1314" s="597">
        <v>30000</v>
      </c>
      <c r="G1314" s="597">
        <v>26000</v>
      </c>
      <c r="H1314" s="592" t="s">
        <v>1397</v>
      </c>
    </row>
    <row r="1315" spans="1:8" ht="24.75" customHeight="1" x14ac:dyDescent="0.55000000000000004">
      <c r="A1315" s="592">
        <v>1314</v>
      </c>
      <c r="B1315" s="596" t="s">
        <v>8561</v>
      </c>
      <c r="C1315" s="592" t="s">
        <v>8562</v>
      </c>
      <c r="D1315" s="592">
        <v>9</v>
      </c>
      <c r="E1315" s="597">
        <v>5000</v>
      </c>
      <c r="F1315" s="597">
        <v>5000</v>
      </c>
      <c r="G1315" s="597">
        <v>31500</v>
      </c>
      <c r="H1315" s="592" t="s">
        <v>1397</v>
      </c>
    </row>
    <row r="1316" spans="1:8" ht="24.75" customHeight="1" x14ac:dyDescent="0.55000000000000004">
      <c r="A1316" s="592">
        <v>1315</v>
      </c>
      <c r="B1316" s="596" t="s">
        <v>6843</v>
      </c>
      <c r="C1316" s="592" t="s">
        <v>6844</v>
      </c>
      <c r="D1316" s="592">
        <v>9</v>
      </c>
      <c r="E1316" s="597">
        <v>3300</v>
      </c>
      <c r="F1316" s="597">
        <v>3300</v>
      </c>
      <c r="G1316" s="597">
        <v>24750</v>
      </c>
      <c r="H1316" s="592" t="s">
        <v>1397</v>
      </c>
    </row>
    <row r="1317" spans="1:8" ht="24.75" customHeight="1" x14ac:dyDescent="0.55000000000000004">
      <c r="A1317" s="592">
        <v>1316</v>
      </c>
      <c r="B1317" s="596" t="s">
        <v>8069</v>
      </c>
      <c r="C1317" s="592" t="s">
        <v>8070</v>
      </c>
      <c r="D1317" s="592">
        <v>20</v>
      </c>
      <c r="E1317" s="597">
        <v>4000</v>
      </c>
      <c r="F1317" s="597">
        <v>4000</v>
      </c>
      <c r="G1317" s="597">
        <v>76000</v>
      </c>
      <c r="H1317" s="592" t="s">
        <v>1397</v>
      </c>
    </row>
    <row r="1318" spans="1:8" ht="24.75" customHeight="1" x14ac:dyDescent="0.55000000000000004">
      <c r="A1318" s="592">
        <v>1317</v>
      </c>
      <c r="B1318" s="596" t="s">
        <v>7624</v>
      </c>
      <c r="C1318" s="592" t="s">
        <v>7625</v>
      </c>
      <c r="D1318" s="592">
        <v>4</v>
      </c>
      <c r="E1318" s="597">
        <v>5000</v>
      </c>
      <c r="F1318" s="597">
        <v>5000</v>
      </c>
      <c r="G1318" s="597">
        <v>14000</v>
      </c>
      <c r="H1318" s="592" t="s">
        <v>1397</v>
      </c>
    </row>
    <row r="1319" spans="1:8" ht="24.75" customHeight="1" x14ac:dyDescent="0.55000000000000004">
      <c r="A1319" s="592">
        <v>1318</v>
      </c>
      <c r="B1319" s="596" t="s">
        <v>7626</v>
      </c>
      <c r="C1319" s="592" t="s">
        <v>7627</v>
      </c>
      <c r="D1319" s="592">
        <v>2</v>
      </c>
      <c r="E1319" s="597">
        <v>7500</v>
      </c>
      <c r="F1319" s="597">
        <v>7500</v>
      </c>
      <c r="G1319" s="597">
        <v>10000</v>
      </c>
      <c r="H1319" s="592" t="s">
        <v>1397</v>
      </c>
    </row>
    <row r="1320" spans="1:8" ht="24.75" customHeight="1" x14ac:dyDescent="0.55000000000000004">
      <c r="A1320" s="592">
        <v>1319</v>
      </c>
      <c r="B1320" s="596" t="s">
        <v>7628</v>
      </c>
      <c r="C1320" s="592" t="s">
        <v>7629</v>
      </c>
      <c r="D1320" s="592">
        <v>1</v>
      </c>
      <c r="E1320" s="597">
        <v>23000</v>
      </c>
      <c r="F1320" s="597">
        <v>2300</v>
      </c>
      <c r="G1320" s="597">
        <v>18000</v>
      </c>
      <c r="H1320" s="592" t="s">
        <v>1397</v>
      </c>
    </row>
    <row r="1321" spans="1:8" ht="24.75" customHeight="1" x14ac:dyDescent="0.55000000000000004">
      <c r="A1321" s="592">
        <v>1320</v>
      </c>
      <c r="B1321" s="596" t="s">
        <v>7630</v>
      </c>
      <c r="C1321" s="592" t="s">
        <v>7631</v>
      </c>
      <c r="D1321" s="592">
        <v>1</v>
      </c>
      <c r="E1321" s="597">
        <v>23500</v>
      </c>
      <c r="F1321" s="597">
        <v>23500</v>
      </c>
      <c r="G1321" s="597">
        <v>18500</v>
      </c>
      <c r="H1321" s="592" t="s">
        <v>1397</v>
      </c>
    </row>
    <row r="1322" spans="1:8" ht="24.75" customHeight="1" x14ac:dyDescent="0.55000000000000004">
      <c r="A1322" s="592">
        <v>1321</v>
      </c>
      <c r="B1322" s="596" t="s">
        <v>6268</v>
      </c>
      <c r="C1322" s="592" t="s">
        <v>6269</v>
      </c>
      <c r="D1322" s="592">
        <v>5</v>
      </c>
      <c r="E1322" s="597">
        <v>28000</v>
      </c>
      <c r="F1322" s="597">
        <v>28000</v>
      </c>
      <c r="G1322" s="597">
        <v>109865</v>
      </c>
      <c r="H1322" s="592" t="s">
        <v>933</v>
      </c>
    </row>
    <row r="1323" spans="1:8" ht="24.75" customHeight="1" x14ac:dyDescent="0.55000000000000004">
      <c r="A1323" s="592">
        <v>1322</v>
      </c>
      <c r="B1323" s="596" t="s">
        <v>938</v>
      </c>
      <c r="C1323" s="592" t="s">
        <v>1576</v>
      </c>
      <c r="D1323" s="592">
        <v>79</v>
      </c>
      <c r="E1323" s="597">
        <v>3000</v>
      </c>
      <c r="F1323" s="597">
        <v>3000</v>
      </c>
      <c r="G1323" s="597">
        <v>157131</v>
      </c>
      <c r="H1323" s="592" t="s">
        <v>933</v>
      </c>
    </row>
    <row r="1324" spans="1:8" ht="24.75" customHeight="1" x14ac:dyDescent="0.55000000000000004">
      <c r="A1324" s="592">
        <v>1323</v>
      </c>
      <c r="B1324" s="596" t="s">
        <v>939</v>
      </c>
      <c r="C1324" s="592" t="s">
        <v>1577</v>
      </c>
      <c r="D1324" s="592">
        <v>6</v>
      </c>
      <c r="E1324" s="597">
        <v>2500</v>
      </c>
      <c r="F1324" s="597">
        <v>2500</v>
      </c>
      <c r="G1324" s="597">
        <v>8400</v>
      </c>
      <c r="H1324" s="592" t="s">
        <v>933</v>
      </c>
    </row>
    <row r="1325" spans="1:8" ht="24.75" customHeight="1" x14ac:dyDescent="0.55000000000000004">
      <c r="A1325" s="592">
        <v>1324</v>
      </c>
      <c r="B1325" s="596" t="s">
        <v>3253</v>
      </c>
      <c r="C1325" s="592" t="s">
        <v>3254</v>
      </c>
      <c r="D1325" s="592">
        <v>9</v>
      </c>
      <c r="E1325" s="597">
        <v>2500</v>
      </c>
      <c r="F1325" s="597">
        <v>2500</v>
      </c>
      <c r="G1325" s="597">
        <v>18000</v>
      </c>
      <c r="H1325" s="592" t="s">
        <v>1397</v>
      </c>
    </row>
    <row r="1326" spans="1:8" ht="24.75" customHeight="1" x14ac:dyDescent="0.55000000000000004">
      <c r="A1326" s="592">
        <v>1325</v>
      </c>
      <c r="B1326" s="596" t="s">
        <v>940</v>
      </c>
      <c r="C1326" s="592" t="s">
        <v>7632</v>
      </c>
      <c r="D1326" s="592">
        <v>19</v>
      </c>
      <c r="E1326" s="597">
        <v>15000</v>
      </c>
      <c r="F1326" s="597">
        <v>15000</v>
      </c>
      <c r="G1326" s="597">
        <v>237500</v>
      </c>
      <c r="H1326" s="592" t="s">
        <v>1397</v>
      </c>
    </row>
    <row r="1327" spans="1:8" ht="24.75" customHeight="1" x14ac:dyDescent="0.55000000000000004">
      <c r="A1327" s="592">
        <v>1326</v>
      </c>
      <c r="B1327" s="596" t="s">
        <v>941</v>
      </c>
      <c r="C1327" s="592" t="s">
        <v>935</v>
      </c>
      <c r="D1327" s="592">
        <v>35</v>
      </c>
      <c r="E1327" s="597">
        <v>12000</v>
      </c>
      <c r="F1327" s="597">
        <v>12000</v>
      </c>
      <c r="G1327" s="597">
        <v>318150</v>
      </c>
      <c r="H1327" s="592" t="s">
        <v>933</v>
      </c>
    </row>
    <row r="1328" spans="1:8" ht="24.75" customHeight="1" x14ac:dyDescent="0.55000000000000004">
      <c r="A1328" s="592">
        <v>1327</v>
      </c>
      <c r="B1328" s="596" t="s">
        <v>2492</v>
      </c>
      <c r="C1328" s="592" t="s">
        <v>8563</v>
      </c>
      <c r="D1328" s="592">
        <v>1</v>
      </c>
      <c r="E1328" s="597">
        <v>15000</v>
      </c>
      <c r="F1328" s="597">
        <v>15000</v>
      </c>
      <c r="G1328" s="597">
        <v>5500</v>
      </c>
      <c r="H1328" s="592" t="s">
        <v>1397</v>
      </c>
    </row>
    <row r="1329" spans="1:8" ht="24.75" customHeight="1" x14ac:dyDescent="0.55000000000000004">
      <c r="A1329" s="592">
        <v>1328</v>
      </c>
      <c r="B1329" s="596" t="s">
        <v>942</v>
      </c>
      <c r="C1329" s="592" t="s">
        <v>936</v>
      </c>
      <c r="D1329" s="592">
        <v>10</v>
      </c>
      <c r="E1329" s="597">
        <v>15000</v>
      </c>
      <c r="F1329" s="597">
        <v>15000</v>
      </c>
      <c r="G1329" s="597">
        <v>116130</v>
      </c>
      <c r="H1329" s="592" t="s">
        <v>933</v>
      </c>
    </row>
    <row r="1330" spans="1:8" ht="24.75" customHeight="1" x14ac:dyDescent="0.55000000000000004">
      <c r="A1330" s="592">
        <v>1329</v>
      </c>
      <c r="B1330" s="596" t="s">
        <v>943</v>
      </c>
      <c r="C1330" s="592" t="s">
        <v>937</v>
      </c>
      <c r="D1330" s="592">
        <v>10</v>
      </c>
      <c r="E1330" s="597">
        <v>17500</v>
      </c>
      <c r="F1330" s="597">
        <v>17500</v>
      </c>
      <c r="G1330" s="597">
        <v>132820</v>
      </c>
      <c r="H1330" s="592" t="s">
        <v>933</v>
      </c>
    </row>
    <row r="1331" spans="1:8" ht="24.75" customHeight="1" x14ac:dyDescent="0.55000000000000004">
      <c r="A1331" s="592">
        <v>1330</v>
      </c>
      <c r="B1331" s="596" t="s">
        <v>4375</v>
      </c>
      <c r="C1331" s="592" t="s">
        <v>4376</v>
      </c>
      <c r="D1331" s="592">
        <v>2</v>
      </c>
      <c r="E1331" s="597">
        <v>600</v>
      </c>
      <c r="F1331" s="597">
        <v>600</v>
      </c>
      <c r="G1331" s="597">
        <v>800</v>
      </c>
      <c r="H1331" s="592" t="s">
        <v>933</v>
      </c>
    </row>
    <row r="1332" spans="1:8" ht="24.75" customHeight="1" x14ac:dyDescent="0.55000000000000004">
      <c r="A1332" s="592">
        <v>1331</v>
      </c>
      <c r="B1332" s="596" t="s">
        <v>944</v>
      </c>
      <c r="C1332" s="592" t="s">
        <v>1578</v>
      </c>
      <c r="D1332" s="592">
        <v>4</v>
      </c>
      <c r="E1332" s="597">
        <v>40000</v>
      </c>
      <c r="F1332" s="597">
        <v>40000</v>
      </c>
      <c r="G1332" s="597">
        <v>123488</v>
      </c>
      <c r="H1332" s="592" t="s">
        <v>933</v>
      </c>
    </row>
    <row r="1333" spans="1:8" ht="24.75" customHeight="1" x14ac:dyDescent="0.55000000000000004">
      <c r="A1333" s="592">
        <v>1332</v>
      </c>
      <c r="B1333" s="596" t="s">
        <v>4377</v>
      </c>
      <c r="C1333" s="592" t="s">
        <v>4378</v>
      </c>
      <c r="D1333" s="592">
        <v>2</v>
      </c>
      <c r="E1333" s="597">
        <v>67000</v>
      </c>
      <c r="F1333" s="597">
        <v>67000</v>
      </c>
      <c r="G1333" s="597">
        <v>124200</v>
      </c>
      <c r="H1333" s="592" t="s">
        <v>933</v>
      </c>
    </row>
    <row r="1334" spans="1:8" ht="24.75" customHeight="1" x14ac:dyDescent="0.55000000000000004">
      <c r="A1334" s="592">
        <v>1333</v>
      </c>
      <c r="B1334" s="596" t="s">
        <v>4379</v>
      </c>
      <c r="C1334" s="592" t="s">
        <v>4380</v>
      </c>
      <c r="D1334" s="592">
        <v>3</v>
      </c>
      <c r="E1334" s="597">
        <v>22000</v>
      </c>
      <c r="F1334" s="597">
        <v>22000</v>
      </c>
      <c r="G1334" s="597">
        <v>45645</v>
      </c>
      <c r="H1334" s="592" t="s">
        <v>933</v>
      </c>
    </row>
    <row r="1335" spans="1:8" ht="24.75" customHeight="1" x14ac:dyDescent="0.55000000000000004">
      <c r="A1335" s="592">
        <v>1334</v>
      </c>
      <c r="B1335" s="596" t="s">
        <v>945</v>
      </c>
      <c r="C1335" s="592" t="s">
        <v>1579</v>
      </c>
      <c r="D1335" s="592">
        <v>10</v>
      </c>
      <c r="E1335" s="597">
        <v>1200</v>
      </c>
      <c r="F1335" s="597">
        <v>1200</v>
      </c>
      <c r="G1335" s="597">
        <v>7410</v>
      </c>
      <c r="H1335" s="592" t="s">
        <v>1397</v>
      </c>
    </row>
    <row r="1336" spans="1:8" ht="24.75" customHeight="1" x14ac:dyDescent="0.55000000000000004">
      <c r="A1336" s="592">
        <v>1335</v>
      </c>
      <c r="B1336" s="596" t="s">
        <v>3059</v>
      </c>
      <c r="C1336" s="592" t="s">
        <v>3255</v>
      </c>
      <c r="D1336" s="592">
        <v>5</v>
      </c>
      <c r="E1336" s="597">
        <v>8500</v>
      </c>
      <c r="F1336" s="597">
        <v>8500</v>
      </c>
      <c r="G1336" s="597">
        <v>20270</v>
      </c>
      <c r="H1336" s="592" t="s">
        <v>933</v>
      </c>
    </row>
    <row r="1337" spans="1:8" ht="24.75" customHeight="1" x14ac:dyDescent="0.55000000000000004">
      <c r="A1337" s="592">
        <v>1336</v>
      </c>
      <c r="B1337" s="596" t="s">
        <v>952</v>
      </c>
      <c r="C1337" s="592" t="s">
        <v>1580</v>
      </c>
      <c r="D1337" s="592">
        <v>13</v>
      </c>
      <c r="E1337" s="597">
        <v>2000</v>
      </c>
      <c r="F1337" s="597">
        <v>2000</v>
      </c>
      <c r="G1337" s="597">
        <v>18200</v>
      </c>
      <c r="H1337" s="592" t="s">
        <v>933</v>
      </c>
    </row>
    <row r="1338" spans="1:8" ht="24.75" customHeight="1" x14ac:dyDescent="0.55000000000000004">
      <c r="A1338" s="592">
        <v>1337</v>
      </c>
      <c r="B1338" s="596" t="s">
        <v>953</v>
      </c>
      <c r="C1338" s="592" t="s">
        <v>8564</v>
      </c>
      <c r="D1338" s="592">
        <v>6</v>
      </c>
      <c r="E1338" s="597">
        <v>1000</v>
      </c>
      <c r="F1338" s="597">
        <v>1000</v>
      </c>
      <c r="G1338" s="597">
        <v>2280</v>
      </c>
      <c r="H1338" s="592" t="s">
        <v>933</v>
      </c>
    </row>
    <row r="1339" spans="1:8" ht="24.75" customHeight="1" x14ac:dyDescent="0.55000000000000004">
      <c r="A1339" s="592">
        <v>1338</v>
      </c>
      <c r="B1339" s="596" t="s">
        <v>4381</v>
      </c>
      <c r="C1339" s="592" t="s">
        <v>4382</v>
      </c>
      <c r="D1339" s="592">
        <v>1</v>
      </c>
      <c r="E1339" s="597">
        <v>3000</v>
      </c>
      <c r="F1339" s="597">
        <v>3000</v>
      </c>
      <c r="G1339" s="597">
        <v>1300</v>
      </c>
      <c r="H1339" s="592" t="s">
        <v>1397</v>
      </c>
    </row>
    <row r="1340" spans="1:8" ht="24.75" customHeight="1" x14ac:dyDescent="0.55000000000000004">
      <c r="A1340" s="592">
        <v>1339</v>
      </c>
      <c r="B1340" s="596" t="s">
        <v>4383</v>
      </c>
      <c r="C1340" s="592" t="s">
        <v>7633</v>
      </c>
      <c r="D1340" s="592">
        <v>9</v>
      </c>
      <c r="E1340" s="597">
        <v>4000</v>
      </c>
      <c r="F1340" s="597">
        <v>4000</v>
      </c>
      <c r="G1340" s="597">
        <v>29700</v>
      </c>
      <c r="H1340" s="592" t="s">
        <v>933</v>
      </c>
    </row>
    <row r="1341" spans="1:8" ht="24.75" customHeight="1" x14ac:dyDescent="0.55000000000000004">
      <c r="A1341" s="592">
        <v>1340</v>
      </c>
      <c r="B1341" s="596" t="s">
        <v>1581</v>
      </c>
      <c r="C1341" s="592" t="s">
        <v>1582</v>
      </c>
      <c r="D1341" s="592">
        <v>9</v>
      </c>
      <c r="E1341" s="597">
        <v>30000</v>
      </c>
      <c r="F1341" s="597">
        <v>30000</v>
      </c>
      <c r="G1341" s="597">
        <v>190773</v>
      </c>
      <c r="H1341" s="592" t="s">
        <v>933</v>
      </c>
    </row>
    <row r="1342" spans="1:8" ht="24.75" customHeight="1" x14ac:dyDescent="0.55000000000000004">
      <c r="A1342" s="592">
        <v>1341</v>
      </c>
      <c r="B1342" s="596" t="s">
        <v>1583</v>
      </c>
      <c r="C1342" s="592" t="s">
        <v>1584</v>
      </c>
      <c r="D1342" s="592">
        <v>10</v>
      </c>
      <c r="E1342" s="597">
        <v>9000</v>
      </c>
      <c r="F1342" s="597">
        <v>9000</v>
      </c>
      <c r="G1342" s="597">
        <v>66100</v>
      </c>
      <c r="H1342" s="592" t="s">
        <v>1397</v>
      </c>
    </row>
    <row r="1343" spans="1:8" ht="24.75" customHeight="1" x14ac:dyDescent="0.55000000000000004">
      <c r="A1343" s="592">
        <v>1342</v>
      </c>
      <c r="B1343" s="596" t="s">
        <v>1585</v>
      </c>
      <c r="C1343" s="592" t="s">
        <v>7634</v>
      </c>
      <c r="D1343" s="592">
        <v>7</v>
      </c>
      <c r="E1343" s="597">
        <v>2500</v>
      </c>
      <c r="F1343" s="597">
        <v>2500</v>
      </c>
      <c r="G1343" s="597">
        <v>6300</v>
      </c>
      <c r="H1343" s="592" t="s">
        <v>1397</v>
      </c>
    </row>
    <row r="1344" spans="1:8" ht="24.75" customHeight="1" x14ac:dyDescent="0.55000000000000004">
      <c r="A1344" s="592">
        <v>1343</v>
      </c>
      <c r="B1344" s="596" t="s">
        <v>3138</v>
      </c>
      <c r="C1344" s="592" t="s">
        <v>3139</v>
      </c>
      <c r="D1344" s="592">
        <v>42</v>
      </c>
      <c r="E1344" s="597">
        <v>5000</v>
      </c>
      <c r="F1344" s="597">
        <v>5000</v>
      </c>
      <c r="G1344" s="597">
        <v>147378</v>
      </c>
      <c r="H1344" s="592" t="s">
        <v>933</v>
      </c>
    </row>
    <row r="1345" spans="1:8" ht="24.75" customHeight="1" x14ac:dyDescent="0.55000000000000004">
      <c r="A1345" s="592">
        <v>1344</v>
      </c>
      <c r="B1345" s="596" t="s">
        <v>3256</v>
      </c>
      <c r="C1345" s="592" t="s">
        <v>3257</v>
      </c>
      <c r="D1345" s="592">
        <v>4</v>
      </c>
      <c r="E1345" s="597">
        <v>1000</v>
      </c>
      <c r="F1345" s="597">
        <v>1000</v>
      </c>
      <c r="G1345" s="597">
        <v>3000</v>
      </c>
      <c r="H1345" s="592" t="s">
        <v>1397</v>
      </c>
    </row>
    <row r="1346" spans="1:8" ht="24.75" customHeight="1" x14ac:dyDescent="0.55000000000000004">
      <c r="A1346" s="592">
        <v>1345</v>
      </c>
      <c r="B1346" s="596" t="s">
        <v>8565</v>
      </c>
      <c r="C1346" s="592" t="s">
        <v>8566</v>
      </c>
      <c r="D1346" s="592">
        <v>35</v>
      </c>
      <c r="E1346" s="597">
        <v>2000</v>
      </c>
      <c r="F1346" s="597">
        <v>2000</v>
      </c>
      <c r="G1346" s="597">
        <v>52465</v>
      </c>
      <c r="H1346" s="592" t="s">
        <v>933</v>
      </c>
    </row>
    <row r="1347" spans="1:8" ht="24.75" customHeight="1" x14ac:dyDescent="0.55000000000000004">
      <c r="A1347" s="592">
        <v>1346</v>
      </c>
      <c r="B1347" s="596" t="s">
        <v>6845</v>
      </c>
      <c r="C1347" s="592" t="s">
        <v>8567</v>
      </c>
      <c r="D1347" s="592">
        <v>13</v>
      </c>
      <c r="E1347" s="597">
        <v>23000</v>
      </c>
      <c r="F1347" s="597">
        <v>23000</v>
      </c>
      <c r="G1347" s="597">
        <v>257348</v>
      </c>
      <c r="H1347" s="592" t="s">
        <v>933</v>
      </c>
    </row>
    <row r="1348" spans="1:8" ht="24.75" customHeight="1" x14ac:dyDescent="0.55000000000000004">
      <c r="A1348" s="592">
        <v>1347</v>
      </c>
      <c r="B1348" s="596" t="s">
        <v>1586</v>
      </c>
      <c r="C1348" s="592" t="s">
        <v>1587</v>
      </c>
      <c r="D1348" s="592">
        <v>56</v>
      </c>
      <c r="E1348" s="597">
        <v>5200</v>
      </c>
      <c r="F1348" s="597">
        <v>5200</v>
      </c>
      <c r="G1348" s="597">
        <v>223944</v>
      </c>
      <c r="H1348" s="592" t="s">
        <v>933</v>
      </c>
    </row>
    <row r="1349" spans="1:8" ht="24.75" customHeight="1" x14ac:dyDescent="0.55000000000000004">
      <c r="A1349" s="592">
        <v>1348</v>
      </c>
      <c r="B1349" s="596" t="s">
        <v>3336</v>
      </c>
      <c r="C1349" s="592" t="s">
        <v>3337</v>
      </c>
      <c r="D1349" s="592">
        <v>9</v>
      </c>
      <c r="E1349" s="597">
        <v>12000</v>
      </c>
      <c r="F1349" s="597">
        <v>12000</v>
      </c>
      <c r="G1349" s="597">
        <v>65700</v>
      </c>
      <c r="H1349" s="592" t="s">
        <v>933</v>
      </c>
    </row>
    <row r="1350" spans="1:8" ht="24.75" customHeight="1" x14ac:dyDescent="0.55000000000000004">
      <c r="A1350" s="592">
        <v>1349</v>
      </c>
      <c r="B1350" s="596" t="s">
        <v>4384</v>
      </c>
      <c r="C1350" s="592" t="s">
        <v>4385</v>
      </c>
      <c r="D1350" s="592">
        <v>1</v>
      </c>
      <c r="E1350" s="597">
        <v>4000</v>
      </c>
      <c r="F1350" s="597">
        <v>4000</v>
      </c>
      <c r="G1350" s="597">
        <v>3050</v>
      </c>
      <c r="H1350" s="592" t="s">
        <v>933</v>
      </c>
    </row>
    <row r="1351" spans="1:8" ht="24.75" customHeight="1" x14ac:dyDescent="0.55000000000000004">
      <c r="A1351" s="592">
        <v>1350</v>
      </c>
      <c r="B1351" s="596" t="s">
        <v>7635</v>
      </c>
      <c r="C1351" s="592" t="s">
        <v>7636</v>
      </c>
      <c r="D1351" s="592">
        <v>8</v>
      </c>
      <c r="E1351" s="597">
        <v>27000</v>
      </c>
      <c r="F1351" s="597">
        <v>27000</v>
      </c>
      <c r="G1351" s="597">
        <v>185840</v>
      </c>
      <c r="H1351" s="592" t="s">
        <v>933</v>
      </c>
    </row>
    <row r="1352" spans="1:8" ht="24.75" customHeight="1" x14ac:dyDescent="0.55000000000000004">
      <c r="A1352" s="592">
        <v>1351</v>
      </c>
      <c r="B1352" s="596" t="s">
        <v>7086</v>
      </c>
      <c r="C1352" s="592" t="s">
        <v>7087</v>
      </c>
      <c r="D1352" s="592">
        <v>12</v>
      </c>
      <c r="E1352" s="597">
        <v>12000</v>
      </c>
      <c r="F1352" s="597">
        <v>12000</v>
      </c>
      <c r="G1352" s="597">
        <v>116952</v>
      </c>
      <c r="H1352" s="592" t="s">
        <v>933</v>
      </c>
    </row>
    <row r="1353" spans="1:8" ht="24.75" customHeight="1" x14ac:dyDescent="0.55000000000000004">
      <c r="A1353" s="592">
        <v>1352</v>
      </c>
      <c r="B1353" s="596" t="s">
        <v>8568</v>
      </c>
      <c r="C1353" s="592" t="s">
        <v>8569</v>
      </c>
      <c r="D1353" s="592">
        <v>26</v>
      </c>
      <c r="E1353" s="597">
        <v>2000</v>
      </c>
      <c r="F1353" s="597">
        <v>2000</v>
      </c>
      <c r="G1353" s="597">
        <v>31512</v>
      </c>
      <c r="H1353" s="592" t="s">
        <v>933</v>
      </c>
    </row>
    <row r="1354" spans="1:8" ht="24.75" customHeight="1" x14ac:dyDescent="0.55000000000000004">
      <c r="A1354" s="592">
        <v>1353</v>
      </c>
      <c r="B1354" s="596" t="s">
        <v>7637</v>
      </c>
      <c r="C1354" s="592" t="s">
        <v>7638</v>
      </c>
      <c r="D1354" s="592">
        <v>2</v>
      </c>
      <c r="E1354" s="597">
        <v>12000</v>
      </c>
      <c r="F1354" s="597">
        <v>12000</v>
      </c>
      <c r="G1354" s="597">
        <v>14802</v>
      </c>
      <c r="H1354" s="592" t="s">
        <v>933</v>
      </c>
    </row>
    <row r="1355" spans="1:8" ht="24.75" customHeight="1" x14ac:dyDescent="0.55000000000000004">
      <c r="A1355" s="592">
        <v>1354</v>
      </c>
      <c r="B1355" s="596" t="s">
        <v>1588</v>
      </c>
      <c r="C1355" s="592" t="s">
        <v>7639</v>
      </c>
      <c r="D1355" s="592">
        <v>14</v>
      </c>
      <c r="E1355" s="597">
        <v>8000</v>
      </c>
      <c r="F1355" s="597">
        <v>8000</v>
      </c>
      <c r="G1355" s="597">
        <v>84840</v>
      </c>
      <c r="H1355" s="592" t="s">
        <v>933</v>
      </c>
    </row>
    <row r="1356" spans="1:8" ht="24.75" customHeight="1" x14ac:dyDescent="0.55000000000000004">
      <c r="A1356" s="592">
        <v>1355</v>
      </c>
      <c r="B1356" s="596" t="s">
        <v>4386</v>
      </c>
      <c r="C1356" s="592" t="s">
        <v>4387</v>
      </c>
      <c r="D1356" s="592">
        <v>2</v>
      </c>
      <c r="E1356" s="597">
        <v>1500</v>
      </c>
      <c r="F1356" s="597">
        <v>1500</v>
      </c>
      <c r="G1356" s="597">
        <v>2100</v>
      </c>
      <c r="H1356" s="592" t="s">
        <v>933</v>
      </c>
    </row>
    <row r="1357" spans="1:8" ht="24.75" customHeight="1" x14ac:dyDescent="0.55000000000000004">
      <c r="A1357" s="592">
        <v>1356</v>
      </c>
      <c r="B1357" s="596" t="s">
        <v>8570</v>
      </c>
      <c r="C1357" s="592" t="s">
        <v>8571</v>
      </c>
      <c r="D1357" s="592">
        <v>1</v>
      </c>
      <c r="E1357" s="597">
        <v>7000</v>
      </c>
      <c r="F1357" s="597">
        <v>7000</v>
      </c>
      <c r="G1357" s="597">
        <v>5000</v>
      </c>
      <c r="H1357" s="592" t="s">
        <v>1397</v>
      </c>
    </row>
    <row r="1358" spans="1:8" ht="24.75" customHeight="1" x14ac:dyDescent="0.55000000000000004">
      <c r="A1358" s="592">
        <v>1357</v>
      </c>
      <c r="B1358" s="596" t="s">
        <v>1589</v>
      </c>
      <c r="C1358" s="592" t="s">
        <v>1590</v>
      </c>
      <c r="D1358" s="592">
        <v>4</v>
      </c>
      <c r="E1358" s="597">
        <v>800</v>
      </c>
      <c r="F1358" s="597">
        <v>800</v>
      </c>
      <c r="G1358" s="597">
        <v>2060</v>
      </c>
      <c r="H1358" s="592" t="s">
        <v>933</v>
      </c>
    </row>
    <row r="1359" spans="1:8" ht="24.75" customHeight="1" x14ac:dyDescent="0.55000000000000004">
      <c r="A1359" s="592">
        <v>1358</v>
      </c>
      <c r="B1359" s="596" t="s">
        <v>4388</v>
      </c>
      <c r="C1359" s="592" t="s">
        <v>4389</v>
      </c>
      <c r="D1359" s="592">
        <v>12</v>
      </c>
      <c r="E1359" s="597">
        <v>1500</v>
      </c>
      <c r="F1359" s="597">
        <v>1500</v>
      </c>
      <c r="G1359" s="597">
        <v>14400</v>
      </c>
      <c r="H1359" s="592" t="s">
        <v>1397</v>
      </c>
    </row>
    <row r="1360" spans="1:8" ht="24.75" customHeight="1" x14ac:dyDescent="0.55000000000000004">
      <c r="A1360" s="592">
        <v>1359</v>
      </c>
      <c r="B1360" s="596" t="s">
        <v>4390</v>
      </c>
      <c r="C1360" s="592" t="s">
        <v>4391</v>
      </c>
      <c r="D1360" s="592">
        <v>4</v>
      </c>
      <c r="E1360" s="597">
        <v>800</v>
      </c>
      <c r="F1360" s="597">
        <v>800</v>
      </c>
      <c r="G1360" s="597">
        <v>1360</v>
      </c>
      <c r="H1360" s="592" t="s">
        <v>933</v>
      </c>
    </row>
    <row r="1361" spans="1:8" ht="24.75" customHeight="1" x14ac:dyDescent="0.55000000000000004">
      <c r="A1361" s="592">
        <v>1360</v>
      </c>
      <c r="B1361" s="596" t="s">
        <v>6343</v>
      </c>
      <c r="C1361" s="592" t="s">
        <v>6344</v>
      </c>
      <c r="D1361" s="592">
        <v>1</v>
      </c>
      <c r="E1361" s="597">
        <v>2300</v>
      </c>
      <c r="F1361" s="597">
        <v>2300</v>
      </c>
      <c r="G1361" s="597">
        <v>1500</v>
      </c>
      <c r="H1361" s="592" t="s">
        <v>933</v>
      </c>
    </row>
    <row r="1362" spans="1:8" ht="24.75" customHeight="1" x14ac:dyDescent="0.55000000000000004">
      <c r="A1362" s="592">
        <v>1361</v>
      </c>
      <c r="B1362" s="596" t="s">
        <v>1591</v>
      </c>
      <c r="C1362" s="592" t="s">
        <v>1592</v>
      </c>
      <c r="D1362" s="592">
        <v>2</v>
      </c>
      <c r="E1362" s="597">
        <v>5000</v>
      </c>
      <c r="F1362" s="597">
        <v>5000</v>
      </c>
      <c r="G1362" s="597">
        <v>5300</v>
      </c>
      <c r="H1362" s="592" t="s">
        <v>933</v>
      </c>
    </row>
    <row r="1363" spans="1:8" ht="24.75" customHeight="1" x14ac:dyDescent="0.55000000000000004">
      <c r="A1363" s="592">
        <v>1362</v>
      </c>
      <c r="B1363" s="596" t="s">
        <v>1593</v>
      </c>
      <c r="C1363" s="592" t="s">
        <v>1594</v>
      </c>
      <c r="D1363" s="592">
        <v>2</v>
      </c>
      <c r="E1363" s="597">
        <v>5500</v>
      </c>
      <c r="F1363" s="597">
        <v>5500</v>
      </c>
      <c r="G1363" s="597">
        <v>7900</v>
      </c>
      <c r="H1363" s="592" t="s">
        <v>933</v>
      </c>
    </row>
    <row r="1364" spans="1:8" ht="24.75" customHeight="1" x14ac:dyDescent="0.55000000000000004">
      <c r="A1364" s="592">
        <v>1363</v>
      </c>
      <c r="B1364" s="596" t="s">
        <v>2493</v>
      </c>
      <c r="C1364" s="592" t="s">
        <v>2494</v>
      </c>
      <c r="D1364" s="592">
        <v>6</v>
      </c>
      <c r="E1364" s="597">
        <v>1500</v>
      </c>
      <c r="F1364" s="597">
        <v>1500</v>
      </c>
      <c r="G1364" s="597">
        <v>3000</v>
      </c>
      <c r="H1364" s="592" t="s">
        <v>933</v>
      </c>
    </row>
    <row r="1365" spans="1:8" ht="24.75" customHeight="1" x14ac:dyDescent="0.55000000000000004">
      <c r="A1365" s="592">
        <v>1364</v>
      </c>
      <c r="B1365" s="596" t="s">
        <v>7640</v>
      </c>
      <c r="C1365" s="592" t="s">
        <v>7641</v>
      </c>
      <c r="D1365" s="592">
        <v>5</v>
      </c>
      <c r="E1365" s="597">
        <v>7000</v>
      </c>
      <c r="F1365" s="597">
        <v>7000</v>
      </c>
      <c r="G1365" s="597">
        <v>21400</v>
      </c>
      <c r="H1365" s="592" t="s">
        <v>933</v>
      </c>
    </row>
    <row r="1366" spans="1:8" ht="24.75" customHeight="1" x14ac:dyDescent="0.55000000000000004">
      <c r="A1366" s="592">
        <v>1365</v>
      </c>
      <c r="B1366" s="596" t="s">
        <v>4392</v>
      </c>
      <c r="C1366" s="592" t="s">
        <v>4393</v>
      </c>
      <c r="D1366" s="592">
        <v>3</v>
      </c>
      <c r="E1366" s="597">
        <v>1000</v>
      </c>
      <c r="F1366" s="597">
        <v>1000</v>
      </c>
      <c r="G1366" s="597">
        <v>1800</v>
      </c>
      <c r="H1366" s="592" t="s">
        <v>1397</v>
      </c>
    </row>
    <row r="1367" spans="1:8" ht="24.75" customHeight="1" x14ac:dyDescent="0.55000000000000004">
      <c r="A1367" s="592">
        <v>1366</v>
      </c>
      <c r="B1367" s="596" t="s">
        <v>8572</v>
      </c>
      <c r="C1367" s="592" t="s">
        <v>8573</v>
      </c>
      <c r="D1367" s="592">
        <v>18</v>
      </c>
      <c r="E1367" s="597">
        <v>1500</v>
      </c>
      <c r="F1367" s="597">
        <v>1500</v>
      </c>
      <c r="G1367" s="597">
        <v>16056</v>
      </c>
      <c r="H1367" s="592" t="s">
        <v>933</v>
      </c>
    </row>
    <row r="1368" spans="1:8" ht="24.75" customHeight="1" x14ac:dyDescent="0.55000000000000004">
      <c r="A1368" s="592">
        <v>1367</v>
      </c>
      <c r="B1368" s="596" t="s">
        <v>8771</v>
      </c>
      <c r="C1368" s="592" t="s">
        <v>8772</v>
      </c>
      <c r="D1368" s="592">
        <v>20</v>
      </c>
      <c r="E1368" s="597">
        <v>500</v>
      </c>
      <c r="F1368" s="597">
        <v>500</v>
      </c>
      <c r="G1368" s="597">
        <v>5000</v>
      </c>
      <c r="H1368" s="592" t="s">
        <v>1397</v>
      </c>
    </row>
    <row r="1369" spans="1:8" ht="24.75" customHeight="1" x14ac:dyDescent="0.55000000000000004">
      <c r="A1369" s="592">
        <v>1368</v>
      </c>
      <c r="B1369" s="596" t="s">
        <v>8574</v>
      </c>
      <c r="C1369" s="592" t="s">
        <v>8575</v>
      </c>
      <c r="D1369" s="592">
        <v>9</v>
      </c>
      <c r="E1369" s="597">
        <v>1500</v>
      </c>
      <c r="F1369" s="597">
        <v>1500</v>
      </c>
      <c r="G1369" s="597">
        <v>8550</v>
      </c>
      <c r="H1369" s="592" t="s">
        <v>1397</v>
      </c>
    </row>
    <row r="1370" spans="1:8" ht="24.75" customHeight="1" x14ac:dyDescent="0.55000000000000004">
      <c r="A1370" s="592">
        <v>1369</v>
      </c>
      <c r="B1370" s="596" t="s">
        <v>1595</v>
      </c>
      <c r="C1370" s="592" t="s">
        <v>1016</v>
      </c>
      <c r="D1370" s="592">
        <v>11</v>
      </c>
      <c r="E1370" s="597">
        <v>2000</v>
      </c>
      <c r="F1370" s="597">
        <v>2000</v>
      </c>
      <c r="G1370" s="597">
        <v>13750</v>
      </c>
      <c r="H1370" s="592" t="s">
        <v>1397</v>
      </c>
    </row>
    <row r="1371" spans="1:8" ht="24.75" customHeight="1" x14ac:dyDescent="0.55000000000000004">
      <c r="A1371" s="592">
        <v>1370</v>
      </c>
      <c r="B1371" s="596" t="s">
        <v>1596</v>
      </c>
      <c r="C1371" s="592" t="s">
        <v>1017</v>
      </c>
      <c r="D1371" s="592">
        <v>119</v>
      </c>
      <c r="E1371" s="597">
        <v>200</v>
      </c>
      <c r="F1371" s="597">
        <v>200</v>
      </c>
      <c r="G1371" s="597">
        <v>11900</v>
      </c>
      <c r="H1371" s="592" t="s">
        <v>1397</v>
      </c>
    </row>
    <row r="1372" spans="1:8" ht="24.75" customHeight="1" x14ac:dyDescent="0.55000000000000004">
      <c r="A1372" s="592">
        <v>1371</v>
      </c>
      <c r="B1372" s="596" t="s">
        <v>1597</v>
      </c>
      <c r="C1372" s="592" t="s">
        <v>1019</v>
      </c>
      <c r="D1372" s="592">
        <v>16</v>
      </c>
      <c r="E1372" s="597">
        <v>1300</v>
      </c>
      <c r="F1372" s="597">
        <v>1300</v>
      </c>
      <c r="G1372" s="597">
        <v>15040</v>
      </c>
      <c r="H1372" s="592" t="s">
        <v>1397</v>
      </c>
    </row>
    <row r="1373" spans="1:8" ht="24.75" customHeight="1" x14ac:dyDescent="0.55000000000000004">
      <c r="A1373" s="592">
        <v>1372</v>
      </c>
      <c r="B1373" s="596" t="s">
        <v>4394</v>
      </c>
      <c r="C1373" s="592" t="s">
        <v>4395</v>
      </c>
      <c r="D1373" s="592">
        <v>15</v>
      </c>
      <c r="E1373" s="597">
        <v>2500</v>
      </c>
      <c r="F1373" s="597">
        <v>2500</v>
      </c>
      <c r="G1373" s="597">
        <v>27390</v>
      </c>
      <c r="H1373" s="592" t="s">
        <v>1397</v>
      </c>
    </row>
    <row r="1374" spans="1:8" ht="24.75" customHeight="1" x14ac:dyDescent="0.55000000000000004">
      <c r="A1374" s="592">
        <v>1373</v>
      </c>
      <c r="B1374" s="596" t="s">
        <v>1598</v>
      </c>
      <c r="C1374" s="592" t="s">
        <v>1020</v>
      </c>
      <c r="D1374" s="592">
        <v>19</v>
      </c>
      <c r="E1374" s="597">
        <v>3200</v>
      </c>
      <c r="F1374" s="597">
        <v>3200</v>
      </c>
      <c r="G1374" s="597">
        <v>41800</v>
      </c>
      <c r="H1374" s="592" t="s">
        <v>933</v>
      </c>
    </row>
    <row r="1375" spans="1:8" ht="24.75" customHeight="1" x14ac:dyDescent="0.55000000000000004">
      <c r="A1375" s="592">
        <v>1374</v>
      </c>
      <c r="B1375" s="596" t="s">
        <v>4396</v>
      </c>
      <c r="C1375" s="592" t="s">
        <v>4397</v>
      </c>
      <c r="D1375" s="592">
        <v>3</v>
      </c>
      <c r="E1375" s="597">
        <v>1500</v>
      </c>
      <c r="F1375" s="597">
        <v>1500</v>
      </c>
      <c r="G1375" s="597">
        <v>1686</v>
      </c>
      <c r="H1375" s="592" t="s">
        <v>1397</v>
      </c>
    </row>
    <row r="1376" spans="1:8" ht="24.75" customHeight="1" x14ac:dyDescent="0.55000000000000004">
      <c r="A1376" s="592">
        <v>1375</v>
      </c>
      <c r="B1376" s="596" t="s">
        <v>3008</v>
      </c>
      <c r="C1376" s="592" t="s">
        <v>3009</v>
      </c>
      <c r="D1376" s="592">
        <v>14</v>
      </c>
      <c r="E1376" s="597">
        <v>3800</v>
      </c>
      <c r="F1376" s="597">
        <v>3800</v>
      </c>
      <c r="G1376" s="597">
        <v>37800</v>
      </c>
      <c r="H1376" s="592" t="s">
        <v>1397</v>
      </c>
    </row>
    <row r="1377" spans="1:8" ht="24.75" customHeight="1" x14ac:dyDescent="0.55000000000000004">
      <c r="A1377" s="592">
        <v>1376</v>
      </c>
      <c r="B1377" s="596" t="s">
        <v>1599</v>
      </c>
      <c r="C1377" s="592" t="s">
        <v>1600</v>
      </c>
      <c r="D1377" s="592">
        <v>9</v>
      </c>
      <c r="E1377" s="597">
        <v>500</v>
      </c>
      <c r="F1377" s="597">
        <v>500</v>
      </c>
      <c r="G1377" s="597">
        <v>1800</v>
      </c>
      <c r="H1377" s="592" t="s">
        <v>1397</v>
      </c>
    </row>
    <row r="1378" spans="1:8" ht="24.75" customHeight="1" x14ac:dyDescent="0.55000000000000004">
      <c r="A1378" s="592">
        <v>1377</v>
      </c>
      <c r="B1378" s="596" t="s">
        <v>4398</v>
      </c>
      <c r="C1378" s="592" t="s">
        <v>4399</v>
      </c>
      <c r="D1378" s="592">
        <v>4</v>
      </c>
      <c r="E1378" s="597">
        <v>400</v>
      </c>
      <c r="F1378" s="597">
        <v>400</v>
      </c>
      <c r="G1378" s="597">
        <v>1200</v>
      </c>
      <c r="H1378" s="592" t="s">
        <v>1397</v>
      </c>
    </row>
    <row r="1379" spans="1:8" ht="24.75" customHeight="1" x14ac:dyDescent="0.55000000000000004">
      <c r="A1379" s="592">
        <v>1378</v>
      </c>
      <c r="B1379" s="596" t="s">
        <v>4400</v>
      </c>
      <c r="C1379" s="592" t="s">
        <v>4401</v>
      </c>
      <c r="D1379" s="592">
        <v>6</v>
      </c>
      <c r="E1379" s="597">
        <v>100</v>
      </c>
      <c r="F1379" s="597">
        <v>100</v>
      </c>
      <c r="G1379" s="597">
        <v>462</v>
      </c>
      <c r="H1379" s="592" t="s">
        <v>1397</v>
      </c>
    </row>
    <row r="1380" spans="1:8" ht="24.75" customHeight="1" x14ac:dyDescent="0.55000000000000004">
      <c r="A1380" s="592">
        <v>1379</v>
      </c>
      <c r="B1380" s="596" t="s">
        <v>1601</v>
      </c>
      <c r="C1380" s="592" t="s">
        <v>1021</v>
      </c>
      <c r="D1380" s="592">
        <v>7</v>
      </c>
      <c r="E1380" s="597">
        <v>2000</v>
      </c>
      <c r="F1380" s="597">
        <v>2000</v>
      </c>
      <c r="G1380" s="597">
        <v>10500</v>
      </c>
      <c r="H1380" s="592" t="s">
        <v>1397</v>
      </c>
    </row>
    <row r="1381" spans="1:8" ht="24.75" customHeight="1" x14ac:dyDescent="0.55000000000000004">
      <c r="A1381" s="592">
        <v>1380</v>
      </c>
      <c r="B1381" s="596" t="s">
        <v>1602</v>
      </c>
      <c r="C1381" s="592" t="s">
        <v>3258</v>
      </c>
      <c r="D1381" s="592">
        <v>23</v>
      </c>
      <c r="E1381" s="597">
        <v>1500</v>
      </c>
      <c r="F1381" s="597">
        <v>1500</v>
      </c>
      <c r="G1381" s="597">
        <v>15985</v>
      </c>
      <c r="H1381" s="592" t="s">
        <v>1397</v>
      </c>
    </row>
    <row r="1382" spans="1:8" ht="24.75" customHeight="1" x14ac:dyDescent="0.55000000000000004">
      <c r="A1382" s="592">
        <v>1381</v>
      </c>
      <c r="B1382" s="596" t="s">
        <v>1603</v>
      </c>
      <c r="C1382" s="592" t="s">
        <v>1022</v>
      </c>
      <c r="D1382" s="592">
        <v>7</v>
      </c>
      <c r="E1382" s="597">
        <v>2000</v>
      </c>
      <c r="F1382" s="597">
        <v>2000</v>
      </c>
      <c r="G1382" s="597">
        <v>8071</v>
      </c>
      <c r="H1382" s="592" t="s">
        <v>1397</v>
      </c>
    </row>
    <row r="1383" spans="1:8" ht="24.75" customHeight="1" x14ac:dyDescent="0.55000000000000004">
      <c r="A1383" s="592">
        <v>1382</v>
      </c>
      <c r="B1383" s="596" t="s">
        <v>4402</v>
      </c>
      <c r="C1383" s="592" t="s">
        <v>4403</v>
      </c>
      <c r="D1383" s="592">
        <v>2</v>
      </c>
      <c r="E1383" s="597">
        <v>30000</v>
      </c>
      <c r="F1383" s="597">
        <v>30000</v>
      </c>
      <c r="G1383" s="597">
        <v>32000</v>
      </c>
      <c r="H1383" s="592" t="s">
        <v>1397</v>
      </c>
    </row>
    <row r="1384" spans="1:8" ht="24.75" customHeight="1" x14ac:dyDescent="0.55000000000000004">
      <c r="A1384" s="592">
        <v>1383</v>
      </c>
      <c r="B1384" s="596" t="s">
        <v>1604</v>
      </c>
      <c r="C1384" s="592" t="s">
        <v>1018</v>
      </c>
      <c r="D1384" s="592">
        <v>25</v>
      </c>
      <c r="E1384" s="597">
        <v>100</v>
      </c>
      <c r="F1384" s="597">
        <v>100</v>
      </c>
      <c r="G1384" s="597">
        <v>1250</v>
      </c>
      <c r="H1384" s="592" t="s">
        <v>1397</v>
      </c>
    </row>
    <row r="1385" spans="1:8" ht="24.75" customHeight="1" x14ac:dyDescent="0.55000000000000004">
      <c r="A1385" s="592">
        <v>1384</v>
      </c>
      <c r="B1385" s="596" t="s">
        <v>1605</v>
      </c>
      <c r="C1385" s="592" t="s">
        <v>3140</v>
      </c>
      <c r="D1385" s="592">
        <v>24</v>
      </c>
      <c r="E1385" s="597">
        <v>200</v>
      </c>
      <c r="F1385" s="597">
        <v>200</v>
      </c>
      <c r="G1385" s="597">
        <v>3120</v>
      </c>
      <c r="H1385" s="592" t="s">
        <v>1397</v>
      </c>
    </row>
    <row r="1386" spans="1:8" ht="24.75" customHeight="1" x14ac:dyDescent="0.55000000000000004">
      <c r="A1386" s="592">
        <v>1385</v>
      </c>
      <c r="B1386" s="596" t="s">
        <v>1606</v>
      </c>
      <c r="C1386" s="592" t="s">
        <v>3040</v>
      </c>
      <c r="D1386" s="592">
        <v>37</v>
      </c>
      <c r="E1386" s="597">
        <v>300</v>
      </c>
      <c r="F1386" s="597">
        <v>300</v>
      </c>
      <c r="G1386" s="597">
        <v>9250</v>
      </c>
      <c r="H1386" s="592" t="s">
        <v>1397</v>
      </c>
    </row>
    <row r="1387" spans="1:8" ht="24.75" customHeight="1" x14ac:dyDescent="0.55000000000000004">
      <c r="A1387" s="592">
        <v>1386</v>
      </c>
      <c r="B1387" s="596" t="s">
        <v>1607</v>
      </c>
      <c r="C1387" s="592" t="s">
        <v>1608</v>
      </c>
      <c r="D1387" s="592">
        <v>5</v>
      </c>
      <c r="E1387" s="597">
        <v>2000</v>
      </c>
      <c r="F1387" s="597">
        <v>2000</v>
      </c>
      <c r="G1387" s="597">
        <v>7500</v>
      </c>
      <c r="H1387" s="592" t="s">
        <v>1397</v>
      </c>
    </row>
    <row r="1388" spans="1:8" ht="24.75" customHeight="1" x14ac:dyDescent="0.55000000000000004">
      <c r="A1388" s="592">
        <v>1387</v>
      </c>
      <c r="B1388" s="596" t="s">
        <v>1609</v>
      </c>
      <c r="C1388" s="592" t="s">
        <v>1610</v>
      </c>
      <c r="D1388" s="592">
        <v>3</v>
      </c>
      <c r="E1388" s="597">
        <v>13000</v>
      </c>
      <c r="F1388" s="597">
        <v>13000</v>
      </c>
      <c r="G1388" s="597">
        <v>24795</v>
      </c>
      <c r="H1388" s="592" t="s">
        <v>1397</v>
      </c>
    </row>
    <row r="1389" spans="1:8" ht="24.75" customHeight="1" x14ac:dyDescent="0.55000000000000004">
      <c r="A1389" s="592">
        <v>1388</v>
      </c>
      <c r="B1389" s="596" t="s">
        <v>4404</v>
      </c>
      <c r="C1389" s="592" t="s">
        <v>4405</v>
      </c>
      <c r="D1389" s="592">
        <v>13</v>
      </c>
      <c r="E1389" s="597">
        <v>1000</v>
      </c>
      <c r="F1389" s="597">
        <v>1000</v>
      </c>
      <c r="G1389" s="597">
        <v>4615</v>
      </c>
      <c r="H1389" s="592" t="s">
        <v>1397</v>
      </c>
    </row>
    <row r="1390" spans="1:8" ht="24.75" customHeight="1" x14ac:dyDescent="0.55000000000000004">
      <c r="A1390" s="592">
        <v>1389</v>
      </c>
      <c r="B1390" s="596" t="s">
        <v>3259</v>
      </c>
      <c r="C1390" s="592" t="s">
        <v>3260</v>
      </c>
      <c r="D1390" s="592">
        <v>4</v>
      </c>
      <c r="E1390" s="597">
        <v>9500</v>
      </c>
      <c r="F1390" s="597">
        <v>9500</v>
      </c>
      <c r="G1390" s="597">
        <v>30000</v>
      </c>
      <c r="H1390" s="592" t="s">
        <v>1397</v>
      </c>
    </row>
    <row r="1391" spans="1:8" ht="24.75" customHeight="1" x14ac:dyDescent="0.55000000000000004">
      <c r="A1391" s="592">
        <v>1390</v>
      </c>
      <c r="B1391" s="596" t="s">
        <v>1611</v>
      </c>
      <c r="C1391" s="592" t="s">
        <v>1007</v>
      </c>
      <c r="D1391" s="592">
        <v>2</v>
      </c>
      <c r="E1391" s="597">
        <v>500</v>
      </c>
      <c r="F1391" s="597">
        <v>500</v>
      </c>
      <c r="G1391" s="597">
        <v>590</v>
      </c>
      <c r="H1391" s="592" t="s">
        <v>1397</v>
      </c>
    </row>
    <row r="1392" spans="1:8" ht="24.75" customHeight="1" x14ac:dyDescent="0.55000000000000004">
      <c r="A1392" s="592">
        <v>1391</v>
      </c>
      <c r="B1392" s="596" t="s">
        <v>1612</v>
      </c>
      <c r="C1392" s="592" t="s">
        <v>1008</v>
      </c>
      <c r="D1392" s="592">
        <v>10</v>
      </c>
      <c r="E1392" s="597">
        <v>2000</v>
      </c>
      <c r="F1392" s="597">
        <v>2300</v>
      </c>
      <c r="G1392" s="597">
        <v>8330</v>
      </c>
      <c r="H1392" s="592" t="s">
        <v>1397</v>
      </c>
    </row>
    <row r="1393" spans="1:8" ht="24.75" customHeight="1" x14ac:dyDescent="0.55000000000000004">
      <c r="A1393" s="592">
        <v>1392</v>
      </c>
      <c r="B1393" s="596" t="s">
        <v>1613</v>
      </c>
      <c r="C1393" s="592" t="s">
        <v>1034</v>
      </c>
      <c r="D1393" s="592">
        <v>7</v>
      </c>
      <c r="E1393" s="597">
        <v>1000</v>
      </c>
      <c r="F1393" s="597">
        <v>1000</v>
      </c>
      <c r="G1393" s="597">
        <v>7000</v>
      </c>
      <c r="H1393" s="592" t="s">
        <v>1397</v>
      </c>
    </row>
    <row r="1394" spans="1:8" ht="24.75" customHeight="1" x14ac:dyDescent="0.55000000000000004">
      <c r="A1394" s="592">
        <v>1393</v>
      </c>
      <c r="B1394" s="596" t="s">
        <v>1614</v>
      </c>
      <c r="C1394" s="592" t="s">
        <v>8576</v>
      </c>
      <c r="D1394" s="592">
        <v>8</v>
      </c>
      <c r="E1394" s="597">
        <v>1000</v>
      </c>
      <c r="F1394" s="597">
        <v>1000</v>
      </c>
      <c r="G1394" s="597">
        <v>4280</v>
      </c>
      <c r="H1394" s="592" t="s">
        <v>1397</v>
      </c>
    </row>
    <row r="1395" spans="1:8" ht="24.75" customHeight="1" x14ac:dyDescent="0.55000000000000004">
      <c r="A1395" s="592">
        <v>1394</v>
      </c>
      <c r="B1395" s="596" t="s">
        <v>4406</v>
      </c>
      <c r="C1395" s="592" t="s">
        <v>4407</v>
      </c>
      <c r="D1395" s="592">
        <v>7</v>
      </c>
      <c r="E1395" s="597">
        <v>100</v>
      </c>
      <c r="F1395" s="597">
        <v>100</v>
      </c>
      <c r="G1395" s="597">
        <v>350</v>
      </c>
      <c r="H1395" s="592" t="s">
        <v>1397</v>
      </c>
    </row>
    <row r="1396" spans="1:8" ht="24.75" customHeight="1" x14ac:dyDescent="0.55000000000000004">
      <c r="A1396" s="592">
        <v>1395</v>
      </c>
      <c r="B1396" s="596" t="s">
        <v>1615</v>
      </c>
      <c r="C1396" s="592" t="s">
        <v>1009</v>
      </c>
      <c r="D1396" s="592">
        <v>14</v>
      </c>
      <c r="E1396" s="597">
        <v>700</v>
      </c>
      <c r="F1396" s="597">
        <v>700</v>
      </c>
      <c r="G1396" s="597">
        <v>4676</v>
      </c>
      <c r="H1396" s="592" t="s">
        <v>1397</v>
      </c>
    </row>
    <row r="1397" spans="1:8" ht="24.75" customHeight="1" x14ac:dyDescent="0.55000000000000004">
      <c r="A1397" s="592">
        <v>1396</v>
      </c>
      <c r="B1397" s="596" t="s">
        <v>4408</v>
      </c>
      <c r="C1397" s="592" t="s">
        <v>4409</v>
      </c>
      <c r="D1397" s="592">
        <v>25</v>
      </c>
      <c r="E1397" s="597">
        <v>300</v>
      </c>
      <c r="F1397" s="597">
        <v>300</v>
      </c>
      <c r="G1397" s="597">
        <v>7500</v>
      </c>
      <c r="H1397" s="592" t="s">
        <v>1397</v>
      </c>
    </row>
    <row r="1398" spans="1:8" ht="24.75" customHeight="1" x14ac:dyDescent="0.55000000000000004">
      <c r="A1398" s="592">
        <v>1397</v>
      </c>
      <c r="B1398" s="596" t="s">
        <v>3182</v>
      </c>
      <c r="C1398" s="592" t="s">
        <v>3183</v>
      </c>
      <c r="D1398" s="592">
        <v>2</v>
      </c>
      <c r="E1398" s="597">
        <v>500</v>
      </c>
      <c r="F1398" s="597">
        <v>500</v>
      </c>
      <c r="G1398" s="597">
        <v>700</v>
      </c>
      <c r="H1398" s="592" t="s">
        <v>1397</v>
      </c>
    </row>
    <row r="1399" spans="1:8" ht="24.75" customHeight="1" x14ac:dyDescent="0.55000000000000004">
      <c r="A1399" s="592">
        <v>1398</v>
      </c>
      <c r="B1399" s="596" t="s">
        <v>1616</v>
      </c>
      <c r="C1399" s="592" t="s">
        <v>1010</v>
      </c>
      <c r="D1399" s="592">
        <v>7</v>
      </c>
      <c r="E1399" s="597">
        <v>400</v>
      </c>
      <c r="F1399" s="597">
        <v>400</v>
      </c>
      <c r="G1399" s="597">
        <v>1960</v>
      </c>
      <c r="H1399" s="592" t="s">
        <v>1397</v>
      </c>
    </row>
    <row r="1400" spans="1:8" ht="24.75" customHeight="1" x14ac:dyDescent="0.55000000000000004">
      <c r="A1400" s="592">
        <v>1399</v>
      </c>
      <c r="B1400" s="596" t="s">
        <v>1617</v>
      </c>
      <c r="C1400" s="592" t="s">
        <v>1040</v>
      </c>
      <c r="D1400" s="592">
        <v>12</v>
      </c>
      <c r="E1400" s="597">
        <v>2000</v>
      </c>
      <c r="F1400" s="597">
        <v>2000</v>
      </c>
      <c r="G1400" s="597">
        <v>15900</v>
      </c>
      <c r="H1400" s="592" t="s">
        <v>1397</v>
      </c>
    </row>
    <row r="1401" spans="1:8" ht="24.75" customHeight="1" x14ac:dyDescent="0.55000000000000004">
      <c r="A1401" s="592">
        <v>1400</v>
      </c>
      <c r="B1401" s="596" t="s">
        <v>4410</v>
      </c>
      <c r="C1401" s="592" t="s">
        <v>4411</v>
      </c>
      <c r="D1401" s="592">
        <v>23</v>
      </c>
      <c r="E1401" s="597">
        <v>250</v>
      </c>
      <c r="F1401" s="597">
        <v>250</v>
      </c>
      <c r="G1401" s="597">
        <v>4692</v>
      </c>
      <c r="H1401" s="592" t="s">
        <v>1397</v>
      </c>
    </row>
    <row r="1402" spans="1:8" ht="24.75" customHeight="1" x14ac:dyDescent="0.55000000000000004">
      <c r="A1402" s="592">
        <v>1401</v>
      </c>
      <c r="B1402" s="596" t="s">
        <v>1618</v>
      </c>
      <c r="C1402" s="592" t="s">
        <v>1024</v>
      </c>
      <c r="D1402" s="592">
        <v>12</v>
      </c>
      <c r="E1402" s="597">
        <v>3800</v>
      </c>
      <c r="F1402" s="597">
        <v>3800</v>
      </c>
      <c r="G1402" s="597">
        <v>33120</v>
      </c>
      <c r="H1402" s="592" t="s">
        <v>1397</v>
      </c>
    </row>
    <row r="1403" spans="1:8" ht="24.75" customHeight="1" x14ac:dyDescent="0.55000000000000004">
      <c r="A1403" s="592">
        <v>1402</v>
      </c>
      <c r="B1403" s="596" t="s">
        <v>3060</v>
      </c>
      <c r="C1403" s="592" t="s">
        <v>3061</v>
      </c>
      <c r="D1403" s="592">
        <v>3</v>
      </c>
      <c r="E1403" s="597">
        <v>2500</v>
      </c>
      <c r="F1403" s="597">
        <v>2500</v>
      </c>
      <c r="G1403" s="597">
        <v>4650</v>
      </c>
      <c r="H1403" s="592" t="s">
        <v>1397</v>
      </c>
    </row>
    <row r="1404" spans="1:8" ht="24.75" customHeight="1" x14ac:dyDescent="0.55000000000000004">
      <c r="A1404" s="592">
        <v>1403</v>
      </c>
      <c r="B1404" s="596" t="s">
        <v>1619</v>
      </c>
      <c r="C1404" s="592" t="s">
        <v>1025</v>
      </c>
      <c r="D1404" s="592">
        <v>27</v>
      </c>
      <c r="E1404" s="597">
        <v>150</v>
      </c>
      <c r="F1404" s="597">
        <v>150</v>
      </c>
      <c r="G1404" s="597">
        <v>2106</v>
      </c>
      <c r="H1404" s="592" t="s">
        <v>1397</v>
      </c>
    </row>
    <row r="1405" spans="1:8" ht="24.75" customHeight="1" x14ac:dyDescent="0.55000000000000004">
      <c r="A1405" s="592">
        <v>1404</v>
      </c>
      <c r="B1405" s="596" t="s">
        <v>1620</v>
      </c>
      <c r="C1405" s="592" t="s">
        <v>7353</v>
      </c>
      <c r="D1405" s="592">
        <v>5</v>
      </c>
      <c r="E1405" s="597">
        <v>150</v>
      </c>
      <c r="F1405" s="597">
        <v>150</v>
      </c>
      <c r="G1405" s="597">
        <v>400</v>
      </c>
      <c r="H1405" s="592" t="s">
        <v>1397</v>
      </c>
    </row>
    <row r="1406" spans="1:8" ht="24.75" customHeight="1" x14ac:dyDescent="0.55000000000000004">
      <c r="A1406" s="592">
        <v>1405</v>
      </c>
      <c r="B1406" s="596" t="s">
        <v>4412</v>
      </c>
      <c r="C1406" s="592" t="s">
        <v>4413</v>
      </c>
      <c r="D1406" s="592">
        <v>10</v>
      </c>
      <c r="E1406" s="597">
        <v>500</v>
      </c>
      <c r="F1406" s="597">
        <v>500</v>
      </c>
      <c r="G1406" s="597">
        <v>1800</v>
      </c>
      <c r="H1406" s="592" t="s">
        <v>1397</v>
      </c>
    </row>
    <row r="1407" spans="1:8" ht="24.75" customHeight="1" x14ac:dyDescent="0.55000000000000004">
      <c r="A1407" s="592">
        <v>1406</v>
      </c>
      <c r="B1407" s="596" t="s">
        <v>1621</v>
      </c>
      <c r="C1407" s="592" t="s">
        <v>1026</v>
      </c>
      <c r="D1407" s="592">
        <v>19</v>
      </c>
      <c r="E1407" s="597">
        <v>300</v>
      </c>
      <c r="F1407" s="597">
        <v>300</v>
      </c>
      <c r="G1407" s="597">
        <v>2090</v>
      </c>
      <c r="H1407" s="592" t="s">
        <v>1397</v>
      </c>
    </row>
    <row r="1408" spans="1:8" ht="24.75" customHeight="1" x14ac:dyDescent="0.55000000000000004">
      <c r="A1408" s="592">
        <v>1407</v>
      </c>
      <c r="B1408" s="596" t="s">
        <v>3141</v>
      </c>
      <c r="C1408" s="592" t="s">
        <v>3142</v>
      </c>
      <c r="D1408" s="592">
        <v>2</v>
      </c>
      <c r="E1408" s="597">
        <v>6000</v>
      </c>
      <c r="F1408" s="597">
        <v>6000</v>
      </c>
      <c r="G1408" s="597">
        <v>6740</v>
      </c>
      <c r="H1408" s="592" t="s">
        <v>1397</v>
      </c>
    </row>
    <row r="1409" spans="1:8" ht="24.75" customHeight="1" x14ac:dyDescent="0.55000000000000004">
      <c r="A1409" s="592">
        <v>1408</v>
      </c>
      <c r="B1409" s="596" t="s">
        <v>1622</v>
      </c>
      <c r="C1409" s="592" t="s">
        <v>1623</v>
      </c>
      <c r="D1409" s="592">
        <v>14</v>
      </c>
      <c r="E1409" s="597">
        <v>1500</v>
      </c>
      <c r="F1409" s="597">
        <v>1500</v>
      </c>
      <c r="G1409" s="597">
        <v>5600</v>
      </c>
      <c r="H1409" s="592" t="s">
        <v>1397</v>
      </c>
    </row>
    <row r="1410" spans="1:8" ht="24.75" customHeight="1" x14ac:dyDescent="0.55000000000000004">
      <c r="A1410" s="592">
        <v>1409</v>
      </c>
      <c r="B1410" s="596" t="s">
        <v>4414</v>
      </c>
      <c r="C1410" s="592" t="s">
        <v>4415</v>
      </c>
      <c r="D1410" s="592">
        <v>4</v>
      </c>
      <c r="E1410" s="597">
        <v>3500</v>
      </c>
      <c r="F1410" s="597">
        <v>3500</v>
      </c>
      <c r="G1410" s="597">
        <v>7812</v>
      </c>
      <c r="H1410" s="592" t="s">
        <v>1397</v>
      </c>
    </row>
    <row r="1411" spans="1:8" ht="24.75" customHeight="1" x14ac:dyDescent="0.55000000000000004">
      <c r="A1411" s="592">
        <v>1410</v>
      </c>
      <c r="B1411" s="596" t="s">
        <v>4416</v>
      </c>
      <c r="C1411" s="592" t="s">
        <v>4417</v>
      </c>
      <c r="D1411" s="592">
        <v>10</v>
      </c>
      <c r="E1411" s="597">
        <v>8500</v>
      </c>
      <c r="F1411" s="597">
        <v>8500</v>
      </c>
      <c r="G1411" s="597">
        <v>43960</v>
      </c>
      <c r="H1411" s="592" t="s">
        <v>1397</v>
      </c>
    </row>
    <row r="1412" spans="1:8" ht="24.75" customHeight="1" x14ac:dyDescent="0.55000000000000004">
      <c r="A1412" s="592">
        <v>1411</v>
      </c>
      <c r="B1412" s="596" t="s">
        <v>3338</v>
      </c>
      <c r="C1412" s="592" t="s">
        <v>3339</v>
      </c>
      <c r="D1412" s="592">
        <v>7</v>
      </c>
      <c r="E1412" s="597">
        <v>3500</v>
      </c>
      <c r="F1412" s="597">
        <v>3500</v>
      </c>
      <c r="G1412" s="597">
        <v>19600</v>
      </c>
      <c r="H1412" s="592" t="s">
        <v>1397</v>
      </c>
    </row>
    <row r="1413" spans="1:8" ht="24.75" customHeight="1" x14ac:dyDescent="0.55000000000000004">
      <c r="A1413" s="592">
        <v>1412</v>
      </c>
      <c r="B1413" s="596" t="s">
        <v>1624</v>
      </c>
      <c r="C1413" s="592" t="s">
        <v>1625</v>
      </c>
      <c r="D1413" s="592">
        <v>20</v>
      </c>
      <c r="E1413" s="597">
        <v>2000</v>
      </c>
      <c r="F1413" s="597">
        <v>2000</v>
      </c>
      <c r="G1413" s="597">
        <v>21600</v>
      </c>
      <c r="H1413" s="592" t="s">
        <v>1397</v>
      </c>
    </row>
    <row r="1414" spans="1:8" ht="24.75" customHeight="1" x14ac:dyDescent="0.55000000000000004">
      <c r="A1414" s="592">
        <v>1413</v>
      </c>
      <c r="B1414" s="596" t="s">
        <v>1626</v>
      </c>
      <c r="C1414" s="592" t="s">
        <v>1627</v>
      </c>
      <c r="D1414" s="592">
        <v>4</v>
      </c>
      <c r="E1414" s="597">
        <v>1000</v>
      </c>
      <c r="F1414" s="597">
        <v>1000</v>
      </c>
      <c r="G1414" s="597">
        <v>4000</v>
      </c>
      <c r="H1414" s="592" t="s">
        <v>1397</v>
      </c>
    </row>
    <row r="1415" spans="1:8" ht="24.75" customHeight="1" x14ac:dyDescent="0.55000000000000004">
      <c r="A1415" s="592">
        <v>1414</v>
      </c>
      <c r="B1415" s="596" t="s">
        <v>3261</v>
      </c>
      <c r="C1415" s="592" t="s">
        <v>8264</v>
      </c>
      <c r="D1415" s="592">
        <v>3</v>
      </c>
      <c r="E1415" s="597">
        <v>18000</v>
      </c>
      <c r="F1415" s="597">
        <v>18000</v>
      </c>
      <c r="G1415" s="597">
        <v>44550</v>
      </c>
      <c r="H1415" s="592" t="s">
        <v>1397</v>
      </c>
    </row>
    <row r="1416" spans="1:8" ht="24.75" customHeight="1" x14ac:dyDescent="0.55000000000000004">
      <c r="A1416" s="592">
        <v>1415</v>
      </c>
      <c r="B1416" s="596" t="s">
        <v>3262</v>
      </c>
      <c r="C1416" s="592" t="s">
        <v>3263</v>
      </c>
      <c r="D1416" s="592">
        <v>7</v>
      </c>
      <c r="E1416" s="597">
        <v>13000</v>
      </c>
      <c r="F1416" s="597">
        <v>13000</v>
      </c>
      <c r="G1416" s="597">
        <v>51100</v>
      </c>
      <c r="H1416" s="592" t="s">
        <v>1397</v>
      </c>
    </row>
    <row r="1417" spans="1:8" ht="24.75" customHeight="1" x14ac:dyDescent="0.55000000000000004">
      <c r="A1417" s="592">
        <v>1416</v>
      </c>
      <c r="B1417" s="596" t="s">
        <v>1628</v>
      </c>
      <c r="C1417" s="592" t="s">
        <v>1033</v>
      </c>
      <c r="D1417" s="592">
        <v>15</v>
      </c>
      <c r="E1417" s="597">
        <v>4500</v>
      </c>
      <c r="F1417" s="597">
        <v>4500</v>
      </c>
      <c r="G1417" s="597">
        <v>67500</v>
      </c>
      <c r="H1417" s="592" t="s">
        <v>1397</v>
      </c>
    </row>
    <row r="1418" spans="1:8" ht="24.75" customHeight="1" x14ac:dyDescent="0.55000000000000004">
      <c r="A1418" s="592">
        <v>1417</v>
      </c>
      <c r="B1418" s="596" t="s">
        <v>1629</v>
      </c>
      <c r="C1418" s="592" t="s">
        <v>1035</v>
      </c>
      <c r="D1418" s="592">
        <v>1</v>
      </c>
      <c r="E1418" s="597">
        <v>5500</v>
      </c>
      <c r="F1418" s="597">
        <v>5500</v>
      </c>
      <c r="G1418" s="597">
        <v>4000</v>
      </c>
      <c r="H1418" s="592" t="s">
        <v>1397</v>
      </c>
    </row>
    <row r="1419" spans="1:8" ht="24.75" customHeight="1" x14ac:dyDescent="0.55000000000000004">
      <c r="A1419" s="592">
        <v>1418</v>
      </c>
      <c r="B1419" s="596" t="s">
        <v>3264</v>
      </c>
      <c r="C1419" s="592" t="s">
        <v>3265</v>
      </c>
      <c r="D1419" s="592">
        <v>5</v>
      </c>
      <c r="E1419" s="597">
        <v>9500</v>
      </c>
      <c r="F1419" s="597">
        <v>9500</v>
      </c>
      <c r="G1419" s="597">
        <v>27000</v>
      </c>
      <c r="H1419" s="592" t="s">
        <v>1397</v>
      </c>
    </row>
    <row r="1420" spans="1:8" ht="24.75" customHeight="1" x14ac:dyDescent="0.55000000000000004">
      <c r="A1420" s="592">
        <v>1419</v>
      </c>
      <c r="B1420" s="596" t="s">
        <v>4418</v>
      </c>
      <c r="C1420" s="592" t="s">
        <v>4419</v>
      </c>
      <c r="D1420" s="592">
        <v>2</v>
      </c>
      <c r="E1420" s="597">
        <v>300</v>
      </c>
      <c r="F1420" s="597">
        <v>300</v>
      </c>
      <c r="G1420" s="597">
        <v>420</v>
      </c>
      <c r="H1420" s="592" t="s">
        <v>1397</v>
      </c>
    </row>
    <row r="1421" spans="1:8" ht="24.75" customHeight="1" x14ac:dyDescent="0.55000000000000004">
      <c r="A1421" s="592">
        <v>1420</v>
      </c>
      <c r="B1421" s="596" t="s">
        <v>4420</v>
      </c>
      <c r="C1421" s="592" t="s">
        <v>4421</v>
      </c>
      <c r="D1421" s="592">
        <v>7</v>
      </c>
      <c r="E1421" s="597">
        <v>300</v>
      </c>
      <c r="F1421" s="597">
        <v>300</v>
      </c>
      <c r="G1421" s="597">
        <v>1470</v>
      </c>
      <c r="H1421" s="592" t="s">
        <v>1397</v>
      </c>
    </row>
    <row r="1422" spans="1:8" ht="24.75" customHeight="1" x14ac:dyDescent="0.55000000000000004">
      <c r="A1422" s="592">
        <v>1421</v>
      </c>
      <c r="B1422" s="596" t="s">
        <v>4422</v>
      </c>
      <c r="C1422" s="592" t="s">
        <v>4423</v>
      </c>
      <c r="D1422" s="592">
        <v>1</v>
      </c>
      <c r="E1422" s="597">
        <v>1000</v>
      </c>
      <c r="F1422" s="597">
        <v>1000</v>
      </c>
      <c r="G1422" s="597">
        <v>550</v>
      </c>
      <c r="H1422" s="592" t="s">
        <v>1397</v>
      </c>
    </row>
    <row r="1423" spans="1:8" ht="24.75" customHeight="1" x14ac:dyDescent="0.55000000000000004">
      <c r="A1423" s="592">
        <v>1422</v>
      </c>
      <c r="B1423" s="596" t="s">
        <v>4424</v>
      </c>
      <c r="C1423" s="592" t="s">
        <v>4425</v>
      </c>
      <c r="D1423" s="592">
        <v>2</v>
      </c>
      <c r="E1423" s="597">
        <v>1300</v>
      </c>
      <c r="F1423" s="597">
        <v>1300</v>
      </c>
      <c r="G1423" s="597">
        <v>1920</v>
      </c>
      <c r="H1423" s="592" t="s">
        <v>1397</v>
      </c>
    </row>
    <row r="1424" spans="1:8" ht="24.75" customHeight="1" x14ac:dyDescent="0.55000000000000004">
      <c r="A1424" s="592">
        <v>1423</v>
      </c>
      <c r="B1424" s="596" t="s">
        <v>4426</v>
      </c>
      <c r="C1424" s="592" t="s">
        <v>4427</v>
      </c>
      <c r="D1424" s="592">
        <v>1</v>
      </c>
      <c r="E1424" s="597">
        <v>21000</v>
      </c>
      <c r="F1424" s="597">
        <v>21000</v>
      </c>
      <c r="G1424" s="597">
        <v>16200</v>
      </c>
      <c r="H1424" s="592" t="s">
        <v>933</v>
      </c>
    </row>
    <row r="1425" spans="1:8" ht="24.75" customHeight="1" x14ac:dyDescent="0.55000000000000004">
      <c r="A1425" s="592">
        <v>1424</v>
      </c>
      <c r="B1425" s="596" t="s">
        <v>4428</v>
      </c>
      <c r="C1425" s="592" t="s">
        <v>7642</v>
      </c>
      <c r="D1425" s="592">
        <v>2</v>
      </c>
      <c r="E1425" s="597">
        <v>30000</v>
      </c>
      <c r="F1425" s="597">
        <v>30000</v>
      </c>
      <c r="G1425" s="597">
        <v>36024</v>
      </c>
      <c r="H1425" s="592" t="s">
        <v>1397</v>
      </c>
    </row>
    <row r="1426" spans="1:8" ht="24.75" customHeight="1" x14ac:dyDescent="0.55000000000000004">
      <c r="A1426" s="592">
        <v>1425</v>
      </c>
      <c r="B1426" s="596" t="s">
        <v>4429</v>
      </c>
      <c r="C1426" s="592" t="s">
        <v>4430</v>
      </c>
      <c r="D1426" s="592">
        <v>8</v>
      </c>
      <c r="E1426" s="597">
        <v>2000</v>
      </c>
      <c r="F1426" s="597">
        <v>2000</v>
      </c>
      <c r="G1426" s="597">
        <v>11800</v>
      </c>
      <c r="H1426" s="592" t="s">
        <v>1397</v>
      </c>
    </row>
    <row r="1427" spans="1:8" ht="24.75" customHeight="1" x14ac:dyDescent="0.55000000000000004">
      <c r="A1427" s="592">
        <v>1426</v>
      </c>
      <c r="B1427" s="596" t="s">
        <v>1630</v>
      </c>
      <c r="C1427" s="592" t="s">
        <v>1043</v>
      </c>
      <c r="D1427" s="592">
        <v>27</v>
      </c>
      <c r="E1427" s="597">
        <v>2700</v>
      </c>
      <c r="F1427" s="597">
        <v>2700</v>
      </c>
      <c r="G1427" s="597">
        <v>39825</v>
      </c>
      <c r="H1427" s="592" t="s">
        <v>1397</v>
      </c>
    </row>
    <row r="1428" spans="1:8" ht="24.75" customHeight="1" x14ac:dyDescent="0.55000000000000004">
      <c r="A1428" s="592">
        <v>1427</v>
      </c>
      <c r="B1428" s="596" t="s">
        <v>3266</v>
      </c>
      <c r="C1428" s="592" t="s">
        <v>3267</v>
      </c>
      <c r="D1428" s="592">
        <v>9</v>
      </c>
      <c r="E1428" s="597">
        <v>5000</v>
      </c>
      <c r="F1428" s="597">
        <v>5000</v>
      </c>
      <c r="G1428" s="597">
        <v>26820</v>
      </c>
      <c r="H1428" s="592" t="s">
        <v>1397</v>
      </c>
    </row>
    <row r="1429" spans="1:8" ht="24.75" customHeight="1" x14ac:dyDescent="0.55000000000000004">
      <c r="A1429" s="592">
        <v>1428</v>
      </c>
      <c r="B1429" s="596" t="s">
        <v>1631</v>
      </c>
      <c r="C1429" s="592" t="s">
        <v>7643</v>
      </c>
      <c r="D1429" s="592">
        <v>20</v>
      </c>
      <c r="E1429" s="597">
        <v>1200</v>
      </c>
      <c r="F1429" s="597">
        <v>1200</v>
      </c>
      <c r="G1429" s="597">
        <v>17440</v>
      </c>
      <c r="H1429" s="592" t="s">
        <v>1397</v>
      </c>
    </row>
    <row r="1430" spans="1:8" ht="24.75" customHeight="1" x14ac:dyDescent="0.55000000000000004">
      <c r="A1430" s="592">
        <v>1429</v>
      </c>
      <c r="B1430" s="596" t="s">
        <v>1632</v>
      </c>
      <c r="C1430" s="592" t="s">
        <v>1633</v>
      </c>
      <c r="D1430" s="592">
        <v>9</v>
      </c>
      <c r="E1430" s="597">
        <v>300</v>
      </c>
      <c r="F1430" s="597">
        <v>300</v>
      </c>
      <c r="G1430" s="597">
        <v>1890</v>
      </c>
      <c r="H1430" s="592" t="s">
        <v>1397</v>
      </c>
    </row>
    <row r="1431" spans="1:8" ht="24.75" customHeight="1" x14ac:dyDescent="0.55000000000000004">
      <c r="A1431" s="592">
        <v>1430</v>
      </c>
      <c r="B1431" s="596" t="s">
        <v>1634</v>
      </c>
      <c r="C1431" s="592" t="s">
        <v>1635</v>
      </c>
      <c r="D1431" s="592">
        <v>101</v>
      </c>
      <c r="E1431" s="597">
        <v>400</v>
      </c>
      <c r="F1431" s="597">
        <v>400</v>
      </c>
      <c r="G1431" s="597">
        <v>17675</v>
      </c>
      <c r="H1431" s="592" t="s">
        <v>1397</v>
      </c>
    </row>
    <row r="1432" spans="1:8" ht="24.75" customHeight="1" x14ac:dyDescent="0.55000000000000004">
      <c r="A1432" s="592">
        <v>1431</v>
      </c>
      <c r="B1432" s="596" t="s">
        <v>4431</v>
      </c>
      <c r="C1432" s="592" t="s">
        <v>4432</v>
      </c>
      <c r="D1432" s="592">
        <v>2</v>
      </c>
      <c r="E1432" s="597">
        <v>300</v>
      </c>
      <c r="F1432" s="597">
        <v>300</v>
      </c>
      <c r="G1432" s="597">
        <v>380</v>
      </c>
      <c r="H1432" s="592" t="s">
        <v>1397</v>
      </c>
    </row>
    <row r="1433" spans="1:8" ht="24.75" customHeight="1" x14ac:dyDescent="0.55000000000000004">
      <c r="A1433" s="592">
        <v>1432</v>
      </c>
      <c r="B1433" s="596" t="s">
        <v>1636</v>
      </c>
      <c r="C1433" s="592" t="s">
        <v>1038</v>
      </c>
      <c r="D1433" s="592">
        <v>21</v>
      </c>
      <c r="E1433" s="597">
        <v>4500</v>
      </c>
      <c r="F1433" s="597">
        <v>4500</v>
      </c>
      <c r="G1433" s="597">
        <v>79590</v>
      </c>
      <c r="H1433" s="592" t="s">
        <v>1397</v>
      </c>
    </row>
    <row r="1434" spans="1:8" ht="24.75" customHeight="1" x14ac:dyDescent="0.55000000000000004">
      <c r="A1434" s="592">
        <v>1433</v>
      </c>
      <c r="B1434" s="596" t="s">
        <v>1637</v>
      </c>
      <c r="C1434" s="592" t="s">
        <v>1039</v>
      </c>
      <c r="D1434" s="592">
        <v>8</v>
      </c>
      <c r="E1434" s="597">
        <v>500</v>
      </c>
      <c r="F1434" s="597">
        <v>500</v>
      </c>
      <c r="G1434" s="597">
        <v>2800</v>
      </c>
      <c r="H1434" s="592" t="s">
        <v>1397</v>
      </c>
    </row>
    <row r="1435" spans="1:8" ht="24.75" customHeight="1" x14ac:dyDescent="0.55000000000000004">
      <c r="A1435" s="592">
        <v>1434</v>
      </c>
      <c r="B1435" s="596" t="s">
        <v>1638</v>
      </c>
      <c r="C1435" s="592" t="s">
        <v>1041</v>
      </c>
      <c r="D1435" s="592">
        <v>20</v>
      </c>
      <c r="E1435" s="597">
        <v>2000</v>
      </c>
      <c r="F1435" s="597">
        <v>2000</v>
      </c>
      <c r="G1435" s="597">
        <v>20200</v>
      </c>
      <c r="H1435" s="592" t="s">
        <v>1397</v>
      </c>
    </row>
    <row r="1436" spans="1:8" ht="24.75" customHeight="1" x14ac:dyDescent="0.55000000000000004">
      <c r="A1436" s="592">
        <v>1435</v>
      </c>
      <c r="B1436" s="596" t="s">
        <v>1639</v>
      </c>
      <c r="C1436" s="592" t="s">
        <v>1042</v>
      </c>
      <c r="D1436" s="592">
        <v>16</v>
      </c>
      <c r="E1436" s="597">
        <v>1000</v>
      </c>
      <c r="F1436" s="597">
        <v>1000</v>
      </c>
      <c r="G1436" s="597">
        <v>6896</v>
      </c>
      <c r="H1436" s="592" t="s">
        <v>1397</v>
      </c>
    </row>
    <row r="1437" spans="1:8" ht="24.75" customHeight="1" x14ac:dyDescent="0.55000000000000004">
      <c r="A1437" s="592">
        <v>1436</v>
      </c>
      <c r="B1437" s="596" t="s">
        <v>1640</v>
      </c>
      <c r="C1437" s="592" t="s">
        <v>1045</v>
      </c>
      <c r="D1437" s="592">
        <v>18</v>
      </c>
      <c r="E1437" s="597">
        <v>200</v>
      </c>
      <c r="F1437" s="597">
        <v>200</v>
      </c>
      <c r="G1437" s="597">
        <v>2070</v>
      </c>
      <c r="H1437" s="592" t="s">
        <v>1397</v>
      </c>
    </row>
    <row r="1438" spans="1:8" ht="24.75" customHeight="1" x14ac:dyDescent="0.55000000000000004">
      <c r="A1438" s="592">
        <v>1437</v>
      </c>
      <c r="B1438" s="596" t="s">
        <v>3143</v>
      </c>
      <c r="C1438" s="592" t="s">
        <v>3144</v>
      </c>
      <c r="D1438" s="592">
        <v>7</v>
      </c>
      <c r="E1438" s="597">
        <v>1000</v>
      </c>
      <c r="F1438" s="597">
        <v>1000</v>
      </c>
      <c r="G1438" s="597">
        <v>3500</v>
      </c>
      <c r="H1438" s="592" t="s">
        <v>1397</v>
      </c>
    </row>
    <row r="1439" spans="1:8" ht="24.75" customHeight="1" x14ac:dyDescent="0.55000000000000004">
      <c r="A1439" s="592">
        <v>1438</v>
      </c>
      <c r="B1439" s="596" t="s">
        <v>1641</v>
      </c>
      <c r="C1439" s="592" t="s">
        <v>1642</v>
      </c>
      <c r="D1439" s="592">
        <v>1</v>
      </c>
      <c r="E1439" s="597">
        <v>6000</v>
      </c>
      <c r="F1439" s="597">
        <v>6000</v>
      </c>
      <c r="G1439" s="597">
        <v>3239</v>
      </c>
      <c r="H1439" s="592" t="s">
        <v>1397</v>
      </c>
    </row>
    <row r="1440" spans="1:8" ht="24.75" customHeight="1" x14ac:dyDescent="0.55000000000000004">
      <c r="A1440" s="592">
        <v>1439</v>
      </c>
      <c r="B1440" s="596" t="s">
        <v>4433</v>
      </c>
      <c r="C1440" s="592" t="s">
        <v>4434</v>
      </c>
      <c r="D1440" s="592">
        <v>16</v>
      </c>
      <c r="E1440" s="597">
        <v>1000</v>
      </c>
      <c r="F1440" s="597">
        <v>1000</v>
      </c>
      <c r="G1440" s="597">
        <v>9600</v>
      </c>
      <c r="H1440" s="592" t="s">
        <v>1397</v>
      </c>
    </row>
    <row r="1441" spans="1:8" ht="24.75" customHeight="1" x14ac:dyDescent="0.55000000000000004">
      <c r="A1441" s="592">
        <v>1440</v>
      </c>
      <c r="B1441" s="596" t="s">
        <v>4435</v>
      </c>
      <c r="C1441" s="592" t="s">
        <v>4436</v>
      </c>
      <c r="D1441" s="592">
        <v>16</v>
      </c>
      <c r="E1441" s="597">
        <v>400</v>
      </c>
      <c r="F1441" s="597">
        <v>400</v>
      </c>
      <c r="G1441" s="597">
        <v>3200</v>
      </c>
      <c r="H1441" s="592" t="s">
        <v>1397</v>
      </c>
    </row>
    <row r="1442" spans="1:8" ht="24.75" customHeight="1" x14ac:dyDescent="0.55000000000000004">
      <c r="A1442" s="592">
        <v>1441</v>
      </c>
      <c r="B1442" s="596" t="s">
        <v>4437</v>
      </c>
      <c r="C1442" s="592" t="s">
        <v>7354</v>
      </c>
      <c r="D1442" s="592">
        <v>37</v>
      </c>
      <c r="E1442" s="597">
        <v>100</v>
      </c>
      <c r="F1442" s="597">
        <v>100</v>
      </c>
      <c r="G1442" s="597">
        <v>1110</v>
      </c>
      <c r="H1442" s="592" t="s">
        <v>1397</v>
      </c>
    </row>
    <row r="1443" spans="1:8" ht="24.75" customHeight="1" x14ac:dyDescent="0.55000000000000004">
      <c r="A1443" s="592">
        <v>1442</v>
      </c>
      <c r="B1443" s="596" t="s">
        <v>1643</v>
      </c>
      <c r="C1443" s="592" t="s">
        <v>1644</v>
      </c>
      <c r="D1443" s="592">
        <v>17</v>
      </c>
      <c r="E1443" s="597">
        <v>1500</v>
      </c>
      <c r="F1443" s="597">
        <v>1500</v>
      </c>
      <c r="G1443" s="597">
        <v>12750</v>
      </c>
      <c r="H1443" s="592" t="s">
        <v>1397</v>
      </c>
    </row>
    <row r="1444" spans="1:8" ht="24.75" customHeight="1" x14ac:dyDescent="0.55000000000000004">
      <c r="A1444" s="592">
        <v>1443</v>
      </c>
      <c r="B1444" s="596" t="s">
        <v>4438</v>
      </c>
      <c r="C1444" s="592" t="s">
        <v>4439</v>
      </c>
      <c r="D1444" s="592">
        <v>27</v>
      </c>
      <c r="E1444" s="597">
        <v>500</v>
      </c>
      <c r="F1444" s="597">
        <v>500</v>
      </c>
      <c r="G1444" s="597">
        <v>7830</v>
      </c>
      <c r="H1444" s="592" t="s">
        <v>1397</v>
      </c>
    </row>
    <row r="1445" spans="1:8" ht="24.75" customHeight="1" x14ac:dyDescent="0.55000000000000004">
      <c r="A1445" s="592">
        <v>1444</v>
      </c>
      <c r="B1445" s="596" t="s">
        <v>1645</v>
      </c>
      <c r="C1445" s="592" t="s">
        <v>1646</v>
      </c>
      <c r="D1445" s="592">
        <v>42</v>
      </c>
      <c r="E1445" s="597">
        <v>500</v>
      </c>
      <c r="F1445" s="597">
        <v>500</v>
      </c>
      <c r="G1445" s="597">
        <v>7560</v>
      </c>
      <c r="H1445" s="592" t="s">
        <v>1397</v>
      </c>
    </row>
    <row r="1446" spans="1:8" ht="24.75" customHeight="1" x14ac:dyDescent="0.55000000000000004">
      <c r="A1446" s="592">
        <v>1445</v>
      </c>
      <c r="B1446" s="596" t="s">
        <v>1647</v>
      </c>
      <c r="C1446" s="592" t="s">
        <v>1648</v>
      </c>
      <c r="D1446" s="592">
        <v>108</v>
      </c>
      <c r="E1446" s="597">
        <v>300</v>
      </c>
      <c r="F1446" s="597">
        <v>300</v>
      </c>
      <c r="G1446" s="597">
        <v>6480</v>
      </c>
      <c r="H1446" s="592" t="s">
        <v>1397</v>
      </c>
    </row>
    <row r="1447" spans="1:8" ht="24.75" customHeight="1" x14ac:dyDescent="0.55000000000000004">
      <c r="A1447" s="592">
        <v>1446</v>
      </c>
      <c r="B1447" s="596" t="s">
        <v>4440</v>
      </c>
      <c r="C1447" s="592" t="s">
        <v>7644</v>
      </c>
      <c r="D1447" s="592">
        <v>5</v>
      </c>
      <c r="E1447" s="597">
        <v>1500</v>
      </c>
      <c r="F1447" s="597">
        <v>1500</v>
      </c>
      <c r="G1447" s="597">
        <v>3900</v>
      </c>
      <c r="H1447" s="592" t="s">
        <v>933</v>
      </c>
    </row>
    <row r="1448" spans="1:8" ht="24.75" customHeight="1" x14ac:dyDescent="0.55000000000000004">
      <c r="A1448" s="592">
        <v>1447</v>
      </c>
      <c r="B1448" s="596" t="s">
        <v>1649</v>
      </c>
      <c r="C1448" s="592" t="s">
        <v>1650</v>
      </c>
      <c r="D1448" s="592">
        <v>33</v>
      </c>
      <c r="E1448" s="597">
        <v>100</v>
      </c>
      <c r="F1448" s="597">
        <v>100</v>
      </c>
      <c r="G1448" s="597">
        <v>1551</v>
      </c>
      <c r="H1448" s="592" t="s">
        <v>1397</v>
      </c>
    </row>
    <row r="1449" spans="1:8" ht="24.75" customHeight="1" x14ac:dyDescent="0.55000000000000004">
      <c r="A1449" s="592">
        <v>1448</v>
      </c>
      <c r="B1449" s="596" t="s">
        <v>4441</v>
      </c>
      <c r="C1449" s="592" t="s">
        <v>7645</v>
      </c>
      <c r="D1449" s="592">
        <v>1</v>
      </c>
      <c r="E1449" s="597">
        <v>58000</v>
      </c>
      <c r="F1449" s="597">
        <v>58000</v>
      </c>
      <c r="G1449" s="597">
        <v>47900</v>
      </c>
      <c r="H1449" s="592" t="s">
        <v>1397</v>
      </c>
    </row>
    <row r="1450" spans="1:8" ht="24.75" customHeight="1" x14ac:dyDescent="0.55000000000000004">
      <c r="A1450" s="592">
        <v>1449</v>
      </c>
      <c r="B1450" s="596" t="s">
        <v>1651</v>
      </c>
      <c r="C1450" s="592" t="s">
        <v>1652</v>
      </c>
      <c r="D1450" s="592">
        <v>8</v>
      </c>
      <c r="E1450" s="597">
        <v>3000</v>
      </c>
      <c r="F1450" s="597">
        <v>3000</v>
      </c>
      <c r="G1450" s="597">
        <v>17200</v>
      </c>
      <c r="H1450" s="592" t="s">
        <v>1397</v>
      </c>
    </row>
    <row r="1451" spans="1:8" ht="24.75" customHeight="1" x14ac:dyDescent="0.55000000000000004">
      <c r="A1451" s="592">
        <v>1450</v>
      </c>
      <c r="B1451" s="596" t="s">
        <v>4442</v>
      </c>
      <c r="C1451" s="592" t="s">
        <v>4443</v>
      </c>
      <c r="D1451" s="592">
        <v>28</v>
      </c>
      <c r="E1451" s="597">
        <v>400</v>
      </c>
      <c r="F1451" s="597">
        <v>400</v>
      </c>
      <c r="G1451" s="597">
        <v>7140</v>
      </c>
      <c r="H1451" s="592" t="s">
        <v>1397</v>
      </c>
    </row>
    <row r="1452" spans="1:8" ht="24.75" customHeight="1" x14ac:dyDescent="0.55000000000000004">
      <c r="A1452" s="592">
        <v>1451</v>
      </c>
      <c r="B1452" s="596" t="s">
        <v>1653</v>
      </c>
      <c r="C1452" s="592" t="s">
        <v>1654</v>
      </c>
      <c r="D1452" s="592">
        <v>62</v>
      </c>
      <c r="E1452" s="597">
        <v>100</v>
      </c>
      <c r="F1452" s="597">
        <v>100</v>
      </c>
      <c r="G1452" s="597">
        <v>1612</v>
      </c>
      <c r="H1452" s="592" t="s">
        <v>1397</v>
      </c>
    </row>
    <row r="1453" spans="1:8" ht="24.75" customHeight="1" x14ac:dyDescent="0.55000000000000004">
      <c r="A1453" s="592">
        <v>1452</v>
      </c>
      <c r="B1453" s="596" t="s">
        <v>2437</v>
      </c>
      <c r="C1453" s="592" t="s">
        <v>2438</v>
      </c>
      <c r="D1453" s="592">
        <v>3</v>
      </c>
      <c r="E1453" s="597">
        <v>1500</v>
      </c>
      <c r="F1453" s="597">
        <v>1500</v>
      </c>
      <c r="G1453" s="597">
        <v>1800</v>
      </c>
      <c r="H1453" s="592" t="s">
        <v>1397</v>
      </c>
    </row>
    <row r="1454" spans="1:8" ht="24.75" customHeight="1" x14ac:dyDescent="0.55000000000000004">
      <c r="A1454" s="592">
        <v>1453</v>
      </c>
      <c r="B1454" s="596" t="s">
        <v>4444</v>
      </c>
      <c r="C1454" s="592" t="s">
        <v>4445</v>
      </c>
      <c r="D1454" s="592">
        <v>10</v>
      </c>
      <c r="E1454" s="597">
        <v>500</v>
      </c>
      <c r="F1454" s="597">
        <v>500</v>
      </c>
      <c r="G1454" s="597">
        <v>2500</v>
      </c>
      <c r="H1454" s="592" t="s">
        <v>1397</v>
      </c>
    </row>
    <row r="1455" spans="1:8" ht="24.75" customHeight="1" x14ac:dyDescent="0.55000000000000004">
      <c r="A1455" s="592">
        <v>1454</v>
      </c>
      <c r="B1455" s="596" t="s">
        <v>4446</v>
      </c>
      <c r="C1455" s="592" t="s">
        <v>4447</v>
      </c>
      <c r="D1455" s="592">
        <v>4</v>
      </c>
      <c r="E1455" s="597">
        <v>500</v>
      </c>
      <c r="F1455" s="597">
        <v>500</v>
      </c>
      <c r="G1455" s="597">
        <v>1400</v>
      </c>
      <c r="H1455" s="592" t="s">
        <v>1397</v>
      </c>
    </row>
    <row r="1456" spans="1:8" ht="24.75" customHeight="1" x14ac:dyDescent="0.55000000000000004">
      <c r="A1456" s="592">
        <v>1455</v>
      </c>
      <c r="B1456" s="596" t="s">
        <v>4448</v>
      </c>
      <c r="C1456" s="592" t="s">
        <v>4449</v>
      </c>
      <c r="D1456" s="592">
        <v>37</v>
      </c>
      <c r="E1456" s="597">
        <v>500</v>
      </c>
      <c r="F1456" s="597">
        <v>500</v>
      </c>
      <c r="G1456" s="597">
        <v>10915</v>
      </c>
      <c r="H1456" s="592" t="s">
        <v>1397</v>
      </c>
    </row>
    <row r="1457" spans="1:8" ht="24.75" customHeight="1" x14ac:dyDescent="0.55000000000000004">
      <c r="A1457" s="592">
        <v>1456</v>
      </c>
      <c r="B1457" s="596" t="s">
        <v>4450</v>
      </c>
      <c r="C1457" s="592" t="s">
        <v>4451</v>
      </c>
      <c r="D1457" s="592">
        <v>1</v>
      </c>
      <c r="E1457" s="597">
        <v>10000</v>
      </c>
      <c r="F1457" s="597">
        <v>10000</v>
      </c>
      <c r="G1457" s="597">
        <v>7000</v>
      </c>
      <c r="H1457" s="592" t="s">
        <v>1397</v>
      </c>
    </row>
    <row r="1458" spans="1:8" ht="24.75" customHeight="1" x14ac:dyDescent="0.55000000000000004">
      <c r="A1458" s="592">
        <v>1457</v>
      </c>
      <c r="B1458" s="596" t="s">
        <v>4452</v>
      </c>
      <c r="C1458" s="592" t="s">
        <v>4453</v>
      </c>
      <c r="D1458" s="592">
        <v>1</v>
      </c>
      <c r="E1458" s="597">
        <v>6000</v>
      </c>
      <c r="F1458" s="597">
        <v>6000</v>
      </c>
      <c r="G1458" s="597">
        <v>4500</v>
      </c>
      <c r="H1458" s="592" t="s">
        <v>1397</v>
      </c>
    </row>
    <row r="1459" spans="1:8" ht="24.75" customHeight="1" x14ac:dyDescent="0.55000000000000004">
      <c r="A1459" s="592">
        <v>1458</v>
      </c>
      <c r="B1459" s="596" t="s">
        <v>1655</v>
      </c>
      <c r="C1459" s="592" t="s">
        <v>1656</v>
      </c>
      <c r="D1459" s="592">
        <v>2</v>
      </c>
      <c r="E1459" s="597">
        <v>650</v>
      </c>
      <c r="F1459" s="597">
        <v>650</v>
      </c>
      <c r="G1459" s="597">
        <v>1000</v>
      </c>
      <c r="H1459" s="592" t="s">
        <v>1397</v>
      </c>
    </row>
    <row r="1460" spans="1:8" ht="24.75" customHeight="1" x14ac:dyDescent="0.55000000000000004">
      <c r="A1460" s="592">
        <v>1459</v>
      </c>
      <c r="B1460" s="596" t="s">
        <v>1657</v>
      </c>
      <c r="C1460" s="592" t="s">
        <v>1658</v>
      </c>
      <c r="D1460" s="592">
        <v>3</v>
      </c>
      <c r="E1460" s="597">
        <v>2000</v>
      </c>
      <c r="F1460" s="597">
        <v>2000</v>
      </c>
      <c r="G1460" s="597">
        <v>2670</v>
      </c>
      <c r="H1460" s="592" t="s">
        <v>1397</v>
      </c>
    </row>
    <row r="1461" spans="1:8" ht="24.75" customHeight="1" x14ac:dyDescent="0.55000000000000004">
      <c r="A1461" s="592">
        <v>1460</v>
      </c>
      <c r="B1461" s="596" t="s">
        <v>8071</v>
      </c>
      <c r="C1461" s="592" t="s">
        <v>8072</v>
      </c>
      <c r="D1461" s="592">
        <v>5</v>
      </c>
      <c r="E1461" s="597">
        <v>30000</v>
      </c>
      <c r="F1461" s="597">
        <v>30000</v>
      </c>
      <c r="G1461" s="597">
        <v>122500</v>
      </c>
      <c r="H1461" s="592" t="s">
        <v>1397</v>
      </c>
    </row>
    <row r="1462" spans="1:8" ht="24.75" customHeight="1" x14ac:dyDescent="0.55000000000000004">
      <c r="A1462" s="592">
        <v>1461</v>
      </c>
      <c r="B1462" s="596" t="s">
        <v>4454</v>
      </c>
      <c r="C1462" s="592" t="s">
        <v>4455</v>
      </c>
      <c r="D1462" s="592">
        <v>1</v>
      </c>
      <c r="E1462" s="597">
        <v>7000</v>
      </c>
      <c r="F1462" s="597">
        <v>7000</v>
      </c>
      <c r="G1462" s="597">
        <v>5500</v>
      </c>
      <c r="H1462" s="592" t="s">
        <v>1397</v>
      </c>
    </row>
    <row r="1463" spans="1:8" ht="24.75" customHeight="1" x14ac:dyDescent="0.55000000000000004">
      <c r="A1463" s="592">
        <v>1462</v>
      </c>
      <c r="B1463" s="596" t="s">
        <v>4456</v>
      </c>
      <c r="C1463" s="592" t="s">
        <v>4457</v>
      </c>
      <c r="D1463" s="592">
        <v>10</v>
      </c>
      <c r="E1463" s="597">
        <v>250</v>
      </c>
      <c r="F1463" s="597">
        <v>250</v>
      </c>
      <c r="G1463" s="597">
        <v>1780</v>
      </c>
      <c r="H1463" s="592" t="s">
        <v>1397</v>
      </c>
    </row>
    <row r="1464" spans="1:8" ht="24.75" customHeight="1" x14ac:dyDescent="0.55000000000000004">
      <c r="A1464" s="592">
        <v>1463</v>
      </c>
      <c r="B1464" s="596" t="s">
        <v>4458</v>
      </c>
      <c r="C1464" s="592" t="s">
        <v>4459</v>
      </c>
      <c r="D1464" s="592">
        <v>9</v>
      </c>
      <c r="E1464" s="597">
        <v>1500</v>
      </c>
      <c r="F1464" s="597">
        <v>1500</v>
      </c>
      <c r="G1464" s="597">
        <v>4482</v>
      </c>
      <c r="H1464" s="592" t="s">
        <v>1397</v>
      </c>
    </row>
    <row r="1465" spans="1:8" ht="24.75" customHeight="1" x14ac:dyDescent="0.55000000000000004">
      <c r="A1465" s="592">
        <v>1464</v>
      </c>
      <c r="B1465" s="596" t="s">
        <v>1659</v>
      </c>
      <c r="C1465" s="592" t="s">
        <v>1660</v>
      </c>
      <c r="D1465" s="592">
        <v>12</v>
      </c>
      <c r="E1465" s="597">
        <v>1000</v>
      </c>
      <c r="F1465" s="597">
        <v>1000</v>
      </c>
      <c r="G1465" s="597">
        <v>7320</v>
      </c>
      <c r="H1465" s="592" t="s">
        <v>1397</v>
      </c>
    </row>
    <row r="1466" spans="1:8" ht="24.75" customHeight="1" x14ac:dyDescent="0.55000000000000004">
      <c r="A1466" s="592">
        <v>1465</v>
      </c>
      <c r="B1466" s="596" t="s">
        <v>1661</v>
      </c>
      <c r="C1466" s="592" t="s">
        <v>7355</v>
      </c>
      <c r="D1466" s="592">
        <v>42</v>
      </c>
      <c r="E1466" s="597">
        <v>500</v>
      </c>
      <c r="F1466" s="597">
        <v>500</v>
      </c>
      <c r="G1466" s="597">
        <v>21000</v>
      </c>
      <c r="H1466" s="592" t="s">
        <v>1397</v>
      </c>
    </row>
    <row r="1467" spans="1:8" ht="24.75" customHeight="1" x14ac:dyDescent="0.55000000000000004">
      <c r="A1467" s="592">
        <v>1466</v>
      </c>
      <c r="B1467" s="596" t="s">
        <v>6172</v>
      </c>
      <c r="C1467" s="592" t="s">
        <v>6173</v>
      </c>
      <c r="D1467" s="592">
        <v>4</v>
      </c>
      <c r="E1467" s="597">
        <v>700</v>
      </c>
      <c r="F1467" s="597">
        <v>700</v>
      </c>
      <c r="G1467" s="597">
        <v>2800</v>
      </c>
      <c r="H1467" s="592" t="s">
        <v>1397</v>
      </c>
    </row>
    <row r="1468" spans="1:8" ht="24.75" customHeight="1" x14ac:dyDescent="0.55000000000000004">
      <c r="A1468" s="592">
        <v>1467</v>
      </c>
      <c r="B1468" s="596" t="s">
        <v>3145</v>
      </c>
      <c r="C1468" s="592" t="s">
        <v>8577</v>
      </c>
      <c r="D1468" s="592">
        <v>12</v>
      </c>
      <c r="E1468" s="597">
        <v>1500</v>
      </c>
      <c r="F1468" s="597">
        <v>1500</v>
      </c>
      <c r="G1468" s="597">
        <v>13200</v>
      </c>
      <c r="H1468" s="592" t="s">
        <v>1397</v>
      </c>
    </row>
    <row r="1469" spans="1:8" ht="24.75" customHeight="1" x14ac:dyDescent="0.55000000000000004">
      <c r="A1469" s="592">
        <v>1468</v>
      </c>
      <c r="B1469" s="596" t="s">
        <v>4460</v>
      </c>
      <c r="C1469" s="592" t="s">
        <v>7646</v>
      </c>
      <c r="D1469" s="592">
        <v>7</v>
      </c>
      <c r="E1469" s="597">
        <v>3200</v>
      </c>
      <c r="F1469" s="597">
        <v>3200</v>
      </c>
      <c r="G1469" s="597">
        <v>16100</v>
      </c>
      <c r="H1469" s="592" t="s">
        <v>1397</v>
      </c>
    </row>
    <row r="1470" spans="1:8" ht="24.75" customHeight="1" x14ac:dyDescent="0.55000000000000004">
      <c r="A1470" s="592">
        <v>1469</v>
      </c>
      <c r="B1470" s="596" t="s">
        <v>3340</v>
      </c>
      <c r="C1470" s="592" t="s">
        <v>3341</v>
      </c>
      <c r="D1470" s="592">
        <v>6</v>
      </c>
      <c r="E1470" s="597">
        <v>6000</v>
      </c>
      <c r="F1470" s="597">
        <v>6000</v>
      </c>
      <c r="G1470" s="597">
        <v>19848</v>
      </c>
      <c r="H1470" s="592" t="s">
        <v>1397</v>
      </c>
    </row>
    <row r="1471" spans="1:8" ht="24.75" customHeight="1" x14ac:dyDescent="0.55000000000000004">
      <c r="A1471" s="592">
        <v>1470</v>
      </c>
      <c r="B1471" s="596" t="s">
        <v>1662</v>
      </c>
      <c r="C1471" s="592" t="s">
        <v>1663</v>
      </c>
      <c r="D1471" s="592">
        <v>23</v>
      </c>
      <c r="E1471" s="597">
        <v>500</v>
      </c>
      <c r="F1471" s="597">
        <v>500</v>
      </c>
      <c r="G1471" s="597">
        <v>2990</v>
      </c>
      <c r="H1471" s="592" t="s">
        <v>1397</v>
      </c>
    </row>
    <row r="1472" spans="1:8" ht="24.75" customHeight="1" x14ac:dyDescent="0.55000000000000004">
      <c r="A1472" s="592">
        <v>1471</v>
      </c>
      <c r="B1472" s="596" t="s">
        <v>4463</v>
      </c>
      <c r="C1472" s="592" t="s">
        <v>4464</v>
      </c>
      <c r="D1472" s="592">
        <v>6</v>
      </c>
      <c r="E1472" s="597">
        <v>150</v>
      </c>
      <c r="F1472" s="597">
        <v>150</v>
      </c>
      <c r="G1472" s="597">
        <v>420</v>
      </c>
      <c r="H1472" s="592" t="s">
        <v>1397</v>
      </c>
    </row>
    <row r="1473" spans="1:8" ht="24.75" customHeight="1" x14ac:dyDescent="0.55000000000000004">
      <c r="A1473" s="592">
        <v>1472</v>
      </c>
      <c r="B1473" s="596" t="s">
        <v>4465</v>
      </c>
      <c r="C1473" s="592" t="s">
        <v>4466</v>
      </c>
      <c r="D1473" s="592">
        <v>2</v>
      </c>
      <c r="E1473" s="597">
        <v>13000</v>
      </c>
      <c r="F1473" s="597">
        <v>13000</v>
      </c>
      <c r="G1473" s="597">
        <v>16100</v>
      </c>
      <c r="H1473" s="592" t="s">
        <v>1397</v>
      </c>
    </row>
    <row r="1474" spans="1:8" ht="24.75" customHeight="1" x14ac:dyDescent="0.55000000000000004">
      <c r="A1474" s="592">
        <v>1473</v>
      </c>
      <c r="B1474" s="596" t="s">
        <v>1664</v>
      </c>
      <c r="C1474" s="592" t="s">
        <v>7647</v>
      </c>
      <c r="D1474" s="592">
        <v>10</v>
      </c>
      <c r="E1474" s="597">
        <v>3000</v>
      </c>
      <c r="F1474" s="597">
        <v>3000</v>
      </c>
      <c r="G1474" s="597">
        <v>23000</v>
      </c>
      <c r="H1474" s="592" t="s">
        <v>1397</v>
      </c>
    </row>
    <row r="1475" spans="1:8" ht="24.75" customHeight="1" x14ac:dyDescent="0.55000000000000004">
      <c r="A1475" s="592">
        <v>1474</v>
      </c>
      <c r="B1475" s="596" t="s">
        <v>1665</v>
      </c>
      <c r="C1475" s="592" t="s">
        <v>1666</v>
      </c>
      <c r="D1475" s="592">
        <v>28</v>
      </c>
      <c r="E1475" s="597">
        <v>400</v>
      </c>
      <c r="F1475" s="597">
        <v>400</v>
      </c>
      <c r="G1475" s="597">
        <v>3360</v>
      </c>
      <c r="H1475" s="592" t="s">
        <v>1397</v>
      </c>
    </row>
    <row r="1476" spans="1:8" ht="24.75" customHeight="1" x14ac:dyDescent="0.55000000000000004">
      <c r="A1476" s="592">
        <v>1475</v>
      </c>
      <c r="B1476" s="596" t="s">
        <v>1667</v>
      </c>
      <c r="C1476" s="592" t="s">
        <v>3146</v>
      </c>
      <c r="D1476" s="592">
        <v>29</v>
      </c>
      <c r="E1476" s="597">
        <v>700</v>
      </c>
      <c r="F1476" s="597">
        <v>700</v>
      </c>
      <c r="G1476" s="597">
        <v>15950</v>
      </c>
      <c r="H1476" s="592" t="s">
        <v>1397</v>
      </c>
    </row>
    <row r="1477" spans="1:8" ht="24.75" customHeight="1" x14ac:dyDescent="0.55000000000000004">
      <c r="A1477" s="592">
        <v>1476</v>
      </c>
      <c r="B1477" s="596" t="s">
        <v>3342</v>
      </c>
      <c r="C1477" s="592" t="s">
        <v>3343</v>
      </c>
      <c r="D1477" s="592">
        <v>5</v>
      </c>
      <c r="E1477" s="597">
        <v>1000</v>
      </c>
      <c r="F1477" s="597">
        <v>1000</v>
      </c>
      <c r="G1477" s="597">
        <v>2150</v>
      </c>
      <c r="H1477" s="592" t="s">
        <v>1397</v>
      </c>
    </row>
    <row r="1478" spans="1:8" ht="24.75" customHeight="1" x14ac:dyDescent="0.55000000000000004">
      <c r="A1478" s="592">
        <v>1477</v>
      </c>
      <c r="B1478" s="596" t="s">
        <v>1668</v>
      </c>
      <c r="C1478" s="592" t="s">
        <v>7648</v>
      </c>
      <c r="D1478" s="592">
        <v>2</v>
      </c>
      <c r="E1478" s="597">
        <v>1600</v>
      </c>
      <c r="F1478" s="597">
        <v>1600</v>
      </c>
      <c r="G1478" s="597">
        <v>2394</v>
      </c>
      <c r="H1478" s="592" t="s">
        <v>1397</v>
      </c>
    </row>
    <row r="1479" spans="1:8" ht="24.75" customHeight="1" x14ac:dyDescent="0.55000000000000004">
      <c r="A1479" s="592">
        <v>1478</v>
      </c>
      <c r="B1479" s="596" t="s">
        <v>1669</v>
      </c>
      <c r="C1479" s="592" t="s">
        <v>7649</v>
      </c>
      <c r="D1479" s="592">
        <v>10</v>
      </c>
      <c r="E1479" s="597">
        <v>500</v>
      </c>
      <c r="F1479" s="597">
        <v>500</v>
      </c>
      <c r="G1479" s="597">
        <v>2950</v>
      </c>
      <c r="H1479" s="592" t="s">
        <v>1397</v>
      </c>
    </row>
    <row r="1480" spans="1:8" ht="24.75" customHeight="1" x14ac:dyDescent="0.55000000000000004">
      <c r="A1480" s="592">
        <v>1479</v>
      </c>
      <c r="B1480" s="596" t="s">
        <v>4467</v>
      </c>
      <c r="C1480" s="592" t="s">
        <v>4468</v>
      </c>
      <c r="D1480" s="592">
        <v>1</v>
      </c>
      <c r="E1480" s="597">
        <v>30000</v>
      </c>
      <c r="F1480" s="597">
        <v>30000</v>
      </c>
      <c r="G1480" s="597">
        <v>16200</v>
      </c>
      <c r="H1480" s="592" t="s">
        <v>1397</v>
      </c>
    </row>
    <row r="1481" spans="1:8" ht="24.75" customHeight="1" x14ac:dyDescent="0.55000000000000004">
      <c r="A1481" s="592">
        <v>1480</v>
      </c>
      <c r="B1481" s="596" t="s">
        <v>1670</v>
      </c>
      <c r="C1481" s="592" t="s">
        <v>1671</v>
      </c>
      <c r="D1481" s="592">
        <v>34</v>
      </c>
      <c r="E1481" s="597">
        <v>4500</v>
      </c>
      <c r="F1481" s="597">
        <v>4500</v>
      </c>
      <c r="G1481" s="597">
        <v>136476</v>
      </c>
      <c r="H1481" s="592" t="s">
        <v>933</v>
      </c>
    </row>
    <row r="1482" spans="1:8" ht="24.75" customHeight="1" x14ac:dyDescent="0.55000000000000004">
      <c r="A1482" s="592">
        <v>1481</v>
      </c>
      <c r="B1482" s="596" t="s">
        <v>4469</v>
      </c>
      <c r="C1482" s="592" t="s">
        <v>4470</v>
      </c>
      <c r="D1482" s="592">
        <v>1</v>
      </c>
      <c r="E1482" s="597">
        <v>4500</v>
      </c>
      <c r="F1482" s="597">
        <v>4500</v>
      </c>
      <c r="G1482" s="597">
        <v>3000</v>
      </c>
      <c r="H1482" s="592" t="s">
        <v>1397</v>
      </c>
    </row>
    <row r="1483" spans="1:8" ht="24.75" customHeight="1" x14ac:dyDescent="0.55000000000000004">
      <c r="A1483" s="592">
        <v>1482</v>
      </c>
      <c r="B1483" s="596" t="s">
        <v>4471</v>
      </c>
      <c r="C1483" s="592" t="s">
        <v>4472</v>
      </c>
      <c r="D1483" s="592">
        <v>14</v>
      </c>
      <c r="E1483" s="597">
        <v>200</v>
      </c>
      <c r="F1483" s="597">
        <v>200</v>
      </c>
      <c r="G1483" s="597">
        <v>1120</v>
      </c>
      <c r="H1483" s="592" t="s">
        <v>1397</v>
      </c>
    </row>
    <row r="1484" spans="1:8" ht="24.75" customHeight="1" x14ac:dyDescent="0.55000000000000004">
      <c r="A1484" s="592">
        <v>1483</v>
      </c>
      <c r="B1484" s="596" t="s">
        <v>4473</v>
      </c>
      <c r="C1484" s="592" t="s">
        <v>4474</v>
      </c>
      <c r="D1484" s="592">
        <v>1</v>
      </c>
      <c r="E1484" s="597">
        <v>18000</v>
      </c>
      <c r="F1484" s="597">
        <v>18000</v>
      </c>
      <c r="G1484" s="597">
        <v>12600</v>
      </c>
      <c r="H1484" s="592" t="s">
        <v>933</v>
      </c>
    </row>
    <row r="1485" spans="1:8" ht="24.75" customHeight="1" x14ac:dyDescent="0.55000000000000004">
      <c r="A1485" s="592">
        <v>1484</v>
      </c>
      <c r="B1485" s="596" t="s">
        <v>4475</v>
      </c>
      <c r="C1485" s="592" t="s">
        <v>4476</v>
      </c>
      <c r="D1485" s="592">
        <v>4</v>
      </c>
      <c r="E1485" s="597">
        <v>700</v>
      </c>
      <c r="F1485" s="597">
        <v>700</v>
      </c>
      <c r="G1485" s="597">
        <v>1880</v>
      </c>
      <c r="H1485" s="592" t="s">
        <v>933</v>
      </c>
    </row>
    <row r="1486" spans="1:8" ht="24.75" customHeight="1" x14ac:dyDescent="0.55000000000000004">
      <c r="A1486" s="592">
        <v>1485</v>
      </c>
      <c r="B1486" s="596" t="s">
        <v>2495</v>
      </c>
      <c r="C1486" s="592" t="s">
        <v>2496</v>
      </c>
      <c r="D1486" s="592">
        <v>2</v>
      </c>
      <c r="E1486" s="597">
        <v>6500</v>
      </c>
      <c r="F1486" s="597">
        <v>6500</v>
      </c>
      <c r="G1486" s="597">
        <v>8162</v>
      </c>
      <c r="H1486" s="592" t="s">
        <v>1397</v>
      </c>
    </row>
    <row r="1487" spans="1:8" ht="24.75" customHeight="1" x14ac:dyDescent="0.55000000000000004">
      <c r="A1487" s="592">
        <v>1486</v>
      </c>
      <c r="B1487" s="596" t="s">
        <v>2547</v>
      </c>
      <c r="C1487" s="592" t="s">
        <v>2548</v>
      </c>
      <c r="D1487" s="592">
        <v>16</v>
      </c>
      <c r="E1487" s="597">
        <v>500</v>
      </c>
      <c r="F1487" s="597">
        <v>500</v>
      </c>
      <c r="G1487" s="597">
        <v>3200</v>
      </c>
      <c r="H1487" s="592" t="s">
        <v>1397</v>
      </c>
    </row>
    <row r="1488" spans="1:8" ht="24.75" customHeight="1" x14ac:dyDescent="0.55000000000000004">
      <c r="A1488" s="592">
        <v>1487</v>
      </c>
      <c r="B1488" s="596" t="s">
        <v>2549</v>
      </c>
      <c r="C1488" s="592" t="s">
        <v>2550</v>
      </c>
      <c r="D1488" s="592">
        <v>1</v>
      </c>
      <c r="E1488" s="597">
        <v>500</v>
      </c>
      <c r="F1488" s="597">
        <v>500</v>
      </c>
      <c r="G1488" s="597">
        <v>337</v>
      </c>
      <c r="H1488" s="592" t="s">
        <v>1397</v>
      </c>
    </row>
    <row r="1489" spans="1:8" ht="24.75" customHeight="1" x14ac:dyDescent="0.55000000000000004">
      <c r="A1489" s="592">
        <v>1488</v>
      </c>
      <c r="B1489" s="596" t="s">
        <v>4477</v>
      </c>
      <c r="C1489" s="592" t="s">
        <v>4478</v>
      </c>
      <c r="D1489" s="592">
        <v>20</v>
      </c>
      <c r="E1489" s="597">
        <v>1200</v>
      </c>
      <c r="F1489" s="597">
        <v>1200</v>
      </c>
      <c r="G1489" s="597">
        <v>15000</v>
      </c>
      <c r="H1489" s="592" t="s">
        <v>1397</v>
      </c>
    </row>
    <row r="1490" spans="1:8" ht="24.75" customHeight="1" x14ac:dyDescent="0.55000000000000004">
      <c r="A1490" s="592">
        <v>1489</v>
      </c>
      <c r="B1490" s="596" t="s">
        <v>4479</v>
      </c>
      <c r="C1490" s="592" t="s">
        <v>4480</v>
      </c>
      <c r="D1490" s="592">
        <v>5</v>
      </c>
      <c r="E1490" s="597">
        <v>4500</v>
      </c>
      <c r="F1490" s="597">
        <v>4500</v>
      </c>
      <c r="G1490" s="597">
        <v>16000</v>
      </c>
      <c r="H1490" s="592" t="s">
        <v>1397</v>
      </c>
    </row>
    <row r="1491" spans="1:8" ht="24.75" customHeight="1" x14ac:dyDescent="0.55000000000000004">
      <c r="A1491" s="592">
        <v>1490</v>
      </c>
      <c r="B1491" s="596" t="s">
        <v>4481</v>
      </c>
      <c r="C1491" s="592" t="s">
        <v>4482</v>
      </c>
      <c r="D1491" s="592">
        <v>15</v>
      </c>
      <c r="E1491" s="597">
        <v>8500</v>
      </c>
      <c r="F1491" s="597">
        <v>8500</v>
      </c>
      <c r="G1491" s="597">
        <v>97500</v>
      </c>
      <c r="H1491" s="592" t="s">
        <v>1397</v>
      </c>
    </row>
    <row r="1492" spans="1:8" ht="24.75" customHeight="1" x14ac:dyDescent="0.55000000000000004">
      <c r="A1492" s="592">
        <v>1491</v>
      </c>
      <c r="B1492" s="596" t="s">
        <v>4483</v>
      </c>
      <c r="C1492" s="592" t="s">
        <v>7356</v>
      </c>
      <c r="D1492" s="592">
        <v>6</v>
      </c>
      <c r="E1492" s="597">
        <v>2000</v>
      </c>
      <c r="F1492" s="597">
        <v>2000</v>
      </c>
      <c r="G1492" s="597">
        <v>8250</v>
      </c>
      <c r="H1492" s="592" t="s">
        <v>933</v>
      </c>
    </row>
    <row r="1493" spans="1:8" ht="24.75" customHeight="1" x14ac:dyDescent="0.55000000000000004">
      <c r="A1493" s="592">
        <v>1492</v>
      </c>
      <c r="B1493" s="596" t="s">
        <v>4484</v>
      </c>
      <c r="C1493" s="592" t="s">
        <v>4485</v>
      </c>
      <c r="D1493" s="592">
        <v>2</v>
      </c>
      <c r="E1493" s="597">
        <v>800</v>
      </c>
      <c r="F1493" s="597">
        <v>800</v>
      </c>
      <c r="G1493" s="597">
        <v>860</v>
      </c>
      <c r="H1493" s="592" t="s">
        <v>933</v>
      </c>
    </row>
    <row r="1494" spans="1:8" ht="24.75" customHeight="1" x14ac:dyDescent="0.55000000000000004">
      <c r="A1494" s="592">
        <v>1493</v>
      </c>
      <c r="B1494" s="596" t="s">
        <v>2882</v>
      </c>
      <c r="C1494" s="592" t="s">
        <v>2883</v>
      </c>
      <c r="D1494" s="592">
        <v>5</v>
      </c>
      <c r="E1494" s="597">
        <v>4500</v>
      </c>
      <c r="F1494" s="597">
        <v>4500</v>
      </c>
      <c r="G1494" s="597">
        <v>16000</v>
      </c>
      <c r="H1494" s="592" t="s">
        <v>1397</v>
      </c>
    </row>
    <row r="1495" spans="1:8" ht="24.75" customHeight="1" x14ac:dyDescent="0.55000000000000004">
      <c r="A1495" s="592">
        <v>1494</v>
      </c>
      <c r="B1495" s="596" t="s">
        <v>4486</v>
      </c>
      <c r="C1495" s="592" t="s">
        <v>4487</v>
      </c>
      <c r="D1495" s="592">
        <v>6</v>
      </c>
      <c r="E1495" s="597">
        <v>300</v>
      </c>
      <c r="F1495" s="597">
        <v>300</v>
      </c>
      <c r="G1495" s="597">
        <v>1200</v>
      </c>
      <c r="H1495" s="592" t="s">
        <v>933</v>
      </c>
    </row>
    <row r="1496" spans="1:8" ht="24.75" customHeight="1" x14ac:dyDescent="0.55000000000000004">
      <c r="A1496" s="592">
        <v>1495</v>
      </c>
      <c r="B1496" s="596" t="s">
        <v>4488</v>
      </c>
      <c r="C1496" s="592" t="s">
        <v>4489</v>
      </c>
      <c r="D1496" s="592">
        <v>2</v>
      </c>
      <c r="E1496" s="597">
        <v>4000</v>
      </c>
      <c r="F1496" s="597">
        <v>4000</v>
      </c>
      <c r="G1496" s="597">
        <v>4000</v>
      </c>
      <c r="H1496" s="592" t="s">
        <v>1397</v>
      </c>
    </row>
    <row r="1497" spans="1:8" ht="24.75" customHeight="1" x14ac:dyDescent="0.55000000000000004">
      <c r="A1497" s="592">
        <v>1496</v>
      </c>
      <c r="B1497" s="596" t="s">
        <v>3147</v>
      </c>
      <c r="C1497" s="592" t="s">
        <v>3148</v>
      </c>
      <c r="D1497" s="592">
        <v>18</v>
      </c>
      <c r="E1497" s="597">
        <v>2000</v>
      </c>
      <c r="F1497" s="597">
        <v>2000</v>
      </c>
      <c r="G1497" s="597">
        <v>24300</v>
      </c>
      <c r="H1497" s="592" t="s">
        <v>1397</v>
      </c>
    </row>
    <row r="1498" spans="1:8" ht="24.75" customHeight="1" x14ac:dyDescent="0.55000000000000004">
      <c r="A1498" s="592">
        <v>1497</v>
      </c>
      <c r="B1498" s="596" t="s">
        <v>3149</v>
      </c>
      <c r="C1498" s="592" t="s">
        <v>3150</v>
      </c>
      <c r="D1498" s="592">
        <v>2</v>
      </c>
      <c r="E1498" s="597">
        <v>4200</v>
      </c>
      <c r="F1498" s="597">
        <v>4200</v>
      </c>
      <c r="G1498" s="597">
        <v>6920</v>
      </c>
      <c r="H1498" s="592" t="s">
        <v>1397</v>
      </c>
    </row>
    <row r="1499" spans="1:8" ht="24.75" customHeight="1" x14ac:dyDescent="0.55000000000000004">
      <c r="A1499" s="592">
        <v>1498</v>
      </c>
      <c r="B1499" s="596" t="s">
        <v>6686</v>
      </c>
      <c r="C1499" s="592" t="s">
        <v>6687</v>
      </c>
      <c r="D1499" s="592">
        <v>73</v>
      </c>
      <c r="E1499" s="597">
        <v>800</v>
      </c>
      <c r="F1499" s="597">
        <v>800</v>
      </c>
      <c r="G1499" s="597">
        <v>43946</v>
      </c>
      <c r="H1499" s="592" t="s">
        <v>933</v>
      </c>
    </row>
    <row r="1500" spans="1:8" ht="24.75" customHeight="1" x14ac:dyDescent="0.55000000000000004">
      <c r="A1500" s="592">
        <v>1499</v>
      </c>
      <c r="B1500" s="596" t="s">
        <v>4490</v>
      </c>
      <c r="C1500" s="592" t="s">
        <v>4491</v>
      </c>
      <c r="D1500" s="592">
        <v>1</v>
      </c>
      <c r="E1500" s="597">
        <v>800</v>
      </c>
      <c r="F1500" s="597">
        <v>800</v>
      </c>
      <c r="G1500" s="597">
        <v>500</v>
      </c>
      <c r="H1500" s="592" t="s">
        <v>1397</v>
      </c>
    </row>
    <row r="1501" spans="1:8" ht="24.75" customHeight="1" x14ac:dyDescent="0.55000000000000004">
      <c r="A1501" s="592">
        <v>1500</v>
      </c>
      <c r="B1501" s="596" t="s">
        <v>3344</v>
      </c>
      <c r="C1501" s="592" t="s">
        <v>3345</v>
      </c>
      <c r="D1501" s="592">
        <v>8</v>
      </c>
      <c r="E1501" s="597">
        <v>2500</v>
      </c>
      <c r="F1501" s="597">
        <v>2500</v>
      </c>
      <c r="G1501" s="597">
        <v>7600</v>
      </c>
      <c r="H1501" s="592" t="s">
        <v>1397</v>
      </c>
    </row>
    <row r="1502" spans="1:8" ht="24.75" customHeight="1" x14ac:dyDescent="0.55000000000000004">
      <c r="A1502" s="592">
        <v>1501</v>
      </c>
      <c r="B1502" s="596" t="s">
        <v>3437</v>
      </c>
      <c r="C1502" s="592" t="s">
        <v>3438</v>
      </c>
      <c r="D1502" s="592">
        <v>1</v>
      </c>
      <c r="E1502" s="597">
        <v>3800</v>
      </c>
      <c r="F1502" s="597">
        <v>3800</v>
      </c>
      <c r="G1502" s="597">
        <v>2150</v>
      </c>
      <c r="H1502" s="592" t="s">
        <v>1397</v>
      </c>
    </row>
    <row r="1503" spans="1:8" ht="24.75" customHeight="1" x14ac:dyDescent="0.55000000000000004">
      <c r="A1503" s="592">
        <v>1502</v>
      </c>
      <c r="B1503" s="596" t="s">
        <v>4492</v>
      </c>
      <c r="C1503" s="592" t="s">
        <v>4493</v>
      </c>
      <c r="D1503" s="592">
        <v>2</v>
      </c>
      <c r="E1503" s="597">
        <v>17000</v>
      </c>
      <c r="F1503" s="597">
        <v>17000</v>
      </c>
      <c r="G1503" s="597">
        <v>19800</v>
      </c>
      <c r="H1503" s="592" t="s">
        <v>1397</v>
      </c>
    </row>
    <row r="1504" spans="1:8" ht="24.75" customHeight="1" x14ac:dyDescent="0.55000000000000004">
      <c r="A1504" s="592">
        <v>1503</v>
      </c>
      <c r="B1504" s="596" t="s">
        <v>4494</v>
      </c>
      <c r="C1504" s="592" t="s">
        <v>4495</v>
      </c>
      <c r="D1504" s="592">
        <v>3</v>
      </c>
      <c r="E1504" s="597">
        <v>11500</v>
      </c>
      <c r="F1504" s="597">
        <v>11500</v>
      </c>
      <c r="G1504" s="597">
        <v>18300</v>
      </c>
      <c r="H1504" s="592" t="s">
        <v>1397</v>
      </c>
    </row>
    <row r="1505" spans="1:8" ht="24.75" customHeight="1" x14ac:dyDescent="0.55000000000000004">
      <c r="A1505" s="592">
        <v>1504</v>
      </c>
      <c r="B1505" s="596" t="s">
        <v>4496</v>
      </c>
      <c r="C1505" s="592" t="s">
        <v>7650</v>
      </c>
      <c r="D1505" s="592">
        <v>3</v>
      </c>
      <c r="E1505" s="597">
        <v>7500</v>
      </c>
      <c r="F1505" s="597">
        <v>7500</v>
      </c>
      <c r="G1505" s="597">
        <v>14700</v>
      </c>
      <c r="H1505" s="592" t="s">
        <v>1397</v>
      </c>
    </row>
    <row r="1506" spans="1:8" ht="24.75" customHeight="1" x14ac:dyDescent="0.55000000000000004">
      <c r="A1506" s="592">
        <v>1505</v>
      </c>
      <c r="B1506" s="596" t="s">
        <v>8578</v>
      </c>
      <c r="C1506" s="592" t="s">
        <v>8579</v>
      </c>
      <c r="D1506" s="592">
        <v>11</v>
      </c>
      <c r="E1506" s="597">
        <v>1000</v>
      </c>
      <c r="F1506" s="597">
        <v>1000</v>
      </c>
      <c r="G1506" s="597">
        <v>5412</v>
      </c>
      <c r="H1506" s="592" t="s">
        <v>933</v>
      </c>
    </row>
    <row r="1507" spans="1:8" ht="24.75" customHeight="1" x14ac:dyDescent="0.55000000000000004">
      <c r="A1507" s="592">
        <v>1506</v>
      </c>
      <c r="B1507" s="596" t="s">
        <v>6345</v>
      </c>
      <c r="C1507" s="592" t="s">
        <v>7913</v>
      </c>
      <c r="D1507" s="592">
        <v>6</v>
      </c>
      <c r="E1507" s="597">
        <v>30000</v>
      </c>
      <c r="F1507" s="597">
        <v>30000</v>
      </c>
      <c r="G1507" s="597">
        <v>147000</v>
      </c>
      <c r="H1507" s="592" t="s">
        <v>1397</v>
      </c>
    </row>
    <row r="1508" spans="1:8" ht="24.75" customHeight="1" x14ac:dyDescent="0.55000000000000004">
      <c r="A1508" s="592">
        <v>1507</v>
      </c>
      <c r="B1508" s="596" t="s">
        <v>4497</v>
      </c>
      <c r="C1508" s="592" t="s">
        <v>4498</v>
      </c>
      <c r="D1508" s="592">
        <v>1</v>
      </c>
      <c r="E1508" s="597">
        <v>27000</v>
      </c>
      <c r="F1508" s="597">
        <v>27000</v>
      </c>
      <c r="G1508" s="597">
        <v>17000</v>
      </c>
      <c r="H1508" s="592" t="s">
        <v>1397</v>
      </c>
    </row>
    <row r="1509" spans="1:8" ht="24.75" customHeight="1" x14ac:dyDescent="0.55000000000000004">
      <c r="A1509" s="592">
        <v>1508</v>
      </c>
      <c r="B1509" s="596" t="s">
        <v>4499</v>
      </c>
      <c r="C1509" s="592" t="s">
        <v>4500</v>
      </c>
      <c r="D1509" s="592">
        <v>2</v>
      </c>
      <c r="E1509" s="597">
        <v>800</v>
      </c>
      <c r="F1509" s="597">
        <v>800</v>
      </c>
      <c r="G1509" s="597">
        <v>900</v>
      </c>
      <c r="H1509" s="592" t="s">
        <v>1397</v>
      </c>
    </row>
    <row r="1510" spans="1:8" ht="24.75" customHeight="1" x14ac:dyDescent="0.55000000000000004">
      <c r="A1510" s="592">
        <v>1509</v>
      </c>
      <c r="B1510" s="596" t="s">
        <v>966</v>
      </c>
      <c r="C1510" s="592" t="s">
        <v>1674</v>
      </c>
      <c r="D1510" s="592">
        <v>2</v>
      </c>
      <c r="E1510" s="597">
        <v>1000</v>
      </c>
      <c r="F1510" s="597">
        <v>1000</v>
      </c>
      <c r="G1510" s="597">
        <v>714</v>
      </c>
      <c r="H1510" s="592" t="s">
        <v>1397</v>
      </c>
    </row>
    <row r="1511" spans="1:8" ht="24.75" customHeight="1" x14ac:dyDescent="0.55000000000000004">
      <c r="A1511" s="592">
        <v>1510</v>
      </c>
      <c r="B1511" s="596" t="s">
        <v>3268</v>
      </c>
      <c r="C1511" s="592" t="s">
        <v>8580</v>
      </c>
      <c r="D1511" s="592">
        <v>71</v>
      </c>
      <c r="E1511" s="597">
        <v>1700</v>
      </c>
      <c r="F1511" s="597">
        <v>1700</v>
      </c>
      <c r="G1511" s="597">
        <v>110050</v>
      </c>
      <c r="H1511" s="592" t="s">
        <v>1397</v>
      </c>
    </row>
    <row r="1512" spans="1:8" ht="24.75" customHeight="1" x14ac:dyDescent="0.55000000000000004">
      <c r="A1512" s="592">
        <v>1511</v>
      </c>
      <c r="B1512" s="596" t="s">
        <v>4501</v>
      </c>
      <c r="C1512" s="592" t="s">
        <v>4502</v>
      </c>
      <c r="D1512" s="592">
        <v>5</v>
      </c>
      <c r="E1512" s="597">
        <v>2500</v>
      </c>
      <c r="F1512" s="597">
        <v>2500</v>
      </c>
      <c r="G1512" s="597">
        <v>9500</v>
      </c>
      <c r="H1512" s="592" t="s">
        <v>933</v>
      </c>
    </row>
    <row r="1513" spans="1:8" ht="24.75" customHeight="1" x14ac:dyDescent="0.55000000000000004">
      <c r="A1513" s="592">
        <v>1512</v>
      </c>
      <c r="B1513" s="596" t="s">
        <v>8581</v>
      </c>
      <c r="C1513" s="592" t="s">
        <v>8582</v>
      </c>
      <c r="D1513" s="592">
        <v>18</v>
      </c>
      <c r="E1513" s="597">
        <v>3000</v>
      </c>
      <c r="F1513" s="597">
        <v>3000</v>
      </c>
      <c r="G1513" s="597">
        <v>43164</v>
      </c>
      <c r="H1513" s="592" t="s">
        <v>933</v>
      </c>
    </row>
    <row r="1514" spans="1:8" ht="24.75" customHeight="1" x14ac:dyDescent="0.55000000000000004">
      <c r="A1514" s="592">
        <v>1513</v>
      </c>
      <c r="B1514" s="596" t="s">
        <v>8773</v>
      </c>
      <c r="C1514" s="592" t="s">
        <v>8774</v>
      </c>
      <c r="D1514" s="592">
        <v>5</v>
      </c>
      <c r="E1514" s="597">
        <v>15000</v>
      </c>
      <c r="F1514" s="597">
        <v>15000</v>
      </c>
      <c r="G1514" s="597">
        <v>62000</v>
      </c>
      <c r="H1514" s="592" t="s">
        <v>1397</v>
      </c>
    </row>
    <row r="1515" spans="1:8" ht="24.75" customHeight="1" x14ac:dyDescent="0.55000000000000004">
      <c r="A1515" s="592">
        <v>1514</v>
      </c>
      <c r="B1515" s="596" t="s">
        <v>8775</v>
      </c>
      <c r="C1515" s="592" t="s">
        <v>8776</v>
      </c>
      <c r="D1515" s="592">
        <v>10</v>
      </c>
      <c r="E1515" s="597">
        <v>8000</v>
      </c>
      <c r="F1515" s="597">
        <v>8000</v>
      </c>
      <c r="G1515" s="597">
        <v>64000</v>
      </c>
      <c r="H1515" s="592" t="s">
        <v>1397</v>
      </c>
    </row>
    <row r="1516" spans="1:8" ht="24.75" customHeight="1" x14ac:dyDescent="0.55000000000000004">
      <c r="A1516" s="592">
        <v>1515</v>
      </c>
      <c r="B1516" s="596" t="s">
        <v>8777</v>
      </c>
      <c r="C1516" s="592" t="s">
        <v>8778</v>
      </c>
      <c r="D1516" s="592">
        <v>5</v>
      </c>
      <c r="E1516" s="597">
        <v>6000</v>
      </c>
      <c r="F1516" s="597">
        <v>6000</v>
      </c>
      <c r="G1516" s="597">
        <v>24500</v>
      </c>
      <c r="H1516" s="592" t="s">
        <v>1397</v>
      </c>
    </row>
    <row r="1517" spans="1:8" ht="24.75" customHeight="1" x14ac:dyDescent="0.55000000000000004">
      <c r="A1517" s="592">
        <v>1516</v>
      </c>
      <c r="B1517" s="596" t="s">
        <v>8779</v>
      </c>
      <c r="C1517" s="592" t="s">
        <v>8780</v>
      </c>
      <c r="D1517" s="592">
        <v>5</v>
      </c>
      <c r="E1517" s="597">
        <v>6800</v>
      </c>
      <c r="F1517" s="597">
        <v>6800</v>
      </c>
      <c r="G1517" s="597">
        <v>26500</v>
      </c>
      <c r="H1517" s="592" t="s">
        <v>1397</v>
      </c>
    </row>
    <row r="1518" spans="1:8" ht="24.75" customHeight="1" x14ac:dyDescent="0.55000000000000004">
      <c r="A1518" s="592">
        <v>1517</v>
      </c>
      <c r="B1518" s="596" t="s">
        <v>8781</v>
      </c>
      <c r="C1518" s="592" t="s">
        <v>8782</v>
      </c>
      <c r="D1518" s="592">
        <v>10</v>
      </c>
      <c r="E1518" s="597">
        <v>5000</v>
      </c>
      <c r="F1518" s="597">
        <v>5000</v>
      </c>
      <c r="G1518" s="597">
        <v>38000</v>
      </c>
      <c r="H1518" s="592" t="s">
        <v>1397</v>
      </c>
    </row>
    <row r="1519" spans="1:8" ht="24.75" customHeight="1" x14ac:dyDescent="0.55000000000000004">
      <c r="A1519" s="592">
        <v>1518</v>
      </c>
      <c r="B1519" s="596" t="s">
        <v>4503</v>
      </c>
      <c r="C1519" s="592" t="s">
        <v>4504</v>
      </c>
      <c r="D1519" s="592">
        <v>1</v>
      </c>
      <c r="E1519" s="597">
        <v>15000</v>
      </c>
      <c r="F1519" s="597">
        <v>15000</v>
      </c>
      <c r="G1519" s="597">
        <v>11996</v>
      </c>
      <c r="H1519" s="592" t="s">
        <v>1397</v>
      </c>
    </row>
    <row r="1520" spans="1:8" ht="24.75" customHeight="1" x14ac:dyDescent="0.55000000000000004">
      <c r="A1520" s="592">
        <v>1519</v>
      </c>
      <c r="B1520" s="596" t="s">
        <v>1028</v>
      </c>
      <c r="C1520" s="592" t="s">
        <v>1027</v>
      </c>
      <c r="D1520" s="592">
        <v>2</v>
      </c>
      <c r="E1520" s="597">
        <v>18500</v>
      </c>
      <c r="F1520" s="597">
        <v>18500</v>
      </c>
      <c r="G1520" s="597">
        <v>24000</v>
      </c>
      <c r="H1520" s="592" t="s">
        <v>1397</v>
      </c>
    </row>
    <row r="1521" spans="1:8" ht="24.75" customHeight="1" x14ac:dyDescent="0.55000000000000004">
      <c r="A1521" s="592">
        <v>1520</v>
      </c>
      <c r="B1521" s="596" t="s">
        <v>4505</v>
      </c>
      <c r="C1521" s="592" t="s">
        <v>7651</v>
      </c>
      <c r="D1521" s="592">
        <v>1</v>
      </c>
      <c r="E1521" s="597">
        <v>6000</v>
      </c>
      <c r="F1521" s="597">
        <v>6000</v>
      </c>
      <c r="G1521" s="597">
        <v>3500</v>
      </c>
      <c r="H1521" s="592" t="s">
        <v>1397</v>
      </c>
    </row>
    <row r="1522" spans="1:8" ht="24.75" customHeight="1" x14ac:dyDescent="0.55000000000000004">
      <c r="A1522" s="592">
        <v>1521</v>
      </c>
      <c r="B1522" s="596" t="s">
        <v>4506</v>
      </c>
      <c r="C1522" s="592" t="s">
        <v>4507</v>
      </c>
      <c r="D1522" s="592">
        <v>4</v>
      </c>
      <c r="E1522" s="597">
        <v>8500</v>
      </c>
      <c r="F1522" s="597">
        <v>8500</v>
      </c>
      <c r="G1522" s="597">
        <v>30300</v>
      </c>
      <c r="H1522" s="592" t="s">
        <v>1397</v>
      </c>
    </row>
    <row r="1523" spans="1:8" ht="24.75" customHeight="1" x14ac:dyDescent="0.55000000000000004">
      <c r="A1523" s="592">
        <v>1522</v>
      </c>
      <c r="B1523" s="596" t="s">
        <v>4508</v>
      </c>
      <c r="C1523" s="592" t="s">
        <v>4509</v>
      </c>
      <c r="D1523" s="592">
        <v>4</v>
      </c>
      <c r="E1523" s="597">
        <v>8000</v>
      </c>
      <c r="F1523" s="597">
        <v>8000</v>
      </c>
      <c r="G1523" s="597">
        <v>17800</v>
      </c>
      <c r="H1523" s="592" t="s">
        <v>1397</v>
      </c>
    </row>
    <row r="1524" spans="1:8" ht="24.75" customHeight="1" x14ac:dyDescent="0.55000000000000004">
      <c r="A1524" s="592">
        <v>1523</v>
      </c>
      <c r="B1524" s="596" t="s">
        <v>1029</v>
      </c>
      <c r="C1524" s="592" t="s">
        <v>1675</v>
      </c>
      <c r="D1524" s="592">
        <v>8</v>
      </c>
      <c r="E1524" s="597">
        <v>8000</v>
      </c>
      <c r="F1524" s="597">
        <v>8000</v>
      </c>
      <c r="G1524" s="597">
        <v>35336</v>
      </c>
      <c r="H1524" s="592" t="s">
        <v>1397</v>
      </c>
    </row>
    <row r="1525" spans="1:8" ht="24.75" customHeight="1" x14ac:dyDescent="0.55000000000000004">
      <c r="A1525" s="592">
        <v>1524</v>
      </c>
      <c r="B1525" s="596" t="s">
        <v>4510</v>
      </c>
      <c r="C1525" s="592" t="s">
        <v>7652</v>
      </c>
      <c r="D1525" s="592">
        <v>1</v>
      </c>
      <c r="E1525" s="597">
        <v>7000</v>
      </c>
      <c r="F1525" s="597">
        <v>7000</v>
      </c>
      <c r="G1525" s="597">
        <v>5500</v>
      </c>
      <c r="H1525" s="592" t="s">
        <v>1397</v>
      </c>
    </row>
    <row r="1526" spans="1:8" ht="24.75" customHeight="1" x14ac:dyDescent="0.55000000000000004">
      <c r="A1526" s="592">
        <v>1525</v>
      </c>
      <c r="B1526" s="596" t="s">
        <v>1030</v>
      </c>
      <c r="C1526" s="592" t="s">
        <v>1676</v>
      </c>
      <c r="D1526" s="592">
        <v>15</v>
      </c>
      <c r="E1526" s="597">
        <v>2000</v>
      </c>
      <c r="F1526" s="597">
        <v>2000</v>
      </c>
      <c r="G1526" s="597">
        <v>17325</v>
      </c>
      <c r="H1526" s="592" t="s">
        <v>1397</v>
      </c>
    </row>
    <row r="1527" spans="1:8" ht="24.75" customHeight="1" x14ac:dyDescent="0.55000000000000004">
      <c r="A1527" s="592">
        <v>1526</v>
      </c>
      <c r="B1527" s="596" t="s">
        <v>3151</v>
      </c>
      <c r="C1527" s="592" t="s">
        <v>3152</v>
      </c>
      <c r="D1527" s="592">
        <v>4</v>
      </c>
      <c r="E1527" s="597">
        <v>20000</v>
      </c>
      <c r="F1527" s="597">
        <v>20000</v>
      </c>
      <c r="G1527" s="597">
        <v>47200</v>
      </c>
      <c r="H1527" s="592" t="s">
        <v>1397</v>
      </c>
    </row>
    <row r="1528" spans="1:8" ht="24.75" customHeight="1" x14ac:dyDescent="0.55000000000000004">
      <c r="A1528" s="592">
        <v>1527</v>
      </c>
      <c r="B1528" s="596" t="s">
        <v>1037</v>
      </c>
      <c r="C1528" s="592" t="s">
        <v>3153</v>
      </c>
      <c r="D1528" s="592">
        <v>6</v>
      </c>
      <c r="E1528" s="597">
        <v>600</v>
      </c>
      <c r="F1528" s="597">
        <v>600</v>
      </c>
      <c r="G1528" s="597">
        <v>1320</v>
      </c>
      <c r="H1528" s="592" t="s">
        <v>1397</v>
      </c>
    </row>
    <row r="1529" spans="1:8" ht="24.75" customHeight="1" x14ac:dyDescent="0.55000000000000004">
      <c r="A1529" s="592">
        <v>1528</v>
      </c>
      <c r="B1529" s="596" t="s">
        <v>2439</v>
      </c>
      <c r="C1529" s="592" t="s">
        <v>2497</v>
      </c>
      <c r="D1529" s="592">
        <v>1</v>
      </c>
      <c r="E1529" s="597">
        <v>10000</v>
      </c>
      <c r="F1529" s="597">
        <v>10000</v>
      </c>
      <c r="G1529" s="597">
        <v>7500</v>
      </c>
      <c r="H1529" s="592" t="s">
        <v>933</v>
      </c>
    </row>
    <row r="1530" spans="1:8" ht="24.75" customHeight="1" x14ac:dyDescent="0.55000000000000004">
      <c r="A1530" s="592">
        <v>1529</v>
      </c>
      <c r="B1530" s="596" t="s">
        <v>8073</v>
      </c>
      <c r="C1530" s="592" t="s">
        <v>8074</v>
      </c>
      <c r="D1530" s="592">
        <v>1</v>
      </c>
      <c r="E1530" s="597">
        <v>35000</v>
      </c>
      <c r="F1530" s="597">
        <v>35000</v>
      </c>
      <c r="G1530" s="597">
        <v>30000</v>
      </c>
      <c r="H1530" s="592" t="s">
        <v>1397</v>
      </c>
    </row>
    <row r="1531" spans="1:8" ht="24.75" customHeight="1" x14ac:dyDescent="0.55000000000000004">
      <c r="A1531" s="592">
        <v>1530</v>
      </c>
      <c r="B1531" s="596" t="s">
        <v>4511</v>
      </c>
      <c r="C1531" s="592" t="s">
        <v>4512</v>
      </c>
      <c r="D1531" s="592">
        <v>3</v>
      </c>
      <c r="E1531" s="597">
        <v>73000</v>
      </c>
      <c r="F1531" s="597">
        <v>73000</v>
      </c>
      <c r="G1531" s="597">
        <v>208200</v>
      </c>
      <c r="H1531" s="592" t="s">
        <v>1397</v>
      </c>
    </row>
    <row r="1532" spans="1:8" ht="24.75" customHeight="1" x14ac:dyDescent="0.55000000000000004">
      <c r="A1532" s="592">
        <v>1531</v>
      </c>
      <c r="B1532" s="596" t="s">
        <v>4513</v>
      </c>
      <c r="C1532" s="592" t="s">
        <v>4514</v>
      </c>
      <c r="D1532" s="592">
        <v>2</v>
      </c>
      <c r="E1532" s="597">
        <v>200</v>
      </c>
      <c r="F1532" s="597">
        <v>200</v>
      </c>
      <c r="G1532" s="597">
        <v>200</v>
      </c>
      <c r="H1532" s="592" t="s">
        <v>1397</v>
      </c>
    </row>
    <row r="1533" spans="1:8" ht="24.75" customHeight="1" x14ac:dyDescent="0.55000000000000004">
      <c r="A1533" s="592">
        <v>1532</v>
      </c>
      <c r="B1533" s="596" t="s">
        <v>1677</v>
      </c>
      <c r="C1533" s="592" t="s">
        <v>1678</v>
      </c>
      <c r="D1533" s="592">
        <v>3</v>
      </c>
      <c r="E1533" s="597">
        <v>45000</v>
      </c>
      <c r="F1533" s="597">
        <v>45000</v>
      </c>
      <c r="G1533" s="597">
        <v>110154</v>
      </c>
      <c r="H1533" s="592" t="s">
        <v>1397</v>
      </c>
    </row>
    <row r="1534" spans="1:8" ht="24.75" customHeight="1" x14ac:dyDescent="0.55000000000000004">
      <c r="A1534" s="592">
        <v>1533</v>
      </c>
      <c r="B1534" s="596" t="s">
        <v>3041</v>
      </c>
      <c r="C1534" s="592" t="s">
        <v>3042</v>
      </c>
      <c r="D1534" s="592">
        <v>4</v>
      </c>
      <c r="E1534" s="597">
        <v>25000</v>
      </c>
      <c r="F1534" s="597">
        <v>25000</v>
      </c>
      <c r="G1534" s="597">
        <v>61516</v>
      </c>
      <c r="H1534" s="592" t="s">
        <v>1397</v>
      </c>
    </row>
    <row r="1535" spans="1:8" ht="24.75" customHeight="1" x14ac:dyDescent="0.55000000000000004">
      <c r="A1535" s="592">
        <v>1534</v>
      </c>
      <c r="B1535" s="596" t="s">
        <v>7653</v>
      </c>
      <c r="C1535" s="592" t="s">
        <v>7654</v>
      </c>
      <c r="D1535" s="592">
        <v>3</v>
      </c>
      <c r="E1535" s="597">
        <v>13000</v>
      </c>
      <c r="F1535" s="597">
        <v>13000</v>
      </c>
      <c r="G1535" s="597">
        <v>26769</v>
      </c>
      <c r="H1535" s="592" t="s">
        <v>933</v>
      </c>
    </row>
    <row r="1536" spans="1:8" ht="24.75" customHeight="1" x14ac:dyDescent="0.55000000000000004">
      <c r="A1536" s="592">
        <v>1535</v>
      </c>
      <c r="B1536" s="596" t="s">
        <v>4515</v>
      </c>
      <c r="C1536" s="592" t="s">
        <v>4516</v>
      </c>
      <c r="D1536" s="592">
        <v>1</v>
      </c>
      <c r="E1536" s="597">
        <v>16000</v>
      </c>
      <c r="F1536" s="597">
        <v>16000</v>
      </c>
      <c r="G1536" s="597">
        <v>12500</v>
      </c>
      <c r="H1536" s="592" t="s">
        <v>933</v>
      </c>
    </row>
    <row r="1537" spans="1:8" ht="24.75" customHeight="1" x14ac:dyDescent="0.55000000000000004">
      <c r="A1537" s="592">
        <v>1536</v>
      </c>
      <c r="B1537" s="596" t="s">
        <v>4517</v>
      </c>
      <c r="C1537" s="592" t="s">
        <v>4518</v>
      </c>
      <c r="D1537" s="592">
        <v>1</v>
      </c>
      <c r="E1537" s="597">
        <v>7000</v>
      </c>
      <c r="F1537" s="597">
        <v>7000</v>
      </c>
      <c r="G1537" s="597">
        <v>5454</v>
      </c>
      <c r="H1537" s="592" t="s">
        <v>1397</v>
      </c>
    </row>
    <row r="1538" spans="1:8" ht="24.75" customHeight="1" x14ac:dyDescent="0.55000000000000004">
      <c r="A1538" s="592">
        <v>1537</v>
      </c>
      <c r="B1538" s="596" t="s">
        <v>1679</v>
      </c>
      <c r="C1538" s="592" t="s">
        <v>1680</v>
      </c>
      <c r="D1538" s="592">
        <v>16</v>
      </c>
      <c r="E1538" s="597">
        <v>2000</v>
      </c>
      <c r="F1538" s="597">
        <v>2000</v>
      </c>
      <c r="G1538" s="597">
        <v>19872</v>
      </c>
      <c r="H1538" s="592" t="s">
        <v>933</v>
      </c>
    </row>
    <row r="1539" spans="1:8" ht="24.75" customHeight="1" x14ac:dyDescent="0.55000000000000004">
      <c r="A1539" s="592">
        <v>1538</v>
      </c>
      <c r="B1539" s="596" t="s">
        <v>1681</v>
      </c>
      <c r="C1539" s="592" t="s">
        <v>1682</v>
      </c>
      <c r="D1539" s="592">
        <v>13</v>
      </c>
      <c r="E1539" s="597">
        <v>6000</v>
      </c>
      <c r="F1539" s="597">
        <v>6000</v>
      </c>
      <c r="G1539" s="597">
        <v>59085</v>
      </c>
      <c r="H1539" s="592" t="s">
        <v>933</v>
      </c>
    </row>
    <row r="1540" spans="1:8" ht="24.75" customHeight="1" x14ac:dyDescent="0.55000000000000004">
      <c r="A1540" s="592">
        <v>1539</v>
      </c>
      <c r="B1540" s="596" t="s">
        <v>8583</v>
      </c>
      <c r="C1540" s="592" t="s">
        <v>8584</v>
      </c>
      <c r="D1540" s="592">
        <v>1</v>
      </c>
      <c r="E1540" s="597">
        <v>1700</v>
      </c>
      <c r="F1540" s="597">
        <v>1700</v>
      </c>
      <c r="G1540" s="597">
        <v>1115</v>
      </c>
      <c r="H1540" s="592" t="s">
        <v>933</v>
      </c>
    </row>
    <row r="1541" spans="1:8" ht="24.75" customHeight="1" x14ac:dyDescent="0.55000000000000004">
      <c r="A1541" s="592">
        <v>1540</v>
      </c>
      <c r="B1541" s="596" t="s">
        <v>1683</v>
      </c>
      <c r="C1541" s="592" t="s">
        <v>7357</v>
      </c>
      <c r="D1541" s="592">
        <v>2</v>
      </c>
      <c r="E1541" s="597">
        <v>30000</v>
      </c>
      <c r="F1541" s="597">
        <v>30000</v>
      </c>
      <c r="G1541" s="597">
        <v>36804</v>
      </c>
      <c r="H1541" s="592" t="s">
        <v>1397</v>
      </c>
    </row>
    <row r="1542" spans="1:8" ht="24.75" customHeight="1" x14ac:dyDescent="0.55000000000000004">
      <c r="A1542" s="592">
        <v>1541</v>
      </c>
      <c r="B1542" s="596" t="s">
        <v>3184</v>
      </c>
      <c r="C1542" s="592" t="s">
        <v>7358</v>
      </c>
      <c r="D1542" s="592">
        <v>16</v>
      </c>
      <c r="E1542" s="597">
        <v>1000</v>
      </c>
      <c r="F1542" s="597">
        <v>1000</v>
      </c>
      <c r="G1542" s="597">
        <v>9600</v>
      </c>
      <c r="H1542" s="592" t="s">
        <v>1397</v>
      </c>
    </row>
    <row r="1543" spans="1:8" ht="24.75" customHeight="1" x14ac:dyDescent="0.55000000000000004">
      <c r="A1543" s="592">
        <v>1542</v>
      </c>
      <c r="B1543" s="596" t="s">
        <v>8075</v>
      </c>
      <c r="C1543" s="592" t="s">
        <v>8076</v>
      </c>
      <c r="D1543" s="592">
        <v>8</v>
      </c>
      <c r="E1543" s="597">
        <v>25000</v>
      </c>
      <c r="F1543" s="597">
        <v>25000</v>
      </c>
      <c r="G1543" s="597">
        <v>141688</v>
      </c>
      <c r="H1543" s="592" t="s">
        <v>933</v>
      </c>
    </row>
    <row r="1544" spans="1:8" ht="24.75" customHeight="1" x14ac:dyDescent="0.55000000000000004">
      <c r="A1544" s="592">
        <v>1543</v>
      </c>
      <c r="B1544" s="596" t="s">
        <v>4519</v>
      </c>
      <c r="C1544" s="592" t="s">
        <v>4520</v>
      </c>
      <c r="D1544" s="592">
        <v>10</v>
      </c>
      <c r="E1544" s="597">
        <v>500</v>
      </c>
      <c r="F1544" s="597">
        <v>500</v>
      </c>
      <c r="G1544" s="597">
        <v>2580</v>
      </c>
      <c r="H1544" s="592" t="s">
        <v>1397</v>
      </c>
    </row>
    <row r="1545" spans="1:8" ht="24.75" customHeight="1" x14ac:dyDescent="0.55000000000000004">
      <c r="A1545" s="592">
        <v>1544</v>
      </c>
      <c r="B1545" s="596" t="s">
        <v>2834</v>
      </c>
      <c r="C1545" s="592" t="s">
        <v>2835</v>
      </c>
      <c r="D1545" s="592">
        <v>15</v>
      </c>
      <c r="E1545" s="597">
        <v>1000</v>
      </c>
      <c r="F1545" s="597">
        <v>1000</v>
      </c>
      <c r="G1545" s="597">
        <v>8325</v>
      </c>
      <c r="H1545" s="592" t="s">
        <v>933</v>
      </c>
    </row>
    <row r="1546" spans="1:8" ht="24.75" customHeight="1" x14ac:dyDescent="0.55000000000000004">
      <c r="A1546" s="592">
        <v>1545</v>
      </c>
      <c r="B1546" s="596" t="s">
        <v>1684</v>
      </c>
      <c r="C1546" s="592" t="s">
        <v>1685</v>
      </c>
      <c r="D1546" s="592">
        <v>5</v>
      </c>
      <c r="E1546" s="597">
        <v>8000</v>
      </c>
      <c r="F1546" s="597">
        <v>8000</v>
      </c>
      <c r="G1546" s="597">
        <v>23000</v>
      </c>
      <c r="H1546" s="592" t="s">
        <v>933</v>
      </c>
    </row>
    <row r="1547" spans="1:8" ht="24.75" customHeight="1" x14ac:dyDescent="0.55000000000000004">
      <c r="A1547" s="592">
        <v>1546</v>
      </c>
      <c r="B1547" s="596" t="s">
        <v>7088</v>
      </c>
      <c r="C1547" s="592" t="s">
        <v>7089</v>
      </c>
      <c r="D1547" s="592">
        <v>1</v>
      </c>
      <c r="E1547" s="597">
        <v>30000</v>
      </c>
      <c r="F1547" s="597">
        <v>30000</v>
      </c>
      <c r="G1547" s="597">
        <v>25000</v>
      </c>
      <c r="H1547" s="592" t="s">
        <v>1397</v>
      </c>
    </row>
    <row r="1548" spans="1:8" ht="24.75" customHeight="1" x14ac:dyDescent="0.55000000000000004">
      <c r="A1548" s="592">
        <v>1547</v>
      </c>
      <c r="B1548" s="596" t="s">
        <v>7657</v>
      </c>
      <c r="C1548" s="592" t="s">
        <v>7658</v>
      </c>
      <c r="D1548" s="592">
        <v>28</v>
      </c>
      <c r="E1548" s="597">
        <v>27000</v>
      </c>
      <c r="F1548" s="597">
        <v>27000</v>
      </c>
      <c r="G1548" s="597">
        <v>658924</v>
      </c>
      <c r="H1548" s="592" t="s">
        <v>933</v>
      </c>
    </row>
    <row r="1549" spans="1:8" ht="24.75" customHeight="1" x14ac:dyDescent="0.55000000000000004">
      <c r="A1549" s="592">
        <v>1548</v>
      </c>
      <c r="B1549" s="596" t="s">
        <v>8077</v>
      </c>
      <c r="C1549" s="592" t="s">
        <v>8585</v>
      </c>
      <c r="D1549" s="592">
        <v>13</v>
      </c>
      <c r="E1549" s="597">
        <v>32000</v>
      </c>
      <c r="F1549" s="597">
        <v>32000</v>
      </c>
      <c r="G1549" s="597">
        <v>370500</v>
      </c>
      <c r="H1549" s="592" t="s">
        <v>1397</v>
      </c>
    </row>
    <row r="1550" spans="1:8" ht="24.75" customHeight="1" x14ac:dyDescent="0.55000000000000004">
      <c r="A1550" s="592">
        <v>1549</v>
      </c>
      <c r="B1550" s="596" t="s">
        <v>4521</v>
      </c>
      <c r="C1550" s="592" t="s">
        <v>4522</v>
      </c>
      <c r="D1550" s="592">
        <v>1</v>
      </c>
      <c r="E1550" s="597">
        <v>63000</v>
      </c>
      <c r="F1550" s="597">
        <v>63000</v>
      </c>
      <c r="G1550" s="597">
        <v>56200</v>
      </c>
      <c r="H1550" s="592" t="s">
        <v>933</v>
      </c>
    </row>
    <row r="1551" spans="1:8" ht="24.75" customHeight="1" x14ac:dyDescent="0.55000000000000004">
      <c r="A1551" s="592">
        <v>1550</v>
      </c>
      <c r="B1551" s="596" t="s">
        <v>4523</v>
      </c>
      <c r="C1551" s="592" t="s">
        <v>4524</v>
      </c>
      <c r="D1551" s="592">
        <v>1</v>
      </c>
      <c r="E1551" s="597">
        <v>6000</v>
      </c>
      <c r="F1551" s="597">
        <v>6000</v>
      </c>
      <c r="G1551" s="597">
        <v>3448</v>
      </c>
      <c r="H1551" s="592" t="s">
        <v>1397</v>
      </c>
    </row>
    <row r="1552" spans="1:8" ht="24.75" customHeight="1" x14ac:dyDescent="0.55000000000000004">
      <c r="A1552" s="592">
        <v>1551</v>
      </c>
      <c r="B1552" s="596" t="s">
        <v>4525</v>
      </c>
      <c r="C1552" s="592" t="s">
        <v>4526</v>
      </c>
      <c r="D1552" s="592">
        <v>2</v>
      </c>
      <c r="E1552" s="597">
        <v>11000</v>
      </c>
      <c r="F1552" s="597">
        <v>11000</v>
      </c>
      <c r="G1552" s="597">
        <v>15150</v>
      </c>
      <c r="H1552" s="592" t="s">
        <v>1397</v>
      </c>
    </row>
    <row r="1553" spans="1:8" ht="24.75" customHeight="1" x14ac:dyDescent="0.55000000000000004">
      <c r="A1553" s="592">
        <v>1552</v>
      </c>
      <c r="B1553" s="596" t="s">
        <v>4527</v>
      </c>
      <c r="C1553" s="592" t="s">
        <v>4528</v>
      </c>
      <c r="D1553" s="592">
        <v>1</v>
      </c>
      <c r="E1553" s="597">
        <v>29500</v>
      </c>
      <c r="F1553" s="597">
        <v>29500</v>
      </c>
      <c r="G1553" s="597">
        <v>22000</v>
      </c>
      <c r="H1553" s="592" t="s">
        <v>933</v>
      </c>
    </row>
    <row r="1554" spans="1:8" ht="24.75" customHeight="1" x14ac:dyDescent="0.55000000000000004">
      <c r="A1554" s="592">
        <v>1553</v>
      </c>
      <c r="B1554" s="596" t="s">
        <v>4529</v>
      </c>
      <c r="C1554" s="592" t="s">
        <v>4530</v>
      </c>
      <c r="D1554" s="592">
        <v>2</v>
      </c>
      <c r="E1554" s="597">
        <v>8300</v>
      </c>
      <c r="F1554" s="597">
        <v>8300</v>
      </c>
      <c r="G1554" s="597">
        <v>9000</v>
      </c>
      <c r="H1554" s="592" t="s">
        <v>1397</v>
      </c>
    </row>
    <row r="1555" spans="1:8" ht="24.75" customHeight="1" x14ac:dyDescent="0.55000000000000004">
      <c r="A1555" s="592">
        <v>1554</v>
      </c>
      <c r="B1555" s="596" t="s">
        <v>4531</v>
      </c>
      <c r="C1555" s="592" t="s">
        <v>4532</v>
      </c>
      <c r="D1555" s="592">
        <v>2</v>
      </c>
      <c r="E1555" s="597">
        <v>15000</v>
      </c>
      <c r="F1555" s="597">
        <v>15000</v>
      </c>
      <c r="G1555" s="597">
        <v>19000</v>
      </c>
      <c r="H1555" s="592" t="s">
        <v>1397</v>
      </c>
    </row>
    <row r="1556" spans="1:8" ht="24.75" customHeight="1" x14ac:dyDescent="0.55000000000000004">
      <c r="A1556" s="592">
        <v>1555</v>
      </c>
      <c r="B1556" s="596" t="s">
        <v>4533</v>
      </c>
      <c r="C1556" s="592" t="s">
        <v>4534</v>
      </c>
      <c r="D1556" s="592">
        <v>2</v>
      </c>
      <c r="E1556" s="597">
        <v>8400</v>
      </c>
      <c r="F1556" s="597">
        <v>8400</v>
      </c>
      <c r="G1556" s="597">
        <v>7000</v>
      </c>
      <c r="H1556" s="592" t="s">
        <v>1397</v>
      </c>
    </row>
    <row r="1557" spans="1:8" ht="24.75" customHeight="1" x14ac:dyDescent="0.55000000000000004">
      <c r="A1557" s="592">
        <v>1556</v>
      </c>
      <c r="B1557" s="596" t="s">
        <v>7359</v>
      </c>
      <c r="C1557" s="592" t="s">
        <v>7360</v>
      </c>
      <c r="D1557" s="592">
        <v>1</v>
      </c>
      <c r="E1557" s="597">
        <v>58000</v>
      </c>
      <c r="F1557" s="597">
        <v>58000</v>
      </c>
      <c r="G1557" s="597">
        <v>44700</v>
      </c>
      <c r="H1557" s="592" t="s">
        <v>1397</v>
      </c>
    </row>
    <row r="1558" spans="1:8" ht="24.75" customHeight="1" x14ac:dyDescent="0.55000000000000004">
      <c r="A1558" s="592">
        <v>1557</v>
      </c>
      <c r="B1558" s="596" t="s">
        <v>6565</v>
      </c>
      <c r="C1558" s="592" t="s">
        <v>6566</v>
      </c>
      <c r="D1558" s="592">
        <v>12</v>
      </c>
      <c r="E1558" s="597">
        <v>42000</v>
      </c>
      <c r="F1558" s="597">
        <v>42000</v>
      </c>
      <c r="G1558" s="597">
        <v>396000</v>
      </c>
      <c r="H1558" s="592" t="s">
        <v>1397</v>
      </c>
    </row>
    <row r="1559" spans="1:8" ht="24.75" customHeight="1" x14ac:dyDescent="0.55000000000000004">
      <c r="A1559" s="592">
        <v>1558</v>
      </c>
      <c r="B1559" s="596" t="s">
        <v>3346</v>
      </c>
      <c r="C1559" s="592" t="s">
        <v>3347</v>
      </c>
      <c r="D1559" s="592">
        <v>2</v>
      </c>
      <c r="E1559" s="597">
        <v>45000</v>
      </c>
      <c r="F1559" s="597">
        <v>45000</v>
      </c>
      <c r="G1559" s="597">
        <v>70000</v>
      </c>
      <c r="H1559" s="592" t="s">
        <v>1397</v>
      </c>
    </row>
    <row r="1560" spans="1:8" ht="24.75" customHeight="1" x14ac:dyDescent="0.55000000000000004">
      <c r="A1560" s="592">
        <v>1559</v>
      </c>
      <c r="B1560" s="596" t="s">
        <v>4535</v>
      </c>
      <c r="C1560" s="592" t="s">
        <v>4536</v>
      </c>
      <c r="D1560" s="592">
        <v>24</v>
      </c>
      <c r="E1560" s="597">
        <v>1500</v>
      </c>
      <c r="F1560" s="597">
        <v>1500</v>
      </c>
      <c r="G1560" s="597">
        <v>12000</v>
      </c>
      <c r="H1560" s="592" t="s">
        <v>1397</v>
      </c>
    </row>
    <row r="1561" spans="1:8" ht="24.75" customHeight="1" x14ac:dyDescent="0.55000000000000004">
      <c r="A1561" s="592">
        <v>1560</v>
      </c>
      <c r="B1561" s="596" t="s">
        <v>4537</v>
      </c>
      <c r="C1561" s="592" t="s">
        <v>4538</v>
      </c>
      <c r="D1561" s="592">
        <v>35</v>
      </c>
      <c r="E1561" s="597">
        <v>1000</v>
      </c>
      <c r="F1561" s="597">
        <v>1000</v>
      </c>
      <c r="G1561" s="597">
        <v>10500</v>
      </c>
      <c r="H1561" s="592" t="s">
        <v>1397</v>
      </c>
    </row>
    <row r="1562" spans="1:8" ht="24.75" customHeight="1" x14ac:dyDescent="0.55000000000000004">
      <c r="A1562" s="592">
        <v>1561</v>
      </c>
      <c r="B1562" s="596" t="s">
        <v>4539</v>
      </c>
      <c r="C1562" s="592" t="s">
        <v>4540</v>
      </c>
      <c r="D1562" s="592">
        <v>1</v>
      </c>
      <c r="E1562" s="597">
        <v>35000</v>
      </c>
      <c r="F1562" s="597">
        <v>35000</v>
      </c>
      <c r="G1562" s="597">
        <v>28000</v>
      </c>
      <c r="H1562" s="592" t="s">
        <v>1397</v>
      </c>
    </row>
    <row r="1563" spans="1:8" ht="24.75" customHeight="1" x14ac:dyDescent="0.55000000000000004">
      <c r="A1563" s="592">
        <v>1562</v>
      </c>
      <c r="B1563" s="596" t="s">
        <v>4541</v>
      </c>
      <c r="C1563" s="592" t="s">
        <v>4542</v>
      </c>
      <c r="D1563" s="592">
        <v>1</v>
      </c>
      <c r="E1563" s="597">
        <v>162000</v>
      </c>
      <c r="F1563" s="597">
        <v>162000</v>
      </c>
      <c r="G1563" s="597">
        <v>105000</v>
      </c>
      <c r="H1563" s="592" t="s">
        <v>1397</v>
      </c>
    </row>
    <row r="1564" spans="1:8" ht="24.75" customHeight="1" x14ac:dyDescent="0.55000000000000004">
      <c r="A1564" s="592">
        <v>1563</v>
      </c>
      <c r="B1564" s="596" t="s">
        <v>4543</v>
      </c>
      <c r="C1564" s="592" t="s">
        <v>7659</v>
      </c>
      <c r="D1564" s="592">
        <v>1</v>
      </c>
      <c r="E1564" s="597">
        <v>11000</v>
      </c>
      <c r="F1564" s="597">
        <v>11000</v>
      </c>
      <c r="G1564" s="597">
        <v>7000</v>
      </c>
      <c r="H1564" s="592" t="s">
        <v>1397</v>
      </c>
    </row>
    <row r="1565" spans="1:8" ht="24.75" customHeight="1" x14ac:dyDescent="0.55000000000000004">
      <c r="A1565" s="592">
        <v>1564</v>
      </c>
      <c r="B1565" s="596" t="s">
        <v>4544</v>
      </c>
      <c r="C1565" s="592" t="s">
        <v>4545</v>
      </c>
      <c r="D1565" s="592">
        <v>1</v>
      </c>
      <c r="E1565" s="597">
        <v>4000</v>
      </c>
      <c r="F1565" s="597">
        <v>4000</v>
      </c>
      <c r="G1565" s="597">
        <v>2200</v>
      </c>
      <c r="H1565" s="592" t="s">
        <v>1397</v>
      </c>
    </row>
    <row r="1566" spans="1:8" ht="24.75" customHeight="1" x14ac:dyDescent="0.55000000000000004">
      <c r="A1566" s="592">
        <v>1565</v>
      </c>
      <c r="B1566" s="596" t="s">
        <v>3156</v>
      </c>
      <c r="C1566" s="592" t="s">
        <v>7361</v>
      </c>
      <c r="D1566" s="592">
        <v>10</v>
      </c>
      <c r="E1566" s="597">
        <v>7500</v>
      </c>
      <c r="F1566" s="597">
        <v>7500</v>
      </c>
      <c r="G1566" s="597">
        <v>56000</v>
      </c>
      <c r="H1566" s="592" t="s">
        <v>1397</v>
      </c>
    </row>
    <row r="1567" spans="1:8" ht="24.75" customHeight="1" x14ac:dyDescent="0.55000000000000004">
      <c r="A1567" s="592">
        <v>1566</v>
      </c>
      <c r="B1567" s="596" t="s">
        <v>4547</v>
      </c>
      <c r="C1567" s="592" t="s">
        <v>4548</v>
      </c>
      <c r="D1567" s="592">
        <v>4</v>
      </c>
      <c r="E1567" s="597">
        <v>34000</v>
      </c>
      <c r="F1567" s="597">
        <v>34000</v>
      </c>
      <c r="G1567" s="597">
        <v>88000</v>
      </c>
      <c r="H1567" s="592" t="s">
        <v>1397</v>
      </c>
    </row>
    <row r="1568" spans="1:8" ht="24.75" customHeight="1" x14ac:dyDescent="0.55000000000000004">
      <c r="A1568" s="592">
        <v>1567</v>
      </c>
      <c r="B1568" s="596" t="s">
        <v>3348</v>
      </c>
      <c r="C1568" s="592" t="s">
        <v>3349</v>
      </c>
      <c r="D1568" s="592">
        <v>1</v>
      </c>
      <c r="E1568" s="597">
        <v>19500</v>
      </c>
      <c r="F1568" s="597">
        <v>19500</v>
      </c>
      <c r="G1568" s="597">
        <v>12800</v>
      </c>
      <c r="H1568" s="592" t="s">
        <v>1397</v>
      </c>
    </row>
    <row r="1569" spans="1:8" ht="24.75" customHeight="1" x14ac:dyDescent="0.55000000000000004">
      <c r="A1569" s="592">
        <v>1568</v>
      </c>
      <c r="B1569" s="596" t="s">
        <v>3350</v>
      </c>
      <c r="C1569" s="592" t="s">
        <v>3351</v>
      </c>
      <c r="D1569" s="592">
        <v>3</v>
      </c>
      <c r="E1569" s="597">
        <v>10000</v>
      </c>
      <c r="F1569" s="597">
        <v>10000</v>
      </c>
      <c r="G1569" s="597">
        <v>18000</v>
      </c>
      <c r="H1569" s="592" t="s">
        <v>1397</v>
      </c>
    </row>
    <row r="1570" spans="1:8" ht="24.75" customHeight="1" x14ac:dyDescent="0.55000000000000004">
      <c r="A1570" s="592">
        <v>1569</v>
      </c>
      <c r="B1570" s="596" t="s">
        <v>4549</v>
      </c>
      <c r="C1570" s="592" t="s">
        <v>4550</v>
      </c>
      <c r="D1570" s="592">
        <v>3</v>
      </c>
      <c r="E1570" s="597">
        <v>1700</v>
      </c>
      <c r="F1570" s="597">
        <v>1700</v>
      </c>
      <c r="G1570" s="597">
        <v>2250</v>
      </c>
      <c r="H1570" s="592" t="s">
        <v>1397</v>
      </c>
    </row>
    <row r="1571" spans="1:8" ht="24.75" customHeight="1" x14ac:dyDescent="0.55000000000000004">
      <c r="A1571" s="592">
        <v>1570</v>
      </c>
      <c r="B1571" s="596" t="s">
        <v>4551</v>
      </c>
      <c r="C1571" s="592" t="s">
        <v>7362</v>
      </c>
      <c r="D1571" s="592">
        <v>3</v>
      </c>
      <c r="E1571" s="597">
        <v>6500</v>
      </c>
      <c r="F1571" s="597">
        <v>6500</v>
      </c>
      <c r="G1571" s="597">
        <v>15378</v>
      </c>
      <c r="H1571" s="592" t="s">
        <v>1397</v>
      </c>
    </row>
    <row r="1572" spans="1:8" ht="24.75" customHeight="1" x14ac:dyDescent="0.55000000000000004">
      <c r="A1572" s="592">
        <v>1571</v>
      </c>
      <c r="B1572" s="596" t="s">
        <v>8078</v>
      </c>
      <c r="C1572" s="592" t="s">
        <v>8079</v>
      </c>
      <c r="D1572" s="592">
        <v>5</v>
      </c>
      <c r="E1572" s="597">
        <v>9500</v>
      </c>
      <c r="F1572" s="597">
        <v>9500</v>
      </c>
      <c r="G1572" s="597">
        <v>32645</v>
      </c>
      <c r="H1572" s="592" t="s">
        <v>1397</v>
      </c>
    </row>
    <row r="1573" spans="1:8" ht="24.75" customHeight="1" x14ac:dyDescent="0.55000000000000004">
      <c r="A1573" s="592">
        <v>1572</v>
      </c>
      <c r="B1573" s="596" t="s">
        <v>2309</v>
      </c>
      <c r="C1573" s="592" t="s">
        <v>2836</v>
      </c>
      <c r="D1573" s="592">
        <v>11</v>
      </c>
      <c r="E1573" s="597">
        <v>13000</v>
      </c>
      <c r="F1573" s="597">
        <v>13000</v>
      </c>
      <c r="G1573" s="597">
        <v>68200</v>
      </c>
      <c r="H1573" s="592" t="s">
        <v>1397</v>
      </c>
    </row>
    <row r="1574" spans="1:8" ht="24.75" customHeight="1" x14ac:dyDescent="0.55000000000000004">
      <c r="A1574" s="592">
        <v>1573</v>
      </c>
      <c r="B1574" s="596" t="s">
        <v>6346</v>
      </c>
      <c r="C1574" s="592" t="s">
        <v>6347</v>
      </c>
      <c r="D1574" s="592">
        <v>1</v>
      </c>
      <c r="E1574" s="597">
        <v>6000</v>
      </c>
      <c r="F1574" s="597">
        <v>6000</v>
      </c>
      <c r="G1574" s="597">
        <v>4000</v>
      </c>
      <c r="H1574" s="592" t="s">
        <v>1397</v>
      </c>
    </row>
    <row r="1575" spans="1:8" ht="24.75" customHeight="1" x14ac:dyDescent="0.55000000000000004">
      <c r="A1575" s="592">
        <v>1574</v>
      </c>
      <c r="B1575" s="596" t="s">
        <v>4552</v>
      </c>
      <c r="C1575" s="592" t="s">
        <v>4553</v>
      </c>
      <c r="D1575" s="592">
        <v>2</v>
      </c>
      <c r="E1575" s="597">
        <v>35000</v>
      </c>
      <c r="F1575" s="597">
        <v>35000</v>
      </c>
      <c r="G1575" s="597">
        <v>54000</v>
      </c>
      <c r="H1575" s="592" t="s">
        <v>1397</v>
      </c>
    </row>
    <row r="1576" spans="1:8" ht="24.75" customHeight="1" x14ac:dyDescent="0.55000000000000004">
      <c r="A1576" s="592">
        <v>1575</v>
      </c>
      <c r="B1576" s="596" t="s">
        <v>4554</v>
      </c>
      <c r="C1576" s="592" t="s">
        <v>4555</v>
      </c>
      <c r="D1576" s="592">
        <v>4</v>
      </c>
      <c r="E1576" s="597">
        <v>2000</v>
      </c>
      <c r="F1576" s="597">
        <v>2000</v>
      </c>
      <c r="G1576" s="597">
        <v>6000</v>
      </c>
      <c r="H1576" s="592" t="s">
        <v>1397</v>
      </c>
    </row>
    <row r="1577" spans="1:8" ht="24.75" customHeight="1" x14ac:dyDescent="0.55000000000000004">
      <c r="A1577" s="592">
        <v>1576</v>
      </c>
      <c r="B1577" s="596" t="s">
        <v>4556</v>
      </c>
      <c r="C1577" s="592" t="s">
        <v>4557</v>
      </c>
      <c r="D1577" s="592">
        <v>1</v>
      </c>
      <c r="E1577" s="597">
        <v>200</v>
      </c>
      <c r="F1577" s="597">
        <v>200</v>
      </c>
      <c r="G1577" s="597">
        <v>100</v>
      </c>
      <c r="H1577" s="592" t="s">
        <v>1397</v>
      </c>
    </row>
    <row r="1578" spans="1:8" ht="24.75" customHeight="1" x14ac:dyDescent="0.55000000000000004">
      <c r="A1578" s="592">
        <v>1577</v>
      </c>
      <c r="B1578" s="596" t="s">
        <v>3062</v>
      </c>
      <c r="C1578" s="592" t="s">
        <v>3063</v>
      </c>
      <c r="D1578" s="592">
        <v>12</v>
      </c>
      <c r="E1578" s="597">
        <v>18000</v>
      </c>
      <c r="F1578" s="597">
        <v>18000</v>
      </c>
      <c r="G1578" s="597">
        <v>188400</v>
      </c>
      <c r="H1578" s="592" t="s">
        <v>1397</v>
      </c>
    </row>
    <row r="1579" spans="1:8" ht="24.75" customHeight="1" x14ac:dyDescent="0.55000000000000004">
      <c r="A1579" s="592">
        <v>1578</v>
      </c>
      <c r="B1579" s="596" t="s">
        <v>1686</v>
      </c>
      <c r="C1579" s="592" t="s">
        <v>7363</v>
      </c>
      <c r="D1579" s="592">
        <v>18</v>
      </c>
      <c r="E1579" s="597">
        <v>3500</v>
      </c>
      <c r="F1579" s="597">
        <v>3500</v>
      </c>
      <c r="G1579" s="597">
        <v>47700</v>
      </c>
      <c r="H1579" s="592" t="s">
        <v>1397</v>
      </c>
    </row>
    <row r="1580" spans="1:8" ht="24.75" customHeight="1" x14ac:dyDescent="0.55000000000000004">
      <c r="A1580" s="592">
        <v>1579</v>
      </c>
      <c r="B1580" s="596" t="s">
        <v>3271</v>
      </c>
      <c r="C1580" s="592" t="s">
        <v>7364</v>
      </c>
      <c r="D1580" s="592">
        <v>5</v>
      </c>
      <c r="E1580" s="597">
        <v>26000</v>
      </c>
      <c r="F1580" s="597">
        <v>26000</v>
      </c>
      <c r="G1580" s="597">
        <v>119165</v>
      </c>
      <c r="H1580" s="592" t="s">
        <v>1397</v>
      </c>
    </row>
    <row r="1581" spans="1:8" ht="24.75" customHeight="1" x14ac:dyDescent="0.55000000000000004">
      <c r="A1581" s="592">
        <v>1580</v>
      </c>
      <c r="B1581" s="596" t="s">
        <v>3010</v>
      </c>
      <c r="C1581" s="592" t="s">
        <v>7365</v>
      </c>
      <c r="D1581" s="592">
        <v>5</v>
      </c>
      <c r="E1581" s="597">
        <v>1500</v>
      </c>
      <c r="F1581" s="597">
        <v>1500</v>
      </c>
      <c r="G1581" s="597">
        <v>4500</v>
      </c>
      <c r="H1581" s="592" t="s">
        <v>1397</v>
      </c>
    </row>
    <row r="1582" spans="1:8" ht="24.75" customHeight="1" x14ac:dyDescent="0.55000000000000004">
      <c r="A1582" s="592">
        <v>1581</v>
      </c>
      <c r="B1582" s="596" t="s">
        <v>2498</v>
      </c>
      <c r="C1582" s="592" t="s">
        <v>2499</v>
      </c>
      <c r="D1582" s="592">
        <v>13</v>
      </c>
      <c r="E1582" s="597">
        <v>1200</v>
      </c>
      <c r="F1582" s="597">
        <v>1200</v>
      </c>
      <c r="G1582" s="597">
        <v>8450</v>
      </c>
      <c r="H1582" s="592" t="s">
        <v>1397</v>
      </c>
    </row>
    <row r="1583" spans="1:8" ht="24.75" customHeight="1" x14ac:dyDescent="0.55000000000000004">
      <c r="A1583" s="592">
        <v>1582</v>
      </c>
      <c r="B1583" s="596" t="s">
        <v>1687</v>
      </c>
      <c r="C1583" s="592" t="s">
        <v>1688</v>
      </c>
      <c r="D1583" s="592">
        <v>28</v>
      </c>
      <c r="E1583" s="597">
        <v>400</v>
      </c>
      <c r="F1583" s="597">
        <v>400</v>
      </c>
      <c r="G1583" s="597">
        <v>9100</v>
      </c>
      <c r="H1583" s="592" t="s">
        <v>1397</v>
      </c>
    </row>
    <row r="1584" spans="1:8" ht="24.75" customHeight="1" x14ac:dyDescent="0.55000000000000004">
      <c r="A1584" s="592">
        <v>1583</v>
      </c>
      <c r="B1584" s="596" t="s">
        <v>4558</v>
      </c>
      <c r="C1584" s="592" t="s">
        <v>6567</v>
      </c>
      <c r="D1584" s="592">
        <v>1</v>
      </c>
      <c r="E1584" s="597">
        <v>4000</v>
      </c>
      <c r="F1584" s="597">
        <v>4000</v>
      </c>
      <c r="G1584" s="597">
        <v>3000</v>
      </c>
      <c r="H1584" s="592" t="s">
        <v>1397</v>
      </c>
    </row>
    <row r="1585" spans="1:8" ht="24.75" customHeight="1" x14ac:dyDescent="0.55000000000000004">
      <c r="A1585" s="592">
        <v>1584</v>
      </c>
      <c r="B1585" s="596" t="s">
        <v>4559</v>
      </c>
      <c r="C1585" s="592" t="s">
        <v>4560</v>
      </c>
      <c r="D1585" s="592">
        <v>12</v>
      </c>
      <c r="E1585" s="597">
        <v>2000</v>
      </c>
      <c r="F1585" s="597">
        <v>2000</v>
      </c>
      <c r="G1585" s="597">
        <v>14400</v>
      </c>
      <c r="H1585" s="592" t="s">
        <v>1397</v>
      </c>
    </row>
    <row r="1586" spans="1:8" ht="24.75" customHeight="1" x14ac:dyDescent="0.55000000000000004">
      <c r="A1586" s="592">
        <v>1585</v>
      </c>
      <c r="B1586" s="596" t="s">
        <v>1689</v>
      </c>
      <c r="C1586" s="592" t="s">
        <v>1690</v>
      </c>
      <c r="D1586" s="592">
        <v>2</v>
      </c>
      <c r="E1586" s="597">
        <v>1500</v>
      </c>
      <c r="F1586" s="597">
        <v>1500</v>
      </c>
      <c r="G1586" s="597">
        <v>1600</v>
      </c>
      <c r="H1586" s="592" t="s">
        <v>1397</v>
      </c>
    </row>
    <row r="1587" spans="1:8" ht="24.75" customHeight="1" x14ac:dyDescent="0.55000000000000004">
      <c r="A1587" s="592">
        <v>1586</v>
      </c>
      <c r="B1587" s="596" t="s">
        <v>3439</v>
      </c>
      <c r="C1587" s="592" t="s">
        <v>3440</v>
      </c>
      <c r="D1587" s="592">
        <v>6</v>
      </c>
      <c r="E1587" s="597">
        <v>2500</v>
      </c>
      <c r="F1587" s="597">
        <v>2500</v>
      </c>
      <c r="G1587" s="597">
        <v>12000</v>
      </c>
      <c r="H1587" s="592" t="s">
        <v>1397</v>
      </c>
    </row>
    <row r="1588" spans="1:8" ht="24.75" customHeight="1" x14ac:dyDescent="0.55000000000000004">
      <c r="A1588" s="592">
        <v>1587</v>
      </c>
      <c r="B1588" s="596" t="s">
        <v>2500</v>
      </c>
      <c r="C1588" s="592" t="s">
        <v>2501</v>
      </c>
      <c r="D1588" s="592">
        <v>20</v>
      </c>
      <c r="E1588" s="597">
        <v>300</v>
      </c>
      <c r="F1588" s="597">
        <v>300</v>
      </c>
      <c r="G1588" s="597">
        <v>4000</v>
      </c>
      <c r="H1588" s="592" t="s">
        <v>1397</v>
      </c>
    </row>
    <row r="1589" spans="1:8" ht="24.75" customHeight="1" x14ac:dyDescent="0.55000000000000004">
      <c r="A1589" s="592">
        <v>1588</v>
      </c>
      <c r="B1589" s="596" t="s">
        <v>2367</v>
      </c>
      <c r="C1589" s="592" t="s">
        <v>2368</v>
      </c>
      <c r="D1589" s="592">
        <v>1</v>
      </c>
      <c r="E1589" s="597">
        <v>1700</v>
      </c>
      <c r="F1589" s="597">
        <v>1700</v>
      </c>
      <c r="G1589" s="597">
        <v>700</v>
      </c>
      <c r="H1589" s="592" t="s">
        <v>1397</v>
      </c>
    </row>
    <row r="1590" spans="1:8" ht="24.75" customHeight="1" x14ac:dyDescent="0.55000000000000004">
      <c r="A1590" s="592">
        <v>1589</v>
      </c>
      <c r="B1590" s="596" t="s">
        <v>4561</v>
      </c>
      <c r="C1590" s="592" t="s">
        <v>4562</v>
      </c>
      <c r="D1590" s="592">
        <v>1</v>
      </c>
      <c r="E1590" s="597">
        <v>11500</v>
      </c>
      <c r="F1590" s="597">
        <v>11500</v>
      </c>
      <c r="G1590" s="597">
        <v>9000</v>
      </c>
      <c r="H1590" s="592" t="s">
        <v>1397</v>
      </c>
    </row>
    <row r="1591" spans="1:8" ht="24.75" customHeight="1" x14ac:dyDescent="0.55000000000000004">
      <c r="A1591" s="592">
        <v>1590</v>
      </c>
      <c r="B1591" s="596" t="s">
        <v>4563</v>
      </c>
      <c r="C1591" s="592" t="s">
        <v>8265</v>
      </c>
      <c r="D1591" s="592">
        <v>3</v>
      </c>
      <c r="E1591" s="597">
        <v>4000</v>
      </c>
      <c r="F1591" s="597">
        <v>4000</v>
      </c>
      <c r="G1591" s="597">
        <v>8400</v>
      </c>
      <c r="H1591" s="592" t="s">
        <v>1397</v>
      </c>
    </row>
    <row r="1592" spans="1:8" ht="24.75" customHeight="1" x14ac:dyDescent="0.55000000000000004">
      <c r="A1592" s="592">
        <v>1591</v>
      </c>
      <c r="B1592" s="596" t="s">
        <v>1691</v>
      </c>
      <c r="C1592" s="592" t="s">
        <v>1032</v>
      </c>
      <c r="D1592" s="592">
        <v>8</v>
      </c>
      <c r="E1592" s="597">
        <v>2500</v>
      </c>
      <c r="F1592" s="597">
        <v>2500</v>
      </c>
      <c r="G1592" s="597">
        <v>14000</v>
      </c>
      <c r="H1592" s="592" t="s">
        <v>1397</v>
      </c>
    </row>
    <row r="1593" spans="1:8" ht="24.75" customHeight="1" x14ac:dyDescent="0.55000000000000004">
      <c r="A1593" s="592">
        <v>1592</v>
      </c>
      <c r="B1593" s="596" t="s">
        <v>4564</v>
      </c>
      <c r="C1593" s="592" t="s">
        <v>4565</v>
      </c>
      <c r="D1593" s="592">
        <v>1</v>
      </c>
      <c r="E1593" s="597">
        <v>1800</v>
      </c>
      <c r="F1593" s="597">
        <v>1800</v>
      </c>
      <c r="G1593" s="597">
        <v>1300</v>
      </c>
      <c r="H1593" s="592" t="s">
        <v>1397</v>
      </c>
    </row>
    <row r="1594" spans="1:8" ht="24.75" customHeight="1" x14ac:dyDescent="0.55000000000000004">
      <c r="A1594" s="592">
        <v>1593</v>
      </c>
      <c r="B1594" s="596" t="s">
        <v>1692</v>
      </c>
      <c r="C1594" s="592" t="s">
        <v>1044</v>
      </c>
      <c r="D1594" s="592">
        <v>13</v>
      </c>
      <c r="E1594" s="597">
        <v>2000</v>
      </c>
      <c r="F1594" s="597">
        <v>2000</v>
      </c>
      <c r="G1594" s="597">
        <v>15600</v>
      </c>
      <c r="H1594" s="592" t="s">
        <v>1397</v>
      </c>
    </row>
    <row r="1595" spans="1:8" ht="24.75" customHeight="1" x14ac:dyDescent="0.55000000000000004">
      <c r="A1595" s="592">
        <v>1594</v>
      </c>
      <c r="B1595" s="596" t="s">
        <v>3157</v>
      </c>
      <c r="C1595" s="592" t="s">
        <v>3158</v>
      </c>
      <c r="D1595" s="592">
        <v>1</v>
      </c>
      <c r="E1595" s="597">
        <v>5000</v>
      </c>
      <c r="F1595" s="597">
        <v>5000</v>
      </c>
      <c r="G1595" s="597">
        <v>2500</v>
      </c>
      <c r="H1595" s="592" t="s">
        <v>1397</v>
      </c>
    </row>
    <row r="1596" spans="1:8" ht="24.75" customHeight="1" x14ac:dyDescent="0.55000000000000004">
      <c r="A1596" s="592">
        <v>1595</v>
      </c>
      <c r="B1596" s="596" t="s">
        <v>4566</v>
      </c>
      <c r="C1596" s="592" t="s">
        <v>4567</v>
      </c>
      <c r="D1596" s="592">
        <v>1</v>
      </c>
      <c r="E1596" s="597">
        <v>18000</v>
      </c>
      <c r="F1596" s="597">
        <v>18000</v>
      </c>
      <c r="G1596" s="597">
        <v>15000</v>
      </c>
      <c r="H1596" s="592" t="s">
        <v>1397</v>
      </c>
    </row>
    <row r="1597" spans="1:8" ht="24.75" customHeight="1" x14ac:dyDescent="0.55000000000000004">
      <c r="A1597" s="592">
        <v>1596</v>
      </c>
      <c r="B1597" s="596" t="s">
        <v>1693</v>
      </c>
      <c r="C1597" s="592" t="s">
        <v>1694</v>
      </c>
      <c r="D1597" s="592">
        <v>17</v>
      </c>
      <c r="E1597" s="597">
        <v>150</v>
      </c>
      <c r="F1597" s="597">
        <v>150</v>
      </c>
      <c r="G1597" s="597">
        <v>1020</v>
      </c>
      <c r="H1597" s="592" t="s">
        <v>1397</v>
      </c>
    </row>
    <row r="1598" spans="1:8" ht="24.75" customHeight="1" x14ac:dyDescent="0.55000000000000004">
      <c r="A1598" s="592">
        <v>1597</v>
      </c>
      <c r="B1598" s="596" t="s">
        <v>1695</v>
      </c>
      <c r="C1598" s="592" t="s">
        <v>1696</v>
      </c>
      <c r="D1598" s="592">
        <v>155</v>
      </c>
      <c r="E1598" s="597">
        <v>200</v>
      </c>
      <c r="F1598" s="597">
        <v>200</v>
      </c>
      <c r="G1598" s="597">
        <v>10850</v>
      </c>
      <c r="H1598" s="592" t="s">
        <v>1397</v>
      </c>
    </row>
    <row r="1599" spans="1:8" ht="24.75" customHeight="1" x14ac:dyDescent="0.55000000000000004">
      <c r="A1599" s="592">
        <v>1598</v>
      </c>
      <c r="B1599" s="596" t="s">
        <v>4568</v>
      </c>
      <c r="C1599" s="592" t="s">
        <v>4569</v>
      </c>
      <c r="D1599" s="592">
        <v>3</v>
      </c>
      <c r="E1599" s="597">
        <v>25000</v>
      </c>
      <c r="F1599" s="597">
        <v>25000</v>
      </c>
      <c r="G1599" s="597">
        <v>60000</v>
      </c>
      <c r="H1599" s="592" t="s">
        <v>1397</v>
      </c>
    </row>
    <row r="1600" spans="1:8" ht="24.75" customHeight="1" x14ac:dyDescent="0.55000000000000004">
      <c r="A1600" s="592">
        <v>1599</v>
      </c>
      <c r="B1600" s="596" t="s">
        <v>4570</v>
      </c>
      <c r="C1600" s="592" t="s">
        <v>4571</v>
      </c>
      <c r="D1600" s="592">
        <v>3</v>
      </c>
      <c r="E1600" s="597">
        <v>4500</v>
      </c>
      <c r="F1600" s="597">
        <v>4500</v>
      </c>
      <c r="G1600" s="597">
        <v>7800</v>
      </c>
      <c r="H1600" s="592" t="s">
        <v>1397</v>
      </c>
    </row>
    <row r="1601" spans="1:8" ht="24.75" customHeight="1" x14ac:dyDescent="0.55000000000000004">
      <c r="A1601" s="592">
        <v>1600</v>
      </c>
      <c r="B1601" s="596" t="s">
        <v>1697</v>
      </c>
      <c r="C1601" s="592" t="s">
        <v>1698</v>
      </c>
      <c r="D1601" s="592">
        <v>10</v>
      </c>
      <c r="E1601" s="597">
        <v>700</v>
      </c>
      <c r="F1601" s="597">
        <v>700</v>
      </c>
      <c r="G1601" s="597">
        <v>3500</v>
      </c>
      <c r="H1601" s="592" t="s">
        <v>1397</v>
      </c>
    </row>
    <row r="1602" spans="1:8" ht="24.75" customHeight="1" x14ac:dyDescent="0.55000000000000004">
      <c r="A1602" s="592">
        <v>1601</v>
      </c>
      <c r="B1602" s="596" t="s">
        <v>1699</v>
      </c>
      <c r="C1602" s="592" t="s">
        <v>7366</v>
      </c>
      <c r="D1602" s="592">
        <v>41</v>
      </c>
      <c r="E1602" s="597">
        <v>1000</v>
      </c>
      <c r="F1602" s="597">
        <v>1000</v>
      </c>
      <c r="G1602" s="597">
        <v>32800</v>
      </c>
      <c r="H1602" s="592" t="s">
        <v>1397</v>
      </c>
    </row>
    <row r="1603" spans="1:8" ht="24.75" customHeight="1" x14ac:dyDescent="0.55000000000000004">
      <c r="A1603" s="592">
        <v>1602</v>
      </c>
      <c r="B1603" s="596" t="s">
        <v>4572</v>
      </c>
      <c r="C1603" s="592" t="s">
        <v>4573</v>
      </c>
      <c r="D1603" s="592">
        <v>1</v>
      </c>
      <c r="E1603" s="597">
        <v>9000</v>
      </c>
      <c r="F1603" s="597">
        <v>9000</v>
      </c>
      <c r="G1603" s="597">
        <v>7400</v>
      </c>
      <c r="H1603" s="592" t="s">
        <v>1397</v>
      </c>
    </row>
    <row r="1604" spans="1:8" ht="24.75" customHeight="1" x14ac:dyDescent="0.55000000000000004">
      <c r="A1604" s="592">
        <v>1603</v>
      </c>
      <c r="B1604" s="596" t="s">
        <v>1700</v>
      </c>
      <c r="C1604" s="592" t="s">
        <v>7367</v>
      </c>
      <c r="D1604" s="592">
        <v>67</v>
      </c>
      <c r="E1604" s="597">
        <v>3200</v>
      </c>
      <c r="F1604" s="597">
        <v>3200</v>
      </c>
      <c r="G1604" s="597">
        <v>192625</v>
      </c>
      <c r="H1604" s="592" t="s">
        <v>1397</v>
      </c>
    </row>
    <row r="1605" spans="1:8" ht="24.75" customHeight="1" x14ac:dyDescent="0.55000000000000004">
      <c r="A1605" s="592">
        <v>1604</v>
      </c>
      <c r="B1605" s="596" t="s">
        <v>4575</v>
      </c>
      <c r="C1605" s="592" t="s">
        <v>4576</v>
      </c>
      <c r="D1605" s="592">
        <v>1</v>
      </c>
      <c r="E1605" s="597">
        <v>2000</v>
      </c>
      <c r="F1605" s="597">
        <v>2000</v>
      </c>
      <c r="G1605" s="597">
        <v>1500</v>
      </c>
      <c r="H1605" s="592" t="s">
        <v>1397</v>
      </c>
    </row>
    <row r="1606" spans="1:8" ht="24.75" customHeight="1" x14ac:dyDescent="0.55000000000000004">
      <c r="A1606" s="592">
        <v>1605</v>
      </c>
      <c r="B1606" s="596" t="s">
        <v>1701</v>
      </c>
      <c r="C1606" s="592" t="s">
        <v>1702</v>
      </c>
      <c r="D1606" s="592">
        <v>2</v>
      </c>
      <c r="E1606" s="597">
        <v>600</v>
      </c>
      <c r="F1606" s="597">
        <v>600</v>
      </c>
      <c r="G1606" s="597">
        <v>800</v>
      </c>
      <c r="H1606" s="592" t="s">
        <v>1397</v>
      </c>
    </row>
    <row r="1607" spans="1:8" ht="24.75" customHeight="1" x14ac:dyDescent="0.55000000000000004">
      <c r="A1607" s="592">
        <v>1606</v>
      </c>
      <c r="B1607" s="596" t="s">
        <v>1703</v>
      </c>
      <c r="C1607" s="592" t="s">
        <v>7368</v>
      </c>
      <c r="D1607" s="592">
        <v>20</v>
      </c>
      <c r="E1607" s="597">
        <v>300</v>
      </c>
      <c r="F1607" s="597">
        <v>300</v>
      </c>
      <c r="G1607" s="597">
        <v>3600</v>
      </c>
      <c r="H1607" s="592" t="s">
        <v>1397</v>
      </c>
    </row>
    <row r="1608" spans="1:8" ht="24.75" customHeight="1" x14ac:dyDescent="0.55000000000000004">
      <c r="A1608" s="592">
        <v>1607</v>
      </c>
      <c r="B1608" s="596" t="s">
        <v>2310</v>
      </c>
      <c r="C1608" s="592" t="s">
        <v>2311</v>
      </c>
      <c r="D1608" s="592">
        <v>14</v>
      </c>
      <c r="E1608" s="597">
        <v>1500</v>
      </c>
      <c r="F1608" s="597">
        <v>1500</v>
      </c>
      <c r="G1608" s="597">
        <v>11900</v>
      </c>
      <c r="H1608" s="592" t="s">
        <v>1397</v>
      </c>
    </row>
    <row r="1609" spans="1:8" ht="24.75" customHeight="1" x14ac:dyDescent="0.55000000000000004">
      <c r="A1609" s="592">
        <v>1608</v>
      </c>
      <c r="B1609" s="596" t="s">
        <v>4577</v>
      </c>
      <c r="C1609" s="592" t="s">
        <v>4578</v>
      </c>
      <c r="D1609" s="592">
        <v>1</v>
      </c>
      <c r="E1609" s="597">
        <v>8000</v>
      </c>
      <c r="F1609" s="597">
        <v>8000</v>
      </c>
      <c r="G1609" s="597">
        <v>5200</v>
      </c>
      <c r="H1609" s="592" t="s">
        <v>1397</v>
      </c>
    </row>
    <row r="1610" spans="1:8" ht="24.75" customHeight="1" x14ac:dyDescent="0.55000000000000004">
      <c r="A1610" s="592">
        <v>1609</v>
      </c>
      <c r="B1610" s="596" t="s">
        <v>2317</v>
      </c>
      <c r="C1610" s="592" t="s">
        <v>1426</v>
      </c>
      <c r="D1610" s="592">
        <v>1</v>
      </c>
      <c r="E1610" s="597">
        <v>700000</v>
      </c>
      <c r="F1610" s="597">
        <v>700000</v>
      </c>
      <c r="G1610" s="597">
        <v>350000</v>
      </c>
      <c r="H1610" s="592" t="s">
        <v>1397</v>
      </c>
    </row>
    <row r="1611" spans="1:8" ht="24.75" customHeight="1" x14ac:dyDescent="0.55000000000000004">
      <c r="A1611" s="592">
        <v>1610</v>
      </c>
      <c r="B1611" s="596" t="s">
        <v>2318</v>
      </c>
      <c r="C1611" s="592" t="s">
        <v>1427</v>
      </c>
      <c r="D1611" s="592">
        <v>1</v>
      </c>
      <c r="E1611" s="597">
        <v>675000</v>
      </c>
      <c r="F1611" s="597">
        <v>675000</v>
      </c>
      <c r="G1611" s="597">
        <v>320000</v>
      </c>
      <c r="H1611" s="592" t="s">
        <v>1397</v>
      </c>
    </row>
    <row r="1612" spans="1:8" ht="24.75" customHeight="1" x14ac:dyDescent="0.55000000000000004">
      <c r="A1612" s="592">
        <v>1611</v>
      </c>
      <c r="B1612" s="596" t="s">
        <v>2319</v>
      </c>
      <c r="C1612" s="592" t="s">
        <v>1428</v>
      </c>
      <c r="D1612" s="592">
        <v>1</v>
      </c>
      <c r="E1612" s="597">
        <v>980000</v>
      </c>
      <c r="F1612" s="597">
        <v>980000</v>
      </c>
      <c r="G1612" s="597">
        <v>460000</v>
      </c>
      <c r="H1612" s="592" t="s">
        <v>1397</v>
      </c>
    </row>
    <row r="1613" spans="1:8" ht="24.75" customHeight="1" x14ac:dyDescent="0.55000000000000004">
      <c r="A1613" s="592">
        <v>1612</v>
      </c>
      <c r="B1613" s="596" t="s">
        <v>4579</v>
      </c>
      <c r="C1613" s="592" t="s">
        <v>4580</v>
      </c>
      <c r="D1613" s="592">
        <v>2</v>
      </c>
      <c r="E1613" s="597">
        <v>200</v>
      </c>
      <c r="F1613" s="597">
        <v>200</v>
      </c>
      <c r="G1613" s="597">
        <v>200</v>
      </c>
      <c r="H1613" s="592" t="s">
        <v>1397</v>
      </c>
    </row>
    <row r="1614" spans="1:8" ht="24.75" customHeight="1" x14ac:dyDescent="0.55000000000000004">
      <c r="A1614" s="592">
        <v>1613</v>
      </c>
      <c r="B1614" s="596" t="s">
        <v>4581</v>
      </c>
      <c r="C1614" s="592" t="s">
        <v>4582</v>
      </c>
      <c r="D1614" s="592">
        <v>2</v>
      </c>
      <c r="E1614" s="597">
        <v>8000</v>
      </c>
      <c r="F1614" s="597">
        <v>8000</v>
      </c>
      <c r="G1614" s="597">
        <v>9400</v>
      </c>
      <c r="H1614" s="592" t="s">
        <v>1397</v>
      </c>
    </row>
    <row r="1615" spans="1:8" ht="24.75" customHeight="1" x14ac:dyDescent="0.55000000000000004">
      <c r="A1615" s="592">
        <v>1614</v>
      </c>
      <c r="B1615" s="596" t="s">
        <v>4583</v>
      </c>
      <c r="C1615" s="592" t="s">
        <v>7661</v>
      </c>
      <c r="D1615" s="592">
        <v>1</v>
      </c>
      <c r="E1615" s="597">
        <v>5000</v>
      </c>
      <c r="F1615" s="597">
        <v>5000</v>
      </c>
      <c r="G1615" s="597">
        <v>2400</v>
      </c>
      <c r="H1615" s="592" t="s">
        <v>1397</v>
      </c>
    </row>
    <row r="1616" spans="1:8" ht="24.75" customHeight="1" x14ac:dyDescent="0.55000000000000004">
      <c r="A1616" s="592">
        <v>1615</v>
      </c>
      <c r="B1616" s="596" t="s">
        <v>4584</v>
      </c>
      <c r="C1616" s="592" t="s">
        <v>4585</v>
      </c>
      <c r="D1616" s="592">
        <v>5</v>
      </c>
      <c r="E1616" s="597">
        <v>3000</v>
      </c>
      <c r="F1616" s="597">
        <v>3000</v>
      </c>
      <c r="G1616" s="597">
        <v>11000</v>
      </c>
      <c r="H1616" s="592" t="s">
        <v>1397</v>
      </c>
    </row>
    <row r="1617" spans="1:8" ht="24.75" customHeight="1" x14ac:dyDescent="0.55000000000000004">
      <c r="A1617" s="592">
        <v>1616</v>
      </c>
      <c r="B1617" s="596" t="s">
        <v>4586</v>
      </c>
      <c r="C1617" s="592" t="s">
        <v>4587</v>
      </c>
      <c r="D1617" s="592">
        <v>2</v>
      </c>
      <c r="E1617" s="597">
        <v>3300</v>
      </c>
      <c r="F1617" s="597">
        <v>3300</v>
      </c>
      <c r="G1617" s="597">
        <v>3400</v>
      </c>
      <c r="H1617" s="592" t="s">
        <v>1397</v>
      </c>
    </row>
    <row r="1618" spans="1:8" ht="24.75" customHeight="1" x14ac:dyDescent="0.55000000000000004">
      <c r="A1618" s="592">
        <v>1617</v>
      </c>
      <c r="B1618" s="596" t="s">
        <v>3272</v>
      </c>
      <c r="C1618" s="592" t="s">
        <v>3273</v>
      </c>
      <c r="D1618" s="592">
        <v>7</v>
      </c>
      <c r="E1618" s="597">
        <v>2700</v>
      </c>
      <c r="F1618" s="597">
        <v>2700</v>
      </c>
      <c r="G1618" s="597">
        <v>13300</v>
      </c>
      <c r="H1618" s="592" t="s">
        <v>1397</v>
      </c>
    </row>
    <row r="1619" spans="1:8" ht="24.75" customHeight="1" x14ac:dyDescent="0.55000000000000004">
      <c r="A1619" s="592">
        <v>1618</v>
      </c>
      <c r="B1619" s="596" t="s">
        <v>2369</v>
      </c>
      <c r="C1619" s="592" t="s">
        <v>2370</v>
      </c>
      <c r="D1619" s="592">
        <v>13</v>
      </c>
      <c r="E1619" s="597">
        <v>250</v>
      </c>
      <c r="F1619" s="597">
        <v>250</v>
      </c>
      <c r="G1619" s="597">
        <v>1625</v>
      </c>
      <c r="H1619" s="592" t="s">
        <v>1397</v>
      </c>
    </row>
    <row r="1620" spans="1:8" ht="24.75" customHeight="1" x14ac:dyDescent="0.55000000000000004">
      <c r="A1620" s="592">
        <v>1619</v>
      </c>
      <c r="B1620" s="596" t="s">
        <v>7914</v>
      </c>
      <c r="C1620" s="592" t="s">
        <v>7915</v>
      </c>
      <c r="D1620" s="592">
        <v>2</v>
      </c>
      <c r="E1620" s="597">
        <v>5000</v>
      </c>
      <c r="F1620" s="597">
        <v>5000</v>
      </c>
      <c r="G1620" s="597">
        <v>8500</v>
      </c>
      <c r="H1620" s="592" t="s">
        <v>1397</v>
      </c>
    </row>
    <row r="1621" spans="1:8" ht="24.75" customHeight="1" x14ac:dyDescent="0.55000000000000004">
      <c r="A1621" s="592">
        <v>1620</v>
      </c>
      <c r="B1621" s="596" t="s">
        <v>4588</v>
      </c>
      <c r="C1621" s="592" t="s">
        <v>4589</v>
      </c>
      <c r="D1621" s="592">
        <v>8</v>
      </c>
      <c r="E1621" s="597">
        <v>3250</v>
      </c>
      <c r="F1621" s="597">
        <v>3250</v>
      </c>
      <c r="G1621" s="597">
        <v>20000</v>
      </c>
      <c r="H1621" s="592" t="s">
        <v>1397</v>
      </c>
    </row>
    <row r="1622" spans="1:8" ht="24.75" customHeight="1" x14ac:dyDescent="0.55000000000000004">
      <c r="A1622" s="592">
        <v>1621</v>
      </c>
      <c r="B1622" s="596" t="s">
        <v>3441</v>
      </c>
      <c r="C1622" s="592" t="s">
        <v>3442</v>
      </c>
      <c r="D1622" s="592">
        <v>1</v>
      </c>
      <c r="E1622" s="597">
        <v>867000</v>
      </c>
      <c r="F1622" s="597">
        <v>867000</v>
      </c>
      <c r="G1622" s="597">
        <v>630000</v>
      </c>
      <c r="H1622" s="592" t="s">
        <v>1397</v>
      </c>
    </row>
    <row r="1623" spans="1:8" ht="24.75" customHeight="1" x14ac:dyDescent="0.55000000000000004">
      <c r="A1623" s="592">
        <v>1622</v>
      </c>
      <c r="B1623" s="596" t="s">
        <v>4590</v>
      </c>
      <c r="C1623" s="592" t="s">
        <v>4591</v>
      </c>
      <c r="D1623" s="592">
        <v>1</v>
      </c>
      <c r="E1623" s="597">
        <v>4000</v>
      </c>
      <c r="F1623" s="597">
        <v>4000</v>
      </c>
      <c r="G1623" s="597">
        <v>2800</v>
      </c>
      <c r="H1623" s="592" t="s">
        <v>1397</v>
      </c>
    </row>
    <row r="1624" spans="1:8" ht="24.75" customHeight="1" x14ac:dyDescent="0.55000000000000004">
      <c r="A1624" s="592">
        <v>1623</v>
      </c>
      <c r="B1624" s="596" t="s">
        <v>3159</v>
      </c>
      <c r="C1624" s="592" t="s">
        <v>3160</v>
      </c>
      <c r="D1624" s="592">
        <v>1</v>
      </c>
      <c r="E1624" s="597">
        <v>5500</v>
      </c>
      <c r="F1624" s="597">
        <v>5500</v>
      </c>
      <c r="G1624" s="597">
        <v>4450</v>
      </c>
      <c r="H1624" s="592" t="s">
        <v>1397</v>
      </c>
    </row>
    <row r="1625" spans="1:8" ht="24.75" customHeight="1" x14ac:dyDescent="0.55000000000000004">
      <c r="A1625" s="592">
        <v>1624</v>
      </c>
      <c r="B1625" s="596" t="s">
        <v>4592</v>
      </c>
      <c r="C1625" s="592" t="s">
        <v>8586</v>
      </c>
      <c r="D1625" s="592">
        <v>1</v>
      </c>
      <c r="E1625" s="597">
        <v>440000</v>
      </c>
      <c r="F1625" s="597">
        <v>440000</v>
      </c>
      <c r="G1625" s="597">
        <v>400000</v>
      </c>
      <c r="H1625" s="592" t="s">
        <v>1397</v>
      </c>
    </row>
    <row r="1626" spans="1:8" ht="24.75" customHeight="1" x14ac:dyDescent="0.55000000000000004">
      <c r="A1626" s="592">
        <v>1625</v>
      </c>
      <c r="B1626" s="596" t="s">
        <v>3443</v>
      </c>
      <c r="C1626" s="592" t="s">
        <v>7369</v>
      </c>
      <c r="D1626" s="592">
        <v>2</v>
      </c>
      <c r="E1626" s="597">
        <v>68500</v>
      </c>
      <c r="F1626" s="597">
        <v>68500</v>
      </c>
      <c r="G1626" s="597">
        <v>127000</v>
      </c>
      <c r="H1626" s="592" t="s">
        <v>1397</v>
      </c>
    </row>
    <row r="1627" spans="1:8" ht="24.75" customHeight="1" x14ac:dyDescent="0.55000000000000004">
      <c r="A1627" s="592">
        <v>1626</v>
      </c>
      <c r="B1627" s="596" t="s">
        <v>6846</v>
      </c>
      <c r="C1627" s="592" t="s">
        <v>6847</v>
      </c>
      <c r="D1627" s="592">
        <v>3</v>
      </c>
      <c r="E1627" s="597">
        <v>3500</v>
      </c>
      <c r="F1627" s="597">
        <v>3500</v>
      </c>
      <c r="G1627" s="597">
        <v>7500</v>
      </c>
      <c r="H1627" s="592" t="s">
        <v>1397</v>
      </c>
    </row>
    <row r="1628" spans="1:8" ht="24.75" customHeight="1" x14ac:dyDescent="0.55000000000000004">
      <c r="A1628" s="592">
        <v>1627</v>
      </c>
      <c r="B1628" s="596" t="s">
        <v>6454</v>
      </c>
      <c r="C1628" s="592" t="s">
        <v>6455</v>
      </c>
      <c r="D1628" s="592">
        <v>1</v>
      </c>
      <c r="E1628" s="597">
        <v>18000</v>
      </c>
      <c r="F1628" s="597">
        <v>18000</v>
      </c>
      <c r="G1628" s="597">
        <v>14000</v>
      </c>
      <c r="H1628" s="592" t="s">
        <v>1397</v>
      </c>
    </row>
    <row r="1629" spans="1:8" ht="24.75" customHeight="1" x14ac:dyDescent="0.55000000000000004">
      <c r="A1629" s="592">
        <v>1628</v>
      </c>
      <c r="B1629" s="596" t="s">
        <v>6456</v>
      </c>
      <c r="C1629" s="592" t="s">
        <v>6457</v>
      </c>
      <c r="D1629" s="592">
        <v>2</v>
      </c>
      <c r="E1629" s="597">
        <v>9000</v>
      </c>
      <c r="F1629" s="597">
        <v>9000</v>
      </c>
      <c r="G1629" s="597">
        <v>14000</v>
      </c>
      <c r="H1629" s="592" t="s">
        <v>1397</v>
      </c>
    </row>
    <row r="1630" spans="1:8" ht="24.75" customHeight="1" x14ac:dyDescent="0.55000000000000004">
      <c r="A1630" s="592">
        <v>1629</v>
      </c>
      <c r="B1630" s="596" t="s">
        <v>1704</v>
      </c>
      <c r="C1630" s="592" t="s">
        <v>1023</v>
      </c>
      <c r="D1630" s="592">
        <v>1</v>
      </c>
      <c r="E1630" s="597">
        <v>6500</v>
      </c>
      <c r="F1630" s="597">
        <v>6500</v>
      </c>
      <c r="G1630" s="597">
        <v>5500</v>
      </c>
      <c r="H1630" s="592" t="s">
        <v>1397</v>
      </c>
    </row>
    <row r="1631" spans="1:8" ht="24.75" customHeight="1" x14ac:dyDescent="0.55000000000000004">
      <c r="A1631" s="592">
        <v>1630</v>
      </c>
      <c r="B1631" s="596" t="s">
        <v>3185</v>
      </c>
      <c r="C1631" s="592" t="s">
        <v>3186</v>
      </c>
      <c r="D1631" s="592">
        <v>1</v>
      </c>
      <c r="E1631" s="597">
        <v>7800</v>
      </c>
      <c r="F1631" s="597">
        <v>7800</v>
      </c>
      <c r="G1631" s="597">
        <v>5800</v>
      </c>
      <c r="H1631" s="592" t="s">
        <v>1397</v>
      </c>
    </row>
    <row r="1632" spans="1:8" ht="24.75" customHeight="1" x14ac:dyDescent="0.55000000000000004">
      <c r="A1632" s="592">
        <v>1631</v>
      </c>
      <c r="B1632" s="596" t="s">
        <v>4596</v>
      </c>
      <c r="C1632" s="592" t="s">
        <v>4597</v>
      </c>
      <c r="D1632" s="592">
        <v>2</v>
      </c>
      <c r="E1632" s="597">
        <v>2500</v>
      </c>
      <c r="F1632" s="597">
        <v>2500</v>
      </c>
      <c r="G1632" s="597">
        <v>3000</v>
      </c>
      <c r="H1632" s="592" t="s">
        <v>1397</v>
      </c>
    </row>
    <row r="1633" spans="1:8" ht="24.75" customHeight="1" x14ac:dyDescent="0.55000000000000004">
      <c r="A1633" s="592">
        <v>1632</v>
      </c>
      <c r="B1633" s="596" t="s">
        <v>2440</v>
      </c>
      <c r="C1633" s="592" t="s">
        <v>8587</v>
      </c>
      <c r="D1633" s="592">
        <v>2</v>
      </c>
      <c r="E1633" s="597">
        <v>62000</v>
      </c>
      <c r="F1633" s="597">
        <v>62000</v>
      </c>
      <c r="G1633" s="597">
        <v>113800</v>
      </c>
      <c r="H1633" s="592" t="s">
        <v>1397</v>
      </c>
    </row>
    <row r="1634" spans="1:8" ht="24.75" customHeight="1" x14ac:dyDescent="0.55000000000000004">
      <c r="A1634" s="592">
        <v>1633</v>
      </c>
      <c r="B1634" s="596" t="s">
        <v>4598</v>
      </c>
      <c r="C1634" s="592" t="s">
        <v>4599</v>
      </c>
      <c r="D1634" s="592">
        <v>1</v>
      </c>
      <c r="E1634" s="597">
        <v>3000</v>
      </c>
      <c r="F1634" s="597">
        <v>3000</v>
      </c>
      <c r="G1634" s="597">
        <v>750</v>
      </c>
      <c r="H1634" s="592" t="s">
        <v>1397</v>
      </c>
    </row>
    <row r="1635" spans="1:8" ht="24.75" customHeight="1" x14ac:dyDescent="0.55000000000000004">
      <c r="A1635" s="592">
        <v>1634</v>
      </c>
      <c r="B1635" s="596" t="s">
        <v>4600</v>
      </c>
      <c r="C1635" s="592" t="s">
        <v>4601</v>
      </c>
      <c r="D1635" s="592">
        <v>13</v>
      </c>
      <c r="E1635" s="597">
        <v>2000</v>
      </c>
      <c r="F1635" s="597">
        <v>2000</v>
      </c>
      <c r="G1635" s="597">
        <v>17550</v>
      </c>
      <c r="H1635" s="592" t="s">
        <v>1397</v>
      </c>
    </row>
    <row r="1636" spans="1:8" ht="24.75" customHeight="1" x14ac:dyDescent="0.55000000000000004">
      <c r="A1636" s="592">
        <v>1635</v>
      </c>
      <c r="B1636" s="596" t="s">
        <v>4602</v>
      </c>
      <c r="C1636" s="592" t="s">
        <v>4603</v>
      </c>
      <c r="D1636" s="592">
        <v>8</v>
      </c>
      <c r="E1636" s="597">
        <v>6000</v>
      </c>
      <c r="F1636" s="597">
        <v>6000</v>
      </c>
      <c r="G1636" s="597">
        <v>38400</v>
      </c>
      <c r="H1636" s="592" t="s">
        <v>1397</v>
      </c>
    </row>
    <row r="1637" spans="1:8" ht="24.75" customHeight="1" x14ac:dyDescent="0.55000000000000004">
      <c r="A1637" s="592">
        <v>1636</v>
      </c>
      <c r="B1637" s="596" t="s">
        <v>3444</v>
      </c>
      <c r="C1637" s="592" t="s">
        <v>3445</v>
      </c>
      <c r="D1637" s="592">
        <v>20</v>
      </c>
      <c r="E1637" s="597">
        <v>5000</v>
      </c>
      <c r="F1637" s="597">
        <v>5000</v>
      </c>
      <c r="G1637" s="597">
        <v>74000</v>
      </c>
      <c r="H1637" s="592" t="s">
        <v>1397</v>
      </c>
    </row>
    <row r="1638" spans="1:8" ht="24.75" customHeight="1" x14ac:dyDescent="0.55000000000000004">
      <c r="A1638" s="592">
        <v>1637</v>
      </c>
      <c r="B1638" s="596" t="s">
        <v>3274</v>
      </c>
      <c r="C1638" s="592" t="s">
        <v>3275</v>
      </c>
      <c r="D1638" s="592">
        <v>2</v>
      </c>
      <c r="E1638" s="597">
        <v>5500</v>
      </c>
      <c r="F1638" s="597">
        <v>5500</v>
      </c>
      <c r="G1638" s="597">
        <v>9100</v>
      </c>
      <c r="H1638" s="592" t="s">
        <v>1397</v>
      </c>
    </row>
    <row r="1639" spans="1:8" ht="24.75" customHeight="1" x14ac:dyDescent="0.55000000000000004">
      <c r="A1639" s="592">
        <v>1638</v>
      </c>
      <c r="B1639" s="596" t="s">
        <v>4604</v>
      </c>
      <c r="C1639" s="592" t="s">
        <v>7371</v>
      </c>
      <c r="D1639" s="592">
        <v>11</v>
      </c>
      <c r="E1639" s="597">
        <v>2500</v>
      </c>
      <c r="F1639" s="597">
        <v>2500</v>
      </c>
      <c r="G1639" s="597">
        <v>21868</v>
      </c>
      <c r="H1639" s="592" t="s">
        <v>1397</v>
      </c>
    </row>
    <row r="1640" spans="1:8" ht="24.75" customHeight="1" x14ac:dyDescent="0.55000000000000004">
      <c r="A1640" s="592">
        <v>1639</v>
      </c>
      <c r="B1640" s="596" t="s">
        <v>8421</v>
      </c>
      <c r="C1640" s="592" t="s">
        <v>8422</v>
      </c>
      <c r="D1640" s="592">
        <v>5</v>
      </c>
      <c r="E1640" s="597">
        <v>5500</v>
      </c>
      <c r="F1640" s="597">
        <v>5500</v>
      </c>
      <c r="G1640" s="597">
        <v>20000</v>
      </c>
      <c r="H1640" s="592" t="s">
        <v>1397</v>
      </c>
    </row>
    <row r="1641" spans="1:8" ht="24.75" customHeight="1" x14ac:dyDescent="0.55000000000000004">
      <c r="A1641" s="592">
        <v>1640</v>
      </c>
      <c r="B1641" s="596" t="s">
        <v>2502</v>
      </c>
      <c r="C1641" s="592" t="s">
        <v>2503</v>
      </c>
      <c r="D1641" s="592">
        <v>23</v>
      </c>
      <c r="E1641" s="597">
        <v>200</v>
      </c>
      <c r="F1641" s="597">
        <v>200</v>
      </c>
      <c r="G1641" s="597">
        <v>4140</v>
      </c>
      <c r="H1641" s="592" t="s">
        <v>1397</v>
      </c>
    </row>
    <row r="1642" spans="1:8" ht="24.75" customHeight="1" x14ac:dyDescent="0.55000000000000004">
      <c r="A1642" s="592">
        <v>1641</v>
      </c>
      <c r="B1642" s="596" t="s">
        <v>2441</v>
      </c>
      <c r="C1642" s="592" t="s">
        <v>2442</v>
      </c>
      <c r="D1642" s="592">
        <v>14</v>
      </c>
      <c r="E1642" s="597">
        <v>1300</v>
      </c>
      <c r="F1642" s="597">
        <v>1300</v>
      </c>
      <c r="G1642" s="597">
        <v>8400</v>
      </c>
      <c r="H1642" s="592" t="s">
        <v>1397</v>
      </c>
    </row>
    <row r="1643" spans="1:8" ht="24.75" customHeight="1" x14ac:dyDescent="0.55000000000000004">
      <c r="A1643" s="592">
        <v>1642</v>
      </c>
      <c r="B1643" s="596" t="s">
        <v>4605</v>
      </c>
      <c r="C1643" s="592" t="s">
        <v>4606</v>
      </c>
      <c r="D1643" s="592">
        <v>12</v>
      </c>
      <c r="E1643" s="597">
        <v>1300</v>
      </c>
      <c r="F1643" s="597">
        <v>1300</v>
      </c>
      <c r="G1643" s="597">
        <v>12000</v>
      </c>
      <c r="H1643" s="592" t="s">
        <v>1397</v>
      </c>
    </row>
    <row r="1644" spans="1:8" ht="24.75" customHeight="1" x14ac:dyDescent="0.55000000000000004">
      <c r="A1644" s="592">
        <v>1643</v>
      </c>
      <c r="B1644" s="596" t="s">
        <v>2443</v>
      </c>
      <c r="C1644" s="592" t="s">
        <v>2444</v>
      </c>
      <c r="D1644" s="592">
        <v>5</v>
      </c>
      <c r="E1644" s="597">
        <v>3000</v>
      </c>
      <c r="F1644" s="597">
        <v>3000</v>
      </c>
      <c r="G1644" s="597">
        <v>12500</v>
      </c>
      <c r="H1644" s="592" t="s">
        <v>1397</v>
      </c>
    </row>
    <row r="1645" spans="1:8" ht="24.75" customHeight="1" x14ac:dyDescent="0.55000000000000004">
      <c r="A1645" s="592">
        <v>1644</v>
      </c>
      <c r="B1645" s="596" t="s">
        <v>4607</v>
      </c>
      <c r="C1645" s="592" t="s">
        <v>4608</v>
      </c>
      <c r="D1645" s="592">
        <v>2</v>
      </c>
      <c r="E1645" s="597">
        <v>1500</v>
      </c>
      <c r="F1645" s="597">
        <v>1500</v>
      </c>
      <c r="G1645" s="597">
        <v>1300</v>
      </c>
      <c r="H1645" s="592" t="s">
        <v>1397</v>
      </c>
    </row>
    <row r="1646" spans="1:8" ht="24.75" customHeight="1" x14ac:dyDescent="0.55000000000000004">
      <c r="A1646" s="592">
        <v>1645</v>
      </c>
      <c r="B1646" s="596" t="s">
        <v>7090</v>
      </c>
      <c r="C1646" s="592" t="s">
        <v>7091</v>
      </c>
      <c r="D1646" s="592">
        <v>2</v>
      </c>
      <c r="E1646" s="597">
        <v>6500</v>
      </c>
      <c r="F1646" s="597">
        <v>6500</v>
      </c>
      <c r="G1646" s="597">
        <v>10200</v>
      </c>
      <c r="H1646" s="592" t="s">
        <v>1397</v>
      </c>
    </row>
    <row r="1647" spans="1:8" ht="24.75" customHeight="1" x14ac:dyDescent="0.55000000000000004">
      <c r="A1647" s="592">
        <v>1646</v>
      </c>
      <c r="B1647" s="596" t="s">
        <v>7918</v>
      </c>
      <c r="C1647" s="592" t="s">
        <v>7919</v>
      </c>
      <c r="D1647" s="592">
        <v>1</v>
      </c>
      <c r="E1647" s="597">
        <v>4500</v>
      </c>
      <c r="F1647" s="597">
        <v>4500</v>
      </c>
      <c r="G1647" s="597">
        <v>3500</v>
      </c>
      <c r="H1647" s="592" t="s">
        <v>1397</v>
      </c>
    </row>
    <row r="1648" spans="1:8" ht="24.75" customHeight="1" x14ac:dyDescent="0.55000000000000004">
      <c r="A1648" s="592">
        <v>1647</v>
      </c>
      <c r="B1648" s="596" t="s">
        <v>4609</v>
      </c>
      <c r="C1648" s="592" t="s">
        <v>4610</v>
      </c>
      <c r="D1648" s="592">
        <v>5</v>
      </c>
      <c r="E1648" s="597">
        <v>1500</v>
      </c>
      <c r="F1648" s="597">
        <v>1500</v>
      </c>
      <c r="G1648" s="597">
        <v>4500</v>
      </c>
      <c r="H1648" s="592" t="s">
        <v>1397</v>
      </c>
    </row>
    <row r="1649" spans="1:8" ht="24.75" customHeight="1" x14ac:dyDescent="0.55000000000000004">
      <c r="A1649" s="592">
        <v>1648</v>
      </c>
      <c r="B1649" s="596" t="s">
        <v>4611</v>
      </c>
      <c r="C1649" s="592" t="s">
        <v>6848</v>
      </c>
      <c r="D1649" s="592">
        <v>2</v>
      </c>
      <c r="E1649" s="597">
        <v>7500</v>
      </c>
      <c r="F1649" s="597">
        <v>7500</v>
      </c>
      <c r="G1649" s="597">
        <v>9000</v>
      </c>
      <c r="H1649" s="592" t="s">
        <v>1397</v>
      </c>
    </row>
    <row r="1650" spans="1:8" ht="24.75" customHeight="1" x14ac:dyDescent="0.55000000000000004">
      <c r="A1650" s="592">
        <v>1649</v>
      </c>
      <c r="B1650" s="596" t="s">
        <v>4612</v>
      </c>
      <c r="C1650" s="592" t="s">
        <v>4613</v>
      </c>
      <c r="D1650" s="592">
        <v>4</v>
      </c>
      <c r="E1650" s="597">
        <v>2500</v>
      </c>
      <c r="F1650" s="597">
        <v>2500</v>
      </c>
      <c r="G1650" s="597">
        <v>6000</v>
      </c>
      <c r="H1650" s="592" t="s">
        <v>1397</v>
      </c>
    </row>
    <row r="1651" spans="1:8" ht="24.75" customHeight="1" x14ac:dyDescent="0.55000000000000004">
      <c r="A1651" s="592">
        <v>1650</v>
      </c>
      <c r="B1651" s="596" t="s">
        <v>2504</v>
      </c>
      <c r="C1651" s="592" t="s">
        <v>6270</v>
      </c>
      <c r="D1651" s="592">
        <v>14</v>
      </c>
      <c r="E1651" s="597">
        <v>700</v>
      </c>
      <c r="F1651" s="597">
        <v>700</v>
      </c>
      <c r="G1651" s="597">
        <v>4900</v>
      </c>
      <c r="H1651" s="592" t="s">
        <v>1397</v>
      </c>
    </row>
    <row r="1652" spans="1:8" ht="24.75" customHeight="1" x14ac:dyDescent="0.55000000000000004">
      <c r="A1652" s="592">
        <v>1651</v>
      </c>
      <c r="B1652" s="596" t="s">
        <v>4614</v>
      </c>
      <c r="C1652" s="592" t="s">
        <v>4615</v>
      </c>
      <c r="D1652" s="592">
        <v>8</v>
      </c>
      <c r="E1652" s="597">
        <v>600</v>
      </c>
      <c r="F1652" s="597">
        <v>600</v>
      </c>
      <c r="G1652" s="597">
        <v>2800</v>
      </c>
      <c r="H1652" s="592" t="s">
        <v>1397</v>
      </c>
    </row>
    <row r="1653" spans="1:8" ht="24.75" customHeight="1" x14ac:dyDescent="0.55000000000000004">
      <c r="A1653" s="592">
        <v>1652</v>
      </c>
      <c r="B1653" s="596" t="s">
        <v>4616</v>
      </c>
      <c r="C1653" s="592" t="s">
        <v>4617</v>
      </c>
      <c r="D1653" s="592">
        <v>1</v>
      </c>
      <c r="E1653" s="597">
        <v>2500</v>
      </c>
      <c r="F1653" s="597">
        <v>2500</v>
      </c>
      <c r="G1653" s="597">
        <v>1900</v>
      </c>
      <c r="H1653" s="592" t="s">
        <v>1397</v>
      </c>
    </row>
    <row r="1654" spans="1:8" ht="24.75" customHeight="1" x14ac:dyDescent="0.55000000000000004">
      <c r="A1654" s="592">
        <v>1653</v>
      </c>
      <c r="B1654" s="596" t="s">
        <v>6458</v>
      </c>
      <c r="C1654" s="592" t="s">
        <v>6459</v>
      </c>
      <c r="D1654" s="592">
        <v>1</v>
      </c>
      <c r="E1654" s="597">
        <v>35000</v>
      </c>
      <c r="F1654" s="597">
        <v>35000</v>
      </c>
      <c r="G1654" s="597">
        <v>27000</v>
      </c>
      <c r="H1654" s="592" t="s">
        <v>1397</v>
      </c>
    </row>
    <row r="1655" spans="1:8" ht="24.75" customHeight="1" x14ac:dyDescent="0.55000000000000004">
      <c r="A1655" s="592">
        <v>1654</v>
      </c>
      <c r="B1655" s="596" t="s">
        <v>7092</v>
      </c>
      <c r="C1655" s="592" t="s">
        <v>7093</v>
      </c>
      <c r="D1655" s="592">
        <v>2</v>
      </c>
      <c r="E1655" s="597">
        <v>5000</v>
      </c>
      <c r="F1655" s="597">
        <v>5000</v>
      </c>
      <c r="G1655" s="597">
        <v>7600</v>
      </c>
      <c r="H1655" s="592" t="s">
        <v>1397</v>
      </c>
    </row>
    <row r="1656" spans="1:8" ht="24.75" customHeight="1" x14ac:dyDescent="0.55000000000000004">
      <c r="A1656" s="592">
        <v>1655</v>
      </c>
      <c r="B1656" s="596" t="s">
        <v>4618</v>
      </c>
      <c r="C1656" s="592" t="s">
        <v>4619</v>
      </c>
      <c r="D1656" s="592">
        <v>5</v>
      </c>
      <c r="E1656" s="597">
        <v>2000</v>
      </c>
      <c r="F1656" s="597">
        <v>2000</v>
      </c>
      <c r="G1656" s="597">
        <v>9750</v>
      </c>
      <c r="H1656" s="592" t="s">
        <v>1397</v>
      </c>
    </row>
    <row r="1657" spans="1:8" ht="24.75" customHeight="1" x14ac:dyDescent="0.55000000000000004">
      <c r="A1657" s="592">
        <v>1656</v>
      </c>
      <c r="B1657" s="596" t="s">
        <v>4620</v>
      </c>
      <c r="C1657" s="592" t="s">
        <v>4546</v>
      </c>
      <c r="D1657" s="592">
        <v>5</v>
      </c>
      <c r="E1657" s="597">
        <v>2000</v>
      </c>
      <c r="F1657" s="597">
        <v>2000</v>
      </c>
      <c r="G1657" s="597">
        <v>7000</v>
      </c>
      <c r="H1657" s="592" t="s">
        <v>1397</v>
      </c>
    </row>
    <row r="1658" spans="1:8" ht="24.75" customHeight="1" x14ac:dyDescent="0.55000000000000004">
      <c r="A1658" s="592">
        <v>1657</v>
      </c>
      <c r="B1658" s="596" t="s">
        <v>4621</v>
      </c>
      <c r="C1658" s="592" t="s">
        <v>4622</v>
      </c>
      <c r="D1658" s="592">
        <v>1</v>
      </c>
      <c r="E1658" s="597">
        <v>240000</v>
      </c>
      <c r="F1658" s="597">
        <v>240000</v>
      </c>
      <c r="G1658" s="597">
        <v>165900</v>
      </c>
      <c r="H1658" s="592" t="s">
        <v>1397</v>
      </c>
    </row>
    <row r="1659" spans="1:8" ht="24.75" customHeight="1" x14ac:dyDescent="0.55000000000000004">
      <c r="A1659" s="592">
        <v>1658</v>
      </c>
      <c r="B1659" s="596" t="s">
        <v>4623</v>
      </c>
      <c r="C1659" s="592" t="s">
        <v>4624</v>
      </c>
      <c r="D1659" s="592">
        <v>3</v>
      </c>
      <c r="E1659" s="597">
        <v>3000</v>
      </c>
      <c r="F1659" s="597">
        <v>3000</v>
      </c>
      <c r="G1659" s="597">
        <v>5400</v>
      </c>
      <c r="H1659" s="592" t="s">
        <v>1397</v>
      </c>
    </row>
    <row r="1660" spans="1:8" ht="24.75" customHeight="1" x14ac:dyDescent="0.55000000000000004">
      <c r="A1660" s="592">
        <v>1659</v>
      </c>
      <c r="B1660" s="596" t="s">
        <v>4625</v>
      </c>
      <c r="C1660" s="592" t="s">
        <v>7372</v>
      </c>
      <c r="D1660" s="592">
        <v>6</v>
      </c>
      <c r="E1660" s="597">
        <v>3000</v>
      </c>
      <c r="F1660" s="597">
        <v>3000</v>
      </c>
      <c r="G1660" s="597">
        <v>13800</v>
      </c>
      <c r="H1660" s="592" t="s">
        <v>1397</v>
      </c>
    </row>
    <row r="1661" spans="1:8" ht="24.75" customHeight="1" x14ac:dyDescent="0.55000000000000004">
      <c r="A1661" s="592">
        <v>1660</v>
      </c>
      <c r="B1661" s="596" t="s">
        <v>4626</v>
      </c>
      <c r="C1661" s="592" t="s">
        <v>4627</v>
      </c>
      <c r="D1661" s="592">
        <v>1</v>
      </c>
      <c r="E1661" s="597">
        <v>15000</v>
      </c>
      <c r="F1661" s="597">
        <v>15000</v>
      </c>
      <c r="G1661" s="597">
        <v>10500</v>
      </c>
      <c r="H1661" s="592" t="s">
        <v>1397</v>
      </c>
    </row>
    <row r="1662" spans="1:8" ht="24.75" customHeight="1" x14ac:dyDescent="0.55000000000000004">
      <c r="A1662" s="592">
        <v>1661</v>
      </c>
      <c r="B1662" s="596" t="s">
        <v>8783</v>
      </c>
      <c r="C1662" s="592" t="s">
        <v>8784</v>
      </c>
      <c r="D1662" s="592">
        <v>2</v>
      </c>
      <c r="E1662" s="597">
        <v>6000</v>
      </c>
      <c r="F1662" s="597">
        <v>6000</v>
      </c>
      <c r="G1662" s="597">
        <v>8400</v>
      </c>
      <c r="H1662" s="592" t="s">
        <v>1397</v>
      </c>
    </row>
    <row r="1663" spans="1:8" ht="24.75" customHeight="1" x14ac:dyDescent="0.55000000000000004">
      <c r="A1663" s="592">
        <v>1662</v>
      </c>
      <c r="B1663" s="596" t="s">
        <v>4628</v>
      </c>
      <c r="C1663" s="592" t="s">
        <v>4629</v>
      </c>
      <c r="D1663" s="592">
        <v>1</v>
      </c>
      <c r="E1663" s="597">
        <v>29000</v>
      </c>
      <c r="F1663" s="597">
        <v>29000</v>
      </c>
      <c r="G1663" s="597">
        <v>21000</v>
      </c>
      <c r="H1663" s="592" t="s">
        <v>1397</v>
      </c>
    </row>
    <row r="1664" spans="1:8" ht="24.75" customHeight="1" x14ac:dyDescent="0.55000000000000004">
      <c r="A1664" s="592">
        <v>1663</v>
      </c>
      <c r="B1664" s="596" t="s">
        <v>7094</v>
      </c>
      <c r="C1664" s="592" t="s">
        <v>7095</v>
      </c>
      <c r="D1664" s="592">
        <v>2</v>
      </c>
      <c r="E1664" s="597">
        <v>3500</v>
      </c>
      <c r="F1664" s="597">
        <v>3500</v>
      </c>
      <c r="G1664" s="597">
        <v>5000</v>
      </c>
      <c r="H1664" s="592" t="s">
        <v>1397</v>
      </c>
    </row>
    <row r="1665" spans="1:8" ht="24.75" customHeight="1" x14ac:dyDescent="0.55000000000000004">
      <c r="A1665" s="592">
        <v>1664</v>
      </c>
      <c r="B1665" s="596" t="s">
        <v>4630</v>
      </c>
      <c r="C1665" s="592" t="s">
        <v>4631</v>
      </c>
      <c r="D1665" s="592">
        <v>1</v>
      </c>
      <c r="E1665" s="597">
        <v>16000</v>
      </c>
      <c r="F1665" s="597">
        <v>16000</v>
      </c>
      <c r="G1665" s="597">
        <v>9000</v>
      </c>
      <c r="H1665" s="592" t="s">
        <v>1397</v>
      </c>
    </row>
    <row r="1666" spans="1:8" ht="24.75" customHeight="1" x14ac:dyDescent="0.55000000000000004">
      <c r="A1666" s="592">
        <v>1665</v>
      </c>
      <c r="B1666" s="596" t="s">
        <v>6174</v>
      </c>
      <c r="C1666" s="592" t="s">
        <v>6175</v>
      </c>
      <c r="D1666" s="592">
        <v>3</v>
      </c>
      <c r="E1666" s="597">
        <v>6000</v>
      </c>
      <c r="F1666" s="597">
        <v>6000</v>
      </c>
      <c r="G1666" s="597">
        <v>11700</v>
      </c>
      <c r="H1666" s="592" t="s">
        <v>1397</v>
      </c>
    </row>
    <row r="1667" spans="1:8" ht="24.75" customHeight="1" x14ac:dyDescent="0.55000000000000004">
      <c r="A1667" s="592">
        <v>1666</v>
      </c>
      <c r="B1667" s="596" t="s">
        <v>4632</v>
      </c>
      <c r="C1667" s="592" t="s">
        <v>4633</v>
      </c>
      <c r="D1667" s="592">
        <v>9</v>
      </c>
      <c r="E1667" s="597">
        <v>1000</v>
      </c>
      <c r="F1667" s="597">
        <v>1000</v>
      </c>
      <c r="G1667" s="597">
        <v>5850</v>
      </c>
      <c r="H1667" s="592" t="s">
        <v>1397</v>
      </c>
    </row>
    <row r="1668" spans="1:8" ht="24.75" customHeight="1" x14ac:dyDescent="0.55000000000000004">
      <c r="A1668" s="592">
        <v>1667</v>
      </c>
      <c r="B1668" s="596" t="s">
        <v>4634</v>
      </c>
      <c r="C1668" s="592" t="s">
        <v>4635</v>
      </c>
      <c r="D1668" s="592">
        <v>1</v>
      </c>
      <c r="E1668" s="597">
        <v>7000</v>
      </c>
      <c r="F1668" s="597">
        <v>7000</v>
      </c>
      <c r="G1668" s="597">
        <v>5000</v>
      </c>
      <c r="H1668" s="592" t="s">
        <v>1397</v>
      </c>
    </row>
    <row r="1669" spans="1:8" ht="24.75" customHeight="1" x14ac:dyDescent="0.55000000000000004">
      <c r="A1669" s="592">
        <v>1668</v>
      </c>
      <c r="B1669" s="596" t="s">
        <v>4636</v>
      </c>
      <c r="C1669" s="592" t="s">
        <v>8785</v>
      </c>
      <c r="D1669" s="592">
        <v>1</v>
      </c>
      <c r="E1669" s="597">
        <v>370000</v>
      </c>
      <c r="F1669" s="597">
        <v>370000</v>
      </c>
      <c r="G1669" s="597">
        <v>210000</v>
      </c>
      <c r="H1669" s="592" t="s">
        <v>1397</v>
      </c>
    </row>
    <row r="1670" spans="1:8" ht="24.75" customHeight="1" x14ac:dyDescent="0.55000000000000004">
      <c r="A1670" s="592">
        <v>1669</v>
      </c>
      <c r="B1670" s="596" t="s">
        <v>7920</v>
      </c>
      <c r="C1670" s="592" t="s">
        <v>7921</v>
      </c>
      <c r="D1670" s="592">
        <v>1</v>
      </c>
      <c r="E1670" s="597">
        <v>120000</v>
      </c>
      <c r="F1670" s="597">
        <v>120000</v>
      </c>
      <c r="G1670" s="597">
        <v>98000</v>
      </c>
      <c r="H1670" s="592" t="s">
        <v>1397</v>
      </c>
    </row>
    <row r="1671" spans="1:8" ht="24.75" customHeight="1" x14ac:dyDescent="0.55000000000000004">
      <c r="A1671" s="592">
        <v>1670</v>
      </c>
      <c r="B1671" s="596" t="s">
        <v>4637</v>
      </c>
      <c r="C1671" s="592" t="s">
        <v>4638</v>
      </c>
      <c r="D1671" s="592">
        <v>5</v>
      </c>
      <c r="E1671" s="597">
        <v>2000</v>
      </c>
      <c r="F1671" s="597">
        <v>2000</v>
      </c>
      <c r="G1671" s="597">
        <v>5500</v>
      </c>
      <c r="H1671" s="592" t="s">
        <v>1397</v>
      </c>
    </row>
    <row r="1672" spans="1:8" ht="24.75" customHeight="1" x14ac:dyDescent="0.55000000000000004">
      <c r="A1672" s="592">
        <v>1671</v>
      </c>
      <c r="B1672" s="596" t="s">
        <v>8786</v>
      </c>
      <c r="C1672" s="592" t="s">
        <v>8787</v>
      </c>
      <c r="D1672" s="592">
        <v>1</v>
      </c>
      <c r="E1672" s="597">
        <v>180000</v>
      </c>
      <c r="F1672" s="597">
        <v>180000</v>
      </c>
      <c r="G1672" s="597">
        <v>155000</v>
      </c>
      <c r="H1672" s="592" t="s">
        <v>1397</v>
      </c>
    </row>
    <row r="1673" spans="1:8" ht="24.75" customHeight="1" x14ac:dyDescent="0.55000000000000004">
      <c r="A1673" s="592">
        <v>1672</v>
      </c>
      <c r="B1673" s="596" t="s">
        <v>2884</v>
      </c>
      <c r="C1673" s="592" t="s">
        <v>2885</v>
      </c>
      <c r="D1673" s="592">
        <v>1</v>
      </c>
      <c r="E1673" s="597">
        <v>5000</v>
      </c>
      <c r="F1673" s="597">
        <v>5000</v>
      </c>
      <c r="G1673" s="597">
        <v>3750</v>
      </c>
      <c r="H1673" s="592" t="s">
        <v>1397</v>
      </c>
    </row>
    <row r="1674" spans="1:8" ht="24.75" customHeight="1" x14ac:dyDescent="0.55000000000000004">
      <c r="A1674" s="592">
        <v>1673</v>
      </c>
      <c r="B1674" s="596" t="s">
        <v>8788</v>
      </c>
      <c r="C1674" s="592" t="s">
        <v>8789</v>
      </c>
      <c r="D1674" s="592">
        <v>1</v>
      </c>
      <c r="E1674" s="597">
        <v>37000</v>
      </c>
      <c r="F1674" s="597">
        <v>37000</v>
      </c>
      <c r="G1674" s="597">
        <v>29000</v>
      </c>
      <c r="H1674" s="592" t="s">
        <v>1397</v>
      </c>
    </row>
    <row r="1675" spans="1:8" ht="24.75" customHeight="1" x14ac:dyDescent="0.55000000000000004">
      <c r="A1675" s="592">
        <v>1674</v>
      </c>
      <c r="B1675" s="596" t="s">
        <v>2505</v>
      </c>
      <c r="C1675" s="592" t="s">
        <v>2506</v>
      </c>
      <c r="D1675" s="592">
        <v>9</v>
      </c>
      <c r="E1675" s="597">
        <v>1000</v>
      </c>
      <c r="F1675" s="597">
        <v>1000</v>
      </c>
      <c r="G1675" s="597">
        <v>6750</v>
      </c>
      <c r="H1675" s="592" t="s">
        <v>1397</v>
      </c>
    </row>
    <row r="1676" spans="1:8" ht="24.75" customHeight="1" x14ac:dyDescent="0.55000000000000004">
      <c r="A1676" s="592">
        <v>1675</v>
      </c>
      <c r="B1676" s="596" t="s">
        <v>4639</v>
      </c>
      <c r="C1676" s="592" t="s">
        <v>4640</v>
      </c>
      <c r="D1676" s="592">
        <v>5</v>
      </c>
      <c r="E1676" s="597">
        <v>6000</v>
      </c>
      <c r="F1676" s="597">
        <v>6000</v>
      </c>
      <c r="G1676" s="597">
        <v>27000</v>
      </c>
      <c r="H1676" s="592" t="s">
        <v>1397</v>
      </c>
    </row>
    <row r="1677" spans="1:8" ht="24.75" customHeight="1" x14ac:dyDescent="0.55000000000000004">
      <c r="A1677" s="592">
        <v>1676</v>
      </c>
      <c r="B1677" s="596" t="s">
        <v>4641</v>
      </c>
      <c r="C1677" s="592" t="s">
        <v>4642</v>
      </c>
      <c r="D1677" s="592">
        <v>2</v>
      </c>
      <c r="E1677" s="597">
        <v>5000</v>
      </c>
      <c r="F1677" s="597">
        <v>5000</v>
      </c>
      <c r="G1677" s="597">
        <v>6000</v>
      </c>
      <c r="H1677" s="592" t="s">
        <v>1397</v>
      </c>
    </row>
    <row r="1678" spans="1:8" ht="24.75" customHeight="1" x14ac:dyDescent="0.55000000000000004">
      <c r="A1678" s="592">
        <v>1677</v>
      </c>
      <c r="B1678" s="596" t="s">
        <v>3276</v>
      </c>
      <c r="C1678" s="592" t="s">
        <v>3277</v>
      </c>
      <c r="D1678" s="592">
        <v>1</v>
      </c>
      <c r="E1678" s="597">
        <v>11500</v>
      </c>
      <c r="F1678" s="597">
        <v>11500</v>
      </c>
      <c r="G1678" s="597">
        <v>8800</v>
      </c>
      <c r="H1678" s="592" t="s">
        <v>1397</v>
      </c>
    </row>
    <row r="1679" spans="1:8" ht="24.75" customHeight="1" x14ac:dyDescent="0.55000000000000004">
      <c r="A1679" s="592">
        <v>1678</v>
      </c>
      <c r="B1679" s="596" t="s">
        <v>6688</v>
      </c>
      <c r="C1679" s="592" t="s">
        <v>6689</v>
      </c>
      <c r="D1679" s="592">
        <v>2</v>
      </c>
      <c r="E1679" s="597">
        <v>3500</v>
      </c>
      <c r="F1679" s="597">
        <v>3500</v>
      </c>
      <c r="G1679" s="597">
        <v>4800</v>
      </c>
      <c r="H1679" s="592" t="s">
        <v>1397</v>
      </c>
    </row>
    <row r="1680" spans="1:8" ht="24.75" customHeight="1" x14ac:dyDescent="0.55000000000000004">
      <c r="A1680" s="592">
        <v>1679</v>
      </c>
      <c r="B1680" s="596" t="s">
        <v>4643</v>
      </c>
      <c r="C1680" s="592" t="s">
        <v>4644</v>
      </c>
      <c r="D1680" s="592">
        <v>3</v>
      </c>
      <c r="E1680" s="597">
        <v>1500</v>
      </c>
      <c r="F1680" s="597">
        <v>1500</v>
      </c>
      <c r="G1680" s="597">
        <v>2400</v>
      </c>
      <c r="H1680" s="592" t="s">
        <v>1397</v>
      </c>
    </row>
    <row r="1681" spans="1:8" ht="24.75" customHeight="1" x14ac:dyDescent="0.55000000000000004">
      <c r="A1681" s="592">
        <v>1680</v>
      </c>
      <c r="B1681" s="596" t="s">
        <v>4645</v>
      </c>
      <c r="C1681" s="592" t="s">
        <v>4646</v>
      </c>
      <c r="D1681" s="592">
        <v>2</v>
      </c>
      <c r="E1681" s="597">
        <v>3000</v>
      </c>
      <c r="F1681" s="597">
        <v>3000</v>
      </c>
      <c r="G1681" s="597">
        <v>4400</v>
      </c>
      <c r="H1681" s="592" t="s">
        <v>1397</v>
      </c>
    </row>
    <row r="1682" spans="1:8" ht="24.75" customHeight="1" x14ac:dyDescent="0.55000000000000004">
      <c r="A1682" s="592">
        <v>1681</v>
      </c>
      <c r="B1682" s="596" t="s">
        <v>4647</v>
      </c>
      <c r="C1682" s="592" t="s">
        <v>7662</v>
      </c>
      <c r="D1682" s="592">
        <v>2</v>
      </c>
      <c r="E1682" s="597">
        <v>30000</v>
      </c>
      <c r="F1682" s="597">
        <v>30000</v>
      </c>
      <c r="G1682" s="597">
        <v>44000</v>
      </c>
      <c r="H1682" s="592" t="s">
        <v>1397</v>
      </c>
    </row>
    <row r="1683" spans="1:8" ht="24.75" customHeight="1" x14ac:dyDescent="0.55000000000000004">
      <c r="A1683" s="592">
        <v>1682</v>
      </c>
      <c r="B1683" s="596" t="s">
        <v>1705</v>
      </c>
      <c r="C1683" s="592" t="s">
        <v>1011</v>
      </c>
      <c r="D1683" s="592">
        <v>3</v>
      </c>
      <c r="E1683" s="597">
        <v>250</v>
      </c>
      <c r="F1683" s="597">
        <v>250</v>
      </c>
      <c r="G1683" s="597">
        <v>750</v>
      </c>
      <c r="H1683" s="592" t="s">
        <v>1397</v>
      </c>
    </row>
    <row r="1684" spans="1:8" ht="24.75" customHeight="1" x14ac:dyDescent="0.55000000000000004">
      <c r="A1684" s="592">
        <v>1683</v>
      </c>
      <c r="B1684" s="596" t="s">
        <v>8790</v>
      </c>
      <c r="C1684" s="592" t="s">
        <v>8791</v>
      </c>
      <c r="D1684" s="592">
        <v>1</v>
      </c>
      <c r="E1684" s="597">
        <v>55000</v>
      </c>
      <c r="F1684" s="597">
        <v>55000</v>
      </c>
      <c r="G1684" s="597">
        <v>42500</v>
      </c>
      <c r="H1684" s="592" t="s">
        <v>1397</v>
      </c>
    </row>
    <row r="1685" spans="1:8" ht="24.75" customHeight="1" x14ac:dyDescent="0.55000000000000004">
      <c r="A1685" s="592">
        <v>1684</v>
      </c>
      <c r="B1685" s="596" t="s">
        <v>4650</v>
      </c>
      <c r="C1685" s="592" t="s">
        <v>4651</v>
      </c>
      <c r="D1685" s="592">
        <v>4</v>
      </c>
      <c r="E1685" s="597">
        <v>1000</v>
      </c>
      <c r="F1685" s="597">
        <v>1000</v>
      </c>
      <c r="G1685" s="597">
        <v>2600</v>
      </c>
      <c r="H1685" s="592" t="s">
        <v>1397</v>
      </c>
    </row>
    <row r="1686" spans="1:8" ht="24.75" customHeight="1" x14ac:dyDescent="0.55000000000000004">
      <c r="A1686" s="592">
        <v>1685</v>
      </c>
      <c r="B1686" s="596" t="s">
        <v>4652</v>
      </c>
      <c r="C1686" s="592" t="s">
        <v>4653</v>
      </c>
      <c r="D1686" s="592">
        <v>8</v>
      </c>
      <c r="E1686" s="597">
        <v>1300</v>
      </c>
      <c r="F1686" s="597">
        <v>1300</v>
      </c>
      <c r="G1686" s="597">
        <v>5600</v>
      </c>
      <c r="H1686" s="592" t="s">
        <v>1397</v>
      </c>
    </row>
    <row r="1687" spans="1:8" ht="24.75" customHeight="1" x14ac:dyDescent="0.55000000000000004">
      <c r="A1687" s="592">
        <v>1686</v>
      </c>
      <c r="B1687" s="596" t="s">
        <v>4654</v>
      </c>
      <c r="C1687" s="592" t="s">
        <v>4655</v>
      </c>
      <c r="D1687" s="592">
        <v>16</v>
      </c>
      <c r="E1687" s="597">
        <v>1500</v>
      </c>
      <c r="F1687" s="597">
        <v>1500</v>
      </c>
      <c r="G1687" s="597">
        <v>16800</v>
      </c>
      <c r="H1687" s="592" t="s">
        <v>1397</v>
      </c>
    </row>
    <row r="1688" spans="1:8" ht="24.75" customHeight="1" x14ac:dyDescent="0.55000000000000004">
      <c r="A1688" s="592">
        <v>1687</v>
      </c>
      <c r="B1688" s="596" t="s">
        <v>4656</v>
      </c>
      <c r="C1688" s="592" t="s">
        <v>4657</v>
      </c>
      <c r="D1688" s="592">
        <v>17</v>
      </c>
      <c r="E1688" s="597">
        <v>1500</v>
      </c>
      <c r="F1688" s="597">
        <v>1500</v>
      </c>
      <c r="G1688" s="597">
        <v>21250</v>
      </c>
      <c r="H1688" s="592" t="s">
        <v>1397</v>
      </c>
    </row>
    <row r="1689" spans="1:8" ht="24.75" customHeight="1" x14ac:dyDescent="0.55000000000000004">
      <c r="A1689" s="592">
        <v>1688</v>
      </c>
      <c r="B1689" s="596" t="s">
        <v>4658</v>
      </c>
      <c r="C1689" s="592" t="s">
        <v>4659</v>
      </c>
      <c r="D1689" s="592">
        <v>1</v>
      </c>
      <c r="E1689" s="597">
        <v>600</v>
      </c>
      <c r="F1689" s="597">
        <v>600</v>
      </c>
      <c r="G1689" s="597">
        <v>450</v>
      </c>
      <c r="H1689" s="592" t="s">
        <v>1397</v>
      </c>
    </row>
    <row r="1690" spans="1:8" ht="24.75" customHeight="1" x14ac:dyDescent="0.55000000000000004">
      <c r="A1690" s="592">
        <v>1689</v>
      </c>
      <c r="B1690" s="596" t="s">
        <v>4660</v>
      </c>
      <c r="C1690" s="592" t="s">
        <v>4661</v>
      </c>
      <c r="D1690" s="592">
        <v>8</v>
      </c>
      <c r="E1690" s="597">
        <v>1300</v>
      </c>
      <c r="F1690" s="597">
        <v>1300</v>
      </c>
      <c r="G1690" s="597">
        <v>6000</v>
      </c>
      <c r="H1690" s="592" t="s">
        <v>1397</v>
      </c>
    </row>
    <row r="1691" spans="1:8" ht="24.75" customHeight="1" x14ac:dyDescent="0.55000000000000004">
      <c r="A1691" s="592">
        <v>1690</v>
      </c>
      <c r="B1691" s="596" t="s">
        <v>4662</v>
      </c>
      <c r="C1691" s="592" t="s">
        <v>4663</v>
      </c>
      <c r="D1691" s="592">
        <v>11</v>
      </c>
      <c r="E1691" s="597">
        <v>1500</v>
      </c>
      <c r="F1691" s="597">
        <v>1500</v>
      </c>
      <c r="G1691" s="597">
        <v>15950</v>
      </c>
      <c r="H1691" s="592" t="s">
        <v>1397</v>
      </c>
    </row>
    <row r="1692" spans="1:8" ht="24.75" customHeight="1" x14ac:dyDescent="0.55000000000000004">
      <c r="A1692" s="592">
        <v>1691</v>
      </c>
      <c r="B1692" s="596" t="s">
        <v>4664</v>
      </c>
      <c r="C1692" s="592" t="s">
        <v>4665</v>
      </c>
      <c r="D1692" s="592">
        <v>16</v>
      </c>
      <c r="E1692" s="597">
        <v>2000</v>
      </c>
      <c r="F1692" s="597">
        <v>2000</v>
      </c>
      <c r="G1692" s="597">
        <v>21600</v>
      </c>
      <c r="H1692" s="592" t="s">
        <v>1397</v>
      </c>
    </row>
    <row r="1693" spans="1:8" ht="24.75" customHeight="1" x14ac:dyDescent="0.55000000000000004">
      <c r="A1693" s="592">
        <v>1692</v>
      </c>
      <c r="B1693" s="596" t="s">
        <v>2507</v>
      </c>
      <c r="C1693" s="592" t="s">
        <v>2508</v>
      </c>
      <c r="D1693" s="592">
        <v>11</v>
      </c>
      <c r="E1693" s="597">
        <v>2500</v>
      </c>
      <c r="F1693" s="597">
        <v>2500</v>
      </c>
      <c r="G1693" s="597">
        <v>20350</v>
      </c>
      <c r="H1693" s="592" t="s">
        <v>1397</v>
      </c>
    </row>
    <row r="1694" spans="1:8" ht="24.75" customHeight="1" x14ac:dyDescent="0.55000000000000004">
      <c r="A1694" s="592">
        <v>1693</v>
      </c>
      <c r="B1694" s="596" t="s">
        <v>2509</v>
      </c>
      <c r="C1694" s="592" t="s">
        <v>7663</v>
      </c>
      <c r="D1694" s="592">
        <v>6</v>
      </c>
      <c r="E1694" s="597">
        <v>2500</v>
      </c>
      <c r="F1694" s="597">
        <v>2500</v>
      </c>
      <c r="G1694" s="597">
        <v>9900</v>
      </c>
      <c r="H1694" s="592" t="s">
        <v>1397</v>
      </c>
    </row>
    <row r="1695" spans="1:8" ht="24.75" customHeight="1" x14ac:dyDescent="0.55000000000000004">
      <c r="A1695" s="592">
        <v>1694</v>
      </c>
      <c r="B1695" s="596" t="s">
        <v>4666</v>
      </c>
      <c r="C1695" s="592" t="s">
        <v>4667</v>
      </c>
      <c r="D1695" s="592">
        <v>3</v>
      </c>
      <c r="E1695" s="597">
        <v>3000</v>
      </c>
      <c r="F1695" s="597">
        <v>3000</v>
      </c>
      <c r="G1695" s="597">
        <v>5850</v>
      </c>
      <c r="H1695" s="592" t="s">
        <v>1397</v>
      </c>
    </row>
    <row r="1696" spans="1:8" ht="24.75" customHeight="1" x14ac:dyDescent="0.55000000000000004">
      <c r="A1696" s="592">
        <v>1695</v>
      </c>
      <c r="B1696" s="596" t="s">
        <v>4668</v>
      </c>
      <c r="C1696" s="592" t="s">
        <v>4669</v>
      </c>
      <c r="D1696" s="592">
        <v>2</v>
      </c>
      <c r="E1696" s="597">
        <v>6500</v>
      </c>
      <c r="F1696" s="597">
        <v>6500</v>
      </c>
      <c r="G1696" s="597">
        <v>6760</v>
      </c>
      <c r="H1696" s="592" t="s">
        <v>1397</v>
      </c>
    </row>
    <row r="1697" spans="1:8" ht="24.75" customHeight="1" x14ac:dyDescent="0.55000000000000004">
      <c r="A1697" s="592">
        <v>1696</v>
      </c>
      <c r="B1697" s="596" t="s">
        <v>4670</v>
      </c>
      <c r="C1697" s="592" t="s">
        <v>4671</v>
      </c>
      <c r="D1697" s="592">
        <v>5</v>
      </c>
      <c r="E1697" s="597">
        <v>4500</v>
      </c>
      <c r="F1697" s="597">
        <v>4500</v>
      </c>
      <c r="G1697" s="597">
        <v>15000</v>
      </c>
      <c r="H1697" s="592" t="s">
        <v>1397</v>
      </c>
    </row>
    <row r="1698" spans="1:8" ht="24.75" customHeight="1" x14ac:dyDescent="0.55000000000000004">
      <c r="A1698" s="592">
        <v>1697</v>
      </c>
      <c r="B1698" s="596" t="s">
        <v>4672</v>
      </c>
      <c r="C1698" s="592" t="s">
        <v>4673</v>
      </c>
      <c r="D1698" s="592">
        <v>4</v>
      </c>
      <c r="E1698" s="597">
        <v>3000</v>
      </c>
      <c r="F1698" s="597">
        <v>3000</v>
      </c>
      <c r="G1698" s="597">
        <v>8000</v>
      </c>
      <c r="H1698" s="592" t="s">
        <v>1397</v>
      </c>
    </row>
    <row r="1699" spans="1:8" ht="24.75" customHeight="1" x14ac:dyDescent="0.55000000000000004">
      <c r="A1699" s="592">
        <v>1698</v>
      </c>
      <c r="B1699" s="596" t="s">
        <v>4674</v>
      </c>
      <c r="C1699" s="592" t="s">
        <v>4675</v>
      </c>
      <c r="D1699" s="592">
        <v>2</v>
      </c>
      <c r="E1699" s="597">
        <v>13000</v>
      </c>
      <c r="F1699" s="597">
        <v>13000</v>
      </c>
      <c r="G1699" s="597">
        <v>17000</v>
      </c>
      <c r="H1699" s="592" t="s">
        <v>1397</v>
      </c>
    </row>
    <row r="1700" spans="1:8" ht="24.75" customHeight="1" x14ac:dyDescent="0.55000000000000004">
      <c r="A1700" s="592">
        <v>1699</v>
      </c>
      <c r="B1700" s="596" t="s">
        <v>4676</v>
      </c>
      <c r="C1700" s="592" t="s">
        <v>4677</v>
      </c>
      <c r="D1700" s="592">
        <v>19</v>
      </c>
      <c r="E1700" s="597">
        <v>700</v>
      </c>
      <c r="F1700" s="597">
        <v>700</v>
      </c>
      <c r="G1700" s="597">
        <v>10450</v>
      </c>
      <c r="H1700" s="592" t="s">
        <v>1397</v>
      </c>
    </row>
    <row r="1701" spans="1:8" ht="24.75" customHeight="1" x14ac:dyDescent="0.55000000000000004">
      <c r="A1701" s="592">
        <v>1700</v>
      </c>
      <c r="B1701" s="596" t="s">
        <v>2510</v>
      </c>
      <c r="C1701" s="592" t="s">
        <v>6302</v>
      </c>
      <c r="D1701" s="592">
        <v>10</v>
      </c>
      <c r="E1701" s="597">
        <v>3000</v>
      </c>
      <c r="F1701" s="597">
        <v>3000</v>
      </c>
      <c r="G1701" s="597">
        <v>23000</v>
      </c>
      <c r="H1701" s="592" t="s">
        <v>1397</v>
      </c>
    </row>
    <row r="1702" spans="1:8" ht="24.75" customHeight="1" x14ac:dyDescent="0.55000000000000004">
      <c r="A1702" s="592">
        <v>1701</v>
      </c>
      <c r="B1702" s="596" t="s">
        <v>4678</v>
      </c>
      <c r="C1702" s="592" t="s">
        <v>4679</v>
      </c>
      <c r="D1702" s="592">
        <v>4</v>
      </c>
      <c r="E1702" s="597">
        <v>4500</v>
      </c>
      <c r="F1702" s="597">
        <v>4500</v>
      </c>
      <c r="G1702" s="597">
        <v>13200</v>
      </c>
      <c r="H1702" s="592" t="s">
        <v>1397</v>
      </c>
    </row>
    <row r="1703" spans="1:8" ht="24.75" customHeight="1" x14ac:dyDescent="0.55000000000000004">
      <c r="A1703" s="592">
        <v>1702</v>
      </c>
      <c r="B1703" s="596" t="s">
        <v>4680</v>
      </c>
      <c r="C1703" s="592" t="s">
        <v>4681</v>
      </c>
      <c r="D1703" s="592">
        <v>2</v>
      </c>
      <c r="E1703" s="597">
        <v>3000</v>
      </c>
      <c r="F1703" s="597">
        <v>3000</v>
      </c>
      <c r="G1703" s="597">
        <v>3000</v>
      </c>
      <c r="H1703" s="592" t="s">
        <v>1397</v>
      </c>
    </row>
    <row r="1704" spans="1:8" ht="24.75" customHeight="1" x14ac:dyDescent="0.55000000000000004">
      <c r="A1704" s="592">
        <v>1703</v>
      </c>
      <c r="B1704" s="596" t="s">
        <v>7922</v>
      </c>
      <c r="C1704" s="592" t="s">
        <v>7923</v>
      </c>
      <c r="D1704" s="592">
        <v>2</v>
      </c>
      <c r="E1704" s="597">
        <v>3500</v>
      </c>
      <c r="F1704" s="597">
        <v>3500</v>
      </c>
      <c r="G1704" s="597">
        <v>3400</v>
      </c>
      <c r="H1704" s="592" t="s">
        <v>1397</v>
      </c>
    </row>
    <row r="1705" spans="1:8" ht="24.75" customHeight="1" x14ac:dyDescent="0.55000000000000004">
      <c r="A1705" s="592">
        <v>1704</v>
      </c>
      <c r="B1705" s="596" t="s">
        <v>2513</v>
      </c>
      <c r="C1705" s="592" t="s">
        <v>2514</v>
      </c>
      <c r="D1705" s="592">
        <v>13</v>
      </c>
      <c r="E1705" s="597">
        <v>4500</v>
      </c>
      <c r="F1705" s="597">
        <v>4500</v>
      </c>
      <c r="G1705" s="597">
        <v>45500</v>
      </c>
      <c r="H1705" s="592" t="s">
        <v>1397</v>
      </c>
    </row>
    <row r="1706" spans="1:8" ht="24.75" customHeight="1" x14ac:dyDescent="0.55000000000000004">
      <c r="A1706" s="592">
        <v>1705</v>
      </c>
      <c r="B1706" s="596" t="s">
        <v>4682</v>
      </c>
      <c r="C1706" s="592" t="s">
        <v>7664</v>
      </c>
      <c r="D1706" s="592">
        <v>1</v>
      </c>
      <c r="E1706" s="597">
        <v>2500</v>
      </c>
      <c r="F1706" s="597">
        <v>2500</v>
      </c>
      <c r="G1706" s="597">
        <v>1800</v>
      </c>
      <c r="H1706" s="592" t="s">
        <v>1397</v>
      </c>
    </row>
    <row r="1707" spans="1:8" ht="24.75" customHeight="1" x14ac:dyDescent="0.55000000000000004">
      <c r="A1707" s="592">
        <v>1706</v>
      </c>
      <c r="B1707" s="596" t="s">
        <v>4683</v>
      </c>
      <c r="C1707" s="592" t="s">
        <v>8266</v>
      </c>
      <c r="D1707" s="592">
        <v>1</v>
      </c>
      <c r="E1707" s="597">
        <v>985000</v>
      </c>
      <c r="F1707" s="597">
        <v>985000</v>
      </c>
      <c r="G1707" s="597">
        <v>845000</v>
      </c>
      <c r="H1707" s="592" t="s">
        <v>1397</v>
      </c>
    </row>
    <row r="1708" spans="1:8" ht="24.75" customHeight="1" x14ac:dyDescent="0.55000000000000004">
      <c r="A1708" s="592">
        <v>1707</v>
      </c>
      <c r="B1708" s="596" t="s">
        <v>4684</v>
      </c>
      <c r="C1708" s="592" t="s">
        <v>4685</v>
      </c>
      <c r="D1708" s="592">
        <v>19</v>
      </c>
      <c r="E1708" s="597">
        <v>1500</v>
      </c>
      <c r="F1708" s="597">
        <v>1500</v>
      </c>
      <c r="G1708" s="597">
        <v>18050</v>
      </c>
      <c r="H1708" s="592" t="s">
        <v>1397</v>
      </c>
    </row>
    <row r="1709" spans="1:8" ht="24.75" customHeight="1" x14ac:dyDescent="0.55000000000000004">
      <c r="A1709" s="592">
        <v>1708</v>
      </c>
      <c r="B1709" s="596" t="s">
        <v>6849</v>
      </c>
      <c r="C1709" s="592" t="s">
        <v>5052</v>
      </c>
      <c r="D1709" s="592">
        <v>2</v>
      </c>
      <c r="E1709" s="597">
        <v>1700</v>
      </c>
      <c r="F1709" s="597">
        <v>1700</v>
      </c>
      <c r="G1709" s="597">
        <v>2000</v>
      </c>
      <c r="H1709" s="592" t="s">
        <v>1397</v>
      </c>
    </row>
    <row r="1710" spans="1:8" ht="24.75" customHeight="1" x14ac:dyDescent="0.55000000000000004">
      <c r="A1710" s="592">
        <v>1709</v>
      </c>
      <c r="B1710" s="596" t="s">
        <v>6460</v>
      </c>
      <c r="C1710" s="592" t="s">
        <v>6461</v>
      </c>
      <c r="D1710" s="592">
        <v>2</v>
      </c>
      <c r="E1710" s="597">
        <v>5000</v>
      </c>
      <c r="F1710" s="597">
        <v>5000</v>
      </c>
      <c r="G1710" s="597">
        <v>7600</v>
      </c>
      <c r="H1710" s="592" t="s">
        <v>1397</v>
      </c>
    </row>
    <row r="1711" spans="1:8" ht="24.75" customHeight="1" x14ac:dyDescent="0.55000000000000004">
      <c r="A1711" s="592">
        <v>1710</v>
      </c>
      <c r="B1711" s="596" t="s">
        <v>6462</v>
      </c>
      <c r="C1711" s="592" t="s">
        <v>6463</v>
      </c>
      <c r="D1711" s="592">
        <v>2</v>
      </c>
      <c r="E1711" s="597">
        <v>5500</v>
      </c>
      <c r="F1711" s="597">
        <v>5500</v>
      </c>
      <c r="G1711" s="597">
        <v>9000</v>
      </c>
      <c r="H1711" s="592" t="s">
        <v>1397</v>
      </c>
    </row>
    <row r="1712" spans="1:8" ht="24.75" customHeight="1" x14ac:dyDescent="0.55000000000000004">
      <c r="A1712" s="592">
        <v>1711</v>
      </c>
      <c r="B1712" s="596" t="s">
        <v>6464</v>
      </c>
      <c r="C1712" s="592" t="s">
        <v>6465</v>
      </c>
      <c r="D1712" s="592">
        <v>3</v>
      </c>
      <c r="E1712" s="597">
        <v>7000</v>
      </c>
      <c r="F1712" s="597">
        <v>7000</v>
      </c>
      <c r="G1712" s="597">
        <v>15000</v>
      </c>
      <c r="H1712" s="592" t="s">
        <v>1397</v>
      </c>
    </row>
    <row r="1713" spans="1:8" ht="24.75" customHeight="1" x14ac:dyDescent="0.55000000000000004">
      <c r="A1713" s="592">
        <v>1712</v>
      </c>
      <c r="B1713" s="596" t="s">
        <v>6466</v>
      </c>
      <c r="C1713" s="592" t="s">
        <v>6467</v>
      </c>
      <c r="D1713" s="592">
        <v>2</v>
      </c>
      <c r="E1713" s="597">
        <v>7000</v>
      </c>
      <c r="F1713" s="597">
        <v>7000</v>
      </c>
      <c r="G1713" s="597">
        <v>10400</v>
      </c>
      <c r="H1713" s="592" t="s">
        <v>1397</v>
      </c>
    </row>
    <row r="1714" spans="1:8" ht="24.75" customHeight="1" x14ac:dyDescent="0.55000000000000004">
      <c r="A1714" s="592">
        <v>1713</v>
      </c>
      <c r="B1714" s="596" t="s">
        <v>4686</v>
      </c>
      <c r="C1714" s="592" t="s">
        <v>4687</v>
      </c>
      <c r="D1714" s="592">
        <v>2</v>
      </c>
      <c r="E1714" s="597">
        <v>7500</v>
      </c>
      <c r="F1714" s="597">
        <v>7500</v>
      </c>
      <c r="G1714" s="597">
        <v>11200</v>
      </c>
      <c r="H1714" s="592" t="s">
        <v>1397</v>
      </c>
    </row>
    <row r="1715" spans="1:8" ht="24.75" customHeight="1" x14ac:dyDescent="0.55000000000000004">
      <c r="A1715" s="592">
        <v>1714</v>
      </c>
      <c r="B1715" s="596" t="s">
        <v>6568</v>
      </c>
      <c r="C1715" s="592" t="s">
        <v>6569</v>
      </c>
      <c r="D1715" s="592">
        <v>3</v>
      </c>
      <c r="E1715" s="597">
        <v>12000</v>
      </c>
      <c r="F1715" s="597">
        <v>12000</v>
      </c>
      <c r="G1715" s="597">
        <v>27000</v>
      </c>
      <c r="H1715" s="592" t="s">
        <v>1397</v>
      </c>
    </row>
    <row r="1716" spans="1:8" ht="24.75" customHeight="1" x14ac:dyDescent="0.55000000000000004">
      <c r="A1716" s="592">
        <v>1715</v>
      </c>
      <c r="B1716" s="596" t="s">
        <v>7665</v>
      </c>
      <c r="C1716" s="592" t="s">
        <v>7666</v>
      </c>
      <c r="D1716" s="592">
        <v>1</v>
      </c>
      <c r="E1716" s="597">
        <v>4500</v>
      </c>
      <c r="F1716" s="597">
        <v>4500</v>
      </c>
      <c r="G1716" s="597">
        <v>2750</v>
      </c>
      <c r="H1716" s="592" t="s">
        <v>1397</v>
      </c>
    </row>
    <row r="1717" spans="1:8" ht="24.75" customHeight="1" x14ac:dyDescent="0.55000000000000004">
      <c r="A1717" s="592">
        <v>1716</v>
      </c>
      <c r="B1717" s="596" t="s">
        <v>4688</v>
      </c>
      <c r="C1717" s="592" t="s">
        <v>6390</v>
      </c>
      <c r="D1717" s="592">
        <v>1</v>
      </c>
      <c r="E1717" s="597">
        <v>127000</v>
      </c>
      <c r="F1717" s="597">
        <v>127000</v>
      </c>
      <c r="G1717" s="597">
        <v>107326</v>
      </c>
      <c r="H1717" s="592" t="s">
        <v>1397</v>
      </c>
    </row>
    <row r="1718" spans="1:8" ht="24.75" customHeight="1" x14ac:dyDescent="0.55000000000000004">
      <c r="A1718" s="592">
        <v>1717</v>
      </c>
      <c r="B1718" s="596" t="s">
        <v>4689</v>
      </c>
      <c r="C1718" s="592" t="s">
        <v>8267</v>
      </c>
      <c r="D1718" s="592">
        <v>62</v>
      </c>
      <c r="E1718" s="597">
        <v>500</v>
      </c>
      <c r="F1718" s="597">
        <v>500</v>
      </c>
      <c r="G1718" s="597">
        <v>18600</v>
      </c>
      <c r="H1718" s="592" t="s">
        <v>1397</v>
      </c>
    </row>
    <row r="1719" spans="1:8" ht="24.75" customHeight="1" x14ac:dyDescent="0.55000000000000004">
      <c r="A1719" s="592">
        <v>1718</v>
      </c>
      <c r="B1719" s="596" t="s">
        <v>4690</v>
      </c>
      <c r="C1719" s="592" t="s">
        <v>4691</v>
      </c>
      <c r="D1719" s="592">
        <v>5</v>
      </c>
      <c r="E1719" s="597">
        <v>5500</v>
      </c>
      <c r="F1719" s="597">
        <v>5500</v>
      </c>
      <c r="G1719" s="597">
        <v>20000</v>
      </c>
      <c r="H1719" s="592" t="s">
        <v>1397</v>
      </c>
    </row>
    <row r="1720" spans="1:8" ht="24.75" customHeight="1" x14ac:dyDescent="0.55000000000000004">
      <c r="A1720" s="592">
        <v>1719</v>
      </c>
      <c r="B1720" s="596" t="s">
        <v>4692</v>
      </c>
      <c r="C1720" s="592" t="s">
        <v>4693</v>
      </c>
      <c r="D1720" s="592">
        <v>14</v>
      </c>
      <c r="E1720" s="597">
        <v>7850</v>
      </c>
      <c r="F1720" s="597">
        <v>7850</v>
      </c>
      <c r="G1720" s="597">
        <v>102200</v>
      </c>
      <c r="H1720" s="592" t="s">
        <v>1397</v>
      </c>
    </row>
    <row r="1721" spans="1:8" ht="24.75" customHeight="1" x14ac:dyDescent="0.55000000000000004">
      <c r="A1721" s="592">
        <v>1720</v>
      </c>
      <c r="B1721" s="596" t="s">
        <v>1706</v>
      </c>
      <c r="C1721" s="592" t="s">
        <v>3278</v>
      </c>
      <c r="D1721" s="592">
        <v>19</v>
      </c>
      <c r="E1721" s="597">
        <v>3000</v>
      </c>
      <c r="F1721" s="597">
        <v>3000</v>
      </c>
      <c r="G1721" s="597">
        <v>47500</v>
      </c>
      <c r="H1721" s="592" t="s">
        <v>1397</v>
      </c>
    </row>
    <row r="1722" spans="1:8" ht="24.75" customHeight="1" x14ac:dyDescent="0.55000000000000004">
      <c r="A1722" s="592">
        <v>1721</v>
      </c>
      <c r="B1722" s="596" t="s">
        <v>4694</v>
      </c>
      <c r="C1722" s="592" t="s">
        <v>4695</v>
      </c>
      <c r="D1722" s="592">
        <v>2</v>
      </c>
      <c r="E1722" s="597">
        <v>250</v>
      </c>
      <c r="F1722" s="597">
        <v>250</v>
      </c>
      <c r="G1722" s="597">
        <v>360</v>
      </c>
      <c r="H1722" s="592" t="s">
        <v>1397</v>
      </c>
    </row>
    <row r="1723" spans="1:8" ht="24.75" customHeight="1" x14ac:dyDescent="0.55000000000000004">
      <c r="A1723" s="592">
        <v>1722</v>
      </c>
      <c r="B1723" s="596" t="s">
        <v>4696</v>
      </c>
      <c r="C1723" s="592" t="s">
        <v>7667</v>
      </c>
      <c r="D1723" s="592">
        <v>2</v>
      </c>
      <c r="E1723" s="597">
        <v>300</v>
      </c>
      <c r="F1723" s="597">
        <v>300</v>
      </c>
      <c r="G1723" s="597">
        <v>400</v>
      </c>
      <c r="H1723" s="592" t="s">
        <v>1397</v>
      </c>
    </row>
    <row r="1724" spans="1:8" ht="24.75" customHeight="1" x14ac:dyDescent="0.55000000000000004">
      <c r="A1724" s="592">
        <v>1723</v>
      </c>
      <c r="B1724" s="596" t="s">
        <v>2551</v>
      </c>
      <c r="C1724" s="592" t="s">
        <v>7668</v>
      </c>
      <c r="D1724" s="592">
        <v>5</v>
      </c>
      <c r="E1724" s="597">
        <v>500</v>
      </c>
      <c r="F1724" s="597">
        <v>500</v>
      </c>
      <c r="G1724" s="597">
        <v>1900</v>
      </c>
      <c r="H1724" s="592" t="s">
        <v>1397</v>
      </c>
    </row>
    <row r="1725" spans="1:8" ht="24.75" customHeight="1" x14ac:dyDescent="0.55000000000000004">
      <c r="A1725" s="592">
        <v>1724</v>
      </c>
      <c r="B1725" s="596" t="s">
        <v>4697</v>
      </c>
      <c r="C1725" s="592" t="s">
        <v>4698</v>
      </c>
      <c r="D1725" s="592">
        <v>1</v>
      </c>
      <c r="E1725" s="597">
        <v>4500</v>
      </c>
      <c r="F1725" s="597">
        <v>4500</v>
      </c>
      <c r="G1725" s="597">
        <v>3000</v>
      </c>
      <c r="H1725" s="592" t="s">
        <v>1397</v>
      </c>
    </row>
    <row r="1726" spans="1:8" ht="24.75" customHeight="1" x14ac:dyDescent="0.55000000000000004">
      <c r="A1726" s="592">
        <v>1725</v>
      </c>
      <c r="B1726" s="596" t="s">
        <v>4699</v>
      </c>
      <c r="C1726" s="592" t="s">
        <v>4700</v>
      </c>
      <c r="D1726" s="592">
        <v>6</v>
      </c>
      <c r="E1726" s="597">
        <v>200</v>
      </c>
      <c r="F1726" s="597">
        <v>200</v>
      </c>
      <c r="G1726" s="597">
        <v>600</v>
      </c>
      <c r="H1726" s="592" t="s">
        <v>1397</v>
      </c>
    </row>
    <row r="1727" spans="1:8" ht="24.75" customHeight="1" x14ac:dyDescent="0.55000000000000004">
      <c r="A1727" s="592">
        <v>1726</v>
      </c>
      <c r="B1727" s="596" t="s">
        <v>6140</v>
      </c>
      <c r="C1727" s="592" t="s">
        <v>8423</v>
      </c>
      <c r="D1727" s="592">
        <v>2</v>
      </c>
      <c r="E1727" s="597">
        <v>58200</v>
      </c>
      <c r="F1727" s="597">
        <v>58200</v>
      </c>
      <c r="G1727" s="597">
        <v>96268</v>
      </c>
      <c r="H1727" s="592" t="s">
        <v>1397</v>
      </c>
    </row>
    <row r="1728" spans="1:8" ht="24.75" customHeight="1" x14ac:dyDescent="0.55000000000000004">
      <c r="A1728" s="592">
        <v>1727</v>
      </c>
      <c r="B1728" s="596" t="s">
        <v>2837</v>
      </c>
      <c r="C1728" s="592" t="s">
        <v>7374</v>
      </c>
      <c r="D1728" s="592">
        <v>7</v>
      </c>
      <c r="E1728" s="597">
        <v>700</v>
      </c>
      <c r="F1728" s="597">
        <v>700</v>
      </c>
      <c r="G1728" s="597">
        <v>1414</v>
      </c>
      <c r="H1728" s="592" t="s">
        <v>1397</v>
      </c>
    </row>
    <row r="1729" spans="1:8" ht="24.75" customHeight="1" x14ac:dyDescent="0.55000000000000004">
      <c r="A1729" s="592">
        <v>1728</v>
      </c>
      <c r="B1729" s="596" t="s">
        <v>4701</v>
      </c>
      <c r="C1729" s="592" t="s">
        <v>4702</v>
      </c>
      <c r="D1729" s="592">
        <v>4</v>
      </c>
      <c r="E1729" s="597">
        <v>5000</v>
      </c>
      <c r="F1729" s="597">
        <v>5000</v>
      </c>
      <c r="G1729" s="597">
        <v>15200</v>
      </c>
      <c r="H1729" s="592" t="s">
        <v>1397</v>
      </c>
    </row>
    <row r="1730" spans="1:8" ht="24.75" customHeight="1" x14ac:dyDescent="0.55000000000000004">
      <c r="A1730" s="592">
        <v>1729</v>
      </c>
      <c r="B1730" s="596" t="s">
        <v>1707</v>
      </c>
      <c r="C1730" s="592" t="s">
        <v>1012</v>
      </c>
      <c r="D1730" s="592">
        <v>18</v>
      </c>
      <c r="E1730" s="597">
        <v>700</v>
      </c>
      <c r="F1730" s="597">
        <v>700</v>
      </c>
      <c r="G1730" s="597">
        <v>8550</v>
      </c>
      <c r="H1730" s="592" t="s">
        <v>1397</v>
      </c>
    </row>
    <row r="1731" spans="1:8" ht="24.75" customHeight="1" x14ac:dyDescent="0.55000000000000004">
      <c r="A1731" s="592">
        <v>1730</v>
      </c>
      <c r="B1731" s="596" t="s">
        <v>6176</v>
      </c>
      <c r="C1731" s="592" t="s">
        <v>6177</v>
      </c>
      <c r="D1731" s="592">
        <v>5</v>
      </c>
      <c r="E1731" s="597">
        <v>300</v>
      </c>
      <c r="F1731" s="597">
        <v>300</v>
      </c>
      <c r="G1731" s="597">
        <v>835</v>
      </c>
      <c r="H1731" s="592" t="s">
        <v>1397</v>
      </c>
    </row>
    <row r="1732" spans="1:8" ht="24.75" customHeight="1" x14ac:dyDescent="0.55000000000000004">
      <c r="A1732" s="592">
        <v>1731</v>
      </c>
      <c r="B1732" s="596" t="s">
        <v>4705</v>
      </c>
      <c r="C1732" s="592" t="s">
        <v>4706</v>
      </c>
      <c r="D1732" s="592">
        <v>10</v>
      </c>
      <c r="E1732" s="597">
        <v>2500</v>
      </c>
      <c r="F1732" s="597">
        <v>2500</v>
      </c>
      <c r="G1732" s="597">
        <v>18000</v>
      </c>
      <c r="H1732" s="592" t="s">
        <v>1397</v>
      </c>
    </row>
    <row r="1733" spans="1:8" ht="24.75" customHeight="1" x14ac:dyDescent="0.55000000000000004">
      <c r="A1733" s="592">
        <v>1732</v>
      </c>
      <c r="B1733" s="596" t="s">
        <v>4707</v>
      </c>
      <c r="C1733" s="592" t="s">
        <v>7373</v>
      </c>
      <c r="D1733" s="592">
        <v>1</v>
      </c>
      <c r="E1733" s="597">
        <v>23000</v>
      </c>
      <c r="F1733" s="597">
        <v>23000</v>
      </c>
      <c r="G1733" s="597">
        <v>19000</v>
      </c>
      <c r="H1733" s="592" t="s">
        <v>1397</v>
      </c>
    </row>
    <row r="1734" spans="1:8" ht="24.75" customHeight="1" x14ac:dyDescent="0.55000000000000004">
      <c r="A1734" s="592">
        <v>1733</v>
      </c>
      <c r="B1734" s="596" t="s">
        <v>4708</v>
      </c>
      <c r="C1734" s="592" t="s">
        <v>8268</v>
      </c>
      <c r="D1734" s="592">
        <v>9</v>
      </c>
      <c r="E1734" s="597">
        <v>15000</v>
      </c>
      <c r="F1734" s="597">
        <v>15000</v>
      </c>
      <c r="G1734" s="597">
        <v>99000</v>
      </c>
      <c r="H1734" s="592" t="s">
        <v>1397</v>
      </c>
    </row>
    <row r="1735" spans="1:8" ht="24.75" customHeight="1" x14ac:dyDescent="0.55000000000000004">
      <c r="A1735" s="592">
        <v>1734</v>
      </c>
      <c r="B1735" s="596" t="s">
        <v>4709</v>
      </c>
      <c r="C1735" s="592" t="s">
        <v>8269</v>
      </c>
      <c r="D1735" s="592">
        <v>15</v>
      </c>
      <c r="E1735" s="597">
        <v>3000</v>
      </c>
      <c r="F1735" s="597">
        <v>3000</v>
      </c>
      <c r="G1735" s="597">
        <v>31500</v>
      </c>
      <c r="H1735" s="592" t="s">
        <v>1397</v>
      </c>
    </row>
    <row r="1736" spans="1:8" ht="24.75" customHeight="1" x14ac:dyDescent="0.55000000000000004">
      <c r="A1736" s="592">
        <v>1735</v>
      </c>
      <c r="B1736" s="596" t="s">
        <v>4710</v>
      </c>
      <c r="C1736" s="592" t="s">
        <v>4711</v>
      </c>
      <c r="D1736" s="592">
        <v>4</v>
      </c>
      <c r="E1736" s="597">
        <v>10500</v>
      </c>
      <c r="F1736" s="597">
        <v>10500</v>
      </c>
      <c r="G1736" s="597">
        <v>32600</v>
      </c>
      <c r="H1736" s="592" t="s">
        <v>1397</v>
      </c>
    </row>
    <row r="1737" spans="1:8" ht="24.75" customHeight="1" x14ac:dyDescent="0.55000000000000004">
      <c r="A1737" s="592">
        <v>1736</v>
      </c>
      <c r="B1737" s="596" t="s">
        <v>4712</v>
      </c>
      <c r="C1737" s="592" t="s">
        <v>4713</v>
      </c>
      <c r="D1737" s="592">
        <v>1</v>
      </c>
      <c r="E1737" s="597">
        <v>60000</v>
      </c>
      <c r="F1737" s="597">
        <v>60000</v>
      </c>
      <c r="G1737" s="597">
        <v>50000</v>
      </c>
      <c r="H1737" s="592" t="s">
        <v>1397</v>
      </c>
    </row>
    <row r="1738" spans="1:8" ht="24.75" customHeight="1" x14ac:dyDescent="0.55000000000000004">
      <c r="A1738" s="592">
        <v>1737</v>
      </c>
      <c r="B1738" s="596" t="s">
        <v>4716</v>
      </c>
      <c r="C1738" s="592" t="s">
        <v>4717</v>
      </c>
      <c r="D1738" s="592">
        <v>2</v>
      </c>
      <c r="E1738" s="597">
        <v>1000</v>
      </c>
      <c r="F1738" s="597">
        <v>1000</v>
      </c>
      <c r="G1738" s="597">
        <v>900</v>
      </c>
      <c r="H1738" s="592" t="s">
        <v>1397</v>
      </c>
    </row>
    <row r="1739" spans="1:8" ht="24.75" customHeight="1" x14ac:dyDescent="0.55000000000000004">
      <c r="A1739" s="592">
        <v>1738</v>
      </c>
      <c r="B1739" s="596" t="s">
        <v>4718</v>
      </c>
      <c r="C1739" s="592" t="s">
        <v>6570</v>
      </c>
      <c r="D1739" s="592">
        <v>1</v>
      </c>
      <c r="E1739" s="597">
        <v>57000</v>
      </c>
      <c r="F1739" s="597">
        <v>57000</v>
      </c>
      <c r="G1739" s="597">
        <v>45000</v>
      </c>
      <c r="H1739" s="592" t="s">
        <v>1397</v>
      </c>
    </row>
    <row r="1740" spans="1:8" ht="24.75" customHeight="1" x14ac:dyDescent="0.55000000000000004">
      <c r="A1740" s="592">
        <v>1739</v>
      </c>
      <c r="B1740" s="596" t="s">
        <v>4719</v>
      </c>
      <c r="C1740" s="592" t="s">
        <v>4720</v>
      </c>
      <c r="D1740" s="592">
        <v>19</v>
      </c>
      <c r="E1740" s="597">
        <v>1200</v>
      </c>
      <c r="F1740" s="597">
        <v>1200</v>
      </c>
      <c r="G1740" s="597">
        <v>13300</v>
      </c>
      <c r="H1740" s="592" t="s">
        <v>1397</v>
      </c>
    </row>
    <row r="1741" spans="1:8" ht="24.75" customHeight="1" x14ac:dyDescent="0.55000000000000004">
      <c r="A1741" s="592">
        <v>1740</v>
      </c>
      <c r="B1741" s="596" t="s">
        <v>4721</v>
      </c>
      <c r="C1741" s="592" t="s">
        <v>4722</v>
      </c>
      <c r="D1741" s="592">
        <v>5</v>
      </c>
      <c r="E1741" s="597">
        <v>1500</v>
      </c>
      <c r="F1741" s="597">
        <v>1500</v>
      </c>
      <c r="G1741" s="597">
        <v>2500</v>
      </c>
      <c r="H1741" s="592" t="s">
        <v>1397</v>
      </c>
    </row>
    <row r="1742" spans="1:8" ht="24.75" customHeight="1" x14ac:dyDescent="0.55000000000000004">
      <c r="A1742" s="592">
        <v>1741</v>
      </c>
      <c r="B1742" s="596" t="s">
        <v>6571</v>
      </c>
      <c r="C1742" s="592" t="s">
        <v>6850</v>
      </c>
      <c r="D1742" s="592">
        <v>1</v>
      </c>
      <c r="E1742" s="597">
        <v>12000</v>
      </c>
      <c r="F1742" s="597">
        <v>12000</v>
      </c>
      <c r="G1742" s="597">
        <v>8700</v>
      </c>
      <c r="H1742" s="592" t="s">
        <v>1397</v>
      </c>
    </row>
    <row r="1743" spans="1:8" ht="24.75" customHeight="1" x14ac:dyDescent="0.55000000000000004">
      <c r="A1743" s="592">
        <v>1742</v>
      </c>
      <c r="B1743" s="596" t="s">
        <v>4723</v>
      </c>
      <c r="C1743" s="592" t="s">
        <v>4724</v>
      </c>
      <c r="D1743" s="592">
        <v>1</v>
      </c>
      <c r="E1743" s="597">
        <v>8500</v>
      </c>
      <c r="F1743" s="597">
        <v>8500</v>
      </c>
      <c r="G1743" s="597">
        <v>6000</v>
      </c>
      <c r="H1743" s="592" t="s">
        <v>1397</v>
      </c>
    </row>
    <row r="1744" spans="1:8" ht="24.75" customHeight="1" x14ac:dyDescent="0.55000000000000004">
      <c r="A1744" s="592">
        <v>1743</v>
      </c>
      <c r="B1744" s="596" t="s">
        <v>7924</v>
      </c>
      <c r="C1744" s="592" t="s">
        <v>7925</v>
      </c>
      <c r="D1744" s="592">
        <v>33</v>
      </c>
      <c r="E1744" s="597">
        <v>700</v>
      </c>
      <c r="F1744" s="597">
        <v>700</v>
      </c>
      <c r="G1744" s="597">
        <v>16500</v>
      </c>
      <c r="H1744" s="592" t="s">
        <v>1397</v>
      </c>
    </row>
    <row r="1745" spans="1:8" ht="24.75" customHeight="1" x14ac:dyDescent="0.55000000000000004">
      <c r="A1745" s="592">
        <v>1744</v>
      </c>
      <c r="B1745" s="596" t="s">
        <v>2838</v>
      </c>
      <c r="C1745" s="592" t="s">
        <v>2839</v>
      </c>
      <c r="D1745" s="592">
        <v>1</v>
      </c>
      <c r="E1745" s="597">
        <v>2000</v>
      </c>
      <c r="F1745" s="597">
        <v>2000</v>
      </c>
      <c r="G1745" s="597">
        <v>1200</v>
      </c>
      <c r="H1745" s="592" t="s">
        <v>1397</v>
      </c>
    </row>
    <row r="1746" spans="1:8" ht="24.75" customHeight="1" x14ac:dyDescent="0.55000000000000004">
      <c r="A1746" s="592">
        <v>1745</v>
      </c>
      <c r="B1746" s="596" t="s">
        <v>2886</v>
      </c>
      <c r="C1746" s="592" t="s">
        <v>2887</v>
      </c>
      <c r="D1746" s="592">
        <v>3</v>
      </c>
      <c r="E1746" s="597">
        <v>7000</v>
      </c>
      <c r="F1746" s="597">
        <v>7000</v>
      </c>
      <c r="G1746" s="597">
        <v>11100</v>
      </c>
      <c r="H1746" s="592" t="s">
        <v>1397</v>
      </c>
    </row>
    <row r="1747" spans="1:8" ht="24.75" customHeight="1" x14ac:dyDescent="0.55000000000000004">
      <c r="A1747" s="592">
        <v>1746</v>
      </c>
      <c r="B1747" s="596" t="s">
        <v>4725</v>
      </c>
      <c r="C1747" s="592" t="s">
        <v>4726</v>
      </c>
      <c r="D1747" s="592">
        <v>1</v>
      </c>
      <c r="E1747" s="597">
        <v>4800</v>
      </c>
      <c r="F1747" s="597">
        <v>4800</v>
      </c>
      <c r="G1747" s="597">
        <v>2500</v>
      </c>
      <c r="H1747" s="592" t="s">
        <v>1397</v>
      </c>
    </row>
    <row r="1748" spans="1:8" ht="24.75" customHeight="1" x14ac:dyDescent="0.55000000000000004">
      <c r="A1748" s="592">
        <v>1747</v>
      </c>
      <c r="B1748" s="596" t="s">
        <v>4727</v>
      </c>
      <c r="C1748" s="592" t="s">
        <v>4728</v>
      </c>
      <c r="D1748" s="592">
        <v>3</v>
      </c>
      <c r="E1748" s="597">
        <v>7500</v>
      </c>
      <c r="F1748" s="597">
        <v>7500</v>
      </c>
      <c r="G1748" s="597">
        <v>10500</v>
      </c>
      <c r="H1748" s="592" t="s">
        <v>1397</v>
      </c>
    </row>
    <row r="1749" spans="1:8" ht="24.75" customHeight="1" x14ac:dyDescent="0.55000000000000004">
      <c r="A1749" s="592">
        <v>1748</v>
      </c>
      <c r="B1749" s="596" t="s">
        <v>4729</v>
      </c>
      <c r="C1749" s="592" t="s">
        <v>7669</v>
      </c>
      <c r="D1749" s="592">
        <v>5</v>
      </c>
      <c r="E1749" s="597">
        <v>1500</v>
      </c>
      <c r="F1749" s="597">
        <v>1500</v>
      </c>
      <c r="G1749" s="597">
        <v>3000</v>
      </c>
      <c r="H1749" s="592" t="s">
        <v>1397</v>
      </c>
    </row>
    <row r="1750" spans="1:8" ht="24.75" customHeight="1" x14ac:dyDescent="0.55000000000000004">
      <c r="A1750" s="592">
        <v>1749</v>
      </c>
      <c r="B1750" s="596" t="s">
        <v>4730</v>
      </c>
      <c r="C1750" s="592" t="s">
        <v>4731</v>
      </c>
      <c r="D1750" s="592">
        <v>3</v>
      </c>
      <c r="E1750" s="597">
        <v>5500</v>
      </c>
      <c r="F1750" s="597">
        <v>5500</v>
      </c>
      <c r="G1750" s="597">
        <v>12000</v>
      </c>
      <c r="H1750" s="592" t="s">
        <v>1397</v>
      </c>
    </row>
    <row r="1751" spans="1:8" ht="24.75" customHeight="1" x14ac:dyDescent="0.55000000000000004">
      <c r="A1751" s="592">
        <v>1750</v>
      </c>
      <c r="B1751" s="596" t="s">
        <v>3279</v>
      </c>
      <c r="C1751" s="592" t="s">
        <v>7376</v>
      </c>
      <c r="D1751" s="592">
        <v>2</v>
      </c>
      <c r="E1751" s="597">
        <v>2200</v>
      </c>
      <c r="F1751" s="597">
        <v>2200</v>
      </c>
      <c r="G1751" s="597">
        <v>3300</v>
      </c>
      <c r="H1751" s="592" t="s">
        <v>1397</v>
      </c>
    </row>
    <row r="1752" spans="1:8" ht="24.75" customHeight="1" x14ac:dyDescent="0.55000000000000004">
      <c r="A1752" s="592">
        <v>1751</v>
      </c>
      <c r="B1752" s="596" t="s">
        <v>2888</v>
      </c>
      <c r="C1752" s="592" t="s">
        <v>2889</v>
      </c>
      <c r="D1752" s="592">
        <v>5</v>
      </c>
      <c r="E1752" s="597">
        <v>2900</v>
      </c>
      <c r="F1752" s="597">
        <v>2900</v>
      </c>
      <c r="G1752" s="597">
        <v>10750</v>
      </c>
      <c r="H1752" s="592" t="s">
        <v>1397</v>
      </c>
    </row>
    <row r="1753" spans="1:8" ht="24.75" customHeight="1" x14ac:dyDescent="0.55000000000000004">
      <c r="A1753" s="592">
        <v>1752</v>
      </c>
      <c r="B1753" s="596" t="s">
        <v>4733</v>
      </c>
      <c r="C1753" s="592" t="s">
        <v>4734</v>
      </c>
      <c r="D1753" s="592">
        <v>2</v>
      </c>
      <c r="E1753" s="597">
        <v>1200</v>
      </c>
      <c r="F1753" s="597">
        <v>1200</v>
      </c>
      <c r="G1753" s="597">
        <v>1000</v>
      </c>
      <c r="H1753" s="592" t="s">
        <v>1397</v>
      </c>
    </row>
    <row r="1754" spans="1:8" ht="24.75" customHeight="1" x14ac:dyDescent="0.55000000000000004">
      <c r="A1754" s="592">
        <v>1753</v>
      </c>
      <c r="B1754" s="596" t="s">
        <v>2990</v>
      </c>
      <c r="C1754" s="592" t="s">
        <v>8588</v>
      </c>
      <c r="D1754" s="592">
        <v>4</v>
      </c>
      <c r="E1754" s="597">
        <v>95000</v>
      </c>
      <c r="F1754" s="597">
        <v>95000</v>
      </c>
      <c r="G1754" s="597">
        <v>339076</v>
      </c>
      <c r="H1754" s="592" t="s">
        <v>1397</v>
      </c>
    </row>
    <row r="1755" spans="1:8" ht="24.75" customHeight="1" x14ac:dyDescent="0.55000000000000004">
      <c r="A1755" s="592">
        <v>1754</v>
      </c>
      <c r="B1755" s="596" t="s">
        <v>2991</v>
      </c>
      <c r="C1755" s="592" t="s">
        <v>2992</v>
      </c>
      <c r="D1755" s="592">
        <v>12</v>
      </c>
      <c r="E1755" s="597">
        <v>800</v>
      </c>
      <c r="F1755" s="597">
        <v>800</v>
      </c>
      <c r="G1755" s="597">
        <v>4800</v>
      </c>
      <c r="H1755" s="592" t="s">
        <v>1397</v>
      </c>
    </row>
    <row r="1756" spans="1:8" ht="24.75" customHeight="1" x14ac:dyDescent="0.55000000000000004">
      <c r="A1756" s="592">
        <v>1755</v>
      </c>
      <c r="B1756" s="596" t="s">
        <v>4735</v>
      </c>
      <c r="C1756" s="592" t="s">
        <v>6572</v>
      </c>
      <c r="D1756" s="592">
        <v>5</v>
      </c>
      <c r="E1756" s="597">
        <v>750</v>
      </c>
      <c r="F1756" s="597">
        <v>750</v>
      </c>
      <c r="G1756" s="597">
        <v>2750</v>
      </c>
      <c r="H1756" s="592" t="s">
        <v>1397</v>
      </c>
    </row>
    <row r="1757" spans="1:8" ht="24.75" customHeight="1" x14ac:dyDescent="0.55000000000000004">
      <c r="A1757" s="592">
        <v>1756</v>
      </c>
      <c r="B1757" s="596" t="s">
        <v>4736</v>
      </c>
      <c r="C1757" s="592" t="s">
        <v>4737</v>
      </c>
      <c r="D1757" s="592">
        <v>65</v>
      </c>
      <c r="E1757" s="597">
        <v>100</v>
      </c>
      <c r="F1757" s="597">
        <v>100</v>
      </c>
      <c r="G1757" s="597">
        <v>3250</v>
      </c>
      <c r="H1757" s="592" t="s">
        <v>1397</v>
      </c>
    </row>
    <row r="1758" spans="1:8" ht="24.75" customHeight="1" x14ac:dyDescent="0.55000000000000004">
      <c r="A1758" s="592">
        <v>1757</v>
      </c>
      <c r="B1758" s="596" t="s">
        <v>7377</v>
      </c>
      <c r="C1758" s="592" t="s">
        <v>7378</v>
      </c>
      <c r="D1758" s="592">
        <v>5</v>
      </c>
      <c r="E1758" s="597">
        <v>6000</v>
      </c>
      <c r="F1758" s="597">
        <v>6000</v>
      </c>
      <c r="G1758" s="597">
        <v>19000</v>
      </c>
      <c r="H1758" s="592" t="s">
        <v>1397</v>
      </c>
    </row>
    <row r="1759" spans="1:8" ht="24.75" customHeight="1" x14ac:dyDescent="0.55000000000000004">
      <c r="A1759" s="592">
        <v>1758</v>
      </c>
      <c r="B1759" s="596" t="s">
        <v>1708</v>
      </c>
      <c r="C1759" s="592" t="s">
        <v>1709</v>
      </c>
      <c r="D1759" s="592">
        <v>3</v>
      </c>
      <c r="E1759" s="597">
        <v>3200</v>
      </c>
      <c r="F1759" s="597">
        <v>3200</v>
      </c>
      <c r="G1759" s="597">
        <v>8400</v>
      </c>
      <c r="H1759" s="592" t="s">
        <v>1397</v>
      </c>
    </row>
    <row r="1760" spans="1:8" ht="24.75" customHeight="1" x14ac:dyDescent="0.55000000000000004">
      <c r="A1760" s="592">
        <v>1759</v>
      </c>
      <c r="B1760" s="596" t="s">
        <v>7670</v>
      </c>
      <c r="C1760" s="592" t="s">
        <v>7671</v>
      </c>
      <c r="D1760" s="592">
        <v>1</v>
      </c>
      <c r="E1760" s="597">
        <v>7500</v>
      </c>
      <c r="F1760" s="597">
        <v>7500</v>
      </c>
      <c r="G1760" s="597">
        <v>5700</v>
      </c>
      <c r="H1760" s="592" t="s">
        <v>1397</v>
      </c>
    </row>
    <row r="1761" spans="1:8" ht="24.75" customHeight="1" x14ac:dyDescent="0.55000000000000004">
      <c r="A1761" s="592">
        <v>1760</v>
      </c>
      <c r="B1761" s="596" t="s">
        <v>4738</v>
      </c>
      <c r="C1761" s="592" t="s">
        <v>4739</v>
      </c>
      <c r="D1761" s="592">
        <v>3</v>
      </c>
      <c r="E1761" s="597">
        <v>6500</v>
      </c>
      <c r="F1761" s="597">
        <v>6500</v>
      </c>
      <c r="G1761" s="597">
        <v>15600</v>
      </c>
      <c r="H1761" s="592" t="s">
        <v>1397</v>
      </c>
    </row>
    <row r="1762" spans="1:8" ht="24.75" customHeight="1" x14ac:dyDescent="0.55000000000000004">
      <c r="A1762" s="592">
        <v>1761</v>
      </c>
      <c r="B1762" s="596" t="s">
        <v>4740</v>
      </c>
      <c r="C1762" s="592" t="s">
        <v>4741</v>
      </c>
      <c r="D1762" s="592">
        <v>1</v>
      </c>
      <c r="E1762" s="597">
        <v>7000</v>
      </c>
      <c r="F1762" s="597">
        <v>7000</v>
      </c>
      <c r="G1762" s="597">
        <v>5000</v>
      </c>
      <c r="H1762" s="592" t="s">
        <v>1397</v>
      </c>
    </row>
    <row r="1763" spans="1:8" ht="24.75" customHeight="1" x14ac:dyDescent="0.55000000000000004">
      <c r="A1763" s="592">
        <v>1762</v>
      </c>
      <c r="B1763" s="596" t="s">
        <v>4742</v>
      </c>
      <c r="C1763" s="592" t="s">
        <v>4743</v>
      </c>
      <c r="D1763" s="592">
        <v>1</v>
      </c>
      <c r="E1763" s="597">
        <v>3000</v>
      </c>
      <c r="F1763" s="597">
        <v>3000</v>
      </c>
      <c r="G1763" s="597">
        <v>1800</v>
      </c>
      <c r="H1763" s="592" t="s">
        <v>1397</v>
      </c>
    </row>
    <row r="1764" spans="1:8" ht="24.75" customHeight="1" x14ac:dyDescent="0.55000000000000004">
      <c r="A1764" s="592">
        <v>1763</v>
      </c>
      <c r="B1764" s="596" t="s">
        <v>4744</v>
      </c>
      <c r="C1764" s="592" t="s">
        <v>8270</v>
      </c>
      <c r="D1764" s="592">
        <v>23</v>
      </c>
      <c r="E1764" s="597">
        <v>3000</v>
      </c>
      <c r="F1764" s="597">
        <v>3000</v>
      </c>
      <c r="G1764" s="597">
        <v>48300</v>
      </c>
      <c r="H1764" s="592" t="s">
        <v>1397</v>
      </c>
    </row>
    <row r="1765" spans="1:8" ht="24.75" customHeight="1" x14ac:dyDescent="0.55000000000000004">
      <c r="A1765" s="592">
        <v>1764</v>
      </c>
      <c r="B1765" s="596" t="s">
        <v>4745</v>
      </c>
      <c r="C1765" s="592" t="s">
        <v>4746</v>
      </c>
      <c r="D1765" s="592">
        <v>5</v>
      </c>
      <c r="E1765" s="597">
        <v>2000</v>
      </c>
      <c r="F1765" s="597">
        <v>2000</v>
      </c>
      <c r="G1765" s="597">
        <v>6750</v>
      </c>
      <c r="H1765" s="592" t="s">
        <v>1397</v>
      </c>
    </row>
    <row r="1766" spans="1:8" ht="24.75" customHeight="1" x14ac:dyDescent="0.55000000000000004">
      <c r="A1766" s="592">
        <v>1765</v>
      </c>
      <c r="B1766" s="596" t="s">
        <v>3011</v>
      </c>
      <c r="C1766" s="592" t="s">
        <v>3012</v>
      </c>
      <c r="D1766" s="592">
        <v>2</v>
      </c>
      <c r="E1766" s="597">
        <v>2700</v>
      </c>
      <c r="F1766" s="597">
        <v>2700</v>
      </c>
      <c r="G1766" s="597">
        <v>4000</v>
      </c>
      <c r="H1766" s="592" t="s">
        <v>1397</v>
      </c>
    </row>
    <row r="1767" spans="1:8" ht="24.75" customHeight="1" x14ac:dyDescent="0.55000000000000004">
      <c r="A1767" s="592">
        <v>1766</v>
      </c>
      <c r="B1767" s="596" t="s">
        <v>4747</v>
      </c>
      <c r="C1767" s="592" t="s">
        <v>8424</v>
      </c>
      <c r="D1767" s="592">
        <v>2</v>
      </c>
      <c r="E1767" s="597">
        <v>7000</v>
      </c>
      <c r="F1767" s="597">
        <v>7000</v>
      </c>
      <c r="G1767" s="597">
        <v>9600</v>
      </c>
      <c r="H1767" s="592" t="s">
        <v>1397</v>
      </c>
    </row>
    <row r="1768" spans="1:8" ht="24.75" customHeight="1" x14ac:dyDescent="0.55000000000000004">
      <c r="A1768" s="592">
        <v>1767</v>
      </c>
      <c r="B1768" s="596" t="s">
        <v>4748</v>
      </c>
      <c r="C1768" s="592" t="s">
        <v>4749</v>
      </c>
      <c r="D1768" s="592">
        <v>4</v>
      </c>
      <c r="E1768" s="597">
        <v>3500</v>
      </c>
      <c r="F1768" s="597">
        <v>3500</v>
      </c>
      <c r="G1768" s="597">
        <v>11600</v>
      </c>
      <c r="H1768" s="592" t="s">
        <v>1397</v>
      </c>
    </row>
    <row r="1769" spans="1:8" ht="24.75" customHeight="1" x14ac:dyDescent="0.55000000000000004">
      <c r="A1769" s="592">
        <v>1768</v>
      </c>
      <c r="B1769" s="596" t="s">
        <v>6348</v>
      </c>
      <c r="C1769" s="592" t="s">
        <v>6349</v>
      </c>
      <c r="D1769" s="592">
        <v>5</v>
      </c>
      <c r="E1769" s="597">
        <v>5500</v>
      </c>
      <c r="F1769" s="597">
        <v>5500</v>
      </c>
      <c r="G1769" s="597">
        <v>21500</v>
      </c>
      <c r="H1769" s="592" t="s">
        <v>1397</v>
      </c>
    </row>
    <row r="1770" spans="1:8" ht="24.75" customHeight="1" x14ac:dyDescent="0.55000000000000004">
      <c r="A1770" s="592">
        <v>1769</v>
      </c>
      <c r="B1770" s="596" t="s">
        <v>7096</v>
      </c>
      <c r="C1770" s="592" t="s">
        <v>7097</v>
      </c>
      <c r="D1770" s="592">
        <v>5</v>
      </c>
      <c r="E1770" s="597">
        <v>5500</v>
      </c>
      <c r="F1770" s="597">
        <v>5500</v>
      </c>
      <c r="G1770" s="597">
        <v>22000</v>
      </c>
      <c r="H1770" s="592" t="s">
        <v>1397</v>
      </c>
    </row>
    <row r="1771" spans="1:8" ht="24.75" customHeight="1" x14ac:dyDescent="0.55000000000000004">
      <c r="A1771" s="592">
        <v>1770</v>
      </c>
      <c r="B1771" s="596" t="s">
        <v>4750</v>
      </c>
      <c r="C1771" s="592" t="s">
        <v>4751</v>
      </c>
      <c r="D1771" s="592">
        <v>7</v>
      </c>
      <c r="E1771" s="597">
        <v>7000</v>
      </c>
      <c r="F1771" s="597">
        <v>7000</v>
      </c>
      <c r="G1771" s="597">
        <v>35000</v>
      </c>
      <c r="H1771" s="592" t="s">
        <v>1397</v>
      </c>
    </row>
    <row r="1772" spans="1:8" ht="24.75" customHeight="1" x14ac:dyDescent="0.55000000000000004">
      <c r="A1772" s="592">
        <v>1771</v>
      </c>
      <c r="B1772" s="596" t="s">
        <v>4752</v>
      </c>
      <c r="C1772" s="592" t="s">
        <v>4753</v>
      </c>
      <c r="D1772" s="592">
        <v>1</v>
      </c>
      <c r="E1772" s="597">
        <v>2000</v>
      </c>
      <c r="F1772" s="597">
        <v>2000</v>
      </c>
      <c r="G1772" s="597">
        <v>1300</v>
      </c>
      <c r="H1772" s="592" t="s">
        <v>1397</v>
      </c>
    </row>
    <row r="1773" spans="1:8" ht="24.75" customHeight="1" x14ac:dyDescent="0.55000000000000004">
      <c r="A1773" s="592">
        <v>1772</v>
      </c>
      <c r="B1773" s="596" t="s">
        <v>4754</v>
      </c>
      <c r="C1773" s="592" t="s">
        <v>4755</v>
      </c>
      <c r="D1773" s="592">
        <v>1</v>
      </c>
      <c r="E1773" s="597">
        <v>1200</v>
      </c>
      <c r="F1773" s="597">
        <v>1200</v>
      </c>
      <c r="G1773" s="597">
        <v>850</v>
      </c>
      <c r="H1773" s="592" t="s">
        <v>1397</v>
      </c>
    </row>
    <row r="1774" spans="1:8" ht="24.75" customHeight="1" x14ac:dyDescent="0.55000000000000004">
      <c r="A1774" s="592">
        <v>1773</v>
      </c>
      <c r="B1774" s="596" t="s">
        <v>3013</v>
      </c>
      <c r="C1774" s="592" t="s">
        <v>3014</v>
      </c>
      <c r="D1774" s="592">
        <v>3</v>
      </c>
      <c r="E1774" s="597">
        <v>2000</v>
      </c>
      <c r="F1774" s="597">
        <v>2000</v>
      </c>
      <c r="G1774" s="597">
        <v>4500</v>
      </c>
      <c r="H1774" s="592" t="s">
        <v>1397</v>
      </c>
    </row>
    <row r="1775" spans="1:8" ht="24.75" customHeight="1" x14ac:dyDescent="0.55000000000000004">
      <c r="A1775" s="592">
        <v>1774</v>
      </c>
      <c r="B1775" s="596" t="s">
        <v>4756</v>
      </c>
      <c r="C1775" s="592" t="s">
        <v>4757</v>
      </c>
      <c r="D1775" s="592">
        <v>1</v>
      </c>
      <c r="E1775" s="597">
        <v>14500</v>
      </c>
      <c r="F1775" s="597">
        <v>14500</v>
      </c>
      <c r="G1775" s="597">
        <v>11200</v>
      </c>
      <c r="H1775" s="592" t="s">
        <v>1397</v>
      </c>
    </row>
    <row r="1776" spans="1:8" ht="24.75" customHeight="1" x14ac:dyDescent="0.55000000000000004">
      <c r="A1776" s="592">
        <v>1775</v>
      </c>
      <c r="B1776" s="596" t="s">
        <v>4758</v>
      </c>
      <c r="C1776" s="592" t="s">
        <v>4759</v>
      </c>
      <c r="D1776" s="592">
        <v>1</v>
      </c>
      <c r="E1776" s="597">
        <v>5000</v>
      </c>
      <c r="F1776" s="597">
        <v>5000</v>
      </c>
      <c r="G1776" s="597">
        <v>2850</v>
      </c>
      <c r="H1776" s="592" t="s">
        <v>1397</v>
      </c>
    </row>
    <row r="1777" spans="1:8" ht="24.75" customHeight="1" x14ac:dyDescent="0.55000000000000004">
      <c r="A1777" s="592">
        <v>1776</v>
      </c>
      <c r="B1777" s="596" t="s">
        <v>4760</v>
      </c>
      <c r="C1777" s="592" t="s">
        <v>8271</v>
      </c>
      <c r="D1777" s="592">
        <v>1</v>
      </c>
      <c r="E1777" s="597">
        <v>87000</v>
      </c>
      <c r="F1777" s="597">
        <v>87000</v>
      </c>
      <c r="G1777" s="597">
        <v>67000</v>
      </c>
      <c r="H1777" s="592" t="s">
        <v>1397</v>
      </c>
    </row>
    <row r="1778" spans="1:8" ht="24.75" customHeight="1" x14ac:dyDescent="0.55000000000000004">
      <c r="A1778" s="592">
        <v>1777</v>
      </c>
      <c r="B1778" s="596" t="s">
        <v>4761</v>
      </c>
      <c r="C1778" s="592" t="s">
        <v>4762</v>
      </c>
      <c r="D1778" s="592">
        <v>1</v>
      </c>
      <c r="E1778" s="597">
        <v>10000</v>
      </c>
      <c r="F1778" s="597">
        <v>10000</v>
      </c>
      <c r="G1778" s="597">
        <v>8000</v>
      </c>
      <c r="H1778" s="592" t="s">
        <v>1397</v>
      </c>
    </row>
    <row r="1779" spans="1:8" ht="24.75" customHeight="1" x14ac:dyDescent="0.55000000000000004">
      <c r="A1779" s="592">
        <v>1778</v>
      </c>
      <c r="B1779" s="596" t="s">
        <v>4763</v>
      </c>
      <c r="C1779" s="592" t="s">
        <v>4764</v>
      </c>
      <c r="D1779" s="592">
        <v>2</v>
      </c>
      <c r="E1779" s="597">
        <v>4000</v>
      </c>
      <c r="F1779" s="597">
        <v>4000</v>
      </c>
      <c r="G1779" s="597">
        <v>5600</v>
      </c>
      <c r="H1779" s="592" t="s">
        <v>1397</v>
      </c>
    </row>
    <row r="1780" spans="1:8" ht="24.75" customHeight="1" x14ac:dyDescent="0.55000000000000004">
      <c r="A1780" s="592">
        <v>1779</v>
      </c>
      <c r="B1780" s="596" t="s">
        <v>4765</v>
      </c>
      <c r="C1780" s="592" t="s">
        <v>8425</v>
      </c>
      <c r="D1780" s="592">
        <v>3</v>
      </c>
      <c r="E1780" s="597">
        <v>5500</v>
      </c>
      <c r="F1780" s="597">
        <v>5500</v>
      </c>
      <c r="G1780" s="597">
        <v>10500</v>
      </c>
      <c r="H1780" s="592" t="s">
        <v>1397</v>
      </c>
    </row>
    <row r="1781" spans="1:8" ht="24.75" customHeight="1" x14ac:dyDescent="0.55000000000000004">
      <c r="A1781" s="592">
        <v>1780</v>
      </c>
      <c r="B1781" s="596" t="s">
        <v>3064</v>
      </c>
      <c r="C1781" s="592" t="s">
        <v>3065</v>
      </c>
      <c r="D1781" s="592">
        <v>16</v>
      </c>
      <c r="E1781" s="597">
        <v>1000</v>
      </c>
      <c r="F1781" s="597">
        <v>1000</v>
      </c>
      <c r="G1781" s="597">
        <v>5600</v>
      </c>
      <c r="H1781" s="592" t="s">
        <v>1397</v>
      </c>
    </row>
    <row r="1782" spans="1:8" ht="24.75" customHeight="1" x14ac:dyDescent="0.55000000000000004">
      <c r="A1782" s="592">
        <v>1781</v>
      </c>
      <c r="B1782" s="596" t="s">
        <v>3066</v>
      </c>
      <c r="C1782" s="592" t="s">
        <v>3067</v>
      </c>
      <c r="D1782" s="592">
        <v>5</v>
      </c>
      <c r="E1782" s="597">
        <v>1700</v>
      </c>
      <c r="F1782" s="597">
        <v>1700</v>
      </c>
      <c r="G1782" s="597">
        <v>5500</v>
      </c>
      <c r="H1782" s="592" t="s">
        <v>1397</v>
      </c>
    </row>
    <row r="1783" spans="1:8" ht="24.75" customHeight="1" x14ac:dyDescent="0.55000000000000004">
      <c r="A1783" s="592">
        <v>1782</v>
      </c>
      <c r="B1783" s="596" t="s">
        <v>3043</v>
      </c>
      <c r="C1783" s="592" t="s">
        <v>7098</v>
      </c>
      <c r="D1783" s="592">
        <v>8</v>
      </c>
      <c r="E1783" s="597">
        <v>400</v>
      </c>
      <c r="F1783" s="597">
        <v>400</v>
      </c>
      <c r="G1783" s="597">
        <v>1600</v>
      </c>
      <c r="H1783" s="592" t="s">
        <v>1397</v>
      </c>
    </row>
    <row r="1784" spans="1:8" ht="24.75" customHeight="1" x14ac:dyDescent="0.55000000000000004">
      <c r="A1784" s="592">
        <v>1783</v>
      </c>
      <c r="B1784" s="596" t="s">
        <v>6851</v>
      </c>
      <c r="C1784" s="592" t="s">
        <v>6852</v>
      </c>
      <c r="D1784" s="592">
        <v>2</v>
      </c>
      <c r="E1784" s="597">
        <v>1500</v>
      </c>
      <c r="F1784" s="597">
        <v>1500</v>
      </c>
      <c r="G1784" s="597">
        <v>1800</v>
      </c>
      <c r="H1784" s="592" t="s">
        <v>1397</v>
      </c>
    </row>
    <row r="1785" spans="1:8" ht="24.75" customHeight="1" x14ac:dyDescent="0.55000000000000004">
      <c r="A1785" s="592">
        <v>1784</v>
      </c>
      <c r="B1785" s="596" t="s">
        <v>8589</v>
      </c>
      <c r="C1785" s="592" t="s">
        <v>8590</v>
      </c>
      <c r="D1785" s="592">
        <v>1</v>
      </c>
      <c r="E1785" s="597">
        <v>120000</v>
      </c>
      <c r="F1785" s="597">
        <v>120000</v>
      </c>
      <c r="G1785" s="597">
        <v>98000</v>
      </c>
      <c r="H1785" s="592" t="s">
        <v>1397</v>
      </c>
    </row>
    <row r="1786" spans="1:8" ht="24.75" customHeight="1" x14ac:dyDescent="0.55000000000000004">
      <c r="A1786" s="592">
        <v>1785</v>
      </c>
      <c r="B1786" s="596" t="s">
        <v>4766</v>
      </c>
      <c r="C1786" s="592" t="s">
        <v>4767</v>
      </c>
      <c r="D1786" s="592">
        <v>2</v>
      </c>
      <c r="E1786" s="597">
        <v>800</v>
      </c>
      <c r="F1786" s="597">
        <v>800</v>
      </c>
      <c r="G1786" s="597">
        <v>1200</v>
      </c>
      <c r="H1786" s="592" t="s">
        <v>1397</v>
      </c>
    </row>
    <row r="1787" spans="1:8" ht="24.75" customHeight="1" x14ac:dyDescent="0.55000000000000004">
      <c r="A1787" s="592">
        <v>1786</v>
      </c>
      <c r="B1787" s="596" t="s">
        <v>4768</v>
      </c>
      <c r="C1787" s="592" t="s">
        <v>4769</v>
      </c>
      <c r="D1787" s="592">
        <v>18</v>
      </c>
      <c r="E1787" s="597">
        <v>800</v>
      </c>
      <c r="F1787" s="597">
        <v>800</v>
      </c>
      <c r="G1787" s="597">
        <v>8100</v>
      </c>
      <c r="H1787" s="592" t="s">
        <v>1397</v>
      </c>
    </row>
    <row r="1788" spans="1:8" ht="24.75" customHeight="1" x14ac:dyDescent="0.55000000000000004">
      <c r="A1788" s="592">
        <v>1787</v>
      </c>
      <c r="B1788" s="596" t="s">
        <v>4770</v>
      </c>
      <c r="C1788" s="592" t="s">
        <v>4771</v>
      </c>
      <c r="D1788" s="592">
        <v>1</v>
      </c>
      <c r="E1788" s="597">
        <v>1200</v>
      </c>
      <c r="F1788" s="597">
        <v>1200</v>
      </c>
      <c r="G1788" s="597">
        <v>850</v>
      </c>
      <c r="H1788" s="592" t="s">
        <v>1397</v>
      </c>
    </row>
    <row r="1789" spans="1:8" ht="24.75" customHeight="1" x14ac:dyDescent="0.55000000000000004">
      <c r="A1789" s="592">
        <v>1788</v>
      </c>
      <c r="B1789" s="596" t="s">
        <v>4772</v>
      </c>
      <c r="C1789" s="592" t="s">
        <v>8272</v>
      </c>
      <c r="D1789" s="592">
        <v>4</v>
      </c>
      <c r="E1789" s="597">
        <v>1800</v>
      </c>
      <c r="F1789" s="597">
        <v>1800</v>
      </c>
      <c r="G1789" s="597">
        <v>3800</v>
      </c>
      <c r="H1789" s="592" t="s">
        <v>1397</v>
      </c>
    </row>
    <row r="1790" spans="1:8" ht="24.75" customHeight="1" x14ac:dyDescent="0.55000000000000004">
      <c r="A1790" s="592">
        <v>1789</v>
      </c>
      <c r="B1790" s="596" t="s">
        <v>3044</v>
      </c>
      <c r="C1790" s="592" t="s">
        <v>3045</v>
      </c>
      <c r="D1790" s="592">
        <v>1</v>
      </c>
      <c r="E1790" s="597">
        <v>20000</v>
      </c>
      <c r="F1790" s="597">
        <v>20000</v>
      </c>
      <c r="G1790" s="597">
        <v>11500</v>
      </c>
      <c r="H1790" s="592" t="s">
        <v>1397</v>
      </c>
    </row>
    <row r="1791" spans="1:8" ht="24.75" customHeight="1" x14ac:dyDescent="0.55000000000000004">
      <c r="A1791" s="592">
        <v>1790</v>
      </c>
      <c r="B1791" s="596" t="s">
        <v>7379</v>
      </c>
      <c r="C1791" s="592" t="s">
        <v>7380</v>
      </c>
      <c r="D1791" s="592">
        <v>5</v>
      </c>
      <c r="E1791" s="597">
        <v>20000</v>
      </c>
      <c r="F1791" s="597">
        <v>20000</v>
      </c>
      <c r="G1791" s="597">
        <v>82500</v>
      </c>
      <c r="H1791" s="592" t="s">
        <v>1397</v>
      </c>
    </row>
    <row r="1792" spans="1:8" ht="24.75" customHeight="1" x14ac:dyDescent="0.55000000000000004">
      <c r="A1792" s="592">
        <v>1791</v>
      </c>
      <c r="B1792" s="596" t="s">
        <v>6853</v>
      </c>
      <c r="C1792" s="592" t="s">
        <v>6854</v>
      </c>
      <c r="D1792" s="592">
        <v>2</v>
      </c>
      <c r="E1792" s="597">
        <v>8500</v>
      </c>
      <c r="F1792" s="597">
        <v>8500</v>
      </c>
      <c r="G1792" s="597">
        <v>13400</v>
      </c>
      <c r="H1792" s="592" t="s">
        <v>1397</v>
      </c>
    </row>
    <row r="1793" spans="1:8" ht="24.75" customHeight="1" x14ac:dyDescent="0.55000000000000004">
      <c r="A1793" s="592">
        <v>1792</v>
      </c>
      <c r="B1793" s="596" t="s">
        <v>4773</v>
      </c>
      <c r="C1793" s="592" t="s">
        <v>4774</v>
      </c>
      <c r="D1793" s="592">
        <v>1</v>
      </c>
      <c r="E1793" s="597">
        <v>14500</v>
      </c>
      <c r="F1793" s="597">
        <v>14500</v>
      </c>
      <c r="G1793" s="597">
        <v>10000</v>
      </c>
      <c r="H1793" s="592" t="s">
        <v>1397</v>
      </c>
    </row>
    <row r="1794" spans="1:8" ht="24.75" customHeight="1" x14ac:dyDescent="0.55000000000000004">
      <c r="A1794" s="592">
        <v>1793</v>
      </c>
      <c r="B1794" s="596" t="s">
        <v>4775</v>
      </c>
      <c r="C1794" s="592" t="s">
        <v>7672</v>
      </c>
      <c r="D1794" s="592">
        <v>1</v>
      </c>
      <c r="E1794" s="597">
        <v>5000</v>
      </c>
      <c r="F1794" s="597">
        <v>5000</v>
      </c>
      <c r="G1794" s="597">
        <v>3100</v>
      </c>
      <c r="H1794" s="592" t="s">
        <v>1397</v>
      </c>
    </row>
    <row r="1795" spans="1:8" ht="24.75" customHeight="1" x14ac:dyDescent="0.55000000000000004">
      <c r="A1795" s="592">
        <v>1794</v>
      </c>
      <c r="B1795" s="596" t="s">
        <v>4776</v>
      </c>
      <c r="C1795" s="592" t="s">
        <v>4777</v>
      </c>
      <c r="D1795" s="592">
        <v>5</v>
      </c>
      <c r="E1795" s="597">
        <v>300</v>
      </c>
      <c r="F1795" s="597">
        <v>300</v>
      </c>
      <c r="G1795" s="597">
        <v>750</v>
      </c>
      <c r="H1795" s="592" t="s">
        <v>1397</v>
      </c>
    </row>
    <row r="1796" spans="1:8" ht="24.75" customHeight="1" x14ac:dyDescent="0.55000000000000004">
      <c r="A1796" s="592">
        <v>1795</v>
      </c>
      <c r="B1796" s="596" t="s">
        <v>4778</v>
      </c>
      <c r="C1796" s="592" t="s">
        <v>4779</v>
      </c>
      <c r="D1796" s="592">
        <v>23</v>
      </c>
      <c r="E1796" s="597">
        <v>1500</v>
      </c>
      <c r="F1796" s="597">
        <v>1500</v>
      </c>
      <c r="G1796" s="597">
        <v>14950</v>
      </c>
      <c r="H1796" s="592" t="s">
        <v>1397</v>
      </c>
    </row>
    <row r="1797" spans="1:8" ht="24.75" customHeight="1" x14ac:dyDescent="0.55000000000000004">
      <c r="A1797" s="592">
        <v>1796</v>
      </c>
      <c r="B1797" s="596" t="s">
        <v>3068</v>
      </c>
      <c r="C1797" s="592" t="s">
        <v>3069</v>
      </c>
      <c r="D1797" s="592">
        <v>4</v>
      </c>
      <c r="E1797" s="597">
        <v>3500</v>
      </c>
      <c r="F1797" s="597">
        <v>3500</v>
      </c>
      <c r="G1797" s="597">
        <v>12000</v>
      </c>
      <c r="H1797" s="592" t="s">
        <v>1397</v>
      </c>
    </row>
    <row r="1798" spans="1:8" ht="24.75" customHeight="1" x14ac:dyDescent="0.55000000000000004">
      <c r="A1798" s="592">
        <v>1797</v>
      </c>
      <c r="B1798" s="596" t="s">
        <v>6573</v>
      </c>
      <c r="C1798" s="592" t="s">
        <v>7926</v>
      </c>
      <c r="D1798" s="592">
        <v>1</v>
      </c>
      <c r="E1798" s="597">
        <v>30000</v>
      </c>
      <c r="F1798" s="597">
        <v>30000</v>
      </c>
      <c r="G1798" s="597">
        <v>25000</v>
      </c>
      <c r="H1798" s="592" t="s">
        <v>1397</v>
      </c>
    </row>
    <row r="1799" spans="1:8" ht="24.75" customHeight="1" x14ac:dyDescent="0.55000000000000004">
      <c r="A1799" s="592">
        <v>1798</v>
      </c>
      <c r="B1799" s="596" t="s">
        <v>7927</v>
      </c>
      <c r="C1799" s="592" t="s">
        <v>7928</v>
      </c>
      <c r="D1799" s="592">
        <v>2</v>
      </c>
      <c r="E1799" s="597">
        <v>6000</v>
      </c>
      <c r="F1799" s="597">
        <v>6000</v>
      </c>
      <c r="G1799" s="597">
        <v>9000</v>
      </c>
      <c r="H1799" s="592" t="s">
        <v>1397</v>
      </c>
    </row>
    <row r="1800" spans="1:8" ht="24.75" customHeight="1" x14ac:dyDescent="0.55000000000000004">
      <c r="A1800" s="592">
        <v>1799</v>
      </c>
      <c r="B1800" s="596" t="s">
        <v>4780</v>
      </c>
      <c r="C1800" s="592" t="s">
        <v>4781</v>
      </c>
      <c r="D1800" s="592">
        <v>1</v>
      </c>
      <c r="E1800" s="597">
        <v>25000</v>
      </c>
      <c r="F1800" s="597">
        <v>25000</v>
      </c>
      <c r="G1800" s="597">
        <v>21000</v>
      </c>
      <c r="H1800" s="592" t="s">
        <v>1397</v>
      </c>
    </row>
    <row r="1801" spans="1:8" ht="24.75" customHeight="1" x14ac:dyDescent="0.55000000000000004">
      <c r="A1801" s="592">
        <v>1800</v>
      </c>
      <c r="B1801" s="596" t="s">
        <v>1710</v>
      </c>
      <c r="C1801" s="592" t="s">
        <v>1013</v>
      </c>
      <c r="D1801" s="592">
        <v>16</v>
      </c>
      <c r="E1801" s="597">
        <v>900</v>
      </c>
      <c r="F1801" s="597">
        <v>900</v>
      </c>
      <c r="G1801" s="597">
        <v>11200</v>
      </c>
      <c r="H1801" s="592" t="s">
        <v>1397</v>
      </c>
    </row>
    <row r="1802" spans="1:8" ht="24.75" customHeight="1" x14ac:dyDescent="0.55000000000000004">
      <c r="A1802" s="592">
        <v>1801</v>
      </c>
      <c r="B1802" s="596" t="s">
        <v>4782</v>
      </c>
      <c r="C1802" s="592" t="s">
        <v>4783</v>
      </c>
      <c r="D1802" s="592">
        <v>2</v>
      </c>
      <c r="E1802" s="597">
        <v>4500</v>
      </c>
      <c r="F1802" s="597">
        <v>4500</v>
      </c>
      <c r="G1802" s="597">
        <v>5800</v>
      </c>
      <c r="H1802" s="592" t="s">
        <v>1397</v>
      </c>
    </row>
    <row r="1803" spans="1:8" ht="24.75" customHeight="1" x14ac:dyDescent="0.55000000000000004">
      <c r="A1803" s="592">
        <v>1802</v>
      </c>
      <c r="B1803" s="596" t="s">
        <v>4784</v>
      </c>
      <c r="C1803" s="592" t="s">
        <v>4785</v>
      </c>
      <c r="D1803" s="592">
        <v>1</v>
      </c>
      <c r="E1803" s="597">
        <v>1500</v>
      </c>
      <c r="F1803" s="597">
        <v>1500</v>
      </c>
      <c r="G1803" s="597">
        <v>800</v>
      </c>
      <c r="H1803" s="592" t="s">
        <v>1397</v>
      </c>
    </row>
    <row r="1804" spans="1:8" ht="24.75" customHeight="1" x14ac:dyDescent="0.55000000000000004">
      <c r="A1804" s="592">
        <v>1803</v>
      </c>
      <c r="B1804" s="596" t="s">
        <v>4786</v>
      </c>
      <c r="C1804" s="592" t="s">
        <v>4787</v>
      </c>
      <c r="D1804" s="592">
        <v>3</v>
      </c>
      <c r="E1804" s="597">
        <v>5200</v>
      </c>
      <c r="F1804" s="597">
        <v>5200</v>
      </c>
      <c r="G1804" s="597">
        <v>9000</v>
      </c>
      <c r="H1804" s="592" t="s">
        <v>1397</v>
      </c>
    </row>
    <row r="1805" spans="1:8" ht="24.75" customHeight="1" x14ac:dyDescent="0.55000000000000004">
      <c r="A1805" s="592">
        <v>1804</v>
      </c>
      <c r="B1805" s="596" t="s">
        <v>3070</v>
      </c>
      <c r="C1805" s="592" t="s">
        <v>3071</v>
      </c>
      <c r="D1805" s="592">
        <v>1</v>
      </c>
      <c r="E1805" s="597">
        <v>620000</v>
      </c>
      <c r="F1805" s="597">
        <v>620000</v>
      </c>
      <c r="G1805" s="597">
        <v>500000</v>
      </c>
      <c r="H1805" s="592" t="s">
        <v>1397</v>
      </c>
    </row>
    <row r="1806" spans="1:8" ht="24.75" customHeight="1" x14ac:dyDescent="0.55000000000000004">
      <c r="A1806" s="592">
        <v>1805</v>
      </c>
      <c r="B1806" s="596" t="s">
        <v>4788</v>
      </c>
      <c r="C1806" s="592" t="s">
        <v>4789</v>
      </c>
      <c r="D1806" s="592">
        <v>3</v>
      </c>
      <c r="E1806" s="597">
        <v>500</v>
      </c>
      <c r="F1806" s="597">
        <v>500</v>
      </c>
      <c r="G1806" s="597">
        <v>900</v>
      </c>
      <c r="H1806" s="592" t="s">
        <v>1397</v>
      </c>
    </row>
    <row r="1807" spans="1:8" ht="24.75" customHeight="1" x14ac:dyDescent="0.55000000000000004">
      <c r="A1807" s="592">
        <v>1806</v>
      </c>
      <c r="B1807" s="596" t="s">
        <v>1711</v>
      </c>
      <c r="C1807" s="592" t="s">
        <v>1036</v>
      </c>
      <c r="D1807" s="592">
        <v>24</v>
      </c>
      <c r="E1807" s="597">
        <v>1800</v>
      </c>
      <c r="F1807" s="597">
        <v>1800</v>
      </c>
      <c r="G1807" s="597">
        <v>34800</v>
      </c>
      <c r="H1807" s="592" t="s">
        <v>1397</v>
      </c>
    </row>
    <row r="1808" spans="1:8" ht="24.75" customHeight="1" x14ac:dyDescent="0.55000000000000004">
      <c r="A1808" s="592">
        <v>1807</v>
      </c>
      <c r="B1808" s="596" t="s">
        <v>3161</v>
      </c>
      <c r="C1808" s="592" t="s">
        <v>3162</v>
      </c>
      <c r="D1808" s="592">
        <v>2</v>
      </c>
      <c r="E1808" s="597">
        <v>8000</v>
      </c>
      <c r="F1808" s="597">
        <v>8000</v>
      </c>
      <c r="G1808" s="597">
        <v>11500</v>
      </c>
      <c r="H1808" s="592" t="s">
        <v>1397</v>
      </c>
    </row>
    <row r="1809" spans="1:8" ht="24.75" customHeight="1" x14ac:dyDescent="0.55000000000000004">
      <c r="A1809" s="592">
        <v>1808</v>
      </c>
      <c r="B1809" s="596" t="s">
        <v>3163</v>
      </c>
      <c r="C1809" s="592" t="s">
        <v>6468</v>
      </c>
      <c r="D1809" s="592">
        <v>7</v>
      </c>
      <c r="E1809" s="597">
        <v>2000</v>
      </c>
      <c r="F1809" s="597">
        <v>2000</v>
      </c>
      <c r="G1809" s="597">
        <v>5950</v>
      </c>
      <c r="H1809" s="592" t="s">
        <v>1397</v>
      </c>
    </row>
    <row r="1810" spans="1:8" ht="24.75" customHeight="1" x14ac:dyDescent="0.55000000000000004">
      <c r="A1810" s="592">
        <v>1809</v>
      </c>
      <c r="B1810" s="596" t="s">
        <v>4790</v>
      </c>
      <c r="C1810" s="592" t="s">
        <v>6690</v>
      </c>
      <c r="D1810" s="592">
        <v>3</v>
      </c>
      <c r="E1810" s="597">
        <v>2500</v>
      </c>
      <c r="F1810" s="597">
        <v>2500</v>
      </c>
      <c r="G1810" s="597">
        <v>6600</v>
      </c>
      <c r="H1810" s="592" t="s">
        <v>1397</v>
      </c>
    </row>
    <row r="1811" spans="1:8" ht="24.75" customHeight="1" x14ac:dyDescent="0.55000000000000004">
      <c r="A1811" s="592">
        <v>1810</v>
      </c>
      <c r="B1811" s="596" t="s">
        <v>6691</v>
      </c>
      <c r="C1811" s="592" t="s">
        <v>6692</v>
      </c>
      <c r="D1811" s="592">
        <v>2</v>
      </c>
      <c r="E1811" s="597">
        <v>2800</v>
      </c>
      <c r="F1811" s="597">
        <v>2800</v>
      </c>
      <c r="G1811" s="597">
        <v>4000</v>
      </c>
      <c r="H1811" s="592" t="s">
        <v>1397</v>
      </c>
    </row>
    <row r="1812" spans="1:8" ht="24.75" customHeight="1" x14ac:dyDescent="0.55000000000000004">
      <c r="A1812" s="592">
        <v>1811</v>
      </c>
      <c r="B1812" s="596" t="s">
        <v>4791</v>
      </c>
      <c r="C1812" s="592" t="s">
        <v>4792</v>
      </c>
      <c r="D1812" s="592">
        <v>3</v>
      </c>
      <c r="E1812" s="597">
        <v>3500</v>
      </c>
      <c r="F1812" s="597">
        <v>3500</v>
      </c>
      <c r="G1812" s="597">
        <v>5700</v>
      </c>
      <c r="H1812" s="592" t="s">
        <v>1397</v>
      </c>
    </row>
    <row r="1813" spans="1:8" ht="24.75" customHeight="1" x14ac:dyDescent="0.55000000000000004">
      <c r="A1813" s="592">
        <v>1812</v>
      </c>
      <c r="B1813" s="596" t="s">
        <v>8273</v>
      </c>
      <c r="C1813" s="592" t="s">
        <v>8274</v>
      </c>
      <c r="D1813" s="592">
        <v>1</v>
      </c>
      <c r="E1813" s="597">
        <v>5000</v>
      </c>
      <c r="F1813" s="597">
        <v>5000</v>
      </c>
      <c r="G1813" s="597">
        <v>3500</v>
      </c>
      <c r="H1813" s="592" t="s">
        <v>1397</v>
      </c>
    </row>
    <row r="1814" spans="1:8" ht="24.75" customHeight="1" x14ac:dyDescent="0.55000000000000004">
      <c r="A1814" s="592">
        <v>1813</v>
      </c>
      <c r="B1814" s="596" t="s">
        <v>6469</v>
      </c>
      <c r="C1814" s="592" t="s">
        <v>6470</v>
      </c>
      <c r="D1814" s="592">
        <v>4</v>
      </c>
      <c r="E1814" s="597">
        <v>2500</v>
      </c>
      <c r="F1814" s="597">
        <v>2500</v>
      </c>
      <c r="G1814" s="597">
        <v>6800</v>
      </c>
      <c r="H1814" s="592" t="s">
        <v>1397</v>
      </c>
    </row>
    <row r="1815" spans="1:8" ht="24.75" customHeight="1" x14ac:dyDescent="0.55000000000000004">
      <c r="A1815" s="592">
        <v>1814</v>
      </c>
      <c r="B1815" s="596" t="s">
        <v>4793</v>
      </c>
      <c r="C1815" s="592" t="s">
        <v>4794</v>
      </c>
      <c r="D1815" s="592">
        <v>2</v>
      </c>
      <c r="E1815" s="597">
        <v>6000</v>
      </c>
      <c r="F1815" s="597">
        <v>6000</v>
      </c>
      <c r="G1815" s="597">
        <v>9600</v>
      </c>
      <c r="H1815" s="592" t="s">
        <v>1397</v>
      </c>
    </row>
    <row r="1816" spans="1:8" ht="24.75" customHeight="1" x14ac:dyDescent="0.55000000000000004">
      <c r="A1816" s="592">
        <v>1815</v>
      </c>
      <c r="B1816" s="596" t="s">
        <v>4795</v>
      </c>
      <c r="C1816" s="592" t="s">
        <v>4796</v>
      </c>
      <c r="D1816" s="592">
        <v>3</v>
      </c>
      <c r="E1816" s="597">
        <v>6000</v>
      </c>
      <c r="F1816" s="597">
        <v>6000</v>
      </c>
      <c r="G1816" s="597">
        <v>12300</v>
      </c>
      <c r="H1816" s="592" t="s">
        <v>1397</v>
      </c>
    </row>
    <row r="1817" spans="1:8" ht="24.75" customHeight="1" x14ac:dyDescent="0.55000000000000004">
      <c r="A1817" s="592">
        <v>1816</v>
      </c>
      <c r="B1817" s="596" t="s">
        <v>3164</v>
      </c>
      <c r="C1817" s="592" t="s">
        <v>3165</v>
      </c>
      <c r="D1817" s="592">
        <v>6</v>
      </c>
      <c r="E1817" s="597">
        <v>1000</v>
      </c>
      <c r="F1817" s="597">
        <v>1000</v>
      </c>
      <c r="G1817" s="597">
        <v>2400</v>
      </c>
      <c r="H1817" s="592" t="s">
        <v>1397</v>
      </c>
    </row>
    <row r="1818" spans="1:8" ht="24.75" customHeight="1" x14ac:dyDescent="0.55000000000000004">
      <c r="A1818" s="592">
        <v>1817</v>
      </c>
      <c r="B1818" s="596" t="s">
        <v>6141</v>
      </c>
      <c r="C1818" s="592" t="s">
        <v>6303</v>
      </c>
      <c r="D1818" s="592">
        <v>2</v>
      </c>
      <c r="E1818" s="597">
        <v>1500</v>
      </c>
      <c r="F1818" s="597">
        <v>1500</v>
      </c>
      <c r="G1818" s="597">
        <v>1916</v>
      </c>
      <c r="H1818" s="592" t="s">
        <v>1397</v>
      </c>
    </row>
    <row r="1819" spans="1:8" ht="24.75" customHeight="1" x14ac:dyDescent="0.55000000000000004">
      <c r="A1819" s="592">
        <v>1818</v>
      </c>
      <c r="B1819" s="596" t="s">
        <v>6855</v>
      </c>
      <c r="C1819" s="592" t="s">
        <v>3361</v>
      </c>
      <c r="D1819" s="592">
        <v>1</v>
      </c>
      <c r="E1819" s="597">
        <v>9000</v>
      </c>
      <c r="F1819" s="597">
        <v>9000</v>
      </c>
      <c r="G1819" s="597">
        <v>5100</v>
      </c>
      <c r="H1819" s="592" t="s">
        <v>1397</v>
      </c>
    </row>
    <row r="1820" spans="1:8" ht="24.75" customHeight="1" x14ac:dyDescent="0.55000000000000004">
      <c r="A1820" s="592">
        <v>1819</v>
      </c>
      <c r="B1820" s="596" t="s">
        <v>4797</v>
      </c>
      <c r="C1820" s="592" t="s">
        <v>4798</v>
      </c>
      <c r="D1820" s="592">
        <v>1</v>
      </c>
      <c r="E1820" s="597">
        <v>42000</v>
      </c>
      <c r="F1820" s="597">
        <v>42000</v>
      </c>
      <c r="G1820" s="597">
        <v>25500</v>
      </c>
      <c r="H1820" s="592" t="s">
        <v>1397</v>
      </c>
    </row>
    <row r="1821" spans="1:8" ht="24.75" customHeight="1" x14ac:dyDescent="0.55000000000000004">
      <c r="A1821" s="592">
        <v>1820</v>
      </c>
      <c r="B1821" s="596" t="s">
        <v>4799</v>
      </c>
      <c r="C1821" s="592" t="s">
        <v>4800</v>
      </c>
      <c r="D1821" s="592">
        <v>2</v>
      </c>
      <c r="E1821" s="597">
        <v>2000</v>
      </c>
      <c r="F1821" s="597">
        <v>2000</v>
      </c>
      <c r="G1821" s="597">
        <v>2800</v>
      </c>
      <c r="H1821" s="592" t="s">
        <v>1397</v>
      </c>
    </row>
    <row r="1822" spans="1:8" ht="24.75" customHeight="1" x14ac:dyDescent="0.55000000000000004">
      <c r="A1822" s="592">
        <v>1821</v>
      </c>
      <c r="B1822" s="596" t="s">
        <v>3166</v>
      </c>
      <c r="C1822" s="592" t="s">
        <v>3167</v>
      </c>
      <c r="D1822" s="592">
        <v>1</v>
      </c>
      <c r="E1822" s="597">
        <v>3000</v>
      </c>
      <c r="F1822" s="597">
        <v>3000</v>
      </c>
      <c r="G1822" s="597">
        <v>2600</v>
      </c>
      <c r="H1822" s="592" t="s">
        <v>1397</v>
      </c>
    </row>
    <row r="1823" spans="1:8" ht="24.75" customHeight="1" x14ac:dyDescent="0.55000000000000004">
      <c r="A1823" s="592">
        <v>1822</v>
      </c>
      <c r="B1823" s="596" t="s">
        <v>4801</v>
      </c>
      <c r="C1823" s="592" t="s">
        <v>4802</v>
      </c>
      <c r="D1823" s="592">
        <v>13</v>
      </c>
      <c r="E1823" s="597">
        <v>700</v>
      </c>
      <c r="F1823" s="597">
        <v>700</v>
      </c>
      <c r="G1823" s="597">
        <v>5850</v>
      </c>
      <c r="H1823" s="592" t="s">
        <v>1397</v>
      </c>
    </row>
    <row r="1824" spans="1:8" ht="24.75" customHeight="1" x14ac:dyDescent="0.55000000000000004">
      <c r="A1824" s="592">
        <v>1823</v>
      </c>
      <c r="B1824" s="596" t="s">
        <v>1712</v>
      </c>
      <c r="C1824" s="592" t="s">
        <v>1014</v>
      </c>
      <c r="D1824" s="592">
        <v>1</v>
      </c>
      <c r="E1824" s="597">
        <v>3500</v>
      </c>
      <c r="F1824" s="597">
        <v>3500</v>
      </c>
      <c r="G1824" s="597">
        <v>2850</v>
      </c>
      <c r="H1824" s="592" t="s">
        <v>1397</v>
      </c>
    </row>
    <row r="1825" spans="1:8" ht="24.75" customHeight="1" x14ac:dyDescent="0.55000000000000004">
      <c r="A1825" s="592">
        <v>1824</v>
      </c>
      <c r="B1825" s="596" t="s">
        <v>4803</v>
      </c>
      <c r="C1825" s="592" t="s">
        <v>4804</v>
      </c>
      <c r="D1825" s="592">
        <v>2</v>
      </c>
      <c r="E1825" s="597">
        <v>12500</v>
      </c>
      <c r="F1825" s="597">
        <v>12500</v>
      </c>
      <c r="G1825" s="597">
        <v>15000</v>
      </c>
      <c r="H1825" s="592" t="s">
        <v>1397</v>
      </c>
    </row>
    <row r="1826" spans="1:8" ht="24.75" customHeight="1" x14ac:dyDescent="0.55000000000000004">
      <c r="A1826" s="592">
        <v>1825</v>
      </c>
      <c r="B1826" s="596" t="s">
        <v>4805</v>
      </c>
      <c r="C1826" s="592" t="s">
        <v>7673</v>
      </c>
      <c r="D1826" s="592">
        <v>1</v>
      </c>
      <c r="E1826" s="597">
        <v>9500</v>
      </c>
      <c r="F1826" s="597">
        <v>9500</v>
      </c>
      <c r="G1826" s="597">
        <v>6200</v>
      </c>
      <c r="H1826" s="592" t="s">
        <v>1397</v>
      </c>
    </row>
    <row r="1827" spans="1:8" ht="24.75" customHeight="1" x14ac:dyDescent="0.55000000000000004">
      <c r="A1827" s="592">
        <v>1826</v>
      </c>
      <c r="B1827" s="596" t="s">
        <v>4806</v>
      </c>
      <c r="C1827" s="592" t="s">
        <v>4807</v>
      </c>
      <c r="D1827" s="592">
        <v>15</v>
      </c>
      <c r="E1827" s="597">
        <v>1000</v>
      </c>
      <c r="F1827" s="597">
        <v>1000</v>
      </c>
      <c r="G1827" s="597">
        <v>8250</v>
      </c>
      <c r="H1827" s="592" t="s">
        <v>1397</v>
      </c>
    </row>
    <row r="1828" spans="1:8" ht="24.75" customHeight="1" x14ac:dyDescent="0.55000000000000004">
      <c r="A1828" s="592">
        <v>1827</v>
      </c>
      <c r="B1828" s="596" t="s">
        <v>3168</v>
      </c>
      <c r="C1828" s="592" t="s">
        <v>3169</v>
      </c>
      <c r="D1828" s="592">
        <v>4</v>
      </c>
      <c r="E1828" s="597">
        <v>13000</v>
      </c>
      <c r="F1828" s="597">
        <v>13000</v>
      </c>
      <c r="G1828" s="597">
        <v>32000</v>
      </c>
      <c r="H1828" s="592" t="s">
        <v>1397</v>
      </c>
    </row>
    <row r="1829" spans="1:8" ht="24.75" customHeight="1" x14ac:dyDescent="0.55000000000000004">
      <c r="A1829" s="592">
        <v>1828</v>
      </c>
      <c r="B1829" s="596" t="s">
        <v>4808</v>
      </c>
      <c r="C1829" s="592" t="s">
        <v>8275</v>
      </c>
      <c r="D1829" s="592">
        <v>4</v>
      </c>
      <c r="E1829" s="597">
        <v>5000</v>
      </c>
      <c r="F1829" s="597">
        <v>5000</v>
      </c>
      <c r="G1829" s="597">
        <v>14800</v>
      </c>
      <c r="H1829" s="592" t="s">
        <v>1397</v>
      </c>
    </row>
    <row r="1830" spans="1:8" ht="24.75" customHeight="1" x14ac:dyDescent="0.55000000000000004">
      <c r="A1830" s="592">
        <v>1829</v>
      </c>
      <c r="B1830" s="596" t="s">
        <v>4809</v>
      </c>
      <c r="C1830" s="592" t="s">
        <v>8792</v>
      </c>
      <c r="D1830" s="592">
        <v>1</v>
      </c>
      <c r="E1830" s="597">
        <v>22000</v>
      </c>
      <c r="F1830" s="597">
        <v>22000</v>
      </c>
      <c r="G1830" s="597">
        <v>17000</v>
      </c>
      <c r="H1830" s="592" t="s">
        <v>1397</v>
      </c>
    </row>
    <row r="1831" spans="1:8" ht="24.75" customHeight="1" x14ac:dyDescent="0.55000000000000004">
      <c r="A1831" s="592">
        <v>1830</v>
      </c>
      <c r="B1831" s="596" t="s">
        <v>4810</v>
      </c>
      <c r="C1831" s="592" t="s">
        <v>8793</v>
      </c>
      <c r="D1831" s="592">
        <v>4</v>
      </c>
      <c r="E1831" s="597">
        <v>7000</v>
      </c>
      <c r="F1831" s="597">
        <v>7000</v>
      </c>
      <c r="G1831" s="597">
        <v>22000</v>
      </c>
      <c r="H1831" s="592" t="s">
        <v>1397</v>
      </c>
    </row>
    <row r="1832" spans="1:8" ht="24.75" customHeight="1" x14ac:dyDescent="0.55000000000000004">
      <c r="A1832" s="592">
        <v>1831</v>
      </c>
      <c r="B1832" s="596" t="s">
        <v>1713</v>
      </c>
      <c r="C1832" s="592" t="s">
        <v>1015</v>
      </c>
      <c r="D1832" s="592">
        <v>8</v>
      </c>
      <c r="E1832" s="597">
        <v>500</v>
      </c>
      <c r="F1832" s="597">
        <v>500</v>
      </c>
      <c r="G1832" s="597">
        <v>2000</v>
      </c>
      <c r="H1832" s="592" t="s">
        <v>1397</v>
      </c>
    </row>
    <row r="1833" spans="1:8" ht="24.75" customHeight="1" x14ac:dyDescent="0.55000000000000004">
      <c r="A1833" s="592">
        <v>1832</v>
      </c>
      <c r="B1833" s="596" t="s">
        <v>4811</v>
      </c>
      <c r="C1833" s="592" t="s">
        <v>8591</v>
      </c>
      <c r="D1833" s="592">
        <v>9</v>
      </c>
      <c r="E1833" s="597">
        <v>2000</v>
      </c>
      <c r="F1833" s="597">
        <v>2000</v>
      </c>
      <c r="G1833" s="597">
        <v>10350</v>
      </c>
      <c r="H1833" s="592" t="s">
        <v>1397</v>
      </c>
    </row>
    <row r="1834" spans="1:8" ht="24.75" customHeight="1" x14ac:dyDescent="0.55000000000000004">
      <c r="A1834" s="592">
        <v>1833</v>
      </c>
      <c r="B1834" s="596" t="s">
        <v>3170</v>
      </c>
      <c r="C1834" s="592" t="s">
        <v>3171</v>
      </c>
      <c r="D1834" s="592">
        <v>17</v>
      </c>
      <c r="E1834" s="597">
        <v>1000</v>
      </c>
      <c r="F1834" s="597">
        <v>1000</v>
      </c>
      <c r="G1834" s="597">
        <v>10200</v>
      </c>
      <c r="H1834" s="592" t="s">
        <v>1397</v>
      </c>
    </row>
    <row r="1835" spans="1:8" ht="24.75" customHeight="1" x14ac:dyDescent="0.55000000000000004">
      <c r="A1835" s="592">
        <v>1834</v>
      </c>
      <c r="B1835" s="596" t="s">
        <v>4812</v>
      </c>
      <c r="C1835" s="592" t="s">
        <v>4813</v>
      </c>
      <c r="D1835" s="592">
        <v>10</v>
      </c>
      <c r="E1835" s="597">
        <v>5000</v>
      </c>
      <c r="F1835" s="597">
        <v>5000</v>
      </c>
      <c r="G1835" s="597">
        <v>23000</v>
      </c>
      <c r="H1835" s="592" t="s">
        <v>1397</v>
      </c>
    </row>
    <row r="1836" spans="1:8" ht="24.75" customHeight="1" x14ac:dyDescent="0.55000000000000004">
      <c r="A1836" s="592">
        <v>1835</v>
      </c>
      <c r="B1836" s="596" t="s">
        <v>4814</v>
      </c>
      <c r="C1836" s="592" t="s">
        <v>4815</v>
      </c>
      <c r="D1836" s="592">
        <v>1</v>
      </c>
      <c r="E1836" s="597">
        <v>14000</v>
      </c>
      <c r="F1836" s="597">
        <v>14000</v>
      </c>
      <c r="G1836" s="597">
        <v>10000</v>
      </c>
      <c r="H1836" s="592" t="s">
        <v>1397</v>
      </c>
    </row>
    <row r="1837" spans="1:8" ht="24.75" customHeight="1" x14ac:dyDescent="0.55000000000000004">
      <c r="A1837" s="592">
        <v>1836</v>
      </c>
      <c r="B1837" s="596" t="s">
        <v>4816</v>
      </c>
      <c r="C1837" s="592" t="s">
        <v>4817</v>
      </c>
      <c r="D1837" s="592">
        <v>1</v>
      </c>
      <c r="E1837" s="597">
        <v>500</v>
      </c>
      <c r="F1837" s="597">
        <v>500</v>
      </c>
      <c r="G1837" s="597">
        <v>200</v>
      </c>
      <c r="H1837" s="592" t="s">
        <v>1397</v>
      </c>
    </row>
    <row r="1838" spans="1:8" ht="24.75" customHeight="1" x14ac:dyDescent="0.55000000000000004">
      <c r="A1838" s="592">
        <v>1837</v>
      </c>
      <c r="B1838" s="596" t="s">
        <v>4818</v>
      </c>
      <c r="C1838" s="592" t="s">
        <v>4819</v>
      </c>
      <c r="D1838" s="592">
        <v>5</v>
      </c>
      <c r="E1838" s="597">
        <v>1500</v>
      </c>
      <c r="F1838" s="597">
        <v>1500</v>
      </c>
      <c r="G1838" s="597">
        <v>5000</v>
      </c>
      <c r="H1838" s="592" t="s">
        <v>1397</v>
      </c>
    </row>
    <row r="1839" spans="1:8" ht="24.75" customHeight="1" x14ac:dyDescent="0.55000000000000004">
      <c r="A1839" s="592">
        <v>1838</v>
      </c>
      <c r="B1839" s="596" t="s">
        <v>7381</v>
      </c>
      <c r="C1839" s="592" t="s">
        <v>7382</v>
      </c>
      <c r="D1839" s="592">
        <v>1</v>
      </c>
      <c r="E1839" s="597">
        <v>80000</v>
      </c>
      <c r="F1839" s="597">
        <v>80000</v>
      </c>
      <c r="G1839" s="597">
        <v>65000</v>
      </c>
      <c r="H1839" s="592" t="s">
        <v>1397</v>
      </c>
    </row>
    <row r="1840" spans="1:8" ht="24.75" customHeight="1" x14ac:dyDescent="0.55000000000000004">
      <c r="A1840" s="592">
        <v>1839</v>
      </c>
      <c r="B1840" s="596" t="s">
        <v>4820</v>
      </c>
      <c r="C1840" s="592" t="s">
        <v>4821</v>
      </c>
      <c r="D1840" s="592">
        <v>2</v>
      </c>
      <c r="E1840" s="597">
        <v>12000</v>
      </c>
      <c r="F1840" s="597">
        <v>12000</v>
      </c>
      <c r="G1840" s="597">
        <v>21000</v>
      </c>
      <c r="H1840" s="592" t="s">
        <v>1397</v>
      </c>
    </row>
    <row r="1841" spans="1:8" ht="24.75" customHeight="1" x14ac:dyDescent="0.55000000000000004">
      <c r="A1841" s="592">
        <v>1840</v>
      </c>
      <c r="B1841" s="596" t="s">
        <v>8276</v>
      </c>
      <c r="C1841" s="592" t="s">
        <v>8277</v>
      </c>
      <c r="D1841" s="592">
        <v>1</v>
      </c>
      <c r="E1841" s="597">
        <v>30000</v>
      </c>
      <c r="F1841" s="597">
        <v>30000</v>
      </c>
      <c r="G1841" s="597">
        <v>25000</v>
      </c>
      <c r="H1841" s="592" t="s">
        <v>1397</v>
      </c>
    </row>
    <row r="1842" spans="1:8" ht="24.75" customHeight="1" x14ac:dyDescent="0.55000000000000004">
      <c r="A1842" s="592">
        <v>1841</v>
      </c>
      <c r="B1842" s="596" t="s">
        <v>6856</v>
      </c>
      <c r="C1842" s="592" t="s">
        <v>6857</v>
      </c>
      <c r="D1842" s="592">
        <v>1</v>
      </c>
      <c r="E1842" s="597">
        <v>6000</v>
      </c>
      <c r="F1842" s="597">
        <v>6000</v>
      </c>
      <c r="G1842" s="597">
        <v>5000</v>
      </c>
      <c r="H1842" s="592" t="s">
        <v>1397</v>
      </c>
    </row>
    <row r="1843" spans="1:8" ht="24.75" customHeight="1" x14ac:dyDescent="0.55000000000000004">
      <c r="A1843" s="592">
        <v>1842</v>
      </c>
      <c r="B1843" s="596" t="s">
        <v>4822</v>
      </c>
      <c r="C1843" s="592" t="s">
        <v>4823</v>
      </c>
      <c r="D1843" s="592">
        <v>1</v>
      </c>
      <c r="E1843" s="597">
        <v>4200</v>
      </c>
      <c r="F1843" s="597">
        <v>4200</v>
      </c>
      <c r="G1843" s="597">
        <v>2800</v>
      </c>
      <c r="H1843" s="592" t="s">
        <v>1397</v>
      </c>
    </row>
    <row r="1844" spans="1:8" ht="24.75" customHeight="1" x14ac:dyDescent="0.55000000000000004">
      <c r="A1844" s="592">
        <v>1843</v>
      </c>
      <c r="B1844" s="596" t="s">
        <v>4824</v>
      </c>
      <c r="C1844" s="592" t="s">
        <v>4825</v>
      </c>
      <c r="D1844" s="592">
        <v>6</v>
      </c>
      <c r="E1844" s="597">
        <v>7000</v>
      </c>
      <c r="F1844" s="597">
        <v>7000</v>
      </c>
      <c r="G1844" s="597">
        <v>42000</v>
      </c>
      <c r="H1844" s="592" t="s">
        <v>1397</v>
      </c>
    </row>
    <row r="1845" spans="1:8" ht="24.75" customHeight="1" x14ac:dyDescent="0.55000000000000004">
      <c r="A1845" s="592">
        <v>1844</v>
      </c>
      <c r="B1845" s="596" t="s">
        <v>4826</v>
      </c>
      <c r="C1845" s="592" t="s">
        <v>4827</v>
      </c>
      <c r="D1845" s="592">
        <v>2</v>
      </c>
      <c r="E1845" s="597">
        <v>5000</v>
      </c>
      <c r="F1845" s="597">
        <v>5000</v>
      </c>
      <c r="G1845" s="597">
        <v>6400</v>
      </c>
      <c r="H1845" s="592" t="s">
        <v>1397</v>
      </c>
    </row>
    <row r="1846" spans="1:8" ht="24.75" customHeight="1" x14ac:dyDescent="0.55000000000000004">
      <c r="A1846" s="592">
        <v>1845</v>
      </c>
      <c r="B1846" s="596" t="s">
        <v>4828</v>
      </c>
      <c r="C1846" s="592" t="s">
        <v>4829</v>
      </c>
      <c r="D1846" s="592">
        <v>1</v>
      </c>
      <c r="E1846" s="597">
        <v>170000</v>
      </c>
      <c r="F1846" s="597">
        <v>170000</v>
      </c>
      <c r="G1846" s="597">
        <v>130000</v>
      </c>
      <c r="H1846" s="592" t="s">
        <v>1397</v>
      </c>
    </row>
    <row r="1847" spans="1:8" ht="24.75" customHeight="1" x14ac:dyDescent="0.55000000000000004">
      <c r="A1847" s="592">
        <v>1846</v>
      </c>
      <c r="B1847" s="596" t="s">
        <v>4832</v>
      </c>
      <c r="C1847" s="592" t="s">
        <v>4833</v>
      </c>
      <c r="D1847" s="592">
        <v>3</v>
      </c>
      <c r="E1847" s="597">
        <v>4000</v>
      </c>
      <c r="F1847" s="597">
        <v>4000</v>
      </c>
      <c r="G1847" s="597">
        <v>5550</v>
      </c>
      <c r="H1847" s="592" t="s">
        <v>1397</v>
      </c>
    </row>
    <row r="1848" spans="1:8" ht="24.75" customHeight="1" x14ac:dyDescent="0.55000000000000004">
      <c r="A1848" s="592">
        <v>1847</v>
      </c>
      <c r="B1848" s="596" t="s">
        <v>4834</v>
      </c>
      <c r="C1848" s="592" t="s">
        <v>4835</v>
      </c>
      <c r="D1848" s="592">
        <v>3</v>
      </c>
      <c r="E1848" s="597">
        <v>9000</v>
      </c>
      <c r="F1848" s="597">
        <v>9000</v>
      </c>
      <c r="G1848" s="597">
        <v>20400</v>
      </c>
      <c r="H1848" s="592" t="s">
        <v>1397</v>
      </c>
    </row>
    <row r="1849" spans="1:8" ht="24.75" customHeight="1" x14ac:dyDescent="0.55000000000000004">
      <c r="A1849" s="592">
        <v>1848</v>
      </c>
      <c r="B1849" s="596" t="s">
        <v>4836</v>
      </c>
      <c r="C1849" s="592" t="s">
        <v>7383</v>
      </c>
      <c r="D1849" s="592">
        <v>1</v>
      </c>
      <c r="E1849" s="597">
        <v>3000</v>
      </c>
      <c r="F1849" s="597">
        <v>3000</v>
      </c>
      <c r="G1849" s="597">
        <v>1500</v>
      </c>
      <c r="H1849" s="592" t="s">
        <v>1397</v>
      </c>
    </row>
    <row r="1850" spans="1:8" ht="24.75" customHeight="1" x14ac:dyDescent="0.55000000000000004">
      <c r="A1850" s="592">
        <v>1849</v>
      </c>
      <c r="B1850" s="596" t="s">
        <v>4837</v>
      </c>
      <c r="C1850" s="592" t="s">
        <v>4838</v>
      </c>
      <c r="D1850" s="592">
        <v>5</v>
      </c>
      <c r="E1850" s="597">
        <v>500</v>
      </c>
      <c r="F1850" s="597">
        <v>500</v>
      </c>
      <c r="G1850" s="597">
        <v>1500</v>
      </c>
      <c r="H1850" s="592" t="s">
        <v>1397</v>
      </c>
    </row>
    <row r="1851" spans="1:8" ht="24.75" customHeight="1" x14ac:dyDescent="0.55000000000000004">
      <c r="A1851" s="592">
        <v>1850</v>
      </c>
      <c r="B1851" s="596" t="s">
        <v>4839</v>
      </c>
      <c r="C1851" s="592" t="s">
        <v>4840</v>
      </c>
      <c r="D1851" s="592">
        <v>3</v>
      </c>
      <c r="E1851" s="597">
        <v>200</v>
      </c>
      <c r="F1851" s="597">
        <v>200</v>
      </c>
      <c r="G1851" s="597">
        <v>300</v>
      </c>
      <c r="H1851" s="592" t="s">
        <v>1397</v>
      </c>
    </row>
    <row r="1852" spans="1:8" ht="24.75" customHeight="1" x14ac:dyDescent="0.55000000000000004">
      <c r="A1852" s="592">
        <v>1851</v>
      </c>
      <c r="B1852" s="596" t="s">
        <v>4841</v>
      </c>
      <c r="C1852" s="592" t="s">
        <v>4842</v>
      </c>
      <c r="D1852" s="592">
        <v>3</v>
      </c>
      <c r="E1852" s="597">
        <v>10000</v>
      </c>
      <c r="F1852" s="597">
        <v>10000</v>
      </c>
      <c r="G1852" s="597">
        <v>15600</v>
      </c>
      <c r="H1852" s="592" t="s">
        <v>1397</v>
      </c>
    </row>
    <row r="1853" spans="1:8" ht="24.75" customHeight="1" x14ac:dyDescent="0.55000000000000004">
      <c r="A1853" s="592">
        <v>1852</v>
      </c>
      <c r="B1853" s="596" t="s">
        <v>8080</v>
      </c>
      <c r="C1853" s="592" t="s">
        <v>8081</v>
      </c>
      <c r="D1853" s="592">
        <v>1</v>
      </c>
      <c r="E1853" s="597">
        <v>550000</v>
      </c>
      <c r="F1853" s="597">
        <v>550000</v>
      </c>
      <c r="G1853" s="597">
        <v>505000</v>
      </c>
      <c r="H1853" s="592" t="s">
        <v>1397</v>
      </c>
    </row>
    <row r="1854" spans="1:8" ht="24.75" customHeight="1" x14ac:dyDescent="0.55000000000000004">
      <c r="A1854" s="592">
        <v>1853</v>
      </c>
      <c r="B1854" s="596" t="s">
        <v>4843</v>
      </c>
      <c r="C1854" s="592" t="s">
        <v>4844</v>
      </c>
      <c r="D1854" s="592">
        <v>1</v>
      </c>
      <c r="E1854" s="597">
        <v>75000</v>
      </c>
      <c r="F1854" s="597">
        <v>75000</v>
      </c>
      <c r="G1854" s="597">
        <v>50000</v>
      </c>
      <c r="H1854" s="592" t="s">
        <v>1397</v>
      </c>
    </row>
    <row r="1855" spans="1:8" ht="24.75" customHeight="1" x14ac:dyDescent="0.55000000000000004">
      <c r="A1855" s="592">
        <v>1854</v>
      </c>
      <c r="B1855" s="596" t="s">
        <v>4845</v>
      </c>
      <c r="C1855" s="592" t="s">
        <v>8278</v>
      </c>
      <c r="D1855" s="592">
        <v>1</v>
      </c>
      <c r="E1855" s="597">
        <v>12000</v>
      </c>
      <c r="F1855" s="597">
        <v>12000</v>
      </c>
      <c r="G1855" s="597">
        <v>9000</v>
      </c>
      <c r="H1855" s="592" t="s">
        <v>1397</v>
      </c>
    </row>
    <row r="1856" spans="1:8" ht="24.75" customHeight="1" x14ac:dyDescent="0.55000000000000004">
      <c r="A1856" s="592">
        <v>1855</v>
      </c>
      <c r="B1856" s="596" t="s">
        <v>4846</v>
      </c>
      <c r="C1856" s="592" t="s">
        <v>7384</v>
      </c>
      <c r="D1856" s="592">
        <v>3</v>
      </c>
      <c r="E1856" s="597">
        <v>18000</v>
      </c>
      <c r="F1856" s="597">
        <v>18000</v>
      </c>
      <c r="G1856" s="597">
        <v>37500</v>
      </c>
      <c r="H1856" s="592" t="s">
        <v>1397</v>
      </c>
    </row>
    <row r="1857" spans="1:8" ht="24.75" customHeight="1" x14ac:dyDescent="0.55000000000000004">
      <c r="A1857" s="592">
        <v>1856</v>
      </c>
      <c r="B1857" s="596" t="s">
        <v>4847</v>
      </c>
      <c r="C1857" s="592" t="s">
        <v>4848</v>
      </c>
      <c r="D1857" s="592">
        <v>2</v>
      </c>
      <c r="E1857" s="597">
        <v>15000</v>
      </c>
      <c r="F1857" s="597">
        <v>15000</v>
      </c>
      <c r="G1857" s="597">
        <v>18000</v>
      </c>
      <c r="H1857" s="592" t="s">
        <v>1397</v>
      </c>
    </row>
    <row r="1858" spans="1:8" ht="24.75" customHeight="1" x14ac:dyDescent="0.55000000000000004">
      <c r="A1858" s="592">
        <v>1857</v>
      </c>
      <c r="B1858" s="596" t="s">
        <v>4849</v>
      </c>
      <c r="C1858" s="592" t="s">
        <v>4850</v>
      </c>
      <c r="D1858" s="592">
        <v>4</v>
      </c>
      <c r="E1858" s="597">
        <v>300</v>
      </c>
      <c r="F1858" s="597">
        <v>300</v>
      </c>
      <c r="G1858" s="597">
        <v>800</v>
      </c>
      <c r="H1858" s="592" t="s">
        <v>1397</v>
      </c>
    </row>
    <row r="1859" spans="1:8" ht="24.75" customHeight="1" x14ac:dyDescent="0.55000000000000004">
      <c r="A1859" s="592">
        <v>1858</v>
      </c>
      <c r="B1859" s="596" t="s">
        <v>4851</v>
      </c>
      <c r="C1859" s="592" t="s">
        <v>4852</v>
      </c>
      <c r="D1859" s="592">
        <v>2</v>
      </c>
      <c r="E1859" s="597">
        <v>1000</v>
      </c>
      <c r="F1859" s="597">
        <v>1000</v>
      </c>
      <c r="G1859" s="597">
        <v>1400</v>
      </c>
      <c r="H1859" s="592" t="s">
        <v>1397</v>
      </c>
    </row>
    <row r="1860" spans="1:8" ht="24.75" customHeight="1" x14ac:dyDescent="0.55000000000000004">
      <c r="A1860" s="592">
        <v>1859</v>
      </c>
      <c r="B1860" s="596" t="s">
        <v>7929</v>
      </c>
      <c r="C1860" s="592" t="s">
        <v>7930</v>
      </c>
      <c r="D1860" s="592">
        <v>1</v>
      </c>
      <c r="E1860" s="597">
        <v>14500</v>
      </c>
      <c r="F1860" s="597">
        <v>14500</v>
      </c>
      <c r="G1860" s="597">
        <v>9500</v>
      </c>
      <c r="H1860" s="592" t="s">
        <v>1397</v>
      </c>
    </row>
    <row r="1861" spans="1:8" ht="24.75" customHeight="1" x14ac:dyDescent="0.55000000000000004">
      <c r="A1861" s="592">
        <v>1860</v>
      </c>
      <c r="B1861" s="596" t="s">
        <v>3280</v>
      </c>
      <c r="C1861" s="592" t="s">
        <v>7674</v>
      </c>
      <c r="D1861" s="592">
        <v>3</v>
      </c>
      <c r="E1861" s="597">
        <v>6000</v>
      </c>
      <c r="F1861" s="597">
        <v>6000</v>
      </c>
      <c r="G1861" s="597">
        <v>12900</v>
      </c>
      <c r="H1861" s="592" t="s">
        <v>1397</v>
      </c>
    </row>
    <row r="1862" spans="1:8" ht="24.75" customHeight="1" x14ac:dyDescent="0.55000000000000004">
      <c r="A1862" s="592">
        <v>1861</v>
      </c>
      <c r="B1862" s="596" t="s">
        <v>3281</v>
      </c>
      <c r="C1862" s="592" t="s">
        <v>8592</v>
      </c>
      <c r="D1862" s="592">
        <v>1</v>
      </c>
      <c r="E1862" s="597">
        <v>50000</v>
      </c>
      <c r="F1862" s="597">
        <v>50000</v>
      </c>
      <c r="G1862" s="597">
        <v>36000</v>
      </c>
      <c r="H1862" s="592" t="s">
        <v>1397</v>
      </c>
    </row>
    <row r="1863" spans="1:8" ht="24.75" customHeight="1" x14ac:dyDescent="0.55000000000000004">
      <c r="A1863" s="592">
        <v>1862</v>
      </c>
      <c r="B1863" s="596" t="s">
        <v>4853</v>
      </c>
      <c r="C1863" s="592" t="s">
        <v>4854</v>
      </c>
      <c r="D1863" s="592">
        <v>1</v>
      </c>
      <c r="E1863" s="597">
        <v>10000</v>
      </c>
      <c r="F1863" s="597">
        <v>10000</v>
      </c>
      <c r="G1863" s="597">
        <v>6000</v>
      </c>
      <c r="H1863" s="592" t="s">
        <v>1397</v>
      </c>
    </row>
    <row r="1864" spans="1:8" ht="24.75" customHeight="1" x14ac:dyDescent="0.55000000000000004">
      <c r="A1864" s="592">
        <v>1863</v>
      </c>
      <c r="B1864" s="596" t="s">
        <v>4855</v>
      </c>
      <c r="C1864" s="592" t="s">
        <v>4856</v>
      </c>
      <c r="D1864" s="592">
        <v>1</v>
      </c>
      <c r="E1864" s="597">
        <v>24000</v>
      </c>
      <c r="F1864" s="597">
        <v>24000</v>
      </c>
      <c r="G1864" s="597">
        <v>17500</v>
      </c>
      <c r="H1864" s="592" t="s">
        <v>1397</v>
      </c>
    </row>
    <row r="1865" spans="1:8" ht="24.75" customHeight="1" x14ac:dyDescent="0.55000000000000004">
      <c r="A1865" s="592">
        <v>1864</v>
      </c>
      <c r="B1865" s="596" t="s">
        <v>8593</v>
      </c>
      <c r="C1865" s="592" t="s">
        <v>8594</v>
      </c>
      <c r="D1865" s="592">
        <v>2</v>
      </c>
      <c r="E1865" s="597">
        <v>6000</v>
      </c>
      <c r="F1865" s="597">
        <v>6000</v>
      </c>
      <c r="G1865" s="597">
        <v>9000</v>
      </c>
      <c r="H1865" s="592" t="s">
        <v>1397</v>
      </c>
    </row>
    <row r="1866" spans="1:8" ht="24.75" customHeight="1" x14ac:dyDescent="0.55000000000000004">
      <c r="A1866" s="592">
        <v>1865</v>
      </c>
      <c r="B1866" s="596" t="s">
        <v>8595</v>
      </c>
      <c r="C1866" s="592" t="s">
        <v>8596</v>
      </c>
      <c r="D1866" s="592">
        <v>3</v>
      </c>
      <c r="E1866" s="597">
        <v>1500</v>
      </c>
      <c r="F1866" s="597">
        <v>1500</v>
      </c>
      <c r="G1866" s="597">
        <v>2400</v>
      </c>
      <c r="H1866" s="592" t="s">
        <v>1397</v>
      </c>
    </row>
    <row r="1867" spans="1:8" ht="24.75" customHeight="1" x14ac:dyDescent="0.55000000000000004">
      <c r="A1867" s="592">
        <v>1866</v>
      </c>
      <c r="B1867" s="596" t="s">
        <v>4857</v>
      </c>
      <c r="C1867" s="592" t="s">
        <v>4858</v>
      </c>
      <c r="D1867" s="592">
        <v>3</v>
      </c>
      <c r="E1867" s="597">
        <v>1500</v>
      </c>
      <c r="F1867" s="597">
        <v>1500</v>
      </c>
      <c r="G1867" s="597">
        <v>2400</v>
      </c>
      <c r="H1867" s="592" t="s">
        <v>1397</v>
      </c>
    </row>
    <row r="1868" spans="1:8" ht="24.75" customHeight="1" x14ac:dyDescent="0.55000000000000004">
      <c r="A1868" s="592">
        <v>1867</v>
      </c>
      <c r="B1868" s="596" t="s">
        <v>4859</v>
      </c>
      <c r="C1868" s="592" t="s">
        <v>8279</v>
      </c>
      <c r="D1868" s="592">
        <v>1</v>
      </c>
      <c r="E1868" s="597">
        <v>7500</v>
      </c>
      <c r="F1868" s="597">
        <v>7500</v>
      </c>
      <c r="G1868" s="597">
        <v>4800</v>
      </c>
      <c r="H1868" s="592" t="s">
        <v>1397</v>
      </c>
    </row>
    <row r="1869" spans="1:8" ht="24.75" customHeight="1" x14ac:dyDescent="0.55000000000000004">
      <c r="A1869" s="592">
        <v>1868</v>
      </c>
      <c r="B1869" s="596" t="s">
        <v>4860</v>
      </c>
      <c r="C1869" s="592" t="s">
        <v>4861</v>
      </c>
      <c r="D1869" s="592">
        <v>1</v>
      </c>
      <c r="E1869" s="597">
        <v>7000</v>
      </c>
      <c r="F1869" s="597">
        <v>7000</v>
      </c>
      <c r="G1869" s="597">
        <v>5000</v>
      </c>
      <c r="H1869" s="592" t="s">
        <v>1397</v>
      </c>
    </row>
    <row r="1870" spans="1:8" ht="24.75" customHeight="1" x14ac:dyDescent="0.55000000000000004">
      <c r="A1870" s="592">
        <v>1869</v>
      </c>
      <c r="B1870" s="596" t="s">
        <v>4862</v>
      </c>
      <c r="C1870" s="592" t="s">
        <v>4863</v>
      </c>
      <c r="D1870" s="592">
        <v>1</v>
      </c>
      <c r="E1870" s="597">
        <v>4000</v>
      </c>
      <c r="F1870" s="597">
        <v>4000</v>
      </c>
      <c r="G1870" s="597">
        <v>3000</v>
      </c>
      <c r="H1870" s="592" t="s">
        <v>1397</v>
      </c>
    </row>
    <row r="1871" spans="1:8" ht="24.75" customHeight="1" x14ac:dyDescent="0.55000000000000004">
      <c r="A1871" s="592">
        <v>1870</v>
      </c>
      <c r="B1871" s="596" t="s">
        <v>4864</v>
      </c>
      <c r="C1871" s="592" t="s">
        <v>4865</v>
      </c>
      <c r="D1871" s="592">
        <v>4</v>
      </c>
      <c r="E1871" s="597">
        <v>5000</v>
      </c>
      <c r="F1871" s="597">
        <v>5000</v>
      </c>
      <c r="G1871" s="597">
        <v>12000</v>
      </c>
      <c r="H1871" s="592" t="s">
        <v>1397</v>
      </c>
    </row>
    <row r="1872" spans="1:8" ht="24.75" customHeight="1" x14ac:dyDescent="0.55000000000000004">
      <c r="A1872" s="592">
        <v>1871</v>
      </c>
      <c r="B1872" s="596" t="s">
        <v>4866</v>
      </c>
      <c r="C1872" s="592" t="s">
        <v>4867</v>
      </c>
      <c r="D1872" s="592">
        <v>1</v>
      </c>
      <c r="E1872" s="597">
        <v>4000</v>
      </c>
      <c r="F1872" s="597">
        <v>4000</v>
      </c>
      <c r="G1872" s="597">
        <v>3000</v>
      </c>
      <c r="H1872" s="592" t="s">
        <v>1397</v>
      </c>
    </row>
    <row r="1873" spans="1:8" ht="24.75" customHeight="1" x14ac:dyDescent="0.55000000000000004">
      <c r="A1873" s="592">
        <v>1872</v>
      </c>
      <c r="B1873" s="596" t="s">
        <v>7385</v>
      </c>
      <c r="C1873" s="592" t="s">
        <v>7386</v>
      </c>
      <c r="D1873" s="592">
        <v>2</v>
      </c>
      <c r="E1873" s="597">
        <v>41000</v>
      </c>
      <c r="F1873" s="597">
        <v>41000</v>
      </c>
      <c r="G1873" s="597">
        <v>73000</v>
      </c>
      <c r="H1873" s="592" t="s">
        <v>1397</v>
      </c>
    </row>
    <row r="1874" spans="1:8" ht="24.75" customHeight="1" x14ac:dyDescent="0.55000000000000004">
      <c r="A1874" s="592">
        <v>1873</v>
      </c>
      <c r="B1874" s="596" t="s">
        <v>4868</v>
      </c>
      <c r="C1874" s="592" t="s">
        <v>4869</v>
      </c>
      <c r="D1874" s="592">
        <v>8</v>
      </c>
      <c r="E1874" s="597">
        <v>3200</v>
      </c>
      <c r="F1874" s="597">
        <v>3200</v>
      </c>
      <c r="G1874" s="597">
        <v>13600</v>
      </c>
      <c r="H1874" s="592" t="s">
        <v>1397</v>
      </c>
    </row>
    <row r="1875" spans="1:8" ht="24.75" customHeight="1" x14ac:dyDescent="0.55000000000000004">
      <c r="A1875" s="592">
        <v>1874</v>
      </c>
      <c r="B1875" s="596" t="s">
        <v>3352</v>
      </c>
      <c r="C1875" s="592" t="s">
        <v>3353</v>
      </c>
      <c r="D1875" s="592">
        <v>8</v>
      </c>
      <c r="E1875" s="597">
        <v>3700</v>
      </c>
      <c r="F1875" s="597">
        <v>3700</v>
      </c>
      <c r="G1875" s="597">
        <v>17600</v>
      </c>
      <c r="H1875" s="592" t="s">
        <v>1397</v>
      </c>
    </row>
    <row r="1876" spans="1:8" ht="24.75" customHeight="1" x14ac:dyDescent="0.55000000000000004">
      <c r="A1876" s="592">
        <v>1875</v>
      </c>
      <c r="B1876" s="596" t="s">
        <v>4870</v>
      </c>
      <c r="C1876" s="592" t="s">
        <v>4871</v>
      </c>
      <c r="D1876" s="592">
        <v>9</v>
      </c>
      <c r="E1876" s="597">
        <v>4200</v>
      </c>
      <c r="F1876" s="597">
        <v>4200</v>
      </c>
      <c r="G1876" s="597">
        <v>20700</v>
      </c>
      <c r="H1876" s="592" t="s">
        <v>1397</v>
      </c>
    </row>
    <row r="1877" spans="1:8" ht="24.75" customHeight="1" x14ac:dyDescent="0.55000000000000004">
      <c r="A1877" s="592">
        <v>1876</v>
      </c>
      <c r="B1877" s="596" t="s">
        <v>4872</v>
      </c>
      <c r="C1877" s="592" t="s">
        <v>7675</v>
      </c>
      <c r="D1877" s="592">
        <v>1</v>
      </c>
      <c r="E1877" s="597">
        <v>3000</v>
      </c>
      <c r="F1877" s="597">
        <v>3000</v>
      </c>
      <c r="G1877" s="597">
        <v>2000</v>
      </c>
      <c r="H1877" s="592" t="s">
        <v>1397</v>
      </c>
    </row>
    <row r="1878" spans="1:8" ht="24.75" customHeight="1" x14ac:dyDescent="0.55000000000000004">
      <c r="A1878" s="592">
        <v>1877</v>
      </c>
      <c r="B1878" s="596" t="s">
        <v>4873</v>
      </c>
      <c r="C1878" s="592" t="s">
        <v>4874</v>
      </c>
      <c r="D1878" s="592">
        <v>1</v>
      </c>
      <c r="E1878" s="597">
        <v>4500</v>
      </c>
      <c r="F1878" s="597">
        <v>4500</v>
      </c>
      <c r="G1878" s="597">
        <v>2500</v>
      </c>
      <c r="H1878" s="592" t="s">
        <v>1397</v>
      </c>
    </row>
    <row r="1879" spans="1:8" ht="24.75" customHeight="1" x14ac:dyDescent="0.55000000000000004">
      <c r="A1879" s="592">
        <v>1878</v>
      </c>
      <c r="B1879" s="596" t="s">
        <v>4875</v>
      </c>
      <c r="C1879" s="592" t="s">
        <v>4876</v>
      </c>
      <c r="D1879" s="592">
        <v>1</v>
      </c>
      <c r="E1879" s="597">
        <v>5500</v>
      </c>
      <c r="F1879" s="597">
        <v>5500</v>
      </c>
      <c r="G1879" s="597">
        <v>3000</v>
      </c>
      <c r="H1879" s="592" t="s">
        <v>1397</v>
      </c>
    </row>
    <row r="1880" spans="1:8" ht="24.75" customHeight="1" x14ac:dyDescent="0.55000000000000004">
      <c r="A1880" s="592">
        <v>1879</v>
      </c>
      <c r="B1880" s="596" t="s">
        <v>3282</v>
      </c>
      <c r="C1880" s="592" t="s">
        <v>3283</v>
      </c>
      <c r="D1880" s="592">
        <v>18</v>
      </c>
      <c r="E1880" s="597">
        <v>3000</v>
      </c>
      <c r="F1880" s="597">
        <v>3000</v>
      </c>
      <c r="G1880" s="597">
        <v>30600</v>
      </c>
      <c r="H1880" s="592" t="s">
        <v>1397</v>
      </c>
    </row>
    <row r="1881" spans="1:8" ht="24.75" customHeight="1" x14ac:dyDescent="0.55000000000000004">
      <c r="A1881" s="592">
        <v>1880</v>
      </c>
      <c r="B1881" s="596" t="s">
        <v>4877</v>
      </c>
      <c r="C1881" s="592" t="s">
        <v>4878</v>
      </c>
      <c r="D1881" s="592">
        <v>1</v>
      </c>
      <c r="E1881" s="597">
        <v>4500</v>
      </c>
      <c r="F1881" s="597">
        <v>4500</v>
      </c>
      <c r="G1881" s="597">
        <v>2800</v>
      </c>
      <c r="H1881" s="592" t="s">
        <v>1397</v>
      </c>
    </row>
    <row r="1882" spans="1:8" ht="24.75" customHeight="1" x14ac:dyDescent="0.55000000000000004">
      <c r="A1882" s="592">
        <v>1881</v>
      </c>
      <c r="B1882" s="596" t="s">
        <v>3284</v>
      </c>
      <c r="C1882" s="592" t="s">
        <v>7387</v>
      </c>
      <c r="D1882" s="592">
        <v>41</v>
      </c>
      <c r="E1882" s="597">
        <v>800</v>
      </c>
      <c r="F1882" s="597">
        <v>800</v>
      </c>
      <c r="G1882" s="597">
        <v>24600</v>
      </c>
      <c r="H1882" s="592" t="s">
        <v>1397</v>
      </c>
    </row>
    <row r="1883" spans="1:8" ht="24.75" customHeight="1" x14ac:dyDescent="0.55000000000000004">
      <c r="A1883" s="592">
        <v>1882</v>
      </c>
      <c r="B1883" s="596" t="s">
        <v>3354</v>
      </c>
      <c r="C1883" s="592" t="s">
        <v>3355</v>
      </c>
      <c r="D1883" s="592">
        <v>1</v>
      </c>
      <c r="E1883" s="597">
        <v>14500</v>
      </c>
      <c r="F1883" s="597">
        <v>14500</v>
      </c>
      <c r="G1883" s="597">
        <v>9500</v>
      </c>
      <c r="H1883" s="592" t="s">
        <v>1397</v>
      </c>
    </row>
    <row r="1884" spans="1:8" ht="24.75" customHeight="1" x14ac:dyDescent="0.55000000000000004">
      <c r="A1884" s="592">
        <v>1883</v>
      </c>
      <c r="B1884" s="596" t="s">
        <v>4879</v>
      </c>
      <c r="C1884" s="592" t="s">
        <v>4880</v>
      </c>
      <c r="D1884" s="592">
        <v>8</v>
      </c>
      <c r="E1884" s="597">
        <v>1000</v>
      </c>
      <c r="F1884" s="597">
        <v>1000</v>
      </c>
      <c r="G1884" s="597">
        <v>6400</v>
      </c>
      <c r="H1884" s="592" t="s">
        <v>1397</v>
      </c>
    </row>
    <row r="1885" spans="1:8" ht="24.75" customHeight="1" x14ac:dyDescent="0.55000000000000004">
      <c r="A1885" s="592">
        <v>1884</v>
      </c>
      <c r="B1885" s="596" t="s">
        <v>4881</v>
      </c>
      <c r="C1885" s="592" t="s">
        <v>4882</v>
      </c>
      <c r="D1885" s="592">
        <v>1</v>
      </c>
      <c r="E1885" s="597">
        <v>12000</v>
      </c>
      <c r="F1885" s="597">
        <v>12000</v>
      </c>
      <c r="G1885" s="597">
        <v>8000</v>
      </c>
      <c r="H1885" s="592" t="s">
        <v>1397</v>
      </c>
    </row>
    <row r="1886" spans="1:8" ht="24.75" customHeight="1" x14ac:dyDescent="0.55000000000000004">
      <c r="A1886" s="592">
        <v>1885</v>
      </c>
      <c r="B1886" s="596" t="s">
        <v>4883</v>
      </c>
      <c r="C1886" s="592" t="s">
        <v>4884</v>
      </c>
      <c r="D1886" s="592">
        <v>3</v>
      </c>
      <c r="E1886" s="597">
        <v>2000</v>
      </c>
      <c r="F1886" s="597">
        <v>2000</v>
      </c>
      <c r="G1886" s="597">
        <v>3000</v>
      </c>
      <c r="H1886" s="592" t="s">
        <v>1397</v>
      </c>
    </row>
    <row r="1887" spans="1:8" ht="24.75" customHeight="1" x14ac:dyDescent="0.55000000000000004">
      <c r="A1887" s="592">
        <v>1886</v>
      </c>
      <c r="B1887" s="596" t="s">
        <v>4885</v>
      </c>
      <c r="C1887" s="592" t="s">
        <v>4886</v>
      </c>
      <c r="D1887" s="592">
        <v>3</v>
      </c>
      <c r="E1887" s="597">
        <v>1700</v>
      </c>
      <c r="F1887" s="597">
        <v>1700</v>
      </c>
      <c r="G1887" s="597">
        <v>2100</v>
      </c>
      <c r="H1887" s="592" t="s">
        <v>1397</v>
      </c>
    </row>
    <row r="1888" spans="1:8" ht="24.75" customHeight="1" x14ac:dyDescent="0.55000000000000004">
      <c r="A1888" s="592">
        <v>1887</v>
      </c>
      <c r="B1888" s="596" t="s">
        <v>3285</v>
      </c>
      <c r="C1888" s="592" t="s">
        <v>7388</v>
      </c>
      <c r="D1888" s="592">
        <v>2</v>
      </c>
      <c r="E1888" s="597">
        <v>4000</v>
      </c>
      <c r="F1888" s="597">
        <v>4000</v>
      </c>
      <c r="G1888" s="597">
        <v>5400</v>
      </c>
      <c r="H1888" s="592" t="s">
        <v>1397</v>
      </c>
    </row>
    <row r="1889" spans="1:8" ht="24.75" customHeight="1" x14ac:dyDescent="0.55000000000000004">
      <c r="A1889" s="592">
        <v>1888</v>
      </c>
      <c r="B1889" s="596" t="s">
        <v>4887</v>
      </c>
      <c r="C1889" s="592" t="s">
        <v>4888</v>
      </c>
      <c r="D1889" s="592">
        <v>1</v>
      </c>
      <c r="E1889" s="597">
        <v>2500</v>
      </c>
      <c r="F1889" s="597">
        <v>2500</v>
      </c>
      <c r="G1889" s="597">
        <v>1550</v>
      </c>
      <c r="H1889" s="592" t="s">
        <v>1397</v>
      </c>
    </row>
    <row r="1890" spans="1:8" ht="24.75" customHeight="1" x14ac:dyDescent="0.55000000000000004">
      <c r="A1890" s="592">
        <v>1889</v>
      </c>
      <c r="B1890" s="596" t="s">
        <v>3286</v>
      </c>
      <c r="C1890" s="592" t="s">
        <v>3287</v>
      </c>
      <c r="D1890" s="592">
        <v>5</v>
      </c>
      <c r="E1890" s="597">
        <v>1700</v>
      </c>
      <c r="F1890" s="597">
        <v>1700</v>
      </c>
      <c r="G1890" s="597">
        <v>6250</v>
      </c>
      <c r="H1890" s="592" t="s">
        <v>1397</v>
      </c>
    </row>
    <row r="1891" spans="1:8" ht="24.75" customHeight="1" x14ac:dyDescent="0.55000000000000004">
      <c r="A1891" s="592">
        <v>1890</v>
      </c>
      <c r="B1891" s="596" t="s">
        <v>4889</v>
      </c>
      <c r="C1891" s="592" t="s">
        <v>4890</v>
      </c>
      <c r="D1891" s="592">
        <v>3</v>
      </c>
      <c r="E1891" s="597">
        <v>3000</v>
      </c>
      <c r="F1891" s="597">
        <v>3000</v>
      </c>
      <c r="G1891" s="597">
        <v>4500</v>
      </c>
      <c r="H1891" s="592" t="s">
        <v>1397</v>
      </c>
    </row>
    <row r="1892" spans="1:8" ht="24.75" customHeight="1" x14ac:dyDescent="0.55000000000000004">
      <c r="A1892" s="592">
        <v>1891</v>
      </c>
      <c r="B1892" s="596" t="s">
        <v>4891</v>
      </c>
      <c r="C1892" s="592" t="s">
        <v>4892</v>
      </c>
      <c r="D1892" s="592">
        <v>2</v>
      </c>
      <c r="E1892" s="597">
        <v>18500</v>
      </c>
      <c r="F1892" s="597">
        <v>18500</v>
      </c>
      <c r="G1892" s="597">
        <v>28800</v>
      </c>
      <c r="H1892" s="592" t="s">
        <v>1397</v>
      </c>
    </row>
    <row r="1893" spans="1:8" ht="24.75" customHeight="1" x14ac:dyDescent="0.55000000000000004">
      <c r="A1893" s="592">
        <v>1892</v>
      </c>
      <c r="B1893" s="596" t="s">
        <v>4893</v>
      </c>
      <c r="C1893" s="592" t="s">
        <v>4894</v>
      </c>
      <c r="D1893" s="592">
        <v>2</v>
      </c>
      <c r="E1893" s="597">
        <v>14500</v>
      </c>
      <c r="F1893" s="597">
        <v>14500</v>
      </c>
      <c r="G1893" s="597">
        <v>21600</v>
      </c>
      <c r="H1893" s="592" t="s">
        <v>1397</v>
      </c>
    </row>
    <row r="1894" spans="1:8" ht="24.75" customHeight="1" x14ac:dyDescent="0.55000000000000004">
      <c r="A1894" s="592">
        <v>1893</v>
      </c>
      <c r="B1894" s="596" t="s">
        <v>4895</v>
      </c>
      <c r="C1894" s="592" t="s">
        <v>4896</v>
      </c>
      <c r="D1894" s="592">
        <v>1</v>
      </c>
      <c r="E1894" s="597">
        <v>12500</v>
      </c>
      <c r="F1894" s="597">
        <v>12500</v>
      </c>
      <c r="G1894" s="597">
        <v>8280</v>
      </c>
      <c r="H1894" s="592" t="s">
        <v>1397</v>
      </c>
    </row>
    <row r="1895" spans="1:8" ht="24.75" customHeight="1" x14ac:dyDescent="0.55000000000000004">
      <c r="A1895" s="592">
        <v>1894</v>
      </c>
      <c r="B1895" s="596" t="s">
        <v>4897</v>
      </c>
      <c r="C1895" s="592" t="s">
        <v>4898</v>
      </c>
      <c r="D1895" s="592">
        <v>2</v>
      </c>
      <c r="E1895" s="597">
        <v>10000</v>
      </c>
      <c r="F1895" s="597">
        <v>10000</v>
      </c>
      <c r="G1895" s="597">
        <v>12000</v>
      </c>
      <c r="H1895" s="592" t="s">
        <v>1397</v>
      </c>
    </row>
    <row r="1896" spans="1:8" ht="24.75" customHeight="1" x14ac:dyDescent="0.55000000000000004">
      <c r="A1896" s="592">
        <v>1895</v>
      </c>
      <c r="B1896" s="596" t="s">
        <v>4899</v>
      </c>
      <c r="C1896" s="592" t="s">
        <v>4900</v>
      </c>
      <c r="D1896" s="592">
        <v>1</v>
      </c>
      <c r="E1896" s="597">
        <v>20000</v>
      </c>
      <c r="F1896" s="597">
        <v>20000</v>
      </c>
      <c r="G1896" s="597">
        <v>15000</v>
      </c>
      <c r="H1896" s="592" t="s">
        <v>1397</v>
      </c>
    </row>
    <row r="1897" spans="1:8" ht="24.75" customHeight="1" x14ac:dyDescent="0.55000000000000004">
      <c r="A1897" s="592">
        <v>1896</v>
      </c>
      <c r="B1897" s="596" t="s">
        <v>3288</v>
      </c>
      <c r="C1897" s="592" t="s">
        <v>3289</v>
      </c>
      <c r="D1897" s="592">
        <v>2</v>
      </c>
      <c r="E1897" s="597">
        <v>3500</v>
      </c>
      <c r="F1897" s="597">
        <v>3500</v>
      </c>
      <c r="G1897" s="597">
        <v>5750</v>
      </c>
      <c r="H1897" s="592" t="s">
        <v>1397</v>
      </c>
    </row>
    <row r="1898" spans="1:8" ht="24.75" customHeight="1" x14ac:dyDescent="0.55000000000000004">
      <c r="A1898" s="592">
        <v>1897</v>
      </c>
      <c r="B1898" s="596" t="s">
        <v>3290</v>
      </c>
      <c r="C1898" s="592" t="s">
        <v>3291</v>
      </c>
      <c r="D1898" s="592">
        <v>3</v>
      </c>
      <c r="E1898" s="597">
        <v>14500</v>
      </c>
      <c r="F1898" s="597">
        <v>14500</v>
      </c>
      <c r="G1898" s="597">
        <v>38250</v>
      </c>
      <c r="H1898" s="592" t="s">
        <v>1397</v>
      </c>
    </row>
    <row r="1899" spans="1:8" ht="24.75" customHeight="1" x14ac:dyDescent="0.55000000000000004">
      <c r="A1899" s="592">
        <v>1898</v>
      </c>
      <c r="B1899" s="596" t="s">
        <v>3356</v>
      </c>
      <c r="C1899" s="592" t="s">
        <v>6858</v>
      </c>
      <c r="D1899" s="592">
        <v>5</v>
      </c>
      <c r="E1899" s="597">
        <v>1300</v>
      </c>
      <c r="F1899" s="597">
        <v>1300</v>
      </c>
      <c r="G1899" s="597">
        <v>5000</v>
      </c>
      <c r="H1899" s="592" t="s">
        <v>1397</v>
      </c>
    </row>
    <row r="1900" spans="1:8" ht="24.75" customHeight="1" x14ac:dyDescent="0.55000000000000004">
      <c r="A1900" s="592">
        <v>1899</v>
      </c>
      <c r="B1900" s="596" t="s">
        <v>4901</v>
      </c>
      <c r="C1900" s="592" t="s">
        <v>4651</v>
      </c>
      <c r="D1900" s="592">
        <v>5</v>
      </c>
      <c r="E1900" s="597">
        <v>1200</v>
      </c>
      <c r="F1900" s="597">
        <v>1200</v>
      </c>
      <c r="G1900" s="597">
        <v>3750</v>
      </c>
      <c r="H1900" s="592" t="s">
        <v>1397</v>
      </c>
    </row>
    <row r="1901" spans="1:8" ht="24.75" customHeight="1" x14ac:dyDescent="0.55000000000000004">
      <c r="A1901" s="592">
        <v>1900</v>
      </c>
      <c r="B1901" s="596" t="s">
        <v>3357</v>
      </c>
      <c r="C1901" s="592" t="s">
        <v>2897</v>
      </c>
      <c r="D1901" s="592">
        <v>1</v>
      </c>
      <c r="E1901" s="597">
        <v>1700</v>
      </c>
      <c r="F1901" s="597">
        <v>1700</v>
      </c>
      <c r="G1901" s="597">
        <v>1250</v>
      </c>
      <c r="H1901" s="592" t="s">
        <v>1397</v>
      </c>
    </row>
    <row r="1902" spans="1:8" ht="24.75" customHeight="1" x14ac:dyDescent="0.55000000000000004">
      <c r="A1902" s="592">
        <v>1901</v>
      </c>
      <c r="B1902" s="596" t="s">
        <v>4902</v>
      </c>
      <c r="C1902" s="592" t="s">
        <v>4617</v>
      </c>
      <c r="D1902" s="592">
        <v>3</v>
      </c>
      <c r="E1902" s="597">
        <v>3000</v>
      </c>
      <c r="F1902" s="597">
        <v>3000</v>
      </c>
      <c r="G1902" s="597">
        <v>6450</v>
      </c>
      <c r="H1902" s="592" t="s">
        <v>1397</v>
      </c>
    </row>
    <row r="1903" spans="1:8" ht="24.75" customHeight="1" x14ac:dyDescent="0.55000000000000004">
      <c r="A1903" s="592">
        <v>1902</v>
      </c>
      <c r="B1903" s="596" t="s">
        <v>4903</v>
      </c>
      <c r="C1903" s="592" t="s">
        <v>4904</v>
      </c>
      <c r="D1903" s="592">
        <v>1</v>
      </c>
      <c r="E1903" s="597">
        <v>6000</v>
      </c>
      <c r="F1903" s="597">
        <v>6000</v>
      </c>
      <c r="G1903" s="597">
        <v>4800</v>
      </c>
      <c r="H1903" s="592" t="s">
        <v>1397</v>
      </c>
    </row>
    <row r="1904" spans="1:8" ht="24.75" customHeight="1" x14ac:dyDescent="0.55000000000000004">
      <c r="A1904" s="592">
        <v>1903</v>
      </c>
      <c r="B1904" s="596" t="s">
        <v>4905</v>
      </c>
      <c r="C1904" s="592" t="s">
        <v>4906</v>
      </c>
      <c r="D1904" s="592">
        <v>3</v>
      </c>
      <c r="E1904" s="597">
        <v>2600</v>
      </c>
      <c r="F1904" s="597">
        <v>2600</v>
      </c>
      <c r="G1904" s="597">
        <v>5700</v>
      </c>
      <c r="H1904" s="592" t="s">
        <v>1397</v>
      </c>
    </row>
    <row r="1905" spans="1:8" ht="24.75" customHeight="1" x14ac:dyDescent="0.55000000000000004">
      <c r="A1905" s="592">
        <v>1904</v>
      </c>
      <c r="B1905" s="596" t="s">
        <v>4907</v>
      </c>
      <c r="C1905" s="592" t="s">
        <v>4908</v>
      </c>
      <c r="D1905" s="592">
        <v>5</v>
      </c>
      <c r="E1905" s="597">
        <v>2800</v>
      </c>
      <c r="F1905" s="597">
        <v>2800</v>
      </c>
      <c r="G1905" s="597">
        <v>10000</v>
      </c>
      <c r="H1905" s="592" t="s">
        <v>1397</v>
      </c>
    </row>
    <row r="1906" spans="1:8" ht="24.75" customHeight="1" x14ac:dyDescent="0.55000000000000004">
      <c r="A1906" s="592">
        <v>1905</v>
      </c>
      <c r="B1906" s="596" t="s">
        <v>4909</v>
      </c>
      <c r="C1906" s="592" t="s">
        <v>4910</v>
      </c>
      <c r="D1906" s="592">
        <v>6</v>
      </c>
      <c r="E1906" s="597">
        <v>2800</v>
      </c>
      <c r="F1906" s="597">
        <v>2800</v>
      </c>
      <c r="G1906" s="597">
        <v>12900</v>
      </c>
      <c r="H1906" s="592" t="s">
        <v>1397</v>
      </c>
    </row>
    <row r="1907" spans="1:8" ht="24.75" customHeight="1" x14ac:dyDescent="0.55000000000000004">
      <c r="A1907" s="592">
        <v>1906</v>
      </c>
      <c r="B1907" s="596" t="s">
        <v>4911</v>
      </c>
      <c r="C1907" s="592" t="s">
        <v>4912</v>
      </c>
      <c r="D1907" s="592">
        <v>5</v>
      </c>
      <c r="E1907" s="597">
        <v>4300</v>
      </c>
      <c r="F1907" s="597">
        <v>4300</v>
      </c>
      <c r="G1907" s="597">
        <v>18000</v>
      </c>
      <c r="H1907" s="592" t="s">
        <v>1397</v>
      </c>
    </row>
    <row r="1908" spans="1:8" ht="24.75" customHeight="1" x14ac:dyDescent="0.55000000000000004">
      <c r="A1908" s="592">
        <v>1907</v>
      </c>
      <c r="B1908" s="596" t="s">
        <v>4913</v>
      </c>
      <c r="C1908" s="592" t="s">
        <v>4914</v>
      </c>
      <c r="D1908" s="592">
        <v>6</v>
      </c>
      <c r="E1908" s="597">
        <v>4000</v>
      </c>
      <c r="F1908" s="597">
        <v>4000</v>
      </c>
      <c r="G1908" s="597">
        <v>21000</v>
      </c>
      <c r="H1908" s="592" t="s">
        <v>1397</v>
      </c>
    </row>
    <row r="1909" spans="1:8" ht="24.75" customHeight="1" x14ac:dyDescent="0.55000000000000004">
      <c r="A1909" s="592">
        <v>1908</v>
      </c>
      <c r="B1909" s="596" t="s">
        <v>4915</v>
      </c>
      <c r="C1909" s="592" t="s">
        <v>4916</v>
      </c>
      <c r="D1909" s="592">
        <v>2</v>
      </c>
      <c r="E1909" s="597">
        <v>6500</v>
      </c>
      <c r="F1909" s="597">
        <v>6500</v>
      </c>
      <c r="G1909" s="597">
        <v>11600</v>
      </c>
      <c r="H1909" s="592" t="s">
        <v>1397</v>
      </c>
    </row>
    <row r="1910" spans="1:8" ht="24.75" customHeight="1" x14ac:dyDescent="0.55000000000000004">
      <c r="A1910" s="592">
        <v>1909</v>
      </c>
      <c r="B1910" s="596" t="s">
        <v>3292</v>
      </c>
      <c r="C1910" s="592" t="s">
        <v>3293</v>
      </c>
      <c r="D1910" s="592">
        <v>120</v>
      </c>
      <c r="E1910" s="597">
        <v>150</v>
      </c>
      <c r="F1910" s="597">
        <v>150</v>
      </c>
      <c r="G1910" s="597">
        <v>4800</v>
      </c>
      <c r="H1910" s="592" t="s">
        <v>1397</v>
      </c>
    </row>
    <row r="1911" spans="1:8" ht="24.75" customHeight="1" x14ac:dyDescent="0.55000000000000004">
      <c r="A1911" s="592">
        <v>1910</v>
      </c>
      <c r="B1911" s="596" t="s">
        <v>3358</v>
      </c>
      <c r="C1911" s="592" t="s">
        <v>3359</v>
      </c>
      <c r="D1911" s="592">
        <v>3</v>
      </c>
      <c r="E1911" s="597">
        <v>6500</v>
      </c>
      <c r="F1911" s="597">
        <v>6500</v>
      </c>
      <c r="G1911" s="597">
        <v>19500</v>
      </c>
      <c r="H1911" s="592" t="s">
        <v>1397</v>
      </c>
    </row>
    <row r="1912" spans="1:8" ht="24.75" customHeight="1" x14ac:dyDescent="0.55000000000000004">
      <c r="A1912" s="592">
        <v>1911</v>
      </c>
      <c r="B1912" s="596" t="s">
        <v>4917</v>
      </c>
      <c r="C1912" s="592" t="s">
        <v>6471</v>
      </c>
      <c r="D1912" s="592">
        <v>1</v>
      </c>
      <c r="E1912" s="597">
        <v>65000</v>
      </c>
      <c r="F1912" s="597">
        <v>65000</v>
      </c>
      <c r="G1912" s="597">
        <v>45000</v>
      </c>
      <c r="H1912" s="592" t="s">
        <v>1397</v>
      </c>
    </row>
    <row r="1913" spans="1:8" ht="24.75" customHeight="1" x14ac:dyDescent="0.55000000000000004">
      <c r="A1913" s="592">
        <v>1912</v>
      </c>
      <c r="B1913" s="596" t="s">
        <v>3360</v>
      </c>
      <c r="C1913" s="592" t="s">
        <v>3361</v>
      </c>
      <c r="D1913" s="592">
        <v>1</v>
      </c>
      <c r="E1913" s="597">
        <v>18000</v>
      </c>
      <c r="F1913" s="597">
        <v>18000</v>
      </c>
      <c r="G1913" s="597">
        <v>13500</v>
      </c>
      <c r="H1913" s="592" t="s">
        <v>1397</v>
      </c>
    </row>
    <row r="1914" spans="1:8" ht="24.75" customHeight="1" x14ac:dyDescent="0.55000000000000004">
      <c r="A1914" s="592">
        <v>1913</v>
      </c>
      <c r="B1914" s="596" t="s">
        <v>3362</v>
      </c>
      <c r="C1914" s="592" t="s">
        <v>3363</v>
      </c>
      <c r="D1914" s="592">
        <v>1</v>
      </c>
      <c r="E1914" s="597">
        <v>1400</v>
      </c>
      <c r="F1914" s="597">
        <v>1400</v>
      </c>
      <c r="G1914" s="597">
        <v>650</v>
      </c>
      <c r="H1914" s="592" t="s">
        <v>1397</v>
      </c>
    </row>
    <row r="1915" spans="1:8" ht="24.75" customHeight="1" x14ac:dyDescent="0.55000000000000004">
      <c r="A1915" s="592">
        <v>1914</v>
      </c>
      <c r="B1915" s="596" t="s">
        <v>4918</v>
      </c>
      <c r="C1915" s="592" t="s">
        <v>4919</v>
      </c>
      <c r="D1915" s="592">
        <v>2</v>
      </c>
      <c r="E1915" s="597">
        <v>1500</v>
      </c>
      <c r="F1915" s="597">
        <v>1500</v>
      </c>
      <c r="G1915" s="597">
        <v>1500</v>
      </c>
      <c r="H1915" s="592" t="s">
        <v>1397</v>
      </c>
    </row>
    <row r="1916" spans="1:8" ht="24.75" customHeight="1" x14ac:dyDescent="0.55000000000000004">
      <c r="A1916" s="592">
        <v>1915</v>
      </c>
      <c r="B1916" s="596" t="s">
        <v>4920</v>
      </c>
      <c r="C1916" s="592" t="s">
        <v>4921</v>
      </c>
      <c r="D1916" s="592">
        <v>1</v>
      </c>
      <c r="E1916" s="597">
        <v>2000</v>
      </c>
      <c r="F1916" s="597">
        <v>2000</v>
      </c>
      <c r="G1916" s="597">
        <v>850</v>
      </c>
      <c r="H1916" s="592" t="s">
        <v>1397</v>
      </c>
    </row>
    <row r="1917" spans="1:8" ht="24.75" customHeight="1" x14ac:dyDescent="0.55000000000000004">
      <c r="A1917" s="592">
        <v>1916</v>
      </c>
      <c r="B1917" s="596" t="s">
        <v>3364</v>
      </c>
      <c r="C1917" s="592" t="s">
        <v>3058</v>
      </c>
      <c r="D1917" s="592">
        <v>4</v>
      </c>
      <c r="E1917" s="597">
        <v>700</v>
      </c>
      <c r="F1917" s="597">
        <v>700</v>
      </c>
      <c r="G1917" s="597">
        <v>1800</v>
      </c>
      <c r="H1917" s="592" t="s">
        <v>1397</v>
      </c>
    </row>
    <row r="1918" spans="1:8" ht="24.75" customHeight="1" x14ac:dyDescent="0.55000000000000004">
      <c r="A1918" s="592">
        <v>1917</v>
      </c>
      <c r="B1918" s="596" t="s">
        <v>3446</v>
      </c>
      <c r="C1918" s="592" t="s">
        <v>3447</v>
      </c>
      <c r="D1918" s="592">
        <v>5</v>
      </c>
      <c r="E1918" s="597">
        <v>800</v>
      </c>
      <c r="F1918" s="597">
        <v>800</v>
      </c>
      <c r="G1918" s="597">
        <v>2500</v>
      </c>
      <c r="H1918" s="592" t="s">
        <v>1397</v>
      </c>
    </row>
    <row r="1919" spans="1:8" ht="24.75" customHeight="1" x14ac:dyDescent="0.55000000000000004">
      <c r="A1919" s="592">
        <v>1918</v>
      </c>
      <c r="B1919" s="596" t="s">
        <v>4922</v>
      </c>
      <c r="C1919" s="592" t="s">
        <v>4923</v>
      </c>
      <c r="D1919" s="592">
        <v>2</v>
      </c>
      <c r="E1919" s="597">
        <v>5000</v>
      </c>
      <c r="F1919" s="597">
        <v>5000</v>
      </c>
      <c r="G1919" s="597">
        <v>4400</v>
      </c>
      <c r="H1919" s="592" t="s">
        <v>1397</v>
      </c>
    </row>
    <row r="1920" spans="1:8" ht="24.75" customHeight="1" x14ac:dyDescent="0.55000000000000004">
      <c r="A1920" s="592">
        <v>1919</v>
      </c>
      <c r="B1920" s="596" t="s">
        <v>7676</v>
      </c>
      <c r="C1920" s="592" t="s">
        <v>7677</v>
      </c>
      <c r="D1920" s="592">
        <v>1</v>
      </c>
      <c r="E1920" s="597">
        <v>12500</v>
      </c>
      <c r="F1920" s="597">
        <v>12500</v>
      </c>
      <c r="G1920" s="597">
        <v>8500</v>
      </c>
      <c r="H1920" s="592" t="s">
        <v>1397</v>
      </c>
    </row>
    <row r="1921" spans="1:8" ht="24.75" customHeight="1" x14ac:dyDescent="0.55000000000000004">
      <c r="A1921" s="592">
        <v>1920</v>
      </c>
      <c r="B1921" s="596" t="s">
        <v>3448</v>
      </c>
      <c r="C1921" s="592" t="s">
        <v>3449</v>
      </c>
      <c r="D1921" s="592">
        <v>8</v>
      </c>
      <c r="E1921" s="597">
        <v>4000</v>
      </c>
      <c r="F1921" s="597">
        <v>4000</v>
      </c>
      <c r="G1921" s="597">
        <v>28000</v>
      </c>
      <c r="H1921" s="592" t="s">
        <v>1397</v>
      </c>
    </row>
    <row r="1922" spans="1:8" ht="24.75" customHeight="1" x14ac:dyDescent="0.55000000000000004">
      <c r="A1922" s="592">
        <v>1921</v>
      </c>
      <c r="B1922" s="596" t="s">
        <v>3450</v>
      </c>
      <c r="C1922" s="592" t="s">
        <v>3451</v>
      </c>
      <c r="D1922" s="592">
        <v>18</v>
      </c>
      <c r="E1922" s="597">
        <v>1500</v>
      </c>
      <c r="F1922" s="597">
        <v>1500</v>
      </c>
      <c r="G1922" s="597">
        <v>18000</v>
      </c>
      <c r="H1922" s="592" t="s">
        <v>1397</v>
      </c>
    </row>
    <row r="1923" spans="1:8" ht="24.75" customHeight="1" x14ac:dyDescent="0.55000000000000004">
      <c r="A1923" s="592">
        <v>1922</v>
      </c>
      <c r="B1923" s="596" t="s">
        <v>4924</v>
      </c>
      <c r="C1923" s="592" t="s">
        <v>7931</v>
      </c>
      <c r="D1923" s="592">
        <v>1</v>
      </c>
      <c r="E1923" s="597">
        <v>115000</v>
      </c>
      <c r="F1923" s="597">
        <v>115000</v>
      </c>
      <c r="G1923" s="597">
        <v>92000</v>
      </c>
      <c r="H1923" s="592" t="s">
        <v>1397</v>
      </c>
    </row>
    <row r="1924" spans="1:8" ht="24.75" customHeight="1" x14ac:dyDescent="0.55000000000000004">
      <c r="A1924" s="592">
        <v>1923</v>
      </c>
      <c r="B1924" s="596" t="s">
        <v>4925</v>
      </c>
      <c r="C1924" s="592" t="s">
        <v>4926</v>
      </c>
      <c r="D1924" s="592">
        <v>3</v>
      </c>
      <c r="E1924" s="597">
        <v>1200</v>
      </c>
      <c r="F1924" s="597">
        <v>1200</v>
      </c>
      <c r="G1924" s="597">
        <v>1500</v>
      </c>
      <c r="H1924" s="592" t="s">
        <v>1397</v>
      </c>
    </row>
    <row r="1925" spans="1:8" ht="24.75" customHeight="1" x14ac:dyDescent="0.55000000000000004">
      <c r="A1925" s="592">
        <v>1924</v>
      </c>
      <c r="B1925" s="596" t="s">
        <v>4927</v>
      </c>
      <c r="C1925" s="592" t="s">
        <v>4928</v>
      </c>
      <c r="D1925" s="592">
        <v>2</v>
      </c>
      <c r="E1925" s="597">
        <v>20500</v>
      </c>
      <c r="F1925" s="597">
        <v>20500</v>
      </c>
      <c r="G1925" s="597">
        <v>29000</v>
      </c>
      <c r="H1925" s="592" t="s">
        <v>1397</v>
      </c>
    </row>
    <row r="1926" spans="1:8" ht="24.75" customHeight="1" x14ac:dyDescent="0.55000000000000004">
      <c r="A1926" s="592">
        <v>1925</v>
      </c>
      <c r="B1926" s="596" t="s">
        <v>4929</v>
      </c>
      <c r="C1926" s="592" t="s">
        <v>4930</v>
      </c>
      <c r="D1926" s="592">
        <v>3</v>
      </c>
      <c r="E1926" s="597">
        <v>6000</v>
      </c>
      <c r="F1926" s="597">
        <v>6000</v>
      </c>
      <c r="G1926" s="597">
        <v>11700</v>
      </c>
      <c r="H1926" s="592" t="s">
        <v>1397</v>
      </c>
    </row>
    <row r="1927" spans="1:8" ht="24.75" customHeight="1" x14ac:dyDescent="0.55000000000000004">
      <c r="A1927" s="592">
        <v>1926</v>
      </c>
      <c r="B1927" s="596" t="s">
        <v>4931</v>
      </c>
      <c r="C1927" s="592" t="s">
        <v>4932</v>
      </c>
      <c r="D1927" s="592">
        <v>1</v>
      </c>
      <c r="E1927" s="597">
        <v>55000</v>
      </c>
      <c r="F1927" s="597">
        <v>55000</v>
      </c>
      <c r="G1927" s="597">
        <v>53000</v>
      </c>
      <c r="H1927" s="592" t="s">
        <v>1397</v>
      </c>
    </row>
    <row r="1928" spans="1:8" ht="24.75" customHeight="1" x14ac:dyDescent="0.55000000000000004">
      <c r="A1928" s="592">
        <v>1927</v>
      </c>
      <c r="B1928" s="596" t="s">
        <v>3452</v>
      </c>
      <c r="C1928" s="592" t="s">
        <v>3453</v>
      </c>
      <c r="D1928" s="592">
        <v>16</v>
      </c>
      <c r="E1928" s="597">
        <v>1000</v>
      </c>
      <c r="F1928" s="597">
        <v>1000</v>
      </c>
      <c r="G1928" s="597">
        <v>12000</v>
      </c>
      <c r="H1928" s="592" t="s">
        <v>1397</v>
      </c>
    </row>
    <row r="1929" spans="1:8" ht="24.75" customHeight="1" x14ac:dyDescent="0.55000000000000004">
      <c r="A1929" s="592">
        <v>1928</v>
      </c>
      <c r="B1929" s="596" t="s">
        <v>3454</v>
      </c>
      <c r="C1929" s="592" t="s">
        <v>3455</v>
      </c>
      <c r="D1929" s="592">
        <v>2</v>
      </c>
      <c r="E1929" s="597">
        <v>3700</v>
      </c>
      <c r="F1929" s="597">
        <v>3700</v>
      </c>
      <c r="G1929" s="597">
        <v>6300</v>
      </c>
      <c r="H1929" s="592" t="s">
        <v>1397</v>
      </c>
    </row>
    <row r="1930" spans="1:8" ht="24.75" customHeight="1" x14ac:dyDescent="0.55000000000000004">
      <c r="A1930" s="592">
        <v>1929</v>
      </c>
      <c r="B1930" s="596" t="s">
        <v>3456</v>
      </c>
      <c r="C1930" s="592" t="s">
        <v>3457</v>
      </c>
      <c r="D1930" s="592">
        <v>1</v>
      </c>
      <c r="E1930" s="597">
        <v>21000</v>
      </c>
      <c r="F1930" s="597">
        <v>21000</v>
      </c>
      <c r="G1930" s="597">
        <v>18000</v>
      </c>
      <c r="H1930" s="592" t="s">
        <v>1397</v>
      </c>
    </row>
    <row r="1931" spans="1:8" ht="24.75" customHeight="1" x14ac:dyDescent="0.55000000000000004">
      <c r="A1931" s="592">
        <v>1930</v>
      </c>
      <c r="B1931" s="596" t="s">
        <v>4933</v>
      </c>
      <c r="C1931" s="592" t="s">
        <v>4934</v>
      </c>
      <c r="D1931" s="592">
        <v>2</v>
      </c>
      <c r="E1931" s="597">
        <v>8500</v>
      </c>
      <c r="F1931" s="597">
        <v>8500</v>
      </c>
      <c r="G1931" s="597">
        <v>7600</v>
      </c>
      <c r="H1931" s="592" t="s">
        <v>1397</v>
      </c>
    </row>
    <row r="1932" spans="1:8" ht="24.75" customHeight="1" x14ac:dyDescent="0.55000000000000004">
      <c r="A1932" s="592">
        <v>1931</v>
      </c>
      <c r="B1932" s="596" t="s">
        <v>4935</v>
      </c>
      <c r="C1932" s="592" t="s">
        <v>4936</v>
      </c>
      <c r="D1932" s="592">
        <v>2</v>
      </c>
      <c r="E1932" s="597">
        <v>2500</v>
      </c>
      <c r="F1932" s="597">
        <v>2500</v>
      </c>
      <c r="G1932" s="597">
        <v>2400</v>
      </c>
      <c r="H1932" s="592" t="s">
        <v>1397</v>
      </c>
    </row>
    <row r="1933" spans="1:8" ht="24.75" customHeight="1" x14ac:dyDescent="0.55000000000000004">
      <c r="A1933" s="592">
        <v>1932</v>
      </c>
      <c r="B1933" s="596" t="s">
        <v>4937</v>
      </c>
      <c r="C1933" s="592" t="s">
        <v>4938</v>
      </c>
      <c r="D1933" s="592">
        <v>3</v>
      </c>
      <c r="E1933" s="597">
        <v>2500</v>
      </c>
      <c r="F1933" s="597">
        <v>2500</v>
      </c>
      <c r="G1933" s="597">
        <v>3600</v>
      </c>
      <c r="H1933" s="592" t="s">
        <v>1397</v>
      </c>
    </row>
    <row r="1934" spans="1:8" ht="24.75" customHeight="1" x14ac:dyDescent="0.55000000000000004">
      <c r="A1934" s="592">
        <v>1933</v>
      </c>
      <c r="B1934" s="596" t="s">
        <v>4939</v>
      </c>
      <c r="C1934" s="592" t="s">
        <v>4940</v>
      </c>
      <c r="D1934" s="592">
        <v>2</v>
      </c>
      <c r="E1934" s="597">
        <v>5000</v>
      </c>
      <c r="F1934" s="597">
        <v>5000</v>
      </c>
      <c r="G1934" s="597">
        <v>6800</v>
      </c>
      <c r="H1934" s="592" t="s">
        <v>1397</v>
      </c>
    </row>
    <row r="1935" spans="1:8" ht="24.75" customHeight="1" x14ac:dyDescent="0.55000000000000004">
      <c r="A1935" s="592">
        <v>1934</v>
      </c>
      <c r="B1935" s="596" t="s">
        <v>4941</v>
      </c>
      <c r="C1935" s="592" t="s">
        <v>4942</v>
      </c>
      <c r="D1935" s="592">
        <v>1</v>
      </c>
      <c r="E1935" s="597">
        <v>150000</v>
      </c>
      <c r="F1935" s="597">
        <v>150000</v>
      </c>
      <c r="G1935" s="597">
        <v>130000</v>
      </c>
      <c r="H1935" s="592" t="s">
        <v>1397</v>
      </c>
    </row>
    <row r="1936" spans="1:8" ht="24.75" customHeight="1" x14ac:dyDescent="0.55000000000000004">
      <c r="A1936" s="592">
        <v>1935</v>
      </c>
      <c r="B1936" s="596" t="s">
        <v>4943</v>
      </c>
      <c r="C1936" s="592" t="s">
        <v>4944</v>
      </c>
      <c r="D1936" s="592">
        <v>1</v>
      </c>
      <c r="E1936" s="597">
        <v>32000</v>
      </c>
      <c r="F1936" s="597">
        <v>32000</v>
      </c>
      <c r="G1936" s="597">
        <v>26000</v>
      </c>
      <c r="H1936" s="592" t="s">
        <v>1397</v>
      </c>
    </row>
    <row r="1937" spans="1:8" ht="24.75" customHeight="1" x14ac:dyDescent="0.55000000000000004">
      <c r="A1937" s="592">
        <v>1936</v>
      </c>
      <c r="B1937" s="596" t="s">
        <v>6350</v>
      </c>
      <c r="C1937" s="592" t="s">
        <v>6351</v>
      </c>
      <c r="D1937" s="592">
        <v>3</v>
      </c>
      <c r="E1937" s="597">
        <v>6000</v>
      </c>
      <c r="F1937" s="597">
        <v>6000</v>
      </c>
      <c r="G1937" s="597">
        <v>13500</v>
      </c>
      <c r="H1937" s="592" t="s">
        <v>1397</v>
      </c>
    </row>
    <row r="1938" spans="1:8" ht="24.75" customHeight="1" x14ac:dyDescent="0.55000000000000004">
      <c r="A1938" s="592">
        <v>1937</v>
      </c>
      <c r="B1938" s="596" t="s">
        <v>4945</v>
      </c>
      <c r="C1938" s="592" t="s">
        <v>4946</v>
      </c>
      <c r="D1938" s="592">
        <v>5</v>
      </c>
      <c r="E1938" s="597">
        <v>1500</v>
      </c>
      <c r="F1938" s="597">
        <v>1500</v>
      </c>
      <c r="G1938" s="597">
        <v>6250</v>
      </c>
      <c r="H1938" s="592" t="s">
        <v>1397</v>
      </c>
    </row>
    <row r="1939" spans="1:8" ht="24.75" customHeight="1" x14ac:dyDescent="0.55000000000000004">
      <c r="A1939" s="592">
        <v>1938</v>
      </c>
      <c r="B1939" s="596" t="s">
        <v>3458</v>
      </c>
      <c r="C1939" s="592" t="s">
        <v>3459</v>
      </c>
      <c r="D1939" s="592">
        <v>39</v>
      </c>
      <c r="E1939" s="597">
        <v>500</v>
      </c>
      <c r="F1939" s="597">
        <v>500</v>
      </c>
      <c r="G1939" s="597">
        <v>13650</v>
      </c>
      <c r="H1939" s="592" t="s">
        <v>1397</v>
      </c>
    </row>
    <row r="1940" spans="1:8" ht="24.75" customHeight="1" x14ac:dyDescent="0.55000000000000004">
      <c r="A1940" s="592">
        <v>1939</v>
      </c>
      <c r="B1940" s="596" t="s">
        <v>4947</v>
      </c>
      <c r="C1940" s="592" t="s">
        <v>4948</v>
      </c>
      <c r="D1940" s="592">
        <v>7</v>
      </c>
      <c r="E1940" s="597">
        <v>24000</v>
      </c>
      <c r="F1940" s="597">
        <v>24000</v>
      </c>
      <c r="G1940" s="597">
        <v>141400</v>
      </c>
      <c r="H1940" s="592" t="s">
        <v>1397</v>
      </c>
    </row>
    <row r="1941" spans="1:8" ht="24.75" customHeight="1" x14ac:dyDescent="0.55000000000000004">
      <c r="A1941" s="592">
        <v>1940</v>
      </c>
      <c r="B1941" s="596" t="s">
        <v>6178</v>
      </c>
      <c r="C1941" s="592" t="s">
        <v>6179</v>
      </c>
      <c r="D1941" s="592">
        <v>1</v>
      </c>
      <c r="E1941" s="597">
        <v>55000</v>
      </c>
      <c r="F1941" s="597">
        <v>55000</v>
      </c>
      <c r="G1941" s="597">
        <v>35000</v>
      </c>
      <c r="H1941" s="592" t="s">
        <v>1397</v>
      </c>
    </row>
    <row r="1942" spans="1:8" ht="24.75" customHeight="1" x14ac:dyDescent="0.55000000000000004">
      <c r="A1942" s="592">
        <v>1941</v>
      </c>
      <c r="B1942" s="596" t="s">
        <v>6180</v>
      </c>
      <c r="C1942" s="592" t="s">
        <v>6181</v>
      </c>
      <c r="D1942" s="592">
        <v>4</v>
      </c>
      <c r="E1942" s="597">
        <v>8000</v>
      </c>
      <c r="F1942" s="597">
        <v>8000</v>
      </c>
      <c r="G1942" s="597">
        <v>17200</v>
      </c>
      <c r="H1942" s="592" t="s">
        <v>1397</v>
      </c>
    </row>
    <row r="1943" spans="1:8" ht="24.75" customHeight="1" x14ac:dyDescent="0.55000000000000004">
      <c r="A1943" s="592">
        <v>1942</v>
      </c>
      <c r="B1943" s="596" t="s">
        <v>6142</v>
      </c>
      <c r="C1943" s="592" t="s">
        <v>6143</v>
      </c>
      <c r="D1943" s="592">
        <v>1</v>
      </c>
      <c r="E1943" s="597">
        <v>900</v>
      </c>
      <c r="F1943" s="597">
        <v>900</v>
      </c>
      <c r="G1943" s="597">
        <v>450</v>
      </c>
      <c r="H1943" s="592" t="s">
        <v>1397</v>
      </c>
    </row>
    <row r="1944" spans="1:8" ht="24.75" customHeight="1" x14ac:dyDescent="0.55000000000000004">
      <c r="A1944" s="592">
        <v>1943</v>
      </c>
      <c r="B1944" s="596" t="s">
        <v>3460</v>
      </c>
      <c r="C1944" s="592" t="s">
        <v>3461</v>
      </c>
      <c r="D1944" s="592">
        <v>6</v>
      </c>
      <c r="E1944" s="597">
        <v>1000</v>
      </c>
      <c r="F1944" s="597">
        <v>1000</v>
      </c>
      <c r="G1944" s="597">
        <v>3600</v>
      </c>
      <c r="H1944" s="592" t="s">
        <v>1397</v>
      </c>
    </row>
    <row r="1945" spans="1:8" ht="24.75" customHeight="1" x14ac:dyDescent="0.55000000000000004">
      <c r="A1945" s="592">
        <v>1944</v>
      </c>
      <c r="B1945" s="596" t="s">
        <v>6182</v>
      </c>
      <c r="C1945" s="592" t="s">
        <v>6183</v>
      </c>
      <c r="D1945" s="592">
        <v>1</v>
      </c>
      <c r="E1945" s="597">
        <v>5000</v>
      </c>
      <c r="F1945" s="597">
        <v>5000</v>
      </c>
      <c r="G1945" s="597">
        <v>2330</v>
      </c>
      <c r="H1945" s="592" t="s">
        <v>1397</v>
      </c>
    </row>
    <row r="1946" spans="1:8" ht="24.75" customHeight="1" x14ac:dyDescent="0.55000000000000004">
      <c r="A1946" s="592">
        <v>1945</v>
      </c>
      <c r="B1946" s="596" t="s">
        <v>6184</v>
      </c>
      <c r="C1946" s="592" t="s">
        <v>6185</v>
      </c>
      <c r="D1946" s="592">
        <v>2</v>
      </c>
      <c r="E1946" s="597">
        <v>5000</v>
      </c>
      <c r="F1946" s="597">
        <v>5000</v>
      </c>
      <c r="G1946" s="597">
        <v>5100</v>
      </c>
      <c r="H1946" s="592" t="s">
        <v>1397</v>
      </c>
    </row>
    <row r="1947" spans="1:8" ht="24.75" customHeight="1" x14ac:dyDescent="0.55000000000000004">
      <c r="A1947" s="592">
        <v>1946</v>
      </c>
      <c r="B1947" s="596" t="s">
        <v>6144</v>
      </c>
      <c r="C1947" s="592" t="s">
        <v>6145</v>
      </c>
      <c r="D1947" s="592">
        <v>1</v>
      </c>
      <c r="E1947" s="597">
        <v>12000</v>
      </c>
      <c r="F1947" s="597">
        <v>12000</v>
      </c>
      <c r="G1947" s="597">
        <v>7620</v>
      </c>
      <c r="H1947" s="592" t="s">
        <v>1397</v>
      </c>
    </row>
    <row r="1948" spans="1:8" ht="24.75" customHeight="1" x14ac:dyDescent="0.55000000000000004">
      <c r="A1948" s="592">
        <v>1947</v>
      </c>
      <c r="B1948" s="596" t="s">
        <v>6273</v>
      </c>
      <c r="C1948" s="592" t="s">
        <v>6274</v>
      </c>
      <c r="D1948" s="592">
        <v>1</v>
      </c>
      <c r="E1948" s="597">
        <v>10000</v>
      </c>
      <c r="F1948" s="597">
        <v>10000</v>
      </c>
      <c r="G1948" s="597">
        <v>6200</v>
      </c>
      <c r="H1948" s="592" t="s">
        <v>1397</v>
      </c>
    </row>
    <row r="1949" spans="1:8" ht="24.75" customHeight="1" x14ac:dyDescent="0.55000000000000004">
      <c r="A1949" s="592">
        <v>1948</v>
      </c>
      <c r="B1949" s="596" t="s">
        <v>6186</v>
      </c>
      <c r="C1949" s="592" t="s">
        <v>6187</v>
      </c>
      <c r="D1949" s="592">
        <v>5</v>
      </c>
      <c r="E1949" s="597">
        <v>1800</v>
      </c>
      <c r="F1949" s="597">
        <v>1800</v>
      </c>
      <c r="G1949" s="597">
        <v>4500</v>
      </c>
      <c r="H1949" s="592" t="s">
        <v>1397</v>
      </c>
    </row>
    <row r="1950" spans="1:8" ht="24.75" customHeight="1" x14ac:dyDescent="0.55000000000000004">
      <c r="A1950" s="592">
        <v>1949</v>
      </c>
      <c r="B1950" s="596" t="s">
        <v>6188</v>
      </c>
      <c r="C1950" s="592" t="s">
        <v>6189</v>
      </c>
      <c r="D1950" s="592">
        <v>2</v>
      </c>
      <c r="E1950" s="597">
        <v>2500</v>
      </c>
      <c r="F1950" s="597">
        <v>2500</v>
      </c>
      <c r="G1950" s="597">
        <v>2600</v>
      </c>
      <c r="H1950" s="592" t="s">
        <v>1397</v>
      </c>
    </row>
    <row r="1951" spans="1:8" ht="24.75" customHeight="1" x14ac:dyDescent="0.55000000000000004">
      <c r="A1951" s="592">
        <v>1950</v>
      </c>
      <c r="B1951" s="596" t="s">
        <v>6190</v>
      </c>
      <c r="C1951" s="592" t="s">
        <v>6191</v>
      </c>
      <c r="D1951" s="592">
        <v>8</v>
      </c>
      <c r="E1951" s="597">
        <v>1500</v>
      </c>
      <c r="F1951" s="597">
        <v>1500</v>
      </c>
      <c r="G1951" s="597">
        <v>7600</v>
      </c>
      <c r="H1951" s="592" t="s">
        <v>1397</v>
      </c>
    </row>
    <row r="1952" spans="1:8" ht="24.75" customHeight="1" x14ac:dyDescent="0.55000000000000004">
      <c r="A1952" s="592">
        <v>1951</v>
      </c>
      <c r="B1952" s="596" t="s">
        <v>6192</v>
      </c>
      <c r="C1952" s="592" t="s">
        <v>6193</v>
      </c>
      <c r="D1952" s="592">
        <v>5</v>
      </c>
      <c r="E1952" s="597">
        <v>1500</v>
      </c>
      <c r="F1952" s="597">
        <v>1500</v>
      </c>
      <c r="G1952" s="597">
        <v>4750</v>
      </c>
      <c r="H1952" s="592" t="s">
        <v>1397</v>
      </c>
    </row>
    <row r="1953" spans="1:8" ht="24.75" customHeight="1" x14ac:dyDescent="0.55000000000000004">
      <c r="A1953" s="592">
        <v>1952</v>
      </c>
      <c r="B1953" s="596" t="s">
        <v>6194</v>
      </c>
      <c r="C1953" s="592" t="s">
        <v>6195</v>
      </c>
      <c r="D1953" s="592">
        <v>1</v>
      </c>
      <c r="E1953" s="597">
        <v>75000</v>
      </c>
      <c r="F1953" s="597">
        <v>75000</v>
      </c>
      <c r="G1953" s="597">
        <v>55000</v>
      </c>
      <c r="H1953" s="592" t="s">
        <v>1397</v>
      </c>
    </row>
    <row r="1954" spans="1:8" ht="24.75" customHeight="1" x14ac:dyDescent="0.55000000000000004">
      <c r="A1954" s="592">
        <v>1953</v>
      </c>
      <c r="B1954" s="596" t="s">
        <v>6146</v>
      </c>
      <c r="C1954" s="592" t="s">
        <v>6147</v>
      </c>
      <c r="D1954" s="592">
        <v>1</v>
      </c>
      <c r="E1954" s="597">
        <v>7500</v>
      </c>
      <c r="F1954" s="597">
        <v>7500</v>
      </c>
      <c r="G1954" s="597">
        <v>4400</v>
      </c>
      <c r="H1954" s="592" t="s">
        <v>1397</v>
      </c>
    </row>
    <row r="1955" spans="1:8" ht="24.75" customHeight="1" x14ac:dyDescent="0.55000000000000004">
      <c r="A1955" s="592">
        <v>1954</v>
      </c>
      <c r="B1955" s="596" t="s">
        <v>6196</v>
      </c>
      <c r="C1955" s="592" t="s">
        <v>6391</v>
      </c>
      <c r="D1955" s="592">
        <v>1</v>
      </c>
      <c r="E1955" s="597">
        <v>250</v>
      </c>
      <c r="F1955" s="597">
        <v>250</v>
      </c>
      <c r="G1955" s="597">
        <v>160</v>
      </c>
      <c r="H1955" s="592" t="s">
        <v>1397</v>
      </c>
    </row>
    <row r="1956" spans="1:8" ht="24.75" customHeight="1" x14ac:dyDescent="0.55000000000000004">
      <c r="A1956" s="592">
        <v>1955</v>
      </c>
      <c r="B1956" s="596" t="s">
        <v>6197</v>
      </c>
      <c r="C1956" s="592" t="s">
        <v>6198</v>
      </c>
      <c r="D1956" s="592">
        <v>4</v>
      </c>
      <c r="E1956" s="597">
        <v>500</v>
      </c>
      <c r="F1956" s="597">
        <v>500</v>
      </c>
      <c r="G1956" s="597">
        <v>1400</v>
      </c>
      <c r="H1956" s="592" t="s">
        <v>1397</v>
      </c>
    </row>
    <row r="1957" spans="1:8" ht="24.75" customHeight="1" x14ac:dyDescent="0.55000000000000004">
      <c r="A1957" s="592">
        <v>1956</v>
      </c>
      <c r="B1957" s="596" t="s">
        <v>6199</v>
      </c>
      <c r="C1957" s="592" t="s">
        <v>6200</v>
      </c>
      <c r="D1957" s="592">
        <v>1</v>
      </c>
      <c r="E1957" s="597">
        <v>45000</v>
      </c>
      <c r="F1957" s="597">
        <v>45000</v>
      </c>
      <c r="G1957" s="597">
        <v>32000</v>
      </c>
      <c r="H1957" s="592" t="s">
        <v>1397</v>
      </c>
    </row>
    <row r="1958" spans="1:8" ht="24.75" customHeight="1" x14ac:dyDescent="0.55000000000000004">
      <c r="A1958" s="592">
        <v>1957</v>
      </c>
      <c r="B1958" s="596" t="s">
        <v>6201</v>
      </c>
      <c r="C1958" s="592" t="s">
        <v>6202</v>
      </c>
      <c r="D1958" s="592">
        <v>1</v>
      </c>
      <c r="E1958" s="597">
        <v>30000</v>
      </c>
      <c r="F1958" s="597">
        <v>30000</v>
      </c>
      <c r="G1958" s="597">
        <v>13400</v>
      </c>
      <c r="H1958" s="592" t="s">
        <v>1397</v>
      </c>
    </row>
    <row r="1959" spans="1:8" ht="24.75" customHeight="1" x14ac:dyDescent="0.55000000000000004">
      <c r="A1959" s="592">
        <v>1958</v>
      </c>
      <c r="B1959" s="596" t="s">
        <v>6231</v>
      </c>
      <c r="C1959" s="592" t="s">
        <v>6232</v>
      </c>
      <c r="D1959" s="592">
        <v>120</v>
      </c>
      <c r="E1959" s="597">
        <v>380</v>
      </c>
      <c r="F1959" s="597">
        <v>380</v>
      </c>
      <c r="G1959" s="597">
        <v>39240</v>
      </c>
      <c r="H1959" s="592" t="s">
        <v>1397</v>
      </c>
    </row>
    <row r="1960" spans="1:8" ht="24.75" customHeight="1" x14ac:dyDescent="0.55000000000000004">
      <c r="A1960" s="592">
        <v>1959</v>
      </c>
      <c r="B1960" s="596" t="s">
        <v>6352</v>
      </c>
      <c r="C1960" s="592" t="s">
        <v>6353</v>
      </c>
      <c r="D1960" s="592">
        <v>5</v>
      </c>
      <c r="E1960" s="597">
        <v>6500</v>
      </c>
      <c r="F1960" s="597">
        <v>6500</v>
      </c>
      <c r="G1960" s="597">
        <v>25000</v>
      </c>
      <c r="H1960" s="592" t="s">
        <v>1397</v>
      </c>
    </row>
    <row r="1961" spans="1:8" ht="24.75" customHeight="1" x14ac:dyDescent="0.55000000000000004">
      <c r="A1961" s="592">
        <v>1960</v>
      </c>
      <c r="B1961" s="596" t="s">
        <v>6304</v>
      </c>
      <c r="C1961" s="592" t="s">
        <v>6305</v>
      </c>
      <c r="D1961" s="592">
        <v>3</v>
      </c>
      <c r="E1961" s="597">
        <v>5000</v>
      </c>
      <c r="F1961" s="597">
        <v>5000</v>
      </c>
      <c r="G1961" s="597">
        <v>10500</v>
      </c>
      <c r="H1961" s="592" t="s">
        <v>1397</v>
      </c>
    </row>
    <row r="1962" spans="1:8" ht="24.75" customHeight="1" x14ac:dyDescent="0.55000000000000004">
      <c r="A1962" s="592">
        <v>1961</v>
      </c>
      <c r="B1962" s="596" t="s">
        <v>6354</v>
      </c>
      <c r="C1962" s="592" t="s">
        <v>6355</v>
      </c>
      <c r="D1962" s="592">
        <v>1</v>
      </c>
      <c r="E1962" s="597">
        <v>17000</v>
      </c>
      <c r="F1962" s="597">
        <v>17000</v>
      </c>
      <c r="G1962" s="597">
        <v>14350</v>
      </c>
      <c r="H1962" s="592" t="s">
        <v>1397</v>
      </c>
    </row>
    <row r="1963" spans="1:8" ht="24.75" customHeight="1" x14ac:dyDescent="0.55000000000000004">
      <c r="A1963" s="592">
        <v>1962</v>
      </c>
      <c r="B1963" s="596" t="s">
        <v>7099</v>
      </c>
      <c r="C1963" s="592" t="s">
        <v>7100</v>
      </c>
      <c r="D1963" s="592">
        <v>10</v>
      </c>
      <c r="E1963" s="597">
        <v>1000</v>
      </c>
      <c r="F1963" s="597">
        <v>1000</v>
      </c>
      <c r="G1963" s="597">
        <v>6000</v>
      </c>
      <c r="H1963" s="592" t="s">
        <v>1397</v>
      </c>
    </row>
    <row r="1964" spans="1:8" ht="24.75" customHeight="1" x14ac:dyDescent="0.55000000000000004">
      <c r="A1964" s="592">
        <v>1963</v>
      </c>
      <c r="B1964" s="596" t="s">
        <v>6472</v>
      </c>
      <c r="C1964" s="592" t="s">
        <v>6473</v>
      </c>
      <c r="D1964" s="592">
        <v>3</v>
      </c>
      <c r="E1964" s="597">
        <v>105000</v>
      </c>
      <c r="F1964" s="597">
        <v>105000</v>
      </c>
      <c r="G1964" s="597">
        <v>255543</v>
      </c>
      <c r="H1964" s="592" t="s">
        <v>1397</v>
      </c>
    </row>
    <row r="1965" spans="1:8" ht="24.75" customHeight="1" x14ac:dyDescent="0.55000000000000004">
      <c r="A1965" s="592">
        <v>1964</v>
      </c>
      <c r="B1965" s="596" t="s">
        <v>6474</v>
      </c>
      <c r="C1965" s="592" t="s">
        <v>8597</v>
      </c>
      <c r="D1965" s="592">
        <v>2</v>
      </c>
      <c r="E1965" s="597">
        <v>132000</v>
      </c>
      <c r="F1965" s="597">
        <v>132000</v>
      </c>
      <c r="G1965" s="597">
        <v>226800</v>
      </c>
      <c r="H1965" s="592" t="s">
        <v>1397</v>
      </c>
    </row>
    <row r="1966" spans="1:8" ht="24.75" customHeight="1" x14ac:dyDescent="0.55000000000000004">
      <c r="A1966" s="592">
        <v>1965</v>
      </c>
      <c r="B1966" s="596" t="s">
        <v>6475</v>
      </c>
      <c r="C1966" s="592" t="s">
        <v>7389</v>
      </c>
      <c r="D1966" s="592">
        <v>2</v>
      </c>
      <c r="E1966" s="597">
        <v>16000</v>
      </c>
      <c r="F1966" s="597">
        <v>16000</v>
      </c>
      <c r="G1966" s="597">
        <v>26000</v>
      </c>
      <c r="H1966" s="592" t="s">
        <v>1397</v>
      </c>
    </row>
    <row r="1967" spans="1:8" ht="24.75" customHeight="1" x14ac:dyDescent="0.55000000000000004">
      <c r="A1967" s="592">
        <v>1966</v>
      </c>
      <c r="B1967" s="596" t="s">
        <v>6476</v>
      </c>
      <c r="C1967" s="592" t="s">
        <v>3429</v>
      </c>
      <c r="D1967" s="592">
        <v>1</v>
      </c>
      <c r="E1967" s="597">
        <v>32000</v>
      </c>
      <c r="F1967" s="597">
        <v>32000</v>
      </c>
      <c r="G1967" s="597">
        <v>23000</v>
      </c>
      <c r="H1967" s="592" t="s">
        <v>1397</v>
      </c>
    </row>
    <row r="1968" spans="1:8" ht="24.75" customHeight="1" x14ac:dyDescent="0.55000000000000004">
      <c r="A1968" s="592">
        <v>1967</v>
      </c>
      <c r="B1968" s="596" t="s">
        <v>6477</v>
      </c>
      <c r="C1968" s="592" t="s">
        <v>6478</v>
      </c>
      <c r="D1968" s="592">
        <v>1</v>
      </c>
      <c r="E1968" s="597">
        <v>36000</v>
      </c>
      <c r="F1968" s="597">
        <v>36000</v>
      </c>
      <c r="G1968" s="597">
        <v>22000</v>
      </c>
      <c r="H1968" s="592" t="s">
        <v>1397</v>
      </c>
    </row>
    <row r="1969" spans="1:8" ht="24.75" customHeight="1" x14ac:dyDescent="0.55000000000000004">
      <c r="A1969" s="592">
        <v>1968</v>
      </c>
      <c r="B1969" s="596" t="s">
        <v>6392</v>
      </c>
      <c r="C1969" s="592" t="s">
        <v>6393</v>
      </c>
      <c r="D1969" s="592">
        <v>5</v>
      </c>
      <c r="E1969" s="597">
        <v>2500</v>
      </c>
      <c r="F1969" s="597">
        <v>2500</v>
      </c>
      <c r="G1969" s="597">
        <v>9000</v>
      </c>
      <c r="H1969" s="592" t="s">
        <v>1397</v>
      </c>
    </row>
    <row r="1970" spans="1:8" ht="24.75" customHeight="1" x14ac:dyDescent="0.55000000000000004">
      <c r="A1970" s="592">
        <v>1969</v>
      </c>
      <c r="B1970" s="596" t="s">
        <v>6394</v>
      </c>
      <c r="C1970" s="592" t="s">
        <v>6395</v>
      </c>
      <c r="D1970" s="592">
        <v>2</v>
      </c>
      <c r="E1970" s="597">
        <v>2000</v>
      </c>
      <c r="F1970" s="597">
        <v>2000</v>
      </c>
      <c r="G1970" s="597">
        <v>2400</v>
      </c>
      <c r="H1970" s="592" t="s">
        <v>1397</v>
      </c>
    </row>
    <row r="1971" spans="1:8" ht="24.75" customHeight="1" x14ac:dyDescent="0.55000000000000004">
      <c r="A1971" s="592">
        <v>1970</v>
      </c>
      <c r="B1971" s="596" t="s">
        <v>6396</v>
      </c>
      <c r="C1971" s="592" t="s">
        <v>6397</v>
      </c>
      <c r="D1971" s="592">
        <v>8</v>
      </c>
      <c r="E1971" s="597">
        <v>5000</v>
      </c>
      <c r="F1971" s="597">
        <v>5000</v>
      </c>
      <c r="G1971" s="597">
        <v>28800</v>
      </c>
      <c r="H1971" s="592" t="s">
        <v>1397</v>
      </c>
    </row>
    <row r="1972" spans="1:8" ht="24.75" customHeight="1" x14ac:dyDescent="0.55000000000000004">
      <c r="A1972" s="592">
        <v>1971</v>
      </c>
      <c r="B1972" s="596" t="s">
        <v>6479</v>
      </c>
      <c r="C1972" s="592" t="s">
        <v>6480</v>
      </c>
      <c r="D1972" s="592">
        <v>10</v>
      </c>
      <c r="E1972" s="597">
        <v>3500</v>
      </c>
      <c r="F1972" s="597">
        <v>3500</v>
      </c>
      <c r="G1972" s="597">
        <v>29000</v>
      </c>
      <c r="H1972" s="592" t="s">
        <v>1397</v>
      </c>
    </row>
    <row r="1973" spans="1:8" ht="24.75" customHeight="1" x14ac:dyDescent="0.55000000000000004">
      <c r="A1973" s="592">
        <v>1972</v>
      </c>
      <c r="B1973" s="596" t="s">
        <v>6398</v>
      </c>
      <c r="C1973" s="592" t="s">
        <v>6399</v>
      </c>
      <c r="D1973" s="592">
        <v>12</v>
      </c>
      <c r="E1973" s="597">
        <v>4000</v>
      </c>
      <c r="F1973" s="597">
        <v>4000</v>
      </c>
      <c r="G1973" s="597">
        <v>30600</v>
      </c>
      <c r="H1973" s="592" t="s">
        <v>1397</v>
      </c>
    </row>
    <row r="1974" spans="1:8" ht="24.75" customHeight="1" x14ac:dyDescent="0.55000000000000004">
      <c r="A1974" s="592">
        <v>1973</v>
      </c>
      <c r="B1974" s="596" t="s">
        <v>8794</v>
      </c>
      <c r="C1974" s="592" t="s">
        <v>8795</v>
      </c>
      <c r="D1974" s="592">
        <v>4</v>
      </c>
      <c r="E1974" s="597">
        <v>2000</v>
      </c>
      <c r="F1974" s="597">
        <v>2000</v>
      </c>
      <c r="G1974" s="597">
        <v>6000</v>
      </c>
      <c r="H1974" s="592" t="s">
        <v>1397</v>
      </c>
    </row>
    <row r="1975" spans="1:8" ht="24.75" customHeight="1" x14ac:dyDescent="0.55000000000000004">
      <c r="A1975" s="592">
        <v>1974</v>
      </c>
      <c r="B1975" s="596" t="s">
        <v>4949</v>
      </c>
      <c r="C1975" s="592" t="s">
        <v>4950</v>
      </c>
      <c r="D1975" s="592">
        <v>1</v>
      </c>
      <c r="E1975" s="597">
        <v>4500</v>
      </c>
      <c r="F1975" s="597">
        <v>4500</v>
      </c>
      <c r="G1975" s="597">
        <v>3500</v>
      </c>
      <c r="H1975" s="592" t="s">
        <v>1397</v>
      </c>
    </row>
    <row r="1976" spans="1:8" ht="24.75" customHeight="1" x14ac:dyDescent="0.55000000000000004">
      <c r="A1976" s="592">
        <v>1975</v>
      </c>
      <c r="B1976" s="596" t="s">
        <v>6481</v>
      </c>
      <c r="C1976" s="592" t="s">
        <v>6482</v>
      </c>
      <c r="D1976" s="592">
        <v>2</v>
      </c>
      <c r="E1976" s="597">
        <v>3000</v>
      </c>
      <c r="F1976" s="597">
        <v>3000</v>
      </c>
      <c r="G1976" s="597">
        <v>4800</v>
      </c>
      <c r="H1976" s="592" t="s">
        <v>1397</v>
      </c>
    </row>
    <row r="1977" spans="1:8" ht="24.75" customHeight="1" x14ac:dyDescent="0.55000000000000004">
      <c r="A1977" s="592">
        <v>1976</v>
      </c>
      <c r="B1977" s="596" t="s">
        <v>6483</v>
      </c>
      <c r="C1977" s="592" t="s">
        <v>6484</v>
      </c>
      <c r="D1977" s="592">
        <v>2</v>
      </c>
      <c r="E1977" s="597">
        <v>5000</v>
      </c>
      <c r="F1977" s="597">
        <v>5000</v>
      </c>
      <c r="G1977" s="597">
        <v>7000</v>
      </c>
      <c r="H1977" s="592" t="s">
        <v>1397</v>
      </c>
    </row>
    <row r="1978" spans="1:8" ht="24.75" customHeight="1" x14ac:dyDescent="0.55000000000000004">
      <c r="A1978" s="592">
        <v>1977</v>
      </c>
      <c r="B1978" s="596" t="s">
        <v>6485</v>
      </c>
      <c r="C1978" s="592" t="s">
        <v>6486</v>
      </c>
      <c r="D1978" s="592">
        <v>5</v>
      </c>
      <c r="E1978" s="597">
        <v>3500</v>
      </c>
      <c r="F1978" s="597">
        <v>3500</v>
      </c>
      <c r="G1978" s="597">
        <v>11500</v>
      </c>
      <c r="H1978" s="592" t="s">
        <v>1397</v>
      </c>
    </row>
    <row r="1979" spans="1:8" ht="24.75" customHeight="1" x14ac:dyDescent="0.55000000000000004">
      <c r="A1979" s="592">
        <v>1978</v>
      </c>
      <c r="B1979" s="596" t="s">
        <v>6487</v>
      </c>
      <c r="C1979" s="592" t="s">
        <v>6488</v>
      </c>
      <c r="D1979" s="592">
        <v>2</v>
      </c>
      <c r="E1979" s="597">
        <v>11000</v>
      </c>
      <c r="F1979" s="597">
        <v>11000</v>
      </c>
      <c r="G1979" s="597">
        <v>16000</v>
      </c>
      <c r="H1979" s="592" t="s">
        <v>1397</v>
      </c>
    </row>
    <row r="1980" spans="1:8" ht="24.75" customHeight="1" x14ac:dyDescent="0.55000000000000004">
      <c r="A1980" s="592">
        <v>1979</v>
      </c>
      <c r="B1980" s="596" t="s">
        <v>6489</v>
      </c>
      <c r="C1980" s="592" t="s">
        <v>6490</v>
      </c>
      <c r="D1980" s="592">
        <v>9</v>
      </c>
      <c r="E1980" s="597">
        <v>7000</v>
      </c>
      <c r="F1980" s="597">
        <v>7000</v>
      </c>
      <c r="G1980" s="597">
        <v>45000</v>
      </c>
      <c r="H1980" s="592" t="s">
        <v>1397</v>
      </c>
    </row>
    <row r="1981" spans="1:8" ht="24.75" customHeight="1" x14ac:dyDescent="0.55000000000000004">
      <c r="A1981" s="592">
        <v>1980</v>
      </c>
      <c r="B1981" s="596" t="s">
        <v>6491</v>
      </c>
      <c r="C1981" s="592" t="s">
        <v>6492</v>
      </c>
      <c r="D1981" s="592">
        <v>1</v>
      </c>
      <c r="E1981" s="597">
        <v>8500</v>
      </c>
      <c r="F1981" s="597">
        <v>8500</v>
      </c>
      <c r="G1981" s="597">
        <v>7300</v>
      </c>
      <c r="H1981" s="592" t="s">
        <v>1397</v>
      </c>
    </row>
    <row r="1982" spans="1:8" ht="24.75" customHeight="1" x14ac:dyDescent="0.55000000000000004">
      <c r="A1982" s="592">
        <v>1981</v>
      </c>
      <c r="B1982" s="596" t="s">
        <v>7678</v>
      </c>
      <c r="C1982" s="592" t="s">
        <v>7679</v>
      </c>
      <c r="D1982" s="592">
        <v>2</v>
      </c>
      <c r="E1982" s="597">
        <v>5000</v>
      </c>
      <c r="F1982" s="597">
        <v>5000</v>
      </c>
      <c r="G1982" s="597">
        <v>7200</v>
      </c>
      <c r="H1982" s="592" t="s">
        <v>1397</v>
      </c>
    </row>
    <row r="1983" spans="1:8" ht="24.75" customHeight="1" x14ac:dyDescent="0.55000000000000004">
      <c r="A1983" s="592">
        <v>1982</v>
      </c>
      <c r="B1983" s="596" t="s">
        <v>6493</v>
      </c>
      <c r="C1983" s="592" t="s">
        <v>6494</v>
      </c>
      <c r="D1983" s="592">
        <v>1</v>
      </c>
      <c r="E1983" s="597">
        <v>80000</v>
      </c>
      <c r="F1983" s="597">
        <v>80000</v>
      </c>
      <c r="G1983" s="597">
        <v>65000</v>
      </c>
      <c r="H1983" s="592" t="s">
        <v>1397</v>
      </c>
    </row>
    <row r="1984" spans="1:8" ht="24.75" customHeight="1" x14ac:dyDescent="0.55000000000000004">
      <c r="A1984" s="592">
        <v>1983</v>
      </c>
      <c r="B1984" s="596" t="s">
        <v>6497</v>
      </c>
      <c r="C1984" s="592" t="s">
        <v>6498</v>
      </c>
      <c r="D1984" s="592">
        <v>3</v>
      </c>
      <c r="E1984" s="597">
        <v>7500</v>
      </c>
      <c r="F1984" s="597">
        <v>7500</v>
      </c>
      <c r="G1984" s="597">
        <v>14250</v>
      </c>
      <c r="H1984" s="592" t="s">
        <v>1397</v>
      </c>
    </row>
    <row r="1985" spans="1:8" ht="24.75" customHeight="1" x14ac:dyDescent="0.55000000000000004">
      <c r="A1985" s="592">
        <v>1984</v>
      </c>
      <c r="B1985" s="596" t="s">
        <v>3172</v>
      </c>
      <c r="C1985" s="592" t="s">
        <v>3173</v>
      </c>
      <c r="D1985" s="592">
        <v>1</v>
      </c>
      <c r="E1985" s="597">
        <v>6000</v>
      </c>
      <c r="F1985" s="597">
        <v>6000</v>
      </c>
      <c r="G1985" s="597">
        <v>4300</v>
      </c>
      <c r="H1985" s="592" t="s">
        <v>1397</v>
      </c>
    </row>
    <row r="1986" spans="1:8" ht="24.75" customHeight="1" x14ac:dyDescent="0.55000000000000004">
      <c r="A1986" s="592">
        <v>1985</v>
      </c>
      <c r="B1986" s="596" t="s">
        <v>6499</v>
      </c>
      <c r="C1986" s="592" t="s">
        <v>6574</v>
      </c>
      <c r="D1986" s="592">
        <v>5</v>
      </c>
      <c r="E1986" s="597">
        <v>38000</v>
      </c>
      <c r="F1986" s="597">
        <v>38000</v>
      </c>
      <c r="G1986" s="597">
        <v>177500</v>
      </c>
      <c r="H1986" s="592" t="s">
        <v>1397</v>
      </c>
    </row>
    <row r="1987" spans="1:8" ht="24.75" customHeight="1" x14ac:dyDescent="0.55000000000000004">
      <c r="A1987" s="592">
        <v>1986</v>
      </c>
      <c r="B1987" s="596" t="s">
        <v>7932</v>
      </c>
      <c r="C1987" s="592" t="s">
        <v>7933</v>
      </c>
      <c r="D1987" s="592">
        <v>1</v>
      </c>
      <c r="E1987" s="597">
        <v>32000</v>
      </c>
      <c r="F1987" s="597">
        <v>32000</v>
      </c>
      <c r="G1987" s="597">
        <v>26500</v>
      </c>
      <c r="H1987" s="592" t="s">
        <v>1397</v>
      </c>
    </row>
    <row r="1988" spans="1:8" ht="24.75" customHeight="1" x14ac:dyDescent="0.55000000000000004">
      <c r="A1988" s="592">
        <v>1987</v>
      </c>
      <c r="B1988" s="596" t="s">
        <v>6500</v>
      </c>
      <c r="C1988" s="592" t="s">
        <v>6859</v>
      </c>
      <c r="D1988" s="592">
        <v>9</v>
      </c>
      <c r="E1988" s="597">
        <v>4000</v>
      </c>
      <c r="F1988" s="597">
        <v>4000</v>
      </c>
      <c r="G1988" s="597">
        <v>32400</v>
      </c>
      <c r="H1988" s="592" t="s">
        <v>1397</v>
      </c>
    </row>
    <row r="1989" spans="1:8" ht="24.75" customHeight="1" x14ac:dyDescent="0.55000000000000004">
      <c r="A1989" s="592">
        <v>1988</v>
      </c>
      <c r="B1989" s="596" t="s">
        <v>6501</v>
      </c>
      <c r="C1989" s="592" t="s">
        <v>6502</v>
      </c>
      <c r="D1989" s="592">
        <v>1</v>
      </c>
      <c r="E1989" s="597">
        <v>7000</v>
      </c>
      <c r="F1989" s="597">
        <v>7000</v>
      </c>
      <c r="G1989" s="597">
        <v>5000</v>
      </c>
      <c r="H1989" s="592" t="s">
        <v>1397</v>
      </c>
    </row>
    <row r="1990" spans="1:8" ht="24.75" customHeight="1" x14ac:dyDescent="0.55000000000000004">
      <c r="A1990" s="592">
        <v>1989</v>
      </c>
      <c r="B1990" s="596" t="s">
        <v>6503</v>
      </c>
      <c r="C1990" s="592" t="s">
        <v>6504</v>
      </c>
      <c r="D1990" s="592">
        <v>1</v>
      </c>
      <c r="E1990" s="597">
        <v>500</v>
      </c>
      <c r="F1990" s="597">
        <v>500</v>
      </c>
      <c r="G1990" s="597">
        <v>400</v>
      </c>
      <c r="H1990" s="592" t="s">
        <v>1397</v>
      </c>
    </row>
    <row r="1991" spans="1:8" ht="24.75" customHeight="1" x14ac:dyDescent="0.55000000000000004">
      <c r="A1991" s="592">
        <v>1990</v>
      </c>
      <c r="B1991" s="596" t="s">
        <v>6575</v>
      </c>
      <c r="C1991" s="592" t="s">
        <v>6576</v>
      </c>
      <c r="D1991" s="592">
        <v>1</v>
      </c>
      <c r="E1991" s="597">
        <v>60000</v>
      </c>
      <c r="F1991" s="597">
        <v>60000</v>
      </c>
      <c r="G1991" s="597">
        <v>49783</v>
      </c>
      <c r="H1991" s="592" t="s">
        <v>1397</v>
      </c>
    </row>
    <row r="1992" spans="1:8" ht="24.75" customHeight="1" x14ac:dyDescent="0.55000000000000004">
      <c r="A1992" s="592">
        <v>1991</v>
      </c>
      <c r="B1992" s="596" t="s">
        <v>6577</v>
      </c>
      <c r="C1992" s="592" t="s">
        <v>8426</v>
      </c>
      <c r="D1992" s="592">
        <v>9</v>
      </c>
      <c r="E1992" s="597">
        <v>3000</v>
      </c>
      <c r="F1992" s="597">
        <v>3000</v>
      </c>
      <c r="G1992" s="597">
        <v>18000</v>
      </c>
      <c r="H1992" s="592" t="s">
        <v>1397</v>
      </c>
    </row>
    <row r="1993" spans="1:8" ht="24.75" customHeight="1" x14ac:dyDescent="0.55000000000000004">
      <c r="A1993" s="592">
        <v>1992</v>
      </c>
      <c r="B1993" s="596" t="s">
        <v>6578</v>
      </c>
      <c r="C1993" s="592" t="s">
        <v>6579</v>
      </c>
      <c r="D1993" s="592">
        <v>1</v>
      </c>
      <c r="E1993" s="597">
        <v>300000</v>
      </c>
      <c r="F1993" s="597">
        <v>300000</v>
      </c>
      <c r="G1993" s="597">
        <v>275000</v>
      </c>
      <c r="H1993" s="592" t="s">
        <v>1397</v>
      </c>
    </row>
    <row r="1994" spans="1:8" ht="24.75" customHeight="1" x14ac:dyDescent="0.55000000000000004">
      <c r="A1994" s="592">
        <v>1993</v>
      </c>
      <c r="B1994" s="596" t="s">
        <v>4951</v>
      </c>
      <c r="C1994" s="592" t="s">
        <v>4952</v>
      </c>
      <c r="D1994" s="592">
        <v>3</v>
      </c>
      <c r="E1994" s="597">
        <v>5000</v>
      </c>
      <c r="F1994" s="597">
        <v>5000</v>
      </c>
      <c r="G1994" s="597">
        <v>7950</v>
      </c>
      <c r="H1994" s="592" t="s">
        <v>1397</v>
      </c>
    </row>
    <row r="1995" spans="1:8" ht="24.75" customHeight="1" x14ac:dyDescent="0.55000000000000004">
      <c r="A1995" s="592">
        <v>1994</v>
      </c>
      <c r="B1995" s="596" t="s">
        <v>6695</v>
      </c>
      <c r="C1995" s="592" t="s">
        <v>6696</v>
      </c>
      <c r="D1995" s="592">
        <v>1</v>
      </c>
      <c r="E1995" s="597">
        <v>3500</v>
      </c>
      <c r="F1995" s="597">
        <v>3500</v>
      </c>
      <c r="G1995" s="597">
        <v>2500</v>
      </c>
      <c r="H1995" s="592" t="s">
        <v>1397</v>
      </c>
    </row>
    <row r="1996" spans="1:8" ht="24.75" customHeight="1" x14ac:dyDescent="0.55000000000000004">
      <c r="A1996" s="592">
        <v>1995</v>
      </c>
      <c r="B1996" s="596" t="s">
        <v>6697</v>
      </c>
      <c r="C1996" s="592" t="s">
        <v>6698</v>
      </c>
      <c r="D1996" s="592">
        <v>10</v>
      </c>
      <c r="E1996" s="597">
        <v>600</v>
      </c>
      <c r="F1996" s="597">
        <v>600</v>
      </c>
      <c r="G1996" s="597">
        <v>3500</v>
      </c>
      <c r="H1996" s="592" t="s">
        <v>1397</v>
      </c>
    </row>
    <row r="1997" spans="1:8" ht="24.75" customHeight="1" x14ac:dyDescent="0.55000000000000004">
      <c r="A1997" s="592">
        <v>1996</v>
      </c>
      <c r="B1997" s="596" t="s">
        <v>6699</v>
      </c>
      <c r="C1997" s="592" t="s">
        <v>6700</v>
      </c>
      <c r="D1997" s="592">
        <v>1</v>
      </c>
      <c r="E1997" s="597">
        <v>32000</v>
      </c>
      <c r="F1997" s="597">
        <v>32000</v>
      </c>
      <c r="G1997" s="597">
        <v>28000</v>
      </c>
      <c r="H1997" s="592" t="s">
        <v>1397</v>
      </c>
    </row>
    <row r="1998" spans="1:8" ht="24.75" customHeight="1" x14ac:dyDescent="0.55000000000000004">
      <c r="A1998" s="592">
        <v>1997</v>
      </c>
      <c r="B1998" s="596" t="s">
        <v>6701</v>
      </c>
      <c r="C1998" s="592" t="s">
        <v>6702</v>
      </c>
      <c r="D1998" s="592">
        <v>10</v>
      </c>
      <c r="E1998" s="597">
        <v>1000</v>
      </c>
      <c r="F1998" s="597">
        <v>1000</v>
      </c>
      <c r="G1998" s="597">
        <v>7000</v>
      </c>
      <c r="H1998" s="592" t="s">
        <v>1397</v>
      </c>
    </row>
    <row r="1999" spans="1:8" ht="24.75" customHeight="1" x14ac:dyDescent="0.55000000000000004">
      <c r="A1999" s="592">
        <v>1998</v>
      </c>
      <c r="B1999" s="596" t="s">
        <v>8427</v>
      </c>
      <c r="C1999" s="592" t="s">
        <v>8428</v>
      </c>
      <c r="D1999" s="592">
        <v>11</v>
      </c>
      <c r="E1999" s="597">
        <v>1000</v>
      </c>
      <c r="F1999" s="597">
        <v>1000</v>
      </c>
      <c r="G1999" s="597">
        <v>6050</v>
      </c>
      <c r="H1999" s="592" t="s">
        <v>1397</v>
      </c>
    </row>
    <row r="2000" spans="1:8" ht="24.75" customHeight="1" x14ac:dyDescent="0.55000000000000004">
      <c r="A2000" s="592">
        <v>1999</v>
      </c>
      <c r="B2000" s="596" t="s">
        <v>6580</v>
      </c>
      <c r="C2000" s="592" t="s">
        <v>6581</v>
      </c>
      <c r="D2000" s="592">
        <v>4</v>
      </c>
      <c r="E2000" s="597">
        <v>5500</v>
      </c>
      <c r="F2000" s="597">
        <v>5500</v>
      </c>
      <c r="G2000" s="597">
        <v>17600</v>
      </c>
      <c r="H2000" s="592" t="s">
        <v>1397</v>
      </c>
    </row>
    <row r="2001" spans="1:8" ht="24.75" customHeight="1" x14ac:dyDescent="0.55000000000000004">
      <c r="A2001" s="592">
        <v>2000</v>
      </c>
      <c r="B2001" s="596" t="s">
        <v>6582</v>
      </c>
      <c r="C2001" s="592" t="s">
        <v>6583</v>
      </c>
      <c r="D2001" s="592">
        <v>4</v>
      </c>
      <c r="E2001" s="597">
        <v>8000</v>
      </c>
      <c r="F2001" s="597">
        <v>8000</v>
      </c>
      <c r="G2001" s="597">
        <v>22000</v>
      </c>
      <c r="H2001" s="592" t="s">
        <v>1397</v>
      </c>
    </row>
    <row r="2002" spans="1:8" ht="24.75" customHeight="1" x14ac:dyDescent="0.55000000000000004">
      <c r="A2002" s="592">
        <v>2001</v>
      </c>
      <c r="B2002" s="596" t="s">
        <v>6584</v>
      </c>
      <c r="C2002" s="592" t="s">
        <v>6860</v>
      </c>
      <c r="D2002" s="592">
        <v>3</v>
      </c>
      <c r="E2002" s="597">
        <v>8000</v>
      </c>
      <c r="F2002" s="597">
        <v>8000</v>
      </c>
      <c r="G2002" s="597">
        <v>17850</v>
      </c>
      <c r="H2002" s="592" t="s">
        <v>1397</v>
      </c>
    </row>
    <row r="2003" spans="1:8" ht="24.75" customHeight="1" x14ac:dyDescent="0.55000000000000004">
      <c r="A2003" s="592">
        <v>2002</v>
      </c>
      <c r="B2003" s="596" t="s">
        <v>6703</v>
      </c>
      <c r="C2003" s="592" t="s">
        <v>6704</v>
      </c>
      <c r="D2003" s="592">
        <v>2</v>
      </c>
      <c r="E2003" s="597">
        <v>7000</v>
      </c>
      <c r="F2003" s="597">
        <v>7000</v>
      </c>
      <c r="G2003" s="597">
        <v>10000</v>
      </c>
      <c r="H2003" s="592" t="s">
        <v>1397</v>
      </c>
    </row>
    <row r="2004" spans="1:8" ht="24.75" customHeight="1" x14ac:dyDescent="0.55000000000000004">
      <c r="A2004" s="592">
        <v>2003</v>
      </c>
      <c r="B2004" s="596" t="s">
        <v>6585</v>
      </c>
      <c r="C2004" s="592" t="s">
        <v>7390</v>
      </c>
      <c r="D2004" s="592">
        <v>2</v>
      </c>
      <c r="E2004" s="597">
        <v>22000</v>
      </c>
      <c r="F2004" s="597">
        <v>22000</v>
      </c>
      <c r="G2004" s="597">
        <v>37000</v>
      </c>
      <c r="H2004" s="592" t="s">
        <v>1397</v>
      </c>
    </row>
    <row r="2005" spans="1:8" ht="24.75" customHeight="1" x14ac:dyDescent="0.55000000000000004">
      <c r="A2005" s="592">
        <v>2004</v>
      </c>
      <c r="B2005" s="596" t="s">
        <v>6705</v>
      </c>
      <c r="C2005" s="592" t="s">
        <v>6706</v>
      </c>
      <c r="D2005" s="592">
        <v>10</v>
      </c>
      <c r="E2005" s="597">
        <v>450</v>
      </c>
      <c r="F2005" s="597">
        <v>450</v>
      </c>
      <c r="G2005" s="597">
        <v>2200</v>
      </c>
      <c r="H2005" s="592" t="s">
        <v>1397</v>
      </c>
    </row>
    <row r="2006" spans="1:8" ht="24.75" customHeight="1" x14ac:dyDescent="0.55000000000000004">
      <c r="A2006" s="592">
        <v>2005</v>
      </c>
      <c r="B2006" s="596" t="s">
        <v>6707</v>
      </c>
      <c r="C2006" s="592" t="s">
        <v>6708</v>
      </c>
      <c r="D2006" s="592">
        <v>3</v>
      </c>
      <c r="E2006" s="597">
        <v>1500</v>
      </c>
      <c r="F2006" s="597">
        <v>1500</v>
      </c>
      <c r="G2006" s="597">
        <v>2100</v>
      </c>
      <c r="H2006" s="592" t="s">
        <v>1397</v>
      </c>
    </row>
    <row r="2007" spans="1:8" ht="24.75" customHeight="1" x14ac:dyDescent="0.55000000000000004">
      <c r="A2007" s="592">
        <v>2006</v>
      </c>
      <c r="B2007" s="596" t="s">
        <v>6709</v>
      </c>
      <c r="C2007" s="592" t="s">
        <v>6710</v>
      </c>
      <c r="D2007" s="592">
        <v>5</v>
      </c>
      <c r="E2007" s="597">
        <v>2000</v>
      </c>
      <c r="F2007" s="597">
        <v>2000</v>
      </c>
      <c r="G2007" s="597">
        <v>5000</v>
      </c>
      <c r="H2007" s="592" t="s">
        <v>1397</v>
      </c>
    </row>
    <row r="2008" spans="1:8" ht="24.75" customHeight="1" x14ac:dyDescent="0.55000000000000004">
      <c r="A2008" s="592">
        <v>2007</v>
      </c>
      <c r="B2008" s="596" t="s">
        <v>6711</v>
      </c>
      <c r="C2008" s="592" t="s">
        <v>6712</v>
      </c>
      <c r="D2008" s="592">
        <v>10</v>
      </c>
      <c r="E2008" s="597">
        <v>1700</v>
      </c>
      <c r="F2008" s="597">
        <v>1700</v>
      </c>
      <c r="G2008" s="597">
        <v>12500</v>
      </c>
      <c r="H2008" s="592" t="s">
        <v>1397</v>
      </c>
    </row>
    <row r="2009" spans="1:8" ht="24.75" customHeight="1" x14ac:dyDescent="0.55000000000000004">
      <c r="A2009" s="592">
        <v>2008</v>
      </c>
      <c r="B2009" s="596" t="s">
        <v>4953</v>
      </c>
      <c r="C2009" s="592" t="s">
        <v>7680</v>
      </c>
      <c r="D2009" s="592">
        <v>1</v>
      </c>
      <c r="E2009" s="597">
        <v>5000</v>
      </c>
      <c r="F2009" s="597">
        <v>5000</v>
      </c>
      <c r="G2009" s="597">
        <v>3500</v>
      </c>
      <c r="H2009" s="592" t="s">
        <v>1397</v>
      </c>
    </row>
    <row r="2010" spans="1:8" ht="24.75" customHeight="1" x14ac:dyDescent="0.55000000000000004">
      <c r="A2010" s="592">
        <v>2009</v>
      </c>
      <c r="B2010" s="596" t="s">
        <v>6713</v>
      </c>
      <c r="C2010" s="592" t="s">
        <v>6714</v>
      </c>
      <c r="D2010" s="592">
        <v>1</v>
      </c>
      <c r="E2010" s="597">
        <v>5000</v>
      </c>
      <c r="F2010" s="597">
        <v>5000</v>
      </c>
      <c r="G2010" s="597">
        <v>3500</v>
      </c>
      <c r="H2010" s="592" t="s">
        <v>1397</v>
      </c>
    </row>
    <row r="2011" spans="1:8" ht="24.75" customHeight="1" x14ac:dyDescent="0.55000000000000004">
      <c r="A2011" s="592">
        <v>2010</v>
      </c>
      <c r="B2011" s="596" t="s">
        <v>6586</v>
      </c>
      <c r="C2011" s="592" t="s">
        <v>6587</v>
      </c>
      <c r="D2011" s="592">
        <v>11</v>
      </c>
      <c r="E2011" s="597">
        <v>3000</v>
      </c>
      <c r="F2011" s="597">
        <v>3000</v>
      </c>
      <c r="G2011" s="597">
        <v>23650</v>
      </c>
      <c r="H2011" s="592" t="s">
        <v>1397</v>
      </c>
    </row>
    <row r="2012" spans="1:8" ht="24.75" customHeight="1" x14ac:dyDescent="0.55000000000000004">
      <c r="A2012" s="592">
        <v>2011</v>
      </c>
      <c r="B2012" s="596" t="s">
        <v>6588</v>
      </c>
      <c r="C2012" s="592" t="s">
        <v>6589</v>
      </c>
      <c r="D2012" s="592">
        <v>8</v>
      </c>
      <c r="E2012" s="597">
        <v>1500</v>
      </c>
      <c r="F2012" s="597">
        <v>1500</v>
      </c>
      <c r="G2012" s="597">
        <v>8000</v>
      </c>
      <c r="H2012" s="592" t="s">
        <v>1397</v>
      </c>
    </row>
    <row r="2013" spans="1:8" ht="24.75" customHeight="1" x14ac:dyDescent="0.55000000000000004">
      <c r="A2013" s="592">
        <v>2012</v>
      </c>
      <c r="B2013" s="596" t="s">
        <v>6715</v>
      </c>
      <c r="C2013" s="592" t="s">
        <v>6716</v>
      </c>
      <c r="D2013" s="592">
        <v>1</v>
      </c>
      <c r="E2013" s="597">
        <v>3500</v>
      </c>
      <c r="F2013" s="597">
        <v>3500</v>
      </c>
      <c r="G2013" s="597">
        <v>2600</v>
      </c>
      <c r="H2013" s="592" t="s">
        <v>1397</v>
      </c>
    </row>
    <row r="2014" spans="1:8" ht="24.75" customHeight="1" x14ac:dyDescent="0.55000000000000004">
      <c r="A2014" s="592">
        <v>2013</v>
      </c>
      <c r="B2014" s="596" t="s">
        <v>6717</v>
      </c>
      <c r="C2014" s="592" t="s">
        <v>6718</v>
      </c>
      <c r="D2014" s="592">
        <v>1</v>
      </c>
      <c r="E2014" s="597">
        <v>3500</v>
      </c>
      <c r="F2014" s="597">
        <v>3500</v>
      </c>
      <c r="G2014" s="597">
        <v>2640</v>
      </c>
      <c r="H2014" s="592" t="s">
        <v>1397</v>
      </c>
    </row>
    <row r="2015" spans="1:8" ht="24.75" customHeight="1" x14ac:dyDescent="0.55000000000000004">
      <c r="A2015" s="592">
        <v>2014</v>
      </c>
      <c r="B2015" s="596" t="s">
        <v>6590</v>
      </c>
      <c r="C2015" s="592" t="s">
        <v>6591</v>
      </c>
      <c r="D2015" s="592">
        <v>20</v>
      </c>
      <c r="E2015" s="597">
        <v>4500</v>
      </c>
      <c r="F2015" s="597">
        <v>4500</v>
      </c>
      <c r="G2015" s="597">
        <v>83000</v>
      </c>
      <c r="H2015" s="592" t="s">
        <v>1397</v>
      </c>
    </row>
    <row r="2016" spans="1:8" ht="24.75" customHeight="1" x14ac:dyDescent="0.55000000000000004">
      <c r="A2016" s="592">
        <v>2015</v>
      </c>
      <c r="B2016" s="596" t="s">
        <v>7101</v>
      </c>
      <c r="C2016" s="592" t="s">
        <v>7102</v>
      </c>
      <c r="D2016" s="592">
        <v>10</v>
      </c>
      <c r="E2016" s="597">
        <v>2000</v>
      </c>
      <c r="F2016" s="597">
        <v>2000</v>
      </c>
      <c r="G2016" s="597">
        <v>13000</v>
      </c>
      <c r="H2016" s="592" t="s">
        <v>1397</v>
      </c>
    </row>
    <row r="2017" spans="1:8" ht="24.75" customHeight="1" x14ac:dyDescent="0.55000000000000004">
      <c r="A2017" s="592">
        <v>2016</v>
      </c>
      <c r="B2017" s="596" t="s">
        <v>6719</v>
      </c>
      <c r="C2017" s="592" t="s">
        <v>7681</v>
      </c>
      <c r="D2017" s="592">
        <v>1</v>
      </c>
      <c r="E2017" s="597">
        <v>57000</v>
      </c>
      <c r="F2017" s="597">
        <v>57000</v>
      </c>
      <c r="G2017" s="597">
        <v>49500</v>
      </c>
      <c r="H2017" s="592" t="s">
        <v>1397</v>
      </c>
    </row>
    <row r="2018" spans="1:8" ht="24.75" customHeight="1" x14ac:dyDescent="0.55000000000000004">
      <c r="A2018" s="592">
        <v>2017</v>
      </c>
      <c r="B2018" s="596" t="s">
        <v>6720</v>
      </c>
      <c r="C2018" s="592" t="s">
        <v>6721</v>
      </c>
      <c r="D2018" s="592">
        <v>8</v>
      </c>
      <c r="E2018" s="597">
        <v>500</v>
      </c>
      <c r="F2018" s="597">
        <v>500</v>
      </c>
      <c r="G2018" s="597">
        <v>2800</v>
      </c>
      <c r="H2018" s="592" t="s">
        <v>1397</v>
      </c>
    </row>
    <row r="2019" spans="1:8" ht="24.75" customHeight="1" x14ac:dyDescent="0.55000000000000004">
      <c r="A2019" s="592">
        <v>2018</v>
      </c>
      <c r="B2019" s="596" t="s">
        <v>6722</v>
      </c>
      <c r="C2019" s="592" t="s">
        <v>6723</v>
      </c>
      <c r="D2019" s="592">
        <v>10</v>
      </c>
      <c r="E2019" s="597">
        <v>500</v>
      </c>
      <c r="F2019" s="597">
        <v>500</v>
      </c>
      <c r="G2019" s="597">
        <v>3000</v>
      </c>
      <c r="H2019" s="592" t="s">
        <v>1397</v>
      </c>
    </row>
    <row r="2020" spans="1:8" ht="24.75" customHeight="1" x14ac:dyDescent="0.55000000000000004">
      <c r="A2020" s="592">
        <v>2019</v>
      </c>
      <c r="B2020" s="596" t="s">
        <v>6724</v>
      </c>
      <c r="C2020" s="592" t="s">
        <v>6725</v>
      </c>
      <c r="D2020" s="592">
        <v>2</v>
      </c>
      <c r="E2020" s="597">
        <v>10000</v>
      </c>
      <c r="F2020" s="597">
        <v>10000</v>
      </c>
      <c r="G2020" s="597">
        <v>16400</v>
      </c>
      <c r="H2020" s="592" t="s">
        <v>1397</v>
      </c>
    </row>
    <row r="2021" spans="1:8" ht="24.75" customHeight="1" x14ac:dyDescent="0.55000000000000004">
      <c r="A2021" s="592">
        <v>2020</v>
      </c>
      <c r="B2021" s="596" t="s">
        <v>6726</v>
      </c>
      <c r="C2021" s="592" t="s">
        <v>7934</v>
      </c>
      <c r="D2021" s="592">
        <v>1</v>
      </c>
      <c r="E2021" s="597">
        <v>28000</v>
      </c>
      <c r="F2021" s="597">
        <v>28000</v>
      </c>
      <c r="G2021" s="597">
        <v>22000</v>
      </c>
      <c r="H2021" s="592" t="s">
        <v>1397</v>
      </c>
    </row>
    <row r="2022" spans="1:8" ht="24.75" customHeight="1" x14ac:dyDescent="0.55000000000000004">
      <c r="A2022" s="592">
        <v>2021</v>
      </c>
      <c r="B2022" s="596" t="s">
        <v>6592</v>
      </c>
      <c r="C2022" s="592" t="s">
        <v>6593</v>
      </c>
      <c r="D2022" s="592">
        <v>63</v>
      </c>
      <c r="E2022" s="597">
        <v>2500</v>
      </c>
      <c r="F2022" s="597">
        <v>2500</v>
      </c>
      <c r="G2022" s="597">
        <v>148050</v>
      </c>
      <c r="H2022" s="592" t="s">
        <v>1397</v>
      </c>
    </row>
    <row r="2023" spans="1:8" ht="24.75" customHeight="1" x14ac:dyDescent="0.55000000000000004">
      <c r="A2023" s="592">
        <v>2022</v>
      </c>
      <c r="B2023" s="596" t="s">
        <v>6594</v>
      </c>
      <c r="C2023" s="592" t="s">
        <v>6595</v>
      </c>
      <c r="D2023" s="592">
        <v>2</v>
      </c>
      <c r="E2023" s="597">
        <v>12000</v>
      </c>
      <c r="F2023" s="597">
        <v>12000</v>
      </c>
      <c r="G2023" s="597">
        <v>17600</v>
      </c>
      <c r="H2023" s="592" t="s">
        <v>1397</v>
      </c>
    </row>
    <row r="2024" spans="1:8" ht="24.75" customHeight="1" x14ac:dyDescent="0.55000000000000004">
      <c r="A2024" s="592">
        <v>2023</v>
      </c>
      <c r="B2024" s="596" t="s">
        <v>6727</v>
      </c>
      <c r="C2024" s="592" t="s">
        <v>6728</v>
      </c>
      <c r="D2024" s="592">
        <v>3</v>
      </c>
      <c r="E2024" s="597">
        <v>6000</v>
      </c>
      <c r="F2024" s="597">
        <v>6000</v>
      </c>
      <c r="G2024" s="597">
        <v>12000</v>
      </c>
      <c r="H2024" s="592" t="s">
        <v>1397</v>
      </c>
    </row>
    <row r="2025" spans="1:8" ht="24.75" customHeight="1" x14ac:dyDescent="0.55000000000000004">
      <c r="A2025" s="592">
        <v>2024</v>
      </c>
      <c r="B2025" s="596" t="s">
        <v>4954</v>
      </c>
      <c r="C2025" s="592" t="s">
        <v>4955</v>
      </c>
      <c r="D2025" s="592">
        <v>1</v>
      </c>
      <c r="E2025" s="597">
        <v>5000</v>
      </c>
      <c r="F2025" s="597">
        <v>5000</v>
      </c>
      <c r="G2025" s="597">
        <v>4500</v>
      </c>
      <c r="H2025" s="592" t="s">
        <v>1397</v>
      </c>
    </row>
    <row r="2026" spans="1:8" ht="24.75" customHeight="1" x14ac:dyDescent="0.55000000000000004">
      <c r="A2026" s="592">
        <v>2025</v>
      </c>
      <c r="B2026" s="596" t="s">
        <v>7682</v>
      </c>
      <c r="C2026" s="592" t="s">
        <v>7683</v>
      </c>
      <c r="D2026" s="592">
        <v>1</v>
      </c>
      <c r="E2026" s="597">
        <v>55000</v>
      </c>
      <c r="F2026" s="597">
        <v>55000</v>
      </c>
      <c r="G2026" s="597">
        <v>42000</v>
      </c>
      <c r="H2026" s="592" t="s">
        <v>1397</v>
      </c>
    </row>
    <row r="2027" spans="1:8" ht="24.75" customHeight="1" x14ac:dyDescent="0.55000000000000004">
      <c r="A2027" s="592">
        <v>2026</v>
      </c>
      <c r="B2027" s="596" t="s">
        <v>6596</v>
      </c>
      <c r="C2027" s="592" t="s">
        <v>8600</v>
      </c>
      <c r="D2027" s="592">
        <v>13</v>
      </c>
      <c r="E2027" s="597">
        <v>7700</v>
      </c>
      <c r="F2027" s="597">
        <v>7700</v>
      </c>
      <c r="G2027" s="597">
        <v>93600</v>
      </c>
      <c r="H2027" s="592" t="s">
        <v>1397</v>
      </c>
    </row>
    <row r="2028" spans="1:8" ht="24.75" customHeight="1" x14ac:dyDescent="0.55000000000000004">
      <c r="A2028" s="592">
        <v>2027</v>
      </c>
      <c r="B2028" s="596" t="s">
        <v>6597</v>
      </c>
      <c r="C2028" s="592" t="s">
        <v>6861</v>
      </c>
      <c r="D2028" s="592">
        <v>5</v>
      </c>
      <c r="E2028" s="597">
        <v>5500</v>
      </c>
      <c r="F2028" s="597">
        <v>5500</v>
      </c>
      <c r="G2028" s="597">
        <v>22500</v>
      </c>
      <c r="H2028" s="592" t="s">
        <v>1397</v>
      </c>
    </row>
    <row r="2029" spans="1:8" ht="24.75" customHeight="1" x14ac:dyDescent="0.55000000000000004">
      <c r="A2029" s="592">
        <v>2028</v>
      </c>
      <c r="B2029" s="596" t="s">
        <v>6729</v>
      </c>
      <c r="C2029" s="592" t="s">
        <v>6730</v>
      </c>
      <c r="D2029" s="592">
        <v>3</v>
      </c>
      <c r="E2029" s="597">
        <v>6500</v>
      </c>
      <c r="F2029" s="597">
        <v>6500</v>
      </c>
      <c r="G2029" s="597">
        <v>15150</v>
      </c>
      <c r="H2029" s="592" t="s">
        <v>1397</v>
      </c>
    </row>
    <row r="2030" spans="1:8" ht="24.75" customHeight="1" x14ac:dyDescent="0.55000000000000004">
      <c r="A2030" s="592">
        <v>2029</v>
      </c>
      <c r="B2030" s="596" t="s">
        <v>6598</v>
      </c>
      <c r="C2030" s="592" t="s">
        <v>6599</v>
      </c>
      <c r="D2030" s="592">
        <v>3</v>
      </c>
      <c r="E2030" s="597">
        <v>12000</v>
      </c>
      <c r="F2030" s="597">
        <v>12000</v>
      </c>
      <c r="G2030" s="597">
        <v>20100</v>
      </c>
      <c r="H2030" s="592" t="s">
        <v>1397</v>
      </c>
    </row>
    <row r="2031" spans="1:8" ht="24.75" customHeight="1" x14ac:dyDescent="0.55000000000000004">
      <c r="A2031" s="592">
        <v>2030</v>
      </c>
      <c r="B2031" s="596" t="s">
        <v>6731</v>
      </c>
      <c r="C2031" s="592" t="s">
        <v>6732</v>
      </c>
      <c r="D2031" s="592">
        <v>2</v>
      </c>
      <c r="E2031" s="597">
        <v>5200</v>
      </c>
      <c r="F2031" s="597">
        <v>5200</v>
      </c>
      <c r="G2031" s="597">
        <v>8000</v>
      </c>
      <c r="H2031" s="592" t="s">
        <v>1397</v>
      </c>
    </row>
    <row r="2032" spans="1:8" ht="24.75" customHeight="1" x14ac:dyDescent="0.55000000000000004">
      <c r="A2032" s="592">
        <v>2031</v>
      </c>
      <c r="B2032" s="596" t="s">
        <v>6733</v>
      </c>
      <c r="C2032" s="592" t="s">
        <v>6734</v>
      </c>
      <c r="D2032" s="592">
        <v>2</v>
      </c>
      <c r="E2032" s="597">
        <v>14000</v>
      </c>
      <c r="F2032" s="597">
        <v>14000</v>
      </c>
      <c r="G2032" s="597">
        <v>18000</v>
      </c>
      <c r="H2032" s="592" t="s">
        <v>1397</v>
      </c>
    </row>
    <row r="2033" spans="1:8" ht="24.75" customHeight="1" x14ac:dyDescent="0.55000000000000004">
      <c r="A2033" s="592">
        <v>2032</v>
      </c>
      <c r="B2033" s="596" t="s">
        <v>6735</v>
      </c>
      <c r="C2033" s="592" t="s">
        <v>6736</v>
      </c>
      <c r="D2033" s="592">
        <v>2</v>
      </c>
      <c r="E2033" s="597">
        <v>23500</v>
      </c>
      <c r="F2033" s="597">
        <v>23500</v>
      </c>
      <c r="G2033" s="597">
        <v>37600</v>
      </c>
      <c r="H2033" s="592" t="s">
        <v>1397</v>
      </c>
    </row>
    <row r="2034" spans="1:8" ht="24.75" customHeight="1" x14ac:dyDescent="0.55000000000000004">
      <c r="A2034" s="592">
        <v>2033</v>
      </c>
      <c r="B2034" s="596" t="s">
        <v>6739</v>
      </c>
      <c r="C2034" s="592" t="s">
        <v>6740</v>
      </c>
      <c r="D2034" s="592">
        <v>15</v>
      </c>
      <c r="E2034" s="597">
        <v>4000</v>
      </c>
      <c r="F2034" s="597">
        <v>4000</v>
      </c>
      <c r="G2034" s="597">
        <v>54750</v>
      </c>
      <c r="H2034" s="592" t="s">
        <v>1397</v>
      </c>
    </row>
    <row r="2035" spans="1:8" ht="24.75" customHeight="1" x14ac:dyDescent="0.55000000000000004">
      <c r="A2035" s="592">
        <v>2034</v>
      </c>
      <c r="B2035" s="596" t="s">
        <v>6600</v>
      </c>
      <c r="C2035" s="592" t="s">
        <v>6601</v>
      </c>
      <c r="D2035" s="592">
        <v>1</v>
      </c>
      <c r="E2035" s="597">
        <v>5500</v>
      </c>
      <c r="F2035" s="597">
        <v>5500</v>
      </c>
      <c r="G2035" s="597">
        <v>4500</v>
      </c>
      <c r="H2035" s="592" t="s">
        <v>1397</v>
      </c>
    </row>
    <row r="2036" spans="1:8" ht="24.75" customHeight="1" x14ac:dyDescent="0.55000000000000004">
      <c r="A2036" s="592">
        <v>2035</v>
      </c>
      <c r="B2036" s="596" t="s">
        <v>6741</v>
      </c>
      <c r="C2036" s="592" t="s">
        <v>6742</v>
      </c>
      <c r="D2036" s="592">
        <v>1</v>
      </c>
      <c r="E2036" s="597">
        <v>4000</v>
      </c>
      <c r="F2036" s="597">
        <v>4000</v>
      </c>
      <c r="G2036" s="597">
        <v>2850</v>
      </c>
      <c r="H2036" s="592" t="s">
        <v>1397</v>
      </c>
    </row>
    <row r="2037" spans="1:8" ht="24.75" customHeight="1" x14ac:dyDescent="0.55000000000000004">
      <c r="A2037" s="592">
        <v>2036</v>
      </c>
      <c r="B2037" s="596" t="s">
        <v>6743</v>
      </c>
      <c r="C2037" s="592" t="s">
        <v>8280</v>
      </c>
      <c r="D2037" s="592">
        <v>11</v>
      </c>
      <c r="E2037" s="597">
        <v>800</v>
      </c>
      <c r="F2037" s="597">
        <v>800</v>
      </c>
      <c r="G2037" s="597">
        <v>6325</v>
      </c>
      <c r="H2037" s="592" t="s">
        <v>1397</v>
      </c>
    </row>
    <row r="2038" spans="1:8" ht="24.75" customHeight="1" x14ac:dyDescent="0.55000000000000004">
      <c r="A2038" s="592">
        <v>2037</v>
      </c>
      <c r="B2038" s="596" t="s">
        <v>6602</v>
      </c>
      <c r="C2038" s="592" t="s">
        <v>6603</v>
      </c>
      <c r="D2038" s="592">
        <v>1</v>
      </c>
      <c r="E2038" s="597">
        <v>5000</v>
      </c>
      <c r="F2038" s="597">
        <v>5000</v>
      </c>
      <c r="G2038" s="597">
        <v>3900</v>
      </c>
      <c r="H2038" s="592" t="s">
        <v>1397</v>
      </c>
    </row>
    <row r="2039" spans="1:8" ht="24.75" customHeight="1" x14ac:dyDescent="0.55000000000000004">
      <c r="A2039" s="592">
        <v>2038</v>
      </c>
      <c r="B2039" s="596" t="s">
        <v>6744</v>
      </c>
      <c r="C2039" s="592" t="s">
        <v>6745</v>
      </c>
      <c r="D2039" s="592">
        <v>6</v>
      </c>
      <c r="E2039" s="597">
        <v>2000</v>
      </c>
      <c r="F2039" s="597">
        <v>2000</v>
      </c>
      <c r="G2039" s="597">
        <v>9000</v>
      </c>
      <c r="H2039" s="592" t="s">
        <v>1397</v>
      </c>
    </row>
    <row r="2040" spans="1:8" ht="24.75" customHeight="1" x14ac:dyDescent="0.55000000000000004">
      <c r="A2040" s="592">
        <v>2039</v>
      </c>
      <c r="B2040" s="596" t="s">
        <v>6746</v>
      </c>
      <c r="C2040" s="592" t="s">
        <v>6747</v>
      </c>
      <c r="D2040" s="592">
        <v>1</v>
      </c>
      <c r="E2040" s="597">
        <v>40000</v>
      </c>
      <c r="F2040" s="597">
        <v>40000</v>
      </c>
      <c r="G2040" s="597">
        <v>31000</v>
      </c>
      <c r="H2040" s="592" t="s">
        <v>1397</v>
      </c>
    </row>
    <row r="2041" spans="1:8" ht="24.75" customHeight="1" x14ac:dyDescent="0.55000000000000004">
      <c r="A2041" s="592">
        <v>2040</v>
      </c>
      <c r="B2041" s="596" t="s">
        <v>6748</v>
      </c>
      <c r="C2041" s="592" t="s">
        <v>6749</v>
      </c>
      <c r="D2041" s="592">
        <v>1</v>
      </c>
      <c r="E2041" s="597">
        <v>48000</v>
      </c>
      <c r="F2041" s="597">
        <v>48000</v>
      </c>
      <c r="G2041" s="597">
        <v>42000</v>
      </c>
      <c r="H2041" s="592" t="s">
        <v>1397</v>
      </c>
    </row>
    <row r="2042" spans="1:8" ht="24.75" customHeight="1" x14ac:dyDescent="0.55000000000000004">
      <c r="A2042" s="592">
        <v>2041</v>
      </c>
      <c r="B2042" s="596" t="s">
        <v>6862</v>
      </c>
      <c r="C2042" s="592" t="s">
        <v>6863</v>
      </c>
      <c r="D2042" s="592">
        <v>1</v>
      </c>
      <c r="E2042" s="597">
        <v>17500</v>
      </c>
      <c r="F2042" s="597">
        <v>17500</v>
      </c>
      <c r="G2042" s="597">
        <v>15660</v>
      </c>
      <c r="H2042" s="592" t="s">
        <v>1397</v>
      </c>
    </row>
    <row r="2043" spans="1:8" ht="24.75" customHeight="1" x14ac:dyDescent="0.55000000000000004">
      <c r="A2043" s="592">
        <v>2042</v>
      </c>
      <c r="B2043" s="596" t="s">
        <v>7103</v>
      </c>
      <c r="C2043" s="592" t="s">
        <v>7104</v>
      </c>
      <c r="D2043" s="592">
        <v>2</v>
      </c>
      <c r="E2043" s="597">
        <v>1200</v>
      </c>
      <c r="F2043" s="597">
        <v>1200</v>
      </c>
      <c r="G2043" s="597">
        <v>1500</v>
      </c>
      <c r="H2043" s="592" t="s">
        <v>1397</v>
      </c>
    </row>
    <row r="2044" spans="1:8" ht="24.75" customHeight="1" x14ac:dyDescent="0.55000000000000004">
      <c r="A2044" s="592">
        <v>2043</v>
      </c>
      <c r="B2044" s="596" t="s">
        <v>7105</v>
      </c>
      <c r="C2044" s="592" t="s">
        <v>7106</v>
      </c>
      <c r="D2044" s="592">
        <v>2</v>
      </c>
      <c r="E2044" s="597">
        <v>6500</v>
      </c>
      <c r="F2044" s="597">
        <v>6500</v>
      </c>
      <c r="G2044" s="597">
        <v>11000</v>
      </c>
      <c r="H2044" s="592" t="s">
        <v>1397</v>
      </c>
    </row>
    <row r="2045" spans="1:8" ht="24.75" customHeight="1" x14ac:dyDescent="0.55000000000000004">
      <c r="A2045" s="592">
        <v>2044</v>
      </c>
      <c r="B2045" s="596" t="s">
        <v>6864</v>
      </c>
      <c r="C2045" s="592" t="s">
        <v>6865</v>
      </c>
      <c r="D2045" s="592">
        <v>2</v>
      </c>
      <c r="E2045" s="597">
        <v>3500</v>
      </c>
      <c r="F2045" s="597">
        <v>3500</v>
      </c>
      <c r="G2045" s="597">
        <v>5800</v>
      </c>
      <c r="H2045" s="592" t="s">
        <v>1397</v>
      </c>
    </row>
    <row r="2046" spans="1:8" ht="24.75" customHeight="1" x14ac:dyDescent="0.55000000000000004">
      <c r="A2046" s="592">
        <v>2045</v>
      </c>
      <c r="B2046" s="596" t="s">
        <v>2371</v>
      </c>
      <c r="C2046" s="592" t="s">
        <v>2372</v>
      </c>
      <c r="D2046" s="592">
        <v>1</v>
      </c>
      <c r="E2046" s="597">
        <v>1000</v>
      </c>
      <c r="F2046" s="597">
        <v>1000</v>
      </c>
      <c r="G2046" s="597">
        <v>550</v>
      </c>
      <c r="H2046" s="592" t="s">
        <v>1397</v>
      </c>
    </row>
    <row r="2047" spans="1:8" ht="24.75" customHeight="1" x14ac:dyDescent="0.55000000000000004">
      <c r="A2047" s="592">
        <v>2046</v>
      </c>
      <c r="B2047" s="596" t="s">
        <v>7107</v>
      </c>
      <c r="C2047" s="592" t="s">
        <v>7108</v>
      </c>
      <c r="D2047" s="592">
        <v>3</v>
      </c>
      <c r="E2047" s="597">
        <v>4000</v>
      </c>
      <c r="F2047" s="597">
        <v>4000</v>
      </c>
      <c r="G2047" s="597">
        <v>8400</v>
      </c>
      <c r="H2047" s="592" t="s">
        <v>1397</v>
      </c>
    </row>
    <row r="2048" spans="1:8" ht="24.75" customHeight="1" x14ac:dyDescent="0.55000000000000004">
      <c r="A2048" s="592">
        <v>2047</v>
      </c>
      <c r="B2048" s="596" t="s">
        <v>7109</v>
      </c>
      <c r="C2048" s="592" t="s">
        <v>7110</v>
      </c>
      <c r="D2048" s="592">
        <v>2</v>
      </c>
      <c r="E2048" s="597">
        <v>6000</v>
      </c>
      <c r="F2048" s="597">
        <v>6000</v>
      </c>
      <c r="G2048" s="597">
        <v>9000</v>
      </c>
      <c r="H2048" s="592" t="s">
        <v>1397</v>
      </c>
    </row>
    <row r="2049" spans="1:8" ht="24.75" customHeight="1" x14ac:dyDescent="0.55000000000000004">
      <c r="A2049" s="592">
        <v>2048</v>
      </c>
      <c r="B2049" s="596" t="s">
        <v>7111</v>
      </c>
      <c r="C2049" s="592" t="s">
        <v>7112</v>
      </c>
      <c r="D2049" s="592">
        <v>2</v>
      </c>
      <c r="E2049" s="597">
        <v>5500</v>
      </c>
      <c r="F2049" s="597">
        <v>5500</v>
      </c>
      <c r="G2049" s="597">
        <v>7000</v>
      </c>
      <c r="H2049" s="592" t="s">
        <v>1397</v>
      </c>
    </row>
    <row r="2050" spans="1:8" ht="24.75" customHeight="1" x14ac:dyDescent="0.55000000000000004">
      <c r="A2050" s="592">
        <v>2049</v>
      </c>
      <c r="B2050" s="596" t="s">
        <v>6866</v>
      </c>
      <c r="C2050" s="592" t="s">
        <v>6867</v>
      </c>
      <c r="D2050" s="592">
        <v>3</v>
      </c>
      <c r="E2050" s="597">
        <v>9000</v>
      </c>
      <c r="F2050" s="597">
        <v>9000</v>
      </c>
      <c r="G2050" s="597">
        <v>21000</v>
      </c>
      <c r="H2050" s="592" t="s">
        <v>1397</v>
      </c>
    </row>
    <row r="2051" spans="1:8" ht="24.75" customHeight="1" x14ac:dyDescent="0.55000000000000004">
      <c r="A2051" s="592">
        <v>2050</v>
      </c>
      <c r="B2051" s="596" t="s">
        <v>7113</v>
      </c>
      <c r="C2051" s="592" t="s">
        <v>7114</v>
      </c>
      <c r="D2051" s="592">
        <v>15</v>
      </c>
      <c r="E2051" s="597">
        <v>300</v>
      </c>
      <c r="F2051" s="597">
        <v>300</v>
      </c>
      <c r="G2051" s="597">
        <v>1500</v>
      </c>
      <c r="H2051" s="592" t="s">
        <v>1397</v>
      </c>
    </row>
    <row r="2052" spans="1:8" ht="24.75" customHeight="1" x14ac:dyDescent="0.55000000000000004">
      <c r="A2052" s="592">
        <v>2051</v>
      </c>
      <c r="B2052" s="596" t="s">
        <v>6868</v>
      </c>
      <c r="C2052" s="592" t="s">
        <v>7935</v>
      </c>
      <c r="D2052" s="592">
        <v>11</v>
      </c>
      <c r="E2052" s="597">
        <v>2000</v>
      </c>
      <c r="F2052" s="597">
        <v>2000</v>
      </c>
      <c r="G2052" s="597">
        <v>13200</v>
      </c>
      <c r="H2052" s="592" t="s">
        <v>1397</v>
      </c>
    </row>
    <row r="2053" spans="1:8" ht="24.75" customHeight="1" x14ac:dyDescent="0.55000000000000004">
      <c r="A2053" s="592">
        <v>2052</v>
      </c>
      <c r="B2053" s="596" t="s">
        <v>7115</v>
      </c>
      <c r="C2053" s="592" t="s">
        <v>7116</v>
      </c>
      <c r="D2053" s="592">
        <v>2</v>
      </c>
      <c r="E2053" s="597">
        <v>3000</v>
      </c>
      <c r="F2053" s="597">
        <v>3000</v>
      </c>
      <c r="G2053" s="597">
        <v>5100</v>
      </c>
      <c r="H2053" s="592" t="s">
        <v>1397</v>
      </c>
    </row>
    <row r="2054" spans="1:8" ht="24.75" customHeight="1" x14ac:dyDescent="0.55000000000000004">
      <c r="A2054" s="592">
        <v>2053</v>
      </c>
      <c r="B2054" s="596" t="s">
        <v>7117</v>
      </c>
      <c r="C2054" s="592" t="s">
        <v>7118</v>
      </c>
      <c r="D2054" s="592">
        <v>1</v>
      </c>
      <c r="E2054" s="597">
        <v>1500</v>
      </c>
      <c r="F2054" s="597">
        <v>1500</v>
      </c>
      <c r="G2054" s="597">
        <v>1200</v>
      </c>
      <c r="H2054" s="592" t="s">
        <v>1397</v>
      </c>
    </row>
    <row r="2055" spans="1:8" ht="24.75" customHeight="1" x14ac:dyDescent="0.55000000000000004">
      <c r="A2055" s="592">
        <v>2054</v>
      </c>
      <c r="B2055" s="596" t="s">
        <v>6869</v>
      </c>
      <c r="C2055" s="592" t="s">
        <v>6870</v>
      </c>
      <c r="D2055" s="592">
        <v>4</v>
      </c>
      <c r="E2055" s="597">
        <v>4500</v>
      </c>
      <c r="F2055" s="597">
        <v>4500</v>
      </c>
      <c r="G2055" s="597">
        <v>14000</v>
      </c>
      <c r="H2055" s="592" t="s">
        <v>1397</v>
      </c>
    </row>
    <row r="2056" spans="1:8" ht="24.75" customHeight="1" x14ac:dyDescent="0.55000000000000004">
      <c r="A2056" s="592">
        <v>2055</v>
      </c>
      <c r="B2056" s="596" t="s">
        <v>7119</v>
      </c>
      <c r="C2056" s="592" t="s">
        <v>7120</v>
      </c>
      <c r="D2056" s="592">
        <v>3</v>
      </c>
      <c r="E2056" s="597">
        <v>2200</v>
      </c>
      <c r="F2056" s="597">
        <v>2200</v>
      </c>
      <c r="G2056" s="597">
        <v>4200</v>
      </c>
      <c r="H2056" s="592" t="s">
        <v>1397</v>
      </c>
    </row>
    <row r="2057" spans="1:8" ht="24.75" customHeight="1" x14ac:dyDescent="0.55000000000000004">
      <c r="A2057" s="592">
        <v>2056</v>
      </c>
      <c r="B2057" s="596" t="s">
        <v>6873</v>
      </c>
      <c r="C2057" s="592" t="s">
        <v>6874</v>
      </c>
      <c r="D2057" s="592">
        <v>3</v>
      </c>
      <c r="E2057" s="597">
        <v>6500</v>
      </c>
      <c r="F2057" s="597">
        <v>6500</v>
      </c>
      <c r="G2057" s="597">
        <v>15000</v>
      </c>
      <c r="H2057" s="592" t="s">
        <v>1397</v>
      </c>
    </row>
    <row r="2058" spans="1:8" ht="24.75" customHeight="1" x14ac:dyDescent="0.55000000000000004">
      <c r="A2058" s="592">
        <v>2057</v>
      </c>
      <c r="B2058" s="596" t="s">
        <v>8082</v>
      </c>
      <c r="C2058" s="592" t="s">
        <v>8083</v>
      </c>
      <c r="D2058" s="592">
        <v>2</v>
      </c>
      <c r="E2058" s="597">
        <v>25000</v>
      </c>
      <c r="F2058" s="597">
        <v>25000</v>
      </c>
      <c r="G2058" s="597">
        <v>33000</v>
      </c>
      <c r="H2058" s="592" t="s">
        <v>1397</v>
      </c>
    </row>
    <row r="2059" spans="1:8" ht="24.75" customHeight="1" x14ac:dyDescent="0.55000000000000004">
      <c r="A2059" s="592">
        <v>2058</v>
      </c>
      <c r="B2059" s="596" t="s">
        <v>7121</v>
      </c>
      <c r="C2059" s="592" t="s">
        <v>7122</v>
      </c>
      <c r="D2059" s="592">
        <v>1</v>
      </c>
      <c r="E2059" s="597">
        <v>12500</v>
      </c>
      <c r="F2059" s="597">
        <v>12500</v>
      </c>
      <c r="G2059" s="597">
        <v>9000</v>
      </c>
      <c r="H2059" s="592" t="s">
        <v>1397</v>
      </c>
    </row>
    <row r="2060" spans="1:8" ht="24.75" customHeight="1" x14ac:dyDescent="0.55000000000000004">
      <c r="A2060" s="592">
        <v>2059</v>
      </c>
      <c r="B2060" s="596" t="s">
        <v>7123</v>
      </c>
      <c r="C2060" s="592" t="s">
        <v>8601</v>
      </c>
      <c r="D2060" s="592">
        <v>1</v>
      </c>
      <c r="E2060" s="597">
        <v>28000</v>
      </c>
      <c r="F2060" s="597">
        <v>28000</v>
      </c>
      <c r="G2060" s="597">
        <v>23000</v>
      </c>
      <c r="H2060" s="592" t="s">
        <v>1397</v>
      </c>
    </row>
    <row r="2061" spans="1:8" ht="24.75" customHeight="1" x14ac:dyDescent="0.55000000000000004">
      <c r="A2061" s="592">
        <v>2060</v>
      </c>
      <c r="B2061" s="596" t="s">
        <v>6233</v>
      </c>
      <c r="C2061" s="592" t="s">
        <v>6234</v>
      </c>
      <c r="D2061" s="592">
        <v>6</v>
      </c>
      <c r="E2061" s="597">
        <v>10000</v>
      </c>
      <c r="F2061" s="597">
        <v>10000</v>
      </c>
      <c r="G2061" s="597">
        <v>45000</v>
      </c>
      <c r="H2061" s="592" t="s">
        <v>1397</v>
      </c>
    </row>
    <row r="2062" spans="1:8" ht="24.75" customHeight="1" x14ac:dyDescent="0.55000000000000004">
      <c r="A2062" s="592">
        <v>2061</v>
      </c>
      <c r="B2062" s="596" t="s">
        <v>6875</v>
      </c>
      <c r="C2062" s="592" t="s">
        <v>6876</v>
      </c>
      <c r="D2062" s="592">
        <v>3</v>
      </c>
      <c r="E2062" s="597">
        <v>19000</v>
      </c>
      <c r="F2062" s="597">
        <v>19000</v>
      </c>
      <c r="G2062" s="597">
        <v>42000</v>
      </c>
      <c r="H2062" s="592" t="s">
        <v>1397</v>
      </c>
    </row>
    <row r="2063" spans="1:8" ht="24.75" customHeight="1" x14ac:dyDescent="0.55000000000000004">
      <c r="A2063" s="592">
        <v>2062</v>
      </c>
      <c r="B2063" s="596" t="s">
        <v>7124</v>
      </c>
      <c r="C2063" s="592" t="s">
        <v>7125</v>
      </c>
      <c r="D2063" s="592">
        <v>2</v>
      </c>
      <c r="E2063" s="597">
        <v>4300</v>
      </c>
      <c r="F2063" s="597">
        <v>4300</v>
      </c>
      <c r="G2063" s="597">
        <v>6700</v>
      </c>
      <c r="H2063" s="592" t="s">
        <v>1397</v>
      </c>
    </row>
    <row r="2064" spans="1:8" ht="24.75" customHeight="1" x14ac:dyDescent="0.55000000000000004">
      <c r="A2064" s="592">
        <v>2063</v>
      </c>
      <c r="B2064" s="596" t="s">
        <v>6877</v>
      </c>
      <c r="C2064" s="592" t="s">
        <v>6878</v>
      </c>
      <c r="D2064" s="592">
        <v>2</v>
      </c>
      <c r="E2064" s="597">
        <v>4500</v>
      </c>
      <c r="F2064" s="597">
        <v>4500</v>
      </c>
      <c r="G2064" s="597">
        <v>5400</v>
      </c>
      <c r="H2064" s="592" t="s">
        <v>1397</v>
      </c>
    </row>
    <row r="2065" spans="1:8" ht="24.75" customHeight="1" x14ac:dyDescent="0.55000000000000004">
      <c r="A2065" s="592">
        <v>2064</v>
      </c>
      <c r="B2065" s="596" t="s">
        <v>6879</v>
      </c>
      <c r="C2065" s="592" t="s">
        <v>6880</v>
      </c>
      <c r="D2065" s="592">
        <v>1</v>
      </c>
      <c r="E2065" s="597">
        <v>2500</v>
      </c>
      <c r="F2065" s="597">
        <v>2500</v>
      </c>
      <c r="G2065" s="597">
        <v>1800</v>
      </c>
      <c r="H2065" s="592" t="s">
        <v>1397</v>
      </c>
    </row>
    <row r="2066" spans="1:8" ht="24.75" customHeight="1" x14ac:dyDescent="0.55000000000000004">
      <c r="A2066" s="592">
        <v>2065</v>
      </c>
      <c r="B2066" s="596" t="s">
        <v>7126</v>
      </c>
      <c r="C2066" s="592" t="s">
        <v>7127</v>
      </c>
      <c r="D2066" s="592">
        <v>20</v>
      </c>
      <c r="E2066" s="597">
        <v>600</v>
      </c>
      <c r="F2066" s="597">
        <v>600</v>
      </c>
      <c r="G2066" s="597">
        <v>8000</v>
      </c>
      <c r="H2066" s="592" t="s">
        <v>1397</v>
      </c>
    </row>
    <row r="2067" spans="1:8" ht="24.75" customHeight="1" x14ac:dyDescent="0.55000000000000004">
      <c r="A2067" s="592">
        <v>2066</v>
      </c>
      <c r="B2067" s="596" t="s">
        <v>6881</v>
      </c>
      <c r="C2067" s="592" t="s">
        <v>6882</v>
      </c>
      <c r="D2067" s="592">
        <v>6</v>
      </c>
      <c r="E2067" s="597">
        <v>6000</v>
      </c>
      <c r="F2067" s="597">
        <v>6000</v>
      </c>
      <c r="G2067" s="597">
        <v>34500</v>
      </c>
      <c r="H2067" s="592" t="s">
        <v>1397</v>
      </c>
    </row>
    <row r="2068" spans="1:8" ht="24.75" customHeight="1" x14ac:dyDescent="0.55000000000000004">
      <c r="A2068" s="592">
        <v>2067</v>
      </c>
      <c r="B2068" s="596" t="s">
        <v>7128</v>
      </c>
      <c r="C2068" s="592" t="s">
        <v>7129</v>
      </c>
      <c r="D2068" s="592">
        <v>20</v>
      </c>
      <c r="E2068" s="597">
        <v>2000</v>
      </c>
      <c r="F2068" s="597">
        <v>2000</v>
      </c>
      <c r="G2068" s="597">
        <v>26000</v>
      </c>
      <c r="H2068" s="592" t="s">
        <v>1397</v>
      </c>
    </row>
    <row r="2069" spans="1:8" ht="24.75" customHeight="1" x14ac:dyDescent="0.55000000000000004">
      <c r="A2069" s="592">
        <v>2068</v>
      </c>
      <c r="B2069" s="596" t="s">
        <v>8281</v>
      </c>
      <c r="C2069" s="592" t="s">
        <v>8282</v>
      </c>
      <c r="D2069" s="592">
        <v>1</v>
      </c>
      <c r="E2069" s="597">
        <v>135000</v>
      </c>
      <c r="F2069" s="597">
        <v>135000</v>
      </c>
      <c r="G2069" s="597">
        <v>110000</v>
      </c>
      <c r="H2069" s="592" t="s">
        <v>1397</v>
      </c>
    </row>
    <row r="2070" spans="1:8" ht="24.75" customHeight="1" x14ac:dyDescent="0.55000000000000004">
      <c r="A2070" s="592">
        <v>2069</v>
      </c>
      <c r="B2070" s="596" t="s">
        <v>7131</v>
      </c>
      <c r="C2070" s="592" t="s">
        <v>7132</v>
      </c>
      <c r="D2070" s="592">
        <v>19</v>
      </c>
      <c r="E2070" s="597">
        <v>600</v>
      </c>
      <c r="F2070" s="597">
        <v>600</v>
      </c>
      <c r="G2070" s="597">
        <v>7600</v>
      </c>
      <c r="H2070" s="592" t="s">
        <v>1397</v>
      </c>
    </row>
    <row r="2071" spans="1:8" ht="24.75" customHeight="1" x14ac:dyDescent="0.55000000000000004">
      <c r="A2071" s="592">
        <v>2070</v>
      </c>
      <c r="B2071" s="596" t="s">
        <v>7133</v>
      </c>
      <c r="C2071" s="592" t="s">
        <v>7134</v>
      </c>
      <c r="D2071" s="592">
        <v>1</v>
      </c>
      <c r="E2071" s="597">
        <v>50000</v>
      </c>
      <c r="F2071" s="597">
        <v>50000</v>
      </c>
      <c r="G2071" s="597">
        <v>45000</v>
      </c>
      <c r="H2071" s="592" t="s">
        <v>1397</v>
      </c>
    </row>
    <row r="2072" spans="1:8" ht="24.75" customHeight="1" x14ac:dyDescent="0.55000000000000004">
      <c r="A2072" s="592">
        <v>2071</v>
      </c>
      <c r="B2072" s="596" t="s">
        <v>7135</v>
      </c>
      <c r="C2072" s="592" t="s">
        <v>7136</v>
      </c>
      <c r="D2072" s="592">
        <v>2</v>
      </c>
      <c r="E2072" s="597">
        <v>10000</v>
      </c>
      <c r="F2072" s="597">
        <v>10000</v>
      </c>
      <c r="G2072" s="597">
        <v>18000</v>
      </c>
      <c r="H2072" s="592" t="s">
        <v>1397</v>
      </c>
    </row>
    <row r="2073" spans="1:8" ht="24.75" customHeight="1" x14ac:dyDescent="0.55000000000000004">
      <c r="A2073" s="592">
        <v>2072</v>
      </c>
      <c r="B2073" s="596" t="s">
        <v>7137</v>
      </c>
      <c r="C2073" s="592" t="s">
        <v>7138</v>
      </c>
      <c r="D2073" s="592">
        <v>2</v>
      </c>
      <c r="E2073" s="597">
        <v>9500</v>
      </c>
      <c r="F2073" s="597">
        <v>9500</v>
      </c>
      <c r="G2073" s="597">
        <v>15000</v>
      </c>
      <c r="H2073" s="592" t="s">
        <v>1397</v>
      </c>
    </row>
    <row r="2074" spans="1:8" ht="24.75" customHeight="1" x14ac:dyDescent="0.55000000000000004">
      <c r="A2074" s="592">
        <v>2073</v>
      </c>
      <c r="B2074" s="596" t="s">
        <v>7139</v>
      </c>
      <c r="C2074" s="592" t="s">
        <v>7140</v>
      </c>
      <c r="D2074" s="592">
        <v>2</v>
      </c>
      <c r="E2074" s="597">
        <v>1500</v>
      </c>
      <c r="F2074" s="597">
        <v>1500</v>
      </c>
      <c r="G2074" s="597">
        <v>1600</v>
      </c>
      <c r="H2074" s="592" t="s">
        <v>1397</v>
      </c>
    </row>
    <row r="2075" spans="1:8" ht="24.75" customHeight="1" x14ac:dyDescent="0.55000000000000004">
      <c r="A2075" s="592">
        <v>2074</v>
      </c>
      <c r="B2075" s="596" t="s">
        <v>7141</v>
      </c>
      <c r="C2075" s="592" t="s">
        <v>7142</v>
      </c>
      <c r="D2075" s="592">
        <v>11</v>
      </c>
      <c r="E2075" s="597">
        <v>3500</v>
      </c>
      <c r="F2075" s="597">
        <v>3500</v>
      </c>
      <c r="G2075" s="597">
        <v>30250</v>
      </c>
      <c r="H2075" s="592" t="s">
        <v>1397</v>
      </c>
    </row>
    <row r="2076" spans="1:8" ht="24.75" customHeight="1" x14ac:dyDescent="0.55000000000000004">
      <c r="A2076" s="592">
        <v>2075</v>
      </c>
      <c r="B2076" s="596" t="s">
        <v>7143</v>
      </c>
      <c r="C2076" s="592" t="s">
        <v>7391</v>
      </c>
      <c r="D2076" s="592">
        <v>2</v>
      </c>
      <c r="E2076" s="597">
        <v>17000</v>
      </c>
      <c r="F2076" s="597">
        <v>17000</v>
      </c>
      <c r="G2076" s="597">
        <v>22000</v>
      </c>
      <c r="H2076" s="592" t="s">
        <v>1397</v>
      </c>
    </row>
    <row r="2077" spans="1:8" ht="24.75" customHeight="1" x14ac:dyDescent="0.55000000000000004">
      <c r="A2077" s="592">
        <v>2076</v>
      </c>
      <c r="B2077" s="596" t="s">
        <v>7144</v>
      </c>
      <c r="C2077" s="592" t="s">
        <v>7145</v>
      </c>
      <c r="D2077" s="592">
        <v>1</v>
      </c>
      <c r="E2077" s="597">
        <v>45000</v>
      </c>
      <c r="F2077" s="597">
        <v>45000</v>
      </c>
      <c r="G2077" s="597">
        <v>33000</v>
      </c>
      <c r="H2077" s="592" t="s">
        <v>1397</v>
      </c>
    </row>
    <row r="2078" spans="1:8" ht="24.75" customHeight="1" x14ac:dyDescent="0.55000000000000004">
      <c r="A2078" s="592">
        <v>2077</v>
      </c>
      <c r="B2078" s="596" t="s">
        <v>7146</v>
      </c>
      <c r="C2078" s="592" t="s">
        <v>7147</v>
      </c>
      <c r="D2078" s="592">
        <v>1</v>
      </c>
      <c r="E2078" s="597">
        <v>20000</v>
      </c>
      <c r="F2078" s="597">
        <v>20000</v>
      </c>
      <c r="G2078" s="597">
        <v>16500</v>
      </c>
      <c r="H2078" s="592" t="s">
        <v>1397</v>
      </c>
    </row>
    <row r="2079" spans="1:8" ht="24.75" customHeight="1" x14ac:dyDescent="0.55000000000000004">
      <c r="A2079" s="592">
        <v>2078</v>
      </c>
      <c r="B2079" s="596" t="s">
        <v>7148</v>
      </c>
      <c r="C2079" s="592" t="s">
        <v>7149</v>
      </c>
      <c r="D2079" s="592">
        <v>1</v>
      </c>
      <c r="E2079" s="597">
        <v>42000</v>
      </c>
      <c r="F2079" s="597">
        <v>42000</v>
      </c>
      <c r="G2079" s="597">
        <v>35000</v>
      </c>
      <c r="H2079" s="592" t="s">
        <v>1397</v>
      </c>
    </row>
    <row r="2080" spans="1:8" ht="24.75" customHeight="1" x14ac:dyDescent="0.55000000000000004">
      <c r="A2080" s="592">
        <v>2079</v>
      </c>
      <c r="B2080" s="596" t="s">
        <v>7150</v>
      </c>
      <c r="C2080" s="592" t="s">
        <v>7151</v>
      </c>
      <c r="D2080" s="592">
        <v>2</v>
      </c>
      <c r="E2080" s="597">
        <v>10000</v>
      </c>
      <c r="F2080" s="597">
        <v>10000</v>
      </c>
      <c r="G2080" s="597">
        <v>16000</v>
      </c>
      <c r="H2080" s="592" t="s">
        <v>1397</v>
      </c>
    </row>
    <row r="2081" spans="1:8" ht="24.75" customHeight="1" x14ac:dyDescent="0.55000000000000004">
      <c r="A2081" s="592">
        <v>2080</v>
      </c>
      <c r="B2081" s="596" t="s">
        <v>7152</v>
      </c>
      <c r="C2081" s="592" t="s">
        <v>7153</v>
      </c>
      <c r="D2081" s="592">
        <v>8</v>
      </c>
      <c r="E2081" s="597">
        <v>1000</v>
      </c>
      <c r="F2081" s="597">
        <v>1000</v>
      </c>
      <c r="G2081" s="597">
        <v>6400</v>
      </c>
      <c r="H2081" s="592" t="s">
        <v>1397</v>
      </c>
    </row>
    <row r="2082" spans="1:8" ht="24.75" customHeight="1" x14ac:dyDescent="0.55000000000000004">
      <c r="A2082" s="592">
        <v>2081</v>
      </c>
      <c r="B2082" s="596" t="s">
        <v>7154</v>
      </c>
      <c r="C2082" s="592" t="s">
        <v>7155</v>
      </c>
      <c r="D2082" s="592">
        <v>1</v>
      </c>
      <c r="E2082" s="597">
        <v>11000</v>
      </c>
      <c r="F2082" s="597">
        <v>11000</v>
      </c>
      <c r="G2082" s="597">
        <v>8500</v>
      </c>
      <c r="H2082" s="592" t="s">
        <v>1397</v>
      </c>
    </row>
    <row r="2083" spans="1:8" ht="24.75" customHeight="1" x14ac:dyDescent="0.55000000000000004">
      <c r="A2083" s="592">
        <v>2082</v>
      </c>
      <c r="B2083" s="596" t="s">
        <v>7156</v>
      </c>
      <c r="C2083" s="592" t="s">
        <v>7157</v>
      </c>
      <c r="D2083" s="592">
        <v>1</v>
      </c>
      <c r="E2083" s="597">
        <v>6500</v>
      </c>
      <c r="F2083" s="597">
        <v>6500</v>
      </c>
      <c r="G2083" s="597">
        <v>5000</v>
      </c>
      <c r="H2083" s="592" t="s">
        <v>1397</v>
      </c>
    </row>
    <row r="2084" spans="1:8" ht="24.75" customHeight="1" x14ac:dyDescent="0.55000000000000004">
      <c r="A2084" s="592">
        <v>2083</v>
      </c>
      <c r="B2084" s="596" t="s">
        <v>6883</v>
      </c>
      <c r="C2084" s="592" t="s">
        <v>7685</v>
      </c>
      <c r="D2084" s="592">
        <v>5</v>
      </c>
      <c r="E2084" s="597">
        <v>3000</v>
      </c>
      <c r="F2084" s="597">
        <v>3000</v>
      </c>
      <c r="G2084" s="597">
        <v>9000</v>
      </c>
      <c r="H2084" s="592" t="s">
        <v>1397</v>
      </c>
    </row>
    <row r="2085" spans="1:8" ht="24.75" customHeight="1" x14ac:dyDescent="0.55000000000000004">
      <c r="A2085" s="592">
        <v>2084</v>
      </c>
      <c r="B2085" s="596" t="s">
        <v>7158</v>
      </c>
      <c r="C2085" s="592" t="s">
        <v>7392</v>
      </c>
      <c r="D2085" s="592">
        <v>1</v>
      </c>
      <c r="E2085" s="597">
        <v>5500</v>
      </c>
      <c r="F2085" s="597">
        <v>5500</v>
      </c>
      <c r="G2085" s="597">
        <v>3000</v>
      </c>
      <c r="H2085" s="592" t="s">
        <v>1397</v>
      </c>
    </row>
    <row r="2086" spans="1:8" ht="24.75" customHeight="1" x14ac:dyDescent="0.55000000000000004">
      <c r="A2086" s="592">
        <v>2085</v>
      </c>
      <c r="B2086" s="596" t="s">
        <v>7159</v>
      </c>
      <c r="C2086" s="592" t="s">
        <v>7160</v>
      </c>
      <c r="D2086" s="592">
        <v>4</v>
      </c>
      <c r="E2086" s="597">
        <v>1500</v>
      </c>
      <c r="F2086" s="597">
        <v>1500</v>
      </c>
      <c r="G2086" s="597">
        <v>3200</v>
      </c>
      <c r="H2086" s="592" t="s">
        <v>1397</v>
      </c>
    </row>
    <row r="2087" spans="1:8" ht="24.75" customHeight="1" x14ac:dyDescent="0.55000000000000004">
      <c r="A2087" s="592">
        <v>2086</v>
      </c>
      <c r="B2087" s="596" t="s">
        <v>7161</v>
      </c>
      <c r="C2087" s="592" t="s">
        <v>7162</v>
      </c>
      <c r="D2087" s="592">
        <v>4</v>
      </c>
      <c r="E2087" s="597">
        <v>9000</v>
      </c>
      <c r="F2087" s="597">
        <v>9000</v>
      </c>
      <c r="G2087" s="597">
        <v>20000</v>
      </c>
      <c r="H2087" s="592" t="s">
        <v>1397</v>
      </c>
    </row>
    <row r="2088" spans="1:8" ht="24.75" customHeight="1" x14ac:dyDescent="0.55000000000000004">
      <c r="A2088" s="592">
        <v>2087</v>
      </c>
      <c r="B2088" s="596" t="s">
        <v>7163</v>
      </c>
      <c r="C2088" s="592" t="s">
        <v>7164</v>
      </c>
      <c r="D2088" s="592">
        <v>9</v>
      </c>
      <c r="E2088" s="597">
        <v>3700</v>
      </c>
      <c r="F2088" s="597">
        <v>3700</v>
      </c>
      <c r="G2088" s="597">
        <v>22500</v>
      </c>
      <c r="H2088" s="592" t="s">
        <v>1397</v>
      </c>
    </row>
    <row r="2089" spans="1:8" ht="24.75" customHeight="1" x14ac:dyDescent="0.55000000000000004">
      <c r="A2089" s="592">
        <v>2088</v>
      </c>
      <c r="B2089" s="596" t="s">
        <v>1714</v>
      </c>
      <c r="C2089" s="592" t="s">
        <v>1715</v>
      </c>
      <c r="D2089" s="592">
        <v>5</v>
      </c>
      <c r="E2089" s="597">
        <v>8000</v>
      </c>
      <c r="F2089" s="597">
        <v>8000</v>
      </c>
      <c r="G2089" s="597">
        <v>30000</v>
      </c>
      <c r="H2089" s="592" t="s">
        <v>1397</v>
      </c>
    </row>
    <row r="2090" spans="1:8" ht="24.75" customHeight="1" x14ac:dyDescent="0.55000000000000004">
      <c r="A2090" s="592">
        <v>2089</v>
      </c>
      <c r="B2090" s="596" t="s">
        <v>7165</v>
      </c>
      <c r="C2090" s="592" t="s">
        <v>8602</v>
      </c>
      <c r="D2090" s="592">
        <v>3</v>
      </c>
      <c r="E2090" s="597">
        <v>19000</v>
      </c>
      <c r="F2090" s="597">
        <v>19000</v>
      </c>
      <c r="G2090" s="597">
        <v>48000</v>
      </c>
      <c r="H2090" s="592" t="s">
        <v>1397</v>
      </c>
    </row>
    <row r="2091" spans="1:8" ht="24.75" customHeight="1" x14ac:dyDescent="0.55000000000000004">
      <c r="A2091" s="592">
        <v>2090</v>
      </c>
      <c r="B2091" s="596" t="s">
        <v>7166</v>
      </c>
      <c r="C2091" s="592" t="s">
        <v>8796</v>
      </c>
      <c r="D2091" s="592">
        <v>2</v>
      </c>
      <c r="E2091" s="597">
        <v>2500</v>
      </c>
      <c r="F2091" s="597">
        <v>2500</v>
      </c>
      <c r="G2091" s="597">
        <v>3600</v>
      </c>
      <c r="H2091" s="592" t="s">
        <v>1397</v>
      </c>
    </row>
    <row r="2092" spans="1:8" ht="24.75" customHeight="1" x14ac:dyDescent="0.55000000000000004">
      <c r="A2092" s="592">
        <v>2091</v>
      </c>
      <c r="B2092" s="596" t="s">
        <v>7167</v>
      </c>
      <c r="C2092" s="592" t="s">
        <v>7168</v>
      </c>
      <c r="D2092" s="592">
        <v>2</v>
      </c>
      <c r="E2092" s="597">
        <v>4500</v>
      </c>
      <c r="F2092" s="597">
        <v>4500</v>
      </c>
      <c r="G2092" s="597">
        <v>6900</v>
      </c>
      <c r="H2092" s="592" t="s">
        <v>1397</v>
      </c>
    </row>
    <row r="2093" spans="1:8" ht="24.75" customHeight="1" x14ac:dyDescent="0.55000000000000004">
      <c r="A2093" s="592">
        <v>2092</v>
      </c>
      <c r="B2093" s="596" t="s">
        <v>7169</v>
      </c>
      <c r="C2093" s="592" t="s">
        <v>7170</v>
      </c>
      <c r="D2093" s="592">
        <v>2</v>
      </c>
      <c r="E2093" s="597">
        <v>5000</v>
      </c>
      <c r="F2093" s="597">
        <v>5000</v>
      </c>
      <c r="G2093" s="597">
        <v>7500</v>
      </c>
      <c r="H2093" s="592" t="s">
        <v>1397</v>
      </c>
    </row>
    <row r="2094" spans="1:8" ht="24.75" customHeight="1" x14ac:dyDescent="0.55000000000000004">
      <c r="A2094" s="592">
        <v>2093</v>
      </c>
      <c r="B2094" s="596" t="s">
        <v>7171</v>
      </c>
      <c r="C2094" s="592" t="s">
        <v>7172</v>
      </c>
      <c r="D2094" s="592">
        <v>2</v>
      </c>
      <c r="E2094" s="597">
        <v>6000</v>
      </c>
      <c r="F2094" s="597">
        <v>6000</v>
      </c>
      <c r="G2094" s="597">
        <v>9500</v>
      </c>
      <c r="H2094" s="592" t="s">
        <v>1397</v>
      </c>
    </row>
    <row r="2095" spans="1:8" ht="24.75" customHeight="1" x14ac:dyDescent="0.55000000000000004">
      <c r="A2095" s="592">
        <v>2094</v>
      </c>
      <c r="B2095" s="596" t="s">
        <v>7173</v>
      </c>
      <c r="C2095" s="592" t="s">
        <v>7174</v>
      </c>
      <c r="D2095" s="592">
        <v>5</v>
      </c>
      <c r="E2095" s="597">
        <v>1300</v>
      </c>
      <c r="F2095" s="597">
        <v>1300</v>
      </c>
      <c r="G2095" s="597">
        <v>3750</v>
      </c>
      <c r="H2095" s="592" t="s">
        <v>1397</v>
      </c>
    </row>
    <row r="2096" spans="1:8" ht="24.75" customHeight="1" x14ac:dyDescent="0.55000000000000004">
      <c r="A2096" s="592">
        <v>2095</v>
      </c>
      <c r="B2096" s="596" t="s">
        <v>7175</v>
      </c>
      <c r="C2096" s="592" t="s">
        <v>7176</v>
      </c>
      <c r="D2096" s="592">
        <v>1</v>
      </c>
      <c r="E2096" s="597">
        <v>45000</v>
      </c>
      <c r="F2096" s="597">
        <v>45000</v>
      </c>
      <c r="G2096" s="597">
        <v>34000</v>
      </c>
      <c r="H2096" s="592" t="s">
        <v>1397</v>
      </c>
    </row>
    <row r="2097" spans="1:8" ht="24.75" customHeight="1" x14ac:dyDescent="0.55000000000000004">
      <c r="A2097" s="592">
        <v>2096</v>
      </c>
      <c r="B2097" s="596" t="s">
        <v>7177</v>
      </c>
      <c r="C2097" s="592" t="s">
        <v>7178</v>
      </c>
      <c r="D2097" s="592">
        <v>1</v>
      </c>
      <c r="E2097" s="597">
        <v>16000</v>
      </c>
      <c r="F2097" s="597">
        <v>16000</v>
      </c>
      <c r="G2097" s="597">
        <v>13000</v>
      </c>
      <c r="H2097" s="592" t="s">
        <v>1397</v>
      </c>
    </row>
    <row r="2098" spans="1:8" ht="24.75" customHeight="1" x14ac:dyDescent="0.55000000000000004">
      <c r="A2098" s="592">
        <v>2097</v>
      </c>
      <c r="B2098" s="596" t="s">
        <v>7686</v>
      </c>
      <c r="C2098" s="592" t="s">
        <v>7687</v>
      </c>
      <c r="D2098" s="592">
        <v>2</v>
      </c>
      <c r="E2098" s="597">
        <v>440000</v>
      </c>
      <c r="F2098" s="597">
        <v>440000</v>
      </c>
      <c r="G2098" s="597">
        <v>790000</v>
      </c>
      <c r="H2098" s="592" t="s">
        <v>1397</v>
      </c>
    </row>
    <row r="2099" spans="1:8" ht="24.75" customHeight="1" x14ac:dyDescent="0.55000000000000004">
      <c r="A2099" s="592">
        <v>2098</v>
      </c>
      <c r="B2099" s="596" t="s">
        <v>4956</v>
      </c>
      <c r="C2099" s="592" t="s">
        <v>6306</v>
      </c>
      <c r="D2099" s="592">
        <v>1</v>
      </c>
      <c r="E2099" s="597">
        <v>4000</v>
      </c>
      <c r="F2099" s="597">
        <v>4000</v>
      </c>
      <c r="G2099" s="597">
        <v>3000</v>
      </c>
      <c r="H2099" s="592" t="s">
        <v>1397</v>
      </c>
    </row>
    <row r="2100" spans="1:8" ht="24.75" customHeight="1" x14ac:dyDescent="0.55000000000000004">
      <c r="A2100" s="592">
        <v>2099</v>
      </c>
      <c r="B2100" s="596" t="s">
        <v>7393</v>
      </c>
      <c r="C2100" s="592" t="s">
        <v>8797</v>
      </c>
      <c r="D2100" s="592">
        <v>5</v>
      </c>
      <c r="E2100" s="597">
        <v>1500</v>
      </c>
      <c r="F2100" s="597">
        <v>1500</v>
      </c>
      <c r="G2100" s="597">
        <v>4250</v>
      </c>
      <c r="H2100" s="592" t="s">
        <v>1397</v>
      </c>
    </row>
    <row r="2101" spans="1:8" ht="24.75" customHeight="1" x14ac:dyDescent="0.55000000000000004">
      <c r="A2101" s="592">
        <v>2100</v>
      </c>
      <c r="B2101" s="596" t="s">
        <v>7394</v>
      </c>
      <c r="C2101" s="592" t="s">
        <v>7395</v>
      </c>
      <c r="D2101" s="592">
        <v>21</v>
      </c>
      <c r="E2101" s="597">
        <v>3000</v>
      </c>
      <c r="F2101" s="597">
        <v>3000</v>
      </c>
      <c r="G2101" s="597">
        <v>52500</v>
      </c>
      <c r="H2101" s="592" t="s">
        <v>1397</v>
      </c>
    </row>
    <row r="2102" spans="1:8" ht="24.75" customHeight="1" x14ac:dyDescent="0.55000000000000004">
      <c r="A2102" s="592">
        <v>2101</v>
      </c>
      <c r="B2102" s="596" t="s">
        <v>7396</v>
      </c>
      <c r="C2102" s="592" t="s">
        <v>8429</v>
      </c>
      <c r="D2102" s="592">
        <v>2</v>
      </c>
      <c r="E2102" s="597">
        <v>23000</v>
      </c>
      <c r="F2102" s="597">
        <v>23000</v>
      </c>
      <c r="G2102" s="597">
        <v>36000</v>
      </c>
      <c r="H2102" s="592" t="s">
        <v>1397</v>
      </c>
    </row>
    <row r="2103" spans="1:8" ht="24.75" customHeight="1" x14ac:dyDescent="0.55000000000000004">
      <c r="A2103" s="592">
        <v>2102</v>
      </c>
      <c r="B2103" s="596" t="s">
        <v>7688</v>
      </c>
      <c r="C2103" s="592" t="s">
        <v>7689</v>
      </c>
      <c r="D2103" s="592">
        <v>1</v>
      </c>
      <c r="E2103" s="597">
        <v>20000</v>
      </c>
      <c r="F2103" s="597">
        <v>20000</v>
      </c>
      <c r="G2103" s="597">
        <v>15500</v>
      </c>
      <c r="H2103" s="592" t="s">
        <v>1397</v>
      </c>
    </row>
    <row r="2104" spans="1:8" ht="24.75" customHeight="1" x14ac:dyDescent="0.55000000000000004">
      <c r="A2104" s="592">
        <v>2103</v>
      </c>
      <c r="B2104" s="596" t="s">
        <v>7397</v>
      </c>
      <c r="C2104" s="592" t="s">
        <v>8798</v>
      </c>
      <c r="D2104" s="592">
        <v>1</v>
      </c>
      <c r="E2104" s="597">
        <v>24000</v>
      </c>
      <c r="F2104" s="597">
        <v>24000</v>
      </c>
      <c r="G2104" s="597">
        <v>19000</v>
      </c>
      <c r="H2104" s="592" t="s">
        <v>1397</v>
      </c>
    </row>
    <row r="2105" spans="1:8" ht="24.75" customHeight="1" x14ac:dyDescent="0.55000000000000004">
      <c r="A2105" s="592">
        <v>2104</v>
      </c>
      <c r="B2105" s="596" t="s">
        <v>7690</v>
      </c>
      <c r="C2105" s="592" t="s">
        <v>7691</v>
      </c>
      <c r="D2105" s="592">
        <v>1</v>
      </c>
      <c r="E2105" s="597">
        <v>13000</v>
      </c>
      <c r="F2105" s="597">
        <v>13000</v>
      </c>
      <c r="G2105" s="597">
        <v>10000</v>
      </c>
      <c r="H2105" s="592" t="s">
        <v>1397</v>
      </c>
    </row>
    <row r="2106" spans="1:8" ht="24.75" customHeight="1" x14ac:dyDescent="0.55000000000000004">
      <c r="A2106" s="592">
        <v>2105</v>
      </c>
      <c r="B2106" s="596" t="s">
        <v>7692</v>
      </c>
      <c r="C2106" s="592" t="s">
        <v>7693</v>
      </c>
      <c r="D2106" s="592">
        <v>2</v>
      </c>
      <c r="E2106" s="597">
        <v>2200</v>
      </c>
      <c r="F2106" s="597">
        <v>2200</v>
      </c>
      <c r="G2106" s="597">
        <v>3300</v>
      </c>
      <c r="H2106" s="592" t="s">
        <v>1397</v>
      </c>
    </row>
    <row r="2107" spans="1:8" ht="24.75" customHeight="1" x14ac:dyDescent="0.55000000000000004">
      <c r="A2107" s="592">
        <v>2106</v>
      </c>
      <c r="B2107" s="596" t="s">
        <v>7694</v>
      </c>
      <c r="C2107" s="592" t="s">
        <v>7695</v>
      </c>
      <c r="D2107" s="592">
        <v>3</v>
      </c>
      <c r="E2107" s="597">
        <v>1500</v>
      </c>
      <c r="F2107" s="597">
        <v>1500</v>
      </c>
      <c r="G2107" s="597">
        <v>2550</v>
      </c>
      <c r="H2107" s="592" t="s">
        <v>1397</v>
      </c>
    </row>
    <row r="2108" spans="1:8" ht="24.75" customHeight="1" x14ac:dyDescent="0.55000000000000004">
      <c r="A2108" s="592">
        <v>2107</v>
      </c>
      <c r="B2108" s="596" t="s">
        <v>7696</v>
      </c>
      <c r="C2108" s="592" t="s">
        <v>7697</v>
      </c>
      <c r="D2108" s="592">
        <v>1</v>
      </c>
      <c r="E2108" s="597">
        <v>3000</v>
      </c>
      <c r="F2108" s="597">
        <v>3000</v>
      </c>
      <c r="G2108" s="597">
        <v>2550</v>
      </c>
      <c r="H2108" s="592" t="s">
        <v>1397</v>
      </c>
    </row>
    <row r="2109" spans="1:8" ht="24.75" customHeight="1" x14ac:dyDescent="0.55000000000000004">
      <c r="A2109" s="592">
        <v>2108</v>
      </c>
      <c r="B2109" s="596" t="s">
        <v>7698</v>
      </c>
      <c r="C2109" s="592" t="s">
        <v>7699</v>
      </c>
      <c r="D2109" s="592">
        <v>2</v>
      </c>
      <c r="E2109" s="597">
        <v>3000</v>
      </c>
      <c r="F2109" s="597">
        <v>3000</v>
      </c>
      <c r="G2109" s="597">
        <v>3600</v>
      </c>
      <c r="H2109" s="592" t="s">
        <v>1397</v>
      </c>
    </row>
    <row r="2110" spans="1:8" ht="24.75" customHeight="1" x14ac:dyDescent="0.55000000000000004">
      <c r="A2110" s="592">
        <v>2109</v>
      </c>
      <c r="B2110" s="596" t="s">
        <v>7700</v>
      </c>
      <c r="C2110" s="592" t="s">
        <v>7701</v>
      </c>
      <c r="D2110" s="592">
        <v>95</v>
      </c>
      <c r="E2110" s="597">
        <v>100</v>
      </c>
      <c r="F2110" s="597">
        <v>100</v>
      </c>
      <c r="G2110" s="597">
        <v>4750</v>
      </c>
      <c r="H2110" s="592" t="s">
        <v>1397</v>
      </c>
    </row>
    <row r="2111" spans="1:8" ht="24.75" customHeight="1" x14ac:dyDescent="0.55000000000000004">
      <c r="A2111" s="592">
        <v>2110</v>
      </c>
      <c r="B2111" s="596" t="s">
        <v>7702</v>
      </c>
      <c r="C2111" s="592" t="s">
        <v>7703</v>
      </c>
      <c r="D2111" s="592">
        <v>95</v>
      </c>
      <c r="E2111" s="597">
        <v>100</v>
      </c>
      <c r="F2111" s="597">
        <v>100</v>
      </c>
      <c r="G2111" s="597">
        <v>4275</v>
      </c>
      <c r="H2111" s="592" t="s">
        <v>1397</v>
      </c>
    </row>
    <row r="2112" spans="1:8" ht="24.75" customHeight="1" x14ac:dyDescent="0.55000000000000004">
      <c r="A2112" s="592">
        <v>2111</v>
      </c>
      <c r="B2112" s="596" t="s">
        <v>7398</v>
      </c>
      <c r="C2112" s="592" t="s">
        <v>7399</v>
      </c>
      <c r="D2112" s="592">
        <v>1</v>
      </c>
      <c r="E2112" s="597">
        <v>35000</v>
      </c>
      <c r="F2112" s="597">
        <v>35000</v>
      </c>
      <c r="G2112" s="597">
        <v>30000</v>
      </c>
      <c r="H2112" s="592" t="s">
        <v>1397</v>
      </c>
    </row>
    <row r="2113" spans="1:8" ht="24.75" customHeight="1" x14ac:dyDescent="0.55000000000000004">
      <c r="A2113" s="592">
        <v>2112</v>
      </c>
      <c r="B2113" s="596" t="s">
        <v>7400</v>
      </c>
      <c r="C2113" s="592" t="s">
        <v>7401</v>
      </c>
      <c r="D2113" s="592">
        <v>2</v>
      </c>
      <c r="E2113" s="597">
        <v>50000</v>
      </c>
      <c r="F2113" s="597">
        <v>50000</v>
      </c>
      <c r="G2113" s="597">
        <v>72000</v>
      </c>
      <c r="H2113" s="592" t="s">
        <v>1397</v>
      </c>
    </row>
    <row r="2114" spans="1:8" ht="24.75" customHeight="1" x14ac:dyDescent="0.55000000000000004">
      <c r="A2114" s="592">
        <v>2113</v>
      </c>
      <c r="B2114" s="596" t="s">
        <v>7704</v>
      </c>
      <c r="C2114" s="592" t="s">
        <v>7705</v>
      </c>
      <c r="D2114" s="592">
        <v>2</v>
      </c>
      <c r="E2114" s="597">
        <v>22000</v>
      </c>
      <c r="F2114" s="597">
        <v>22000</v>
      </c>
      <c r="G2114" s="597">
        <v>29600</v>
      </c>
      <c r="H2114" s="592" t="s">
        <v>1397</v>
      </c>
    </row>
    <row r="2115" spans="1:8" ht="24.75" customHeight="1" x14ac:dyDescent="0.55000000000000004">
      <c r="A2115" s="592">
        <v>2114</v>
      </c>
      <c r="B2115" s="596" t="s">
        <v>7706</v>
      </c>
      <c r="C2115" s="592" t="s">
        <v>7707</v>
      </c>
      <c r="D2115" s="592">
        <v>1</v>
      </c>
      <c r="E2115" s="597">
        <v>24000</v>
      </c>
      <c r="F2115" s="597">
        <v>24000</v>
      </c>
      <c r="G2115" s="597">
        <v>18500</v>
      </c>
      <c r="H2115" s="592" t="s">
        <v>1397</v>
      </c>
    </row>
    <row r="2116" spans="1:8" ht="24.75" customHeight="1" x14ac:dyDescent="0.55000000000000004">
      <c r="A2116" s="592">
        <v>2115</v>
      </c>
      <c r="B2116" s="596" t="s">
        <v>7708</v>
      </c>
      <c r="C2116" s="592" t="s">
        <v>7709</v>
      </c>
      <c r="D2116" s="592">
        <v>10</v>
      </c>
      <c r="E2116" s="597">
        <v>500</v>
      </c>
      <c r="F2116" s="597">
        <v>500</v>
      </c>
      <c r="G2116" s="597">
        <v>3000</v>
      </c>
      <c r="H2116" s="592" t="s">
        <v>1397</v>
      </c>
    </row>
    <row r="2117" spans="1:8" ht="24.75" customHeight="1" x14ac:dyDescent="0.55000000000000004">
      <c r="A2117" s="592">
        <v>2116</v>
      </c>
      <c r="B2117" s="596" t="s">
        <v>7710</v>
      </c>
      <c r="C2117" s="592" t="s">
        <v>7711</v>
      </c>
      <c r="D2117" s="592">
        <v>1</v>
      </c>
      <c r="E2117" s="597">
        <v>3500</v>
      </c>
      <c r="F2117" s="597">
        <v>3500</v>
      </c>
      <c r="G2117" s="597">
        <v>2000</v>
      </c>
      <c r="H2117" s="592" t="s">
        <v>1397</v>
      </c>
    </row>
    <row r="2118" spans="1:8" ht="24.75" customHeight="1" x14ac:dyDescent="0.55000000000000004">
      <c r="A2118" s="592">
        <v>2117</v>
      </c>
      <c r="B2118" s="596" t="s">
        <v>7402</v>
      </c>
      <c r="C2118" s="592" t="s">
        <v>7403</v>
      </c>
      <c r="D2118" s="592">
        <v>4</v>
      </c>
      <c r="E2118" s="597">
        <v>1500</v>
      </c>
      <c r="F2118" s="597">
        <v>1500</v>
      </c>
      <c r="G2118" s="597">
        <v>5200</v>
      </c>
      <c r="H2118" s="592" t="s">
        <v>1397</v>
      </c>
    </row>
    <row r="2119" spans="1:8" ht="24.75" customHeight="1" x14ac:dyDescent="0.55000000000000004">
      <c r="A2119" s="592">
        <v>2118</v>
      </c>
      <c r="B2119" s="596" t="s">
        <v>7714</v>
      </c>
      <c r="C2119" s="592" t="s">
        <v>7715</v>
      </c>
      <c r="D2119" s="592">
        <v>1</v>
      </c>
      <c r="E2119" s="597">
        <v>11500</v>
      </c>
      <c r="F2119" s="597">
        <v>11500</v>
      </c>
      <c r="G2119" s="597">
        <v>7500</v>
      </c>
      <c r="H2119" s="592" t="s">
        <v>1397</v>
      </c>
    </row>
    <row r="2120" spans="1:8" ht="24.75" customHeight="1" x14ac:dyDescent="0.55000000000000004">
      <c r="A2120" s="592">
        <v>2119</v>
      </c>
      <c r="B2120" s="596" t="s">
        <v>7716</v>
      </c>
      <c r="C2120" s="592" t="s">
        <v>7717</v>
      </c>
      <c r="D2120" s="592">
        <v>2</v>
      </c>
      <c r="E2120" s="597">
        <v>12000</v>
      </c>
      <c r="F2120" s="597">
        <v>12000</v>
      </c>
      <c r="G2120" s="597">
        <v>18000</v>
      </c>
      <c r="H2120" s="592" t="s">
        <v>1397</v>
      </c>
    </row>
    <row r="2121" spans="1:8" ht="24.75" customHeight="1" x14ac:dyDescent="0.55000000000000004">
      <c r="A2121" s="592">
        <v>2120</v>
      </c>
      <c r="B2121" s="596" t="s">
        <v>7718</v>
      </c>
      <c r="C2121" s="592" t="s">
        <v>7719</v>
      </c>
      <c r="D2121" s="592">
        <v>6</v>
      </c>
      <c r="E2121" s="597">
        <v>6000</v>
      </c>
      <c r="F2121" s="597">
        <v>6000</v>
      </c>
      <c r="G2121" s="597">
        <v>24000</v>
      </c>
      <c r="H2121" s="592" t="s">
        <v>1397</v>
      </c>
    </row>
    <row r="2122" spans="1:8" ht="24.75" customHeight="1" x14ac:dyDescent="0.55000000000000004">
      <c r="A2122" s="592">
        <v>2121</v>
      </c>
      <c r="B2122" s="596" t="s">
        <v>7404</v>
      </c>
      <c r="C2122" s="592" t="s">
        <v>7405</v>
      </c>
      <c r="D2122" s="592">
        <v>4</v>
      </c>
      <c r="E2122" s="597">
        <v>1000</v>
      </c>
      <c r="F2122" s="597">
        <v>1000</v>
      </c>
      <c r="G2122" s="597">
        <v>1600</v>
      </c>
      <c r="H2122" s="592" t="s">
        <v>1397</v>
      </c>
    </row>
    <row r="2123" spans="1:8" ht="24.75" customHeight="1" x14ac:dyDescent="0.55000000000000004">
      <c r="A2123" s="592">
        <v>2122</v>
      </c>
      <c r="B2123" s="596" t="s">
        <v>7720</v>
      </c>
      <c r="C2123" s="592" t="s">
        <v>7721</v>
      </c>
      <c r="D2123" s="592">
        <v>47</v>
      </c>
      <c r="E2123" s="597">
        <v>500</v>
      </c>
      <c r="F2123" s="597">
        <v>500</v>
      </c>
      <c r="G2123" s="597">
        <v>13160</v>
      </c>
      <c r="H2123" s="592" t="s">
        <v>1397</v>
      </c>
    </row>
    <row r="2124" spans="1:8" ht="24.75" customHeight="1" x14ac:dyDescent="0.55000000000000004">
      <c r="A2124" s="592">
        <v>2123</v>
      </c>
      <c r="B2124" s="596" t="s">
        <v>7722</v>
      </c>
      <c r="C2124" s="592" t="s">
        <v>7723</v>
      </c>
      <c r="D2124" s="592">
        <v>1</v>
      </c>
      <c r="E2124" s="597">
        <v>4000</v>
      </c>
      <c r="F2124" s="597">
        <v>4000</v>
      </c>
      <c r="G2124" s="597">
        <v>2500</v>
      </c>
      <c r="H2124" s="592" t="s">
        <v>1397</v>
      </c>
    </row>
    <row r="2125" spans="1:8" ht="24.75" customHeight="1" x14ac:dyDescent="0.55000000000000004">
      <c r="A2125" s="592">
        <v>2124</v>
      </c>
      <c r="B2125" s="596" t="s">
        <v>7724</v>
      </c>
      <c r="C2125" s="592" t="s">
        <v>7725</v>
      </c>
      <c r="D2125" s="592">
        <v>1</v>
      </c>
      <c r="E2125" s="597">
        <v>4000</v>
      </c>
      <c r="F2125" s="597">
        <v>4000</v>
      </c>
      <c r="G2125" s="597">
        <v>2500</v>
      </c>
      <c r="H2125" s="592" t="s">
        <v>1397</v>
      </c>
    </row>
    <row r="2126" spans="1:8" ht="24.75" customHeight="1" x14ac:dyDescent="0.55000000000000004">
      <c r="A2126" s="592">
        <v>2125</v>
      </c>
      <c r="B2126" s="596" t="s">
        <v>1716</v>
      </c>
      <c r="C2126" s="592" t="s">
        <v>7936</v>
      </c>
      <c r="D2126" s="592">
        <v>5</v>
      </c>
      <c r="E2126" s="597">
        <v>2500</v>
      </c>
      <c r="F2126" s="597">
        <v>2500</v>
      </c>
      <c r="G2126" s="597">
        <v>9750</v>
      </c>
      <c r="H2126" s="592" t="s">
        <v>1397</v>
      </c>
    </row>
    <row r="2127" spans="1:8" ht="24.75" customHeight="1" x14ac:dyDescent="0.55000000000000004">
      <c r="A2127" s="592">
        <v>2126</v>
      </c>
      <c r="B2127" s="596" t="s">
        <v>7726</v>
      </c>
      <c r="C2127" s="592" t="s">
        <v>7727</v>
      </c>
      <c r="D2127" s="592">
        <v>1</v>
      </c>
      <c r="E2127" s="597">
        <v>8700</v>
      </c>
      <c r="F2127" s="597">
        <v>8700</v>
      </c>
      <c r="G2127" s="597">
        <v>6800</v>
      </c>
      <c r="H2127" s="592" t="s">
        <v>1397</v>
      </c>
    </row>
    <row r="2128" spans="1:8" ht="24.75" customHeight="1" x14ac:dyDescent="0.55000000000000004">
      <c r="A2128" s="592">
        <v>2127</v>
      </c>
      <c r="B2128" s="596" t="s">
        <v>7728</v>
      </c>
      <c r="C2128" s="592" t="s">
        <v>7729</v>
      </c>
      <c r="D2128" s="592">
        <v>12</v>
      </c>
      <c r="E2128" s="597">
        <v>600</v>
      </c>
      <c r="F2128" s="597">
        <v>600</v>
      </c>
      <c r="G2128" s="597">
        <v>3600</v>
      </c>
      <c r="H2128" s="592" t="s">
        <v>1397</v>
      </c>
    </row>
    <row r="2129" spans="1:8" ht="24.75" customHeight="1" x14ac:dyDescent="0.55000000000000004">
      <c r="A2129" s="592">
        <v>2128</v>
      </c>
      <c r="B2129" s="596" t="s">
        <v>7406</v>
      </c>
      <c r="C2129" s="592" t="s">
        <v>6902</v>
      </c>
      <c r="D2129" s="592">
        <v>7</v>
      </c>
      <c r="E2129" s="597">
        <v>2000</v>
      </c>
      <c r="F2129" s="597">
        <v>2000</v>
      </c>
      <c r="G2129" s="597">
        <v>8400</v>
      </c>
      <c r="H2129" s="592" t="s">
        <v>1397</v>
      </c>
    </row>
    <row r="2130" spans="1:8" ht="24.75" customHeight="1" x14ac:dyDescent="0.55000000000000004">
      <c r="A2130" s="592">
        <v>2129</v>
      </c>
      <c r="B2130" s="596" t="s">
        <v>7407</v>
      </c>
      <c r="C2130" s="592" t="s">
        <v>7408</v>
      </c>
      <c r="D2130" s="592">
        <v>6</v>
      </c>
      <c r="E2130" s="597">
        <v>1500</v>
      </c>
      <c r="F2130" s="597">
        <v>1500</v>
      </c>
      <c r="G2130" s="597">
        <v>7200</v>
      </c>
      <c r="H2130" s="592" t="s">
        <v>1397</v>
      </c>
    </row>
    <row r="2131" spans="1:8" ht="24.75" customHeight="1" x14ac:dyDescent="0.55000000000000004">
      <c r="A2131" s="592">
        <v>2130</v>
      </c>
      <c r="B2131" s="596" t="s">
        <v>7730</v>
      </c>
      <c r="C2131" s="592" t="s">
        <v>7731</v>
      </c>
      <c r="D2131" s="592">
        <v>10</v>
      </c>
      <c r="E2131" s="597">
        <v>3200</v>
      </c>
      <c r="F2131" s="597">
        <v>3200</v>
      </c>
      <c r="G2131" s="597">
        <v>23500</v>
      </c>
      <c r="H2131" s="592" t="s">
        <v>1397</v>
      </c>
    </row>
    <row r="2132" spans="1:8" ht="24.75" customHeight="1" x14ac:dyDescent="0.55000000000000004">
      <c r="A2132" s="592">
        <v>2131</v>
      </c>
      <c r="B2132" s="596" t="s">
        <v>7732</v>
      </c>
      <c r="C2132" s="592" t="s">
        <v>7733</v>
      </c>
      <c r="D2132" s="592">
        <v>3</v>
      </c>
      <c r="E2132" s="597">
        <v>1500</v>
      </c>
      <c r="F2132" s="597">
        <v>1500</v>
      </c>
      <c r="G2132" s="597">
        <v>2400</v>
      </c>
      <c r="H2132" s="592" t="s">
        <v>1397</v>
      </c>
    </row>
    <row r="2133" spans="1:8" ht="24.75" customHeight="1" x14ac:dyDescent="0.55000000000000004">
      <c r="A2133" s="592">
        <v>2132</v>
      </c>
      <c r="B2133" s="596" t="s">
        <v>7409</v>
      </c>
      <c r="C2133" s="592" t="s">
        <v>7410</v>
      </c>
      <c r="D2133" s="592">
        <v>2</v>
      </c>
      <c r="E2133" s="597">
        <v>2500</v>
      </c>
      <c r="F2133" s="597">
        <v>2500</v>
      </c>
      <c r="G2133" s="597">
        <v>4000</v>
      </c>
      <c r="H2133" s="592" t="s">
        <v>1397</v>
      </c>
    </row>
    <row r="2134" spans="1:8" ht="24.75" customHeight="1" x14ac:dyDescent="0.55000000000000004">
      <c r="A2134" s="592">
        <v>2133</v>
      </c>
      <c r="B2134" s="596" t="s">
        <v>7734</v>
      </c>
      <c r="C2134" s="592" t="s">
        <v>7735</v>
      </c>
      <c r="D2134" s="592">
        <v>3</v>
      </c>
      <c r="E2134" s="597">
        <v>3000</v>
      </c>
      <c r="F2134" s="597">
        <v>3000</v>
      </c>
      <c r="G2134" s="597">
        <v>7500</v>
      </c>
      <c r="H2134" s="592" t="s">
        <v>1397</v>
      </c>
    </row>
    <row r="2135" spans="1:8" ht="24.75" customHeight="1" x14ac:dyDescent="0.55000000000000004">
      <c r="A2135" s="592">
        <v>2134</v>
      </c>
      <c r="B2135" s="596" t="s">
        <v>7736</v>
      </c>
      <c r="C2135" s="592" t="s">
        <v>8799</v>
      </c>
      <c r="D2135" s="592">
        <v>3</v>
      </c>
      <c r="E2135" s="597">
        <v>3000</v>
      </c>
      <c r="F2135" s="597">
        <v>3000</v>
      </c>
      <c r="G2135" s="597">
        <v>6900</v>
      </c>
      <c r="H2135" s="592" t="s">
        <v>1397</v>
      </c>
    </row>
    <row r="2136" spans="1:8" ht="24.75" customHeight="1" x14ac:dyDescent="0.55000000000000004">
      <c r="A2136" s="592">
        <v>2135</v>
      </c>
      <c r="B2136" s="596" t="s">
        <v>4957</v>
      </c>
      <c r="C2136" s="592" t="s">
        <v>7737</v>
      </c>
      <c r="D2136" s="592">
        <v>12</v>
      </c>
      <c r="E2136" s="597">
        <v>500</v>
      </c>
      <c r="F2136" s="597">
        <v>500</v>
      </c>
      <c r="G2136" s="597">
        <v>3600</v>
      </c>
      <c r="H2136" s="592" t="s">
        <v>1397</v>
      </c>
    </row>
    <row r="2137" spans="1:8" ht="24.75" customHeight="1" x14ac:dyDescent="0.55000000000000004">
      <c r="A2137" s="592">
        <v>2136</v>
      </c>
      <c r="B2137" s="596" t="s">
        <v>7738</v>
      </c>
      <c r="C2137" s="592" t="s">
        <v>7739</v>
      </c>
      <c r="D2137" s="592">
        <v>3</v>
      </c>
      <c r="E2137" s="597">
        <v>31000</v>
      </c>
      <c r="F2137" s="597">
        <v>31000</v>
      </c>
      <c r="G2137" s="597">
        <v>79500</v>
      </c>
      <c r="H2137" s="592" t="s">
        <v>1397</v>
      </c>
    </row>
    <row r="2138" spans="1:8" ht="24.75" customHeight="1" x14ac:dyDescent="0.55000000000000004">
      <c r="A2138" s="592">
        <v>2137</v>
      </c>
      <c r="B2138" s="596" t="s">
        <v>7411</v>
      </c>
      <c r="C2138" s="592" t="s">
        <v>8283</v>
      </c>
      <c r="D2138" s="592">
        <v>16</v>
      </c>
      <c r="E2138" s="597">
        <v>500</v>
      </c>
      <c r="F2138" s="597">
        <v>500</v>
      </c>
      <c r="G2138" s="597">
        <v>4800</v>
      </c>
      <c r="H2138" s="592" t="s">
        <v>1397</v>
      </c>
    </row>
    <row r="2139" spans="1:8" ht="24.75" customHeight="1" x14ac:dyDescent="0.55000000000000004">
      <c r="A2139" s="592">
        <v>2138</v>
      </c>
      <c r="B2139" s="596" t="s">
        <v>7740</v>
      </c>
      <c r="C2139" s="592" t="s">
        <v>7741</v>
      </c>
      <c r="D2139" s="592">
        <v>2</v>
      </c>
      <c r="E2139" s="597">
        <v>1000</v>
      </c>
      <c r="F2139" s="597">
        <v>1000</v>
      </c>
      <c r="G2139" s="597">
        <v>1000</v>
      </c>
      <c r="H2139" s="592" t="s">
        <v>1397</v>
      </c>
    </row>
    <row r="2140" spans="1:8" ht="24.75" customHeight="1" x14ac:dyDescent="0.55000000000000004">
      <c r="A2140" s="592">
        <v>2139</v>
      </c>
      <c r="B2140" s="596" t="s">
        <v>7413</v>
      </c>
      <c r="C2140" s="592" t="s">
        <v>8285</v>
      </c>
      <c r="D2140" s="592">
        <v>3</v>
      </c>
      <c r="E2140" s="597">
        <v>10000</v>
      </c>
      <c r="F2140" s="597">
        <v>10000</v>
      </c>
      <c r="G2140" s="597">
        <v>17400</v>
      </c>
      <c r="H2140" s="592" t="s">
        <v>1397</v>
      </c>
    </row>
    <row r="2141" spans="1:8" ht="24.75" customHeight="1" x14ac:dyDescent="0.55000000000000004">
      <c r="A2141" s="592">
        <v>2140</v>
      </c>
      <c r="B2141" s="596" t="s">
        <v>7742</v>
      </c>
      <c r="C2141" s="592" t="s">
        <v>8800</v>
      </c>
      <c r="D2141" s="592">
        <v>10</v>
      </c>
      <c r="E2141" s="597">
        <v>1500</v>
      </c>
      <c r="F2141" s="597">
        <v>1500</v>
      </c>
      <c r="G2141" s="597">
        <v>8000</v>
      </c>
      <c r="H2141" s="592" t="s">
        <v>1397</v>
      </c>
    </row>
    <row r="2142" spans="1:8" ht="24.75" customHeight="1" x14ac:dyDescent="0.55000000000000004">
      <c r="A2142" s="592">
        <v>2141</v>
      </c>
      <c r="B2142" s="596" t="s">
        <v>7744</v>
      </c>
      <c r="C2142" s="592" t="s">
        <v>7745</v>
      </c>
      <c r="D2142" s="592">
        <v>5</v>
      </c>
      <c r="E2142" s="597">
        <v>8000</v>
      </c>
      <c r="F2142" s="597">
        <v>8000</v>
      </c>
      <c r="G2142" s="597">
        <v>18750</v>
      </c>
      <c r="H2142" s="592" t="s">
        <v>1397</v>
      </c>
    </row>
    <row r="2143" spans="1:8" ht="24.75" customHeight="1" x14ac:dyDescent="0.55000000000000004">
      <c r="A2143" s="592">
        <v>2142</v>
      </c>
      <c r="B2143" s="596" t="s">
        <v>7416</v>
      </c>
      <c r="C2143" s="592" t="s">
        <v>8084</v>
      </c>
      <c r="D2143" s="592">
        <v>4</v>
      </c>
      <c r="E2143" s="597">
        <v>7000</v>
      </c>
      <c r="F2143" s="597">
        <v>7000</v>
      </c>
      <c r="G2143" s="597">
        <v>19200</v>
      </c>
      <c r="H2143" s="592" t="s">
        <v>1397</v>
      </c>
    </row>
    <row r="2144" spans="1:8" ht="24.75" customHeight="1" x14ac:dyDescent="0.55000000000000004">
      <c r="A2144" s="592">
        <v>2143</v>
      </c>
      <c r="B2144" s="596" t="s">
        <v>1717</v>
      </c>
      <c r="C2144" s="592" t="s">
        <v>7746</v>
      </c>
      <c r="D2144" s="592">
        <v>39</v>
      </c>
      <c r="E2144" s="597">
        <v>700</v>
      </c>
      <c r="F2144" s="597">
        <v>700</v>
      </c>
      <c r="G2144" s="597">
        <v>15600</v>
      </c>
      <c r="H2144" s="592" t="s">
        <v>1397</v>
      </c>
    </row>
    <row r="2145" spans="1:8" ht="24.75" customHeight="1" x14ac:dyDescent="0.55000000000000004">
      <c r="A2145" s="592">
        <v>2144</v>
      </c>
      <c r="B2145" s="596" t="s">
        <v>7417</v>
      </c>
      <c r="C2145" s="592" t="s">
        <v>7418</v>
      </c>
      <c r="D2145" s="592">
        <v>3</v>
      </c>
      <c r="E2145" s="597">
        <v>3500</v>
      </c>
      <c r="F2145" s="597">
        <v>3500</v>
      </c>
      <c r="G2145" s="597">
        <v>7200</v>
      </c>
      <c r="H2145" s="592" t="s">
        <v>1397</v>
      </c>
    </row>
    <row r="2146" spans="1:8" ht="24.75" customHeight="1" x14ac:dyDescent="0.55000000000000004">
      <c r="A2146" s="592">
        <v>2145</v>
      </c>
      <c r="B2146" s="596" t="s">
        <v>7747</v>
      </c>
      <c r="C2146" s="592" t="s">
        <v>8286</v>
      </c>
      <c r="D2146" s="592">
        <v>3</v>
      </c>
      <c r="E2146" s="597">
        <v>1800</v>
      </c>
      <c r="F2146" s="597">
        <v>1800</v>
      </c>
      <c r="G2146" s="597">
        <v>3750</v>
      </c>
      <c r="H2146" s="592" t="s">
        <v>1397</v>
      </c>
    </row>
    <row r="2147" spans="1:8" ht="24.75" customHeight="1" x14ac:dyDescent="0.55000000000000004">
      <c r="A2147" s="592">
        <v>2146</v>
      </c>
      <c r="B2147" s="596" t="s">
        <v>7748</v>
      </c>
      <c r="C2147" s="592" t="s">
        <v>7749</v>
      </c>
      <c r="D2147" s="592">
        <v>2</v>
      </c>
      <c r="E2147" s="597">
        <v>7000</v>
      </c>
      <c r="F2147" s="597">
        <v>7000</v>
      </c>
      <c r="G2147" s="597">
        <v>7000</v>
      </c>
      <c r="H2147" s="592" t="s">
        <v>1397</v>
      </c>
    </row>
    <row r="2148" spans="1:8" ht="24.75" customHeight="1" x14ac:dyDescent="0.55000000000000004">
      <c r="A2148" s="592">
        <v>2147</v>
      </c>
      <c r="B2148" s="596" t="s">
        <v>7750</v>
      </c>
      <c r="C2148" s="592" t="s">
        <v>7751</v>
      </c>
      <c r="D2148" s="592">
        <v>1</v>
      </c>
      <c r="E2148" s="597">
        <v>6000</v>
      </c>
      <c r="F2148" s="597">
        <v>6000</v>
      </c>
      <c r="G2148" s="597">
        <v>4500</v>
      </c>
      <c r="H2148" s="592" t="s">
        <v>1397</v>
      </c>
    </row>
    <row r="2149" spans="1:8" ht="24.75" customHeight="1" x14ac:dyDescent="0.55000000000000004">
      <c r="A2149" s="592">
        <v>2148</v>
      </c>
      <c r="B2149" s="596" t="s">
        <v>7752</v>
      </c>
      <c r="C2149" s="592" t="s">
        <v>7753</v>
      </c>
      <c r="D2149" s="592">
        <v>1</v>
      </c>
      <c r="E2149" s="597">
        <v>70000</v>
      </c>
      <c r="F2149" s="597">
        <v>70000</v>
      </c>
      <c r="G2149" s="597">
        <v>60000</v>
      </c>
      <c r="H2149" s="592" t="s">
        <v>1397</v>
      </c>
    </row>
    <row r="2150" spans="1:8" ht="24.75" customHeight="1" x14ac:dyDescent="0.55000000000000004">
      <c r="A2150" s="592">
        <v>2149</v>
      </c>
      <c r="B2150" s="596" t="s">
        <v>7754</v>
      </c>
      <c r="C2150" s="592" t="s">
        <v>7755</v>
      </c>
      <c r="D2150" s="592">
        <v>4</v>
      </c>
      <c r="E2150" s="597">
        <v>7000</v>
      </c>
      <c r="F2150" s="597">
        <v>7000</v>
      </c>
      <c r="G2150" s="597">
        <v>19000</v>
      </c>
      <c r="H2150" s="592" t="s">
        <v>1397</v>
      </c>
    </row>
    <row r="2151" spans="1:8" ht="24.75" customHeight="1" x14ac:dyDescent="0.55000000000000004">
      <c r="A2151" s="592">
        <v>2150</v>
      </c>
      <c r="B2151" s="596" t="s">
        <v>7756</v>
      </c>
      <c r="C2151" s="592" t="s">
        <v>7757</v>
      </c>
      <c r="D2151" s="592">
        <v>3</v>
      </c>
      <c r="E2151" s="597">
        <v>3500</v>
      </c>
      <c r="F2151" s="597">
        <v>3500</v>
      </c>
      <c r="G2151" s="597">
        <v>5865</v>
      </c>
      <c r="H2151" s="592" t="s">
        <v>1397</v>
      </c>
    </row>
    <row r="2152" spans="1:8" ht="24.75" customHeight="1" x14ac:dyDescent="0.55000000000000004">
      <c r="A2152" s="592">
        <v>2151</v>
      </c>
      <c r="B2152" s="596" t="s">
        <v>7758</v>
      </c>
      <c r="C2152" s="592" t="s">
        <v>7759</v>
      </c>
      <c r="D2152" s="592">
        <v>2</v>
      </c>
      <c r="E2152" s="597">
        <v>3000</v>
      </c>
      <c r="F2152" s="597">
        <v>3000</v>
      </c>
      <c r="G2152" s="597">
        <v>4400</v>
      </c>
      <c r="H2152" s="592" t="s">
        <v>1397</v>
      </c>
    </row>
    <row r="2153" spans="1:8" ht="24.75" customHeight="1" x14ac:dyDescent="0.55000000000000004">
      <c r="A2153" s="592">
        <v>2152</v>
      </c>
      <c r="B2153" s="596" t="s">
        <v>7760</v>
      </c>
      <c r="C2153" s="592" t="s">
        <v>7761</v>
      </c>
      <c r="D2153" s="592">
        <v>2</v>
      </c>
      <c r="E2153" s="597">
        <v>2500</v>
      </c>
      <c r="F2153" s="597">
        <v>2500</v>
      </c>
      <c r="G2153" s="597">
        <v>3600</v>
      </c>
      <c r="H2153" s="592" t="s">
        <v>1397</v>
      </c>
    </row>
    <row r="2154" spans="1:8" ht="24.75" customHeight="1" x14ac:dyDescent="0.55000000000000004">
      <c r="A2154" s="592">
        <v>2153</v>
      </c>
      <c r="B2154" s="596" t="s">
        <v>1718</v>
      </c>
      <c r="C2154" s="592" t="s">
        <v>7762</v>
      </c>
      <c r="D2154" s="592">
        <v>19</v>
      </c>
      <c r="E2154" s="597">
        <v>700</v>
      </c>
      <c r="F2154" s="597">
        <v>700</v>
      </c>
      <c r="G2154" s="597">
        <v>8550</v>
      </c>
      <c r="H2154" s="592" t="s">
        <v>1397</v>
      </c>
    </row>
    <row r="2155" spans="1:8" ht="24.75" customHeight="1" x14ac:dyDescent="0.55000000000000004">
      <c r="A2155" s="592">
        <v>2154</v>
      </c>
      <c r="B2155" s="596" t="s">
        <v>7763</v>
      </c>
      <c r="C2155" s="592" t="s">
        <v>7764</v>
      </c>
      <c r="D2155" s="592">
        <v>2</v>
      </c>
      <c r="E2155" s="597">
        <v>22000</v>
      </c>
      <c r="F2155" s="597">
        <v>22000</v>
      </c>
      <c r="G2155" s="597">
        <v>36600</v>
      </c>
      <c r="H2155" s="592" t="s">
        <v>1397</v>
      </c>
    </row>
    <row r="2156" spans="1:8" ht="24.75" customHeight="1" x14ac:dyDescent="0.55000000000000004">
      <c r="A2156" s="592">
        <v>2155</v>
      </c>
      <c r="B2156" s="596" t="s">
        <v>7765</v>
      </c>
      <c r="C2156" s="592" t="s">
        <v>7766</v>
      </c>
      <c r="D2156" s="592">
        <v>3</v>
      </c>
      <c r="E2156" s="597">
        <v>4500</v>
      </c>
      <c r="F2156" s="597">
        <v>4500</v>
      </c>
      <c r="G2156" s="597">
        <v>9600</v>
      </c>
      <c r="H2156" s="592" t="s">
        <v>1397</v>
      </c>
    </row>
    <row r="2157" spans="1:8" ht="24.75" customHeight="1" x14ac:dyDescent="0.55000000000000004">
      <c r="A2157" s="592">
        <v>2156</v>
      </c>
      <c r="B2157" s="596" t="s">
        <v>7767</v>
      </c>
      <c r="C2157" s="592" t="s">
        <v>7768</v>
      </c>
      <c r="D2157" s="592">
        <v>2</v>
      </c>
      <c r="E2157" s="597">
        <v>7000</v>
      </c>
      <c r="F2157" s="597">
        <v>7000</v>
      </c>
      <c r="G2157" s="597">
        <v>10000</v>
      </c>
      <c r="H2157" s="592" t="s">
        <v>1397</v>
      </c>
    </row>
    <row r="2158" spans="1:8" ht="24.75" customHeight="1" x14ac:dyDescent="0.55000000000000004">
      <c r="A2158" s="592">
        <v>2157</v>
      </c>
      <c r="B2158" s="596" t="s">
        <v>7769</v>
      </c>
      <c r="C2158" s="592" t="s">
        <v>7770</v>
      </c>
      <c r="D2158" s="592">
        <v>2</v>
      </c>
      <c r="E2158" s="597">
        <v>18500</v>
      </c>
      <c r="F2158" s="597">
        <v>18500</v>
      </c>
      <c r="G2158" s="597">
        <v>27000</v>
      </c>
      <c r="H2158" s="592" t="s">
        <v>1397</v>
      </c>
    </row>
    <row r="2159" spans="1:8" ht="24.75" customHeight="1" x14ac:dyDescent="0.55000000000000004">
      <c r="A2159" s="592">
        <v>2158</v>
      </c>
      <c r="B2159" s="596" t="s">
        <v>7771</v>
      </c>
      <c r="C2159" s="592" t="s">
        <v>7772</v>
      </c>
      <c r="D2159" s="592">
        <v>1</v>
      </c>
      <c r="E2159" s="597">
        <v>30000</v>
      </c>
      <c r="F2159" s="597">
        <v>30000</v>
      </c>
      <c r="G2159" s="597">
        <v>22000</v>
      </c>
      <c r="H2159" s="592" t="s">
        <v>1397</v>
      </c>
    </row>
    <row r="2160" spans="1:8" ht="24.75" customHeight="1" x14ac:dyDescent="0.55000000000000004">
      <c r="A2160" s="592">
        <v>2159</v>
      </c>
      <c r="B2160" s="596" t="s">
        <v>8801</v>
      </c>
      <c r="C2160" s="592" t="s">
        <v>8802</v>
      </c>
      <c r="D2160" s="592">
        <v>1</v>
      </c>
      <c r="E2160" s="597">
        <v>40000</v>
      </c>
      <c r="F2160" s="597">
        <v>40000</v>
      </c>
      <c r="G2160" s="597">
        <v>35000</v>
      </c>
      <c r="H2160" s="592" t="s">
        <v>1397</v>
      </c>
    </row>
    <row r="2161" spans="1:8" ht="24.75" customHeight="1" x14ac:dyDescent="0.55000000000000004">
      <c r="A2161" s="592">
        <v>2160</v>
      </c>
      <c r="B2161" s="596" t="s">
        <v>7419</v>
      </c>
      <c r="C2161" s="592" t="s">
        <v>7420</v>
      </c>
      <c r="D2161" s="592">
        <v>1</v>
      </c>
      <c r="E2161" s="597">
        <v>15000</v>
      </c>
      <c r="F2161" s="597">
        <v>15000</v>
      </c>
      <c r="G2161" s="597">
        <v>11000</v>
      </c>
      <c r="H2161" s="592" t="s">
        <v>1397</v>
      </c>
    </row>
    <row r="2162" spans="1:8" ht="24.75" customHeight="1" x14ac:dyDescent="0.55000000000000004">
      <c r="A2162" s="592">
        <v>2161</v>
      </c>
      <c r="B2162" s="596" t="s">
        <v>8603</v>
      </c>
      <c r="C2162" s="592" t="s">
        <v>8604</v>
      </c>
      <c r="D2162" s="592">
        <v>8</v>
      </c>
      <c r="E2162" s="597">
        <v>1200</v>
      </c>
      <c r="F2162" s="597">
        <v>1200</v>
      </c>
      <c r="G2162" s="597">
        <v>7200</v>
      </c>
      <c r="H2162" s="592" t="s">
        <v>1397</v>
      </c>
    </row>
    <row r="2163" spans="1:8" ht="24.75" customHeight="1" x14ac:dyDescent="0.55000000000000004">
      <c r="A2163" s="592">
        <v>2162</v>
      </c>
      <c r="B2163" s="596" t="s">
        <v>7774</v>
      </c>
      <c r="C2163" s="592" t="s">
        <v>7775</v>
      </c>
      <c r="D2163" s="592">
        <v>1</v>
      </c>
      <c r="E2163" s="597">
        <v>125000</v>
      </c>
      <c r="F2163" s="597">
        <v>125000</v>
      </c>
      <c r="G2163" s="597">
        <v>45000</v>
      </c>
      <c r="H2163" s="592" t="s">
        <v>1397</v>
      </c>
    </row>
    <row r="2164" spans="1:8" ht="24.75" customHeight="1" x14ac:dyDescent="0.55000000000000004">
      <c r="A2164" s="592">
        <v>2163</v>
      </c>
      <c r="B2164" s="596" t="s">
        <v>7776</v>
      </c>
      <c r="C2164" s="592" t="s">
        <v>8085</v>
      </c>
      <c r="D2164" s="592">
        <v>1</v>
      </c>
      <c r="E2164" s="597">
        <v>3000</v>
      </c>
      <c r="F2164" s="597">
        <v>3000</v>
      </c>
      <c r="G2164" s="597">
        <v>2100</v>
      </c>
      <c r="H2164" s="592" t="s">
        <v>1397</v>
      </c>
    </row>
    <row r="2165" spans="1:8" ht="24.75" customHeight="1" x14ac:dyDescent="0.55000000000000004">
      <c r="A2165" s="592">
        <v>2164</v>
      </c>
      <c r="B2165" s="596" t="s">
        <v>7777</v>
      </c>
      <c r="C2165" s="592" t="s">
        <v>8086</v>
      </c>
      <c r="D2165" s="592">
        <v>2</v>
      </c>
      <c r="E2165" s="597">
        <v>2500</v>
      </c>
      <c r="F2165" s="597">
        <v>2500</v>
      </c>
      <c r="G2165" s="597">
        <v>3500</v>
      </c>
      <c r="H2165" s="592" t="s">
        <v>1397</v>
      </c>
    </row>
    <row r="2166" spans="1:8" ht="24.75" customHeight="1" x14ac:dyDescent="0.55000000000000004">
      <c r="A2166" s="592">
        <v>2165</v>
      </c>
      <c r="B2166" s="596" t="s">
        <v>7778</v>
      </c>
      <c r="C2166" s="592" t="s">
        <v>8087</v>
      </c>
      <c r="D2166" s="592">
        <v>2</v>
      </c>
      <c r="E2166" s="597">
        <v>2000</v>
      </c>
      <c r="F2166" s="597">
        <v>2000</v>
      </c>
      <c r="G2166" s="597">
        <v>2600</v>
      </c>
      <c r="H2166" s="592" t="s">
        <v>1397</v>
      </c>
    </row>
    <row r="2167" spans="1:8" ht="24.75" customHeight="1" x14ac:dyDescent="0.55000000000000004">
      <c r="A2167" s="592">
        <v>2166</v>
      </c>
      <c r="B2167" s="596" t="s">
        <v>7779</v>
      </c>
      <c r="C2167" s="592" t="s">
        <v>7780</v>
      </c>
      <c r="D2167" s="592">
        <v>2</v>
      </c>
      <c r="E2167" s="597">
        <v>3500</v>
      </c>
      <c r="F2167" s="597">
        <v>3500</v>
      </c>
      <c r="G2167" s="597">
        <v>4400</v>
      </c>
      <c r="H2167" s="592" t="s">
        <v>1397</v>
      </c>
    </row>
    <row r="2168" spans="1:8" ht="24.75" customHeight="1" x14ac:dyDescent="0.55000000000000004">
      <c r="A2168" s="592">
        <v>2167</v>
      </c>
      <c r="B2168" s="596" t="s">
        <v>7781</v>
      </c>
      <c r="C2168" s="592" t="s">
        <v>8431</v>
      </c>
      <c r="D2168" s="592">
        <v>5</v>
      </c>
      <c r="E2168" s="597">
        <v>5000</v>
      </c>
      <c r="F2168" s="597">
        <v>5000</v>
      </c>
      <c r="G2168" s="597">
        <v>15000</v>
      </c>
      <c r="H2168" s="592" t="s">
        <v>1397</v>
      </c>
    </row>
    <row r="2169" spans="1:8" ht="24.75" customHeight="1" x14ac:dyDescent="0.55000000000000004">
      <c r="A2169" s="592">
        <v>2168</v>
      </c>
      <c r="B2169" s="596" t="s">
        <v>7421</v>
      </c>
      <c r="C2169" s="592" t="s">
        <v>8803</v>
      </c>
      <c r="D2169" s="592">
        <v>1</v>
      </c>
      <c r="E2169" s="597">
        <v>7500</v>
      </c>
      <c r="F2169" s="597">
        <v>7500</v>
      </c>
      <c r="G2169" s="597">
        <v>5000</v>
      </c>
      <c r="H2169" s="592" t="s">
        <v>1397</v>
      </c>
    </row>
    <row r="2170" spans="1:8" ht="24.75" customHeight="1" x14ac:dyDescent="0.55000000000000004">
      <c r="A2170" s="592">
        <v>2169</v>
      </c>
      <c r="B2170" s="596" t="s">
        <v>7782</v>
      </c>
      <c r="C2170" s="592" t="s">
        <v>7783</v>
      </c>
      <c r="D2170" s="592">
        <v>2</v>
      </c>
      <c r="E2170" s="597">
        <v>1000</v>
      </c>
      <c r="F2170" s="597">
        <v>1000</v>
      </c>
      <c r="G2170" s="597">
        <v>1100</v>
      </c>
      <c r="H2170" s="592" t="s">
        <v>1397</v>
      </c>
    </row>
    <row r="2171" spans="1:8" ht="24.75" customHeight="1" x14ac:dyDescent="0.55000000000000004">
      <c r="A2171" s="592">
        <v>2170</v>
      </c>
      <c r="B2171" s="596" t="s">
        <v>7784</v>
      </c>
      <c r="C2171" s="592" t="s">
        <v>7785</v>
      </c>
      <c r="D2171" s="592">
        <v>2</v>
      </c>
      <c r="E2171" s="597">
        <v>700</v>
      </c>
      <c r="F2171" s="597">
        <v>700</v>
      </c>
      <c r="G2171" s="597">
        <v>700</v>
      </c>
      <c r="H2171" s="592" t="s">
        <v>1397</v>
      </c>
    </row>
    <row r="2172" spans="1:8" ht="24.75" customHeight="1" x14ac:dyDescent="0.55000000000000004">
      <c r="A2172" s="592">
        <v>2171</v>
      </c>
      <c r="B2172" s="596" t="s">
        <v>1719</v>
      </c>
      <c r="C2172" s="592" t="s">
        <v>7422</v>
      </c>
      <c r="D2172" s="592">
        <v>90</v>
      </c>
      <c r="E2172" s="597">
        <v>700</v>
      </c>
      <c r="F2172" s="597">
        <v>700</v>
      </c>
      <c r="G2172" s="597">
        <v>40500</v>
      </c>
      <c r="H2172" s="592" t="s">
        <v>1397</v>
      </c>
    </row>
    <row r="2173" spans="1:8" ht="24.75" customHeight="1" x14ac:dyDescent="0.55000000000000004">
      <c r="A2173" s="592">
        <v>2172</v>
      </c>
      <c r="B2173" s="596" t="s">
        <v>7786</v>
      </c>
      <c r="C2173" s="592" t="s">
        <v>7787</v>
      </c>
      <c r="D2173" s="592">
        <v>2</v>
      </c>
      <c r="E2173" s="597">
        <v>700</v>
      </c>
      <c r="F2173" s="597">
        <v>700</v>
      </c>
      <c r="G2173" s="597">
        <v>700</v>
      </c>
      <c r="H2173" s="592" t="s">
        <v>1397</v>
      </c>
    </row>
    <row r="2174" spans="1:8" ht="24.75" customHeight="1" x14ac:dyDescent="0.55000000000000004">
      <c r="A2174" s="592">
        <v>2173</v>
      </c>
      <c r="B2174" s="596" t="s">
        <v>7788</v>
      </c>
      <c r="C2174" s="592" t="s">
        <v>7789</v>
      </c>
      <c r="D2174" s="592">
        <v>2</v>
      </c>
      <c r="E2174" s="597">
        <v>2000</v>
      </c>
      <c r="F2174" s="597">
        <v>2000</v>
      </c>
      <c r="G2174" s="597">
        <v>2600</v>
      </c>
      <c r="H2174" s="592" t="s">
        <v>1397</v>
      </c>
    </row>
    <row r="2175" spans="1:8" ht="24.75" customHeight="1" x14ac:dyDescent="0.55000000000000004">
      <c r="A2175" s="592">
        <v>2174</v>
      </c>
      <c r="B2175" s="596" t="s">
        <v>7423</v>
      </c>
      <c r="C2175" s="592" t="s">
        <v>7937</v>
      </c>
      <c r="D2175" s="592">
        <v>5</v>
      </c>
      <c r="E2175" s="597">
        <v>5000</v>
      </c>
      <c r="F2175" s="597">
        <v>5000</v>
      </c>
      <c r="G2175" s="597">
        <v>15000</v>
      </c>
      <c r="H2175" s="592" t="s">
        <v>1397</v>
      </c>
    </row>
    <row r="2176" spans="1:8" ht="24.75" customHeight="1" x14ac:dyDescent="0.55000000000000004">
      <c r="A2176" s="592">
        <v>2175</v>
      </c>
      <c r="B2176" s="596" t="s">
        <v>7790</v>
      </c>
      <c r="C2176" s="592" t="s">
        <v>7791</v>
      </c>
      <c r="D2176" s="592">
        <v>2</v>
      </c>
      <c r="E2176" s="597">
        <v>2000</v>
      </c>
      <c r="F2176" s="597">
        <v>2000</v>
      </c>
      <c r="G2176" s="597">
        <v>2600</v>
      </c>
      <c r="H2176" s="592" t="s">
        <v>1397</v>
      </c>
    </row>
    <row r="2177" spans="1:8" ht="24.75" customHeight="1" x14ac:dyDescent="0.55000000000000004">
      <c r="A2177" s="592">
        <v>2176</v>
      </c>
      <c r="B2177" s="596" t="s">
        <v>7938</v>
      </c>
      <c r="C2177" s="592" t="s">
        <v>7939</v>
      </c>
      <c r="D2177" s="592">
        <v>11</v>
      </c>
      <c r="E2177" s="597">
        <v>1200</v>
      </c>
      <c r="F2177" s="597">
        <v>1200</v>
      </c>
      <c r="G2177" s="597">
        <v>4950</v>
      </c>
      <c r="H2177" s="592" t="s">
        <v>1397</v>
      </c>
    </row>
    <row r="2178" spans="1:8" ht="24.75" customHeight="1" x14ac:dyDescent="0.55000000000000004">
      <c r="A2178" s="592">
        <v>2177</v>
      </c>
      <c r="B2178" s="596" t="s">
        <v>8088</v>
      </c>
      <c r="C2178" s="592" t="s">
        <v>8089</v>
      </c>
      <c r="D2178" s="592">
        <v>2</v>
      </c>
      <c r="E2178" s="597">
        <v>8000</v>
      </c>
      <c r="F2178" s="597">
        <v>8000</v>
      </c>
      <c r="G2178" s="597">
        <v>14400</v>
      </c>
      <c r="H2178" s="592" t="s">
        <v>1397</v>
      </c>
    </row>
    <row r="2179" spans="1:8" ht="24.75" customHeight="1" x14ac:dyDescent="0.55000000000000004">
      <c r="A2179" s="592">
        <v>2178</v>
      </c>
      <c r="B2179" s="596" t="s">
        <v>8090</v>
      </c>
      <c r="C2179" s="592" t="s">
        <v>8091</v>
      </c>
      <c r="D2179" s="592">
        <v>3</v>
      </c>
      <c r="E2179" s="597">
        <v>16000</v>
      </c>
      <c r="F2179" s="597">
        <v>16000</v>
      </c>
      <c r="G2179" s="597">
        <v>36000</v>
      </c>
      <c r="H2179" s="592" t="s">
        <v>1397</v>
      </c>
    </row>
    <row r="2180" spans="1:8" ht="24.75" customHeight="1" x14ac:dyDescent="0.55000000000000004">
      <c r="A2180" s="592">
        <v>2179</v>
      </c>
      <c r="B2180" s="596" t="s">
        <v>8092</v>
      </c>
      <c r="C2180" s="592" t="s">
        <v>8093</v>
      </c>
      <c r="D2180" s="592">
        <v>3</v>
      </c>
      <c r="E2180" s="597">
        <v>6000</v>
      </c>
      <c r="F2180" s="597">
        <v>6000</v>
      </c>
      <c r="G2180" s="597">
        <v>12600</v>
      </c>
      <c r="H2180" s="592" t="s">
        <v>1397</v>
      </c>
    </row>
    <row r="2181" spans="1:8" ht="24.75" customHeight="1" x14ac:dyDescent="0.55000000000000004">
      <c r="A2181" s="592">
        <v>2180</v>
      </c>
      <c r="B2181" s="596" t="s">
        <v>4958</v>
      </c>
      <c r="C2181" s="592" t="s">
        <v>7792</v>
      </c>
      <c r="D2181" s="592">
        <v>7</v>
      </c>
      <c r="E2181" s="597">
        <v>1000</v>
      </c>
      <c r="F2181" s="597">
        <v>1000</v>
      </c>
      <c r="G2181" s="597">
        <v>4200</v>
      </c>
      <c r="H2181" s="592" t="s">
        <v>1397</v>
      </c>
    </row>
    <row r="2182" spans="1:8" ht="24.75" customHeight="1" x14ac:dyDescent="0.55000000000000004">
      <c r="A2182" s="592">
        <v>2181</v>
      </c>
      <c r="B2182" s="596" t="s">
        <v>8094</v>
      </c>
      <c r="C2182" s="592" t="s">
        <v>8287</v>
      </c>
      <c r="D2182" s="592">
        <v>1</v>
      </c>
      <c r="E2182" s="597">
        <v>155000</v>
      </c>
      <c r="F2182" s="597">
        <v>155000</v>
      </c>
      <c r="G2182" s="597">
        <v>130000</v>
      </c>
      <c r="H2182" s="592" t="s">
        <v>1397</v>
      </c>
    </row>
    <row r="2183" spans="1:8" ht="24.75" customHeight="1" x14ac:dyDescent="0.55000000000000004">
      <c r="A2183" s="592">
        <v>2182</v>
      </c>
      <c r="B2183" s="596" t="s">
        <v>7941</v>
      </c>
      <c r="C2183" s="592" t="s">
        <v>7370</v>
      </c>
      <c r="D2183" s="592">
        <v>1</v>
      </c>
      <c r="E2183" s="597">
        <v>15000</v>
      </c>
      <c r="F2183" s="597">
        <v>15000</v>
      </c>
      <c r="G2183" s="597">
        <v>11000</v>
      </c>
      <c r="H2183" s="592" t="s">
        <v>1397</v>
      </c>
    </row>
    <row r="2184" spans="1:8" ht="24.75" customHeight="1" x14ac:dyDescent="0.55000000000000004">
      <c r="A2184" s="592">
        <v>2183</v>
      </c>
      <c r="B2184" s="596" t="s">
        <v>8095</v>
      </c>
      <c r="C2184" s="592" t="s">
        <v>8096</v>
      </c>
      <c r="D2184" s="592">
        <v>4</v>
      </c>
      <c r="E2184" s="597">
        <v>2000</v>
      </c>
      <c r="F2184" s="597">
        <v>2000</v>
      </c>
      <c r="G2184" s="597">
        <v>4800</v>
      </c>
      <c r="H2184" s="592" t="s">
        <v>1397</v>
      </c>
    </row>
    <row r="2185" spans="1:8" ht="24.75" customHeight="1" x14ac:dyDescent="0.55000000000000004">
      <c r="A2185" s="592">
        <v>2184</v>
      </c>
      <c r="B2185" s="596" t="s">
        <v>7942</v>
      </c>
      <c r="C2185" s="592" t="s">
        <v>7943</v>
      </c>
      <c r="D2185" s="592">
        <v>2</v>
      </c>
      <c r="E2185" s="597">
        <v>6500</v>
      </c>
      <c r="F2185" s="597">
        <v>6500</v>
      </c>
      <c r="G2185" s="597">
        <v>10600</v>
      </c>
      <c r="H2185" s="592" t="s">
        <v>1397</v>
      </c>
    </row>
    <row r="2186" spans="1:8" ht="24.75" customHeight="1" x14ac:dyDescent="0.55000000000000004">
      <c r="A2186" s="592">
        <v>2185</v>
      </c>
      <c r="B2186" s="596" t="s">
        <v>7944</v>
      </c>
      <c r="C2186" s="592" t="s">
        <v>7945</v>
      </c>
      <c r="D2186" s="592">
        <v>2</v>
      </c>
      <c r="E2186" s="597">
        <v>7700</v>
      </c>
      <c r="F2186" s="597">
        <v>7700</v>
      </c>
      <c r="G2186" s="597">
        <v>11400</v>
      </c>
      <c r="H2186" s="592" t="s">
        <v>1397</v>
      </c>
    </row>
    <row r="2187" spans="1:8" ht="24.75" customHeight="1" x14ac:dyDescent="0.55000000000000004">
      <c r="A2187" s="592">
        <v>2186</v>
      </c>
      <c r="B2187" s="596" t="s">
        <v>8097</v>
      </c>
      <c r="C2187" s="592" t="s">
        <v>8098</v>
      </c>
      <c r="D2187" s="592">
        <v>3</v>
      </c>
      <c r="E2187" s="597">
        <v>2800</v>
      </c>
      <c r="F2187" s="597">
        <v>2800</v>
      </c>
      <c r="G2187" s="597">
        <v>4500</v>
      </c>
      <c r="H2187" s="592" t="s">
        <v>1397</v>
      </c>
    </row>
    <row r="2188" spans="1:8" ht="24.75" customHeight="1" x14ac:dyDescent="0.55000000000000004">
      <c r="A2188" s="592">
        <v>2187</v>
      </c>
      <c r="B2188" s="596" t="s">
        <v>8099</v>
      </c>
      <c r="C2188" s="592" t="s">
        <v>8100</v>
      </c>
      <c r="D2188" s="592">
        <v>2</v>
      </c>
      <c r="E2188" s="597">
        <v>2500</v>
      </c>
      <c r="F2188" s="597">
        <v>2500</v>
      </c>
      <c r="G2188" s="597">
        <v>2600</v>
      </c>
      <c r="H2188" s="592" t="s">
        <v>1397</v>
      </c>
    </row>
    <row r="2189" spans="1:8" ht="24.75" customHeight="1" x14ac:dyDescent="0.55000000000000004">
      <c r="A2189" s="592">
        <v>2188</v>
      </c>
      <c r="B2189" s="596" t="s">
        <v>7946</v>
      </c>
      <c r="C2189" s="592" t="s">
        <v>7947</v>
      </c>
      <c r="D2189" s="592">
        <v>44</v>
      </c>
      <c r="E2189" s="597">
        <v>300</v>
      </c>
      <c r="F2189" s="597">
        <v>300</v>
      </c>
      <c r="G2189" s="597">
        <v>8800</v>
      </c>
      <c r="H2189" s="592" t="s">
        <v>1397</v>
      </c>
    </row>
    <row r="2190" spans="1:8" ht="24.75" customHeight="1" x14ac:dyDescent="0.55000000000000004">
      <c r="A2190" s="592">
        <v>2189</v>
      </c>
      <c r="B2190" s="596" t="s">
        <v>7948</v>
      </c>
      <c r="C2190" s="592" t="s">
        <v>7949</v>
      </c>
      <c r="D2190" s="592">
        <v>1</v>
      </c>
      <c r="E2190" s="597">
        <v>5500</v>
      </c>
      <c r="F2190" s="597">
        <v>5500</v>
      </c>
      <c r="G2190" s="597">
        <v>3500</v>
      </c>
      <c r="H2190" s="592" t="s">
        <v>1397</v>
      </c>
    </row>
    <row r="2191" spans="1:8" ht="24.75" customHeight="1" x14ac:dyDescent="0.55000000000000004">
      <c r="A2191" s="592">
        <v>2190</v>
      </c>
      <c r="B2191" s="596" t="s">
        <v>8101</v>
      </c>
      <c r="C2191" s="592" t="s">
        <v>8102</v>
      </c>
      <c r="D2191" s="592">
        <v>2</v>
      </c>
      <c r="E2191" s="597">
        <v>6000</v>
      </c>
      <c r="F2191" s="597">
        <v>6000</v>
      </c>
      <c r="G2191" s="597">
        <v>8000</v>
      </c>
      <c r="H2191" s="592" t="s">
        <v>1397</v>
      </c>
    </row>
    <row r="2192" spans="1:8" ht="24.75" customHeight="1" x14ac:dyDescent="0.55000000000000004">
      <c r="A2192" s="592">
        <v>2191</v>
      </c>
      <c r="B2192" s="596" t="s">
        <v>1720</v>
      </c>
      <c r="C2192" s="592" t="s">
        <v>7424</v>
      </c>
      <c r="D2192" s="592">
        <v>30</v>
      </c>
      <c r="E2192" s="597">
        <v>500</v>
      </c>
      <c r="F2192" s="597">
        <v>500</v>
      </c>
      <c r="G2192" s="597">
        <v>5340</v>
      </c>
      <c r="H2192" s="592" t="s">
        <v>1397</v>
      </c>
    </row>
    <row r="2193" spans="1:8" ht="24.75" customHeight="1" x14ac:dyDescent="0.55000000000000004">
      <c r="A2193" s="592">
        <v>2192</v>
      </c>
      <c r="B2193" s="596" t="s">
        <v>1721</v>
      </c>
      <c r="C2193" s="592" t="s">
        <v>7425</v>
      </c>
      <c r="D2193" s="592">
        <v>10</v>
      </c>
      <c r="E2193" s="597">
        <v>700</v>
      </c>
      <c r="F2193" s="597">
        <v>700</v>
      </c>
      <c r="G2193" s="597">
        <v>3500</v>
      </c>
      <c r="H2193" s="592" t="s">
        <v>1397</v>
      </c>
    </row>
    <row r="2194" spans="1:8" ht="24.75" customHeight="1" x14ac:dyDescent="0.55000000000000004">
      <c r="A2194" s="592">
        <v>2193</v>
      </c>
      <c r="B2194" s="596" t="s">
        <v>8103</v>
      </c>
      <c r="C2194" s="592" t="s">
        <v>8104</v>
      </c>
      <c r="D2194" s="592">
        <v>3</v>
      </c>
      <c r="E2194" s="597">
        <v>1500</v>
      </c>
      <c r="F2194" s="597">
        <v>1500</v>
      </c>
      <c r="G2194" s="597">
        <v>3000</v>
      </c>
      <c r="H2194" s="592" t="s">
        <v>1397</v>
      </c>
    </row>
    <row r="2195" spans="1:8" ht="24.75" customHeight="1" x14ac:dyDescent="0.55000000000000004">
      <c r="A2195" s="592">
        <v>2194</v>
      </c>
      <c r="B2195" s="596" t="s">
        <v>8105</v>
      </c>
      <c r="C2195" s="592" t="s">
        <v>8106</v>
      </c>
      <c r="D2195" s="592">
        <v>3</v>
      </c>
      <c r="E2195" s="597">
        <v>2200</v>
      </c>
      <c r="F2195" s="597">
        <v>2200</v>
      </c>
      <c r="G2195" s="597">
        <v>4500</v>
      </c>
      <c r="H2195" s="592" t="s">
        <v>1397</v>
      </c>
    </row>
    <row r="2196" spans="1:8" ht="24.75" customHeight="1" x14ac:dyDescent="0.55000000000000004">
      <c r="A2196" s="592">
        <v>2195</v>
      </c>
      <c r="B2196" s="596" t="s">
        <v>8107</v>
      </c>
      <c r="C2196" s="592" t="s">
        <v>8108</v>
      </c>
      <c r="D2196" s="592">
        <v>2</v>
      </c>
      <c r="E2196" s="597">
        <v>2200</v>
      </c>
      <c r="F2196" s="597">
        <v>2200</v>
      </c>
      <c r="G2196" s="597">
        <v>3000</v>
      </c>
      <c r="H2196" s="592" t="s">
        <v>1397</v>
      </c>
    </row>
    <row r="2197" spans="1:8" ht="24.75" customHeight="1" x14ac:dyDescent="0.55000000000000004">
      <c r="A2197" s="592">
        <v>2196</v>
      </c>
      <c r="B2197" s="596" t="s">
        <v>8109</v>
      </c>
      <c r="C2197" s="592" t="s">
        <v>8110</v>
      </c>
      <c r="D2197" s="592">
        <v>2</v>
      </c>
      <c r="E2197" s="597">
        <v>3500</v>
      </c>
      <c r="F2197" s="597">
        <v>3500</v>
      </c>
      <c r="G2197" s="597">
        <v>5400</v>
      </c>
      <c r="H2197" s="592" t="s">
        <v>1397</v>
      </c>
    </row>
    <row r="2198" spans="1:8" ht="24.75" customHeight="1" x14ac:dyDescent="0.55000000000000004">
      <c r="A2198" s="592">
        <v>2197</v>
      </c>
      <c r="B2198" s="596" t="s">
        <v>8111</v>
      </c>
      <c r="C2198" s="592" t="s">
        <v>4617</v>
      </c>
      <c r="D2198" s="592">
        <v>2</v>
      </c>
      <c r="E2198" s="597">
        <v>4000</v>
      </c>
      <c r="F2198" s="597">
        <v>4000</v>
      </c>
      <c r="G2198" s="597">
        <v>5600</v>
      </c>
      <c r="H2198" s="592" t="s">
        <v>1397</v>
      </c>
    </row>
    <row r="2199" spans="1:8" ht="24.75" customHeight="1" x14ac:dyDescent="0.55000000000000004">
      <c r="A2199" s="592">
        <v>2198</v>
      </c>
      <c r="B2199" s="596" t="s">
        <v>8112</v>
      </c>
      <c r="C2199" s="592" t="s">
        <v>8113</v>
      </c>
      <c r="D2199" s="592">
        <v>5</v>
      </c>
      <c r="E2199" s="597">
        <v>9000</v>
      </c>
      <c r="F2199" s="597">
        <v>9000</v>
      </c>
      <c r="G2199" s="597">
        <v>37500</v>
      </c>
      <c r="H2199" s="592" t="s">
        <v>1397</v>
      </c>
    </row>
    <row r="2200" spans="1:8" ht="24.75" customHeight="1" x14ac:dyDescent="0.55000000000000004">
      <c r="A2200" s="592">
        <v>2199</v>
      </c>
      <c r="B2200" s="596" t="s">
        <v>7950</v>
      </c>
      <c r="C2200" s="592" t="s">
        <v>7951</v>
      </c>
      <c r="D2200" s="592">
        <v>1</v>
      </c>
      <c r="E2200" s="597">
        <v>4500</v>
      </c>
      <c r="F2200" s="597">
        <v>4500</v>
      </c>
      <c r="G2200" s="597">
        <v>3000</v>
      </c>
      <c r="H2200" s="592" t="s">
        <v>1397</v>
      </c>
    </row>
    <row r="2201" spans="1:8" ht="24.75" customHeight="1" x14ac:dyDescent="0.55000000000000004">
      <c r="A2201" s="592">
        <v>2200</v>
      </c>
      <c r="B2201" s="596" t="s">
        <v>8114</v>
      </c>
      <c r="C2201" s="592" t="s">
        <v>8115</v>
      </c>
      <c r="D2201" s="592">
        <v>15</v>
      </c>
      <c r="E2201" s="597">
        <v>800</v>
      </c>
      <c r="F2201" s="597">
        <v>800</v>
      </c>
      <c r="G2201" s="597">
        <v>9000</v>
      </c>
      <c r="H2201" s="592" t="s">
        <v>1397</v>
      </c>
    </row>
    <row r="2202" spans="1:8" ht="24.75" customHeight="1" x14ac:dyDescent="0.55000000000000004">
      <c r="A2202" s="592">
        <v>2201</v>
      </c>
      <c r="B2202" s="596" t="s">
        <v>7952</v>
      </c>
      <c r="C2202" s="592" t="s">
        <v>7953</v>
      </c>
      <c r="D2202" s="592">
        <v>8</v>
      </c>
      <c r="E2202" s="597">
        <v>1800</v>
      </c>
      <c r="F2202" s="597">
        <v>1800</v>
      </c>
      <c r="G2202" s="597">
        <v>10000</v>
      </c>
      <c r="H2202" s="592" t="s">
        <v>1397</v>
      </c>
    </row>
    <row r="2203" spans="1:8" ht="24.75" customHeight="1" x14ac:dyDescent="0.55000000000000004">
      <c r="A2203" s="592">
        <v>2202</v>
      </c>
      <c r="B2203" s="596" t="s">
        <v>8116</v>
      </c>
      <c r="C2203" s="592" t="s">
        <v>8432</v>
      </c>
      <c r="D2203" s="592">
        <v>2</v>
      </c>
      <c r="E2203" s="597">
        <v>8000</v>
      </c>
      <c r="F2203" s="597">
        <v>8000</v>
      </c>
      <c r="G2203" s="597">
        <v>12000</v>
      </c>
      <c r="H2203" s="592" t="s">
        <v>1397</v>
      </c>
    </row>
    <row r="2204" spans="1:8" ht="24.75" customHeight="1" x14ac:dyDescent="0.55000000000000004">
      <c r="A2204" s="592">
        <v>2203</v>
      </c>
      <c r="B2204" s="596" t="s">
        <v>7954</v>
      </c>
      <c r="C2204" s="592" t="s">
        <v>7955</v>
      </c>
      <c r="D2204" s="592">
        <v>2</v>
      </c>
      <c r="E2204" s="597">
        <v>5000</v>
      </c>
      <c r="F2204" s="597">
        <v>5000</v>
      </c>
      <c r="G2204" s="597">
        <v>6000</v>
      </c>
      <c r="H2204" s="592" t="s">
        <v>1397</v>
      </c>
    </row>
    <row r="2205" spans="1:8" ht="24.75" customHeight="1" x14ac:dyDescent="0.55000000000000004">
      <c r="A2205" s="592">
        <v>2204</v>
      </c>
      <c r="B2205" s="596" t="s">
        <v>8119</v>
      </c>
      <c r="C2205" s="592" t="s">
        <v>8120</v>
      </c>
      <c r="D2205" s="592">
        <v>1</v>
      </c>
      <c r="E2205" s="597">
        <v>21500</v>
      </c>
      <c r="F2205" s="597">
        <v>21500</v>
      </c>
      <c r="G2205" s="597">
        <v>16500</v>
      </c>
      <c r="H2205" s="592" t="s">
        <v>1397</v>
      </c>
    </row>
    <row r="2206" spans="1:8" ht="24.75" customHeight="1" x14ac:dyDescent="0.55000000000000004">
      <c r="A2206" s="592">
        <v>2205</v>
      </c>
      <c r="B2206" s="596" t="s">
        <v>8121</v>
      </c>
      <c r="C2206" s="592" t="s">
        <v>8122</v>
      </c>
      <c r="D2206" s="592">
        <v>2</v>
      </c>
      <c r="E2206" s="597">
        <v>2500</v>
      </c>
      <c r="F2206" s="597">
        <v>2500</v>
      </c>
      <c r="G2206" s="597">
        <v>2300</v>
      </c>
      <c r="H2206" s="592" t="s">
        <v>1397</v>
      </c>
    </row>
    <row r="2207" spans="1:8" ht="24.75" customHeight="1" x14ac:dyDescent="0.55000000000000004">
      <c r="A2207" s="592">
        <v>2206</v>
      </c>
      <c r="B2207" s="596" t="s">
        <v>8123</v>
      </c>
      <c r="C2207" s="592" t="s">
        <v>8124</v>
      </c>
      <c r="D2207" s="592">
        <v>2</v>
      </c>
      <c r="E2207" s="597">
        <v>2000</v>
      </c>
      <c r="F2207" s="597">
        <v>2000</v>
      </c>
      <c r="G2207" s="597">
        <v>1700</v>
      </c>
      <c r="H2207" s="592" t="s">
        <v>1397</v>
      </c>
    </row>
    <row r="2208" spans="1:8" ht="24.75" customHeight="1" x14ac:dyDescent="0.55000000000000004">
      <c r="A2208" s="592">
        <v>2207</v>
      </c>
      <c r="B2208" s="596" t="s">
        <v>8125</v>
      </c>
      <c r="C2208" s="592" t="s">
        <v>8126</v>
      </c>
      <c r="D2208" s="592">
        <v>2</v>
      </c>
      <c r="E2208" s="597">
        <v>2000</v>
      </c>
      <c r="F2208" s="597">
        <v>2000</v>
      </c>
      <c r="G2208" s="597">
        <v>2300</v>
      </c>
      <c r="H2208" s="592" t="s">
        <v>1397</v>
      </c>
    </row>
    <row r="2209" spans="1:8" ht="24.75" customHeight="1" x14ac:dyDescent="0.55000000000000004">
      <c r="A2209" s="592">
        <v>2208</v>
      </c>
      <c r="B2209" s="596" t="s">
        <v>8127</v>
      </c>
      <c r="C2209" s="592" t="s">
        <v>8128</v>
      </c>
      <c r="D2209" s="592">
        <v>2</v>
      </c>
      <c r="E2209" s="597">
        <v>2500</v>
      </c>
      <c r="F2209" s="597">
        <v>2500</v>
      </c>
      <c r="G2209" s="597">
        <v>2600</v>
      </c>
      <c r="H2209" s="592" t="s">
        <v>1397</v>
      </c>
    </row>
    <row r="2210" spans="1:8" ht="24.75" customHeight="1" x14ac:dyDescent="0.55000000000000004">
      <c r="A2210" s="592">
        <v>2209</v>
      </c>
      <c r="B2210" s="596" t="s">
        <v>7956</v>
      </c>
      <c r="C2210" s="592" t="s">
        <v>7957</v>
      </c>
      <c r="D2210" s="592">
        <v>2</v>
      </c>
      <c r="E2210" s="597">
        <v>18000</v>
      </c>
      <c r="F2210" s="597">
        <v>18000</v>
      </c>
      <c r="G2210" s="597">
        <v>26000</v>
      </c>
      <c r="H2210" s="592" t="s">
        <v>1397</v>
      </c>
    </row>
    <row r="2211" spans="1:8" ht="24.75" customHeight="1" x14ac:dyDescent="0.55000000000000004">
      <c r="A2211" s="592">
        <v>2210</v>
      </c>
      <c r="B2211" s="596" t="s">
        <v>7958</v>
      </c>
      <c r="C2211" s="592" t="s">
        <v>7959</v>
      </c>
      <c r="D2211" s="592">
        <v>1</v>
      </c>
      <c r="E2211" s="597">
        <v>7500</v>
      </c>
      <c r="F2211" s="597">
        <v>7500</v>
      </c>
      <c r="G2211" s="597">
        <v>5000</v>
      </c>
      <c r="H2211" s="592" t="s">
        <v>1397</v>
      </c>
    </row>
    <row r="2212" spans="1:8" ht="24.75" customHeight="1" x14ac:dyDescent="0.55000000000000004">
      <c r="A2212" s="592">
        <v>2211</v>
      </c>
      <c r="B2212" s="596" t="s">
        <v>8804</v>
      </c>
      <c r="C2212" s="592" t="s">
        <v>8805</v>
      </c>
      <c r="D2212" s="592">
        <v>1</v>
      </c>
      <c r="E2212" s="597">
        <v>140000</v>
      </c>
      <c r="F2212" s="597">
        <v>140000</v>
      </c>
      <c r="G2212" s="597">
        <v>106000</v>
      </c>
      <c r="H2212" s="592" t="s">
        <v>1397</v>
      </c>
    </row>
    <row r="2213" spans="1:8" ht="24.75" customHeight="1" x14ac:dyDescent="0.55000000000000004">
      <c r="A2213" s="592">
        <v>2212</v>
      </c>
      <c r="B2213" s="596" t="s">
        <v>8129</v>
      </c>
      <c r="C2213" s="592" t="s">
        <v>8130</v>
      </c>
      <c r="D2213" s="592">
        <v>1</v>
      </c>
      <c r="E2213" s="597">
        <v>9000</v>
      </c>
      <c r="F2213" s="597">
        <v>9000</v>
      </c>
      <c r="G2213" s="597">
        <v>6800</v>
      </c>
      <c r="H2213" s="592" t="s">
        <v>1397</v>
      </c>
    </row>
    <row r="2214" spans="1:8" ht="24.75" customHeight="1" x14ac:dyDescent="0.55000000000000004">
      <c r="A2214" s="592">
        <v>2213</v>
      </c>
      <c r="B2214" s="596" t="s">
        <v>7960</v>
      </c>
      <c r="C2214" s="592" t="s">
        <v>7961</v>
      </c>
      <c r="D2214" s="592">
        <v>1</v>
      </c>
      <c r="E2214" s="597">
        <v>700</v>
      </c>
      <c r="F2214" s="597">
        <v>700</v>
      </c>
      <c r="G2214" s="597">
        <v>500</v>
      </c>
      <c r="H2214" s="592" t="s">
        <v>1397</v>
      </c>
    </row>
    <row r="2215" spans="1:8" ht="24.75" customHeight="1" x14ac:dyDescent="0.55000000000000004">
      <c r="A2215" s="592">
        <v>2214</v>
      </c>
      <c r="B2215" s="596" t="s">
        <v>8131</v>
      </c>
      <c r="C2215" s="592" t="s">
        <v>8132</v>
      </c>
      <c r="D2215" s="592">
        <v>2</v>
      </c>
      <c r="E2215" s="597">
        <v>10000</v>
      </c>
      <c r="F2215" s="597">
        <v>10000</v>
      </c>
      <c r="G2215" s="597">
        <v>14000</v>
      </c>
      <c r="H2215" s="592" t="s">
        <v>1397</v>
      </c>
    </row>
    <row r="2216" spans="1:8" ht="24.75" customHeight="1" x14ac:dyDescent="0.55000000000000004">
      <c r="A2216" s="592">
        <v>2215</v>
      </c>
      <c r="B2216" s="596" t="s">
        <v>8133</v>
      </c>
      <c r="C2216" s="592" t="s">
        <v>8134</v>
      </c>
      <c r="D2216" s="592">
        <v>1</v>
      </c>
      <c r="E2216" s="597">
        <v>32000</v>
      </c>
      <c r="F2216" s="597">
        <v>32000</v>
      </c>
      <c r="G2216" s="597">
        <v>26000</v>
      </c>
      <c r="H2216" s="592" t="s">
        <v>1397</v>
      </c>
    </row>
    <row r="2217" spans="1:8" ht="24.75" customHeight="1" x14ac:dyDescent="0.55000000000000004">
      <c r="A2217" s="592">
        <v>2216</v>
      </c>
      <c r="B2217" s="596" t="s">
        <v>8135</v>
      </c>
      <c r="C2217" s="592" t="s">
        <v>8136</v>
      </c>
      <c r="D2217" s="592">
        <v>1</v>
      </c>
      <c r="E2217" s="597">
        <v>16000</v>
      </c>
      <c r="F2217" s="597">
        <v>16000</v>
      </c>
      <c r="G2217" s="597">
        <v>11500</v>
      </c>
      <c r="H2217" s="592" t="s">
        <v>1397</v>
      </c>
    </row>
    <row r="2218" spans="1:8" ht="24.75" customHeight="1" x14ac:dyDescent="0.55000000000000004">
      <c r="A2218" s="592">
        <v>2217</v>
      </c>
      <c r="B2218" s="596" t="s">
        <v>8137</v>
      </c>
      <c r="C2218" s="592" t="s">
        <v>8138</v>
      </c>
      <c r="D2218" s="592">
        <v>1</v>
      </c>
      <c r="E2218" s="597">
        <v>7000</v>
      </c>
      <c r="F2218" s="597">
        <v>7000</v>
      </c>
      <c r="G2218" s="597">
        <v>5000</v>
      </c>
      <c r="H2218" s="592" t="s">
        <v>1397</v>
      </c>
    </row>
    <row r="2219" spans="1:8" ht="24.75" customHeight="1" x14ac:dyDescent="0.55000000000000004">
      <c r="A2219" s="592">
        <v>2218</v>
      </c>
      <c r="B2219" s="596" t="s">
        <v>8139</v>
      </c>
      <c r="C2219" s="592" t="s">
        <v>8140</v>
      </c>
      <c r="D2219" s="592">
        <v>3</v>
      </c>
      <c r="E2219" s="597">
        <v>6000</v>
      </c>
      <c r="F2219" s="597">
        <v>6000</v>
      </c>
      <c r="G2219" s="597">
        <v>12000</v>
      </c>
      <c r="H2219" s="592" t="s">
        <v>1397</v>
      </c>
    </row>
    <row r="2220" spans="1:8" ht="24.75" customHeight="1" x14ac:dyDescent="0.55000000000000004">
      <c r="A2220" s="592">
        <v>2219</v>
      </c>
      <c r="B2220" s="596" t="s">
        <v>8141</v>
      </c>
      <c r="C2220" s="592" t="s">
        <v>8142</v>
      </c>
      <c r="D2220" s="592">
        <v>1</v>
      </c>
      <c r="E2220" s="597">
        <v>7500</v>
      </c>
      <c r="F2220" s="597">
        <v>7500</v>
      </c>
      <c r="G2220" s="597">
        <v>5500</v>
      </c>
      <c r="H2220" s="592" t="s">
        <v>1397</v>
      </c>
    </row>
    <row r="2221" spans="1:8" ht="24.75" customHeight="1" x14ac:dyDescent="0.55000000000000004">
      <c r="A2221" s="592">
        <v>2220</v>
      </c>
      <c r="B2221" s="596" t="s">
        <v>8143</v>
      </c>
      <c r="C2221" s="592" t="s">
        <v>8144</v>
      </c>
      <c r="D2221" s="592">
        <v>2</v>
      </c>
      <c r="E2221" s="597">
        <v>9500</v>
      </c>
      <c r="F2221" s="597">
        <v>9500</v>
      </c>
      <c r="G2221" s="597">
        <v>14000</v>
      </c>
      <c r="H2221" s="592" t="s">
        <v>1397</v>
      </c>
    </row>
    <row r="2222" spans="1:8" ht="24.75" customHeight="1" x14ac:dyDescent="0.55000000000000004">
      <c r="A2222" s="592">
        <v>2221</v>
      </c>
      <c r="B2222" s="596" t="s">
        <v>8145</v>
      </c>
      <c r="C2222" s="592" t="s">
        <v>7761</v>
      </c>
      <c r="D2222" s="592">
        <v>2</v>
      </c>
      <c r="E2222" s="597">
        <v>2500</v>
      </c>
      <c r="F2222" s="597">
        <v>2500</v>
      </c>
      <c r="G2222" s="597">
        <v>3600</v>
      </c>
      <c r="H2222" s="592" t="s">
        <v>1397</v>
      </c>
    </row>
    <row r="2223" spans="1:8" ht="24.75" customHeight="1" x14ac:dyDescent="0.55000000000000004">
      <c r="A2223" s="592">
        <v>2222</v>
      </c>
      <c r="B2223" s="596" t="s">
        <v>8146</v>
      </c>
      <c r="C2223" s="592" t="s">
        <v>8147</v>
      </c>
      <c r="D2223" s="592">
        <v>2</v>
      </c>
      <c r="E2223" s="597">
        <v>1500</v>
      </c>
      <c r="F2223" s="597">
        <v>1500</v>
      </c>
      <c r="G2223" s="597">
        <v>2000</v>
      </c>
      <c r="H2223" s="592" t="s">
        <v>1397</v>
      </c>
    </row>
    <row r="2224" spans="1:8" ht="24.75" customHeight="1" x14ac:dyDescent="0.55000000000000004">
      <c r="A2224" s="592">
        <v>2223</v>
      </c>
      <c r="B2224" s="596" t="s">
        <v>8148</v>
      </c>
      <c r="C2224" s="592" t="s">
        <v>8149</v>
      </c>
      <c r="D2224" s="592">
        <v>5</v>
      </c>
      <c r="E2224" s="597">
        <v>2500</v>
      </c>
      <c r="F2224" s="597">
        <v>2500</v>
      </c>
      <c r="G2224" s="597">
        <v>8000</v>
      </c>
      <c r="H2224" s="592" t="s">
        <v>1397</v>
      </c>
    </row>
    <row r="2225" spans="1:8" ht="24.75" customHeight="1" x14ac:dyDescent="0.55000000000000004">
      <c r="A2225" s="592">
        <v>2224</v>
      </c>
      <c r="B2225" s="596" t="s">
        <v>8150</v>
      </c>
      <c r="C2225" s="592" t="s">
        <v>8151</v>
      </c>
      <c r="D2225" s="592">
        <v>5</v>
      </c>
      <c r="E2225" s="597">
        <v>1500</v>
      </c>
      <c r="F2225" s="597">
        <v>1500</v>
      </c>
      <c r="G2225" s="597">
        <v>4000</v>
      </c>
      <c r="H2225" s="592" t="s">
        <v>1397</v>
      </c>
    </row>
    <row r="2226" spans="1:8" ht="24.75" customHeight="1" x14ac:dyDescent="0.55000000000000004">
      <c r="A2226" s="592">
        <v>2225</v>
      </c>
      <c r="B2226" s="596" t="s">
        <v>8152</v>
      </c>
      <c r="C2226" s="592" t="s">
        <v>8605</v>
      </c>
      <c r="D2226" s="592">
        <v>1</v>
      </c>
      <c r="E2226" s="597">
        <v>105000</v>
      </c>
      <c r="F2226" s="597">
        <v>105000</v>
      </c>
      <c r="G2226" s="597">
        <v>92000</v>
      </c>
      <c r="H2226" s="592" t="s">
        <v>1397</v>
      </c>
    </row>
    <row r="2227" spans="1:8" ht="24.75" customHeight="1" x14ac:dyDescent="0.55000000000000004">
      <c r="A2227" s="592">
        <v>2226</v>
      </c>
      <c r="B2227" s="596" t="s">
        <v>8153</v>
      </c>
      <c r="C2227" s="592" t="s">
        <v>8154</v>
      </c>
      <c r="D2227" s="592">
        <v>4</v>
      </c>
      <c r="E2227" s="597">
        <v>1500</v>
      </c>
      <c r="F2227" s="597">
        <v>1500</v>
      </c>
      <c r="G2227" s="597">
        <v>4000</v>
      </c>
      <c r="H2227" s="592" t="s">
        <v>1397</v>
      </c>
    </row>
    <row r="2228" spans="1:8" ht="24.75" customHeight="1" x14ac:dyDescent="0.55000000000000004">
      <c r="A2228" s="592">
        <v>2227</v>
      </c>
      <c r="B2228" s="596" t="s">
        <v>8155</v>
      </c>
      <c r="C2228" s="592" t="s">
        <v>8156</v>
      </c>
      <c r="D2228" s="592">
        <v>3</v>
      </c>
      <c r="E2228" s="597">
        <v>3500</v>
      </c>
      <c r="F2228" s="597">
        <v>3500</v>
      </c>
      <c r="G2228" s="597">
        <v>7500</v>
      </c>
      <c r="H2228" s="592" t="s">
        <v>1397</v>
      </c>
    </row>
    <row r="2229" spans="1:8" ht="24.75" customHeight="1" x14ac:dyDescent="0.55000000000000004">
      <c r="A2229" s="592">
        <v>2228</v>
      </c>
      <c r="B2229" s="596" t="s">
        <v>8157</v>
      </c>
      <c r="C2229" s="592" t="s">
        <v>8158</v>
      </c>
      <c r="D2229" s="592">
        <v>5</v>
      </c>
      <c r="E2229" s="597">
        <v>2500</v>
      </c>
      <c r="F2229" s="597">
        <v>2500</v>
      </c>
      <c r="G2229" s="597">
        <v>7500</v>
      </c>
      <c r="H2229" s="592" t="s">
        <v>1397</v>
      </c>
    </row>
    <row r="2230" spans="1:8" ht="24.75" customHeight="1" x14ac:dyDescent="0.55000000000000004">
      <c r="A2230" s="592">
        <v>2229</v>
      </c>
      <c r="B2230" s="596" t="s">
        <v>8159</v>
      </c>
      <c r="C2230" s="592" t="s">
        <v>8160</v>
      </c>
      <c r="D2230" s="592">
        <v>5</v>
      </c>
      <c r="E2230" s="597">
        <v>2500</v>
      </c>
      <c r="F2230" s="597">
        <v>2500</v>
      </c>
      <c r="G2230" s="597">
        <v>7500</v>
      </c>
      <c r="H2230" s="592" t="s">
        <v>1397</v>
      </c>
    </row>
    <row r="2231" spans="1:8" ht="24.75" customHeight="1" x14ac:dyDescent="0.55000000000000004">
      <c r="A2231" s="592">
        <v>2230</v>
      </c>
      <c r="B2231" s="596" t="s">
        <v>8161</v>
      </c>
      <c r="C2231" s="592" t="s">
        <v>8288</v>
      </c>
      <c r="D2231" s="592">
        <v>6</v>
      </c>
      <c r="E2231" s="597">
        <v>700</v>
      </c>
      <c r="F2231" s="597">
        <v>700</v>
      </c>
      <c r="G2231" s="597">
        <v>1800</v>
      </c>
      <c r="H2231" s="592" t="s">
        <v>1397</v>
      </c>
    </row>
    <row r="2232" spans="1:8" ht="24.75" customHeight="1" x14ac:dyDescent="0.55000000000000004">
      <c r="A2232" s="592">
        <v>2231</v>
      </c>
      <c r="B2232" s="596" t="s">
        <v>8162</v>
      </c>
      <c r="C2232" s="592" t="s">
        <v>8806</v>
      </c>
      <c r="D2232" s="592">
        <v>4</v>
      </c>
      <c r="E2232" s="597">
        <v>1000</v>
      </c>
      <c r="F2232" s="597">
        <v>1000</v>
      </c>
      <c r="G2232" s="597">
        <v>1200</v>
      </c>
      <c r="H2232" s="592" t="s">
        <v>1397</v>
      </c>
    </row>
    <row r="2233" spans="1:8" ht="24.75" customHeight="1" x14ac:dyDescent="0.55000000000000004">
      <c r="A2233" s="592">
        <v>2232</v>
      </c>
      <c r="B2233" s="596" t="s">
        <v>8433</v>
      </c>
      <c r="C2233" s="592" t="s">
        <v>8434</v>
      </c>
      <c r="D2233" s="592">
        <v>4</v>
      </c>
      <c r="E2233" s="597">
        <v>3000</v>
      </c>
      <c r="F2233" s="597">
        <v>3000</v>
      </c>
      <c r="G2233" s="597">
        <v>9200</v>
      </c>
      <c r="H2233" s="592" t="s">
        <v>1397</v>
      </c>
    </row>
    <row r="2234" spans="1:8" ht="24.75" customHeight="1" x14ac:dyDescent="0.55000000000000004">
      <c r="A2234" s="592">
        <v>2233</v>
      </c>
      <c r="B2234" s="596" t="s">
        <v>8435</v>
      </c>
      <c r="C2234" s="592" t="s">
        <v>8436</v>
      </c>
      <c r="D2234" s="592">
        <v>1</v>
      </c>
      <c r="E2234" s="597">
        <v>39000</v>
      </c>
      <c r="F2234" s="597">
        <v>39000</v>
      </c>
      <c r="G2234" s="597">
        <v>30000</v>
      </c>
      <c r="H2234" s="592" t="s">
        <v>1397</v>
      </c>
    </row>
    <row r="2235" spans="1:8" ht="24.75" customHeight="1" x14ac:dyDescent="0.55000000000000004">
      <c r="A2235" s="592">
        <v>2234</v>
      </c>
      <c r="B2235" s="596" t="s">
        <v>8289</v>
      </c>
      <c r="C2235" s="592" t="s">
        <v>8290</v>
      </c>
      <c r="D2235" s="592">
        <v>1</v>
      </c>
      <c r="E2235" s="597">
        <v>25000</v>
      </c>
      <c r="F2235" s="597">
        <v>25000</v>
      </c>
      <c r="G2235" s="597">
        <v>20000</v>
      </c>
      <c r="H2235" s="592" t="s">
        <v>1397</v>
      </c>
    </row>
    <row r="2236" spans="1:8" ht="24.75" customHeight="1" x14ac:dyDescent="0.55000000000000004">
      <c r="A2236" s="592">
        <v>2235</v>
      </c>
      <c r="B2236" s="596" t="s">
        <v>8437</v>
      </c>
      <c r="C2236" s="592" t="s">
        <v>8438</v>
      </c>
      <c r="D2236" s="592">
        <v>10</v>
      </c>
      <c r="E2236" s="597">
        <v>700</v>
      </c>
      <c r="F2236" s="597">
        <v>700</v>
      </c>
      <c r="G2236" s="597">
        <v>4000</v>
      </c>
      <c r="H2236" s="592" t="s">
        <v>1397</v>
      </c>
    </row>
    <row r="2237" spans="1:8" ht="24.75" customHeight="1" x14ac:dyDescent="0.55000000000000004">
      <c r="A2237" s="592">
        <v>2236</v>
      </c>
      <c r="B2237" s="596" t="s">
        <v>8291</v>
      </c>
      <c r="C2237" s="592" t="s">
        <v>8292</v>
      </c>
      <c r="D2237" s="592">
        <v>7</v>
      </c>
      <c r="E2237" s="597">
        <v>8000</v>
      </c>
      <c r="F2237" s="597">
        <v>8000</v>
      </c>
      <c r="G2237" s="597">
        <v>48300</v>
      </c>
      <c r="H2237" s="592" t="s">
        <v>1397</v>
      </c>
    </row>
    <row r="2238" spans="1:8" ht="24.75" customHeight="1" x14ac:dyDescent="0.55000000000000004">
      <c r="A2238" s="592">
        <v>2237</v>
      </c>
      <c r="B2238" s="596" t="s">
        <v>6750</v>
      </c>
      <c r="C2238" s="592" t="s">
        <v>6751</v>
      </c>
      <c r="D2238" s="592">
        <v>7</v>
      </c>
      <c r="E2238" s="597">
        <v>2000</v>
      </c>
      <c r="F2238" s="597">
        <v>2000</v>
      </c>
      <c r="G2238" s="597">
        <v>5950</v>
      </c>
      <c r="H2238" s="592" t="s">
        <v>1397</v>
      </c>
    </row>
    <row r="2239" spans="1:8" ht="24.75" customHeight="1" x14ac:dyDescent="0.55000000000000004">
      <c r="A2239" s="592">
        <v>2238</v>
      </c>
      <c r="B2239" s="596" t="s">
        <v>8293</v>
      </c>
      <c r="C2239" s="592" t="s">
        <v>8294</v>
      </c>
      <c r="D2239" s="592">
        <v>1</v>
      </c>
      <c r="E2239" s="597">
        <v>8000</v>
      </c>
      <c r="F2239" s="597">
        <v>8000</v>
      </c>
      <c r="G2239" s="597">
        <v>5500</v>
      </c>
      <c r="H2239" s="592" t="s">
        <v>1397</v>
      </c>
    </row>
    <row r="2240" spans="1:8" ht="24.75" customHeight="1" x14ac:dyDescent="0.55000000000000004">
      <c r="A2240" s="592">
        <v>2239</v>
      </c>
      <c r="B2240" s="596" t="s">
        <v>8439</v>
      </c>
      <c r="C2240" s="592" t="s">
        <v>8440</v>
      </c>
      <c r="D2240" s="592">
        <v>4</v>
      </c>
      <c r="E2240" s="597">
        <v>19000</v>
      </c>
      <c r="F2240" s="597">
        <v>19000</v>
      </c>
      <c r="G2240" s="597">
        <v>60000</v>
      </c>
      <c r="H2240" s="592" t="s">
        <v>1397</v>
      </c>
    </row>
    <row r="2241" spans="1:8" ht="24.75" customHeight="1" x14ac:dyDescent="0.55000000000000004">
      <c r="A2241" s="592">
        <v>2240</v>
      </c>
      <c r="B2241" s="596" t="s">
        <v>8441</v>
      </c>
      <c r="C2241" s="592" t="s">
        <v>8442</v>
      </c>
      <c r="D2241" s="592">
        <v>2</v>
      </c>
      <c r="E2241" s="597">
        <v>8000</v>
      </c>
      <c r="F2241" s="597">
        <v>8000</v>
      </c>
      <c r="G2241" s="597">
        <v>11000</v>
      </c>
      <c r="H2241" s="592" t="s">
        <v>1397</v>
      </c>
    </row>
    <row r="2242" spans="1:8" ht="24.75" customHeight="1" x14ac:dyDescent="0.55000000000000004">
      <c r="A2242" s="592">
        <v>2241</v>
      </c>
      <c r="B2242" s="596" t="s">
        <v>8443</v>
      </c>
      <c r="C2242" s="592" t="s">
        <v>8444</v>
      </c>
      <c r="D2242" s="592">
        <v>2</v>
      </c>
      <c r="E2242" s="597">
        <v>5500</v>
      </c>
      <c r="F2242" s="597">
        <v>5500</v>
      </c>
      <c r="G2242" s="597">
        <v>7000</v>
      </c>
      <c r="H2242" s="592" t="s">
        <v>1397</v>
      </c>
    </row>
    <row r="2243" spans="1:8" ht="24.75" customHeight="1" x14ac:dyDescent="0.55000000000000004">
      <c r="A2243" s="592">
        <v>2242</v>
      </c>
      <c r="B2243" s="596" t="s">
        <v>8295</v>
      </c>
      <c r="C2243" s="592" t="s">
        <v>8296</v>
      </c>
      <c r="D2243" s="592">
        <v>9</v>
      </c>
      <c r="E2243" s="597">
        <v>1300</v>
      </c>
      <c r="F2243" s="597">
        <v>1300</v>
      </c>
      <c r="G2243" s="597">
        <v>7650</v>
      </c>
      <c r="H2243" s="592" t="s">
        <v>1397</v>
      </c>
    </row>
    <row r="2244" spans="1:8" ht="24.75" customHeight="1" x14ac:dyDescent="0.55000000000000004">
      <c r="A2244" s="592">
        <v>2243</v>
      </c>
      <c r="B2244" s="596" t="s">
        <v>8445</v>
      </c>
      <c r="C2244" s="592" t="s">
        <v>8446</v>
      </c>
      <c r="D2244" s="592">
        <v>10</v>
      </c>
      <c r="E2244" s="597">
        <v>1200</v>
      </c>
      <c r="F2244" s="597">
        <v>1200</v>
      </c>
      <c r="G2244" s="597">
        <v>7500</v>
      </c>
      <c r="H2244" s="592" t="s">
        <v>1397</v>
      </c>
    </row>
    <row r="2245" spans="1:8" ht="24.75" customHeight="1" x14ac:dyDescent="0.55000000000000004">
      <c r="A2245" s="592">
        <v>2244</v>
      </c>
      <c r="B2245" s="596" t="s">
        <v>8447</v>
      </c>
      <c r="C2245" s="592" t="s">
        <v>8606</v>
      </c>
      <c r="D2245" s="592">
        <v>1</v>
      </c>
      <c r="E2245" s="597">
        <v>4500</v>
      </c>
      <c r="F2245" s="597">
        <v>4500</v>
      </c>
      <c r="G2245" s="597">
        <v>3000</v>
      </c>
      <c r="H2245" s="592" t="s">
        <v>1397</v>
      </c>
    </row>
    <row r="2246" spans="1:8" ht="24.75" customHeight="1" x14ac:dyDescent="0.55000000000000004">
      <c r="A2246" s="592">
        <v>2245</v>
      </c>
      <c r="B2246" s="596" t="s">
        <v>8448</v>
      </c>
      <c r="C2246" s="592" t="s">
        <v>8449</v>
      </c>
      <c r="D2246" s="592">
        <v>1</v>
      </c>
      <c r="E2246" s="597">
        <v>7000</v>
      </c>
      <c r="F2246" s="597">
        <v>7000</v>
      </c>
      <c r="G2246" s="597">
        <v>4000</v>
      </c>
      <c r="H2246" s="592" t="s">
        <v>1397</v>
      </c>
    </row>
    <row r="2247" spans="1:8" ht="24.75" customHeight="1" x14ac:dyDescent="0.55000000000000004">
      <c r="A2247" s="592">
        <v>2246</v>
      </c>
      <c r="B2247" s="596" t="s">
        <v>4959</v>
      </c>
      <c r="C2247" s="592" t="s">
        <v>4960</v>
      </c>
      <c r="D2247" s="592">
        <v>3</v>
      </c>
      <c r="E2247" s="597">
        <v>11000</v>
      </c>
      <c r="F2247" s="597">
        <v>11000</v>
      </c>
      <c r="G2247" s="597">
        <v>25050</v>
      </c>
      <c r="H2247" s="592" t="s">
        <v>1397</v>
      </c>
    </row>
    <row r="2248" spans="1:8" ht="24.75" customHeight="1" x14ac:dyDescent="0.55000000000000004">
      <c r="A2248" s="592">
        <v>2247</v>
      </c>
      <c r="B2248" s="596" t="s">
        <v>8450</v>
      </c>
      <c r="C2248" s="592" t="s">
        <v>8807</v>
      </c>
      <c r="D2248" s="592">
        <v>1</v>
      </c>
      <c r="E2248" s="597">
        <v>12000</v>
      </c>
      <c r="F2248" s="597">
        <v>12000</v>
      </c>
      <c r="G2248" s="597">
        <v>8500</v>
      </c>
      <c r="H2248" s="592" t="s">
        <v>1397</v>
      </c>
    </row>
    <row r="2249" spans="1:8" ht="24.75" customHeight="1" x14ac:dyDescent="0.55000000000000004">
      <c r="A2249" s="592">
        <v>2248</v>
      </c>
      <c r="B2249" s="596" t="s">
        <v>8297</v>
      </c>
      <c r="C2249" s="592" t="s">
        <v>8808</v>
      </c>
      <c r="D2249" s="592">
        <v>5</v>
      </c>
      <c r="E2249" s="597">
        <v>8000</v>
      </c>
      <c r="F2249" s="597">
        <v>8000</v>
      </c>
      <c r="G2249" s="597">
        <v>30000</v>
      </c>
      <c r="H2249" s="592" t="s">
        <v>1397</v>
      </c>
    </row>
    <row r="2250" spans="1:8" ht="24.75" customHeight="1" x14ac:dyDescent="0.55000000000000004">
      <c r="A2250" s="592">
        <v>2249</v>
      </c>
      <c r="B2250" s="596" t="s">
        <v>8451</v>
      </c>
      <c r="C2250" s="592" t="s">
        <v>8452</v>
      </c>
      <c r="D2250" s="592">
        <v>2</v>
      </c>
      <c r="E2250" s="597">
        <v>1500</v>
      </c>
      <c r="F2250" s="597">
        <v>1500</v>
      </c>
      <c r="G2250" s="597">
        <v>1600</v>
      </c>
      <c r="H2250" s="592" t="s">
        <v>1397</v>
      </c>
    </row>
    <row r="2251" spans="1:8" ht="24.75" customHeight="1" x14ac:dyDescent="0.55000000000000004">
      <c r="A2251" s="592">
        <v>2250</v>
      </c>
      <c r="B2251" s="596" t="s">
        <v>8453</v>
      </c>
      <c r="C2251" s="592" t="s">
        <v>8454</v>
      </c>
      <c r="D2251" s="592">
        <v>1</v>
      </c>
      <c r="E2251" s="597">
        <v>170000</v>
      </c>
      <c r="F2251" s="597">
        <v>170000</v>
      </c>
      <c r="G2251" s="597">
        <v>145000</v>
      </c>
      <c r="H2251" s="592" t="s">
        <v>1397</v>
      </c>
    </row>
    <row r="2252" spans="1:8" ht="24.75" customHeight="1" x14ac:dyDescent="0.55000000000000004">
      <c r="A2252" s="592">
        <v>2251</v>
      </c>
      <c r="B2252" s="596" t="s">
        <v>8300</v>
      </c>
      <c r="C2252" s="592" t="s">
        <v>8301</v>
      </c>
      <c r="D2252" s="592">
        <v>4</v>
      </c>
      <c r="E2252" s="597">
        <v>6000</v>
      </c>
      <c r="F2252" s="597">
        <v>6000</v>
      </c>
      <c r="G2252" s="597">
        <v>16000</v>
      </c>
      <c r="H2252" s="592" t="s">
        <v>1397</v>
      </c>
    </row>
    <row r="2253" spans="1:8" ht="24.75" customHeight="1" x14ac:dyDescent="0.55000000000000004">
      <c r="A2253" s="592">
        <v>2252</v>
      </c>
      <c r="B2253" s="596" t="s">
        <v>8302</v>
      </c>
      <c r="C2253" s="592" t="s">
        <v>8303</v>
      </c>
      <c r="D2253" s="592">
        <v>2</v>
      </c>
      <c r="E2253" s="597">
        <v>2500</v>
      </c>
      <c r="F2253" s="597">
        <v>2500</v>
      </c>
      <c r="G2253" s="597">
        <v>3000</v>
      </c>
      <c r="H2253" s="592" t="s">
        <v>1397</v>
      </c>
    </row>
    <row r="2254" spans="1:8" ht="24.75" customHeight="1" x14ac:dyDescent="0.55000000000000004">
      <c r="A2254" s="592">
        <v>2253</v>
      </c>
      <c r="B2254" s="596" t="s">
        <v>4961</v>
      </c>
      <c r="C2254" s="592" t="s">
        <v>4962</v>
      </c>
      <c r="D2254" s="592">
        <v>1</v>
      </c>
      <c r="E2254" s="597">
        <v>18000</v>
      </c>
      <c r="F2254" s="597">
        <v>18000</v>
      </c>
      <c r="G2254" s="597">
        <v>8100</v>
      </c>
      <c r="H2254" s="592" t="s">
        <v>1397</v>
      </c>
    </row>
    <row r="2255" spans="1:8" ht="24.75" customHeight="1" x14ac:dyDescent="0.55000000000000004">
      <c r="A2255" s="592">
        <v>2254</v>
      </c>
      <c r="B2255" s="596" t="s">
        <v>8304</v>
      </c>
      <c r="C2255" s="592" t="s">
        <v>8305</v>
      </c>
      <c r="D2255" s="592">
        <v>3</v>
      </c>
      <c r="E2255" s="597">
        <v>5000</v>
      </c>
      <c r="F2255" s="597">
        <v>5000</v>
      </c>
      <c r="G2255" s="597">
        <v>9000</v>
      </c>
      <c r="H2255" s="592" t="s">
        <v>1397</v>
      </c>
    </row>
    <row r="2256" spans="1:8" ht="24.75" customHeight="1" x14ac:dyDescent="0.55000000000000004">
      <c r="A2256" s="592">
        <v>2255</v>
      </c>
      <c r="B2256" s="596" t="s">
        <v>8455</v>
      </c>
      <c r="C2256" s="592" t="s">
        <v>8456</v>
      </c>
      <c r="D2256" s="592">
        <v>3</v>
      </c>
      <c r="E2256" s="597">
        <v>5000</v>
      </c>
      <c r="F2256" s="597">
        <v>5000</v>
      </c>
      <c r="G2256" s="597">
        <v>10002</v>
      </c>
      <c r="H2256" s="592" t="s">
        <v>1397</v>
      </c>
    </row>
    <row r="2257" spans="1:8" ht="24.75" customHeight="1" x14ac:dyDescent="0.55000000000000004">
      <c r="A2257" s="592">
        <v>2256</v>
      </c>
      <c r="B2257" s="596" t="s">
        <v>8306</v>
      </c>
      <c r="C2257" s="592" t="s">
        <v>8307</v>
      </c>
      <c r="D2257" s="592">
        <v>6</v>
      </c>
      <c r="E2257" s="597">
        <v>1000</v>
      </c>
      <c r="F2257" s="597">
        <v>1000</v>
      </c>
      <c r="G2257" s="597">
        <v>3600</v>
      </c>
      <c r="H2257" s="592" t="s">
        <v>1397</v>
      </c>
    </row>
    <row r="2258" spans="1:8" ht="24.75" customHeight="1" x14ac:dyDescent="0.55000000000000004">
      <c r="A2258" s="592">
        <v>2257</v>
      </c>
      <c r="B2258" s="596" t="s">
        <v>8308</v>
      </c>
      <c r="C2258" s="592" t="s">
        <v>8309</v>
      </c>
      <c r="D2258" s="592">
        <v>4</v>
      </c>
      <c r="E2258" s="597">
        <v>5000</v>
      </c>
      <c r="F2258" s="597">
        <v>5000</v>
      </c>
      <c r="G2258" s="597">
        <v>13600</v>
      </c>
      <c r="H2258" s="592" t="s">
        <v>1397</v>
      </c>
    </row>
    <row r="2259" spans="1:8" ht="24.75" customHeight="1" x14ac:dyDescent="0.55000000000000004">
      <c r="A2259" s="592">
        <v>2258</v>
      </c>
      <c r="B2259" s="596" t="s">
        <v>8310</v>
      </c>
      <c r="C2259" s="592" t="s">
        <v>8311</v>
      </c>
      <c r="D2259" s="592">
        <v>2</v>
      </c>
      <c r="E2259" s="597">
        <v>10000</v>
      </c>
      <c r="F2259" s="597">
        <v>10000</v>
      </c>
      <c r="G2259" s="597">
        <v>17500</v>
      </c>
      <c r="H2259" s="592" t="s">
        <v>1397</v>
      </c>
    </row>
    <row r="2260" spans="1:8" ht="24.75" customHeight="1" x14ac:dyDescent="0.55000000000000004">
      <c r="A2260" s="592">
        <v>2259</v>
      </c>
      <c r="B2260" s="596" t="s">
        <v>8312</v>
      </c>
      <c r="C2260" s="592" t="s">
        <v>8313</v>
      </c>
      <c r="D2260" s="592">
        <v>9</v>
      </c>
      <c r="E2260" s="597">
        <v>500</v>
      </c>
      <c r="F2260" s="597">
        <v>500</v>
      </c>
      <c r="G2260" s="597">
        <v>3150</v>
      </c>
      <c r="H2260" s="592" t="s">
        <v>1397</v>
      </c>
    </row>
    <row r="2261" spans="1:8" ht="24.75" customHeight="1" x14ac:dyDescent="0.55000000000000004">
      <c r="A2261" s="592">
        <v>2260</v>
      </c>
      <c r="B2261" s="596" t="s">
        <v>8457</v>
      </c>
      <c r="C2261" s="592" t="s">
        <v>8458</v>
      </c>
      <c r="D2261" s="592">
        <v>2</v>
      </c>
      <c r="E2261" s="597">
        <v>9500</v>
      </c>
      <c r="F2261" s="597">
        <v>9500</v>
      </c>
      <c r="G2261" s="597">
        <v>13000</v>
      </c>
      <c r="H2261" s="592" t="s">
        <v>1397</v>
      </c>
    </row>
    <row r="2262" spans="1:8" ht="24.75" customHeight="1" x14ac:dyDescent="0.55000000000000004">
      <c r="A2262" s="592">
        <v>2261</v>
      </c>
      <c r="B2262" s="596" t="s">
        <v>8459</v>
      </c>
      <c r="C2262" s="592" t="s">
        <v>8460</v>
      </c>
      <c r="D2262" s="592">
        <v>10</v>
      </c>
      <c r="E2262" s="597">
        <v>1200</v>
      </c>
      <c r="F2262" s="597">
        <v>1200</v>
      </c>
      <c r="G2262" s="597">
        <v>10000</v>
      </c>
      <c r="H2262" s="592" t="s">
        <v>1397</v>
      </c>
    </row>
    <row r="2263" spans="1:8" ht="24.75" customHeight="1" x14ac:dyDescent="0.55000000000000004">
      <c r="A2263" s="592">
        <v>2262</v>
      </c>
      <c r="B2263" s="596" t="s">
        <v>8314</v>
      </c>
      <c r="C2263" s="592" t="s">
        <v>8315</v>
      </c>
      <c r="D2263" s="592">
        <v>4</v>
      </c>
      <c r="E2263" s="597">
        <v>2000</v>
      </c>
      <c r="F2263" s="597">
        <v>2000</v>
      </c>
      <c r="G2263" s="597">
        <v>4000</v>
      </c>
      <c r="H2263" s="592" t="s">
        <v>1397</v>
      </c>
    </row>
    <row r="2264" spans="1:8" ht="24.75" customHeight="1" x14ac:dyDescent="0.55000000000000004">
      <c r="A2264" s="592">
        <v>2263</v>
      </c>
      <c r="B2264" s="596" t="s">
        <v>1722</v>
      </c>
      <c r="C2264" s="592" t="s">
        <v>1723</v>
      </c>
      <c r="D2264" s="592">
        <v>3</v>
      </c>
      <c r="E2264" s="597">
        <v>7000</v>
      </c>
      <c r="F2264" s="597">
        <v>7000</v>
      </c>
      <c r="G2264" s="597">
        <v>14850</v>
      </c>
      <c r="H2264" s="592" t="s">
        <v>1397</v>
      </c>
    </row>
    <row r="2265" spans="1:8" ht="24.75" customHeight="1" x14ac:dyDescent="0.55000000000000004">
      <c r="A2265" s="592">
        <v>2264</v>
      </c>
      <c r="B2265" s="596" t="s">
        <v>8461</v>
      </c>
      <c r="C2265" s="592" t="s">
        <v>8462</v>
      </c>
      <c r="D2265" s="592">
        <v>5</v>
      </c>
      <c r="E2265" s="597">
        <v>1200</v>
      </c>
      <c r="F2265" s="597">
        <v>1200</v>
      </c>
      <c r="G2265" s="597">
        <v>4000</v>
      </c>
      <c r="H2265" s="592" t="s">
        <v>1397</v>
      </c>
    </row>
    <row r="2266" spans="1:8" ht="24.75" customHeight="1" x14ac:dyDescent="0.55000000000000004">
      <c r="A2266" s="592">
        <v>2265</v>
      </c>
      <c r="B2266" s="596" t="s">
        <v>8316</v>
      </c>
      <c r="C2266" s="592" t="s">
        <v>8809</v>
      </c>
      <c r="D2266" s="592">
        <v>8</v>
      </c>
      <c r="E2266" s="597">
        <v>1500</v>
      </c>
      <c r="F2266" s="597">
        <v>1500</v>
      </c>
      <c r="G2266" s="597">
        <v>8000</v>
      </c>
      <c r="H2266" s="592" t="s">
        <v>1397</v>
      </c>
    </row>
    <row r="2267" spans="1:8" ht="24.75" customHeight="1" x14ac:dyDescent="0.55000000000000004">
      <c r="A2267" s="592">
        <v>2266</v>
      </c>
      <c r="B2267" s="596" t="s">
        <v>8317</v>
      </c>
      <c r="C2267" s="592" t="s">
        <v>8318</v>
      </c>
      <c r="D2267" s="592">
        <v>2</v>
      </c>
      <c r="E2267" s="597">
        <v>10000</v>
      </c>
      <c r="F2267" s="597">
        <v>10000</v>
      </c>
      <c r="G2267" s="597">
        <v>15000</v>
      </c>
      <c r="H2267" s="592" t="s">
        <v>1397</v>
      </c>
    </row>
    <row r="2268" spans="1:8" ht="24.75" customHeight="1" x14ac:dyDescent="0.55000000000000004">
      <c r="A2268" s="592">
        <v>2267</v>
      </c>
      <c r="B2268" s="596" t="s">
        <v>8319</v>
      </c>
      <c r="C2268" s="592" t="s">
        <v>8320</v>
      </c>
      <c r="D2268" s="592">
        <v>1</v>
      </c>
      <c r="E2268" s="597">
        <v>15000</v>
      </c>
      <c r="F2268" s="597">
        <v>15000</v>
      </c>
      <c r="G2268" s="597">
        <v>11000</v>
      </c>
      <c r="H2268" s="592" t="s">
        <v>1397</v>
      </c>
    </row>
    <row r="2269" spans="1:8" ht="24.75" customHeight="1" x14ac:dyDescent="0.55000000000000004">
      <c r="A2269" s="592">
        <v>2268</v>
      </c>
      <c r="B2269" s="596" t="s">
        <v>8463</v>
      </c>
      <c r="C2269" s="592" t="s">
        <v>8464</v>
      </c>
      <c r="D2269" s="592">
        <v>1</v>
      </c>
      <c r="E2269" s="597">
        <v>9000</v>
      </c>
      <c r="F2269" s="597">
        <v>9000</v>
      </c>
      <c r="G2269" s="597">
        <v>7200</v>
      </c>
      <c r="H2269" s="592" t="s">
        <v>1397</v>
      </c>
    </row>
    <row r="2270" spans="1:8" ht="24.75" customHeight="1" x14ac:dyDescent="0.55000000000000004">
      <c r="A2270" s="592">
        <v>2269</v>
      </c>
      <c r="B2270" s="596" t="s">
        <v>8465</v>
      </c>
      <c r="C2270" s="592" t="s">
        <v>8810</v>
      </c>
      <c r="D2270" s="592">
        <v>6</v>
      </c>
      <c r="E2270" s="597">
        <v>1000</v>
      </c>
      <c r="F2270" s="597">
        <v>1000</v>
      </c>
      <c r="G2270" s="597">
        <v>3600</v>
      </c>
      <c r="H2270" s="592" t="s">
        <v>1397</v>
      </c>
    </row>
    <row r="2271" spans="1:8" ht="24.75" customHeight="1" x14ac:dyDescent="0.55000000000000004">
      <c r="A2271" s="592">
        <v>2270</v>
      </c>
      <c r="B2271" s="596" t="s">
        <v>8321</v>
      </c>
      <c r="C2271" s="592" t="s">
        <v>8607</v>
      </c>
      <c r="D2271" s="592">
        <v>1</v>
      </c>
      <c r="E2271" s="597">
        <v>135000</v>
      </c>
      <c r="F2271" s="597">
        <v>135000</v>
      </c>
      <c r="G2271" s="597">
        <v>110000</v>
      </c>
      <c r="H2271" s="592" t="s">
        <v>1397</v>
      </c>
    </row>
    <row r="2272" spans="1:8" ht="24.75" customHeight="1" x14ac:dyDescent="0.55000000000000004">
      <c r="A2272" s="592">
        <v>2271</v>
      </c>
      <c r="B2272" s="596" t="s">
        <v>8322</v>
      </c>
      <c r="C2272" s="592" t="s">
        <v>8323</v>
      </c>
      <c r="D2272" s="592">
        <v>3</v>
      </c>
      <c r="E2272" s="597">
        <v>4000</v>
      </c>
      <c r="F2272" s="597">
        <v>4000</v>
      </c>
      <c r="G2272" s="597">
        <v>7500</v>
      </c>
      <c r="H2272" s="592" t="s">
        <v>1397</v>
      </c>
    </row>
    <row r="2273" spans="1:8" ht="24.75" customHeight="1" x14ac:dyDescent="0.55000000000000004">
      <c r="A2273" s="592">
        <v>2272</v>
      </c>
      <c r="B2273" s="596" t="s">
        <v>8466</v>
      </c>
      <c r="C2273" s="592" t="s">
        <v>8467</v>
      </c>
      <c r="D2273" s="592">
        <v>5</v>
      </c>
      <c r="E2273" s="597">
        <v>2500</v>
      </c>
      <c r="F2273" s="597">
        <v>2500</v>
      </c>
      <c r="G2273" s="597">
        <v>7500</v>
      </c>
      <c r="H2273" s="592" t="s">
        <v>1397</v>
      </c>
    </row>
    <row r="2274" spans="1:8" ht="24.75" customHeight="1" x14ac:dyDescent="0.55000000000000004">
      <c r="A2274" s="592">
        <v>2273</v>
      </c>
      <c r="B2274" s="596" t="s">
        <v>8468</v>
      </c>
      <c r="C2274" s="592" t="s">
        <v>8608</v>
      </c>
      <c r="D2274" s="592">
        <v>3</v>
      </c>
      <c r="E2274" s="597">
        <v>650000</v>
      </c>
      <c r="F2274" s="597">
        <v>650000</v>
      </c>
      <c r="G2274" s="597">
        <v>1560000</v>
      </c>
      <c r="H2274" s="592" t="s">
        <v>1397</v>
      </c>
    </row>
    <row r="2275" spans="1:8" ht="24.75" customHeight="1" x14ac:dyDescent="0.55000000000000004">
      <c r="A2275" s="592">
        <v>2274</v>
      </c>
      <c r="B2275" s="596" t="s">
        <v>8469</v>
      </c>
      <c r="C2275" s="592" t="s">
        <v>8470</v>
      </c>
      <c r="D2275" s="592">
        <v>1</v>
      </c>
      <c r="E2275" s="597">
        <v>45000</v>
      </c>
      <c r="F2275" s="597">
        <v>45000</v>
      </c>
      <c r="G2275" s="597">
        <v>36500</v>
      </c>
      <c r="H2275" s="592" t="s">
        <v>1397</v>
      </c>
    </row>
    <row r="2276" spans="1:8" ht="24.75" customHeight="1" x14ac:dyDescent="0.55000000000000004">
      <c r="A2276" s="592">
        <v>2275</v>
      </c>
      <c r="B2276" s="596" t="s">
        <v>8324</v>
      </c>
      <c r="C2276" s="592" t="s">
        <v>8325</v>
      </c>
      <c r="D2276" s="592">
        <v>3</v>
      </c>
      <c r="E2276" s="597">
        <v>20000</v>
      </c>
      <c r="F2276" s="597">
        <v>20000</v>
      </c>
      <c r="G2276" s="597">
        <v>45750</v>
      </c>
      <c r="H2276" s="592" t="s">
        <v>1397</v>
      </c>
    </row>
    <row r="2277" spans="1:8" ht="24.75" customHeight="1" x14ac:dyDescent="0.55000000000000004">
      <c r="A2277" s="592">
        <v>2276</v>
      </c>
      <c r="B2277" s="596" t="s">
        <v>8471</v>
      </c>
      <c r="C2277" s="592" t="s">
        <v>8472</v>
      </c>
      <c r="D2277" s="592">
        <v>3</v>
      </c>
      <c r="E2277" s="597">
        <v>3000</v>
      </c>
      <c r="F2277" s="597">
        <v>3000</v>
      </c>
      <c r="G2277" s="597">
        <v>7500</v>
      </c>
      <c r="H2277" s="592" t="s">
        <v>1397</v>
      </c>
    </row>
    <row r="2278" spans="1:8" ht="24.75" customHeight="1" x14ac:dyDescent="0.55000000000000004">
      <c r="A2278" s="592">
        <v>2277</v>
      </c>
      <c r="B2278" s="596" t="s">
        <v>8473</v>
      </c>
      <c r="C2278" s="592" t="s">
        <v>8474</v>
      </c>
      <c r="D2278" s="592">
        <v>20</v>
      </c>
      <c r="E2278" s="597">
        <v>300</v>
      </c>
      <c r="F2278" s="597">
        <v>300</v>
      </c>
      <c r="G2278" s="597">
        <v>3000</v>
      </c>
      <c r="H2278" s="592" t="s">
        <v>1397</v>
      </c>
    </row>
    <row r="2279" spans="1:8" ht="24.75" customHeight="1" x14ac:dyDescent="0.55000000000000004">
      <c r="A2279" s="592">
        <v>2278</v>
      </c>
      <c r="B2279" s="596" t="s">
        <v>8326</v>
      </c>
      <c r="C2279" s="592" t="s">
        <v>8811</v>
      </c>
      <c r="D2279" s="592">
        <v>3</v>
      </c>
      <c r="E2279" s="597">
        <v>40000</v>
      </c>
      <c r="F2279" s="597">
        <v>40000</v>
      </c>
      <c r="G2279" s="597">
        <v>112500</v>
      </c>
      <c r="H2279" s="592" t="s">
        <v>1397</v>
      </c>
    </row>
    <row r="2280" spans="1:8" ht="24.75" customHeight="1" x14ac:dyDescent="0.55000000000000004">
      <c r="A2280" s="592">
        <v>2279</v>
      </c>
      <c r="B2280" s="596" t="s">
        <v>8475</v>
      </c>
      <c r="C2280" s="592" t="s">
        <v>8476</v>
      </c>
      <c r="D2280" s="592">
        <v>2</v>
      </c>
      <c r="E2280" s="597">
        <v>10000</v>
      </c>
      <c r="F2280" s="597">
        <v>10000</v>
      </c>
      <c r="G2280" s="597">
        <v>13400</v>
      </c>
      <c r="H2280" s="592" t="s">
        <v>1397</v>
      </c>
    </row>
    <row r="2281" spans="1:8" ht="24.75" customHeight="1" x14ac:dyDescent="0.55000000000000004">
      <c r="A2281" s="592">
        <v>2280</v>
      </c>
      <c r="B2281" s="596" t="s">
        <v>8477</v>
      </c>
      <c r="C2281" s="592" t="s">
        <v>8812</v>
      </c>
      <c r="D2281" s="592">
        <v>5</v>
      </c>
      <c r="E2281" s="597">
        <v>4000</v>
      </c>
      <c r="F2281" s="597">
        <v>4000</v>
      </c>
      <c r="G2281" s="597">
        <v>12500</v>
      </c>
      <c r="H2281" s="592" t="s">
        <v>1397</v>
      </c>
    </row>
    <row r="2282" spans="1:8" ht="24.75" customHeight="1" x14ac:dyDescent="0.55000000000000004">
      <c r="A2282" s="592">
        <v>2281</v>
      </c>
      <c r="B2282" s="596" t="s">
        <v>8813</v>
      </c>
      <c r="C2282" s="592" t="s">
        <v>8814</v>
      </c>
      <c r="D2282" s="592">
        <v>10</v>
      </c>
      <c r="E2282" s="597">
        <v>1500</v>
      </c>
      <c r="F2282" s="597">
        <v>1500</v>
      </c>
      <c r="G2282" s="597">
        <v>8000</v>
      </c>
      <c r="H2282" s="592" t="s">
        <v>1397</v>
      </c>
    </row>
    <row r="2283" spans="1:8" ht="24.75" customHeight="1" x14ac:dyDescent="0.55000000000000004">
      <c r="A2283" s="592">
        <v>2282</v>
      </c>
      <c r="B2283" s="596" t="s">
        <v>8815</v>
      </c>
      <c r="C2283" s="592" t="s">
        <v>8816</v>
      </c>
      <c r="D2283" s="592">
        <v>3</v>
      </c>
      <c r="E2283" s="597">
        <v>7500</v>
      </c>
      <c r="F2283" s="597">
        <v>7500</v>
      </c>
      <c r="G2283" s="597">
        <v>16500</v>
      </c>
      <c r="H2283" s="592" t="s">
        <v>1397</v>
      </c>
    </row>
    <row r="2284" spans="1:8" ht="24.75" customHeight="1" x14ac:dyDescent="0.55000000000000004">
      <c r="A2284" s="592">
        <v>2283</v>
      </c>
      <c r="B2284" s="596" t="s">
        <v>8817</v>
      </c>
      <c r="C2284" s="592" t="s">
        <v>8818</v>
      </c>
      <c r="D2284" s="592">
        <v>2</v>
      </c>
      <c r="E2284" s="597">
        <v>6500</v>
      </c>
      <c r="F2284" s="597">
        <v>6500</v>
      </c>
      <c r="G2284" s="597">
        <v>8400</v>
      </c>
      <c r="H2284" s="592" t="s">
        <v>1397</v>
      </c>
    </row>
    <row r="2285" spans="1:8" ht="24.75" customHeight="1" x14ac:dyDescent="0.55000000000000004">
      <c r="A2285" s="592">
        <v>2284</v>
      </c>
      <c r="B2285" s="596" t="s">
        <v>4963</v>
      </c>
      <c r="C2285" s="592" t="s">
        <v>7793</v>
      </c>
      <c r="D2285" s="592">
        <v>1</v>
      </c>
      <c r="E2285" s="597">
        <v>9000</v>
      </c>
      <c r="F2285" s="597">
        <v>9000</v>
      </c>
      <c r="G2285" s="597">
        <v>6000</v>
      </c>
      <c r="H2285" s="592" t="s">
        <v>1397</v>
      </c>
    </row>
    <row r="2286" spans="1:8" ht="24.75" customHeight="1" x14ac:dyDescent="0.55000000000000004">
      <c r="A2286" s="592">
        <v>2285</v>
      </c>
      <c r="B2286" s="596" t="s">
        <v>8819</v>
      </c>
      <c r="C2286" s="592" t="s">
        <v>8820</v>
      </c>
      <c r="D2286" s="592">
        <v>5</v>
      </c>
      <c r="E2286" s="597">
        <v>8300</v>
      </c>
      <c r="F2286" s="597">
        <v>8300</v>
      </c>
      <c r="G2286" s="597">
        <v>39000</v>
      </c>
      <c r="H2286" s="592" t="s">
        <v>1397</v>
      </c>
    </row>
    <row r="2287" spans="1:8" ht="24.75" customHeight="1" x14ac:dyDescent="0.55000000000000004">
      <c r="A2287" s="592">
        <v>2286</v>
      </c>
      <c r="B2287" s="596" t="s">
        <v>8821</v>
      </c>
      <c r="C2287" s="592" t="s">
        <v>8822</v>
      </c>
      <c r="D2287" s="592">
        <v>3</v>
      </c>
      <c r="E2287" s="597">
        <v>8300</v>
      </c>
      <c r="F2287" s="597">
        <v>8300</v>
      </c>
      <c r="G2287" s="597">
        <v>23400</v>
      </c>
      <c r="H2287" s="592" t="s">
        <v>1397</v>
      </c>
    </row>
    <row r="2288" spans="1:8" ht="24.75" customHeight="1" x14ac:dyDescent="0.55000000000000004">
      <c r="A2288" s="592">
        <v>2287</v>
      </c>
      <c r="B2288" s="596" t="s">
        <v>8609</v>
      </c>
      <c r="C2288" s="592" t="s">
        <v>8610</v>
      </c>
      <c r="D2288" s="592">
        <v>2</v>
      </c>
      <c r="E2288" s="597">
        <v>7500</v>
      </c>
      <c r="F2288" s="597">
        <v>7500</v>
      </c>
      <c r="G2288" s="597">
        <v>11000</v>
      </c>
      <c r="H2288" s="592" t="s">
        <v>1397</v>
      </c>
    </row>
    <row r="2289" spans="1:8" ht="24.75" customHeight="1" x14ac:dyDescent="0.55000000000000004">
      <c r="A2289" s="592">
        <v>2288</v>
      </c>
      <c r="B2289" s="596" t="s">
        <v>8823</v>
      </c>
      <c r="C2289" s="592" t="s">
        <v>8824</v>
      </c>
      <c r="D2289" s="592">
        <v>2</v>
      </c>
      <c r="E2289" s="597">
        <v>19500</v>
      </c>
      <c r="F2289" s="597">
        <v>19500</v>
      </c>
      <c r="G2289" s="597">
        <v>37000</v>
      </c>
      <c r="H2289" s="592" t="s">
        <v>1397</v>
      </c>
    </row>
    <row r="2290" spans="1:8" ht="24.75" customHeight="1" x14ac:dyDescent="0.55000000000000004">
      <c r="A2290" s="592">
        <v>2289</v>
      </c>
      <c r="B2290" s="596" t="s">
        <v>8825</v>
      </c>
      <c r="C2290" s="592" t="s">
        <v>8826</v>
      </c>
      <c r="D2290" s="592">
        <v>2</v>
      </c>
      <c r="E2290" s="597">
        <v>10000</v>
      </c>
      <c r="F2290" s="597">
        <v>10000</v>
      </c>
      <c r="G2290" s="597">
        <v>15000</v>
      </c>
      <c r="H2290" s="592" t="s">
        <v>1397</v>
      </c>
    </row>
    <row r="2291" spans="1:8" ht="24.75" customHeight="1" x14ac:dyDescent="0.55000000000000004">
      <c r="A2291" s="592">
        <v>2290</v>
      </c>
      <c r="B2291" s="596" t="s">
        <v>8613</v>
      </c>
      <c r="C2291" s="592" t="s">
        <v>8614</v>
      </c>
      <c r="D2291" s="592">
        <v>3</v>
      </c>
      <c r="E2291" s="597">
        <v>2000</v>
      </c>
      <c r="F2291" s="597">
        <v>2000</v>
      </c>
      <c r="G2291" s="597">
        <v>3600</v>
      </c>
      <c r="H2291" s="592" t="s">
        <v>1397</v>
      </c>
    </row>
    <row r="2292" spans="1:8" ht="24.75" customHeight="1" x14ac:dyDescent="0.55000000000000004">
      <c r="A2292" s="592">
        <v>2291</v>
      </c>
      <c r="B2292" s="596" t="s">
        <v>8615</v>
      </c>
      <c r="C2292" s="592" t="s">
        <v>8616</v>
      </c>
      <c r="D2292" s="592">
        <v>1</v>
      </c>
      <c r="E2292" s="597">
        <v>19000</v>
      </c>
      <c r="F2292" s="597">
        <v>19000</v>
      </c>
      <c r="G2292" s="597">
        <v>16000</v>
      </c>
      <c r="H2292" s="592" t="s">
        <v>1397</v>
      </c>
    </row>
    <row r="2293" spans="1:8" ht="24.75" customHeight="1" x14ac:dyDescent="0.55000000000000004">
      <c r="A2293" s="592">
        <v>2292</v>
      </c>
      <c r="B2293" s="596" t="s">
        <v>8827</v>
      </c>
      <c r="C2293" s="592" t="s">
        <v>8828</v>
      </c>
      <c r="D2293" s="592">
        <v>1</v>
      </c>
      <c r="E2293" s="597">
        <v>5500</v>
      </c>
      <c r="F2293" s="597">
        <v>5500</v>
      </c>
      <c r="G2293" s="597">
        <v>4500</v>
      </c>
      <c r="H2293" s="592" t="s">
        <v>1397</v>
      </c>
    </row>
    <row r="2294" spans="1:8" ht="24.75" customHeight="1" x14ac:dyDescent="0.55000000000000004">
      <c r="A2294" s="592">
        <v>2293</v>
      </c>
      <c r="B2294" s="596" t="s">
        <v>8829</v>
      </c>
      <c r="C2294" s="592" t="s">
        <v>8830</v>
      </c>
      <c r="D2294" s="592">
        <v>10</v>
      </c>
      <c r="E2294" s="597">
        <v>1400</v>
      </c>
      <c r="F2294" s="597">
        <v>1400</v>
      </c>
      <c r="G2294" s="597">
        <v>9000</v>
      </c>
      <c r="H2294" s="592" t="s">
        <v>1397</v>
      </c>
    </row>
    <row r="2295" spans="1:8" ht="24.75" customHeight="1" x14ac:dyDescent="0.55000000000000004">
      <c r="A2295" s="592">
        <v>2294</v>
      </c>
      <c r="B2295" s="596" t="s">
        <v>8831</v>
      </c>
      <c r="C2295" s="592" t="s">
        <v>8832</v>
      </c>
      <c r="D2295" s="592">
        <v>5</v>
      </c>
      <c r="E2295" s="597">
        <v>3000</v>
      </c>
      <c r="F2295" s="597">
        <v>3000</v>
      </c>
      <c r="G2295" s="597">
        <v>10500</v>
      </c>
      <c r="H2295" s="592" t="s">
        <v>1397</v>
      </c>
    </row>
    <row r="2296" spans="1:8" ht="24.75" customHeight="1" x14ac:dyDescent="0.55000000000000004">
      <c r="A2296" s="592">
        <v>2295</v>
      </c>
      <c r="B2296" s="596" t="s">
        <v>8833</v>
      </c>
      <c r="C2296" s="592" t="s">
        <v>8834</v>
      </c>
      <c r="D2296" s="592">
        <v>10</v>
      </c>
      <c r="E2296" s="597">
        <v>700</v>
      </c>
      <c r="F2296" s="597">
        <v>700</v>
      </c>
      <c r="G2296" s="597">
        <v>4500</v>
      </c>
      <c r="H2296" s="592" t="s">
        <v>1397</v>
      </c>
    </row>
    <row r="2297" spans="1:8" ht="24.75" customHeight="1" x14ac:dyDescent="0.55000000000000004">
      <c r="A2297" s="592">
        <v>2296</v>
      </c>
      <c r="B2297" s="596" t="s">
        <v>8617</v>
      </c>
      <c r="C2297" s="592" t="s">
        <v>8618</v>
      </c>
      <c r="D2297" s="592">
        <v>7</v>
      </c>
      <c r="E2297" s="597">
        <v>33500</v>
      </c>
      <c r="F2297" s="597">
        <v>33500</v>
      </c>
      <c r="G2297" s="597">
        <v>182000</v>
      </c>
      <c r="H2297" s="592" t="s">
        <v>1397</v>
      </c>
    </row>
    <row r="2298" spans="1:8" ht="24.75" customHeight="1" x14ac:dyDescent="0.55000000000000004">
      <c r="A2298" s="592">
        <v>2297</v>
      </c>
      <c r="B2298" s="596" t="s">
        <v>8835</v>
      </c>
      <c r="C2298" s="592" t="s">
        <v>8836</v>
      </c>
      <c r="D2298" s="592">
        <v>2</v>
      </c>
      <c r="E2298" s="597">
        <v>2500</v>
      </c>
      <c r="F2298" s="597">
        <v>2500</v>
      </c>
      <c r="G2298" s="597">
        <v>4000</v>
      </c>
      <c r="H2298" s="592" t="s">
        <v>1397</v>
      </c>
    </row>
    <row r="2299" spans="1:8" ht="24.75" customHeight="1" x14ac:dyDescent="0.55000000000000004">
      <c r="A2299" s="592">
        <v>2298</v>
      </c>
      <c r="B2299" s="596" t="s">
        <v>8837</v>
      </c>
      <c r="C2299" s="592" t="s">
        <v>8838</v>
      </c>
      <c r="D2299" s="592">
        <v>1</v>
      </c>
      <c r="E2299" s="597">
        <v>137000</v>
      </c>
      <c r="F2299" s="597">
        <v>137000</v>
      </c>
      <c r="G2299" s="597">
        <v>107000</v>
      </c>
      <c r="H2299" s="592" t="s">
        <v>1397</v>
      </c>
    </row>
    <row r="2300" spans="1:8" ht="24.75" customHeight="1" x14ac:dyDescent="0.55000000000000004">
      <c r="A2300" s="592">
        <v>2299</v>
      </c>
      <c r="B2300" s="596" t="s">
        <v>8839</v>
      </c>
      <c r="C2300" s="592" t="s">
        <v>8840</v>
      </c>
      <c r="D2300" s="592">
        <v>20</v>
      </c>
      <c r="E2300" s="597">
        <v>1500</v>
      </c>
      <c r="F2300" s="597">
        <v>1500</v>
      </c>
      <c r="G2300" s="597">
        <v>20000</v>
      </c>
      <c r="H2300" s="592" t="s">
        <v>1397</v>
      </c>
    </row>
    <row r="2301" spans="1:8" ht="24.75" customHeight="1" x14ac:dyDescent="0.55000000000000004">
      <c r="A2301" s="592">
        <v>2300</v>
      </c>
      <c r="B2301" s="596" t="s">
        <v>8841</v>
      </c>
      <c r="C2301" s="592" t="s">
        <v>8842</v>
      </c>
      <c r="D2301" s="592">
        <v>5</v>
      </c>
      <c r="E2301" s="597">
        <v>3500</v>
      </c>
      <c r="F2301" s="597">
        <v>3500</v>
      </c>
      <c r="G2301" s="597">
        <v>12500</v>
      </c>
      <c r="H2301" s="592" t="s">
        <v>1397</v>
      </c>
    </row>
    <row r="2302" spans="1:8" ht="24.75" customHeight="1" x14ac:dyDescent="0.55000000000000004">
      <c r="A2302" s="592">
        <v>2301</v>
      </c>
      <c r="B2302" s="596" t="s">
        <v>8843</v>
      </c>
      <c r="C2302" s="592" t="s">
        <v>8844</v>
      </c>
      <c r="D2302" s="592">
        <v>5</v>
      </c>
      <c r="E2302" s="597">
        <v>2000</v>
      </c>
      <c r="F2302" s="597">
        <v>2000</v>
      </c>
      <c r="G2302" s="597">
        <v>7500</v>
      </c>
      <c r="H2302" s="592" t="s">
        <v>1397</v>
      </c>
    </row>
    <row r="2303" spans="1:8" ht="24.75" customHeight="1" x14ac:dyDescent="0.55000000000000004">
      <c r="A2303" s="592">
        <v>2302</v>
      </c>
      <c r="B2303" s="596" t="s">
        <v>8845</v>
      </c>
      <c r="C2303" s="592" t="s">
        <v>8846</v>
      </c>
      <c r="D2303" s="592">
        <v>100</v>
      </c>
      <c r="E2303" s="597">
        <v>200</v>
      </c>
      <c r="F2303" s="597">
        <v>200</v>
      </c>
      <c r="G2303" s="597">
        <v>8000</v>
      </c>
      <c r="H2303" s="592" t="s">
        <v>1397</v>
      </c>
    </row>
    <row r="2304" spans="1:8" ht="24.75" customHeight="1" x14ac:dyDescent="0.55000000000000004">
      <c r="A2304" s="592">
        <v>2303</v>
      </c>
      <c r="B2304" s="596" t="s">
        <v>8847</v>
      </c>
      <c r="C2304" s="592" t="s">
        <v>8848</v>
      </c>
      <c r="D2304" s="592">
        <v>2</v>
      </c>
      <c r="E2304" s="597">
        <v>12000</v>
      </c>
      <c r="F2304" s="597">
        <v>12000</v>
      </c>
      <c r="G2304" s="597">
        <v>18000</v>
      </c>
      <c r="H2304" s="592" t="s">
        <v>1397</v>
      </c>
    </row>
    <row r="2305" spans="1:8" ht="24.75" customHeight="1" x14ac:dyDescent="0.55000000000000004">
      <c r="A2305" s="592">
        <v>2304</v>
      </c>
      <c r="B2305" s="596" t="s">
        <v>8849</v>
      </c>
      <c r="C2305" s="592" t="s">
        <v>8850</v>
      </c>
      <c r="D2305" s="592">
        <v>2</v>
      </c>
      <c r="E2305" s="597">
        <v>10000</v>
      </c>
      <c r="F2305" s="597">
        <v>10000</v>
      </c>
      <c r="G2305" s="597">
        <v>15000</v>
      </c>
      <c r="H2305" s="592" t="s">
        <v>1397</v>
      </c>
    </row>
    <row r="2306" spans="1:8" ht="24.75" customHeight="1" x14ac:dyDescent="0.55000000000000004">
      <c r="A2306" s="592">
        <v>2305</v>
      </c>
      <c r="B2306" s="596" t="s">
        <v>8851</v>
      </c>
      <c r="C2306" s="592" t="s">
        <v>8852</v>
      </c>
      <c r="D2306" s="592">
        <v>1</v>
      </c>
      <c r="E2306" s="597">
        <v>12000</v>
      </c>
      <c r="F2306" s="597">
        <v>12000</v>
      </c>
      <c r="G2306" s="597">
        <v>9000</v>
      </c>
      <c r="H2306" s="592" t="s">
        <v>1397</v>
      </c>
    </row>
    <row r="2307" spans="1:8" ht="24.75" customHeight="1" x14ac:dyDescent="0.55000000000000004">
      <c r="A2307" s="592">
        <v>2306</v>
      </c>
      <c r="B2307" s="596" t="s">
        <v>8853</v>
      </c>
      <c r="C2307" s="592" t="s">
        <v>8854</v>
      </c>
      <c r="D2307" s="592">
        <v>1</v>
      </c>
      <c r="E2307" s="597">
        <v>45000</v>
      </c>
      <c r="F2307" s="597">
        <v>45000</v>
      </c>
      <c r="G2307" s="597">
        <v>38500</v>
      </c>
      <c r="H2307" s="592" t="s">
        <v>1397</v>
      </c>
    </row>
    <row r="2308" spans="1:8" ht="24.75" customHeight="1" x14ac:dyDescent="0.55000000000000004">
      <c r="A2308" s="592">
        <v>2307</v>
      </c>
      <c r="B2308" s="596" t="s">
        <v>8855</v>
      </c>
      <c r="C2308" s="592" t="s">
        <v>8856</v>
      </c>
      <c r="D2308" s="592">
        <v>5</v>
      </c>
      <c r="E2308" s="597">
        <v>1500</v>
      </c>
      <c r="F2308" s="597">
        <v>1500</v>
      </c>
      <c r="G2308" s="597">
        <v>5000</v>
      </c>
      <c r="H2308" s="592" t="s">
        <v>1397</v>
      </c>
    </row>
    <row r="2309" spans="1:8" ht="24.75" customHeight="1" x14ac:dyDescent="0.55000000000000004">
      <c r="A2309" s="592">
        <v>2308</v>
      </c>
      <c r="B2309" s="596" t="s">
        <v>4964</v>
      </c>
      <c r="C2309" s="592" t="s">
        <v>7426</v>
      </c>
      <c r="D2309" s="592">
        <v>5</v>
      </c>
      <c r="E2309" s="597">
        <v>7000</v>
      </c>
      <c r="F2309" s="597">
        <v>7000</v>
      </c>
      <c r="G2309" s="597">
        <v>19000</v>
      </c>
      <c r="H2309" s="592" t="s">
        <v>1397</v>
      </c>
    </row>
    <row r="2310" spans="1:8" ht="24.75" customHeight="1" x14ac:dyDescent="0.55000000000000004">
      <c r="A2310" s="592">
        <v>2309</v>
      </c>
      <c r="B2310" s="596" t="s">
        <v>6203</v>
      </c>
      <c r="C2310" s="592" t="s">
        <v>8327</v>
      </c>
      <c r="D2310" s="592">
        <v>11</v>
      </c>
      <c r="E2310" s="597">
        <v>7500</v>
      </c>
      <c r="F2310" s="597">
        <v>7500</v>
      </c>
      <c r="G2310" s="597">
        <v>52800</v>
      </c>
      <c r="H2310" s="592" t="s">
        <v>1397</v>
      </c>
    </row>
    <row r="2311" spans="1:8" ht="24.75" customHeight="1" x14ac:dyDescent="0.55000000000000004">
      <c r="A2311" s="592">
        <v>2310</v>
      </c>
      <c r="B2311" s="596" t="s">
        <v>1724</v>
      </c>
      <c r="C2311" s="592" t="s">
        <v>3294</v>
      </c>
      <c r="D2311" s="592">
        <v>7</v>
      </c>
      <c r="E2311" s="597">
        <v>4000</v>
      </c>
      <c r="F2311" s="597">
        <v>4000</v>
      </c>
      <c r="G2311" s="597">
        <v>19600</v>
      </c>
      <c r="H2311" s="592" t="s">
        <v>1397</v>
      </c>
    </row>
    <row r="2312" spans="1:8" ht="24.75" customHeight="1" x14ac:dyDescent="0.55000000000000004">
      <c r="A2312" s="592">
        <v>2311</v>
      </c>
      <c r="B2312" s="596" t="s">
        <v>4965</v>
      </c>
      <c r="C2312" s="592" t="s">
        <v>4966</v>
      </c>
      <c r="D2312" s="592">
        <v>2</v>
      </c>
      <c r="E2312" s="597">
        <v>15000</v>
      </c>
      <c r="F2312" s="597">
        <v>15000</v>
      </c>
      <c r="G2312" s="597">
        <v>24000</v>
      </c>
      <c r="H2312" s="592" t="s">
        <v>1397</v>
      </c>
    </row>
    <row r="2313" spans="1:8" ht="24.75" customHeight="1" x14ac:dyDescent="0.55000000000000004">
      <c r="A2313" s="592">
        <v>2312</v>
      </c>
      <c r="B2313" s="596" t="s">
        <v>4967</v>
      </c>
      <c r="C2313" s="592" t="s">
        <v>8163</v>
      </c>
      <c r="D2313" s="592">
        <v>4</v>
      </c>
      <c r="E2313" s="597">
        <v>13500</v>
      </c>
      <c r="F2313" s="597">
        <v>13500</v>
      </c>
      <c r="G2313" s="597">
        <v>42000</v>
      </c>
      <c r="H2313" s="592" t="s">
        <v>1397</v>
      </c>
    </row>
    <row r="2314" spans="1:8" ht="24.75" customHeight="1" x14ac:dyDescent="0.55000000000000004">
      <c r="A2314" s="592">
        <v>2313</v>
      </c>
      <c r="B2314" s="596" t="s">
        <v>4968</v>
      </c>
      <c r="C2314" s="592" t="s">
        <v>4969</v>
      </c>
      <c r="D2314" s="592">
        <v>2</v>
      </c>
      <c r="E2314" s="597">
        <v>5500</v>
      </c>
      <c r="F2314" s="597">
        <v>5500</v>
      </c>
      <c r="G2314" s="597">
        <v>7000</v>
      </c>
      <c r="H2314" s="592" t="s">
        <v>1397</v>
      </c>
    </row>
    <row r="2315" spans="1:8" ht="24.75" customHeight="1" x14ac:dyDescent="0.55000000000000004">
      <c r="A2315" s="592">
        <v>2314</v>
      </c>
      <c r="B2315" s="596" t="s">
        <v>2445</v>
      </c>
      <c r="C2315" s="592" t="s">
        <v>7962</v>
      </c>
      <c r="D2315" s="592">
        <v>5</v>
      </c>
      <c r="E2315" s="597">
        <v>10000</v>
      </c>
      <c r="F2315" s="597">
        <v>10000</v>
      </c>
      <c r="G2315" s="597">
        <v>34000</v>
      </c>
      <c r="H2315" s="592" t="s">
        <v>1397</v>
      </c>
    </row>
    <row r="2316" spans="1:8" ht="24.75" customHeight="1" x14ac:dyDescent="0.55000000000000004">
      <c r="A2316" s="592">
        <v>2315</v>
      </c>
      <c r="B2316" s="596" t="s">
        <v>4970</v>
      </c>
      <c r="C2316" s="592" t="s">
        <v>4971</v>
      </c>
      <c r="D2316" s="592">
        <v>1</v>
      </c>
      <c r="E2316" s="597">
        <v>3500</v>
      </c>
      <c r="F2316" s="597">
        <v>3500</v>
      </c>
      <c r="G2316" s="597">
        <v>2500</v>
      </c>
      <c r="H2316" s="592" t="s">
        <v>1397</v>
      </c>
    </row>
    <row r="2317" spans="1:8" ht="24.75" customHeight="1" x14ac:dyDescent="0.55000000000000004">
      <c r="A2317" s="592">
        <v>2316</v>
      </c>
      <c r="B2317" s="596" t="s">
        <v>6400</v>
      </c>
      <c r="C2317" s="592" t="s">
        <v>6604</v>
      </c>
      <c r="D2317" s="592">
        <v>7</v>
      </c>
      <c r="E2317" s="597">
        <v>3500</v>
      </c>
      <c r="F2317" s="597">
        <v>3500</v>
      </c>
      <c r="G2317" s="597">
        <v>17850</v>
      </c>
      <c r="H2317" s="592" t="s">
        <v>1397</v>
      </c>
    </row>
    <row r="2318" spans="1:8" ht="24.75" customHeight="1" x14ac:dyDescent="0.55000000000000004">
      <c r="A2318" s="592">
        <v>2317</v>
      </c>
      <c r="B2318" s="596" t="s">
        <v>6401</v>
      </c>
      <c r="C2318" s="592" t="s">
        <v>8328</v>
      </c>
      <c r="D2318" s="592">
        <v>10</v>
      </c>
      <c r="E2318" s="597">
        <v>11700</v>
      </c>
      <c r="F2318" s="597">
        <v>11700</v>
      </c>
      <c r="G2318" s="597">
        <v>88000</v>
      </c>
      <c r="H2318" s="592" t="s">
        <v>1397</v>
      </c>
    </row>
    <row r="2319" spans="1:8" ht="24.75" customHeight="1" x14ac:dyDescent="0.55000000000000004">
      <c r="A2319" s="592">
        <v>2318</v>
      </c>
      <c r="B2319" s="596" t="s">
        <v>4972</v>
      </c>
      <c r="C2319" s="592" t="s">
        <v>4973</v>
      </c>
      <c r="D2319" s="592">
        <v>1</v>
      </c>
      <c r="E2319" s="597">
        <v>1000</v>
      </c>
      <c r="F2319" s="597">
        <v>1000</v>
      </c>
      <c r="G2319" s="597">
        <v>800</v>
      </c>
      <c r="H2319" s="592" t="s">
        <v>1397</v>
      </c>
    </row>
    <row r="2320" spans="1:8" ht="24.75" customHeight="1" x14ac:dyDescent="0.55000000000000004">
      <c r="A2320" s="592">
        <v>2319</v>
      </c>
      <c r="B2320" s="596" t="s">
        <v>4974</v>
      </c>
      <c r="C2320" s="592" t="s">
        <v>4975</v>
      </c>
      <c r="D2320" s="592">
        <v>1</v>
      </c>
      <c r="E2320" s="597">
        <v>800</v>
      </c>
      <c r="F2320" s="597">
        <v>800</v>
      </c>
      <c r="G2320" s="597">
        <v>400</v>
      </c>
      <c r="H2320" s="592" t="s">
        <v>1397</v>
      </c>
    </row>
    <row r="2321" spans="1:8" ht="24.75" customHeight="1" x14ac:dyDescent="0.55000000000000004">
      <c r="A2321" s="592">
        <v>2320</v>
      </c>
      <c r="B2321" s="596" t="s">
        <v>4976</v>
      </c>
      <c r="C2321" s="592" t="s">
        <v>4977</v>
      </c>
      <c r="D2321" s="592">
        <v>59</v>
      </c>
      <c r="E2321" s="597">
        <v>300</v>
      </c>
      <c r="F2321" s="597">
        <v>300</v>
      </c>
      <c r="G2321" s="597">
        <v>7080</v>
      </c>
      <c r="H2321" s="592" t="s">
        <v>1397</v>
      </c>
    </row>
    <row r="2322" spans="1:8" ht="24.75" customHeight="1" x14ac:dyDescent="0.55000000000000004">
      <c r="A2322" s="592">
        <v>2321</v>
      </c>
      <c r="B2322" s="596" t="s">
        <v>1725</v>
      </c>
      <c r="C2322" s="592" t="s">
        <v>978</v>
      </c>
      <c r="D2322" s="592">
        <v>13</v>
      </c>
      <c r="E2322" s="597">
        <v>200</v>
      </c>
      <c r="F2322" s="597">
        <v>200</v>
      </c>
      <c r="G2322" s="597">
        <v>1560</v>
      </c>
      <c r="H2322" s="592" t="s">
        <v>1397</v>
      </c>
    </row>
    <row r="2323" spans="1:8" ht="24.75" customHeight="1" x14ac:dyDescent="0.55000000000000004">
      <c r="A2323" s="592">
        <v>2322</v>
      </c>
      <c r="B2323" s="596" t="s">
        <v>1726</v>
      </c>
      <c r="C2323" s="592" t="s">
        <v>979</v>
      </c>
      <c r="D2323" s="592">
        <v>95</v>
      </c>
      <c r="E2323" s="597">
        <v>300</v>
      </c>
      <c r="F2323" s="597">
        <v>300</v>
      </c>
      <c r="G2323" s="597">
        <v>19000</v>
      </c>
      <c r="H2323" s="592" t="s">
        <v>1397</v>
      </c>
    </row>
    <row r="2324" spans="1:8" ht="24.75" customHeight="1" x14ac:dyDescent="0.55000000000000004">
      <c r="A2324" s="592">
        <v>2323</v>
      </c>
      <c r="B2324" s="596" t="s">
        <v>1727</v>
      </c>
      <c r="C2324" s="592" t="s">
        <v>2515</v>
      </c>
      <c r="D2324" s="592">
        <v>35</v>
      </c>
      <c r="E2324" s="597">
        <v>700</v>
      </c>
      <c r="F2324" s="597">
        <v>700</v>
      </c>
      <c r="G2324" s="597">
        <v>15750</v>
      </c>
      <c r="H2324" s="592" t="s">
        <v>1397</v>
      </c>
    </row>
    <row r="2325" spans="1:8" ht="24.75" customHeight="1" x14ac:dyDescent="0.55000000000000004">
      <c r="A2325" s="592">
        <v>2324</v>
      </c>
      <c r="B2325" s="596" t="s">
        <v>2516</v>
      </c>
      <c r="C2325" s="592" t="s">
        <v>2517</v>
      </c>
      <c r="D2325" s="592">
        <v>29</v>
      </c>
      <c r="E2325" s="597">
        <v>800</v>
      </c>
      <c r="F2325" s="597">
        <v>800</v>
      </c>
      <c r="G2325" s="597">
        <v>14500</v>
      </c>
      <c r="H2325" s="592" t="s">
        <v>1397</v>
      </c>
    </row>
    <row r="2326" spans="1:8" ht="24.75" customHeight="1" x14ac:dyDescent="0.55000000000000004">
      <c r="A2326" s="592">
        <v>2325</v>
      </c>
      <c r="B2326" s="596" t="s">
        <v>6752</v>
      </c>
      <c r="C2326" s="592" t="s">
        <v>6753</v>
      </c>
      <c r="D2326" s="592">
        <v>209</v>
      </c>
      <c r="E2326" s="597">
        <v>38000</v>
      </c>
      <c r="F2326" s="597">
        <v>38000</v>
      </c>
      <c r="G2326" s="597">
        <v>6479000</v>
      </c>
      <c r="H2326" s="592" t="s">
        <v>1397</v>
      </c>
    </row>
    <row r="2327" spans="1:8" ht="24.75" customHeight="1" x14ac:dyDescent="0.55000000000000004">
      <c r="A2327" s="592">
        <v>2326</v>
      </c>
      <c r="B2327" s="596" t="s">
        <v>1728</v>
      </c>
      <c r="C2327" s="592" t="s">
        <v>7427</v>
      </c>
      <c r="D2327" s="592">
        <v>10</v>
      </c>
      <c r="E2327" s="597">
        <v>1000</v>
      </c>
      <c r="F2327" s="597">
        <v>1000</v>
      </c>
      <c r="G2327" s="597">
        <v>6750</v>
      </c>
      <c r="H2327" s="592" t="s">
        <v>1397</v>
      </c>
    </row>
    <row r="2328" spans="1:8" ht="24.75" customHeight="1" x14ac:dyDescent="0.55000000000000004">
      <c r="A2328" s="592">
        <v>2327</v>
      </c>
      <c r="B2328" s="596" t="s">
        <v>4978</v>
      </c>
      <c r="C2328" s="592" t="s">
        <v>4979</v>
      </c>
      <c r="D2328" s="592">
        <v>1</v>
      </c>
      <c r="E2328" s="597">
        <v>8000</v>
      </c>
      <c r="F2328" s="597">
        <v>8000</v>
      </c>
      <c r="G2328" s="597">
        <v>5200</v>
      </c>
      <c r="H2328" s="592" t="s">
        <v>1397</v>
      </c>
    </row>
    <row r="2329" spans="1:8" ht="24.75" customHeight="1" x14ac:dyDescent="0.55000000000000004">
      <c r="A2329" s="592">
        <v>2328</v>
      </c>
      <c r="B2329" s="596" t="s">
        <v>4980</v>
      </c>
      <c r="C2329" s="592" t="s">
        <v>4981</v>
      </c>
      <c r="D2329" s="592">
        <v>5</v>
      </c>
      <c r="E2329" s="597">
        <v>4500</v>
      </c>
      <c r="F2329" s="597">
        <v>4500</v>
      </c>
      <c r="G2329" s="597">
        <v>15000</v>
      </c>
      <c r="H2329" s="592" t="s">
        <v>1397</v>
      </c>
    </row>
    <row r="2330" spans="1:8" ht="24.75" customHeight="1" x14ac:dyDescent="0.55000000000000004">
      <c r="A2330" s="592">
        <v>2329</v>
      </c>
      <c r="B2330" s="596" t="s">
        <v>4982</v>
      </c>
      <c r="C2330" s="592" t="s">
        <v>7794</v>
      </c>
      <c r="D2330" s="592">
        <v>2</v>
      </c>
      <c r="E2330" s="597">
        <v>40000</v>
      </c>
      <c r="F2330" s="597">
        <v>40000</v>
      </c>
      <c r="G2330" s="597">
        <v>56000</v>
      </c>
      <c r="H2330" s="592" t="s">
        <v>1397</v>
      </c>
    </row>
    <row r="2331" spans="1:8" ht="24.75" customHeight="1" x14ac:dyDescent="0.55000000000000004">
      <c r="A2331" s="592">
        <v>2330</v>
      </c>
      <c r="B2331" s="596" t="s">
        <v>4983</v>
      </c>
      <c r="C2331" s="592" t="s">
        <v>4984</v>
      </c>
      <c r="D2331" s="592">
        <v>2</v>
      </c>
      <c r="E2331" s="597">
        <v>6500</v>
      </c>
      <c r="F2331" s="597">
        <v>6500</v>
      </c>
      <c r="G2331" s="597">
        <v>9000</v>
      </c>
      <c r="H2331" s="592" t="s">
        <v>1397</v>
      </c>
    </row>
    <row r="2332" spans="1:8" ht="24.75" customHeight="1" x14ac:dyDescent="0.55000000000000004">
      <c r="A2332" s="592">
        <v>2331</v>
      </c>
      <c r="B2332" s="596" t="s">
        <v>7963</v>
      </c>
      <c r="C2332" s="592" t="s">
        <v>7964</v>
      </c>
      <c r="D2332" s="592">
        <v>2</v>
      </c>
      <c r="E2332" s="597">
        <v>8000</v>
      </c>
      <c r="F2332" s="597">
        <v>8000</v>
      </c>
      <c r="G2332" s="597">
        <v>12000</v>
      </c>
      <c r="H2332" s="592" t="s">
        <v>1397</v>
      </c>
    </row>
    <row r="2333" spans="1:8" ht="24.75" customHeight="1" x14ac:dyDescent="0.55000000000000004">
      <c r="A2333" s="592">
        <v>2332</v>
      </c>
      <c r="B2333" s="596" t="s">
        <v>4985</v>
      </c>
      <c r="C2333" s="592" t="s">
        <v>4986</v>
      </c>
      <c r="D2333" s="592">
        <v>2</v>
      </c>
      <c r="E2333" s="597">
        <v>8000</v>
      </c>
      <c r="F2333" s="597">
        <v>8000</v>
      </c>
      <c r="G2333" s="597">
        <v>12000</v>
      </c>
      <c r="H2333" s="592" t="s">
        <v>1397</v>
      </c>
    </row>
    <row r="2334" spans="1:8" ht="24.75" customHeight="1" x14ac:dyDescent="0.55000000000000004">
      <c r="A2334" s="592">
        <v>2333</v>
      </c>
      <c r="B2334" s="596" t="s">
        <v>4987</v>
      </c>
      <c r="C2334" s="592" t="s">
        <v>7179</v>
      </c>
      <c r="D2334" s="592">
        <v>2</v>
      </c>
      <c r="E2334" s="597">
        <v>6500</v>
      </c>
      <c r="F2334" s="597">
        <v>6500</v>
      </c>
      <c r="G2334" s="597">
        <v>9600</v>
      </c>
      <c r="H2334" s="592" t="s">
        <v>1397</v>
      </c>
    </row>
    <row r="2335" spans="1:8" ht="24.75" customHeight="1" x14ac:dyDescent="0.55000000000000004">
      <c r="A2335" s="592">
        <v>2334</v>
      </c>
      <c r="B2335" s="596" t="s">
        <v>4988</v>
      </c>
      <c r="C2335" s="592" t="s">
        <v>4989</v>
      </c>
      <c r="D2335" s="592">
        <v>12</v>
      </c>
      <c r="E2335" s="597">
        <v>300</v>
      </c>
      <c r="F2335" s="597">
        <v>300</v>
      </c>
      <c r="G2335" s="597">
        <v>2400</v>
      </c>
      <c r="H2335" s="592" t="s">
        <v>1397</v>
      </c>
    </row>
    <row r="2336" spans="1:8" ht="24.75" customHeight="1" x14ac:dyDescent="0.55000000000000004">
      <c r="A2336" s="592">
        <v>2335</v>
      </c>
      <c r="B2336" s="596" t="s">
        <v>1729</v>
      </c>
      <c r="C2336" s="592" t="s">
        <v>1730</v>
      </c>
      <c r="D2336" s="592">
        <v>24</v>
      </c>
      <c r="E2336" s="597">
        <v>500</v>
      </c>
      <c r="F2336" s="597">
        <v>500</v>
      </c>
      <c r="G2336" s="597">
        <v>5520</v>
      </c>
      <c r="H2336" s="592" t="s">
        <v>1397</v>
      </c>
    </row>
    <row r="2337" spans="1:8" ht="24.75" customHeight="1" x14ac:dyDescent="0.55000000000000004">
      <c r="A2337" s="592">
        <v>2336</v>
      </c>
      <c r="B2337" s="596" t="s">
        <v>8329</v>
      </c>
      <c r="C2337" s="592" t="s">
        <v>8330</v>
      </c>
      <c r="D2337" s="592">
        <v>2</v>
      </c>
      <c r="E2337" s="597">
        <v>700</v>
      </c>
      <c r="F2337" s="597">
        <v>700</v>
      </c>
      <c r="G2337" s="597">
        <v>800</v>
      </c>
      <c r="H2337" s="592" t="s">
        <v>1397</v>
      </c>
    </row>
    <row r="2338" spans="1:8" ht="24.75" customHeight="1" x14ac:dyDescent="0.55000000000000004">
      <c r="A2338" s="592">
        <v>2337</v>
      </c>
      <c r="B2338" s="596" t="s">
        <v>4990</v>
      </c>
      <c r="C2338" s="592" t="s">
        <v>4991</v>
      </c>
      <c r="D2338" s="592">
        <v>4</v>
      </c>
      <c r="E2338" s="597">
        <v>800</v>
      </c>
      <c r="F2338" s="597">
        <v>800</v>
      </c>
      <c r="G2338" s="597">
        <v>2000</v>
      </c>
      <c r="H2338" s="592" t="s">
        <v>1397</v>
      </c>
    </row>
    <row r="2339" spans="1:8" ht="24.75" customHeight="1" x14ac:dyDescent="0.55000000000000004">
      <c r="A2339" s="592">
        <v>2338</v>
      </c>
      <c r="B2339" s="596" t="s">
        <v>8478</v>
      </c>
      <c r="C2339" s="592" t="s">
        <v>8479</v>
      </c>
      <c r="D2339" s="592">
        <v>10</v>
      </c>
      <c r="E2339" s="597">
        <v>900</v>
      </c>
      <c r="F2339" s="597">
        <v>900</v>
      </c>
      <c r="G2339" s="597">
        <v>7000</v>
      </c>
      <c r="H2339" s="592" t="s">
        <v>1397</v>
      </c>
    </row>
    <row r="2340" spans="1:8" ht="24.75" customHeight="1" x14ac:dyDescent="0.55000000000000004">
      <c r="A2340" s="592">
        <v>2339</v>
      </c>
      <c r="B2340" s="596" t="s">
        <v>4992</v>
      </c>
      <c r="C2340" s="592" t="s">
        <v>4993</v>
      </c>
      <c r="D2340" s="592">
        <v>23</v>
      </c>
      <c r="E2340" s="597">
        <v>1200</v>
      </c>
      <c r="F2340" s="597">
        <v>1200</v>
      </c>
      <c r="G2340" s="597">
        <v>19550</v>
      </c>
      <c r="H2340" s="592" t="s">
        <v>1397</v>
      </c>
    </row>
    <row r="2341" spans="1:8" ht="24.75" customHeight="1" x14ac:dyDescent="0.55000000000000004">
      <c r="A2341" s="592">
        <v>2340</v>
      </c>
      <c r="B2341" s="596" t="s">
        <v>4994</v>
      </c>
      <c r="C2341" s="592" t="s">
        <v>4995</v>
      </c>
      <c r="D2341" s="592">
        <v>1</v>
      </c>
      <c r="E2341" s="597">
        <v>5000</v>
      </c>
      <c r="F2341" s="597">
        <v>5000</v>
      </c>
      <c r="G2341" s="597">
        <v>3500</v>
      </c>
      <c r="H2341" s="592" t="s">
        <v>1397</v>
      </c>
    </row>
    <row r="2342" spans="1:8" ht="24.75" customHeight="1" x14ac:dyDescent="0.55000000000000004">
      <c r="A2342" s="592">
        <v>2341</v>
      </c>
      <c r="B2342" s="596" t="s">
        <v>3365</v>
      </c>
      <c r="C2342" s="592" t="s">
        <v>3366</v>
      </c>
      <c r="D2342" s="592">
        <v>1</v>
      </c>
      <c r="E2342" s="597">
        <v>7500</v>
      </c>
      <c r="F2342" s="597">
        <v>7500</v>
      </c>
      <c r="G2342" s="597">
        <v>6250</v>
      </c>
      <c r="H2342" s="592" t="s">
        <v>1397</v>
      </c>
    </row>
    <row r="2343" spans="1:8" ht="24.75" customHeight="1" x14ac:dyDescent="0.55000000000000004">
      <c r="A2343" s="592">
        <v>2342</v>
      </c>
      <c r="B2343" s="596" t="s">
        <v>4996</v>
      </c>
      <c r="C2343" s="592" t="s">
        <v>4997</v>
      </c>
      <c r="D2343" s="592">
        <v>1</v>
      </c>
      <c r="E2343" s="597">
        <v>1500</v>
      </c>
      <c r="F2343" s="597">
        <v>1500</v>
      </c>
      <c r="G2343" s="597">
        <v>1000</v>
      </c>
      <c r="H2343" s="592" t="s">
        <v>1397</v>
      </c>
    </row>
    <row r="2344" spans="1:8" ht="24.75" customHeight="1" x14ac:dyDescent="0.55000000000000004">
      <c r="A2344" s="592">
        <v>2343</v>
      </c>
      <c r="B2344" s="596" t="s">
        <v>4998</v>
      </c>
      <c r="C2344" s="592" t="s">
        <v>4999</v>
      </c>
      <c r="D2344" s="592">
        <v>2</v>
      </c>
      <c r="E2344" s="597">
        <v>6500</v>
      </c>
      <c r="F2344" s="597">
        <v>6500</v>
      </c>
      <c r="G2344" s="597">
        <v>9200</v>
      </c>
      <c r="H2344" s="592" t="s">
        <v>1397</v>
      </c>
    </row>
    <row r="2345" spans="1:8" ht="24.75" customHeight="1" x14ac:dyDescent="0.55000000000000004">
      <c r="A2345" s="592">
        <v>2344</v>
      </c>
      <c r="B2345" s="596" t="s">
        <v>5000</v>
      </c>
      <c r="C2345" s="592" t="s">
        <v>5001</v>
      </c>
      <c r="D2345" s="592">
        <v>1</v>
      </c>
      <c r="E2345" s="597">
        <v>5000</v>
      </c>
      <c r="F2345" s="597">
        <v>5000</v>
      </c>
      <c r="G2345" s="597">
        <v>4000</v>
      </c>
      <c r="H2345" s="592" t="s">
        <v>1397</v>
      </c>
    </row>
    <row r="2346" spans="1:8" ht="24.75" customHeight="1" x14ac:dyDescent="0.55000000000000004">
      <c r="A2346" s="592">
        <v>2345</v>
      </c>
      <c r="B2346" s="596" t="s">
        <v>5002</v>
      </c>
      <c r="C2346" s="592" t="s">
        <v>5003</v>
      </c>
      <c r="D2346" s="592">
        <v>1</v>
      </c>
      <c r="E2346" s="597">
        <v>1500</v>
      </c>
      <c r="F2346" s="597">
        <v>1500</v>
      </c>
      <c r="G2346" s="597">
        <v>1000</v>
      </c>
      <c r="H2346" s="592" t="s">
        <v>1397</v>
      </c>
    </row>
    <row r="2347" spans="1:8" ht="24.75" customHeight="1" x14ac:dyDescent="0.55000000000000004">
      <c r="A2347" s="592">
        <v>2346</v>
      </c>
      <c r="B2347" s="596" t="s">
        <v>5004</v>
      </c>
      <c r="C2347" s="592" t="s">
        <v>5005</v>
      </c>
      <c r="D2347" s="592">
        <v>1</v>
      </c>
      <c r="E2347" s="597">
        <v>3500</v>
      </c>
      <c r="F2347" s="597">
        <v>3500</v>
      </c>
      <c r="G2347" s="597">
        <v>2800</v>
      </c>
      <c r="H2347" s="592" t="s">
        <v>1397</v>
      </c>
    </row>
    <row r="2348" spans="1:8" ht="24.75" customHeight="1" x14ac:dyDescent="0.55000000000000004">
      <c r="A2348" s="592">
        <v>2347</v>
      </c>
      <c r="B2348" s="596" t="s">
        <v>5006</v>
      </c>
      <c r="C2348" s="592" t="s">
        <v>5007</v>
      </c>
      <c r="D2348" s="592">
        <v>10</v>
      </c>
      <c r="E2348" s="597">
        <v>1500</v>
      </c>
      <c r="F2348" s="597">
        <v>1500</v>
      </c>
      <c r="G2348" s="597">
        <v>6500</v>
      </c>
      <c r="H2348" s="592" t="s">
        <v>1397</v>
      </c>
    </row>
    <row r="2349" spans="1:8" ht="24.75" customHeight="1" x14ac:dyDescent="0.55000000000000004">
      <c r="A2349" s="592">
        <v>2348</v>
      </c>
      <c r="B2349" s="596" t="s">
        <v>1731</v>
      </c>
      <c r="C2349" s="592" t="s">
        <v>8331</v>
      </c>
      <c r="D2349" s="592">
        <v>4</v>
      </c>
      <c r="E2349" s="597">
        <v>5000</v>
      </c>
      <c r="F2349" s="597">
        <v>5000</v>
      </c>
      <c r="G2349" s="597">
        <v>16000</v>
      </c>
      <c r="H2349" s="592" t="s">
        <v>1397</v>
      </c>
    </row>
    <row r="2350" spans="1:8" ht="24.75" customHeight="1" x14ac:dyDescent="0.55000000000000004">
      <c r="A2350" s="592">
        <v>2349</v>
      </c>
      <c r="B2350" s="596" t="s">
        <v>5008</v>
      </c>
      <c r="C2350" s="592" t="s">
        <v>5009</v>
      </c>
      <c r="D2350" s="592">
        <v>2</v>
      </c>
      <c r="E2350" s="597">
        <v>9600</v>
      </c>
      <c r="F2350" s="597">
        <v>9600</v>
      </c>
      <c r="G2350" s="597">
        <v>8000</v>
      </c>
      <c r="H2350" s="592" t="s">
        <v>1397</v>
      </c>
    </row>
    <row r="2351" spans="1:8" ht="24.75" customHeight="1" x14ac:dyDescent="0.55000000000000004">
      <c r="A2351" s="592">
        <v>2350</v>
      </c>
      <c r="B2351" s="596" t="s">
        <v>1732</v>
      </c>
      <c r="C2351" s="592" t="s">
        <v>8332</v>
      </c>
      <c r="D2351" s="592">
        <v>6</v>
      </c>
      <c r="E2351" s="597">
        <v>3300</v>
      </c>
      <c r="F2351" s="597">
        <v>3300</v>
      </c>
      <c r="G2351" s="597">
        <v>13500</v>
      </c>
      <c r="H2351" s="592" t="s">
        <v>1397</v>
      </c>
    </row>
    <row r="2352" spans="1:8" ht="24.75" customHeight="1" x14ac:dyDescent="0.55000000000000004">
      <c r="A2352" s="592">
        <v>2351</v>
      </c>
      <c r="B2352" s="596" t="s">
        <v>2890</v>
      </c>
      <c r="C2352" s="592" t="s">
        <v>2891</v>
      </c>
      <c r="D2352" s="592">
        <v>9</v>
      </c>
      <c r="E2352" s="597">
        <v>600</v>
      </c>
      <c r="F2352" s="597">
        <v>600</v>
      </c>
      <c r="G2352" s="597">
        <v>4050</v>
      </c>
      <c r="H2352" s="592" t="s">
        <v>1397</v>
      </c>
    </row>
    <row r="2353" spans="1:8" ht="24.75" customHeight="1" x14ac:dyDescent="0.55000000000000004">
      <c r="A2353" s="592">
        <v>2352</v>
      </c>
      <c r="B2353" s="596" t="s">
        <v>5010</v>
      </c>
      <c r="C2353" s="592" t="s">
        <v>5011</v>
      </c>
      <c r="D2353" s="592">
        <v>2</v>
      </c>
      <c r="E2353" s="597">
        <v>2000</v>
      </c>
      <c r="F2353" s="597">
        <v>2000</v>
      </c>
      <c r="G2353" s="597">
        <v>2800</v>
      </c>
      <c r="H2353" s="592" t="s">
        <v>1397</v>
      </c>
    </row>
    <row r="2354" spans="1:8" ht="24.75" customHeight="1" x14ac:dyDescent="0.55000000000000004">
      <c r="A2354" s="592">
        <v>2353</v>
      </c>
      <c r="B2354" s="596" t="s">
        <v>5012</v>
      </c>
      <c r="C2354" s="592" t="s">
        <v>5013</v>
      </c>
      <c r="D2354" s="592">
        <v>2</v>
      </c>
      <c r="E2354" s="597">
        <v>1000</v>
      </c>
      <c r="F2354" s="597">
        <v>1000</v>
      </c>
      <c r="G2354" s="597">
        <v>1000</v>
      </c>
      <c r="H2354" s="592" t="s">
        <v>1397</v>
      </c>
    </row>
    <row r="2355" spans="1:8" ht="24.75" customHeight="1" x14ac:dyDescent="0.55000000000000004">
      <c r="A2355" s="592">
        <v>2354</v>
      </c>
      <c r="B2355" s="596" t="s">
        <v>5014</v>
      </c>
      <c r="C2355" s="592" t="s">
        <v>5015</v>
      </c>
      <c r="D2355" s="592">
        <v>7</v>
      </c>
      <c r="E2355" s="597">
        <v>7000</v>
      </c>
      <c r="F2355" s="597">
        <v>7000</v>
      </c>
      <c r="G2355" s="597">
        <v>26600</v>
      </c>
      <c r="H2355" s="592" t="s">
        <v>1397</v>
      </c>
    </row>
    <row r="2356" spans="1:8" ht="24.75" customHeight="1" x14ac:dyDescent="0.55000000000000004">
      <c r="A2356" s="592">
        <v>2355</v>
      </c>
      <c r="B2356" s="596" t="s">
        <v>7965</v>
      </c>
      <c r="C2356" s="592" t="s">
        <v>7966</v>
      </c>
      <c r="D2356" s="592">
        <v>1</v>
      </c>
      <c r="E2356" s="597">
        <v>18500</v>
      </c>
      <c r="F2356" s="597">
        <v>18500</v>
      </c>
      <c r="G2356" s="597">
        <v>13500</v>
      </c>
      <c r="H2356" s="592" t="s">
        <v>1397</v>
      </c>
    </row>
    <row r="2357" spans="1:8" ht="24.75" customHeight="1" x14ac:dyDescent="0.55000000000000004">
      <c r="A2357" s="592">
        <v>2356</v>
      </c>
      <c r="B2357" s="596" t="s">
        <v>5016</v>
      </c>
      <c r="C2357" s="592" t="s">
        <v>5017</v>
      </c>
      <c r="D2357" s="592">
        <v>2</v>
      </c>
      <c r="E2357" s="597">
        <v>7500</v>
      </c>
      <c r="F2357" s="597">
        <v>7500</v>
      </c>
      <c r="G2357" s="597">
        <v>12000</v>
      </c>
      <c r="H2357" s="592" t="s">
        <v>1397</v>
      </c>
    </row>
    <row r="2358" spans="1:8" ht="24.75" customHeight="1" x14ac:dyDescent="0.55000000000000004">
      <c r="A2358" s="592">
        <v>2357</v>
      </c>
      <c r="B2358" s="596" t="s">
        <v>5018</v>
      </c>
      <c r="C2358" s="592" t="s">
        <v>5019</v>
      </c>
      <c r="D2358" s="592">
        <v>4</v>
      </c>
      <c r="E2358" s="597">
        <v>6000</v>
      </c>
      <c r="F2358" s="597">
        <v>6000</v>
      </c>
      <c r="G2358" s="597">
        <v>16400</v>
      </c>
      <c r="H2358" s="592" t="s">
        <v>1397</v>
      </c>
    </row>
    <row r="2359" spans="1:8" ht="24.75" customHeight="1" x14ac:dyDescent="0.55000000000000004">
      <c r="A2359" s="592">
        <v>2358</v>
      </c>
      <c r="B2359" s="596" t="s">
        <v>6356</v>
      </c>
      <c r="C2359" s="592" t="s">
        <v>6357</v>
      </c>
      <c r="D2359" s="592">
        <v>3</v>
      </c>
      <c r="E2359" s="597">
        <v>9500</v>
      </c>
      <c r="F2359" s="597">
        <v>9500</v>
      </c>
      <c r="G2359" s="597">
        <v>19800</v>
      </c>
      <c r="H2359" s="592" t="s">
        <v>1397</v>
      </c>
    </row>
    <row r="2360" spans="1:8" ht="24.75" customHeight="1" x14ac:dyDescent="0.55000000000000004">
      <c r="A2360" s="592">
        <v>2359</v>
      </c>
      <c r="B2360" s="596" t="s">
        <v>5020</v>
      </c>
      <c r="C2360" s="592" t="s">
        <v>5021</v>
      </c>
      <c r="D2360" s="592">
        <v>10</v>
      </c>
      <c r="E2360" s="597">
        <v>1000</v>
      </c>
      <c r="F2360" s="597">
        <v>1000</v>
      </c>
      <c r="G2360" s="597">
        <v>5000</v>
      </c>
      <c r="H2360" s="592" t="s">
        <v>1397</v>
      </c>
    </row>
    <row r="2361" spans="1:8" ht="24.75" customHeight="1" x14ac:dyDescent="0.55000000000000004">
      <c r="A2361" s="592">
        <v>2360</v>
      </c>
      <c r="B2361" s="596" t="s">
        <v>6275</v>
      </c>
      <c r="C2361" s="592" t="s">
        <v>6402</v>
      </c>
      <c r="D2361" s="592">
        <v>3</v>
      </c>
      <c r="E2361" s="597">
        <v>6000</v>
      </c>
      <c r="F2361" s="597">
        <v>6000</v>
      </c>
      <c r="G2361" s="597">
        <v>10500</v>
      </c>
      <c r="H2361" s="592" t="s">
        <v>1397</v>
      </c>
    </row>
    <row r="2362" spans="1:8" ht="24.75" customHeight="1" x14ac:dyDescent="0.55000000000000004">
      <c r="A2362" s="592">
        <v>2361</v>
      </c>
      <c r="B2362" s="596" t="s">
        <v>1733</v>
      </c>
      <c r="C2362" s="592" t="s">
        <v>6605</v>
      </c>
      <c r="D2362" s="592">
        <v>5</v>
      </c>
      <c r="E2362" s="597">
        <v>14500</v>
      </c>
      <c r="F2362" s="597">
        <v>14500</v>
      </c>
      <c r="G2362" s="597">
        <v>60000</v>
      </c>
      <c r="H2362" s="592" t="s">
        <v>1397</v>
      </c>
    </row>
    <row r="2363" spans="1:8" ht="24.75" customHeight="1" x14ac:dyDescent="0.55000000000000004">
      <c r="A2363" s="592">
        <v>2362</v>
      </c>
      <c r="B2363" s="596" t="s">
        <v>1734</v>
      </c>
      <c r="C2363" s="592" t="s">
        <v>6403</v>
      </c>
      <c r="D2363" s="592">
        <v>6</v>
      </c>
      <c r="E2363" s="597">
        <v>7000</v>
      </c>
      <c r="F2363" s="597">
        <v>7000</v>
      </c>
      <c r="G2363" s="597">
        <v>33000</v>
      </c>
      <c r="H2363" s="592" t="s">
        <v>1397</v>
      </c>
    </row>
    <row r="2364" spans="1:8" ht="24.75" customHeight="1" x14ac:dyDescent="0.55000000000000004">
      <c r="A2364" s="592">
        <v>2363</v>
      </c>
      <c r="B2364" s="596" t="s">
        <v>5022</v>
      </c>
      <c r="C2364" s="592" t="s">
        <v>5023</v>
      </c>
      <c r="D2364" s="592">
        <v>1</v>
      </c>
      <c r="E2364" s="597">
        <v>7500</v>
      </c>
      <c r="F2364" s="597">
        <v>7500</v>
      </c>
      <c r="G2364" s="597">
        <v>4200</v>
      </c>
      <c r="H2364" s="592" t="s">
        <v>1397</v>
      </c>
    </row>
    <row r="2365" spans="1:8" ht="24.75" customHeight="1" x14ac:dyDescent="0.55000000000000004">
      <c r="A2365" s="592">
        <v>2364</v>
      </c>
      <c r="B2365" s="596" t="s">
        <v>1735</v>
      </c>
      <c r="C2365" s="592" t="s">
        <v>6505</v>
      </c>
      <c r="D2365" s="592">
        <v>1</v>
      </c>
      <c r="E2365" s="597">
        <v>1000</v>
      </c>
      <c r="F2365" s="597">
        <v>1000</v>
      </c>
      <c r="G2365" s="597">
        <v>575</v>
      </c>
      <c r="H2365" s="592" t="s">
        <v>1397</v>
      </c>
    </row>
    <row r="2366" spans="1:8" ht="24.75" customHeight="1" x14ac:dyDescent="0.55000000000000004">
      <c r="A2366" s="592">
        <v>2365</v>
      </c>
      <c r="B2366" s="596" t="s">
        <v>5024</v>
      </c>
      <c r="C2366" s="592" t="s">
        <v>5025</v>
      </c>
      <c r="D2366" s="592">
        <v>1</v>
      </c>
      <c r="E2366" s="597">
        <v>25000</v>
      </c>
      <c r="F2366" s="597">
        <v>25000</v>
      </c>
      <c r="G2366" s="597">
        <v>20000</v>
      </c>
      <c r="H2366" s="592" t="s">
        <v>1397</v>
      </c>
    </row>
    <row r="2367" spans="1:8" ht="24.75" customHeight="1" x14ac:dyDescent="0.55000000000000004">
      <c r="A2367" s="592">
        <v>2366</v>
      </c>
      <c r="B2367" s="596" t="s">
        <v>5026</v>
      </c>
      <c r="C2367" s="592" t="s">
        <v>5027</v>
      </c>
      <c r="D2367" s="592">
        <v>13</v>
      </c>
      <c r="E2367" s="597">
        <v>1200</v>
      </c>
      <c r="F2367" s="597">
        <v>1200</v>
      </c>
      <c r="G2367" s="597">
        <v>8450</v>
      </c>
      <c r="H2367" s="592" t="s">
        <v>1397</v>
      </c>
    </row>
    <row r="2368" spans="1:8" ht="24.75" customHeight="1" x14ac:dyDescent="0.55000000000000004">
      <c r="A2368" s="592">
        <v>2367</v>
      </c>
      <c r="B2368" s="596" t="s">
        <v>6404</v>
      </c>
      <c r="C2368" s="592" t="s">
        <v>6405</v>
      </c>
      <c r="D2368" s="592">
        <v>7</v>
      </c>
      <c r="E2368" s="597">
        <v>500</v>
      </c>
      <c r="F2368" s="597">
        <v>500</v>
      </c>
      <c r="G2368" s="597">
        <v>1890</v>
      </c>
      <c r="H2368" s="592" t="s">
        <v>1397</v>
      </c>
    </row>
    <row r="2369" spans="1:8" ht="24.75" customHeight="1" x14ac:dyDescent="0.55000000000000004">
      <c r="A2369" s="592">
        <v>2368</v>
      </c>
      <c r="B2369" s="596" t="s">
        <v>5028</v>
      </c>
      <c r="C2369" s="592" t="s">
        <v>5029</v>
      </c>
      <c r="D2369" s="592">
        <v>1</v>
      </c>
      <c r="E2369" s="597">
        <v>3000</v>
      </c>
      <c r="F2369" s="597">
        <v>3000</v>
      </c>
      <c r="G2369" s="597">
        <v>2100</v>
      </c>
      <c r="H2369" s="592" t="s">
        <v>1397</v>
      </c>
    </row>
    <row r="2370" spans="1:8" ht="24.75" customHeight="1" x14ac:dyDescent="0.55000000000000004">
      <c r="A2370" s="592">
        <v>2369</v>
      </c>
      <c r="B2370" s="596" t="s">
        <v>5030</v>
      </c>
      <c r="C2370" s="592" t="s">
        <v>5031</v>
      </c>
      <c r="D2370" s="592">
        <v>3</v>
      </c>
      <c r="E2370" s="597">
        <v>12000</v>
      </c>
      <c r="F2370" s="597">
        <v>12000</v>
      </c>
      <c r="G2370" s="597">
        <v>25800</v>
      </c>
      <c r="H2370" s="592" t="s">
        <v>1397</v>
      </c>
    </row>
    <row r="2371" spans="1:8" ht="24.75" customHeight="1" x14ac:dyDescent="0.55000000000000004">
      <c r="A2371" s="592">
        <v>2370</v>
      </c>
      <c r="B2371" s="596" t="s">
        <v>7795</v>
      </c>
      <c r="C2371" s="592" t="s">
        <v>7796</v>
      </c>
      <c r="D2371" s="592">
        <v>1</v>
      </c>
      <c r="E2371" s="597">
        <v>15000</v>
      </c>
      <c r="F2371" s="597">
        <v>15000</v>
      </c>
      <c r="G2371" s="597">
        <v>11000</v>
      </c>
      <c r="H2371" s="592" t="s">
        <v>1397</v>
      </c>
    </row>
    <row r="2372" spans="1:8" ht="24.75" customHeight="1" x14ac:dyDescent="0.55000000000000004">
      <c r="A2372" s="592">
        <v>2371</v>
      </c>
      <c r="B2372" s="596" t="s">
        <v>5032</v>
      </c>
      <c r="C2372" s="592" t="s">
        <v>5033</v>
      </c>
      <c r="D2372" s="592">
        <v>2</v>
      </c>
      <c r="E2372" s="597">
        <v>2000</v>
      </c>
      <c r="F2372" s="597">
        <v>2000</v>
      </c>
      <c r="G2372" s="597">
        <v>2900</v>
      </c>
      <c r="H2372" s="592" t="s">
        <v>1397</v>
      </c>
    </row>
    <row r="2373" spans="1:8" ht="24.75" customHeight="1" x14ac:dyDescent="0.55000000000000004">
      <c r="A2373" s="592">
        <v>2372</v>
      </c>
      <c r="B2373" s="596" t="s">
        <v>2892</v>
      </c>
      <c r="C2373" s="592" t="s">
        <v>6884</v>
      </c>
      <c r="D2373" s="592">
        <v>1</v>
      </c>
      <c r="E2373" s="597">
        <v>9500</v>
      </c>
      <c r="F2373" s="597">
        <v>9500</v>
      </c>
      <c r="G2373" s="597">
        <v>7500</v>
      </c>
      <c r="H2373" s="592" t="s">
        <v>1397</v>
      </c>
    </row>
    <row r="2374" spans="1:8" ht="24.75" customHeight="1" x14ac:dyDescent="0.55000000000000004">
      <c r="A2374" s="592">
        <v>2373</v>
      </c>
      <c r="B2374" s="596" t="s">
        <v>5034</v>
      </c>
      <c r="C2374" s="592" t="s">
        <v>6885</v>
      </c>
      <c r="D2374" s="592">
        <v>2</v>
      </c>
      <c r="E2374" s="597">
        <v>11000</v>
      </c>
      <c r="F2374" s="597">
        <v>11000</v>
      </c>
      <c r="G2374" s="597">
        <v>14500</v>
      </c>
      <c r="H2374" s="592" t="s">
        <v>1397</v>
      </c>
    </row>
    <row r="2375" spans="1:8" ht="24.75" customHeight="1" x14ac:dyDescent="0.55000000000000004">
      <c r="A2375" s="592">
        <v>2374</v>
      </c>
      <c r="B2375" s="596" t="s">
        <v>2312</v>
      </c>
      <c r="C2375" s="592" t="s">
        <v>2313</v>
      </c>
      <c r="D2375" s="592">
        <v>6</v>
      </c>
      <c r="E2375" s="597">
        <v>12000</v>
      </c>
      <c r="F2375" s="597">
        <v>12000</v>
      </c>
      <c r="G2375" s="597">
        <v>46800</v>
      </c>
      <c r="H2375" s="592" t="s">
        <v>1397</v>
      </c>
    </row>
    <row r="2376" spans="1:8" ht="24.75" customHeight="1" x14ac:dyDescent="0.55000000000000004">
      <c r="A2376" s="592">
        <v>2375</v>
      </c>
      <c r="B2376" s="596" t="s">
        <v>1736</v>
      </c>
      <c r="C2376" s="592" t="s">
        <v>1737</v>
      </c>
      <c r="D2376" s="592">
        <v>2</v>
      </c>
      <c r="E2376" s="597">
        <v>14000</v>
      </c>
      <c r="F2376" s="597">
        <v>14000</v>
      </c>
      <c r="G2376" s="597">
        <v>22000</v>
      </c>
      <c r="H2376" s="592" t="s">
        <v>1397</v>
      </c>
    </row>
    <row r="2377" spans="1:8" ht="24.75" customHeight="1" x14ac:dyDescent="0.55000000000000004">
      <c r="A2377" s="592">
        <v>2376</v>
      </c>
      <c r="B2377" s="596" t="s">
        <v>3462</v>
      </c>
      <c r="C2377" s="592" t="s">
        <v>3463</v>
      </c>
      <c r="D2377" s="592">
        <v>7</v>
      </c>
      <c r="E2377" s="597">
        <v>1000</v>
      </c>
      <c r="F2377" s="597">
        <v>1000</v>
      </c>
      <c r="G2377" s="597">
        <v>3850</v>
      </c>
      <c r="H2377" s="592" t="s">
        <v>1397</v>
      </c>
    </row>
    <row r="2378" spans="1:8" ht="24.75" customHeight="1" x14ac:dyDescent="0.55000000000000004">
      <c r="A2378" s="592">
        <v>2377</v>
      </c>
      <c r="B2378" s="596" t="s">
        <v>6506</v>
      </c>
      <c r="C2378" s="592" t="s">
        <v>6900</v>
      </c>
      <c r="D2378" s="592">
        <v>4</v>
      </c>
      <c r="E2378" s="597">
        <v>20000</v>
      </c>
      <c r="F2378" s="597">
        <v>20000</v>
      </c>
      <c r="G2378" s="597">
        <v>59200</v>
      </c>
      <c r="H2378" s="592" t="s">
        <v>1397</v>
      </c>
    </row>
    <row r="2379" spans="1:8" ht="24.75" customHeight="1" x14ac:dyDescent="0.55000000000000004">
      <c r="A2379" s="592">
        <v>2378</v>
      </c>
      <c r="B2379" s="596" t="s">
        <v>5035</v>
      </c>
      <c r="C2379" s="592" t="s">
        <v>5036</v>
      </c>
      <c r="D2379" s="592">
        <v>3</v>
      </c>
      <c r="E2379" s="597">
        <v>8500</v>
      </c>
      <c r="F2379" s="597">
        <v>8500</v>
      </c>
      <c r="G2379" s="597">
        <v>20700</v>
      </c>
      <c r="H2379" s="592" t="s">
        <v>1397</v>
      </c>
    </row>
    <row r="2380" spans="1:8" ht="24.75" customHeight="1" x14ac:dyDescent="0.55000000000000004">
      <c r="A2380" s="592">
        <v>2379</v>
      </c>
      <c r="B2380" s="596" t="s">
        <v>5037</v>
      </c>
      <c r="C2380" s="592" t="s">
        <v>5038</v>
      </c>
      <c r="D2380" s="592">
        <v>2</v>
      </c>
      <c r="E2380" s="597">
        <v>2000</v>
      </c>
      <c r="F2380" s="597">
        <v>2000</v>
      </c>
      <c r="G2380" s="597">
        <v>2500</v>
      </c>
      <c r="H2380" s="592" t="s">
        <v>1397</v>
      </c>
    </row>
    <row r="2381" spans="1:8" ht="24.75" customHeight="1" x14ac:dyDescent="0.55000000000000004">
      <c r="A2381" s="592">
        <v>2380</v>
      </c>
      <c r="B2381" s="596" t="s">
        <v>8857</v>
      </c>
      <c r="C2381" s="592" t="s">
        <v>8858</v>
      </c>
      <c r="D2381" s="592">
        <v>5</v>
      </c>
      <c r="E2381" s="597">
        <v>56000</v>
      </c>
      <c r="F2381" s="597">
        <v>56000</v>
      </c>
      <c r="G2381" s="597">
        <v>262500</v>
      </c>
      <c r="H2381" s="592" t="s">
        <v>1397</v>
      </c>
    </row>
    <row r="2382" spans="1:8" ht="24.75" customHeight="1" x14ac:dyDescent="0.55000000000000004">
      <c r="A2382" s="592">
        <v>2381</v>
      </c>
      <c r="B2382" s="596" t="s">
        <v>5039</v>
      </c>
      <c r="C2382" s="592" t="s">
        <v>5040</v>
      </c>
      <c r="D2382" s="592">
        <v>5</v>
      </c>
      <c r="E2382" s="597">
        <v>1500</v>
      </c>
      <c r="F2382" s="597">
        <v>1500</v>
      </c>
      <c r="G2382" s="597">
        <v>5500</v>
      </c>
      <c r="H2382" s="592" t="s">
        <v>1397</v>
      </c>
    </row>
    <row r="2383" spans="1:8" ht="24.75" customHeight="1" x14ac:dyDescent="0.55000000000000004">
      <c r="A2383" s="592">
        <v>2382</v>
      </c>
      <c r="B2383" s="596" t="s">
        <v>5041</v>
      </c>
      <c r="C2383" s="592" t="s">
        <v>7797</v>
      </c>
      <c r="D2383" s="592">
        <v>4</v>
      </c>
      <c r="E2383" s="597">
        <v>550</v>
      </c>
      <c r="F2383" s="597">
        <v>550</v>
      </c>
      <c r="G2383" s="597">
        <v>1600</v>
      </c>
      <c r="H2383" s="592" t="s">
        <v>1397</v>
      </c>
    </row>
    <row r="2384" spans="1:8" ht="24.75" customHeight="1" x14ac:dyDescent="0.55000000000000004">
      <c r="A2384" s="592">
        <v>2383</v>
      </c>
      <c r="B2384" s="596" t="s">
        <v>5042</v>
      </c>
      <c r="C2384" s="592" t="s">
        <v>5043</v>
      </c>
      <c r="D2384" s="592">
        <v>9</v>
      </c>
      <c r="E2384" s="597">
        <v>1000</v>
      </c>
      <c r="F2384" s="597">
        <v>1000</v>
      </c>
      <c r="G2384" s="597">
        <v>3861</v>
      </c>
      <c r="H2384" s="592" t="s">
        <v>1397</v>
      </c>
    </row>
    <row r="2385" spans="1:8" ht="24.75" customHeight="1" x14ac:dyDescent="0.55000000000000004">
      <c r="A2385" s="592">
        <v>2384</v>
      </c>
      <c r="B2385" s="596" t="s">
        <v>1738</v>
      </c>
      <c r="C2385" s="592" t="s">
        <v>1739</v>
      </c>
      <c r="D2385" s="592">
        <v>7</v>
      </c>
      <c r="E2385" s="597">
        <v>1500</v>
      </c>
      <c r="F2385" s="597">
        <v>1500</v>
      </c>
      <c r="G2385" s="597">
        <v>6300</v>
      </c>
      <c r="H2385" s="592" t="s">
        <v>1397</v>
      </c>
    </row>
    <row r="2386" spans="1:8" ht="24.75" customHeight="1" x14ac:dyDescent="0.55000000000000004">
      <c r="A2386" s="592">
        <v>2385</v>
      </c>
      <c r="B2386" s="596" t="s">
        <v>1740</v>
      </c>
      <c r="C2386" s="592" t="s">
        <v>1741</v>
      </c>
      <c r="D2386" s="592">
        <v>4</v>
      </c>
      <c r="E2386" s="597">
        <v>5000</v>
      </c>
      <c r="F2386" s="597">
        <v>5000</v>
      </c>
      <c r="G2386" s="597">
        <v>15400</v>
      </c>
      <c r="H2386" s="592" t="s">
        <v>1397</v>
      </c>
    </row>
    <row r="2387" spans="1:8" ht="24.75" customHeight="1" x14ac:dyDescent="0.55000000000000004">
      <c r="A2387" s="592">
        <v>2386</v>
      </c>
      <c r="B2387" s="596" t="s">
        <v>1742</v>
      </c>
      <c r="C2387" s="592" t="s">
        <v>1743</v>
      </c>
      <c r="D2387" s="592">
        <v>8</v>
      </c>
      <c r="E2387" s="597">
        <v>1500</v>
      </c>
      <c r="F2387" s="597">
        <v>1500</v>
      </c>
      <c r="G2387" s="597">
        <v>6800</v>
      </c>
      <c r="H2387" s="592" t="s">
        <v>1397</v>
      </c>
    </row>
    <row r="2388" spans="1:8" ht="24.75" customHeight="1" x14ac:dyDescent="0.55000000000000004">
      <c r="A2388" s="592">
        <v>2387</v>
      </c>
      <c r="B2388" s="596" t="s">
        <v>5044</v>
      </c>
      <c r="C2388" s="592" t="s">
        <v>5045</v>
      </c>
      <c r="D2388" s="592">
        <v>1</v>
      </c>
      <c r="E2388" s="597">
        <v>12000</v>
      </c>
      <c r="F2388" s="597">
        <v>12000</v>
      </c>
      <c r="G2388" s="597">
        <v>6000</v>
      </c>
      <c r="H2388" s="592" t="s">
        <v>1397</v>
      </c>
    </row>
    <row r="2389" spans="1:8" ht="24.75" customHeight="1" x14ac:dyDescent="0.55000000000000004">
      <c r="A2389" s="592">
        <v>2388</v>
      </c>
      <c r="B2389" s="596" t="s">
        <v>1744</v>
      </c>
      <c r="C2389" s="592" t="s">
        <v>6307</v>
      </c>
      <c r="D2389" s="592">
        <v>5</v>
      </c>
      <c r="E2389" s="597">
        <v>4500</v>
      </c>
      <c r="F2389" s="597">
        <v>4500</v>
      </c>
      <c r="G2389" s="597">
        <v>17500</v>
      </c>
      <c r="H2389" s="592" t="s">
        <v>1397</v>
      </c>
    </row>
    <row r="2390" spans="1:8" ht="24.75" customHeight="1" x14ac:dyDescent="0.55000000000000004">
      <c r="A2390" s="592">
        <v>2389</v>
      </c>
      <c r="B2390" s="596" t="s">
        <v>5046</v>
      </c>
      <c r="C2390" s="592" t="s">
        <v>5047</v>
      </c>
      <c r="D2390" s="592">
        <v>1</v>
      </c>
      <c r="E2390" s="597">
        <v>7000</v>
      </c>
      <c r="F2390" s="597">
        <v>7000</v>
      </c>
      <c r="G2390" s="597">
        <v>3921</v>
      </c>
      <c r="H2390" s="592" t="s">
        <v>1397</v>
      </c>
    </row>
    <row r="2391" spans="1:8" ht="24.75" customHeight="1" x14ac:dyDescent="0.55000000000000004">
      <c r="A2391" s="592">
        <v>2390</v>
      </c>
      <c r="B2391" s="596" t="s">
        <v>1745</v>
      </c>
      <c r="C2391" s="592" t="s">
        <v>6507</v>
      </c>
      <c r="D2391" s="592">
        <v>3</v>
      </c>
      <c r="E2391" s="597">
        <v>2300</v>
      </c>
      <c r="F2391" s="597">
        <v>2300</v>
      </c>
      <c r="G2391" s="597">
        <v>4170</v>
      </c>
      <c r="H2391" s="592" t="s">
        <v>1397</v>
      </c>
    </row>
    <row r="2392" spans="1:8" ht="24.75" customHeight="1" x14ac:dyDescent="0.55000000000000004">
      <c r="A2392" s="592">
        <v>2391</v>
      </c>
      <c r="B2392" s="596" t="s">
        <v>7180</v>
      </c>
      <c r="C2392" s="592" t="s">
        <v>7181</v>
      </c>
      <c r="D2392" s="592">
        <v>2</v>
      </c>
      <c r="E2392" s="597">
        <v>6000</v>
      </c>
      <c r="F2392" s="597">
        <v>6000</v>
      </c>
      <c r="G2392" s="597">
        <v>9600</v>
      </c>
      <c r="H2392" s="592" t="s">
        <v>1397</v>
      </c>
    </row>
    <row r="2393" spans="1:8" ht="24.75" customHeight="1" x14ac:dyDescent="0.55000000000000004">
      <c r="A2393" s="592">
        <v>2392</v>
      </c>
      <c r="B2393" s="596" t="s">
        <v>6606</v>
      </c>
      <c r="C2393" s="592" t="s">
        <v>6607</v>
      </c>
      <c r="D2393" s="592">
        <v>4</v>
      </c>
      <c r="E2393" s="597">
        <v>3500</v>
      </c>
      <c r="F2393" s="597">
        <v>3500</v>
      </c>
      <c r="G2393" s="597">
        <v>10800</v>
      </c>
      <c r="H2393" s="592" t="s">
        <v>1397</v>
      </c>
    </row>
    <row r="2394" spans="1:8" ht="24.75" customHeight="1" x14ac:dyDescent="0.55000000000000004">
      <c r="A2394" s="592">
        <v>2393</v>
      </c>
      <c r="B2394" s="596" t="s">
        <v>5048</v>
      </c>
      <c r="C2394" s="592" t="s">
        <v>5049</v>
      </c>
      <c r="D2394" s="592">
        <v>1</v>
      </c>
      <c r="E2394" s="597">
        <v>5000</v>
      </c>
      <c r="F2394" s="597">
        <v>5000</v>
      </c>
      <c r="G2394" s="597">
        <v>3500</v>
      </c>
      <c r="H2394" s="592" t="s">
        <v>1397</v>
      </c>
    </row>
    <row r="2395" spans="1:8" ht="24.75" customHeight="1" x14ac:dyDescent="0.55000000000000004">
      <c r="A2395" s="592">
        <v>2394</v>
      </c>
      <c r="B2395" s="596" t="s">
        <v>1746</v>
      </c>
      <c r="C2395" s="592" t="s">
        <v>6886</v>
      </c>
      <c r="D2395" s="592">
        <v>9</v>
      </c>
      <c r="E2395" s="597">
        <v>2500</v>
      </c>
      <c r="F2395" s="597">
        <v>2500</v>
      </c>
      <c r="G2395" s="597">
        <v>17550</v>
      </c>
      <c r="H2395" s="592" t="s">
        <v>1397</v>
      </c>
    </row>
    <row r="2396" spans="1:8" ht="24.75" customHeight="1" x14ac:dyDescent="0.55000000000000004">
      <c r="A2396" s="592">
        <v>2395</v>
      </c>
      <c r="B2396" s="596" t="s">
        <v>5050</v>
      </c>
      <c r="C2396" s="592" t="s">
        <v>5051</v>
      </c>
      <c r="D2396" s="592">
        <v>2</v>
      </c>
      <c r="E2396" s="597">
        <v>16200</v>
      </c>
      <c r="F2396" s="597">
        <v>16200</v>
      </c>
      <c r="G2396" s="597">
        <v>16000</v>
      </c>
      <c r="H2396" s="592" t="s">
        <v>1397</v>
      </c>
    </row>
    <row r="2397" spans="1:8" ht="24.75" customHeight="1" x14ac:dyDescent="0.55000000000000004">
      <c r="A2397" s="592">
        <v>2396</v>
      </c>
      <c r="B2397" s="596" t="s">
        <v>5053</v>
      </c>
      <c r="C2397" s="592" t="s">
        <v>7428</v>
      </c>
      <c r="D2397" s="592">
        <v>4</v>
      </c>
      <c r="E2397" s="597">
        <v>10000</v>
      </c>
      <c r="F2397" s="597">
        <v>10000</v>
      </c>
      <c r="G2397" s="597">
        <v>28000</v>
      </c>
      <c r="H2397" s="592" t="s">
        <v>1397</v>
      </c>
    </row>
    <row r="2398" spans="1:8" ht="24.75" customHeight="1" x14ac:dyDescent="0.55000000000000004">
      <c r="A2398" s="592">
        <v>2397</v>
      </c>
      <c r="B2398" s="596" t="s">
        <v>5054</v>
      </c>
      <c r="C2398" s="592" t="s">
        <v>8623</v>
      </c>
      <c r="D2398" s="592">
        <v>3</v>
      </c>
      <c r="E2398" s="597">
        <v>48000</v>
      </c>
      <c r="F2398" s="597">
        <v>48000</v>
      </c>
      <c r="G2398" s="597">
        <v>120000</v>
      </c>
      <c r="H2398" s="592" t="s">
        <v>1397</v>
      </c>
    </row>
    <row r="2399" spans="1:8" ht="24.75" customHeight="1" x14ac:dyDescent="0.55000000000000004">
      <c r="A2399" s="592">
        <v>2398</v>
      </c>
      <c r="B2399" s="596" t="s">
        <v>5055</v>
      </c>
      <c r="C2399" s="592" t="s">
        <v>5056</v>
      </c>
      <c r="D2399" s="592">
        <v>2</v>
      </c>
      <c r="E2399" s="597">
        <v>25000</v>
      </c>
      <c r="F2399" s="597">
        <v>25000</v>
      </c>
      <c r="G2399" s="597">
        <v>36000</v>
      </c>
      <c r="H2399" s="592" t="s">
        <v>1397</v>
      </c>
    </row>
    <row r="2400" spans="1:8" ht="24.75" customHeight="1" x14ac:dyDescent="0.55000000000000004">
      <c r="A2400" s="592">
        <v>2399</v>
      </c>
      <c r="B2400" s="596" t="s">
        <v>2518</v>
      </c>
      <c r="C2400" s="592" t="s">
        <v>2519</v>
      </c>
      <c r="D2400" s="592">
        <v>127</v>
      </c>
      <c r="E2400" s="597">
        <v>700</v>
      </c>
      <c r="F2400" s="597">
        <v>700</v>
      </c>
      <c r="G2400" s="597">
        <v>60960</v>
      </c>
      <c r="H2400" s="592" t="s">
        <v>1397</v>
      </c>
    </row>
    <row r="2401" spans="1:8" ht="24.75" customHeight="1" x14ac:dyDescent="0.55000000000000004">
      <c r="A2401" s="592">
        <v>2400</v>
      </c>
      <c r="B2401" s="596" t="s">
        <v>1747</v>
      </c>
      <c r="C2401" s="592" t="s">
        <v>1748</v>
      </c>
      <c r="D2401" s="592">
        <v>34</v>
      </c>
      <c r="E2401" s="597">
        <v>800</v>
      </c>
      <c r="F2401" s="597">
        <v>800</v>
      </c>
      <c r="G2401" s="597">
        <v>17680</v>
      </c>
      <c r="H2401" s="592" t="s">
        <v>1397</v>
      </c>
    </row>
    <row r="2402" spans="1:8" ht="24.75" customHeight="1" x14ac:dyDescent="0.55000000000000004">
      <c r="A2402" s="592">
        <v>2401</v>
      </c>
      <c r="B2402" s="596" t="s">
        <v>5057</v>
      </c>
      <c r="C2402" s="592" t="s">
        <v>7798</v>
      </c>
      <c r="D2402" s="592">
        <v>2</v>
      </c>
      <c r="E2402" s="597">
        <v>30000</v>
      </c>
      <c r="F2402" s="597">
        <v>30000</v>
      </c>
      <c r="G2402" s="597">
        <v>50000</v>
      </c>
      <c r="H2402" s="592" t="s">
        <v>1397</v>
      </c>
    </row>
    <row r="2403" spans="1:8" ht="24.75" customHeight="1" x14ac:dyDescent="0.55000000000000004">
      <c r="A2403" s="592">
        <v>2402</v>
      </c>
      <c r="B2403" s="596" t="s">
        <v>1749</v>
      </c>
      <c r="C2403" s="592" t="s">
        <v>1750</v>
      </c>
      <c r="D2403" s="592">
        <v>29</v>
      </c>
      <c r="E2403" s="597">
        <v>1000</v>
      </c>
      <c r="F2403" s="597">
        <v>1000</v>
      </c>
      <c r="G2403" s="597">
        <v>13050</v>
      </c>
      <c r="H2403" s="592" t="s">
        <v>1397</v>
      </c>
    </row>
    <row r="2404" spans="1:8" ht="24.75" customHeight="1" x14ac:dyDescent="0.55000000000000004">
      <c r="A2404" s="592">
        <v>2403</v>
      </c>
      <c r="B2404" s="596" t="s">
        <v>1751</v>
      </c>
      <c r="C2404" s="592" t="s">
        <v>2520</v>
      </c>
      <c r="D2404" s="592">
        <v>6</v>
      </c>
      <c r="E2404" s="597">
        <v>15000</v>
      </c>
      <c r="F2404" s="597">
        <v>15000</v>
      </c>
      <c r="G2404" s="597">
        <v>75000</v>
      </c>
      <c r="H2404" s="592" t="s">
        <v>1397</v>
      </c>
    </row>
    <row r="2405" spans="1:8" ht="24.75" customHeight="1" x14ac:dyDescent="0.55000000000000004">
      <c r="A2405" s="592">
        <v>2404</v>
      </c>
      <c r="B2405" s="596" t="s">
        <v>5058</v>
      </c>
      <c r="C2405" s="592" t="s">
        <v>7799</v>
      </c>
      <c r="D2405" s="592">
        <v>1</v>
      </c>
      <c r="E2405" s="597">
        <v>1000</v>
      </c>
      <c r="F2405" s="597">
        <v>1000</v>
      </c>
      <c r="G2405" s="597">
        <v>750</v>
      </c>
      <c r="H2405" s="592" t="s">
        <v>1397</v>
      </c>
    </row>
    <row r="2406" spans="1:8" ht="24.75" customHeight="1" x14ac:dyDescent="0.55000000000000004">
      <c r="A2406" s="592">
        <v>2405</v>
      </c>
      <c r="B2406" s="596" t="s">
        <v>6754</v>
      </c>
      <c r="C2406" s="592" t="s">
        <v>7800</v>
      </c>
      <c r="D2406" s="592">
        <v>1</v>
      </c>
      <c r="E2406" s="597">
        <v>3500</v>
      </c>
      <c r="F2406" s="597">
        <v>3500</v>
      </c>
      <c r="G2406" s="597">
        <v>2300</v>
      </c>
      <c r="H2406" s="592" t="s">
        <v>1397</v>
      </c>
    </row>
    <row r="2407" spans="1:8" ht="24.75" customHeight="1" x14ac:dyDescent="0.55000000000000004">
      <c r="A2407" s="592">
        <v>2406</v>
      </c>
      <c r="B2407" s="596" t="s">
        <v>6755</v>
      </c>
      <c r="C2407" s="592" t="s">
        <v>7801</v>
      </c>
      <c r="D2407" s="592">
        <v>1</v>
      </c>
      <c r="E2407" s="597">
        <v>3500</v>
      </c>
      <c r="F2407" s="597">
        <v>3500</v>
      </c>
      <c r="G2407" s="597">
        <v>2300</v>
      </c>
      <c r="H2407" s="592" t="s">
        <v>1397</v>
      </c>
    </row>
    <row r="2408" spans="1:8" ht="24.75" customHeight="1" x14ac:dyDescent="0.55000000000000004">
      <c r="A2408" s="592">
        <v>2407</v>
      </c>
      <c r="B2408" s="596" t="s">
        <v>5059</v>
      </c>
      <c r="C2408" s="592" t="s">
        <v>7802</v>
      </c>
      <c r="D2408" s="592">
        <v>3</v>
      </c>
      <c r="E2408" s="597">
        <v>2500</v>
      </c>
      <c r="F2408" s="597">
        <v>2500</v>
      </c>
      <c r="G2408" s="597">
        <v>5400</v>
      </c>
      <c r="H2408" s="592" t="s">
        <v>1397</v>
      </c>
    </row>
    <row r="2409" spans="1:8" ht="24.75" customHeight="1" x14ac:dyDescent="0.55000000000000004">
      <c r="A2409" s="592">
        <v>2408</v>
      </c>
      <c r="B2409" s="596" t="s">
        <v>1752</v>
      </c>
      <c r="C2409" s="592" t="s">
        <v>1753</v>
      </c>
      <c r="D2409" s="592">
        <v>80</v>
      </c>
      <c r="E2409" s="597">
        <v>300</v>
      </c>
      <c r="F2409" s="597">
        <v>300</v>
      </c>
      <c r="G2409" s="597">
        <v>14640</v>
      </c>
      <c r="H2409" s="592" t="s">
        <v>1397</v>
      </c>
    </row>
    <row r="2410" spans="1:8" ht="24.75" customHeight="1" x14ac:dyDescent="0.55000000000000004">
      <c r="A2410" s="592">
        <v>2409</v>
      </c>
      <c r="B2410" s="596" t="s">
        <v>5060</v>
      </c>
      <c r="C2410" s="592" t="s">
        <v>5061</v>
      </c>
      <c r="D2410" s="592">
        <v>6</v>
      </c>
      <c r="E2410" s="597">
        <v>1200</v>
      </c>
      <c r="F2410" s="597">
        <v>1200</v>
      </c>
      <c r="G2410" s="597">
        <v>3300</v>
      </c>
      <c r="H2410" s="592" t="s">
        <v>1397</v>
      </c>
    </row>
    <row r="2411" spans="1:8" ht="24.75" customHeight="1" x14ac:dyDescent="0.55000000000000004">
      <c r="A2411" s="592">
        <v>2410</v>
      </c>
      <c r="B2411" s="596" t="s">
        <v>1756</v>
      </c>
      <c r="C2411" s="592" t="s">
        <v>1757</v>
      </c>
      <c r="D2411" s="592">
        <v>3</v>
      </c>
      <c r="E2411" s="597">
        <v>3500</v>
      </c>
      <c r="F2411" s="597">
        <v>3500</v>
      </c>
      <c r="G2411" s="597">
        <v>7500</v>
      </c>
      <c r="H2411" s="592" t="s">
        <v>1397</v>
      </c>
    </row>
    <row r="2412" spans="1:8" ht="24.75" customHeight="1" x14ac:dyDescent="0.55000000000000004">
      <c r="A2412" s="592">
        <v>2411</v>
      </c>
      <c r="B2412" s="596" t="s">
        <v>5062</v>
      </c>
      <c r="C2412" s="592" t="s">
        <v>6887</v>
      </c>
      <c r="D2412" s="592">
        <v>12</v>
      </c>
      <c r="E2412" s="597">
        <v>500</v>
      </c>
      <c r="F2412" s="597">
        <v>500</v>
      </c>
      <c r="G2412" s="597">
        <v>3516</v>
      </c>
      <c r="H2412" s="592" t="s">
        <v>1397</v>
      </c>
    </row>
    <row r="2413" spans="1:8" ht="24.75" customHeight="1" x14ac:dyDescent="0.55000000000000004">
      <c r="A2413" s="592">
        <v>2412</v>
      </c>
      <c r="B2413" s="596" t="s">
        <v>5063</v>
      </c>
      <c r="C2413" s="592" t="s">
        <v>7429</v>
      </c>
      <c r="D2413" s="592">
        <v>52</v>
      </c>
      <c r="E2413" s="597">
        <v>2000</v>
      </c>
      <c r="F2413" s="597">
        <v>2000</v>
      </c>
      <c r="G2413" s="597">
        <v>78000</v>
      </c>
      <c r="H2413" s="592" t="s">
        <v>1397</v>
      </c>
    </row>
    <row r="2414" spans="1:8" ht="24.75" customHeight="1" x14ac:dyDescent="0.55000000000000004">
      <c r="A2414" s="592">
        <v>2413</v>
      </c>
      <c r="B2414" s="596" t="s">
        <v>7182</v>
      </c>
      <c r="C2414" s="592" t="s">
        <v>7183</v>
      </c>
      <c r="D2414" s="592">
        <v>3</v>
      </c>
      <c r="E2414" s="597">
        <v>8500</v>
      </c>
      <c r="F2414" s="597">
        <v>8500</v>
      </c>
      <c r="G2414" s="597">
        <v>19662</v>
      </c>
      <c r="H2414" s="592" t="s">
        <v>1397</v>
      </c>
    </row>
    <row r="2415" spans="1:8" ht="24.75" customHeight="1" x14ac:dyDescent="0.55000000000000004">
      <c r="A2415" s="592">
        <v>2414</v>
      </c>
      <c r="B2415" s="596" t="s">
        <v>5064</v>
      </c>
      <c r="C2415" s="592" t="s">
        <v>5065</v>
      </c>
      <c r="D2415" s="592">
        <v>14</v>
      </c>
      <c r="E2415" s="597">
        <v>2300</v>
      </c>
      <c r="F2415" s="597">
        <v>2300</v>
      </c>
      <c r="G2415" s="597">
        <v>18200</v>
      </c>
      <c r="H2415" s="592" t="s">
        <v>1397</v>
      </c>
    </row>
    <row r="2416" spans="1:8" ht="24.75" customHeight="1" x14ac:dyDescent="0.55000000000000004">
      <c r="A2416" s="592">
        <v>2415</v>
      </c>
      <c r="B2416" s="596" t="s">
        <v>3295</v>
      </c>
      <c r="C2416" s="592" t="s">
        <v>2831</v>
      </c>
      <c r="D2416" s="592">
        <v>11</v>
      </c>
      <c r="E2416" s="597">
        <v>9500</v>
      </c>
      <c r="F2416" s="597">
        <v>9500</v>
      </c>
      <c r="G2416" s="597">
        <v>88000</v>
      </c>
      <c r="H2416" s="592" t="s">
        <v>1397</v>
      </c>
    </row>
    <row r="2417" spans="1:8" ht="24.75" customHeight="1" x14ac:dyDescent="0.55000000000000004">
      <c r="A2417" s="592">
        <v>2416</v>
      </c>
      <c r="B2417" s="596" t="s">
        <v>5066</v>
      </c>
      <c r="C2417" s="592" t="s">
        <v>5067</v>
      </c>
      <c r="D2417" s="592">
        <v>9</v>
      </c>
      <c r="E2417" s="597">
        <v>1000</v>
      </c>
      <c r="F2417" s="597">
        <v>1000</v>
      </c>
      <c r="G2417" s="597">
        <v>4500</v>
      </c>
      <c r="H2417" s="592" t="s">
        <v>1397</v>
      </c>
    </row>
    <row r="2418" spans="1:8" ht="24.75" customHeight="1" x14ac:dyDescent="0.55000000000000004">
      <c r="A2418" s="592">
        <v>2417</v>
      </c>
      <c r="B2418" s="596" t="s">
        <v>5068</v>
      </c>
      <c r="C2418" s="592" t="s">
        <v>5069</v>
      </c>
      <c r="D2418" s="592">
        <v>8</v>
      </c>
      <c r="E2418" s="597">
        <v>3800</v>
      </c>
      <c r="F2418" s="597">
        <v>3800</v>
      </c>
      <c r="G2418" s="597">
        <v>22400</v>
      </c>
      <c r="H2418" s="592" t="s">
        <v>1397</v>
      </c>
    </row>
    <row r="2419" spans="1:8" ht="24.75" customHeight="1" x14ac:dyDescent="0.55000000000000004">
      <c r="A2419" s="592">
        <v>2418</v>
      </c>
      <c r="B2419" s="596" t="s">
        <v>1758</v>
      </c>
      <c r="C2419" s="592" t="s">
        <v>7184</v>
      </c>
      <c r="D2419" s="592">
        <v>30</v>
      </c>
      <c r="E2419" s="597">
        <v>600</v>
      </c>
      <c r="F2419" s="597">
        <v>600</v>
      </c>
      <c r="G2419" s="597">
        <v>12000</v>
      </c>
      <c r="H2419" s="592" t="s">
        <v>1397</v>
      </c>
    </row>
    <row r="2420" spans="1:8" ht="24.75" customHeight="1" x14ac:dyDescent="0.55000000000000004">
      <c r="A2420" s="592">
        <v>2419</v>
      </c>
      <c r="B2420" s="596" t="s">
        <v>5070</v>
      </c>
      <c r="C2420" s="592" t="s">
        <v>5071</v>
      </c>
      <c r="D2420" s="592">
        <v>3</v>
      </c>
      <c r="E2420" s="597">
        <v>8000</v>
      </c>
      <c r="F2420" s="597">
        <v>8000</v>
      </c>
      <c r="G2420" s="597">
        <v>20400</v>
      </c>
      <c r="H2420" s="592" t="s">
        <v>1397</v>
      </c>
    </row>
    <row r="2421" spans="1:8" ht="24.75" customHeight="1" x14ac:dyDescent="0.55000000000000004">
      <c r="A2421" s="592">
        <v>2420</v>
      </c>
      <c r="B2421" s="596" t="s">
        <v>6358</v>
      </c>
      <c r="C2421" s="592" t="s">
        <v>6888</v>
      </c>
      <c r="D2421" s="592">
        <v>2</v>
      </c>
      <c r="E2421" s="597">
        <v>8700</v>
      </c>
      <c r="F2421" s="597">
        <v>8700</v>
      </c>
      <c r="G2421" s="597">
        <v>13400</v>
      </c>
      <c r="H2421" s="592" t="s">
        <v>1397</v>
      </c>
    </row>
    <row r="2422" spans="1:8" ht="24.75" customHeight="1" x14ac:dyDescent="0.55000000000000004">
      <c r="A2422" s="592">
        <v>2421</v>
      </c>
      <c r="B2422" s="596" t="s">
        <v>5072</v>
      </c>
      <c r="C2422" s="592" t="s">
        <v>5073</v>
      </c>
      <c r="D2422" s="592">
        <v>3</v>
      </c>
      <c r="E2422" s="597">
        <v>8000</v>
      </c>
      <c r="F2422" s="597">
        <v>8000</v>
      </c>
      <c r="G2422" s="597">
        <v>13950</v>
      </c>
      <c r="H2422" s="592" t="s">
        <v>1397</v>
      </c>
    </row>
    <row r="2423" spans="1:8" ht="24.75" customHeight="1" x14ac:dyDescent="0.55000000000000004">
      <c r="A2423" s="592">
        <v>2422</v>
      </c>
      <c r="B2423" s="596" t="s">
        <v>3367</v>
      </c>
      <c r="C2423" s="592" t="s">
        <v>3368</v>
      </c>
      <c r="D2423" s="592">
        <v>2</v>
      </c>
      <c r="E2423" s="597">
        <v>9000</v>
      </c>
      <c r="F2423" s="597">
        <v>9000</v>
      </c>
      <c r="G2423" s="597">
        <v>13800</v>
      </c>
      <c r="H2423" s="592" t="s">
        <v>1397</v>
      </c>
    </row>
    <row r="2424" spans="1:8" ht="24.75" customHeight="1" x14ac:dyDescent="0.55000000000000004">
      <c r="A2424" s="592">
        <v>2423</v>
      </c>
      <c r="B2424" s="596" t="s">
        <v>1759</v>
      </c>
      <c r="C2424" s="592" t="s">
        <v>1760</v>
      </c>
      <c r="D2424" s="592">
        <v>6</v>
      </c>
      <c r="E2424" s="597">
        <v>4500</v>
      </c>
      <c r="F2424" s="597">
        <v>4500</v>
      </c>
      <c r="G2424" s="597">
        <v>21000</v>
      </c>
      <c r="H2424" s="592" t="s">
        <v>1397</v>
      </c>
    </row>
    <row r="2425" spans="1:8" ht="24.75" customHeight="1" x14ac:dyDescent="0.55000000000000004">
      <c r="A2425" s="592">
        <v>2424</v>
      </c>
      <c r="B2425" s="596" t="s">
        <v>5074</v>
      </c>
      <c r="C2425" s="592" t="s">
        <v>5075</v>
      </c>
      <c r="D2425" s="592">
        <v>7</v>
      </c>
      <c r="E2425" s="597">
        <v>6500</v>
      </c>
      <c r="F2425" s="597">
        <v>6500</v>
      </c>
      <c r="G2425" s="597">
        <v>33600</v>
      </c>
      <c r="H2425" s="592" t="s">
        <v>1397</v>
      </c>
    </row>
    <row r="2426" spans="1:8" ht="24.75" customHeight="1" x14ac:dyDescent="0.55000000000000004">
      <c r="A2426" s="592">
        <v>2425</v>
      </c>
      <c r="B2426" s="596" t="s">
        <v>1761</v>
      </c>
      <c r="C2426" s="592" t="s">
        <v>1762</v>
      </c>
      <c r="D2426" s="592">
        <v>4</v>
      </c>
      <c r="E2426" s="597">
        <v>13000</v>
      </c>
      <c r="F2426" s="597">
        <v>13000</v>
      </c>
      <c r="G2426" s="597">
        <v>39200</v>
      </c>
      <c r="H2426" s="592" t="s">
        <v>1397</v>
      </c>
    </row>
    <row r="2427" spans="1:8" ht="24.75" customHeight="1" x14ac:dyDescent="0.55000000000000004">
      <c r="A2427" s="592">
        <v>2426</v>
      </c>
      <c r="B2427" s="596" t="s">
        <v>1763</v>
      </c>
      <c r="C2427" s="592" t="s">
        <v>1764</v>
      </c>
      <c r="D2427" s="592">
        <v>3</v>
      </c>
      <c r="E2427" s="597">
        <v>2000</v>
      </c>
      <c r="F2427" s="597">
        <v>2000</v>
      </c>
      <c r="G2427" s="597">
        <v>3900</v>
      </c>
      <c r="H2427" s="592" t="s">
        <v>1397</v>
      </c>
    </row>
    <row r="2428" spans="1:8" ht="24.75" customHeight="1" x14ac:dyDescent="0.55000000000000004">
      <c r="A2428" s="592">
        <v>2427</v>
      </c>
      <c r="B2428" s="596" t="s">
        <v>5076</v>
      </c>
      <c r="C2428" s="592" t="s">
        <v>8164</v>
      </c>
      <c r="D2428" s="592">
        <v>5</v>
      </c>
      <c r="E2428" s="597">
        <v>14000</v>
      </c>
      <c r="F2428" s="597">
        <v>14000</v>
      </c>
      <c r="G2428" s="597">
        <v>54000</v>
      </c>
      <c r="H2428" s="592" t="s">
        <v>1397</v>
      </c>
    </row>
    <row r="2429" spans="1:8" ht="24.75" customHeight="1" x14ac:dyDescent="0.55000000000000004">
      <c r="A2429" s="592">
        <v>2428</v>
      </c>
      <c r="B2429" s="596" t="s">
        <v>5077</v>
      </c>
      <c r="C2429" s="592" t="s">
        <v>5078</v>
      </c>
      <c r="D2429" s="592">
        <v>1</v>
      </c>
      <c r="E2429" s="597">
        <v>500</v>
      </c>
      <c r="F2429" s="597">
        <v>500</v>
      </c>
      <c r="G2429" s="597">
        <v>250</v>
      </c>
      <c r="H2429" s="592" t="s">
        <v>1397</v>
      </c>
    </row>
    <row r="2430" spans="1:8" ht="24.75" customHeight="1" x14ac:dyDescent="0.55000000000000004">
      <c r="A2430" s="592">
        <v>2429</v>
      </c>
      <c r="B2430" s="596" t="s">
        <v>1765</v>
      </c>
      <c r="C2430" s="592" t="s">
        <v>1766</v>
      </c>
      <c r="D2430" s="592">
        <v>3</v>
      </c>
      <c r="E2430" s="597">
        <v>15000</v>
      </c>
      <c r="F2430" s="597">
        <v>15000</v>
      </c>
      <c r="G2430" s="597">
        <v>36000</v>
      </c>
      <c r="H2430" s="592" t="s">
        <v>1397</v>
      </c>
    </row>
    <row r="2431" spans="1:8" ht="24.75" customHeight="1" x14ac:dyDescent="0.55000000000000004">
      <c r="A2431" s="592">
        <v>2430</v>
      </c>
      <c r="B2431" s="596" t="s">
        <v>5079</v>
      </c>
      <c r="C2431" s="592" t="s">
        <v>5080</v>
      </c>
      <c r="D2431" s="592">
        <v>7</v>
      </c>
      <c r="E2431" s="597">
        <v>400</v>
      </c>
      <c r="F2431" s="597">
        <v>400</v>
      </c>
      <c r="G2431" s="597">
        <v>1813</v>
      </c>
      <c r="H2431" s="592" t="s">
        <v>1397</v>
      </c>
    </row>
    <row r="2432" spans="1:8" ht="24.75" customHeight="1" x14ac:dyDescent="0.55000000000000004">
      <c r="A2432" s="592">
        <v>2431</v>
      </c>
      <c r="B2432" s="596" t="s">
        <v>5081</v>
      </c>
      <c r="C2432" s="592" t="s">
        <v>5082</v>
      </c>
      <c r="D2432" s="592">
        <v>1</v>
      </c>
      <c r="E2432" s="597">
        <v>5800</v>
      </c>
      <c r="F2432" s="597">
        <v>5800</v>
      </c>
      <c r="G2432" s="597">
        <v>2700</v>
      </c>
      <c r="H2432" s="592" t="s">
        <v>1397</v>
      </c>
    </row>
    <row r="2433" spans="1:8" ht="24.75" customHeight="1" x14ac:dyDescent="0.55000000000000004">
      <c r="A2433" s="592">
        <v>2432</v>
      </c>
      <c r="B2433" s="596" t="s">
        <v>5083</v>
      </c>
      <c r="C2433" s="592" t="s">
        <v>5084</v>
      </c>
      <c r="D2433" s="592">
        <v>2</v>
      </c>
      <c r="E2433" s="597">
        <v>1500</v>
      </c>
      <c r="F2433" s="597">
        <v>1500</v>
      </c>
      <c r="G2433" s="597">
        <v>1300</v>
      </c>
      <c r="H2433" s="592" t="s">
        <v>1397</v>
      </c>
    </row>
    <row r="2434" spans="1:8" ht="24.75" customHeight="1" x14ac:dyDescent="0.55000000000000004">
      <c r="A2434" s="592">
        <v>2433</v>
      </c>
      <c r="B2434" s="596" t="s">
        <v>5085</v>
      </c>
      <c r="C2434" s="592" t="s">
        <v>7430</v>
      </c>
      <c r="D2434" s="592">
        <v>13</v>
      </c>
      <c r="E2434" s="597">
        <v>800</v>
      </c>
      <c r="F2434" s="597">
        <v>800</v>
      </c>
      <c r="G2434" s="597">
        <v>5850</v>
      </c>
      <c r="H2434" s="592" t="s">
        <v>1397</v>
      </c>
    </row>
    <row r="2435" spans="1:8" ht="24.75" customHeight="1" x14ac:dyDescent="0.55000000000000004">
      <c r="A2435" s="592">
        <v>2434</v>
      </c>
      <c r="B2435" s="596" t="s">
        <v>8165</v>
      </c>
      <c r="C2435" s="592" t="s">
        <v>8166</v>
      </c>
      <c r="D2435" s="592">
        <v>9</v>
      </c>
      <c r="E2435" s="597">
        <v>1000</v>
      </c>
      <c r="F2435" s="597">
        <v>1000</v>
      </c>
      <c r="G2435" s="597">
        <v>5400</v>
      </c>
      <c r="H2435" s="592" t="s">
        <v>1397</v>
      </c>
    </row>
    <row r="2436" spans="1:8" ht="24.75" customHeight="1" x14ac:dyDescent="0.55000000000000004">
      <c r="A2436" s="592">
        <v>2435</v>
      </c>
      <c r="B2436" s="596" t="s">
        <v>1767</v>
      </c>
      <c r="C2436" s="592" t="s">
        <v>1768</v>
      </c>
      <c r="D2436" s="592">
        <v>1</v>
      </c>
      <c r="E2436" s="597">
        <v>4000</v>
      </c>
      <c r="F2436" s="597">
        <v>4000</v>
      </c>
      <c r="G2436" s="597">
        <v>2750</v>
      </c>
      <c r="H2436" s="592" t="s">
        <v>1397</v>
      </c>
    </row>
    <row r="2437" spans="1:8" ht="24.75" customHeight="1" x14ac:dyDescent="0.55000000000000004">
      <c r="A2437" s="592">
        <v>2436</v>
      </c>
      <c r="B2437" s="596" t="s">
        <v>1769</v>
      </c>
      <c r="C2437" s="592" t="s">
        <v>6889</v>
      </c>
      <c r="D2437" s="592">
        <v>2</v>
      </c>
      <c r="E2437" s="597">
        <v>3000</v>
      </c>
      <c r="F2437" s="597">
        <v>3000</v>
      </c>
      <c r="G2437" s="597">
        <v>4400</v>
      </c>
      <c r="H2437" s="592" t="s">
        <v>1397</v>
      </c>
    </row>
    <row r="2438" spans="1:8" ht="24.75" customHeight="1" x14ac:dyDescent="0.55000000000000004">
      <c r="A2438" s="592">
        <v>2437</v>
      </c>
      <c r="B2438" s="596" t="s">
        <v>6508</v>
      </c>
      <c r="C2438" s="592" t="s">
        <v>6509</v>
      </c>
      <c r="D2438" s="592">
        <v>2</v>
      </c>
      <c r="E2438" s="597">
        <v>1300</v>
      </c>
      <c r="F2438" s="597">
        <v>1300</v>
      </c>
      <c r="G2438" s="597">
        <v>1600</v>
      </c>
      <c r="H2438" s="592" t="s">
        <v>1397</v>
      </c>
    </row>
    <row r="2439" spans="1:8" ht="24.75" customHeight="1" x14ac:dyDescent="0.55000000000000004">
      <c r="A2439" s="592">
        <v>2438</v>
      </c>
      <c r="B2439" s="596" t="s">
        <v>5086</v>
      </c>
      <c r="C2439" s="592" t="s">
        <v>7431</v>
      </c>
      <c r="D2439" s="592">
        <v>1</v>
      </c>
      <c r="E2439" s="597">
        <v>5000</v>
      </c>
      <c r="F2439" s="597">
        <v>5000</v>
      </c>
      <c r="G2439" s="597">
        <v>3750</v>
      </c>
      <c r="H2439" s="592" t="s">
        <v>1397</v>
      </c>
    </row>
    <row r="2440" spans="1:8" ht="24.75" customHeight="1" x14ac:dyDescent="0.55000000000000004">
      <c r="A2440" s="592">
        <v>2439</v>
      </c>
      <c r="B2440" s="596" t="s">
        <v>2373</v>
      </c>
      <c r="C2440" s="592" t="s">
        <v>6608</v>
      </c>
      <c r="D2440" s="592">
        <v>9</v>
      </c>
      <c r="E2440" s="597">
        <v>1200</v>
      </c>
      <c r="F2440" s="597">
        <v>1200</v>
      </c>
      <c r="G2440" s="597">
        <v>6750</v>
      </c>
      <c r="H2440" s="592" t="s">
        <v>1397</v>
      </c>
    </row>
    <row r="2441" spans="1:8" ht="24.75" customHeight="1" x14ac:dyDescent="0.55000000000000004">
      <c r="A2441" s="592">
        <v>2440</v>
      </c>
      <c r="B2441" s="596" t="s">
        <v>5087</v>
      </c>
      <c r="C2441" s="592" t="s">
        <v>5088</v>
      </c>
      <c r="D2441" s="592">
        <v>3</v>
      </c>
      <c r="E2441" s="597">
        <v>500</v>
      </c>
      <c r="F2441" s="597">
        <v>500</v>
      </c>
      <c r="G2441" s="597">
        <v>600</v>
      </c>
      <c r="H2441" s="592" t="s">
        <v>1397</v>
      </c>
    </row>
    <row r="2442" spans="1:8" ht="24.75" customHeight="1" x14ac:dyDescent="0.55000000000000004">
      <c r="A2442" s="592">
        <v>2441</v>
      </c>
      <c r="B2442" s="596" t="s">
        <v>5089</v>
      </c>
      <c r="C2442" s="592" t="s">
        <v>7185</v>
      </c>
      <c r="D2442" s="592">
        <v>1</v>
      </c>
      <c r="E2442" s="597">
        <v>1500</v>
      </c>
      <c r="F2442" s="597">
        <v>1500</v>
      </c>
      <c r="G2442" s="597">
        <v>600</v>
      </c>
      <c r="H2442" s="592" t="s">
        <v>1397</v>
      </c>
    </row>
    <row r="2443" spans="1:8" ht="24.75" customHeight="1" x14ac:dyDescent="0.55000000000000004">
      <c r="A2443" s="592">
        <v>2442</v>
      </c>
      <c r="B2443" s="596" t="s">
        <v>5090</v>
      </c>
      <c r="C2443" s="592" t="s">
        <v>5091</v>
      </c>
      <c r="D2443" s="592">
        <v>1</v>
      </c>
      <c r="E2443" s="597">
        <v>3500</v>
      </c>
      <c r="F2443" s="597">
        <v>3500</v>
      </c>
      <c r="G2443" s="597">
        <v>2500</v>
      </c>
      <c r="H2443" s="592" t="s">
        <v>1397</v>
      </c>
    </row>
    <row r="2444" spans="1:8" ht="24.75" customHeight="1" x14ac:dyDescent="0.55000000000000004">
      <c r="A2444" s="592">
        <v>2443</v>
      </c>
      <c r="B2444" s="596" t="s">
        <v>1770</v>
      </c>
      <c r="C2444" s="592" t="s">
        <v>1771</v>
      </c>
      <c r="D2444" s="592">
        <v>2</v>
      </c>
      <c r="E2444" s="597">
        <v>17000</v>
      </c>
      <c r="F2444" s="597">
        <v>17000</v>
      </c>
      <c r="G2444" s="597">
        <v>28000</v>
      </c>
      <c r="H2444" s="592" t="s">
        <v>1397</v>
      </c>
    </row>
    <row r="2445" spans="1:8" ht="24.75" customHeight="1" x14ac:dyDescent="0.55000000000000004">
      <c r="A2445" s="592">
        <v>2444</v>
      </c>
      <c r="B2445" s="596" t="s">
        <v>5092</v>
      </c>
      <c r="C2445" s="592" t="s">
        <v>7803</v>
      </c>
      <c r="D2445" s="592">
        <v>1</v>
      </c>
      <c r="E2445" s="597">
        <v>28000</v>
      </c>
      <c r="F2445" s="597">
        <v>28000</v>
      </c>
      <c r="G2445" s="597">
        <v>13000</v>
      </c>
      <c r="H2445" s="592" t="s">
        <v>1397</v>
      </c>
    </row>
    <row r="2446" spans="1:8" ht="24.75" customHeight="1" x14ac:dyDescent="0.55000000000000004">
      <c r="A2446" s="592">
        <v>2445</v>
      </c>
      <c r="B2446" s="596" t="s">
        <v>6890</v>
      </c>
      <c r="C2446" s="592" t="s">
        <v>6891</v>
      </c>
      <c r="D2446" s="592">
        <v>18</v>
      </c>
      <c r="E2446" s="597">
        <v>300</v>
      </c>
      <c r="F2446" s="597">
        <v>300</v>
      </c>
      <c r="G2446" s="597">
        <v>3420</v>
      </c>
      <c r="H2446" s="592" t="s">
        <v>1397</v>
      </c>
    </row>
    <row r="2447" spans="1:8" ht="24.75" customHeight="1" x14ac:dyDescent="0.55000000000000004">
      <c r="A2447" s="592">
        <v>2446</v>
      </c>
      <c r="B2447" s="596" t="s">
        <v>5093</v>
      </c>
      <c r="C2447" s="592" t="s">
        <v>5094</v>
      </c>
      <c r="D2447" s="592">
        <v>1</v>
      </c>
      <c r="E2447" s="597">
        <v>9500</v>
      </c>
      <c r="F2447" s="597">
        <v>9500</v>
      </c>
      <c r="G2447" s="597">
        <v>6500</v>
      </c>
      <c r="H2447" s="592" t="s">
        <v>1397</v>
      </c>
    </row>
    <row r="2448" spans="1:8" ht="24.75" customHeight="1" x14ac:dyDescent="0.55000000000000004">
      <c r="A2448" s="592">
        <v>2447</v>
      </c>
      <c r="B2448" s="596" t="s">
        <v>5095</v>
      </c>
      <c r="C2448" s="592" t="s">
        <v>5096</v>
      </c>
      <c r="D2448" s="592">
        <v>5</v>
      </c>
      <c r="E2448" s="597">
        <v>1000</v>
      </c>
      <c r="F2448" s="597">
        <v>1000</v>
      </c>
      <c r="G2448" s="597">
        <v>1750</v>
      </c>
      <c r="H2448" s="592" t="s">
        <v>1397</v>
      </c>
    </row>
    <row r="2449" spans="1:8" ht="24.75" customHeight="1" x14ac:dyDescent="0.55000000000000004">
      <c r="A2449" s="592">
        <v>2448</v>
      </c>
      <c r="B2449" s="596" t="s">
        <v>5097</v>
      </c>
      <c r="C2449" s="592" t="s">
        <v>5098</v>
      </c>
      <c r="D2449" s="592">
        <v>2</v>
      </c>
      <c r="E2449" s="597">
        <v>8500</v>
      </c>
      <c r="F2449" s="597">
        <v>8500</v>
      </c>
      <c r="G2449" s="597">
        <v>13600</v>
      </c>
      <c r="H2449" s="592" t="s">
        <v>1397</v>
      </c>
    </row>
    <row r="2450" spans="1:8" ht="24.75" customHeight="1" x14ac:dyDescent="0.55000000000000004">
      <c r="A2450" s="592">
        <v>2449</v>
      </c>
      <c r="B2450" s="596" t="s">
        <v>5099</v>
      </c>
      <c r="C2450" s="592" t="s">
        <v>5100</v>
      </c>
      <c r="D2450" s="592">
        <v>2</v>
      </c>
      <c r="E2450" s="597">
        <v>600</v>
      </c>
      <c r="F2450" s="597">
        <v>600</v>
      </c>
      <c r="G2450" s="597">
        <v>800</v>
      </c>
      <c r="H2450" s="592" t="s">
        <v>1397</v>
      </c>
    </row>
    <row r="2451" spans="1:8" ht="24.75" customHeight="1" x14ac:dyDescent="0.55000000000000004">
      <c r="A2451" s="592">
        <v>2450</v>
      </c>
      <c r="B2451" s="596" t="s">
        <v>8624</v>
      </c>
      <c r="C2451" s="592" t="s">
        <v>8625</v>
      </c>
      <c r="D2451" s="592">
        <v>23</v>
      </c>
      <c r="E2451" s="597">
        <v>800</v>
      </c>
      <c r="F2451" s="597">
        <v>800</v>
      </c>
      <c r="G2451" s="597">
        <v>16100</v>
      </c>
      <c r="H2451" s="592" t="s">
        <v>1397</v>
      </c>
    </row>
    <row r="2452" spans="1:8" ht="24.75" customHeight="1" x14ac:dyDescent="0.55000000000000004">
      <c r="A2452" s="592">
        <v>2451</v>
      </c>
      <c r="B2452" s="596" t="s">
        <v>1772</v>
      </c>
      <c r="C2452" s="592" t="s">
        <v>7432</v>
      </c>
      <c r="D2452" s="592">
        <v>67</v>
      </c>
      <c r="E2452" s="597">
        <v>1500</v>
      </c>
      <c r="F2452" s="597">
        <v>1500</v>
      </c>
      <c r="G2452" s="597">
        <v>53600</v>
      </c>
      <c r="H2452" s="592" t="s">
        <v>1397</v>
      </c>
    </row>
    <row r="2453" spans="1:8" ht="24.75" customHeight="1" x14ac:dyDescent="0.55000000000000004">
      <c r="A2453" s="592">
        <v>2452</v>
      </c>
      <c r="B2453" s="596" t="s">
        <v>1773</v>
      </c>
      <c r="C2453" s="592" t="s">
        <v>1774</v>
      </c>
      <c r="D2453" s="592">
        <v>2</v>
      </c>
      <c r="E2453" s="597">
        <v>1200</v>
      </c>
      <c r="F2453" s="597">
        <v>1200</v>
      </c>
      <c r="G2453" s="597">
        <v>1400</v>
      </c>
      <c r="H2453" s="592" t="s">
        <v>1397</v>
      </c>
    </row>
    <row r="2454" spans="1:8" ht="24.75" customHeight="1" x14ac:dyDescent="0.55000000000000004">
      <c r="A2454" s="592">
        <v>2453</v>
      </c>
      <c r="B2454" s="596" t="s">
        <v>1775</v>
      </c>
      <c r="C2454" s="592" t="s">
        <v>1776</v>
      </c>
      <c r="D2454" s="592">
        <v>3</v>
      </c>
      <c r="E2454" s="597">
        <v>1000</v>
      </c>
      <c r="F2454" s="597">
        <v>1000</v>
      </c>
      <c r="G2454" s="597">
        <v>1500</v>
      </c>
      <c r="H2454" s="592" t="s">
        <v>1397</v>
      </c>
    </row>
    <row r="2455" spans="1:8" ht="24.75" customHeight="1" x14ac:dyDescent="0.55000000000000004">
      <c r="A2455" s="592">
        <v>2454</v>
      </c>
      <c r="B2455" s="596" t="s">
        <v>5101</v>
      </c>
      <c r="C2455" s="592" t="s">
        <v>5102</v>
      </c>
      <c r="D2455" s="592">
        <v>11</v>
      </c>
      <c r="E2455" s="597">
        <v>1900</v>
      </c>
      <c r="F2455" s="597">
        <v>1900</v>
      </c>
      <c r="G2455" s="597">
        <v>15400</v>
      </c>
      <c r="H2455" s="592" t="s">
        <v>1397</v>
      </c>
    </row>
    <row r="2456" spans="1:8" ht="24.75" customHeight="1" x14ac:dyDescent="0.55000000000000004">
      <c r="A2456" s="592">
        <v>2455</v>
      </c>
      <c r="B2456" s="596" t="s">
        <v>2043</v>
      </c>
      <c r="C2456" s="592" t="s">
        <v>2044</v>
      </c>
      <c r="D2456" s="592">
        <v>12</v>
      </c>
      <c r="E2456" s="597">
        <v>1800</v>
      </c>
      <c r="F2456" s="597">
        <v>1800</v>
      </c>
      <c r="G2456" s="597">
        <v>13800</v>
      </c>
      <c r="H2456" s="592" t="s">
        <v>1397</v>
      </c>
    </row>
    <row r="2457" spans="1:8" ht="24.75" customHeight="1" x14ac:dyDescent="0.55000000000000004">
      <c r="A2457" s="592">
        <v>2456</v>
      </c>
      <c r="B2457" s="596" t="s">
        <v>1777</v>
      </c>
      <c r="C2457" s="592" t="s">
        <v>1778</v>
      </c>
      <c r="D2457" s="592">
        <v>10</v>
      </c>
      <c r="E2457" s="597">
        <v>2000</v>
      </c>
      <c r="F2457" s="597">
        <v>2000</v>
      </c>
      <c r="G2457" s="597">
        <v>14500</v>
      </c>
      <c r="H2457" s="592" t="s">
        <v>1397</v>
      </c>
    </row>
    <row r="2458" spans="1:8" ht="24.75" customHeight="1" x14ac:dyDescent="0.55000000000000004">
      <c r="A2458" s="592">
        <v>2457</v>
      </c>
      <c r="B2458" s="596" t="s">
        <v>1779</v>
      </c>
      <c r="C2458" s="592" t="s">
        <v>1780</v>
      </c>
      <c r="D2458" s="592">
        <v>6</v>
      </c>
      <c r="E2458" s="597">
        <v>2000</v>
      </c>
      <c r="F2458" s="597">
        <v>2000</v>
      </c>
      <c r="G2458" s="597">
        <v>9900</v>
      </c>
      <c r="H2458" s="592" t="s">
        <v>1397</v>
      </c>
    </row>
    <row r="2459" spans="1:8" ht="24.75" customHeight="1" x14ac:dyDescent="0.55000000000000004">
      <c r="A2459" s="592">
        <v>2458</v>
      </c>
      <c r="B2459" s="596" t="s">
        <v>5103</v>
      </c>
      <c r="C2459" s="592" t="s">
        <v>5104</v>
      </c>
      <c r="D2459" s="592">
        <v>5</v>
      </c>
      <c r="E2459" s="597">
        <v>1200</v>
      </c>
      <c r="F2459" s="597">
        <v>1200</v>
      </c>
      <c r="G2459" s="597">
        <v>3500</v>
      </c>
      <c r="H2459" s="592" t="s">
        <v>1397</v>
      </c>
    </row>
    <row r="2460" spans="1:8" ht="24.75" customHeight="1" x14ac:dyDescent="0.55000000000000004">
      <c r="A2460" s="592">
        <v>2459</v>
      </c>
      <c r="B2460" s="596" t="s">
        <v>1781</v>
      </c>
      <c r="C2460" s="592" t="s">
        <v>1782</v>
      </c>
      <c r="D2460" s="592">
        <v>8</v>
      </c>
      <c r="E2460" s="597">
        <v>1000</v>
      </c>
      <c r="F2460" s="597">
        <v>1000</v>
      </c>
      <c r="G2460" s="597">
        <v>4000</v>
      </c>
      <c r="H2460" s="592" t="s">
        <v>1397</v>
      </c>
    </row>
    <row r="2461" spans="1:8" ht="24.75" customHeight="1" x14ac:dyDescent="0.55000000000000004">
      <c r="A2461" s="592">
        <v>2460</v>
      </c>
      <c r="B2461" s="596" t="s">
        <v>5105</v>
      </c>
      <c r="C2461" s="592" t="s">
        <v>5106</v>
      </c>
      <c r="D2461" s="592">
        <v>1</v>
      </c>
      <c r="E2461" s="597">
        <v>13500</v>
      </c>
      <c r="F2461" s="597">
        <v>13500</v>
      </c>
      <c r="G2461" s="597">
        <v>10500</v>
      </c>
      <c r="H2461" s="592" t="s">
        <v>1397</v>
      </c>
    </row>
    <row r="2462" spans="1:8" ht="24.75" customHeight="1" x14ac:dyDescent="0.55000000000000004">
      <c r="A2462" s="592">
        <v>2461</v>
      </c>
      <c r="B2462" s="596" t="s">
        <v>6756</v>
      </c>
      <c r="C2462" s="592" t="s">
        <v>6757</v>
      </c>
      <c r="D2462" s="592">
        <v>2</v>
      </c>
      <c r="E2462" s="597">
        <v>5000</v>
      </c>
      <c r="F2462" s="597">
        <v>5000</v>
      </c>
      <c r="G2462" s="597">
        <v>7000</v>
      </c>
      <c r="H2462" s="592" t="s">
        <v>1397</v>
      </c>
    </row>
    <row r="2463" spans="1:8" ht="24.75" customHeight="1" x14ac:dyDescent="0.55000000000000004">
      <c r="A2463" s="592">
        <v>2462</v>
      </c>
      <c r="B2463" s="596" t="s">
        <v>5107</v>
      </c>
      <c r="C2463" s="592" t="s">
        <v>5108</v>
      </c>
      <c r="D2463" s="592">
        <v>3</v>
      </c>
      <c r="E2463" s="597">
        <v>2300</v>
      </c>
      <c r="F2463" s="597">
        <v>2300</v>
      </c>
      <c r="G2463" s="597">
        <v>4050</v>
      </c>
      <c r="H2463" s="592" t="s">
        <v>1397</v>
      </c>
    </row>
    <row r="2464" spans="1:8" ht="24.75" customHeight="1" x14ac:dyDescent="0.55000000000000004">
      <c r="A2464" s="592">
        <v>2463</v>
      </c>
      <c r="B2464" s="596" t="s">
        <v>5109</v>
      </c>
      <c r="C2464" s="592" t="s">
        <v>5110</v>
      </c>
      <c r="D2464" s="592">
        <v>3</v>
      </c>
      <c r="E2464" s="597">
        <v>2000</v>
      </c>
      <c r="F2464" s="597">
        <v>2000</v>
      </c>
      <c r="G2464" s="597">
        <v>4950</v>
      </c>
      <c r="H2464" s="592" t="s">
        <v>1397</v>
      </c>
    </row>
    <row r="2465" spans="1:8" ht="24.75" customHeight="1" x14ac:dyDescent="0.55000000000000004">
      <c r="A2465" s="592">
        <v>2464</v>
      </c>
      <c r="B2465" s="596" t="s">
        <v>1783</v>
      </c>
      <c r="C2465" s="592" t="s">
        <v>7804</v>
      </c>
      <c r="D2465" s="592">
        <v>10</v>
      </c>
      <c r="E2465" s="597">
        <v>2000</v>
      </c>
      <c r="F2465" s="597">
        <v>2000</v>
      </c>
      <c r="G2465" s="597">
        <v>14000</v>
      </c>
      <c r="H2465" s="592" t="s">
        <v>1397</v>
      </c>
    </row>
    <row r="2466" spans="1:8" ht="24.75" customHeight="1" x14ac:dyDescent="0.55000000000000004">
      <c r="A2466" s="592">
        <v>2465</v>
      </c>
      <c r="B2466" s="596" t="s">
        <v>5111</v>
      </c>
      <c r="C2466" s="592" t="s">
        <v>7805</v>
      </c>
      <c r="D2466" s="592">
        <v>2</v>
      </c>
      <c r="E2466" s="597">
        <v>3000</v>
      </c>
      <c r="F2466" s="597">
        <v>3000</v>
      </c>
      <c r="G2466" s="597">
        <v>2400</v>
      </c>
      <c r="H2466" s="592" t="s">
        <v>1397</v>
      </c>
    </row>
    <row r="2467" spans="1:8" ht="24.75" customHeight="1" x14ac:dyDescent="0.55000000000000004">
      <c r="A2467" s="592">
        <v>2466</v>
      </c>
      <c r="B2467" s="596" t="s">
        <v>1784</v>
      </c>
      <c r="C2467" s="592" t="s">
        <v>1785</v>
      </c>
      <c r="D2467" s="592">
        <v>6</v>
      </c>
      <c r="E2467" s="597">
        <v>1600</v>
      </c>
      <c r="F2467" s="597">
        <v>1600</v>
      </c>
      <c r="G2467" s="597">
        <v>6600</v>
      </c>
      <c r="H2467" s="592" t="s">
        <v>1397</v>
      </c>
    </row>
    <row r="2468" spans="1:8" ht="24.75" customHeight="1" x14ac:dyDescent="0.55000000000000004">
      <c r="A2468" s="592">
        <v>2467</v>
      </c>
      <c r="B2468" s="596" t="s">
        <v>2893</v>
      </c>
      <c r="C2468" s="592" t="s">
        <v>7433</v>
      </c>
      <c r="D2468" s="592">
        <v>6</v>
      </c>
      <c r="E2468" s="597">
        <v>6000</v>
      </c>
      <c r="F2468" s="597">
        <v>6000</v>
      </c>
      <c r="G2468" s="597">
        <v>24000</v>
      </c>
      <c r="H2468" s="592" t="s">
        <v>1397</v>
      </c>
    </row>
    <row r="2469" spans="1:8" ht="24.75" customHeight="1" x14ac:dyDescent="0.55000000000000004">
      <c r="A2469" s="592">
        <v>2468</v>
      </c>
      <c r="B2469" s="596" t="s">
        <v>5112</v>
      </c>
      <c r="C2469" s="592" t="s">
        <v>6892</v>
      </c>
      <c r="D2469" s="592">
        <v>7</v>
      </c>
      <c r="E2469" s="597">
        <v>1500</v>
      </c>
      <c r="F2469" s="597">
        <v>1500</v>
      </c>
      <c r="G2469" s="597">
        <v>5600</v>
      </c>
      <c r="H2469" s="592" t="s">
        <v>1397</v>
      </c>
    </row>
    <row r="2470" spans="1:8" ht="24.75" customHeight="1" x14ac:dyDescent="0.55000000000000004">
      <c r="A2470" s="592">
        <v>2469</v>
      </c>
      <c r="B2470" s="596" t="s">
        <v>5113</v>
      </c>
      <c r="C2470" s="592" t="s">
        <v>5114</v>
      </c>
      <c r="D2470" s="592">
        <v>4</v>
      </c>
      <c r="E2470" s="597">
        <v>7500</v>
      </c>
      <c r="F2470" s="597">
        <v>7500</v>
      </c>
      <c r="G2470" s="597">
        <v>24000</v>
      </c>
      <c r="H2470" s="592" t="s">
        <v>1397</v>
      </c>
    </row>
    <row r="2471" spans="1:8" ht="24.75" customHeight="1" x14ac:dyDescent="0.55000000000000004">
      <c r="A2471" s="592">
        <v>2470</v>
      </c>
      <c r="B2471" s="596" t="s">
        <v>1786</v>
      </c>
      <c r="C2471" s="592" t="s">
        <v>7434</v>
      </c>
      <c r="D2471" s="592">
        <v>11</v>
      </c>
      <c r="E2471" s="597">
        <v>1500</v>
      </c>
      <c r="F2471" s="597">
        <v>1500</v>
      </c>
      <c r="G2471" s="597">
        <v>8800</v>
      </c>
      <c r="H2471" s="592" t="s">
        <v>1397</v>
      </c>
    </row>
    <row r="2472" spans="1:8" ht="24.75" customHeight="1" x14ac:dyDescent="0.55000000000000004">
      <c r="A2472" s="592">
        <v>2471</v>
      </c>
      <c r="B2472" s="596" t="s">
        <v>3187</v>
      </c>
      <c r="C2472" s="592" t="s">
        <v>3188</v>
      </c>
      <c r="D2472" s="592">
        <v>2</v>
      </c>
      <c r="E2472" s="597">
        <v>1500</v>
      </c>
      <c r="F2472" s="597">
        <v>1500</v>
      </c>
      <c r="G2472" s="597">
        <v>2400</v>
      </c>
      <c r="H2472" s="592" t="s">
        <v>1397</v>
      </c>
    </row>
    <row r="2473" spans="1:8" ht="24.75" customHeight="1" x14ac:dyDescent="0.55000000000000004">
      <c r="A2473" s="592">
        <v>2472</v>
      </c>
      <c r="B2473" s="596" t="s">
        <v>5115</v>
      </c>
      <c r="C2473" s="592" t="s">
        <v>5116</v>
      </c>
      <c r="D2473" s="592">
        <v>1</v>
      </c>
      <c r="E2473" s="597">
        <v>2000</v>
      </c>
      <c r="F2473" s="597">
        <v>2000</v>
      </c>
      <c r="G2473" s="597">
        <v>950</v>
      </c>
      <c r="H2473" s="592" t="s">
        <v>1397</v>
      </c>
    </row>
    <row r="2474" spans="1:8" ht="24.75" customHeight="1" x14ac:dyDescent="0.55000000000000004">
      <c r="A2474" s="592">
        <v>2473</v>
      </c>
      <c r="B2474" s="596" t="s">
        <v>5117</v>
      </c>
      <c r="C2474" s="592" t="s">
        <v>5118</v>
      </c>
      <c r="D2474" s="592">
        <v>4</v>
      </c>
      <c r="E2474" s="597">
        <v>4500</v>
      </c>
      <c r="F2474" s="597">
        <v>4500</v>
      </c>
      <c r="G2474" s="597">
        <v>12800</v>
      </c>
      <c r="H2474" s="592" t="s">
        <v>1397</v>
      </c>
    </row>
    <row r="2475" spans="1:8" ht="24.75" customHeight="1" x14ac:dyDescent="0.55000000000000004">
      <c r="A2475" s="592">
        <v>2474</v>
      </c>
      <c r="B2475" s="596" t="s">
        <v>5119</v>
      </c>
      <c r="C2475" s="592" t="s">
        <v>5120</v>
      </c>
      <c r="D2475" s="592">
        <v>1</v>
      </c>
      <c r="E2475" s="597">
        <v>6000</v>
      </c>
      <c r="F2475" s="597">
        <v>6000</v>
      </c>
      <c r="G2475" s="597">
        <v>4300</v>
      </c>
      <c r="H2475" s="592" t="s">
        <v>1397</v>
      </c>
    </row>
    <row r="2476" spans="1:8" ht="24.75" customHeight="1" x14ac:dyDescent="0.55000000000000004">
      <c r="A2476" s="592">
        <v>2475</v>
      </c>
      <c r="B2476" s="596" t="s">
        <v>5121</v>
      </c>
      <c r="C2476" s="592" t="s">
        <v>5122</v>
      </c>
      <c r="D2476" s="592">
        <v>1</v>
      </c>
      <c r="E2476" s="597">
        <v>50000</v>
      </c>
      <c r="F2476" s="597">
        <v>50000</v>
      </c>
      <c r="G2476" s="597">
        <v>45000</v>
      </c>
      <c r="H2476" s="592" t="s">
        <v>1397</v>
      </c>
    </row>
    <row r="2477" spans="1:8" ht="24.75" customHeight="1" x14ac:dyDescent="0.55000000000000004">
      <c r="A2477" s="592">
        <v>2476</v>
      </c>
      <c r="B2477" s="596" t="s">
        <v>1787</v>
      </c>
      <c r="C2477" s="592" t="s">
        <v>7435</v>
      </c>
      <c r="D2477" s="592">
        <v>25</v>
      </c>
      <c r="E2477" s="597">
        <v>1000</v>
      </c>
      <c r="F2477" s="597">
        <v>1000</v>
      </c>
      <c r="G2477" s="597">
        <v>16250</v>
      </c>
      <c r="H2477" s="592" t="s">
        <v>1397</v>
      </c>
    </row>
    <row r="2478" spans="1:8" ht="24.75" customHeight="1" x14ac:dyDescent="0.55000000000000004">
      <c r="A2478" s="592">
        <v>2477</v>
      </c>
      <c r="B2478" s="596" t="s">
        <v>1788</v>
      </c>
      <c r="C2478" s="592" t="s">
        <v>2521</v>
      </c>
      <c r="D2478" s="592">
        <v>11</v>
      </c>
      <c r="E2478" s="597">
        <v>1000</v>
      </c>
      <c r="F2478" s="597">
        <v>1000</v>
      </c>
      <c r="G2478" s="597">
        <v>7700</v>
      </c>
      <c r="H2478" s="592" t="s">
        <v>1397</v>
      </c>
    </row>
    <row r="2479" spans="1:8" ht="24.75" customHeight="1" x14ac:dyDescent="0.55000000000000004">
      <c r="A2479" s="592">
        <v>2478</v>
      </c>
      <c r="B2479" s="596" t="s">
        <v>5123</v>
      </c>
      <c r="C2479" s="592" t="s">
        <v>5124</v>
      </c>
      <c r="D2479" s="592">
        <v>104</v>
      </c>
      <c r="E2479" s="597">
        <v>300</v>
      </c>
      <c r="F2479" s="597">
        <v>300</v>
      </c>
      <c r="G2479" s="597">
        <v>4680</v>
      </c>
      <c r="H2479" s="592" t="s">
        <v>1397</v>
      </c>
    </row>
    <row r="2480" spans="1:8" ht="24.75" customHeight="1" x14ac:dyDescent="0.55000000000000004">
      <c r="A2480" s="592">
        <v>2479</v>
      </c>
      <c r="B2480" s="596" t="s">
        <v>2894</v>
      </c>
      <c r="C2480" s="592" t="s">
        <v>7806</v>
      </c>
      <c r="D2480" s="592">
        <v>1</v>
      </c>
      <c r="E2480" s="597">
        <v>97000</v>
      </c>
      <c r="F2480" s="597">
        <v>97000</v>
      </c>
      <c r="G2480" s="597">
        <v>75000</v>
      </c>
      <c r="H2480" s="592" t="s">
        <v>1397</v>
      </c>
    </row>
    <row r="2481" spans="1:8" ht="24.75" customHeight="1" x14ac:dyDescent="0.55000000000000004">
      <c r="A2481" s="592">
        <v>2480</v>
      </c>
      <c r="B2481" s="596" t="s">
        <v>5125</v>
      </c>
      <c r="C2481" s="592" t="s">
        <v>7807</v>
      </c>
      <c r="D2481" s="592">
        <v>15</v>
      </c>
      <c r="E2481" s="597">
        <v>600</v>
      </c>
      <c r="F2481" s="597">
        <v>600</v>
      </c>
      <c r="G2481" s="597">
        <v>4500</v>
      </c>
      <c r="H2481" s="592" t="s">
        <v>1397</v>
      </c>
    </row>
    <row r="2482" spans="1:8" ht="24.75" customHeight="1" x14ac:dyDescent="0.55000000000000004">
      <c r="A2482" s="592">
        <v>2481</v>
      </c>
      <c r="B2482" s="596" t="s">
        <v>7967</v>
      </c>
      <c r="C2482" s="592" t="s">
        <v>7968</v>
      </c>
      <c r="D2482" s="592">
        <v>1</v>
      </c>
      <c r="E2482" s="597">
        <v>300</v>
      </c>
      <c r="F2482" s="597">
        <v>300</v>
      </c>
      <c r="G2482" s="597">
        <v>250</v>
      </c>
      <c r="H2482" s="592" t="s">
        <v>1397</v>
      </c>
    </row>
    <row r="2483" spans="1:8" ht="24.75" customHeight="1" x14ac:dyDescent="0.55000000000000004">
      <c r="A2483" s="592">
        <v>2482</v>
      </c>
      <c r="B2483" s="596" t="s">
        <v>5126</v>
      </c>
      <c r="C2483" s="592" t="s">
        <v>5127</v>
      </c>
      <c r="D2483" s="592">
        <v>2</v>
      </c>
      <c r="E2483" s="597">
        <v>18000</v>
      </c>
      <c r="F2483" s="597">
        <v>18000</v>
      </c>
      <c r="G2483" s="597">
        <v>17980</v>
      </c>
      <c r="H2483" s="592" t="s">
        <v>1397</v>
      </c>
    </row>
    <row r="2484" spans="1:8" ht="24.75" customHeight="1" x14ac:dyDescent="0.55000000000000004">
      <c r="A2484" s="592">
        <v>2483</v>
      </c>
      <c r="B2484" s="596" t="s">
        <v>1789</v>
      </c>
      <c r="C2484" s="592" t="s">
        <v>1790</v>
      </c>
      <c r="D2484" s="592">
        <v>6</v>
      </c>
      <c r="E2484" s="597">
        <v>1500</v>
      </c>
      <c r="F2484" s="597">
        <v>1500</v>
      </c>
      <c r="G2484" s="597">
        <v>6300</v>
      </c>
      <c r="H2484" s="592" t="s">
        <v>1397</v>
      </c>
    </row>
    <row r="2485" spans="1:8" ht="24.75" customHeight="1" x14ac:dyDescent="0.55000000000000004">
      <c r="A2485" s="592">
        <v>2484</v>
      </c>
      <c r="B2485" s="596" t="s">
        <v>1791</v>
      </c>
      <c r="C2485" s="592" t="s">
        <v>1792</v>
      </c>
      <c r="D2485" s="592">
        <v>9</v>
      </c>
      <c r="E2485" s="597">
        <v>1700</v>
      </c>
      <c r="F2485" s="597">
        <v>1700</v>
      </c>
      <c r="G2485" s="597">
        <v>10800</v>
      </c>
      <c r="H2485" s="592" t="s">
        <v>1397</v>
      </c>
    </row>
    <row r="2486" spans="1:8" ht="24.75" customHeight="1" x14ac:dyDescent="0.55000000000000004">
      <c r="A2486" s="592">
        <v>2485</v>
      </c>
      <c r="B2486" s="596" t="s">
        <v>1793</v>
      </c>
      <c r="C2486" s="592" t="s">
        <v>1794</v>
      </c>
      <c r="D2486" s="592">
        <v>5</v>
      </c>
      <c r="E2486" s="597">
        <v>1500</v>
      </c>
      <c r="F2486" s="597">
        <v>1500</v>
      </c>
      <c r="G2486" s="597">
        <v>5000</v>
      </c>
      <c r="H2486" s="592" t="s">
        <v>1397</v>
      </c>
    </row>
    <row r="2487" spans="1:8" ht="24.75" customHeight="1" x14ac:dyDescent="0.55000000000000004">
      <c r="A2487" s="592">
        <v>2486</v>
      </c>
      <c r="B2487" s="596" t="s">
        <v>1795</v>
      </c>
      <c r="C2487" s="592" t="s">
        <v>1796</v>
      </c>
      <c r="D2487" s="592">
        <v>7</v>
      </c>
      <c r="E2487" s="597">
        <v>1700</v>
      </c>
      <c r="F2487" s="597">
        <v>1700</v>
      </c>
      <c r="G2487" s="597">
        <v>8750</v>
      </c>
      <c r="H2487" s="592" t="s">
        <v>1397</v>
      </c>
    </row>
    <row r="2488" spans="1:8" ht="24.75" customHeight="1" x14ac:dyDescent="0.55000000000000004">
      <c r="A2488" s="592">
        <v>2487</v>
      </c>
      <c r="B2488" s="596" t="s">
        <v>1797</v>
      </c>
      <c r="C2488" s="592" t="s">
        <v>1798</v>
      </c>
      <c r="D2488" s="592">
        <v>8</v>
      </c>
      <c r="E2488" s="597">
        <v>2200</v>
      </c>
      <c r="F2488" s="597">
        <v>2200</v>
      </c>
      <c r="G2488" s="597">
        <v>15200</v>
      </c>
      <c r="H2488" s="592" t="s">
        <v>1397</v>
      </c>
    </row>
    <row r="2489" spans="1:8" ht="24.75" customHeight="1" x14ac:dyDescent="0.55000000000000004">
      <c r="A2489" s="592">
        <v>2488</v>
      </c>
      <c r="B2489" s="596" t="s">
        <v>1799</v>
      </c>
      <c r="C2489" s="592" t="s">
        <v>1800</v>
      </c>
      <c r="D2489" s="592">
        <v>10</v>
      </c>
      <c r="E2489" s="597">
        <v>3000</v>
      </c>
      <c r="F2489" s="597">
        <v>3000</v>
      </c>
      <c r="G2489" s="597">
        <v>22000</v>
      </c>
      <c r="H2489" s="592" t="s">
        <v>1397</v>
      </c>
    </row>
    <row r="2490" spans="1:8" ht="24.75" customHeight="1" x14ac:dyDescent="0.55000000000000004">
      <c r="A2490" s="592">
        <v>2489</v>
      </c>
      <c r="B2490" s="596" t="s">
        <v>1801</v>
      </c>
      <c r="C2490" s="592" t="s">
        <v>7436</v>
      </c>
      <c r="D2490" s="592">
        <v>129</v>
      </c>
      <c r="E2490" s="597">
        <v>50</v>
      </c>
      <c r="F2490" s="597">
        <v>50</v>
      </c>
      <c r="G2490" s="597">
        <v>3870</v>
      </c>
      <c r="H2490" s="592" t="s">
        <v>1397</v>
      </c>
    </row>
    <row r="2491" spans="1:8" ht="24.75" customHeight="1" x14ac:dyDescent="0.55000000000000004">
      <c r="A2491" s="592">
        <v>2490</v>
      </c>
      <c r="B2491" s="596" t="s">
        <v>1802</v>
      </c>
      <c r="C2491" s="592" t="s">
        <v>1803</v>
      </c>
      <c r="D2491" s="592">
        <v>89</v>
      </c>
      <c r="E2491" s="597">
        <v>50</v>
      </c>
      <c r="F2491" s="597">
        <v>50</v>
      </c>
      <c r="G2491" s="597">
        <v>1246</v>
      </c>
      <c r="H2491" s="592" t="s">
        <v>1397</v>
      </c>
    </row>
    <row r="2492" spans="1:8" ht="24.75" customHeight="1" x14ac:dyDescent="0.55000000000000004">
      <c r="A2492" s="592">
        <v>2491</v>
      </c>
      <c r="B2492" s="596" t="s">
        <v>5128</v>
      </c>
      <c r="C2492" s="592" t="s">
        <v>7808</v>
      </c>
      <c r="D2492" s="592">
        <v>2</v>
      </c>
      <c r="E2492" s="597">
        <v>2000</v>
      </c>
      <c r="F2492" s="597">
        <v>2000</v>
      </c>
      <c r="G2492" s="597">
        <v>2000</v>
      </c>
      <c r="H2492" s="592" t="s">
        <v>1397</v>
      </c>
    </row>
    <row r="2493" spans="1:8" ht="24.75" customHeight="1" x14ac:dyDescent="0.55000000000000004">
      <c r="A2493" s="592">
        <v>2492</v>
      </c>
      <c r="B2493" s="596" t="s">
        <v>1804</v>
      </c>
      <c r="C2493" s="592" t="s">
        <v>1805</v>
      </c>
      <c r="D2493" s="592">
        <v>7</v>
      </c>
      <c r="E2493" s="597">
        <v>400</v>
      </c>
      <c r="F2493" s="597">
        <v>400</v>
      </c>
      <c r="G2493" s="597">
        <v>2100</v>
      </c>
      <c r="H2493" s="592" t="s">
        <v>1397</v>
      </c>
    </row>
    <row r="2494" spans="1:8" ht="24.75" customHeight="1" x14ac:dyDescent="0.55000000000000004">
      <c r="A2494" s="592">
        <v>2493</v>
      </c>
      <c r="B2494" s="596" t="s">
        <v>6510</v>
      </c>
      <c r="C2494" s="592" t="s">
        <v>6511</v>
      </c>
      <c r="D2494" s="592">
        <v>6</v>
      </c>
      <c r="E2494" s="597">
        <v>500</v>
      </c>
      <c r="F2494" s="597">
        <v>500</v>
      </c>
      <c r="G2494" s="597">
        <v>2016</v>
      </c>
      <c r="H2494" s="592" t="s">
        <v>1397</v>
      </c>
    </row>
    <row r="2495" spans="1:8" ht="24.75" customHeight="1" x14ac:dyDescent="0.55000000000000004">
      <c r="A2495" s="592">
        <v>2494</v>
      </c>
      <c r="B2495" s="596" t="s">
        <v>6276</v>
      </c>
      <c r="C2495" s="592" t="s">
        <v>6277</v>
      </c>
      <c r="D2495" s="592">
        <v>10</v>
      </c>
      <c r="E2495" s="597">
        <v>1000</v>
      </c>
      <c r="F2495" s="597">
        <v>1000</v>
      </c>
      <c r="G2495" s="597">
        <v>7000</v>
      </c>
      <c r="H2495" s="592" t="s">
        <v>1397</v>
      </c>
    </row>
    <row r="2496" spans="1:8" ht="24.75" customHeight="1" x14ac:dyDescent="0.55000000000000004">
      <c r="A2496" s="592">
        <v>2495</v>
      </c>
      <c r="B2496" s="596" t="s">
        <v>1806</v>
      </c>
      <c r="C2496" s="592" t="s">
        <v>1807</v>
      </c>
      <c r="D2496" s="592">
        <v>12</v>
      </c>
      <c r="E2496" s="597">
        <v>600</v>
      </c>
      <c r="F2496" s="597">
        <v>600</v>
      </c>
      <c r="G2496" s="597">
        <v>4800</v>
      </c>
      <c r="H2496" s="592" t="s">
        <v>1397</v>
      </c>
    </row>
    <row r="2497" spans="1:8" ht="24.75" customHeight="1" x14ac:dyDescent="0.55000000000000004">
      <c r="A2497" s="592">
        <v>2496</v>
      </c>
      <c r="B2497" s="596" t="s">
        <v>5129</v>
      </c>
      <c r="C2497" s="592" t="s">
        <v>8333</v>
      </c>
      <c r="D2497" s="592">
        <v>2</v>
      </c>
      <c r="E2497" s="597">
        <v>15000</v>
      </c>
      <c r="F2497" s="597">
        <v>15000</v>
      </c>
      <c r="G2497" s="597">
        <v>24000</v>
      </c>
      <c r="H2497" s="592" t="s">
        <v>1397</v>
      </c>
    </row>
    <row r="2498" spans="1:8" ht="24.75" customHeight="1" x14ac:dyDescent="0.55000000000000004">
      <c r="A2498" s="592">
        <v>2497</v>
      </c>
      <c r="B2498" s="596" t="s">
        <v>1808</v>
      </c>
      <c r="C2498" s="592" t="s">
        <v>1809</v>
      </c>
      <c r="D2498" s="592">
        <v>4</v>
      </c>
      <c r="E2498" s="597">
        <v>2200</v>
      </c>
      <c r="F2498" s="597">
        <v>2200</v>
      </c>
      <c r="G2498" s="597">
        <v>5800</v>
      </c>
      <c r="H2498" s="592" t="s">
        <v>1397</v>
      </c>
    </row>
    <row r="2499" spans="1:8" ht="24.75" customHeight="1" x14ac:dyDescent="0.55000000000000004">
      <c r="A2499" s="592">
        <v>2498</v>
      </c>
      <c r="B2499" s="596" t="s">
        <v>1811</v>
      </c>
      <c r="C2499" s="592" t="s">
        <v>1812</v>
      </c>
      <c r="D2499" s="592">
        <v>10</v>
      </c>
      <c r="E2499" s="597">
        <v>2000</v>
      </c>
      <c r="F2499" s="597">
        <v>2000</v>
      </c>
      <c r="G2499" s="597">
        <v>13500</v>
      </c>
      <c r="H2499" s="592" t="s">
        <v>1397</v>
      </c>
    </row>
    <row r="2500" spans="1:8" ht="24.75" customHeight="1" x14ac:dyDescent="0.55000000000000004">
      <c r="A2500" s="592">
        <v>2499</v>
      </c>
      <c r="B2500" s="596" t="s">
        <v>1813</v>
      </c>
      <c r="C2500" s="592" t="s">
        <v>1814</v>
      </c>
      <c r="D2500" s="592">
        <v>10</v>
      </c>
      <c r="E2500" s="597">
        <v>2000</v>
      </c>
      <c r="F2500" s="597">
        <v>2000</v>
      </c>
      <c r="G2500" s="597">
        <v>13500</v>
      </c>
      <c r="H2500" s="592" t="s">
        <v>1397</v>
      </c>
    </row>
    <row r="2501" spans="1:8" ht="24.75" customHeight="1" x14ac:dyDescent="0.55000000000000004">
      <c r="A2501" s="592">
        <v>2500</v>
      </c>
      <c r="B2501" s="596" t="s">
        <v>5130</v>
      </c>
      <c r="C2501" s="592" t="s">
        <v>5131</v>
      </c>
      <c r="D2501" s="592">
        <v>9</v>
      </c>
      <c r="E2501" s="597">
        <v>500</v>
      </c>
      <c r="F2501" s="597">
        <v>500</v>
      </c>
      <c r="G2501" s="597">
        <v>2700</v>
      </c>
      <c r="H2501" s="592" t="s">
        <v>1397</v>
      </c>
    </row>
    <row r="2502" spans="1:8" ht="24.75" customHeight="1" x14ac:dyDescent="0.55000000000000004">
      <c r="A2502" s="592">
        <v>2501</v>
      </c>
      <c r="B2502" s="596" t="s">
        <v>5132</v>
      </c>
      <c r="C2502" s="592" t="s">
        <v>5133</v>
      </c>
      <c r="D2502" s="592">
        <v>1</v>
      </c>
      <c r="E2502" s="597">
        <v>10500</v>
      </c>
      <c r="F2502" s="597">
        <v>10500</v>
      </c>
      <c r="G2502" s="597">
        <v>7500</v>
      </c>
      <c r="H2502" s="592" t="s">
        <v>1397</v>
      </c>
    </row>
    <row r="2503" spans="1:8" ht="24.75" customHeight="1" x14ac:dyDescent="0.55000000000000004">
      <c r="A2503" s="592">
        <v>2502</v>
      </c>
      <c r="B2503" s="596" t="s">
        <v>5134</v>
      </c>
      <c r="C2503" s="592" t="s">
        <v>5135</v>
      </c>
      <c r="D2503" s="592">
        <v>12</v>
      </c>
      <c r="E2503" s="597">
        <v>1000</v>
      </c>
      <c r="F2503" s="597">
        <v>1000</v>
      </c>
      <c r="G2503" s="597">
        <v>7200</v>
      </c>
      <c r="H2503" s="592" t="s">
        <v>1397</v>
      </c>
    </row>
    <row r="2504" spans="1:8" ht="24.75" customHeight="1" x14ac:dyDescent="0.55000000000000004">
      <c r="A2504" s="592">
        <v>2503</v>
      </c>
      <c r="B2504" s="596" t="s">
        <v>1815</v>
      </c>
      <c r="C2504" s="592" t="s">
        <v>2522</v>
      </c>
      <c r="D2504" s="592">
        <v>3</v>
      </c>
      <c r="E2504" s="597">
        <v>9000</v>
      </c>
      <c r="F2504" s="597">
        <v>9000</v>
      </c>
      <c r="G2504" s="597">
        <v>19500</v>
      </c>
      <c r="H2504" s="592" t="s">
        <v>1397</v>
      </c>
    </row>
    <row r="2505" spans="1:8" ht="24.75" customHeight="1" x14ac:dyDescent="0.55000000000000004">
      <c r="A2505" s="592">
        <v>2504</v>
      </c>
      <c r="B2505" s="596" t="s">
        <v>5136</v>
      </c>
      <c r="C2505" s="592" t="s">
        <v>7809</v>
      </c>
      <c r="D2505" s="592">
        <v>2</v>
      </c>
      <c r="E2505" s="597">
        <v>10000</v>
      </c>
      <c r="F2505" s="597">
        <v>10000</v>
      </c>
      <c r="G2505" s="597">
        <v>10000</v>
      </c>
      <c r="H2505" s="592" t="s">
        <v>1397</v>
      </c>
    </row>
    <row r="2506" spans="1:8" ht="24.75" customHeight="1" x14ac:dyDescent="0.55000000000000004">
      <c r="A2506" s="592">
        <v>2505</v>
      </c>
      <c r="B2506" s="596" t="s">
        <v>3296</v>
      </c>
      <c r="C2506" s="592" t="s">
        <v>3297</v>
      </c>
      <c r="D2506" s="592">
        <v>1</v>
      </c>
      <c r="E2506" s="597">
        <v>54000</v>
      </c>
      <c r="F2506" s="597">
        <v>54000</v>
      </c>
      <c r="G2506" s="597">
        <v>26829</v>
      </c>
      <c r="H2506" s="592" t="s">
        <v>1397</v>
      </c>
    </row>
    <row r="2507" spans="1:8" ht="24.75" customHeight="1" x14ac:dyDescent="0.55000000000000004">
      <c r="A2507" s="592">
        <v>2506</v>
      </c>
      <c r="B2507" s="596" t="s">
        <v>5137</v>
      </c>
      <c r="C2507" s="592" t="s">
        <v>5138</v>
      </c>
      <c r="D2507" s="592">
        <v>3</v>
      </c>
      <c r="E2507" s="597">
        <v>15000</v>
      </c>
      <c r="F2507" s="597">
        <v>15000</v>
      </c>
      <c r="G2507" s="597">
        <v>30000</v>
      </c>
      <c r="H2507" s="592" t="s">
        <v>1397</v>
      </c>
    </row>
    <row r="2508" spans="1:8" ht="24.75" customHeight="1" x14ac:dyDescent="0.55000000000000004">
      <c r="A2508" s="592">
        <v>2507</v>
      </c>
      <c r="B2508" s="596" t="s">
        <v>5139</v>
      </c>
      <c r="C2508" s="592" t="s">
        <v>5140</v>
      </c>
      <c r="D2508" s="592">
        <v>1</v>
      </c>
      <c r="E2508" s="597">
        <v>600</v>
      </c>
      <c r="F2508" s="597">
        <v>600</v>
      </c>
      <c r="G2508" s="597">
        <v>480</v>
      </c>
      <c r="H2508" s="592" t="s">
        <v>1397</v>
      </c>
    </row>
    <row r="2509" spans="1:8" ht="24.75" customHeight="1" x14ac:dyDescent="0.55000000000000004">
      <c r="A2509" s="592">
        <v>2508</v>
      </c>
      <c r="B2509" s="596" t="s">
        <v>1816</v>
      </c>
      <c r="C2509" s="592" t="s">
        <v>3298</v>
      </c>
      <c r="D2509" s="592">
        <v>15</v>
      </c>
      <c r="E2509" s="597">
        <v>350</v>
      </c>
      <c r="F2509" s="597">
        <v>350</v>
      </c>
      <c r="G2509" s="597">
        <v>3495</v>
      </c>
      <c r="H2509" s="592" t="s">
        <v>1397</v>
      </c>
    </row>
    <row r="2510" spans="1:8" ht="24.75" customHeight="1" x14ac:dyDescent="0.55000000000000004">
      <c r="A2510" s="592">
        <v>2509</v>
      </c>
      <c r="B2510" s="596" t="s">
        <v>5141</v>
      </c>
      <c r="C2510" s="592" t="s">
        <v>5142</v>
      </c>
      <c r="D2510" s="592">
        <v>5</v>
      </c>
      <c r="E2510" s="597">
        <v>300</v>
      </c>
      <c r="F2510" s="597">
        <v>300</v>
      </c>
      <c r="G2510" s="597">
        <v>900</v>
      </c>
      <c r="H2510" s="592" t="s">
        <v>1397</v>
      </c>
    </row>
    <row r="2511" spans="1:8" ht="24.75" customHeight="1" x14ac:dyDescent="0.55000000000000004">
      <c r="A2511" s="592">
        <v>2510</v>
      </c>
      <c r="B2511" s="596" t="s">
        <v>2895</v>
      </c>
      <c r="C2511" s="592" t="s">
        <v>2896</v>
      </c>
      <c r="D2511" s="592">
        <v>7</v>
      </c>
      <c r="E2511" s="597">
        <v>1800</v>
      </c>
      <c r="F2511" s="597">
        <v>1800</v>
      </c>
      <c r="G2511" s="597">
        <v>9100</v>
      </c>
      <c r="H2511" s="592" t="s">
        <v>1397</v>
      </c>
    </row>
    <row r="2512" spans="1:8" ht="24.75" customHeight="1" x14ac:dyDescent="0.55000000000000004">
      <c r="A2512" s="592">
        <v>2511</v>
      </c>
      <c r="B2512" s="596" t="s">
        <v>2047</v>
      </c>
      <c r="C2512" s="592" t="s">
        <v>2048</v>
      </c>
      <c r="D2512" s="592">
        <v>6</v>
      </c>
      <c r="E2512" s="597">
        <v>2000</v>
      </c>
      <c r="F2512" s="597">
        <v>2000</v>
      </c>
      <c r="G2512" s="597">
        <v>7500</v>
      </c>
      <c r="H2512" s="592" t="s">
        <v>1397</v>
      </c>
    </row>
    <row r="2513" spans="1:8" ht="24.75" customHeight="1" x14ac:dyDescent="0.55000000000000004">
      <c r="A2513" s="592">
        <v>2512</v>
      </c>
      <c r="B2513" s="596" t="s">
        <v>1817</v>
      </c>
      <c r="C2513" s="592" t="s">
        <v>1818</v>
      </c>
      <c r="D2513" s="592">
        <v>19</v>
      </c>
      <c r="E2513" s="597">
        <v>3500</v>
      </c>
      <c r="F2513" s="597">
        <v>3500</v>
      </c>
      <c r="G2513" s="597">
        <v>58577</v>
      </c>
      <c r="H2513" s="592" t="s">
        <v>1397</v>
      </c>
    </row>
    <row r="2514" spans="1:8" ht="24.75" customHeight="1" x14ac:dyDescent="0.55000000000000004">
      <c r="A2514" s="592">
        <v>2513</v>
      </c>
      <c r="B2514" s="596" t="s">
        <v>1819</v>
      </c>
      <c r="C2514" s="592" t="s">
        <v>1820</v>
      </c>
      <c r="D2514" s="592">
        <v>15</v>
      </c>
      <c r="E2514" s="597">
        <v>500</v>
      </c>
      <c r="F2514" s="597">
        <v>500</v>
      </c>
      <c r="G2514" s="597">
        <v>3300</v>
      </c>
      <c r="H2514" s="592" t="s">
        <v>1397</v>
      </c>
    </row>
    <row r="2515" spans="1:8" ht="24.75" customHeight="1" x14ac:dyDescent="0.55000000000000004">
      <c r="A2515" s="592">
        <v>2514</v>
      </c>
      <c r="B2515" s="596" t="s">
        <v>1821</v>
      </c>
      <c r="C2515" s="592" t="s">
        <v>1822</v>
      </c>
      <c r="D2515" s="592">
        <v>14</v>
      </c>
      <c r="E2515" s="597">
        <v>200</v>
      </c>
      <c r="F2515" s="597">
        <v>200</v>
      </c>
      <c r="G2515" s="597">
        <v>1960</v>
      </c>
      <c r="H2515" s="592" t="s">
        <v>1397</v>
      </c>
    </row>
    <row r="2516" spans="1:8" ht="24.75" customHeight="1" x14ac:dyDescent="0.55000000000000004">
      <c r="A2516" s="592">
        <v>2515</v>
      </c>
      <c r="B2516" s="596" t="s">
        <v>3072</v>
      </c>
      <c r="C2516" s="592" t="s">
        <v>3073</v>
      </c>
      <c r="D2516" s="592">
        <v>2</v>
      </c>
      <c r="E2516" s="597">
        <v>6500</v>
      </c>
      <c r="F2516" s="597">
        <v>6500</v>
      </c>
      <c r="G2516" s="597">
        <v>10000</v>
      </c>
      <c r="H2516" s="592" t="s">
        <v>1397</v>
      </c>
    </row>
    <row r="2517" spans="1:8" ht="24.75" customHeight="1" x14ac:dyDescent="0.55000000000000004">
      <c r="A2517" s="592">
        <v>2516</v>
      </c>
      <c r="B2517" s="596" t="s">
        <v>5143</v>
      </c>
      <c r="C2517" s="592" t="s">
        <v>5144</v>
      </c>
      <c r="D2517" s="592">
        <v>3</v>
      </c>
      <c r="E2517" s="597">
        <v>8000</v>
      </c>
      <c r="F2517" s="597">
        <v>8000</v>
      </c>
      <c r="G2517" s="597">
        <v>18000</v>
      </c>
      <c r="H2517" s="592" t="s">
        <v>1397</v>
      </c>
    </row>
    <row r="2518" spans="1:8" ht="24.75" customHeight="1" x14ac:dyDescent="0.55000000000000004">
      <c r="A2518" s="592">
        <v>2517</v>
      </c>
      <c r="B2518" s="596" t="s">
        <v>5145</v>
      </c>
      <c r="C2518" s="592" t="s">
        <v>5146</v>
      </c>
      <c r="D2518" s="592">
        <v>3</v>
      </c>
      <c r="E2518" s="597">
        <v>36000</v>
      </c>
      <c r="F2518" s="597">
        <v>36000</v>
      </c>
      <c r="G2518" s="597">
        <v>60300</v>
      </c>
      <c r="H2518" s="592" t="s">
        <v>1397</v>
      </c>
    </row>
    <row r="2519" spans="1:8" ht="24.75" customHeight="1" x14ac:dyDescent="0.55000000000000004">
      <c r="A2519" s="592">
        <v>2518</v>
      </c>
      <c r="B2519" s="596" t="s">
        <v>5147</v>
      </c>
      <c r="C2519" s="592" t="s">
        <v>5148</v>
      </c>
      <c r="D2519" s="592">
        <v>2</v>
      </c>
      <c r="E2519" s="597">
        <v>10200</v>
      </c>
      <c r="F2519" s="597">
        <v>10200</v>
      </c>
      <c r="G2519" s="597">
        <v>10000</v>
      </c>
      <c r="H2519" s="592" t="s">
        <v>1397</v>
      </c>
    </row>
    <row r="2520" spans="1:8" ht="24.75" customHeight="1" x14ac:dyDescent="0.55000000000000004">
      <c r="A2520" s="592">
        <v>2519</v>
      </c>
      <c r="B2520" s="596" t="s">
        <v>5149</v>
      </c>
      <c r="C2520" s="592" t="s">
        <v>5150</v>
      </c>
      <c r="D2520" s="592">
        <v>1</v>
      </c>
      <c r="E2520" s="597">
        <v>1200</v>
      </c>
      <c r="F2520" s="597">
        <v>1200</v>
      </c>
      <c r="G2520" s="597">
        <v>975</v>
      </c>
      <c r="H2520" s="592" t="s">
        <v>1397</v>
      </c>
    </row>
    <row r="2521" spans="1:8" ht="24.75" customHeight="1" x14ac:dyDescent="0.55000000000000004">
      <c r="A2521" s="592">
        <v>2520</v>
      </c>
      <c r="B2521" s="596" t="s">
        <v>5151</v>
      </c>
      <c r="C2521" s="592" t="s">
        <v>7810</v>
      </c>
      <c r="D2521" s="592">
        <v>40</v>
      </c>
      <c r="E2521" s="597">
        <v>2000</v>
      </c>
      <c r="F2521" s="597">
        <v>2000</v>
      </c>
      <c r="G2521" s="597">
        <v>60000</v>
      </c>
      <c r="H2521" s="592" t="s">
        <v>1397</v>
      </c>
    </row>
    <row r="2522" spans="1:8" ht="24.75" customHeight="1" x14ac:dyDescent="0.55000000000000004">
      <c r="A2522" s="592">
        <v>2521</v>
      </c>
      <c r="B2522" s="596" t="s">
        <v>1823</v>
      </c>
      <c r="C2522" s="592" t="s">
        <v>1824</v>
      </c>
      <c r="D2522" s="592">
        <v>8</v>
      </c>
      <c r="E2522" s="597">
        <v>1500</v>
      </c>
      <c r="F2522" s="597">
        <v>1500</v>
      </c>
      <c r="G2522" s="597">
        <v>8800</v>
      </c>
      <c r="H2522" s="592" t="s">
        <v>1397</v>
      </c>
    </row>
    <row r="2523" spans="1:8" ht="24.75" customHeight="1" x14ac:dyDescent="0.55000000000000004">
      <c r="A2523" s="592">
        <v>2522</v>
      </c>
      <c r="B2523" s="596" t="s">
        <v>1827</v>
      </c>
      <c r="C2523" s="592" t="s">
        <v>1828</v>
      </c>
      <c r="D2523" s="592">
        <v>4</v>
      </c>
      <c r="E2523" s="597">
        <v>1200</v>
      </c>
      <c r="F2523" s="597">
        <v>1200</v>
      </c>
      <c r="G2523" s="597">
        <v>3000</v>
      </c>
      <c r="H2523" s="592" t="s">
        <v>1397</v>
      </c>
    </row>
    <row r="2524" spans="1:8" ht="24.75" customHeight="1" x14ac:dyDescent="0.55000000000000004">
      <c r="A2524" s="592">
        <v>2523</v>
      </c>
      <c r="B2524" s="596" t="s">
        <v>1829</v>
      </c>
      <c r="C2524" s="592" t="s">
        <v>1830</v>
      </c>
      <c r="D2524" s="592">
        <v>6</v>
      </c>
      <c r="E2524" s="597">
        <v>1400</v>
      </c>
      <c r="F2524" s="597">
        <v>1400</v>
      </c>
      <c r="G2524" s="597">
        <v>5400</v>
      </c>
      <c r="H2524" s="592" t="s">
        <v>1397</v>
      </c>
    </row>
    <row r="2525" spans="1:8" ht="24.75" customHeight="1" x14ac:dyDescent="0.55000000000000004">
      <c r="A2525" s="592">
        <v>2524</v>
      </c>
      <c r="B2525" s="596" t="s">
        <v>1831</v>
      </c>
      <c r="C2525" s="592" t="s">
        <v>1832</v>
      </c>
      <c r="D2525" s="592">
        <v>16</v>
      </c>
      <c r="E2525" s="597">
        <v>1700</v>
      </c>
      <c r="F2525" s="597">
        <v>1700</v>
      </c>
      <c r="G2525" s="597">
        <v>16000</v>
      </c>
      <c r="H2525" s="592" t="s">
        <v>1397</v>
      </c>
    </row>
    <row r="2526" spans="1:8" ht="24.75" customHeight="1" x14ac:dyDescent="0.55000000000000004">
      <c r="A2526" s="592">
        <v>2525</v>
      </c>
      <c r="B2526" s="596" t="s">
        <v>5152</v>
      </c>
      <c r="C2526" s="592" t="s">
        <v>3879</v>
      </c>
      <c r="D2526" s="592">
        <v>3</v>
      </c>
      <c r="E2526" s="597">
        <v>2000</v>
      </c>
      <c r="F2526" s="597">
        <v>2000</v>
      </c>
      <c r="G2526" s="597">
        <v>3450</v>
      </c>
      <c r="H2526" s="592" t="s">
        <v>1397</v>
      </c>
    </row>
    <row r="2527" spans="1:8" ht="24.75" customHeight="1" x14ac:dyDescent="0.55000000000000004">
      <c r="A2527" s="592">
        <v>2526</v>
      </c>
      <c r="B2527" s="596" t="s">
        <v>5153</v>
      </c>
      <c r="C2527" s="592" t="s">
        <v>5154</v>
      </c>
      <c r="D2527" s="592">
        <v>3</v>
      </c>
      <c r="E2527" s="597">
        <v>850</v>
      </c>
      <c r="F2527" s="597">
        <v>850</v>
      </c>
      <c r="G2527" s="597">
        <v>1950</v>
      </c>
      <c r="H2527" s="592" t="s">
        <v>1397</v>
      </c>
    </row>
    <row r="2528" spans="1:8" ht="24.75" customHeight="1" x14ac:dyDescent="0.55000000000000004">
      <c r="A2528" s="592">
        <v>2527</v>
      </c>
      <c r="B2528" s="596" t="s">
        <v>1833</v>
      </c>
      <c r="C2528" s="592" t="s">
        <v>1834</v>
      </c>
      <c r="D2528" s="592">
        <v>2</v>
      </c>
      <c r="E2528" s="597">
        <v>2500</v>
      </c>
      <c r="F2528" s="597">
        <v>2500</v>
      </c>
      <c r="G2528" s="597">
        <v>3400</v>
      </c>
      <c r="H2528" s="592" t="s">
        <v>1397</v>
      </c>
    </row>
    <row r="2529" spans="1:8" ht="24.75" customHeight="1" x14ac:dyDescent="0.55000000000000004">
      <c r="A2529" s="592">
        <v>2528</v>
      </c>
      <c r="B2529" s="596" t="s">
        <v>3189</v>
      </c>
      <c r="C2529" s="592" t="s">
        <v>7811</v>
      </c>
      <c r="D2529" s="592">
        <v>2</v>
      </c>
      <c r="E2529" s="597">
        <v>8500</v>
      </c>
      <c r="F2529" s="597">
        <v>8500</v>
      </c>
      <c r="G2529" s="597">
        <v>15000</v>
      </c>
      <c r="H2529" s="592" t="s">
        <v>1397</v>
      </c>
    </row>
    <row r="2530" spans="1:8" ht="24.75" customHeight="1" x14ac:dyDescent="0.55000000000000004">
      <c r="A2530" s="592">
        <v>2529</v>
      </c>
      <c r="B2530" s="596" t="s">
        <v>6758</v>
      </c>
      <c r="C2530" s="592" t="s">
        <v>7812</v>
      </c>
      <c r="D2530" s="592">
        <v>1</v>
      </c>
      <c r="E2530" s="597">
        <v>11500</v>
      </c>
      <c r="F2530" s="597">
        <v>11500</v>
      </c>
      <c r="G2530" s="597">
        <v>9500</v>
      </c>
      <c r="H2530" s="592" t="s">
        <v>1397</v>
      </c>
    </row>
    <row r="2531" spans="1:8" ht="24.75" customHeight="1" x14ac:dyDescent="0.55000000000000004">
      <c r="A2531" s="592">
        <v>2530</v>
      </c>
      <c r="B2531" s="596" t="s">
        <v>5155</v>
      </c>
      <c r="C2531" s="592" t="s">
        <v>5156</v>
      </c>
      <c r="D2531" s="592">
        <v>2</v>
      </c>
      <c r="E2531" s="597">
        <v>2350</v>
      </c>
      <c r="F2531" s="597">
        <v>2350</v>
      </c>
      <c r="G2531" s="597">
        <v>3600</v>
      </c>
      <c r="H2531" s="592" t="s">
        <v>1397</v>
      </c>
    </row>
    <row r="2532" spans="1:8" ht="24.75" customHeight="1" x14ac:dyDescent="0.55000000000000004">
      <c r="A2532" s="592">
        <v>2531</v>
      </c>
      <c r="B2532" s="596" t="s">
        <v>3464</v>
      </c>
      <c r="C2532" s="592" t="s">
        <v>3465</v>
      </c>
      <c r="D2532" s="592">
        <v>5</v>
      </c>
      <c r="E2532" s="597">
        <v>8200</v>
      </c>
      <c r="F2532" s="597">
        <v>8200</v>
      </c>
      <c r="G2532" s="597">
        <v>24000</v>
      </c>
      <c r="H2532" s="592" t="s">
        <v>1397</v>
      </c>
    </row>
    <row r="2533" spans="1:8" ht="24.75" customHeight="1" x14ac:dyDescent="0.55000000000000004">
      <c r="A2533" s="592">
        <v>2532</v>
      </c>
      <c r="B2533" s="596" t="s">
        <v>1835</v>
      </c>
      <c r="C2533" s="592" t="s">
        <v>1836</v>
      </c>
      <c r="D2533" s="592">
        <v>7</v>
      </c>
      <c r="E2533" s="597">
        <v>1200</v>
      </c>
      <c r="F2533" s="597">
        <v>1200</v>
      </c>
      <c r="G2533" s="597">
        <v>3500</v>
      </c>
      <c r="H2533" s="592" t="s">
        <v>1397</v>
      </c>
    </row>
    <row r="2534" spans="1:8" ht="24.75" customHeight="1" x14ac:dyDescent="0.55000000000000004">
      <c r="A2534" s="592">
        <v>2533</v>
      </c>
      <c r="B2534" s="596" t="s">
        <v>5157</v>
      </c>
      <c r="C2534" s="592" t="s">
        <v>5158</v>
      </c>
      <c r="D2534" s="592">
        <v>119</v>
      </c>
      <c r="E2534" s="597">
        <v>500</v>
      </c>
      <c r="F2534" s="597">
        <v>500</v>
      </c>
      <c r="G2534" s="597">
        <v>29750</v>
      </c>
      <c r="H2534" s="592" t="s">
        <v>1397</v>
      </c>
    </row>
    <row r="2535" spans="1:8" ht="24.75" customHeight="1" x14ac:dyDescent="0.55000000000000004">
      <c r="A2535" s="592">
        <v>2534</v>
      </c>
      <c r="B2535" s="596" t="s">
        <v>5159</v>
      </c>
      <c r="C2535" s="592" t="s">
        <v>5160</v>
      </c>
      <c r="D2535" s="592">
        <v>1</v>
      </c>
      <c r="E2535" s="597">
        <v>3500</v>
      </c>
      <c r="F2535" s="597">
        <v>3500</v>
      </c>
      <c r="G2535" s="597">
        <v>1500</v>
      </c>
      <c r="H2535" s="592" t="s">
        <v>1397</v>
      </c>
    </row>
    <row r="2536" spans="1:8" ht="24.75" customHeight="1" x14ac:dyDescent="0.55000000000000004">
      <c r="A2536" s="592">
        <v>2535</v>
      </c>
      <c r="B2536" s="596" t="s">
        <v>5161</v>
      </c>
      <c r="C2536" s="592" t="s">
        <v>5162</v>
      </c>
      <c r="D2536" s="592">
        <v>3</v>
      </c>
      <c r="E2536" s="597">
        <v>3500</v>
      </c>
      <c r="F2536" s="597">
        <v>3500</v>
      </c>
      <c r="G2536" s="597">
        <v>5550</v>
      </c>
      <c r="H2536" s="592" t="s">
        <v>1397</v>
      </c>
    </row>
    <row r="2537" spans="1:8" ht="24.75" customHeight="1" x14ac:dyDescent="0.55000000000000004">
      <c r="A2537" s="592">
        <v>2536</v>
      </c>
      <c r="B2537" s="596" t="s">
        <v>8859</v>
      </c>
      <c r="C2537" s="592" t="s">
        <v>8860</v>
      </c>
      <c r="D2537" s="592">
        <v>1</v>
      </c>
      <c r="E2537" s="597">
        <v>90000</v>
      </c>
      <c r="F2537" s="597">
        <v>90000</v>
      </c>
      <c r="G2537" s="597">
        <v>72000</v>
      </c>
      <c r="H2537" s="592" t="s">
        <v>1397</v>
      </c>
    </row>
    <row r="2538" spans="1:8" ht="24.75" customHeight="1" x14ac:dyDescent="0.55000000000000004">
      <c r="A2538" s="592">
        <v>2537</v>
      </c>
      <c r="B2538" s="596" t="s">
        <v>5163</v>
      </c>
      <c r="C2538" s="592" t="s">
        <v>7813</v>
      </c>
      <c r="D2538" s="592">
        <v>1</v>
      </c>
      <c r="E2538" s="597">
        <v>15000</v>
      </c>
      <c r="F2538" s="597">
        <v>15000</v>
      </c>
      <c r="G2538" s="597">
        <v>11000</v>
      </c>
      <c r="H2538" s="592" t="s">
        <v>1397</v>
      </c>
    </row>
    <row r="2539" spans="1:8" ht="24.75" customHeight="1" x14ac:dyDescent="0.55000000000000004">
      <c r="A2539" s="592">
        <v>2538</v>
      </c>
      <c r="B2539" s="596" t="s">
        <v>5164</v>
      </c>
      <c r="C2539" s="592" t="s">
        <v>5165</v>
      </c>
      <c r="D2539" s="592">
        <v>1</v>
      </c>
      <c r="E2539" s="597">
        <v>7000</v>
      </c>
      <c r="F2539" s="597">
        <v>7000</v>
      </c>
      <c r="G2539" s="597">
        <v>5000</v>
      </c>
      <c r="H2539" s="592" t="s">
        <v>1397</v>
      </c>
    </row>
    <row r="2540" spans="1:8" ht="24.75" customHeight="1" x14ac:dyDescent="0.55000000000000004">
      <c r="A2540" s="592">
        <v>2539</v>
      </c>
      <c r="B2540" s="596" t="s">
        <v>7969</v>
      </c>
      <c r="C2540" s="592" t="s">
        <v>8334</v>
      </c>
      <c r="D2540" s="592">
        <v>1</v>
      </c>
      <c r="E2540" s="597">
        <v>198000</v>
      </c>
      <c r="F2540" s="597">
        <v>198000</v>
      </c>
      <c r="G2540" s="597">
        <v>183000</v>
      </c>
      <c r="H2540" s="592" t="s">
        <v>1397</v>
      </c>
    </row>
    <row r="2541" spans="1:8" ht="24.75" customHeight="1" x14ac:dyDescent="0.55000000000000004">
      <c r="A2541" s="592">
        <v>2540</v>
      </c>
      <c r="B2541" s="596" t="s">
        <v>7814</v>
      </c>
      <c r="C2541" s="592" t="s">
        <v>8335</v>
      </c>
      <c r="D2541" s="592">
        <v>1</v>
      </c>
      <c r="E2541" s="597">
        <v>225000</v>
      </c>
      <c r="F2541" s="597">
        <v>225000</v>
      </c>
      <c r="G2541" s="597">
        <v>195000</v>
      </c>
      <c r="H2541" s="592" t="s">
        <v>1397</v>
      </c>
    </row>
    <row r="2542" spans="1:8" ht="24.75" customHeight="1" x14ac:dyDescent="0.55000000000000004">
      <c r="A2542" s="592">
        <v>2541</v>
      </c>
      <c r="B2542" s="596" t="s">
        <v>1837</v>
      </c>
      <c r="C2542" s="592" t="s">
        <v>7186</v>
      </c>
      <c r="D2542" s="592">
        <v>1</v>
      </c>
      <c r="E2542" s="597">
        <v>19000</v>
      </c>
      <c r="F2542" s="597">
        <v>19000</v>
      </c>
      <c r="G2542" s="597">
        <v>15600</v>
      </c>
      <c r="H2542" s="592" t="s">
        <v>1397</v>
      </c>
    </row>
    <row r="2543" spans="1:8" ht="24.75" customHeight="1" x14ac:dyDescent="0.55000000000000004">
      <c r="A2543" s="592">
        <v>2542</v>
      </c>
      <c r="B2543" s="596" t="s">
        <v>2523</v>
      </c>
      <c r="C2543" s="592" t="s">
        <v>2524</v>
      </c>
      <c r="D2543" s="592">
        <v>1</v>
      </c>
      <c r="E2543" s="597">
        <v>1000</v>
      </c>
      <c r="F2543" s="597">
        <v>1000</v>
      </c>
      <c r="G2543" s="597">
        <v>700</v>
      </c>
      <c r="H2543" s="592" t="s">
        <v>1397</v>
      </c>
    </row>
    <row r="2544" spans="1:8" ht="24.75" customHeight="1" x14ac:dyDescent="0.55000000000000004">
      <c r="A2544" s="592">
        <v>2543</v>
      </c>
      <c r="B2544" s="596" t="s">
        <v>6204</v>
      </c>
      <c r="C2544" s="592" t="s">
        <v>8626</v>
      </c>
      <c r="D2544" s="592">
        <v>3</v>
      </c>
      <c r="E2544" s="597">
        <v>20000</v>
      </c>
      <c r="F2544" s="597">
        <v>20000</v>
      </c>
      <c r="G2544" s="597">
        <v>40500</v>
      </c>
      <c r="H2544" s="592" t="s">
        <v>1397</v>
      </c>
    </row>
    <row r="2545" spans="1:8" ht="24.75" customHeight="1" x14ac:dyDescent="0.55000000000000004">
      <c r="A2545" s="592">
        <v>2544</v>
      </c>
      <c r="B2545" s="596" t="s">
        <v>1838</v>
      </c>
      <c r="C2545" s="592" t="s">
        <v>7437</v>
      </c>
      <c r="D2545" s="592">
        <v>3</v>
      </c>
      <c r="E2545" s="597">
        <v>5000</v>
      </c>
      <c r="F2545" s="597">
        <v>5000</v>
      </c>
      <c r="G2545" s="597">
        <v>10500</v>
      </c>
      <c r="H2545" s="592" t="s">
        <v>1397</v>
      </c>
    </row>
    <row r="2546" spans="1:8" ht="24.75" customHeight="1" x14ac:dyDescent="0.55000000000000004">
      <c r="A2546" s="592">
        <v>2545</v>
      </c>
      <c r="B2546" s="596" t="s">
        <v>5166</v>
      </c>
      <c r="C2546" s="592" t="s">
        <v>5167</v>
      </c>
      <c r="D2546" s="592">
        <v>1</v>
      </c>
      <c r="E2546" s="597">
        <v>2000</v>
      </c>
      <c r="F2546" s="597">
        <v>2000</v>
      </c>
      <c r="G2546" s="597">
        <v>1500</v>
      </c>
      <c r="H2546" s="592" t="s">
        <v>1397</v>
      </c>
    </row>
    <row r="2547" spans="1:8" ht="24.75" customHeight="1" x14ac:dyDescent="0.55000000000000004">
      <c r="A2547" s="592">
        <v>2546</v>
      </c>
      <c r="B2547" s="596" t="s">
        <v>1839</v>
      </c>
      <c r="C2547" s="592" t="s">
        <v>1840</v>
      </c>
      <c r="D2547" s="592">
        <v>11</v>
      </c>
      <c r="E2547" s="597">
        <v>1000</v>
      </c>
      <c r="F2547" s="597">
        <v>1000</v>
      </c>
      <c r="G2547" s="597">
        <v>5500</v>
      </c>
      <c r="H2547" s="592" t="s">
        <v>1397</v>
      </c>
    </row>
    <row r="2548" spans="1:8" ht="24.75" customHeight="1" x14ac:dyDescent="0.55000000000000004">
      <c r="A2548" s="592">
        <v>2547</v>
      </c>
      <c r="B2548" s="596" t="s">
        <v>5168</v>
      </c>
      <c r="C2548" s="592" t="s">
        <v>5169</v>
      </c>
      <c r="D2548" s="592">
        <v>9</v>
      </c>
      <c r="E2548" s="597">
        <v>800</v>
      </c>
      <c r="F2548" s="597">
        <v>800</v>
      </c>
      <c r="G2548" s="597">
        <v>2700</v>
      </c>
      <c r="H2548" s="592" t="s">
        <v>1397</v>
      </c>
    </row>
    <row r="2549" spans="1:8" ht="24.75" customHeight="1" x14ac:dyDescent="0.55000000000000004">
      <c r="A2549" s="592">
        <v>2548</v>
      </c>
      <c r="B2549" s="596" t="s">
        <v>5170</v>
      </c>
      <c r="C2549" s="592" t="s">
        <v>5171</v>
      </c>
      <c r="D2549" s="592">
        <v>1</v>
      </c>
      <c r="E2549" s="597">
        <v>700</v>
      </c>
      <c r="F2549" s="597">
        <v>700</v>
      </c>
      <c r="G2549" s="597">
        <v>450</v>
      </c>
      <c r="H2549" s="592" t="s">
        <v>1397</v>
      </c>
    </row>
    <row r="2550" spans="1:8" ht="24.75" customHeight="1" x14ac:dyDescent="0.55000000000000004">
      <c r="A2550" s="592">
        <v>2549</v>
      </c>
      <c r="B2550" s="596" t="s">
        <v>5172</v>
      </c>
      <c r="C2550" s="592" t="s">
        <v>7815</v>
      </c>
      <c r="D2550" s="592">
        <v>5</v>
      </c>
      <c r="E2550" s="597">
        <v>1500</v>
      </c>
      <c r="F2550" s="597">
        <v>1500</v>
      </c>
      <c r="G2550" s="597">
        <v>5000</v>
      </c>
      <c r="H2550" s="592" t="s">
        <v>1397</v>
      </c>
    </row>
    <row r="2551" spans="1:8" ht="24.75" customHeight="1" x14ac:dyDescent="0.55000000000000004">
      <c r="A2551" s="592">
        <v>2550</v>
      </c>
      <c r="B2551" s="596" t="s">
        <v>1841</v>
      </c>
      <c r="C2551" s="592" t="s">
        <v>1842</v>
      </c>
      <c r="D2551" s="592">
        <v>8</v>
      </c>
      <c r="E2551" s="597">
        <v>1000</v>
      </c>
      <c r="F2551" s="597">
        <v>1000</v>
      </c>
      <c r="G2551" s="597">
        <v>4800</v>
      </c>
      <c r="H2551" s="592" t="s">
        <v>1397</v>
      </c>
    </row>
    <row r="2552" spans="1:8" ht="24.75" customHeight="1" x14ac:dyDescent="0.55000000000000004">
      <c r="A2552" s="592">
        <v>2551</v>
      </c>
      <c r="B2552" s="596" t="s">
        <v>6235</v>
      </c>
      <c r="C2552" s="592" t="s">
        <v>6236</v>
      </c>
      <c r="D2552" s="592">
        <v>1</v>
      </c>
      <c r="E2552" s="597">
        <v>1000</v>
      </c>
      <c r="F2552" s="597">
        <v>1000</v>
      </c>
      <c r="G2552" s="597">
        <v>600</v>
      </c>
      <c r="H2552" s="592" t="s">
        <v>1397</v>
      </c>
    </row>
    <row r="2553" spans="1:8" ht="24.75" customHeight="1" x14ac:dyDescent="0.55000000000000004">
      <c r="A2553" s="592">
        <v>2552</v>
      </c>
      <c r="B2553" s="596" t="s">
        <v>1843</v>
      </c>
      <c r="C2553" s="592" t="s">
        <v>1844</v>
      </c>
      <c r="D2553" s="592">
        <v>2</v>
      </c>
      <c r="E2553" s="597">
        <v>43000</v>
      </c>
      <c r="F2553" s="597">
        <v>43000</v>
      </c>
      <c r="G2553" s="597">
        <v>47400</v>
      </c>
      <c r="H2553" s="592" t="s">
        <v>1397</v>
      </c>
    </row>
    <row r="2554" spans="1:8" ht="24.75" customHeight="1" x14ac:dyDescent="0.55000000000000004">
      <c r="A2554" s="592">
        <v>2553</v>
      </c>
      <c r="B2554" s="596" t="s">
        <v>1845</v>
      </c>
      <c r="C2554" s="592" t="s">
        <v>1846</v>
      </c>
      <c r="D2554" s="592">
        <v>7</v>
      </c>
      <c r="E2554" s="597">
        <v>2000</v>
      </c>
      <c r="F2554" s="597">
        <v>2000</v>
      </c>
      <c r="G2554" s="597">
        <v>9100</v>
      </c>
      <c r="H2554" s="592" t="s">
        <v>1397</v>
      </c>
    </row>
    <row r="2555" spans="1:8" ht="24.75" customHeight="1" x14ac:dyDescent="0.55000000000000004">
      <c r="A2555" s="592">
        <v>2554</v>
      </c>
      <c r="B2555" s="596" t="s">
        <v>1847</v>
      </c>
      <c r="C2555" s="592" t="s">
        <v>7438</v>
      </c>
      <c r="D2555" s="592">
        <v>12</v>
      </c>
      <c r="E2555" s="597">
        <v>7000</v>
      </c>
      <c r="F2555" s="597">
        <v>7000</v>
      </c>
      <c r="G2555" s="597">
        <v>61200</v>
      </c>
      <c r="H2555" s="592" t="s">
        <v>1397</v>
      </c>
    </row>
    <row r="2556" spans="1:8" ht="24.75" customHeight="1" x14ac:dyDescent="0.55000000000000004">
      <c r="A2556" s="592">
        <v>2555</v>
      </c>
      <c r="B2556" s="596" t="s">
        <v>6609</v>
      </c>
      <c r="C2556" s="592" t="s">
        <v>6610</v>
      </c>
      <c r="D2556" s="592">
        <v>1</v>
      </c>
      <c r="E2556" s="597">
        <v>10000</v>
      </c>
      <c r="F2556" s="597">
        <v>10000</v>
      </c>
      <c r="G2556" s="597">
        <v>7500</v>
      </c>
      <c r="H2556" s="592" t="s">
        <v>1397</v>
      </c>
    </row>
    <row r="2557" spans="1:8" ht="24.75" customHeight="1" x14ac:dyDescent="0.55000000000000004">
      <c r="A2557" s="592">
        <v>2556</v>
      </c>
      <c r="B2557" s="596" t="s">
        <v>1848</v>
      </c>
      <c r="C2557" s="592" t="s">
        <v>8336</v>
      </c>
      <c r="D2557" s="592">
        <v>11</v>
      </c>
      <c r="E2557" s="597">
        <v>3000</v>
      </c>
      <c r="F2557" s="597">
        <v>3000</v>
      </c>
      <c r="G2557" s="597">
        <v>23837</v>
      </c>
      <c r="H2557" s="592" t="s">
        <v>1397</v>
      </c>
    </row>
    <row r="2558" spans="1:8" ht="24.75" customHeight="1" x14ac:dyDescent="0.55000000000000004">
      <c r="A2558" s="592">
        <v>2557</v>
      </c>
      <c r="B2558" s="596" t="s">
        <v>6611</v>
      </c>
      <c r="C2558" s="592" t="s">
        <v>7816</v>
      </c>
      <c r="D2558" s="592">
        <v>3</v>
      </c>
      <c r="E2558" s="597">
        <v>3000</v>
      </c>
      <c r="F2558" s="597">
        <v>3000</v>
      </c>
      <c r="G2558" s="597">
        <v>7500</v>
      </c>
      <c r="H2558" s="592" t="s">
        <v>1397</v>
      </c>
    </row>
    <row r="2559" spans="1:8" ht="24.75" customHeight="1" x14ac:dyDescent="0.55000000000000004">
      <c r="A2559" s="592">
        <v>2558</v>
      </c>
      <c r="B2559" s="596" t="s">
        <v>5173</v>
      </c>
      <c r="C2559" s="592" t="s">
        <v>5174</v>
      </c>
      <c r="D2559" s="592">
        <v>2</v>
      </c>
      <c r="E2559" s="597">
        <v>2300</v>
      </c>
      <c r="F2559" s="597">
        <v>2300</v>
      </c>
      <c r="G2559" s="597">
        <v>3200</v>
      </c>
      <c r="H2559" s="592" t="s">
        <v>1397</v>
      </c>
    </row>
    <row r="2560" spans="1:8" ht="24.75" customHeight="1" x14ac:dyDescent="0.55000000000000004">
      <c r="A2560" s="592">
        <v>2559</v>
      </c>
      <c r="B2560" s="596" t="s">
        <v>5175</v>
      </c>
      <c r="C2560" s="592" t="s">
        <v>7817</v>
      </c>
      <c r="D2560" s="592">
        <v>1</v>
      </c>
      <c r="E2560" s="597">
        <v>1500</v>
      </c>
      <c r="F2560" s="597">
        <v>1500</v>
      </c>
      <c r="G2560" s="597">
        <v>1000</v>
      </c>
      <c r="H2560" s="592" t="s">
        <v>1397</v>
      </c>
    </row>
    <row r="2561" spans="1:8" ht="24.75" customHeight="1" x14ac:dyDescent="0.55000000000000004">
      <c r="A2561" s="592">
        <v>2560</v>
      </c>
      <c r="B2561" s="596" t="s">
        <v>6759</v>
      </c>
      <c r="C2561" s="592" t="s">
        <v>7818</v>
      </c>
      <c r="D2561" s="592">
        <v>2</v>
      </c>
      <c r="E2561" s="597">
        <v>12000</v>
      </c>
      <c r="F2561" s="597">
        <v>12000</v>
      </c>
      <c r="G2561" s="597">
        <v>17600</v>
      </c>
      <c r="H2561" s="592" t="s">
        <v>1397</v>
      </c>
    </row>
    <row r="2562" spans="1:8" ht="24.75" customHeight="1" x14ac:dyDescent="0.55000000000000004">
      <c r="A2562" s="592">
        <v>2561</v>
      </c>
      <c r="B2562" s="596" t="s">
        <v>6512</v>
      </c>
      <c r="C2562" s="592" t="s">
        <v>7441</v>
      </c>
      <c r="D2562" s="592">
        <v>5</v>
      </c>
      <c r="E2562" s="597">
        <v>3500</v>
      </c>
      <c r="F2562" s="597">
        <v>3500</v>
      </c>
      <c r="G2562" s="597">
        <v>10750</v>
      </c>
      <c r="H2562" s="592" t="s">
        <v>1397</v>
      </c>
    </row>
    <row r="2563" spans="1:8" ht="24.75" customHeight="1" x14ac:dyDescent="0.55000000000000004">
      <c r="A2563" s="592">
        <v>2562</v>
      </c>
      <c r="B2563" s="596" t="s">
        <v>6612</v>
      </c>
      <c r="C2563" s="592" t="s">
        <v>6613</v>
      </c>
      <c r="D2563" s="592">
        <v>1</v>
      </c>
      <c r="E2563" s="597">
        <v>1800</v>
      </c>
      <c r="F2563" s="597">
        <v>1800</v>
      </c>
      <c r="G2563" s="597">
        <v>1300</v>
      </c>
      <c r="H2563" s="592" t="s">
        <v>1397</v>
      </c>
    </row>
    <row r="2564" spans="1:8" ht="24.75" customHeight="1" x14ac:dyDescent="0.55000000000000004">
      <c r="A2564" s="592">
        <v>2563</v>
      </c>
      <c r="B2564" s="596" t="s">
        <v>1849</v>
      </c>
      <c r="C2564" s="592" t="s">
        <v>1850</v>
      </c>
      <c r="D2564" s="592">
        <v>3</v>
      </c>
      <c r="E2564" s="597">
        <v>8000</v>
      </c>
      <c r="F2564" s="597">
        <v>8000</v>
      </c>
      <c r="G2564" s="597">
        <v>16050</v>
      </c>
      <c r="H2564" s="592" t="s">
        <v>1397</v>
      </c>
    </row>
    <row r="2565" spans="1:8" ht="24.75" customHeight="1" x14ac:dyDescent="0.55000000000000004">
      <c r="A2565" s="592">
        <v>2564</v>
      </c>
      <c r="B2565" s="596" t="s">
        <v>5176</v>
      </c>
      <c r="C2565" s="592" t="s">
        <v>5177</v>
      </c>
      <c r="D2565" s="592">
        <v>20</v>
      </c>
      <c r="E2565" s="597">
        <v>250</v>
      </c>
      <c r="F2565" s="597">
        <v>250</v>
      </c>
      <c r="G2565" s="597">
        <v>3000</v>
      </c>
      <c r="H2565" s="592" t="s">
        <v>1397</v>
      </c>
    </row>
    <row r="2566" spans="1:8" ht="24.75" customHeight="1" x14ac:dyDescent="0.55000000000000004">
      <c r="A2566" s="592">
        <v>2565</v>
      </c>
      <c r="B2566" s="596" t="s">
        <v>5178</v>
      </c>
      <c r="C2566" s="592" t="s">
        <v>5179</v>
      </c>
      <c r="D2566" s="592">
        <v>13</v>
      </c>
      <c r="E2566" s="597">
        <v>2500</v>
      </c>
      <c r="F2566" s="597">
        <v>2500</v>
      </c>
      <c r="G2566" s="597">
        <v>22750</v>
      </c>
      <c r="H2566" s="592" t="s">
        <v>1397</v>
      </c>
    </row>
    <row r="2567" spans="1:8" ht="24.75" customHeight="1" x14ac:dyDescent="0.55000000000000004">
      <c r="A2567" s="592">
        <v>2566</v>
      </c>
      <c r="B2567" s="596" t="s">
        <v>5180</v>
      </c>
      <c r="C2567" s="592" t="s">
        <v>7819</v>
      </c>
      <c r="D2567" s="592">
        <v>7</v>
      </c>
      <c r="E2567" s="597">
        <v>6000</v>
      </c>
      <c r="F2567" s="597">
        <v>6000</v>
      </c>
      <c r="G2567" s="597">
        <v>35315</v>
      </c>
      <c r="H2567" s="592" t="s">
        <v>1397</v>
      </c>
    </row>
    <row r="2568" spans="1:8" ht="24.75" customHeight="1" x14ac:dyDescent="0.55000000000000004">
      <c r="A2568" s="592">
        <v>2567</v>
      </c>
      <c r="B2568" s="596" t="s">
        <v>5181</v>
      </c>
      <c r="C2568" s="592" t="s">
        <v>5182</v>
      </c>
      <c r="D2568" s="592">
        <v>3</v>
      </c>
      <c r="E2568" s="597">
        <v>2300</v>
      </c>
      <c r="F2568" s="597">
        <v>2300</v>
      </c>
      <c r="G2568" s="597">
        <v>3600</v>
      </c>
      <c r="H2568" s="592" t="s">
        <v>1397</v>
      </c>
    </row>
    <row r="2569" spans="1:8" ht="24.75" customHeight="1" x14ac:dyDescent="0.55000000000000004">
      <c r="A2569" s="592">
        <v>2568</v>
      </c>
      <c r="B2569" s="596" t="s">
        <v>1851</v>
      </c>
      <c r="C2569" s="592" t="s">
        <v>6406</v>
      </c>
      <c r="D2569" s="592">
        <v>14</v>
      </c>
      <c r="E2569" s="597">
        <v>100</v>
      </c>
      <c r="F2569" s="597">
        <v>100</v>
      </c>
      <c r="G2569" s="597">
        <v>840</v>
      </c>
      <c r="H2569" s="592" t="s">
        <v>1397</v>
      </c>
    </row>
    <row r="2570" spans="1:8" ht="24.75" customHeight="1" x14ac:dyDescent="0.55000000000000004">
      <c r="A2570" s="592">
        <v>2569</v>
      </c>
      <c r="B2570" s="596" t="s">
        <v>5183</v>
      </c>
      <c r="C2570" s="592" t="s">
        <v>7820</v>
      </c>
      <c r="D2570" s="592">
        <v>3</v>
      </c>
      <c r="E2570" s="597">
        <v>7500</v>
      </c>
      <c r="F2570" s="597">
        <v>7500</v>
      </c>
      <c r="G2570" s="597">
        <v>16200</v>
      </c>
      <c r="H2570" s="592" t="s">
        <v>1397</v>
      </c>
    </row>
    <row r="2571" spans="1:8" ht="24.75" customHeight="1" x14ac:dyDescent="0.55000000000000004">
      <c r="A2571" s="592">
        <v>2570</v>
      </c>
      <c r="B2571" s="596" t="s">
        <v>1852</v>
      </c>
      <c r="C2571" s="592" t="s">
        <v>1853</v>
      </c>
      <c r="D2571" s="592">
        <v>13</v>
      </c>
      <c r="E2571" s="597">
        <v>1200</v>
      </c>
      <c r="F2571" s="597">
        <v>1200</v>
      </c>
      <c r="G2571" s="597">
        <v>6500</v>
      </c>
      <c r="H2571" s="592" t="s">
        <v>1397</v>
      </c>
    </row>
    <row r="2572" spans="1:8" ht="24.75" customHeight="1" x14ac:dyDescent="0.55000000000000004">
      <c r="A2572" s="592">
        <v>2571</v>
      </c>
      <c r="B2572" s="596" t="s">
        <v>5184</v>
      </c>
      <c r="C2572" s="592" t="s">
        <v>7442</v>
      </c>
      <c r="D2572" s="592">
        <v>2</v>
      </c>
      <c r="E2572" s="597">
        <v>8500</v>
      </c>
      <c r="F2572" s="597">
        <v>8500</v>
      </c>
      <c r="G2572" s="597">
        <v>14000</v>
      </c>
      <c r="H2572" s="592" t="s">
        <v>1397</v>
      </c>
    </row>
    <row r="2573" spans="1:8" ht="24.75" customHeight="1" x14ac:dyDescent="0.55000000000000004">
      <c r="A2573" s="592">
        <v>2572</v>
      </c>
      <c r="B2573" s="596" t="s">
        <v>1854</v>
      </c>
      <c r="C2573" s="592" t="s">
        <v>1855</v>
      </c>
      <c r="D2573" s="592">
        <v>5</v>
      </c>
      <c r="E2573" s="597">
        <v>500</v>
      </c>
      <c r="F2573" s="597">
        <v>500</v>
      </c>
      <c r="G2573" s="597">
        <v>1150</v>
      </c>
      <c r="H2573" s="592" t="s">
        <v>1397</v>
      </c>
    </row>
    <row r="2574" spans="1:8" ht="24.75" customHeight="1" x14ac:dyDescent="0.55000000000000004">
      <c r="A2574" s="592">
        <v>2573</v>
      </c>
      <c r="B2574" s="596" t="s">
        <v>5185</v>
      </c>
      <c r="C2574" s="592" t="s">
        <v>5186</v>
      </c>
      <c r="D2574" s="592">
        <v>3</v>
      </c>
      <c r="E2574" s="597">
        <v>1000</v>
      </c>
      <c r="F2574" s="597">
        <v>1000</v>
      </c>
      <c r="G2574" s="597">
        <v>1050</v>
      </c>
      <c r="H2574" s="592" t="s">
        <v>1397</v>
      </c>
    </row>
    <row r="2575" spans="1:8" ht="24.75" customHeight="1" x14ac:dyDescent="0.55000000000000004">
      <c r="A2575" s="592">
        <v>2574</v>
      </c>
      <c r="B2575" s="596" t="s">
        <v>5187</v>
      </c>
      <c r="C2575" s="592" t="s">
        <v>5188</v>
      </c>
      <c r="D2575" s="592">
        <v>1</v>
      </c>
      <c r="E2575" s="597">
        <v>8500</v>
      </c>
      <c r="F2575" s="597">
        <v>8500</v>
      </c>
      <c r="G2575" s="597">
        <v>4000</v>
      </c>
      <c r="H2575" s="592" t="s">
        <v>1397</v>
      </c>
    </row>
    <row r="2576" spans="1:8" ht="24.75" customHeight="1" x14ac:dyDescent="0.55000000000000004">
      <c r="A2576" s="592">
        <v>2575</v>
      </c>
      <c r="B2576" s="596" t="s">
        <v>2552</v>
      </c>
      <c r="C2576" s="592" t="s">
        <v>2553</v>
      </c>
      <c r="D2576" s="592">
        <v>5</v>
      </c>
      <c r="E2576" s="597">
        <v>2000</v>
      </c>
      <c r="F2576" s="597">
        <v>2000</v>
      </c>
      <c r="G2576" s="597">
        <v>6670</v>
      </c>
      <c r="H2576" s="592" t="s">
        <v>1397</v>
      </c>
    </row>
    <row r="2577" spans="1:8" ht="24.75" customHeight="1" x14ac:dyDescent="0.55000000000000004">
      <c r="A2577" s="592">
        <v>2576</v>
      </c>
      <c r="B2577" s="596" t="s">
        <v>5189</v>
      </c>
      <c r="C2577" s="592" t="s">
        <v>5190</v>
      </c>
      <c r="D2577" s="592">
        <v>2</v>
      </c>
      <c r="E2577" s="597">
        <v>8000</v>
      </c>
      <c r="F2577" s="597">
        <v>8000</v>
      </c>
      <c r="G2577" s="597">
        <v>13000</v>
      </c>
      <c r="H2577" s="592" t="s">
        <v>1397</v>
      </c>
    </row>
    <row r="2578" spans="1:8" ht="24.75" customHeight="1" x14ac:dyDescent="0.55000000000000004">
      <c r="A2578" s="592">
        <v>2577</v>
      </c>
      <c r="B2578" s="596" t="s">
        <v>5191</v>
      </c>
      <c r="C2578" s="592" t="s">
        <v>5192</v>
      </c>
      <c r="D2578" s="592">
        <v>3</v>
      </c>
      <c r="E2578" s="597">
        <v>550</v>
      </c>
      <c r="F2578" s="597">
        <v>550</v>
      </c>
      <c r="G2578" s="597">
        <v>1050</v>
      </c>
      <c r="H2578" s="592" t="s">
        <v>1397</v>
      </c>
    </row>
    <row r="2579" spans="1:8" ht="24.75" customHeight="1" x14ac:dyDescent="0.55000000000000004">
      <c r="A2579" s="592">
        <v>2578</v>
      </c>
      <c r="B2579" s="596" t="s">
        <v>5193</v>
      </c>
      <c r="C2579" s="592" t="s">
        <v>5194</v>
      </c>
      <c r="D2579" s="592">
        <v>2</v>
      </c>
      <c r="E2579" s="597">
        <v>9000</v>
      </c>
      <c r="F2579" s="597">
        <v>9000</v>
      </c>
      <c r="G2579" s="597">
        <v>11000</v>
      </c>
      <c r="H2579" s="592" t="s">
        <v>1397</v>
      </c>
    </row>
    <row r="2580" spans="1:8" ht="24.75" customHeight="1" x14ac:dyDescent="0.55000000000000004">
      <c r="A2580" s="592">
        <v>2579</v>
      </c>
      <c r="B2580" s="596" t="s">
        <v>5195</v>
      </c>
      <c r="C2580" s="592" t="s">
        <v>5196</v>
      </c>
      <c r="D2580" s="592">
        <v>6</v>
      </c>
      <c r="E2580" s="597">
        <v>1000</v>
      </c>
      <c r="F2580" s="597">
        <v>1000</v>
      </c>
      <c r="G2580" s="597">
        <v>1560</v>
      </c>
      <c r="H2580" s="592" t="s">
        <v>1397</v>
      </c>
    </row>
    <row r="2581" spans="1:8" ht="24.75" customHeight="1" x14ac:dyDescent="0.55000000000000004">
      <c r="A2581" s="592">
        <v>2580</v>
      </c>
      <c r="B2581" s="596" t="s">
        <v>5197</v>
      </c>
      <c r="C2581" s="592" t="s">
        <v>5198</v>
      </c>
      <c r="D2581" s="592">
        <v>10</v>
      </c>
      <c r="E2581" s="597">
        <v>1200</v>
      </c>
      <c r="F2581" s="597">
        <v>1200</v>
      </c>
      <c r="G2581" s="597">
        <v>8000</v>
      </c>
      <c r="H2581" s="592" t="s">
        <v>1397</v>
      </c>
    </row>
    <row r="2582" spans="1:8" ht="24.75" customHeight="1" x14ac:dyDescent="0.55000000000000004">
      <c r="A2582" s="592">
        <v>2581</v>
      </c>
      <c r="B2582" s="596" t="s">
        <v>7187</v>
      </c>
      <c r="C2582" s="592" t="s">
        <v>7188</v>
      </c>
      <c r="D2582" s="592">
        <v>1</v>
      </c>
      <c r="E2582" s="597">
        <v>35000</v>
      </c>
      <c r="F2582" s="597">
        <v>35000</v>
      </c>
      <c r="G2582" s="597">
        <v>26000</v>
      </c>
      <c r="H2582" s="592" t="s">
        <v>1397</v>
      </c>
    </row>
    <row r="2583" spans="1:8" ht="24.75" customHeight="1" x14ac:dyDescent="0.55000000000000004">
      <c r="A2583" s="592">
        <v>2582</v>
      </c>
      <c r="B2583" s="596" t="s">
        <v>5199</v>
      </c>
      <c r="C2583" s="592" t="s">
        <v>5200</v>
      </c>
      <c r="D2583" s="592">
        <v>1</v>
      </c>
      <c r="E2583" s="597">
        <v>3000</v>
      </c>
      <c r="F2583" s="597">
        <v>3000</v>
      </c>
      <c r="G2583" s="597">
        <v>2000</v>
      </c>
      <c r="H2583" s="592" t="s">
        <v>1397</v>
      </c>
    </row>
    <row r="2584" spans="1:8" ht="24.75" customHeight="1" x14ac:dyDescent="0.55000000000000004">
      <c r="A2584" s="592">
        <v>2583</v>
      </c>
      <c r="B2584" s="596" t="s">
        <v>5201</v>
      </c>
      <c r="C2584" s="592" t="s">
        <v>5202</v>
      </c>
      <c r="D2584" s="592">
        <v>2</v>
      </c>
      <c r="E2584" s="597">
        <v>200</v>
      </c>
      <c r="F2584" s="597">
        <v>200</v>
      </c>
      <c r="G2584" s="597">
        <v>200</v>
      </c>
      <c r="H2584" s="592" t="s">
        <v>1397</v>
      </c>
    </row>
    <row r="2585" spans="1:8" ht="24.75" customHeight="1" x14ac:dyDescent="0.55000000000000004">
      <c r="A2585" s="592">
        <v>2584</v>
      </c>
      <c r="B2585" s="596" t="s">
        <v>6760</v>
      </c>
      <c r="C2585" s="592" t="s">
        <v>6761</v>
      </c>
      <c r="D2585" s="592">
        <v>3</v>
      </c>
      <c r="E2585" s="597">
        <v>4000</v>
      </c>
      <c r="F2585" s="597">
        <v>4000</v>
      </c>
      <c r="G2585" s="597">
        <v>9000</v>
      </c>
      <c r="H2585" s="592" t="s">
        <v>1397</v>
      </c>
    </row>
    <row r="2586" spans="1:8" ht="24.75" customHeight="1" x14ac:dyDescent="0.55000000000000004">
      <c r="A2586" s="592">
        <v>2585</v>
      </c>
      <c r="B2586" s="596" t="s">
        <v>5203</v>
      </c>
      <c r="C2586" s="592" t="s">
        <v>5204</v>
      </c>
      <c r="D2586" s="592">
        <v>15</v>
      </c>
      <c r="E2586" s="597">
        <v>1500</v>
      </c>
      <c r="F2586" s="597">
        <v>1500</v>
      </c>
      <c r="G2586" s="597">
        <v>9750</v>
      </c>
      <c r="H2586" s="592" t="s">
        <v>1397</v>
      </c>
    </row>
    <row r="2587" spans="1:8" ht="24.75" customHeight="1" x14ac:dyDescent="0.55000000000000004">
      <c r="A2587" s="592">
        <v>2586</v>
      </c>
      <c r="B2587" s="596" t="s">
        <v>1856</v>
      </c>
      <c r="C2587" s="592" t="s">
        <v>1857</v>
      </c>
      <c r="D2587" s="592">
        <v>9</v>
      </c>
      <c r="E2587" s="597">
        <v>2000</v>
      </c>
      <c r="F2587" s="597">
        <v>2000</v>
      </c>
      <c r="G2587" s="597">
        <v>11700</v>
      </c>
      <c r="H2587" s="592" t="s">
        <v>1397</v>
      </c>
    </row>
    <row r="2588" spans="1:8" ht="24.75" customHeight="1" x14ac:dyDescent="0.55000000000000004">
      <c r="A2588" s="592">
        <v>2587</v>
      </c>
      <c r="B2588" s="596" t="s">
        <v>5205</v>
      </c>
      <c r="C2588" s="592" t="s">
        <v>5206</v>
      </c>
      <c r="D2588" s="592">
        <v>1</v>
      </c>
      <c r="E2588" s="597">
        <v>2000</v>
      </c>
      <c r="F2588" s="597">
        <v>2000</v>
      </c>
      <c r="G2588" s="597">
        <v>1450</v>
      </c>
      <c r="H2588" s="592" t="s">
        <v>1397</v>
      </c>
    </row>
    <row r="2589" spans="1:8" ht="24.75" customHeight="1" x14ac:dyDescent="0.55000000000000004">
      <c r="A2589" s="592">
        <v>2588</v>
      </c>
      <c r="B2589" s="596" t="s">
        <v>6762</v>
      </c>
      <c r="C2589" s="592" t="s">
        <v>6763</v>
      </c>
      <c r="D2589" s="592">
        <v>4</v>
      </c>
      <c r="E2589" s="597">
        <v>3000</v>
      </c>
      <c r="F2589" s="597">
        <v>3000</v>
      </c>
      <c r="G2589" s="597">
        <v>8400</v>
      </c>
      <c r="H2589" s="592" t="s">
        <v>1397</v>
      </c>
    </row>
    <row r="2590" spans="1:8" ht="24.75" customHeight="1" x14ac:dyDescent="0.55000000000000004">
      <c r="A2590" s="592">
        <v>2589</v>
      </c>
      <c r="B2590" s="596" t="s">
        <v>5207</v>
      </c>
      <c r="C2590" s="592" t="s">
        <v>5208</v>
      </c>
      <c r="D2590" s="592">
        <v>3</v>
      </c>
      <c r="E2590" s="597">
        <v>3000</v>
      </c>
      <c r="F2590" s="597">
        <v>3000</v>
      </c>
      <c r="G2590" s="597">
        <v>6000</v>
      </c>
      <c r="H2590" s="592" t="s">
        <v>1397</v>
      </c>
    </row>
    <row r="2591" spans="1:8" ht="24.75" customHeight="1" x14ac:dyDescent="0.55000000000000004">
      <c r="A2591" s="592">
        <v>2590</v>
      </c>
      <c r="B2591" s="596" t="s">
        <v>1858</v>
      </c>
      <c r="C2591" s="592" t="s">
        <v>1859</v>
      </c>
      <c r="D2591" s="592">
        <v>11</v>
      </c>
      <c r="E2591" s="597">
        <v>2000</v>
      </c>
      <c r="F2591" s="597">
        <v>2000</v>
      </c>
      <c r="G2591" s="597">
        <v>15950</v>
      </c>
      <c r="H2591" s="592" t="s">
        <v>1397</v>
      </c>
    </row>
    <row r="2592" spans="1:8" ht="24.75" customHeight="1" x14ac:dyDescent="0.55000000000000004">
      <c r="A2592" s="592">
        <v>2591</v>
      </c>
      <c r="B2592" s="596" t="s">
        <v>7189</v>
      </c>
      <c r="C2592" s="592" t="s">
        <v>8337</v>
      </c>
      <c r="D2592" s="592">
        <v>2</v>
      </c>
      <c r="E2592" s="597">
        <v>16000</v>
      </c>
      <c r="F2592" s="597">
        <v>16000</v>
      </c>
      <c r="G2592" s="597">
        <v>29000</v>
      </c>
      <c r="H2592" s="592" t="s">
        <v>1397</v>
      </c>
    </row>
    <row r="2593" spans="1:8" ht="24.75" customHeight="1" x14ac:dyDescent="0.55000000000000004">
      <c r="A2593" s="592">
        <v>2592</v>
      </c>
      <c r="B2593" s="596" t="s">
        <v>2525</v>
      </c>
      <c r="C2593" s="592" t="s">
        <v>2526</v>
      </c>
      <c r="D2593" s="592">
        <v>1</v>
      </c>
      <c r="E2593" s="597">
        <v>68000</v>
      </c>
      <c r="F2593" s="597">
        <v>68000</v>
      </c>
      <c r="G2593" s="597">
        <v>45500</v>
      </c>
      <c r="H2593" s="592" t="s">
        <v>1397</v>
      </c>
    </row>
    <row r="2594" spans="1:8" ht="24.75" customHeight="1" x14ac:dyDescent="0.55000000000000004">
      <c r="A2594" s="592">
        <v>2593</v>
      </c>
      <c r="B2594" s="596" t="s">
        <v>1860</v>
      </c>
      <c r="C2594" s="592" t="s">
        <v>1861</v>
      </c>
      <c r="D2594" s="592">
        <v>8</v>
      </c>
      <c r="E2594" s="597">
        <v>1000</v>
      </c>
      <c r="F2594" s="597">
        <v>1000</v>
      </c>
      <c r="G2594" s="597">
        <v>3200</v>
      </c>
      <c r="H2594" s="592" t="s">
        <v>1397</v>
      </c>
    </row>
    <row r="2595" spans="1:8" ht="24.75" customHeight="1" x14ac:dyDescent="0.55000000000000004">
      <c r="A2595" s="592">
        <v>2594</v>
      </c>
      <c r="B2595" s="596" t="s">
        <v>5209</v>
      </c>
      <c r="C2595" s="592" t="s">
        <v>5210</v>
      </c>
      <c r="D2595" s="592">
        <v>6</v>
      </c>
      <c r="E2595" s="597">
        <v>1200</v>
      </c>
      <c r="F2595" s="597">
        <v>1200</v>
      </c>
      <c r="G2595" s="597">
        <v>3000</v>
      </c>
      <c r="H2595" s="592" t="s">
        <v>1397</v>
      </c>
    </row>
    <row r="2596" spans="1:8" ht="24.75" customHeight="1" x14ac:dyDescent="0.55000000000000004">
      <c r="A2596" s="592">
        <v>2595</v>
      </c>
      <c r="B2596" s="596" t="s">
        <v>1862</v>
      </c>
      <c r="C2596" s="592" t="s">
        <v>7821</v>
      </c>
      <c r="D2596" s="592">
        <v>7</v>
      </c>
      <c r="E2596" s="597">
        <v>1700</v>
      </c>
      <c r="F2596" s="597">
        <v>1700</v>
      </c>
      <c r="G2596" s="597">
        <v>5250</v>
      </c>
      <c r="H2596" s="592" t="s">
        <v>1397</v>
      </c>
    </row>
    <row r="2597" spans="1:8" ht="24.75" customHeight="1" x14ac:dyDescent="0.55000000000000004">
      <c r="A2597" s="592">
        <v>2596</v>
      </c>
      <c r="B2597" s="596" t="s">
        <v>5211</v>
      </c>
      <c r="C2597" s="592" t="s">
        <v>5212</v>
      </c>
      <c r="D2597" s="592">
        <v>2</v>
      </c>
      <c r="E2597" s="597">
        <v>2200</v>
      </c>
      <c r="F2597" s="597">
        <v>2200</v>
      </c>
      <c r="G2597" s="597">
        <v>1600</v>
      </c>
      <c r="H2597" s="592" t="s">
        <v>1397</v>
      </c>
    </row>
    <row r="2598" spans="1:8" ht="24.75" customHeight="1" x14ac:dyDescent="0.55000000000000004">
      <c r="A2598" s="592">
        <v>2597</v>
      </c>
      <c r="B2598" s="596" t="s">
        <v>6205</v>
      </c>
      <c r="C2598" s="592" t="s">
        <v>6206</v>
      </c>
      <c r="D2598" s="592">
        <v>1</v>
      </c>
      <c r="E2598" s="597">
        <v>17000</v>
      </c>
      <c r="F2598" s="597">
        <v>17000</v>
      </c>
      <c r="G2598" s="597">
        <v>13000</v>
      </c>
      <c r="H2598" s="592" t="s">
        <v>1397</v>
      </c>
    </row>
    <row r="2599" spans="1:8" ht="24.75" customHeight="1" x14ac:dyDescent="0.55000000000000004">
      <c r="A2599" s="592">
        <v>2598</v>
      </c>
      <c r="B2599" s="596" t="s">
        <v>5213</v>
      </c>
      <c r="C2599" s="592" t="s">
        <v>5214</v>
      </c>
      <c r="D2599" s="592">
        <v>1</v>
      </c>
      <c r="E2599" s="597">
        <v>12000</v>
      </c>
      <c r="F2599" s="597">
        <v>12000</v>
      </c>
      <c r="G2599" s="597">
        <v>8800</v>
      </c>
      <c r="H2599" s="592" t="s">
        <v>1397</v>
      </c>
    </row>
    <row r="2600" spans="1:8" ht="24.75" customHeight="1" x14ac:dyDescent="0.55000000000000004">
      <c r="A2600" s="592">
        <v>2599</v>
      </c>
      <c r="B2600" s="596" t="s">
        <v>5215</v>
      </c>
      <c r="C2600" s="592" t="s">
        <v>5216</v>
      </c>
      <c r="D2600" s="592">
        <v>5</v>
      </c>
      <c r="E2600" s="597">
        <v>500</v>
      </c>
      <c r="F2600" s="597">
        <v>500</v>
      </c>
      <c r="G2600" s="597">
        <v>1500</v>
      </c>
      <c r="H2600" s="592" t="s">
        <v>1397</v>
      </c>
    </row>
    <row r="2601" spans="1:8" ht="24.75" customHeight="1" x14ac:dyDescent="0.55000000000000004">
      <c r="A2601" s="592">
        <v>2600</v>
      </c>
      <c r="B2601" s="596" t="s">
        <v>1863</v>
      </c>
      <c r="C2601" s="592" t="s">
        <v>1864</v>
      </c>
      <c r="D2601" s="592">
        <v>6</v>
      </c>
      <c r="E2601" s="597">
        <v>3500</v>
      </c>
      <c r="F2601" s="597">
        <v>3500</v>
      </c>
      <c r="G2601" s="597">
        <v>13800</v>
      </c>
      <c r="H2601" s="592" t="s">
        <v>1397</v>
      </c>
    </row>
    <row r="2602" spans="1:8" ht="24.75" customHeight="1" x14ac:dyDescent="0.55000000000000004">
      <c r="A2602" s="592">
        <v>2601</v>
      </c>
      <c r="B2602" s="596" t="s">
        <v>3466</v>
      </c>
      <c r="C2602" s="592" t="s">
        <v>3467</v>
      </c>
      <c r="D2602" s="592">
        <v>2</v>
      </c>
      <c r="E2602" s="597">
        <v>2500</v>
      </c>
      <c r="F2602" s="597">
        <v>2500</v>
      </c>
      <c r="G2602" s="597">
        <v>3100</v>
      </c>
      <c r="H2602" s="592" t="s">
        <v>1397</v>
      </c>
    </row>
    <row r="2603" spans="1:8" ht="24.75" customHeight="1" x14ac:dyDescent="0.55000000000000004">
      <c r="A2603" s="592">
        <v>2602</v>
      </c>
      <c r="B2603" s="596" t="s">
        <v>5217</v>
      </c>
      <c r="C2603" s="592" t="s">
        <v>5218</v>
      </c>
      <c r="D2603" s="592">
        <v>10</v>
      </c>
      <c r="E2603" s="597">
        <v>1500</v>
      </c>
      <c r="F2603" s="597">
        <v>1500</v>
      </c>
      <c r="G2603" s="597">
        <v>10000</v>
      </c>
      <c r="H2603" s="592" t="s">
        <v>1397</v>
      </c>
    </row>
    <row r="2604" spans="1:8" ht="24.75" customHeight="1" x14ac:dyDescent="0.55000000000000004">
      <c r="A2604" s="592">
        <v>2603</v>
      </c>
      <c r="B2604" s="596" t="s">
        <v>5219</v>
      </c>
      <c r="C2604" s="592" t="s">
        <v>7443</v>
      </c>
      <c r="D2604" s="592">
        <v>10</v>
      </c>
      <c r="E2604" s="597">
        <v>1300</v>
      </c>
      <c r="F2604" s="597">
        <v>1300</v>
      </c>
      <c r="G2604" s="597">
        <v>9500</v>
      </c>
      <c r="H2604" s="592" t="s">
        <v>1397</v>
      </c>
    </row>
    <row r="2605" spans="1:8" ht="24.75" customHeight="1" x14ac:dyDescent="0.55000000000000004">
      <c r="A2605" s="592">
        <v>2604</v>
      </c>
      <c r="B2605" s="596" t="s">
        <v>1865</v>
      </c>
      <c r="C2605" s="592" t="s">
        <v>6407</v>
      </c>
      <c r="D2605" s="592">
        <v>37</v>
      </c>
      <c r="E2605" s="597">
        <v>300</v>
      </c>
      <c r="F2605" s="597">
        <v>300</v>
      </c>
      <c r="G2605" s="597">
        <v>6179</v>
      </c>
      <c r="H2605" s="592" t="s">
        <v>1397</v>
      </c>
    </row>
    <row r="2606" spans="1:8" ht="24.75" customHeight="1" x14ac:dyDescent="0.55000000000000004">
      <c r="A2606" s="592">
        <v>2605</v>
      </c>
      <c r="B2606" s="596" t="s">
        <v>5220</v>
      </c>
      <c r="C2606" s="592" t="s">
        <v>6513</v>
      </c>
      <c r="D2606" s="592">
        <v>1</v>
      </c>
      <c r="E2606" s="597">
        <v>10000</v>
      </c>
      <c r="F2606" s="597">
        <v>10000</v>
      </c>
      <c r="G2606" s="597">
        <v>6500</v>
      </c>
      <c r="H2606" s="592" t="s">
        <v>1397</v>
      </c>
    </row>
    <row r="2607" spans="1:8" ht="24.75" customHeight="1" x14ac:dyDescent="0.55000000000000004">
      <c r="A2607" s="592">
        <v>2606</v>
      </c>
      <c r="B2607" s="596" t="s">
        <v>5221</v>
      </c>
      <c r="C2607" s="592" t="s">
        <v>5222</v>
      </c>
      <c r="D2607" s="592">
        <v>1</v>
      </c>
      <c r="E2607" s="597">
        <v>90000</v>
      </c>
      <c r="F2607" s="597">
        <v>90000</v>
      </c>
      <c r="G2607" s="597">
        <v>77500</v>
      </c>
      <c r="H2607" s="592" t="s">
        <v>1397</v>
      </c>
    </row>
    <row r="2608" spans="1:8" ht="24.75" customHeight="1" x14ac:dyDescent="0.55000000000000004">
      <c r="A2608" s="592">
        <v>2607</v>
      </c>
      <c r="B2608" s="596" t="s">
        <v>5224</v>
      </c>
      <c r="C2608" s="592" t="s">
        <v>5225</v>
      </c>
      <c r="D2608" s="592">
        <v>2</v>
      </c>
      <c r="E2608" s="597">
        <v>8000</v>
      </c>
      <c r="F2608" s="597">
        <v>8000</v>
      </c>
      <c r="G2608" s="597">
        <v>10400</v>
      </c>
      <c r="H2608" s="592" t="s">
        <v>1397</v>
      </c>
    </row>
    <row r="2609" spans="1:8" ht="24.75" customHeight="1" x14ac:dyDescent="0.55000000000000004">
      <c r="A2609" s="592">
        <v>2608</v>
      </c>
      <c r="B2609" s="596" t="s">
        <v>5226</v>
      </c>
      <c r="C2609" s="592" t="s">
        <v>6614</v>
      </c>
      <c r="D2609" s="592">
        <v>2</v>
      </c>
      <c r="E2609" s="597">
        <v>15000</v>
      </c>
      <c r="F2609" s="597">
        <v>15000</v>
      </c>
      <c r="G2609" s="597">
        <v>22000</v>
      </c>
      <c r="H2609" s="592" t="s">
        <v>1397</v>
      </c>
    </row>
    <row r="2610" spans="1:8" ht="24.75" customHeight="1" x14ac:dyDescent="0.55000000000000004">
      <c r="A2610" s="592">
        <v>2609</v>
      </c>
      <c r="B2610" s="596" t="s">
        <v>1866</v>
      </c>
      <c r="C2610" s="592" t="s">
        <v>1867</v>
      </c>
      <c r="D2610" s="592">
        <v>51</v>
      </c>
      <c r="E2610" s="597">
        <v>1000</v>
      </c>
      <c r="F2610" s="597">
        <v>1000</v>
      </c>
      <c r="G2610" s="597">
        <v>20400</v>
      </c>
      <c r="H2610" s="592" t="s">
        <v>1397</v>
      </c>
    </row>
    <row r="2611" spans="1:8" ht="24.75" customHeight="1" x14ac:dyDescent="0.55000000000000004">
      <c r="A2611" s="592">
        <v>2610</v>
      </c>
      <c r="B2611" s="596" t="s">
        <v>1868</v>
      </c>
      <c r="C2611" s="592" t="s">
        <v>1810</v>
      </c>
      <c r="D2611" s="592">
        <v>11</v>
      </c>
      <c r="E2611" s="597">
        <v>2500</v>
      </c>
      <c r="F2611" s="597">
        <v>2500</v>
      </c>
      <c r="G2611" s="597">
        <v>22000</v>
      </c>
      <c r="H2611" s="592" t="s">
        <v>1397</v>
      </c>
    </row>
    <row r="2612" spans="1:8" ht="24.75" customHeight="1" x14ac:dyDescent="0.55000000000000004">
      <c r="A2612" s="592">
        <v>2611</v>
      </c>
      <c r="B2612" s="596" t="s">
        <v>8480</v>
      </c>
      <c r="C2612" s="592" t="s">
        <v>8481</v>
      </c>
      <c r="D2612" s="592">
        <v>3</v>
      </c>
      <c r="E2612" s="597">
        <v>5000</v>
      </c>
      <c r="F2612" s="597">
        <v>5000</v>
      </c>
      <c r="G2612" s="597">
        <v>10500</v>
      </c>
      <c r="H2612" s="592" t="s">
        <v>1397</v>
      </c>
    </row>
    <row r="2613" spans="1:8" ht="24.75" customHeight="1" x14ac:dyDescent="0.55000000000000004">
      <c r="A2613" s="592">
        <v>2612</v>
      </c>
      <c r="B2613" s="596" t="s">
        <v>5227</v>
      </c>
      <c r="C2613" s="592" t="s">
        <v>5228</v>
      </c>
      <c r="D2613" s="592">
        <v>4</v>
      </c>
      <c r="E2613" s="597">
        <v>3500</v>
      </c>
      <c r="F2613" s="597">
        <v>3500</v>
      </c>
      <c r="G2613" s="597">
        <v>10000</v>
      </c>
      <c r="H2613" s="592" t="s">
        <v>1397</v>
      </c>
    </row>
    <row r="2614" spans="1:8" ht="24.75" customHeight="1" x14ac:dyDescent="0.55000000000000004">
      <c r="A2614" s="592">
        <v>2613</v>
      </c>
      <c r="B2614" s="596" t="s">
        <v>3074</v>
      </c>
      <c r="C2614" s="592" t="s">
        <v>3075</v>
      </c>
      <c r="D2614" s="592">
        <v>8</v>
      </c>
      <c r="E2614" s="597">
        <v>300</v>
      </c>
      <c r="F2614" s="597">
        <v>300</v>
      </c>
      <c r="G2614" s="597">
        <v>1336</v>
      </c>
      <c r="H2614" s="592" t="s">
        <v>1397</v>
      </c>
    </row>
    <row r="2615" spans="1:8" ht="24.75" customHeight="1" x14ac:dyDescent="0.55000000000000004">
      <c r="A2615" s="592">
        <v>2614</v>
      </c>
      <c r="B2615" s="596" t="s">
        <v>3076</v>
      </c>
      <c r="C2615" s="592" t="s">
        <v>3077</v>
      </c>
      <c r="D2615" s="592">
        <v>9</v>
      </c>
      <c r="E2615" s="597">
        <v>8000</v>
      </c>
      <c r="F2615" s="597">
        <v>8000</v>
      </c>
      <c r="G2615" s="597">
        <v>72000</v>
      </c>
      <c r="H2615" s="592" t="s">
        <v>1397</v>
      </c>
    </row>
    <row r="2616" spans="1:8" ht="24.75" customHeight="1" x14ac:dyDescent="0.55000000000000004">
      <c r="A2616" s="592">
        <v>2615</v>
      </c>
      <c r="B2616" s="596" t="s">
        <v>6764</v>
      </c>
      <c r="C2616" s="592" t="s">
        <v>6765</v>
      </c>
      <c r="D2616" s="592">
        <v>2</v>
      </c>
      <c r="E2616" s="597">
        <v>50000</v>
      </c>
      <c r="F2616" s="597">
        <v>50000</v>
      </c>
      <c r="G2616" s="597">
        <v>84000</v>
      </c>
      <c r="H2616" s="592" t="s">
        <v>1397</v>
      </c>
    </row>
    <row r="2617" spans="1:8" ht="24.75" customHeight="1" x14ac:dyDescent="0.55000000000000004">
      <c r="A2617" s="592">
        <v>2616</v>
      </c>
      <c r="B2617" s="596" t="s">
        <v>2840</v>
      </c>
      <c r="C2617" s="592" t="s">
        <v>2841</v>
      </c>
      <c r="D2617" s="592">
        <v>7</v>
      </c>
      <c r="E2617" s="597">
        <v>2000</v>
      </c>
      <c r="F2617" s="597">
        <v>2000</v>
      </c>
      <c r="G2617" s="597">
        <v>9100</v>
      </c>
      <c r="H2617" s="592" t="s">
        <v>1397</v>
      </c>
    </row>
    <row r="2618" spans="1:8" ht="24.75" customHeight="1" x14ac:dyDescent="0.55000000000000004">
      <c r="A2618" s="592">
        <v>2617</v>
      </c>
      <c r="B2618" s="596" t="s">
        <v>1869</v>
      </c>
      <c r="C2618" s="592" t="s">
        <v>1870</v>
      </c>
      <c r="D2618" s="592">
        <v>1</v>
      </c>
      <c r="E2618" s="597">
        <v>50000</v>
      </c>
      <c r="F2618" s="597">
        <v>50000</v>
      </c>
      <c r="G2618" s="597">
        <v>44250</v>
      </c>
      <c r="H2618" s="592" t="s">
        <v>1397</v>
      </c>
    </row>
    <row r="2619" spans="1:8" ht="24.75" customHeight="1" x14ac:dyDescent="0.55000000000000004">
      <c r="A2619" s="592">
        <v>2618</v>
      </c>
      <c r="B2619" s="596" t="s">
        <v>5229</v>
      </c>
      <c r="C2619" s="592" t="s">
        <v>5230</v>
      </c>
      <c r="D2619" s="592">
        <v>2</v>
      </c>
      <c r="E2619" s="597">
        <v>11500</v>
      </c>
      <c r="F2619" s="597">
        <v>11500</v>
      </c>
      <c r="G2619" s="597">
        <v>16000</v>
      </c>
      <c r="H2619" s="592" t="s">
        <v>1397</v>
      </c>
    </row>
    <row r="2620" spans="1:8" ht="24.75" customHeight="1" x14ac:dyDescent="0.55000000000000004">
      <c r="A2620" s="592">
        <v>2619</v>
      </c>
      <c r="B2620" s="596" t="s">
        <v>8167</v>
      </c>
      <c r="C2620" s="592" t="s">
        <v>8168</v>
      </c>
      <c r="D2620" s="592">
        <v>1</v>
      </c>
      <c r="E2620" s="597">
        <v>70000</v>
      </c>
      <c r="F2620" s="597">
        <v>70000</v>
      </c>
      <c r="G2620" s="597">
        <v>63500</v>
      </c>
      <c r="H2620" s="592" t="s">
        <v>1397</v>
      </c>
    </row>
    <row r="2621" spans="1:8" ht="24.75" customHeight="1" x14ac:dyDescent="0.55000000000000004">
      <c r="A2621" s="592">
        <v>2620</v>
      </c>
      <c r="B2621" s="596" t="s">
        <v>8169</v>
      </c>
      <c r="C2621" s="592" t="s">
        <v>8170</v>
      </c>
      <c r="D2621" s="592">
        <v>3</v>
      </c>
      <c r="E2621" s="597">
        <v>60000</v>
      </c>
      <c r="F2621" s="597">
        <v>60000</v>
      </c>
      <c r="G2621" s="597">
        <v>160050</v>
      </c>
      <c r="H2621" s="592" t="s">
        <v>1397</v>
      </c>
    </row>
    <row r="2622" spans="1:8" ht="24.75" customHeight="1" x14ac:dyDescent="0.55000000000000004">
      <c r="A2622" s="592">
        <v>2621</v>
      </c>
      <c r="B2622" s="596" t="s">
        <v>1871</v>
      </c>
      <c r="C2622" s="592" t="s">
        <v>1872</v>
      </c>
      <c r="D2622" s="592">
        <v>5</v>
      </c>
      <c r="E2622" s="597">
        <v>2300</v>
      </c>
      <c r="F2622" s="597">
        <v>2300</v>
      </c>
      <c r="G2622" s="597">
        <v>9000</v>
      </c>
      <c r="H2622" s="592" t="s">
        <v>1397</v>
      </c>
    </row>
    <row r="2623" spans="1:8" ht="24.75" customHeight="1" x14ac:dyDescent="0.55000000000000004">
      <c r="A2623" s="592">
        <v>2622</v>
      </c>
      <c r="B2623" s="596" t="s">
        <v>5231</v>
      </c>
      <c r="C2623" s="592" t="s">
        <v>5232</v>
      </c>
      <c r="D2623" s="592">
        <v>1</v>
      </c>
      <c r="E2623" s="597">
        <v>8000</v>
      </c>
      <c r="F2623" s="597">
        <v>8000</v>
      </c>
      <c r="G2623" s="597">
        <v>3950</v>
      </c>
      <c r="H2623" s="592" t="s">
        <v>1397</v>
      </c>
    </row>
    <row r="2624" spans="1:8" ht="24.75" customHeight="1" x14ac:dyDescent="0.55000000000000004">
      <c r="A2624" s="592">
        <v>2623</v>
      </c>
      <c r="B2624" s="596" t="s">
        <v>1873</v>
      </c>
      <c r="C2624" s="592" t="s">
        <v>1874</v>
      </c>
      <c r="D2624" s="592">
        <v>9</v>
      </c>
      <c r="E2624" s="597">
        <v>600</v>
      </c>
      <c r="F2624" s="597">
        <v>600</v>
      </c>
      <c r="G2624" s="597">
        <v>2925</v>
      </c>
      <c r="H2624" s="592" t="s">
        <v>1397</v>
      </c>
    </row>
    <row r="2625" spans="1:8" ht="24.75" customHeight="1" x14ac:dyDescent="0.55000000000000004">
      <c r="A2625" s="592">
        <v>2624</v>
      </c>
      <c r="B2625" s="596" t="s">
        <v>5233</v>
      </c>
      <c r="C2625" s="592" t="s">
        <v>8482</v>
      </c>
      <c r="D2625" s="592">
        <v>3</v>
      </c>
      <c r="E2625" s="597">
        <v>1500</v>
      </c>
      <c r="F2625" s="597">
        <v>1500</v>
      </c>
      <c r="G2625" s="597">
        <v>1500</v>
      </c>
      <c r="H2625" s="592" t="s">
        <v>1397</v>
      </c>
    </row>
    <row r="2626" spans="1:8" ht="24.75" customHeight="1" x14ac:dyDescent="0.55000000000000004">
      <c r="A2626" s="592">
        <v>2625</v>
      </c>
      <c r="B2626" s="596" t="s">
        <v>5234</v>
      </c>
      <c r="C2626" s="592" t="s">
        <v>8338</v>
      </c>
      <c r="D2626" s="592">
        <v>4</v>
      </c>
      <c r="E2626" s="597">
        <v>2500</v>
      </c>
      <c r="F2626" s="597">
        <v>2500</v>
      </c>
      <c r="G2626" s="597">
        <v>7200</v>
      </c>
      <c r="H2626" s="592" t="s">
        <v>1397</v>
      </c>
    </row>
    <row r="2627" spans="1:8" ht="24.75" customHeight="1" x14ac:dyDescent="0.55000000000000004">
      <c r="A2627" s="592">
        <v>2626</v>
      </c>
      <c r="B2627" s="596" t="s">
        <v>5235</v>
      </c>
      <c r="C2627" s="592" t="s">
        <v>8483</v>
      </c>
      <c r="D2627" s="592">
        <v>1</v>
      </c>
      <c r="E2627" s="597">
        <v>2800</v>
      </c>
      <c r="F2627" s="597">
        <v>2800</v>
      </c>
      <c r="G2627" s="597">
        <v>2500</v>
      </c>
      <c r="H2627" s="592" t="s">
        <v>1397</v>
      </c>
    </row>
    <row r="2628" spans="1:8" ht="24.75" customHeight="1" x14ac:dyDescent="0.55000000000000004">
      <c r="A2628" s="592">
        <v>2627</v>
      </c>
      <c r="B2628" s="596" t="s">
        <v>5236</v>
      </c>
      <c r="C2628" s="592" t="s">
        <v>8484</v>
      </c>
      <c r="D2628" s="592">
        <v>3</v>
      </c>
      <c r="E2628" s="597">
        <v>4000</v>
      </c>
      <c r="F2628" s="597">
        <v>4000</v>
      </c>
      <c r="G2628" s="597">
        <v>9000</v>
      </c>
      <c r="H2628" s="592" t="s">
        <v>1397</v>
      </c>
    </row>
    <row r="2629" spans="1:8" ht="24.75" customHeight="1" x14ac:dyDescent="0.55000000000000004">
      <c r="A2629" s="592">
        <v>2628</v>
      </c>
      <c r="B2629" s="596" t="s">
        <v>5237</v>
      </c>
      <c r="C2629" s="592" t="s">
        <v>5238</v>
      </c>
      <c r="D2629" s="592">
        <v>6</v>
      </c>
      <c r="E2629" s="597">
        <v>3300</v>
      </c>
      <c r="F2629" s="597">
        <v>3300</v>
      </c>
      <c r="G2629" s="597">
        <v>6000</v>
      </c>
      <c r="H2629" s="592" t="s">
        <v>1397</v>
      </c>
    </row>
    <row r="2630" spans="1:8" ht="24.75" customHeight="1" x14ac:dyDescent="0.55000000000000004">
      <c r="A2630" s="592">
        <v>2629</v>
      </c>
      <c r="B2630" s="596" t="s">
        <v>5239</v>
      </c>
      <c r="C2630" s="592" t="s">
        <v>6615</v>
      </c>
      <c r="D2630" s="592">
        <v>12</v>
      </c>
      <c r="E2630" s="597">
        <v>3000</v>
      </c>
      <c r="F2630" s="597">
        <v>3000</v>
      </c>
      <c r="G2630" s="597">
        <v>21600</v>
      </c>
      <c r="H2630" s="592" t="s">
        <v>1397</v>
      </c>
    </row>
    <row r="2631" spans="1:8" ht="24.75" customHeight="1" x14ac:dyDescent="0.55000000000000004">
      <c r="A2631" s="592">
        <v>2630</v>
      </c>
      <c r="B2631" s="596" t="s">
        <v>3174</v>
      </c>
      <c r="C2631" s="592" t="s">
        <v>3175</v>
      </c>
      <c r="D2631" s="592">
        <v>5</v>
      </c>
      <c r="E2631" s="597">
        <v>4200</v>
      </c>
      <c r="F2631" s="597">
        <v>4200</v>
      </c>
      <c r="G2631" s="597">
        <v>15000</v>
      </c>
      <c r="H2631" s="592" t="s">
        <v>1397</v>
      </c>
    </row>
    <row r="2632" spans="1:8" ht="24.75" customHeight="1" x14ac:dyDescent="0.55000000000000004">
      <c r="A2632" s="592">
        <v>2631</v>
      </c>
      <c r="B2632" s="596" t="s">
        <v>5240</v>
      </c>
      <c r="C2632" s="592" t="s">
        <v>7444</v>
      </c>
      <c r="D2632" s="592">
        <v>15</v>
      </c>
      <c r="E2632" s="597">
        <v>1000</v>
      </c>
      <c r="F2632" s="597">
        <v>1000</v>
      </c>
      <c r="G2632" s="597">
        <v>9000</v>
      </c>
      <c r="H2632" s="592" t="s">
        <v>1397</v>
      </c>
    </row>
    <row r="2633" spans="1:8" ht="24.75" customHeight="1" x14ac:dyDescent="0.55000000000000004">
      <c r="A2633" s="592">
        <v>2632</v>
      </c>
      <c r="B2633" s="596" t="s">
        <v>5241</v>
      </c>
      <c r="C2633" s="592" t="s">
        <v>7445</v>
      </c>
      <c r="D2633" s="592">
        <v>8</v>
      </c>
      <c r="E2633" s="597">
        <v>1400</v>
      </c>
      <c r="F2633" s="597">
        <v>1400</v>
      </c>
      <c r="G2633" s="597">
        <v>6400</v>
      </c>
      <c r="H2633" s="592" t="s">
        <v>1397</v>
      </c>
    </row>
    <row r="2634" spans="1:8" ht="24.75" customHeight="1" x14ac:dyDescent="0.55000000000000004">
      <c r="A2634" s="592">
        <v>2633</v>
      </c>
      <c r="B2634" s="596" t="s">
        <v>5242</v>
      </c>
      <c r="C2634" s="592" t="s">
        <v>7822</v>
      </c>
      <c r="D2634" s="592">
        <v>3</v>
      </c>
      <c r="E2634" s="597">
        <v>2000</v>
      </c>
      <c r="F2634" s="597">
        <v>2000</v>
      </c>
      <c r="G2634" s="597">
        <v>4350</v>
      </c>
      <c r="H2634" s="592" t="s">
        <v>1397</v>
      </c>
    </row>
    <row r="2635" spans="1:8" ht="24.75" customHeight="1" x14ac:dyDescent="0.55000000000000004">
      <c r="A2635" s="592">
        <v>2634</v>
      </c>
      <c r="B2635" s="596" t="s">
        <v>5243</v>
      </c>
      <c r="C2635" s="592" t="s">
        <v>5244</v>
      </c>
      <c r="D2635" s="592">
        <v>7</v>
      </c>
      <c r="E2635" s="597">
        <v>4000</v>
      </c>
      <c r="F2635" s="597">
        <v>4000</v>
      </c>
      <c r="G2635" s="597">
        <v>25025</v>
      </c>
      <c r="H2635" s="592" t="s">
        <v>1397</v>
      </c>
    </row>
    <row r="2636" spans="1:8" ht="24.75" customHeight="1" x14ac:dyDescent="0.55000000000000004">
      <c r="A2636" s="592">
        <v>2635</v>
      </c>
      <c r="B2636" s="596" t="s">
        <v>5245</v>
      </c>
      <c r="C2636" s="592" t="s">
        <v>7823</v>
      </c>
      <c r="D2636" s="592">
        <v>2</v>
      </c>
      <c r="E2636" s="597">
        <v>800</v>
      </c>
      <c r="F2636" s="597">
        <v>800</v>
      </c>
      <c r="G2636" s="597">
        <v>1200</v>
      </c>
      <c r="H2636" s="592" t="s">
        <v>1397</v>
      </c>
    </row>
    <row r="2637" spans="1:8" ht="24.75" customHeight="1" x14ac:dyDescent="0.55000000000000004">
      <c r="A2637" s="592">
        <v>2636</v>
      </c>
      <c r="B2637" s="596" t="s">
        <v>5246</v>
      </c>
      <c r="C2637" s="592" t="s">
        <v>7824</v>
      </c>
      <c r="D2637" s="592">
        <v>7</v>
      </c>
      <c r="E2637" s="597">
        <v>600</v>
      </c>
      <c r="F2637" s="597">
        <v>600</v>
      </c>
      <c r="G2637" s="597">
        <v>2800</v>
      </c>
      <c r="H2637" s="592" t="s">
        <v>1397</v>
      </c>
    </row>
    <row r="2638" spans="1:8" ht="24.75" customHeight="1" x14ac:dyDescent="0.55000000000000004">
      <c r="A2638" s="592">
        <v>2637</v>
      </c>
      <c r="B2638" s="596" t="s">
        <v>5247</v>
      </c>
      <c r="C2638" s="592" t="s">
        <v>7825</v>
      </c>
      <c r="D2638" s="592">
        <v>15</v>
      </c>
      <c r="E2638" s="597">
        <v>500</v>
      </c>
      <c r="F2638" s="597">
        <v>500</v>
      </c>
      <c r="G2638" s="597">
        <v>4500</v>
      </c>
      <c r="H2638" s="592" t="s">
        <v>1397</v>
      </c>
    </row>
    <row r="2639" spans="1:8" ht="24.75" customHeight="1" x14ac:dyDescent="0.55000000000000004">
      <c r="A2639" s="592">
        <v>2638</v>
      </c>
      <c r="B2639" s="596" t="s">
        <v>5248</v>
      </c>
      <c r="C2639" s="592" t="s">
        <v>5249</v>
      </c>
      <c r="D2639" s="592">
        <v>10</v>
      </c>
      <c r="E2639" s="597">
        <v>100</v>
      </c>
      <c r="F2639" s="597">
        <v>100</v>
      </c>
      <c r="G2639" s="597">
        <v>560</v>
      </c>
      <c r="H2639" s="592" t="s">
        <v>1397</v>
      </c>
    </row>
    <row r="2640" spans="1:8" ht="24.75" customHeight="1" x14ac:dyDescent="0.55000000000000004">
      <c r="A2640" s="592">
        <v>2639</v>
      </c>
      <c r="B2640" s="596" t="s">
        <v>5250</v>
      </c>
      <c r="C2640" s="592" t="s">
        <v>5251</v>
      </c>
      <c r="D2640" s="592">
        <v>1</v>
      </c>
      <c r="E2640" s="597">
        <v>300</v>
      </c>
      <c r="F2640" s="597">
        <v>300</v>
      </c>
      <c r="G2640" s="597">
        <v>110</v>
      </c>
      <c r="H2640" s="592" t="s">
        <v>1397</v>
      </c>
    </row>
    <row r="2641" spans="1:8" ht="24.75" customHeight="1" x14ac:dyDescent="0.55000000000000004">
      <c r="A2641" s="592">
        <v>2640</v>
      </c>
      <c r="B2641" s="596" t="s">
        <v>2527</v>
      </c>
      <c r="C2641" s="592" t="s">
        <v>2528</v>
      </c>
      <c r="D2641" s="592">
        <v>6</v>
      </c>
      <c r="E2641" s="597">
        <v>1500</v>
      </c>
      <c r="F2641" s="597">
        <v>1500</v>
      </c>
      <c r="G2641" s="597">
        <v>6600</v>
      </c>
      <c r="H2641" s="592" t="s">
        <v>1397</v>
      </c>
    </row>
    <row r="2642" spans="1:8" ht="24.75" customHeight="1" x14ac:dyDescent="0.55000000000000004">
      <c r="A2642" s="592">
        <v>2641</v>
      </c>
      <c r="B2642" s="596" t="s">
        <v>1875</v>
      </c>
      <c r="C2642" s="592" t="s">
        <v>1876</v>
      </c>
      <c r="D2642" s="592">
        <v>1</v>
      </c>
      <c r="E2642" s="597">
        <v>1500</v>
      </c>
      <c r="F2642" s="597">
        <v>1500</v>
      </c>
      <c r="G2642" s="597">
        <v>950</v>
      </c>
      <c r="H2642" s="592" t="s">
        <v>1397</v>
      </c>
    </row>
    <row r="2643" spans="1:8" ht="24.75" customHeight="1" x14ac:dyDescent="0.55000000000000004">
      <c r="A2643" s="592">
        <v>2642</v>
      </c>
      <c r="B2643" s="596" t="s">
        <v>7190</v>
      </c>
      <c r="C2643" s="592" t="s">
        <v>7191</v>
      </c>
      <c r="D2643" s="592">
        <v>10</v>
      </c>
      <c r="E2643" s="597">
        <v>8500</v>
      </c>
      <c r="F2643" s="597">
        <v>8500</v>
      </c>
      <c r="G2643" s="597">
        <v>67000</v>
      </c>
      <c r="H2643" s="592" t="s">
        <v>1397</v>
      </c>
    </row>
    <row r="2644" spans="1:8" ht="24.75" customHeight="1" x14ac:dyDescent="0.55000000000000004">
      <c r="A2644" s="592">
        <v>2643</v>
      </c>
      <c r="B2644" s="596" t="s">
        <v>5252</v>
      </c>
      <c r="C2644" s="592" t="s">
        <v>8339</v>
      </c>
      <c r="D2644" s="592">
        <v>8</v>
      </c>
      <c r="E2644" s="597">
        <v>500</v>
      </c>
      <c r="F2644" s="597">
        <v>500</v>
      </c>
      <c r="G2644" s="597">
        <v>2000</v>
      </c>
      <c r="H2644" s="592" t="s">
        <v>1397</v>
      </c>
    </row>
    <row r="2645" spans="1:8" ht="24.75" customHeight="1" x14ac:dyDescent="0.55000000000000004">
      <c r="A2645" s="592">
        <v>2644</v>
      </c>
      <c r="B2645" s="596" t="s">
        <v>5253</v>
      </c>
      <c r="C2645" s="592" t="s">
        <v>5254</v>
      </c>
      <c r="D2645" s="592">
        <v>12</v>
      </c>
      <c r="E2645" s="597">
        <v>900</v>
      </c>
      <c r="F2645" s="597">
        <v>900</v>
      </c>
      <c r="G2645" s="597">
        <v>6000</v>
      </c>
      <c r="H2645" s="592" t="s">
        <v>1397</v>
      </c>
    </row>
    <row r="2646" spans="1:8" ht="24.75" customHeight="1" x14ac:dyDescent="0.55000000000000004">
      <c r="A2646" s="592">
        <v>2645</v>
      </c>
      <c r="B2646" s="596" t="s">
        <v>5255</v>
      </c>
      <c r="C2646" s="592" t="s">
        <v>5256</v>
      </c>
      <c r="D2646" s="592">
        <v>1</v>
      </c>
      <c r="E2646" s="597">
        <v>1000</v>
      </c>
      <c r="F2646" s="597">
        <v>1000</v>
      </c>
      <c r="G2646" s="597">
        <v>500</v>
      </c>
      <c r="H2646" s="592" t="s">
        <v>1397</v>
      </c>
    </row>
    <row r="2647" spans="1:8" ht="24.75" customHeight="1" x14ac:dyDescent="0.55000000000000004">
      <c r="A2647" s="592">
        <v>2646</v>
      </c>
      <c r="B2647" s="596" t="s">
        <v>5257</v>
      </c>
      <c r="C2647" s="592" t="s">
        <v>5258</v>
      </c>
      <c r="D2647" s="592">
        <v>4</v>
      </c>
      <c r="E2647" s="597">
        <v>3800</v>
      </c>
      <c r="F2647" s="597">
        <v>3800</v>
      </c>
      <c r="G2647" s="597">
        <v>11200</v>
      </c>
      <c r="H2647" s="592" t="s">
        <v>1397</v>
      </c>
    </row>
    <row r="2648" spans="1:8" ht="24.75" customHeight="1" x14ac:dyDescent="0.55000000000000004">
      <c r="A2648" s="592">
        <v>2647</v>
      </c>
      <c r="B2648" s="596" t="s">
        <v>5259</v>
      </c>
      <c r="C2648" s="592" t="s">
        <v>5260</v>
      </c>
      <c r="D2648" s="592">
        <v>13</v>
      </c>
      <c r="E2648" s="597">
        <v>300</v>
      </c>
      <c r="F2648" s="597">
        <v>300</v>
      </c>
      <c r="G2648" s="597">
        <v>1625</v>
      </c>
      <c r="H2648" s="592" t="s">
        <v>1397</v>
      </c>
    </row>
    <row r="2649" spans="1:8" ht="24.75" customHeight="1" x14ac:dyDescent="0.55000000000000004">
      <c r="A2649" s="592">
        <v>2648</v>
      </c>
      <c r="B2649" s="596" t="s">
        <v>5261</v>
      </c>
      <c r="C2649" s="592" t="s">
        <v>5262</v>
      </c>
      <c r="D2649" s="592">
        <v>7</v>
      </c>
      <c r="E2649" s="597">
        <v>400</v>
      </c>
      <c r="F2649" s="597">
        <v>400</v>
      </c>
      <c r="G2649" s="597">
        <v>1050</v>
      </c>
      <c r="H2649" s="592" t="s">
        <v>1397</v>
      </c>
    </row>
    <row r="2650" spans="1:8" ht="24.75" customHeight="1" x14ac:dyDescent="0.55000000000000004">
      <c r="A2650" s="592">
        <v>2649</v>
      </c>
      <c r="B2650" s="596" t="s">
        <v>5263</v>
      </c>
      <c r="C2650" s="592" t="s">
        <v>5264</v>
      </c>
      <c r="D2650" s="592">
        <v>1</v>
      </c>
      <c r="E2650" s="597">
        <v>35000</v>
      </c>
      <c r="F2650" s="597">
        <v>35000</v>
      </c>
      <c r="G2650" s="597">
        <v>29000</v>
      </c>
      <c r="H2650" s="592" t="s">
        <v>1397</v>
      </c>
    </row>
    <row r="2651" spans="1:8" ht="24.75" customHeight="1" x14ac:dyDescent="0.55000000000000004">
      <c r="A2651" s="592">
        <v>2650</v>
      </c>
      <c r="B2651" s="596" t="s">
        <v>5265</v>
      </c>
      <c r="C2651" s="592" t="s">
        <v>5266</v>
      </c>
      <c r="D2651" s="592">
        <v>3</v>
      </c>
      <c r="E2651" s="597">
        <v>22500</v>
      </c>
      <c r="F2651" s="597">
        <v>22500</v>
      </c>
      <c r="G2651" s="597">
        <v>42000</v>
      </c>
      <c r="H2651" s="592" t="s">
        <v>1397</v>
      </c>
    </row>
    <row r="2652" spans="1:8" ht="24.75" customHeight="1" x14ac:dyDescent="0.55000000000000004">
      <c r="A2652" s="592">
        <v>2651</v>
      </c>
      <c r="B2652" s="596" t="s">
        <v>5267</v>
      </c>
      <c r="C2652" s="592" t="s">
        <v>5268</v>
      </c>
      <c r="D2652" s="592">
        <v>19</v>
      </c>
      <c r="E2652" s="597">
        <v>1000</v>
      </c>
      <c r="F2652" s="597">
        <v>1000</v>
      </c>
      <c r="G2652" s="597">
        <v>10450</v>
      </c>
      <c r="H2652" s="592" t="s">
        <v>1397</v>
      </c>
    </row>
    <row r="2653" spans="1:8" ht="24.75" customHeight="1" x14ac:dyDescent="0.55000000000000004">
      <c r="A2653" s="592">
        <v>2652</v>
      </c>
      <c r="B2653" s="596" t="s">
        <v>1878</v>
      </c>
      <c r="C2653" s="592" t="s">
        <v>1879</v>
      </c>
      <c r="D2653" s="592">
        <v>15</v>
      </c>
      <c r="E2653" s="597">
        <v>3300</v>
      </c>
      <c r="F2653" s="597">
        <v>3300</v>
      </c>
      <c r="G2653" s="597">
        <v>46245</v>
      </c>
      <c r="H2653" s="592" t="s">
        <v>1397</v>
      </c>
    </row>
    <row r="2654" spans="1:8" ht="24.75" customHeight="1" x14ac:dyDescent="0.55000000000000004">
      <c r="A2654" s="592">
        <v>2653</v>
      </c>
      <c r="B2654" s="596" t="s">
        <v>6766</v>
      </c>
      <c r="C2654" s="592" t="s">
        <v>6767</v>
      </c>
      <c r="D2654" s="592">
        <v>3</v>
      </c>
      <c r="E2654" s="597">
        <v>109000</v>
      </c>
      <c r="F2654" s="597">
        <v>109000</v>
      </c>
      <c r="G2654" s="597">
        <v>276000</v>
      </c>
      <c r="H2654" s="592" t="s">
        <v>1397</v>
      </c>
    </row>
    <row r="2655" spans="1:8" ht="24.75" customHeight="1" x14ac:dyDescent="0.55000000000000004">
      <c r="A2655" s="592">
        <v>2654</v>
      </c>
      <c r="B2655" s="596" t="s">
        <v>5269</v>
      </c>
      <c r="C2655" s="592" t="s">
        <v>5270</v>
      </c>
      <c r="D2655" s="592">
        <v>3</v>
      </c>
      <c r="E2655" s="597">
        <v>7000</v>
      </c>
      <c r="F2655" s="597">
        <v>7000</v>
      </c>
      <c r="G2655" s="597">
        <v>16500</v>
      </c>
      <c r="H2655" s="592" t="s">
        <v>1397</v>
      </c>
    </row>
    <row r="2656" spans="1:8" ht="24.75" customHeight="1" x14ac:dyDescent="0.55000000000000004">
      <c r="A2656" s="592">
        <v>2655</v>
      </c>
      <c r="B2656" s="596" t="s">
        <v>8629</v>
      </c>
      <c r="C2656" s="592" t="s">
        <v>8630</v>
      </c>
      <c r="D2656" s="592">
        <v>1</v>
      </c>
      <c r="E2656" s="597">
        <v>15000</v>
      </c>
      <c r="F2656" s="597">
        <v>15000</v>
      </c>
      <c r="G2656" s="597">
        <v>11500</v>
      </c>
      <c r="H2656" s="592" t="s">
        <v>1397</v>
      </c>
    </row>
    <row r="2657" spans="1:8" ht="24.75" customHeight="1" x14ac:dyDescent="0.55000000000000004">
      <c r="A2657" s="592">
        <v>2656</v>
      </c>
      <c r="B2657" s="596" t="s">
        <v>5271</v>
      </c>
      <c r="C2657" s="592" t="s">
        <v>5272</v>
      </c>
      <c r="D2657" s="592">
        <v>26</v>
      </c>
      <c r="E2657" s="597">
        <v>100</v>
      </c>
      <c r="F2657" s="597">
        <v>100</v>
      </c>
      <c r="G2657" s="597">
        <v>2262</v>
      </c>
      <c r="H2657" s="592" t="s">
        <v>1397</v>
      </c>
    </row>
    <row r="2658" spans="1:8" ht="24.75" customHeight="1" x14ac:dyDescent="0.55000000000000004">
      <c r="A2658" s="592">
        <v>2657</v>
      </c>
      <c r="B2658" s="596" t="s">
        <v>6768</v>
      </c>
      <c r="C2658" s="592" t="s">
        <v>6769</v>
      </c>
      <c r="D2658" s="592">
        <v>2</v>
      </c>
      <c r="E2658" s="597">
        <v>6000</v>
      </c>
      <c r="F2658" s="597">
        <v>6000</v>
      </c>
      <c r="G2658" s="597">
        <v>9000</v>
      </c>
      <c r="H2658" s="592" t="s">
        <v>1397</v>
      </c>
    </row>
    <row r="2659" spans="1:8" ht="24.75" customHeight="1" x14ac:dyDescent="0.55000000000000004">
      <c r="A2659" s="592">
        <v>2658</v>
      </c>
      <c r="B2659" s="596" t="s">
        <v>1880</v>
      </c>
      <c r="C2659" s="592" t="s">
        <v>1881</v>
      </c>
      <c r="D2659" s="592">
        <v>40</v>
      </c>
      <c r="E2659" s="597">
        <v>300</v>
      </c>
      <c r="F2659" s="597">
        <v>300</v>
      </c>
      <c r="G2659" s="597">
        <v>6000</v>
      </c>
      <c r="H2659" s="592" t="s">
        <v>1397</v>
      </c>
    </row>
    <row r="2660" spans="1:8" ht="24.75" customHeight="1" x14ac:dyDescent="0.55000000000000004">
      <c r="A2660" s="592">
        <v>2659</v>
      </c>
      <c r="B2660" s="596" t="s">
        <v>1882</v>
      </c>
      <c r="C2660" s="592" t="s">
        <v>1883</v>
      </c>
      <c r="D2660" s="592">
        <v>9</v>
      </c>
      <c r="E2660" s="597">
        <v>800</v>
      </c>
      <c r="F2660" s="597">
        <v>800</v>
      </c>
      <c r="G2660" s="597">
        <v>4050</v>
      </c>
      <c r="H2660" s="592" t="s">
        <v>1397</v>
      </c>
    </row>
    <row r="2661" spans="1:8" ht="24.75" customHeight="1" x14ac:dyDescent="0.55000000000000004">
      <c r="A2661" s="592">
        <v>2660</v>
      </c>
      <c r="B2661" s="596" t="s">
        <v>2993</v>
      </c>
      <c r="C2661" s="592" t="s">
        <v>3468</v>
      </c>
      <c r="D2661" s="592">
        <v>5</v>
      </c>
      <c r="E2661" s="597">
        <v>2000</v>
      </c>
      <c r="F2661" s="597">
        <v>2000</v>
      </c>
      <c r="G2661" s="597">
        <v>6000</v>
      </c>
      <c r="H2661" s="592" t="s">
        <v>1397</v>
      </c>
    </row>
    <row r="2662" spans="1:8" ht="24.75" customHeight="1" x14ac:dyDescent="0.55000000000000004">
      <c r="A2662" s="592">
        <v>2661</v>
      </c>
      <c r="B2662" s="596" t="s">
        <v>5273</v>
      </c>
      <c r="C2662" s="592" t="s">
        <v>5274</v>
      </c>
      <c r="D2662" s="592">
        <v>4</v>
      </c>
      <c r="E2662" s="597">
        <v>3500</v>
      </c>
      <c r="F2662" s="597">
        <v>3500</v>
      </c>
      <c r="G2662" s="597">
        <v>10800</v>
      </c>
      <c r="H2662" s="592" t="s">
        <v>1397</v>
      </c>
    </row>
    <row r="2663" spans="1:8" ht="24.75" customHeight="1" x14ac:dyDescent="0.55000000000000004">
      <c r="A2663" s="592">
        <v>2662</v>
      </c>
      <c r="B2663" s="596" t="s">
        <v>2446</v>
      </c>
      <c r="C2663" s="592" t="s">
        <v>1402</v>
      </c>
      <c r="D2663" s="592">
        <v>4</v>
      </c>
      <c r="E2663" s="597">
        <v>1500</v>
      </c>
      <c r="F2663" s="597">
        <v>1500</v>
      </c>
      <c r="G2663" s="597">
        <v>3400</v>
      </c>
      <c r="H2663" s="592" t="s">
        <v>1397</v>
      </c>
    </row>
    <row r="2664" spans="1:8" ht="24.75" customHeight="1" x14ac:dyDescent="0.55000000000000004">
      <c r="A2664" s="592">
        <v>2663</v>
      </c>
      <c r="B2664" s="596" t="s">
        <v>6207</v>
      </c>
      <c r="C2664" s="592" t="s">
        <v>6208</v>
      </c>
      <c r="D2664" s="592">
        <v>2</v>
      </c>
      <c r="E2664" s="597">
        <v>40000</v>
      </c>
      <c r="F2664" s="597">
        <v>40000</v>
      </c>
      <c r="G2664" s="597">
        <v>67070</v>
      </c>
      <c r="H2664" s="592" t="s">
        <v>1397</v>
      </c>
    </row>
    <row r="2665" spans="1:8" ht="24.75" customHeight="1" x14ac:dyDescent="0.55000000000000004">
      <c r="A2665" s="592">
        <v>2664</v>
      </c>
      <c r="B2665" s="596" t="s">
        <v>6616</v>
      </c>
      <c r="C2665" s="592" t="s">
        <v>6617</v>
      </c>
      <c r="D2665" s="592">
        <v>3</v>
      </c>
      <c r="E2665" s="597">
        <v>5000</v>
      </c>
      <c r="F2665" s="597">
        <v>5000</v>
      </c>
      <c r="G2665" s="597">
        <v>10650</v>
      </c>
      <c r="H2665" s="592" t="s">
        <v>1397</v>
      </c>
    </row>
    <row r="2666" spans="1:8" ht="24.75" customHeight="1" x14ac:dyDescent="0.55000000000000004">
      <c r="A2666" s="592">
        <v>2665</v>
      </c>
      <c r="B2666" s="596" t="s">
        <v>3078</v>
      </c>
      <c r="C2666" s="592" t="s">
        <v>3079</v>
      </c>
      <c r="D2666" s="592">
        <v>2</v>
      </c>
      <c r="E2666" s="597">
        <v>8000</v>
      </c>
      <c r="F2666" s="597">
        <v>8000</v>
      </c>
      <c r="G2666" s="597">
        <v>13000</v>
      </c>
      <c r="H2666" s="592" t="s">
        <v>1397</v>
      </c>
    </row>
    <row r="2667" spans="1:8" ht="24.75" customHeight="1" x14ac:dyDescent="0.55000000000000004">
      <c r="A2667" s="592">
        <v>2666</v>
      </c>
      <c r="B2667" s="596" t="s">
        <v>6770</v>
      </c>
      <c r="C2667" s="592" t="s">
        <v>6771</v>
      </c>
      <c r="D2667" s="592">
        <v>1</v>
      </c>
      <c r="E2667" s="597">
        <v>85000</v>
      </c>
      <c r="F2667" s="597">
        <v>85000</v>
      </c>
      <c r="G2667" s="597">
        <v>65000</v>
      </c>
      <c r="H2667" s="592" t="s">
        <v>1397</v>
      </c>
    </row>
    <row r="2668" spans="1:8" ht="24.75" customHeight="1" x14ac:dyDescent="0.55000000000000004">
      <c r="A2668" s="592">
        <v>2667</v>
      </c>
      <c r="B2668" s="596" t="s">
        <v>5275</v>
      </c>
      <c r="C2668" s="592" t="s">
        <v>5276</v>
      </c>
      <c r="D2668" s="592">
        <v>1</v>
      </c>
      <c r="E2668" s="597">
        <v>1800</v>
      </c>
      <c r="F2668" s="597">
        <v>1800</v>
      </c>
      <c r="G2668" s="597">
        <v>1300</v>
      </c>
      <c r="H2668" s="592" t="s">
        <v>1397</v>
      </c>
    </row>
    <row r="2669" spans="1:8" ht="24.75" customHeight="1" x14ac:dyDescent="0.55000000000000004">
      <c r="A2669" s="592">
        <v>2668</v>
      </c>
      <c r="B2669" s="596" t="s">
        <v>5277</v>
      </c>
      <c r="C2669" s="592" t="s">
        <v>5278</v>
      </c>
      <c r="D2669" s="592">
        <v>1</v>
      </c>
      <c r="E2669" s="597">
        <v>1900</v>
      </c>
      <c r="F2669" s="597">
        <v>1900</v>
      </c>
      <c r="G2669" s="597">
        <v>1400</v>
      </c>
      <c r="H2669" s="592" t="s">
        <v>1397</v>
      </c>
    </row>
    <row r="2670" spans="1:8" ht="24.75" customHeight="1" x14ac:dyDescent="0.55000000000000004">
      <c r="A2670" s="592">
        <v>2669</v>
      </c>
      <c r="B2670" s="596" t="s">
        <v>1884</v>
      </c>
      <c r="C2670" s="592" t="s">
        <v>1885</v>
      </c>
      <c r="D2670" s="592">
        <v>6</v>
      </c>
      <c r="E2670" s="597">
        <v>5000</v>
      </c>
      <c r="F2670" s="597">
        <v>5000</v>
      </c>
      <c r="G2670" s="597">
        <v>17100</v>
      </c>
      <c r="H2670" s="592" t="s">
        <v>1397</v>
      </c>
    </row>
    <row r="2671" spans="1:8" ht="24.75" customHeight="1" x14ac:dyDescent="0.55000000000000004">
      <c r="A2671" s="592">
        <v>2670</v>
      </c>
      <c r="B2671" s="596" t="s">
        <v>5279</v>
      </c>
      <c r="C2671" s="592" t="s">
        <v>5280</v>
      </c>
      <c r="D2671" s="592">
        <v>10</v>
      </c>
      <c r="E2671" s="597">
        <v>3300</v>
      </c>
      <c r="F2671" s="597">
        <v>3300</v>
      </c>
      <c r="G2671" s="597">
        <v>14500</v>
      </c>
      <c r="H2671" s="592" t="s">
        <v>1397</v>
      </c>
    </row>
    <row r="2672" spans="1:8" ht="24.75" customHeight="1" x14ac:dyDescent="0.55000000000000004">
      <c r="A2672" s="592">
        <v>2671</v>
      </c>
      <c r="B2672" s="596" t="s">
        <v>5281</v>
      </c>
      <c r="C2672" s="592" t="s">
        <v>5282</v>
      </c>
      <c r="D2672" s="592">
        <v>4</v>
      </c>
      <c r="E2672" s="597">
        <v>20000</v>
      </c>
      <c r="F2672" s="597">
        <v>20000</v>
      </c>
      <c r="G2672" s="597">
        <v>64000</v>
      </c>
      <c r="H2672" s="592" t="s">
        <v>1397</v>
      </c>
    </row>
    <row r="2673" spans="1:8" ht="24.75" customHeight="1" x14ac:dyDescent="0.55000000000000004">
      <c r="A2673" s="592">
        <v>2672</v>
      </c>
      <c r="B2673" s="596" t="s">
        <v>5283</v>
      </c>
      <c r="C2673" s="592" t="s">
        <v>5284</v>
      </c>
      <c r="D2673" s="592">
        <v>1</v>
      </c>
      <c r="E2673" s="597">
        <v>10000</v>
      </c>
      <c r="F2673" s="597">
        <v>10000</v>
      </c>
      <c r="G2673" s="597">
        <v>7500</v>
      </c>
      <c r="H2673" s="592" t="s">
        <v>1397</v>
      </c>
    </row>
    <row r="2674" spans="1:8" ht="24.75" customHeight="1" x14ac:dyDescent="0.55000000000000004">
      <c r="A2674" s="592">
        <v>2673</v>
      </c>
      <c r="B2674" s="596" t="s">
        <v>1886</v>
      </c>
      <c r="C2674" s="592" t="s">
        <v>1887</v>
      </c>
      <c r="D2674" s="592">
        <v>2</v>
      </c>
      <c r="E2674" s="597">
        <v>3500</v>
      </c>
      <c r="F2674" s="597">
        <v>3500</v>
      </c>
      <c r="G2674" s="597">
        <v>4500</v>
      </c>
      <c r="H2674" s="592" t="s">
        <v>1397</v>
      </c>
    </row>
    <row r="2675" spans="1:8" ht="24.75" customHeight="1" x14ac:dyDescent="0.55000000000000004">
      <c r="A2675" s="592">
        <v>2674</v>
      </c>
      <c r="B2675" s="596" t="s">
        <v>1888</v>
      </c>
      <c r="C2675" s="592" t="s">
        <v>1889</v>
      </c>
      <c r="D2675" s="592">
        <v>2</v>
      </c>
      <c r="E2675" s="597">
        <v>4000</v>
      </c>
      <c r="F2675" s="597">
        <v>4000</v>
      </c>
      <c r="G2675" s="597">
        <v>4010</v>
      </c>
      <c r="H2675" s="592" t="s">
        <v>1397</v>
      </c>
    </row>
    <row r="2676" spans="1:8" ht="24.75" customHeight="1" x14ac:dyDescent="0.55000000000000004">
      <c r="A2676" s="592">
        <v>2675</v>
      </c>
      <c r="B2676" s="596" t="s">
        <v>5285</v>
      </c>
      <c r="C2676" s="592" t="s">
        <v>5286</v>
      </c>
      <c r="D2676" s="592">
        <v>1</v>
      </c>
      <c r="E2676" s="597">
        <v>37500</v>
      </c>
      <c r="F2676" s="597">
        <v>37500</v>
      </c>
      <c r="G2676" s="597">
        <v>31500</v>
      </c>
      <c r="H2676" s="592" t="s">
        <v>1397</v>
      </c>
    </row>
    <row r="2677" spans="1:8" ht="24.75" customHeight="1" x14ac:dyDescent="0.55000000000000004">
      <c r="A2677" s="592">
        <v>2676</v>
      </c>
      <c r="B2677" s="596" t="s">
        <v>1890</v>
      </c>
      <c r="C2677" s="592" t="s">
        <v>1891</v>
      </c>
      <c r="D2677" s="592">
        <v>7</v>
      </c>
      <c r="E2677" s="597">
        <v>6500</v>
      </c>
      <c r="F2677" s="597">
        <v>6500</v>
      </c>
      <c r="G2677" s="597">
        <v>29400</v>
      </c>
      <c r="H2677" s="592" t="s">
        <v>1397</v>
      </c>
    </row>
    <row r="2678" spans="1:8" ht="24.75" customHeight="1" x14ac:dyDescent="0.55000000000000004">
      <c r="A2678" s="592">
        <v>2677</v>
      </c>
      <c r="B2678" s="596" t="s">
        <v>5287</v>
      </c>
      <c r="C2678" s="592" t="s">
        <v>5288</v>
      </c>
      <c r="D2678" s="592">
        <v>20</v>
      </c>
      <c r="E2678" s="597">
        <v>800</v>
      </c>
      <c r="F2678" s="597">
        <v>800</v>
      </c>
      <c r="G2678" s="597">
        <v>7000</v>
      </c>
      <c r="H2678" s="592" t="s">
        <v>1397</v>
      </c>
    </row>
    <row r="2679" spans="1:8" ht="24.75" customHeight="1" x14ac:dyDescent="0.55000000000000004">
      <c r="A2679" s="592">
        <v>2678</v>
      </c>
      <c r="B2679" s="596" t="s">
        <v>1892</v>
      </c>
      <c r="C2679" s="592" t="s">
        <v>6515</v>
      </c>
      <c r="D2679" s="592">
        <v>10</v>
      </c>
      <c r="E2679" s="597">
        <v>800</v>
      </c>
      <c r="F2679" s="597">
        <v>800</v>
      </c>
      <c r="G2679" s="597">
        <v>3000</v>
      </c>
      <c r="H2679" s="592" t="s">
        <v>1397</v>
      </c>
    </row>
    <row r="2680" spans="1:8" ht="24.75" customHeight="1" x14ac:dyDescent="0.55000000000000004">
      <c r="A2680" s="592">
        <v>2679</v>
      </c>
      <c r="B2680" s="596" t="s">
        <v>5289</v>
      </c>
      <c r="C2680" s="592" t="s">
        <v>5290</v>
      </c>
      <c r="D2680" s="592">
        <v>1</v>
      </c>
      <c r="E2680" s="597">
        <v>22000</v>
      </c>
      <c r="F2680" s="597">
        <v>22000</v>
      </c>
      <c r="G2680" s="597">
        <v>11500</v>
      </c>
      <c r="H2680" s="592" t="s">
        <v>1397</v>
      </c>
    </row>
    <row r="2681" spans="1:8" ht="24.75" customHeight="1" x14ac:dyDescent="0.55000000000000004">
      <c r="A2681" s="592">
        <v>2680</v>
      </c>
      <c r="B2681" s="596" t="s">
        <v>5291</v>
      </c>
      <c r="C2681" s="592" t="s">
        <v>5292</v>
      </c>
      <c r="D2681" s="592">
        <v>3</v>
      </c>
      <c r="E2681" s="597">
        <v>3400</v>
      </c>
      <c r="F2681" s="597">
        <v>3400</v>
      </c>
      <c r="G2681" s="597">
        <v>8100</v>
      </c>
      <c r="H2681" s="592" t="s">
        <v>1397</v>
      </c>
    </row>
    <row r="2682" spans="1:8" ht="24.75" customHeight="1" x14ac:dyDescent="0.55000000000000004">
      <c r="A2682" s="592">
        <v>2681</v>
      </c>
      <c r="B2682" s="596" t="s">
        <v>1893</v>
      </c>
      <c r="C2682" s="592" t="s">
        <v>1894</v>
      </c>
      <c r="D2682" s="592">
        <v>16</v>
      </c>
      <c r="E2682" s="597">
        <v>1000</v>
      </c>
      <c r="F2682" s="597">
        <v>1000</v>
      </c>
      <c r="G2682" s="597">
        <v>6400</v>
      </c>
      <c r="H2682" s="592" t="s">
        <v>1397</v>
      </c>
    </row>
    <row r="2683" spans="1:8" ht="24.75" customHeight="1" x14ac:dyDescent="0.55000000000000004">
      <c r="A2683" s="592">
        <v>2682</v>
      </c>
      <c r="B2683" s="596" t="s">
        <v>5293</v>
      </c>
      <c r="C2683" s="592" t="s">
        <v>5294</v>
      </c>
      <c r="D2683" s="592">
        <v>14</v>
      </c>
      <c r="E2683" s="597">
        <v>1000</v>
      </c>
      <c r="F2683" s="597">
        <v>1000</v>
      </c>
      <c r="G2683" s="597">
        <v>8400</v>
      </c>
      <c r="H2683" s="592" t="s">
        <v>1397</v>
      </c>
    </row>
    <row r="2684" spans="1:8" ht="24.75" customHeight="1" x14ac:dyDescent="0.55000000000000004">
      <c r="A2684" s="592">
        <v>2683</v>
      </c>
      <c r="B2684" s="596" t="s">
        <v>5295</v>
      </c>
      <c r="C2684" s="592" t="s">
        <v>7446</v>
      </c>
      <c r="D2684" s="592">
        <v>6</v>
      </c>
      <c r="E2684" s="597">
        <v>1700</v>
      </c>
      <c r="F2684" s="597">
        <v>1700</v>
      </c>
      <c r="G2684" s="597">
        <v>6960</v>
      </c>
      <c r="H2684" s="592" t="s">
        <v>1397</v>
      </c>
    </row>
    <row r="2685" spans="1:8" ht="24.75" customHeight="1" x14ac:dyDescent="0.55000000000000004">
      <c r="A2685" s="592">
        <v>2684</v>
      </c>
      <c r="B2685" s="596" t="s">
        <v>5296</v>
      </c>
      <c r="C2685" s="592" t="s">
        <v>6408</v>
      </c>
      <c r="D2685" s="592">
        <v>5</v>
      </c>
      <c r="E2685" s="597">
        <v>2000</v>
      </c>
      <c r="F2685" s="597">
        <v>2000</v>
      </c>
      <c r="G2685" s="597">
        <v>6500</v>
      </c>
      <c r="H2685" s="592" t="s">
        <v>1397</v>
      </c>
    </row>
    <row r="2686" spans="1:8" ht="24.75" customHeight="1" x14ac:dyDescent="0.55000000000000004">
      <c r="A2686" s="592">
        <v>2685</v>
      </c>
      <c r="B2686" s="596" t="s">
        <v>5297</v>
      </c>
      <c r="C2686" s="592" t="s">
        <v>6409</v>
      </c>
      <c r="D2686" s="592">
        <v>11</v>
      </c>
      <c r="E2686" s="597">
        <v>500</v>
      </c>
      <c r="F2686" s="597">
        <v>500</v>
      </c>
      <c r="G2686" s="597">
        <v>1980</v>
      </c>
      <c r="H2686" s="592" t="s">
        <v>1397</v>
      </c>
    </row>
    <row r="2687" spans="1:8" ht="24.75" customHeight="1" x14ac:dyDescent="0.55000000000000004">
      <c r="A2687" s="592">
        <v>2686</v>
      </c>
      <c r="B2687" s="596" t="s">
        <v>5298</v>
      </c>
      <c r="C2687" s="592" t="s">
        <v>5299</v>
      </c>
      <c r="D2687" s="592">
        <v>1</v>
      </c>
      <c r="E2687" s="597">
        <v>75000</v>
      </c>
      <c r="F2687" s="597">
        <v>75000</v>
      </c>
      <c r="G2687" s="597">
        <v>51342</v>
      </c>
      <c r="H2687" s="592" t="s">
        <v>1397</v>
      </c>
    </row>
    <row r="2688" spans="1:8" ht="24.75" customHeight="1" x14ac:dyDescent="0.55000000000000004">
      <c r="A2688" s="592">
        <v>2687</v>
      </c>
      <c r="B2688" s="596" t="s">
        <v>5300</v>
      </c>
      <c r="C2688" s="592" t="s">
        <v>5301</v>
      </c>
      <c r="D2688" s="592">
        <v>7</v>
      </c>
      <c r="E2688" s="597">
        <v>4500</v>
      </c>
      <c r="F2688" s="597">
        <v>4500</v>
      </c>
      <c r="G2688" s="597">
        <v>18900</v>
      </c>
      <c r="H2688" s="592" t="s">
        <v>1397</v>
      </c>
    </row>
    <row r="2689" spans="1:8" ht="24.75" customHeight="1" x14ac:dyDescent="0.55000000000000004">
      <c r="A2689" s="592">
        <v>2688</v>
      </c>
      <c r="B2689" s="596" t="s">
        <v>5302</v>
      </c>
      <c r="C2689" s="592" t="s">
        <v>5303</v>
      </c>
      <c r="D2689" s="592">
        <v>6</v>
      </c>
      <c r="E2689" s="597">
        <v>5000</v>
      </c>
      <c r="F2689" s="597">
        <v>5000</v>
      </c>
      <c r="G2689" s="597">
        <v>18000</v>
      </c>
      <c r="H2689" s="592" t="s">
        <v>1397</v>
      </c>
    </row>
    <row r="2690" spans="1:8" ht="24.75" customHeight="1" x14ac:dyDescent="0.55000000000000004">
      <c r="A2690" s="592">
        <v>2689</v>
      </c>
      <c r="B2690" s="596" t="s">
        <v>5304</v>
      </c>
      <c r="C2690" s="592" t="s">
        <v>5305</v>
      </c>
      <c r="D2690" s="592">
        <v>11</v>
      </c>
      <c r="E2690" s="597">
        <v>1200</v>
      </c>
      <c r="F2690" s="597">
        <v>1200</v>
      </c>
      <c r="G2690" s="597">
        <v>4950</v>
      </c>
      <c r="H2690" s="592" t="s">
        <v>1397</v>
      </c>
    </row>
    <row r="2691" spans="1:8" ht="24.75" customHeight="1" x14ac:dyDescent="0.55000000000000004">
      <c r="A2691" s="592">
        <v>2690</v>
      </c>
      <c r="B2691" s="596" t="s">
        <v>5306</v>
      </c>
      <c r="C2691" s="592" t="s">
        <v>5307</v>
      </c>
      <c r="D2691" s="592">
        <v>23</v>
      </c>
      <c r="E2691" s="597">
        <v>300</v>
      </c>
      <c r="F2691" s="597">
        <v>300</v>
      </c>
      <c r="G2691" s="597">
        <v>3220</v>
      </c>
      <c r="H2691" s="592" t="s">
        <v>1397</v>
      </c>
    </row>
    <row r="2692" spans="1:8" ht="24.75" customHeight="1" x14ac:dyDescent="0.55000000000000004">
      <c r="A2692" s="592">
        <v>2691</v>
      </c>
      <c r="B2692" s="596" t="s">
        <v>3046</v>
      </c>
      <c r="C2692" s="592" t="s">
        <v>6893</v>
      </c>
      <c r="D2692" s="592">
        <v>3</v>
      </c>
      <c r="E2692" s="597">
        <v>55000</v>
      </c>
      <c r="F2692" s="597">
        <v>55000</v>
      </c>
      <c r="G2692" s="597">
        <v>125700</v>
      </c>
      <c r="H2692" s="592" t="s">
        <v>1397</v>
      </c>
    </row>
    <row r="2693" spans="1:8" ht="24.75" customHeight="1" x14ac:dyDescent="0.55000000000000004">
      <c r="A2693" s="592">
        <v>2692</v>
      </c>
      <c r="B2693" s="596" t="s">
        <v>5308</v>
      </c>
      <c r="C2693" s="592" t="s">
        <v>2897</v>
      </c>
      <c r="D2693" s="592">
        <v>2</v>
      </c>
      <c r="E2693" s="597">
        <v>1500</v>
      </c>
      <c r="F2693" s="597">
        <v>1500</v>
      </c>
      <c r="G2693" s="597">
        <v>2200</v>
      </c>
      <c r="H2693" s="592" t="s">
        <v>1397</v>
      </c>
    </row>
    <row r="2694" spans="1:8" ht="24.75" customHeight="1" x14ac:dyDescent="0.55000000000000004">
      <c r="A2694" s="592">
        <v>2693</v>
      </c>
      <c r="B2694" s="596" t="s">
        <v>5309</v>
      </c>
      <c r="C2694" s="592" t="s">
        <v>5310</v>
      </c>
      <c r="D2694" s="592">
        <v>1</v>
      </c>
      <c r="E2694" s="597">
        <v>4200</v>
      </c>
      <c r="F2694" s="597">
        <v>4200</v>
      </c>
      <c r="G2694" s="597">
        <v>3000</v>
      </c>
      <c r="H2694" s="592" t="s">
        <v>1397</v>
      </c>
    </row>
    <row r="2695" spans="1:8" ht="24.75" customHeight="1" x14ac:dyDescent="0.55000000000000004">
      <c r="A2695" s="592">
        <v>2694</v>
      </c>
      <c r="B2695" s="596" t="s">
        <v>5311</v>
      </c>
      <c r="C2695" s="592" t="s">
        <v>5312</v>
      </c>
      <c r="D2695" s="592">
        <v>3</v>
      </c>
      <c r="E2695" s="597">
        <v>6000</v>
      </c>
      <c r="F2695" s="597">
        <v>6000</v>
      </c>
      <c r="G2695" s="597">
        <v>12750</v>
      </c>
      <c r="H2695" s="592" t="s">
        <v>1397</v>
      </c>
    </row>
    <row r="2696" spans="1:8" ht="24.75" customHeight="1" x14ac:dyDescent="0.55000000000000004">
      <c r="A2696" s="592">
        <v>2695</v>
      </c>
      <c r="B2696" s="596" t="s">
        <v>5313</v>
      </c>
      <c r="C2696" s="592" t="s">
        <v>7826</v>
      </c>
      <c r="D2696" s="592">
        <v>3</v>
      </c>
      <c r="E2696" s="597">
        <v>5500</v>
      </c>
      <c r="F2696" s="597">
        <v>5500</v>
      </c>
      <c r="G2696" s="597">
        <v>8850</v>
      </c>
      <c r="H2696" s="592" t="s">
        <v>1397</v>
      </c>
    </row>
    <row r="2697" spans="1:8" ht="24.75" customHeight="1" x14ac:dyDescent="0.55000000000000004">
      <c r="A2697" s="592">
        <v>2696</v>
      </c>
      <c r="B2697" s="596" t="s">
        <v>7192</v>
      </c>
      <c r="C2697" s="592" t="s">
        <v>8485</v>
      </c>
      <c r="D2697" s="592">
        <v>4</v>
      </c>
      <c r="E2697" s="597">
        <v>8000</v>
      </c>
      <c r="F2697" s="597">
        <v>8000</v>
      </c>
      <c r="G2697" s="597">
        <v>26800</v>
      </c>
      <c r="H2697" s="592" t="s">
        <v>1397</v>
      </c>
    </row>
    <row r="2698" spans="1:8" ht="24.75" customHeight="1" x14ac:dyDescent="0.55000000000000004">
      <c r="A2698" s="592">
        <v>2697</v>
      </c>
      <c r="B2698" s="596" t="s">
        <v>5314</v>
      </c>
      <c r="C2698" s="592" t="s">
        <v>5315</v>
      </c>
      <c r="D2698" s="592">
        <v>2</v>
      </c>
      <c r="E2698" s="597">
        <v>6000</v>
      </c>
      <c r="F2698" s="597">
        <v>6000</v>
      </c>
      <c r="G2698" s="597">
        <v>5000</v>
      </c>
      <c r="H2698" s="592" t="s">
        <v>1397</v>
      </c>
    </row>
    <row r="2699" spans="1:8" ht="24.75" customHeight="1" x14ac:dyDescent="0.55000000000000004">
      <c r="A2699" s="592">
        <v>2698</v>
      </c>
      <c r="B2699" s="596" t="s">
        <v>5316</v>
      </c>
      <c r="C2699" s="592" t="s">
        <v>5317</v>
      </c>
      <c r="D2699" s="592">
        <v>1</v>
      </c>
      <c r="E2699" s="597">
        <v>1500</v>
      </c>
      <c r="F2699" s="597">
        <v>1500</v>
      </c>
      <c r="G2699" s="597">
        <v>1150</v>
      </c>
      <c r="H2699" s="592" t="s">
        <v>1397</v>
      </c>
    </row>
    <row r="2700" spans="1:8" ht="24.75" customHeight="1" x14ac:dyDescent="0.55000000000000004">
      <c r="A2700" s="592">
        <v>2699</v>
      </c>
      <c r="B2700" s="596" t="s">
        <v>3190</v>
      </c>
      <c r="C2700" s="592" t="s">
        <v>3191</v>
      </c>
      <c r="D2700" s="592">
        <v>2</v>
      </c>
      <c r="E2700" s="597">
        <v>430000</v>
      </c>
      <c r="F2700" s="597">
        <v>430000</v>
      </c>
      <c r="G2700" s="597">
        <v>790000</v>
      </c>
      <c r="H2700" s="592" t="s">
        <v>1397</v>
      </c>
    </row>
    <row r="2701" spans="1:8" ht="24.75" customHeight="1" x14ac:dyDescent="0.55000000000000004">
      <c r="A2701" s="592">
        <v>2700</v>
      </c>
      <c r="B2701" s="596" t="s">
        <v>5318</v>
      </c>
      <c r="C2701" s="592" t="s">
        <v>5319</v>
      </c>
      <c r="D2701" s="592">
        <v>4</v>
      </c>
      <c r="E2701" s="597">
        <v>4500</v>
      </c>
      <c r="F2701" s="597">
        <v>4500</v>
      </c>
      <c r="G2701" s="597">
        <v>13200</v>
      </c>
      <c r="H2701" s="592" t="s">
        <v>1397</v>
      </c>
    </row>
    <row r="2702" spans="1:8" ht="24.75" customHeight="1" x14ac:dyDescent="0.55000000000000004">
      <c r="A2702" s="592">
        <v>2701</v>
      </c>
      <c r="B2702" s="596" t="s">
        <v>5320</v>
      </c>
      <c r="C2702" s="592" t="s">
        <v>5321</v>
      </c>
      <c r="D2702" s="592">
        <v>1</v>
      </c>
      <c r="E2702" s="597">
        <v>6500</v>
      </c>
      <c r="F2702" s="597">
        <v>6500</v>
      </c>
      <c r="G2702" s="597">
        <v>4000</v>
      </c>
      <c r="H2702" s="592" t="s">
        <v>1397</v>
      </c>
    </row>
    <row r="2703" spans="1:8" ht="24.75" customHeight="1" x14ac:dyDescent="0.55000000000000004">
      <c r="A2703" s="592">
        <v>2702</v>
      </c>
      <c r="B2703" s="596" t="s">
        <v>5322</v>
      </c>
      <c r="C2703" s="592" t="s">
        <v>5323</v>
      </c>
      <c r="D2703" s="592">
        <v>10</v>
      </c>
      <c r="E2703" s="597">
        <v>3000</v>
      </c>
      <c r="F2703" s="597">
        <v>3000</v>
      </c>
      <c r="G2703" s="597">
        <v>25000</v>
      </c>
      <c r="H2703" s="592" t="s">
        <v>1397</v>
      </c>
    </row>
    <row r="2704" spans="1:8" ht="24.75" customHeight="1" x14ac:dyDescent="0.55000000000000004">
      <c r="A2704" s="592">
        <v>2703</v>
      </c>
      <c r="B2704" s="596" t="s">
        <v>5324</v>
      </c>
      <c r="C2704" s="592" t="s">
        <v>5325</v>
      </c>
      <c r="D2704" s="592">
        <v>3</v>
      </c>
      <c r="E2704" s="597">
        <v>1000</v>
      </c>
      <c r="F2704" s="597">
        <v>1000</v>
      </c>
      <c r="G2704" s="597">
        <v>2100</v>
      </c>
      <c r="H2704" s="592" t="s">
        <v>1397</v>
      </c>
    </row>
    <row r="2705" spans="1:8" ht="24.75" customHeight="1" x14ac:dyDescent="0.55000000000000004">
      <c r="A2705" s="592">
        <v>2704</v>
      </c>
      <c r="B2705" s="596" t="s">
        <v>5326</v>
      </c>
      <c r="C2705" s="592" t="s">
        <v>5327</v>
      </c>
      <c r="D2705" s="592">
        <v>5</v>
      </c>
      <c r="E2705" s="597">
        <v>700</v>
      </c>
      <c r="F2705" s="597">
        <v>700</v>
      </c>
      <c r="G2705" s="597">
        <v>1750</v>
      </c>
      <c r="H2705" s="592" t="s">
        <v>1397</v>
      </c>
    </row>
    <row r="2706" spans="1:8" ht="24.75" customHeight="1" x14ac:dyDescent="0.55000000000000004">
      <c r="A2706" s="592">
        <v>2705</v>
      </c>
      <c r="B2706" s="596" t="s">
        <v>5328</v>
      </c>
      <c r="C2706" s="592" t="s">
        <v>5329</v>
      </c>
      <c r="D2706" s="592">
        <v>7</v>
      </c>
      <c r="E2706" s="597">
        <v>900</v>
      </c>
      <c r="F2706" s="597">
        <v>900</v>
      </c>
      <c r="G2706" s="597">
        <v>2800</v>
      </c>
      <c r="H2706" s="592" t="s">
        <v>1397</v>
      </c>
    </row>
    <row r="2707" spans="1:8" ht="24.75" customHeight="1" x14ac:dyDescent="0.55000000000000004">
      <c r="A2707" s="592">
        <v>2706</v>
      </c>
      <c r="B2707" s="596" t="s">
        <v>5330</v>
      </c>
      <c r="C2707" s="592" t="s">
        <v>5331</v>
      </c>
      <c r="D2707" s="592">
        <v>2</v>
      </c>
      <c r="E2707" s="597">
        <v>14500</v>
      </c>
      <c r="F2707" s="597">
        <v>14500</v>
      </c>
      <c r="G2707" s="597">
        <v>18600</v>
      </c>
      <c r="H2707" s="592" t="s">
        <v>1397</v>
      </c>
    </row>
    <row r="2708" spans="1:8" ht="24.75" customHeight="1" x14ac:dyDescent="0.55000000000000004">
      <c r="A2708" s="592">
        <v>2707</v>
      </c>
      <c r="B2708" s="596" t="s">
        <v>5332</v>
      </c>
      <c r="C2708" s="592" t="s">
        <v>5333</v>
      </c>
      <c r="D2708" s="592">
        <v>1</v>
      </c>
      <c r="E2708" s="597">
        <v>2000</v>
      </c>
      <c r="F2708" s="597">
        <v>2000</v>
      </c>
      <c r="G2708" s="597">
        <v>1600</v>
      </c>
      <c r="H2708" s="592" t="s">
        <v>1397</v>
      </c>
    </row>
    <row r="2709" spans="1:8" ht="24.75" customHeight="1" x14ac:dyDescent="0.55000000000000004">
      <c r="A2709" s="592">
        <v>2708</v>
      </c>
      <c r="B2709" s="596" t="s">
        <v>6772</v>
      </c>
      <c r="C2709" s="592" t="s">
        <v>6773</v>
      </c>
      <c r="D2709" s="592">
        <v>1</v>
      </c>
      <c r="E2709" s="597">
        <v>4500</v>
      </c>
      <c r="F2709" s="597">
        <v>4500</v>
      </c>
      <c r="G2709" s="597">
        <v>2800</v>
      </c>
      <c r="H2709" s="592" t="s">
        <v>1397</v>
      </c>
    </row>
    <row r="2710" spans="1:8" ht="24.75" customHeight="1" x14ac:dyDescent="0.55000000000000004">
      <c r="A2710" s="592">
        <v>2709</v>
      </c>
      <c r="B2710" s="596" t="s">
        <v>5334</v>
      </c>
      <c r="C2710" s="592" t="s">
        <v>5335</v>
      </c>
      <c r="D2710" s="592">
        <v>21</v>
      </c>
      <c r="E2710" s="597">
        <v>700</v>
      </c>
      <c r="F2710" s="597">
        <v>700</v>
      </c>
      <c r="G2710" s="597">
        <v>6468</v>
      </c>
      <c r="H2710" s="592" t="s">
        <v>1397</v>
      </c>
    </row>
    <row r="2711" spans="1:8" ht="24.75" customHeight="1" x14ac:dyDescent="0.55000000000000004">
      <c r="A2711" s="592">
        <v>2710</v>
      </c>
      <c r="B2711" s="596" t="s">
        <v>1895</v>
      </c>
      <c r="C2711" s="592" t="s">
        <v>1896</v>
      </c>
      <c r="D2711" s="592">
        <v>164</v>
      </c>
      <c r="E2711" s="597">
        <v>2600</v>
      </c>
      <c r="F2711" s="597">
        <v>2600</v>
      </c>
      <c r="G2711" s="597">
        <v>401800</v>
      </c>
      <c r="H2711" s="592" t="s">
        <v>1397</v>
      </c>
    </row>
    <row r="2712" spans="1:8" ht="24.75" customHeight="1" x14ac:dyDescent="0.55000000000000004">
      <c r="A2712" s="592">
        <v>2711</v>
      </c>
      <c r="B2712" s="596" t="s">
        <v>5336</v>
      </c>
      <c r="C2712" s="592" t="s">
        <v>5337</v>
      </c>
      <c r="D2712" s="592">
        <v>5</v>
      </c>
      <c r="E2712" s="597">
        <v>2000</v>
      </c>
      <c r="F2712" s="597">
        <v>2000</v>
      </c>
      <c r="G2712" s="597">
        <v>8250</v>
      </c>
      <c r="H2712" s="592" t="s">
        <v>1397</v>
      </c>
    </row>
    <row r="2713" spans="1:8" ht="24.75" customHeight="1" x14ac:dyDescent="0.55000000000000004">
      <c r="A2713" s="592">
        <v>2712</v>
      </c>
      <c r="B2713" s="596" t="s">
        <v>5338</v>
      </c>
      <c r="C2713" s="592" t="s">
        <v>5339</v>
      </c>
      <c r="D2713" s="592">
        <v>6</v>
      </c>
      <c r="E2713" s="597">
        <v>500</v>
      </c>
      <c r="F2713" s="597">
        <v>500</v>
      </c>
      <c r="G2713" s="597">
        <v>1200</v>
      </c>
      <c r="H2713" s="592" t="s">
        <v>1397</v>
      </c>
    </row>
    <row r="2714" spans="1:8" ht="24.75" customHeight="1" x14ac:dyDescent="0.55000000000000004">
      <c r="A2714" s="592">
        <v>2713</v>
      </c>
      <c r="B2714" s="596" t="s">
        <v>5340</v>
      </c>
      <c r="C2714" s="592" t="s">
        <v>5341</v>
      </c>
      <c r="D2714" s="592">
        <v>4</v>
      </c>
      <c r="E2714" s="597">
        <v>2000</v>
      </c>
      <c r="F2714" s="597">
        <v>2000</v>
      </c>
      <c r="G2714" s="597">
        <v>6680</v>
      </c>
      <c r="H2714" s="592" t="s">
        <v>1397</v>
      </c>
    </row>
    <row r="2715" spans="1:8" ht="24.75" customHeight="1" x14ac:dyDescent="0.55000000000000004">
      <c r="A2715" s="592">
        <v>2714</v>
      </c>
      <c r="B2715" s="596" t="s">
        <v>5342</v>
      </c>
      <c r="C2715" s="592" t="s">
        <v>5343</v>
      </c>
      <c r="D2715" s="592">
        <v>4</v>
      </c>
      <c r="E2715" s="597">
        <v>3500</v>
      </c>
      <c r="F2715" s="597">
        <v>3500</v>
      </c>
      <c r="G2715" s="597">
        <v>10000</v>
      </c>
      <c r="H2715" s="592" t="s">
        <v>1397</v>
      </c>
    </row>
    <row r="2716" spans="1:8" ht="24.75" customHeight="1" x14ac:dyDescent="0.55000000000000004">
      <c r="A2716" s="592">
        <v>2715</v>
      </c>
      <c r="B2716" s="596" t="s">
        <v>5344</v>
      </c>
      <c r="C2716" s="592" t="s">
        <v>5345</v>
      </c>
      <c r="D2716" s="592">
        <v>1</v>
      </c>
      <c r="E2716" s="597">
        <v>5200</v>
      </c>
      <c r="F2716" s="597">
        <v>5200</v>
      </c>
      <c r="G2716" s="597">
        <v>4000</v>
      </c>
      <c r="H2716" s="592" t="s">
        <v>1397</v>
      </c>
    </row>
    <row r="2717" spans="1:8" ht="24.75" customHeight="1" x14ac:dyDescent="0.55000000000000004">
      <c r="A2717" s="592">
        <v>2716</v>
      </c>
      <c r="B2717" s="596" t="s">
        <v>5346</v>
      </c>
      <c r="C2717" s="592" t="s">
        <v>5347</v>
      </c>
      <c r="D2717" s="592">
        <v>5</v>
      </c>
      <c r="E2717" s="597">
        <v>1800</v>
      </c>
      <c r="F2717" s="597">
        <v>1800</v>
      </c>
      <c r="G2717" s="597">
        <v>5000</v>
      </c>
      <c r="H2717" s="592" t="s">
        <v>1397</v>
      </c>
    </row>
    <row r="2718" spans="1:8" ht="24.75" customHeight="1" x14ac:dyDescent="0.55000000000000004">
      <c r="A2718" s="592">
        <v>2717</v>
      </c>
      <c r="B2718" s="596" t="s">
        <v>5350</v>
      </c>
      <c r="C2718" s="592" t="s">
        <v>5351</v>
      </c>
      <c r="D2718" s="592">
        <v>10</v>
      </c>
      <c r="E2718" s="597">
        <v>4500</v>
      </c>
      <c r="F2718" s="597">
        <v>4500</v>
      </c>
      <c r="G2718" s="597">
        <v>25000</v>
      </c>
      <c r="H2718" s="592" t="s">
        <v>1397</v>
      </c>
    </row>
    <row r="2719" spans="1:8" ht="24.75" customHeight="1" x14ac:dyDescent="0.55000000000000004">
      <c r="A2719" s="592">
        <v>2718</v>
      </c>
      <c r="B2719" s="596" t="s">
        <v>5352</v>
      </c>
      <c r="C2719" s="592" t="s">
        <v>7447</v>
      </c>
      <c r="D2719" s="592">
        <v>16</v>
      </c>
      <c r="E2719" s="597">
        <v>1000</v>
      </c>
      <c r="F2719" s="597">
        <v>1000</v>
      </c>
      <c r="G2719" s="597">
        <v>7200</v>
      </c>
      <c r="H2719" s="592" t="s">
        <v>1397</v>
      </c>
    </row>
    <row r="2720" spans="1:8" ht="24.75" customHeight="1" x14ac:dyDescent="0.55000000000000004">
      <c r="A2720" s="592">
        <v>2719</v>
      </c>
      <c r="B2720" s="596" t="s">
        <v>1897</v>
      </c>
      <c r="C2720" s="592" t="s">
        <v>8340</v>
      </c>
      <c r="D2720" s="592">
        <v>2</v>
      </c>
      <c r="E2720" s="597">
        <v>3800</v>
      </c>
      <c r="F2720" s="597">
        <v>3800</v>
      </c>
      <c r="G2720" s="597">
        <v>5100</v>
      </c>
      <c r="H2720" s="592" t="s">
        <v>1397</v>
      </c>
    </row>
    <row r="2721" spans="1:8" ht="24.75" customHeight="1" x14ac:dyDescent="0.55000000000000004">
      <c r="A2721" s="592">
        <v>2720</v>
      </c>
      <c r="B2721" s="596" t="s">
        <v>6618</v>
      </c>
      <c r="C2721" s="592" t="s">
        <v>7193</v>
      </c>
      <c r="D2721" s="592">
        <v>7</v>
      </c>
      <c r="E2721" s="597">
        <v>800</v>
      </c>
      <c r="F2721" s="597">
        <v>800</v>
      </c>
      <c r="G2721" s="597">
        <v>4200</v>
      </c>
      <c r="H2721" s="592" t="s">
        <v>1397</v>
      </c>
    </row>
    <row r="2722" spans="1:8" ht="24.75" customHeight="1" x14ac:dyDescent="0.55000000000000004">
      <c r="A2722" s="592">
        <v>2721</v>
      </c>
      <c r="B2722" s="596" t="s">
        <v>1898</v>
      </c>
      <c r="C2722" s="592" t="s">
        <v>1899</v>
      </c>
      <c r="D2722" s="592">
        <v>18</v>
      </c>
      <c r="E2722" s="597">
        <v>200</v>
      </c>
      <c r="F2722" s="597">
        <v>200</v>
      </c>
      <c r="G2722" s="597">
        <v>2700</v>
      </c>
      <c r="H2722" s="592" t="s">
        <v>1397</v>
      </c>
    </row>
    <row r="2723" spans="1:8" ht="24.75" customHeight="1" x14ac:dyDescent="0.55000000000000004">
      <c r="A2723" s="592">
        <v>2722</v>
      </c>
      <c r="B2723" s="596" t="s">
        <v>5353</v>
      </c>
      <c r="C2723" s="592" t="s">
        <v>5354</v>
      </c>
      <c r="D2723" s="592">
        <v>2</v>
      </c>
      <c r="E2723" s="597">
        <v>9000</v>
      </c>
      <c r="F2723" s="597">
        <v>9000</v>
      </c>
      <c r="G2723" s="597">
        <v>11000</v>
      </c>
      <c r="H2723" s="592" t="s">
        <v>1397</v>
      </c>
    </row>
    <row r="2724" spans="1:8" ht="24.75" customHeight="1" x14ac:dyDescent="0.55000000000000004">
      <c r="A2724" s="592">
        <v>2723</v>
      </c>
      <c r="B2724" s="596" t="s">
        <v>1900</v>
      </c>
      <c r="C2724" s="592" t="s">
        <v>7448</v>
      </c>
      <c r="D2724" s="592">
        <v>30</v>
      </c>
      <c r="E2724" s="597">
        <v>700</v>
      </c>
      <c r="F2724" s="597">
        <v>700</v>
      </c>
      <c r="G2724" s="597">
        <v>15000</v>
      </c>
      <c r="H2724" s="592" t="s">
        <v>1397</v>
      </c>
    </row>
    <row r="2725" spans="1:8" ht="24.75" customHeight="1" x14ac:dyDescent="0.55000000000000004">
      <c r="A2725" s="592">
        <v>2724</v>
      </c>
      <c r="B2725" s="596" t="s">
        <v>8171</v>
      </c>
      <c r="C2725" s="592" t="s">
        <v>8172</v>
      </c>
      <c r="D2725" s="592">
        <v>1</v>
      </c>
      <c r="E2725" s="597">
        <v>43000</v>
      </c>
      <c r="F2725" s="597">
        <v>43000</v>
      </c>
      <c r="G2725" s="597">
        <v>34000</v>
      </c>
      <c r="H2725" s="592" t="s">
        <v>1397</v>
      </c>
    </row>
    <row r="2726" spans="1:8" ht="24.75" customHeight="1" x14ac:dyDescent="0.55000000000000004">
      <c r="A2726" s="592">
        <v>2725</v>
      </c>
      <c r="B2726" s="596" t="s">
        <v>5355</v>
      </c>
      <c r="C2726" s="592" t="s">
        <v>5356</v>
      </c>
      <c r="D2726" s="592">
        <v>5</v>
      </c>
      <c r="E2726" s="597">
        <v>9000</v>
      </c>
      <c r="F2726" s="597">
        <v>9000</v>
      </c>
      <c r="G2726" s="597">
        <v>32500</v>
      </c>
      <c r="H2726" s="592" t="s">
        <v>1397</v>
      </c>
    </row>
    <row r="2727" spans="1:8" ht="24.75" customHeight="1" x14ac:dyDescent="0.55000000000000004">
      <c r="A2727" s="592">
        <v>2726</v>
      </c>
      <c r="B2727" s="596" t="s">
        <v>5357</v>
      </c>
      <c r="C2727" s="592" t="s">
        <v>7827</v>
      </c>
      <c r="D2727" s="592">
        <v>7</v>
      </c>
      <c r="E2727" s="597">
        <v>500</v>
      </c>
      <c r="F2727" s="597">
        <v>500</v>
      </c>
      <c r="G2727" s="597">
        <v>1470</v>
      </c>
      <c r="H2727" s="592" t="s">
        <v>1397</v>
      </c>
    </row>
    <row r="2728" spans="1:8" ht="24.75" customHeight="1" x14ac:dyDescent="0.55000000000000004">
      <c r="A2728" s="592">
        <v>2727</v>
      </c>
      <c r="B2728" s="596" t="s">
        <v>5358</v>
      </c>
      <c r="C2728" s="592" t="s">
        <v>5359</v>
      </c>
      <c r="D2728" s="592">
        <v>4</v>
      </c>
      <c r="E2728" s="597">
        <v>2000</v>
      </c>
      <c r="F2728" s="597">
        <v>2000</v>
      </c>
      <c r="G2728" s="597">
        <v>3556</v>
      </c>
      <c r="H2728" s="592" t="s">
        <v>1397</v>
      </c>
    </row>
    <row r="2729" spans="1:8" ht="24.75" customHeight="1" x14ac:dyDescent="0.55000000000000004">
      <c r="A2729" s="592">
        <v>2728</v>
      </c>
      <c r="B2729" s="596" t="s">
        <v>5360</v>
      </c>
      <c r="C2729" s="592" t="s">
        <v>5361</v>
      </c>
      <c r="D2729" s="592">
        <v>1</v>
      </c>
      <c r="E2729" s="597">
        <v>18000</v>
      </c>
      <c r="F2729" s="597">
        <v>18000</v>
      </c>
      <c r="G2729" s="597">
        <v>9000</v>
      </c>
      <c r="H2729" s="592" t="s">
        <v>1397</v>
      </c>
    </row>
    <row r="2730" spans="1:8" ht="24.75" customHeight="1" x14ac:dyDescent="0.55000000000000004">
      <c r="A2730" s="592">
        <v>2729</v>
      </c>
      <c r="B2730" s="596" t="s">
        <v>6894</v>
      </c>
      <c r="C2730" s="592" t="s">
        <v>6807</v>
      </c>
      <c r="D2730" s="592">
        <v>10</v>
      </c>
      <c r="E2730" s="597">
        <v>6500</v>
      </c>
      <c r="F2730" s="597">
        <v>6500</v>
      </c>
      <c r="G2730" s="597">
        <v>50000</v>
      </c>
      <c r="H2730" s="592" t="s">
        <v>1397</v>
      </c>
    </row>
    <row r="2731" spans="1:8" ht="24.75" customHeight="1" x14ac:dyDescent="0.55000000000000004">
      <c r="A2731" s="592">
        <v>2730</v>
      </c>
      <c r="B2731" s="596" t="s">
        <v>5362</v>
      </c>
      <c r="C2731" s="592" t="s">
        <v>8173</v>
      </c>
      <c r="D2731" s="592">
        <v>1</v>
      </c>
      <c r="E2731" s="597">
        <v>62400</v>
      </c>
      <c r="F2731" s="597">
        <v>62400</v>
      </c>
      <c r="G2731" s="597">
        <v>45000</v>
      </c>
      <c r="H2731" s="592" t="s">
        <v>1397</v>
      </c>
    </row>
    <row r="2732" spans="1:8" ht="24.75" customHeight="1" x14ac:dyDescent="0.55000000000000004">
      <c r="A2732" s="592">
        <v>2731</v>
      </c>
      <c r="B2732" s="596" t="s">
        <v>1901</v>
      </c>
      <c r="C2732" s="592" t="s">
        <v>1902</v>
      </c>
      <c r="D2732" s="592">
        <v>5</v>
      </c>
      <c r="E2732" s="597">
        <v>1800</v>
      </c>
      <c r="F2732" s="597">
        <v>1800</v>
      </c>
      <c r="G2732" s="597">
        <v>6600</v>
      </c>
      <c r="H2732" s="592" t="s">
        <v>1397</v>
      </c>
    </row>
    <row r="2733" spans="1:8" ht="24.75" customHeight="1" x14ac:dyDescent="0.55000000000000004">
      <c r="A2733" s="592">
        <v>2732</v>
      </c>
      <c r="B2733" s="596" t="s">
        <v>5363</v>
      </c>
      <c r="C2733" s="592" t="s">
        <v>5364</v>
      </c>
      <c r="D2733" s="592">
        <v>5</v>
      </c>
      <c r="E2733" s="597">
        <v>1000</v>
      </c>
      <c r="F2733" s="597">
        <v>1000</v>
      </c>
      <c r="G2733" s="597">
        <v>2250</v>
      </c>
      <c r="H2733" s="592" t="s">
        <v>1397</v>
      </c>
    </row>
    <row r="2734" spans="1:8" ht="24.75" customHeight="1" x14ac:dyDescent="0.55000000000000004">
      <c r="A2734" s="592">
        <v>2733</v>
      </c>
      <c r="B2734" s="596" t="s">
        <v>1903</v>
      </c>
      <c r="C2734" s="592" t="s">
        <v>7449</v>
      </c>
      <c r="D2734" s="592">
        <v>17</v>
      </c>
      <c r="E2734" s="597">
        <v>500</v>
      </c>
      <c r="F2734" s="597">
        <v>500</v>
      </c>
      <c r="G2734" s="597">
        <v>2465</v>
      </c>
      <c r="H2734" s="592" t="s">
        <v>1397</v>
      </c>
    </row>
    <row r="2735" spans="1:8" ht="24.75" customHeight="1" x14ac:dyDescent="0.55000000000000004">
      <c r="A2735" s="592">
        <v>2734</v>
      </c>
      <c r="B2735" s="596" t="s">
        <v>1904</v>
      </c>
      <c r="C2735" s="592" t="s">
        <v>1905</v>
      </c>
      <c r="D2735" s="592">
        <v>40</v>
      </c>
      <c r="E2735" s="597">
        <v>600</v>
      </c>
      <c r="F2735" s="597">
        <v>600</v>
      </c>
      <c r="G2735" s="597">
        <v>18000</v>
      </c>
      <c r="H2735" s="592" t="s">
        <v>1397</v>
      </c>
    </row>
    <row r="2736" spans="1:8" ht="24.75" customHeight="1" x14ac:dyDescent="0.55000000000000004">
      <c r="A2736" s="592">
        <v>2735</v>
      </c>
      <c r="B2736" s="596" t="s">
        <v>5365</v>
      </c>
      <c r="C2736" s="592" t="s">
        <v>5366</v>
      </c>
      <c r="D2736" s="592">
        <v>3</v>
      </c>
      <c r="E2736" s="597">
        <v>18000</v>
      </c>
      <c r="F2736" s="597">
        <v>18000</v>
      </c>
      <c r="G2736" s="597">
        <v>38367</v>
      </c>
      <c r="H2736" s="592" t="s">
        <v>1397</v>
      </c>
    </row>
    <row r="2737" spans="1:8" ht="24.75" customHeight="1" x14ac:dyDescent="0.55000000000000004">
      <c r="A2737" s="592">
        <v>2736</v>
      </c>
      <c r="B2737" s="596" t="s">
        <v>5367</v>
      </c>
      <c r="C2737" s="592" t="s">
        <v>5368</v>
      </c>
      <c r="D2737" s="592">
        <v>5</v>
      </c>
      <c r="E2737" s="597">
        <v>7500</v>
      </c>
      <c r="F2737" s="597">
        <v>7500</v>
      </c>
      <c r="G2737" s="597">
        <v>22500</v>
      </c>
      <c r="H2737" s="592" t="s">
        <v>1397</v>
      </c>
    </row>
    <row r="2738" spans="1:8" ht="24.75" customHeight="1" x14ac:dyDescent="0.55000000000000004">
      <c r="A2738" s="592">
        <v>2737</v>
      </c>
      <c r="B2738" s="596" t="s">
        <v>1906</v>
      </c>
      <c r="C2738" s="592" t="s">
        <v>1907</v>
      </c>
      <c r="D2738" s="592">
        <v>16</v>
      </c>
      <c r="E2738" s="597">
        <v>1400</v>
      </c>
      <c r="F2738" s="597">
        <v>1400</v>
      </c>
      <c r="G2738" s="597">
        <v>13344</v>
      </c>
      <c r="H2738" s="592" t="s">
        <v>1397</v>
      </c>
    </row>
    <row r="2739" spans="1:8" ht="24.75" customHeight="1" x14ac:dyDescent="0.55000000000000004">
      <c r="A2739" s="592">
        <v>2738</v>
      </c>
      <c r="B2739" s="596" t="s">
        <v>5369</v>
      </c>
      <c r="C2739" s="592" t="s">
        <v>5370</v>
      </c>
      <c r="D2739" s="592">
        <v>5</v>
      </c>
      <c r="E2739" s="597">
        <v>1000</v>
      </c>
      <c r="F2739" s="597">
        <v>1000</v>
      </c>
      <c r="G2739" s="597">
        <v>1950</v>
      </c>
      <c r="H2739" s="592" t="s">
        <v>1397</v>
      </c>
    </row>
    <row r="2740" spans="1:8" ht="24.75" customHeight="1" x14ac:dyDescent="0.55000000000000004">
      <c r="A2740" s="592">
        <v>2739</v>
      </c>
      <c r="B2740" s="596" t="s">
        <v>5371</v>
      </c>
      <c r="C2740" s="592" t="s">
        <v>5372</v>
      </c>
      <c r="D2740" s="592">
        <v>9</v>
      </c>
      <c r="E2740" s="597">
        <v>1500</v>
      </c>
      <c r="F2740" s="597">
        <v>1500</v>
      </c>
      <c r="G2740" s="597">
        <v>10800</v>
      </c>
      <c r="H2740" s="592" t="s">
        <v>1397</v>
      </c>
    </row>
    <row r="2741" spans="1:8" ht="24.75" customHeight="1" x14ac:dyDescent="0.55000000000000004">
      <c r="A2741" s="592">
        <v>2740</v>
      </c>
      <c r="B2741" s="596" t="s">
        <v>5373</v>
      </c>
      <c r="C2741" s="592" t="s">
        <v>5374</v>
      </c>
      <c r="D2741" s="592">
        <v>4</v>
      </c>
      <c r="E2741" s="597">
        <v>1300</v>
      </c>
      <c r="F2741" s="597">
        <v>1300</v>
      </c>
      <c r="G2741" s="597">
        <v>3600</v>
      </c>
      <c r="H2741" s="592" t="s">
        <v>1397</v>
      </c>
    </row>
    <row r="2742" spans="1:8" ht="24.75" customHeight="1" x14ac:dyDescent="0.55000000000000004">
      <c r="A2742" s="592">
        <v>2741</v>
      </c>
      <c r="B2742" s="596" t="s">
        <v>1908</v>
      </c>
      <c r="C2742" s="592" t="s">
        <v>1909</v>
      </c>
      <c r="D2742" s="592">
        <v>4</v>
      </c>
      <c r="E2742" s="597">
        <v>7000</v>
      </c>
      <c r="F2742" s="597">
        <v>7000</v>
      </c>
      <c r="G2742" s="597">
        <v>16400</v>
      </c>
      <c r="H2742" s="592" t="s">
        <v>1397</v>
      </c>
    </row>
    <row r="2743" spans="1:8" ht="24.75" customHeight="1" x14ac:dyDescent="0.55000000000000004">
      <c r="A2743" s="592">
        <v>2742</v>
      </c>
      <c r="B2743" s="596" t="s">
        <v>3192</v>
      </c>
      <c r="C2743" s="592" t="s">
        <v>3193</v>
      </c>
      <c r="D2743" s="592">
        <v>3</v>
      </c>
      <c r="E2743" s="597">
        <v>9500</v>
      </c>
      <c r="F2743" s="597">
        <v>9500</v>
      </c>
      <c r="G2743" s="597">
        <v>15000</v>
      </c>
      <c r="H2743" s="592" t="s">
        <v>1397</v>
      </c>
    </row>
    <row r="2744" spans="1:8" ht="24.75" customHeight="1" x14ac:dyDescent="0.55000000000000004">
      <c r="A2744" s="592">
        <v>2743</v>
      </c>
      <c r="B2744" s="596" t="s">
        <v>3176</v>
      </c>
      <c r="C2744" s="592" t="s">
        <v>3177</v>
      </c>
      <c r="D2744" s="592">
        <v>9</v>
      </c>
      <c r="E2744" s="597">
        <v>4500</v>
      </c>
      <c r="F2744" s="597">
        <v>4500</v>
      </c>
      <c r="G2744" s="597">
        <v>21285</v>
      </c>
      <c r="H2744" s="592" t="s">
        <v>1397</v>
      </c>
    </row>
    <row r="2745" spans="1:8" ht="24.75" customHeight="1" x14ac:dyDescent="0.55000000000000004">
      <c r="A2745" s="592">
        <v>2744</v>
      </c>
      <c r="B2745" s="596" t="s">
        <v>5375</v>
      </c>
      <c r="C2745" s="592" t="s">
        <v>5376</v>
      </c>
      <c r="D2745" s="592">
        <v>4</v>
      </c>
      <c r="E2745" s="597">
        <v>7200</v>
      </c>
      <c r="F2745" s="597">
        <v>7200</v>
      </c>
      <c r="G2745" s="597">
        <v>13800</v>
      </c>
      <c r="H2745" s="592" t="s">
        <v>1397</v>
      </c>
    </row>
    <row r="2746" spans="1:8" ht="24.75" customHeight="1" x14ac:dyDescent="0.55000000000000004">
      <c r="A2746" s="592">
        <v>2745</v>
      </c>
      <c r="B2746" s="596" t="s">
        <v>1911</v>
      </c>
      <c r="C2746" s="592" t="s">
        <v>1912</v>
      </c>
      <c r="D2746" s="592">
        <v>6</v>
      </c>
      <c r="E2746" s="597">
        <v>23500</v>
      </c>
      <c r="F2746" s="597">
        <v>23500</v>
      </c>
      <c r="G2746" s="597">
        <v>111000</v>
      </c>
      <c r="H2746" s="592" t="s">
        <v>1397</v>
      </c>
    </row>
    <row r="2747" spans="1:8" ht="24.75" customHeight="1" x14ac:dyDescent="0.55000000000000004">
      <c r="A2747" s="592">
        <v>2746</v>
      </c>
      <c r="B2747" s="596" t="s">
        <v>6895</v>
      </c>
      <c r="C2747" s="592" t="s">
        <v>6896</v>
      </c>
      <c r="D2747" s="592">
        <v>4</v>
      </c>
      <c r="E2747" s="597">
        <v>3000</v>
      </c>
      <c r="F2747" s="597">
        <v>3000</v>
      </c>
      <c r="G2747" s="597">
        <v>7200</v>
      </c>
      <c r="H2747" s="592" t="s">
        <v>1397</v>
      </c>
    </row>
    <row r="2748" spans="1:8" ht="24.75" customHeight="1" x14ac:dyDescent="0.55000000000000004">
      <c r="A2748" s="592">
        <v>2747</v>
      </c>
      <c r="B2748" s="596" t="s">
        <v>5377</v>
      </c>
      <c r="C2748" s="592" t="s">
        <v>8174</v>
      </c>
      <c r="D2748" s="592">
        <v>4</v>
      </c>
      <c r="E2748" s="597">
        <v>7000</v>
      </c>
      <c r="F2748" s="597">
        <v>7000</v>
      </c>
      <c r="G2748" s="597">
        <v>22000</v>
      </c>
      <c r="H2748" s="592" t="s">
        <v>1397</v>
      </c>
    </row>
    <row r="2749" spans="1:8" ht="24.75" customHeight="1" x14ac:dyDescent="0.55000000000000004">
      <c r="A2749" s="592">
        <v>2748</v>
      </c>
      <c r="B2749" s="596" t="s">
        <v>5378</v>
      </c>
      <c r="C2749" s="592" t="s">
        <v>5379</v>
      </c>
      <c r="D2749" s="592">
        <v>4</v>
      </c>
      <c r="E2749" s="597">
        <v>1400</v>
      </c>
      <c r="F2749" s="597">
        <v>1400</v>
      </c>
      <c r="G2749" s="597">
        <v>2000</v>
      </c>
      <c r="H2749" s="592" t="s">
        <v>1397</v>
      </c>
    </row>
    <row r="2750" spans="1:8" ht="24.75" customHeight="1" x14ac:dyDescent="0.55000000000000004">
      <c r="A2750" s="592">
        <v>2749</v>
      </c>
      <c r="B2750" s="596" t="s">
        <v>3178</v>
      </c>
      <c r="C2750" s="592" t="s">
        <v>3179</v>
      </c>
      <c r="D2750" s="592">
        <v>6</v>
      </c>
      <c r="E2750" s="597">
        <v>5000</v>
      </c>
      <c r="F2750" s="597">
        <v>5000</v>
      </c>
      <c r="G2750" s="597">
        <v>17700</v>
      </c>
      <c r="H2750" s="592" t="s">
        <v>1397</v>
      </c>
    </row>
    <row r="2751" spans="1:8" ht="24.75" customHeight="1" x14ac:dyDescent="0.55000000000000004">
      <c r="A2751" s="592">
        <v>2750</v>
      </c>
      <c r="B2751" s="596" t="s">
        <v>5380</v>
      </c>
      <c r="C2751" s="592" t="s">
        <v>5381</v>
      </c>
      <c r="D2751" s="592">
        <v>7</v>
      </c>
      <c r="E2751" s="597">
        <v>1500</v>
      </c>
      <c r="F2751" s="597">
        <v>1500</v>
      </c>
      <c r="G2751" s="597">
        <v>4900</v>
      </c>
      <c r="H2751" s="592" t="s">
        <v>1397</v>
      </c>
    </row>
    <row r="2752" spans="1:8" ht="24.75" customHeight="1" x14ac:dyDescent="0.55000000000000004">
      <c r="A2752" s="592">
        <v>2751</v>
      </c>
      <c r="B2752" s="596" t="s">
        <v>5382</v>
      </c>
      <c r="C2752" s="592" t="s">
        <v>5383</v>
      </c>
      <c r="D2752" s="592">
        <v>7</v>
      </c>
      <c r="E2752" s="597">
        <v>5400</v>
      </c>
      <c r="F2752" s="597">
        <v>5400</v>
      </c>
      <c r="G2752" s="597">
        <v>20650</v>
      </c>
      <c r="H2752" s="592" t="s">
        <v>1397</v>
      </c>
    </row>
    <row r="2753" spans="1:8" ht="24.75" customHeight="1" x14ac:dyDescent="0.55000000000000004">
      <c r="A2753" s="592">
        <v>2752</v>
      </c>
      <c r="B2753" s="596" t="s">
        <v>5384</v>
      </c>
      <c r="C2753" s="592" t="s">
        <v>5385</v>
      </c>
      <c r="D2753" s="592">
        <v>29</v>
      </c>
      <c r="E2753" s="597">
        <v>400</v>
      </c>
      <c r="F2753" s="597">
        <v>400</v>
      </c>
      <c r="G2753" s="597">
        <v>5800</v>
      </c>
      <c r="H2753" s="592" t="s">
        <v>1397</v>
      </c>
    </row>
    <row r="2754" spans="1:8" ht="24.75" customHeight="1" x14ac:dyDescent="0.55000000000000004">
      <c r="A2754" s="592">
        <v>2753</v>
      </c>
      <c r="B2754" s="596" t="s">
        <v>1913</v>
      </c>
      <c r="C2754" s="592" t="s">
        <v>3299</v>
      </c>
      <c r="D2754" s="592">
        <v>10</v>
      </c>
      <c r="E2754" s="597">
        <v>500</v>
      </c>
      <c r="F2754" s="597">
        <v>500</v>
      </c>
      <c r="G2754" s="597">
        <v>1400</v>
      </c>
      <c r="H2754" s="592" t="s">
        <v>1397</v>
      </c>
    </row>
    <row r="2755" spans="1:8" ht="24.75" customHeight="1" x14ac:dyDescent="0.55000000000000004">
      <c r="A2755" s="592">
        <v>2754</v>
      </c>
      <c r="B2755" s="596" t="s">
        <v>5386</v>
      </c>
      <c r="C2755" s="592" t="s">
        <v>5387</v>
      </c>
      <c r="D2755" s="592">
        <v>1</v>
      </c>
      <c r="E2755" s="597">
        <v>6000</v>
      </c>
      <c r="F2755" s="597">
        <v>6000</v>
      </c>
      <c r="G2755" s="597">
        <v>2800</v>
      </c>
      <c r="H2755" s="592" t="s">
        <v>1397</v>
      </c>
    </row>
    <row r="2756" spans="1:8" ht="24.75" customHeight="1" x14ac:dyDescent="0.55000000000000004">
      <c r="A2756" s="592">
        <v>2755</v>
      </c>
      <c r="B2756" s="596" t="s">
        <v>5388</v>
      </c>
      <c r="C2756" s="592" t="s">
        <v>5389</v>
      </c>
      <c r="D2756" s="592">
        <v>1</v>
      </c>
      <c r="E2756" s="597">
        <v>18000</v>
      </c>
      <c r="F2756" s="597">
        <v>18000</v>
      </c>
      <c r="G2756" s="597">
        <v>13500</v>
      </c>
      <c r="H2756" s="592" t="s">
        <v>1397</v>
      </c>
    </row>
    <row r="2757" spans="1:8" ht="24.75" customHeight="1" x14ac:dyDescent="0.55000000000000004">
      <c r="A2757" s="592">
        <v>2756</v>
      </c>
      <c r="B2757" s="596" t="s">
        <v>1914</v>
      </c>
      <c r="C2757" s="592" t="s">
        <v>1915</v>
      </c>
      <c r="D2757" s="592">
        <v>15</v>
      </c>
      <c r="E2757" s="597">
        <v>2500</v>
      </c>
      <c r="F2757" s="597">
        <v>2500</v>
      </c>
      <c r="G2757" s="597">
        <v>21750</v>
      </c>
      <c r="H2757" s="592" t="s">
        <v>1397</v>
      </c>
    </row>
    <row r="2758" spans="1:8" ht="24.75" customHeight="1" x14ac:dyDescent="0.55000000000000004">
      <c r="A2758" s="592">
        <v>2757</v>
      </c>
      <c r="B2758" s="596" t="s">
        <v>5390</v>
      </c>
      <c r="C2758" s="592" t="s">
        <v>5391</v>
      </c>
      <c r="D2758" s="592">
        <v>2</v>
      </c>
      <c r="E2758" s="597">
        <v>300</v>
      </c>
      <c r="F2758" s="597">
        <v>300</v>
      </c>
      <c r="G2758" s="597">
        <v>300</v>
      </c>
      <c r="H2758" s="592" t="s">
        <v>1397</v>
      </c>
    </row>
    <row r="2759" spans="1:8" ht="24.75" customHeight="1" x14ac:dyDescent="0.55000000000000004">
      <c r="A2759" s="592">
        <v>2758</v>
      </c>
      <c r="B2759" s="596" t="s">
        <v>5392</v>
      </c>
      <c r="C2759" s="592" t="s">
        <v>5393</v>
      </c>
      <c r="D2759" s="592">
        <v>9</v>
      </c>
      <c r="E2759" s="597">
        <v>1000</v>
      </c>
      <c r="F2759" s="597">
        <v>1000</v>
      </c>
      <c r="G2759" s="597">
        <v>2520</v>
      </c>
      <c r="H2759" s="592" t="s">
        <v>1397</v>
      </c>
    </row>
    <row r="2760" spans="1:8" ht="24.75" customHeight="1" x14ac:dyDescent="0.55000000000000004">
      <c r="A2760" s="592">
        <v>2759</v>
      </c>
      <c r="B2760" s="596" t="s">
        <v>5394</v>
      </c>
      <c r="C2760" s="592" t="s">
        <v>5395</v>
      </c>
      <c r="D2760" s="592">
        <v>4</v>
      </c>
      <c r="E2760" s="597">
        <v>3000</v>
      </c>
      <c r="F2760" s="597">
        <v>3000</v>
      </c>
      <c r="G2760" s="597">
        <v>6000</v>
      </c>
      <c r="H2760" s="592" t="s">
        <v>1397</v>
      </c>
    </row>
    <row r="2761" spans="1:8" ht="24.75" customHeight="1" x14ac:dyDescent="0.55000000000000004">
      <c r="A2761" s="592">
        <v>2760</v>
      </c>
      <c r="B2761" s="596" t="s">
        <v>1916</v>
      </c>
      <c r="C2761" s="592" t="s">
        <v>1917</v>
      </c>
      <c r="D2761" s="592">
        <v>9</v>
      </c>
      <c r="E2761" s="597">
        <v>2500</v>
      </c>
      <c r="F2761" s="597">
        <v>2500</v>
      </c>
      <c r="G2761" s="597">
        <v>16200</v>
      </c>
      <c r="H2761" s="592" t="s">
        <v>1397</v>
      </c>
    </row>
    <row r="2762" spans="1:8" ht="24.75" customHeight="1" x14ac:dyDescent="0.55000000000000004">
      <c r="A2762" s="592">
        <v>2761</v>
      </c>
      <c r="B2762" s="596" t="s">
        <v>5396</v>
      </c>
      <c r="C2762" s="592" t="s">
        <v>5397</v>
      </c>
      <c r="D2762" s="592">
        <v>6</v>
      </c>
      <c r="E2762" s="597">
        <v>3500</v>
      </c>
      <c r="F2762" s="597">
        <v>3500</v>
      </c>
      <c r="G2762" s="597">
        <v>12600</v>
      </c>
      <c r="H2762" s="592" t="s">
        <v>1397</v>
      </c>
    </row>
    <row r="2763" spans="1:8" ht="24.75" customHeight="1" x14ac:dyDescent="0.55000000000000004">
      <c r="A2763" s="592">
        <v>2762</v>
      </c>
      <c r="B2763" s="596" t="s">
        <v>5398</v>
      </c>
      <c r="C2763" s="592" t="s">
        <v>5399</v>
      </c>
      <c r="D2763" s="592">
        <v>1</v>
      </c>
      <c r="E2763" s="597">
        <v>3500</v>
      </c>
      <c r="F2763" s="597">
        <v>3500</v>
      </c>
      <c r="G2763" s="597">
        <v>1600</v>
      </c>
      <c r="H2763" s="592" t="s">
        <v>1397</v>
      </c>
    </row>
    <row r="2764" spans="1:8" ht="24.75" customHeight="1" x14ac:dyDescent="0.55000000000000004">
      <c r="A2764" s="592">
        <v>2763</v>
      </c>
      <c r="B2764" s="596" t="s">
        <v>1918</v>
      </c>
      <c r="C2764" s="592" t="s">
        <v>1919</v>
      </c>
      <c r="D2764" s="592">
        <v>6</v>
      </c>
      <c r="E2764" s="597">
        <v>3000</v>
      </c>
      <c r="F2764" s="597">
        <v>3000</v>
      </c>
      <c r="G2764" s="597">
        <v>12000</v>
      </c>
      <c r="H2764" s="592" t="s">
        <v>1397</v>
      </c>
    </row>
    <row r="2765" spans="1:8" ht="24.75" customHeight="1" x14ac:dyDescent="0.55000000000000004">
      <c r="A2765" s="592">
        <v>2764</v>
      </c>
      <c r="B2765" s="596" t="s">
        <v>5400</v>
      </c>
      <c r="C2765" s="592" t="s">
        <v>5401</v>
      </c>
      <c r="D2765" s="592">
        <v>4</v>
      </c>
      <c r="E2765" s="597">
        <v>600</v>
      </c>
      <c r="F2765" s="597">
        <v>600</v>
      </c>
      <c r="G2765" s="597">
        <v>1120</v>
      </c>
      <c r="H2765" s="592" t="s">
        <v>1397</v>
      </c>
    </row>
    <row r="2766" spans="1:8" ht="24.75" customHeight="1" x14ac:dyDescent="0.55000000000000004">
      <c r="A2766" s="592">
        <v>2765</v>
      </c>
      <c r="B2766" s="596" t="s">
        <v>5402</v>
      </c>
      <c r="C2766" s="592" t="s">
        <v>5403</v>
      </c>
      <c r="D2766" s="592">
        <v>10</v>
      </c>
      <c r="E2766" s="597">
        <v>1000</v>
      </c>
      <c r="F2766" s="597">
        <v>1000</v>
      </c>
      <c r="G2766" s="597">
        <v>4500</v>
      </c>
      <c r="H2766" s="592" t="s">
        <v>1397</v>
      </c>
    </row>
    <row r="2767" spans="1:8" ht="24.75" customHeight="1" x14ac:dyDescent="0.55000000000000004">
      <c r="A2767" s="592">
        <v>2766</v>
      </c>
      <c r="B2767" s="596" t="s">
        <v>1920</v>
      </c>
      <c r="C2767" s="592" t="s">
        <v>1921</v>
      </c>
      <c r="D2767" s="592">
        <v>4</v>
      </c>
      <c r="E2767" s="597">
        <v>2000</v>
      </c>
      <c r="F2767" s="597">
        <v>2000</v>
      </c>
      <c r="G2767" s="597">
        <v>5200</v>
      </c>
      <c r="H2767" s="592" t="s">
        <v>1397</v>
      </c>
    </row>
    <row r="2768" spans="1:8" ht="24.75" customHeight="1" x14ac:dyDescent="0.55000000000000004">
      <c r="A2768" s="592">
        <v>2767</v>
      </c>
      <c r="B2768" s="596" t="s">
        <v>1922</v>
      </c>
      <c r="C2768" s="592" t="s">
        <v>1923</v>
      </c>
      <c r="D2768" s="592">
        <v>3</v>
      </c>
      <c r="E2768" s="597">
        <v>3000</v>
      </c>
      <c r="F2768" s="597">
        <v>3000</v>
      </c>
      <c r="G2768" s="597">
        <v>6900</v>
      </c>
      <c r="H2768" s="592" t="s">
        <v>1397</v>
      </c>
    </row>
    <row r="2769" spans="1:8" ht="24.75" customHeight="1" x14ac:dyDescent="0.55000000000000004">
      <c r="A2769" s="592">
        <v>2768</v>
      </c>
      <c r="B2769" s="596" t="s">
        <v>5404</v>
      </c>
      <c r="C2769" s="592" t="s">
        <v>5405</v>
      </c>
      <c r="D2769" s="592">
        <v>5</v>
      </c>
      <c r="E2769" s="597">
        <v>400</v>
      </c>
      <c r="F2769" s="597">
        <v>400</v>
      </c>
      <c r="G2769" s="597">
        <v>750</v>
      </c>
      <c r="H2769" s="592" t="s">
        <v>1397</v>
      </c>
    </row>
    <row r="2770" spans="1:8" ht="24.75" customHeight="1" x14ac:dyDescent="0.55000000000000004">
      <c r="A2770" s="592">
        <v>2769</v>
      </c>
      <c r="B2770" s="596" t="s">
        <v>5406</v>
      </c>
      <c r="C2770" s="592" t="s">
        <v>5407</v>
      </c>
      <c r="D2770" s="592">
        <v>3</v>
      </c>
      <c r="E2770" s="597">
        <v>500</v>
      </c>
      <c r="F2770" s="597">
        <v>500</v>
      </c>
      <c r="G2770" s="597">
        <v>510</v>
      </c>
      <c r="H2770" s="592" t="s">
        <v>1397</v>
      </c>
    </row>
    <row r="2771" spans="1:8" ht="24.75" customHeight="1" x14ac:dyDescent="0.55000000000000004">
      <c r="A2771" s="592">
        <v>2770</v>
      </c>
      <c r="B2771" s="596" t="s">
        <v>5408</v>
      </c>
      <c r="C2771" s="592" t="s">
        <v>5409</v>
      </c>
      <c r="D2771" s="592">
        <v>5</v>
      </c>
      <c r="E2771" s="597">
        <v>800</v>
      </c>
      <c r="F2771" s="597">
        <v>800</v>
      </c>
      <c r="G2771" s="597">
        <v>1250</v>
      </c>
      <c r="H2771" s="592" t="s">
        <v>1397</v>
      </c>
    </row>
    <row r="2772" spans="1:8" ht="24.75" customHeight="1" x14ac:dyDescent="0.55000000000000004">
      <c r="A2772" s="592">
        <v>2771</v>
      </c>
      <c r="B2772" s="596" t="s">
        <v>5410</v>
      </c>
      <c r="C2772" s="592" t="s">
        <v>5411</v>
      </c>
      <c r="D2772" s="592">
        <v>4</v>
      </c>
      <c r="E2772" s="597">
        <v>4200</v>
      </c>
      <c r="F2772" s="597">
        <v>4200</v>
      </c>
      <c r="G2772" s="597">
        <v>8000</v>
      </c>
      <c r="H2772" s="592" t="s">
        <v>1397</v>
      </c>
    </row>
    <row r="2773" spans="1:8" ht="24.75" customHeight="1" x14ac:dyDescent="0.55000000000000004">
      <c r="A2773" s="592">
        <v>2772</v>
      </c>
      <c r="B2773" s="596" t="s">
        <v>5412</v>
      </c>
      <c r="C2773" s="592" t="s">
        <v>5413</v>
      </c>
      <c r="D2773" s="592">
        <v>2</v>
      </c>
      <c r="E2773" s="597">
        <v>146400</v>
      </c>
      <c r="F2773" s="597">
        <v>146400</v>
      </c>
      <c r="G2773" s="597">
        <v>158740</v>
      </c>
      <c r="H2773" s="592" t="s">
        <v>1397</v>
      </c>
    </row>
    <row r="2774" spans="1:8" ht="24.75" customHeight="1" x14ac:dyDescent="0.55000000000000004">
      <c r="A2774" s="592">
        <v>2773</v>
      </c>
      <c r="B2774" s="596" t="s">
        <v>6148</v>
      </c>
      <c r="C2774" s="592" t="s">
        <v>6149</v>
      </c>
      <c r="D2774" s="592">
        <v>10</v>
      </c>
      <c r="E2774" s="597">
        <v>4000</v>
      </c>
      <c r="F2774" s="597">
        <v>4000</v>
      </c>
      <c r="G2774" s="597">
        <v>30000</v>
      </c>
      <c r="H2774" s="592" t="s">
        <v>1397</v>
      </c>
    </row>
    <row r="2775" spans="1:8" ht="24.75" customHeight="1" x14ac:dyDescent="0.55000000000000004">
      <c r="A2775" s="592">
        <v>2774</v>
      </c>
      <c r="B2775" s="596" t="s">
        <v>5414</v>
      </c>
      <c r="C2775" s="592" t="s">
        <v>5415</v>
      </c>
      <c r="D2775" s="592">
        <v>1</v>
      </c>
      <c r="E2775" s="597">
        <v>1200</v>
      </c>
      <c r="F2775" s="597">
        <v>1200</v>
      </c>
      <c r="G2775" s="597">
        <v>550</v>
      </c>
      <c r="H2775" s="592" t="s">
        <v>1397</v>
      </c>
    </row>
    <row r="2776" spans="1:8" ht="24.75" customHeight="1" x14ac:dyDescent="0.55000000000000004">
      <c r="A2776" s="592">
        <v>2775</v>
      </c>
      <c r="B2776" s="596" t="s">
        <v>5416</v>
      </c>
      <c r="C2776" s="592" t="s">
        <v>5417</v>
      </c>
      <c r="D2776" s="592">
        <v>35</v>
      </c>
      <c r="E2776" s="597">
        <v>3600</v>
      </c>
      <c r="F2776" s="597">
        <v>3600</v>
      </c>
      <c r="G2776" s="597">
        <v>52500</v>
      </c>
      <c r="H2776" s="592" t="s">
        <v>1397</v>
      </c>
    </row>
    <row r="2777" spans="1:8" ht="24.75" customHeight="1" x14ac:dyDescent="0.55000000000000004">
      <c r="A2777" s="592">
        <v>2776</v>
      </c>
      <c r="B2777" s="596" t="s">
        <v>8341</v>
      </c>
      <c r="C2777" s="592" t="s">
        <v>8342</v>
      </c>
      <c r="D2777" s="592">
        <v>1</v>
      </c>
      <c r="E2777" s="597">
        <v>23000</v>
      </c>
      <c r="F2777" s="597">
        <v>23000</v>
      </c>
      <c r="G2777" s="597">
        <v>18200</v>
      </c>
      <c r="H2777" s="592" t="s">
        <v>1397</v>
      </c>
    </row>
    <row r="2778" spans="1:8" ht="24.75" customHeight="1" x14ac:dyDescent="0.55000000000000004">
      <c r="A2778" s="592">
        <v>2777</v>
      </c>
      <c r="B2778" s="596" t="s">
        <v>1924</v>
      </c>
      <c r="C2778" s="592" t="s">
        <v>1925</v>
      </c>
      <c r="D2778" s="592">
        <v>10</v>
      </c>
      <c r="E2778" s="597">
        <v>3000</v>
      </c>
      <c r="F2778" s="597">
        <v>3000</v>
      </c>
      <c r="G2778" s="597">
        <v>18000</v>
      </c>
      <c r="H2778" s="592" t="s">
        <v>1397</v>
      </c>
    </row>
    <row r="2779" spans="1:8" ht="24.75" customHeight="1" x14ac:dyDescent="0.55000000000000004">
      <c r="A2779" s="592">
        <v>2778</v>
      </c>
      <c r="B2779" s="596" t="s">
        <v>7828</v>
      </c>
      <c r="C2779" s="592" t="s">
        <v>7829</v>
      </c>
      <c r="D2779" s="592">
        <v>1</v>
      </c>
      <c r="E2779" s="597">
        <v>9000</v>
      </c>
      <c r="F2779" s="597">
        <v>9000</v>
      </c>
      <c r="G2779" s="597">
        <v>7000</v>
      </c>
      <c r="H2779" s="592" t="s">
        <v>1397</v>
      </c>
    </row>
    <row r="2780" spans="1:8" ht="24.75" customHeight="1" x14ac:dyDescent="0.55000000000000004">
      <c r="A2780" s="592">
        <v>2779</v>
      </c>
      <c r="B2780" s="596" t="s">
        <v>5418</v>
      </c>
      <c r="C2780" s="592" t="s">
        <v>5419</v>
      </c>
      <c r="D2780" s="592">
        <v>1</v>
      </c>
      <c r="E2780" s="597">
        <v>7800</v>
      </c>
      <c r="F2780" s="597">
        <v>7800</v>
      </c>
      <c r="G2780" s="597">
        <v>4500</v>
      </c>
      <c r="H2780" s="592" t="s">
        <v>1397</v>
      </c>
    </row>
    <row r="2781" spans="1:8" ht="24.75" customHeight="1" x14ac:dyDescent="0.55000000000000004">
      <c r="A2781" s="592">
        <v>2780</v>
      </c>
      <c r="B2781" s="596" t="s">
        <v>5420</v>
      </c>
      <c r="C2781" s="592" t="s">
        <v>5421</v>
      </c>
      <c r="D2781" s="592">
        <v>4</v>
      </c>
      <c r="E2781" s="597">
        <v>6000</v>
      </c>
      <c r="F2781" s="597">
        <v>6000</v>
      </c>
      <c r="G2781" s="597">
        <v>8600</v>
      </c>
      <c r="H2781" s="592" t="s">
        <v>1397</v>
      </c>
    </row>
    <row r="2782" spans="1:8" ht="24.75" customHeight="1" x14ac:dyDescent="0.55000000000000004">
      <c r="A2782" s="592">
        <v>2781</v>
      </c>
      <c r="B2782" s="596" t="s">
        <v>5422</v>
      </c>
      <c r="C2782" s="592" t="s">
        <v>5423</v>
      </c>
      <c r="D2782" s="592">
        <v>7</v>
      </c>
      <c r="E2782" s="597">
        <v>4800</v>
      </c>
      <c r="F2782" s="597">
        <v>4800</v>
      </c>
      <c r="G2782" s="597">
        <v>10500</v>
      </c>
      <c r="H2782" s="592" t="s">
        <v>1397</v>
      </c>
    </row>
    <row r="2783" spans="1:8" ht="24.75" customHeight="1" x14ac:dyDescent="0.55000000000000004">
      <c r="A2783" s="592">
        <v>2782</v>
      </c>
      <c r="B2783" s="596" t="s">
        <v>5424</v>
      </c>
      <c r="C2783" s="592" t="s">
        <v>5425</v>
      </c>
      <c r="D2783" s="592">
        <v>1</v>
      </c>
      <c r="E2783" s="597">
        <v>1700</v>
      </c>
      <c r="F2783" s="597">
        <v>1700</v>
      </c>
      <c r="G2783" s="597">
        <v>1000</v>
      </c>
      <c r="H2783" s="592" t="s">
        <v>1397</v>
      </c>
    </row>
    <row r="2784" spans="1:8" ht="24.75" customHeight="1" x14ac:dyDescent="0.55000000000000004">
      <c r="A2784" s="592">
        <v>2783</v>
      </c>
      <c r="B2784" s="596" t="s">
        <v>5426</v>
      </c>
      <c r="C2784" s="592" t="s">
        <v>7830</v>
      </c>
      <c r="D2784" s="592">
        <v>5</v>
      </c>
      <c r="E2784" s="597">
        <v>3800</v>
      </c>
      <c r="F2784" s="597">
        <v>3800</v>
      </c>
      <c r="G2784" s="597">
        <v>10500</v>
      </c>
      <c r="H2784" s="592" t="s">
        <v>1397</v>
      </c>
    </row>
    <row r="2785" spans="1:8" ht="24.75" customHeight="1" x14ac:dyDescent="0.55000000000000004">
      <c r="A2785" s="592">
        <v>2784</v>
      </c>
      <c r="B2785" s="596" t="s">
        <v>6237</v>
      </c>
      <c r="C2785" s="592" t="s">
        <v>7450</v>
      </c>
      <c r="D2785" s="592">
        <v>4</v>
      </c>
      <c r="E2785" s="597">
        <v>6000</v>
      </c>
      <c r="F2785" s="597">
        <v>6000</v>
      </c>
      <c r="G2785" s="597">
        <v>13600</v>
      </c>
      <c r="H2785" s="592" t="s">
        <v>1397</v>
      </c>
    </row>
    <row r="2786" spans="1:8" ht="24.75" customHeight="1" x14ac:dyDescent="0.55000000000000004">
      <c r="A2786" s="592">
        <v>2785</v>
      </c>
      <c r="B2786" s="596" t="s">
        <v>5427</v>
      </c>
      <c r="C2786" s="592" t="s">
        <v>5428</v>
      </c>
      <c r="D2786" s="592">
        <v>4</v>
      </c>
      <c r="E2786" s="597">
        <v>1500</v>
      </c>
      <c r="F2786" s="597">
        <v>1500</v>
      </c>
      <c r="G2786" s="597">
        <v>2400</v>
      </c>
      <c r="H2786" s="592" t="s">
        <v>1397</v>
      </c>
    </row>
    <row r="2787" spans="1:8" ht="24.75" customHeight="1" x14ac:dyDescent="0.55000000000000004">
      <c r="A2787" s="592">
        <v>2786</v>
      </c>
      <c r="B2787" s="596" t="s">
        <v>1926</v>
      </c>
      <c r="C2787" s="592" t="s">
        <v>1927</v>
      </c>
      <c r="D2787" s="592">
        <v>5</v>
      </c>
      <c r="E2787" s="597">
        <v>1700</v>
      </c>
      <c r="F2787" s="597">
        <v>1700</v>
      </c>
      <c r="G2787" s="597">
        <v>5000</v>
      </c>
      <c r="H2787" s="592" t="s">
        <v>1397</v>
      </c>
    </row>
    <row r="2788" spans="1:8" ht="24.75" customHeight="1" x14ac:dyDescent="0.55000000000000004">
      <c r="A2788" s="592">
        <v>2787</v>
      </c>
      <c r="B2788" s="596" t="s">
        <v>5429</v>
      </c>
      <c r="C2788" s="592" t="s">
        <v>6516</v>
      </c>
      <c r="D2788" s="592">
        <v>6</v>
      </c>
      <c r="E2788" s="597">
        <v>850</v>
      </c>
      <c r="F2788" s="597">
        <v>850</v>
      </c>
      <c r="G2788" s="597">
        <v>3300</v>
      </c>
      <c r="H2788" s="592" t="s">
        <v>1397</v>
      </c>
    </row>
    <row r="2789" spans="1:8" ht="24.75" customHeight="1" x14ac:dyDescent="0.55000000000000004">
      <c r="A2789" s="592">
        <v>2788</v>
      </c>
      <c r="B2789" s="596" t="s">
        <v>5430</v>
      </c>
      <c r="C2789" s="592" t="s">
        <v>5431</v>
      </c>
      <c r="D2789" s="592">
        <v>3</v>
      </c>
      <c r="E2789" s="597">
        <v>9000</v>
      </c>
      <c r="F2789" s="597">
        <v>9000</v>
      </c>
      <c r="G2789" s="597">
        <v>20700</v>
      </c>
      <c r="H2789" s="592" t="s">
        <v>1397</v>
      </c>
    </row>
    <row r="2790" spans="1:8" ht="24.75" customHeight="1" x14ac:dyDescent="0.55000000000000004">
      <c r="A2790" s="592">
        <v>2789</v>
      </c>
      <c r="B2790" s="596" t="s">
        <v>5432</v>
      </c>
      <c r="C2790" s="592" t="s">
        <v>5433</v>
      </c>
      <c r="D2790" s="592">
        <v>6</v>
      </c>
      <c r="E2790" s="597">
        <v>9000</v>
      </c>
      <c r="F2790" s="597">
        <v>9000</v>
      </c>
      <c r="G2790" s="597">
        <v>37800</v>
      </c>
      <c r="H2790" s="592" t="s">
        <v>1397</v>
      </c>
    </row>
    <row r="2791" spans="1:8" ht="24.75" customHeight="1" x14ac:dyDescent="0.55000000000000004">
      <c r="A2791" s="592">
        <v>2790</v>
      </c>
      <c r="B2791" s="596" t="s">
        <v>1928</v>
      </c>
      <c r="C2791" s="592" t="s">
        <v>1929</v>
      </c>
      <c r="D2791" s="592">
        <v>16</v>
      </c>
      <c r="E2791" s="597">
        <v>300</v>
      </c>
      <c r="F2791" s="597">
        <v>300</v>
      </c>
      <c r="G2791" s="597">
        <v>2400</v>
      </c>
      <c r="H2791" s="592" t="s">
        <v>1397</v>
      </c>
    </row>
    <row r="2792" spans="1:8" ht="24.75" customHeight="1" x14ac:dyDescent="0.55000000000000004">
      <c r="A2792" s="592">
        <v>2791</v>
      </c>
      <c r="B2792" s="596" t="s">
        <v>1930</v>
      </c>
      <c r="C2792" s="592" t="s">
        <v>3300</v>
      </c>
      <c r="D2792" s="592">
        <v>20</v>
      </c>
      <c r="E2792" s="597">
        <v>800</v>
      </c>
      <c r="F2792" s="597">
        <v>800</v>
      </c>
      <c r="G2792" s="597">
        <v>8000</v>
      </c>
      <c r="H2792" s="592" t="s">
        <v>1397</v>
      </c>
    </row>
    <row r="2793" spans="1:8" ht="24.75" customHeight="1" x14ac:dyDescent="0.55000000000000004">
      <c r="A2793" s="592">
        <v>2792</v>
      </c>
      <c r="B2793" s="596" t="s">
        <v>7451</v>
      </c>
      <c r="C2793" s="592" t="s">
        <v>8633</v>
      </c>
      <c r="D2793" s="592">
        <v>1</v>
      </c>
      <c r="E2793" s="597">
        <v>55000</v>
      </c>
      <c r="F2793" s="597">
        <v>55000</v>
      </c>
      <c r="G2793" s="597">
        <v>49500</v>
      </c>
      <c r="H2793" s="592" t="s">
        <v>1397</v>
      </c>
    </row>
    <row r="2794" spans="1:8" ht="24.75" customHeight="1" x14ac:dyDescent="0.55000000000000004">
      <c r="A2794" s="592">
        <v>2793</v>
      </c>
      <c r="B2794" s="596" t="s">
        <v>3469</v>
      </c>
      <c r="C2794" s="592" t="s">
        <v>3470</v>
      </c>
      <c r="D2794" s="592">
        <v>1</v>
      </c>
      <c r="E2794" s="597">
        <v>180000</v>
      </c>
      <c r="F2794" s="597">
        <v>180000</v>
      </c>
      <c r="G2794" s="597">
        <v>148000</v>
      </c>
      <c r="H2794" s="592" t="s">
        <v>1397</v>
      </c>
    </row>
    <row r="2795" spans="1:8" ht="24.75" customHeight="1" x14ac:dyDescent="0.55000000000000004">
      <c r="A2795" s="592">
        <v>2794</v>
      </c>
      <c r="B2795" s="596" t="s">
        <v>5434</v>
      </c>
      <c r="C2795" s="592" t="s">
        <v>5435</v>
      </c>
      <c r="D2795" s="592">
        <v>1</v>
      </c>
      <c r="E2795" s="597">
        <v>18000</v>
      </c>
      <c r="F2795" s="597">
        <v>18000</v>
      </c>
      <c r="G2795" s="597">
        <v>12600</v>
      </c>
      <c r="H2795" s="592" t="s">
        <v>1397</v>
      </c>
    </row>
    <row r="2796" spans="1:8" ht="24.75" customHeight="1" x14ac:dyDescent="0.55000000000000004">
      <c r="A2796" s="592">
        <v>2795</v>
      </c>
      <c r="B2796" s="596" t="s">
        <v>5436</v>
      </c>
      <c r="C2796" s="592" t="s">
        <v>5437</v>
      </c>
      <c r="D2796" s="592">
        <v>1</v>
      </c>
      <c r="E2796" s="597">
        <v>18000</v>
      </c>
      <c r="F2796" s="597">
        <v>18000</v>
      </c>
      <c r="G2796" s="597">
        <v>8500</v>
      </c>
      <c r="H2796" s="592" t="s">
        <v>1397</v>
      </c>
    </row>
    <row r="2797" spans="1:8" ht="24.75" customHeight="1" x14ac:dyDescent="0.55000000000000004">
      <c r="A2797" s="592">
        <v>2796</v>
      </c>
      <c r="B2797" s="596" t="s">
        <v>5438</v>
      </c>
      <c r="C2797" s="592" t="s">
        <v>5439</v>
      </c>
      <c r="D2797" s="592">
        <v>8</v>
      </c>
      <c r="E2797" s="597">
        <v>1000</v>
      </c>
      <c r="F2797" s="597">
        <v>1000</v>
      </c>
      <c r="G2797" s="597">
        <v>3200</v>
      </c>
      <c r="H2797" s="592" t="s">
        <v>1397</v>
      </c>
    </row>
    <row r="2798" spans="1:8" ht="24.75" customHeight="1" x14ac:dyDescent="0.55000000000000004">
      <c r="A2798" s="592">
        <v>2797</v>
      </c>
      <c r="B2798" s="596" t="s">
        <v>2898</v>
      </c>
      <c r="C2798" s="592" t="s">
        <v>7452</v>
      </c>
      <c r="D2798" s="592">
        <v>9</v>
      </c>
      <c r="E2798" s="597">
        <v>1000</v>
      </c>
      <c r="F2798" s="597">
        <v>1000</v>
      </c>
      <c r="G2798" s="597">
        <v>3600</v>
      </c>
      <c r="H2798" s="592" t="s">
        <v>1397</v>
      </c>
    </row>
    <row r="2799" spans="1:8" ht="24.75" customHeight="1" x14ac:dyDescent="0.55000000000000004">
      <c r="A2799" s="592">
        <v>2798</v>
      </c>
      <c r="B2799" s="596" t="s">
        <v>5440</v>
      </c>
      <c r="C2799" s="592" t="s">
        <v>5441</v>
      </c>
      <c r="D2799" s="592">
        <v>4</v>
      </c>
      <c r="E2799" s="597">
        <v>7000</v>
      </c>
      <c r="F2799" s="597">
        <v>7000</v>
      </c>
      <c r="G2799" s="597">
        <v>13600</v>
      </c>
      <c r="H2799" s="592" t="s">
        <v>1397</v>
      </c>
    </row>
    <row r="2800" spans="1:8" ht="24.75" customHeight="1" x14ac:dyDescent="0.55000000000000004">
      <c r="A2800" s="592">
        <v>2799</v>
      </c>
      <c r="B2800" s="596" t="s">
        <v>3301</v>
      </c>
      <c r="C2800" s="592" t="s">
        <v>3302</v>
      </c>
      <c r="D2800" s="592">
        <v>12</v>
      </c>
      <c r="E2800" s="597">
        <v>1000</v>
      </c>
      <c r="F2800" s="597">
        <v>1000</v>
      </c>
      <c r="G2800" s="597">
        <v>6000</v>
      </c>
      <c r="H2800" s="592" t="s">
        <v>1397</v>
      </c>
    </row>
    <row r="2801" spans="1:8" ht="24.75" customHeight="1" x14ac:dyDescent="0.55000000000000004">
      <c r="A2801" s="592">
        <v>2800</v>
      </c>
      <c r="B2801" s="596" t="s">
        <v>5442</v>
      </c>
      <c r="C2801" s="592" t="s">
        <v>8861</v>
      </c>
      <c r="D2801" s="592">
        <v>5</v>
      </c>
      <c r="E2801" s="597">
        <v>11500</v>
      </c>
      <c r="F2801" s="597">
        <v>11500</v>
      </c>
      <c r="G2801" s="597">
        <v>42500</v>
      </c>
      <c r="H2801" s="592" t="s">
        <v>1397</v>
      </c>
    </row>
    <row r="2802" spans="1:8" ht="24.75" customHeight="1" x14ac:dyDescent="0.55000000000000004">
      <c r="A2802" s="592">
        <v>2801</v>
      </c>
      <c r="B2802" s="596" t="s">
        <v>1931</v>
      </c>
      <c r="C2802" s="592" t="s">
        <v>6774</v>
      </c>
      <c r="D2802" s="592">
        <v>5</v>
      </c>
      <c r="E2802" s="597">
        <v>1500</v>
      </c>
      <c r="F2802" s="597">
        <v>1500</v>
      </c>
      <c r="G2802" s="597">
        <v>5500</v>
      </c>
      <c r="H2802" s="592" t="s">
        <v>1397</v>
      </c>
    </row>
    <row r="2803" spans="1:8" ht="24.75" customHeight="1" x14ac:dyDescent="0.55000000000000004">
      <c r="A2803" s="592">
        <v>2802</v>
      </c>
      <c r="B2803" s="596" t="s">
        <v>1932</v>
      </c>
      <c r="C2803" s="592" t="s">
        <v>1933</v>
      </c>
      <c r="D2803" s="592">
        <v>11</v>
      </c>
      <c r="E2803" s="597">
        <v>4000</v>
      </c>
      <c r="F2803" s="597">
        <v>4000</v>
      </c>
      <c r="G2803" s="597">
        <v>34100</v>
      </c>
      <c r="H2803" s="592" t="s">
        <v>1397</v>
      </c>
    </row>
    <row r="2804" spans="1:8" ht="24.75" customHeight="1" x14ac:dyDescent="0.55000000000000004">
      <c r="A2804" s="592">
        <v>2803</v>
      </c>
      <c r="B2804" s="596" t="s">
        <v>5443</v>
      </c>
      <c r="C2804" s="592" t="s">
        <v>5444</v>
      </c>
      <c r="D2804" s="592">
        <v>1</v>
      </c>
      <c r="E2804" s="597">
        <v>3000</v>
      </c>
      <c r="F2804" s="597">
        <v>3000</v>
      </c>
      <c r="G2804" s="597">
        <v>2000</v>
      </c>
      <c r="H2804" s="592" t="s">
        <v>1397</v>
      </c>
    </row>
    <row r="2805" spans="1:8" ht="24.75" customHeight="1" x14ac:dyDescent="0.55000000000000004">
      <c r="A2805" s="592">
        <v>2804</v>
      </c>
      <c r="B2805" s="596" t="s">
        <v>5445</v>
      </c>
      <c r="C2805" s="592" t="s">
        <v>5446</v>
      </c>
      <c r="D2805" s="592">
        <v>4</v>
      </c>
      <c r="E2805" s="597">
        <v>10000</v>
      </c>
      <c r="F2805" s="597">
        <v>10000</v>
      </c>
      <c r="G2805" s="597">
        <v>30400</v>
      </c>
      <c r="H2805" s="592" t="s">
        <v>1397</v>
      </c>
    </row>
    <row r="2806" spans="1:8" ht="24.75" customHeight="1" x14ac:dyDescent="0.55000000000000004">
      <c r="A2806" s="592">
        <v>2805</v>
      </c>
      <c r="B2806" s="596" t="s">
        <v>1934</v>
      </c>
      <c r="C2806" s="592" t="s">
        <v>1935</v>
      </c>
      <c r="D2806" s="592">
        <v>5</v>
      </c>
      <c r="E2806" s="597">
        <v>4000</v>
      </c>
      <c r="F2806" s="597">
        <v>4000</v>
      </c>
      <c r="G2806" s="597">
        <v>13780</v>
      </c>
      <c r="H2806" s="592" t="s">
        <v>1397</v>
      </c>
    </row>
    <row r="2807" spans="1:8" ht="24.75" customHeight="1" x14ac:dyDescent="0.55000000000000004">
      <c r="A2807" s="592">
        <v>2806</v>
      </c>
      <c r="B2807" s="596" t="s">
        <v>5447</v>
      </c>
      <c r="C2807" s="592" t="s">
        <v>5448</v>
      </c>
      <c r="D2807" s="592">
        <v>13</v>
      </c>
      <c r="E2807" s="597">
        <v>700</v>
      </c>
      <c r="F2807" s="597">
        <v>700</v>
      </c>
      <c r="G2807" s="597">
        <v>3250</v>
      </c>
      <c r="H2807" s="592" t="s">
        <v>1397</v>
      </c>
    </row>
    <row r="2808" spans="1:8" ht="24.75" customHeight="1" x14ac:dyDescent="0.55000000000000004">
      <c r="A2808" s="592">
        <v>2807</v>
      </c>
      <c r="B2808" s="596" t="s">
        <v>6209</v>
      </c>
      <c r="C2808" s="592" t="s">
        <v>6210</v>
      </c>
      <c r="D2808" s="592">
        <v>3</v>
      </c>
      <c r="E2808" s="597">
        <v>300</v>
      </c>
      <c r="F2808" s="597">
        <v>300</v>
      </c>
      <c r="G2808" s="597">
        <v>300</v>
      </c>
      <c r="H2808" s="592" t="s">
        <v>1397</v>
      </c>
    </row>
    <row r="2809" spans="1:8" ht="24.75" customHeight="1" x14ac:dyDescent="0.55000000000000004">
      <c r="A2809" s="592">
        <v>2808</v>
      </c>
      <c r="B2809" s="596" t="s">
        <v>1936</v>
      </c>
      <c r="C2809" s="592" t="s">
        <v>1937</v>
      </c>
      <c r="D2809" s="592">
        <v>5</v>
      </c>
      <c r="E2809" s="597">
        <v>600</v>
      </c>
      <c r="F2809" s="597">
        <v>600</v>
      </c>
      <c r="G2809" s="597">
        <v>1750</v>
      </c>
      <c r="H2809" s="592" t="s">
        <v>1397</v>
      </c>
    </row>
    <row r="2810" spans="1:8" ht="24.75" customHeight="1" x14ac:dyDescent="0.55000000000000004">
      <c r="A2810" s="592">
        <v>2809</v>
      </c>
      <c r="B2810" s="596" t="s">
        <v>5449</v>
      </c>
      <c r="C2810" s="592" t="s">
        <v>5450</v>
      </c>
      <c r="D2810" s="592">
        <v>4</v>
      </c>
      <c r="E2810" s="597">
        <v>8000</v>
      </c>
      <c r="F2810" s="597">
        <v>8000</v>
      </c>
      <c r="G2810" s="597">
        <v>16200</v>
      </c>
      <c r="H2810" s="592" t="s">
        <v>1397</v>
      </c>
    </row>
    <row r="2811" spans="1:8" ht="24.75" customHeight="1" x14ac:dyDescent="0.55000000000000004">
      <c r="A2811" s="592">
        <v>2810</v>
      </c>
      <c r="B2811" s="596" t="s">
        <v>5451</v>
      </c>
      <c r="C2811" s="592" t="s">
        <v>5452</v>
      </c>
      <c r="D2811" s="592">
        <v>8</v>
      </c>
      <c r="E2811" s="597">
        <v>2500</v>
      </c>
      <c r="F2811" s="597">
        <v>2500</v>
      </c>
      <c r="G2811" s="597">
        <v>7840</v>
      </c>
      <c r="H2811" s="592" t="s">
        <v>1397</v>
      </c>
    </row>
    <row r="2812" spans="1:8" ht="24.75" customHeight="1" x14ac:dyDescent="0.55000000000000004">
      <c r="A2812" s="592">
        <v>2811</v>
      </c>
      <c r="B2812" s="596" t="s">
        <v>5453</v>
      </c>
      <c r="C2812" s="592" t="s">
        <v>5454</v>
      </c>
      <c r="D2812" s="592">
        <v>1</v>
      </c>
      <c r="E2812" s="597">
        <v>16500</v>
      </c>
      <c r="F2812" s="597">
        <v>16500</v>
      </c>
      <c r="G2812" s="597">
        <v>9800</v>
      </c>
      <c r="H2812" s="592" t="s">
        <v>1397</v>
      </c>
    </row>
    <row r="2813" spans="1:8" ht="24.75" customHeight="1" x14ac:dyDescent="0.55000000000000004">
      <c r="A2813" s="592">
        <v>2812</v>
      </c>
      <c r="B2813" s="596" t="s">
        <v>1938</v>
      </c>
      <c r="C2813" s="592" t="s">
        <v>3180</v>
      </c>
      <c r="D2813" s="592">
        <v>18</v>
      </c>
      <c r="E2813" s="597">
        <v>800</v>
      </c>
      <c r="F2813" s="597">
        <v>800</v>
      </c>
      <c r="G2813" s="597">
        <v>5400</v>
      </c>
      <c r="H2813" s="592" t="s">
        <v>1397</v>
      </c>
    </row>
    <row r="2814" spans="1:8" ht="24.75" customHeight="1" x14ac:dyDescent="0.55000000000000004">
      <c r="A2814" s="592">
        <v>2813</v>
      </c>
      <c r="B2814" s="596" t="s">
        <v>5455</v>
      </c>
      <c r="C2814" s="592" t="s">
        <v>5456</v>
      </c>
      <c r="D2814" s="592">
        <v>3</v>
      </c>
      <c r="E2814" s="597">
        <v>6000</v>
      </c>
      <c r="F2814" s="597">
        <v>6000</v>
      </c>
      <c r="G2814" s="597">
        <v>12600</v>
      </c>
      <c r="H2814" s="592" t="s">
        <v>1397</v>
      </c>
    </row>
    <row r="2815" spans="1:8" ht="24.75" customHeight="1" x14ac:dyDescent="0.55000000000000004">
      <c r="A2815" s="592">
        <v>2814</v>
      </c>
      <c r="B2815" s="596" t="s">
        <v>5457</v>
      </c>
      <c r="C2815" s="592" t="s">
        <v>5458</v>
      </c>
      <c r="D2815" s="592">
        <v>5</v>
      </c>
      <c r="E2815" s="597">
        <v>4000</v>
      </c>
      <c r="F2815" s="597">
        <v>4000</v>
      </c>
      <c r="G2815" s="597">
        <v>12500</v>
      </c>
      <c r="H2815" s="592" t="s">
        <v>1397</v>
      </c>
    </row>
    <row r="2816" spans="1:8" ht="24.75" customHeight="1" x14ac:dyDescent="0.55000000000000004">
      <c r="A2816" s="592">
        <v>2815</v>
      </c>
      <c r="B2816" s="596" t="s">
        <v>5459</v>
      </c>
      <c r="C2816" s="592" t="s">
        <v>5460</v>
      </c>
      <c r="D2816" s="592">
        <v>12</v>
      </c>
      <c r="E2816" s="597">
        <v>1500</v>
      </c>
      <c r="F2816" s="597">
        <v>1500</v>
      </c>
      <c r="G2816" s="597">
        <v>9456</v>
      </c>
      <c r="H2816" s="592" t="s">
        <v>1397</v>
      </c>
    </row>
    <row r="2817" spans="1:8" ht="24.75" customHeight="1" x14ac:dyDescent="0.55000000000000004">
      <c r="A2817" s="592">
        <v>2816</v>
      </c>
      <c r="B2817" s="596" t="s">
        <v>3369</v>
      </c>
      <c r="C2817" s="592" t="s">
        <v>7453</v>
      </c>
      <c r="D2817" s="592">
        <v>1</v>
      </c>
      <c r="E2817" s="597">
        <v>600</v>
      </c>
      <c r="F2817" s="597">
        <v>600</v>
      </c>
      <c r="G2817" s="597">
        <v>350</v>
      </c>
      <c r="H2817" s="592" t="s">
        <v>1397</v>
      </c>
    </row>
    <row r="2818" spans="1:8" ht="24.75" customHeight="1" x14ac:dyDescent="0.55000000000000004">
      <c r="A2818" s="592">
        <v>2817</v>
      </c>
      <c r="B2818" s="596" t="s">
        <v>1939</v>
      </c>
      <c r="C2818" s="592" t="s">
        <v>1940</v>
      </c>
      <c r="D2818" s="592">
        <v>7</v>
      </c>
      <c r="E2818" s="597">
        <v>1500</v>
      </c>
      <c r="F2818" s="597">
        <v>1500</v>
      </c>
      <c r="G2818" s="597">
        <v>3850</v>
      </c>
      <c r="H2818" s="592" t="s">
        <v>1397</v>
      </c>
    </row>
    <row r="2819" spans="1:8" ht="24.75" customHeight="1" x14ac:dyDescent="0.55000000000000004">
      <c r="A2819" s="592">
        <v>2818</v>
      </c>
      <c r="B2819" s="596" t="s">
        <v>8175</v>
      </c>
      <c r="C2819" s="592" t="s">
        <v>8176</v>
      </c>
      <c r="D2819" s="592">
        <v>15</v>
      </c>
      <c r="E2819" s="597">
        <v>800</v>
      </c>
      <c r="F2819" s="597">
        <v>800</v>
      </c>
      <c r="G2819" s="597">
        <v>7500</v>
      </c>
      <c r="H2819" s="592" t="s">
        <v>1397</v>
      </c>
    </row>
    <row r="2820" spans="1:8" ht="24.75" customHeight="1" x14ac:dyDescent="0.55000000000000004">
      <c r="A2820" s="592">
        <v>2819</v>
      </c>
      <c r="B2820" s="596" t="s">
        <v>5461</v>
      </c>
      <c r="C2820" s="592" t="s">
        <v>5462</v>
      </c>
      <c r="D2820" s="592">
        <v>2</v>
      </c>
      <c r="E2820" s="597">
        <v>8000</v>
      </c>
      <c r="F2820" s="597">
        <v>8000</v>
      </c>
      <c r="G2820" s="597">
        <v>10000</v>
      </c>
      <c r="H2820" s="592" t="s">
        <v>1397</v>
      </c>
    </row>
    <row r="2821" spans="1:8" ht="24.75" customHeight="1" x14ac:dyDescent="0.55000000000000004">
      <c r="A2821" s="592">
        <v>2820</v>
      </c>
      <c r="B2821" s="596" t="s">
        <v>5463</v>
      </c>
      <c r="C2821" s="592" t="s">
        <v>5464</v>
      </c>
      <c r="D2821" s="592">
        <v>4</v>
      </c>
      <c r="E2821" s="597">
        <v>3000</v>
      </c>
      <c r="F2821" s="597">
        <v>3000</v>
      </c>
      <c r="G2821" s="597">
        <v>7680</v>
      </c>
      <c r="H2821" s="592" t="s">
        <v>1397</v>
      </c>
    </row>
    <row r="2822" spans="1:8" ht="24.75" customHeight="1" x14ac:dyDescent="0.55000000000000004">
      <c r="A2822" s="592">
        <v>2821</v>
      </c>
      <c r="B2822" s="596" t="s">
        <v>5465</v>
      </c>
      <c r="C2822" s="592" t="s">
        <v>5466</v>
      </c>
      <c r="D2822" s="592">
        <v>29</v>
      </c>
      <c r="E2822" s="597">
        <v>1000</v>
      </c>
      <c r="F2822" s="597">
        <v>1000</v>
      </c>
      <c r="G2822" s="597">
        <v>17400</v>
      </c>
      <c r="H2822" s="592" t="s">
        <v>1397</v>
      </c>
    </row>
    <row r="2823" spans="1:8" ht="24.75" customHeight="1" x14ac:dyDescent="0.55000000000000004">
      <c r="A2823" s="592">
        <v>2822</v>
      </c>
      <c r="B2823" s="596" t="s">
        <v>5467</v>
      </c>
      <c r="C2823" s="592" t="s">
        <v>5468</v>
      </c>
      <c r="D2823" s="592">
        <v>3</v>
      </c>
      <c r="E2823" s="597">
        <v>3500</v>
      </c>
      <c r="F2823" s="597">
        <v>3500</v>
      </c>
      <c r="G2823" s="597">
        <v>5400</v>
      </c>
      <c r="H2823" s="592" t="s">
        <v>1397</v>
      </c>
    </row>
    <row r="2824" spans="1:8" ht="24.75" customHeight="1" x14ac:dyDescent="0.55000000000000004">
      <c r="A2824" s="592">
        <v>2823</v>
      </c>
      <c r="B2824" s="596" t="s">
        <v>1941</v>
      </c>
      <c r="C2824" s="592" t="s">
        <v>6619</v>
      </c>
      <c r="D2824" s="592">
        <v>6</v>
      </c>
      <c r="E2824" s="597">
        <v>4000</v>
      </c>
      <c r="F2824" s="597">
        <v>4000</v>
      </c>
      <c r="G2824" s="597">
        <v>13800</v>
      </c>
      <c r="H2824" s="592" t="s">
        <v>1397</v>
      </c>
    </row>
    <row r="2825" spans="1:8" ht="24.75" customHeight="1" x14ac:dyDescent="0.55000000000000004">
      <c r="A2825" s="592">
        <v>2824</v>
      </c>
      <c r="B2825" s="596" t="s">
        <v>5469</v>
      </c>
      <c r="C2825" s="592" t="s">
        <v>5470</v>
      </c>
      <c r="D2825" s="592">
        <v>4</v>
      </c>
      <c r="E2825" s="597">
        <v>32000</v>
      </c>
      <c r="F2825" s="597">
        <v>32000</v>
      </c>
      <c r="G2825" s="597">
        <v>96000</v>
      </c>
      <c r="H2825" s="592" t="s">
        <v>1397</v>
      </c>
    </row>
    <row r="2826" spans="1:8" ht="24.75" customHeight="1" x14ac:dyDescent="0.55000000000000004">
      <c r="A2826" s="592">
        <v>2825</v>
      </c>
      <c r="B2826" s="596" t="s">
        <v>5471</v>
      </c>
      <c r="C2826" s="592" t="s">
        <v>5472</v>
      </c>
      <c r="D2826" s="592">
        <v>10</v>
      </c>
      <c r="E2826" s="597">
        <v>500</v>
      </c>
      <c r="F2826" s="597">
        <v>500</v>
      </c>
      <c r="G2826" s="597">
        <v>2300</v>
      </c>
      <c r="H2826" s="592" t="s">
        <v>1397</v>
      </c>
    </row>
    <row r="2827" spans="1:8" ht="24.75" customHeight="1" x14ac:dyDescent="0.55000000000000004">
      <c r="A2827" s="592">
        <v>2826</v>
      </c>
      <c r="B2827" s="596" t="s">
        <v>5473</v>
      </c>
      <c r="C2827" s="592" t="s">
        <v>5474</v>
      </c>
      <c r="D2827" s="592">
        <v>10</v>
      </c>
      <c r="E2827" s="597">
        <v>1000</v>
      </c>
      <c r="F2827" s="597">
        <v>1000</v>
      </c>
      <c r="G2827" s="597">
        <v>4000</v>
      </c>
      <c r="H2827" s="592" t="s">
        <v>1397</v>
      </c>
    </row>
    <row r="2828" spans="1:8" ht="24.75" customHeight="1" x14ac:dyDescent="0.55000000000000004">
      <c r="A2828" s="592">
        <v>2827</v>
      </c>
      <c r="B2828" s="596" t="s">
        <v>1942</v>
      </c>
      <c r="C2828" s="592" t="s">
        <v>7831</v>
      </c>
      <c r="D2828" s="592">
        <v>1</v>
      </c>
      <c r="E2828" s="597">
        <v>4500</v>
      </c>
      <c r="F2828" s="597">
        <v>4500</v>
      </c>
      <c r="G2828" s="597">
        <v>2700</v>
      </c>
      <c r="H2828" s="592" t="s">
        <v>1397</v>
      </c>
    </row>
    <row r="2829" spans="1:8" ht="24.75" customHeight="1" x14ac:dyDescent="0.55000000000000004">
      <c r="A2829" s="592">
        <v>2828</v>
      </c>
      <c r="B2829" s="596" t="s">
        <v>5475</v>
      </c>
      <c r="C2829" s="592" t="s">
        <v>7832</v>
      </c>
      <c r="D2829" s="592">
        <v>16</v>
      </c>
      <c r="E2829" s="597">
        <v>200</v>
      </c>
      <c r="F2829" s="597">
        <v>200</v>
      </c>
      <c r="G2829" s="597">
        <v>1600</v>
      </c>
      <c r="H2829" s="592" t="s">
        <v>1397</v>
      </c>
    </row>
    <row r="2830" spans="1:8" ht="24.75" customHeight="1" x14ac:dyDescent="0.55000000000000004">
      <c r="A2830" s="592">
        <v>2829</v>
      </c>
      <c r="B2830" s="596" t="s">
        <v>5476</v>
      </c>
      <c r="C2830" s="592" t="s">
        <v>5477</v>
      </c>
      <c r="D2830" s="592">
        <v>1</v>
      </c>
      <c r="E2830" s="597">
        <v>4000</v>
      </c>
      <c r="F2830" s="597">
        <v>4000</v>
      </c>
      <c r="G2830" s="597">
        <v>2200</v>
      </c>
      <c r="H2830" s="592" t="s">
        <v>1397</v>
      </c>
    </row>
    <row r="2831" spans="1:8" ht="24.75" customHeight="1" x14ac:dyDescent="0.55000000000000004">
      <c r="A2831" s="592">
        <v>2830</v>
      </c>
      <c r="B2831" s="596" t="s">
        <v>1943</v>
      </c>
      <c r="C2831" s="592" t="s">
        <v>1944</v>
      </c>
      <c r="D2831" s="592">
        <v>7</v>
      </c>
      <c r="E2831" s="597">
        <v>500</v>
      </c>
      <c r="F2831" s="597">
        <v>500</v>
      </c>
      <c r="G2831" s="597">
        <v>1400</v>
      </c>
      <c r="H2831" s="592" t="s">
        <v>1397</v>
      </c>
    </row>
    <row r="2832" spans="1:8" ht="24.75" customHeight="1" x14ac:dyDescent="0.55000000000000004">
      <c r="A2832" s="592">
        <v>2831</v>
      </c>
      <c r="B2832" s="596" t="s">
        <v>5478</v>
      </c>
      <c r="C2832" s="592" t="s">
        <v>5479</v>
      </c>
      <c r="D2832" s="592">
        <v>7</v>
      </c>
      <c r="E2832" s="597">
        <v>600</v>
      </c>
      <c r="F2832" s="597">
        <v>600</v>
      </c>
      <c r="G2832" s="597">
        <v>2100</v>
      </c>
      <c r="H2832" s="592" t="s">
        <v>1397</v>
      </c>
    </row>
    <row r="2833" spans="1:8" ht="24.75" customHeight="1" x14ac:dyDescent="0.55000000000000004">
      <c r="A2833" s="592">
        <v>2832</v>
      </c>
      <c r="B2833" s="596" t="s">
        <v>5480</v>
      </c>
      <c r="C2833" s="592" t="s">
        <v>5481</v>
      </c>
      <c r="D2833" s="592">
        <v>3</v>
      </c>
      <c r="E2833" s="597">
        <v>600</v>
      </c>
      <c r="F2833" s="597">
        <v>600</v>
      </c>
      <c r="G2833" s="597">
        <v>900</v>
      </c>
      <c r="H2833" s="592" t="s">
        <v>1397</v>
      </c>
    </row>
    <row r="2834" spans="1:8" ht="24.75" customHeight="1" x14ac:dyDescent="0.55000000000000004">
      <c r="A2834" s="592">
        <v>2833</v>
      </c>
      <c r="B2834" s="596" t="s">
        <v>5482</v>
      </c>
      <c r="C2834" s="592" t="s">
        <v>5483</v>
      </c>
      <c r="D2834" s="592">
        <v>8</v>
      </c>
      <c r="E2834" s="597">
        <v>5000</v>
      </c>
      <c r="F2834" s="597">
        <v>5000</v>
      </c>
      <c r="G2834" s="597">
        <v>19200</v>
      </c>
      <c r="H2834" s="592" t="s">
        <v>1397</v>
      </c>
    </row>
    <row r="2835" spans="1:8" ht="24.75" customHeight="1" x14ac:dyDescent="0.55000000000000004">
      <c r="A2835" s="592">
        <v>2834</v>
      </c>
      <c r="B2835" s="596" t="s">
        <v>5484</v>
      </c>
      <c r="C2835" s="592" t="s">
        <v>5485</v>
      </c>
      <c r="D2835" s="592">
        <v>2</v>
      </c>
      <c r="E2835" s="597">
        <v>1500</v>
      </c>
      <c r="F2835" s="597">
        <v>1500</v>
      </c>
      <c r="G2835" s="597">
        <v>1650</v>
      </c>
      <c r="H2835" s="592" t="s">
        <v>1397</v>
      </c>
    </row>
    <row r="2836" spans="1:8" ht="24.75" customHeight="1" x14ac:dyDescent="0.55000000000000004">
      <c r="A2836" s="592">
        <v>2835</v>
      </c>
      <c r="B2836" s="596" t="s">
        <v>5486</v>
      </c>
      <c r="C2836" s="592" t="s">
        <v>5487</v>
      </c>
      <c r="D2836" s="592">
        <v>2</v>
      </c>
      <c r="E2836" s="597">
        <v>7500</v>
      </c>
      <c r="F2836" s="597">
        <v>7500</v>
      </c>
      <c r="G2836" s="597">
        <v>11000</v>
      </c>
      <c r="H2836" s="592" t="s">
        <v>1397</v>
      </c>
    </row>
    <row r="2837" spans="1:8" ht="24.75" customHeight="1" x14ac:dyDescent="0.55000000000000004">
      <c r="A2837" s="592">
        <v>2836</v>
      </c>
      <c r="B2837" s="596" t="s">
        <v>5488</v>
      </c>
      <c r="C2837" s="592" t="s">
        <v>5489</v>
      </c>
      <c r="D2837" s="592">
        <v>3</v>
      </c>
      <c r="E2837" s="597">
        <v>3500</v>
      </c>
      <c r="F2837" s="597">
        <v>3500</v>
      </c>
      <c r="G2837" s="597">
        <v>6900</v>
      </c>
      <c r="H2837" s="592" t="s">
        <v>1397</v>
      </c>
    </row>
    <row r="2838" spans="1:8" ht="24.75" customHeight="1" x14ac:dyDescent="0.55000000000000004">
      <c r="A2838" s="592">
        <v>2837</v>
      </c>
      <c r="B2838" s="596" t="s">
        <v>5490</v>
      </c>
      <c r="C2838" s="592" t="s">
        <v>5491</v>
      </c>
      <c r="D2838" s="592">
        <v>6</v>
      </c>
      <c r="E2838" s="597">
        <v>300</v>
      </c>
      <c r="F2838" s="597">
        <v>300</v>
      </c>
      <c r="G2838" s="597">
        <v>900</v>
      </c>
      <c r="H2838" s="592" t="s">
        <v>1397</v>
      </c>
    </row>
    <row r="2839" spans="1:8" ht="24.75" customHeight="1" x14ac:dyDescent="0.55000000000000004">
      <c r="A2839" s="592">
        <v>2838</v>
      </c>
      <c r="B2839" s="596" t="s">
        <v>2251</v>
      </c>
      <c r="C2839" s="592" t="s">
        <v>2252</v>
      </c>
      <c r="D2839" s="592">
        <v>11</v>
      </c>
      <c r="E2839" s="597">
        <v>2000</v>
      </c>
      <c r="F2839" s="597">
        <v>2000</v>
      </c>
      <c r="G2839" s="597">
        <v>16500</v>
      </c>
      <c r="H2839" s="592" t="s">
        <v>1397</v>
      </c>
    </row>
    <row r="2840" spans="1:8" ht="24.75" customHeight="1" x14ac:dyDescent="0.55000000000000004">
      <c r="A2840" s="592">
        <v>2839</v>
      </c>
      <c r="B2840" s="596" t="s">
        <v>5492</v>
      </c>
      <c r="C2840" s="592" t="s">
        <v>8862</v>
      </c>
      <c r="D2840" s="592">
        <v>10</v>
      </c>
      <c r="E2840" s="597">
        <v>1000</v>
      </c>
      <c r="F2840" s="597">
        <v>1000</v>
      </c>
      <c r="G2840" s="597">
        <v>7000</v>
      </c>
      <c r="H2840" s="592" t="s">
        <v>1397</v>
      </c>
    </row>
    <row r="2841" spans="1:8" ht="24.75" customHeight="1" x14ac:dyDescent="0.55000000000000004">
      <c r="A2841" s="592">
        <v>2840</v>
      </c>
      <c r="B2841" s="596" t="s">
        <v>5493</v>
      </c>
      <c r="C2841" s="592" t="s">
        <v>5494</v>
      </c>
      <c r="D2841" s="592">
        <v>9</v>
      </c>
      <c r="E2841" s="597">
        <v>6000</v>
      </c>
      <c r="F2841" s="597">
        <v>6000</v>
      </c>
      <c r="G2841" s="597">
        <v>31500</v>
      </c>
      <c r="H2841" s="592" t="s">
        <v>1397</v>
      </c>
    </row>
    <row r="2842" spans="1:8" ht="24.75" customHeight="1" x14ac:dyDescent="0.55000000000000004">
      <c r="A2842" s="592">
        <v>2841</v>
      </c>
      <c r="B2842" s="596" t="s">
        <v>5495</v>
      </c>
      <c r="C2842" s="592" t="s">
        <v>8177</v>
      </c>
      <c r="D2842" s="592">
        <v>1</v>
      </c>
      <c r="E2842" s="597">
        <v>100000</v>
      </c>
      <c r="F2842" s="597">
        <v>100000</v>
      </c>
      <c r="G2842" s="597">
        <v>65000</v>
      </c>
      <c r="H2842" s="592" t="s">
        <v>1397</v>
      </c>
    </row>
    <row r="2843" spans="1:8" ht="24.75" customHeight="1" x14ac:dyDescent="0.55000000000000004">
      <c r="A2843" s="592">
        <v>2842</v>
      </c>
      <c r="B2843" s="596" t="s">
        <v>5496</v>
      </c>
      <c r="C2843" s="592" t="s">
        <v>5497</v>
      </c>
      <c r="D2843" s="592">
        <v>4</v>
      </c>
      <c r="E2843" s="597">
        <v>1200</v>
      </c>
      <c r="F2843" s="597">
        <v>1200</v>
      </c>
      <c r="G2843" s="597">
        <v>2400</v>
      </c>
      <c r="H2843" s="592" t="s">
        <v>1397</v>
      </c>
    </row>
    <row r="2844" spans="1:8" ht="24.75" customHeight="1" x14ac:dyDescent="0.55000000000000004">
      <c r="A2844" s="592">
        <v>2843</v>
      </c>
      <c r="B2844" s="596" t="s">
        <v>6211</v>
      </c>
      <c r="C2844" s="592" t="s">
        <v>6212</v>
      </c>
      <c r="D2844" s="592">
        <v>1</v>
      </c>
      <c r="E2844" s="597">
        <v>35000</v>
      </c>
      <c r="F2844" s="597">
        <v>35000</v>
      </c>
      <c r="G2844" s="597">
        <v>25000</v>
      </c>
      <c r="H2844" s="592" t="s">
        <v>1397</v>
      </c>
    </row>
    <row r="2845" spans="1:8" ht="24.75" customHeight="1" x14ac:dyDescent="0.55000000000000004">
      <c r="A2845" s="592">
        <v>2844</v>
      </c>
      <c r="B2845" s="596" t="s">
        <v>5500</v>
      </c>
      <c r="C2845" s="592" t="s">
        <v>7833</v>
      </c>
      <c r="D2845" s="592">
        <v>5</v>
      </c>
      <c r="E2845" s="597">
        <v>800</v>
      </c>
      <c r="F2845" s="597">
        <v>800</v>
      </c>
      <c r="G2845" s="597">
        <v>2500</v>
      </c>
      <c r="H2845" s="592" t="s">
        <v>1397</v>
      </c>
    </row>
    <row r="2846" spans="1:8" ht="24.75" customHeight="1" x14ac:dyDescent="0.55000000000000004">
      <c r="A2846" s="592">
        <v>2845</v>
      </c>
      <c r="B2846" s="596" t="s">
        <v>5501</v>
      </c>
      <c r="C2846" s="592" t="s">
        <v>5502</v>
      </c>
      <c r="D2846" s="592">
        <v>4</v>
      </c>
      <c r="E2846" s="597">
        <v>800</v>
      </c>
      <c r="F2846" s="597">
        <v>800</v>
      </c>
      <c r="G2846" s="597">
        <v>2000</v>
      </c>
      <c r="H2846" s="592" t="s">
        <v>1397</v>
      </c>
    </row>
    <row r="2847" spans="1:8" ht="24.75" customHeight="1" x14ac:dyDescent="0.55000000000000004">
      <c r="A2847" s="592">
        <v>2846</v>
      </c>
      <c r="B2847" s="596" t="s">
        <v>2447</v>
      </c>
      <c r="C2847" s="592" t="s">
        <v>2448</v>
      </c>
      <c r="D2847" s="592">
        <v>5</v>
      </c>
      <c r="E2847" s="597">
        <v>4500</v>
      </c>
      <c r="F2847" s="597">
        <v>4500</v>
      </c>
      <c r="G2847" s="597">
        <v>18000</v>
      </c>
      <c r="H2847" s="592" t="s">
        <v>1397</v>
      </c>
    </row>
    <row r="2848" spans="1:8" ht="24.75" customHeight="1" x14ac:dyDescent="0.55000000000000004">
      <c r="A2848" s="592">
        <v>2847</v>
      </c>
      <c r="B2848" s="596" t="s">
        <v>5503</v>
      </c>
      <c r="C2848" s="592" t="s">
        <v>5504</v>
      </c>
      <c r="D2848" s="592">
        <v>1</v>
      </c>
      <c r="E2848" s="597">
        <v>5500</v>
      </c>
      <c r="F2848" s="597">
        <v>5500</v>
      </c>
      <c r="G2848" s="597">
        <v>3000</v>
      </c>
      <c r="H2848" s="592" t="s">
        <v>1397</v>
      </c>
    </row>
    <row r="2849" spans="1:8" ht="24.75" customHeight="1" x14ac:dyDescent="0.55000000000000004">
      <c r="A2849" s="592">
        <v>2848</v>
      </c>
      <c r="B2849" s="596" t="s">
        <v>5505</v>
      </c>
      <c r="C2849" s="592" t="s">
        <v>5506</v>
      </c>
      <c r="D2849" s="592">
        <v>1</v>
      </c>
      <c r="E2849" s="597">
        <v>3000</v>
      </c>
      <c r="F2849" s="597">
        <v>3000</v>
      </c>
      <c r="G2849" s="597">
        <v>850</v>
      </c>
      <c r="H2849" s="592" t="s">
        <v>1397</v>
      </c>
    </row>
    <row r="2850" spans="1:8" ht="24.75" customHeight="1" x14ac:dyDescent="0.55000000000000004">
      <c r="A2850" s="592">
        <v>2849</v>
      </c>
      <c r="B2850" s="596" t="s">
        <v>5507</v>
      </c>
      <c r="C2850" s="592" t="s">
        <v>5508</v>
      </c>
      <c r="D2850" s="592">
        <v>1</v>
      </c>
      <c r="E2850" s="597">
        <v>8000</v>
      </c>
      <c r="F2850" s="597">
        <v>8000</v>
      </c>
      <c r="G2850" s="597">
        <v>4150</v>
      </c>
      <c r="H2850" s="592" t="s">
        <v>1397</v>
      </c>
    </row>
    <row r="2851" spans="1:8" ht="24.75" customHeight="1" x14ac:dyDescent="0.55000000000000004">
      <c r="A2851" s="592">
        <v>2850</v>
      </c>
      <c r="B2851" s="596" t="s">
        <v>5509</v>
      </c>
      <c r="C2851" s="592" t="s">
        <v>5510</v>
      </c>
      <c r="D2851" s="592">
        <v>2</v>
      </c>
      <c r="E2851" s="597">
        <v>3000</v>
      </c>
      <c r="F2851" s="597">
        <v>3000</v>
      </c>
      <c r="G2851" s="597">
        <v>2200</v>
      </c>
      <c r="H2851" s="592" t="s">
        <v>1397</v>
      </c>
    </row>
    <row r="2852" spans="1:8" ht="24.75" customHeight="1" x14ac:dyDescent="0.55000000000000004">
      <c r="A2852" s="592">
        <v>2851</v>
      </c>
      <c r="B2852" s="596" t="s">
        <v>5511</v>
      </c>
      <c r="C2852" s="592" t="s">
        <v>5512</v>
      </c>
      <c r="D2852" s="592">
        <v>3</v>
      </c>
      <c r="E2852" s="597">
        <v>13000</v>
      </c>
      <c r="F2852" s="597">
        <v>13000</v>
      </c>
      <c r="G2852" s="597">
        <v>27450</v>
      </c>
      <c r="H2852" s="592" t="s">
        <v>1397</v>
      </c>
    </row>
    <row r="2853" spans="1:8" ht="24.75" customHeight="1" x14ac:dyDescent="0.55000000000000004">
      <c r="A2853" s="592">
        <v>2852</v>
      </c>
      <c r="B2853" s="596" t="s">
        <v>5513</v>
      </c>
      <c r="C2853" s="592" t="s">
        <v>5514</v>
      </c>
      <c r="D2853" s="592">
        <v>2</v>
      </c>
      <c r="E2853" s="597">
        <v>13000</v>
      </c>
      <c r="F2853" s="597">
        <v>13000</v>
      </c>
      <c r="G2853" s="597">
        <v>19900</v>
      </c>
      <c r="H2853" s="592" t="s">
        <v>1397</v>
      </c>
    </row>
    <row r="2854" spans="1:8" ht="24.75" customHeight="1" x14ac:dyDescent="0.55000000000000004">
      <c r="A2854" s="592">
        <v>2853</v>
      </c>
      <c r="B2854" s="596" t="s">
        <v>5515</v>
      </c>
      <c r="C2854" s="592" t="s">
        <v>5516</v>
      </c>
      <c r="D2854" s="592">
        <v>3</v>
      </c>
      <c r="E2854" s="597">
        <v>16500</v>
      </c>
      <c r="F2854" s="597">
        <v>16500</v>
      </c>
      <c r="G2854" s="597">
        <v>36600</v>
      </c>
      <c r="H2854" s="592" t="s">
        <v>1397</v>
      </c>
    </row>
    <row r="2855" spans="1:8" ht="24.75" customHeight="1" x14ac:dyDescent="0.55000000000000004">
      <c r="A2855" s="592">
        <v>2854</v>
      </c>
      <c r="B2855" s="596" t="s">
        <v>6517</v>
      </c>
      <c r="C2855" s="592" t="s">
        <v>6518</v>
      </c>
      <c r="D2855" s="592">
        <v>4</v>
      </c>
      <c r="E2855" s="597">
        <v>4000</v>
      </c>
      <c r="F2855" s="597">
        <v>4000</v>
      </c>
      <c r="G2855" s="597">
        <v>12000</v>
      </c>
      <c r="H2855" s="592" t="s">
        <v>1397</v>
      </c>
    </row>
    <row r="2856" spans="1:8" ht="24.75" customHeight="1" x14ac:dyDescent="0.55000000000000004">
      <c r="A2856" s="592">
        <v>2855</v>
      </c>
      <c r="B2856" s="596" t="s">
        <v>5517</v>
      </c>
      <c r="C2856" s="592" t="s">
        <v>7834</v>
      </c>
      <c r="D2856" s="592">
        <v>1</v>
      </c>
      <c r="E2856" s="597">
        <v>5000</v>
      </c>
      <c r="F2856" s="597">
        <v>5000</v>
      </c>
      <c r="G2856" s="597">
        <v>1850</v>
      </c>
      <c r="H2856" s="592" t="s">
        <v>1397</v>
      </c>
    </row>
    <row r="2857" spans="1:8" ht="24.75" customHeight="1" x14ac:dyDescent="0.55000000000000004">
      <c r="A2857" s="592">
        <v>2856</v>
      </c>
      <c r="B2857" s="596" t="s">
        <v>2554</v>
      </c>
      <c r="C2857" s="592" t="s">
        <v>2555</v>
      </c>
      <c r="D2857" s="592">
        <v>1</v>
      </c>
      <c r="E2857" s="597">
        <v>65000</v>
      </c>
      <c r="F2857" s="597">
        <v>65000</v>
      </c>
      <c r="G2857" s="597">
        <v>50000</v>
      </c>
      <c r="H2857" s="592" t="s">
        <v>1397</v>
      </c>
    </row>
    <row r="2858" spans="1:8" ht="24.75" customHeight="1" x14ac:dyDescent="0.55000000000000004">
      <c r="A2858" s="592">
        <v>2857</v>
      </c>
      <c r="B2858" s="596" t="s">
        <v>5518</v>
      </c>
      <c r="C2858" s="592" t="s">
        <v>6410</v>
      </c>
      <c r="D2858" s="592">
        <v>1</v>
      </c>
      <c r="E2858" s="597">
        <v>400</v>
      </c>
      <c r="F2858" s="597">
        <v>400</v>
      </c>
      <c r="G2858" s="597">
        <v>150</v>
      </c>
      <c r="H2858" s="592" t="s">
        <v>1397</v>
      </c>
    </row>
    <row r="2859" spans="1:8" ht="24.75" customHeight="1" x14ac:dyDescent="0.55000000000000004">
      <c r="A2859" s="592">
        <v>2858</v>
      </c>
      <c r="B2859" s="596" t="s">
        <v>5519</v>
      </c>
      <c r="C2859" s="592" t="s">
        <v>5520</v>
      </c>
      <c r="D2859" s="592">
        <v>1</v>
      </c>
      <c r="E2859" s="597">
        <v>6000</v>
      </c>
      <c r="F2859" s="597">
        <v>6000</v>
      </c>
      <c r="G2859" s="597">
        <v>3300</v>
      </c>
      <c r="H2859" s="592" t="s">
        <v>1397</v>
      </c>
    </row>
    <row r="2860" spans="1:8" ht="24.75" customHeight="1" x14ac:dyDescent="0.55000000000000004">
      <c r="A2860" s="592">
        <v>2859</v>
      </c>
      <c r="B2860" s="596" t="s">
        <v>2253</v>
      </c>
      <c r="C2860" s="592" t="s">
        <v>7454</v>
      </c>
      <c r="D2860" s="592">
        <v>4</v>
      </c>
      <c r="E2860" s="597">
        <v>1500</v>
      </c>
      <c r="F2860" s="597">
        <v>1500</v>
      </c>
      <c r="G2860" s="597">
        <v>2600</v>
      </c>
      <c r="H2860" s="592" t="s">
        <v>1397</v>
      </c>
    </row>
    <row r="2861" spans="1:8" ht="24.75" customHeight="1" x14ac:dyDescent="0.55000000000000004">
      <c r="A2861" s="592">
        <v>2860</v>
      </c>
      <c r="B2861" s="596" t="s">
        <v>6308</v>
      </c>
      <c r="C2861" s="592" t="s">
        <v>6309</v>
      </c>
      <c r="D2861" s="592">
        <v>6</v>
      </c>
      <c r="E2861" s="597">
        <v>9000</v>
      </c>
      <c r="F2861" s="597">
        <v>9000</v>
      </c>
      <c r="G2861" s="597">
        <v>41400</v>
      </c>
      <c r="H2861" s="592" t="s">
        <v>1397</v>
      </c>
    </row>
    <row r="2862" spans="1:8" ht="24.75" customHeight="1" x14ac:dyDescent="0.55000000000000004">
      <c r="A2862" s="592">
        <v>2861</v>
      </c>
      <c r="B2862" s="596" t="s">
        <v>5521</v>
      </c>
      <c r="C2862" s="592" t="s">
        <v>5522</v>
      </c>
      <c r="D2862" s="592">
        <v>1</v>
      </c>
      <c r="E2862" s="597">
        <v>5000</v>
      </c>
      <c r="F2862" s="597">
        <v>5000</v>
      </c>
      <c r="G2862" s="597">
        <v>2550</v>
      </c>
      <c r="H2862" s="592" t="s">
        <v>1397</v>
      </c>
    </row>
    <row r="2863" spans="1:8" ht="24.75" customHeight="1" x14ac:dyDescent="0.55000000000000004">
      <c r="A2863" s="592">
        <v>2862</v>
      </c>
      <c r="B2863" s="596" t="s">
        <v>5523</v>
      </c>
      <c r="C2863" s="592" t="s">
        <v>5524</v>
      </c>
      <c r="D2863" s="592">
        <v>3</v>
      </c>
      <c r="E2863" s="597">
        <v>1000</v>
      </c>
      <c r="F2863" s="597">
        <v>1000</v>
      </c>
      <c r="G2863" s="597">
        <v>870</v>
      </c>
      <c r="H2863" s="592" t="s">
        <v>1397</v>
      </c>
    </row>
    <row r="2864" spans="1:8" ht="24.75" customHeight="1" x14ac:dyDescent="0.55000000000000004">
      <c r="A2864" s="592">
        <v>2863</v>
      </c>
      <c r="B2864" s="596" t="s">
        <v>5525</v>
      </c>
      <c r="C2864" s="592" t="s">
        <v>5526</v>
      </c>
      <c r="D2864" s="592">
        <v>5</v>
      </c>
      <c r="E2864" s="597">
        <v>2000</v>
      </c>
      <c r="F2864" s="597">
        <v>2000</v>
      </c>
      <c r="G2864" s="597">
        <v>4715</v>
      </c>
      <c r="H2864" s="592" t="s">
        <v>1397</v>
      </c>
    </row>
    <row r="2865" spans="1:8" ht="24.75" customHeight="1" x14ac:dyDescent="0.55000000000000004">
      <c r="A2865" s="592">
        <v>2864</v>
      </c>
      <c r="B2865" s="596" t="s">
        <v>5527</v>
      </c>
      <c r="C2865" s="592" t="s">
        <v>5528</v>
      </c>
      <c r="D2865" s="592">
        <v>7</v>
      </c>
      <c r="E2865" s="597">
        <v>800</v>
      </c>
      <c r="F2865" s="597">
        <v>800</v>
      </c>
      <c r="G2865" s="597">
        <v>3500</v>
      </c>
      <c r="H2865" s="592" t="s">
        <v>1397</v>
      </c>
    </row>
    <row r="2866" spans="1:8" ht="24.75" customHeight="1" x14ac:dyDescent="0.55000000000000004">
      <c r="A2866" s="592">
        <v>2865</v>
      </c>
      <c r="B2866" s="596" t="s">
        <v>5529</v>
      </c>
      <c r="C2866" s="592" t="s">
        <v>5530</v>
      </c>
      <c r="D2866" s="592">
        <v>1</v>
      </c>
      <c r="E2866" s="597">
        <v>7500</v>
      </c>
      <c r="F2866" s="597">
        <v>7500</v>
      </c>
      <c r="G2866" s="597">
        <v>4200</v>
      </c>
      <c r="H2866" s="592" t="s">
        <v>1397</v>
      </c>
    </row>
    <row r="2867" spans="1:8" ht="24.75" customHeight="1" x14ac:dyDescent="0.55000000000000004">
      <c r="A2867" s="592">
        <v>2866</v>
      </c>
      <c r="B2867" s="596" t="s">
        <v>2314</v>
      </c>
      <c r="C2867" s="592" t="s">
        <v>3471</v>
      </c>
      <c r="D2867" s="592">
        <v>12</v>
      </c>
      <c r="E2867" s="597">
        <v>3000</v>
      </c>
      <c r="F2867" s="597">
        <v>3000</v>
      </c>
      <c r="G2867" s="597">
        <v>18000</v>
      </c>
      <c r="H2867" s="592" t="s">
        <v>1397</v>
      </c>
    </row>
    <row r="2868" spans="1:8" ht="24.75" customHeight="1" x14ac:dyDescent="0.55000000000000004">
      <c r="A2868" s="592">
        <v>2867</v>
      </c>
      <c r="B2868" s="596" t="s">
        <v>5531</v>
      </c>
      <c r="C2868" s="592" t="s">
        <v>7835</v>
      </c>
      <c r="D2868" s="592">
        <v>2</v>
      </c>
      <c r="E2868" s="597">
        <v>3000</v>
      </c>
      <c r="F2868" s="597">
        <v>3000</v>
      </c>
      <c r="G2868" s="597">
        <v>3000</v>
      </c>
      <c r="H2868" s="592" t="s">
        <v>1397</v>
      </c>
    </row>
    <row r="2869" spans="1:8" ht="24.75" customHeight="1" x14ac:dyDescent="0.55000000000000004">
      <c r="A2869" s="592">
        <v>2868</v>
      </c>
      <c r="B2869" s="596" t="s">
        <v>5532</v>
      </c>
      <c r="C2869" s="592" t="s">
        <v>5533</v>
      </c>
      <c r="D2869" s="592">
        <v>2</v>
      </c>
      <c r="E2869" s="597">
        <v>2500</v>
      </c>
      <c r="F2869" s="597">
        <v>2500</v>
      </c>
      <c r="G2869" s="597">
        <v>2400</v>
      </c>
      <c r="H2869" s="592" t="s">
        <v>1397</v>
      </c>
    </row>
    <row r="2870" spans="1:8" ht="24.75" customHeight="1" x14ac:dyDescent="0.55000000000000004">
      <c r="A2870" s="592">
        <v>2869</v>
      </c>
      <c r="B2870" s="596" t="s">
        <v>6278</v>
      </c>
      <c r="C2870" s="592" t="s">
        <v>6279</v>
      </c>
      <c r="D2870" s="592">
        <v>1</v>
      </c>
      <c r="E2870" s="597">
        <v>120000</v>
      </c>
      <c r="F2870" s="597">
        <v>120000</v>
      </c>
      <c r="G2870" s="597">
        <v>95000</v>
      </c>
      <c r="H2870" s="592" t="s">
        <v>57</v>
      </c>
    </row>
    <row r="2871" spans="1:8" ht="24.75" customHeight="1" x14ac:dyDescent="0.55000000000000004">
      <c r="A2871" s="592">
        <v>2870</v>
      </c>
      <c r="B2871" s="596" t="s">
        <v>8863</v>
      </c>
      <c r="C2871" s="592" t="s">
        <v>8864</v>
      </c>
      <c r="D2871" s="592">
        <v>1</v>
      </c>
      <c r="E2871" s="597">
        <v>165000</v>
      </c>
      <c r="F2871" s="597">
        <v>165000</v>
      </c>
      <c r="G2871" s="597">
        <v>145000</v>
      </c>
      <c r="H2871" s="592" t="s">
        <v>57</v>
      </c>
    </row>
    <row r="2872" spans="1:8" ht="24.75" customHeight="1" x14ac:dyDescent="0.55000000000000004">
      <c r="A2872" s="592">
        <v>2871</v>
      </c>
      <c r="B2872" s="596" t="s">
        <v>1945</v>
      </c>
      <c r="C2872" s="592" t="s">
        <v>1946</v>
      </c>
      <c r="D2872" s="592">
        <v>2</v>
      </c>
      <c r="E2872" s="597">
        <v>72000</v>
      </c>
      <c r="F2872" s="597">
        <v>72000</v>
      </c>
      <c r="G2872" s="597">
        <v>124000</v>
      </c>
      <c r="H2872" s="592" t="s">
        <v>57</v>
      </c>
    </row>
    <row r="2873" spans="1:8" ht="24.75" customHeight="1" x14ac:dyDescent="0.55000000000000004">
      <c r="A2873" s="592">
        <v>2872</v>
      </c>
      <c r="B2873" s="596" t="s">
        <v>1947</v>
      </c>
      <c r="C2873" s="592" t="s">
        <v>7455</v>
      </c>
      <c r="D2873" s="592">
        <v>2</v>
      </c>
      <c r="E2873" s="597">
        <v>95000</v>
      </c>
      <c r="F2873" s="597">
        <v>95000</v>
      </c>
      <c r="G2873" s="597">
        <v>124000</v>
      </c>
      <c r="H2873" s="592" t="s">
        <v>57</v>
      </c>
    </row>
    <row r="2874" spans="1:8" ht="24.75" customHeight="1" x14ac:dyDescent="0.55000000000000004">
      <c r="A2874" s="592">
        <v>2873</v>
      </c>
      <c r="B2874" s="596" t="s">
        <v>7836</v>
      </c>
      <c r="C2874" s="592" t="s">
        <v>7837</v>
      </c>
      <c r="D2874" s="592">
        <v>1</v>
      </c>
      <c r="E2874" s="597">
        <v>120000</v>
      </c>
      <c r="F2874" s="597">
        <v>120000</v>
      </c>
      <c r="G2874" s="597">
        <v>99000</v>
      </c>
      <c r="H2874" s="592" t="s">
        <v>57</v>
      </c>
    </row>
    <row r="2875" spans="1:8" ht="24.75" customHeight="1" x14ac:dyDescent="0.55000000000000004">
      <c r="A2875" s="592">
        <v>2874</v>
      </c>
      <c r="B2875" s="596" t="s">
        <v>8865</v>
      </c>
      <c r="C2875" s="592" t="s">
        <v>8866</v>
      </c>
      <c r="D2875" s="592">
        <v>1</v>
      </c>
      <c r="E2875" s="597">
        <v>650000</v>
      </c>
      <c r="F2875" s="597">
        <v>650000</v>
      </c>
      <c r="G2875" s="597">
        <v>530000</v>
      </c>
      <c r="H2875" s="592" t="s">
        <v>57</v>
      </c>
    </row>
    <row r="2876" spans="1:8" ht="24.75" customHeight="1" x14ac:dyDescent="0.55000000000000004">
      <c r="A2876" s="592">
        <v>2875</v>
      </c>
      <c r="B2876" s="596" t="s">
        <v>5534</v>
      </c>
      <c r="C2876" s="592" t="s">
        <v>5535</v>
      </c>
      <c r="D2876" s="592">
        <v>1</v>
      </c>
      <c r="E2876" s="597">
        <v>61000</v>
      </c>
      <c r="F2876" s="597">
        <v>61000</v>
      </c>
      <c r="G2876" s="597">
        <v>42000</v>
      </c>
      <c r="H2876" s="592" t="s">
        <v>57</v>
      </c>
    </row>
    <row r="2877" spans="1:8" ht="24.75" customHeight="1" x14ac:dyDescent="0.55000000000000004">
      <c r="A2877" s="592">
        <v>2876</v>
      </c>
      <c r="B2877" s="596" t="s">
        <v>5536</v>
      </c>
      <c r="C2877" s="592" t="s">
        <v>5537</v>
      </c>
      <c r="D2877" s="592">
        <v>2</v>
      </c>
      <c r="E2877" s="597">
        <v>8000</v>
      </c>
      <c r="F2877" s="597">
        <v>8000</v>
      </c>
      <c r="G2877" s="597">
        <v>12000</v>
      </c>
      <c r="H2877" s="592" t="s">
        <v>57</v>
      </c>
    </row>
    <row r="2878" spans="1:8" ht="24.75" customHeight="1" x14ac:dyDescent="0.55000000000000004">
      <c r="A2878" s="592">
        <v>2877</v>
      </c>
      <c r="B2878" s="596" t="s">
        <v>3472</v>
      </c>
      <c r="C2878" s="592" t="s">
        <v>7838</v>
      </c>
      <c r="D2878" s="592">
        <v>1</v>
      </c>
      <c r="E2878" s="597">
        <v>109000</v>
      </c>
      <c r="F2878" s="597">
        <v>109000</v>
      </c>
      <c r="G2878" s="597">
        <v>95000</v>
      </c>
      <c r="H2878" s="592" t="s">
        <v>57</v>
      </c>
    </row>
    <row r="2879" spans="1:8" ht="24.75" customHeight="1" x14ac:dyDescent="0.55000000000000004">
      <c r="A2879" s="592">
        <v>2878</v>
      </c>
      <c r="B2879" s="596" t="s">
        <v>2449</v>
      </c>
      <c r="C2879" s="592" t="s">
        <v>2450</v>
      </c>
      <c r="D2879" s="592">
        <v>3</v>
      </c>
      <c r="E2879" s="597">
        <v>10000</v>
      </c>
      <c r="F2879" s="597">
        <v>10000</v>
      </c>
      <c r="G2879" s="597">
        <v>21000</v>
      </c>
      <c r="H2879" s="592" t="s">
        <v>57</v>
      </c>
    </row>
    <row r="2880" spans="1:8" ht="24.75" customHeight="1" x14ac:dyDescent="0.55000000000000004">
      <c r="A2880" s="592">
        <v>2879</v>
      </c>
      <c r="B2880" s="596" t="s">
        <v>6238</v>
      </c>
      <c r="C2880" s="592" t="s">
        <v>6239</v>
      </c>
      <c r="D2880" s="592">
        <v>354</v>
      </c>
      <c r="E2880" s="597">
        <v>500</v>
      </c>
      <c r="F2880" s="597">
        <v>500</v>
      </c>
      <c r="G2880" s="597">
        <v>92040</v>
      </c>
      <c r="H2880" s="592" t="s">
        <v>57</v>
      </c>
    </row>
    <row r="2881" spans="1:8" ht="24.75" customHeight="1" x14ac:dyDescent="0.55000000000000004">
      <c r="A2881" s="592">
        <v>2880</v>
      </c>
      <c r="B2881" s="596" t="s">
        <v>6240</v>
      </c>
      <c r="C2881" s="592" t="s">
        <v>6310</v>
      </c>
      <c r="D2881" s="592">
        <v>2</v>
      </c>
      <c r="E2881" s="597">
        <v>145000</v>
      </c>
      <c r="F2881" s="597">
        <v>145000</v>
      </c>
      <c r="G2881" s="597">
        <v>256000</v>
      </c>
      <c r="H2881" s="592" t="s">
        <v>57</v>
      </c>
    </row>
    <row r="2882" spans="1:8" ht="24.75" customHeight="1" x14ac:dyDescent="0.55000000000000004">
      <c r="A2882" s="592">
        <v>2881</v>
      </c>
      <c r="B2882" s="596" t="s">
        <v>8343</v>
      </c>
      <c r="C2882" s="592" t="s">
        <v>8344</v>
      </c>
      <c r="D2882" s="592">
        <v>5</v>
      </c>
      <c r="E2882" s="597">
        <v>25000</v>
      </c>
      <c r="F2882" s="597">
        <v>25000</v>
      </c>
      <c r="G2882" s="597">
        <v>109000</v>
      </c>
      <c r="H2882" s="592" t="s">
        <v>57</v>
      </c>
    </row>
    <row r="2883" spans="1:8" ht="24.75" customHeight="1" x14ac:dyDescent="0.55000000000000004">
      <c r="A2883" s="592">
        <v>2882</v>
      </c>
      <c r="B2883" s="596" t="s">
        <v>6897</v>
      </c>
      <c r="C2883" s="592" t="s">
        <v>7456</v>
      </c>
      <c r="D2883" s="592">
        <v>2</v>
      </c>
      <c r="E2883" s="597">
        <v>43000</v>
      </c>
      <c r="F2883" s="597">
        <v>43000</v>
      </c>
      <c r="G2883" s="597">
        <v>64000</v>
      </c>
      <c r="H2883" s="592" t="s">
        <v>57</v>
      </c>
    </row>
    <row r="2884" spans="1:8" ht="24.75" customHeight="1" x14ac:dyDescent="0.55000000000000004">
      <c r="A2884" s="592">
        <v>2883</v>
      </c>
      <c r="B2884" s="596" t="s">
        <v>3015</v>
      </c>
      <c r="C2884" s="592" t="s">
        <v>3016</v>
      </c>
      <c r="D2884" s="592">
        <v>1</v>
      </c>
      <c r="E2884" s="597">
        <v>23000</v>
      </c>
      <c r="F2884" s="597">
        <v>23000</v>
      </c>
      <c r="G2884" s="597">
        <v>19500</v>
      </c>
      <c r="H2884" s="592" t="s">
        <v>57</v>
      </c>
    </row>
    <row r="2885" spans="1:8" ht="24.75" customHeight="1" x14ac:dyDescent="0.55000000000000004">
      <c r="A2885" s="592">
        <v>2884</v>
      </c>
      <c r="B2885" s="596" t="s">
        <v>5538</v>
      </c>
      <c r="C2885" s="592" t="s">
        <v>7839</v>
      </c>
      <c r="D2885" s="592">
        <v>1</v>
      </c>
      <c r="E2885" s="597">
        <v>42000</v>
      </c>
      <c r="F2885" s="597">
        <v>42000</v>
      </c>
      <c r="G2885" s="597">
        <v>37000</v>
      </c>
      <c r="H2885" s="592" t="s">
        <v>57</v>
      </c>
    </row>
    <row r="2886" spans="1:8" ht="24.75" customHeight="1" x14ac:dyDescent="0.55000000000000004">
      <c r="A2886" s="592">
        <v>2885</v>
      </c>
      <c r="B2886" s="596" t="s">
        <v>5539</v>
      </c>
      <c r="C2886" s="592" t="s">
        <v>5540</v>
      </c>
      <c r="D2886" s="592">
        <v>1</v>
      </c>
      <c r="E2886" s="597">
        <v>98000</v>
      </c>
      <c r="F2886" s="597">
        <v>98000</v>
      </c>
      <c r="G2886" s="597">
        <v>70000</v>
      </c>
      <c r="H2886" s="592" t="s">
        <v>57</v>
      </c>
    </row>
    <row r="2887" spans="1:8" ht="24.75" customHeight="1" x14ac:dyDescent="0.55000000000000004">
      <c r="A2887" s="592">
        <v>2886</v>
      </c>
      <c r="B2887" s="596" t="s">
        <v>5541</v>
      </c>
      <c r="C2887" s="592" t="s">
        <v>7840</v>
      </c>
      <c r="D2887" s="592">
        <v>1</v>
      </c>
      <c r="E2887" s="597">
        <v>35000</v>
      </c>
      <c r="F2887" s="597">
        <v>35000</v>
      </c>
      <c r="G2887" s="597">
        <v>28500</v>
      </c>
      <c r="H2887" s="592" t="s">
        <v>57</v>
      </c>
    </row>
    <row r="2888" spans="1:8" ht="24.75" customHeight="1" x14ac:dyDescent="0.55000000000000004">
      <c r="A2888" s="592">
        <v>2887</v>
      </c>
      <c r="B2888" s="596" t="s">
        <v>6150</v>
      </c>
      <c r="C2888" s="592" t="s">
        <v>6151</v>
      </c>
      <c r="D2888" s="592">
        <v>2</v>
      </c>
      <c r="E2888" s="597">
        <v>1300</v>
      </c>
      <c r="F2888" s="597">
        <v>1300</v>
      </c>
      <c r="G2888" s="597">
        <v>1600</v>
      </c>
      <c r="H2888" s="592" t="s">
        <v>57</v>
      </c>
    </row>
    <row r="2889" spans="1:8" ht="24.75" customHeight="1" x14ac:dyDescent="0.55000000000000004">
      <c r="A2889" s="592">
        <v>2888</v>
      </c>
      <c r="B2889" s="596" t="s">
        <v>3473</v>
      </c>
      <c r="C2889" s="592" t="s">
        <v>3474</v>
      </c>
      <c r="D2889" s="592">
        <v>3</v>
      </c>
      <c r="E2889" s="597">
        <v>1300</v>
      </c>
      <c r="F2889" s="597">
        <v>1300</v>
      </c>
      <c r="G2889" s="597">
        <v>2400</v>
      </c>
      <c r="H2889" s="592" t="s">
        <v>57</v>
      </c>
    </row>
    <row r="2890" spans="1:8" ht="24.75" customHeight="1" x14ac:dyDescent="0.55000000000000004">
      <c r="A2890" s="592">
        <v>2889</v>
      </c>
      <c r="B2890" s="596" t="s">
        <v>5542</v>
      </c>
      <c r="C2890" s="592" t="s">
        <v>7841</v>
      </c>
      <c r="D2890" s="592">
        <v>9</v>
      </c>
      <c r="E2890" s="597">
        <v>200</v>
      </c>
      <c r="F2890" s="597">
        <v>200</v>
      </c>
      <c r="G2890" s="597">
        <v>1350</v>
      </c>
      <c r="H2890" s="592" t="s">
        <v>57</v>
      </c>
    </row>
    <row r="2891" spans="1:8" ht="24.75" customHeight="1" x14ac:dyDescent="0.55000000000000004">
      <c r="A2891" s="592">
        <v>2890</v>
      </c>
      <c r="B2891" s="596" t="s">
        <v>5543</v>
      </c>
      <c r="C2891" s="592" t="s">
        <v>5544</v>
      </c>
      <c r="D2891" s="592">
        <v>1</v>
      </c>
      <c r="E2891" s="597">
        <v>1200</v>
      </c>
      <c r="F2891" s="597">
        <v>1200</v>
      </c>
      <c r="G2891" s="597">
        <v>1000</v>
      </c>
      <c r="H2891" s="592" t="s">
        <v>57</v>
      </c>
    </row>
    <row r="2892" spans="1:8" ht="24.75" customHeight="1" x14ac:dyDescent="0.55000000000000004">
      <c r="A2892" s="592">
        <v>2891</v>
      </c>
      <c r="B2892" s="596" t="s">
        <v>5545</v>
      </c>
      <c r="C2892" s="592" t="s">
        <v>5546</v>
      </c>
      <c r="D2892" s="592">
        <v>2</v>
      </c>
      <c r="E2892" s="597">
        <v>130000</v>
      </c>
      <c r="F2892" s="597">
        <v>130000</v>
      </c>
      <c r="G2892" s="597">
        <v>230000</v>
      </c>
      <c r="H2892" s="592" t="s">
        <v>57</v>
      </c>
    </row>
    <row r="2893" spans="1:8" ht="24.75" customHeight="1" x14ac:dyDescent="0.55000000000000004">
      <c r="A2893" s="592">
        <v>2892</v>
      </c>
      <c r="B2893" s="596" t="s">
        <v>7457</v>
      </c>
      <c r="C2893" s="592" t="s">
        <v>7458</v>
      </c>
      <c r="D2893" s="592">
        <v>1</v>
      </c>
      <c r="E2893" s="597">
        <v>173000</v>
      </c>
      <c r="F2893" s="597">
        <v>173000</v>
      </c>
      <c r="G2893" s="597">
        <v>152000</v>
      </c>
      <c r="H2893" s="592" t="s">
        <v>57</v>
      </c>
    </row>
    <row r="2894" spans="1:8" ht="24.75" customHeight="1" x14ac:dyDescent="0.55000000000000004">
      <c r="A2894" s="592">
        <v>2893</v>
      </c>
      <c r="B2894" s="596" t="s">
        <v>6620</v>
      </c>
      <c r="C2894" s="592" t="s">
        <v>6898</v>
      </c>
      <c r="D2894" s="592">
        <v>1</v>
      </c>
      <c r="E2894" s="597">
        <v>45000</v>
      </c>
      <c r="F2894" s="597">
        <v>45000</v>
      </c>
      <c r="G2894" s="597">
        <v>37000</v>
      </c>
      <c r="H2894" s="592" t="s">
        <v>57</v>
      </c>
    </row>
    <row r="2895" spans="1:8" ht="24.75" customHeight="1" x14ac:dyDescent="0.55000000000000004">
      <c r="A2895" s="592">
        <v>2894</v>
      </c>
      <c r="B2895" s="596" t="s">
        <v>5547</v>
      </c>
      <c r="C2895" s="592" t="s">
        <v>5548</v>
      </c>
      <c r="D2895" s="592">
        <v>1</v>
      </c>
      <c r="E2895" s="597">
        <v>625000</v>
      </c>
      <c r="F2895" s="597">
        <v>625000</v>
      </c>
      <c r="G2895" s="597">
        <v>585000</v>
      </c>
      <c r="H2895" s="592" t="s">
        <v>57</v>
      </c>
    </row>
    <row r="2896" spans="1:8" ht="24.75" customHeight="1" x14ac:dyDescent="0.55000000000000004">
      <c r="A2896" s="592">
        <v>2895</v>
      </c>
      <c r="B2896" s="596" t="s">
        <v>3475</v>
      </c>
      <c r="C2896" s="592" t="s">
        <v>3476</v>
      </c>
      <c r="D2896" s="592">
        <v>1</v>
      </c>
      <c r="E2896" s="597">
        <v>16000</v>
      </c>
      <c r="F2896" s="597">
        <v>16000</v>
      </c>
      <c r="G2896" s="597">
        <v>13500</v>
      </c>
      <c r="H2896" s="592" t="s">
        <v>57</v>
      </c>
    </row>
    <row r="2897" spans="1:8" ht="24.75" customHeight="1" x14ac:dyDescent="0.55000000000000004">
      <c r="A2897" s="592">
        <v>2896</v>
      </c>
      <c r="B2897" s="596" t="s">
        <v>5549</v>
      </c>
      <c r="C2897" s="592" t="s">
        <v>5550</v>
      </c>
      <c r="D2897" s="592">
        <v>1</v>
      </c>
      <c r="E2897" s="597">
        <v>17000</v>
      </c>
      <c r="F2897" s="597">
        <v>17000</v>
      </c>
      <c r="G2897" s="597">
        <v>13500</v>
      </c>
      <c r="H2897" s="592" t="s">
        <v>57</v>
      </c>
    </row>
    <row r="2898" spans="1:8" ht="24.75" customHeight="1" x14ac:dyDescent="0.55000000000000004">
      <c r="A2898" s="592">
        <v>2897</v>
      </c>
      <c r="B2898" s="596" t="s">
        <v>8867</v>
      </c>
      <c r="C2898" s="592" t="s">
        <v>8868</v>
      </c>
      <c r="D2898" s="592">
        <v>5</v>
      </c>
      <c r="E2898" s="597">
        <v>35000</v>
      </c>
      <c r="F2898" s="597">
        <v>35000</v>
      </c>
      <c r="G2898" s="597">
        <v>140000</v>
      </c>
      <c r="H2898" s="592" t="s">
        <v>57</v>
      </c>
    </row>
    <row r="2899" spans="1:8" ht="24.75" customHeight="1" x14ac:dyDescent="0.55000000000000004">
      <c r="A2899" s="592">
        <v>2898</v>
      </c>
      <c r="B2899" s="596" t="s">
        <v>5551</v>
      </c>
      <c r="C2899" s="592" t="s">
        <v>7842</v>
      </c>
      <c r="D2899" s="592">
        <v>1</v>
      </c>
      <c r="E2899" s="597">
        <v>167000</v>
      </c>
      <c r="F2899" s="597">
        <v>167000</v>
      </c>
      <c r="G2899" s="597">
        <v>152000</v>
      </c>
      <c r="H2899" s="592" t="s">
        <v>57</v>
      </c>
    </row>
    <row r="2900" spans="1:8" ht="24.75" customHeight="1" x14ac:dyDescent="0.55000000000000004">
      <c r="A2900" s="592">
        <v>2899</v>
      </c>
      <c r="B2900" s="596" t="s">
        <v>5552</v>
      </c>
      <c r="C2900" s="592" t="s">
        <v>5553</v>
      </c>
      <c r="D2900" s="592">
        <v>1</v>
      </c>
      <c r="E2900" s="597">
        <v>135000</v>
      </c>
      <c r="F2900" s="597">
        <v>135000</v>
      </c>
      <c r="G2900" s="597">
        <v>125000</v>
      </c>
      <c r="H2900" s="592" t="s">
        <v>57</v>
      </c>
    </row>
    <row r="2901" spans="1:8" ht="24.75" customHeight="1" x14ac:dyDescent="0.55000000000000004">
      <c r="A2901" s="592">
        <v>2900</v>
      </c>
      <c r="B2901" s="596" t="s">
        <v>5554</v>
      </c>
      <c r="C2901" s="592" t="s">
        <v>5555</v>
      </c>
      <c r="D2901" s="592">
        <v>1</v>
      </c>
      <c r="E2901" s="597">
        <v>146000</v>
      </c>
      <c r="F2901" s="597">
        <v>146000</v>
      </c>
      <c r="G2901" s="597">
        <v>95000</v>
      </c>
      <c r="H2901" s="592" t="s">
        <v>57</v>
      </c>
    </row>
    <row r="2902" spans="1:8" ht="24.75" customHeight="1" x14ac:dyDescent="0.55000000000000004">
      <c r="A2902" s="592">
        <v>2901</v>
      </c>
      <c r="B2902" s="596" t="s">
        <v>5556</v>
      </c>
      <c r="C2902" s="592" t="s">
        <v>5557</v>
      </c>
      <c r="D2902" s="592">
        <v>1</v>
      </c>
      <c r="E2902" s="597">
        <v>50000</v>
      </c>
      <c r="F2902" s="597">
        <v>50000</v>
      </c>
      <c r="G2902" s="597">
        <v>43000</v>
      </c>
      <c r="H2902" s="592" t="s">
        <v>57</v>
      </c>
    </row>
    <row r="2903" spans="1:8" ht="24.75" customHeight="1" x14ac:dyDescent="0.55000000000000004">
      <c r="A2903" s="592">
        <v>2902</v>
      </c>
      <c r="B2903" s="596" t="s">
        <v>5558</v>
      </c>
      <c r="C2903" s="592" t="s">
        <v>5559</v>
      </c>
      <c r="D2903" s="592">
        <v>9</v>
      </c>
      <c r="E2903" s="597">
        <v>1000</v>
      </c>
      <c r="F2903" s="597">
        <v>1000</v>
      </c>
      <c r="G2903" s="597">
        <v>5850</v>
      </c>
      <c r="H2903" s="592" t="s">
        <v>57</v>
      </c>
    </row>
    <row r="2904" spans="1:8" ht="24.75" customHeight="1" x14ac:dyDescent="0.55000000000000004">
      <c r="A2904" s="592">
        <v>2903</v>
      </c>
      <c r="B2904" s="596" t="s">
        <v>6280</v>
      </c>
      <c r="C2904" s="592" t="s">
        <v>6281</v>
      </c>
      <c r="D2904" s="592">
        <v>2</v>
      </c>
      <c r="E2904" s="597">
        <v>225000</v>
      </c>
      <c r="F2904" s="597">
        <v>225000</v>
      </c>
      <c r="G2904" s="597">
        <v>286000</v>
      </c>
      <c r="H2904" s="592" t="s">
        <v>57</v>
      </c>
    </row>
    <row r="2905" spans="1:8" ht="24.75" customHeight="1" x14ac:dyDescent="0.55000000000000004">
      <c r="A2905" s="592">
        <v>2904</v>
      </c>
      <c r="B2905" s="596" t="s">
        <v>6282</v>
      </c>
      <c r="C2905" s="592" t="s">
        <v>6283</v>
      </c>
      <c r="D2905" s="592">
        <v>2</v>
      </c>
      <c r="E2905" s="597">
        <v>115000</v>
      </c>
      <c r="F2905" s="597">
        <v>115000</v>
      </c>
      <c r="G2905" s="597">
        <v>196000</v>
      </c>
      <c r="H2905" s="592" t="s">
        <v>57</v>
      </c>
    </row>
    <row r="2906" spans="1:8" ht="24.75" customHeight="1" x14ac:dyDescent="0.55000000000000004">
      <c r="A2906" s="592">
        <v>2905</v>
      </c>
      <c r="B2906" s="596" t="s">
        <v>7194</v>
      </c>
      <c r="C2906" s="592" t="s">
        <v>7195</v>
      </c>
      <c r="D2906" s="592">
        <v>1</v>
      </c>
      <c r="E2906" s="597">
        <v>50000</v>
      </c>
      <c r="F2906" s="597">
        <v>50000</v>
      </c>
      <c r="G2906" s="597">
        <v>39000</v>
      </c>
      <c r="H2906" s="592" t="s">
        <v>57</v>
      </c>
    </row>
    <row r="2907" spans="1:8" ht="24.75" customHeight="1" x14ac:dyDescent="0.55000000000000004">
      <c r="A2907" s="592">
        <v>2906</v>
      </c>
      <c r="B2907" s="596" t="s">
        <v>6899</v>
      </c>
      <c r="C2907" s="592" t="s">
        <v>6900</v>
      </c>
      <c r="D2907" s="592">
        <v>1</v>
      </c>
      <c r="E2907" s="597">
        <v>20000</v>
      </c>
      <c r="F2907" s="597">
        <v>20000</v>
      </c>
      <c r="G2907" s="597">
        <v>15000</v>
      </c>
      <c r="H2907" s="592" t="s">
        <v>57</v>
      </c>
    </row>
    <row r="2908" spans="1:8" ht="24.75" customHeight="1" x14ac:dyDescent="0.55000000000000004">
      <c r="A2908" s="592">
        <v>2907</v>
      </c>
      <c r="B2908" s="596" t="s">
        <v>6901</v>
      </c>
      <c r="C2908" s="592" t="s">
        <v>6902</v>
      </c>
      <c r="D2908" s="592">
        <v>1</v>
      </c>
      <c r="E2908" s="597">
        <v>2000</v>
      </c>
      <c r="F2908" s="597">
        <v>2000</v>
      </c>
      <c r="G2908" s="597">
        <v>1200</v>
      </c>
      <c r="H2908" s="592" t="s">
        <v>57</v>
      </c>
    </row>
    <row r="2909" spans="1:8" ht="24.75" customHeight="1" x14ac:dyDescent="0.55000000000000004">
      <c r="A2909" s="592">
        <v>2908</v>
      </c>
      <c r="B2909" s="596" t="s">
        <v>7196</v>
      </c>
      <c r="C2909" s="592" t="s">
        <v>7197</v>
      </c>
      <c r="D2909" s="592">
        <v>8</v>
      </c>
      <c r="E2909" s="597">
        <v>2000</v>
      </c>
      <c r="F2909" s="597">
        <v>2000</v>
      </c>
      <c r="G2909" s="597">
        <v>9600</v>
      </c>
      <c r="H2909" s="592" t="s">
        <v>57</v>
      </c>
    </row>
    <row r="2910" spans="1:8" ht="24.75" customHeight="1" x14ac:dyDescent="0.55000000000000004">
      <c r="A2910" s="592">
        <v>2909</v>
      </c>
      <c r="B2910" s="596" t="s">
        <v>7198</v>
      </c>
      <c r="C2910" s="592" t="s">
        <v>7199</v>
      </c>
      <c r="D2910" s="592">
        <v>5</v>
      </c>
      <c r="E2910" s="597">
        <v>3700</v>
      </c>
      <c r="F2910" s="597">
        <v>3700</v>
      </c>
      <c r="G2910" s="597">
        <v>13500</v>
      </c>
      <c r="H2910" s="592" t="s">
        <v>57</v>
      </c>
    </row>
    <row r="2911" spans="1:8" ht="24.75" customHeight="1" x14ac:dyDescent="0.55000000000000004">
      <c r="A2911" s="592">
        <v>2910</v>
      </c>
      <c r="B2911" s="596" t="s">
        <v>1949</v>
      </c>
      <c r="C2911" s="592" t="s">
        <v>1950</v>
      </c>
      <c r="D2911" s="592">
        <v>1</v>
      </c>
      <c r="E2911" s="597">
        <v>5000</v>
      </c>
      <c r="F2911" s="597">
        <v>5000</v>
      </c>
      <c r="G2911" s="597">
        <v>4631</v>
      </c>
      <c r="H2911" s="592" t="s">
        <v>1948</v>
      </c>
    </row>
    <row r="2912" spans="1:8" ht="24.75" customHeight="1" x14ac:dyDescent="0.55000000000000004">
      <c r="A2912" s="592">
        <v>2911</v>
      </c>
      <c r="B2912" s="596" t="s">
        <v>5560</v>
      </c>
      <c r="C2912" s="592" t="s">
        <v>4380</v>
      </c>
      <c r="D2912" s="592">
        <v>1</v>
      </c>
      <c r="E2912" s="597">
        <v>22000</v>
      </c>
      <c r="F2912" s="597">
        <v>22000</v>
      </c>
      <c r="G2912" s="597">
        <v>12500</v>
      </c>
      <c r="H2912" s="592" t="s">
        <v>1397</v>
      </c>
    </row>
    <row r="2913" spans="1:8" ht="24.75" customHeight="1" x14ac:dyDescent="0.55000000000000004">
      <c r="A2913" s="592">
        <v>2912</v>
      </c>
      <c r="B2913" s="596" t="s">
        <v>5561</v>
      </c>
      <c r="C2913" s="592" t="s">
        <v>5562</v>
      </c>
      <c r="D2913" s="592">
        <v>1</v>
      </c>
      <c r="E2913" s="597">
        <v>2000</v>
      </c>
      <c r="F2913" s="597">
        <v>2000</v>
      </c>
      <c r="G2913" s="597">
        <v>1500</v>
      </c>
      <c r="H2913" s="592" t="s">
        <v>933</v>
      </c>
    </row>
    <row r="2914" spans="1:8" ht="24.75" customHeight="1" x14ac:dyDescent="0.55000000000000004">
      <c r="A2914" s="592">
        <v>2913</v>
      </c>
      <c r="B2914" s="596" t="s">
        <v>5563</v>
      </c>
      <c r="C2914" s="592" t="s">
        <v>5564</v>
      </c>
      <c r="D2914" s="592">
        <v>1</v>
      </c>
      <c r="E2914" s="597">
        <v>4500</v>
      </c>
      <c r="F2914" s="597">
        <v>4500</v>
      </c>
      <c r="G2914" s="597">
        <v>3200</v>
      </c>
      <c r="H2914" s="592" t="s">
        <v>933</v>
      </c>
    </row>
    <row r="2915" spans="1:8" ht="24.75" customHeight="1" x14ac:dyDescent="0.55000000000000004">
      <c r="A2915" s="592">
        <v>2914</v>
      </c>
      <c r="B2915" s="596" t="s">
        <v>5565</v>
      </c>
      <c r="C2915" s="592" t="s">
        <v>5566</v>
      </c>
      <c r="D2915" s="592">
        <v>1</v>
      </c>
      <c r="E2915" s="597">
        <v>2500</v>
      </c>
      <c r="F2915" s="597">
        <v>2500</v>
      </c>
      <c r="G2915" s="597">
        <v>2200</v>
      </c>
      <c r="H2915" s="592" t="s">
        <v>1397</v>
      </c>
    </row>
    <row r="2916" spans="1:8" ht="24.75" customHeight="1" x14ac:dyDescent="0.55000000000000004">
      <c r="A2916" s="592">
        <v>2915</v>
      </c>
      <c r="B2916" s="596" t="s">
        <v>5567</v>
      </c>
      <c r="C2916" s="592" t="s">
        <v>7843</v>
      </c>
      <c r="D2916" s="592">
        <v>1</v>
      </c>
      <c r="E2916" s="597">
        <v>15000</v>
      </c>
      <c r="F2916" s="597">
        <v>15000</v>
      </c>
      <c r="G2916" s="597">
        <v>9350</v>
      </c>
      <c r="H2916" s="592" t="s">
        <v>1397</v>
      </c>
    </row>
    <row r="2917" spans="1:8" ht="24.75" customHeight="1" x14ac:dyDescent="0.55000000000000004">
      <c r="A2917" s="592">
        <v>2916</v>
      </c>
      <c r="B2917" s="596" t="s">
        <v>5568</v>
      </c>
      <c r="C2917" s="592" t="s">
        <v>5569</v>
      </c>
      <c r="D2917" s="592">
        <v>1</v>
      </c>
      <c r="E2917" s="597">
        <v>10000</v>
      </c>
      <c r="F2917" s="597">
        <v>10000</v>
      </c>
      <c r="G2917" s="597">
        <v>7000</v>
      </c>
      <c r="H2917" s="592" t="s">
        <v>1397</v>
      </c>
    </row>
    <row r="2918" spans="1:8" ht="24.75" customHeight="1" x14ac:dyDescent="0.55000000000000004">
      <c r="A2918" s="592">
        <v>2917</v>
      </c>
      <c r="B2918" s="596" t="s">
        <v>3477</v>
      </c>
      <c r="C2918" s="592" t="s">
        <v>3478</v>
      </c>
      <c r="D2918" s="592">
        <v>1</v>
      </c>
      <c r="E2918" s="597">
        <v>8500</v>
      </c>
      <c r="F2918" s="597">
        <v>8500</v>
      </c>
      <c r="G2918" s="597">
        <v>3500</v>
      </c>
      <c r="H2918" s="592" t="s">
        <v>1397</v>
      </c>
    </row>
    <row r="2919" spans="1:8" ht="24.75" customHeight="1" x14ac:dyDescent="0.55000000000000004">
      <c r="A2919" s="592">
        <v>2918</v>
      </c>
      <c r="B2919" s="596" t="s">
        <v>6215</v>
      </c>
      <c r="C2919" s="592" t="s">
        <v>6216</v>
      </c>
      <c r="D2919" s="592">
        <v>1</v>
      </c>
      <c r="E2919" s="597">
        <v>5000</v>
      </c>
      <c r="F2919" s="597">
        <v>5000</v>
      </c>
      <c r="G2919" s="597">
        <v>2100</v>
      </c>
      <c r="H2919" s="592" t="s">
        <v>1397</v>
      </c>
    </row>
    <row r="2920" spans="1:8" ht="24.75" customHeight="1" x14ac:dyDescent="0.55000000000000004">
      <c r="A2920" s="592">
        <v>2919</v>
      </c>
      <c r="B2920" s="596" t="s">
        <v>6152</v>
      </c>
      <c r="C2920" s="592" t="s">
        <v>6153</v>
      </c>
      <c r="D2920" s="592">
        <v>1</v>
      </c>
      <c r="E2920" s="597">
        <v>6000</v>
      </c>
      <c r="F2920" s="597">
        <v>6000</v>
      </c>
      <c r="G2920" s="597">
        <v>5000</v>
      </c>
      <c r="H2920" s="592" t="s">
        <v>1397</v>
      </c>
    </row>
    <row r="2921" spans="1:8" ht="24.75" customHeight="1" x14ac:dyDescent="0.55000000000000004">
      <c r="A2921" s="592">
        <v>2920</v>
      </c>
      <c r="B2921" s="596" t="s">
        <v>5570</v>
      </c>
      <c r="C2921" s="592" t="s">
        <v>5571</v>
      </c>
      <c r="D2921" s="592">
        <v>1</v>
      </c>
      <c r="E2921" s="597">
        <v>35000</v>
      </c>
      <c r="F2921" s="597">
        <v>35000</v>
      </c>
      <c r="G2921" s="597">
        <v>28350</v>
      </c>
      <c r="H2921" s="592" t="s">
        <v>933</v>
      </c>
    </row>
    <row r="2922" spans="1:8" ht="24.75" customHeight="1" x14ac:dyDescent="0.55000000000000004">
      <c r="A2922" s="592">
        <v>2921</v>
      </c>
      <c r="B2922" s="596" t="s">
        <v>5572</v>
      </c>
      <c r="C2922" s="592" t="s">
        <v>7844</v>
      </c>
      <c r="D2922" s="592">
        <v>1</v>
      </c>
      <c r="E2922" s="597">
        <v>30000</v>
      </c>
      <c r="F2922" s="597">
        <v>30000</v>
      </c>
      <c r="G2922" s="597">
        <v>24792</v>
      </c>
      <c r="H2922" s="592" t="s">
        <v>933</v>
      </c>
    </row>
    <row r="2923" spans="1:8" ht="24.75" customHeight="1" x14ac:dyDescent="0.55000000000000004">
      <c r="A2923" s="592">
        <v>2922</v>
      </c>
      <c r="B2923" s="596" t="s">
        <v>5573</v>
      </c>
      <c r="C2923" s="592" t="s">
        <v>5574</v>
      </c>
      <c r="D2923" s="592">
        <v>2</v>
      </c>
      <c r="E2923" s="597">
        <v>33500</v>
      </c>
      <c r="F2923" s="597">
        <v>33500</v>
      </c>
      <c r="G2923" s="597">
        <v>53000</v>
      </c>
      <c r="H2923" s="592" t="s">
        <v>933</v>
      </c>
    </row>
    <row r="2924" spans="1:8" ht="24.75" customHeight="1" x14ac:dyDescent="0.55000000000000004">
      <c r="A2924" s="592">
        <v>2923</v>
      </c>
      <c r="B2924" s="596" t="s">
        <v>3303</v>
      </c>
      <c r="C2924" s="592" t="s">
        <v>7845</v>
      </c>
      <c r="D2924" s="592">
        <v>2</v>
      </c>
      <c r="E2924" s="597">
        <v>520000</v>
      </c>
      <c r="F2924" s="597">
        <v>520000</v>
      </c>
      <c r="G2924" s="597">
        <v>966000</v>
      </c>
      <c r="H2924" s="592" t="s">
        <v>1397</v>
      </c>
    </row>
    <row r="2925" spans="1:8" ht="24.75" customHeight="1" x14ac:dyDescent="0.55000000000000004">
      <c r="A2925" s="592">
        <v>2924</v>
      </c>
      <c r="B2925" s="596" t="s">
        <v>5575</v>
      </c>
      <c r="C2925" s="592" t="s">
        <v>7846</v>
      </c>
      <c r="D2925" s="592">
        <v>1</v>
      </c>
      <c r="E2925" s="597">
        <v>40000</v>
      </c>
      <c r="F2925" s="597">
        <v>40000</v>
      </c>
      <c r="G2925" s="597">
        <v>28000</v>
      </c>
      <c r="H2925" s="592" t="s">
        <v>1397</v>
      </c>
    </row>
    <row r="2926" spans="1:8" ht="24.75" customHeight="1" x14ac:dyDescent="0.55000000000000004">
      <c r="A2926" s="592">
        <v>2925</v>
      </c>
      <c r="B2926" s="596" t="s">
        <v>3304</v>
      </c>
      <c r="C2926" s="592" t="s">
        <v>7459</v>
      </c>
      <c r="D2926" s="592">
        <v>2</v>
      </c>
      <c r="E2926" s="597">
        <v>580000</v>
      </c>
      <c r="F2926" s="597">
        <v>580000</v>
      </c>
      <c r="G2926" s="597">
        <v>976000</v>
      </c>
      <c r="H2926" s="592" t="s">
        <v>1397</v>
      </c>
    </row>
    <row r="2927" spans="1:8" ht="24.75" customHeight="1" x14ac:dyDescent="0.55000000000000004">
      <c r="A2927" s="592">
        <v>2926</v>
      </c>
      <c r="B2927" s="596" t="s">
        <v>5576</v>
      </c>
      <c r="C2927" s="592" t="s">
        <v>5577</v>
      </c>
      <c r="D2927" s="592">
        <v>2</v>
      </c>
      <c r="E2927" s="597">
        <v>4500</v>
      </c>
      <c r="F2927" s="597">
        <v>4500</v>
      </c>
      <c r="G2927" s="597">
        <v>4236</v>
      </c>
      <c r="H2927" s="592" t="s">
        <v>1877</v>
      </c>
    </row>
    <row r="2928" spans="1:8" ht="24.75" customHeight="1" x14ac:dyDescent="0.55000000000000004">
      <c r="A2928" s="592">
        <v>2927</v>
      </c>
      <c r="B2928" s="596" t="s">
        <v>5578</v>
      </c>
      <c r="C2928" s="592" t="s">
        <v>5579</v>
      </c>
      <c r="D2928" s="592">
        <v>3</v>
      </c>
      <c r="E2928" s="597">
        <v>55000</v>
      </c>
      <c r="F2928" s="597">
        <v>55000</v>
      </c>
      <c r="G2928" s="597">
        <v>103410</v>
      </c>
      <c r="H2928" s="592" t="s">
        <v>1877</v>
      </c>
    </row>
    <row r="2929" spans="1:8" ht="24.75" customHeight="1" x14ac:dyDescent="0.55000000000000004">
      <c r="A2929" s="592">
        <v>2928</v>
      </c>
      <c r="B2929" s="596" t="s">
        <v>1951</v>
      </c>
      <c r="C2929" s="592" t="s">
        <v>1952</v>
      </c>
      <c r="D2929" s="592">
        <v>1</v>
      </c>
      <c r="E2929" s="597">
        <v>4200</v>
      </c>
      <c r="F2929" s="597">
        <v>4200</v>
      </c>
      <c r="G2929" s="597">
        <v>3208</v>
      </c>
      <c r="H2929" s="592" t="s">
        <v>1877</v>
      </c>
    </row>
    <row r="2930" spans="1:8" ht="24.75" customHeight="1" x14ac:dyDescent="0.55000000000000004">
      <c r="A2930" s="592">
        <v>2929</v>
      </c>
      <c r="B2930" s="596" t="s">
        <v>6361</v>
      </c>
      <c r="C2930" s="592" t="s">
        <v>6362</v>
      </c>
      <c r="D2930" s="592">
        <v>1</v>
      </c>
      <c r="E2930" s="597">
        <v>4500</v>
      </c>
      <c r="F2930" s="597">
        <v>4500</v>
      </c>
      <c r="G2930" s="597">
        <v>2410</v>
      </c>
      <c r="H2930" s="592" t="s">
        <v>1877</v>
      </c>
    </row>
    <row r="2931" spans="1:8" ht="24.75" customHeight="1" x14ac:dyDescent="0.55000000000000004">
      <c r="A2931" s="592">
        <v>2930</v>
      </c>
      <c r="B2931" s="596" t="s">
        <v>5580</v>
      </c>
      <c r="C2931" s="592" t="s">
        <v>5581</v>
      </c>
      <c r="D2931" s="592">
        <v>7</v>
      </c>
      <c r="E2931" s="597">
        <v>7000</v>
      </c>
      <c r="F2931" s="597">
        <v>7000</v>
      </c>
      <c r="G2931" s="597">
        <v>29274</v>
      </c>
      <c r="H2931" s="592" t="s">
        <v>1877</v>
      </c>
    </row>
    <row r="2932" spans="1:8" ht="24.75" customHeight="1" x14ac:dyDescent="0.55000000000000004">
      <c r="A2932" s="592">
        <v>2931</v>
      </c>
      <c r="B2932" s="596" t="s">
        <v>5582</v>
      </c>
      <c r="C2932" s="592" t="s">
        <v>5583</v>
      </c>
      <c r="D2932" s="592">
        <v>3</v>
      </c>
      <c r="E2932" s="597">
        <v>5500</v>
      </c>
      <c r="F2932" s="597">
        <v>5500</v>
      </c>
      <c r="G2932" s="597">
        <v>7851</v>
      </c>
      <c r="H2932" s="592" t="s">
        <v>1877</v>
      </c>
    </row>
    <row r="2933" spans="1:8" ht="24.75" customHeight="1" x14ac:dyDescent="0.55000000000000004">
      <c r="A2933" s="592">
        <v>2932</v>
      </c>
      <c r="B2933" s="596" t="s">
        <v>5584</v>
      </c>
      <c r="C2933" s="592" t="s">
        <v>5585</v>
      </c>
      <c r="D2933" s="592">
        <v>1</v>
      </c>
      <c r="E2933" s="597">
        <v>1500</v>
      </c>
      <c r="F2933" s="597">
        <v>1500</v>
      </c>
      <c r="G2933" s="597">
        <v>1020</v>
      </c>
      <c r="H2933" s="592" t="s">
        <v>1877</v>
      </c>
    </row>
    <row r="2934" spans="1:8" ht="24.75" customHeight="1" x14ac:dyDescent="0.55000000000000004">
      <c r="A2934" s="592">
        <v>2933</v>
      </c>
      <c r="B2934" s="596" t="s">
        <v>1953</v>
      </c>
      <c r="C2934" s="592" t="s">
        <v>1954</v>
      </c>
      <c r="D2934" s="592">
        <v>3</v>
      </c>
      <c r="E2934" s="597">
        <v>2000</v>
      </c>
      <c r="F2934" s="597">
        <v>2000</v>
      </c>
      <c r="G2934" s="597">
        <v>2685</v>
      </c>
      <c r="H2934" s="592" t="s">
        <v>1877</v>
      </c>
    </row>
    <row r="2935" spans="1:8" ht="24.75" customHeight="1" x14ac:dyDescent="0.55000000000000004">
      <c r="A2935" s="592">
        <v>2934</v>
      </c>
      <c r="B2935" s="596" t="s">
        <v>1955</v>
      </c>
      <c r="C2935" s="592" t="s">
        <v>1956</v>
      </c>
      <c r="D2935" s="592">
        <v>2</v>
      </c>
      <c r="E2935" s="597">
        <v>10000</v>
      </c>
      <c r="F2935" s="597">
        <v>10000</v>
      </c>
      <c r="G2935" s="597">
        <v>9636</v>
      </c>
      <c r="H2935" s="592" t="s">
        <v>1877</v>
      </c>
    </row>
    <row r="2936" spans="1:8" ht="24.75" customHeight="1" x14ac:dyDescent="0.55000000000000004">
      <c r="A2936" s="592">
        <v>2935</v>
      </c>
      <c r="B2936" s="596" t="s">
        <v>5586</v>
      </c>
      <c r="C2936" s="592" t="s">
        <v>5587</v>
      </c>
      <c r="D2936" s="592">
        <v>1</v>
      </c>
      <c r="E2936" s="597">
        <v>8000</v>
      </c>
      <c r="F2936" s="597">
        <v>8000</v>
      </c>
      <c r="G2936" s="597">
        <v>5625</v>
      </c>
      <c r="H2936" s="592" t="s">
        <v>1877</v>
      </c>
    </row>
    <row r="2937" spans="1:8" ht="24.75" customHeight="1" x14ac:dyDescent="0.55000000000000004">
      <c r="A2937" s="592">
        <v>2936</v>
      </c>
      <c r="B2937" s="596" t="s">
        <v>5588</v>
      </c>
      <c r="C2937" s="592" t="s">
        <v>5589</v>
      </c>
      <c r="D2937" s="592">
        <v>1</v>
      </c>
      <c r="E2937" s="597">
        <v>7000</v>
      </c>
      <c r="F2937" s="597">
        <v>7000</v>
      </c>
      <c r="G2937" s="597">
        <v>5050</v>
      </c>
      <c r="H2937" s="592" t="s">
        <v>1877</v>
      </c>
    </row>
    <row r="2938" spans="1:8" ht="24.75" customHeight="1" x14ac:dyDescent="0.55000000000000004">
      <c r="A2938" s="592">
        <v>2937</v>
      </c>
      <c r="B2938" s="596" t="s">
        <v>1957</v>
      </c>
      <c r="C2938" s="592" t="s">
        <v>1958</v>
      </c>
      <c r="D2938" s="592">
        <v>1</v>
      </c>
      <c r="E2938" s="597">
        <v>1500</v>
      </c>
      <c r="F2938" s="597">
        <v>1500</v>
      </c>
      <c r="G2938" s="597">
        <v>950</v>
      </c>
      <c r="H2938" s="592" t="s">
        <v>1877</v>
      </c>
    </row>
    <row r="2939" spans="1:8" ht="24.75" customHeight="1" x14ac:dyDescent="0.55000000000000004">
      <c r="A2939" s="592">
        <v>2938</v>
      </c>
      <c r="B2939" s="596" t="s">
        <v>1959</v>
      </c>
      <c r="C2939" s="592" t="s">
        <v>1960</v>
      </c>
      <c r="D2939" s="592">
        <v>1</v>
      </c>
      <c r="E2939" s="597">
        <v>45000</v>
      </c>
      <c r="F2939" s="597">
        <v>45000</v>
      </c>
      <c r="G2939" s="597">
        <v>34440</v>
      </c>
      <c r="H2939" s="592" t="s">
        <v>1877</v>
      </c>
    </row>
    <row r="2940" spans="1:8" ht="24.75" customHeight="1" x14ac:dyDescent="0.55000000000000004">
      <c r="A2940" s="592">
        <v>2939</v>
      </c>
      <c r="B2940" s="596" t="s">
        <v>1961</v>
      </c>
      <c r="C2940" s="592" t="s">
        <v>1962</v>
      </c>
      <c r="D2940" s="592">
        <v>1</v>
      </c>
      <c r="E2940" s="597">
        <v>2000</v>
      </c>
      <c r="F2940" s="597">
        <v>2000</v>
      </c>
      <c r="G2940" s="597">
        <v>918</v>
      </c>
      <c r="H2940" s="592" t="s">
        <v>1877</v>
      </c>
    </row>
    <row r="2941" spans="1:8" ht="24.75" customHeight="1" x14ac:dyDescent="0.55000000000000004">
      <c r="A2941" s="592">
        <v>2940</v>
      </c>
      <c r="B2941" s="596" t="s">
        <v>1963</v>
      </c>
      <c r="C2941" s="592" t="s">
        <v>1964</v>
      </c>
      <c r="D2941" s="592">
        <v>3</v>
      </c>
      <c r="E2941" s="597">
        <v>2500</v>
      </c>
      <c r="F2941" s="597">
        <v>2500</v>
      </c>
      <c r="G2941" s="597">
        <v>3000</v>
      </c>
      <c r="H2941" s="592" t="s">
        <v>1877</v>
      </c>
    </row>
    <row r="2942" spans="1:8" ht="24.75" customHeight="1" x14ac:dyDescent="0.55000000000000004">
      <c r="A2942" s="592">
        <v>2941</v>
      </c>
      <c r="B2942" s="596" t="s">
        <v>5590</v>
      </c>
      <c r="C2942" s="592" t="s">
        <v>5591</v>
      </c>
      <c r="D2942" s="592">
        <v>1</v>
      </c>
      <c r="E2942" s="597">
        <v>37000</v>
      </c>
      <c r="F2942" s="597">
        <v>37000</v>
      </c>
      <c r="G2942" s="597">
        <v>28300</v>
      </c>
      <c r="H2942" s="592" t="s">
        <v>1877</v>
      </c>
    </row>
    <row r="2943" spans="1:8" ht="24.75" customHeight="1" x14ac:dyDescent="0.55000000000000004">
      <c r="A2943" s="592">
        <v>2942</v>
      </c>
      <c r="B2943" s="596" t="s">
        <v>5592</v>
      </c>
      <c r="C2943" s="592" t="s">
        <v>5593</v>
      </c>
      <c r="D2943" s="592">
        <v>1</v>
      </c>
      <c r="E2943" s="597">
        <v>2000</v>
      </c>
      <c r="F2943" s="597">
        <v>2000</v>
      </c>
      <c r="G2943" s="597">
        <v>930</v>
      </c>
      <c r="H2943" s="592" t="s">
        <v>1877</v>
      </c>
    </row>
    <row r="2944" spans="1:8" ht="24.75" customHeight="1" x14ac:dyDescent="0.55000000000000004">
      <c r="A2944" s="592">
        <v>2943</v>
      </c>
      <c r="B2944" s="596" t="s">
        <v>1965</v>
      </c>
      <c r="C2944" s="592" t="s">
        <v>1966</v>
      </c>
      <c r="D2944" s="592">
        <v>4</v>
      </c>
      <c r="E2944" s="597">
        <v>2500</v>
      </c>
      <c r="F2944" s="597">
        <v>2500</v>
      </c>
      <c r="G2944" s="597">
        <v>5280</v>
      </c>
      <c r="H2944" s="592" t="s">
        <v>1877</v>
      </c>
    </row>
    <row r="2945" spans="1:8" ht="24.75" customHeight="1" x14ac:dyDescent="0.55000000000000004">
      <c r="A2945" s="592">
        <v>2944</v>
      </c>
      <c r="B2945" s="596" t="s">
        <v>5594</v>
      </c>
      <c r="C2945" s="592" t="s">
        <v>5595</v>
      </c>
      <c r="D2945" s="592">
        <v>1</v>
      </c>
      <c r="E2945" s="597">
        <v>4000</v>
      </c>
      <c r="F2945" s="597">
        <v>4000</v>
      </c>
      <c r="G2945" s="597">
        <v>2520</v>
      </c>
      <c r="H2945" s="592" t="s">
        <v>1877</v>
      </c>
    </row>
    <row r="2946" spans="1:8" ht="24.75" customHeight="1" x14ac:dyDescent="0.55000000000000004">
      <c r="A2946" s="592">
        <v>2945</v>
      </c>
      <c r="B2946" s="596" t="s">
        <v>5596</v>
      </c>
      <c r="C2946" s="592" t="s">
        <v>5597</v>
      </c>
      <c r="D2946" s="592">
        <v>1</v>
      </c>
      <c r="E2946" s="597">
        <v>3500</v>
      </c>
      <c r="F2946" s="597">
        <v>3500</v>
      </c>
      <c r="G2946" s="597">
        <v>2230</v>
      </c>
      <c r="H2946" s="592" t="s">
        <v>1877</v>
      </c>
    </row>
    <row r="2947" spans="1:8" ht="24.75" customHeight="1" x14ac:dyDescent="0.55000000000000004">
      <c r="A2947" s="592">
        <v>2946</v>
      </c>
      <c r="B2947" s="596" t="s">
        <v>5598</v>
      </c>
      <c r="C2947" s="592" t="s">
        <v>5599</v>
      </c>
      <c r="D2947" s="592">
        <v>1</v>
      </c>
      <c r="E2947" s="597">
        <v>2000</v>
      </c>
      <c r="F2947" s="597">
        <v>2000</v>
      </c>
      <c r="G2947" s="597">
        <v>1270</v>
      </c>
      <c r="H2947" s="592" t="s">
        <v>1877</v>
      </c>
    </row>
    <row r="2948" spans="1:8" ht="24.75" customHeight="1" x14ac:dyDescent="0.55000000000000004">
      <c r="A2948" s="592">
        <v>2947</v>
      </c>
      <c r="B2948" s="596" t="s">
        <v>5600</v>
      </c>
      <c r="C2948" s="592" t="s">
        <v>5601</v>
      </c>
      <c r="D2948" s="592">
        <v>5</v>
      </c>
      <c r="E2948" s="597">
        <v>18000</v>
      </c>
      <c r="F2948" s="597">
        <v>18000</v>
      </c>
      <c r="G2948" s="597">
        <v>46140</v>
      </c>
      <c r="H2948" s="592" t="s">
        <v>1877</v>
      </c>
    </row>
    <row r="2949" spans="1:8" ht="24.75" customHeight="1" x14ac:dyDescent="0.55000000000000004">
      <c r="A2949" s="592">
        <v>2948</v>
      </c>
      <c r="B2949" s="596" t="s">
        <v>5602</v>
      </c>
      <c r="C2949" s="592" t="s">
        <v>5603</v>
      </c>
      <c r="D2949" s="592">
        <v>7</v>
      </c>
      <c r="E2949" s="597">
        <v>7000</v>
      </c>
      <c r="F2949" s="597">
        <v>7000</v>
      </c>
      <c r="G2949" s="597">
        <v>24920</v>
      </c>
      <c r="H2949" s="592" t="s">
        <v>1877</v>
      </c>
    </row>
    <row r="2950" spans="1:8" ht="24.75" customHeight="1" x14ac:dyDescent="0.55000000000000004">
      <c r="A2950" s="592">
        <v>2949</v>
      </c>
      <c r="B2950" s="596" t="s">
        <v>5604</v>
      </c>
      <c r="C2950" s="592" t="s">
        <v>5605</v>
      </c>
      <c r="D2950" s="592">
        <v>2</v>
      </c>
      <c r="E2950" s="597">
        <v>7000</v>
      </c>
      <c r="F2950" s="597">
        <v>7000</v>
      </c>
      <c r="G2950" s="597">
        <v>7604</v>
      </c>
      <c r="H2950" s="592" t="s">
        <v>1877</v>
      </c>
    </row>
    <row r="2951" spans="1:8" ht="24.75" customHeight="1" x14ac:dyDescent="0.55000000000000004">
      <c r="A2951" s="592">
        <v>2950</v>
      </c>
      <c r="B2951" s="596" t="s">
        <v>2451</v>
      </c>
      <c r="C2951" s="592" t="s">
        <v>2452</v>
      </c>
      <c r="D2951" s="592">
        <v>9</v>
      </c>
      <c r="E2951" s="597">
        <v>500</v>
      </c>
      <c r="F2951" s="597">
        <v>500</v>
      </c>
      <c r="G2951" s="597">
        <v>1620</v>
      </c>
      <c r="H2951" s="592" t="s">
        <v>1877</v>
      </c>
    </row>
    <row r="2952" spans="1:8" ht="24.75" customHeight="1" x14ac:dyDescent="0.55000000000000004">
      <c r="A2952" s="592">
        <v>2951</v>
      </c>
      <c r="B2952" s="596" t="s">
        <v>5606</v>
      </c>
      <c r="C2952" s="592" t="s">
        <v>5607</v>
      </c>
      <c r="D2952" s="592">
        <v>11</v>
      </c>
      <c r="E2952" s="597">
        <v>700</v>
      </c>
      <c r="F2952" s="597">
        <v>700</v>
      </c>
      <c r="G2952" s="597">
        <v>3850</v>
      </c>
      <c r="H2952" s="592" t="s">
        <v>1877</v>
      </c>
    </row>
    <row r="2953" spans="1:8" ht="24.75" customHeight="1" x14ac:dyDescent="0.55000000000000004">
      <c r="A2953" s="592">
        <v>2952</v>
      </c>
      <c r="B2953" s="596" t="s">
        <v>5608</v>
      </c>
      <c r="C2953" s="592" t="s">
        <v>5609</v>
      </c>
      <c r="D2953" s="592">
        <v>18</v>
      </c>
      <c r="E2953" s="597">
        <v>500</v>
      </c>
      <c r="F2953" s="597">
        <v>500</v>
      </c>
      <c r="G2953" s="597">
        <v>3024</v>
      </c>
      <c r="H2953" s="592" t="s">
        <v>1877</v>
      </c>
    </row>
    <row r="2954" spans="1:8" ht="24.75" customHeight="1" x14ac:dyDescent="0.55000000000000004">
      <c r="A2954" s="592">
        <v>2953</v>
      </c>
      <c r="B2954" s="596" t="s">
        <v>1967</v>
      </c>
      <c r="C2954" s="592" t="s">
        <v>1968</v>
      </c>
      <c r="D2954" s="592">
        <v>67</v>
      </c>
      <c r="E2954" s="597">
        <v>1000</v>
      </c>
      <c r="F2954" s="597">
        <v>1000</v>
      </c>
      <c r="G2954" s="597">
        <v>43550</v>
      </c>
      <c r="H2954" s="592" t="s">
        <v>1877</v>
      </c>
    </row>
    <row r="2955" spans="1:8" ht="24.75" customHeight="1" x14ac:dyDescent="0.55000000000000004">
      <c r="A2955" s="592">
        <v>2954</v>
      </c>
      <c r="B2955" s="596" t="s">
        <v>5610</v>
      </c>
      <c r="C2955" s="592" t="s">
        <v>5611</v>
      </c>
      <c r="D2955" s="592">
        <v>28</v>
      </c>
      <c r="E2955" s="597">
        <v>400</v>
      </c>
      <c r="F2955" s="597">
        <v>400</v>
      </c>
      <c r="G2955" s="597">
        <v>3612</v>
      </c>
      <c r="H2955" s="592" t="s">
        <v>1877</v>
      </c>
    </row>
    <row r="2956" spans="1:8" ht="24.75" customHeight="1" x14ac:dyDescent="0.55000000000000004">
      <c r="A2956" s="592">
        <v>2955</v>
      </c>
      <c r="B2956" s="596" t="s">
        <v>1969</v>
      </c>
      <c r="C2956" s="592" t="s">
        <v>1970</v>
      </c>
      <c r="D2956" s="592">
        <v>7</v>
      </c>
      <c r="E2956" s="597">
        <v>400</v>
      </c>
      <c r="F2956" s="597">
        <v>400</v>
      </c>
      <c r="G2956" s="597">
        <v>1750</v>
      </c>
      <c r="H2956" s="592" t="s">
        <v>1877</v>
      </c>
    </row>
    <row r="2957" spans="1:8" ht="24.75" customHeight="1" x14ac:dyDescent="0.55000000000000004">
      <c r="A2957" s="592">
        <v>2956</v>
      </c>
      <c r="B2957" s="596" t="s">
        <v>5612</v>
      </c>
      <c r="C2957" s="592" t="s">
        <v>5613</v>
      </c>
      <c r="D2957" s="592">
        <v>8</v>
      </c>
      <c r="E2957" s="597">
        <v>1000</v>
      </c>
      <c r="F2957" s="597">
        <v>1000</v>
      </c>
      <c r="G2957" s="597">
        <v>2600</v>
      </c>
      <c r="H2957" s="592" t="s">
        <v>1877</v>
      </c>
    </row>
    <row r="2958" spans="1:8" ht="24.75" customHeight="1" x14ac:dyDescent="0.55000000000000004">
      <c r="A2958" s="592">
        <v>2957</v>
      </c>
      <c r="B2958" s="596" t="s">
        <v>1971</v>
      </c>
      <c r="C2958" s="592" t="s">
        <v>1972</v>
      </c>
      <c r="D2958" s="592">
        <v>4</v>
      </c>
      <c r="E2958" s="597">
        <v>2500</v>
      </c>
      <c r="F2958" s="597">
        <v>2500</v>
      </c>
      <c r="G2958" s="597">
        <v>3120</v>
      </c>
      <c r="H2958" s="592" t="s">
        <v>1877</v>
      </c>
    </row>
    <row r="2959" spans="1:8" ht="24.75" customHeight="1" x14ac:dyDescent="0.55000000000000004">
      <c r="A2959" s="592">
        <v>2958</v>
      </c>
      <c r="B2959" s="596" t="s">
        <v>5614</v>
      </c>
      <c r="C2959" s="592" t="s">
        <v>5615</v>
      </c>
      <c r="D2959" s="592">
        <v>5</v>
      </c>
      <c r="E2959" s="597">
        <v>2000</v>
      </c>
      <c r="F2959" s="597">
        <v>2000</v>
      </c>
      <c r="G2959" s="597">
        <v>5600</v>
      </c>
      <c r="H2959" s="592" t="s">
        <v>1877</v>
      </c>
    </row>
    <row r="2960" spans="1:8" ht="24.75" customHeight="1" x14ac:dyDescent="0.55000000000000004">
      <c r="A2960" s="592">
        <v>2959</v>
      </c>
      <c r="B2960" s="596" t="s">
        <v>5616</v>
      </c>
      <c r="C2960" s="592" t="s">
        <v>5617</v>
      </c>
      <c r="D2960" s="592">
        <v>1</v>
      </c>
      <c r="E2960" s="597">
        <v>2000</v>
      </c>
      <c r="F2960" s="597">
        <v>2000</v>
      </c>
      <c r="G2960" s="597">
        <v>1006</v>
      </c>
      <c r="H2960" s="592" t="s">
        <v>1877</v>
      </c>
    </row>
    <row r="2961" spans="1:8" ht="24.75" customHeight="1" x14ac:dyDescent="0.55000000000000004">
      <c r="A2961" s="592">
        <v>2960</v>
      </c>
      <c r="B2961" s="596" t="s">
        <v>6363</v>
      </c>
      <c r="C2961" s="592" t="s">
        <v>6364</v>
      </c>
      <c r="D2961" s="592">
        <v>2</v>
      </c>
      <c r="E2961" s="597">
        <v>2500</v>
      </c>
      <c r="F2961" s="597">
        <v>2500</v>
      </c>
      <c r="G2961" s="597">
        <v>1800</v>
      </c>
      <c r="H2961" s="592" t="s">
        <v>1877</v>
      </c>
    </row>
    <row r="2962" spans="1:8" ht="24.75" customHeight="1" x14ac:dyDescent="0.55000000000000004">
      <c r="A2962" s="592">
        <v>2961</v>
      </c>
      <c r="B2962" s="596" t="s">
        <v>5618</v>
      </c>
      <c r="C2962" s="592" t="s">
        <v>5619</v>
      </c>
      <c r="D2962" s="592">
        <v>8</v>
      </c>
      <c r="E2962" s="597">
        <v>6000</v>
      </c>
      <c r="F2962" s="597">
        <v>6000</v>
      </c>
      <c r="G2962" s="597">
        <v>27280</v>
      </c>
      <c r="H2962" s="592" t="s">
        <v>1877</v>
      </c>
    </row>
    <row r="2963" spans="1:8" ht="24.75" customHeight="1" x14ac:dyDescent="0.55000000000000004">
      <c r="A2963" s="592">
        <v>2962</v>
      </c>
      <c r="B2963" s="596" t="s">
        <v>5620</v>
      </c>
      <c r="C2963" s="592" t="s">
        <v>5621</v>
      </c>
      <c r="D2963" s="592">
        <v>5</v>
      </c>
      <c r="E2963" s="597">
        <v>7000</v>
      </c>
      <c r="F2963" s="597">
        <v>7000</v>
      </c>
      <c r="G2963" s="597">
        <v>21660</v>
      </c>
      <c r="H2963" s="592" t="s">
        <v>1877</v>
      </c>
    </row>
    <row r="2964" spans="1:8" ht="24.75" customHeight="1" x14ac:dyDescent="0.55000000000000004">
      <c r="A2964" s="592">
        <v>2963</v>
      </c>
      <c r="B2964" s="596" t="s">
        <v>5622</v>
      </c>
      <c r="C2964" s="592" t="s">
        <v>7847</v>
      </c>
      <c r="D2964" s="592">
        <v>3</v>
      </c>
      <c r="E2964" s="597">
        <v>800</v>
      </c>
      <c r="F2964" s="597">
        <v>800</v>
      </c>
      <c r="G2964" s="597">
        <v>1500</v>
      </c>
      <c r="H2964" s="592" t="s">
        <v>1877</v>
      </c>
    </row>
    <row r="2965" spans="1:8" ht="24.75" customHeight="1" x14ac:dyDescent="0.55000000000000004">
      <c r="A2965" s="592">
        <v>2964</v>
      </c>
      <c r="B2965" s="596" t="s">
        <v>5623</v>
      </c>
      <c r="C2965" s="592" t="s">
        <v>5624</v>
      </c>
      <c r="D2965" s="592">
        <v>1</v>
      </c>
      <c r="E2965" s="597">
        <v>15000</v>
      </c>
      <c r="F2965" s="597">
        <v>15000</v>
      </c>
      <c r="G2965" s="597">
        <v>8280</v>
      </c>
      <c r="H2965" s="592" t="s">
        <v>1877</v>
      </c>
    </row>
    <row r="2966" spans="1:8" ht="24.75" customHeight="1" x14ac:dyDescent="0.55000000000000004">
      <c r="A2966" s="592">
        <v>2965</v>
      </c>
      <c r="B2966" s="596" t="s">
        <v>5625</v>
      </c>
      <c r="C2966" s="592" t="s">
        <v>5626</v>
      </c>
      <c r="D2966" s="592">
        <v>1</v>
      </c>
      <c r="E2966" s="597">
        <v>60000</v>
      </c>
      <c r="F2966" s="597">
        <v>60000</v>
      </c>
      <c r="G2966" s="597">
        <v>44842</v>
      </c>
      <c r="H2966" s="592" t="s">
        <v>1877</v>
      </c>
    </row>
    <row r="2967" spans="1:8" ht="24.75" customHeight="1" x14ac:dyDescent="0.55000000000000004">
      <c r="A2967" s="592">
        <v>2966</v>
      </c>
      <c r="B2967" s="596" t="s">
        <v>5627</v>
      </c>
      <c r="C2967" s="592" t="s">
        <v>5628</v>
      </c>
      <c r="D2967" s="592">
        <v>10</v>
      </c>
      <c r="E2967" s="597">
        <v>1200</v>
      </c>
      <c r="F2967" s="597">
        <v>1200</v>
      </c>
      <c r="G2967" s="597">
        <v>8450</v>
      </c>
      <c r="H2967" s="592" t="s">
        <v>1877</v>
      </c>
    </row>
    <row r="2968" spans="1:8" ht="24.75" customHeight="1" x14ac:dyDescent="0.55000000000000004">
      <c r="A2968" s="592">
        <v>2967</v>
      </c>
      <c r="B2968" s="596" t="s">
        <v>5629</v>
      </c>
      <c r="C2968" s="592" t="s">
        <v>5630</v>
      </c>
      <c r="D2968" s="592">
        <v>20</v>
      </c>
      <c r="E2968" s="597">
        <v>6000</v>
      </c>
      <c r="F2968" s="597">
        <v>6000</v>
      </c>
      <c r="G2968" s="597">
        <v>120000</v>
      </c>
      <c r="H2968" s="592" t="s">
        <v>1877</v>
      </c>
    </row>
    <row r="2969" spans="1:8" ht="24.75" customHeight="1" x14ac:dyDescent="0.55000000000000004">
      <c r="A2969" s="592">
        <v>2968</v>
      </c>
      <c r="B2969" s="596" t="s">
        <v>5631</v>
      </c>
      <c r="C2969" s="592" t="s">
        <v>7848</v>
      </c>
      <c r="D2969" s="592">
        <v>13</v>
      </c>
      <c r="E2969" s="597">
        <v>400</v>
      </c>
      <c r="F2969" s="597">
        <v>400</v>
      </c>
      <c r="G2969" s="597">
        <v>2769</v>
      </c>
      <c r="H2969" s="592" t="s">
        <v>1877</v>
      </c>
    </row>
    <row r="2970" spans="1:8" ht="24.75" customHeight="1" x14ac:dyDescent="0.55000000000000004">
      <c r="A2970" s="592">
        <v>2969</v>
      </c>
      <c r="B2970" s="596" t="s">
        <v>5632</v>
      </c>
      <c r="C2970" s="592" t="s">
        <v>5633</v>
      </c>
      <c r="D2970" s="592">
        <v>2</v>
      </c>
      <c r="E2970" s="597">
        <v>15000</v>
      </c>
      <c r="F2970" s="597">
        <v>15000</v>
      </c>
      <c r="G2970" s="597">
        <v>21942</v>
      </c>
      <c r="H2970" s="592" t="s">
        <v>1877</v>
      </c>
    </row>
    <row r="2971" spans="1:8" ht="24.75" customHeight="1" x14ac:dyDescent="0.55000000000000004">
      <c r="A2971" s="592">
        <v>2970</v>
      </c>
      <c r="B2971" s="596" t="s">
        <v>5634</v>
      </c>
      <c r="C2971" s="592" t="s">
        <v>5635</v>
      </c>
      <c r="D2971" s="592">
        <v>6</v>
      </c>
      <c r="E2971" s="597">
        <v>6500</v>
      </c>
      <c r="F2971" s="597">
        <v>6500</v>
      </c>
      <c r="G2971" s="597">
        <v>20820</v>
      </c>
      <c r="H2971" s="592" t="s">
        <v>1877</v>
      </c>
    </row>
    <row r="2972" spans="1:8" ht="24.75" customHeight="1" x14ac:dyDescent="0.55000000000000004">
      <c r="A2972" s="592">
        <v>2971</v>
      </c>
      <c r="B2972" s="596" t="s">
        <v>5636</v>
      </c>
      <c r="C2972" s="592" t="s">
        <v>5637</v>
      </c>
      <c r="D2972" s="592">
        <v>8</v>
      </c>
      <c r="E2972" s="597">
        <v>400</v>
      </c>
      <c r="F2972" s="597">
        <v>400</v>
      </c>
      <c r="G2972" s="597">
        <v>1528</v>
      </c>
      <c r="H2972" s="592" t="s">
        <v>1877</v>
      </c>
    </row>
    <row r="2973" spans="1:8" ht="24.75" customHeight="1" x14ac:dyDescent="0.55000000000000004">
      <c r="A2973" s="592">
        <v>2972</v>
      </c>
      <c r="B2973" s="596" t="s">
        <v>5638</v>
      </c>
      <c r="C2973" s="592" t="s">
        <v>5639</v>
      </c>
      <c r="D2973" s="592">
        <v>1</v>
      </c>
      <c r="E2973" s="597">
        <v>2500</v>
      </c>
      <c r="F2973" s="597">
        <v>2500</v>
      </c>
      <c r="G2973" s="597">
        <v>1961</v>
      </c>
      <c r="H2973" s="592" t="s">
        <v>1877</v>
      </c>
    </row>
    <row r="2974" spans="1:8" ht="24.75" customHeight="1" x14ac:dyDescent="0.55000000000000004">
      <c r="A2974" s="592">
        <v>2973</v>
      </c>
      <c r="B2974" s="596" t="s">
        <v>1975</v>
      </c>
      <c r="C2974" s="592" t="s">
        <v>1976</v>
      </c>
      <c r="D2974" s="592">
        <v>22</v>
      </c>
      <c r="E2974" s="597">
        <v>2800</v>
      </c>
      <c r="F2974" s="597">
        <v>2800</v>
      </c>
      <c r="G2974" s="597">
        <v>30800</v>
      </c>
      <c r="H2974" s="592" t="s">
        <v>1877</v>
      </c>
    </row>
    <row r="2975" spans="1:8" ht="24.75" customHeight="1" x14ac:dyDescent="0.55000000000000004">
      <c r="A2975" s="592">
        <v>2974</v>
      </c>
      <c r="B2975" s="596" t="s">
        <v>5640</v>
      </c>
      <c r="C2975" s="592" t="s">
        <v>5641</v>
      </c>
      <c r="D2975" s="592">
        <v>1</v>
      </c>
      <c r="E2975" s="597">
        <v>5500</v>
      </c>
      <c r="F2975" s="597">
        <v>5500</v>
      </c>
      <c r="G2975" s="597">
        <v>3520</v>
      </c>
      <c r="H2975" s="592" t="s">
        <v>1877</v>
      </c>
    </row>
    <row r="2976" spans="1:8" ht="24.75" customHeight="1" x14ac:dyDescent="0.55000000000000004">
      <c r="A2976" s="592">
        <v>2975</v>
      </c>
      <c r="B2976" s="596" t="s">
        <v>6621</v>
      </c>
      <c r="C2976" s="592" t="s">
        <v>6622</v>
      </c>
      <c r="D2976" s="592">
        <v>2</v>
      </c>
      <c r="E2976" s="597">
        <v>5000</v>
      </c>
      <c r="F2976" s="597">
        <v>5000</v>
      </c>
      <c r="G2976" s="597">
        <v>5526</v>
      </c>
      <c r="H2976" s="592" t="s">
        <v>1877</v>
      </c>
    </row>
    <row r="2977" spans="1:8" ht="24.75" customHeight="1" x14ac:dyDescent="0.55000000000000004">
      <c r="A2977" s="592">
        <v>2976</v>
      </c>
      <c r="B2977" s="596" t="s">
        <v>5642</v>
      </c>
      <c r="C2977" s="592" t="s">
        <v>5643</v>
      </c>
      <c r="D2977" s="592">
        <v>1</v>
      </c>
      <c r="E2977" s="597">
        <v>23000</v>
      </c>
      <c r="F2977" s="597">
        <v>23000</v>
      </c>
      <c r="G2977" s="597">
        <v>17317</v>
      </c>
      <c r="H2977" s="592" t="s">
        <v>1877</v>
      </c>
    </row>
    <row r="2978" spans="1:8" ht="24.75" customHeight="1" x14ac:dyDescent="0.55000000000000004">
      <c r="A2978" s="592">
        <v>2977</v>
      </c>
      <c r="B2978" s="596" t="s">
        <v>5644</v>
      </c>
      <c r="C2978" s="592" t="s">
        <v>5645</v>
      </c>
      <c r="D2978" s="592">
        <v>1</v>
      </c>
      <c r="E2978" s="597">
        <v>5000</v>
      </c>
      <c r="F2978" s="597">
        <v>5000</v>
      </c>
      <c r="G2978" s="597">
        <v>2860</v>
      </c>
      <c r="H2978" s="592" t="s">
        <v>1877</v>
      </c>
    </row>
    <row r="2979" spans="1:8" ht="24.75" customHeight="1" x14ac:dyDescent="0.55000000000000004">
      <c r="A2979" s="592">
        <v>2978</v>
      </c>
      <c r="B2979" s="596" t="s">
        <v>5646</v>
      </c>
      <c r="C2979" s="592" t="s">
        <v>5647</v>
      </c>
      <c r="D2979" s="592">
        <v>10</v>
      </c>
      <c r="E2979" s="597">
        <v>6000</v>
      </c>
      <c r="F2979" s="597">
        <v>6000</v>
      </c>
      <c r="G2979" s="597">
        <v>33840</v>
      </c>
      <c r="H2979" s="592" t="s">
        <v>1877</v>
      </c>
    </row>
    <row r="2980" spans="1:8" ht="24.75" customHeight="1" x14ac:dyDescent="0.55000000000000004">
      <c r="A2980" s="592">
        <v>2979</v>
      </c>
      <c r="B2980" s="596" t="s">
        <v>1977</v>
      </c>
      <c r="C2980" s="592" t="s">
        <v>1978</v>
      </c>
      <c r="D2980" s="592">
        <v>2</v>
      </c>
      <c r="E2980" s="597">
        <v>4000</v>
      </c>
      <c r="F2980" s="597">
        <v>4000</v>
      </c>
      <c r="G2980" s="597">
        <v>4104</v>
      </c>
      <c r="H2980" s="592" t="s">
        <v>1877</v>
      </c>
    </row>
    <row r="2981" spans="1:8" ht="24.75" customHeight="1" x14ac:dyDescent="0.55000000000000004">
      <c r="A2981" s="592">
        <v>2980</v>
      </c>
      <c r="B2981" s="596" t="s">
        <v>5648</v>
      </c>
      <c r="C2981" s="592" t="s">
        <v>5649</v>
      </c>
      <c r="D2981" s="592">
        <v>6</v>
      </c>
      <c r="E2981" s="597">
        <v>4000</v>
      </c>
      <c r="F2981" s="597">
        <v>4000</v>
      </c>
      <c r="G2981" s="597">
        <v>11538</v>
      </c>
      <c r="H2981" s="592" t="s">
        <v>1877</v>
      </c>
    </row>
    <row r="2982" spans="1:8" ht="24.75" customHeight="1" x14ac:dyDescent="0.55000000000000004">
      <c r="A2982" s="592">
        <v>2981</v>
      </c>
      <c r="B2982" s="596" t="s">
        <v>1979</v>
      </c>
      <c r="C2982" s="592" t="s">
        <v>1980</v>
      </c>
      <c r="D2982" s="592">
        <v>1</v>
      </c>
      <c r="E2982" s="597">
        <v>5000</v>
      </c>
      <c r="F2982" s="597">
        <v>5000</v>
      </c>
      <c r="G2982" s="597">
        <v>3631</v>
      </c>
      <c r="H2982" s="592" t="s">
        <v>1877</v>
      </c>
    </row>
    <row r="2983" spans="1:8" ht="24.75" customHeight="1" x14ac:dyDescent="0.55000000000000004">
      <c r="A2983" s="592">
        <v>2982</v>
      </c>
      <c r="B2983" s="596" t="s">
        <v>5650</v>
      </c>
      <c r="C2983" s="592" t="s">
        <v>5651</v>
      </c>
      <c r="D2983" s="592">
        <v>2</v>
      </c>
      <c r="E2983" s="597">
        <v>35000</v>
      </c>
      <c r="F2983" s="597">
        <v>35000</v>
      </c>
      <c r="G2983" s="597">
        <v>52274</v>
      </c>
      <c r="H2983" s="592" t="s">
        <v>1877</v>
      </c>
    </row>
    <row r="2984" spans="1:8" ht="24.75" customHeight="1" x14ac:dyDescent="0.55000000000000004">
      <c r="A2984" s="592">
        <v>2983</v>
      </c>
      <c r="B2984" s="596" t="s">
        <v>5652</v>
      </c>
      <c r="C2984" s="592" t="s">
        <v>5653</v>
      </c>
      <c r="D2984" s="592">
        <v>3</v>
      </c>
      <c r="E2984" s="597">
        <v>31000</v>
      </c>
      <c r="F2984" s="597">
        <v>31000</v>
      </c>
      <c r="G2984" s="597">
        <v>83490</v>
      </c>
      <c r="H2984" s="592" t="s">
        <v>1877</v>
      </c>
    </row>
    <row r="2985" spans="1:8" ht="24.75" customHeight="1" x14ac:dyDescent="0.55000000000000004">
      <c r="A2985" s="592">
        <v>2984</v>
      </c>
      <c r="B2985" s="596" t="s">
        <v>5654</v>
      </c>
      <c r="C2985" s="592" t="s">
        <v>5655</v>
      </c>
      <c r="D2985" s="592">
        <v>1</v>
      </c>
      <c r="E2985" s="597">
        <v>25000</v>
      </c>
      <c r="F2985" s="597">
        <v>25000</v>
      </c>
      <c r="G2985" s="597">
        <v>17200</v>
      </c>
      <c r="H2985" s="592" t="s">
        <v>1877</v>
      </c>
    </row>
    <row r="2986" spans="1:8" ht="24.75" customHeight="1" x14ac:dyDescent="0.55000000000000004">
      <c r="A2986" s="592">
        <v>2985</v>
      </c>
      <c r="B2986" s="596" t="s">
        <v>5656</v>
      </c>
      <c r="C2986" s="592" t="s">
        <v>5657</v>
      </c>
      <c r="D2986" s="592">
        <v>2</v>
      </c>
      <c r="E2986" s="597">
        <v>50000</v>
      </c>
      <c r="F2986" s="597">
        <v>50000</v>
      </c>
      <c r="G2986" s="597">
        <v>80624</v>
      </c>
      <c r="H2986" s="592" t="s">
        <v>1877</v>
      </c>
    </row>
    <row r="2987" spans="1:8" ht="24.75" customHeight="1" x14ac:dyDescent="0.55000000000000004">
      <c r="A2987" s="592">
        <v>2986</v>
      </c>
      <c r="B2987" s="596" t="s">
        <v>5658</v>
      </c>
      <c r="C2987" s="592" t="s">
        <v>7849</v>
      </c>
      <c r="D2987" s="592">
        <v>8</v>
      </c>
      <c r="E2987" s="597">
        <v>7000</v>
      </c>
      <c r="F2987" s="597">
        <v>7000</v>
      </c>
      <c r="G2987" s="597">
        <v>36400</v>
      </c>
      <c r="H2987" s="592" t="s">
        <v>1877</v>
      </c>
    </row>
    <row r="2988" spans="1:8" ht="24.75" customHeight="1" x14ac:dyDescent="0.55000000000000004">
      <c r="A2988" s="592">
        <v>2987</v>
      </c>
      <c r="B2988" s="596" t="s">
        <v>1981</v>
      </c>
      <c r="C2988" s="592" t="s">
        <v>1982</v>
      </c>
      <c r="D2988" s="592">
        <v>13</v>
      </c>
      <c r="E2988" s="597">
        <v>700</v>
      </c>
      <c r="F2988" s="597">
        <v>700</v>
      </c>
      <c r="G2988" s="597">
        <v>5720</v>
      </c>
      <c r="H2988" s="592" t="s">
        <v>1877</v>
      </c>
    </row>
    <row r="2989" spans="1:8" ht="24.75" customHeight="1" x14ac:dyDescent="0.55000000000000004">
      <c r="A2989" s="592">
        <v>2988</v>
      </c>
      <c r="B2989" s="596" t="s">
        <v>1983</v>
      </c>
      <c r="C2989" s="592" t="s">
        <v>1984</v>
      </c>
      <c r="D2989" s="592">
        <v>1</v>
      </c>
      <c r="E2989" s="597">
        <v>500</v>
      </c>
      <c r="F2989" s="597">
        <v>500</v>
      </c>
      <c r="G2989" s="597">
        <v>337</v>
      </c>
      <c r="H2989" s="592" t="s">
        <v>1877</v>
      </c>
    </row>
    <row r="2990" spans="1:8" ht="24.75" customHeight="1" x14ac:dyDescent="0.55000000000000004">
      <c r="A2990" s="592">
        <v>2989</v>
      </c>
      <c r="B2990" s="596" t="s">
        <v>5659</v>
      </c>
      <c r="C2990" s="592" t="s">
        <v>5660</v>
      </c>
      <c r="D2990" s="592">
        <v>3</v>
      </c>
      <c r="E2990" s="597">
        <v>700</v>
      </c>
      <c r="F2990" s="597">
        <v>700</v>
      </c>
      <c r="G2990" s="597">
        <v>1200</v>
      </c>
      <c r="H2990" s="592" t="s">
        <v>1877</v>
      </c>
    </row>
    <row r="2991" spans="1:8" ht="24.75" customHeight="1" x14ac:dyDescent="0.55000000000000004">
      <c r="A2991" s="592">
        <v>2990</v>
      </c>
      <c r="B2991" s="596" t="s">
        <v>5661</v>
      </c>
      <c r="C2991" s="592" t="s">
        <v>5662</v>
      </c>
      <c r="D2991" s="592">
        <v>4</v>
      </c>
      <c r="E2991" s="597">
        <v>20000</v>
      </c>
      <c r="F2991" s="597">
        <v>20000</v>
      </c>
      <c r="G2991" s="597">
        <v>42840</v>
      </c>
      <c r="H2991" s="592" t="s">
        <v>1877</v>
      </c>
    </row>
    <row r="2992" spans="1:8" ht="24.75" customHeight="1" x14ac:dyDescent="0.55000000000000004">
      <c r="A2992" s="592">
        <v>2991</v>
      </c>
      <c r="B2992" s="596" t="s">
        <v>5663</v>
      </c>
      <c r="C2992" s="592" t="s">
        <v>5664</v>
      </c>
      <c r="D2992" s="592">
        <v>1</v>
      </c>
      <c r="E2992" s="597">
        <v>21500</v>
      </c>
      <c r="F2992" s="597">
        <v>21500</v>
      </c>
      <c r="G2992" s="597">
        <v>10710</v>
      </c>
      <c r="H2992" s="592" t="s">
        <v>1877</v>
      </c>
    </row>
    <row r="2993" spans="1:8" ht="24.75" customHeight="1" x14ac:dyDescent="0.55000000000000004">
      <c r="A2993" s="592">
        <v>2992</v>
      </c>
      <c r="B2993" s="596" t="s">
        <v>6365</v>
      </c>
      <c r="C2993" s="592" t="s">
        <v>6366</v>
      </c>
      <c r="D2993" s="592">
        <v>1</v>
      </c>
      <c r="E2993" s="597">
        <v>8000</v>
      </c>
      <c r="F2993" s="597">
        <v>8000</v>
      </c>
      <c r="G2993" s="597">
        <v>3848</v>
      </c>
      <c r="H2993" s="592" t="s">
        <v>1877</v>
      </c>
    </row>
    <row r="2994" spans="1:8" ht="24.75" customHeight="1" x14ac:dyDescent="0.55000000000000004">
      <c r="A2994" s="592">
        <v>2993</v>
      </c>
      <c r="B2994" s="596" t="s">
        <v>5665</v>
      </c>
      <c r="C2994" s="592" t="s">
        <v>5666</v>
      </c>
      <c r="D2994" s="592">
        <v>8</v>
      </c>
      <c r="E2994" s="597">
        <v>8500</v>
      </c>
      <c r="F2994" s="597">
        <v>8500</v>
      </c>
      <c r="G2994" s="597">
        <v>46600</v>
      </c>
      <c r="H2994" s="592" t="s">
        <v>1877</v>
      </c>
    </row>
    <row r="2995" spans="1:8" ht="24.75" customHeight="1" x14ac:dyDescent="0.55000000000000004">
      <c r="A2995" s="592">
        <v>2994</v>
      </c>
      <c r="B2995" s="596" t="s">
        <v>5667</v>
      </c>
      <c r="C2995" s="592" t="s">
        <v>5668</v>
      </c>
      <c r="D2995" s="592">
        <v>40</v>
      </c>
      <c r="E2995" s="597">
        <v>600</v>
      </c>
      <c r="F2995" s="597">
        <v>600</v>
      </c>
      <c r="G2995" s="597">
        <v>16000</v>
      </c>
      <c r="H2995" s="592" t="s">
        <v>1877</v>
      </c>
    </row>
    <row r="2996" spans="1:8" ht="24.75" customHeight="1" x14ac:dyDescent="0.55000000000000004">
      <c r="A2996" s="592">
        <v>2995</v>
      </c>
      <c r="B2996" s="596" t="s">
        <v>5669</v>
      </c>
      <c r="C2996" s="592" t="s">
        <v>5670</v>
      </c>
      <c r="D2996" s="592">
        <v>4</v>
      </c>
      <c r="E2996" s="597">
        <v>2500</v>
      </c>
      <c r="F2996" s="597">
        <v>2500</v>
      </c>
      <c r="G2996" s="597">
        <v>6280</v>
      </c>
      <c r="H2996" s="592" t="s">
        <v>1877</v>
      </c>
    </row>
    <row r="2997" spans="1:8" ht="24.75" customHeight="1" x14ac:dyDescent="0.55000000000000004">
      <c r="A2997" s="592">
        <v>2996</v>
      </c>
      <c r="B2997" s="596" t="s">
        <v>5671</v>
      </c>
      <c r="C2997" s="592" t="s">
        <v>5672</v>
      </c>
      <c r="D2997" s="592">
        <v>2</v>
      </c>
      <c r="E2997" s="597">
        <v>6000</v>
      </c>
      <c r="F2997" s="597">
        <v>6000</v>
      </c>
      <c r="G2997" s="597">
        <v>7460</v>
      </c>
      <c r="H2997" s="592" t="s">
        <v>1877</v>
      </c>
    </row>
    <row r="2998" spans="1:8" ht="24.75" customHeight="1" x14ac:dyDescent="0.55000000000000004">
      <c r="A2998" s="592">
        <v>2997</v>
      </c>
      <c r="B2998" s="596" t="s">
        <v>1985</v>
      </c>
      <c r="C2998" s="592" t="s">
        <v>1986</v>
      </c>
      <c r="D2998" s="592">
        <v>9</v>
      </c>
      <c r="E2998" s="597">
        <v>3500</v>
      </c>
      <c r="F2998" s="597">
        <v>3500</v>
      </c>
      <c r="G2998" s="597">
        <v>18414</v>
      </c>
      <c r="H2998" s="592" t="s">
        <v>1877</v>
      </c>
    </row>
    <row r="2999" spans="1:8" ht="24.75" customHeight="1" x14ac:dyDescent="0.55000000000000004">
      <c r="A2999" s="592">
        <v>2998</v>
      </c>
      <c r="B2999" s="596" t="s">
        <v>5673</v>
      </c>
      <c r="C2999" s="592" t="s">
        <v>5674</v>
      </c>
      <c r="D2999" s="592">
        <v>1</v>
      </c>
      <c r="E2999" s="597">
        <v>5500</v>
      </c>
      <c r="F2999" s="597">
        <v>5500</v>
      </c>
      <c r="G2999" s="597">
        <v>3520</v>
      </c>
      <c r="H2999" s="592" t="s">
        <v>1877</v>
      </c>
    </row>
    <row r="3000" spans="1:8" ht="24.75" customHeight="1" x14ac:dyDescent="0.55000000000000004">
      <c r="A3000" s="592">
        <v>2999</v>
      </c>
      <c r="B3000" s="596" t="s">
        <v>1987</v>
      </c>
      <c r="C3000" s="592" t="s">
        <v>1988</v>
      </c>
      <c r="D3000" s="592">
        <v>1</v>
      </c>
      <c r="E3000" s="597">
        <v>13000</v>
      </c>
      <c r="F3000" s="597">
        <v>13000</v>
      </c>
      <c r="G3000" s="597">
        <v>8040</v>
      </c>
      <c r="H3000" s="592" t="s">
        <v>1877</v>
      </c>
    </row>
    <row r="3001" spans="1:8" ht="24.75" customHeight="1" x14ac:dyDescent="0.55000000000000004">
      <c r="A3001" s="592">
        <v>3000</v>
      </c>
      <c r="B3001" s="596" t="s">
        <v>5675</v>
      </c>
      <c r="C3001" s="592" t="s">
        <v>5676</v>
      </c>
      <c r="D3001" s="592">
        <v>3</v>
      </c>
      <c r="E3001" s="597">
        <v>3500</v>
      </c>
      <c r="F3001" s="597">
        <v>3500</v>
      </c>
      <c r="G3001" s="597">
        <v>8151</v>
      </c>
      <c r="H3001" s="592" t="s">
        <v>1877</v>
      </c>
    </row>
    <row r="3002" spans="1:8" ht="24.75" customHeight="1" x14ac:dyDescent="0.55000000000000004">
      <c r="A3002" s="592">
        <v>3001</v>
      </c>
      <c r="B3002" s="596" t="s">
        <v>5677</v>
      </c>
      <c r="C3002" s="592" t="s">
        <v>5678</v>
      </c>
      <c r="D3002" s="592">
        <v>1</v>
      </c>
      <c r="E3002" s="597">
        <v>1500</v>
      </c>
      <c r="F3002" s="597">
        <v>1500</v>
      </c>
      <c r="G3002" s="597">
        <v>827</v>
      </c>
      <c r="H3002" s="592" t="s">
        <v>1877</v>
      </c>
    </row>
    <row r="3003" spans="1:8" ht="24.75" customHeight="1" x14ac:dyDescent="0.55000000000000004">
      <c r="A3003" s="592">
        <v>3002</v>
      </c>
      <c r="B3003" s="596" t="s">
        <v>5679</v>
      </c>
      <c r="C3003" s="592" t="s">
        <v>5680</v>
      </c>
      <c r="D3003" s="592">
        <v>7</v>
      </c>
      <c r="E3003" s="597">
        <v>1000</v>
      </c>
      <c r="F3003" s="597">
        <v>1000</v>
      </c>
      <c r="G3003" s="597">
        <v>4620</v>
      </c>
      <c r="H3003" s="592" t="s">
        <v>1877</v>
      </c>
    </row>
    <row r="3004" spans="1:8" ht="24.75" customHeight="1" x14ac:dyDescent="0.55000000000000004">
      <c r="A3004" s="592">
        <v>3003</v>
      </c>
      <c r="B3004" s="596" t="s">
        <v>1989</v>
      </c>
      <c r="C3004" s="592" t="s">
        <v>1990</v>
      </c>
      <c r="D3004" s="592">
        <v>4</v>
      </c>
      <c r="E3004" s="597">
        <v>5000</v>
      </c>
      <c r="F3004" s="597">
        <v>5000</v>
      </c>
      <c r="G3004" s="597">
        <v>12412</v>
      </c>
      <c r="H3004" s="592" t="s">
        <v>1877</v>
      </c>
    </row>
    <row r="3005" spans="1:8" ht="24.75" customHeight="1" x14ac:dyDescent="0.55000000000000004">
      <c r="A3005" s="592">
        <v>3004</v>
      </c>
      <c r="B3005" s="596" t="s">
        <v>1991</v>
      </c>
      <c r="C3005" s="592" t="s">
        <v>1992</v>
      </c>
      <c r="D3005" s="592">
        <v>13</v>
      </c>
      <c r="E3005" s="597">
        <v>1500</v>
      </c>
      <c r="F3005" s="597">
        <v>1500</v>
      </c>
      <c r="G3005" s="597">
        <v>9750</v>
      </c>
      <c r="H3005" s="592" t="s">
        <v>1877</v>
      </c>
    </row>
    <row r="3006" spans="1:8" ht="24.75" customHeight="1" x14ac:dyDescent="0.55000000000000004">
      <c r="A3006" s="592">
        <v>3005</v>
      </c>
      <c r="B3006" s="596" t="s">
        <v>5681</v>
      </c>
      <c r="C3006" s="592" t="s">
        <v>5682</v>
      </c>
      <c r="D3006" s="592">
        <v>7</v>
      </c>
      <c r="E3006" s="597">
        <v>3000</v>
      </c>
      <c r="F3006" s="597">
        <v>3000</v>
      </c>
      <c r="G3006" s="597">
        <v>13300</v>
      </c>
      <c r="H3006" s="592" t="s">
        <v>1877</v>
      </c>
    </row>
    <row r="3007" spans="1:8" ht="24.75" customHeight="1" x14ac:dyDescent="0.55000000000000004">
      <c r="A3007" s="592">
        <v>3006</v>
      </c>
      <c r="B3007" s="596" t="s">
        <v>1993</v>
      </c>
      <c r="C3007" s="592" t="s">
        <v>1994</v>
      </c>
      <c r="D3007" s="592">
        <v>4</v>
      </c>
      <c r="E3007" s="597">
        <v>12000</v>
      </c>
      <c r="F3007" s="597">
        <v>12000</v>
      </c>
      <c r="G3007" s="597">
        <v>23772</v>
      </c>
      <c r="H3007" s="592" t="s">
        <v>1877</v>
      </c>
    </row>
    <row r="3008" spans="1:8" ht="24.75" customHeight="1" x14ac:dyDescent="0.55000000000000004">
      <c r="A3008" s="592">
        <v>3007</v>
      </c>
      <c r="B3008" s="596" t="s">
        <v>5683</v>
      </c>
      <c r="C3008" s="592" t="s">
        <v>5684</v>
      </c>
      <c r="D3008" s="592">
        <v>5</v>
      </c>
      <c r="E3008" s="597">
        <v>700</v>
      </c>
      <c r="F3008" s="597">
        <v>700</v>
      </c>
      <c r="G3008" s="597">
        <v>875</v>
      </c>
      <c r="H3008" s="592" t="s">
        <v>1877</v>
      </c>
    </row>
    <row r="3009" spans="1:8" ht="24.75" customHeight="1" x14ac:dyDescent="0.55000000000000004">
      <c r="A3009" s="592">
        <v>3008</v>
      </c>
      <c r="B3009" s="596" t="s">
        <v>5685</v>
      </c>
      <c r="C3009" s="592" t="s">
        <v>5686</v>
      </c>
      <c r="D3009" s="592">
        <v>2</v>
      </c>
      <c r="E3009" s="597">
        <v>2500</v>
      </c>
      <c r="F3009" s="597">
        <v>2500</v>
      </c>
      <c r="G3009" s="597">
        <v>2860</v>
      </c>
      <c r="H3009" s="592" t="s">
        <v>1877</v>
      </c>
    </row>
    <row r="3010" spans="1:8" ht="24.75" customHeight="1" x14ac:dyDescent="0.55000000000000004">
      <c r="A3010" s="592">
        <v>3009</v>
      </c>
      <c r="B3010" s="596" t="s">
        <v>5687</v>
      </c>
      <c r="C3010" s="592" t="s">
        <v>5688</v>
      </c>
      <c r="D3010" s="592">
        <v>5</v>
      </c>
      <c r="E3010" s="597">
        <v>3500</v>
      </c>
      <c r="F3010" s="597">
        <v>3500</v>
      </c>
      <c r="G3010" s="597">
        <v>7615</v>
      </c>
      <c r="H3010" s="592" t="s">
        <v>1877</v>
      </c>
    </row>
    <row r="3011" spans="1:8" ht="24.75" customHeight="1" x14ac:dyDescent="0.55000000000000004">
      <c r="A3011" s="592">
        <v>3010</v>
      </c>
      <c r="B3011" s="596" t="s">
        <v>5689</v>
      </c>
      <c r="C3011" s="592" t="s">
        <v>5690</v>
      </c>
      <c r="D3011" s="592">
        <v>10</v>
      </c>
      <c r="E3011" s="597">
        <v>2500</v>
      </c>
      <c r="F3011" s="597">
        <v>2500</v>
      </c>
      <c r="G3011" s="597">
        <v>11880</v>
      </c>
      <c r="H3011" s="592" t="s">
        <v>1877</v>
      </c>
    </row>
    <row r="3012" spans="1:8" ht="24.75" customHeight="1" x14ac:dyDescent="0.55000000000000004">
      <c r="A3012" s="592">
        <v>3011</v>
      </c>
      <c r="B3012" s="596" t="s">
        <v>5691</v>
      </c>
      <c r="C3012" s="592" t="s">
        <v>5692</v>
      </c>
      <c r="D3012" s="592">
        <v>5</v>
      </c>
      <c r="E3012" s="597">
        <v>2000</v>
      </c>
      <c r="F3012" s="597">
        <v>2000</v>
      </c>
      <c r="G3012" s="597">
        <v>5805</v>
      </c>
      <c r="H3012" s="592" t="s">
        <v>1877</v>
      </c>
    </row>
    <row r="3013" spans="1:8" ht="24.75" customHeight="1" x14ac:dyDescent="0.55000000000000004">
      <c r="A3013" s="592">
        <v>3012</v>
      </c>
      <c r="B3013" s="596" t="s">
        <v>5693</v>
      </c>
      <c r="C3013" s="592" t="s">
        <v>5694</v>
      </c>
      <c r="D3013" s="592">
        <v>8</v>
      </c>
      <c r="E3013" s="597">
        <v>300</v>
      </c>
      <c r="F3013" s="597">
        <v>300</v>
      </c>
      <c r="G3013" s="597">
        <v>1568</v>
      </c>
      <c r="H3013" s="592" t="s">
        <v>1877</v>
      </c>
    </row>
    <row r="3014" spans="1:8" ht="24.75" customHeight="1" x14ac:dyDescent="0.55000000000000004">
      <c r="A3014" s="592">
        <v>3013</v>
      </c>
      <c r="B3014" s="596" t="s">
        <v>5695</v>
      </c>
      <c r="C3014" s="592" t="s">
        <v>5696</v>
      </c>
      <c r="D3014" s="592">
        <v>3</v>
      </c>
      <c r="E3014" s="597">
        <v>500</v>
      </c>
      <c r="F3014" s="597">
        <v>500</v>
      </c>
      <c r="G3014" s="597">
        <v>609</v>
      </c>
      <c r="H3014" s="592" t="s">
        <v>1877</v>
      </c>
    </row>
    <row r="3015" spans="1:8" ht="24.75" customHeight="1" x14ac:dyDescent="0.55000000000000004">
      <c r="A3015" s="592">
        <v>3014</v>
      </c>
      <c r="B3015" s="596" t="s">
        <v>5697</v>
      </c>
      <c r="C3015" s="592" t="s">
        <v>5698</v>
      </c>
      <c r="D3015" s="592">
        <v>5</v>
      </c>
      <c r="E3015" s="597">
        <v>500</v>
      </c>
      <c r="F3015" s="597">
        <v>500</v>
      </c>
      <c r="G3015" s="597">
        <v>1015</v>
      </c>
      <c r="H3015" s="592" t="s">
        <v>1877</v>
      </c>
    </row>
    <row r="3016" spans="1:8" ht="24.75" customHeight="1" x14ac:dyDescent="0.55000000000000004">
      <c r="A3016" s="592">
        <v>3015</v>
      </c>
      <c r="B3016" s="596" t="s">
        <v>5699</v>
      </c>
      <c r="C3016" s="592" t="s">
        <v>5700</v>
      </c>
      <c r="D3016" s="592">
        <v>2</v>
      </c>
      <c r="E3016" s="597">
        <v>3000</v>
      </c>
      <c r="F3016" s="597">
        <v>3000</v>
      </c>
      <c r="G3016" s="597">
        <v>4254</v>
      </c>
      <c r="H3016" s="592" t="s">
        <v>1877</v>
      </c>
    </row>
    <row r="3017" spans="1:8" ht="24.75" customHeight="1" x14ac:dyDescent="0.55000000000000004">
      <c r="A3017" s="592">
        <v>3016</v>
      </c>
      <c r="B3017" s="596" t="s">
        <v>5701</v>
      </c>
      <c r="C3017" s="592" t="s">
        <v>5702</v>
      </c>
      <c r="D3017" s="592">
        <v>1</v>
      </c>
      <c r="E3017" s="597">
        <v>7000</v>
      </c>
      <c r="F3017" s="597">
        <v>7000</v>
      </c>
      <c r="G3017" s="597">
        <v>2324</v>
      </c>
      <c r="H3017" s="592" t="s">
        <v>1877</v>
      </c>
    </row>
    <row r="3018" spans="1:8" ht="24.75" customHeight="1" x14ac:dyDescent="0.55000000000000004">
      <c r="A3018" s="592">
        <v>3017</v>
      </c>
      <c r="B3018" s="596" t="s">
        <v>1995</v>
      </c>
      <c r="C3018" s="592" t="s">
        <v>1996</v>
      </c>
      <c r="D3018" s="592">
        <v>1</v>
      </c>
      <c r="E3018" s="597">
        <v>9000</v>
      </c>
      <c r="F3018" s="597">
        <v>9000</v>
      </c>
      <c r="G3018" s="597">
        <v>4728</v>
      </c>
      <c r="H3018" s="592" t="s">
        <v>1877</v>
      </c>
    </row>
    <row r="3019" spans="1:8" ht="24.75" customHeight="1" x14ac:dyDescent="0.55000000000000004">
      <c r="A3019" s="592">
        <v>3018</v>
      </c>
      <c r="B3019" s="596" t="s">
        <v>2254</v>
      </c>
      <c r="C3019" s="592" t="s">
        <v>2255</v>
      </c>
      <c r="D3019" s="592">
        <v>1</v>
      </c>
      <c r="E3019" s="597">
        <v>5000</v>
      </c>
      <c r="F3019" s="597">
        <v>5000</v>
      </c>
      <c r="G3019" s="597">
        <v>2740</v>
      </c>
      <c r="H3019" s="592" t="s">
        <v>1877</v>
      </c>
    </row>
    <row r="3020" spans="1:8" ht="24.75" customHeight="1" x14ac:dyDescent="0.55000000000000004">
      <c r="A3020" s="592">
        <v>3019</v>
      </c>
      <c r="B3020" s="596" t="s">
        <v>5703</v>
      </c>
      <c r="C3020" s="592" t="s">
        <v>5704</v>
      </c>
      <c r="D3020" s="592">
        <v>36</v>
      </c>
      <c r="E3020" s="597">
        <v>700</v>
      </c>
      <c r="F3020" s="597">
        <v>700</v>
      </c>
      <c r="G3020" s="597">
        <v>12744</v>
      </c>
      <c r="H3020" s="592" t="s">
        <v>1877</v>
      </c>
    </row>
    <row r="3021" spans="1:8" ht="24.75" customHeight="1" x14ac:dyDescent="0.55000000000000004">
      <c r="A3021" s="592">
        <v>3020</v>
      </c>
      <c r="B3021" s="596" t="s">
        <v>5705</v>
      </c>
      <c r="C3021" s="592" t="s">
        <v>5706</v>
      </c>
      <c r="D3021" s="592">
        <v>4</v>
      </c>
      <c r="E3021" s="597">
        <v>1500</v>
      </c>
      <c r="F3021" s="597">
        <v>1500</v>
      </c>
      <c r="G3021" s="597">
        <v>2364</v>
      </c>
      <c r="H3021" s="592" t="s">
        <v>1877</v>
      </c>
    </row>
    <row r="3022" spans="1:8" ht="24.75" customHeight="1" x14ac:dyDescent="0.55000000000000004">
      <c r="A3022" s="592">
        <v>3021</v>
      </c>
      <c r="B3022" s="596" t="s">
        <v>7200</v>
      </c>
      <c r="C3022" s="592" t="s">
        <v>7201</v>
      </c>
      <c r="D3022" s="592">
        <v>3</v>
      </c>
      <c r="E3022" s="597">
        <v>1000</v>
      </c>
      <c r="F3022" s="597">
        <v>1000</v>
      </c>
      <c r="G3022" s="597">
        <v>1608</v>
      </c>
      <c r="H3022" s="592" t="s">
        <v>1877</v>
      </c>
    </row>
    <row r="3023" spans="1:8" ht="24.75" customHeight="1" x14ac:dyDescent="0.55000000000000004">
      <c r="A3023" s="592">
        <v>3022</v>
      </c>
      <c r="B3023" s="596" t="s">
        <v>5707</v>
      </c>
      <c r="C3023" s="592" t="s">
        <v>5708</v>
      </c>
      <c r="D3023" s="592">
        <v>16</v>
      </c>
      <c r="E3023" s="597">
        <v>2300</v>
      </c>
      <c r="F3023" s="597">
        <v>2300</v>
      </c>
      <c r="G3023" s="597">
        <v>15200</v>
      </c>
      <c r="H3023" s="592" t="s">
        <v>1877</v>
      </c>
    </row>
    <row r="3024" spans="1:8" ht="24.75" customHeight="1" x14ac:dyDescent="0.55000000000000004">
      <c r="A3024" s="592">
        <v>3023</v>
      </c>
      <c r="B3024" s="596" t="s">
        <v>5709</v>
      </c>
      <c r="C3024" s="592" t="s">
        <v>5710</v>
      </c>
      <c r="D3024" s="592">
        <v>2</v>
      </c>
      <c r="E3024" s="597">
        <v>800</v>
      </c>
      <c r="F3024" s="597">
        <v>800</v>
      </c>
      <c r="G3024" s="597">
        <v>1000</v>
      </c>
      <c r="H3024" s="592" t="s">
        <v>1877</v>
      </c>
    </row>
    <row r="3025" spans="1:8" ht="24.75" customHeight="1" x14ac:dyDescent="0.55000000000000004">
      <c r="A3025" s="592">
        <v>3024</v>
      </c>
      <c r="B3025" s="596" t="s">
        <v>5711</v>
      </c>
      <c r="C3025" s="592" t="s">
        <v>7460</v>
      </c>
      <c r="D3025" s="592">
        <v>7</v>
      </c>
      <c r="E3025" s="597">
        <v>12000</v>
      </c>
      <c r="F3025" s="597">
        <v>12000</v>
      </c>
      <c r="G3025" s="597">
        <v>39760</v>
      </c>
      <c r="H3025" s="592" t="s">
        <v>1877</v>
      </c>
    </row>
    <row r="3026" spans="1:8" ht="24.75" customHeight="1" x14ac:dyDescent="0.55000000000000004">
      <c r="A3026" s="592">
        <v>3025</v>
      </c>
      <c r="B3026" s="596" t="s">
        <v>5712</v>
      </c>
      <c r="C3026" s="592" t="s">
        <v>5713</v>
      </c>
      <c r="D3026" s="592">
        <v>2</v>
      </c>
      <c r="E3026" s="597">
        <v>5000</v>
      </c>
      <c r="F3026" s="597">
        <v>5000</v>
      </c>
      <c r="G3026" s="597">
        <v>3840</v>
      </c>
      <c r="H3026" s="592" t="s">
        <v>1877</v>
      </c>
    </row>
    <row r="3027" spans="1:8" ht="24.75" customHeight="1" x14ac:dyDescent="0.55000000000000004">
      <c r="A3027" s="592">
        <v>3026</v>
      </c>
      <c r="B3027" s="596" t="s">
        <v>5714</v>
      </c>
      <c r="C3027" s="592" t="s">
        <v>5715</v>
      </c>
      <c r="D3027" s="592">
        <v>4</v>
      </c>
      <c r="E3027" s="597">
        <v>19000</v>
      </c>
      <c r="F3027" s="597">
        <v>19000</v>
      </c>
      <c r="G3027" s="597">
        <v>76000</v>
      </c>
      <c r="H3027" s="592" t="s">
        <v>1877</v>
      </c>
    </row>
    <row r="3028" spans="1:8" ht="24.75" customHeight="1" x14ac:dyDescent="0.55000000000000004">
      <c r="A3028" s="592">
        <v>3027</v>
      </c>
      <c r="B3028" s="596" t="s">
        <v>1997</v>
      </c>
      <c r="C3028" s="592" t="s">
        <v>1998</v>
      </c>
      <c r="D3028" s="592">
        <v>1</v>
      </c>
      <c r="E3028" s="597">
        <v>350</v>
      </c>
      <c r="F3028" s="597">
        <v>350</v>
      </c>
      <c r="G3028" s="597">
        <v>236</v>
      </c>
      <c r="H3028" s="592" t="s">
        <v>1877</v>
      </c>
    </row>
    <row r="3029" spans="1:8" ht="24.75" customHeight="1" x14ac:dyDescent="0.55000000000000004">
      <c r="A3029" s="592">
        <v>3028</v>
      </c>
      <c r="B3029" s="596" t="s">
        <v>5716</v>
      </c>
      <c r="C3029" s="592" t="s">
        <v>5717</v>
      </c>
      <c r="D3029" s="592">
        <v>8</v>
      </c>
      <c r="E3029" s="597">
        <v>1000</v>
      </c>
      <c r="F3029" s="597">
        <v>1000</v>
      </c>
      <c r="G3029" s="597">
        <v>2000</v>
      </c>
      <c r="H3029" s="592" t="s">
        <v>1877</v>
      </c>
    </row>
    <row r="3030" spans="1:8" ht="24.75" customHeight="1" x14ac:dyDescent="0.55000000000000004">
      <c r="A3030" s="592">
        <v>3029</v>
      </c>
      <c r="B3030" s="596" t="s">
        <v>5718</v>
      </c>
      <c r="C3030" s="592" t="s">
        <v>5719</v>
      </c>
      <c r="D3030" s="592">
        <v>11</v>
      </c>
      <c r="E3030" s="597">
        <v>2500</v>
      </c>
      <c r="F3030" s="597">
        <v>2500</v>
      </c>
      <c r="G3030" s="597">
        <v>13794</v>
      </c>
      <c r="H3030" s="592" t="s">
        <v>1877</v>
      </c>
    </row>
    <row r="3031" spans="1:8" ht="24.75" customHeight="1" x14ac:dyDescent="0.55000000000000004">
      <c r="A3031" s="592">
        <v>3030</v>
      </c>
      <c r="B3031" s="596" t="s">
        <v>5720</v>
      </c>
      <c r="C3031" s="592" t="s">
        <v>5721</v>
      </c>
      <c r="D3031" s="592">
        <v>6</v>
      </c>
      <c r="E3031" s="597">
        <v>2500</v>
      </c>
      <c r="F3031" s="597">
        <v>2500</v>
      </c>
      <c r="G3031" s="597">
        <v>7200</v>
      </c>
      <c r="H3031" s="592" t="s">
        <v>1877</v>
      </c>
    </row>
    <row r="3032" spans="1:8" ht="24.75" customHeight="1" x14ac:dyDescent="0.55000000000000004">
      <c r="A3032" s="592">
        <v>3031</v>
      </c>
      <c r="B3032" s="596" t="s">
        <v>5722</v>
      </c>
      <c r="C3032" s="592" t="s">
        <v>5723</v>
      </c>
      <c r="D3032" s="592">
        <v>1</v>
      </c>
      <c r="E3032" s="597">
        <v>1700</v>
      </c>
      <c r="F3032" s="597">
        <v>1700</v>
      </c>
      <c r="G3032" s="597">
        <v>1277</v>
      </c>
      <c r="H3032" s="592" t="s">
        <v>1877</v>
      </c>
    </row>
    <row r="3033" spans="1:8" ht="24.75" customHeight="1" x14ac:dyDescent="0.55000000000000004">
      <c r="A3033" s="592">
        <v>3032</v>
      </c>
      <c r="B3033" s="596" t="s">
        <v>5724</v>
      </c>
      <c r="C3033" s="592" t="s">
        <v>5725</v>
      </c>
      <c r="D3033" s="592">
        <v>1</v>
      </c>
      <c r="E3033" s="597">
        <v>8000</v>
      </c>
      <c r="F3033" s="597">
        <v>8000</v>
      </c>
      <c r="G3033" s="597">
        <v>6231</v>
      </c>
      <c r="H3033" s="592" t="s">
        <v>1877</v>
      </c>
    </row>
    <row r="3034" spans="1:8" ht="24.75" customHeight="1" x14ac:dyDescent="0.55000000000000004">
      <c r="A3034" s="592">
        <v>3033</v>
      </c>
      <c r="B3034" s="596" t="s">
        <v>5726</v>
      </c>
      <c r="C3034" s="592" t="s">
        <v>5727</v>
      </c>
      <c r="D3034" s="592">
        <v>1</v>
      </c>
      <c r="E3034" s="597">
        <v>27000</v>
      </c>
      <c r="F3034" s="597">
        <v>27000</v>
      </c>
      <c r="G3034" s="597">
        <v>20410</v>
      </c>
      <c r="H3034" s="592" t="s">
        <v>1877</v>
      </c>
    </row>
    <row r="3035" spans="1:8" ht="24.75" customHeight="1" x14ac:dyDescent="0.55000000000000004">
      <c r="A3035" s="592">
        <v>3034</v>
      </c>
      <c r="B3035" s="596" t="s">
        <v>5728</v>
      </c>
      <c r="C3035" s="592" t="s">
        <v>7850</v>
      </c>
      <c r="D3035" s="592">
        <v>2</v>
      </c>
      <c r="E3035" s="597">
        <v>4500</v>
      </c>
      <c r="F3035" s="597">
        <v>4500</v>
      </c>
      <c r="G3035" s="597">
        <v>3120</v>
      </c>
      <c r="H3035" s="592" t="s">
        <v>1877</v>
      </c>
    </row>
    <row r="3036" spans="1:8" ht="24.75" customHeight="1" x14ac:dyDescent="0.55000000000000004">
      <c r="A3036" s="592">
        <v>3035</v>
      </c>
      <c r="B3036" s="596" t="s">
        <v>7461</v>
      </c>
      <c r="C3036" s="592" t="s">
        <v>7462</v>
      </c>
      <c r="D3036" s="592">
        <v>3</v>
      </c>
      <c r="E3036" s="597">
        <v>1000</v>
      </c>
      <c r="F3036" s="597">
        <v>1000</v>
      </c>
      <c r="G3036" s="597">
        <v>1344</v>
      </c>
      <c r="H3036" s="592" t="s">
        <v>1877</v>
      </c>
    </row>
    <row r="3037" spans="1:8" ht="24.75" customHeight="1" x14ac:dyDescent="0.55000000000000004">
      <c r="A3037" s="592">
        <v>3036</v>
      </c>
      <c r="B3037" s="596" t="s">
        <v>5729</v>
      </c>
      <c r="C3037" s="592" t="s">
        <v>5730</v>
      </c>
      <c r="D3037" s="592">
        <v>9</v>
      </c>
      <c r="E3037" s="597">
        <v>200</v>
      </c>
      <c r="F3037" s="597">
        <v>200</v>
      </c>
      <c r="G3037" s="597">
        <v>1071</v>
      </c>
      <c r="H3037" s="592" t="s">
        <v>1877</v>
      </c>
    </row>
    <row r="3038" spans="1:8" ht="24.75" customHeight="1" x14ac:dyDescent="0.55000000000000004">
      <c r="A3038" s="592">
        <v>3037</v>
      </c>
      <c r="B3038" s="596" t="s">
        <v>5731</v>
      </c>
      <c r="C3038" s="592" t="s">
        <v>5732</v>
      </c>
      <c r="D3038" s="592">
        <v>1</v>
      </c>
      <c r="E3038" s="597">
        <v>5500</v>
      </c>
      <c r="F3038" s="597">
        <v>5500</v>
      </c>
      <c r="G3038" s="597">
        <v>4032</v>
      </c>
      <c r="H3038" s="592" t="s">
        <v>1877</v>
      </c>
    </row>
    <row r="3039" spans="1:8" ht="24.75" customHeight="1" x14ac:dyDescent="0.55000000000000004">
      <c r="A3039" s="592">
        <v>3038</v>
      </c>
      <c r="B3039" s="596" t="s">
        <v>5733</v>
      </c>
      <c r="C3039" s="592" t="s">
        <v>5734</v>
      </c>
      <c r="D3039" s="592">
        <v>5</v>
      </c>
      <c r="E3039" s="597">
        <v>10000</v>
      </c>
      <c r="F3039" s="597">
        <v>10000</v>
      </c>
      <c r="G3039" s="597">
        <v>30700</v>
      </c>
      <c r="H3039" s="592" t="s">
        <v>1877</v>
      </c>
    </row>
    <row r="3040" spans="1:8" ht="24.75" customHeight="1" x14ac:dyDescent="0.55000000000000004">
      <c r="A3040" s="592">
        <v>3039</v>
      </c>
      <c r="B3040" s="596" t="s">
        <v>5735</v>
      </c>
      <c r="C3040" s="592" t="s">
        <v>5736</v>
      </c>
      <c r="D3040" s="592">
        <v>1</v>
      </c>
      <c r="E3040" s="597">
        <v>4000</v>
      </c>
      <c r="F3040" s="597">
        <v>4000</v>
      </c>
      <c r="G3040" s="597">
        <v>2744</v>
      </c>
      <c r="H3040" s="592" t="s">
        <v>1877</v>
      </c>
    </row>
    <row r="3041" spans="1:8" ht="24.75" customHeight="1" x14ac:dyDescent="0.55000000000000004">
      <c r="A3041" s="592">
        <v>3040</v>
      </c>
      <c r="B3041" s="596" t="s">
        <v>6367</v>
      </c>
      <c r="C3041" s="592" t="s">
        <v>6368</v>
      </c>
      <c r="D3041" s="592">
        <v>1</v>
      </c>
      <c r="E3041" s="597">
        <v>8000</v>
      </c>
      <c r="F3041" s="597">
        <v>8000</v>
      </c>
      <c r="G3041" s="597">
        <v>3103</v>
      </c>
      <c r="H3041" s="592" t="s">
        <v>1877</v>
      </c>
    </row>
    <row r="3042" spans="1:8" ht="24.75" customHeight="1" x14ac:dyDescent="0.55000000000000004">
      <c r="A3042" s="592">
        <v>3041</v>
      </c>
      <c r="B3042" s="596" t="s">
        <v>5737</v>
      </c>
      <c r="C3042" s="592" t="s">
        <v>5738</v>
      </c>
      <c r="D3042" s="592">
        <v>3</v>
      </c>
      <c r="E3042" s="597">
        <v>5000</v>
      </c>
      <c r="F3042" s="597">
        <v>5000</v>
      </c>
      <c r="G3042" s="597">
        <v>10260</v>
      </c>
      <c r="H3042" s="592" t="s">
        <v>1877</v>
      </c>
    </row>
    <row r="3043" spans="1:8" ht="24.75" customHeight="1" x14ac:dyDescent="0.55000000000000004">
      <c r="A3043" s="592">
        <v>3042</v>
      </c>
      <c r="B3043" s="596" t="s">
        <v>5739</v>
      </c>
      <c r="C3043" s="592" t="s">
        <v>5740</v>
      </c>
      <c r="D3043" s="592">
        <v>7</v>
      </c>
      <c r="E3043" s="597">
        <v>5000</v>
      </c>
      <c r="F3043" s="597">
        <v>5000</v>
      </c>
      <c r="G3043" s="597">
        <v>13440</v>
      </c>
      <c r="H3043" s="592" t="s">
        <v>1877</v>
      </c>
    </row>
    <row r="3044" spans="1:8" ht="24.75" customHeight="1" x14ac:dyDescent="0.55000000000000004">
      <c r="A3044" s="592">
        <v>3043</v>
      </c>
      <c r="B3044" s="596" t="s">
        <v>5741</v>
      </c>
      <c r="C3044" s="592" t="s">
        <v>5742</v>
      </c>
      <c r="D3044" s="592">
        <v>1</v>
      </c>
      <c r="E3044" s="597">
        <v>2500</v>
      </c>
      <c r="F3044" s="597">
        <v>2500</v>
      </c>
      <c r="G3044" s="597">
        <v>1972</v>
      </c>
      <c r="H3044" s="592" t="s">
        <v>1877</v>
      </c>
    </row>
    <row r="3045" spans="1:8" ht="24.75" customHeight="1" x14ac:dyDescent="0.55000000000000004">
      <c r="A3045" s="592">
        <v>3044</v>
      </c>
      <c r="B3045" s="596" t="s">
        <v>5743</v>
      </c>
      <c r="C3045" s="592" t="s">
        <v>5744</v>
      </c>
      <c r="D3045" s="592">
        <v>9</v>
      </c>
      <c r="E3045" s="597">
        <v>4000</v>
      </c>
      <c r="F3045" s="597">
        <v>4000</v>
      </c>
      <c r="G3045" s="597">
        <v>25047</v>
      </c>
      <c r="H3045" s="592" t="s">
        <v>1877</v>
      </c>
    </row>
    <row r="3046" spans="1:8" ht="24.75" customHeight="1" x14ac:dyDescent="0.55000000000000004">
      <c r="A3046" s="592">
        <v>3045</v>
      </c>
      <c r="B3046" s="596" t="s">
        <v>5745</v>
      </c>
      <c r="C3046" s="592" t="s">
        <v>5746</v>
      </c>
      <c r="D3046" s="592">
        <v>4</v>
      </c>
      <c r="E3046" s="597">
        <v>4000</v>
      </c>
      <c r="F3046" s="597">
        <v>4000</v>
      </c>
      <c r="G3046" s="597">
        <v>11132</v>
      </c>
      <c r="H3046" s="592" t="s">
        <v>1877</v>
      </c>
    </row>
    <row r="3047" spans="1:8" ht="24.75" customHeight="1" x14ac:dyDescent="0.55000000000000004">
      <c r="A3047" s="592">
        <v>3046</v>
      </c>
      <c r="B3047" s="596" t="s">
        <v>5747</v>
      </c>
      <c r="C3047" s="592" t="s">
        <v>5748</v>
      </c>
      <c r="D3047" s="592">
        <v>7</v>
      </c>
      <c r="E3047" s="597">
        <v>3000</v>
      </c>
      <c r="F3047" s="597">
        <v>3000</v>
      </c>
      <c r="G3047" s="597">
        <v>14889</v>
      </c>
      <c r="H3047" s="592" t="s">
        <v>1877</v>
      </c>
    </row>
    <row r="3048" spans="1:8" ht="24.75" customHeight="1" x14ac:dyDescent="0.55000000000000004">
      <c r="A3048" s="592">
        <v>3047</v>
      </c>
      <c r="B3048" s="596" t="s">
        <v>5749</v>
      </c>
      <c r="C3048" s="592" t="s">
        <v>5750</v>
      </c>
      <c r="D3048" s="592">
        <v>14</v>
      </c>
      <c r="E3048" s="597">
        <v>1500</v>
      </c>
      <c r="F3048" s="597">
        <v>1500</v>
      </c>
      <c r="G3048" s="597">
        <v>8372</v>
      </c>
      <c r="H3048" s="592" t="s">
        <v>1877</v>
      </c>
    </row>
    <row r="3049" spans="1:8" ht="24.75" customHeight="1" x14ac:dyDescent="0.55000000000000004">
      <c r="A3049" s="592">
        <v>3048</v>
      </c>
      <c r="B3049" s="596" t="s">
        <v>5751</v>
      </c>
      <c r="C3049" s="592" t="s">
        <v>5752</v>
      </c>
      <c r="D3049" s="592">
        <v>5</v>
      </c>
      <c r="E3049" s="597">
        <v>800</v>
      </c>
      <c r="F3049" s="597">
        <v>800</v>
      </c>
      <c r="G3049" s="597">
        <v>1195</v>
      </c>
      <c r="H3049" s="592" t="s">
        <v>1877</v>
      </c>
    </row>
    <row r="3050" spans="1:8" ht="24.75" customHeight="1" x14ac:dyDescent="0.55000000000000004">
      <c r="A3050" s="592">
        <v>3049</v>
      </c>
      <c r="B3050" s="596" t="s">
        <v>1999</v>
      </c>
      <c r="C3050" s="592" t="s">
        <v>2000</v>
      </c>
      <c r="D3050" s="592">
        <v>16</v>
      </c>
      <c r="E3050" s="597">
        <v>600</v>
      </c>
      <c r="F3050" s="597">
        <v>600</v>
      </c>
      <c r="G3050" s="597">
        <v>3776</v>
      </c>
      <c r="H3050" s="592" t="s">
        <v>1877</v>
      </c>
    </row>
    <row r="3051" spans="1:8" ht="24.75" customHeight="1" x14ac:dyDescent="0.55000000000000004">
      <c r="A3051" s="592">
        <v>3050</v>
      </c>
      <c r="B3051" s="596" t="s">
        <v>5753</v>
      </c>
      <c r="C3051" s="592" t="s">
        <v>7851</v>
      </c>
      <c r="D3051" s="592">
        <v>3</v>
      </c>
      <c r="E3051" s="597">
        <v>1200</v>
      </c>
      <c r="F3051" s="597">
        <v>1200</v>
      </c>
      <c r="G3051" s="597">
        <v>2634</v>
      </c>
      <c r="H3051" s="592" t="s">
        <v>1877</v>
      </c>
    </row>
    <row r="3052" spans="1:8" ht="24.75" customHeight="1" x14ac:dyDescent="0.55000000000000004">
      <c r="A3052" s="592">
        <v>3051</v>
      </c>
      <c r="B3052" s="596" t="s">
        <v>5754</v>
      </c>
      <c r="C3052" s="592" t="s">
        <v>5755</v>
      </c>
      <c r="D3052" s="592">
        <v>1</v>
      </c>
      <c r="E3052" s="597">
        <v>16000</v>
      </c>
      <c r="F3052" s="597">
        <v>16000</v>
      </c>
      <c r="G3052" s="597">
        <v>8520</v>
      </c>
      <c r="H3052" s="592" t="s">
        <v>1877</v>
      </c>
    </row>
    <row r="3053" spans="1:8" ht="24.75" customHeight="1" x14ac:dyDescent="0.55000000000000004">
      <c r="A3053" s="592">
        <v>3052</v>
      </c>
      <c r="B3053" s="596" t="s">
        <v>6369</v>
      </c>
      <c r="C3053" s="592" t="s">
        <v>6370</v>
      </c>
      <c r="D3053" s="592">
        <v>3</v>
      </c>
      <c r="E3053" s="597">
        <v>5000</v>
      </c>
      <c r="F3053" s="597">
        <v>5000</v>
      </c>
      <c r="G3053" s="597">
        <v>6624</v>
      </c>
      <c r="H3053" s="592" t="s">
        <v>1877</v>
      </c>
    </row>
    <row r="3054" spans="1:8" ht="24.75" customHeight="1" x14ac:dyDescent="0.55000000000000004">
      <c r="A3054" s="592">
        <v>3053</v>
      </c>
      <c r="B3054" s="596" t="s">
        <v>5756</v>
      </c>
      <c r="C3054" s="592" t="s">
        <v>5757</v>
      </c>
      <c r="D3054" s="592">
        <v>4</v>
      </c>
      <c r="E3054" s="597">
        <v>23000</v>
      </c>
      <c r="F3054" s="597">
        <v>23000</v>
      </c>
      <c r="G3054" s="597">
        <v>32564</v>
      </c>
      <c r="H3054" s="592" t="s">
        <v>1877</v>
      </c>
    </row>
    <row r="3055" spans="1:8" ht="24.75" customHeight="1" x14ac:dyDescent="0.55000000000000004">
      <c r="A3055" s="592">
        <v>3054</v>
      </c>
      <c r="B3055" s="596" t="s">
        <v>7202</v>
      </c>
      <c r="C3055" s="592" t="s">
        <v>7203</v>
      </c>
      <c r="D3055" s="592">
        <v>1</v>
      </c>
      <c r="E3055" s="597">
        <v>32000</v>
      </c>
      <c r="F3055" s="597">
        <v>32000</v>
      </c>
      <c r="G3055" s="597">
        <v>24485</v>
      </c>
      <c r="H3055" s="592" t="s">
        <v>1877</v>
      </c>
    </row>
    <row r="3056" spans="1:8" ht="24.75" customHeight="1" x14ac:dyDescent="0.55000000000000004">
      <c r="A3056" s="592">
        <v>3055</v>
      </c>
      <c r="B3056" s="596" t="s">
        <v>5758</v>
      </c>
      <c r="C3056" s="592" t="s">
        <v>5759</v>
      </c>
      <c r="D3056" s="592">
        <v>10</v>
      </c>
      <c r="E3056" s="597">
        <v>500</v>
      </c>
      <c r="F3056" s="597">
        <v>500</v>
      </c>
      <c r="G3056" s="597">
        <v>2600</v>
      </c>
      <c r="H3056" s="592" t="s">
        <v>1877</v>
      </c>
    </row>
    <row r="3057" spans="1:8" ht="24.75" customHeight="1" x14ac:dyDescent="0.55000000000000004">
      <c r="A3057" s="592">
        <v>3056</v>
      </c>
      <c r="B3057" s="596" t="s">
        <v>5760</v>
      </c>
      <c r="C3057" s="592" t="s">
        <v>5761</v>
      </c>
      <c r="D3057" s="592">
        <v>9</v>
      </c>
      <c r="E3057" s="597">
        <v>800</v>
      </c>
      <c r="F3057" s="597">
        <v>800</v>
      </c>
      <c r="G3057" s="597">
        <v>3600</v>
      </c>
      <c r="H3057" s="592" t="s">
        <v>1877</v>
      </c>
    </row>
    <row r="3058" spans="1:8" ht="24.75" customHeight="1" x14ac:dyDescent="0.55000000000000004">
      <c r="A3058" s="592">
        <v>3057</v>
      </c>
      <c r="B3058" s="596" t="s">
        <v>5762</v>
      </c>
      <c r="C3058" s="592" t="s">
        <v>5763</v>
      </c>
      <c r="D3058" s="592">
        <v>3</v>
      </c>
      <c r="E3058" s="597">
        <v>32000</v>
      </c>
      <c r="F3058" s="597">
        <v>32000</v>
      </c>
      <c r="G3058" s="597">
        <v>55110</v>
      </c>
      <c r="H3058" s="592" t="s">
        <v>1877</v>
      </c>
    </row>
    <row r="3059" spans="1:8" ht="24.75" customHeight="1" x14ac:dyDescent="0.55000000000000004">
      <c r="A3059" s="592">
        <v>3058</v>
      </c>
      <c r="B3059" s="596" t="s">
        <v>5764</v>
      </c>
      <c r="C3059" s="592" t="s">
        <v>5765</v>
      </c>
      <c r="D3059" s="592">
        <v>2</v>
      </c>
      <c r="E3059" s="597">
        <v>40000</v>
      </c>
      <c r="F3059" s="597">
        <v>40000</v>
      </c>
      <c r="G3059" s="597">
        <v>46340</v>
      </c>
      <c r="H3059" s="592" t="s">
        <v>1877</v>
      </c>
    </row>
    <row r="3060" spans="1:8" ht="24.75" customHeight="1" x14ac:dyDescent="0.55000000000000004">
      <c r="A3060" s="592">
        <v>3059</v>
      </c>
      <c r="B3060" s="596" t="s">
        <v>5766</v>
      </c>
      <c r="C3060" s="592" t="s">
        <v>5767</v>
      </c>
      <c r="D3060" s="592">
        <v>1</v>
      </c>
      <c r="E3060" s="597">
        <v>10000</v>
      </c>
      <c r="F3060" s="597">
        <v>10000</v>
      </c>
      <c r="G3060" s="597">
        <v>6130</v>
      </c>
      <c r="H3060" s="592" t="s">
        <v>1877</v>
      </c>
    </row>
    <row r="3061" spans="1:8" ht="24.75" customHeight="1" x14ac:dyDescent="0.55000000000000004">
      <c r="A3061" s="592">
        <v>3060</v>
      </c>
      <c r="B3061" s="596" t="s">
        <v>2556</v>
      </c>
      <c r="C3061" s="592" t="s">
        <v>2557</v>
      </c>
      <c r="D3061" s="592">
        <v>8</v>
      </c>
      <c r="E3061" s="597">
        <v>600</v>
      </c>
      <c r="F3061" s="597">
        <v>600</v>
      </c>
      <c r="G3061" s="597">
        <v>2960</v>
      </c>
      <c r="H3061" s="592" t="s">
        <v>1877</v>
      </c>
    </row>
    <row r="3062" spans="1:8" ht="24.75" customHeight="1" x14ac:dyDescent="0.55000000000000004">
      <c r="A3062" s="592">
        <v>3061</v>
      </c>
      <c r="B3062" s="596" t="s">
        <v>5768</v>
      </c>
      <c r="C3062" s="592" t="s">
        <v>5769</v>
      </c>
      <c r="D3062" s="592">
        <v>20</v>
      </c>
      <c r="E3062" s="597">
        <v>400</v>
      </c>
      <c r="F3062" s="597">
        <v>400</v>
      </c>
      <c r="G3062" s="597">
        <v>3800</v>
      </c>
      <c r="H3062" s="592" t="s">
        <v>1877</v>
      </c>
    </row>
    <row r="3063" spans="1:8" ht="24.75" customHeight="1" x14ac:dyDescent="0.55000000000000004">
      <c r="A3063" s="592">
        <v>3062</v>
      </c>
      <c r="B3063" s="596" t="s">
        <v>2529</v>
      </c>
      <c r="C3063" s="592" t="s">
        <v>2530</v>
      </c>
      <c r="D3063" s="592">
        <v>1</v>
      </c>
      <c r="E3063" s="597">
        <v>300</v>
      </c>
      <c r="F3063" s="597">
        <v>300</v>
      </c>
      <c r="G3063" s="597">
        <v>160</v>
      </c>
      <c r="H3063" s="592" t="s">
        <v>1877</v>
      </c>
    </row>
    <row r="3064" spans="1:8" ht="24.75" customHeight="1" x14ac:dyDescent="0.55000000000000004">
      <c r="A3064" s="592">
        <v>3063</v>
      </c>
      <c r="B3064" s="596" t="s">
        <v>5770</v>
      </c>
      <c r="C3064" s="592" t="s">
        <v>5771</v>
      </c>
      <c r="D3064" s="592">
        <v>13</v>
      </c>
      <c r="E3064" s="597">
        <v>1500</v>
      </c>
      <c r="F3064" s="597">
        <v>1500</v>
      </c>
      <c r="G3064" s="597">
        <v>11700</v>
      </c>
      <c r="H3064" s="592" t="s">
        <v>1877</v>
      </c>
    </row>
    <row r="3065" spans="1:8" ht="24.75" customHeight="1" x14ac:dyDescent="0.55000000000000004">
      <c r="A3065" s="592">
        <v>3064</v>
      </c>
      <c r="B3065" s="596" t="s">
        <v>5772</v>
      </c>
      <c r="C3065" s="592" t="s">
        <v>5773</v>
      </c>
      <c r="D3065" s="592">
        <v>18</v>
      </c>
      <c r="E3065" s="597">
        <v>1500</v>
      </c>
      <c r="F3065" s="597">
        <v>1500</v>
      </c>
      <c r="G3065" s="597">
        <v>16200</v>
      </c>
      <c r="H3065" s="592" t="s">
        <v>1877</v>
      </c>
    </row>
    <row r="3066" spans="1:8" ht="24.75" customHeight="1" x14ac:dyDescent="0.55000000000000004">
      <c r="A3066" s="592">
        <v>3065</v>
      </c>
      <c r="B3066" s="596" t="s">
        <v>5774</v>
      </c>
      <c r="C3066" s="592" t="s">
        <v>5775</v>
      </c>
      <c r="D3066" s="592">
        <v>20</v>
      </c>
      <c r="E3066" s="597">
        <v>800</v>
      </c>
      <c r="F3066" s="597">
        <v>800</v>
      </c>
      <c r="G3066" s="597">
        <v>8800</v>
      </c>
      <c r="H3066" s="592" t="s">
        <v>1877</v>
      </c>
    </row>
    <row r="3067" spans="1:8" ht="24.75" customHeight="1" x14ac:dyDescent="0.55000000000000004">
      <c r="A3067" s="592">
        <v>3066</v>
      </c>
      <c r="B3067" s="596" t="s">
        <v>2558</v>
      </c>
      <c r="C3067" s="592" t="s">
        <v>2559</v>
      </c>
      <c r="D3067" s="592">
        <v>1</v>
      </c>
      <c r="E3067" s="597">
        <v>4500</v>
      </c>
      <c r="F3067" s="597">
        <v>4500</v>
      </c>
      <c r="G3067" s="597">
        <v>2090</v>
      </c>
      <c r="H3067" s="592" t="s">
        <v>1877</v>
      </c>
    </row>
    <row r="3068" spans="1:8" ht="24.75" customHeight="1" x14ac:dyDescent="0.55000000000000004">
      <c r="A3068" s="592">
        <v>3067</v>
      </c>
      <c r="B3068" s="596" t="s">
        <v>5776</v>
      </c>
      <c r="C3068" s="592" t="s">
        <v>5777</v>
      </c>
      <c r="D3068" s="592">
        <v>1</v>
      </c>
      <c r="E3068" s="597">
        <v>3500</v>
      </c>
      <c r="F3068" s="597">
        <v>3500</v>
      </c>
      <c r="G3068" s="597">
        <v>1580</v>
      </c>
      <c r="H3068" s="592" t="s">
        <v>1877</v>
      </c>
    </row>
    <row r="3069" spans="1:8" ht="24.75" customHeight="1" x14ac:dyDescent="0.55000000000000004">
      <c r="A3069" s="592">
        <v>3068</v>
      </c>
      <c r="B3069" s="596" t="s">
        <v>5778</v>
      </c>
      <c r="C3069" s="592" t="s">
        <v>5779</v>
      </c>
      <c r="D3069" s="592">
        <v>5</v>
      </c>
      <c r="E3069" s="597">
        <v>3500</v>
      </c>
      <c r="F3069" s="597">
        <v>3500</v>
      </c>
      <c r="G3069" s="597">
        <v>8900</v>
      </c>
      <c r="H3069" s="592" t="s">
        <v>1877</v>
      </c>
    </row>
    <row r="3070" spans="1:8" ht="24.75" customHeight="1" x14ac:dyDescent="0.55000000000000004">
      <c r="A3070" s="592">
        <v>3069</v>
      </c>
      <c r="B3070" s="596" t="s">
        <v>5780</v>
      </c>
      <c r="C3070" s="592" t="s">
        <v>5781</v>
      </c>
      <c r="D3070" s="592">
        <v>10</v>
      </c>
      <c r="E3070" s="597">
        <v>5000</v>
      </c>
      <c r="F3070" s="597">
        <v>5000</v>
      </c>
      <c r="G3070" s="597">
        <v>23300</v>
      </c>
      <c r="H3070" s="592" t="s">
        <v>1877</v>
      </c>
    </row>
    <row r="3071" spans="1:8" ht="24.75" customHeight="1" x14ac:dyDescent="0.55000000000000004">
      <c r="A3071" s="592">
        <v>3070</v>
      </c>
      <c r="B3071" s="596" t="s">
        <v>5782</v>
      </c>
      <c r="C3071" s="592" t="s">
        <v>5783</v>
      </c>
      <c r="D3071" s="592">
        <v>50</v>
      </c>
      <c r="E3071" s="597">
        <v>300</v>
      </c>
      <c r="F3071" s="597">
        <v>300</v>
      </c>
      <c r="G3071" s="597">
        <v>8000</v>
      </c>
      <c r="H3071" s="592" t="s">
        <v>1877</v>
      </c>
    </row>
    <row r="3072" spans="1:8" ht="24.75" customHeight="1" x14ac:dyDescent="0.55000000000000004">
      <c r="A3072" s="592">
        <v>3071</v>
      </c>
      <c r="B3072" s="596" t="s">
        <v>2001</v>
      </c>
      <c r="C3072" s="592" t="s">
        <v>2002</v>
      </c>
      <c r="D3072" s="592">
        <v>24</v>
      </c>
      <c r="E3072" s="597">
        <v>900</v>
      </c>
      <c r="F3072" s="597">
        <v>900</v>
      </c>
      <c r="G3072" s="597">
        <v>12000</v>
      </c>
      <c r="H3072" s="592" t="s">
        <v>1877</v>
      </c>
    </row>
    <row r="3073" spans="1:8" ht="24.75" customHeight="1" x14ac:dyDescent="0.55000000000000004">
      <c r="A3073" s="592">
        <v>3072</v>
      </c>
      <c r="B3073" s="596" t="s">
        <v>5784</v>
      </c>
      <c r="C3073" s="592" t="s">
        <v>7852</v>
      </c>
      <c r="D3073" s="592">
        <v>30</v>
      </c>
      <c r="E3073" s="597">
        <v>200</v>
      </c>
      <c r="F3073" s="597">
        <v>200</v>
      </c>
      <c r="G3073" s="597">
        <v>3960</v>
      </c>
      <c r="H3073" s="592" t="s">
        <v>1877</v>
      </c>
    </row>
    <row r="3074" spans="1:8" ht="24.75" customHeight="1" x14ac:dyDescent="0.55000000000000004">
      <c r="A3074" s="592">
        <v>3073</v>
      </c>
      <c r="B3074" s="596" t="s">
        <v>5785</v>
      </c>
      <c r="C3074" s="592" t="s">
        <v>5786</v>
      </c>
      <c r="D3074" s="592">
        <v>1</v>
      </c>
      <c r="E3074" s="597">
        <v>3000</v>
      </c>
      <c r="F3074" s="597">
        <v>3000</v>
      </c>
      <c r="G3074" s="597">
        <v>2118</v>
      </c>
      <c r="H3074" s="592" t="s">
        <v>1877</v>
      </c>
    </row>
    <row r="3075" spans="1:8" ht="24.75" customHeight="1" x14ac:dyDescent="0.55000000000000004">
      <c r="A3075" s="592">
        <v>3074</v>
      </c>
      <c r="B3075" s="596" t="s">
        <v>5787</v>
      </c>
      <c r="C3075" s="592" t="s">
        <v>5788</v>
      </c>
      <c r="D3075" s="592">
        <v>25</v>
      </c>
      <c r="E3075" s="597">
        <v>4500</v>
      </c>
      <c r="F3075" s="597">
        <v>4500</v>
      </c>
      <c r="G3075" s="597">
        <v>43825</v>
      </c>
      <c r="H3075" s="592" t="s">
        <v>1877</v>
      </c>
    </row>
    <row r="3076" spans="1:8" ht="24.75" customHeight="1" x14ac:dyDescent="0.55000000000000004">
      <c r="A3076" s="592">
        <v>3075</v>
      </c>
      <c r="B3076" s="596" t="s">
        <v>5791</v>
      </c>
      <c r="C3076" s="592" t="s">
        <v>5792</v>
      </c>
      <c r="D3076" s="592">
        <v>15</v>
      </c>
      <c r="E3076" s="597">
        <v>4000</v>
      </c>
      <c r="F3076" s="597">
        <v>4000</v>
      </c>
      <c r="G3076" s="597">
        <v>40005</v>
      </c>
      <c r="H3076" s="592" t="s">
        <v>1877</v>
      </c>
    </row>
    <row r="3077" spans="1:8" ht="24.75" customHeight="1" x14ac:dyDescent="0.55000000000000004">
      <c r="A3077" s="592">
        <v>3076</v>
      </c>
      <c r="B3077" s="596" t="s">
        <v>2003</v>
      </c>
      <c r="C3077" s="592" t="s">
        <v>2004</v>
      </c>
      <c r="D3077" s="592">
        <v>13</v>
      </c>
      <c r="E3077" s="597">
        <v>3700</v>
      </c>
      <c r="F3077" s="597">
        <v>3700</v>
      </c>
      <c r="G3077" s="597">
        <v>27846</v>
      </c>
      <c r="H3077" s="592" t="s">
        <v>1877</v>
      </c>
    </row>
    <row r="3078" spans="1:8" ht="24.75" customHeight="1" x14ac:dyDescent="0.55000000000000004">
      <c r="A3078" s="592">
        <v>3077</v>
      </c>
      <c r="B3078" s="596" t="s">
        <v>5793</v>
      </c>
      <c r="C3078" s="592" t="s">
        <v>7853</v>
      </c>
      <c r="D3078" s="592">
        <v>14</v>
      </c>
      <c r="E3078" s="597">
        <v>500</v>
      </c>
      <c r="F3078" s="597">
        <v>500</v>
      </c>
      <c r="G3078" s="597">
        <v>2226</v>
      </c>
      <c r="H3078" s="592" t="s">
        <v>1877</v>
      </c>
    </row>
    <row r="3079" spans="1:8" ht="24.75" customHeight="1" x14ac:dyDescent="0.55000000000000004">
      <c r="A3079" s="592">
        <v>3078</v>
      </c>
      <c r="B3079" s="596" t="s">
        <v>5794</v>
      </c>
      <c r="C3079" s="592" t="s">
        <v>5795</v>
      </c>
      <c r="D3079" s="592">
        <v>3</v>
      </c>
      <c r="E3079" s="597">
        <v>5000</v>
      </c>
      <c r="F3079" s="597">
        <v>5000</v>
      </c>
      <c r="G3079" s="597">
        <v>11463</v>
      </c>
      <c r="H3079" s="592" t="s">
        <v>1877</v>
      </c>
    </row>
    <row r="3080" spans="1:8" ht="24.75" customHeight="1" x14ac:dyDescent="0.55000000000000004">
      <c r="A3080" s="592">
        <v>3079</v>
      </c>
      <c r="B3080" s="596" t="s">
        <v>5796</v>
      </c>
      <c r="C3080" s="592" t="s">
        <v>5797</v>
      </c>
      <c r="D3080" s="592">
        <v>1</v>
      </c>
      <c r="E3080" s="597">
        <v>300</v>
      </c>
      <c r="F3080" s="597">
        <v>300</v>
      </c>
      <c r="G3080" s="597">
        <v>232</v>
      </c>
      <c r="H3080" s="592" t="s">
        <v>1877</v>
      </c>
    </row>
    <row r="3081" spans="1:8" ht="24.75" customHeight="1" x14ac:dyDescent="0.55000000000000004">
      <c r="A3081" s="592">
        <v>3080</v>
      </c>
      <c r="B3081" s="596" t="s">
        <v>5798</v>
      </c>
      <c r="C3081" s="592" t="s">
        <v>5799</v>
      </c>
      <c r="D3081" s="592">
        <v>4</v>
      </c>
      <c r="E3081" s="597">
        <v>500</v>
      </c>
      <c r="F3081" s="597">
        <v>500</v>
      </c>
      <c r="G3081" s="597">
        <v>608</v>
      </c>
      <c r="H3081" s="592" t="s">
        <v>1877</v>
      </c>
    </row>
    <row r="3082" spans="1:8" ht="24.75" customHeight="1" x14ac:dyDescent="0.55000000000000004">
      <c r="A3082" s="592">
        <v>3081</v>
      </c>
      <c r="B3082" s="596" t="s">
        <v>5800</v>
      </c>
      <c r="C3082" s="592" t="s">
        <v>5801</v>
      </c>
      <c r="D3082" s="592">
        <v>1</v>
      </c>
      <c r="E3082" s="597">
        <v>21000</v>
      </c>
      <c r="F3082" s="597">
        <v>21000</v>
      </c>
      <c r="G3082" s="597">
        <v>15966</v>
      </c>
      <c r="H3082" s="592" t="s">
        <v>1877</v>
      </c>
    </row>
    <row r="3083" spans="1:8" ht="24.75" customHeight="1" x14ac:dyDescent="0.55000000000000004">
      <c r="A3083" s="592">
        <v>3082</v>
      </c>
      <c r="B3083" s="596" t="s">
        <v>5802</v>
      </c>
      <c r="C3083" s="592" t="s">
        <v>5803</v>
      </c>
      <c r="D3083" s="592">
        <v>1</v>
      </c>
      <c r="E3083" s="597">
        <v>22000</v>
      </c>
      <c r="F3083" s="597">
        <v>22000</v>
      </c>
      <c r="G3083" s="597">
        <v>17182</v>
      </c>
      <c r="H3083" s="592" t="s">
        <v>1877</v>
      </c>
    </row>
    <row r="3084" spans="1:8" ht="24.75" customHeight="1" x14ac:dyDescent="0.55000000000000004">
      <c r="A3084" s="592">
        <v>3083</v>
      </c>
      <c r="B3084" s="596" t="s">
        <v>5804</v>
      </c>
      <c r="C3084" s="592" t="s">
        <v>5805</v>
      </c>
      <c r="D3084" s="592">
        <v>2</v>
      </c>
      <c r="E3084" s="597">
        <v>3000</v>
      </c>
      <c r="F3084" s="597">
        <v>3000</v>
      </c>
      <c r="G3084" s="597">
        <v>4554</v>
      </c>
      <c r="H3084" s="592" t="s">
        <v>1877</v>
      </c>
    </row>
    <row r="3085" spans="1:8" ht="24.75" customHeight="1" x14ac:dyDescent="0.55000000000000004">
      <c r="A3085" s="592">
        <v>3084</v>
      </c>
      <c r="B3085" s="596" t="s">
        <v>5806</v>
      </c>
      <c r="C3085" s="592" t="s">
        <v>5807</v>
      </c>
      <c r="D3085" s="592">
        <v>3</v>
      </c>
      <c r="E3085" s="597">
        <v>8000</v>
      </c>
      <c r="F3085" s="597">
        <v>8000</v>
      </c>
      <c r="G3085" s="597">
        <v>18858</v>
      </c>
      <c r="H3085" s="592" t="s">
        <v>1877</v>
      </c>
    </row>
    <row r="3086" spans="1:8" ht="24.75" customHeight="1" x14ac:dyDescent="0.55000000000000004">
      <c r="A3086" s="592">
        <v>3085</v>
      </c>
      <c r="B3086" s="596" t="s">
        <v>5808</v>
      </c>
      <c r="C3086" s="592" t="s">
        <v>5809</v>
      </c>
      <c r="D3086" s="592">
        <v>1</v>
      </c>
      <c r="E3086" s="597">
        <v>15000</v>
      </c>
      <c r="F3086" s="597">
        <v>15000</v>
      </c>
      <c r="G3086" s="597">
        <v>8461</v>
      </c>
      <c r="H3086" s="592" t="s">
        <v>1877</v>
      </c>
    </row>
    <row r="3087" spans="1:8" ht="24.75" customHeight="1" x14ac:dyDescent="0.55000000000000004">
      <c r="A3087" s="592">
        <v>3086</v>
      </c>
      <c r="B3087" s="596" t="s">
        <v>5810</v>
      </c>
      <c r="C3087" s="592" t="s">
        <v>7854</v>
      </c>
      <c r="D3087" s="592">
        <v>2</v>
      </c>
      <c r="E3087" s="597">
        <v>4000</v>
      </c>
      <c r="F3087" s="597">
        <v>4000</v>
      </c>
      <c r="G3087" s="597">
        <v>6358</v>
      </c>
      <c r="H3087" s="592" t="s">
        <v>1877</v>
      </c>
    </row>
    <row r="3088" spans="1:8" ht="24.75" customHeight="1" x14ac:dyDescent="0.55000000000000004">
      <c r="A3088" s="592">
        <v>3087</v>
      </c>
      <c r="B3088" s="596" t="s">
        <v>5811</v>
      </c>
      <c r="C3088" s="592" t="s">
        <v>7855</v>
      </c>
      <c r="D3088" s="592">
        <v>1</v>
      </c>
      <c r="E3088" s="597">
        <v>4500</v>
      </c>
      <c r="F3088" s="597">
        <v>4500</v>
      </c>
      <c r="G3088" s="597">
        <v>3342</v>
      </c>
      <c r="H3088" s="592" t="s">
        <v>1877</v>
      </c>
    </row>
    <row r="3089" spans="1:8" ht="24.75" customHeight="1" x14ac:dyDescent="0.55000000000000004">
      <c r="A3089" s="592">
        <v>3088</v>
      </c>
      <c r="B3089" s="596" t="s">
        <v>5812</v>
      </c>
      <c r="C3089" s="592" t="s">
        <v>5813</v>
      </c>
      <c r="D3089" s="592">
        <v>2</v>
      </c>
      <c r="E3089" s="597">
        <v>4500</v>
      </c>
      <c r="F3089" s="597">
        <v>4500</v>
      </c>
      <c r="G3089" s="597">
        <v>4460</v>
      </c>
      <c r="H3089" s="592" t="s">
        <v>1877</v>
      </c>
    </row>
    <row r="3090" spans="1:8" ht="24.75" customHeight="1" x14ac:dyDescent="0.55000000000000004">
      <c r="A3090" s="592">
        <v>3089</v>
      </c>
      <c r="B3090" s="596" t="s">
        <v>5814</v>
      </c>
      <c r="C3090" s="592" t="s">
        <v>5815</v>
      </c>
      <c r="D3090" s="592">
        <v>2</v>
      </c>
      <c r="E3090" s="597">
        <v>3500</v>
      </c>
      <c r="F3090" s="597">
        <v>3500</v>
      </c>
      <c r="G3090" s="597">
        <v>3812</v>
      </c>
      <c r="H3090" s="592" t="s">
        <v>1877</v>
      </c>
    </row>
    <row r="3091" spans="1:8" ht="24.75" customHeight="1" x14ac:dyDescent="0.55000000000000004">
      <c r="A3091" s="592">
        <v>3090</v>
      </c>
      <c r="B3091" s="596" t="s">
        <v>5816</v>
      </c>
      <c r="C3091" s="592" t="s">
        <v>7856</v>
      </c>
      <c r="D3091" s="592">
        <v>3</v>
      </c>
      <c r="E3091" s="597">
        <v>2000</v>
      </c>
      <c r="F3091" s="597">
        <v>2000</v>
      </c>
      <c r="G3091" s="597">
        <v>3345</v>
      </c>
      <c r="H3091" s="592" t="s">
        <v>1877</v>
      </c>
    </row>
    <row r="3092" spans="1:8" ht="24.75" customHeight="1" x14ac:dyDescent="0.55000000000000004">
      <c r="A3092" s="592">
        <v>3091</v>
      </c>
      <c r="B3092" s="596" t="s">
        <v>2005</v>
      </c>
      <c r="C3092" s="592" t="s">
        <v>7857</v>
      </c>
      <c r="D3092" s="592">
        <v>3</v>
      </c>
      <c r="E3092" s="597">
        <v>2000</v>
      </c>
      <c r="F3092" s="597">
        <v>2000</v>
      </c>
      <c r="G3092" s="597">
        <v>3537</v>
      </c>
      <c r="H3092" s="592" t="s">
        <v>1877</v>
      </c>
    </row>
    <row r="3093" spans="1:8" ht="24.75" customHeight="1" x14ac:dyDescent="0.55000000000000004">
      <c r="A3093" s="592">
        <v>3092</v>
      </c>
      <c r="B3093" s="596" t="s">
        <v>5817</v>
      </c>
      <c r="C3093" s="592" t="s">
        <v>5818</v>
      </c>
      <c r="D3093" s="592">
        <v>4</v>
      </c>
      <c r="E3093" s="597">
        <v>800</v>
      </c>
      <c r="F3093" s="597">
        <v>800</v>
      </c>
      <c r="G3093" s="597">
        <v>2000</v>
      </c>
      <c r="H3093" s="592" t="s">
        <v>1877</v>
      </c>
    </row>
    <row r="3094" spans="1:8" ht="24.75" customHeight="1" x14ac:dyDescent="0.55000000000000004">
      <c r="A3094" s="592">
        <v>3093</v>
      </c>
      <c r="B3094" s="596" t="s">
        <v>2006</v>
      </c>
      <c r="C3094" s="592" t="s">
        <v>7858</v>
      </c>
      <c r="D3094" s="592">
        <v>2</v>
      </c>
      <c r="E3094" s="597">
        <v>300</v>
      </c>
      <c r="F3094" s="597">
        <v>300</v>
      </c>
      <c r="G3094" s="597">
        <v>298</v>
      </c>
      <c r="H3094" s="592" t="s">
        <v>1877</v>
      </c>
    </row>
    <row r="3095" spans="1:8" ht="24.75" customHeight="1" x14ac:dyDescent="0.55000000000000004">
      <c r="A3095" s="592">
        <v>3094</v>
      </c>
      <c r="B3095" s="596" t="s">
        <v>5819</v>
      </c>
      <c r="C3095" s="592" t="s">
        <v>5820</v>
      </c>
      <c r="D3095" s="592">
        <v>10</v>
      </c>
      <c r="E3095" s="597">
        <v>300</v>
      </c>
      <c r="F3095" s="597">
        <v>300</v>
      </c>
      <c r="G3095" s="597">
        <v>1550</v>
      </c>
      <c r="H3095" s="592" t="s">
        <v>1877</v>
      </c>
    </row>
    <row r="3096" spans="1:8" ht="24.75" customHeight="1" x14ac:dyDescent="0.55000000000000004">
      <c r="A3096" s="592">
        <v>3095</v>
      </c>
      <c r="B3096" s="596" t="s">
        <v>5821</v>
      </c>
      <c r="C3096" s="592" t="s">
        <v>5822</v>
      </c>
      <c r="D3096" s="592">
        <v>2</v>
      </c>
      <c r="E3096" s="597">
        <v>2800</v>
      </c>
      <c r="F3096" s="597">
        <v>2800</v>
      </c>
      <c r="G3096" s="597">
        <v>4280</v>
      </c>
      <c r="H3096" s="592" t="s">
        <v>1877</v>
      </c>
    </row>
    <row r="3097" spans="1:8" ht="24.75" customHeight="1" x14ac:dyDescent="0.55000000000000004">
      <c r="A3097" s="592">
        <v>3096</v>
      </c>
      <c r="B3097" s="596" t="s">
        <v>5823</v>
      </c>
      <c r="C3097" s="592" t="s">
        <v>5824</v>
      </c>
      <c r="D3097" s="592">
        <v>1</v>
      </c>
      <c r="E3097" s="597">
        <v>22000</v>
      </c>
      <c r="F3097" s="597">
        <v>22000</v>
      </c>
      <c r="G3097" s="597">
        <v>11436</v>
      </c>
      <c r="H3097" s="592" t="s">
        <v>1877</v>
      </c>
    </row>
    <row r="3098" spans="1:8" ht="24.75" customHeight="1" x14ac:dyDescent="0.55000000000000004">
      <c r="A3098" s="592">
        <v>3097</v>
      </c>
      <c r="B3098" s="596" t="s">
        <v>5825</v>
      </c>
      <c r="C3098" s="592" t="s">
        <v>5826</v>
      </c>
      <c r="D3098" s="592">
        <v>3</v>
      </c>
      <c r="E3098" s="597">
        <v>12000</v>
      </c>
      <c r="F3098" s="597">
        <v>12000</v>
      </c>
      <c r="G3098" s="597">
        <v>27597</v>
      </c>
      <c r="H3098" s="592" t="s">
        <v>1877</v>
      </c>
    </row>
    <row r="3099" spans="1:8" ht="24.75" customHeight="1" x14ac:dyDescent="0.55000000000000004">
      <c r="A3099" s="592">
        <v>3098</v>
      </c>
      <c r="B3099" s="596" t="s">
        <v>5827</v>
      </c>
      <c r="C3099" s="592" t="s">
        <v>7859</v>
      </c>
      <c r="D3099" s="592">
        <v>7</v>
      </c>
      <c r="E3099" s="597">
        <v>2000</v>
      </c>
      <c r="F3099" s="597">
        <v>2000</v>
      </c>
      <c r="G3099" s="597">
        <v>4809</v>
      </c>
      <c r="H3099" s="592" t="s">
        <v>1877</v>
      </c>
    </row>
    <row r="3100" spans="1:8" ht="24.75" customHeight="1" x14ac:dyDescent="0.55000000000000004">
      <c r="A3100" s="592">
        <v>3099</v>
      </c>
      <c r="B3100" s="596" t="s">
        <v>5828</v>
      </c>
      <c r="C3100" s="592" t="s">
        <v>5829</v>
      </c>
      <c r="D3100" s="592">
        <v>4</v>
      </c>
      <c r="E3100" s="597">
        <v>2500</v>
      </c>
      <c r="F3100" s="597">
        <v>2500</v>
      </c>
      <c r="G3100" s="597">
        <v>3120</v>
      </c>
      <c r="H3100" s="592" t="s">
        <v>1877</v>
      </c>
    </row>
    <row r="3101" spans="1:8" ht="24.75" customHeight="1" x14ac:dyDescent="0.55000000000000004">
      <c r="A3101" s="592">
        <v>3100</v>
      </c>
      <c r="B3101" s="596" t="s">
        <v>5830</v>
      </c>
      <c r="C3101" s="592" t="s">
        <v>5831</v>
      </c>
      <c r="D3101" s="592">
        <v>6</v>
      </c>
      <c r="E3101" s="597">
        <v>3500</v>
      </c>
      <c r="F3101" s="597">
        <v>3500</v>
      </c>
      <c r="G3101" s="597">
        <v>8580</v>
      </c>
      <c r="H3101" s="592" t="s">
        <v>1877</v>
      </c>
    </row>
    <row r="3102" spans="1:8" ht="24.75" customHeight="1" x14ac:dyDescent="0.55000000000000004">
      <c r="A3102" s="592">
        <v>3101</v>
      </c>
      <c r="B3102" s="596" t="s">
        <v>2007</v>
      </c>
      <c r="C3102" s="592" t="s">
        <v>2008</v>
      </c>
      <c r="D3102" s="592">
        <v>9</v>
      </c>
      <c r="E3102" s="597">
        <v>900</v>
      </c>
      <c r="F3102" s="597">
        <v>900</v>
      </c>
      <c r="G3102" s="597">
        <v>2925</v>
      </c>
      <c r="H3102" s="592" t="s">
        <v>1877</v>
      </c>
    </row>
    <row r="3103" spans="1:8" ht="24.75" customHeight="1" x14ac:dyDescent="0.55000000000000004">
      <c r="A3103" s="592">
        <v>3102</v>
      </c>
      <c r="B3103" s="596" t="s">
        <v>5832</v>
      </c>
      <c r="C3103" s="592" t="s">
        <v>5833</v>
      </c>
      <c r="D3103" s="592">
        <v>4</v>
      </c>
      <c r="E3103" s="597">
        <v>1500</v>
      </c>
      <c r="F3103" s="597">
        <v>1500</v>
      </c>
      <c r="G3103" s="597">
        <v>2272</v>
      </c>
      <c r="H3103" s="592" t="s">
        <v>1877</v>
      </c>
    </row>
    <row r="3104" spans="1:8" ht="24.75" customHeight="1" x14ac:dyDescent="0.55000000000000004">
      <c r="A3104" s="592">
        <v>3103</v>
      </c>
      <c r="B3104" s="596" t="s">
        <v>5834</v>
      </c>
      <c r="C3104" s="592" t="s">
        <v>5835</v>
      </c>
      <c r="D3104" s="592">
        <v>3</v>
      </c>
      <c r="E3104" s="597">
        <v>1500</v>
      </c>
      <c r="F3104" s="597">
        <v>1500</v>
      </c>
      <c r="G3104" s="597">
        <v>1704</v>
      </c>
      <c r="H3104" s="592" t="s">
        <v>1877</v>
      </c>
    </row>
    <row r="3105" spans="1:8" ht="24.75" customHeight="1" x14ac:dyDescent="0.55000000000000004">
      <c r="A3105" s="592">
        <v>3104</v>
      </c>
      <c r="B3105" s="596" t="s">
        <v>5836</v>
      </c>
      <c r="C3105" s="592" t="s">
        <v>5837</v>
      </c>
      <c r="D3105" s="592">
        <v>1</v>
      </c>
      <c r="E3105" s="597">
        <v>16000</v>
      </c>
      <c r="F3105" s="597">
        <v>16000</v>
      </c>
      <c r="G3105" s="597">
        <v>11479</v>
      </c>
      <c r="H3105" s="592" t="s">
        <v>1877</v>
      </c>
    </row>
    <row r="3106" spans="1:8" ht="24.75" customHeight="1" x14ac:dyDescent="0.55000000000000004">
      <c r="A3106" s="592">
        <v>3105</v>
      </c>
      <c r="B3106" s="596" t="s">
        <v>5838</v>
      </c>
      <c r="C3106" s="592" t="s">
        <v>5839</v>
      </c>
      <c r="D3106" s="592">
        <v>3</v>
      </c>
      <c r="E3106" s="597">
        <v>2500</v>
      </c>
      <c r="F3106" s="597">
        <v>2500</v>
      </c>
      <c r="G3106" s="597">
        <v>4680</v>
      </c>
      <c r="H3106" s="592" t="s">
        <v>1877</v>
      </c>
    </row>
    <row r="3107" spans="1:8" ht="24.75" customHeight="1" x14ac:dyDescent="0.55000000000000004">
      <c r="A3107" s="592">
        <v>3106</v>
      </c>
      <c r="B3107" s="596" t="s">
        <v>2009</v>
      </c>
      <c r="C3107" s="592" t="s">
        <v>7463</v>
      </c>
      <c r="D3107" s="592">
        <v>16</v>
      </c>
      <c r="E3107" s="597">
        <v>400</v>
      </c>
      <c r="F3107" s="597">
        <v>400</v>
      </c>
      <c r="G3107" s="597">
        <v>3632</v>
      </c>
      <c r="H3107" s="592" t="s">
        <v>1877</v>
      </c>
    </row>
    <row r="3108" spans="1:8" ht="24.75" customHeight="1" x14ac:dyDescent="0.55000000000000004">
      <c r="A3108" s="592">
        <v>3107</v>
      </c>
      <c r="B3108" s="596" t="s">
        <v>5840</v>
      </c>
      <c r="C3108" s="592" t="s">
        <v>5841</v>
      </c>
      <c r="D3108" s="592">
        <v>10</v>
      </c>
      <c r="E3108" s="597">
        <v>400</v>
      </c>
      <c r="F3108" s="597">
        <v>400</v>
      </c>
      <c r="G3108" s="597">
        <v>2270</v>
      </c>
      <c r="H3108" s="592" t="s">
        <v>1877</v>
      </c>
    </row>
    <row r="3109" spans="1:8" ht="24.75" customHeight="1" x14ac:dyDescent="0.55000000000000004">
      <c r="A3109" s="592">
        <v>3108</v>
      </c>
      <c r="B3109" s="596" t="s">
        <v>2010</v>
      </c>
      <c r="C3109" s="592" t="s">
        <v>2011</v>
      </c>
      <c r="D3109" s="592">
        <v>17</v>
      </c>
      <c r="E3109" s="597">
        <v>400</v>
      </c>
      <c r="F3109" s="597">
        <v>400</v>
      </c>
      <c r="G3109" s="597">
        <v>3196</v>
      </c>
      <c r="H3109" s="592" t="s">
        <v>1877</v>
      </c>
    </row>
    <row r="3110" spans="1:8" ht="24.75" customHeight="1" x14ac:dyDescent="0.55000000000000004">
      <c r="A3110" s="592">
        <v>3109</v>
      </c>
      <c r="B3110" s="596" t="s">
        <v>5842</v>
      </c>
      <c r="C3110" s="592" t="s">
        <v>5843</v>
      </c>
      <c r="D3110" s="592">
        <v>9</v>
      </c>
      <c r="E3110" s="597">
        <v>2000</v>
      </c>
      <c r="F3110" s="597">
        <v>2000</v>
      </c>
      <c r="G3110" s="597">
        <v>8604</v>
      </c>
      <c r="H3110" s="592" t="s">
        <v>1877</v>
      </c>
    </row>
    <row r="3111" spans="1:8" ht="24.75" customHeight="1" x14ac:dyDescent="0.55000000000000004">
      <c r="A3111" s="592">
        <v>3110</v>
      </c>
      <c r="B3111" s="596" t="s">
        <v>2012</v>
      </c>
      <c r="C3111" s="592" t="s">
        <v>2013</v>
      </c>
      <c r="D3111" s="592">
        <v>9</v>
      </c>
      <c r="E3111" s="597">
        <v>2000</v>
      </c>
      <c r="F3111" s="597">
        <v>2000</v>
      </c>
      <c r="G3111" s="597">
        <v>8550</v>
      </c>
      <c r="H3111" s="592" t="s">
        <v>1877</v>
      </c>
    </row>
    <row r="3112" spans="1:8" ht="24.75" customHeight="1" x14ac:dyDescent="0.55000000000000004">
      <c r="A3112" s="592">
        <v>3111</v>
      </c>
      <c r="B3112" s="596" t="s">
        <v>5844</v>
      </c>
      <c r="C3112" s="592" t="s">
        <v>5845</v>
      </c>
      <c r="D3112" s="592">
        <v>4</v>
      </c>
      <c r="E3112" s="597">
        <v>3000</v>
      </c>
      <c r="F3112" s="597">
        <v>3000</v>
      </c>
      <c r="G3112" s="597">
        <v>5496</v>
      </c>
      <c r="H3112" s="592" t="s">
        <v>1877</v>
      </c>
    </row>
    <row r="3113" spans="1:8" ht="24.75" customHeight="1" x14ac:dyDescent="0.55000000000000004">
      <c r="A3113" s="592">
        <v>3112</v>
      </c>
      <c r="B3113" s="596" t="s">
        <v>5846</v>
      </c>
      <c r="C3113" s="592" t="s">
        <v>5847</v>
      </c>
      <c r="D3113" s="592">
        <v>2</v>
      </c>
      <c r="E3113" s="597">
        <v>4000</v>
      </c>
      <c r="F3113" s="597">
        <v>4000</v>
      </c>
      <c r="G3113" s="597">
        <v>5400</v>
      </c>
      <c r="H3113" s="592" t="s">
        <v>1877</v>
      </c>
    </row>
    <row r="3114" spans="1:8" ht="24.75" customHeight="1" x14ac:dyDescent="0.55000000000000004">
      <c r="A3114" s="592">
        <v>3113</v>
      </c>
      <c r="B3114" s="596" t="s">
        <v>5848</v>
      </c>
      <c r="C3114" s="592" t="s">
        <v>5849</v>
      </c>
      <c r="D3114" s="592">
        <v>1</v>
      </c>
      <c r="E3114" s="597">
        <v>28000</v>
      </c>
      <c r="F3114" s="597">
        <v>28000</v>
      </c>
      <c r="G3114" s="597">
        <v>21443</v>
      </c>
      <c r="H3114" s="592" t="s">
        <v>1877</v>
      </c>
    </row>
    <row r="3115" spans="1:8" ht="24.75" customHeight="1" x14ac:dyDescent="0.55000000000000004">
      <c r="A3115" s="592">
        <v>3114</v>
      </c>
      <c r="B3115" s="596" t="s">
        <v>5850</v>
      </c>
      <c r="C3115" s="592" t="s">
        <v>5851</v>
      </c>
      <c r="D3115" s="592">
        <v>9</v>
      </c>
      <c r="E3115" s="597">
        <v>1000</v>
      </c>
      <c r="F3115" s="597">
        <v>1000</v>
      </c>
      <c r="G3115" s="597">
        <v>4500</v>
      </c>
      <c r="H3115" s="592" t="s">
        <v>1877</v>
      </c>
    </row>
    <row r="3116" spans="1:8" ht="24.75" customHeight="1" x14ac:dyDescent="0.55000000000000004">
      <c r="A3116" s="592">
        <v>3115</v>
      </c>
      <c r="B3116" s="596" t="s">
        <v>5852</v>
      </c>
      <c r="C3116" s="592" t="s">
        <v>5853</v>
      </c>
      <c r="D3116" s="592">
        <v>7</v>
      </c>
      <c r="E3116" s="597">
        <v>2800</v>
      </c>
      <c r="F3116" s="597">
        <v>2800</v>
      </c>
      <c r="G3116" s="597">
        <v>10360</v>
      </c>
      <c r="H3116" s="592" t="s">
        <v>1877</v>
      </c>
    </row>
    <row r="3117" spans="1:8" ht="24.75" customHeight="1" x14ac:dyDescent="0.55000000000000004">
      <c r="A3117" s="592">
        <v>3116</v>
      </c>
      <c r="B3117" s="596" t="s">
        <v>5854</v>
      </c>
      <c r="C3117" s="592" t="s">
        <v>5855</v>
      </c>
      <c r="D3117" s="592">
        <v>2</v>
      </c>
      <c r="E3117" s="597">
        <v>7500</v>
      </c>
      <c r="F3117" s="597">
        <v>7500</v>
      </c>
      <c r="G3117" s="597">
        <v>12000</v>
      </c>
      <c r="H3117" s="592" t="s">
        <v>1877</v>
      </c>
    </row>
    <row r="3118" spans="1:8" ht="24.75" customHeight="1" x14ac:dyDescent="0.55000000000000004">
      <c r="A3118" s="592">
        <v>3117</v>
      </c>
      <c r="B3118" s="596" t="s">
        <v>5856</v>
      </c>
      <c r="C3118" s="592" t="s">
        <v>5857</v>
      </c>
      <c r="D3118" s="592">
        <v>4</v>
      </c>
      <c r="E3118" s="597">
        <v>2000</v>
      </c>
      <c r="F3118" s="597">
        <v>2000</v>
      </c>
      <c r="G3118" s="597">
        <v>2584</v>
      </c>
      <c r="H3118" s="592" t="s">
        <v>1877</v>
      </c>
    </row>
    <row r="3119" spans="1:8" ht="24.75" customHeight="1" x14ac:dyDescent="0.55000000000000004">
      <c r="A3119" s="592">
        <v>3118</v>
      </c>
      <c r="B3119" s="596" t="s">
        <v>5858</v>
      </c>
      <c r="C3119" s="592" t="s">
        <v>5859</v>
      </c>
      <c r="D3119" s="592">
        <v>4</v>
      </c>
      <c r="E3119" s="597">
        <v>2000</v>
      </c>
      <c r="F3119" s="597">
        <v>2000</v>
      </c>
      <c r="G3119" s="597">
        <v>3728</v>
      </c>
      <c r="H3119" s="592" t="s">
        <v>1877</v>
      </c>
    </row>
    <row r="3120" spans="1:8" ht="24.75" customHeight="1" x14ac:dyDescent="0.55000000000000004">
      <c r="A3120" s="592">
        <v>3119</v>
      </c>
      <c r="B3120" s="596" t="s">
        <v>5860</v>
      </c>
      <c r="C3120" s="592" t="s">
        <v>5861</v>
      </c>
      <c r="D3120" s="592">
        <v>5</v>
      </c>
      <c r="E3120" s="597">
        <v>3000</v>
      </c>
      <c r="F3120" s="597">
        <v>3000</v>
      </c>
      <c r="G3120" s="597">
        <v>5685</v>
      </c>
      <c r="H3120" s="592" t="s">
        <v>1877</v>
      </c>
    </row>
    <row r="3121" spans="1:8" ht="24.75" customHeight="1" x14ac:dyDescent="0.55000000000000004">
      <c r="A3121" s="592">
        <v>3120</v>
      </c>
      <c r="B3121" s="596" t="s">
        <v>5862</v>
      </c>
      <c r="C3121" s="592" t="s">
        <v>5863</v>
      </c>
      <c r="D3121" s="592">
        <v>10</v>
      </c>
      <c r="E3121" s="597">
        <v>2000</v>
      </c>
      <c r="F3121" s="597">
        <v>2000</v>
      </c>
      <c r="G3121" s="597">
        <v>14360</v>
      </c>
      <c r="H3121" s="592" t="s">
        <v>1877</v>
      </c>
    </row>
    <row r="3122" spans="1:8" ht="24.75" customHeight="1" x14ac:dyDescent="0.55000000000000004">
      <c r="A3122" s="592">
        <v>3121</v>
      </c>
      <c r="B3122" s="596" t="s">
        <v>2014</v>
      </c>
      <c r="C3122" s="592" t="s">
        <v>2015</v>
      </c>
      <c r="D3122" s="592">
        <v>16</v>
      </c>
      <c r="E3122" s="597">
        <v>3000</v>
      </c>
      <c r="F3122" s="597">
        <v>3000</v>
      </c>
      <c r="G3122" s="597">
        <v>22080</v>
      </c>
      <c r="H3122" s="592" t="s">
        <v>1877</v>
      </c>
    </row>
    <row r="3123" spans="1:8" ht="24.75" customHeight="1" x14ac:dyDescent="0.55000000000000004">
      <c r="A3123" s="592">
        <v>3122</v>
      </c>
      <c r="B3123" s="596" t="s">
        <v>5864</v>
      </c>
      <c r="C3123" s="592" t="s">
        <v>5865</v>
      </c>
      <c r="D3123" s="592">
        <v>1</v>
      </c>
      <c r="E3123" s="597">
        <v>2000</v>
      </c>
      <c r="F3123" s="597">
        <v>2000</v>
      </c>
      <c r="G3123" s="597">
        <v>968</v>
      </c>
      <c r="H3123" s="592" t="s">
        <v>1877</v>
      </c>
    </row>
    <row r="3124" spans="1:8" ht="24.75" customHeight="1" x14ac:dyDescent="0.55000000000000004">
      <c r="A3124" s="592">
        <v>3123</v>
      </c>
      <c r="B3124" s="596" t="s">
        <v>6519</v>
      </c>
      <c r="C3124" s="592" t="s">
        <v>6520</v>
      </c>
      <c r="D3124" s="592">
        <v>1</v>
      </c>
      <c r="E3124" s="597">
        <v>12500</v>
      </c>
      <c r="F3124" s="597">
        <v>12500</v>
      </c>
      <c r="G3124" s="597">
        <v>8004</v>
      </c>
      <c r="H3124" s="592" t="s">
        <v>1877</v>
      </c>
    </row>
    <row r="3125" spans="1:8" ht="24.75" customHeight="1" x14ac:dyDescent="0.55000000000000004">
      <c r="A3125" s="592">
        <v>3124</v>
      </c>
      <c r="B3125" s="596" t="s">
        <v>2016</v>
      </c>
      <c r="C3125" s="592" t="s">
        <v>7860</v>
      </c>
      <c r="D3125" s="592">
        <v>1</v>
      </c>
      <c r="E3125" s="597">
        <v>3000</v>
      </c>
      <c r="F3125" s="597">
        <v>3000</v>
      </c>
      <c r="G3125" s="597">
        <v>1752</v>
      </c>
      <c r="H3125" s="592" t="s">
        <v>1877</v>
      </c>
    </row>
    <row r="3126" spans="1:8" ht="24.75" customHeight="1" x14ac:dyDescent="0.55000000000000004">
      <c r="A3126" s="592">
        <v>3125</v>
      </c>
      <c r="B3126" s="596" t="s">
        <v>5866</v>
      </c>
      <c r="C3126" s="592" t="s">
        <v>7464</v>
      </c>
      <c r="D3126" s="592">
        <v>2</v>
      </c>
      <c r="E3126" s="597">
        <v>28000</v>
      </c>
      <c r="F3126" s="597">
        <v>28000</v>
      </c>
      <c r="G3126" s="597">
        <v>30310</v>
      </c>
      <c r="H3126" s="592" t="s">
        <v>1877</v>
      </c>
    </row>
    <row r="3127" spans="1:8" ht="24.75" customHeight="1" x14ac:dyDescent="0.55000000000000004">
      <c r="A3127" s="592">
        <v>3126</v>
      </c>
      <c r="B3127" s="596" t="s">
        <v>5867</v>
      </c>
      <c r="C3127" s="592" t="s">
        <v>7861</v>
      </c>
      <c r="D3127" s="592">
        <v>1</v>
      </c>
      <c r="E3127" s="597">
        <v>22000</v>
      </c>
      <c r="F3127" s="597">
        <v>22000</v>
      </c>
      <c r="G3127" s="597">
        <v>16983</v>
      </c>
      <c r="H3127" s="592" t="s">
        <v>1877</v>
      </c>
    </row>
    <row r="3128" spans="1:8" ht="24.75" customHeight="1" x14ac:dyDescent="0.55000000000000004">
      <c r="A3128" s="592">
        <v>3127</v>
      </c>
      <c r="B3128" s="596" t="s">
        <v>5868</v>
      </c>
      <c r="C3128" s="592" t="s">
        <v>5869</v>
      </c>
      <c r="D3128" s="592">
        <v>1</v>
      </c>
      <c r="E3128" s="597">
        <v>21000</v>
      </c>
      <c r="F3128" s="597">
        <v>21000</v>
      </c>
      <c r="G3128" s="597">
        <v>15966</v>
      </c>
      <c r="H3128" s="592" t="s">
        <v>1877</v>
      </c>
    </row>
    <row r="3129" spans="1:8" ht="24.75" customHeight="1" x14ac:dyDescent="0.55000000000000004">
      <c r="A3129" s="592">
        <v>3128</v>
      </c>
      <c r="B3129" s="596" t="s">
        <v>5870</v>
      </c>
      <c r="C3129" s="592" t="s">
        <v>5871</v>
      </c>
      <c r="D3129" s="592">
        <v>2</v>
      </c>
      <c r="E3129" s="597">
        <v>4000</v>
      </c>
      <c r="F3129" s="597">
        <v>4000</v>
      </c>
      <c r="G3129" s="597">
        <v>3266</v>
      </c>
      <c r="H3129" s="592" t="s">
        <v>1877</v>
      </c>
    </row>
    <row r="3130" spans="1:8" ht="24.75" customHeight="1" x14ac:dyDescent="0.55000000000000004">
      <c r="A3130" s="592">
        <v>3129</v>
      </c>
      <c r="B3130" s="596" t="s">
        <v>5872</v>
      </c>
      <c r="C3130" s="592" t="s">
        <v>5873</v>
      </c>
      <c r="D3130" s="592">
        <v>3</v>
      </c>
      <c r="E3130" s="597">
        <v>14000</v>
      </c>
      <c r="F3130" s="597">
        <v>14000</v>
      </c>
      <c r="G3130" s="597">
        <v>20850</v>
      </c>
      <c r="H3130" s="592" t="s">
        <v>1877</v>
      </c>
    </row>
    <row r="3131" spans="1:8" ht="24.75" customHeight="1" x14ac:dyDescent="0.55000000000000004">
      <c r="A3131" s="592">
        <v>3130</v>
      </c>
      <c r="B3131" s="596" t="s">
        <v>5874</v>
      </c>
      <c r="C3131" s="592" t="s">
        <v>5875</v>
      </c>
      <c r="D3131" s="592">
        <v>3</v>
      </c>
      <c r="E3131" s="597">
        <v>8500</v>
      </c>
      <c r="F3131" s="597">
        <v>8500</v>
      </c>
      <c r="G3131" s="597">
        <v>12420</v>
      </c>
      <c r="H3131" s="592" t="s">
        <v>1877</v>
      </c>
    </row>
    <row r="3132" spans="1:8" ht="24.75" customHeight="1" x14ac:dyDescent="0.55000000000000004">
      <c r="A3132" s="592">
        <v>3131</v>
      </c>
      <c r="B3132" s="596" t="s">
        <v>5876</v>
      </c>
      <c r="C3132" s="592" t="s">
        <v>5877</v>
      </c>
      <c r="D3132" s="592">
        <v>2</v>
      </c>
      <c r="E3132" s="597">
        <v>150</v>
      </c>
      <c r="F3132" s="597">
        <v>150</v>
      </c>
      <c r="G3132" s="597">
        <v>124</v>
      </c>
      <c r="H3132" s="592" t="s">
        <v>1877</v>
      </c>
    </row>
    <row r="3133" spans="1:8" ht="24.75" customHeight="1" x14ac:dyDescent="0.55000000000000004">
      <c r="A3133" s="592">
        <v>3132</v>
      </c>
      <c r="B3133" s="596" t="s">
        <v>5878</v>
      </c>
      <c r="C3133" s="592" t="s">
        <v>5879</v>
      </c>
      <c r="D3133" s="592">
        <v>1</v>
      </c>
      <c r="E3133" s="597">
        <v>2000</v>
      </c>
      <c r="F3133" s="597">
        <v>2000</v>
      </c>
      <c r="G3133" s="597">
        <v>1214</v>
      </c>
      <c r="H3133" s="592" t="s">
        <v>1877</v>
      </c>
    </row>
    <row r="3134" spans="1:8" ht="24.75" customHeight="1" x14ac:dyDescent="0.55000000000000004">
      <c r="A3134" s="592">
        <v>3133</v>
      </c>
      <c r="B3134" s="596" t="s">
        <v>5880</v>
      </c>
      <c r="C3134" s="592" t="s">
        <v>5881</v>
      </c>
      <c r="D3134" s="592">
        <v>5</v>
      </c>
      <c r="E3134" s="597">
        <v>250</v>
      </c>
      <c r="F3134" s="597">
        <v>250</v>
      </c>
      <c r="G3134" s="597">
        <v>600</v>
      </c>
      <c r="H3134" s="592" t="s">
        <v>1877</v>
      </c>
    </row>
    <row r="3135" spans="1:8" ht="24.75" customHeight="1" x14ac:dyDescent="0.55000000000000004">
      <c r="A3135" s="592">
        <v>3134</v>
      </c>
      <c r="B3135" s="596" t="s">
        <v>5882</v>
      </c>
      <c r="C3135" s="592" t="s">
        <v>5883</v>
      </c>
      <c r="D3135" s="592">
        <v>3</v>
      </c>
      <c r="E3135" s="597">
        <v>22500</v>
      </c>
      <c r="F3135" s="597">
        <v>22500</v>
      </c>
      <c r="G3135" s="597">
        <v>36540</v>
      </c>
      <c r="H3135" s="592" t="s">
        <v>1877</v>
      </c>
    </row>
    <row r="3136" spans="1:8" ht="24.75" customHeight="1" x14ac:dyDescent="0.55000000000000004">
      <c r="A3136" s="592">
        <v>3135</v>
      </c>
      <c r="B3136" s="596" t="s">
        <v>5884</v>
      </c>
      <c r="C3136" s="592" t="s">
        <v>5885</v>
      </c>
      <c r="D3136" s="592">
        <v>1</v>
      </c>
      <c r="E3136" s="597">
        <v>16500</v>
      </c>
      <c r="F3136" s="597">
        <v>16500</v>
      </c>
      <c r="G3136" s="597">
        <v>12180</v>
      </c>
      <c r="H3136" s="592" t="s">
        <v>1877</v>
      </c>
    </row>
    <row r="3137" spans="1:8" ht="24.75" customHeight="1" x14ac:dyDescent="0.55000000000000004">
      <c r="A3137" s="592">
        <v>3136</v>
      </c>
      <c r="B3137" s="596" t="s">
        <v>5886</v>
      </c>
      <c r="C3137" s="592" t="s">
        <v>5887</v>
      </c>
      <c r="D3137" s="592">
        <v>2</v>
      </c>
      <c r="E3137" s="597">
        <v>1500</v>
      </c>
      <c r="F3137" s="597">
        <v>1500</v>
      </c>
      <c r="G3137" s="597">
        <v>1912</v>
      </c>
      <c r="H3137" s="592" t="s">
        <v>1877</v>
      </c>
    </row>
    <row r="3138" spans="1:8" ht="24.75" customHeight="1" x14ac:dyDescent="0.55000000000000004">
      <c r="A3138" s="592">
        <v>3137</v>
      </c>
      <c r="B3138" s="596" t="s">
        <v>2017</v>
      </c>
      <c r="C3138" s="592" t="s">
        <v>2018</v>
      </c>
      <c r="D3138" s="592">
        <v>7</v>
      </c>
      <c r="E3138" s="597">
        <v>1500</v>
      </c>
      <c r="F3138" s="597">
        <v>1500</v>
      </c>
      <c r="G3138" s="597">
        <v>6580</v>
      </c>
      <c r="H3138" s="592" t="s">
        <v>1877</v>
      </c>
    </row>
    <row r="3139" spans="1:8" ht="24.75" customHeight="1" x14ac:dyDescent="0.55000000000000004">
      <c r="A3139" s="592">
        <v>3138</v>
      </c>
      <c r="B3139" s="596" t="s">
        <v>5888</v>
      </c>
      <c r="C3139" s="592" t="s">
        <v>5889</v>
      </c>
      <c r="D3139" s="592">
        <v>9</v>
      </c>
      <c r="E3139" s="597">
        <v>6000</v>
      </c>
      <c r="F3139" s="597">
        <v>6000</v>
      </c>
      <c r="G3139" s="597">
        <v>30006</v>
      </c>
      <c r="H3139" s="592" t="s">
        <v>1877</v>
      </c>
    </row>
    <row r="3140" spans="1:8" ht="24.75" customHeight="1" x14ac:dyDescent="0.55000000000000004">
      <c r="A3140" s="592">
        <v>3139</v>
      </c>
      <c r="B3140" s="596" t="s">
        <v>5890</v>
      </c>
      <c r="C3140" s="592" t="s">
        <v>5891</v>
      </c>
      <c r="D3140" s="592">
        <v>3</v>
      </c>
      <c r="E3140" s="597">
        <v>7000</v>
      </c>
      <c r="F3140" s="597">
        <v>7000</v>
      </c>
      <c r="G3140" s="597">
        <v>6120</v>
      </c>
      <c r="H3140" s="592" t="s">
        <v>1877</v>
      </c>
    </row>
    <row r="3141" spans="1:8" ht="24.75" customHeight="1" x14ac:dyDescent="0.55000000000000004">
      <c r="A3141" s="592">
        <v>3140</v>
      </c>
      <c r="B3141" s="596" t="s">
        <v>5892</v>
      </c>
      <c r="C3141" s="592" t="s">
        <v>5893</v>
      </c>
      <c r="D3141" s="592">
        <v>1</v>
      </c>
      <c r="E3141" s="597">
        <v>700</v>
      </c>
      <c r="F3141" s="597">
        <v>700</v>
      </c>
      <c r="G3141" s="597">
        <v>390</v>
      </c>
      <c r="H3141" s="592" t="s">
        <v>1877</v>
      </c>
    </row>
    <row r="3142" spans="1:8" ht="24.75" customHeight="1" x14ac:dyDescent="0.55000000000000004">
      <c r="A3142" s="592">
        <v>3141</v>
      </c>
      <c r="B3142" s="596" t="s">
        <v>5894</v>
      </c>
      <c r="C3142" s="592" t="s">
        <v>5895</v>
      </c>
      <c r="D3142" s="592">
        <v>3</v>
      </c>
      <c r="E3142" s="597">
        <v>3000</v>
      </c>
      <c r="F3142" s="597">
        <v>3000</v>
      </c>
      <c r="G3142" s="597">
        <v>3210</v>
      </c>
      <c r="H3142" s="592" t="s">
        <v>1877</v>
      </c>
    </row>
    <row r="3143" spans="1:8" ht="24.75" customHeight="1" x14ac:dyDescent="0.55000000000000004">
      <c r="A3143" s="592">
        <v>3142</v>
      </c>
      <c r="B3143" s="596" t="s">
        <v>5896</v>
      </c>
      <c r="C3143" s="592" t="s">
        <v>5897</v>
      </c>
      <c r="D3143" s="592">
        <v>3</v>
      </c>
      <c r="E3143" s="597">
        <v>1000</v>
      </c>
      <c r="F3143" s="597">
        <v>1000</v>
      </c>
      <c r="G3143" s="597">
        <v>1875</v>
      </c>
      <c r="H3143" s="592" t="s">
        <v>1877</v>
      </c>
    </row>
    <row r="3144" spans="1:8" ht="24.75" customHeight="1" x14ac:dyDescent="0.55000000000000004">
      <c r="A3144" s="592">
        <v>3143</v>
      </c>
      <c r="B3144" s="596" t="s">
        <v>5898</v>
      </c>
      <c r="C3144" s="592" t="s">
        <v>5899</v>
      </c>
      <c r="D3144" s="592">
        <v>1</v>
      </c>
      <c r="E3144" s="597">
        <v>3700</v>
      </c>
      <c r="F3144" s="597">
        <v>3700</v>
      </c>
      <c r="G3144" s="597">
        <v>2280</v>
      </c>
      <c r="H3144" s="592" t="s">
        <v>1877</v>
      </c>
    </row>
    <row r="3145" spans="1:8" ht="24.75" customHeight="1" x14ac:dyDescent="0.55000000000000004">
      <c r="A3145" s="592">
        <v>3144</v>
      </c>
      <c r="B3145" s="596" t="s">
        <v>5900</v>
      </c>
      <c r="C3145" s="592" t="s">
        <v>5901</v>
      </c>
      <c r="D3145" s="592">
        <v>5</v>
      </c>
      <c r="E3145" s="597">
        <v>4500</v>
      </c>
      <c r="F3145" s="597">
        <v>4500</v>
      </c>
      <c r="G3145" s="597">
        <v>9350</v>
      </c>
      <c r="H3145" s="592" t="s">
        <v>1877</v>
      </c>
    </row>
    <row r="3146" spans="1:8" ht="24.75" customHeight="1" x14ac:dyDescent="0.55000000000000004">
      <c r="A3146" s="592">
        <v>3145</v>
      </c>
      <c r="B3146" s="596" t="s">
        <v>5902</v>
      </c>
      <c r="C3146" s="592" t="s">
        <v>5903</v>
      </c>
      <c r="D3146" s="592">
        <v>21</v>
      </c>
      <c r="E3146" s="597">
        <v>700</v>
      </c>
      <c r="F3146" s="597">
        <v>700</v>
      </c>
      <c r="G3146" s="597">
        <v>9450</v>
      </c>
      <c r="H3146" s="592" t="s">
        <v>1877</v>
      </c>
    </row>
    <row r="3147" spans="1:8" ht="24.75" customHeight="1" x14ac:dyDescent="0.55000000000000004">
      <c r="A3147" s="592">
        <v>3146</v>
      </c>
      <c r="B3147" s="596" t="s">
        <v>5904</v>
      </c>
      <c r="C3147" s="592" t="s">
        <v>5905</v>
      </c>
      <c r="D3147" s="592">
        <v>4</v>
      </c>
      <c r="E3147" s="597">
        <v>2000</v>
      </c>
      <c r="F3147" s="597">
        <v>2000</v>
      </c>
      <c r="G3147" s="597">
        <v>3800</v>
      </c>
      <c r="H3147" s="592" t="s">
        <v>1877</v>
      </c>
    </row>
    <row r="3148" spans="1:8" ht="24.75" customHeight="1" x14ac:dyDescent="0.55000000000000004">
      <c r="A3148" s="592">
        <v>3147</v>
      </c>
      <c r="B3148" s="596" t="s">
        <v>5906</v>
      </c>
      <c r="C3148" s="592" t="s">
        <v>5907</v>
      </c>
      <c r="D3148" s="592">
        <v>2</v>
      </c>
      <c r="E3148" s="597">
        <v>700</v>
      </c>
      <c r="F3148" s="597">
        <v>700</v>
      </c>
      <c r="G3148" s="597">
        <v>1180</v>
      </c>
      <c r="H3148" s="592" t="s">
        <v>1877</v>
      </c>
    </row>
    <row r="3149" spans="1:8" ht="24.75" customHeight="1" x14ac:dyDescent="0.55000000000000004">
      <c r="A3149" s="592">
        <v>3148</v>
      </c>
      <c r="B3149" s="596" t="s">
        <v>5908</v>
      </c>
      <c r="C3149" s="592" t="s">
        <v>5909</v>
      </c>
      <c r="D3149" s="592">
        <v>2</v>
      </c>
      <c r="E3149" s="597">
        <v>2500</v>
      </c>
      <c r="F3149" s="597">
        <v>2500</v>
      </c>
      <c r="G3149" s="597">
        <v>3740</v>
      </c>
      <c r="H3149" s="592" t="s">
        <v>1877</v>
      </c>
    </row>
    <row r="3150" spans="1:8" ht="24.75" customHeight="1" x14ac:dyDescent="0.55000000000000004">
      <c r="A3150" s="592">
        <v>3149</v>
      </c>
      <c r="B3150" s="596" t="s">
        <v>2019</v>
      </c>
      <c r="C3150" s="592" t="s">
        <v>2020</v>
      </c>
      <c r="D3150" s="592">
        <v>1</v>
      </c>
      <c r="E3150" s="597">
        <v>3500</v>
      </c>
      <c r="F3150" s="597">
        <v>3500</v>
      </c>
      <c r="G3150" s="597">
        <v>1640</v>
      </c>
      <c r="H3150" s="592" t="s">
        <v>1877</v>
      </c>
    </row>
    <row r="3151" spans="1:8" ht="24.75" customHeight="1" x14ac:dyDescent="0.55000000000000004">
      <c r="A3151" s="592">
        <v>3150</v>
      </c>
      <c r="B3151" s="596" t="s">
        <v>5910</v>
      </c>
      <c r="C3151" s="592" t="s">
        <v>5911</v>
      </c>
      <c r="D3151" s="592">
        <v>5</v>
      </c>
      <c r="E3151" s="597">
        <v>6000</v>
      </c>
      <c r="F3151" s="597">
        <v>6000</v>
      </c>
      <c r="G3151" s="597">
        <v>16600</v>
      </c>
      <c r="H3151" s="592" t="s">
        <v>1877</v>
      </c>
    </row>
    <row r="3152" spans="1:8" ht="24.75" customHeight="1" x14ac:dyDescent="0.55000000000000004">
      <c r="A3152" s="592">
        <v>3151</v>
      </c>
      <c r="B3152" s="596" t="s">
        <v>5912</v>
      </c>
      <c r="C3152" s="592" t="s">
        <v>7862</v>
      </c>
      <c r="D3152" s="592">
        <v>1</v>
      </c>
      <c r="E3152" s="597">
        <v>1500</v>
      </c>
      <c r="F3152" s="597">
        <v>1500</v>
      </c>
      <c r="G3152" s="597">
        <v>760</v>
      </c>
      <c r="H3152" s="592" t="s">
        <v>1877</v>
      </c>
    </row>
    <row r="3153" spans="1:8" ht="24.75" customHeight="1" x14ac:dyDescent="0.55000000000000004">
      <c r="A3153" s="592">
        <v>3152</v>
      </c>
      <c r="B3153" s="596" t="s">
        <v>5913</v>
      </c>
      <c r="C3153" s="592" t="s">
        <v>5914</v>
      </c>
      <c r="D3153" s="592">
        <v>3</v>
      </c>
      <c r="E3153" s="597">
        <v>3000</v>
      </c>
      <c r="F3153" s="597">
        <v>3000</v>
      </c>
      <c r="G3153" s="597">
        <v>5250</v>
      </c>
      <c r="H3153" s="592" t="s">
        <v>1877</v>
      </c>
    </row>
    <row r="3154" spans="1:8" ht="24.75" customHeight="1" x14ac:dyDescent="0.55000000000000004">
      <c r="A3154" s="592">
        <v>3153</v>
      </c>
      <c r="B3154" s="596" t="s">
        <v>5915</v>
      </c>
      <c r="C3154" s="592" t="s">
        <v>5916</v>
      </c>
      <c r="D3154" s="592">
        <v>3</v>
      </c>
      <c r="E3154" s="597">
        <v>6000</v>
      </c>
      <c r="F3154" s="597">
        <v>6000</v>
      </c>
      <c r="G3154" s="597">
        <v>10830</v>
      </c>
      <c r="H3154" s="592" t="s">
        <v>1877</v>
      </c>
    </row>
    <row r="3155" spans="1:8" ht="24.75" customHeight="1" x14ac:dyDescent="0.55000000000000004">
      <c r="A3155" s="592">
        <v>3154</v>
      </c>
      <c r="B3155" s="596" t="s">
        <v>5917</v>
      </c>
      <c r="C3155" s="592" t="s">
        <v>7465</v>
      </c>
      <c r="D3155" s="592">
        <v>1</v>
      </c>
      <c r="E3155" s="597">
        <v>3500</v>
      </c>
      <c r="F3155" s="597">
        <v>3500</v>
      </c>
      <c r="G3155" s="597">
        <v>1680</v>
      </c>
      <c r="H3155" s="592" t="s">
        <v>1877</v>
      </c>
    </row>
    <row r="3156" spans="1:8" ht="24.75" customHeight="1" x14ac:dyDescent="0.55000000000000004">
      <c r="A3156" s="592">
        <v>3155</v>
      </c>
      <c r="B3156" s="596" t="s">
        <v>5918</v>
      </c>
      <c r="C3156" s="592" t="s">
        <v>7863</v>
      </c>
      <c r="D3156" s="592">
        <v>1</v>
      </c>
      <c r="E3156" s="597">
        <v>2000</v>
      </c>
      <c r="F3156" s="597">
        <v>2000</v>
      </c>
      <c r="G3156" s="597">
        <v>830</v>
      </c>
      <c r="H3156" s="592" t="s">
        <v>1877</v>
      </c>
    </row>
    <row r="3157" spans="1:8" ht="24.75" customHeight="1" x14ac:dyDescent="0.55000000000000004">
      <c r="A3157" s="592">
        <v>3156</v>
      </c>
      <c r="B3157" s="596" t="s">
        <v>5919</v>
      </c>
      <c r="C3157" s="592" t="s">
        <v>7864</v>
      </c>
      <c r="D3157" s="592">
        <v>5</v>
      </c>
      <c r="E3157" s="597">
        <v>1500</v>
      </c>
      <c r="F3157" s="597">
        <v>1500</v>
      </c>
      <c r="G3157" s="597">
        <v>3100</v>
      </c>
      <c r="H3157" s="592" t="s">
        <v>1877</v>
      </c>
    </row>
    <row r="3158" spans="1:8" ht="24.75" customHeight="1" x14ac:dyDescent="0.55000000000000004">
      <c r="A3158" s="592">
        <v>3157</v>
      </c>
      <c r="B3158" s="596" t="s">
        <v>5920</v>
      </c>
      <c r="C3158" s="592" t="s">
        <v>5921</v>
      </c>
      <c r="D3158" s="592">
        <v>15</v>
      </c>
      <c r="E3158" s="597">
        <v>800</v>
      </c>
      <c r="F3158" s="597">
        <v>800</v>
      </c>
      <c r="G3158" s="597">
        <v>6450</v>
      </c>
      <c r="H3158" s="592" t="s">
        <v>1877</v>
      </c>
    </row>
    <row r="3159" spans="1:8" ht="24.75" customHeight="1" x14ac:dyDescent="0.55000000000000004">
      <c r="A3159" s="592">
        <v>3158</v>
      </c>
      <c r="B3159" s="596" t="s">
        <v>5922</v>
      </c>
      <c r="C3159" s="592" t="s">
        <v>7865</v>
      </c>
      <c r="D3159" s="592">
        <v>14</v>
      </c>
      <c r="E3159" s="597">
        <v>4000</v>
      </c>
      <c r="F3159" s="597">
        <v>4000</v>
      </c>
      <c r="G3159" s="597">
        <v>33600</v>
      </c>
      <c r="H3159" s="592" t="s">
        <v>1877</v>
      </c>
    </row>
    <row r="3160" spans="1:8" ht="24.75" customHeight="1" x14ac:dyDescent="0.55000000000000004">
      <c r="A3160" s="592">
        <v>3159</v>
      </c>
      <c r="B3160" s="596" t="s">
        <v>5923</v>
      </c>
      <c r="C3160" s="592" t="s">
        <v>7866</v>
      </c>
      <c r="D3160" s="592">
        <v>9</v>
      </c>
      <c r="E3160" s="597">
        <v>2000</v>
      </c>
      <c r="F3160" s="597">
        <v>2000</v>
      </c>
      <c r="G3160" s="597">
        <v>7650</v>
      </c>
      <c r="H3160" s="592" t="s">
        <v>1877</v>
      </c>
    </row>
    <row r="3161" spans="1:8" ht="24.75" customHeight="1" x14ac:dyDescent="0.55000000000000004">
      <c r="A3161" s="592">
        <v>3160</v>
      </c>
      <c r="B3161" s="596" t="s">
        <v>5924</v>
      </c>
      <c r="C3161" s="592" t="s">
        <v>5925</v>
      </c>
      <c r="D3161" s="592">
        <v>3</v>
      </c>
      <c r="E3161" s="597">
        <v>6000</v>
      </c>
      <c r="F3161" s="597">
        <v>6000</v>
      </c>
      <c r="G3161" s="597">
        <v>10929</v>
      </c>
      <c r="H3161" s="592" t="s">
        <v>1877</v>
      </c>
    </row>
    <row r="3162" spans="1:8" ht="24.75" customHeight="1" x14ac:dyDescent="0.55000000000000004">
      <c r="A3162" s="592">
        <v>3161</v>
      </c>
      <c r="B3162" s="596" t="s">
        <v>5926</v>
      </c>
      <c r="C3162" s="592" t="s">
        <v>5927</v>
      </c>
      <c r="D3162" s="592">
        <v>16</v>
      </c>
      <c r="E3162" s="597">
        <v>2000</v>
      </c>
      <c r="F3162" s="597">
        <v>2000</v>
      </c>
      <c r="G3162" s="597">
        <v>14400</v>
      </c>
      <c r="H3162" s="592" t="s">
        <v>1877</v>
      </c>
    </row>
    <row r="3163" spans="1:8" ht="24.75" customHeight="1" x14ac:dyDescent="0.55000000000000004">
      <c r="A3163" s="592">
        <v>3162</v>
      </c>
      <c r="B3163" s="596" t="s">
        <v>5928</v>
      </c>
      <c r="C3163" s="592" t="s">
        <v>5929</v>
      </c>
      <c r="D3163" s="592">
        <v>3</v>
      </c>
      <c r="E3163" s="597">
        <v>22000</v>
      </c>
      <c r="F3163" s="597">
        <v>22000</v>
      </c>
      <c r="G3163" s="597">
        <v>66000</v>
      </c>
      <c r="H3163" s="592" t="s">
        <v>1877</v>
      </c>
    </row>
    <row r="3164" spans="1:8" ht="24.75" customHeight="1" x14ac:dyDescent="0.55000000000000004">
      <c r="A3164" s="592">
        <v>3163</v>
      </c>
      <c r="B3164" s="596" t="s">
        <v>6623</v>
      </c>
      <c r="C3164" s="592" t="s">
        <v>6624</v>
      </c>
      <c r="D3164" s="592">
        <v>5</v>
      </c>
      <c r="E3164" s="597">
        <v>400</v>
      </c>
      <c r="F3164" s="597">
        <v>400</v>
      </c>
      <c r="G3164" s="597">
        <v>550</v>
      </c>
      <c r="H3164" s="592" t="s">
        <v>1877</v>
      </c>
    </row>
    <row r="3165" spans="1:8" ht="24.75" customHeight="1" x14ac:dyDescent="0.55000000000000004">
      <c r="A3165" s="592">
        <v>3164</v>
      </c>
      <c r="B3165" s="596" t="s">
        <v>5930</v>
      </c>
      <c r="C3165" s="592" t="s">
        <v>5931</v>
      </c>
      <c r="D3165" s="592">
        <v>10</v>
      </c>
      <c r="E3165" s="597">
        <v>22500</v>
      </c>
      <c r="F3165" s="597">
        <v>22500</v>
      </c>
      <c r="G3165" s="597">
        <v>127800</v>
      </c>
      <c r="H3165" s="592" t="s">
        <v>1877</v>
      </c>
    </row>
    <row r="3166" spans="1:8" ht="24.75" customHeight="1" x14ac:dyDescent="0.55000000000000004">
      <c r="A3166" s="592">
        <v>3165</v>
      </c>
      <c r="B3166" s="596" t="s">
        <v>5932</v>
      </c>
      <c r="C3166" s="592" t="s">
        <v>7867</v>
      </c>
      <c r="D3166" s="592">
        <v>8</v>
      </c>
      <c r="E3166" s="597">
        <v>22500</v>
      </c>
      <c r="F3166" s="597">
        <v>22500</v>
      </c>
      <c r="G3166" s="597">
        <v>131200</v>
      </c>
      <c r="H3166" s="592" t="s">
        <v>1877</v>
      </c>
    </row>
    <row r="3167" spans="1:8" ht="24.75" customHeight="1" x14ac:dyDescent="0.55000000000000004">
      <c r="A3167" s="592">
        <v>3166</v>
      </c>
      <c r="B3167" s="596" t="s">
        <v>5935</v>
      </c>
      <c r="C3167" s="592" t="s">
        <v>7868</v>
      </c>
      <c r="D3167" s="592">
        <v>1</v>
      </c>
      <c r="E3167" s="597">
        <v>3000</v>
      </c>
      <c r="F3167" s="597">
        <v>3000</v>
      </c>
      <c r="G3167" s="597">
        <v>1220</v>
      </c>
      <c r="H3167" s="592" t="s">
        <v>1877</v>
      </c>
    </row>
    <row r="3168" spans="1:8" ht="24.75" customHeight="1" x14ac:dyDescent="0.55000000000000004">
      <c r="A3168" s="592">
        <v>3167</v>
      </c>
      <c r="B3168" s="596" t="s">
        <v>5936</v>
      </c>
      <c r="C3168" s="592" t="s">
        <v>5937</v>
      </c>
      <c r="D3168" s="592">
        <v>2</v>
      </c>
      <c r="E3168" s="597">
        <v>3500</v>
      </c>
      <c r="F3168" s="597">
        <v>3500</v>
      </c>
      <c r="G3168" s="597">
        <v>2340</v>
      </c>
      <c r="H3168" s="592" t="s">
        <v>1877</v>
      </c>
    </row>
    <row r="3169" spans="1:8" ht="24.75" customHeight="1" x14ac:dyDescent="0.55000000000000004">
      <c r="A3169" s="592">
        <v>3168</v>
      </c>
      <c r="B3169" s="596" t="s">
        <v>2023</v>
      </c>
      <c r="C3169" s="592" t="s">
        <v>2024</v>
      </c>
      <c r="D3169" s="592">
        <v>23</v>
      </c>
      <c r="E3169" s="597">
        <v>9000</v>
      </c>
      <c r="F3169" s="597">
        <v>9000</v>
      </c>
      <c r="G3169" s="597">
        <v>129720</v>
      </c>
      <c r="H3169" s="592" t="s">
        <v>1877</v>
      </c>
    </row>
    <row r="3170" spans="1:8" ht="24.75" customHeight="1" x14ac:dyDescent="0.55000000000000004">
      <c r="A3170" s="592">
        <v>3169</v>
      </c>
      <c r="B3170" s="596" t="s">
        <v>2025</v>
      </c>
      <c r="C3170" s="592" t="s">
        <v>2026</v>
      </c>
      <c r="D3170" s="592">
        <v>5</v>
      </c>
      <c r="E3170" s="597">
        <v>7500</v>
      </c>
      <c r="F3170" s="597">
        <v>7500</v>
      </c>
      <c r="G3170" s="597">
        <v>28465</v>
      </c>
      <c r="H3170" s="592" t="s">
        <v>1877</v>
      </c>
    </row>
    <row r="3171" spans="1:8" ht="24.75" customHeight="1" x14ac:dyDescent="0.55000000000000004">
      <c r="A3171" s="592">
        <v>3170</v>
      </c>
      <c r="B3171" s="596" t="s">
        <v>5938</v>
      </c>
      <c r="C3171" s="592" t="s">
        <v>5939</v>
      </c>
      <c r="D3171" s="592">
        <v>1</v>
      </c>
      <c r="E3171" s="597">
        <v>4000</v>
      </c>
      <c r="F3171" s="597">
        <v>4000</v>
      </c>
      <c r="G3171" s="597">
        <v>1990</v>
      </c>
      <c r="H3171" s="592" t="s">
        <v>1877</v>
      </c>
    </row>
    <row r="3172" spans="1:8" ht="24.75" customHeight="1" x14ac:dyDescent="0.55000000000000004">
      <c r="A3172" s="592">
        <v>3171</v>
      </c>
      <c r="B3172" s="596" t="s">
        <v>5942</v>
      </c>
      <c r="C3172" s="592" t="s">
        <v>5943</v>
      </c>
      <c r="D3172" s="592">
        <v>2</v>
      </c>
      <c r="E3172" s="597">
        <v>12500</v>
      </c>
      <c r="F3172" s="597">
        <v>12500</v>
      </c>
      <c r="G3172" s="597">
        <v>19100</v>
      </c>
      <c r="H3172" s="592" t="s">
        <v>1877</v>
      </c>
    </row>
    <row r="3173" spans="1:8" ht="24.75" customHeight="1" x14ac:dyDescent="0.55000000000000004">
      <c r="A3173" s="592">
        <v>3172</v>
      </c>
      <c r="B3173" s="596" t="s">
        <v>5944</v>
      </c>
      <c r="C3173" s="592" t="s">
        <v>7869</v>
      </c>
      <c r="D3173" s="592">
        <v>1</v>
      </c>
      <c r="E3173" s="597">
        <v>10000</v>
      </c>
      <c r="F3173" s="597">
        <v>10000</v>
      </c>
      <c r="G3173" s="597">
        <v>7570</v>
      </c>
      <c r="H3173" s="592" t="s">
        <v>1877</v>
      </c>
    </row>
    <row r="3174" spans="1:8" ht="24.75" customHeight="1" x14ac:dyDescent="0.55000000000000004">
      <c r="A3174" s="592">
        <v>3173</v>
      </c>
      <c r="B3174" s="596" t="s">
        <v>5945</v>
      </c>
      <c r="C3174" s="592" t="s">
        <v>7870</v>
      </c>
      <c r="D3174" s="592">
        <v>2</v>
      </c>
      <c r="E3174" s="597">
        <v>12000</v>
      </c>
      <c r="F3174" s="597">
        <v>12000</v>
      </c>
      <c r="G3174" s="597">
        <v>10580</v>
      </c>
      <c r="H3174" s="592" t="s">
        <v>1877</v>
      </c>
    </row>
    <row r="3175" spans="1:8" ht="24.75" customHeight="1" x14ac:dyDescent="0.55000000000000004">
      <c r="A3175" s="592">
        <v>3174</v>
      </c>
      <c r="B3175" s="596" t="s">
        <v>5946</v>
      </c>
      <c r="C3175" s="592" t="s">
        <v>5947</v>
      </c>
      <c r="D3175" s="592">
        <v>1</v>
      </c>
      <c r="E3175" s="597">
        <v>12000</v>
      </c>
      <c r="F3175" s="597">
        <v>12000</v>
      </c>
      <c r="G3175" s="597">
        <v>6551</v>
      </c>
      <c r="H3175" s="592" t="s">
        <v>1877</v>
      </c>
    </row>
    <row r="3176" spans="1:8" ht="24.75" customHeight="1" x14ac:dyDescent="0.55000000000000004">
      <c r="A3176" s="592">
        <v>3175</v>
      </c>
      <c r="B3176" s="596" t="s">
        <v>5948</v>
      </c>
      <c r="C3176" s="592" t="s">
        <v>5949</v>
      </c>
      <c r="D3176" s="592">
        <v>1</v>
      </c>
      <c r="E3176" s="597">
        <v>45000</v>
      </c>
      <c r="F3176" s="597">
        <v>45000</v>
      </c>
      <c r="G3176" s="597">
        <v>26386</v>
      </c>
      <c r="H3176" s="592" t="s">
        <v>1877</v>
      </c>
    </row>
    <row r="3177" spans="1:8" ht="24.75" customHeight="1" x14ac:dyDescent="0.55000000000000004">
      <c r="A3177" s="592">
        <v>3176</v>
      </c>
      <c r="B3177" s="596" t="s">
        <v>5950</v>
      </c>
      <c r="C3177" s="592" t="s">
        <v>5951</v>
      </c>
      <c r="D3177" s="592">
        <v>2</v>
      </c>
      <c r="E3177" s="597">
        <v>40000</v>
      </c>
      <c r="F3177" s="597">
        <v>40000</v>
      </c>
      <c r="G3177" s="597">
        <v>48676</v>
      </c>
      <c r="H3177" s="592" t="s">
        <v>1877</v>
      </c>
    </row>
    <row r="3178" spans="1:8" ht="24.75" customHeight="1" x14ac:dyDescent="0.55000000000000004">
      <c r="A3178" s="592">
        <v>3177</v>
      </c>
      <c r="B3178" s="596" t="s">
        <v>5952</v>
      </c>
      <c r="C3178" s="592" t="s">
        <v>5953</v>
      </c>
      <c r="D3178" s="592">
        <v>3</v>
      </c>
      <c r="E3178" s="597">
        <v>18000</v>
      </c>
      <c r="F3178" s="597">
        <v>18000</v>
      </c>
      <c r="G3178" s="597">
        <v>29730</v>
      </c>
      <c r="H3178" s="592" t="s">
        <v>1877</v>
      </c>
    </row>
    <row r="3179" spans="1:8" ht="24.75" customHeight="1" x14ac:dyDescent="0.55000000000000004">
      <c r="A3179" s="592">
        <v>3178</v>
      </c>
      <c r="B3179" s="596" t="s">
        <v>5954</v>
      </c>
      <c r="C3179" s="592" t="s">
        <v>5955</v>
      </c>
      <c r="D3179" s="592">
        <v>1</v>
      </c>
      <c r="E3179" s="597">
        <v>100000</v>
      </c>
      <c r="F3179" s="597">
        <v>100000</v>
      </c>
      <c r="G3179" s="597">
        <v>78900</v>
      </c>
      <c r="H3179" s="592" t="s">
        <v>1877</v>
      </c>
    </row>
    <row r="3180" spans="1:8" ht="24.75" customHeight="1" x14ac:dyDescent="0.55000000000000004">
      <c r="A3180" s="592">
        <v>3179</v>
      </c>
      <c r="B3180" s="596" t="s">
        <v>5956</v>
      </c>
      <c r="C3180" s="592" t="s">
        <v>5957</v>
      </c>
      <c r="D3180" s="592">
        <v>1</v>
      </c>
      <c r="E3180" s="597">
        <v>1500</v>
      </c>
      <c r="F3180" s="597">
        <v>1500</v>
      </c>
      <c r="G3180" s="597">
        <v>1157</v>
      </c>
      <c r="H3180" s="592" t="s">
        <v>1877</v>
      </c>
    </row>
    <row r="3181" spans="1:8" ht="24.75" customHeight="1" x14ac:dyDescent="0.55000000000000004">
      <c r="A3181" s="592">
        <v>3180</v>
      </c>
      <c r="B3181" s="596" t="s">
        <v>5958</v>
      </c>
      <c r="C3181" s="592" t="s">
        <v>5959</v>
      </c>
      <c r="D3181" s="592">
        <v>1</v>
      </c>
      <c r="E3181" s="597">
        <v>16000</v>
      </c>
      <c r="F3181" s="597">
        <v>16000</v>
      </c>
      <c r="G3181" s="597">
        <v>8190</v>
      </c>
      <c r="H3181" s="592" t="s">
        <v>1877</v>
      </c>
    </row>
    <row r="3182" spans="1:8" ht="24.75" customHeight="1" x14ac:dyDescent="0.55000000000000004">
      <c r="A3182" s="592">
        <v>3181</v>
      </c>
      <c r="B3182" s="596" t="s">
        <v>5960</v>
      </c>
      <c r="C3182" s="592" t="s">
        <v>7871</v>
      </c>
      <c r="D3182" s="592">
        <v>1</v>
      </c>
      <c r="E3182" s="597">
        <v>19000</v>
      </c>
      <c r="F3182" s="597">
        <v>19000</v>
      </c>
      <c r="G3182" s="597">
        <v>8190</v>
      </c>
      <c r="H3182" s="592" t="s">
        <v>1877</v>
      </c>
    </row>
    <row r="3183" spans="1:8" ht="24.75" customHeight="1" x14ac:dyDescent="0.55000000000000004">
      <c r="A3183" s="592">
        <v>3182</v>
      </c>
      <c r="B3183" s="596" t="s">
        <v>5961</v>
      </c>
      <c r="C3183" s="592" t="s">
        <v>7872</v>
      </c>
      <c r="D3183" s="592">
        <v>1</v>
      </c>
      <c r="E3183" s="597">
        <v>14500</v>
      </c>
      <c r="F3183" s="597">
        <v>14500</v>
      </c>
      <c r="G3183" s="597">
        <v>7090</v>
      </c>
      <c r="H3183" s="592" t="s">
        <v>1877</v>
      </c>
    </row>
    <row r="3184" spans="1:8" ht="24.75" customHeight="1" x14ac:dyDescent="0.55000000000000004">
      <c r="A3184" s="592">
        <v>3183</v>
      </c>
      <c r="B3184" s="596" t="s">
        <v>5962</v>
      </c>
      <c r="C3184" s="592" t="s">
        <v>7873</v>
      </c>
      <c r="D3184" s="592">
        <v>1</v>
      </c>
      <c r="E3184" s="597">
        <v>13000</v>
      </c>
      <c r="F3184" s="597">
        <v>13000</v>
      </c>
      <c r="G3184" s="597">
        <v>6120</v>
      </c>
      <c r="H3184" s="592" t="s">
        <v>1877</v>
      </c>
    </row>
    <row r="3185" spans="1:8" ht="24.75" customHeight="1" x14ac:dyDescent="0.55000000000000004">
      <c r="A3185" s="592">
        <v>3184</v>
      </c>
      <c r="B3185" s="596" t="s">
        <v>2027</v>
      </c>
      <c r="C3185" s="592" t="s">
        <v>2028</v>
      </c>
      <c r="D3185" s="592">
        <v>1</v>
      </c>
      <c r="E3185" s="597">
        <v>26000</v>
      </c>
      <c r="F3185" s="597">
        <v>26000</v>
      </c>
      <c r="G3185" s="597">
        <v>13420</v>
      </c>
      <c r="H3185" s="592" t="s">
        <v>1877</v>
      </c>
    </row>
    <row r="3186" spans="1:8" ht="24.75" customHeight="1" x14ac:dyDescent="0.55000000000000004">
      <c r="A3186" s="592">
        <v>3185</v>
      </c>
      <c r="B3186" s="596" t="s">
        <v>6371</v>
      </c>
      <c r="C3186" s="592" t="s">
        <v>6372</v>
      </c>
      <c r="D3186" s="592">
        <v>3</v>
      </c>
      <c r="E3186" s="597">
        <v>28000</v>
      </c>
      <c r="F3186" s="597">
        <v>28000</v>
      </c>
      <c r="G3186" s="597">
        <v>45345</v>
      </c>
      <c r="H3186" s="592" t="s">
        <v>1877</v>
      </c>
    </row>
    <row r="3187" spans="1:8" ht="24.75" customHeight="1" x14ac:dyDescent="0.55000000000000004">
      <c r="A3187" s="592">
        <v>3186</v>
      </c>
      <c r="B3187" s="596" t="s">
        <v>5963</v>
      </c>
      <c r="C3187" s="592" t="s">
        <v>5964</v>
      </c>
      <c r="D3187" s="592">
        <v>1</v>
      </c>
      <c r="E3187" s="597">
        <v>40000</v>
      </c>
      <c r="F3187" s="597">
        <v>40000</v>
      </c>
      <c r="G3187" s="597">
        <v>21859</v>
      </c>
      <c r="H3187" s="592" t="s">
        <v>1877</v>
      </c>
    </row>
    <row r="3188" spans="1:8" ht="24.75" customHeight="1" x14ac:dyDescent="0.55000000000000004">
      <c r="A3188" s="592">
        <v>3187</v>
      </c>
      <c r="B3188" s="596" t="s">
        <v>2029</v>
      </c>
      <c r="C3188" s="592" t="s">
        <v>2030</v>
      </c>
      <c r="D3188" s="592">
        <v>8</v>
      </c>
      <c r="E3188" s="597">
        <v>4000</v>
      </c>
      <c r="F3188" s="597">
        <v>4000</v>
      </c>
      <c r="G3188" s="597">
        <v>18392</v>
      </c>
      <c r="H3188" s="592" t="s">
        <v>1877</v>
      </c>
    </row>
    <row r="3189" spans="1:8" ht="24.75" customHeight="1" x14ac:dyDescent="0.55000000000000004">
      <c r="A3189" s="592">
        <v>3188</v>
      </c>
      <c r="B3189" s="596" t="s">
        <v>5965</v>
      </c>
      <c r="C3189" s="592" t="s">
        <v>5966</v>
      </c>
      <c r="D3189" s="592">
        <v>5</v>
      </c>
      <c r="E3189" s="597">
        <v>3000</v>
      </c>
      <c r="F3189" s="597">
        <v>3000</v>
      </c>
      <c r="G3189" s="597">
        <v>8300</v>
      </c>
      <c r="H3189" s="592" t="s">
        <v>1877</v>
      </c>
    </row>
    <row r="3190" spans="1:8" ht="24.75" customHeight="1" x14ac:dyDescent="0.55000000000000004">
      <c r="A3190" s="592">
        <v>3189</v>
      </c>
      <c r="B3190" s="596" t="s">
        <v>5967</v>
      </c>
      <c r="C3190" s="592" t="s">
        <v>5968</v>
      </c>
      <c r="D3190" s="592">
        <v>5</v>
      </c>
      <c r="E3190" s="597">
        <v>4000</v>
      </c>
      <c r="F3190" s="597">
        <v>4000</v>
      </c>
      <c r="G3190" s="597">
        <v>13915</v>
      </c>
      <c r="H3190" s="592" t="s">
        <v>1877</v>
      </c>
    </row>
    <row r="3191" spans="1:8" ht="24.75" customHeight="1" x14ac:dyDescent="0.55000000000000004">
      <c r="A3191" s="592">
        <v>3190</v>
      </c>
      <c r="B3191" s="596" t="s">
        <v>5969</v>
      </c>
      <c r="C3191" s="592" t="s">
        <v>5970</v>
      </c>
      <c r="D3191" s="592">
        <v>2</v>
      </c>
      <c r="E3191" s="597">
        <v>2500</v>
      </c>
      <c r="F3191" s="597">
        <v>2500</v>
      </c>
      <c r="G3191" s="597">
        <v>2652</v>
      </c>
      <c r="H3191" s="592" t="s">
        <v>1877</v>
      </c>
    </row>
    <row r="3192" spans="1:8" ht="24.75" customHeight="1" x14ac:dyDescent="0.55000000000000004">
      <c r="A3192" s="592">
        <v>3191</v>
      </c>
      <c r="B3192" s="596" t="s">
        <v>5971</v>
      </c>
      <c r="C3192" s="592" t="s">
        <v>5972</v>
      </c>
      <c r="D3192" s="592">
        <v>4</v>
      </c>
      <c r="E3192" s="597">
        <v>4500</v>
      </c>
      <c r="F3192" s="597">
        <v>4500</v>
      </c>
      <c r="G3192" s="597">
        <v>10080</v>
      </c>
      <c r="H3192" s="592" t="s">
        <v>1877</v>
      </c>
    </row>
    <row r="3193" spans="1:8" ht="24.75" customHeight="1" x14ac:dyDescent="0.55000000000000004">
      <c r="A3193" s="592">
        <v>3192</v>
      </c>
      <c r="B3193" s="596" t="s">
        <v>5973</v>
      </c>
      <c r="C3193" s="592" t="s">
        <v>5974</v>
      </c>
      <c r="D3193" s="592">
        <v>4</v>
      </c>
      <c r="E3193" s="597">
        <v>5000</v>
      </c>
      <c r="F3193" s="597">
        <v>5000</v>
      </c>
      <c r="G3193" s="597">
        <v>10080</v>
      </c>
      <c r="H3193" s="592" t="s">
        <v>1877</v>
      </c>
    </row>
    <row r="3194" spans="1:8" ht="24.75" customHeight="1" x14ac:dyDescent="0.55000000000000004">
      <c r="A3194" s="592">
        <v>3193</v>
      </c>
      <c r="B3194" s="596" t="s">
        <v>5975</v>
      </c>
      <c r="C3194" s="592" t="s">
        <v>5976</v>
      </c>
      <c r="D3194" s="592">
        <v>12</v>
      </c>
      <c r="E3194" s="597">
        <v>5500</v>
      </c>
      <c r="F3194" s="597">
        <v>5500</v>
      </c>
      <c r="G3194" s="597">
        <v>42936</v>
      </c>
      <c r="H3194" s="592" t="s">
        <v>1877</v>
      </c>
    </row>
    <row r="3195" spans="1:8" ht="24.75" customHeight="1" x14ac:dyDescent="0.55000000000000004">
      <c r="A3195" s="592">
        <v>3194</v>
      </c>
      <c r="B3195" s="596" t="s">
        <v>5977</v>
      </c>
      <c r="C3195" s="592" t="s">
        <v>5978</v>
      </c>
      <c r="D3195" s="592">
        <v>4</v>
      </c>
      <c r="E3195" s="597">
        <v>6000</v>
      </c>
      <c r="F3195" s="597">
        <v>6000</v>
      </c>
      <c r="G3195" s="597">
        <v>13856</v>
      </c>
      <c r="H3195" s="592" t="s">
        <v>1877</v>
      </c>
    </row>
    <row r="3196" spans="1:8" ht="24.75" customHeight="1" x14ac:dyDescent="0.55000000000000004">
      <c r="A3196" s="592">
        <v>3195</v>
      </c>
      <c r="B3196" s="596" t="s">
        <v>5979</v>
      </c>
      <c r="C3196" s="592" t="s">
        <v>5980</v>
      </c>
      <c r="D3196" s="592">
        <v>3</v>
      </c>
      <c r="E3196" s="597">
        <v>4000</v>
      </c>
      <c r="F3196" s="597">
        <v>4000</v>
      </c>
      <c r="G3196" s="597">
        <v>7260</v>
      </c>
      <c r="H3196" s="592" t="s">
        <v>1877</v>
      </c>
    </row>
    <row r="3197" spans="1:8" ht="24.75" customHeight="1" x14ac:dyDescent="0.55000000000000004">
      <c r="A3197" s="592">
        <v>3196</v>
      </c>
      <c r="B3197" s="596" t="s">
        <v>5981</v>
      </c>
      <c r="C3197" s="592" t="s">
        <v>5982</v>
      </c>
      <c r="D3197" s="592">
        <v>1</v>
      </c>
      <c r="E3197" s="597">
        <v>4500</v>
      </c>
      <c r="F3197" s="597">
        <v>4500</v>
      </c>
      <c r="G3197" s="597">
        <v>2671</v>
      </c>
      <c r="H3197" s="592" t="s">
        <v>1877</v>
      </c>
    </row>
    <row r="3198" spans="1:8" ht="24.75" customHeight="1" x14ac:dyDescent="0.55000000000000004">
      <c r="A3198" s="592">
        <v>3197</v>
      </c>
      <c r="B3198" s="596" t="s">
        <v>5983</v>
      </c>
      <c r="C3198" s="592" t="s">
        <v>5984</v>
      </c>
      <c r="D3198" s="592">
        <v>3</v>
      </c>
      <c r="E3198" s="597">
        <v>3000</v>
      </c>
      <c r="F3198" s="597">
        <v>3000</v>
      </c>
      <c r="G3198" s="597">
        <v>5250</v>
      </c>
      <c r="H3198" s="592" t="s">
        <v>1877</v>
      </c>
    </row>
    <row r="3199" spans="1:8" ht="24.75" customHeight="1" x14ac:dyDescent="0.55000000000000004">
      <c r="A3199" s="592">
        <v>3198</v>
      </c>
      <c r="B3199" s="596" t="s">
        <v>2031</v>
      </c>
      <c r="C3199" s="592" t="s">
        <v>2032</v>
      </c>
      <c r="D3199" s="592">
        <v>5</v>
      </c>
      <c r="E3199" s="597">
        <v>6000</v>
      </c>
      <c r="F3199" s="597">
        <v>6000</v>
      </c>
      <c r="G3199" s="597">
        <v>14950</v>
      </c>
      <c r="H3199" s="592" t="s">
        <v>1877</v>
      </c>
    </row>
    <row r="3200" spans="1:8" ht="24.75" customHeight="1" x14ac:dyDescent="0.55000000000000004">
      <c r="A3200" s="592">
        <v>3199</v>
      </c>
      <c r="B3200" s="596" t="s">
        <v>5985</v>
      </c>
      <c r="C3200" s="592" t="s">
        <v>5986</v>
      </c>
      <c r="D3200" s="592">
        <v>5</v>
      </c>
      <c r="E3200" s="597">
        <v>6000</v>
      </c>
      <c r="F3200" s="597">
        <v>6000</v>
      </c>
      <c r="G3200" s="597">
        <v>11690</v>
      </c>
      <c r="H3200" s="592" t="s">
        <v>1877</v>
      </c>
    </row>
    <row r="3201" spans="1:8" ht="24.75" customHeight="1" x14ac:dyDescent="0.55000000000000004">
      <c r="A3201" s="592">
        <v>3200</v>
      </c>
      <c r="B3201" s="596" t="s">
        <v>5987</v>
      </c>
      <c r="C3201" s="592" t="s">
        <v>5988</v>
      </c>
      <c r="D3201" s="592">
        <v>7</v>
      </c>
      <c r="E3201" s="597">
        <v>8500</v>
      </c>
      <c r="F3201" s="597">
        <v>8500</v>
      </c>
      <c r="G3201" s="597">
        <v>37590</v>
      </c>
      <c r="H3201" s="592" t="s">
        <v>1877</v>
      </c>
    </row>
    <row r="3202" spans="1:8" ht="24.75" customHeight="1" x14ac:dyDescent="0.55000000000000004">
      <c r="A3202" s="592">
        <v>3201</v>
      </c>
      <c r="B3202" s="596" t="s">
        <v>5989</v>
      </c>
      <c r="C3202" s="592" t="s">
        <v>7874</v>
      </c>
      <c r="D3202" s="592">
        <v>1</v>
      </c>
      <c r="E3202" s="597">
        <v>7000</v>
      </c>
      <c r="F3202" s="597">
        <v>7000</v>
      </c>
      <c r="G3202" s="597">
        <v>4197</v>
      </c>
      <c r="H3202" s="592" t="s">
        <v>1877</v>
      </c>
    </row>
    <row r="3203" spans="1:8" ht="24.75" customHeight="1" x14ac:dyDescent="0.55000000000000004">
      <c r="A3203" s="592">
        <v>3202</v>
      </c>
      <c r="B3203" s="596" t="s">
        <v>5990</v>
      </c>
      <c r="C3203" s="592" t="s">
        <v>5991</v>
      </c>
      <c r="D3203" s="592">
        <v>7</v>
      </c>
      <c r="E3203" s="597">
        <v>5500</v>
      </c>
      <c r="F3203" s="597">
        <v>5500</v>
      </c>
      <c r="G3203" s="597">
        <v>18550</v>
      </c>
      <c r="H3203" s="592" t="s">
        <v>1877</v>
      </c>
    </row>
    <row r="3204" spans="1:8" ht="24.75" customHeight="1" x14ac:dyDescent="0.55000000000000004">
      <c r="A3204" s="592">
        <v>3203</v>
      </c>
      <c r="B3204" s="596" t="s">
        <v>5994</v>
      </c>
      <c r="C3204" s="592" t="s">
        <v>5995</v>
      </c>
      <c r="D3204" s="592">
        <v>7</v>
      </c>
      <c r="E3204" s="597">
        <v>4500</v>
      </c>
      <c r="F3204" s="597">
        <v>4500</v>
      </c>
      <c r="G3204" s="597">
        <v>13930</v>
      </c>
      <c r="H3204" s="592" t="s">
        <v>1877</v>
      </c>
    </row>
    <row r="3205" spans="1:8" ht="24.75" customHeight="1" x14ac:dyDescent="0.55000000000000004">
      <c r="A3205" s="592">
        <v>3204</v>
      </c>
      <c r="B3205" s="596" t="s">
        <v>5996</v>
      </c>
      <c r="C3205" s="592" t="s">
        <v>5997</v>
      </c>
      <c r="D3205" s="592">
        <v>8</v>
      </c>
      <c r="E3205" s="597">
        <v>4500</v>
      </c>
      <c r="F3205" s="597">
        <v>4500</v>
      </c>
      <c r="G3205" s="597">
        <v>15920</v>
      </c>
      <c r="H3205" s="592" t="s">
        <v>1877</v>
      </c>
    </row>
    <row r="3206" spans="1:8" ht="24.75" customHeight="1" x14ac:dyDescent="0.55000000000000004">
      <c r="A3206" s="592">
        <v>3205</v>
      </c>
      <c r="B3206" s="596" t="s">
        <v>5998</v>
      </c>
      <c r="C3206" s="592" t="s">
        <v>5999</v>
      </c>
      <c r="D3206" s="592">
        <v>8</v>
      </c>
      <c r="E3206" s="597">
        <v>7000</v>
      </c>
      <c r="F3206" s="597">
        <v>7000</v>
      </c>
      <c r="G3206" s="597">
        <v>21120</v>
      </c>
      <c r="H3206" s="592" t="s">
        <v>1877</v>
      </c>
    </row>
    <row r="3207" spans="1:8" ht="24.75" customHeight="1" x14ac:dyDescent="0.55000000000000004">
      <c r="A3207" s="592">
        <v>3206</v>
      </c>
      <c r="B3207" s="596" t="s">
        <v>6000</v>
      </c>
      <c r="C3207" s="592" t="s">
        <v>6001</v>
      </c>
      <c r="D3207" s="592">
        <v>5</v>
      </c>
      <c r="E3207" s="597">
        <v>5000</v>
      </c>
      <c r="F3207" s="597">
        <v>5000</v>
      </c>
      <c r="G3207" s="597">
        <v>13200</v>
      </c>
      <c r="H3207" s="592" t="s">
        <v>1877</v>
      </c>
    </row>
    <row r="3208" spans="1:8" ht="24.75" customHeight="1" x14ac:dyDescent="0.55000000000000004">
      <c r="A3208" s="592">
        <v>3207</v>
      </c>
      <c r="B3208" s="596" t="s">
        <v>6002</v>
      </c>
      <c r="C3208" s="592" t="s">
        <v>6003</v>
      </c>
      <c r="D3208" s="592">
        <v>2</v>
      </c>
      <c r="E3208" s="597">
        <v>6000</v>
      </c>
      <c r="F3208" s="597">
        <v>6000</v>
      </c>
      <c r="G3208" s="597">
        <v>8364</v>
      </c>
      <c r="H3208" s="592" t="s">
        <v>1877</v>
      </c>
    </row>
    <row r="3209" spans="1:8" ht="24.75" customHeight="1" x14ac:dyDescent="0.55000000000000004">
      <c r="A3209" s="592">
        <v>3208</v>
      </c>
      <c r="B3209" s="596" t="s">
        <v>6004</v>
      </c>
      <c r="C3209" s="592" t="s">
        <v>6005</v>
      </c>
      <c r="D3209" s="592">
        <v>4</v>
      </c>
      <c r="E3209" s="597">
        <v>4000</v>
      </c>
      <c r="F3209" s="597">
        <v>4000</v>
      </c>
      <c r="G3209" s="597">
        <v>9352</v>
      </c>
      <c r="H3209" s="592" t="s">
        <v>1877</v>
      </c>
    </row>
    <row r="3210" spans="1:8" ht="24.75" customHeight="1" x14ac:dyDescent="0.55000000000000004">
      <c r="A3210" s="592">
        <v>3209</v>
      </c>
      <c r="B3210" s="596" t="s">
        <v>6006</v>
      </c>
      <c r="C3210" s="592" t="s">
        <v>6007</v>
      </c>
      <c r="D3210" s="592">
        <v>7</v>
      </c>
      <c r="E3210" s="597">
        <v>4000</v>
      </c>
      <c r="F3210" s="597">
        <v>4000</v>
      </c>
      <c r="G3210" s="597">
        <v>17185</v>
      </c>
      <c r="H3210" s="592" t="s">
        <v>1877</v>
      </c>
    </row>
    <row r="3211" spans="1:8" ht="24.75" customHeight="1" x14ac:dyDescent="0.55000000000000004">
      <c r="A3211" s="592">
        <v>3210</v>
      </c>
      <c r="B3211" s="596" t="s">
        <v>2033</v>
      </c>
      <c r="C3211" s="592" t="s">
        <v>2034</v>
      </c>
      <c r="D3211" s="592">
        <v>1</v>
      </c>
      <c r="E3211" s="597">
        <v>15000</v>
      </c>
      <c r="F3211" s="597">
        <v>15000</v>
      </c>
      <c r="G3211" s="597">
        <v>10100</v>
      </c>
      <c r="H3211" s="592" t="s">
        <v>1877</v>
      </c>
    </row>
    <row r="3212" spans="1:8" ht="24.75" customHeight="1" x14ac:dyDescent="0.55000000000000004">
      <c r="A3212" s="592">
        <v>3211</v>
      </c>
      <c r="B3212" s="596" t="s">
        <v>6008</v>
      </c>
      <c r="C3212" s="592" t="s">
        <v>6009</v>
      </c>
      <c r="D3212" s="592">
        <v>4</v>
      </c>
      <c r="E3212" s="597">
        <v>22000</v>
      </c>
      <c r="F3212" s="597">
        <v>22000</v>
      </c>
      <c r="G3212" s="597">
        <v>60000</v>
      </c>
      <c r="H3212" s="592" t="s">
        <v>1877</v>
      </c>
    </row>
    <row r="3213" spans="1:8" ht="24.75" customHeight="1" x14ac:dyDescent="0.55000000000000004">
      <c r="A3213" s="592">
        <v>3212</v>
      </c>
      <c r="B3213" s="596" t="s">
        <v>6010</v>
      </c>
      <c r="C3213" s="592" t="s">
        <v>6011</v>
      </c>
      <c r="D3213" s="592">
        <v>4</v>
      </c>
      <c r="E3213" s="597">
        <v>12000</v>
      </c>
      <c r="F3213" s="597">
        <v>12000</v>
      </c>
      <c r="G3213" s="597">
        <v>27336</v>
      </c>
      <c r="H3213" s="592" t="s">
        <v>1877</v>
      </c>
    </row>
    <row r="3214" spans="1:8" ht="24.75" customHeight="1" x14ac:dyDescent="0.55000000000000004">
      <c r="A3214" s="592">
        <v>3213</v>
      </c>
      <c r="B3214" s="596" t="s">
        <v>6012</v>
      </c>
      <c r="C3214" s="592" t="s">
        <v>6013</v>
      </c>
      <c r="D3214" s="592">
        <v>1</v>
      </c>
      <c r="E3214" s="597">
        <v>13000</v>
      </c>
      <c r="F3214" s="597">
        <v>13000</v>
      </c>
      <c r="G3214" s="597">
        <v>5512</v>
      </c>
      <c r="H3214" s="592" t="s">
        <v>1877</v>
      </c>
    </row>
    <row r="3215" spans="1:8" ht="24.75" customHeight="1" x14ac:dyDescent="0.55000000000000004">
      <c r="A3215" s="592">
        <v>3214</v>
      </c>
      <c r="B3215" s="596" t="s">
        <v>6014</v>
      </c>
      <c r="C3215" s="592" t="s">
        <v>6015</v>
      </c>
      <c r="D3215" s="592">
        <v>2</v>
      </c>
      <c r="E3215" s="597">
        <v>3500</v>
      </c>
      <c r="F3215" s="597">
        <v>3500</v>
      </c>
      <c r="G3215" s="597">
        <v>3684</v>
      </c>
      <c r="H3215" s="592" t="s">
        <v>1877</v>
      </c>
    </row>
    <row r="3216" spans="1:8" ht="24.75" customHeight="1" x14ac:dyDescent="0.55000000000000004">
      <c r="A3216" s="592">
        <v>3215</v>
      </c>
      <c r="B3216" s="596" t="s">
        <v>6016</v>
      </c>
      <c r="C3216" s="592" t="s">
        <v>6017</v>
      </c>
      <c r="D3216" s="592">
        <v>5</v>
      </c>
      <c r="E3216" s="597">
        <v>3000</v>
      </c>
      <c r="F3216" s="597">
        <v>3000</v>
      </c>
      <c r="G3216" s="597">
        <v>9285</v>
      </c>
      <c r="H3216" s="592" t="s">
        <v>1877</v>
      </c>
    </row>
    <row r="3217" spans="1:8" ht="24.75" customHeight="1" x14ac:dyDescent="0.55000000000000004">
      <c r="A3217" s="592">
        <v>3216</v>
      </c>
      <c r="B3217" s="596" t="s">
        <v>6018</v>
      </c>
      <c r="C3217" s="592" t="s">
        <v>6019</v>
      </c>
      <c r="D3217" s="592">
        <v>2</v>
      </c>
      <c r="E3217" s="597">
        <v>2500</v>
      </c>
      <c r="F3217" s="597">
        <v>2500</v>
      </c>
      <c r="G3217" s="597">
        <v>3140</v>
      </c>
      <c r="H3217" s="592" t="s">
        <v>1877</v>
      </c>
    </row>
    <row r="3218" spans="1:8" ht="24.75" customHeight="1" x14ac:dyDescent="0.55000000000000004">
      <c r="A3218" s="592">
        <v>3217</v>
      </c>
      <c r="B3218" s="596" t="s">
        <v>2035</v>
      </c>
      <c r="C3218" s="592" t="s">
        <v>2036</v>
      </c>
      <c r="D3218" s="592">
        <v>9</v>
      </c>
      <c r="E3218" s="597">
        <v>2000</v>
      </c>
      <c r="F3218" s="597">
        <v>2000</v>
      </c>
      <c r="G3218" s="597">
        <v>9810</v>
      </c>
      <c r="H3218" s="592" t="s">
        <v>1877</v>
      </c>
    </row>
    <row r="3219" spans="1:8" ht="24.75" customHeight="1" x14ac:dyDescent="0.55000000000000004">
      <c r="A3219" s="592">
        <v>3218</v>
      </c>
      <c r="B3219" s="596" t="s">
        <v>6020</v>
      </c>
      <c r="C3219" s="592" t="s">
        <v>6021</v>
      </c>
      <c r="D3219" s="592">
        <v>3</v>
      </c>
      <c r="E3219" s="597">
        <v>7000</v>
      </c>
      <c r="F3219" s="597">
        <v>7000</v>
      </c>
      <c r="G3219" s="597">
        <v>6117</v>
      </c>
      <c r="H3219" s="592" t="s">
        <v>1877</v>
      </c>
    </row>
    <row r="3220" spans="1:8" ht="24.75" customHeight="1" x14ac:dyDescent="0.55000000000000004">
      <c r="A3220" s="592">
        <v>3219</v>
      </c>
      <c r="B3220" s="596" t="s">
        <v>2037</v>
      </c>
      <c r="C3220" s="592" t="s">
        <v>7875</v>
      </c>
      <c r="D3220" s="592">
        <v>3</v>
      </c>
      <c r="E3220" s="597">
        <v>13500</v>
      </c>
      <c r="F3220" s="597">
        <v>13500</v>
      </c>
      <c r="G3220" s="597">
        <v>27300</v>
      </c>
      <c r="H3220" s="592" t="s">
        <v>1877</v>
      </c>
    </row>
    <row r="3221" spans="1:8" ht="24.75" customHeight="1" x14ac:dyDescent="0.55000000000000004">
      <c r="A3221" s="592">
        <v>3220</v>
      </c>
      <c r="B3221" s="596" t="s">
        <v>6022</v>
      </c>
      <c r="C3221" s="592" t="s">
        <v>6023</v>
      </c>
      <c r="D3221" s="592">
        <v>1</v>
      </c>
      <c r="E3221" s="597">
        <v>12000</v>
      </c>
      <c r="F3221" s="597">
        <v>12000</v>
      </c>
      <c r="G3221" s="597">
        <v>9100</v>
      </c>
      <c r="H3221" s="592" t="s">
        <v>1877</v>
      </c>
    </row>
    <row r="3222" spans="1:8" ht="24.75" customHeight="1" x14ac:dyDescent="0.55000000000000004">
      <c r="A3222" s="592">
        <v>3221</v>
      </c>
      <c r="B3222" s="596" t="s">
        <v>6024</v>
      </c>
      <c r="C3222" s="592" t="s">
        <v>6025</v>
      </c>
      <c r="D3222" s="592">
        <v>5</v>
      </c>
      <c r="E3222" s="597">
        <v>15000</v>
      </c>
      <c r="F3222" s="597">
        <v>15000</v>
      </c>
      <c r="G3222" s="597">
        <v>60000</v>
      </c>
      <c r="H3222" s="592" t="s">
        <v>1877</v>
      </c>
    </row>
    <row r="3223" spans="1:8" ht="24.75" customHeight="1" x14ac:dyDescent="0.55000000000000004">
      <c r="A3223" s="592">
        <v>3222</v>
      </c>
      <c r="B3223" s="596" t="s">
        <v>6373</v>
      </c>
      <c r="C3223" s="592" t="s">
        <v>6374</v>
      </c>
      <c r="D3223" s="592">
        <v>5</v>
      </c>
      <c r="E3223" s="597">
        <v>18000</v>
      </c>
      <c r="F3223" s="597">
        <v>18000</v>
      </c>
      <c r="G3223" s="597">
        <v>65000</v>
      </c>
      <c r="H3223" s="592" t="s">
        <v>1877</v>
      </c>
    </row>
    <row r="3224" spans="1:8" ht="24.75" customHeight="1" x14ac:dyDescent="0.55000000000000004">
      <c r="A3224" s="592">
        <v>3223</v>
      </c>
      <c r="B3224" s="596" t="s">
        <v>6026</v>
      </c>
      <c r="C3224" s="592" t="s">
        <v>6027</v>
      </c>
      <c r="D3224" s="592">
        <v>1</v>
      </c>
      <c r="E3224" s="597">
        <v>42000</v>
      </c>
      <c r="F3224" s="597">
        <v>42000</v>
      </c>
      <c r="G3224" s="597">
        <v>32453</v>
      </c>
      <c r="H3224" s="592" t="s">
        <v>1877</v>
      </c>
    </row>
    <row r="3225" spans="1:8" ht="24.75" customHeight="1" x14ac:dyDescent="0.55000000000000004">
      <c r="A3225" s="592">
        <v>3224</v>
      </c>
      <c r="B3225" s="596" t="s">
        <v>6028</v>
      </c>
      <c r="C3225" s="592" t="s">
        <v>6029</v>
      </c>
      <c r="D3225" s="592">
        <v>1</v>
      </c>
      <c r="E3225" s="597">
        <v>20000</v>
      </c>
      <c r="F3225" s="597">
        <v>20000</v>
      </c>
      <c r="G3225" s="597">
        <v>13300</v>
      </c>
      <c r="H3225" s="592" t="s">
        <v>1877</v>
      </c>
    </row>
    <row r="3226" spans="1:8" ht="24.75" customHeight="1" x14ac:dyDescent="0.55000000000000004">
      <c r="A3226" s="592">
        <v>3225</v>
      </c>
      <c r="B3226" s="596" t="s">
        <v>6030</v>
      </c>
      <c r="C3226" s="592" t="s">
        <v>6031</v>
      </c>
      <c r="D3226" s="592">
        <v>1</v>
      </c>
      <c r="E3226" s="597">
        <v>25000</v>
      </c>
      <c r="F3226" s="597">
        <v>25000</v>
      </c>
      <c r="G3226" s="597">
        <v>17130</v>
      </c>
      <c r="H3226" s="592" t="s">
        <v>1877</v>
      </c>
    </row>
    <row r="3227" spans="1:8" ht="24.75" customHeight="1" x14ac:dyDescent="0.55000000000000004">
      <c r="A3227" s="592">
        <v>3226</v>
      </c>
      <c r="B3227" s="596" t="s">
        <v>6032</v>
      </c>
      <c r="C3227" s="592" t="s">
        <v>6033</v>
      </c>
      <c r="D3227" s="592">
        <v>1</v>
      </c>
      <c r="E3227" s="597">
        <v>5500</v>
      </c>
      <c r="F3227" s="597">
        <v>5500</v>
      </c>
      <c r="G3227" s="597">
        <v>3570</v>
      </c>
      <c r="H3227" s="592" t="s">
        <v>1877</v>
      </c>
    </row>
    <row r="3228" spans="1:8" ht="24.75" customHeight="1" x14ac:dyDescent="0.55000000000000004">
      <c r="A3228" s="592">
        <v>3227</v>
      </c>
      <c r="B3228" s="596" t="s">
        <v>6034</v>
      </c>
      <c r="C3228" s="592" t="s">
        <v>6035</v>
      </c>
      <c r="D3228" s="592">
        <v>1</v>
      </c>
      <c r="E3228" s="597">
        <v>2500</v>
      </c>
      <c r="F3228" s="597">
        <v>2500</v>
      </c>
      <c r="G3228" s="597">
        <v>1961</v>
      </c>
      <c r="H3228" s="592" t="s">
        <v>1877</v>
      </c>
    </row>
    <row r="3229" spans="1:8" ht="24.75" customHeight="1" x14ac:dyDescent="0.55000000000000004">
      <c r="A3229" s="592">
        <v>3228</v>
      </c>
      <c r="B3229" s="596" t="s">
        <v>6036</v>
      </c>
      <c r="C3229" s="592" t="s">
        <v>6037</v>
      </c>
      <c r="D3229" s="592">
        <v>3</v>
      </c>
      <c r="E3229" s="597">
        <v>16000</v>
      </c>
      <c r="F3229" s="597">
        <v>16000</v>
      </c>
      <c r="G3229" s="597">
        <v>25560</v>
      </c>
      <c r="H3229" s="592" t="s">
        <v>1877</v>
      </c>
    </row>
    <row r="3230" spans="1:8" ht="24.75" customHeight="1" x14ac:dyDescent="0.55000000000000004">
      <c r="A3230" s="592">
        <v>3229</v>
      </c>
      <c r="B3230" s="596" t="s">
        <v>6038</v>
      </c>
      <c r="C3230" s="592" t="s">
        <v>6039</v>
      </c>
      <c r="D3230" s="592">
        <v>2</v>
      </c>
      <c r="E3230" s="597">
        <v>40000</v>
      </c>
      <c r="F3230" s="597">
        <v>40000</v>
      </c>
      <c r="G3230" s="597">
        <v>39642</v>
      </c>
      <c r="H3230" s="592" t="s">
        <v>1877</v>
      </c>
    </row>
    <row r="3231" spans="1:8" ht="24.75" customHeight="1" x14ac:dyDescent="0.55000000000000004">
      <c r="A3231" s="592">
        <v>3230</v>
      </c>
      <c r="B3231" s="596" t="s">
        <v>6040</v>
      </c>
      <c r="C3231" s="592" t="s">
        <v>6041</v>
      </c>
      <c r="D3231" s="592">
        <v>1</v>
      </c>
      <c r="E3231" s="597">
        <v>40000</v>
      </c>
      <c r="F3231" s="597">
        <v>40000</v>
      </c>
      <c r="G3231" s="597">
        <v>35000</v>
      </c>
      <c r="H3231" s="592" t="s">
        <v>1877</v>
      </c>
    </row>
    <row r="3232" spans="1:8" ht="24.75" customHeight="1" x14ac:dyDescent="0.55000000000000004">
      <c r="A3232" s="592">
        <v>3231</v>
      </c>
      <c r="B3232" s="596" t="s">
        <v>6042</v>
      </c>
      <c r="C3232" s="592" t="s">
        <v>6043</v>
      </c>
      <c r="D3232" s="592">
        <v>1</v>
      </c>
      <c r="E3232" s="597">
        <v>50000</v>
      </c>
      <c r="F3232" s="597">
        <v>50000</v>
      </c>
      <c r="G3232" s="597">
        <v>38000</v>
      </c>
      <c r="H3232" s="592" t="s">
        <v>1877</v>
      </c>
    </row>
    <row r="3233" spans="1:8" ht="24.75" customHeight="1" x14ac:dyDescent="0.55000000000000004">
      <c r="A3233" s="592">
        <v>3232</v>
      </c>
      <c r="B3233" s="596" t="s">
        <v>6044</v>
      </c>
      <c r="C3233" s="592" t="s">
        <v>6045</v>
      </c>
      <c r="D3233" s="592">
        <v>3</v>
      </c>
      <c r="E3233" s="597">
        <v>2000</v>
      </c>
      <c r="F3233" s="597">
        <v>2000</v>
      </c>
      <c r="G3233" s="597">
        <v>3138</v>
      </c>
      <c r="H3233" s="592" t="s">
        <v>1877</v>
      </c>
    </row>
    <row r="3234" spans="1:8" ht="24.75" customHeight="1" x14ac:dyDescent="0.55000000000000004">
      <c r="A3234" s="592">
        <v>3233</v>
      </c>
      <c r="B3234" s="596" t="s">
        <v>6046</v>
      </c>
      <c r="C3234" s="592" t="s">
        <v>7876</v>
      </c>
      <c r="D3234" s="592">
        <v>3</v>
      </c>
      <c r="E3234" s="597">
        <v>2000</v>
      </c>
      <c r="F3234" s="597">
        <v>2000</v>
      </c>
      <c r="G3234" s="597">
        <v>3042</v>
      </c>
      <c r="H3234" s="592" t="s">
        <v>1877</v>
      </c>
    </row>
    <row r="3235" spans="1:8" ht="24.75" customHeight="1" x14ac:dyDescent="0.55000000000000004">
      <c r="A3235" s="592">
        <v>3234</v>
      </c>
      <c r="B3235" s="596" t="s">
        <v>6047</v>
      </c>
      <c r="C3235" s="592" t="s">
        <v>6048</v>
      </c>
      <c r="D3235" s="592">
        <v>13</v>
      </c>
      <c r="E3235" s="597">
        <v>600</v>
      </c>
      <c r="F3235" s="597">
        <v>600</v>
      </c>
      <c r="G3235" s="597">
        <v>5304</v>
      </c>
      <c r="H3235" s="592" t="s">
        <v>1877</v>
      </c>
    </row>
    <row r="3236" spans="1:8" ht="24.75" customHeight="1" x14ac:dyDescent="0.55000000000000004">
      <c r="A3236" s="592">
        <v>3235</v>
      </c>
      <c r="B3236" s="596" t="s">
        <v>6049</v>
      </c>
      <c r="C3236" s="592" t="s">
        <v>6050</v>
      </c>
      <c r="D3236" s="592">
        <v>13</v>
      </c>
      <c r="E3236" s="597">
        <v>500</v>
      </c>
      <c r="F3236" s="597">
        <v>500</v>
      </c>
      <c r="G3236" s="597">
        <v>5304</v>
      </c>
      <c r="H3236" s="592" t="s">
        <v>1877</v>
      </c>
    </row>
    <row r="3237" spans="1:8" ht="24.75" customHeight="1" x14ac:dyDescent="0.55000000000000004">
      <c r="A3237" s="592">
        <v>3236</v>
      </c>
      <c r="B3237" s="596" t="s">
        <v>6051</v>
      </c>
      <c r="C3237" s="592" t="s">
        <v>6052</v>
      </c>
      <c r="D3237" s="592">
        <v>14</v>
      </c>
      <c r="E3237" s="597">
        <v>300</v>
      </c>
      <c r="F3237" s="597">
        <v>300</v>
      </c>
      <c r="G3237" s="597">
        <v>2226</v>
      </c>
      <c r="H3237" s="592" t="s">
        <v>1877</v>
      </c>
    </row>
    <row r="3238" spans="1:8" ht="24.75" customHeight="1" x14ac:dyDescent="0.55000000000000004">
      <c r="A3238" s="592">
        <v>3237</v>
      </c>
      <c r="B3238" s="596" t="s">
        <v>6053</v>
      </c>
      <c r="C3238" s="592" t="s">
        <v>6054</v>
      </c>
      <c r="D3238" s="592">
        <v>1</v>
      </c>
      <c r="E3238" s="597">
        <v>400</v>
      </c>
      <c r="F3238" s="597">
        <v>400</v>
      </c>
      <c r="G3238" s="597">
        <v>227</v>
      </c>
      <c r="H3238" s="592" t="s">
        <v>1877</v>
      </c>
    </row>
    <row r="3239" spans="1:8" ht="24.75" customHeight="1" x14ac:dyDescent="0.55000000000000004">
      <c r="A3239" s="592">
        <v>3238</v>
      </c>
      <c r="B3239" s="596" t="s">
        <v>6055</v>
      </c>
      <c r="C3239" s="592" t="s">
        <v>6056</v>
      </c>
      <c r="D3239" s="592">
        <v>10</v>
      </c>
      <c r="E3239" s="597">
        <v>600</v>
      </c>
      <c r="F3239" s="597">
        <v>600</v>
      </c>
      <c r="G3239" s="597">
        <v>4000</v>
      </c>
      <c r="H3239" s="592" t="s">
        <v>1877</v>
      </c>
    </row>
    <row r="3240" spans="1:8" ht="24.75" customHeight="1" x14ac:dyDescent="0.55000000000000004">
      <c r="A3240" s="592">
        <v>3239</v>
      </c>
      <c r="B3240" s="596" t="s">
        <v>6057</v>
      </c>
      <c r="C3240" s="592" t="s">
        <v>6058</v>
      </c>
      <c r="D3240" s="592">
        <v>4</v>
      </c>
      <c r="E3240" s="597">
        <v>350</v>
      </c>
      <c r="F3240" s="597">
        <v>350</v>
      </c>
      <c r="G3240" s="597">
        <v>800</v>
      </c>
      <c r="H3240" s="592" t="s">
        <v>1877</v>
      </c>
    </row>
    <row r="3241" spans="1:8" ht="24.75" customHeight="1" x14ac:dyDescent="0.55000000000000004">
      <c r="A3241" s="592">
        <v>3240</v>
      </c>
      <c r="B3241" s="596" t="s">
        <v>6059</v>
      </c>
      <c r="C3241" s="592" t="s">
        <v>6060</v>
      </c>
      <c r="D3241" s="592">
        <v>16</v>
      </c>
      <c r="E3241" s="597">
        <v>350</v>
      </c>
      <c r="F3241" s="597">
        <v>350</v>
      </c>
      <c r="G3241" s="597">
        <v>3200</v>
      </c>
      <c r="H3241" s="592" t="s">
        <v>1877</v>
      </c>
    </row>
    <row r="3242" spans="1:8" ht="24.75" customHeight="1" x14ac:dyDescent="0.55000000000000004">
      <c r="A3242" s="592">
        <v>3241</v>
      </c>
      <c r="B3242" s="596" t="s">
        <v>6061</v>
      </c>
      <c r="C3242" s="592" t="s">
        <v>6062</v>
      </c>
      <c r="D3242" s="592">
        <v>20</v>
      </c>
      <c r="E3242" s="597">
        <v>600</v>
      </c>
      <c r="F3242" s="597">
        <v>600</v>
      </c>
      <c r="G3242" s="597">
        <v>3000</v>
      </c>
      <c r="H3242" s="592" t="s">
        <v>1877</v>
      </c>
    </row>
    <row r="3243" spans="1:8" ht="24.75" customHeight="1" x14ac:dyDescent="0.55000000000000004">
      <c r="A3243" s="592">
        <v>3242</v>
      </c>
      <c r="B3243" s="596" t="s">
        <v>6063</v>
      </c>
      <c r="C3243" s="592" t="s">
        <v>6064</v>
      </c>
      <c r="D3243" s="592">
        <v>8</v>
      </c>
      <c r="E3243" s="597">
        <v>400</v>
      </c>
      <c r="F3243" s="597">
        <v>400</v>
      </c>
      <c r="G3243" s="597">
        <v>1496</v>
      </c>
      <c r="H3243" s="592" t="s">
        <v>1877</v>
      </c>
    </row>
    <row r="3244" spans="1:8" ht="24.75" customHeight="1" x14ac:dyDescent="0.55000000000000004">
      <c r="A3244" s="592">
        <v>3243</v>
      </c>
      <c r="B3244" s="596" t="s">
        <v>6065</v>
      </c>
      <c r="C3244" s="592" t="s">
        <v>6066</v>
      </c>
      <c r="D3244" s="592">
        <v>28</v>
      </c>
      <c r="E3244" s="597">
        <v>400</v>
      </c>
      <c r="F3244" s="597">
        <v>400</v>
      </c>
      <c r="G3244" s="597">
        <v>4900</v>
      </c>
      <c r="H3244" s="592" t="s">
        <v>1877</v>
      </c>
    </row>
    <row r="3245" spans="1:8" ht="24.75" customHeight="1" x14ac:dyDescent="0.55000000000000004">
      <c r="A3245" s="592">
        <v>3244</v>
      </c>
      <c r="B3245" s="596" t="s">
        <v>6067</v>
      </c>
      <c r="C3245" s="592" t="s">
        <v>6068</v>
      </c>
      <c r="D3245" s="592">
        <v>9</v>
      </c>
      <c r="E3245" s="597">
        <v>500</v>
      </c>
      <c r="F3245" s="597">
        <v>500</v>
      </c>
      <c r="G3245" s="597">
        <v>1890</v>
      </c>
      <c r="H3245" s="592" t="s">
        <v>1877</v>
      </c>
    </row>
    <row r="3246" spans="1:8" ht="24.75" customHeight="1" x14ac:dyDescent="0.55000000000000004">
      <c r="A3246" s="592">
        <v>3245</v>
      </c>
      <c r="B3246" s="596" t="s">
        <v>6069</v>
      </c>
      <c r="C3246" s="592" t="s">
        <v>6070</v>
      </c>
      <c r="D3246" s="592">
        <v>35</v>
      </c>
      <c r="E3246" s="597">
        <v>600</v>
      </c>
      <c r="F3246" s="597">
        <v>600</v>
      </c>
      <c r="G3246" s="597">
        <v>11900</v>
      </c>
      <c r="H3246" s="592" t="s">
        <v>1877</v>
      </c>
    </row>
    <row r="3247" spans="1:8" ht="24.75" customHeight="1" x14ac:dyDescent="0.55000000000000004">
      <c r="A3247" s="592">
        <v>3246</v>
      </c>
      <c r="B3247" s="596" t="s">
        <v>6071</v>
      </c>
      <c r="C3247" s="592" t="s">
        <v>7877</v>
      </c>
      <c r="D3247" s="592">
        <v>24</v>
      </c>
      <c r="E3247" s="597">
        <v>800</v>
      </c>
      <c r="F3247" s="597">
        <v>800</v>
      </c>
      <c r="G3247" s="597">
        <v>12960</v>
      </c>
      <c r="H3247" s="592" t="s">
        <v>1877</v>
      </c>
    </row>
    <row r="3248" spans="1:8" ht="24.75" customHeight="1" x14ac:dyDescent="0.55000000000000004">
      <c r="A3248" s="592">
        <v>3247</v>
      </c>
      <c r="B3248" s="596" t="s">
        <v>6072</v>
      </c>
      <c r="C3248" s="592" t="s">
        <v>6073</v>
      </c>
      <c r="D3248" s="592">
        <v>14</v>
      </c>
      <c r="E3248" s="597">
        <v>600</v>
      </c>
      <c r="F3248" s="597">
        <v>600</v>
      </c>
      <c r="G3248" s="597">
        <v>3220</v>
      </c>
      <c r="H3248" s="592" t="s">
        <v>1877</v>
      </c>
    </row>
    <row r="3249" spans="1:8" ht="24.75" customHeight="1" x14ac:dyDescent="0.55000000000000004">
      <c r="A3249" s="592">
        <v>3248</v>
      </c>
      <c r="B3249" s="596" t="s">
        <v>2038</v>
      </c>
      <c r="C3249" s="592" t="s">
        <v>2039</v>
      </c>
      <c r="D3249" s="592">
        <v>2</v>
      </c>
      <c r="E3249" s="597">
        <v>6000</v>
      </c>
      <c r="F3249" s="597">
        <v>6000</v>
      </c>
      <c r="G3249" s="597">
        <v>3120</v>
      </c>
      <c r="H3249" s="592" t="s">
        <v>1877</v>
      </c>
    </row>
    <row r="3250" spans="1:8" ht="24.75" customHeight="1" x14ac:dyDescent="0.55000000000000004">
      <c r="A3250" s="592">
        <v>3249</v>
      </c>
      <c r="B3250" s="596" t="s">
        <v>2531</v>
      </c>
      <c r="C3250" s="592" t="s">
        <v>2532</v>
      </c>
      <c r="D3250" s="592">
        <v>1</v>
      </c>
      <c r="E3250" s="597">
        <v>7000</v>
      </c>
      <c r="F3250" s="597">
        <v>7000</v>
      </c>
      <c r="G3250" s="597">
        <v>1990</v>
      </c>
      <c r="H3250" s="592" t="s">
        <v>1877</v>
      </c>
    </row>
    <row r="3251" spans="1:8" ht="24.75" customHeight="1" x14ac:dyDescent="0.55000000000000004">
      <c r="A3251" s="592">
        <v>3250</v>
      </c>
      <c r="B3251" s="596" t="s">
        <v>6074</v>
      </c>
      <c r="C3251" s="592" t="s">
        <v>6075</v>
      </c>
      <c r="D3251" s="592">
        <v>1</v>
      </c>
      <c r="E3251" s="597">
        <v>40000</v>
      </c>
      <c r="F3251" s="597">
        <v>40000</v>
      </c>
      <c r="G3251" s="597">
        <v>30000</v>
      </c>
      <c r="H3251" s="592" t="s">
        <v>1877</v>
      </c>
    </row>
    <row r="3252" spans="1:8" ht="24.75" customHeight="1" x14ac:dyDescent="0.55000000000000004">
      <c r="A3252" s="592">
        <v>3251</v>
      </c>
      <c r="B3252" s="596" t="s">
        <v>6076</v>
      </c>
      <c r="C3252" s="592" t="s">
        <v>6077</v>
      </c>
      <c r="D3252" s="592">
        <v>2</v>
      </c>
      <c r="E3252" s="597">
        <v>20000</v>
      </c>
      <c r="F3252" s="597">
        <v>20000</v>
      </c>
      <c r="G3252" s="597">
        <v>19820</v>
      </c>
      <c r="H3252" s="592" t="s">
        <v>1877</v>
      </c>
    </row>
    <row r="3253" spans="1:8" ht="24.75" customHeight="1" x14ac:dyDescent="0.55000000000000004">
      <c r="A3253" s="592">
        <v>3252</v>
      </c>
      <c r="B3253" s="596" t="s">
        <v>6078</v>
      </c>
      <c r="C3253" s="592" t="s">
        <v>6079</v>
      </c>
      <c r="D3253" s="592">
        <v>2</v>
      </c>
      <c r="E3253" s="597">
        <v>4500</v>
      </c>
      <c r="F3253" s="597">
        <v>4500</v>
      </c>
      <c r="G3253" s="597">
        <v>4800</v>
      </c>
      <c r="H3253" s="592" t="s">
        <v>1877</v>
      </c>
    </row>
    <row r="3254" spans="1:8" ht="24.75" customHeight="1" x14ac:dyDescent="0.55000000000000004">
      <c r="A3254" s="592">
        <v>3253</v>
      </c>
      <c r="B3254" s="596" t="s">
        <v>6080</v>
      </c>
      <c r="C3254" s="592" t="s">
        <v>6081</v>
      </c>
      <c r="D3254" s="592">
        <v>2</v>
      </c>
      <c r="E3254" s="597">
        <v>8000</v>
      </c>
      <c r="F3254" s="597">
        <v>8000</v>
      </c>
      <c r="G3254" s="597">
        <v>10460</v>
      </c>
      <c r="H3254" s="592" t="s">
        <v>1877</v>
      </c>
    </row>
    <row r="3255" spans="1:8" ht="24.75" customHeight="1" x14ac:dyDescent="0.55000000000000004">
      <c r="A3255" s="592">
        <v>3254</v>
      </c>
      <c r="B3255" s="596" t="s">
        <v>6082</v>
      </c>
      <c r="C3255" s="592" t="s">
        <v>6083</v>
      </c>
      <c r="D3255" s="592">
        <v>12</v>
      </c>
      <c r="E3255" s="597">
        <v>500</v>
      </c>
      <c r="F3255" s="597">
        <v>500</v>
      </c>
      <c r="G3255" s="597">
        <v>2160</v>
      </c>
      <c r="H3255" s="592" t="s">
        <v>1877</v>
      </c>
    </row>
    <row r="3256" spans="1:8" ht="24.75" customHeight="1" x14ac:dyDescent="0.55000000000000004">
      <c r="A3256" s="592">
        <v>3255</v>
      </c>
      <c r="B3256" s="596" t="s">
        <v>6084</v>
      </c>
      <c r="C3256" s="592" t="s">
        <v>6085</v>
      </c>
      <c r="D3256" s="592">
        <v>2</v>
      </c>
      <c r="E3256" s="597">
        <v>22000</v>
      </c>
      <c r="F3256" s="597">
        <v>22000</v>
      </c>
      <c r="G3256" s="597">
        <v>19020</v>
      </c>
      <c r="H3256" s="592" t="s">
        <v>1877</v>
      </c>
    </row>
    <row r="3257" spans="1:8" ht="24.75" customHeight="1" x14ac:dyDescent="0.55000000000000004">
      <c r="A3257" s="592">
        <v>3256</v>
      </c>
      <c r="B3257" s="596" t="s">
        <v>6086</v>
      </c>
      <c r="C3257" s="592" t="s">
        <v>6087</v>
      </c>
      <c r="D3257" s="592">
        <v>1</v>
      </c>
      <c r="E3257" s="597">
        <v>4500</v>
      </c>
      <c r="F3257" s="597">
        <v>4500</v>
      </c>
      <c r="G3257" s="597">
        <v>2810</v>
      </c>
      <c r="H3257" s="592" t="s">
        <v>1877</v>
      </c>
    </row>
    <row r="3258" spans="1:8" ht="24.75" customHeight="1" x14ac:dyDescent="0.55000000000000004">
      <c r="A3258" s="592">
        <v>3257</v>
      </c>
      <c r="B3258" s="596" t="s">
        <v>6088</v>
      </c>
      <c r="C3258" s="592" t="s">
        <v>6089</v>
      </c>
      <c r="D3258" s="592">
        <v>9</v>
      </c>
      <c r="E3258" s="597">
        <v>800</v>
      </c>
      <c r="F3258" s="597">
        <v>800</v>
      </c>
      <c r="G3258" s="597">
        <v>1980</v>
      </c>
      <c r="H3258" s="592" t="s">
        <v>1877</v>
      </c>
    </row>
    <row r="3259" spans="1:8" ht="24.75" customHeight="1" x14ac:dyDescent="0.55000000000000004">
      <c r="A3259" s="592">
        <v>3258</v>
      </c>
      <c r="B3259" s="596" t="s">
        <v>6090</v>
      </c>
      <c r="C3259" s="592" t="s">
        <v>6091</v>
      </c>
      <c r="D3259" s="592">
        <v>1</v>
      </c>
      <c r="E3259" s="597">
        <v>400</v>
      </c>
      <c r="F3259" s="597">
        <v>400</v>
      </c>
      <c r="G3259" s="597">
        <v>300</v>
      </c>
      <c r="H3259" s="592" t="s">
        <v>1877</v>
      </c>
    </row>
    <row r="3260" spans="1:8" ht="24.75" customHeight="1" x14ac:dyDescent="0.55000000000000004">
      <c r="A3260" s="592">
        <v>3259</v>
      </c>
      <c r="B3260" s="596" t="s">
        <v>6092</v>
      </c>
      <c r="C3260" s="592" t="s">
        <v>6093</v>
      </c>
      <c r="D3260" s="592">
        <v>1</v>
      </c>
      <c r="E3260" s="597">
        <v>5500</v>
      </c>
      <c r="F3260" s="597">
        <v>5500</v>
      </c>
      <c r="G3260" s="597">
        <v>2750</v>
      </c>
      <c r="H3260" s="592" t="s">
        <v>1877</v>
      </c>
    </row>
    <row r="3261" spans="1:8" ht="24.75" customHeight="1" x14ac:dyDescent="0.55000000000000004">
      <c r="A3261" s="592">
        <v>3260</v>
      </c>
      <c r="B3261" s="596" t="s">
        <v>6094</v>
      </c>
      <c r="C3261" s="592" t="s">
        <v>6095</v>
      </c>
      <c r="D3261" s="592">
        <v>1</v>
      </c>
      <c r="E3261" s="597">
        <v>28000</v>
      </c>
      <c r="F3261" s="597">
        <v>28000</v>
      </c>
      <c r="G3261" s="597">
        <v>20250</v>
      </c>
      <c r="H3261" s="592" t="s">
        <v>1877</v>
      </c>
    </row>
    <row r="3262" spans="1:8" ht="24.75" customHeight="1" x14ac:dyDescent="0.55000000000000004">
      <c r="A3262" s="592">
        <v>3261</v>
      </c>
      <c r="B3262" s="596" t="s">
        <v>6096</v>
      </c>
      <c r="C3262" s="592" t="s">
        <v>6097</v>
      </c>
      <c r="D3262" s="592">
        <v>1</v>
      </c>
      <c r="E3262" s="597">
        <v>700</v>
      </c>
      <c r="F3262" s="597">
        <v>700</v>
      </c>
      <c r="G3262" s="597">
        <v>400</v>
      </c>
      <c r="H3262" s="592" t="s">
        <v>1877</v>
      </c>
    </row>
    <row r="3263" spans="1:8" ht="24.75" customHeight="1" x14ac:dyDescent="0.55000000000000004">
      <c r="A3263" s="592">
        <v>3262</v>
      </c>
      <c r="B3263" s="596" t="s">
        <v>6098</v>
      </c>
      <c r="C3263" s="592" t="s">
        <v>6099</v>
      </c>
      <c r="D3263" s="592">
        <v>2</v>
      </c>
      <c r="E3263" s="597">
        <v>1500</v>
      </c>
      <c r="F3263" s="597">
        <v>1500</v>
      </c>
      <c r="G3263" s="597">
        <v>1500</v>
      </c>
      <c r="H3263" s="592" t="s">
        <v>1877</v>
      </c>
    </row>
    <row r="3264" spans="1:8" ht="24.75" customHeight="1" x14ac:dyDescent="0.55000000000000004">
      <c r="A3264" s="592">
        <v>3263</v>
      </c>
      <c r="B3264" s="596" t="s">
        <v>6284</v>
      </c>
      <c r="C3264" s="592" t="s">
        <v>6100</v>
      </c>
      <c r="D3264" s="592">
        <v>23</v>
      </c>
      <c r="E3264" s="597">
        <v>500</v>
      </c>
      <c r="F3264" s="597">
        <v>500</v>
      </c>
      <c r="G3264" s="597">
        <v>6210</v>
      </c>
      <c r="H3264" s="592" t="s">
        <v>1397</v>
      </c>
    </row>
    <row r="3265" spans="4:7" ht="24.75" customHeight="1" x14ac:dyDescent="0.55000000000000004">
      <c r="D3265" s="592">
        <v>21726</v>
      </c>
      <c r="E3265" s="597">
        <v>49878430</v>
      </c>
      <c r="F3265" s="597">
        <v>49858030</v>
      </c>
      <c r="G3265" s="597">
        <v>89501239</v>
      </c>
    </row>
  </sheetData>
  <phoneticPr fontId="45" type="noConversion"/>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tabColor rgb="FFFF0000"/>
  </sheetPr>
  <dimension ref="A2:C17"/>
  <sheetViews>
    <sheetView workbookViewId="0">
      <selection activeCell="A4" sqref="A4:B10"/>
    </sheetView>
  </sheetViews>
  <sheetFormatPr defaultColWidth="20" defaultRowHeight="21.75" x14ac:dyDescent="0.55000000000000004"/>
  <cols>
    <col min="1" max="1" width="25.7109375" style="23" customWidth="1"/>
    <col min="2" max="2" width="17.5703125" style="84" customWidth="1"/>
    <col min="3" max="3" width="17" style="23" customWidth="1"/>
    <col min="4" max="16384" width="20" style="23"/>
  </cols>
  <sheetData>
    <row r="2" spans="1:3" x14ac:dyDescent="0.55000000000000004">
      <c r="A2" s="1322" t="s">
        <v>8869</v>
      </c>
      <c r="B2" s="1322"/>
    </row>
    <row r="3" spans="1:3" x14ac:dyDescent="0.55000000000000004">
      <c r="A3" s="593" t="s">
        <v>2454</v>
      </c>
      <c r="B3" s="594" t="s">
        <v>7204</v>
      </c>
      <c r="C3"/>
    </row>
    <row r="4" spans="1:3" x14ac:dyDescent="0.55000000000000004">
      <c r="A4" s="595" t="s">
        <v>1420</v>
      </c>
      <c r="B4" s="590">
        <v>111500</v>
      </c>
      <c r="C4"/>
    </row>
    <row r="5" spans="1:3" x14ac:dyDescent="0.55000000000000004">
      <c r="A5" s="595" t="s">
        <v>933</v>
      </c>
      <c r="B5" s="590">
        <v>941825</v>
      </c>
      <c r="C5"/>
    </row>
    <row r="6" spans="1:3" x14ac:dyDescent="0.55000000000000004">
      <c r="A6" s="595" t="s">
        <v>1397</v>
      </c>
      <c r="B6" s="590">
        <v>4269940</v>
      </c>
      <c r="C6"/>
    </row>
    <row r="7" spans="1:3" x14ac:dyDescent="0.55000000000000004">
      <c r="A7" s="595" t="s">
        <v>1093</v>
      </c>
      <c r="B7" s="590">
        <v>328725</v>
      </c>
      <c r="C7"/>
    </row>
    <row r="8" spans="1:3" x14ac:dyDescent="0.55000000000000004">
      <c r="A8" s="595" t="s">
        <v>57</v>
      </c>
      <c r="B8" s="590">
        <v>60800</v>
      </c>
      <c r="C8"/>
    </row>
    <row r="9" spans="1:3" x14ac:dyDescent="0.55000000000000004">
      <c r="A9" s="595" t="s">
        <v>1877</v>
      </c>
      <c r="B9" s="590">
        <v>167780</v>
      </c>
      <c r="C9"/>
    </row>
    <row r="10" spans="1:3" x14ac:dyDescent="0.55000000000000004">
      <c r="A10" s="595" t="s">
        <v>2470</v>
      </c>
      <c r="B10" s="590">
        <v>1200</v>
      </c>
      <c r="C10"/>
    </row>
    <row r="11" spans="1:3" x14ac:dyDescent="0.55000000000000004">
      <c r="A11" s="595" t="s">
        <v>2049</v>
      </c>
      <c r="B11" s="590">
        <v>5881770</v>
      </c>
      <c r="C11"/>
    </row>
    <row r="12" spans="1:3" x14ac:dyDescent="0.55000000000000004">
      <c r="A12"/>
      <c r="B12"/>
      <c r="C12"/>
    </row>
    <row r="13" spans="1:3" x14ac:dyDescent="0.55000000000000004">
      <c r="A13"/>
      <c r="B13"/>
      <c r="C13"/>
    </row>
    <row r="14" spans="1:3" x14ac:dyDescent="0.55000000000000004">
      <c r="A14"/>
      <c r="B14"/>
      <c r="C14"/>
    </row>
    <row r="15" spans="1:3" x14ac:dyDescent="0.55000000000000004">
      <c r="A15"/>
      <c r="B15"/>
      <c r="C15"/>
    </row>
    <row r="16" spans="1:3" x14ac:dyDescent="0.55000000000000004">
      <c r="A16"/>
      <c r="B16"/>
    </row>
    <row r="17" spans="1:2" x14ac:dyDescent="0.55000000000000004">
      <c r="A17"/>
      <c r="B17"/>
    </row>
  </sheetData>
  <mergeCells count="1">
    <mergeCell ref="A2:B2"/>
  </mergeCell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FF0000"/>
  </sheetPr>
  <dimension ref="A1:H1026"/>
  <sheetViews>
    <sheetView topLeftCell="A883" zoomScale="99" zoomScaleNormal="99" workbookViewId="0">
      <selection activeCell="A2" sqref="A2"/>
    </sheetView>
  </sheetViews>
  <sheetFormatPr defaultColWidth="9.28515625" defaultRowHeight="21.75" x14ac:dyDescent="0.55000000000000004"/>
  <cols>
    <col min="1" max="1" width="5.5703125" style="23" customWidth="1"/>
    <col min="2" max="2" width="16" style="23" bestFit="1" customWidth="1"/>
    <col min="3" max="3" width="74.5703125" style="23" bestFit="1" customWidth="1"/>
    <col min="4" max="4" width="18.7109375" style="84" customWidth="1"/>
    <col min="5" max="5" width="10.5703125" style="23" customWidth="1"/>
    <col min="6" max="6" width="16.7109375" style="84" bestFit="1" customWidth="1"/>
    <col min="7" max="7" width="14.7109375" style="84" bestFit="1" customWidth="1"/>
    <col min="8" max="8" width="30.7109375" style="23" customWidth="1"/>
    <col min="9" max="16384" width="9.28515625" style="23"/>
  </cols>
  <sheetData>
    <row r="1" spans="1:8" x14ac:dyDescent="0.55000000000000004">
      <c r="A1" s="369" t="s">
        <v>9</v>
      </c>
      <c r="B1" s="370" t="s">
        <v>2256</v>
      </c>
      <c r="C1" s="369" t="s">
        <v>2066</v>
      </c>
      <c r="D1" s="262" t="s">
        <v>2133</v>
      </c>
      <c r="E1" s="369" t="s">
        <v>2040</v>
      </c>
      <c r="F1" s="262" t="s">
        <v>2257</v>
      </c>
      <c r="G1" s="262" t="s">
        <v>919</v>
      </c>
      <c r="H1" s="369" t="s">
        <v>2050</v>
      </c>
    </row>
    <row r="2" spans="1:8" ht="22.5" x14ac:dyDescent="0.55000000000000004">
      <c r="A2" s="1078">
        <v>1</v>
      </c>
      <c r="B2" s="1078">
        <v>1100104</v>
      </c>
      <c r="C2" s="1078" t="s">
        <v>3207</v>
      </c>
      <c r="D2" s="1078">
        <v>2100</v>
      </c>
      <c r="E2" s="1078">
        <v>1</v>
      </c>
      <c r="F2" s="1078">
        <v>3500</v>
      </c>
      <c r="G2" s="1078">
        <v>1400</v>
      </c>
      <c r="H2" s="1078" t="s">
        <v>1397</v>
      </c>
    </row>
    <row r="3" spans="1:8" ht="22.5" x14ac:dyDescent="0.55000000000000004">
      <c r="A3" s="1078">
        <v>2</v>
      </c>
      <c r="B3" s="1078">
        <v>1100121</v>
      </c>
      <c r="C3" s="1078" t="s">
        <v>8504</v>
      </c>
      <c r="D3" s="1078">
        <v>1300</v>
      </c>
      <c r="E3" s="1078">
        <v>1</v>
      </c>
      <c r="F3" s="1078">
        <v>2000</v>
      </c>
      <c r="G3" s="1078">
        <v>700</v>
      </c>
      <c r="H3" s="1078" t="s">
        <v>1397</v>
      </c>
    </row>
    <row r="4" spans="1:8" ht="22.5" x14ac:dyDescent="0.55000000000000004">
      <c r="A4" s="1078">
        <v>3</v>
      </c>
      <c r="B4" s="1078">
        <v>1110002</v>
      </c>
      <c r="C4" s="1078" t="s">
        <v>3491</v>
      </c>
      <c r="D4" s="1078">
        <v>1390</v>
      </c>
      <c r="E4" s="1078">
        <v>2</v>
      </c>
      <c r="F4" s="1078">
        <v>3000</v>
      </c>
      <c r="G4" s="1078">
        <v>1610</v>
      </c>
      <c r="H4" s="1078" t="s">
        <v>1397</v>
      </c>
    </row>
    <row r="5" spans="1:8" ht="22.5" x14ac:dyDescent="0.55000000000000004">
      <c r="A5" s="1078">
        <v>4</v>
      </c>
      <c r="B5" s="1078">
        <v>11100060</v>
      </c>
      <c r="C5" s="1078" t="s">
        <v>6315</v>
      </c>
      <c r="D5" s="1078">
        <v>650</v>
      </c>
      <c r="E5" s="1078">
        <v>1</v>
      </c>
      <c r="F5" s="1078">
        <v>1000</v>
      </c>
      <c r="G5" s="1078">
        <v>350</v>
      </c>
      <c r="H5" s="1078" t="s">
        <v>1397</v>
      </c>
    </row>
    <row r="6" spans="1:8" ht="22.5" x14ac:dyDescent="0.55000000000000004">
      <c r="A6" s="1078">
        <v>5</v>
      </c>
      <c r="B6" s="1078">
        <v>1110008</v>
      </c>
      <c r="C6" s="1078" t="s">
        <v>3181</v>
      </c>
      <c r="D6" s="1078">
        <v>1750</v>
      </c>
      <c r="E6" s="1078">
        <v>1</v>
      </c>
      <c r="F6" s="1078">
        <v>2500</v>
      </c>
      <c r="G6" s="1078">
        <v>750</v>
      </c>
      <c r="H6" s="1078" t="s">
        <v>1397</v>
      </c>
    </row>
    <row r="7" spans="1:8" ht="22.5" x14ac:dyDescent="0.55000000000000004">
      <c r="A7" s="1078">
        <v>6</v>
      </c>
      <c r="B7" s="1078">
        <v>1110009</v>
      </c>
      <c r="C7" s="1078" t="s">
        <v>1398</v>
      </c>
      <c r="D7" s="1078">
        <v>2700</v>
      </c>
      <c r="E7" s="1078">
        <v>1</v>
      </c>
      <c r="F7" s="1078">
        <v>3800</v>
      </c>
      <c r="G7" s="1078">
        <v>1100</v>
      </c>
      <c r="H7" s="1078" t="s">
        <v>1397</v>
      </c>
    </row>
    <row r="8" spans="1:8" ht="22.5" x14ac:dyDescent="0.55000000000000004">
      <c r="A8" s="1078">
        <v>7</v>
      </c>
      <c r="B8" s="1078">
        <v>1110018</v>
      </c>
      <c r="C8" s="1078" t="s">
        <v>7299</v>
      </c>
      <c r="D8" s="1078">
        <v>1000</v>
      </c>
      <c r="E8" s="1078">
        <v>1</v>
      </c>
      <c r="F8" s="1078">
        <v>1500</v>
      </c>
      <c r="G8" s="1078">
        <v>500</v>
      </c>
      <c r="H8" s="1078" t="s">
        <v>1397</v>
      </c>
    </row>
    <row r="9" spans="1:8" ht="22.5" x14ac:dyDescent="0.55000000000000004">
      <c r="A9" s="1078">
        <v>8</v>
      </c>
      <c r="B9" s="1078">
        <v>1110023</v>
      </c>
      <c r="C9" s="1078" t="s">
        <v>7300</v>
      </c>
      <c r="D9" s="1078">
        <v>5640</v>
      </c>
      <c r="E9" s="1078">
        <v>1</v>
      </c>
      <c r="F9" s="1078">
        <v>7000</v>
      </c>
      <c r="G9" s="1078">
        <v>1360</v>
      </c>
      <c r="H9" s="1078" t="s">
        <v>933</v>
      </c>
    </row>
    <row r="10" spans="1:8" ht="22.5" x14ac:dyDescent="0.55000000000000004">
      <c r="A10" s="1078">
        <v>9</v>
      </c>
      <c r="B10" s="1078">
        <v>1110029</v>
      </c>
      <c r="C10" s="1078" t="s">
        <v>8346</v>
      </c>
      <c r="D10" s="1078">
        <v>660</v>
      </c>
      <c r="E10" s="1078">
        <v>1</v>
      </c>
      <c r="F10" s="1078">
        <v>1500</v>
      </c>
      <c r="G10" s="1078">
        <v>840</v>
      </c>
      <c r="H10" s="1078" t="s">
        <v>933</v>
      </c>
    </row>
    <row r="11" spans="1:8" ht="22.5" x14ac:dyDescent="0.55000000000000004">
      <c r="A11" s="1078">
        <v>10</v>
      </c>
      <c r="B11" s="1078">
        <v>1110036</v>
      </c>
      <c r="C11" s="1078" t="s">
        <v>7301</v>
      </c>
      <c r="D11" s="1078">
        <v>4902</v>
      </c>
      <c r="E11" s="1078">
        <v>1</v>
      </c>
      <c r="F11" s="1078">
        <v>11000</v>
      </c>
      <c r="G11" s="1078">
        <v>6098</v>
      </c>
      <c r="H11" s="1078" t="s">
        <v>1397</v>
      </c>
    </row>
    <row r="12" spans="1:8" ht="22.5" x14ac:dyDescent="0.55000000000000004">
      <c r="A12" s="1078">
        <v>11</v>
      </c>
      <c r="B12" s="1078">
        <v>1110037</v>
      </c>
      <c r="C12" s="1078" t="s">
        <v>8505</v>
      </c>
      <c r="D12" s="1078">
        <v>4100</v>
      </c>
      <c r="E12" s="1078">
        <v>1</v>
      </c>
      <c r="F12" s="1078">
        <v>5000</v>
      </c>
      <c r="G12" s="1078">
        <v>900</v>
      </c>
      <c r="H12" s="1078" t="s">
        <v>1397</v>
      </c>
    </row>
    <row r="13" spans="1:8" ht="22.5" x14ac:dyDescent="0.55000000000000004">
      <c r="A13" s="1078">
        <v>12</v>
      </c>
      <c r="B13" s="1078">
        <v>1110038</v>
      </c>
      <c r="C13" s="1078" t="s">
        <v>3495</v>
      </c>
      <c r="D13" s="1078">
        <v>2891</v>
      </c>
      <c r="E13" s="1078">
        <v>1</v>
      </c>
      <c r="F13" s="1078">
        <v>5000</v>
      </c>
      <c r="G13" s="1078">
        <v>2109</v>
      </c>
      <c r="H13" s="1078" t="s">
        <v>1397</v>
      </c>
    </row>
    <row r="14" spans="1:8" ht="22.5" x14ac:dyDescent="0.55000000000000004">
      <c r="A14" s="1078">
        <v>13</v>
      </c>
      <c r="B14" s="1078">
        <v>1110039</v>
      </c>
      <c r="C14" s="1078" t="s">
        <v>8222</v>
      </c>
      <c r="D14" s="1078">
        <v>4300</v>
      </c>
      <c r="E14" s="1078">
        <v>1</v>
      </c>
      <c r="F14" s="1078">
        <v>7000</v>
      </c>
      <c r="G14" s="1078">
        <v>2700</v>
      </c>
      <c r="H14" s="1078" t="s">
        <v>1397</v>
      </c>
    </row>
    <row r="15" spans="1:8" ht="22.5" x14ac:dyDescent="0.55000000000000004">
      <c r="A15" s="1078">
        <v>14</v>
      </c>
      <c r="B15" s="1078">
        <v>1110041</v>
      </c>
      <c r="C15" s="1078" t="s">
        <v>3497</v>
      </c>
      <c r="D15" s="1078">
        <v>63000</v>
      </c>
      <c r="E15" s="1078">
        <v>1</v>
      </c>
      <c r="F15" s="1078">
        <v>75000</v>
      </c>
      <c r="G15" s="1078">
        <v>12000</v>
      </c>
      <c r="H15" s="1078" t="s">
        <v>1397</v>
      </c>
    </row>
    <row r="16" spans="1:8" ht="22.5" x14ac:dyDescent="0.55000000000000004">
      <c r="A16" s="1078">
        <v>15</v>
      </c>
      <c r="B16" s="1078">
        <v>1110043</v>
      </c>
      <c r="C16" s="1078" t="s">
        <v>6136</v>
      </c>
      <c r="D16" s="1078">
        <v>780</v>
      </c>
      <c r="E16" s="1078">
        <v>2</v>
      </c>
      <c r="F16" s="1078">
        <v>1400</v>
      </c>
      <c r="G16" s="1078">
        <v>620</v>
      </c>
      <c r="H16" s="1078" t="s">
        <v>1397</v>
      </c>
    </row>
    <row r="17" spans="1:8" ht="22.5" x14ac:dyDescent="0.55000000000000004">
      <c r="A17" s="1078">
        <v>16</v>
      </c>
      <c r="B17" s="1078">
        <v>1110049</v>
      </c>
      <c r="C17" s="1078" t="s">
        <v>3501</v>
      </c>
      <c r="D17" s="1078">
        <v>430</v>
      </c>
      <c r="E17" s="1078">
        <v>1</v>
      </c>
      <c r="F17" s="1078">
        <v>800</v>
      </c>
      <c r="G17" s="1078">
        <v>370</v>
      </c>
      <c r="H17" s="1078" t="s">
        <v>933</v>
      </c>
    </row>
    <row r="18" spans="1:8" ht="22.5" x14ac:dyDescent="0.55000000000000004">
      <c r="A18" s="1078">
        <v>17</v>
      </c>
      <c r="B18" s="1078">
        <v>1110054</v>
      </c>
      <c r="C18" s="1078" t="s">
        <v>6319</v>
      </c>
      <c r="D18" s="1078">
        <v>1350</v>
      </c>
      <c r="E18" s="1078">
        <v>1</v>
      </c>
      <c r="F18" s="1078">
        <v>1800</v>
      </c>
      <c r="G18" s="1078">
        <v>450</v>
      </c>
      <c r="H18" s="1078" t="s">
        <v>933</v>
      </c>
    </row>
    <row r="19" spans="1:8" ht="22.5" x14ac:dyDescent="0.55000000000000004">
      <c r="A19" s="1078">
        <v>18</v>
      </c>
      <c r="B19" s="1078">
        <v>1110057</v>
      </c>
      <c r="C19" s="1078" t="s">
        <v>8506</v>
      </c>
      <c r="D19" s="1078">
        <v>450</v>
      </c>
      <c r="E19" s="1078">
        <v>1</v>
      </c>
      <c r="F19" s="1078">
        <v>2000</v>
      </c>
      <c r="G19" s="1078">
        <v>1550</v>
      </c>
      <c r="H19" s="1078" t="s">
        <v>1397</v>
      </c>
    </row>
    <row r="20" spans="1:8" ht="22.5" x14ac:dyDescent="0.55000000000000004">
      <c r="A20" s="1078">
        <v>19</v>
      </c>
      <c r="B20" s="1078">
        <v>1110062</v>
      </c>
      <c r="C20" s="1078" t="s">
        <v>7469</v>
      </c>
      <c r="D20" s="1078">
        <v>34250</v>
      </c>
      <c r="E20" s="1078">
        <v>1</v>
      </c>
      <c r="F20" s="1078">
        <v>40000</v>
      </c>
      <c r="G20" s="1078">
        <v>5750</v>
      </c>
      <c r="H20" s="1078" t="s">
        <v>933</v>
      </c>
    </row>
    <row r="21" spans="1:8" ht="22.5" x14ac:dyDescent="0.55000000000000004">
      <c r="A21" s="1078">
        <v>20</v>
      </c>
      <c r="B21" s="1078">
        <v>1110071</v>
      </c>
      <c r="C21" s="1078" t="s">
        <v>6904</v>
      </c>
      <c r="D21" s="1078">
        <v>5800</v>
      </c>
      <c r="E21" s="1078">
        <v>2</v>
      </c>
      <c r="F21" s="1078">
        <v>8000</v>
      </c>
      <c r="G21" s="1078">
        <v>2200</v>
      </c>
      <c r="H21" s="1078" t="s">
        <v>1397</v>
      </c>
    </row>
    <row r="22" spans="1:8" ht="22.5" x14ac:dyDescent="0.55000000000000004">
      <c r="A22" s="1078">
        <v>21</v>
      </c>
      <c r="B22" s="1078">
        <v>1110074</v>
      </c>
      <c r="C22" s="1078" t="s">
        <v>6241</v>
      </c>
      <c r="D22" s="1078">
        <v>735</v>
      </c>
      <c r="E22" s="1078">
        <v>1</v>
      </c>
      <c r="F22" s="1078">
        <v>1200</v>
      </c>
      <c r="G22" s="1078">
        <v>465</v>
      </c>
      <c r="H22" s="1078" t="s">
        <v>1397</v>
      </c>
    </row>
    <row r="23" spans="1:8" ht="22.5" x14ac:dyDescent="0.55000000000000004">
      <c r="A23" s="1078">
        <v>22</v>
      </c>
      <c r="B23" s="1078">
        <v>1110080</v>
      </c>
      <c r="C23" s="1078" t="s">
        <v>8351</v>
      </c>
      <c r="D23" s="1078">
        <v>5800</v>
      </c>
      <c r="E23" s="1078">
        <v>1</v>
      </c>
      <c r="F23" s="1078">
        <v>7500</v>
      </c>
      <c r="G23" s="1078">
        <v>1700</v>
      </c>
      <c r="H23" s="1078" t="s">
        <v>1397</v>
      </c>
    </row>
    <row r="24" spans="1:8" ht="22.5" x14ac:dyDescent="0.55000000000000004">
      <c r="A24" s="1078">
        <v>23</v>
      </c>
      <c r="B24" s="1078">
        <v>1110089</v>
      </c>
      <c r="C24" s="1078" t="s">
        <v>8354</v>
      </c>
      <c r="D24" s="1078">
        <v>850</v>
      </c>
      <c r="E24" s="1078">
        <v>1</v>
      </c>
      <c r="F24" s="1078">
        <v>1500</v>
      </c>
      <c r="G24" s="1078">
        <v>650</v>
      </c>
      <c r="H24" s="1078" t="s">
        <v>1397</v>
      </c>
    </row>
    <row r="25" spans="1:8" ht="22.5" x14ac:dyDescent="0.55000000000000004">
      <c r="A25" s="1078">
        <v>24</v>
      </c>
      <c r="B25" s="1078">
        <v>1110093</v>
      </c>
      <c r="C25" s="1078" t="s">
        <v>8224</v>
      </c>
      <c r="D25" s="1078">
        <v>1575</v>
      </c>
      <c r="E25" s="1078">
        <v>1</v>
      </c>
      <c r="F25" s="1078">
        <v>2200</v>
      </c>
      <c r="G25" s="1078">
        <v>625</v>
      </c>
      <c r="H25" s="1078" t="s">
        <v>933</v>
      </c>
    </row>
    <row r="26" spans="1:8" ht="22.5" x14ac:dyDescent="0.55000000000000004">
      <c r="A26" s="1078">
        <v>25</v>
      </c>
      <c r="B26" s="1078">
        <v>1110094</v>
      </c>
      <c r="C26" s="1078" t="s">
        <v>2533</v>
      </c>
      <c r="D26" s="1078">
        <v>850</v>
      </c>
      <c r="E26" s="1078">
        <v>1</v>
      </c>
      <c r="F26" s="1078">
        <v>1500</v>
      </c>
      <c r="G26" s="1078">
        <v>650</v>
      </c>
      <c r="H26" s="1078" t="s">
        <v>933</v>
      </c>
    </row>
    <row r="27" spans="1:8" ht="22.5" x14ac:dyDescent="0.55000000000000004">
      <c r="A27" s="1078">
        <v>26</v>
      </c>
      <c r="B27" s="1078">
        <v>1110099</v>
      </c>
      <c r="C27" s="1078" t="s">
        <v>3511</v>
      </c>
      <c r="D27" s="1078">
        <v>300</v>
      </c>
      <c r="E27" s="1078">
        <v>1</v>
      </c>
      <c r="F27" s="1078">
        <v>700</v>
      </c>
      <c r="G27" s="1078">
        <v>400</v>
      </c>
      <c r="H27" s="1078" t="s">
        <v>933</v>
      </c>
    </row>
    <row r="28" spans="1:8" ht="22.5" x14ac:dyDescent="0.55000000000000004">
      <c r="A28" s="1078">
        <v>27</v>
      </c>
      <c r="B28" s="1078">
        <v>1110113</v>
      </c>
      <c r="C28" s="1078" t="s">
        <v>7303</v>
      </c>
      <c r="D28" s="1078">
        <v>44500</v>
      </c>
      <c r="E28" s="1078">
        <v>1</v>
      </c>
      <c r="F28" s="1078">
        <v>49500</v>
      </c>
      <c r="G28" s="1078">
        <v>5000</v>
      </c>
      <c r="H28" s="1078" t="s">
        <v>1397</v>
      </c>
    </row>
    <row r="29" spans="1:8" ht="22.5" x14ac:dyDescent="0.55000000000000004">
      <c r="A29" s="1078">
        <v>28</v>
      </c>
      <c r="B29" s="1078">
        <v>1110119</v>
      </c>
      <c r="C29" s="1078" t="s">
        <v>3520</v>
      </c>
      <c r="D29" s="1078">
        <v>793</v>
      </c>
      <c r="E29" s="1078">
        <v>1</v>
      </c>
      <c r="F29" s="1078">
        <v>2000</v>
      </c>
      <c r="G29" s="1078">
        <v>1207</v>
      </c>
      <c r="H29" s="1078" t="s">
        <v>1397</v>
      </c>
    </row>
    <row r="30" spans="1:8" ht="22.5" x14ac:dyDescent="0.55000000000000004">
      <c r="A30" s="1078">
        <v>29</v>
      </c>
      <c r="B30" s="1078">
        <v>1110120</v>
      </c>
      <c r="C30" s="1078" t="s">
        <v>3305</v>
      </c>
      <c r="D30" s="1078">
        <v>2928</v>
      </c>
      <c r="E30" s="1078">
        <v>3</v>
      </c>
      <c r="F30" s="1078">
        <v>7000</v>
      </c>
      <c r="G30" s="1078">
        <v>4072</v>
      </c>
      <c r="H30" s="1078" t="s">
        <v>1397</v>
      </c>
    </row>
    <row r="31" spans="1:8" ht="22.5" x14ac:dyDescent="0.55000000000000004">
      <c r="A31" s="1078">
        <v>30</v>
      </c>
      <c r="B31" s="1078">
        <v>1110121</v>
      </c>
      <c r="C31" s="1078" t="s">
        <v>3306</v>
      </c>
      <c r="D31" s="1078">
        <v>750</v>
      </c>
      <c r="E31" s="1078">
        <v>1</v>
      </c>
      <c r="F31" s="1078">
        <v>1500</v>
      </c>
      <c r="G31" s="1078">
        <v>750</v>
      </c>
      <c r="H31" s="1078" t="s">
        <v>1397</v>
      </c>
    </row>
    <row r="32" spans="1:8" ht="22.5" x14ac:dyDescent="0.55000000000000004">
      <c r="A32" s="1078">
        <v>31</v>
      </c>
      <c r="B32" s="1078">
        <v>1110122</v>
      </c>
      <c r="C32" s="1078" t="s">
        <v>3307</v>
      </c>
      <c r="D32" s="1078">
        <v>1500</v>
      </c>
      <c r="E32" s="1078">
        <v>2</v>
      </c>
      <c r="F32" s="1078">
        <v>3000</v>
      </c>
      <c r="G32" s="1078">
        <v>1500</v>
      </c>
      <c r="H32" s="1078" t="s">
        <v>1397</v>
      </c>
    </row>
    <row r="33" spans="1:8" ht="22.5" x14ac:dyDescent="0.55000000000000004">
      <c r="A33" s="1078">
        <v>32</v>
      </c>
      <c r="B33" s="1078">
        <v>1110127</v>
      </c>
      <c r="C33" s="1078" t="s">
        <v>3308</v>
      </c>
      <c r="D33" s="1078">
        <v>750</v>
      </c>
      <c r="E33" s="1078">
        <v>1</v>
      </c>
      <c r="F33" s="1078">
        <v>1500</v>
      </c>
      <c r="G33" s="1078">
        <v>750</v>
      </c>
      <c r="H33" s="1078" t="s">
        <v>1397</v>
      </c>
    </row>
    <row r="34" spans="1:8" ht="22.5" x14ac:dyDescent="0.55000000000000004">
      <c r="A34" s="1078">
        <v>33</v>
      </c>
      <c r="B34" s="1078">
        <v>1110131</v>
      </c>
      <c r="C34" s="1078" t="s">
        <v>8507</v>
      </c>
      <c r="D34" s="1078">
        <v>5245</v>
      </c>
      <c r="E34" s="1078">
        <v>1</v>
      </c>
      <c r="F34" s="1078">
        <v>7500</v>
      </c>
      <c r="G34" s="1078">
        <v>2255</v>
      </c>
      <c r="H34" s="1078" t="s">
        <v>1397</v>
      </c>
    </row>
    <row r="35" spans="1:8" ht="22.5" x14ac:dyDescent="0.55000000000000004">
      <c r="A35" s="1078">
        <v>34</v>
      </c>
      <c r="B35" s="1078">
        <v>1110133</v>
      </c>
      <c r="C35" s="1078" t="s">
        <v>8225</v>
      </c>
      <c r="D35" s="1078">
        <v>2050</v>
      </c>
      <c r="E35" s="1078">
        <v>1</v>
      </c>
      <c r="F35" s="1078">
        <v>4000</v>
      </c>
      <c r="G35" s="1078">
        <v>1950</v>
      </c>
      <c r="H35" s="1078" t="s">
        <v>1397</v>
      </c>
    </row>
    <row r="36" spans="1:8" ht="22.5" x14ac:dyDescent="0.55000000000000004">
      <c r="A36" s="1078">
        <v>35</v>
      </c>
      <c r="B36" s="1078">
        <v>1110134</v>
      </c>
      <c r="C36" s="1078" t="s">
        <v>3210</v>
      </c>
      <c r="D36" s="1078">
        <v>750</v>
      </c>
      <c r="E36" s="1078">
        <v>1</v>
      </c>
      <c r="F36" s="1078">
        <v>1800</v>
      </c>
      <c r="G36" s="1078">
        <v>1050</v>
      </c>
      <c r="H36" s="1078" t="s">
        <v>1397</v>
      </c>
    </row>
    <row r="37" spans="1:8" ht="22.5" x14ac:dyDescent="0.55000000000000004">
      <c r="A37" s="1078">
        <v>36</v>
      </c>
      <c r="B37" s="1078">
        <v>1110135</v>
      </c>
      <c r="C37" s="1078" t="s">
        <v>3309</v>
      </c>
      <c r="D37" s="1078">
        <v>450</v>
      </c>
      <c r="E37" s="1078">
        <v>2</v>
      </c>
      <c r="F37" s="1078">
        <v>1000</v>
      </c>
      <c r="G37" s="1078">
        <v>550</v>
      </c>
      <c r="H37" s="1078" t="s">
        <v>1397</v>
      </c>
    </row>
    <row r="38" spans="1:8" ht="22.5" x14ac:dyDescent="0.55000000000000004">
      <c r="A38" s="1078">
        <v>37</v>
      </c>
      <c r="B38" s="1078">
        <v>1110145</v>
      </c>
      <c r="C38" s="1078" t="s">
        <v>6907</v>
      </c>
      <c r="D38" s="1078">
        <v>6600</v>
      </c>
      <c r="E38" s="1078">
        <v>1</v>
      </c>
      <c r="F38" s="1078">
        <v>10000</v>
      </c>
      <c r="G38" s="1078">
        <v>3400</v>
      </c>
      <c r="H38" s="1078" t="s">
        <v>1397</v>
      </c>
    </row>
    <row r="39" spans="1:8" ht="22.5" x14ac:dyDescent="0.55000000000000004">
      <c r="A39" s="1078">
        <v>38</v>
      </c>
      <c r="B39" s="1078">
        <v>1110147</v>
      </c>
      <c r="C39" s="1078" t="s">
        <v>7885</v>
      </c>
      <c r="D39" s="1078">
        <v>1750</v>
      </c>
      <c r="E39" s="1078">
        <v>1</v>
      </c>
      <c r="F39" s="1078">
        <v>2500</v>
      </c>
      <c r="G39" s="1078">
        <v>750</v>
      </c>
      <c r="H39" s="1078" t="s">
        <v>1397</v>
      </c>
    </row>
    <row r="40" spans="1:8" ht="22.5" x14ac:dyDescent="0.55000000000000004">
      <c r="A40" s="1078">
        <v>39</v>
      </c>
      <c r="B40" s="1078">
        <v>1110152</v>
      </c>
      <c r="C40" s="1078" t="s">
        <v>7976</v>
      </c>
      <c r="D40" s="1078">
        <v>9000</v>
      </c>
      <c r="E40" s="1078">
        <v>1</v>
      </c>
      <c r="F40" s="1078">
        <v>12000</v>
      </c>
      <c r="G40" s="1078">
        <v>3000</v>
      </c>
      <c r="H40" s="1078" t="s">
        <v>1397</v>
      </c>
    </row>
    <row r="41" spans="1:8" ht="22.5" x14ac:dyDescent="0.55000000000000004">
      <c r="A41" s="1078">
        <v>40</v>
      </c>
      <c r="B41" s="1078">
        <v>1110156</v>
      </c>
      <c r="C41" s="1078" t="s">
        <v>8361</v>
      </c>
      <c r="D41" s="1078">
        <v>44389</v>
      </c>
      <c r="E41" s="1078">
        <v>1</v>
      </c>
      <c r="F41" s="1078">
        <v>49500</v>
      </c>
      <c r="G41" s="1078">
        <v>5111</v>
      </c>
      <c r="H41" s="1078" t="s">
        <v>933</v>
      </c>
    </row>
    <row r="42" spans="1:8" ht="22.5" x14ac:dyDescent="0.55000000000000004">
      <c r="A42" s="1078">
        <v>41</v>
      </c>
      <c r="B42" s="1078">
        <v>1110157</v>
      </c>
      <c r="C42" s="1078" t="s">
        <v>8227</v>
      </c>
      <c r="D42" s="1078">
        <v>2832</v>
      </c>
      <c r="E42" s="1078">
        <v>2</v>
      </c>
      <c r="F42" s="1078">
        <v>4000</v>
      </c>
      <c r="G42" s="1078">
        <v>1168</v>
      </c>
      <c r="H42" s="1078" t="s">
        <v>933</v>
      </c>
    </row>
    <row r="43" spans="1:8" ht="22.5" x14ac:dyDescent="0.55000000000000004">
      <c r="A43" s="1078">
        <v>42</v>
      </c>
      <c r="B43" s="1078">
        <v>1110158</v>
      </c>
      <c r="C43" s="1078" t="s">
        <v>8228</v>
      </c>
      <c r="D43" s="1078">
        <v>1171</v>
      </c>
      <c r="E43" s="1078">
        <v>1</v>
      </c>
      <c r="F43" s="1078">
        <v>2000</v>
      </c>
      <c r="G43" s="1078">
        <v>829</v>
      </c>
      <c r="H43" s="1078" t="s">
        <v>933</v>
      </c>
    </row>
    <row r="44" spans="1:8" ht="22.5" x14ac:dyDescent="0.55000000000000004">
      <c r="A44" s="1078">
        <v>43</v>
      </c>
      <c r="B44" s="1078">
        <v>111016</v>
      </c>
      <c r="C44" s="1078" t="s">
        <v>2994</v>
      </c>
      <c r="D44" s="1078">
        <v>6200</v>
      </c>
      <c r="E44" s="1078">
        <v>2</v>
      </c>
      <c r="F44" s="1078">
        <v>11500</v>
      </c>
      <c r="G44" s="1078">
        <v>5300</v>
      </c>
      <c r="H44" s="1078" t="s">
        <v>1397</v>
      </c>
    </row>
    <row r="45" spans="1:8" ht="22.5" x14ac:dyDescent="0.55000000000000004">
      <c r="A45" s="1078">
        <v>44</v>
      </c>
      <c r="B45" s="1078">
        <v>111018</v>
      </c>
      <c r="C45" s="1078" t="s">
        <v>3535</v>
      </c>
      <c r="D45" s="1078">
        <v>3310</v>
      </c>
      <c r="E45" s="1078">
        <v>2</v>
      </c>
      <c r="F45" s="1078">
        <v>5000</v>
      </c>
      <c r="G45" s="1078">
        <v>1690</v>
      </c>
      <c r="H45" s="1078" t="s">
        <v>1397</v>
      </c>
    </row>
    <row r="46" spans="1:8" ht="22.5" x14ac:dyDescent="0.55000000000000004">
      <c r="A46" s="1078">
        <v>45</v>
      </c>
      <c r="B46" s="1078">
        <v>1115001</v>
      </c>
      <c r="C46" s="1078" t="s">
        <v>8508</v>
      </c>
      <c r="D46" s="1078">
        <v>800</v>
      </c>
      <c r="E46" s="1078">
        <v>1</v>
      </c>
      <c r="F46" s="1078">
        <v>1700</v>
      </c>
      <c r="G46" s="1078">
        <v>900</v>
      </c>
      <c r="H46" s="1078" t="s">
        <v>1397</v>
      </c>
    </row>
    <row r="47" spans="1:8" ht="22.5" x14ac:dyDescent="0.55000000000000004">
      <c r="A47" s="1078">
        <v>46</v>
      </c>
      <c r="B47" s="1078">
        <v>11410114</v>
      </c>
      <c r="C47" s="1078" t="s">
        <v>3093</v>
      </c>
      <c r="D47" s="1078">
        <v>390</v>
      </c>
      <c r="E47" s="1078">
        <v>1</v>
      </c>
      <c r="F47" s="1078">
        <v>1000</v>
      </c>
      <c r="G47" s="1078">
        <v>610</v>
      </c>
      <c r="H47" s="1078" t="s">
        <v>1397</v>
      </c>
    </row>
    <row r="48" spans="1:8" ht="22.5" x14ac:dyDescent="0.55000000000000004">
      <c r="A48" s="1078">
        <v>47</v>
      </c>
      <c r="B48" s="1078">
        <v>195001</v>
      </c>
      <c r="C48" s="1078" t="s">
        <v>1404</v>
      </c>
      <c r="D48" s="1078">
        <v>220</v>
      </c>
      <c r="E48" s="1078">
        <v>1</v>
      </c>
      <c r="F48" s="1078">
        <v>700</v>
      </c>
      <c r="G48" s="1078">
        <v>480</v>
      </c>
      <c r="H48" s="1078" t="s">
        <v>1397</v>
      </c>
    </row>
    <row r="49" spans="1:8" ht="22.5" x14ac:dyDescent="0.55000000000000004">
      <c r="A49" s="1078">
        <v>48</v>
      </c>
      <c r="B49" s="1078">
        <v>195004</v>
      </c>
      <c r="C49" s="1078" t="s">
        <v>1406</v>
      </c>
      <c r="D49" s="1078">
        <v>14900</v>
      </c>
      <c r="E49" s="1078">
        <v>2</v>
      </c>
      <c r="F49" s="1078">
        <v>30000</v>
      </c>
      <c r="G49" s="1078">
        <v>15100</v>
      </c>
      <c r="H49" s="1078" t="s">
        <v>1397</v>
      </c>
    </row>
    <row r="50" spans="1:8" ht="22.5" x14ac:dyDescent="0.55000000000000004">
      <c r="A50" s="1078">
        <v>49</v>
      </c>
      <c r="B50" s="1078" t="s">
        <v>3564</v>
      </c>
      <c r="C50" s="1078" t="s">
        <v>3565</v>
      </c>
      <c r="D50" s="1078">
        <v>1800</v>
      </c>
      <c r="E50" s="1078">
        <v>1</v>
      </c>
      <c r="F50" s="1078">
        <v>3000</v>
      </c>
      <c r="G50" s="1078">
        <v>1200</v>
      </c>
      <c r="H50" s="1078" t="s">
        <v>2470</v>
      </c>
    </row>
    <row r="51" spans="1:8" ht="22.5" x14ac:dyDescent="0.55000000000000004">
      <c r="A51" s="1078">
        <v>50</v>
      </c>
      <c r="B51" s="1078" t="s">
        <v>2471</v>
      </c>
      <c r="C51" s="1078" t="s">
        <v>2999</v>
      </c>
      <c r="D51" s="1078">
        <v>9000</v>
      </c>
      <c r="E51" s="1078">
        <v>6</v>
      </c>
      <c r="F51" s="1078">
        <v>12000</v>
      </c>
      <c r="G51" s="1078">
        <v>3000</v>
      </c>
      <c r="H51" s="1078" t="s">
        <v>1397</v>
      </c>
    </row>
    <row r="52" spans="1:8" ht="22.5" x14ac:dyDescent="0.55000000000000004">
      <c r="A52" s="1078">
        <v>51</v>
      </c>
      <c r="B52" s="1078" t="s">
        <v>7473</v>
      </c>
      <c r="C52" s="1078" t="s">
        <v>7474</v>
      </c>
      <c r="D52" s="1078">
        <v>6200</v>
      </c>
      <c r="E52" s="1078">
        <v>4</v>
      </c>
      <c r="F52" s="1078">
        <v>8000</v>
      </c>
      <c r="G52" s="1078">
        <v>1800</v>
      </c>
      <c r="H52" s="1078" t="s">
        <v>1397</v>
      </c>
    </row>
    <row r="53" spans="1:8" ht="22.5" x14ac:dyDescent="0.55000000000000004">
      <c r="A53" s="1078">
        <v>52</v>
      </c>
      <c r="B53" s="1078" t="s">
        <v>3391</v>
      </c>
      <c r="C53" s="1078" t="s">
        <v>3136</v>
      </c>
      <c r="D53" s="1078">
        <v>4200</v>
      </c>
      <c r="E53" s="1078">
        <v>2</v>
      </c>
      <c r="F53" s="1078">
        <v>6000</v>
      </c>
      <c r="G53" s="1078">
        <v>1800</v>
      </c>
      <c r="H53" s="1078" t="s">
        <v>1397</v>
      </c>
    </row>
    <row r="54" spans="1:8" ht="22.5" x14ac:dyDescent="0.55000000000000004">
      <c r="A54" s="1078">
        <v>53</v>
      </c>
      <c r="B54" s="1078" t="s">
        <v>6411</v>
      </c>
      <c r="C54" s="1078" t="s">
        <v>6412</v>
      </c>
      <c r="D54" s="1078">
        <v>51750</v>
      </c>
      <c r="E54" s="1078">
        <v>29</v>
      </c>
      <c r="F54" s="1078">
        <v>71300</v>
      </c>
      <c r="G54" s="1078">
        <v>19550</v>
      </c>
      <c r="H54" s="1078" t="s">
        <v>1397</v>
      </c>
    </row>
    <row r="55" spans="1:8" ht="22.5" x14ac:dyDescent="0.55000000000000004">
      <c r="A55" s="1078">
        <v>54</v>
      </c>
      <c r="B55" s="1078" t="s">
        <v>6320</v>
      </c>
      <c r="C55" s="1078" t="s">
        <v>6321</v>
      </c>
      <c r="D55" s="1078">
        <v>4650</v>
      </c>
      <c r="E55" s="1078">
        <v>3</v>
      </c>
      <c r="F55" s="1078">
        <v>6000</v>
      </c>
      <c r="G55" s="1078">
        <v>1350</v>
      </c>
      <c r="H55" s="1078" t="s">
        <v>1397</v>
      </c>
    </row>
    <row r="56" spans="1:8" ht="22.5" x14ac:dyDescent="0.55000000000000004">
      <c r="A56" s="1078">
        <v>55</v>
      </c>
      <c r="B56" s="1078" t="s">
        <v>3211</v>
      </c>
      <c r="C56" s="1078" t="s">
        <v>8509</v>
      </c>
      <c r="D56" s="1078">
        <v>11450</v>
      </c>
      <c r="E56" s="1078">
        <v>2</v>
      </c>
      <c r="F56" s="1078">
        <v>16000</v>
      </c>
      <c r="G56" s="1078">
        <v>4550</v>
      </c>
      <c r="H56" s="1078" t="s">
        <v>1397</v>
      </c>
    </row>
    <row r="57" spans="1:8" ht="22.5" x14ac:dyDescent="0.55000000000000004">
      <c r="A57" s="1078">
        <v>56</v>
      </c>
      <c r="B57" s="1078" t="s">
        <v>6626</v>
      </c>
      <c r="C57" s="1078" t="s">
        <v>8230</v>
      </c>
      <c r="D57" s="1078">
        <v>67300</v>
      </c>
      <c r="E57" s="1078">
        <v>16</v>
      </c>
      <c r="F57" s="1078">
        <v>74000</v>
      </c>
      <c r="G57" s="1078">
        <v>6700</v>
      </c>
      <c r="H57" s="1078" t="s">
        <v>1397</v>
      </c>
    </row>
    <row r="58" spans="1:8" ht="22.5" x14ac:dyDescent="0.55000000000000004">
      <c r="A58" s="1078">
        <v>57</v>
      </c>
      <c r="B58" s="1078" t="s">
        <v>7304</v>
      </c>
      <c r="C58" s="1078" t="s">
        <v>7305</v>
      </c>
      <c r="D58" s="1078">
        <v>5550</v>
      </c>
      <c r="E58" s="1078">
        <v>2</v>
      </c>
      <c r="F58" s="1078">
        <v>6400</v>
      </c>
      <c r="G58" s="1078">
        <v>850</v>
      </c>
      <c r="H58" s="1078" t="s">
        <v>1397</v>
      </c>
    </row>
    <row r="59" spans="1:8" ht="22.5" x14ac:dyDescent="0.55000000000000004">
      <c r="A59" s="1078">
        <v>58</v>
      </c>
      <c r="B59" s="1078" t="s">
        <v>3582</v>
      </c>
      <c r="C59" s="1078" t="s">
        <v>3583</v>
      </c>
      <c r="D59" s="1078">
        <v>1500</v>
      </c>
      <c r="E59" s="1078">
        <v>1</v>
      </c>
      <c r="F59" s="1078">
        <v>2000</v>
      </c>
      <c r="G59" s="1078">
        <v>500</v>
      </c>
      <c r="H59" s="1078" t="s">
        <v>1397</v>
      </c>
    </row>
    <row r="60" spans="1:8" ht="22.5" x14ac:dyDescent="0.55000000000000004">
      <c r="A60" s="1078">
        <v>59</v>
      </c>
      <c r="B60" s="1078" t="s">
        <v>7306</v>
      </c>
      <c r="C60" s="1078" t="s">
        <v>7307</v>
      </c>
      <c r="D60" s="1078">
        <v>9000</v>
      </c>
      <c r="E60" s="1078">
        <v>2</v>
      </c>
      <c r="F60" s="1078">
        <v>11000</v>
      </c>
      <c r="G60" s="1078">
        <v>2000</v>
      </c>
      <c r="H60" s="1078" t="s">
        <v>1397</v>
      </c>
    </row>
    <row r="61" spans="1:8" ht="22.5" x14ac:dyDescent="0.55000000000000004">
      <c r="A61" s="1078">
        <v>60</v>
      </c>
      <c r="B61" s="1078" t="s">
        <v>7886</v>
      </c>
      <c r="C61" s="1078" t="s">
        <v>7887</v>
      </c>
      <c r="D61" s="1078">
        <v>42900</v>
      </c>
      <c r="E61" s="1078">
        <v>26</v>
      </c>
      <c r="F61" s="1078">
        <v>54100</v>
      </c>
      <c r="G61" s="1078">
        <v>11200</v>
      </c>
      <c r="H61" s="1078" t="s">
        <v>1397</v>
      </c>
    </row>
    <row r="62" spans="1:8" ht="22.5" x14ac:dyDescent="0.55000000000000004">
      <c r="A62" s="1078">
        <v>61</v>
      </c>
      <c r="B62" s="1078" t="s">
        <v>7977</v>
      </c>
      <c r="C62" s="1079" t="s">
        <v>7978</v>
      </c>
      <c r="D62" s="1078">
        <v>4900</v>
      </c>
      <c r="E62" s="1078">
        <v>2</v>
      </c>
      <c r="F62" s="1078">
        <v>7000</v>
      </c>
      <c r="G62" s="1078">
        <v>2100</v>
      </c>
      <c r="H62" s="1078" t="s">
        <v>1397</v>
      </c>
    </row>
    <row r="63" spans="1:8" ht="22.5" x14ac:dyDescent="0.55000000000000004">
      <c r="A63" s="1078">
        <v>62</v>
      </c>
      <c r="B63" s="1078" t="s">
        <v>3588</v>
      </c>
      <c r="C63" s="1078" t="s">
        <v>3589</v>
      </c>
      <c r="D63" s="1078">
        <v>7900</v>
      </c>
      <c r="E63" s="1078">
        <v>2</v>
      </c>
      <c r="F63" s="1078">
        <v>12000</v>
      </c>
      <c r="G63" s="1078">
        <v>4100</v>
      </c>
      <c r="H63" s="1078" t="s">
        <v>1397</v>
      </c>
    </row>
    <row r="64" spans="1:8" ht="22.5" x14ac:dyDescent="0.55000000000000004">
      <c r="A64" s="1078">
        <v>63</v>
      </c>
      <c r="B64" s="1078" t="s">
        <v>7979</v>
      </c>
      <c r="C64" s="1079" t="s">
        <v>7980</v>
      </c>
      <c r="D64" s="1078">
        <v>2450</v>
      </c>
      <c r="E64" s="1078">
        <v>1</v>
      </c>
      <c r="F64" s="1078">
        <v>3200</v>
      </c>
      <c r="G64" s="1078">
        <v>750</v>
      </c>
      <c r="H64" s="1078" t="s">
        <v>1397</v>
      </c>
    </row>
    <row r="65" spans="1:8" ht="22.5" x14ac:dyDescent="0.55000000000000004">
      <c r="A65" s="1078">
        <v>64</v>
      </c>
      <c r="B65" s="1078" t="s">
        <v>6910</v>
      </c>
      <c r="C65" s="1078" t="s">
        <v>6911</v>
      </c>
      <c r="D65" s="1078">
        <v>1458</v>
      </c>
      <c r="E65" s="1078">
        <v>1</v>
      </c>
      <c r="F65" s="1078">
        <v>2000</v>
      </c>
      <c r="G65" s="1078">
        <v>542</v>
      </c>
      <c r="H65" s="1078" t="s">
        <v>1397</v>
      </c>
    </row>
    <row r="66" spans="1:8" ht="22.5" x14ac:dyDescent="0.55000000000000004">
      <c r="A66" s="1078">
        <v>65</v>
      </c>
      <c r="B66" s="1078" t="s">
        <v>6778</v>
      </c>
      <c r="C66" s="1078" t="s">
        <v>6779</v>
      </c>
      <c r="D66" s="1078">
        <v>14256</v>
      </c>
      <c r="E66" s="1078">
        <v>4</v>
      </c>
      <c r="F66" s="1078">
        <v>20000</v>
      </c>
      <c r="G66" s="1078">
        <v>5744</v>
      </c>
      <c r="H66" s="1078" t="s">
        <v>1397</v>
      </c>
    </row>
    <row r="67" spans="1:8" ht="22.5" x14ac:dyDescent="0.55000000000000004">
      <c r="A67" s="1078">
        <v>66</v>
      </c>
      <c r="B67" s="1078" t="s">
        <v>6912</v>
      </c>
      <c r="C67" s="1078" t="s">
        <v>6913</v>
      </c>
      <c r="D67" s="1078">
        <v>5562</v>
      </c>
      <c r="E67" s="1078">
        <v>1</v>
      </c>
      <c r="F67" s="1078">
        <v>7000</v>
      </c>
      <c r="G67" s="1078">
        <v>1438</v>
      </c>
      <c r="H67" s="1078" t="s">
        <v>1397</v>
      </c>
    </row>
    <row r="68" spans="1:8" ht="22.5" x14ac:dyDescent="0.55000000000000004">
      <c r="A68" s="1078">
        <v>67</v>
      </c>
      <c r="B68" s="1078" t="s">
        <v>6780</v>
      </c>
      <c r="C68" s="1078" t="s">
        <v>6781</v>
      </c>
      <c r="D68" s="1078">
        <v>25920</v>
      </c>
      <c r="E68" s="1078">
        <v>4</v>
      </c>
      <c r="F68" s="1078">
        <v>32000</v>
      </c>
      <c r="G68" s="1078">
        <v>6080</v>
      </c>
      <c r="H68" s="1078" t="s">
        <v>1397</v>
      </c>
    </row>
    <row r="69" spans="1:8" ht="22.5" x14ac:dyDescent="0.55000000000000004">
      <c r="A69" s="1078">
        <v>68</v>
      </c>
      <c r="B69" s="1078" t="s">
        <v>6782</v>
      </c>
      <c r="C69" s="1078" t="s">
        <v>6783</v>
      </c>
      <c r="D69" s="1078">
        <v>1384</v>
      </c>
      <c r="E69" s="1078">
        <v>2</v>
      </c>
      <c r="F69" s="1078">
        <v>2000</v>
      </c>
      <c r="G69" s="1078">
        <v>616</v>
      </c>
      <c r="H69" s="1078" t="s">
        <v>1397</v>
      </c>
    </row>
    <row r="70" spans="1:8" ht="22.5" x14ac:dyDescent="0.55000000000000004">
      <c r="A70" s="1078">
        <v>69</v>
      </c>
      <c r="B70" s="1078" t="s">
        <v>6920</v>
      </c>
      <c r="C70" s="1078" t="s">
        <v>6921</v>
      </c>
      <c r="D70" s="1078">
        <v>105840</v>
      </c>
      <c r="E70" s="1078">
        <v>1</v>
      </c>
      <c r="F70" s="1078">
        <v>123000</v>
      </c>
      <c r="G70" s="1078">
        <v>17160</v>
      </c>
      <c r="H70" s="1078" t="s">
        <v>1397</v>
      </c>
    </row>
    <row r="71" spans="1:8" ht="22.5" x14ac:dyDescent="0.55000000000000004">
      <c r="A71" s="1078">
        <v>70</v>
      </c>
      <c r="B71" s="1078" t="s">
        <v>6922</v>
      </c>
      <c r="C71" s="1078" t="s">
        <v>6923</v>
      </c>
      <c r="D71" s="1078">
        <v>120246</v>
      </c>
      <c r="E71" s="1078">
        <v>1</v>
      </c>
      <c r="F71" s="1078">
        <v>134000</v>
      </c>
      <c r="G71" s="1078">
        <v>13754</v>
      </c>
      <c r="H71" s="1078" t="s">
        <v>1397</v>
      </c>
    </row>
    <row r="72" spans="1:8" ht="22.5" x14ac:dyDescent="0.55000000000000004">
      <c r="A72" s="1078">
        <v>71</v>
      </c>
      <c r="B72" s="1078" t="s">
        <v>6930</v>
      </c>
      <c r="C72" s="1078" t="s">
        <v>6931</v>
      </c>
      <c r="D72" s="1078">
        <v>50825</v>
      </c>
      <c r="E72" s="1078">
        <v>1</v>
      </c>
      <c r="F72" s="1078">
        <v>60000</v>
      </c>
      <c r="G72" s="1078">
        <v>9175</v>
      </c>
      <c r="H72" s="1078" t="s">
        <v>1397</v>
      </c>
    </row>
    <row r="73" spans="1:8" ht="22.5" x14ac:dyDescent="0.55000000000000004">
      <c r="A73" s="1078">
        <v>72</v>
      </c>
      <c r="B73" s="1078" t="s">
        <v>6932</v>
      </c>
      <c r="C73" s="1078" t="s">
        <v>8232</v>
      </c>
      <c r="D73" s="1078">
        <v>162500</v>
      </c>
      <c r="E73" s="1078">
        <v>2</v>
      </c>
      <c r="F73" s="1078">
        <v>190000</v>
      </c>
      <c r="G73" s="1078">
        <v>27500</v>
      </c>
      <c r="H73" s="1078" t="s">
        <v>1397</v>
      </c>
    </row>
    <row r="74" spans="1:8" ht="22.5" x14ac:dyDescent="0.55000000000000004">
      <c r="A74" s="1078">
        <v>73</v>
      </c>
      <c r="B74" s="1078" t="s">
        <v>8510</v>
      </c>
      <c r="C74" s="1078" t="s">
        <v>8511</v>
      </c>
      <c r="D74" s="1078">
        <v>283240</v>
      </c>
      <c r="E74" s="1078">
        <v>2</v>
      </c>
      <c r="F74" s="1078">
        <v>324000</v>
      </c>
      <c r="G74" s="1078">
        <v>40760</v>
      </c>
      <c r="H74" s="1078" t="s">
        <v>1397</v>
      </c>
    </row>
    <row r="75" spans="1:8" ht="22.5" x14ac:dyDescent="0.55000000000000004">
      <c r="A75" s="1078">
        <v>74</v>
      </c>
      <c r="B75" s="1078" t="s">
        <v>6933</v>
      </c>
      <c r="C75" s="1078" t="s">
        <v>6934</v>
      </c>
      <c r="D75" s="1078">
        <v>71400</v>
      </c>
      <c r="E75" s="1078">
        <v>2</v>
      </c>
      <c r="F75" s="1078">
        <v>92000</v>
      </c>
      <c r="G75" s="1078">
        <v>20600</v>
      </c>
      <c r="H75" s="1078" t="s">
        <v>1397</v>
      </c>
    </row>
    <row r="76" spans="1:8" ht="22.5" x14ac:dyDescent="0.55000000000000004">
      <c r="A76" s="1078">
        <v>75</v>
      </c>
      <c r="B76" s="1078" t="s">
        <v>8512</v>
      </c>
      <c r="C76" s="1078" t="s">
        <v>8513</v>
      </c>
      <c r="D76" s="1078">
        <v>30000</v>
      </c>
      <c r="E76" s="1078">
        <v>1</v>
      </c>
      <c r="F76" s="1078">
        <v>33000</v>
      </c>
      <c r="G76" s="1078">
        <v>3000</v>
      </c>
      <c r="H76" s="1078" t="s">
        <v>1397</v>
      </c>
    </row>
    <row r="77" spans="1:8" ht="22.5" x14ac:dyDescent="0.55000000000000004">
      <c r="A77" s="1078">
        <v>76</v>
      </c>
      <c r="B77" s="1078" t="s">
        <v>8514</v>
      </c>
      <c r="C77" s="1079" t="s">
        <v>8515</v>
      </c>
      <c r="D77" s="1078">
        <v>70552</v>
      </c>
      <c r="E77" s="1078">
        <v>1</v>
      </c>
      <c r="F77" s="1078">
        <v>85000</v>
      </c>
      <c r="G77" s="1078">
        <v>14448</v>
      </c>
      <c r="H77" s="1078" t="s">
        <v>933</v>
      </c>
    </row>
    <row r="78" spans="1:8" ht="22.5" x14ac:dyDescent="0.55000000000000004">
      <c r="A78" s="1078">
        <v>77</v>
      </c>
      <c r="B78" s="1078" t="s">
        <v>3590</v>
      </c>
      <c r="C78" s="1078" t="s">
        <v>3591</v>
      </c>
      <c r="D78" s="1078">
        <v>7338</v>
      </c>
      <c r="E78" s="1078">
        <v>6</v>
      </c>
      <c r="F78" s="1078">
        <v>13800</v>
      </c>
      <c r="G78" s="1078">
        <v>6462</v>
      </c>
      <c r="H78" s="1078" t="s">
        <v>933</v>
      </c>
    </row>
    <row r="79" spans="1:8" ht="22.5" x14ac:dyDescent="0.55000000000000004">
      <c r="A79" s="1078">
        <v>78</v>
      </c>
      <c r="B79" s="1078" t="s">
        <v>3594</v>
      </c>
      <c r="C79" s="1078" t="s">
        <v>3595</v>
      </c>
      <c r="D79" s="1078">
        <v>7000</v>
      </c>
      <c r="E79" s="1078">
        <v>2</v>
      </c>
      <c r="F79" s="1078">
        <v>13000</v>
      </c>
      <c r="G79" s="1078">
        <v>6000</v>
      </c>
      <c r="H79" s="1078" t="s">
        <v>1397</v>
      </c>
    </row>
    <row r="80" spans="1:8" ht="22.5" x14ac:dyDescent="0.55000000000000004">
      <c r="A80" s="1078">
        <v>79</v>
      </c>
      <c r="B80" s="1078" t="s">
        <v>3599</v>
      </c>
      <c r="C80" s="1078" t="s">
        <v>3600</v>
      </c>
      <c r="D80" s="1078">
        <v>2700</v>
      </c>
      <c r="E80" s="1078">
        <v>1</v>
      </c>
      <c r="F80" s="1078">
        <v>5000</v>
      </c>
      <c r="G80" s="1078">
        <v>2300</v>
      </c>
      <c r="H80" s="1078" t="s">
        <v>933</v>
      </c>
    </row>
    <row r="81" spans="1:8" ht="22.5" x14ac:dyDescent="0.55000000000000004">
      <c r="A81" s="1078">
        <v>80</v>
      </c>
      <c r="B81" s="1078" t="s">
        <v>3603</v>
      </c>
      <c r="C81" s="1078" t="s">
        <v>3604</v>
      </c>
      <c r="D81" s="1078">
        <v>60500</v>
      </c>
      <c r="E81" s="1078">
        <v>1</v>
      </c>
      <c r="F81" s="1078">
        <v>80000</v>
      </c>
      <c r="G81" s="1078">
        <v>19500</v>
      </c>
      <c r="H81" s="1078" t="s">
        <v>933</v>
      </c>
    </row>
    <row r="82" spans="1:8" ht="22.5" x14ac:dyDescent="0.55000000000000004">
      <c r="A82" s="1078">
        <v>81</v>
      </c>
      <c r="B82" s="1078" t="s">
        <v>3399</v>
      </c>
      <c r="C82" s="1078" t="s">
        <v>3400</v>
      </c>
      <c r="D82" s="1078">
        <v>5370</v>
      </c>
      <c r="E82" s="1078">
        <v>1</v>
      </c>
      <c r="F82" s="1078">
        <v>12000</v>
      </c>
      <c r="G82" s="1078">
        <v>6630</v>
      </c>
      <c r="H82" s="1078" t="s">
        <v>1397</v>
      </c>
    </row>
    <row r="83" spans="1:8" ht="22.5" x14ac:dyDescent="0.55000000000000004">
      <c r="A83" s="1078">
        <v>82</v>
      </c>
      <c r="B83" s="1078" t="s">
        <v>6935</v>
      </c>
      <c r="C83" s="1078" t="s">
        <v>8516</v>
      </c>
      <c r="D83" s="1078">
        <v>400</v>
      </c>
      <c r="E83" s="1078">
        <v>1</v>
      </c>
      <c r="F83" s="1078">
        <v>900</v>
      </c>
      <c r="G83" s="1078">
        <v>500</v>
      </c>
      <c r="H83" s="1078" t="s">
        <v>1397</v>
      </c>
    </row>
    <row r="84" spans="1:8" ht="22.5" x14ac:dyDescent="0.55000000000000004">
      <c r="A84" s="1078">
        <v>83</v>
      </c>
      <c r="B84" s="1078" t="s">
        <v>8367</v>
      </c>
      <c r="C84" s="1078" t="s">
        <v>8368</v>
      </c>
      <c r="D84" s="1078">
        <v>5500</v>
      </c>
      <c r="E84" s="1078">
        <v>1</v>
      </c>
      <c r="F84" s="1078">
        <v>8000</v>
      </c>
      <c r="G84" s="1078">
        <v>2500</v>
      </c>
      <c r="H84" s="1078" t="s">
        <v>1397</v>
      </c>
    </row>
    <row r="85" spans="1:8" ht="22.5" x14ac:dyDescent="0.55000000000000004">
      <c r="A85" s="1078">
        <v>84</v>
      </c>
      <c r="B85" s="1078" t="s">
        <v>8369</v>
      </c>
      <c r="C85" s="1078" t="s">
        <v>8370</v>
      </c>
      <c r="D85" s="1078">
        <v>10000</v>
      </c>
      <c r="E85" s="1078">
        <v>1</v>
      </c>
      <c r="F85" s="1078">
        <v>15000</v>
      </c>
      <c r="G85" s="1078">
        <v>5000</v>
      </c>
      <c r="H85" s="1078" t="s">
        <v>1397</v>
      </c>
    </row>
    <row r="86" spans="1:8" ht="22.5" x14ac:dyDescent="0.55000000000000004">
      <c r="A86" s="1078">
        <v>85</v>
      </c>
      <c r="B86" s="1078" t="s">
        <v>3624</v>
      </c>
      <c r="C86" s="1078" t="s">
        <v>3625</v>
      </c>
      <c r="D86" s="1078">
        <v>270</v>
      </c>
      <c r="E86" s="1078">
        <v>6</v>
      </c>
      <c r="F86" s="1078">
        <v>900</v>
      </c>
      <c r="G86" s="1078">
        <v>630</v>
      </c>
      <c r="H86" s="1078" t="s">
        <v>1397</v>
      </c>
    </row>
    <row r="87" spans="1:8" ht="22.5" x14ac:dyDescent="0.55000000000000004">
      <c r="A87" s="1078">
        <v>86</v>
      </c>
      <c r="B87" s="1078" t="s">
        <v>1414</v>
      </c>
      <c r="C87" s="1078" t="s">
        <v>1415</v>
      </c>
      <c r="D87" s="1078">
        <v>230</v>
      </c>
      <c r="E87" s="1078">
        <v>1</v>
      </c>
      <c r="F87" s="1078">
        <v>500</v>
      </c>
      <c r="G87" s="1078">
        <v>270</v>
      </c>
      <c r="H87" s="1078" t="s">
        <v>1397</v>
      </c>
    </row>
    <row r="88" spans="1:8" ht="22.5" x14ac:dyDescent="0.55000000000000004">
      <c r="A88" s="1078">
        <v>87</v>
      </c>
      <c r="B88" s="1078" t="s">
        <v>6629</v>
      </c>
      <c r="C88" s="1079" t="s">
        <v>6630</v>
      </c>
      <c r="D88" s="1078">
        <v>3300</v>
      </c>
      <c r="E88" s="1078">
        <v>1</v>
      </c>
      <c r="F88" s="1078">
        <v>5100</v>
      </c>
      <c r="G88" s="1078">
        <v>1800</v>
      </c>
      <c r="H88" s="1078" t="s">
        <v>1397</v>
      </c>
    </row>
    <row r="89" spans="1:8" ht="22.5" x14ac:dyDescent="0.55000000000000004">
      <c r="A89" s="1078">
        <v>88</v>
      </c>
      <c r="B89" s="1078" t="s">
        <v>3212</v>
      </c>
      <c r="C89" s="1078" t="s">
        <v>3213</v>
      </c>
      <c r="D89" s="1078">
        <v>3300</v>
      </c>
      <c r="E89" s="1078">
        <v>3</v>
      </c>
      <c r="F89" s="1078">
        <v>6000</v>
      </c>
      <c r="G89" s="1078">
        <v>2700</v>
      </c>
      <c r="H89" s="1078" t="s">
        <v>1397</v>
      </c>
    </row>
    <row r="90" spans="1:8" ht="22.5" x14ac:dyDescent="0.55000000000000004">
      <c r="A90" s="1078">
        <v>89</v>
      </c>
      <c r="B90" s="1078" t="s">
        <v>2474</v>
      </c>
      <c r="C90" s="1078" t="s">
        <v>2475</v>
      </c>
      <c r="D90" s="1078">
        <v>1900</v>
      </c>
      <c r="E90" s="1078">
        <v>1</v>
      </c>
      <c r="F90" s="1078">
        <v>2500</v>
      </c>
      <c r="G90" s="1078">
        <v>600</v>
      </c>
      <c r="H90" s="1078" t="s">
        <v>1397</v>
      </c>
    </row>
    <row r="91" spans="1:8" ht="22.5" x14ac:dyDescent="0.55000000000000004">
      <c r="A91" s="1078">
        <v>90</v>
      </c>
      <c r="B91" s="1078" t="s">
        <v>3636</v>
      </c>
      <c r="C91" s="1078" t="s">
        <v>3637</v>
      </c>
      <c r="D91" s="1078">
        <v>1020</v>
      </c>
      <c r="E91" s="1078">
        <v>3</v>
      </c>
      <c r="F91" s="1078">
        <v>2400</v>
      </c>
      <c r="G91" s="1078">
        <v>1380</v>
      </c>
      <c r="H91" s="1078" t="s">
        <v>1397</v>
      </c>
    </row>
    <row r="92" spans="1:8" ht="22.5" x14ac:dyDescent="0.55000000000000004">
      <c r="A92" s="1078">
        <v>91</v>
      </c>
      <c r="B92" s="1078" t="s">
        <v>3643</v>
      </c>
      <c r="C92" s="1078" t="s">
        <v>3644</v>
      </c>
      <c r="D92" s="1078">
        <v>2280</v>
      </c>
      <c r="E92" s="1078">
        <v>1</v>
      </c>
      <c r="F92" s="1078">
        <v>3200</v>
      </c>
      <c r="G92" s="1078">
        <v>920</v>
      </c>
      <c r="H92" s="1078" t="s">
        <v>1397</v>
      </c>
    </row>
    <row r="93" spans="1:8" ht="22.5" x14ac:dyDescent="0.55000000000000004">
      <c r="A93" s="1078">
        <v>92</v>
      </c>
      <c r="B93" s="1078" t="s">
        <v>3645</v>
      </c>
      <c r="C93" s="1078" t="s">
        <v>3646</v>
      </c>
      <c r="D93" s="1078">
        <v>21000</v>
      </c>
      <c r="E93" s="1078">
        <v>3</v>
      </c>
      <c r="F93" s="1078">
        <v>30000</v>
      </c>
      <c r="G93" s="1078">
        <v>9000</v>
      </c>
      <c r="H93" s="1078" t="s">
        <v>1397</v>
      </c>
    </row>
    <row r="94" spans="1:8" ht="22.5" x14ac:dyDescent="0.55000000000000004">
      <c r="A94" s="1078">
        <v>93</v>
      </c>
      <c r="B94" s="1078" t="s">
        <v>3647</v>
      </c>
      <c r="C94" s="1078" t="s">
        <v>7483</v>
      </c>
      <c r="D94" s="1078">
        <v>18000</v>
      </c>
      <c r="E94" s="1078">
        <v>1</v>
      </c>
      <c r="F94" s="1078">
        <v>25000</v>
      </c>
      <c r="G94" s="1078">
        <v>7000</v>
      </c>
      <c r="H94" s="1078" t="s">
        <v>1397</v>
      </c>
    </row>
    <row r="95" spans="1:8" ht="22.5" x14ac:dyDescent="0.55000000000000004">
      <c r="A95" s="1078">
        <v>94</v>
      </c>
      <c r="B95" s="1078" t="s">
        <v>7991</v>
      </c>
      <c r="C95" s="1078" t="s">
        <v>7992</v>
      </c>
      <c r="D95" s="1078">
        <v>8000</v>
      </c>
      <c r="E95" s="1078">
        <v>1</v>
      </c>
      <c r="F95" s="1078">
        <v>11000</v>
      </c>
      <c r="G95" s="1078">
        <v>3000</v>
      </c>
      <c r="H95" s="1078" t="s">
        <v>1397</v>
      </c>
    </row>
    <row r="96" spans="1:8" ht="22.5" x14ac:dyDescent="0.55000000000000004">
      <c r="A96" s="1078">
        <v>95</v>
      </c>
      <c r="B96" s="1078" t="s">
        <v>7994</v>
      </c>
      <c r="C96" s="1078" t="s">
        <v>7995</v>
      </c>
      <c r="D96" s="1078">
        <v>5300</v>
      </c>
      <c r="E96" s="1078">
        <v>1</v>
      </c>
      <c r="F96" s="1078">
        <v>6500</v>
      </c>
      <c r="G96" s="1078">
        <v>1200</v>
      </c>
      <c r="H96" s="1078" t="s">
        <v>1397</v>
      </c>
    </row>
    <row r="97" spans="1:8" ht="22.5" x14ac:dyDescent="0.55000000000000004">
      <c r="A97" s="1078">
        <v>96</v>
      </c>
      <c r="B97" s="1078" t="s">
        <v>2854</v>
      </c>
      <c r="C97" s="1078" t="s">
        <v>2855</v>
      </c>
      <c r="D97" s="1078">
        <v>355</v>
      </c>
      <c r="E97" s="1078">
        <v>1</v>
      </c>
      <c r="F97" s="1078">
        <v>800</v>
      </c>
      <c r="G97" s="1078">
        <v>445</v>
      </c>
      <c r="H97" s="1078" t="s">
        <v>1397</v>
      </c>
    </row>
    <row r="98" spans="1:8" ht="22.5" x14ac:dyDescent="0.55000000000000004">
      <c r="A98" s="1078">
        <v>97</v>
      </c>
      <c r="B98" s="1078" t="s">
        <v>3714</v>
      </c>
      <c r="C98" s="1078" t="s">
        <v>3715</v>
      </c>
      <c r="D98" s="1078">
        <v>840</v>
      </c>
      <c r="E98" s="1078">
        <v>1</v>
      </c>
      <c r="F98" s="1078">
        <v>2000</v>
      </c>
      <c r="G98" s="1078">
        <v>1160</v>
      </c>
      <c r="H98" s="1078" t="s">
        <v>1397</v>
      </c>
    </row>
    <row r="99" spans="1:8" ht="22.5" x14ac:dyDescent="0.55000000000000004">
      <c r="A99" s="1078">
        <v>98</v>
      </c>
      <c r="B99" s="1078" t="s">
        <v>2862</v>
      </c>
      <c r="C99" s="1078" t="s">
        <v>2863</v>
      </c>
      <c r="D99" s="1078">
        <v>80</v>
      </c>
      <c r="E99" s="1078">
        <v>2</v>
      </c>
      <c r="F99" s="1078">
        <v>300</v>
      </c>
      <c r="G99" s="1078">
        <v>220</v>
      </c>
      <c r="H99" s="1078" t="s">
        <v>1397</v>
      </c>
    </row>
    <row r="100" spans="1:8" ht="22.5" x14ac:dyDescent="0.55000000000000004">
      <c r="A100" s="1078">
        <v>99</v>
      </c>
      <c r="B100" s="1078" t="s">
        <v>3719</v>
      </c>
      <c r="C100" s="1078" t="s">
        <v>3720</v>
      </c>
      <c r="D100" s="1078">
        <v>11000</v>
      </c>
      <c r="E100" s="1078">
        <v>2</v>
      </c>
      <c r="F100" s="1078">
        <v>30000</v>
      </c>
      <c r="G100" s="1078">
        <v>19000</v>
      </c>
      <c r="H100" s="1078" t="s">
        <v>1397</v>
      </c>
    </row>
    <row r="101" spans="1:8" ht="22.5" x14ac:dyDescent="0.55000000000000004">
      <c r="A101" s="1078">
        <v>100</v>
      </c>
      <c r="B101" s="1078" t="s">
        <v>3739</v>
      </c>
      <c r="C101" s="1078" t="s">
        <v>3740</v>
      </c>
      <c r="D101" s="1078">
        <v>2476</v>
      </c>
      <c r="E101" s="1078">
        <v>1</v>
      </c>
      <c r="F101" s="1078">
        <v>4800</v>
      </c>
      <c r="G101" s="1078">
        <v>2324</v>
      </c>
      <c r="H101" s="1078" t="s">
        <v>1397</v>
      </c>
    </row>
    <row r="102" spans="1:8" ht="22.5" x14ac:dyDescent="0.55000000000000004">
      <c r="A102" s="1078">
        <v>101</v>
      </c>
      <c r="B102" s="1078" t="s">
        <v>7997</v>
      </c>
      <c r="C102" s="1078" t="s">
        <v>7998</v>
      </c>
      <c r="D102" s="1078">
        <v>132000</v>
      </c>
      <c r="E102" s="1078">
        <v>1</v>
      </c>
      <c r="F102" s="1078">
        <v>160000</v>
      </c>
      <c r="G102" s="1078">
        <v>28000</v>
      </c>
      <c r="H102" s="1078" t="s">
        <v>1397</v>
      </c>
    </row>
    <row r="103" spans="1:8" ht="22.5" x14ac:dyDescent="0.55000000000000004">
      <c r="A103" s="1078">
        <v>102</v>
      </c>
      <c r="B103" s="1078" t="s">
        <v>3745</v>
      </c>
      <c r="C103" s="1078" t="s">
        <v>3746</v>
      </c>
      <c r="D103" s="1078">
        <v>6000</v>
      </c>
      <c r="E103" s="1078">
        <v>1</v>
      </c>
      <c r="F103" s="1078">
        <v>19200</v>
      </c>
      <c r="G103" s="1078">
        <v>13200</v>
      </c>
      <c r="H103" s="1078" t="s">
        <v>1397</v>
      </c>
    </row>
    <row r="104" spans="1:8" ht="22.5" x14ac:dyDescent="0.55000000000000004">
      <c r="A104" s="1078">
        <v>103</v>
      </c>
      <c r="B104" s="1078" t="s">
        <v>3755</v>
      </c>
      <c r="C104" s="1078" t="s">
        <v>8517</v>
      </c>
      <c r="D104" s="1078">
        <v>6000</v>
      </c>
      <c r="E104" s="1078">
        <v>2</v>
      </c>
      <c r="F104" s="1078">
        <v>12000</v>
      </c>
      <c r="G104" s="1078">
        <v>6000</v>
      </c>
      <c r="H104" s="1078" t="s">
        <v>1397</v>
      </c>
    </row>
    <row r="105" spans="1:8" ht="22.5" x14ac:dyDescent="0.55000000000000004">
      <c r="A105" s="1078">
        <v>104</v>
      </c>
      <c r="B105" s="1078" t="s">
        <v>3314</v>
      </c>
      <c r="C105" s="1078" t="s">
        <v>3315</v>
      </c>
      <c r="D105" s="1078">
        <v>11500</v>
      </c>
      <c r="E105" s="1078">
        <v>1</v>
      </c>
      <c r="F105" s="1078">
        <v>24000</v>
      </c>
      <c r="G105" s="1078">
        <v>12500</v>
      </c>
      <c r="H105" s="1078" t="s">
        <v>1397</v>
      </c>
    </row>
    <row r="106" spans="1:8" ht="22.5" x14ac:dyDescent="0.55000000000000004">
      <c r="A106" s="1078">
        <v>105</v>
      </c>
      <c r="B106" s="1078" t="s">
        <v>3408</v>
      </c>
      <c r="C106" s="1078" t="s">
        <v>3409</v>
      </c>
      <c r="D106" s="1078">
        <v>16500</v>
      </c>
      <c r="E106" s="1078">
        <v>1</v>
      </c>
      <c r="F106" s="1078">
        <v>29600</v>
      </c>
      <c r="G106" s="1078">
        <v>13100</v>
      </c>
      <c r="H106" s="1078" t="s">
        <v>1397</v>
      </c>
    </row>
    <row r="107" spans="1:8" ht="22.5" x14ac:dyDescent="0.55000000000000004">
      <c r="A107" s="1078">
        <v>106</v>
      </c>
      <c r="B107" s="1078" t="s">
        <v>3421</v>
      </c>
      <c r="C107" s="1078" t="s">
        <v>3422</v>
      </c>
      <c r="D107" s="1078">
        <v>5100</v>
      </c>
      <c r="E107" s="1078">
        <v>3</v>
      </c>
      <c r="F107" s="1078">
        <v>7500</v>
      </c>
      <c r="G107" s="1078">
        <v>2400</v>
      </c>
      <c r="H107" s="1078" t="s">
        <v>1397</v>
      </c>
    </row>
    <row r="108" spans="1:8" ht="22.5" x14ac:dyDescent="0.55000000000000004">
      <c r="A108" s="1078">
        <v>107</v>
      </c>
      <c r="B108" s="1078" t="s">
        <v>3796</v>
      </c>
      <c r="C108" s="1078" t="s">
        <v>8518</v>
      </c>
      <c r="D108" s="1078">
        <v>48300</v>
      </c>
      <c r="E108" s="1078">
        <v>1</v>
      </c>
      <c r="F108" s="1078">
        <v>86000</v>
      </c>
      <c r="G108" s="1078">
        <v>37700</v>
      </c>
      <c r="H108" s="1078" t="s">
        <v>1397</v>
      </c>
    </row>
    <row r="109" spans="1:8" ht="22.5" x14ac:dyDescent="0.55000000000000004">
      <c r="A109" s="1078">
        <v>108</v>
      </c>
      <c r="B109" s="1078" t="s">
        <v>6379</v>
      </c>
      <c r="C109" s="1078" t="s">
        <v>6380</v>
      </c>
      <c r="D109" s="1078">
        <v>13050</v>
      </c>
      <c r="E109" s="1078">
        <v>5</v>
      </c>
      <c r="F109" s="1078">
        <v>22500</v>
      </c>
      <c r="G109" s="1078">
        <v>9450</v>
      </c>
      <c r="H109" s="1078" t="s">
        <v>1397</v>
      </c>
    </row>
    <row r="110" spans="1:8" ht="22.5" x14ac:dyDescent="0.55000000000000004">
      <c r="A110" s="1078">
        <v>109</v>
      </c>
      <c r="B110" s="1078" t="s">
        <v>3320</v>
      </c>
      <c r="C110" s="1078" t="s">
        <v>3321</v>
      </c>
      <c r="D110" s="1078">
        <v>7785</v>
      </c>
      <c r="E110" s="1078">
        <v>1</v>
      </c>
      <c r="F110" s="1078">
        <v>15300</v>
      </c>
      <c r="G110" s="1078">
        <v>7515</v>
      </c>
      <c r="H110" s="1078" t="s">
        <v>1397</v>
      </c>
    </row>
    <row r="111" spans="1:8" ht="22.5" x14ac:dyDescent="0.55000000000000004">
      <c r="A111" s="1078">
        <v>110</v>
      </c>
      <c r="B111" s="1078" t="s">
        <v>1421</v>
      </c>
      <c r="C111" s="1078" t="s">
        <v>1422</v>
      </c>
      <c r="D111" s="1078">
        <v>325500</v>
      </c>
      <c r="E111" s="1078">
        <v>19</v>
      </c>
      <c r="F111" s="1078">
        <v>437000</v>
      </c>
      <c r="G111" s="1078">
        <v>111500</v>
      </c>
      <c r="H111" s="1078" t="s">
        <v>1420</v>
      </c>
    </row>
    <row r="112" spans="1:8" ht="22.5" x14ac:dyDescent="0.55000000000000004">
      <c r="A112" s="1078">
        <v>111</v>
      </c>
      <c r="B112" s="1078" t="s">
        <v>1425</v>
      </c>
      <c r="C112" s="1078" t="s">
        <v>8000</v>
      </c>
      <c r="D112" s="1078">
        <v>81814</v>
      </c>
      <c r="E112" s="1078">
        <v>6</v>
      </c>
      <c r="F112" s="1078">
        <v>114000</v>
      </c>
      <c r="G112" s="1078">
        <v>32186</v>
      </c>
      <c r="H112" s="1078" t="s">
        <v>933</v>
      </c>
    </row>
    <row r="113" spans="1:8" ht="22.5" x14ac:dyDescent="0.55000000000000004">
      <c r="A113" s="1078">
        <v>112</v>
      </c>
      <c r="B113" s="1078" t="s">
        <v>3425</v>
      </c>
      <c r="C113" s="1078" t="s">
        <v>8001</v>
      </c>
      <c r="D113" s="1078">
        <v>2670</v>
      </c>
      <c r="E113" s="1078">
        <v>1</v>
      </c>
      <c r="F113" s="1078">
        <v>6000</v>
      </c>
      <c r="G113" s="1078">
        <v>3330</v>
      </c>
      <c r="H113" s="1078" t="s">
        <v>1397</v>
      </c>
    </row>
    <row r="114" spans="1:8" ht="22.5" x14ac:dyDescent="0.55000000000000004">
      <c r="A114" s="1078">
        <v>113</v>
      </c>
      <c r="B114" s="1078" t="s">
        <v>3831</v>
      </c>
      <c r="C114" s="1078" t="s">
        <v>3832</v>
      </c>
      <c r="D114" s="1078">
        <v>1820</v>
      </c>
      <c r="E114" s="1078">
        <v>1</v>
      </c>
      <c r="F114" s="1078">
        <v>3000</v>
      </c>
      <c r="G114" s="1078">
        <v>1180</v>
      </c>
      <c r="H114" s="1078" t="s">
        <v>1397</v>
      </c>
    </row>
    <row r="115" spans="1:8" ht="22.5" x14ac:dyDescent="0.55000000000000004">
      <c r="A115" s="1078">
        <v>114</v>
      </c>
      <c r="B115" s="1078" t="s">
        <v>3837</v>
      </c>
      <c r="C115" s="1078" t="s">
        <v>3838</v>
      </c>
      <c r="D115" s="1078">
        <v>520</v>
      </c>
      <c r="E115" s="1078">
        <v>1</v>
      </c>
      <c r="F115" s="1078">
        <v>1000</v>
      </c>
      <c r="G115" s="1078">
        <v>480</v>
      </c>
      <c r="H115" s="1078" t="s">
        <v>1397</v>
      </c>
    </row>
    <row r="116" spans="1:8" ht="22.5" x14ac:dyDescent="0.55000000000000004">
      <c r="A116" s="1078">
        <v>115</v>
      </c>
      <c r="B116" s="1078" t="s">
        <v>6943</v>
      </c>
      <c r="C116" s="1078" t="s">
        <v>6944</v>
      </c>
      <c r="D116" s="1078">
        <v>2550</v>
      </c>
      <c r="E116" s="1078">
        <v>1</v>
      </c>
      <c r="F116" s="1078">
        <v>4000</v>
      </c>
      <c r="G116" s="1078">
        <v>1450</v>
      </c>
      <c r="H116" s="1078" t="s">
        <v>1397</v>
      </c>
    </row>
    <row r="117" spans="1:8" ht="22.5" x14ac:dyDescent="0.55000000000000004">
      <c r="A117" s="1078">
        <v>116</v>
      </c>
      <c r="B117" s="1078" t="s">
        <v>8374</v>
      </c>
      <c r="C117" s="1078" t="s">
        <v>8375</v>
      </c>
      <c r="D117" s="1078">
        <v>1500</v>
      </c>
      <c r="E117" s="1078">
        <v>1</v>
      </c>
      <c r="F117" s="1078">
        <v>4000</v>
      </c>
      <c r="G117" s="1078">
        <v>2500</v>
      </c>
      <c r="H117" s="1078" t="s">
        <v>1397</v>
      </c>
    </row>
    <row r="118" spans="1:8" ht="22.5" x14ac:dyDescent="0.55000000000000004">
      <c r="A118" s="1078">
        <v>117</v>
      </c>
      <c r="B118" s="1078" t="s">
        <v>8519</v>
      </c>
      <c r="C118" s="1078" t="s">
        <v>8520</v>
      </c>
      <c r="D118" s="1078">
        <v>5000</v>
      </c>
      <c r="E118" s="1078">
        <v>1</v>
      </c>
      <c r="F118" s="1078">
        <v>7500</v>
      </c>
      <c r="G118" s="1078">
        <v>2500</v>
      </c>
      <c r="H118" s="1078" t="s">
        <v>1397</v>
      </c>
    </row>
    <row r="119" spans="1:8" ht="22.5" x14ac:dyDescent="0.55000000000000004">
      <c r="A119" s="1078">
        <v>118</v>
      </c>
      <c r="B119" s="1078" t="s">
        <v>8521</v>
      </c>
      <c r="C119" s="1078" t="s">
        <v>8522</v>
      </c>
      <c r="D119" s="1078">
        <v>40000</v>
      </c>
      <c r="E119" s="1078">
        <v>1</v>
      </c>
      <c r="F119" s="1078">
        <v>50000</v>
      </c>
      <c r="G119" s="1078">
        <v>10000</v>
      </c>
      <c r="H119" s="1078" t="s">
        <v>1397</v>
      </c>
    </row>
    <row r="120" spans="1:8" ht="22.5" x14ac:dyDescent="0.55000000000000004">
      <c r="A120" s="1078">
        <v>119</v>
      </c>
      <c r="B120" s="1078" t="s">
        <v>8523</v>
      </c>
      <c r="C120" s="1078" t="s">
        <v>8524</v>
      </c>
      <c r="D120" s="1078">
        <v>11000</v>
      </c>
      <c r="E120" s="1078">
        <v>1</v>
      </c>
      <c r="F120" s="1078">
        <v>18000</v>
      </c>
      <c r="G120" s="1078">
        <v>7000</v>
      </c>
      <c r="H120" s="1078" t="s">
        <v>1397</v>
      </c>
    </row>
    <row r="121" spans="1:8" ht="22.5" x14ac:dyDescent="0.55000000000000004">
      <c r="A121" s="1078">
        <v>120</v>
      </c>
      <c r="B121" s="1078" t="s">
        <v>3853</v>
      </c>
      <c r="C121" s="1078" t="s">
        <v>3854</v>
      </c>
      <c r="D121" s="1078">
        <v>1800</v>
      </c>
      <c r="E121" s="1078">
        <v>3</v>
      </c>
      <c r="F121" s="1078">
        <v>3900</v>
      </c>
      <c r="G121" s="1078">
        <v>2100</v>
      </c>
      <c r="H121" s="1078" t="s">
        <v>933</v>
      </c>
    </row>
    <row r="122" spans="1:8" ht="22.5" x14ac:dyDescent="0.55000000000000004">
      <c r="A122" s="1078">
        <v>121</v>
      </c>
      <c r="B122" s="1078" t="s">
        <v>8235</v>
      </c>
      <c r="C122" s="1078" t="s">
        <v>8236</v>
      </c>
      <c r="D122" s="1078">
        <v>10920</v>
      </c>
      <c r="E122" s="1078">
        <v>5</v>
      </c>
      <c r="F122" s="1078">
        <v>15000</v>
      </c>
      <c r="G122" s="1078">
        <v>4080</v>
      </c>
      <c r="H122" s="1078" t="s">
        <v>933</v>
      </c>
    </row>
    <row r="123" spans="1:8" ht="22.5" x14ac:dyDescent="0.55000000000000004">
      <c r="A123" s="1078">
        <v>122</v>
      </c>
      <c r="B123" s="1078" t="s">
        <v>2477</v>
      </c>
      <c r="C123" s="1078" t="s">
        <v>2478</v>
      </c>
      <c r="D123" s="1078">
        <v>3240</v>
      </c>
      <c r="E123" s="1078">
        <v>40</v>
      </c>
      <c r="F123" s="1078">
        <v>12000</v>
      </c>
      <c r="G123" s="1078">
        <v>8760</v>
      </c>
      <c r="H123" s="1078" t="s">
        <v>933</v>
      </c>
    </row>
    <row r="124" spans="1:8" ht="22.5" x14ac:dyDescent="0.55000000000000004">
      <c r="A124" s="1078">
        <v>123</v>
      </c>
      <c r="B124" s="1078" t="s">
        <v>3857</v>
      </c>
      <c r="C124" s="1078" t="s">
        <v>3858</v>
      </c>
      <c r="D124" s="1078">
        <v>2500</v>
      </c>
      <c r="E124" s="1078">
        <v>1</v>
      </c>
      <c r="F124" s="1078">
        <v>3500</v>
      </c>
      <c r="G124" s="1078">
        <v>1000</v>
      </c>
      <c r="H124" s="1078" t="s">
        <v>933</v>
      </c>
    </row>
    <row r="125" spans="1:8" ht="22.5" x14ac:dyDescent="0.55000000000000004">
      <c r="A125" s="1078">
        <v>124</v>
      </c>
      <c r="B125" s="1078" t="s">
        <v>2536</v>
      </c>
      <c r="C125" s="1078" t="s">
        <v>2537</v>
      </c>
      <c r="D125" s="1078">
        <v>96505</v>
      </c>
      <c r="E125" s="1078">
        <v>23</v>
      </c>
      <c r="F125" s="1078">
        <v>126500</v>
      </c>
      <c r="G125" s="1078">
        <v>29995</v>
      </c>
      <c r="H125" s="1078" t="s">
        <v>933</v>
      </c>
    </row>
    <row r="126" spans="1:8" ht="22.5" x14ac:dyDescent="0.55000000000000004">
      <c r="A126" s="1078">
        <v>125</v>
      </c>
      <c r="B126" s="1078" t="s">
        <v>6787</v>
      </c>
      <c r="C126" s="1078" t="s">
        <v>6788</v>
      </c>
      <c r="D126" s="1078">
        <v>19686</v>
      </c>
      <c r="E126" s="1078">
        <v>3</v>
      </c>
      <c r="F126" s="1078">
        <v>30000</v>
      </c>
      <c r="G126" s="1078">
        <v>10314</v>
      </c>
      <c r="H126" s="1078" t="s">
        <v>933</v>
      </c>
    </row>
    <row r="127" spans="1:8" ht="22.5" x14ac:dyDescent="0.55000000000000004">
      <c r="A127" s="1078">
        <v>126</v>
      </c>
      <c r="B127" s="1078" t="s">
        <v>3028</v>
      </c>
      <c r="C127" s="1078" t="s">
        <v>8525</v>
      </c>
      <c r="D127" s="1078">
        <v>32356</v>
      </c>
      <c r="E127" s="1078">
        <v>9</v>
      </c>
      <c r="F127" s="1078">
        <v>40500</v>
      </c>
      <c r="G127" s="1078">
        <v>8144</v>
      </c>
      <c r="H127" s="1078" t="s">
        <v>933</v>
      </c>
    </row>
    <row r="128" spans="1:8" ht="22.5" x14ac:dyDescent="0.55000000000000004">
      <c r="A128" s="1078">
        <v>127</v>
      </c>
      <c r="B128" s="1078" t="s">
        <v>3050</v>
      </c>
      <c r="C128" s="1078" t="s">
        <v>3051</v>
      </c>
      <c r="D128" s="1078">
        <v>4300</v>
      </c>
      <c r="E128" s="1078">
        <v>1</v>
      </c>
      <c r="F128" s="1078">
        <v>7000</v>
      </c>
      <c r="G128" s="1078">
        <v>2700</v>
      </c>
      <c r="H128" s="1078" t="s">
        <v>933</v>
      </c>
    </row>
    <row r="129" spans="1:8" ht="22.5" x14ac:dyDescent="0.55000000000000004">
      <c r="A129" s="1078">
        <v>128</v>
      </c>
      <c r="B129" s="1078" t="s">
        <v>3104</v>
      </c>
      <c r="C129" s="1078" t="s">
        <v>3105</v>
      </c>
      <c r="D129" s="1078">
        <v>1200</v>
      </c>
      <c r="E129" s="1078">
        <v>1</v>
      </c>
      <c r="F129" s="1078">
        <v>1800</v>
      </c>
      <c r="G129" s="1078">
        <v>600</v>
      </c>
      <c r="H129" s="1078" t="s">
        <v>933</v>
      </c>
    </row>
    <row r="130" spans="1:8" ht="22.5" x14ac:dyDescent="0.55000000000000004">
      <c r="A130" s="1078">
        <v>129</v>
      </c>
      <c r="B130" s="1078" t="s">
        <v>3106</v>
      </c>
      <c r="C130" s="1078" t="s">
        <v>3107</v>
      </c>
      <c r="D130" s="1078">
        <v>2100</v>
      </c>
      <c r="E130" s="1078">
        <v>3</v>
      </c>
      <c r="F130" s="1078">
        <v>6000</v>
      </c>
      <c r="G130" s="1078">
        <v>3900</v>
      </c>
      <c r="H130" s="1078" t="s">
        <v>933</v>
      </c>
    </row>
    <row r="131" spans="1:8" ht="22.5" x14ac:dyDescent="0.55000000000000004">
      <c r="A131" s="1078">
        <v>130</v>
      </c>
      <c r="B131" s="1078" t="s">
        <v>3225</v>
      </c>
      <c r="C131" s="1078" t="s">
        <v>3226</v>
      </c>
      <c r="D131" s="1078">
        <v>11000</v>
      </c>
      <c r="E131" s="1078">
        <v>5</v>
      </c>
      <c r="F131" s="1078">
        <v>28000</v>
      </c>
      <c r="G131" s="1078">
        <v>17000</v>
      </c>
      <c r="H131" s="1078" t="s">
        <v>933</v>
      </c>
    </row>
    <row r="132" spans="1:8" ht="22.5" x14ac:dyDescent="0.55000000000000004">
      <c r="A132" s="1078">
        <v>131</v>
      </c>
      <c r="B132" s="1078" t="s">
        <v>8379</v>
      </c>
      <c r="C132" s="1078" t="s">
        <v>8380</v>
      </c>
      <c r="D132" s="1078">
        <v>24688</v>
      </c>
      <c r="E132" s="1078">
        <v>16</v>
      </c>
      <c r="F132" s="1078">
        <v>34400</v>
      </c>
      <c r="G132" s="1078">
        <v>9712</v>
      </c>
      <c r="H132" s="1078" t="s">
        <v>933</v>
      </c>
    </row>
    <row r="133" spans="1:8" ht="22.5" x14ac:dyDescent="0.55000000000000004">
      <c r="A133" s="1078">
        <v>132</v>
      </c>
      <c r="B133" s="1078" t="s">
        <v>3887</v>
      </c>
      <c r="C133" s="1078" t="s">
        <v>3888</v>
      </c>
      <c r="D133" s="1078">
        <v>116</v>
      </c>
      <c r="E133" s="1078">
        <v>1</v>
      </c>
      <c r="F133" s="1078">
        <v>500</v>
      </c>
      <c r="G133" s="1078">
        <v>384</v>
      </c>
      <c r="H133" s="1078" t="s">
        <v>933</v>
      </c>
    </row>
    <row r="134" spans="1:8" ht="22.5" x14ac:dyDescent="0.55000000000000004">
      <c r="A134" s="1078">
        <v>133</v>
      </c>
      <c r="B134" s="1078" t="s">
        <v>3052</v>
      </c>
      <c r="C134" s="1078" t="s">
        <v>3053</v>
      </c>
      <c r="D134" s="1078">
        <v>60538</v>
      </c>
      <c r="E134" s="1078">
        <v>12</v>
      </c>
      <c r="F134" s="1078">
        <v>77500</v>
      </c>
      <c r="G134" s="1078">
        <v>16962</v>
      </c>
      <c r="H134" s="1078" t="s">
        <v>933</v>
      </c>
    </row>
    <row r="135" spans="1:8" ht="22.5" x14ac:dyDescent="0.55000000000000004">
      <c r="A135" s="1078">
        <v>134</v>
      </c>
      <c r="B135" s="1078" t="s">
        <v>3054</v>
      </c>
      <c r="C135" s="1078" t="s">
        <v>3055</v>
      </c>
      <c r="D135" s="1078">
        <v>1000</v>
      </c>
      <c r="E135" s="1078">
        <v>2</v>
      </c>
      <c r="F135" s="1078">
        <v>2000</v>
      </c>
      <c r="G135" s="1078">
        <v>1000</v>
      </c>
      <c r="H135" s="1078" t="s">
        <v>933</v>
      </c>
    </row>
    <row r="136" spans="1:8" ht="22.5" x14ac:dyDescent="0.55000000000000004">
      <c r="A136" s="1078">
        <v>135</v>
      </c>
      <c r="B136" s="1078" t="s">
        <v>6947</v>
      </c>
      <c r="C136" s="1078" t="s">
        <v>6948</v>
      </c>
      <c r="D136" s="1078">
        <v>245824</v>
      </c>
      <c r="E136" s="1078">
        <v>26</v>
      </c>
      <c r="F136" s="1078">
        <v>312000</v>
      </c>
      <c r="G136" s="1078">
        <v>66176</v>
      </c>
      <c r="H136" s="1078" t="s">
        <v>933</v>
      </c>
    </row>
    <row r="137" spans="1:8" ht="22.5" x14ac:dyDescent="0.55000000000000004">
      <c r="A137" s="1078">
        <v>136</v>
      </c>
      <c r="B137" s="1078" t="s">
        <v>6949</v>
      </c>
      <c r="C137" s="1078" t="s">
        <v>7312</v>
      </c>
      <c r="D137" s="1078">
        <v>7880</v>
      </c>
      <c r="E137" s="1078">
        <v>4</v>
      </c>
      <c r="F137" s="1078">
        <v>10800</v>
      </c>
      <c r="G137" s="1078">
        <v>2920</v>
      </c>
      <c r="H137" s="1078" t="s">
        <v>933</v>
      </c>
    </row>
    <row r="138" spans="1:8" ht="22.5" x14ac:dyDescent="0.55000000000000004">
      <c r="A138" s="1078">
        <v>137</v>
      </c>
      <c r="B138" s="1078" t="s">
        <v>6951</v>
      </c>
      <c r="C138" s="1078" t="s">
        <v>6952</v>
      </c>
      <c r="D138" s="1078">
        <v>3426</v>
      </c>
      <c r="E138" s="1078">
        <v>1</v>
      </c>
      <c r="F138" s="1078">
        <v>5500</v>
      </c>
      <c r="G138" s="1078">
        <v>2074</v>
      </c>
      <c r="H138" s="1078" t="s">
        <v>933</v>
      </c>
    </row>
    <row r="139" spans="1:8" ht="22.5" x14ac:dyDescent="0.55000000000000004">
      <c r="A139" s="1078">
        <v>138</v>
      </c>
      <c r="B139" s="1078" t="s">
        <v>6955</v>
      </c>
      <c r="C139" s="1078" t="s">
        <v>3254</v>
      </c>
      <c r="D139" s="1078">
        <v>15417</v>
      </c>
      <c r="E139" s="1078">
        <v>9</v>
      </c>
      <c r="F139" s="1078">
        <v>22500</v>
      </c>
      <c r="G139" s="1078">
        <v>7083</v>
      </c>
      <c r="H139" s="1078" t="s">
        <v>933</v>
      </c>
    </row>
    <row r="140" spans="1:8" ht="22.5" x14ac:dyDescent="0.55000000000000004">
      <c r="A140" s="1078">
        <v>139</v>
      </c>
      <c r="B140" s="1078" t="s">
        <v>6956</v>
      </c>
      <c r="C140" s="1078" t="s">
        <v>6139</v>
      </c>
      <c r="D140" s="1078">
        <v>3120</v>
      </c>
      <c r="E140" s="1078">
        <v>3</v>
      </c>
      <c r="F140" s="1078">
        <v>4500</v>
      </c>
      <c r="G140" s="1078">
        <v>1380</v>
      </c>
      <c r="H140" s="1078" t="s">
        <v>933</v>
      </c>
    </row>
    <row r="141" spans="1:8" ht="22.5" x14ac:dyDescent="0.55000000000000004">
      <c r="A141" s="1078">
        <v>140</v>
      </c>
      <c r="B141" s="1078" t="s">
        <v>6961</v>
      </c>
      <c r="C141" s="1078" t="s">
        <v>6962</v>
      </c>
      <c r="D141" s="1078">
        <v>92292</v>
      </c>
      <c r="E141" s="1078">
        <v>4</v>
      </c>
      <c r="F141" s="1078">
        <v>112000</v>
      </c>
      <c r="G141" s="1078">
        <v>19708</v>
      </c>
      <c r="H141" s="1078" t="s">
        <v>933</v>
      </c>
    </row>
    <row r="142" spans="1:8" ht="22.5" x14ac:dyDescent="0.55000000000000004">
      <c r="A142" s="1078">
        <v>141</v>
      </c>
      <c r="B142" s="1078" t="s">
        <v>7503</v>
      </c>
      <c r="C142" s="1078" t="s">
        <v>7504</v>
      </c>
      <c r="D142" s="1078">
        <v>8137</v>
      </c>
      <c r="E142" s="1078">
        <v>1</v>
      </c>
      <c r="F142" s="1078">
        <v>10000</v>
      </c>
      <c r="G142" s="1078">
        <v>1863</v>
      </c>
      <c r="H142" s="1078" t="s">
        <v>933</v>
      </c>
    </row>
    <row r="143" spans="1:8" ht="22.5" x14ac:dyDescent="0.55000000000000004">
      <c r="A143" s="1078">
        <v>142</v>
      </c>
      <c r="B143" s="1078" t="s">
        <v>8020</v>
      </c>
      <c r="C143" s="1078" t="s">
        <v>8021</v>
      </c>
      <c r="D143" s="1078">
        <v>10363</v>
      </c>
      <c r="E143" s="1078">
        <v>1</v>
      </c>
      <c r="F143" s="1078">
        <v>13500</v>
      </c>
      <c r="G143" s="1078">
        <v>3137</v>
      </c>
      <c r="H143" s="1078" t="s">
        <v>933</v>
      </c>
    </row>
    <row r="144" spans="1:8" ht="22.5" x14ac:dyDescent="0.55000000000000004">
      <c r="A144" s="1078">
        <v>143</v>
      </c>
      <c r="B144" s="1078" t="s">
        <v>8022</v>
      </c>
      <c r="C144" s="1078" t="s">
        <v>8023</v>
      </c>
      <c r="D144" s="1078">
        <v>10908</v>
      </c>
      <c r="E144" s="1078">
        <v>2</v>
      </c>
      <c r="F144" s="1078">
        <v>16000</v>
      </c>
      <c r="G144" s="1078">
        <v>5092</v>
      </c>
      <c r="H144" s="1078" t="s">
        <v>933</v>
      </c>
    </row>
    <row r="145" spans="1:8" ht="22.5" x14ac:dyDescent="0.55000000000000004">
      <c r="A145" s="1078">
        <v>144</v>
      </c>
      <c r="B145" s="1078" t="s">
        <v>6381</v>
      </c>
      <c r="C145" s="1078" t="s">
        <v>6382</v>
      </c>
      <c r="D145" s="1078">
        <v>3600</v>
      </c>
      <c r="E145" s="1078">
        <v>2</v>
      </c>
      <c r="F145" s="1078">
        <v>5000</v>
      </c>
      <c r="G145" s="1078">
        <v>1400</v>
      </c>
      <c r="H145" s="1078" t="s">
        <v>1397</v>
      </c>
    </row>
    <row r="146" spans="1:8" ht="22.5" x14ac:dyDescent="0.55000000000000004">
      <c r="A146" s="1078">
        <v>145</v>
      </c>
      <c r="B146" s="1078" t="s">
        <v>6415</v>
      </c>
      <c r="C146" s="1078" t="s">
        <v>6416</v>
      </c>
      <c r="D146" s="1078">
        <v>41400</v>
      </c>
      <c r="E146" s="1078">
        <v>3</v>
      </c>
      <c r="F146" s="1078">
        <v>50000</v>
      </c>
      <c r="G146" s="1078">
        <v>8600</v>
      </c>
      <c r="H146" s="1078" t="s">
        <v>1397</v>
      </c>
    </row>
    <row r="147" spans="1:8" ht="22.5" x14ac:dyDescent="0.55000000000000004">
      <c r="A147" s="1078">
        <v>146</v>
      </c>
      <c r="B147" s="1078" t="s">
        <v>6548</v>
      </c>
      <c r="C147" s="1078" t="s">
        <v>6549</v>
      </c>
      <c r="D147" s="1078">
        <v>3600</v>
      </c>
      <c r="E147" s="1078">
        <v>2</v>
      </c>
      <c r="F147" s="1078">
        <v>5000</v>
      </c>
      <c r="G147" s="1078">
        <v>1400</v>
      </c>
      <c r="H147" s="1078" t="s">
        <v>1397</v>
      </c>
    </row>
    <row r="148" spans="1:8" ht="22.5" x14ac:dyDescent="0.55000000000000004">
      <c r="A148" s="1078">
        <v>147</v>
      </c>
      <c r="B148" s="1078" t="s">
        <v>6634</v>
      </c>
      <c r="C148" s="1078" t="s">
        <v>6635</v>
      </c>
      <c r="D148" s="1078">
        <v>3600</v>
      </c>
      <c r="E148" s="1078">
        <v>2</v>
      </c>
      <c r="F148" s="1078">
        <v>5000</v>
      </c>
      <c r="G148" s="1078">
        <v>1400</v>
      </c>
      <c r="H148" s="1078" t="s">
        <v>1397</v>
      </c>
    </row>
    <row r="149" spans="1:8" ht="22.5" x14ac:dyDescent="0.55000000000000004">
      <c r="A149" s="1078">
        <v>148</v>
      </c>
      <c r="B149" s="1078" t="s">
        <v>8526</v>
      </c>
      <c r="C149" s="1078" t="s">
        <v>8527</v>
      </c>
      <c r="D149" s="1078">
        <v>4950</v>
      </c>
      <c r="E149" s="1078">
        <v>1</v>
      </c>
      <c r="F149" s="1078">
        <v>5500</v>
      </c>
      <c r="G149" s="1078">
        <v>550</v>
      </c>
      <c r="H149" s="1078" t="s">
        <v>1397</v>
      </c>
    </row>
    <row r="150" spans="1:8" ht="22.5" x14ac:dyDescent="0.55000000000000004">
      <c r="A150" s="1078">
        <v>149</v>
      </c>
      <c r="B150" s="1078" t="s">
        <v>6641</v>
      </c>
      <c r="C150" s="1078" t="s">
        <v>6642</v>
      </c>
      <c r="D150" s="1078">
        <v>7500</v>
      </c>
      <c r="E150" s="1078">
        <v>1</v>
      </c>
      <c r="F150" s="1078">
        <v>8500</v>
      </c>
      <c r="G150" s="1078">
        <v>1000</v>
      </c>
      <c r="H150" s="1078" t="s">
        <v>1397</v>
      </c>
    </row>
    <row r="151" spans="1:8" ht="22.5" x14ac:dyDescent="0.55000000000000004">
      <c r="A151" s="1078">
        <v>150</v>
      </c>
      <c r="B151" s="1078" t="s">
        <v>6552</v>
      </c>
      <c r="C151" s="1078" t="s">
        <v>6789</v>
      </c>
      <c r="D151" s="1078">
        <v>59400</v>
      </c>
      <c r="E151" s="1078">
        <v>1</v>
      </c>
      <c r="F151" s="1078">
        <v>68000</v>
      </c>
      <c r="G151" s="1078">
        <v>8600</v>
      </c>
      <c r="H151" s="1078" t="s">
        <v>1397</v>
      </c>
    </row>
    <row r="152" spans="1:8" ht="22.5" x14ac:dyDescent="0.55000000000000004">
      <c r="A152" s="1078">
        <v>151</v>
      </c>
      <c r="B152" s="1078" t="s">
        <v>6647</v>
      </c>
      <c r="C152" s="1078" t="s">
        <v>6648</v>
      </c>
      <c r="D152" s="1078">
        <v>29700</v>
      </c>
      <c r="E152" s="1078">
        <v>6</v>
      </c>
      <c r="F152" s="1078">
        <v>36000</v>
      </c>
      <c r="G152" s="1078">
        <v>6300</v>
      </c>
      <c r="H152" s="1078" t="s">
        <v>1397</v>
      </c>
    </row>
    <row r="153" spans="1:8" ht="22.5" x14ac:dyDescent="0.55000000000000004">
      <c r="A153" s="1078">
        <v>152</v>
      </c>
      <c r="B153" s="1078" t="s">
        <v>6791</v>
      </c>
      <c r="C153" s="1078" t="s">
        <v>6792</v>
      </c>
      <c r="D153" s="1078">
        <v>4500</v>
      </c>
      <c r="E153" s="1078">
        <v>1</v>
      </c>
      <c r="F153" s="1078">
        <v>8000</v>
      </c>
      <c r="G153" s="1078">
        <v>3500</v>
      </c>
      <c r="H153" s="1078" t="s">
        <v>1397</v>
      </c>
    </row>
    <row r="154" spans="1:8" ht="22.5" x14ac:dyDescent="0.55000000000000004">
      <c r="A154" s="1078">
        <v>153</v>
      </c>
      <c r="B154" s="1078" t="s">
        <v>6795</v>
      </c>
      <c r="C154" s="1078" t="s">
        <v>6796</v>
      </c>
      <c r="D154" s="1078">
        <v>15750</v>
      </c>
      <c r="E154" s="1078">
        <v>5</v>
      </c>
      <c r="F154" s="1078">
        <v>20000</v>
      </c>
      <c r="G154" s="1078">
        <v>4250</v>
      </c>
      <c r="H154" s="1078" t="s">
        <v>1397</v>
      </c>
    </row>
    <row r="155" spans="1:8" ht="22.5" x14ac:dyDescent="0.55000000000000004">
      <c r="A155" s="1078">
        <v>154</v>
      </c>
      <c r="B155" s="1078" t="s">
        <v>6797</v>
      </c>
      <c r="C155" s="1078" t="s">
        <v>3109</v>
      </c>
      <c r="D155" s="1078">
        <v>2500</v>
      </c>
      <c r="E155" s="1078">
        <v>1</v>
      </c>
      <c r="F155" s="1078">
        <v>3200</v>
      </c>
      <c r="G155" s="1078">
        <v>700</v>
      </c>
      <c r="H155" s="1078" t="s">
        <v>1397</v>
      </c>
    </row>
    <row r="156" spans="1:8" ht="22.5" x14ac:dyDescent="0.55000000000000004">
      <c r="A156" s="1078">
        <v>155</v>
      </c>
      <c r="B156" s="1078" t="s">
        <v>8384</v>
      </c>
      <c r="C156" s="1078" t="s">
        <v>8385</v>
      </c>
      <c r="D156" s="1078">
        <v>15750</v>
      </c>
      <c r="E156" s="1078">
        <v>1</v>
      </c>
      <c r="F156" s="1078">
        <v>19000</v>
      </c>
      <c r="G156" s="1078">
        <v>3250</v>
      </c>
      <c r="H156" s="1078" t="s">
        <v>1397</v>
      </c>
    </row>
    <row r="157" spans="1:8" ht="22.5" x14ac:dyDescent="0.55000000000000004">
      <c r="A157" s="1078">
        <v>156</v>
      </c>
      <c r="B157" s="1078" t="s">
        <v>6802</v>
      </c>
      <c r="C157" s="1078" t="s">
        <v>6297</v>
      </c>
      <c r="D157" s="1078">
        <v>7650</v>
      </c>
      <c r="E157" s="1078">
        <v>1</v>
      </c>
      <c r="F157" s="1078">
        <v>11000</v>
      </c>
      <c r="G157" s="1078">
        <v>3350</v>
      </c>
      <c r="H157" s="1078" t="s">
        <v>1397</v>
      </c>
    </row>
    <row r="158" spans="1:8" ht="22.5" x14ac:dyDescent="0.55000000000000004">
      <c r="A158" s="1078">
        <v>157</v>
      </c>
      <c r="B158" s="1078" t="s">
        <v>7314</v>
      </c>
      <c r="C158" s="1078" t="s">
        <v>7315</v>
      </c>
      <c r="D158" s="1078">
        <v>10800</v>
      </c>
      <c r="E158" s="1078">
        <v>1</v>
      </c>
      <c r="F158" s="1078">
        <v>15000</v>
      </c>
      <c r="G158" s="1078">
        <v>4200</v>
      </c>
      <c r="H158" s="1078" t="s">
        <v>1397</v>
      </c>
    </row>
    <row r="159" spans="1:8" ht="22.5" x14ac:dyDescent="0.55000000000000004">
      <c r="A159" s="1078">
        <v>158</v>
      </c>
      <c r="B159" s="1078" t="s">
        <v>7316</v>
      </c>
      <c r="C159" s="1078" t="s">
        <v>7317</v>
      </c>
      <c r="D159" s="1078">
        <v>2500</v>
      </c>
      <c r="E159" s="1078">
        <v>1</v>
      </c>
      <c r="F159" s="1078">
        <v>3500</v>
      </c>
      <c r="G159" s="1078">
        <v>1000</v>
      </c>
      <c r="H159" s="1078" t="s">
        <v>1397</v>
      </c>
    </row>
    <row r="160" spans="1:8" ht="22.5" x14ac:dyDescent="0.55000000000000004">
      <c r="A160" s="1078">
        <v>159</v>
      </c>
      <c r="B160" s="1078" t="s">
        <v>7511</v>
      </c>
      <c r="C160" s="1078" t="s">
        <v>7512</v>
      </c>
      <c r="D160" s="1078">
        <v>1800</v>
      </c>
      <c r="E160" s="1078">
        <v>1</v>
      </c>
      <c r="F160" s="1078">
        <v>2800</v>
      </c>
      <c r="G160" s="1078">
        <v>1000</v>
      </c>
      <c r="H160" s="1078" t="s">
        <v>1397</v>
      </c>
    </row>
    <row r="161" spans="1:8" ht="22.5" x14ac:dyDescent="0.55000000000000004">
      <c r="A161" s="1078">
        <v>160</v>
      </c>
      <c r="B161" s="1078" t="s">
        <v>7318</v>
      </c>
      <c r="C161" s="1078" t="s">
        <v>7319</v>
      </c>
      <c r="D161" s="1078">
        <v>3400</v>
      </c>
      <c r="E161" s="1078">
        <v>1</v>
      </c>
      <c r="F161" s="1078">
        <v>4500</v>
      </c>
      <c r="G161" s="1078">
        <v>1100</v>
      </c>
      <c r="H161" s="1078" t="s">
        <v>1397</v>
      </c>
    </row>
    <row r="162" spans="1:8" ht="22.5" x14ac:dyDescent="0.55000000000000004">
      <c r="A162" s="1078">
        <v>161</v>
      </c>
      <c r="B162" s="1078" t="s">
        <v>7320</v>
      </c>
      <c r="C162" s="1078" t="s">
        <v>7321</v>
      </c>
      <c r="D162" s="1078">
        <v>9900</v>
      </c>
      <c r="E162" s="1078">
        <v>1</v>
      </c>
      <c r="F162" s="1078">
        <v>12000</v>
      </c>
      <c r="G162" s="1078">
        <v>2100</v>
      </c>
      <c r="H162" s="1078" t="s">
        <v>1397</v>
      </c>
    </row>
    <row r="163" spans="1:8" ht="22.5" x14ac:dyDescent="0.55000000000000004">
      <c r="A163" s="1078">
        <v>162</v>
      </c>
      <c r="B163" s="1078" t="s">
        <v>7323</v>
      </c>
      <c r="C163" s="1078" t="s">
        <v>7324</v>
      </c>
      <c r="D163" s="1078">
        <v>450</v>
      </c>
      <c r="E163" s="1078">
        <v>3</v>
      </c>
      <c r="F163" s="1078">
        <v>900</v>
      </c>
      <c r="G163" s="1078">
        <v>450</v>
      </c>
      <c r="H163" s="1078" t="s">
        <v>1397</v>
      </c>
    </row>
    <row r="164" spans="1:8" ht="22.5" x14ac:dyDescent="0.55000000000000004">
      <c r="A164" s="1078">
        <v>163</v>
      </c>
      <c r="B164" s="1078" t="s">
        <v>8386</v>
      </c>
      <c r="C164" s="1078" t="s">
        <v>8387</v>
      </c>
      <c r="D164" s="1078">
        <v>29700</v>
      </c>
      <c r="E164" s="1078">
        <v>1</v>
      </c>
      <c r="F164" s="1078">
        <v>33000</v>
      </c>
      <c r="G164" s="1078">
        <v>3300</v>
      </c>
      <c r="H164" s="1078" t="s">
        <v>1397</v>
      </c>
    </row>
    <row r="165" spans="1:8" ht="22.5" x14ac:dyDescent="0.55000000000000004">
      <c r="A165" s="1078">
        <v>164</v>
      </c>
      <c r="B165" s="1078" t="s">
        <v>7325</v>
      </c>
      <c r="C165" s="1078" t="s">
        <v>7326</v>
      </c>
      <c r="D165" s="1078">
        <v>3600</v>
      </c>
      <c r="E165" s="1078">
        <v>2</v>
      </c>
      <c r="F165" s="1078">
        <v>5000</v>
      </c>
      <c r="G165" s="1078">
        <v>1400</v>
      </c>
      <c r="H165" s="1078" t="s">
        <v>1397</v>
      </c>
    </row>
    <row r="166" spans="1:8" ht="22.5" x14ac:dyDescent="0.55000000000000004">
      <c r="A166" s="1078">
        <v>165</v>
      </c>
      <c r="B166" s="1078" t="s">
        <v>7527</v>
      </c>
      <c r="C166" s="1078" t="s">
        <v>7528</v>
      </c>
      <c r="D166" s="1078">
        <v>16650</v>
      </c>
      <c r="E166" s="1078">
        <v>1</v>
      </c>
      <c r="F166" s="1078">
        <v>23000</v>
      </c>
      <c r="G166" s="1078">
        <v>6350</v>
      </c>
      <c r="H166" s="1078" t="s">
        <v>1397</v>
      </c>
    </row>
    <row r="167" spans="1:8" ht="22.5" x14ac:dyDescent="0.55000000000000004">
      <c r="A167" s="1078">
        <v>166</v>
      </c>
      <c r="B167" s="1078" t="s">
        <v>7895</v>
      </c>
      <c r="C167" s="1078" t="s">
        <v>7896</v>
      </c>
      <c r="D167" s="1078">
        <v>13500</v>
      </c>
      <c r="E167" s="1078">
        <v>2</v>
      </c>
      <c r="F167" s="1078">
        <v>15000</v>
      </c>
      <c r="G167" s="1078">
        <v>1500</v>
      </c>
      <c r="H167" s="1078" t="s">
        <v>1397</v>
      </c>
    </row>
    <row r="168" spans="1:8" ht="22.5" x14ac:dyDescent="0.55000000000000004">
      <c r="A168" s="1078">
        <v>167</v>
      </c>
      <c r="B168" s="1078" t="s">
        <v>8028</v>
      </c>
      <c r="C168" s="1078" t="s">
        <v>8029</v>
      </c>
      <c r="D168" s="1078">
        <v>5320</v>
      </c>
      <c r="E168" s="1078">
        <v>14</v>
      </c>
      <c r="F168" s="1078">
        <v>7000</v>
      </c>
      <c r="G168" s="1078">
        <v>1680</v>
      </c>
      <c r="H168" s="1078" t="s">
        <v>1397</v>
      </c>
    </row>
    <row r="169" spans="1:8" ht="22.5" x14ac:dyDescent="0.55000000000000004">
      <c r="A169" s="1078">
        <v>168</v>
      </c>
      <c r="B169" s="1078" t="s">
        <v>8241</v>
      </c>
      <c r="C169" s="1078" t="s">
        <v>8242</v>
      </c>
      <c r="D169" s="1078">
        <v>17550</v>
      </c>
      <c r="E169" s="1078">
        <v>3</v>
      </c>
      <c r="F169" s="1078">
        <v>22500</v>
      </c>
      <c r="G169" s="1078">
        <v>4950</v>
      </c>
      <c r="H169" s="1078" t="s">
        <v>1397</v>
      </c>
    </row>
    <row r="170" spans="1:8" ht="22.5" x14ac:dyDescent="0.55000000000000004">
      <c r="A170" s="1078">
        <v>169</v>
      </c>
      <c r="B170" s="1078" t="s">
        <v>8390</v>
      </c>
      <c r="C170" s="1078" t="s">
        <v>8391</v>
      </c>
      <c r="D170" s="1078">
        <v>32000</v>
      </c>
      <c r="E170" s="1078">
        <v>1</v>
      </c>
      <c r="F170" s="1078">
        <v>35000</v>
      </c>
      <c r="G170" s="1078">
        <v>3000</v>
      </c>
      <c r="H170" s="1078" t="s">
        <v>1397</v>
      </c>
    </row>
    <row r="171" spans="1:8" ht="22.5" x14ac:dyDescent="0.55000000000000004">
      <c r="A171" s="1078">
        <v>170</v>
      </c>
      <c r="B171" s="1078" t="s">
        <v>8528</v>
      </c>
      <c r="C171" s="1078" t="s">
        <v>8529</v>
      </c>
      <c r="D171" s="1078">
        <v>2250</v>
      </c>
      <c r="E171" s="1078">
        <v>1</v>
      </c>
      <c r="F171" s="1078">
        <v>2500</v>
      </c>
      <c r="G171" s="1078">
        <v>250</v>
      </c>
      <c r="H171" s="1078" t="s">
        <v>1397</v>
      </c>
    </row>
    <row r="172" spans="1:8" ht="22.5" x14ac:dyDescent="0.55000000000000004">
      <c r="A172" s="1078">
        <v>171</v>
      </c>
      <c r="B172" s="1078" t="s">
        <v>8530</v>
      </c>
      <c r="C172" s="1078" t="s">
        <v>8531</v>
      </c>
      <c r="D172" s="1078">
        <v>21600</v>
      </c>
      <c r="E172" s="1078">
        <v>1</v>
      </c>
      <c r="F172" s="1078">
        <v>26000</v>
      </c>
      <c r="G172" s="1078">
        <v>4400</v>
      </c>
      <c r="H172" s="1078" t="s">
        <v>1397</v>
      </c>
    </row>
    <row r="173" spans="1:8" ht="22.5" x14ac:dyDescent="0.55000000000000004">
      <c r="A173" s="1078">
        <v>172</v>
      </c>
      <c r="B173" s="1078" t="s">
        <v>3108</v>
      </c>
      <c r="C173" s="1078" t="s">
        <v>3109</v>
      </c>
      <c r="D173" s="1078">
        <v>2565</v>
      </c>
      <c r="E173" s="1078">
        <v>1</v>
      </c>
      <c r="F173" s="1078">
        <v>3200</v>
      </c>
      <c r="G173" s="1078">
        <v>635</v>
      </c>
      <c r="H173" s="1078" t="s">
        <v>1093</v>
      </c>
    </row>
    <row r="174" spans="1:8" ht="22.5" x14ac:dyDescent="0.55000000000000004">
      <c r="A174" s="1078">
        <v>173</v>
      </c>
      <c r="B174" s="1078" t="s">
        <v>8532</v>
      </c>
      <c r="C174" s="1078" t="s">
        <v>8533</v>
      </c>
      <c r="D174" s="1078">
        <v>5200</v>
      </c>
      <c r="E174" s="1078">
        <v>1</v>
      </c>
      <c r="F174" s="1078">
        <v>6500</v>
      </c>
      <c r="G174" s="1078">
        <v>1300</v>
      </c>
      <c r="H174" s="1078" t="s">
        <v>1093</v>
      </c>
    </row>
    <row r="175" spans="1:8" ht="22.5" x14ac:dyDescent="0.55000000000000004">
      <c r="A175" s="1078">
        <v>174</v>
      </c>
      <c r="B175" s="1078" t="s">
        <v>1435</v>
      </c>
      <c r="C175" s="1078" t="s">
        <v>1436</v>
      </c>
      <c r="D175" s="1078">
        <v>12800</v>
      </c>
      <c r="E175" s="1078">
        <v>2</v>
      </c>
      <c r="F175" s="1078">
        <v>17000</v>
      </c>
      <c r="G175" s="1078">
        <v>4200</v>
      </c>
      <c r="H175" s="1078" t="s">
        <v>1093</v>
      </c>
    </row>
    <row r="176" spans="1:8" ht="22.5" x14ac:dyDescent="0.55000000000000004">
      <c r="A176" s="1078">
        <v>175</v>
      </c>
      <c r="B176" s="1078" t="s">
        <v>1437</v>
      </c>
      <c r="C176" s="1078" t="s">
        <v>1438</v>
      </c>
      <c r="D176" s="1078">
        <v>1135</v>
      </c>
      <c r="E176" s="1078">
        <v>1</v>
      </c>
      <c r="F176" s="1078">
        <v>3000</v>
      </c>
      <c r="G176" s="1078">
        <v>1865</v>
      </c>
      <c r="H176" s="1078" t="s">
        <v>1093</v>
      </c>
    </row>
    <row r="177" spans="1:8" ht="22.5" x14ac:dyDescent="0.55000000000000004">
      <c r="A177" s="1078">
        <v>176</v>
      </c>
      <c r="B177" s="1078" t="s">
        <v>6810</v>
      </c>
      <c r="C177" s="1078" t="s">
        <v>6811</v>
      </c>
      <c r="D177" s="1078">
        <v>9000</v>
      </c>
      <c r="E177" s="1078">
        <v>2</v>
      </c>
      <c r="F177" s="1078">
        <v>12000</v>
      </c>
      <c r="G177" s="1078">
        <v>3000</v>
      </c>
      <c r="H177" s="1078" t="s">
        <v>1093</v>
      </c>
    </row>
    <row r="178" spans="1:8" ht="22.5" x14ac:dyDescent="0.55000000000000004">
      <c r="A178" s="1078">
        <v>177</v>
      </c>
      <c r="B178" s="1078" t="s">
        <v>1441</v>
      </c>
      <c r="C178" s="1078" t="s">
        <v>1442</v>
      </c>
      <c r="D178" s="1078">
        <v>7670</v>
      </c>
      <c r="E178" s="1078">
        <v>1</v>
      </c>
      <c r="F178" s="1078">
        <v>5000</v>
      </c>
      <c r="G178" s="1078">
        <v>-2670</v>
      </c>
      <c r="H178" s="1078" t="s">
        <v>1093</v>
      </c>
    </row>
    <row r="179" spans="1:8" ht="22.5" x14ac:dyDescent="0.55000000000000004">
      <c r="A179" s="1078">
        <v>178</v>
      </c>
      <c r="B179" s="1078" t="s">
        <v>3940</v>
      </c>
      <c r="C179" s="1078" t="s">
        <v>3941</v>
      </c>
      <c r="D179" s="1078">
        <v>4192</v>
      </c>
      <c r="E179" s="1078">
        <v>1</v>
      </c>
      <c r="F179" s="1078">
        <v>10000</v>
      </c>
      <c r="G179" s="1078">
        <v>5808</v>
      </c>
      <c r="H179" s="1078" t="s">
        <v>1093</v>
      </c>
    </row>
    <row r="180" spans="1:8" ht="22.5" x14ac:dyDescent="0.55000000000000004">
      <c r="A180" s="1078">
        <v>179</v>
      </c>
      <c r="B180" s="1078" t="s">
        <v>6650</v>
      </c>
      <c r="C180" s="1078" t="s">
        <v>6651</v>
      </c>
      <c r="D180" s="1078">
        <v>1365</v>
      </c>
      <c r="E180" s="1078">
        <v>1</v>
      </c>
      <c r="F180" s="1078">
        <v>2000</v>
      </c>
      <c r="G180" s="1078">
        <v>635</v>
      </c>
      <c r="H180" s="1078" t="s">
        <v>1093</v>
      </c>
    </row>
    <row r="181" spans="1:8" ht="22.5" x14ac:dyDescent="0.55000000000000004">
      <c r="A181" s="1078">
        <v>180</v>
      </c>
      <c r="B181" s="1078" t="s">
        <v>3952</v>
      </c>
      <c r="C181" s="1078" t="s">
        <v>3953</v>
      </c>
      <c r="D181" s="1078">
        <v>563</v>
      </c>
      <c r="E181" s="1078">
        <v>1</v>
      </c>
      <c r="F181" s="1078">
        <v>1500</v>
      </c>
      <c r="G181" s="1078">
        <v>937</v>
      </c>
      <c r="H181" s="1078" t="s">
        <v>1093</v>
      </c>
    </row>
    <row r="182" spans="1:8" ht="22.5" x14ac:dyDescent="0.55000000000000004">
      <c r="A182" s="1078">
        <v>181</v>
      </c>
      <c r="B182" s="1078" t="s">
        <v>3954</v>
      </c>
      <c r="C182" s="1079" t="s">
        <v>7529</v>
      </c>
      <c r="D182" s="1078">
        <v>3140</v>
      </c>
      <c r="E182" s="1078">
        <v>2</v>
      </c>
      <c r="F182" s="1078">
        <v>4000</v>
      </c>
      <c r="G182" s="1078">
        <v>860</v>
      </c>
      <c r="H182" s="1078" t="s">
        <v>1093</v>
      </c>
    </row>
    <row r="183" spans="1:8" ht="22.5" x14ac:dyDescent="0.55000000000000004">
      <c r="A183" s="1078">
        <v>182</v>
      </c>
      <c r="B183" s="1078" t="s">
        <v>3955</v>
      </c>
      <c r="C183" s="1078" t="s">
        <v>3956</v>
      </c>
      <c r="D183" s="1078">
        <v>922</v>
      </c>
      <c r="E183" s="1078">
        <v>1</v>
      </c>
      <c r="F183" s="1078">
        <v>2500</v>
      </c>
      <c r="G183" s="1078">
        <v>1578</v>
      </c>
      <c r="H183" s="1078" t="s">
        <v>1093</v>
      </c>
    </row>
    <row r="184" spans="1:8" ht="22.5" x14ac:dyDescent="0.55000000000000004">
      <c r="A184" s="1078">
        <v>183</v>
      </c>
      <c r="B184" s="1078" t="s">
        <v>3957</v>
      </c>
      <c r="C184" s="1078" t="s">
        <v>3958</v>
      </c>
      <c r="D184" s="1078">
        <v>785</v>
      </c>
      <c r="E184" s="1078">
        <v>1</v>
      </c>
      <c r="F184" s="1078">
        <v>2500</v>
      </c>
      <c r="G184" s="1078">
        <v>1715</v>
      </c>
      <c r="H184" s="1078" t="s">
        <v>1093</v>
      </c>
    </row>
    <row r="185" spans="1:8" ht="22.5" x14ac:dyDescent="0.55000000000000004">
      <c r="A185" s="1078">
        <v>184</v>
      </c>
      <c r="B185" s="1078" t="s">
        <v>3959</v>
      </c>
      <c r="C185" s="1078" t="s">
        <v>3960</v>
      </c>
      <c r="D185" s="1078">
        <v>9000</v>
      </c>
      <c r="E185" s="1078">
        <v>2</v>
      </c>
      <c r="F185" s="1078">
        <v>10000</v>
      </c>
      <c r="G185" s="1078">
        <v>1000</v>
      </c>
      <c r="H185" s="1078" t="s">
        <v>1093</v>
      </c>
    </row>
    <row r="186" spans="1:8" ht="22.5" x14ac:dyDescent="0.55000000000000004">
      <c r="A186" s="1078">
        <v>185</v>
      </c>
      <c r="B186" s="1078" t="s">
        <v>3426</v>
      </c>
      <c r="C186" s="1078" t="s">
        <v>8534</v>
      </c>
      <c r="D186" s="1078">
        <v>87070</v>
      </c>
      <c r="E186" s="1078">
        <v>5</v>
      </c>
      <c r="F186" s="1078">
        <v>100000</v>
      </c>
      <c r="G186" s="1078">
        <v>12930</v>
      </c>
      <c r="H186" s="1078" t="s">
        <v>1093</v>
      </c>
    </row>
    <row r="187" spans="1:8" ht="22.5" x14ac:dyDescent="0.55000000000000004">
      <c r="A187" s="1078">
        <v>186</v>
      </c>
      <c r="B187" s="1078" t="s">
        <v>3029</v>
      </c>
      <c r="C187" s="1078" t="s">
        <v>3030</v>
      </c>
      <c r="D187" s="1078">
        <v>2694</v>
      </c>
      <c r="E187" s="1078">
        <v>6</v>
      </c>
      <c r="F187" s="1078">
        <v>5400</v>
      </c>
      <c r="G187" s="1078">
        <v>2706</v>
      </c>
      <c r="H187" s="1078" t="s">
        <v>1093</v>
      </c>
    </row>
    <row r="188" spans="1:8" ht="22.5" x14ac:dyDescent="0.55000000000000004">
      <c r="A188" s="1078">
        <v>187</v>
      </c>
      <c r="B188" s="1078" t="s">
        <v>3056</v>
      </c>
      <c r="C188" s="1078" t="s">
        <v>3057</v>
      </c>
      <c r="D188" s="1078">
        <v>4320</v>
      </c>
      <c r="E188" s="1078">
        <v>1</v>
      </c>
      <c r="F188" s="1078">
        <v>5500</v>
      </c>
      <c r="G188" s="1078">
        <v>1180</v>
      </c>
      <c r="H188" s="1078" t="s">
        <v>1093</v>
      </c>
    </row>
    <row r="189" spans="1:8" ht="22.5" x14ac:dyDescent="0.55000000000000004">
      <c r="A189" s="1078">
        <v>188</v>
      </c>
      <c r="B189" s="1078" t="s">
        <v>3031</v>
      </c>
      <c r="C189" s="1078" t="s">
        <v>7530</v>
      </c>
      <c r="D189" s="1078">
        <v>4465</v>
      </c>
      <c r="E189" s="1078">
        <v>1</v>
      </c>
      <c r="F189" s="1078">
        <v>5500</v>
      </c>
      <c r="G189" s="1078">
        <v>1035</v>
      </c>
      <c r="H189" s="1078" t="s">
        <v>1093</v>
      </c>
    </row>
    <row r="190" spans="1:8" ht="22.5" x14ac:dyDescent="0.55000000000000004">
      <c r="A190" s="1078">
        <v>189</v>
      </c>
      <c r="B190" s="1078" t="s">
        <v>3980</v>
      </c>
      <c r="C190" s="1078" t="s">
        <v>3981</v>
      </c>
      <c r="D190" s="1078">
        <v>348</v>
      </c>
      <c r="E190" s="1078">
        <v>2</v>
      </c>
      <c r="F190" s="1078">
        <v>1300</v>
      </c>
      <c r="G190" s="1078">
        <v>952</v>
      </c>
      <c r="H190" s="1078" t="s">
        <v>1093</v>
      </c>
    </row>
    <row r="191" spans="1:8" ht="22.5" x14ac:dyDescent="0.55000000000000004">
      <c r="A191" s="1078">
        <v>190</v>
      </c>
      <c r="B191" s="1078" t="s">
        <v>8247</v>
      </c>
      <c r="C191" s="1078" t="s">
        <v>8248</v>
      </c>
      <c r="D191" s="1078">
        <v>54540</v>
      </c>
      <c r="E191" s="1078">
        <v>2</v>
      </c>
      <c r="F191" s="1078">
        <v>60600</v>
      </c>
      <c r="G191" s="1078">
        <v>6060</v>
      </c>
      <c r="H191" s="1078" t="s">
        <v>1093</v>
      </c>
    </row>
    <row r="192" spans="1:8" ht="22.5" x14ac:dyDescent="0.55000000000000004">
      <c r="A192" s="1078">
        <v>191</v>
      </c>
      <c r="B192" s="1078" t="s">
        <v>3034</v>
      </c>
      <c r="C192" s="1078" t="s">
        <v>3035</v>
      </c>
      <c r="D192" s="1078">
        <v>1896</v>
      </c>
      <c r="E192" s="1078">
        <v>8</v>
      </c>
      <c r="F192" s="1078">
        <v>5600</v>
      </c>
      <c r="G192" s="1078">
        <v>3704</v>
      </c>
      <c r="H192" s="1078" t="s">
        <v>1093</v>
      </c>
    </row>
    <row r="193" spans="1:8" ht="22.5" x14ac:dyDescent="0.55000000000000004">
      <c r="A193" s="1078">
        <v>192</v>
      </c>
      <c r="B193" s="1078" t="s">
        <v>3986</v>
      </c>
      <c r="C193" s="1078" t="s">
        <v>3987</v>
      </c>
      <c r="D193" s="1078">
        <v>540</v>
      </c>
      <c r="E193" s="1078">
        <v>1</v>
      </c>
      <c r="F193" s="1078">
        <v>1300</v>
      </c>
      <c r="G193" s="1078">
        <v>760</v>
      </c>
      <c r="H193" s="1078" t="s">
        <v>1093</v>
      </c>
    </row>
    <row r="194" spans="1:8" ht="22.5" x14ac:dyDescent="0.55000000000000004">
      <c r="A194" s="1078">
        <v>193</v>
      </c>
      <c r="B194" s="1078" t="s">
        <v>7531</v>
      </c>
      <c r="C194" s="1078" t="s">
        <v>7532</v>
      </c>
      <c r="D194" s="1078">
        <v>22500</v>
      </c>
      <c r="E194" s="1078">
        <v>5</v>
      </c>
      <c r="F194" s="1078">
        <v>27500</v>
      </c>
      <c r="G194" s="1078">
        <v>5000</v>
      </c>
      <c r="H194" s="1078" t="s">
        <v>1093</v>
      </c>
    </row>
    <row r="195" spans="1:8" ht="22.5" x14ac:dyDescent="0.55000000000000004">
      <c r="A195" s="1078">
        <v>194</v>
      </c>
      <c r="B195" s="1078" t="s">
        <v>3994</v>
      </c>
      <c r="C195" s="1078" t="s">
        <v>3995</v>
      </c>
      <c r="D195" s="1078">
        <v>312</v>
      </c>
      <c r="E195" s="1078">
        <v>2</v>
      </c>
      <c r="F195" s="1078">
        <v>1000</v>
      </c>
      <c r="G195" s="1078">
        <v>688</v>
      </c>
      <c r="H195" s="1078" t="s">
        <v>1093</v>
      </c>
    </row>
    <row r="196" spans="1:8" ht="22.5" x14ac:dyDescent="0.55000000000000004">
      <c r="A196" s="1078">
        <v>195</v>
      </c>
      <c r="B196" s="1078" t="s">
        <v>3113</v>
      </c>
      <c r="C196" s="1078" t="s">
        <v>3114</v>
      </c>
      <c r="D196" s="1078">
        <v>12750</v>
      </c>
      <c r="E196" s="1078">
        <v>2</v>
      </c>
      <c r="F196" s="1078">
        <v>17000</v>
      </c>
      <c r="G196" s="1078">
        <v>4250</v>
      </c>
      <c r="H196" s="1078" t="s">
        <v>1093</v>
      </c>
    </row>
    <row r="197" spans="1:8" ht="22.5" x14ac:dyDescent="0.55000000000000004">
      <c r="A197" s="1078">
        <v>196</v>
      </c>
      <c r="B197" s="1078" t="s">
        <v>6294</v>
      </c>
      <c r="C197" s="1078" t="s">
        <v>6295</v>
      </c>
      <c r="D197" s="1078">
        <v>1580</v>
      </c>
      <c r="E197" s="1078">
        <v>1</v>
      </c>
      <c r="F197" s="1078">
        <v>2000</v>
      </c>
      <c r="G197" s="1078">
        <v>420</v>
      </c>
      <c r="H197" s="1078" t="s">
        <v>1093</v>
      </c>
    </row>
    <row r="198" spans="1:8" ht="22.5" x14ac:dyDescent="0.55000000000000004">
      <c r="A198" s="1078">
        <v>197</v>
      </c>
      <c r="B198" s="1078" t="s">
        <v>4001</v>
      </c>
      <c r="C198" s="1078" t="s">
        <v>4002</v>
      </c>
      <c r="D198" s="1078">
        <v>23075</v>
      </c>
      <c r="E198" s="1078">
        <v>1</v>
      </c>
      <c r="F198" s="1078">
        <v>33000</v>
      </c>
      <c r="G198" s="1078">
        <v>9925</v>
      </c>
      <c r="H198" s="1078" t="s">
        <v>1093</v>
      </c>
    </row>
    <row r="199" spans="1:8" ht="22.5" x14ac:dyDescent="0.55000000000000004">
      <c r="A199" s="1078">
        <v>198</v>
      </c>
      <c r="B199" s="1078" t="s">
        <v>4007</v>
      </c>
      <c r="C199" s="1079" t="s">
        <v>7331</v>
      </c>
      <c r="D199" s="1078">
        <v>5700</v>
      </c>
      <c r="E199" s="1078">
        <v>3</v>
      </c>
      <c r="F199" s="1078">
        <v>7500</v>
      </c>
      <c r="G199" s="1078">
        <v>1800</v>
      </c>
      <c r="H199" s="1078" t="s">
        <v>1093</v>
      </c>
    </row>
    <row r="200" spans="1:8" ht="22.5" x14ac:dyDescent="0.55000000000000004">
      <c r="A200" s="1078">
        <v>199</v>
      </c>
      <c r="B200" s="1078" t="s">
        <v>4008</v>
      </c>
      <c r="C200" s="1078" t="s">
        <v>4009</v>
      </c>
      <c r="D200" s="1078">
        <v>859</v>
      </c>
      <c r="E200" s="1078">
        <v>1</v>
      </c>
      <c r="F200" s="1078">
        <v>2000</v>
      </c>
      <c r="G200" s="1078">
        <v>1141</v>
      </c>
      <c r="H200" s="1078" t="s">
        <v>1093</v>
      </c>
    </row>
    <row r="201" spans="1:8" ht="22.5" x14ac:dyDescent="0.55000000000000004">
      <c r="A201" s="1078">
        <v>200</v>
      </c>
      <c r="B201" s="1078" t="s">
        <v>4012</v>
      </c>
      <c r="C201" s="1078" t="s">
        <v>4013</v>
      </c>
      <c r="D201" s="1078">
        <v>8900</v>
      </c>
      <c r="E201" s="1078">
        <v>2</v>
      </c>
      <c r="F201" s="1078">
        <v>12000</v>
      </c>
      <c r="G201" s="1078">
        <v>3100</v>
      </c>
      <c r="H201" s="1078" t="s">
        <v>1093</v>
      </c>
    </row>
    <row r="202" spans="1:8" ht="22.5" x14ac:dyDescent="0.55000000000000004">
      <c r="A202" s="1078">
        <v>201</v>
      </c>
      <c r="B202" s="1078" t="s">
        <v>4014</v>
      </c>
      <c r="C202" s="1078" t="s">
        <v>7332</v>
      </c>
      <c r="D202" s="1078">
        <v>14300</v>
      </c>
      <c r="E202" s="1078">
        <v>2</v>
      </c>
      <c r="F202" s="1078">
        <v>16000</v>
      </c>
      <c r="G202" s="1078">
        <v>1700</v>
      </c>
      <c r="H202" s="1078" t="s">
        <v>1093</v>
      </c>
    </row>
    <row r="203" spans="1:8" ht="22.5" x14ac:dyDescent="0.55000000000000004">
      <c r="A203" s="1078">
        <v>202</v>
      </c>
      <c r="B203" s="1078" t="s">
        <v>4018</v>
      </c>
      <c r="C203" s="1078" t="s">
        <v>7333</v>
      </c>
      <c r="D203" s="1078">
        <v>11200</v>
      </c>
      <c r="E203" s="1078">
        <v>28</v>
      </c>
      <c r="F203" s="1078">
        <v>14000</v>
      </c>
      <c r="G203" s="1078">
        <v>2800</v>
      </c>
      <c r="H203" s="1078" t="s">
        <v>1093</v>
      </c>
    </row>
    <row r="204" spans="1:8" ht="22.5" x14ac:dyDescent="0.55000000000000004">
      <c r="A204" s="1078">
        <v>203</v>
      </c>
      <c r="B204" s="1078" t="s">
        <v>4023</v>
      </c>
      <c r="C204" s="1078" t="s">
        <v>4024</v>
      </c>
      <c r="D204" s="1078">
        <v>3320</v>
      </c>
      <c r="E204" s="1078">
        <v>1</v>
      </c>
      <c r="F204" s="1078">
        <v>4500</v>
      </c>
      <c r="G204" s="1078">
        <v>1180</v>
      </c>
      <c r="H204" s="1078" t="s">
        <v>1093</v>
      </c>
    </row>
    <row r="205" spans="1:8" ht="22.5" x14ac:dyDescent="0.55000000000000004">
      <c r="A205" s="1078">
        <v>204</v>
      </c>
      <c r="B205" s="1078" t="s">
        <v>6815</v>
      </c>
      <c r="C205" s="1078" t="s">
        <v>4132</v>
      </c>
      <c r="D205" s="1078">
        <v>33400</v>
      </c>
      <c r="E205" s="1078">
        <v>2</v>
      </c>
      <c r="F205" s="1078">
        <v>39400</v>
      </c>
      <c r="G205" s="1078">
        <v>6000</v>
      </c>
      <c r="H205" s="1078" t="s">
        <v>1093</v>
      </c>
    </row>
    <row r="206" spans="1:8" ht="22.5" x14ac:dyDescent="0.55000000000000004">
      <c r="A206" s="1078">
        <v>205</v>
      </c>
      <c r="B206" s="1078" t="s">
        <v>1443</v>
      </c>
      <c r="C206" s="1078" t="s">
        <v>1444</v>
      </c>
      <c r="D206" s="1078">
        <v>3193</v>
      </c>
      <c r="E206" s="1078">
        <v>1</v>
      </c>
      <c r="F206" s="1078">
        <v>6000</v>
      </c>
      <c r="G206" s="1078">
        <v>2807</v>
      </c>
      <c r="H206" s="1078" t="s">
        <v>1093</v>
      </c>
    </row>
    <row r="207" spans="1:8" ht="22.5" x14ac:dyDescent="0.55000000000000004">
      <c r="A207" s="1078">
        <v>206</v>
      </c>
      <c r="B207" s="1078" t="s">
        <v>3322</v>
      </c>
      <c r="C207" s="1078" t="s">
        <v>6554</v>
      </c>
      <c r="D207" s="1078">
        <v>12750</v>
      </c>
      <c r="E207" s="1078">
        <v>3</v>
      </c>
      <c r="F207" s="1078">
        <v>15000</v>
      </c>
      <c r="G207" s="1078">
        <v>2250</v>
      </c>
      <c r="H207" s="1078" t="s">
        <v>1093</v>
      </c>
    </row>
    <row r="208" spans="1:8" ht="22.5" x14ac:dyDescent="0.55000000000000004">
      <c r="A208" s="1078">
        <v>207</v>
      </c>
      <c r="B208" s="1078" t="s">
        <v>4033</v>
      </c>
      <c r="C208" s="1078" t="s">
        <v>4034</v>
      </c>
      <c r="D208" s="1078">
        <v>58165</v>
      </c>
      <c r="E208" s="1078">
        <v>1</v>
      </c>
      <c r="F208" s="1078">
        <v>70000</v>
      </c>
      <c r="G208" s="1078">
        <v>11835</v>
      </c>
      <c r="H208" s="1078" t="s">
        <v>1093</v>
      </c>
    </row>
    <row r="209" spans="1:8" ht="22.5" x14ac:dyDescent="0.55000000000000004">
      <c r="A209" s="1078">
        <v>208</v>
      </c>
      <c r="B209" s="1078" t="s">
        <v>8535</v>
      </c>
      <c r="C209" s="1078" t="s">
        <v>8536</v>
      </c>
      <c r="D209" s="1078">
        <v>21800</v>
      </c>
      <c r="E209" s="1078">
        <v>4</v>
      </c>
      <c r="F209" s="1078">
        <v>24000</v>
      </c>
      <c r="G209" s="1078">
        <v>2200</v>
      </c>
      <c r="H209" s="1078" t="s">
        <v>1093</v>
      </c>
    </row>
    <row r="210" spans="1:8" ht="22.5" x14ac:dyDescent="0.55000000000000004">
      <c r="A210" s="1078">
        <v>209</v>
      </c>
      <c r="B210" s="1078" t="s">
        <v>3329</v>
      </c>
      <c r="C210" s="1078" t="s">
        <v>3330</v>
      </c>
      <c r="D210" s="1078">
        <v>2496</v>
      </c>
      <c r="E210" s="1078">
        <v>1</v>
      </c>
      <c r="F210" s="1078">
        <v>3200</v>
      </c>
      <c r="G210" s="1078">
        <v>704</v>
      </c>
      <c r="H210" s="1078" t="s">
        <v>1093</v>
      </c>
    </row>
    <row r="211" spans="1:8" ht="22.5" x14ac:dyDescent="0.55000000000000004">
      <c r="A211" s="1078">
        <v>210</v>
      </c>
      <c r="B211" s="1078" t="s">
        <v>4041</v>
      </c>
      <c r="C211" s="1078" t="s">
        <v>4042</v>
      </c>
      <c r="D211" s="1078">
        <v>4401</v>
      </c>
      <c r="E211" s="1078">
        <v>1</v>
      </c>
      <c r="F211" s="1078">
        <v>7500</v>
      </c>
      <c r="G211" s="1078">
        <v>3099</v>
      </c>
      <c r="H211" s="1078" t="s">
        <v>1093</v>
      </c>
    </row>
    <row r="212" spans="1:8" ht="22.5" x14ac:dyDescent="0.55000000000000004">
      <c r="A212" s="1078">
        <v>211</v>
      </c>
      <c r="B212" s="1078" t="s">
        <v>4043</v>
      </c>
      <c r="C212" s="1078" t="s">
        <v>8537</v>
      </c>
      <c r="D212" s="1078">
        <v>4369</v>
      </c>
      <c r="E212" s="1078">
        <v>1</v>
      </c>
      <c r="F212" s="1078">
        <v>6000</v>
      </c>
      <c r="G212" s="1078">
        <v>1631</v>
      </c>
      <c r="H212" s="1078" t="s">
        <v>1093</v>
      </c>
    </row>
    <row r="213" spans="1:8" ht="22.5" x14ac:dyDescent="0.55000000000000004">
      <c r="A213" s="1078">
        <v>212</v>
      </c>
      <c r="B213" s="1078" t="s">
        <v>4044</v>
      </c>
      <c r="C213" s="1078" t="s">
        <v>4045</v>
      </c>
      <c r="D213" s="1078">
        <v>2108</v>
      </c>
      <c r="E213" s="1078">
        <v>1</v>
      </c>
      <c r="F213" s="1078">
        <v>3500</v>
      </c>
      <c r="G213" s="1078">
        <v>1392</v>
      </c>
      <c r="H213" s="1078" t="s">
        <v>1093</v>
      </c>
    </row>
    <row r="214" spans="1:8" ht="22.5" x14ac:dyDescent="0.55000000000000004">
      <c r="A214" s="1078">
        <v>213</v>
      </c>
      <c r="B214" s="1078" t="s">
        <v>4046</v>
      </c>
      <c r="C214" s="1078" t="s">
        <v>4047</v>
      </c>
      <c r="D214" s="1078">
        <v>16500</v>
      </c>
      <c r="E214" s="1078">
        <v>1</v>
      </c>
      <c r="F214" s="1078">
        <v>19000</v>
      </c>
      <c r="G214" s="1078">
        <v>2500</v>
      </c>
      <c r="H214" s="1078" t="s">
        <v>1093</v>
      </c>
    </row>
    <row r="215" spans="1:8" ht="22.5" x14ac:dyDescent="0.55000000000000004">
      <c r="A215" s="1078">
        <v>214</v>
      </c>
      <c r="B215" s="1078" t="s">
        <v>3430</v>
      </c>
      <c r="C215" s="1078" t="s">
        <v>6816</v>
      </c>
      <c r="D215" s="1078">
        <v>1719</v>
      </c>
      <c r="E215" s="1078">
        <v>3</v>
      </c>
      <c r="F215" s="1078">
        <v>2400</v>
      </c>
      <c r="G215" s="1078">
        <v>681</v>
      </c>
      <c r="H215" s="1078" t="s">
        <v>1093</v>
      </c>
    </row>
    <row r="216" spans="1:8" ht="22.5" x14ac:dyDescent="0.55000000000000004">
      <c r="A216" s="1078">
        <v>215</v>
      </c>
      <c r="B216" s="1078" t="s">
        <v>7533</v>
      </c>
      <c r="C216" s="1078" t="s">
        <v>7534</v>
      </c>
      <c r="D216" s="1078">
        <v>6288</v>
      </c>
      <c r="E216" s="1078">
        <v>2</v>
      </c>
      <c r="F216" s="1078">
        <v>9000</v>
      </c>
      <c r="G216" s="1078">
        <v>2712</v>
      </c>
      <c r="H216" s="1078" t="s">
        <v>1093</v>
      </c>
    </row>
    <row r="217" spans="1:8" ht="22.5" x14ac:dyDescent="0.55000000000000004">
      <c r="A217" s="1078">
        <v>216</v>
      </c>
      <c r="B217" s="1078" t="s">
        <v>6254</v>
      </c>
      <c r="C217" s="1078" t="s">
        <v>6255</v>
      </c>
      <c r="D217" s="1078">
        <v>3650</v>
      </c>
      <c r="E217" s="1078">
        <v>1</v>
      </c>
      <c r="F217" s="1078">
        <v>6000</v>
      </c>
      <c r="G217" s="1078">
        <v>2350</v>
      </c>
      <c r="H217" s="1078" t="s">
        <v>1093</v>
      </c>
    </row>
    <row r="218" spans="1:8" ht="22.5" x14ac:dyDescent="0.55000000000000004">
      <c r="A218" s="1078">
        <v>217</v>
      </c>
      <c r="B218" s="1078" t="s">
        <v>6384</v>
      </c>
      <c r="C218" s="1078" t="s">
        <v>6385</v>
      </c>
      <c r="D218" s="1078">
        <v>7100</v>
      </c>
      <c r="E218" s="1078">
        <v>1</v>
      </c>
      <c r="F218" s="1078">
        <v>9000</v>
      </c>
      <c r="G218" s="1078">
        <v>1900</v>
      </c>
      <c r="H218" s="1078" t="s">
        <v>1093</v>
      </c>
    </row>
    <row r="219" spans="1:8" ht="22.5" x14ac:dyDescent="0.55000000000000004">
      <c r="A219" s="1078">
        <v>218</v>
      </c>
      <c r="B219" s="1078" t="s">
        <v>8538</v>
      </c>
      <c r="C219" s="1078" t="s">
        <v>8539</v>
      </c>
      <c r="D219" s="1078">
        <v>33250</v>
      </c>
      <c r="E219" s="1078">
        <v>2</v>
      </c>
      <c r="F219" s="1078">
        <v>40000</v>
      </c>
      <c r="G219" s="1078">
        <v>6750</v>
      </c>
      <c r="H219" s="1078" t="s">
        <v>1093</v>
      </c>
    </row>
    <row r="220" spans="1:8" ht="22.5" x14ac:dyDescent="0.55000000000000004">
      <c r="A220" s="1078">
        <v>219</v>
      </c>
      <c r="B220" s="1078" t="s">
        <v>4056</v>
      </c>
      <c r="C220" s="1078" t="s">
        <v>4057</v>
      </c>
      <c r="D220" s="1078">
        <v>2748</v>
      </c>
      <c r="E220" s="1078">
        <v>3</v>
      </c>
      <c r="F220" s="1078">
        <v>6000</v>
      </c>
      <c r="G220" s="1078">
        <v>3252</v>
      </c>
      <c r="H220" s="1078" t="s">
        <v>1093</v>
      </c>
    </row>
    <row r="221" spans="1:8" ht="22.5" x14ac:dyDescent="0.55000000000000004">
      <c r="A221" s="1078">
        <v>220</v>
      </c>
      <c r="B221" s="1078" t="s">
        <v>6555</v>
      </c>
      <c r="C221" s="1078" t="s">
        <v>6556</v>
      </c>
      <c r="D221" s="1078">
        <v>2699</v>
      </c>
      <c r="E221" s="1078">
        <v>1</v>
      </c>
      <c r="F221" s="1078">
        <v>4500</v>
      </c>
      <c r="G221" s="1078">
        <v>1801</v>
      </c>
      <c r="H221" s="1078" t="s">
        <v>1093</v>
      </c>
    </row>
    <row r="222" spans="1:8" ht="22.5" x14ac:dyDescent="0.55000000000000004">
      <c r="A222" s="1078">
        <v>221</v>
      </c>
      <c r="B222" s="1078" t="s">
        <v>6667</v>
      </c>
      <c r="C222" s="1078" t="s">
        <v>6083</v>
      </c>
      <c r="D222" s="1078">
        <v>900</v>
      </c>
      <c r="E222" s="1078">
        <v>6</v>
      </c>
      <c r="F222" s="1078">
        <v>1500</v>
      </c>
      <c r="G222" s="1078">
        <v>600</v>
      </c>
      <c r="H222" s="1078" t="s">
        <v>1093</v>
      </c>
    </row>
    <row r="223" spans="1:8" ht="22.5" x14ac:dyDescent="0.55000000000000004">
      <c r="A223" s="1078">
        <v>222</v>
      </c>
      <c r="B223" s="1078" t="s">
        <v>6670</v>
      </c>
      <c r="C223" s="1078" t="s">
        <v>6671</v>
      </c>
      <c r="D223" s="1078">
        <v>735</v>
      </c>
      <c r="E223" s="1078">
        <v>1</v>
      </c>
      <c r="F223" s="1078">
        <v>1500</v>
      </c>
      <c r="G223" s="1078">
        <v>765</v>
      </c>
      <c r="H223" s="1078" t="s">
        <v>1093</v>
      </c>
    </row>
    <row r="224" spans="1:8" ht="22.5" x14ac:dyDescent="0.55000000000000004">
      <c r="A224" s="1078">
        <v>223</v>
      </c>
      <c r="B224" s="1078" t="s">
        <v>6672</v>
      </c>
      <c r="C224" s="1078" t="s">
        <v>6673</v>
      </c>
      <c r="D224" s="1078">
        <v>2700</v>
      </c>
      <c r="E224" s="1078">
        <v>6</v>
      </c>
      <c r="F224" s="1078">
        <v>4800</v>
      </c>
      <c r="G224" s="1078">
        <v>2100</v>
      </c>
      <c r="H224" s="1078" t="s">
        <v>1093</v>
      </c>
    </row>
    <row r="225" spans="1:8" ht="22.5" x14ac:dyDescent="0.55000000000000004">
      <c r="A225" s="1078">
        <v>224</v>
      </c>
      <c r="B225" s="1078" t="s">
        <v>6674</v>
      </c>
      <c r="C225" s="1078" t="s">
        <v>6675</v>
      </c>
      <c r="D225" s="1078">
        <v>34000</v>
      </c>
      <c r="E225" s="1078">
        <v>1</v>
      </c>
      <c r="F225" s="1078">
        <v>40000</v>
      </c>
      <c r="G225" s="1078">
        <v>6000</v>
      </c>
      <c r="H225" s="1078" t="s">
        <v>1093</v>
      </c>
    </row>
    <row r="226" spans="1:8" ht="22.5" x14ac:dyDescent="0.55000000000000004">
      <c r="A226" s="1078">
        <v>225</v>
      </c>
      <c r="B226" s="1078" t="s">
        <v>6980</v>
      </c>
      <c r="C226" s="1078" t="s">
        <v>6981</v>
      </c>
      <c r="D226" s="1078">
        <v>22000</v>
      </c>
      <c r="E226" s="1078">
        <v>4</v>
      </c>
      <c r="F226" s="1078">
        <v>30000</v>
      </c>
      <c r="G226" s="1078">
        <v>8000</v>
      </c>
      <c r="H226" s="1078" t="s">
        <v>1093</v>
      </c>
    </row>
    <row r="227" spans="1:8" ht="22.5" x14ac:dyDescent="0.55000000000000004">
      <c r="A227" s="1078">
        <v>226</v>
      </c>
      <c r="B227" s="1078" t="s">
        <v>6817</v>
      </c>
      <c r="C227" s="1078" t="s">
        <v>6818</v>
      </c>
      <c r="D227" s="1078">
        <v>90000</v>
      </c>
      <c r="E227" s="1078">
        <v>2</v>
      </c>
      <c r="F227" s="1078">
        <v>110000</v>
      </c>
      <c r="G227" s="1078">
        <v>20000</v>
      </c>
      <c r="H227" s="1078" t="s">
        <v>1093</v>
      </c>
    </row>
    <row r="228" spans="1:8" ht="22.5" x14ac:dyDescent="0.55000000000000004">
      <c r="A228" s="1078">
        <v>227</v>
      </c>
      <c r="B228" s="1078" t="s">
        <v>6989</v>
      </c>
      <c r="C228" s="1078" t="s">
        <v>6990</v>
      </c>
      <c r="D228" s="1078">
        <v>7000</v>
      </c>
      <c r="E228" s="1078">
        <v>1</v>
      </c>
      <c r="F228" s="1078">
        <v>10000</v>
      </c>
      <c r="G228" s="1078">
        <v>3000</v>
      </c>
      <c r="H228" s="1078" t="s">
        <v>1093</v>
      </c>
    </row>
    <row r="229" spans="1:8" ht="22.5" x14ac:dyDescent="0.55000000000000004">
      <c r="A229" s="1078">
        <v>228</v>
      </c>
      <c r="B229" s="1078" t="s">
        <v>8540</v>
      </c>
      <c r="C229" s="1078" t="s">
        <v>8541</v>
      </c>
      <c r="D229" s="1078">
        <v>28750</v>
      </c>
      <c r="E229" s="1078">
        <v>5</v>
      </c>
      <c r="F229" s="1078">
        <v>37500</v>
      </c>
      <c r="G229" s="1078">
        <v>8750</v>
      </c>
      <c r="H229" s="1078" t="s">
        <v>1093</v>
      </c>
    </row>
    <row r="230" spans="1:8" ht="22.5" x14ac:dyDescent="0.55000000000000004">
      <c r="A230" s="1078">
        <v>229</v>
      </c>
      <c r="B230" s="1078" t="s">
        <v>6995</v>
      </c>
      <c r="C230" s="1078" t="s">
        <v>6996</v>
      </c>
      <c r="D230" s="1078">
        <v>7968</v>
      </c>
      <c r="E230" s="1078">
        <v>2</v>
      </c>
      <c r="F230" s="1078">
        <v>12000</v>
      </c>
      <c r="G230" s="1078">
        <v>4032</v>
      </c>
      <c r="H230" s="1078" t="s">
        <v>1093</v>
      </c>
    </row>
    <row r="231" spans="1:8" ht="22.5" x14ac:dyDescent="0.55000000000000004">
      <c r="A231" s="1078">
        <v>230</v>
      </c>
      <c r="B231" s="1078" t="s">
        <v>6828</v>
      </c>
      <c r="C231" s="1078" t="s">
        <v>6829</v>
      </c>
      <c r="D231" s="1078">
        <v>3500</v>
      </c>
      <c r="E231" s="1078">
        <v>1</v>
      </c>
      <c r="F231" s="1078">
        <v>5000</v>
      </c>
      <c r="G231" s="1078">
        <v>1500</v>
      </c>
      <c r="H231" s="1078" t="s">
        <v>1093</v>
      </c>
    </row>
    <row r="232" spans="1:8" ht="22.5" x14ac:dyDescent="0.55000000000000004">
      <c r="A232" s="1078">
        <v>231</v>
      </c>
      <c r="B232" s="1078" t="s">
        <v>7001</v>
      </c>
      <c r="C232" s="1078" t="s">
        <v>7002</v>
      </c>
      <c r="D232" s="1078">
        <v>3070</v>
      </c>
      <c r="E232" s="1078">
        <v>1</v>
      </c>
      <c r="F232" s="1078">
        <v>4000</v>
      </c>
      <c r="G232" s="1078">
        <v>930</v>
      </c>
      <c r="H232" s="1078" t="s">
        <v>1093</v>
      </c>
    </row>
    <row r="233" spans="1:8" ht="22.5" x14ac:dyDescent="0.55000000000000004">
      <c r="A233" s="1078">
        <v>232</v>
      </c>
      <c r="B233" s="1078" t="s">
        <v>7016</v>
      </c>
      <c r="C233" s="1078" t="s">
        <v>7017</v>
      </c>
      <c r="D233" s="1078">
        <v>16500</v>
      </c>
      <c r="E233" s="1078">
        <v>1</v>
      </c>
      <c r="F233" s="1078">
        <v>20000</v>
      </c>
      <c r="G233" s="1078">
        <v>3500</v>
      </c>
      <c r="H233" s="1078" t="s">
        <v>1093</v>
      </c>
    </row>
    <row r="234" spans="1:8" ht="22.5" x14ac:dyDescent="0.55000000000000004">
      <c r="A234" s="1078">
        <v>233</v>
      </c>
      <c r="B234" s="1078" t="s">
        <v>6834</v>
      </c>
      <c r="C234" s="1078" t="s">
        <v>6835</v>
      </c>
      <c r="D234" s="1078">
        <v>8424</v>
      </c>
      <c r="E234" s="1078">
        <v>2</v>
      </c>
      <c r="F234" s="1078">
        <v>10000</v>
      </c>
      <c r="G234" s="1078">
        <v>1576</v>
      </c>
      <c r="H234" s="1078" t="s">
        <v>1093</v>
      </c>
    </row>
    <row r="235" spans="1:8" ht="22.5" x14ac:dyDescent="0.55000000000000004">
      <c r="A235" s="1078">
        <v>234</v>
      </c>
      <c r="B235" s="1078" t="s">
        <v>7020</v>
      </c>
      <c r="C235" s="1078" t="s">
        <v>7021</v>
      </c>
      <c r="D235" s="1078">
        <v>4270</v>
      </c>
      <c r="E235" s="1078">
        <v>1</v>
      </c>
      <c r="F235" s="1078">
        <v>5500</v>
      </c>
      <c r="G235" s="1078">
        <v>1230</v>
      </c>
      <c r="H235" s="1078" t="s">
        <v>1093</v>
      </c>
    </row>
    <row r="236" spans="1:8" ht="22.5" x14ac:dyDescent="0.55000000000000004">
      <c r="A236" s="1078">
        <v>235</v>
      </c>
      <c r="B236" s="1078" t="s">
        <v>7026</v>
      </c>
      <c r="C236" s="1078" t="s">
        <v>7027</v>
      </c>
      <c r="D236" s="1078">
        <v>9520</v>
      </c>
      <c r="E236" s="1078">
        <v>1</v>
      </c>
      <c r="F236" s="1078">
        <v>11000</v>
      </c>
      <c r="G236" s="1078">
        <v>1480</v>
      </c>
      <c r="H236" s="1078" t="s">
        <v>1093</v>
      </c>
    </row>
    <row r="237" spans="1:8" ht="22.5" x14ac:dyDescent="0.55000000000000004">
      <c r="A237" s="1078">
        <v>236</v>
      </c>
      <c r="B237" s="1078" t="s">
        <v>7038</v>
      </c>
      <c r="C237" s="1078" t="s">
        <v>7039</v>
      </c>
      <c r="D237" s="1078">
        <v>12000</v>
      </c>
      <c r="E237" s="1078">
        <v>2</v>
      </c>
      <c r="F237" s="1078">
        <v>24000</v>
      </c>
      <c r="G237" s="1078">
        <v>12000</v>
      </c>
      <c r="H237" s="1078" t="s">
        <v>1093</v>
      </c>
    </row>
    <row r="238" spans="1:8" ht="22.5" x14ac:dyDescent="0.55000000000000004">
      <c r="A238" s="1078">
        <v>237</v>
      </c>
      <c r="B238" s="1078" t="s">
        <v>7044</v>
      </c>
      <c r="C238" s="1078" t="s">
        <v>7045</v>
      </c>
      <c r="D238" s="1078">
        <v>3398</v>
      </c>
      <c r="E238" s="1078">
        <v>1</v>
      </c>
      <c r="F238" s="1078">
        <v>6000</v>
      </c>
      <c r="G238" s="1078">
        <v>2602</v>
      </c>
      <c r="H238" s="1078" t="s">
        <v>1093</v>
      </c>
    </row>
    <row r="239" spans="1:8" ht="22.5" x14ac:dyDescent="0.55000000000000004">
      <c r="A239" s="1078">
        <v>238</v>
      </c>
      <c r="B239" s="1078" t="s">
        <v>1447</v>
      </c>
      <c r="C239" s="1078" t="s">
        <v>1448</v>
      </c>
      <c r="D239" s="1078">
        <v>93</v>
      </c>
      <c r="E239" s="1078">
        <v>1</v>
      </c>
      <c r="F239" s="1078">
        <v>300</v>
      </c>
      <c r="G239" s="1078">
        <v>207</v>
      </c>
      <c r="H239" s="1078" t="s">
        <v>1093</v>
      </c>
    </row>
    <row r="240" spans="1:8" ht="22.5" x14ac:dyDescent="0.55000000000000004">
      <c r="A240" s="1078">
        <v>239</v>
      </c>
      <c r="B240" s="1078" t="s">
        <v>7052</v>
      </c>
      <c r="C240" s="1078" t="s">
        <v>7053</v>
      </c>
      <c r="D240" s="1078">
        <v>1445</v>
      </c>
      <c r="E240" s="1078">
        <v>1</v>
      </c>
      <c r="F240" s="1078">
        <v>2500</v>
      </c>
      <c r="G240" s="1078">
        <v>1055</v>
      </c>
      <c r="H240" s="1078" t="s">
        <v>1093</v>
      </c>
    </row>
    <row r="241" spans="1:8" ht="22.5" x14ac:dyDescent="0.55000000000000004">
      <c r="A241" s="1078">
        <v>240</v>
      </c>
      <c r="B241" s="1078" t="s">
        <v>7543</v>
      </c>
      <c r="C241" s="1078" t="s">
        <v>7544</v>
      </c>
      <c r="D241" s="1078">
        <v>4400</v>
      </c>
      <c r="E241" s="1078">
        <v>2</v>
      </c>
      <c r="F241" s="1078">
        <v>6000</v>
      </c>
      <c r="G241" s="1078">
        <v>1600</v>
      </c>
      <c r="H241" s="1078" t="s">
        <v>1093</v>
      </c>
    </row>
    <row r="242" spans="1:8" ht="22.5" x14ac:dyDescent="0.55000000000000004">
      <c r="A242" s="1078">
        <v>241</v>
      </c>
      <c r="B242" s="1078" t="s">
        <v>6559</v>
      </c>
      <c r="C242" s="1078" t="s">
        <v>7335</v>
      </c>
      <c r="D242" s="1078">
        <v>1524</v>
      </c>
      <c r="E242" s="1078">
        <v>3</v>
      </c>
      <c r="F242" s="1078">
        <v>3000</v>
      </c>
      <c r="G242" s="1078">
        <v>1476</v>
      </c>
      <c r="H242" s="1078" t="s">
        <v>1093</v>
      </c>
    </row>
    <row r="243" spans="1:8" ht="22.5" x14ac:dyDescent="0.55000000000000004">
      <c r="A243" s="1078">
        <v>242</v>
      </c>
      <c r="B243" s="1078" t="s">
        <v>7338</v>
      </c>
      <c r="C243" s="1078" t="s">
        <v>7339</v>
      </c>
      <c r="D243" s="1078">
        <v>2500</v>
      </c>
      <c r="E243" s="1078">
        <v>1</v>
      </c>
      <c r="F243" s="1078">
        <v>3500</v>
      </c>
      <c r="G243" s="1078">
        <v>1000</v>
      </c>
      <c r="H243" s="1078" t="s">
        <v>1093</v>
      </c>
    </row>
    <row r="244" spans="1:8" ht="22.5" x14ac:dyDescent="0.55000000000000004">
      <c r="A244" s="1078">
        <v>243</v>
      </c>
      <c r="B244" s="1078" t="s">
        <v>7589</v>
      </c>
      <c r="C244" s="1078" t="s">
        <v>7590</v>
      </c>
      <c r="D244" s="1078">
        <v>3601</v>
      </c>
      <c r="E244" s="1078">
        <v>1</v>
      </c>
      <c r="F244" s="1078">
        <v>5000</v>
      </c>
      <c r="G244" s="1078">
        <v>1399</v>
      </c>
      <c r="H244" s="1078" t="s">
        <v>1093</v>
      </c>
    </row>
    <row r="245" spans="1:8" ht="22.5" x14ac:dyDescent="0.55000000000000004">
      <c r="A245" s="1078">
        <v>244</v>
      </c>
      <c r="B245" s="1078" t="s">
        <v>8045</v>
      </c>
      <c r="C245" s="1078" t="s">
        <v>8046</v>
      </c>
      <c r="D245" s="1078">
        <v>2520</v>
      </c>
      <c r="E245" s="1078">
        <v>6</v>
      </c>
      <c r="F245" s="1078">
        <v>4200</v>
      </c>
      <c r="G245" s="1078">
        <v>1680</v>
      </c>
      <c r="H245" s="1078" t="s">
        <v>1093</v>
      </c>
    </row>
    <row r="246" spans="1:8" ht="22.5" x14ac:dyDescent="0.55000000000000004">
      <c r="A246" s="1078">
        <v>245</v>
      </c>
      <c r="B246" s="1078" t="s">
        <v>7903</v>
      </c>
      <c r="C246" s="1078" t="s">
        <v>7904</v>
      </c>
      <c r="D246" s="1078">
        <v>2580</v>
      </c>
      <c r="E246" s="1078">
        <v>4</v>
      </c>
      <c r="F246" s="1078">
        <v>4000</v>
      </c>
      <c r="G246" s="1078">
        <v>1420</v>
      </c>
      <c r="H246" s="1078" t="s">
        <v>1093</v>
      </c>
    </row>
    <row r="247" spans="1:8" ht="22.5" x14ac:dyDescent="0.55000000000000004">
      <c r="A247" s="1078">
        <v>246</v>
      </c>
      <c r="B247" s="1078" t="s">
        <v>8257</v>
      </c>
      <c r="C247" s="1078" t="s">
        <v>8258</v>
      </c>
      <c r="D247" s="1078">
        <v>4455</v>
      </c>
      <c r="E247" s="1078">
        <v>1</v>
      </c>
      <c r="F247" s="1078">
        <v>5500</v>
      </c>
      <c r="G247" s="1078">
        <v>1045</v>
      </c>
      <c r="H247" s="1078" t="s">
        <v>1093</v>
      </c>
    </row>
    <row r="248" spans="1:8" ht="22.5" x14ac:dyDescent="0.55000000000000004">
      <c r="A248" s="1078">
        <v>247</v>
      </c>
      <c r="B248" s="1078" t="s">
        <v>8402</v>
      </c>
      <c r="C248" s="1078" t="s">
        <v>8403</v>
      </c>
      <c r="D248" s="1078">
        <v>2926</v>
      </c>
      <c r="E248" s="1078">
        <v>2</v>
      </c>
      <c r="F248" s="1078">
        <v>4000</v>
      </c>
      <c r="G248" s="1078">
        <v>1074</v>
      </c>
      <c r="H248" s="1078" t="s">
        <v>1093</v>
      </c>
    </row>
    <row r="249" spans="1:8" ht="22.5" x14ac:dyDescent="0.55000000000000004">
      <c r="A249" s="1078">
        <v>248</v>
      </c>
      <c r="B249" s="1078" t="s">
        <v>8542</v>
      </c>
      <c r="C249" s="1078" t="s">
        <v>8543</v>
      </c>
      <c r="D249" s="1078">
        <v>27250</v>
      </c>
      <c r="E249" s="1078">
        <v>1</v>
      </c>
      <c r="F249" s="1078">
        <v>30000</v>
      </c>
      <c r="G249" s="1078">
        <v>2750</v>
      </c>
      <c r="H249" s="1078" t="s">
        <v>1093</v>
      </c>
    </row>
    <row r="250" spans="1:8" ht="22.5" x14ac:dyDescent="0.55000000000000004">
      <c r="A250" s="1078">
        <v>249</v>
      </c>
      <c r="B250" s="1078" t="s">
        <v>8544</v>
      </c>
      <c r="C250" s="1078" t="s">
        <v>8545</v>
      </c>
      <c r="D250" s="1078">
        <v>428</v>
      </c>
      <c r="E250" s="1078">
        <v>2</v>
      </c>
      <c r="F250" s="1078">
        <v>1000</v>
      </c>
      <c r="G250" s="1078">
        <v>572</v>
      </c>
      <c r="H250" s="1078" t="s">
        <v>1093</v>
      </c>
    </row>
    <row r="251" spans="1:8" ht="22.5" x14ac:dyDescent="0.55000000000000004">
      <c r="A251" s="1078">
        <v>250</v>
      </c>
      <c r="B251" s="1078" t="s">
        <v>3036</v>
      </c>
      <c r="C251" s="1078" t="s">
        <v>3037</v>
      </c>
      <c r="D251" s="1078">
        <v>300</v>
      </c>
      <c r="E251" s="1078">
        <v>3</v>
      </c>
      <c r="F251" s="1078">
        <v>900</v>
      </c>
      <c r="G251" s="1078">
        <v>600</v>
      </c>
      <c r="H251" s="1078" t="s">
        <v>1093</v>
      </c>
    </row>
    <row r="252" spans="1:8" ht="22.5" x14ac:dyDescent="0.55000000000000004">
      <c r="A252" s="1078">
        <v>251</v>
      </c>
      <c r="B252" s="1078" t="s">
        <v>6165</v>
      </c>
      <c r="C252" s="1078" t="s">
        <v>7342</v>
      </c>
      <c r="D252" s="1078">
        <v>6162</v>
      </c>
      <c r="E252" s="1078">
        <v>1</v>
      </c>
      <c r="F252" s="1078">
        <v>6000</v>
      </c>
      <c r="G252" s="1078">
        <v>-162</v>
      </c>
      <c r="H252" s="1078" t="s">
        <v>1093</v>
      </c>
    </row>
    <row r="253" spans="1:8" ht="22.5" x14ac:dyDescent="0.55000000000000004">
      <c r="A253" s="1078">
        <v>252</v>
      </c>
      <c r="B253" s="1078" t="s">
        <v>7907</v>
      </c>
      <c r="C253" s="1078" t="s">
        <v>8416</v>
      </c>
      <c r="D253" s="1078">
        <v>14500</v>
      </c>
      <c r="E253" s="1078">
        <v>1</v>
      </c>
      <c r="F253" s="1078">
        <v>15000</v>
      </c>
      <c r="G253" s="1078">
        <v>500</v>
      </c>
      <c r="H253" s="1078" t="s">
        <v>1093</v>
      </c>
    </row>
    <row r="254" spans="1:8" ht="22.5" x14ac:dyDescent="0.55000000000000004">
      <c r="A254" s="1078">
        <v>253</v>
      </c>
      <c r="B254" s="1078" t="s">
        <v>4083</v>
      </c>
      <c r="C254" s="1078" t="s">
        <v>4084</v>
      </c>
      <c r="D254" s="1078">
        <v>1100</v>
      </c>
      <c r="E254" s="1078">
        <v>1</v>
      </c>
      <c r="F254" s="1078">
        <v>1700</v>
      </c>
      <c r="G254" s="1078">
        <v>600</v>
      </c>
      <c r="H254" s="1078" t="s">
        <v>1093</v>
      </c>
    </row>
    <row r="255" spans="1:8" ht="22.5" x14ac:dyDescent="0.55000000000000004">
      <c r="A255" s="1078">
        <v>254</v>
      </c>
      <c r="B255" s="1078" t="s">
        <v>1451</v>
      </c>
      <c r="C255" s="1078" t="s">
        <v>1452</v>
      </c>
      <c r="D255" s="1078">
        <v>2480</v>
      </c>
      <c r="E255" s="1078">
        <v>1</v>
      </c>
      <c r="F255" s="1078">
        <v>3000</v>
      </c>
      <c r="G255" s="1078">
        <v>520</v>
      </c>
      <c r="H255" s="1078" t="s">
        <v>1093</v>
      </c>
    </row>
    <row r="256" spans="1:8" ht="22.5" x14ac:dyDescent="0.55000000000000004">
      <c r="A256" s="1078">
        <v>255</v>
      </c>
      <c r="B256" s="1078" t="s">
        <v>8546</v>
      </c>
      <c r="C256" s="1078" t="s">
        <v>8547</v>
      </c>
      <c r="D256" s="1078">
        <v>452</v>
      </c>
      <c r="E256" s="1078">
        <v>2</v>
      </c>
      <c r="F256" s="1078">
        <v>1000</v>
      </c>
      <c r="G256" s="1078">
        <v>548</v>
      </c>
      <c r="H256" s="1078" t="s">
        <v>1093</v>
      </c>
    </row>
    <row r="257" spans="1:8" ht="22.5" x14ac:dyDescent="0.55000000000000004">
      <c r="A257" s="1078">
        <v>256</v>
      </c>
      <c r="B257" s="1078" t="s">
        <v>2259</v>
      </c>
      <c r="C257" s="1078" t="s">
        <v>7908</v>
      </c>
      <c r="D257" s="1078">
        <v>700</v>
      </c>
      <c r="E257" s="1078">
        <v>2</v>
      </c>
      <c r="F257" s="1078">
        <v>2200</v>
      </c>
      <c r="G257" s="1078">
        <v>1500</v>
      </c>
      <c r="H257" s="1078" t="s">
        <v>1093</v>
      </c>
    </row>
    <row r="258" spans="1:8" ht="22.5" x14ac:dyDescent="0.55000000000000004">
      <c r="A258" s="1078">
        <v>257</v>
      </c>
      <c r="B258" s="1078" t="s">
        <v>4088</v>
      </c>
      <c r="C258" s="1079" t="s">
        <v>4089</v>
      </c>
      <c r="D258" s="1078">
        <v>2260</v>
      </c>
      <c r="E258" s="1078">
        <v>2</v>
      </c>
      <c r="F258" s="1078">
        <v>3600</v>
      </c>
      <c r="G258" s="1078">
        <v>1340</v>
      </c>
      <c r="H258" s="1078" t="s">
        <v>1093</v>
      </c>
    </row>
    <row r="259" spans="1:8" ht="22.5" x14ac:dyDescent="0.55000000000000004">
      <c r="A259" s="1078">
        <v>258</v>
      </c>
      <c r="B259" s="1078" t="s">
        <v>6444</v>
      </c>
      <c r="C259" s="1078" t="s">
        <v>6445</v>
      </c>
      <c r="D259" s="1078">
        <v>1204</v>
      </c>
      <c r="E259" s="1078">
        <v>4</v>
      </c>
      <c r="F259" s="1078">
        <v>2000</v>
      </c>
      <c r="G259" s="1078">
        <v>796</v>
      </c>
      <c r="H259" s="1078" t="s">
        <v>1093</v>
      </c>
    </row>
    <row r="260" spans="1:8" ht="22.5" x14ac:dyDescent="0.55000000000000004">
      <c r="A260" s="1078">
        <v>259</v>
      </c>
      <c r="B260" s="1078" t="s">
        <v>4092</v>
      </c>
      <c r="C260" s="1078" t="s">
        <v>6298</v>
      </c>
      <c r="D260" s="1078">
        <v>10400</v>
      </c>
      <c r="E260" s="1078">
        <v>2</v>
      </c>
      <c r="F260" s="1078">
        <v>13000</v>
      </c>
      <c r="G260" s="1078">
        <v>2600</v>
      </c>
      <c r="H260" s="1078" t="s">
        <v>1093</v>
      </c>
    </row>
    <row r="261" spans="1:8" ht="22.5" x14ac:dyDescent="0.55000000000000004">
      <c r="A261" s="1078">
        <v>260</v>
      </c>
      <c r="B261" s="1078" t="s">
        <v>6335</v>
      </c>
      <c r="C261" s="1078" t="s">
        <v>6336</v>
      </c>
      <c r="D261" s="1078">
        <v>13020</v>
      </c>
      <c r="E261" s="1078">
        <v>1</v>
      </c>
      <c r="F261" s="1078">
        <v>15000</v>
      </c>
      <c r="G261" s="1078">
        <v>1980</v>
      </c>
      <c r="H261" s="1078" t="s">
        <v>1093</v>
      </c>
    </row>
    <row r="262" spans="1:8" ht="22.5" x14ac:dyDescent="0.55000000000000004">
      <c r="A262" s="1078">
        <v>261</v>
      </c>
      <c r="B262" s="1078" t="s">
        <v>2481</v>
      </c>
      <c r="C262" s="1078" t="s">
        <v>2482</v>
      </c>
      <c r="D262" s="1078">
        <v>100000</v>
      </c>
      <c r="E262" s="1078">
        <v>2</v>
      </c>
      <c r="F262" s="1078">
        <v>110000</v>
      </c>
      <c r="G262" s="1078">
        <v>10000</v>
      </c>
      <c r="H262" s="1078" t="s">
        <v>1093</v>
      </c>
    </row>
    <row r="263" spans="1:8" ht="22.5" x14ac:dyDescent="0.55000000000000004">
      <c r="A263" s="1078">
        <v>262</v>
      </c>
      <c r="B263" s="1078" t="s">
        <v>2483</v>
      </c>
      <c r="C263" s="1078" t="s">
        <v>6838</v>
      </c>
      <c r="D263" s="1078">
        <v>1400</v>
      </c>
      <c r="E263" s="1078">
        <v>5</v>
      </c>
      <c r="F263" s="1078">
        <v>2500</v>
      </c>
      <c r="G263" s="1078">
        <v>1100</v>
      </c>
      <c r="H263" s="1078" t="s">
        <v>1093</v>
      </c>
    </row>
    <row r="264" spans="1:8" ht="22.5" x14ac:dyDescent="0.55000000000000004">
      <c r="A264" s="1078">
        <v>263</v>
      </c>
      <c r="B264" s="1078" t="s">
        <v>2484</v>
      </c>
      <c r="C264" s="1078" t="s">
        <v>2485</v>
      </c>
      <c r="D264" s="1078">
        <v>2340</v>
      </c>
      <c r="E264" s="1078">
        <v>6</v>
      </c>
      <c r="F264" s="1078">
        <v>3000</v>
      </c>
      <c r="G264" s="1078">
        <v>660</v>
      </c>
      <c r="H264" s="1078" t="s">
        <v>1093</v>
      </c>
    </row>
    <row r="265" spans="1:8" ht="22.5" x14ac:dyDescent="0.55000000000000004">
      <c r="A265" s="1078">
        <v>264</v>
      </c>
      <c r="B265" s="1078" t="s">
        <v>2486</v>
      </c>
      <c r="C265" s="1078" t="s">
        <v>2487</v>
      </c>
      <c r="D265" s="1078">
        <v>1712</v>
      </c>
      <c r="E265" s="1078">
        <v>8</v>
      </c>
      <c r="F265" s="1078">
        <v>3200</v>
      </c>
      <c r="G265" s="1078">
        <v>1488</v>
      </c>
      <c r="H265" s="1078" t="s">
        <v>1093</v>
      </c>
    </row>
    <row r="266" spans="1:8" ht="22.5" x14ac:dyDescent="0.55000000000000004">
      <c r="A266" s="1078">
        <v>265</v>
      </c>
      <c r="B266" s="1078" t="s">
        <v>4105</v>
      </c>
      <c r="C266" s="1078" t="s">
        <v>7343</v>
      </c>
      <c r="D266" s="1078">
        <v>4426</v>
      </c>
      <c r="E266" s="1078">
        <v>1</v>
      </c>
      <c r="F266" s="1078">
        <v>7500</v>
      </c>
      <c r="G266" s="1078">
        <v>3074</v>
      </c>
      <c r="H266" s="1078" t="s">
        <v>1093</v>
      </c>
    </row>
    <row r="267" spans="1:8" ht="22.5" x14ac:dyDescent="0.55000000000000004">
      <c r="A267" s="1078">
        <v>266</v>
      </c>
      <c r="B267" s="1078" t="s">
        <v>4125</v>
      </c>
      <c r="C267" s="1078" t="s">
        <v>7344</v>
      </c>
      <c r="D267" s="1078">
        <v>147900</v>
      </c>
      <c r="E267" s="1078">
        <v>17</v>
      </c>
      <c r="F267" s="1078">
        <v>158100</v>
      </c>
      <c r="G267" s="1078">
        <v>10200</v>
      </c>
      <c r="H267" s="1078" t="s">
        <v>1093</v>
      </c>
    </row>
    <row r="268" spans="1:8" ht="22.5" x14ac:dyDescent="0.55000000000000004">
      <c r="A268" s="1078">
        <v>267</v>
      </c>
      <c r="B268" s="1078" t="s">
        <v>7345</v>
      </c>
      <c r="C268" s="1078" t="s">
        <v>7346</v>
      </c>
      <c r="D268" s="1078">
        <v>29500</v>
      </c>
      <c r="E268" s="1078">
        <v>1</v>
      </c>
      <c r="F268" s="1078">
        <v>34000</v>
      </c>
      <c r="G268" s="1078">
        <v>4500</v>
      </c>
      <c r="H268" s="1078" t="s">
        <v>1093</v>
      </c>
    </row>
    <row r="269" spans="1:8" ht="22.5" x14ac:dyDescent="0.55000000000000004">
      <c r="A269" s="1078">
        <v>268</v>
      </c>
      <c r="B269" s="1078" t="s">
        <v>2877</v>
      </c>
      <c r="C269" s="1078" t="s">
        <v>2878</v>
      </c>
      <c r="D269" s="1078">
        <v>23800</v>
      </c>
      <c r="E269" s="1078">
        <v>14</v>
      </c>
      <c r="F269" s="1078">
        <v>35000</v>
      </c>
      <c r="G269" s="1078">
        <v>11200</v>
      </c>
      <c r="H269" s="1078" t="s">
        <v>1093</v>
      </c>
    </row>
    <row r="270" spans="1:8" ht="22.5" x14ac:dyDescent="0.55000000000000004">
      <c r="A270" s="1078">
        <v>269</v>
      </c>
      <c r="B270" s="1078" t="s">
        <v>4143</v>
      </c>
      <c r="C270" s="1078" t="s">
        <v>6301</v>
      </c>
      <c r="D270" s="1078">
        <v>1966</v>
      </c>
      <c r="E270" s="1078">
        <v>1</v>
      </c>
      <c r="F270" s="1078">
        <v>3500</v>
      </c>
      <c r="G270" s="1078">
        <v>1534</v>
      </c>
      <c r="H270" s="1078" t="s">
        <v>1093</v>
      </c>
    </row>
    <row r="271" spans="1:8" ht="22.5" x14ac:dyDescent="0.55000000000000004">
      <c r="A271" s="1078">
        <v>270</v>
      </c>
      <c r="B271" s="1078" t="s">
        <v>6386</v>
      </c>
      <c r="C271" s="1078" t="s">
        <v>6387</v>
      </c>
      <c r="D271" s="1078">
        <v>7000</v>
      </c>
      <c r="E271" s="1078">
        <v>2</v>
      </c>
      <c r="F271" s="1078">
        <v>10000</v>
      </c>
      <c r="G271" s="1078">
        <v>3000</v>
      </c>
      <c r="H271" s="1078" t="s">
        <v>1093</v>
      </c>
    </row>
    <row r="272" spans="1:8" ht="22.5" x14ac:dyDescent="0.55000000000000004">
      <c r="A272" s="1078">
        <v>271</v>
      </c>
      <c r="B272" s="1078" t="s">
        <v>7056</v>
      </c>
      <c r="C272" s="1078" t="s">
        <v>7601</v>
      </c>
      <c r="D272" s="1078">
        <v>6720</v>
      </c>
      <c r="E272" s="1078">
        <v>1</v>
      </c>
      <c r="F272" s="1078">
        <v>9000</v>
      </c>
      <c r="G272" s="1078">
        <v>2280</v>
      </c>
      <c r="H272" s="1078" t="s">
        <v>1093</v>
      </c>
    </row>
    <row r="273" spans="1:8" ht="22.5" x14ac:dyDescent="0.55000000000000004">
      <c r="A273" s="1078">
        <v>272</v>
      </c>
      <c r="B273" s="1078" t="s">
        <v>4152</v>
      </c>
      <c r="C273" s="1078" t="s">
        <v>4153</v>
      </c>
      <c r="D273" s="1078">
        <v>250</v>
      </c>
      <c r="E273" s="1078">
        <v>2</v>
      </c>
      <c r="F273" s="1078">
        <v>500</v>
      </c>
      <c r="G273" s="1078">
        <v>250</v>
      </c>
      <c r="H273" s="1078" t="s">
        <v>1093</v>
      </c>
    </row>
    <row r="274" spans="1:8" ht="22.5" x14ac:dyDescent="0.55000000000000004">
      <c r="A274" s="1078">
        <v>273</v>
      </c>
      <c r="B274" s="1078" t="s">
        <v>3000</v>
      </c>
      <c r="C274" s="1078" t="s">
        <v>3001</v>
      </c>
      <c r="D274" s="1078">
        <v>4000</v>
      </c>
      <c r="E274" s="1078">
        <v>1</v>
      </c>
      <c r="F274" s="1078">
        <v>5000</v>
      </c>
      <c r="G274" s="1078">
        <v>1000</v>
      </c>
      <c r="H274" s="1078" t="s">
        <v>1093</v>
      </c>
    </row>
    <row r="275" spans="1:8" ht="22.5" x14ac:dyDescent="0.55000000000000004">
      <c r="A275" s="1078">
        <v>274</v>
      </c>
      <c r="B275" s="1078" t="s">
        <v>4168</v>
      </c>
      <c r="C275" s="1078" t="s">
        <v>4169</v>
      </c>
      <c r="D275" s="1078">
        <v>3121</v>
      </c>
      <c r="E275" s="1078">
        <v>1</v>
      </c>
      <c r="F275" s="1078">
        <v>5500</v>
      </c>
      <c r="G275" s="1078">
        <v>2379</v>
      </c>
      <c r="H275" s="1078" t="s">
        <v>1093</v>
      </c>
    </row>
    <row r="276" spans="1:8" ht="22.5" x14ac:dyDescent="0.55000000000000004">
      <c r="A276" s="1078">
        <v>275</v>
      </c>
      <c r="B276" s="1078" t="s">
        <v>2986</v>
      </c>
      <c r="C276" s="1078" t="s">
        <v>2987</v>
      </c>
      <c r="D276" s="1078">
        <v>9590</v>
      </c>
      <c r="E276" s="1078">
        <v>15</v>
      </c>
      <c r="F276" s="1078">
        <v>13500</v>
      </c>
      <c r="G276" s="1078">
        <v>3910</v>
      </c>
      <c r="H276" s="1078" t="s">
        <v>1093</v>
      </c>
    </row>
    <row r="277" spans="1:8" ht="22.5" x14ac:dyDescent="0.55000000000000004">
      <c r="A277" s="1078">
        <v>276</v>
      </c>
      <c r="B277" s="1078" t="s">
        <v>6560</v>
      </c>
      <c r="C277" s="1078" t="s">
        <v>6561</v>
      </c>
      <c r="D277" s="1078">
        <v>66834</v>
      </c>
      <c r="E277" s="1078">
        <v>7</v>
      </c>
      <c r="F277" s="1078">
        <v>84000</v>
      </c>
      <c r="G277" s="1078">
        <v>17166</v>
      </c>
      <c r="H277" s="1078" t="s">
        <v>1093</v>
      </c>
    </row>
    <row r="278" spans="1:8" ht="22.5" x14ac:dyDescent="0.55000000000000004">
      <c r="A278" s="1078">
        <v>277</v>
      </c>
      <c r="B278" s="1078" t="s">
        <v>3123</v>
      </c>
      <c r="C278" s="1078" t="s">
        <v>3124</v>
      </c>
      <c r="D278" s="1078">
        <v>22448</v>
      </c>
      <c r="E278" s="1078">
        <v>4</v>
      </c>
      <c r="F278" s="1078">
        <v>27400</v>
      </c>
      <c r="G278" s="1078">
        <v>4952</v>
      </c>
      <c r="H278" s="1078" t="s">
        <v>1093</v>
      </c>
    </row>
    <row r="279" spans="1:8" ht="22.5" x14ac:dyDescent="0.55000000000000004">
      <c r="A279" s="1078">
        <v>278</v>
      </c>
      <c r="B279" s="1078" t="s">
        <v>4177</v>
      </c>
      <c r="C279" s="1078" t="s">
        <v>4178</v>
      </c>
      <c r="D279" s="1078">
        <v>6100</v>
      </c>
      <c r="E279" s="1078">
        <v>2</v>
      </c>
      <c r="F279" s="1078">
        <v>8000</v>
      </c>
      <c r="G279" s="1078">
        <v>1900</v>
      </c>
      <c r="H279" s="1078" t="s">
        <v>1093</v>
      </c>
    </row>
    <row r="280" spans="1:8" ht="22.5" x14ac:dyDescent="0.55000000000000004">
      <c r="A280" s="1078">
        <v>279</v>
      </c>
      <c r="B280" s="1078" t="s">
        <v>3331</v>
      </c>
      <c r="C280" s="1078" t="s">
        <v>7602</v>
      </c>
      <c r="D280" s="1078">
        <v>5980</v>
      </c>
      <c r="E280" s="1078">
        <v>2</v>
      </c>
      <c r="F280" s="1078">
        <v>8000</v>
      </c>
      <c r="G280" s="1078">
        <v>2020</v>
      </c>
      <c r="H280" s="1078" t="s">
        <v>1093</v>
      </c>
    </row>
    <row r="281" spans="1:8" ht="22.5" x14ac:dyDescent="0.55000000000000004">
      <c r="A281" s="1078">
        <v>280</v>
      </c>
      <c r="B281" s="1078" t="s">
        <v>3238</v>
      </c>
      <c r="C281" s="1078" t="s">
        <v>3239</v>
      </c>
      <c r="D281" s="1078">
        <v>5246</v>
      </c>
      <c r="E281" s="1078">
        <v>2</v>
      </c>
      <c r="F281" s="1078">
        <v>6400</v>
      </c>
      <c r="G281" s="1078">
        <v>1154</v>
      </c>
      <c r="H281" s="1078" t="s">
        <v>1093</v>
      </c>
    </row>
    <row r="282" spans="1:8" ht="22.5" x14ac:dyDescent="0.55000000000000004">
      <c r="A282" s="1078">
        <v>281</v>
      </c>
      <c r="B282" s="1078" t="s">
        <v>3002</v>
      </c>
      <c r="C282" s="1078" t="s">
        <v>3003</v>
      </c>
      <c r="D282" s="1078">
        <v>1705</v>
      </c>
      <c r="E282" s="1078">
        <v>1</v>
      </c>
      <c r="F282" s="1078">
        <v>4000</v>
      </c>
      <c r="G282" s="1078">
        <v>2295</v>
      </c>
      <c r="H282" s="1078" t="s">
        <v>1093</v>
      </c>
    </row>
    <row r="283" spans="1:8" ht="22.5" x14ac:dyDescent="0.55000000000000004">
      <c r="A283" s="1078">
        <v>282</v>
      </c>
      <c r="B283" s="1078" t="s">
        <v>8548</v>
      </c>
      <c r="C283" s="1078" t="s">
        <v>8549</v>
      </c>
      <c r="D283" s="1078">
        <v>1125</v>
      </c>
      <c r="E283" s="1078">
        <v>5</v>
      </c>
      <c r="F283" s="1078">
        <v>2500</v>
      </c>
      <c r="G283" s="1078">
        <v>1375</v>
      </c>
      <c r="H283" s="1078" t="s">
        <v>1093</v>
      </c>
    </row>
    <row r="284" spans="1:8" ht="22.5" x14ac:dyDescent="0.55000000000000004">
      <c r="A284" s="1078">
        <v>283</v>
      </c>
      <c r="B284" s="1078" t="s">
        <v>3125</v>
      </c>
      <c r="C284" s="1078" t="s">
        <v>8550</v>
      </c>
      <c r="D284" s="1078">
        <v>1435</v>
      </c>
      <c r="E284" s="1078">
        <v>5</v>
      </c>
      <c r="F284" s="1078">
        <v>2500</v>
      </c>
      <c r="G284" s="1078">
        <v>1065</v>
      </c>
      <c r="H284" s="1078" t="s">
        <v>1093</v>
      </c>
    </row>
    <row r="285" spans="1:8" ht="22.5" x14ac:dyDescent="0.55000000000000004">
      <c r="A285" s="1078">
        <v>284</v>
      </c>
      <c r="B285" s="1078" t="s">
        <v>3126</v>
      </c>
      <c r="C285" s="1078" t="s">
        <v>958</v>
      </c>
      <c r="D285" s="1078">
        <v>21000</v>
      </c>
      <c r="E285" s="1078">
        <v>3</v>
      </c>
      <c r="F285" s="1078">
        <v>36000</v>
      </c>
      <c r="G285" s="1078">
        <v>15000</v>
      </c>
      <c r="H285" s="1078" t="s">
        <v>1397</v>
      </c>
    </row>
    <row r="286" spans="1:8" ht="22.5" x14ac:dyDescent="0.55000000000000004">
      <c r="A286" s="1078">
        <v>285</v>
      </c>
      <c r="B286" s="1078" t="s">
        <v>7059</v>
      </c>
      <c r="C286" s="1078" t="s">
        <v>7060</v>
      </c>
      <c r="D286" s="1078">
        <v>3400</v>
      </c>
      <c r="E286" s="1078">
        <v>2</v>
      </c>
      <c r="F286" s="1078">
        <v>4400</v>
      </c>
      <c r="G286" s="1078">
        <v>1000</v>
      </c>
      <c r="H286" s="1078" t="s">
        <v>1397</v>
      </c>
    </row>
    <row r="287" spans="1:8" ht="22.5" x14ac:dyDescent="0.55000000000000004">
      <c r="A287" s="1078">
        <v>286</v>
      </c>
      <c r="B287" s="1078" t="s">
        <v>957</v>
      </c>
      <c r="C287" s="1078" t="s">
        <v>958</v>
      </c>
      <c r="D287" s="1078">
        <v>12000</v>
      </c>
      <c r="E287" s="1078">
        <v>2</v>
      </c>
      <c r="F287" s="1078">
        <v>20000</v>
      </c>
      <c r="G287" s="1078">
        <v>8000</v>
      </c>
      <c r="H287" s="1078" t="s">
        <v>1397</v>
      </c>
    </row>
    <row r="288" spans="1:8" ht="22.5" x14ac:dyDescent="0.55000000000000004">
      <c r="A288" s="1078">
        <v>287</v>
      </c>
      <c r="B288" s="1078" t="s">
        <v>1453</v>
      </c>
      <c r="C288" s="1078" t="s">
        <v>1454</v>
      </c>
      <c r="D288" s="1078">
        <v>10000</v>
      </c>
      <c r="E288" s="1078">
        <v>1</v>
      </c>
      <c r="F288" s="1078">
        <v>17000</v>
      </c>
      <c r="G288" s="1078">
        <v>7000</v>
      </c>
      <c r="H288" s="1078" t="s">
        <v>1397</v>
      </c>
    </row>
    <row r="289" spans="1:8" ht="22.5" x14ac:dyDescent="0.55000000000000004">
      <c r="A289" s="1078">
        <v>288</v>
      </c>
      <c r="B289" s="1078" t="s">
        <v>1461</v>
      </c>
      <c r="C289" s="1078" t="s">
        <v>1462</v>
      </c>
      <c r="D289" s="1078">
        <v>16500</v>
      </c>
      <c r="E289" s="1078">
        <v>1</v>
      </c>
      <c r="F289" s="1078">
        <v>28000</v>
      </c>
      <c r="G289" s="1078">
        <v>11500</v>
      </c>
      <c r="H289" s="1078" t="s">
        <v>1397</v>
      </c>
    </row>
    <row r="290" spans="1:8" ht="22.5" x14ac:dyDescent="0.55000000000000004">
      <c r="A290" s="1078">
        <v>289</v>
      </c>
      <c r="B290" s="1078" t="s">
        <v>3127</v>
      </c>
      <c r="C290" s="1078" t="s">
        <v>3128</v>
      </c>
      <c r="D290" s="1078">
        <v>4000</v>
      </c>
      <c r="E290" s="1078">
        <v>1</v>
      </c>
      <c r="F290" s="1078">
        <v>5000</v>
      </c>
      <c r="G290" s="1078">
        <v>1000</v>
      </c>
      <c r="H290" s="1078" t="s">
        <v>1397</v>
      </c>
    </row>
    <row r="291" spans="1:8" ht="22.5" x14ac:dyDescent="0.55000000000000004">
      <c r="A291" s="1078">
        <v>290</v>
      </c>
      <c r="B291" s="1078" t="s">
        <v>1463</v>
      </c>
      <c r="C291" s="1078" t="s">
        <v>7063</v>
      </c>
      <c r="D291" s="1078">
        <v>1450</v>
      </c>
      <c r="E291" s="1078">
        <v>1</v>
      </c>
      <c r="F291" s="1078">
        <v>3200</v>
      </c>
      <c r="G291" s="1078">
        <v>1750</v>
      </c>
      <c r="H291" s="1078" t="s">
        <v>1397</v>
      </c>
    </row>
    <row r="292" spans="1:8" ht="22.5" x14ac:dyDescent="0.55000000000000004">
      <c r="A292" s="1078">
        <v>291</v>
      </c>
      <c r="B292" s="1078" t="s">
        <v>3240</v>
      </c>
      <c r="C292" s="1078" t="s">
        <v>3241</v>
      </c>
      <c r="D292" s="1078">
        <v>6700</v>
      </c>
      <c r="E292" s="1078">
        <v>1</v>
      </c>
      <c r="F292" s="1078">
        <v>12000</v>
      </c>
      <c r="G292" s="1078">
        <v>5300</v>
      </c>
      <c r="H292" s="1078" t="s">
        <v>1397</v>
      </c>
    </row>
    <row r="293" spans="1:8" ht="22.5" x14ac:dyDescent="0.55000000000000004">
      <c r="A293" s="1078">
        <v>292</v>
      </c>
      <c r="B293" s="1078" t="s">
        <v>7066</v>
      </c>
      <c r="C293" s="1078" t="s">
        <v>7067</v>
      </c>
      <c r="D293" s="1078">
        <v>2000</v>
      </c>
      <c r="E293" s="1078">
        <v>1</v>
      </c>
      <c r="F293" s="1078">
        <v>2800</v>
      </c>
      <c r="G293" s="1078">
        <v>800</v>
      </c>
      <c r="H293" s="1078" t="s">
        <v>1397</v>
      </c>
    </row>
    <row r="294" spans="1:8" ht="22.5" x14ac:dyDescent="0.55000000000000004">
      <c r="A294" s="1078">
        <v>293</v>
      </c>
      <c r="B294" s="1078" t="s">
        <v>1466</v>
      </c>
      <c r="C294" s="1078" t="s">
        <v>1467</v>
      </c>
      <c r="D294" s="1078">
        <v>78000</v>
      </c>
      <c r="E294" s="1078">
        <v>12</v>
      </c>
      <c r="F294" s="1078">
        <v>96000</v>
      </c>
      <c r="G294" s="1078">
        <v>18000</v>
      </c>
      <c r="H294" s="1078" t="s">
        <v>1397</v>
      </c>
    </row>
    <row r="295" spans="1:8" ht="22.5" x14ac:dyDescent="0.55000000000000004">
      <c r="A295" s="1078">
        <v>294</v>
      </c>
      <c r="B295" s="1078" t="s">
        <v>1468</v>
      </c>
      <c r="C295" s="1078" t="s">
        <v>1469</v>
      </c>
      <c r="D295" s="1078">
        <v>4000</v>
      </c>
      <c r="E295" s="1078">
        <v>2</v>
      </c>
      <c r="F295" s="1078">
        <v>10000</v>
      </c>
      <c r="G295" s="1078">
        <v>6000</v>
      </c>
      <c r="H295" s="1078" t="s">
        <v>1397</v>
      </c>
    </row>
    <row r="296" spans="1:8" ht="22.5" x14ac:dyDescent="0.55000000000000004">
      <c r="A296" s="1078">
        <v>295</v>
      </c>
      <c r="B296" s="1078" t="s">
        <v>8551</v>
      </c>
      <c r="C296" s="1078" t="s">
        <v>8552</v>
      </c>
      <c r="D296" s="1078">
        <v>5000</v>
      </c>
      <c r="E296" s="1078">
        <v>1</v>
      </c>
      <c r="F296" s="1078">
        <v>6500</v>
      </c>
      <c r="G296" s="1078">
        <v>1500</v>
      </c>
      <c r="H296" s="1078" t="s">
        <v>1397</v>
      </c>
    </row>
    <row r="297" spans="1:8" ht="22.5" x14ac:dyDescent="0.55000000000000004">
      <c r="A297" s="1078">
        <v>296</v>
      </c>
      <c r="B297" s="1078" t="s">
        <v>1478</v>
      </c>
      <c r="C297" s="1078" t="s">
        <v>7608</v>
      </c>
      <c r="D297" s="1078">
        <v>650</v>
      </c>
      <c r="E297" s="1078">
        <v>1</v>
      </c>
      <c r="F297" s="1078">
        <v>2300</v>
      </c>
      <c r="G297" s="1078">
        <v>1650</v>
      </c>
      <c r="H297" s="1078" t="s">
        <v>1397</v>
      </c>
    </row>
    <row r="298" spans="1:8" ht="22.5" x14ac:dyDescent="0.55000000000000004">
      <c r="A298" s="1078">
        <v>297</v>
      </c>
      <c r="B298" s="1078" t="s">
        <v>4235</v>
      </c>
      <c r="C298" s="1078" t="s">
        <v>4236</v>
      </c>
      <c r="D298" s="1078">
        <v>8400</v>
      </c>
      <c r="E298" s="1078">
        <v>2</v>
      </c>
      <c r="F298" s="1078">
        <v>11000</v>
      </c>
      <c r="G298" s="1078">
        <v>2600</v>
      </c>
      <c r="H298" s="1078" t="s">
        <v>1397</v>
      </c>
    </row>
    <row r="299" spans="1:8" ht="22.5" x14ac:dyDescent="0.55000000000000004">
      <c r="A299" s="1078">
        <v>298</v>
      </c>
      <c r="B299" s="1078" t="s">
        <v>1479</v>
      </c>
      <c r="C299" s="1078" t="s">
        <v>1480</v>
      </c>
      <c r="D299" s="1078">
        <v>82000</v>
      </c>
      <c r="E299" s="1078">
        <v>4</v>
      </c>
      <c r="F299" s="1078">
        <v>100000</v>
      </c>
      <c r="G299" s="1078">
        <v>18000</v>
      </c>
      <c r="H299" s="1078" t="s">
        <v>1397</v>
      </c>
    </row>
    <row r="300" spans="1:8" ht="22.5" x14ac:dyDescent="0.55000000000000004">
      <c r="A300" s="1078">
        <v>299</v>
      </c>
      <c r="B300" s="1078" t="s">
        <v>2490</v>
      </c>
      <c r="C300" s="1078" t="s">
        <v>2491</v>
      </c>
      <c r="D300" s="1078">
        <v>20000</v>
      </c>
      <c r="E300" s="1078">
        <v>4</v>
      </c>
      <c r="F300" s="1078">
        <v>28000</v>
      </c>
      <c r="G300" s="1078">
        <v>8000</v>
      </c>
      <c r="H300" s="1078" t="s">
        <v>1397</v>
      </c>
    </row>
    <row r="301" spans="1:8" ht="22.5" x14ac:dyDescent="0.55000000000000004">
      <c r="A301" s="1078">
        <v>300</v>
      </c>
      <c r="B301" s="1078" t="s">
        <v>1481</v>
      </c>
      <c r="C301" s="1078" t="s">
        <v>1482</v>
      </c>
      <c r="D301" s="1078">
        <v>16000</v>
      </c>
      <c r="E301" s="1078">
        <v>2</v>
      </c>
      <c r="F301" s="1078">
        <v>30000</v>
      </c>
      <c r="G301" s="1078">
        <v>14000</v>
      </c>
      <c r="H301" s="1078" t="s">
        <v>1397</v>
      </c>
    </row>
    <row r="302" spans="1:8" ht="22.5" x14ac:dyDescent="0.55000000000000004">
      <c r="A302" s="1078">
        <v>301</v>
      </c>
      <c r="B302" s="1078" t="s">
        <v>1485</v>
      </c>
      <c r="C302" s="1078" t="s">
        <v>1486</v>
      </c>
      <c r="D302" s="1078">
        <v>1200</v>
      </c>
      <c r="E302" s="1078">
        <v>2</v>
      </c>
      <c r="F302" s="1078">
        <v>4000</v>
      </c>
      <c r="G302" s="1078">
        <v>2800</v>
      </c>
      <c r="H302" s="1078" t="s">
        <v>1397</v>
      </c>
    </row>
    <row r="303" spans="1:8" ht="22.5" x14ac:dyDescent="0.55000000000000004">
      <c r="A303" s="1078">
        <v>302</v>
      </c>
      <c r="B303" s="1078" t="s">
        <v>7076</v>
      </c>
      <c r="C303" s="1078" t="s">
        <v>7077</v>
      </c>
      <c r="D303" s="1078">
        <v>4200</v>
      </c>
      <c r="E303" s="1078">
        <v>2</v>
      </c>
      <c r="F303" s="1078">
        <v>6400</v>
      </c>
      <c r="G303" s="1078">
        <v>2200</v>
      </c>
      <c r="H303" s="1078" t="s">
        <v>1397</v>
      </c>
    </row>
    <row r="304" spans="1:8" ht="22.5" x14ac:dyDescent="0.55000000000000004">
      <c r="A304" s="1078">
        <v>303</v>
      </c>
      <c r="B304" s="1078" t="s">
        <v>4244</v>
      </c>
      <c r="C304" s="1078" t="s">
        <v>4245</v>
      </c>
      <c r="D304" s="1078">
        <v>12000</v>
      </c>
      <c r="E304" s="1078">
        <v>1</v>
      </c>
      <c r="F304" s="1078">
        <v>15000</v>
      </c>
      <c r="G304" s="1078">
        <v>3000</v>
      </c>
      <c r="H304" s="1078" t="s">
        <v>1397</v>
      </c>
    </row>
    <row r="305" spans="1:8" ht="22.5" x14ac:dyDescent="0.55000000000000004">
      <c r="A305" s="1078">
        <v>304</v>
      </c>
      <c r="B305" s="1078" t="s">
        <v>4250</v>
      </c>
      <c r="C305" s="1078" t="s">
        <v>4251</v>
      </c>
      <c r="D305" s="1078">
        <v>5700</v>
      </c>
      <c r="E305" s="1078">
        <v>1</v>
      </c>
      <c r="F305" s="1078">
        <v>10000</v>
      </c>
      <c r="G305" s="1078">
        <v>4300</v>
      </c>
      <c r="H305" s="1078" t="s">
        <v>1397</v>
      </c>
    </row>
    <row r="306" spans="1:8" ht="22.5" x14ac:dyDescent="0.55000000000000004">
      <c r="A306" s="1078">
        <v>305</v>
      </c>
      <c r="B306" s="1078" t="s">
        <v>7078</v>
      </c>
      <c r="C306" s="1078" t="s">
        <v>7079</v>
      </c>
      <c r="D306" s="1078">
        <v>12400</v>
      </c>
      <c r="E306" s="1078">
        <v>7</v>
      </c>
      <c r="F306" s="1078">
        <v>17500</v>
      </c>
      <c r="G306" s="1078">
        <v>5100</v>
      </c>
      <c r="H306" s="1078" t="s">
        <v>1397</v>
      </c>
    </row>
    <row r="307" spans="1:8" ht="22.5" x14ac:dyDescent="0.55000000000000004">
      <c r="A307" s="1078">
        <v>306</v>
      </c>
      <c r="B307" s="1078" t="s">
        <v>7082</v>
      </c>
      <c r="C307" s="1078" t="s">
        <v>7083</v>
      </c>
      <c r="D307" s="1078">
        <v>1782</v>
      </c>
      <c r="E307" s="1078">
        <v>1</v>
      </c>
      <c r="F307" s="1078">
        <v>3000</v>
      </c>
      <c r="G307" s="1078">
        <v>1218</v>
      </c>
      <c r="H307" s="1078" t="s">
        <v>1397</v>
      </c>
    </row>
    <row r="308" spans="1:8" ht="22.5" x14ac:dyDescent="0.55000000000000004">
      <c r="A308" s="1078">
        <v>307</v>
      </c>
      <c r="B308" s="1078" t="s">
        <v>6449</v>
      </c>
      <c r="C308" s="1078" t="s">
        <v>6450</v>
      </c>
      <c r="D308" s="1078">
        <v>20000</v>
      </c>
      <c r="E308" s="1078">
        <v>4</v>
      </c>
      <c r="F308" s="1078">
        <v>28000</v>
      </c>
      <c r="G308" s="1078">
        <v>8000</v>
      </c>
      <c r="H308" s="1078" t="s">
        <v>1397</v>
      </c>
    </row>
    <row r="309" spans="1:8" ht="22.5" x14ac:dyDescent="0.55000000000000004">
      <c r="A309" s="1078">
        <v>308</v>
      </c>
      <c r="B309" s="1078" t="s">
        <v>6451</v>
      </c>
      <c r="C309" s="1078" t="s">
        <v>7612</v>
      </c>
      <c r="D309" s="1078">
        <v>130000</v>
      </c>
      <c r="E309" s="1078">
        <v>2</v>
      </c>
      <c r="F309" s="1078">
        <v>148000</v>
      </c>
      <c r="G309" s="1078">
        <v>18000</v>
      </c>
      <c r="H309" s="1078" t="s">
        <v>1397</v>
      </c>
    </row>
    <row r="310" spans="1:8" ht="22.5" x14ac:dyDescent="0.55000000000000004">
      <c r="A310" s="1078">
        <v>309</v>
      </c>
      <c r="B310" s="1078" t="s">
        <v>4265</v>
      </c>
      <c r="C310" s="1078" t="s">
        <v>4266</v>
      </c>
      <c r="D310" s="1078">
        <v>22500</v>
      </c>
      <c r="E310" s="1078">
        <v>1</v>
      </c>
      <c r="F310" s="1078">
        <v>30000</v>
      </c>
      <c r="G310" s="1078">
        <v>7500</v>
      </c>
      <c r="H310" s="1078" t="s">
        <v>1397</v>
      </c>
    </row>
    <row r="311" spans="1:8" ht="22.5" x14ac:dyDescent="0.55000000000000004">
      <c r="A311" s="1078">
        <v>310</v>
      </c>
      <c r="B311" s="1078" t="s">
        <v>1489</v>
      </c>
      <c r="C311" s="1078" t="s">
        <v>3431</v>
      </c>
      <c r="D311" s="1078">
        <v>40000</v>
      </c>
      <c r="E311" s="1078">
        <v>2</v>
      </c>
      <c r="F311" s="1078">
        <v>60000</v>
      </c>
      <c r="G311" s="1078">
        <v>20000</v>
      </c>
      <c r="H311" s="1078" t="s">
        <v>1397</v>
      </c>
    </row>
    <row r="312" spans="1:8" ht="22.5" x14ac:dyDescent="0.55000000000000004">
      <c r="A312" s="1078">
        <v>311</v>
      </c>
      <c r="B312" s="1078" t="s">
        <v>1494</v>
      </c>
      <c r="C312" s="1078" t="s">
        <v>947</v>
      </c>
      <c r="D312" s="1078">
        <v>30000</v>
      </c>
      <c r="E312" s="1078">
        <v>2</v>
      </c>
      <c r="F312" s="1078">
        <v>42000</v>
      </c>
      <c r="G312" s="1078">
        <v>12000</v>
      </c>
      <c r="H312" s="1078" t="s">
        <v>1397</v>
      </c>
    </row>
    <row r="313" spans="1:8" ht="22.5" x14ac:dyDescent="0.55000000000000004">
      <c r="A313" s="1078">
        <v>312</v>
      </c>
      <c r="B313" s="1078" t="s">
        <v>1495</v>
      </c>
      <c r="C313" s="1078" t="s">
        <v>946</v>
      </c>
      <c r="D313" s="1078">
        <v>22080</v>
      </c>
      <c r="E313" s="1078">
        <v>6</v>
      </c>
      <c r="F313" s="1078">
        <v>30000</v>
      </c>
      <c r="G313" s="1078">
        <v>7920</v>
      </c>
      <c r="H313" s="1078" t="s">
        <v>1397</v>
      </c>
    </row>
    <row r="314" spans="1:8" ht="22.5" x14ac:dyDescent="0.55000000000000004">
      <c r="A314" s="1078">
        <v>313</v>
      </c>
      <c r="B314" s="1078" t="s">
        <v>1496</v>
      </c>
      <c r="C314" s="1078" t="s">
        <v>1497</v>
      </c>
      <c r="D314" s="1078">
        <v>2800</v>
      </c>
      <c r="E314" s="1078">
        <v>1</v>
      </c>
      <c r="F314" s="1078">
        <v>6000</v>
      </c>
      <c r="G314" s="1078">
        <v>3200</v>
      </c>
      <c r="H314" s="1078" t="s">
        <v>1397</v>
      </c>
    </row>
    <row r="315" spans="1:8" ht="22.5" x14ac:dyDescent="0.55000000000000004">
      <c r="A315" s="1078">
        <v>314</v>
      </c>
      <c r="B315" s="1078" t="s">
        <v>1498</v>
      </c>
      <c r="C315" s="1078" t="s">
        <v>977</v>
      </c>
      <c r="D315" s="1078">
        <v>28101</v>
      </c>
      <c r="E315" s="1078">
        <v>17</v>
      </c>
      <c r="F315" s="1078">
        <v>42500</v>
      </c>
      <c r="G315" s="1078">
        <v>14399</v>
      </c>
      <c r="H315" s="1078" t="s">
        <v>1397</v>
      </c>
    </row>
    <row r="316" spans="1:8" ht="22.5" x14ac:dyDescent="0.55000000000000004">
      <c r="A316" s="1078">
        <v>315</v>
      </c>
      <c r="B316" s="1078" t="s">
        <v>4271</v>
      </c>
      <c r="C316" s="1078" t="s">
        <v>7614</v>
      </c>
      <c r="D316" s="1078">
        <v>450</v>
      </c>
      <c r="E316" s="1078">
        <v>1</v>
      </c>
      <c r="F316" s="1078">
        <v>1000</v>
      </c>
      <c r="G316" s="1078">
        <v>550</v>
      </c>
      <c r="H316" s="1078" t="s">
        <v>1397</v>
      </c>
    </row>
    <row r="317" spans="1:8" ht="22.5" x14ac:dyDescent="0.55000000000000004">
      <c r="A317" s="1078">
        <v>316</v>
      </c>
      <c r="B317" s="1078" t="s">
        <v>6562</v>
      </c>
      <c r="C317" s="1078" t="s">
        <v>3136</v>
      </c>
      <c r="D317" s="1078">
        <v>12550</v>
      </c>
      <c r="E317" s="1078">
        <v>6</v>
      </c>
      <c r="F317" s="1078">
        <v>23400</v>
      </c>
      <c r="G317" s="1078">
        <v>10850</v>
      </c>
      <c r="H317" s="1078" t="s">
        <v>1397</v>
      </c>
    </row>
    <row r="318" spans="1:8" ht="22.5" x14ac:dyDescent="0.55000000000000004">
      <c r="A318" s="1078">
        <v>317</v>
      </c>
      <c r="B318" s="1078" t="s">
        <v>1508</v>
      </c>
      <c r="C318" s="1078" t="s">
        <v>1509</v>
      </c>
      <c r="D318" s="1078">
        <v>13200</v>
      </c>
      <c r="E318" s="1078">
        <v>1</v>
      </c>
      <c r="F318" s="1078">
        <v>20200</v>
      </c>
      <c r="G318" s="1078">
        <v>7000</v>
      </c>
      <c r="H318" s="1078" t="s">
        <v>1397</v>
      </c>
    </row>
    <row r="319" spans="1:8" ht="22.5" x14ac:dyDescent="0.55000000000000004">
      <c r="A319" s="1078">
        <v>318</v>
      </c>
      <c r="B319" s="1078" t="s">
        <v>1512</v>
      </c>
      <c r="C319" s="1078" t="s">
        <v>7615</v>
      </c>
      <c r="D319" s="1078">
        <v>11885</v>
      </c>
      <c r="E319" s="1078">
        <v>1</v>
      </c>
      <c r="F319" s="1078">
        <v>16000</v>
      </c>
      <c r="G319" s="1078">
        <v>4115</v>
      </c>
      <c r="H319" s="1078" t="s">
        <v>1397</v>
      </c>
    </row>
    <row r="320" spans="1:8" ht="22.5" x14ac:dyDescent="0.55000000000000004">
      <c r="A320" s="1078">
        <v>319</v>
      </c>
      <c r="B320" s="1078" t="s">
        <v>1514</v>
      </c>
      <c r="C320" s="1078" t="s">
        <v>1545</v>
      </c>
      <c r="D320" s="1078">
        <v>11078</v>
      </c>
      <c r="E320" s="1078">
        <v>2</v>
      </c>
      <c r="F320" s="1078">
        <v>13000</v>
      </c>
      <c r="G320" s="1078">
        <v>1922</v>
      </c>
      <c r="H320" s="1078" t="s">
        <v>1397</v>
      </c>
    </row>
    <row r="321" spans="1:8" ht="22.5" x14ac:dyDescent="0.55000000000000004">
      <c r="A321" s="1078">
        <v>320</v>
      </c>
      <c r="B321" s="1078" t="s">
        <v>1515</v>
      </c>
      <c r="C321" s="1078" t="s">
        <v>956</v>
      </c>
      <c r="D321" s="1078">
        <v>10853</v>
      </c>
      <c r="E321" s="1078">
        <v>1</v>
      </c>
      <c r="F321" s="1078">
        <v>23500</v>
      </c>
      <c r="G321" s="1078">
        <v>12647</v>
      </c>
      <c r="H321" s="1078" t="s">
        <v>1397</v>
      </c>
    </row>
    <row r="322" spans="1:8" ht="22.5" x14ac:dyDescent="0.55000000000000004">
      <c r="A322" s="1078">
        <v>321</v>
      </c>
      <c r="B322" s="1078" t="s">
        <v>1518</v>
      </c>
      <c r="C322" s="1078" t="s">
        <v>7616</v>
      </c>
      <c r="D322" s="1078">
        <v>4690</v>
      </c>
      <c r="E322" s="1078">
        <v>7</v>
      </c>
      <c r="F322" s="1078">
        <v>9000</v>
      </c>
      <c r="G322" s="1078">
        <v>4310</v>
      </c>
      <c r="H322" s="1078" t="s">
        <v>1397</v>
      </c>
    </row>
    <row r="323" spans="1:8" ht="22.5" x14ac:dyDescent="0.55000000000000004">
      <c r="A323" s="1078">
        <v>322</v>
      </c>
      <c r="B323" s="1078" t="s">
        <v>4278</v>
      </c>
      <c r="C323" s="1078" t="s">
        <v>6841</v>
      </c>
      <c r="D323" s="1078">
        <v>13400</v>
      </c>
      <c r="E323" s="1078">
        <v>2</v>
      </c>
      <c r="F323" s="1078">
        <v>16000</v>
      </c>
      <c r="G323" s="1078">
        <v>2600</v>
      </c>
      <c r="H323" s="1078" t="s">
        <v>1397</v>
      </c>
    </row>
    <row r="324" spans="1:8" ht="22.5" x14ac:dyDescent="0.55000000000000004">
      <c r="A324" s="1078">
        <v>323</v>
      </c>
      <c r="B324" s="1078" t="s">
        <v>1519</v>
      </c>
      <c r="C324" s="1078" t="s">
        <v>980</v>
      </c>
      <c r="D324" s="1078">
        <v>98000</v>
      </c>
      <c r="E324" s="1078">
        <v>1</v>
      </c>
      <c r="F324" s="1078">
        <v>160000</v>
      </c>
      <c r="G324" s="1078">
        <v>62000</v>
      </c>
      <c r="H324" s="1078" t="s">
        <v>1397</v>
      </c>
    </row>
    <row r="325" spans="1:8" ht="22.5" x14ac:dyDescent="0.55000000000000004">
      <c r="A325" s="1078">
        <v>324</v>
      </c>
      <c r="B325" s="1078" t="s">
        <v>1520</v>
      </c>
      <c r="C325" s="1078" t="s">
        <v>1521</v>
      </c>
      <c r="D325" s="1078">
        <v>12320</v>
      </c>
      <c r="E325" s="1078">
        <v>5</v>
      </c>
      <c r="F325" s="1078">
        <v>15000</v>
      </c>
      <c r="G325" s="1078">
        <v>2680</v>
      </c>
      <c r="H325" s="1078" t="s">
        <v>1397</v>
      </c>
    </row>
    <row r="326" spans="1:8" ht="22.5" x14ac:dyDescent="0.55000000000000004">
      <c r="A326" s="1078">
        <v>325</v>
      </c>
      <c r="B326" s="1078" t="s">
        <v>1522</v>
      </c>
      <c r="C326" s="1078" t="s">
        <v>1523</v>
      </c>
      <c r="D326" s="1078">
        <v>2916</v>
      </c>
      <c r="E326" s="1078">
        <v>2</v>
      </c>
      <c r="F326" s="1078">
        <v>4600</v>
      </c>
      <c r="G326" s="1078">
        <v>1684</v>
      </c>
      <c r="H326" s="1078" t="s">
        <v>1397</v>
      </c>
    </row>
    <row r="327" spans="1:8" ht="22.5" x14ac:dyDescent="0.55000000000000004">
      <c r="A327" s="1078">
        <v>326</v>
      </c>
      <c r="B327" s="1078" t="s">
        <v>3244</v>
      </c>
      <c r="C327" s="1078" t="s">
        <v>3245</v>
      </c>
      <c r="D327" s="1078">
        <v>2800</v>
      </c>
      <c r="E327" s="1078">
        <v>1</v>
      </c>
      <c r="F327" s="1078">
        <v>11500</v>
      </c>
      <c r="G327" s="1078">
        <v>8700</v>
      </c>
      <c r="H327" s="1078" t="s">
        <v>1397</v>
      </c>
    </row>
    <row r="328" spans="1:8" ht="22.5" x14ac:dyDescent="0.55000000000000004">
      <c r="A328" s="1078">
        <v>327</v>
      </c>
      <c r="B328" s="1078" t="s">
        <v>1526</v>
      </c>
      <c r="C328" s="1079" t="s">
        <v>8553</v>
      </c>
      <c r="D328" s="1078">
        <v>3400</v>
      </c>
      <c r="E328" s="1078">
        <v>2</v>
      </c>
      <c r="F328" s="1078">
        <v>4000</v>
      </c>
      <c r="G328" s="1078">
        <v>600</v>
      </c>
      <c r="H328" s="1078" t="s">
        <v>1397</v>
      </c>
    </row>
    <row r="329" spans="1:8" ht="22.5" x14ac:dyDescent="0.55000000000000004">
      <c r="A329" s="1078">
        <v>328</v>
      </c>
      <c r="B329" s="1078" t="s">
        <v>6683</v>
      </c>
      <c r="C329" s="1078" t="s">
        <v>6684</v>
      </c>
      <c r="D329" s="1078">
        <v>16760</v>
      </c>
      <c r="E329" s="1078">
        <v>1</v>
      </c>
      <c r="F329" s="1078">
        <v>42000</v>
      </c>
      <c r="G329" s="1078">
        <v>25240</v>
      </c>
      <c r="H329" s="1078" t="s">
        <v>1397</v>
      </c>
    </row>
    <row r="330" spans="1:8" ht="22.5" x14ac:dyDescent="0.55000000000000004">
      <c r="A330" s="1078">
        <v>329</v>
      </c>
      <c r="B330" s="1078" t="s">
        <v>1527</v>
      </c>
      <c r="C330" s="1078" t="s">
        <v>7617</v>
      </c>
      <c r="D330" s="1078">
        <v>17800</v>
      </c>
      <c r="E330" s="1078">
        <v>15</v>
      </c>
      <c r="F330" s="1078">
        <v>28000</v>
      </c>
      <c r="G330" s="1078">
        <v>10200</v>
      </c>
      <c r="H330" s="1078" t="s">
        <v>1397</v>
      </c>
    </row>
    <row r="331" spans="1:8" ht="22.5" x14ac:dyDescent="0.55000000000000004">
      <c r="A331" s="1078">
        <v>330</v>
      </c>
      <c r="B331" s="1078" t="s">
        <v>1528</v>
      </c>
      <c r="C331" s="1078" t="s">
        <v>1006</v>
      </c>
      <c r="D331" s="1078">
        <v>27000</v>
      </c>
      <c r="E331" s="1078">
        <v>2</v>
      </c>
      <c r="F331" s="1078">
        <v>45000</v>
      </c>
      <c r="G331" s="1078">
        <v>18000</v>
      </c>
      <c r="H331" s="1078" t="s">
        <v>1397</v>
      </c>
    </row>
    <row r="332" spans="1:8" ht="22.5" x14ac:dyDescent="0.55000000000000004">
      <c r="A332" s="1078">
        <v>331</v>
      </c>
      <c r="B332" s="1078" t="s">
        <v>1530</v>
      </c>
      <c r="C332" s="1078" t="s">
        <v>1531</v>
      </c>
      <c r="D332" s="1078">
        <v>19000</v>
      </c>
      <c r="E332" s="1078">
        <v>2</v>
      </c>
      <c r="F332" s="1078">
        <v>40000</v>
      </c>
      <c r="G332" s="1078">
        <v>21000</v>
      </c>
      <c r="H332" s="1078" t="s">
        <v>1397</v>
      </c>
    </row>
    <row r="333" spans="1:8" ht="22.5" x14ac:dyDescent="0.55000000000000004">
      <c r="A333" s="1078">
        <v>332</v>
      </c>
      <c r="B333" s="1078" t="s">
        <v>1532</v>
      </c>
      <c r="C333" s="1078" t="s">
        <v>1533</v>
      </c>
      <c r="D333" s="1078">
        <v>10908</v>
      </c>
      <c r="E333" s="1078">
        <v>2</v>
      </c>
      <c r="F333" s="1078">
        <v>15000</v>
      </c>
      <c r="G333" s="1078">
        <v>4092</v>
      </c>
      <c r="H333" s="1078" t="s">
        <v>1397</v>
      </c>
    </row>
    <row r="334" spans="1:8" ht="22.5" x14ac:dyDescent="0.55000000000000004">
      <c r="A334" s="1078">
        <v>333</v>
      </c>
      <c r="B334" s="1078" t="s">
        <v>1535</v>
      </c>
      <c r="C334" s="1078" t="s">
        <v>8063</v>
      </c>
      <c r="D334" s="1078">
        <v>40000</v>
      </c>
      <c r="E334" s="1078">
        <v>2</v>
      </c>
      <c r="F334" s="1078">
        <v>64000</v>
      </c>
      <c r="G334" s="1078">
        <v>24000</v>
      </c>
      <c r="H334" s="1078" t="s">
        <v>1397</v>
      </c>
    </row>
    <row r="335" spans="1:8" ht="22.5" x14ac:dyDescent="0.55000000000000004">
      <c r="A335" s="1078">
        <v>334</v>
      </c>
      <c r="B335" s="1078" t="s">
        <v>4314</v>
      </c>
      <c r="C335" s="1078" t="s">
        <v>4315</v>
      </c>
      <c r="D335" s="1078">
        <v>10000</v>
      </c>
      <c r="E335" s="1078">
        <v>1</v>
      </c>
      <c r="F335" s="1078">
        <v>18000</v>
      </c>
      <c r="G335" s="1078">
        <v>8000</v>
      </c>
      <c r="H335" s="1078" t="s">
        <v>1397</v>
      </c>
    </row>
    <row r="336" spans="1:8" ht="22.5" x14ac:dyDescent="0.55000000000000004">
      <c r="A336" s="1078">
        <v>335</v>
      </c>
      <c r="B336" s="1078" t="s">
        <v>4322</v>
      </c>
      <c r="C336" s="1078" t="s">
        <v>1545</v>
      </c>
      <c r="D336" s="1078">
        <v>5500</v>
      </c>
      <c r="E336" s="1078">
        <v>1</v>
      </c>
      <c r="F336" s="1078">
        <v>8000</v>
      </c>
      <c r="G336" s="1078">
        <v>2500</v>
      </c>
      <c r="H336" s="1078" t="s">
        <v>1397</v>
      </c>
    </row>
    <row r="337" spans="1:8" ht="22.5" x14ac:dyDescent="0.55000000000000004">
      <c r="A337" s="1078">
        <v>336</v>
      </c>
      <c r="B337" s="1078" t="s">
        <v>2045</v>
      </c>
      <c r="C337" s="1078" t="s">
        <v>2046</v>
      </c>
      <c r="D337" s="1078">
        <v>900</v>
      </c>
      <c r="E337" s="1078">
        <v>1</v>
      </c>
      <c r="F337" s="1078">
        <v>1500</v>
      </c>
      <c r="G337" s="1078">
        <v>600</v>
      </c>
      <c r="H337" s="1078" t="s">
        <v>1397</v>
      </c>
    </row>
    <row r="338" spans="1:8" ht="22.5" x14ac:dyDescent="0.55000000000000004">
      <c r="A338" s="1078">
        <v>337</v>
      </c>
      <c r="B338" s="1078" t="s">
        <v>2041</v>
      </c>
      <c r="C338" s="1078" t="s">
        <v>2042</v>
      </c>
      <c r="D338" s="1078">
        <v>3040</v>
      </c>
      <c r="E338" s="1078">
        <v>4</v>
      </c>
      <c r="F338" s="1078">
        <v>5700</v>
      </c>
      <c r="G338" s="1078">
        <v>2660</v>
      </c>
      <c r="H338" s="1078" t="s">
        <v>1397</v>
      </c>
    </row>
    <row r="339" spans="1:8" ht="22.5" x14ac:dyDescent="0.55000000000000004">
      <c r="A339" s="1078">
        <v>338</v>
      </c>
      <c r="B339" s="1078" t="s">
        <v>1549</v>
      </c>
      <c r="C339" s="1078" t="s">
        <v>1550</v>
      </c>
      <c r="D339" s="1078">
        <v>37000</v>
      </c>
      <c r="E339" s="1078">
        <v>1</v>
      </c>
      <c r="F339" s="1078">
        <v>50000</v>
      </c>
      <c r="G339" s="1078">
        <v>13000</v>
      </c>
      <c r="H339" s="1078" t="s">
        <v>1397</v>
      </c>
    </row>
    <row r="340" spans="1:8" ht="22.5" x14ac:dyDescent="0.55000000000000004">
      <c r="A340" s="1078">
        <v>339</v>
      </c>
      <c r="B340" s="1078" t="s">
        <v>1551</v>
      </c>
      <c r="C340" s="1078" t="s">
        <v>1552</v>
      </c>
      <c r="D340" s="1078">
        <v>4752</v>
      </c>
      <c r="E340" s="1078">
        <v>2</v>
      </c>
      <c r="F340" s="1078">
        <v>5600</v>
      </c>
      <c r="G340" s="1078">
        <v>848</v>
      </c>
      <c r="H340" s="1078" t="s">
        <v>1397</v>
      </c>
    </row>
    <row r="341" spans="1:8" ht="22.5" x14ac:dyDescent="0.55000000000000004">
      <c r="A341" s="1078">
        <v>340</v>
      </c>
      <c r="B341" s="1078" t="s">
        <v>1553</v>
      </c>
      <c r="C341" s="1078" t="s">
        <v>1554</v>
      </c>
      <c r="D341" s="1078">
        <v>66000</v>
      </c>
      <c r="E341" s="1078">
        <v>3</v>
      </c>
      <c r="F341" s="1078">
        <v>101400</v>
      </c>
      <c r="G341" s="1078">
        <v>35400</v>
      </c>
      <c r="H341" s="1078" t="s">
        <v>1397</v>
      </c>
    </row>
    <row r="342" spans="1:8" ht="22.5" x14ac:dyDescent="0.55000000000000004">
      <c r="A342" s="1078">
        <v>341</v>
      </c>
      <c r="B342" s="1078" t="s">
        <v>6452</v>
      </c>
      <c r="C342" s="1078" t="s">
        <v>6453</v>
      </c>
      <c r="D342" s="1078">
        <v>145900</v>
      </c>
      <c r="E342" s="1078">
        <v>32</v>
      </c>
      <c r="F342" s="1078">
        <v>166000</v>
      </c>
      <c r="G342" s="1078">
        <v>20100</v>
      </c>
      <c r="H342" s="1078" t="s">
        <v>1397</v>
      </c>
    </row>
    <row r="343" spans="1:8" ht="22.5" x14ac:dyDescent="0.55000000000000004">
      <c r="A343" s="1078">
        <v>342</v>
      </c>
      <c r="B343" s="1078" t="s">
        <v>1555</v>
      </c>
      <c r="C343" s="1078" t="s">
        <v>7619</v>
      </c>
      <c r="D343" s="1078">
        <v>4928</v>
      </c>
      <c r="E343" s="1078">
        <v>1</v>
      </c>
      <c r="F343" s="1078">
        <v>5500</v>
      </c>
      <c r="G343" s="1078">
        <v>572</v>
      </c>
      <c r="H343" s="1078" t="s">
        <v>1397</v>
      </c>
    </row>
    <row r="344" spans="1:8" ht="22.5" x14ac:dyDescent="0.55000000000000004">
      <c r="A344" s="1078">
        <v>343</v>
      </c>
      <c r="B344" s="1078" t="s">
        <v>1556</v>
      </c>
      <c r="C344" s="1078" t="s">
        <v>1557</v>
      </c>
      <c r="D344" s="1078">
        <v>9558</v>
      </c>
      <c r="E344" s="1078">
        <v>2</v>
      </c>
      <c r="F344" s="1078">
        <v>16000</v>
      </c>
      <c r="G344" s="1078">
        <v>6442</v>
      </c>
      <c r="H344" s="1078" t="s">
        <v>1397</v>
      </c>
    </row>
    <row r="345" spans="1:8" ht="22.5" x14ac:dyDescent="0.55000000000000004">
      <c r="A345" s="1078">
        <v>344</v>
      </c>
      <c r="B345" s="1078" t="s">
        <v>1561</v>
      </c>
      <c r="C345" s="1078" t="s">
        <v>6842</v>
      </c>
      <c r="D345" s="1078">
        <v>12000</v>
      </c>
      <c r="E345" s="1078">
        <v>2</v>
      </c>
      <c r="F345" s="1078">
        <v>16000</v>
      </c>
      <c r="G345" s="1078">
        <v>4000</v>
      </c>
      <c r="H345" s="1078" t="s">
        <v>1397</v>
      </c>
    </row>
    <row r="346" spans="1:8" ht="22.5" x14ac:dyDescent="0.55000000000000004">
      <c r="A346" s="1078">
        <v>345</v>
      </c>
      <c r="B346" s="1078" t="s">
        <v>1562</v>
      </c>
      <c r="C346" s="1078" t="s">
        <v>1563</v>
      </c>
      <c r="D346" s="1078">
        <v>2688</v>
      </c>
      <c r="E346" s="1078">
        <v>2</v>
      </c>
      <c r="F346" s="1078">
        <v>4400</v>
      </c>
      <c r="G346" s="1078">
        <v>1712</v>
      </c>
      <c r="H346" s="1078" t="s">
        <v>1397</v>
      </c>
    </row>
    <row r="347" spans="1:8" ht="22.5" x14ac:dyDescent="0.55000000000000004">
      <c r="A347" s="1078">
        <v>346</v>
      </c>
      <c r="B347" s="1078" t="s">
        <v>8065</v>
      </c>
      <c r="C347" s="1078" t="s">
        <v>8066</v>
      </c>
      <c r="D347" s="1078">
        <v>2310</v>
      </c>
      <c r="E347" s="1078">
        <v>1</v>
      </c>
      <c r="F347" s="1078">
        <v>2800</v>
      </c>
      <c r="G347" s="1078">
        <v>490</v>
      </c>
      <c r="H347" s="1078" t="s">
        <v>1397</v>
      </c>
    </row>
    <row r="348" spans="1:8" ht="22.5" x14ac:dyDescent="0.55000000000000004">
      <c r="A348" s="1078">
        <v>347</v>
      </c>
      <c r="B348" s="1078" t="s">
        <v>1564</v>
      </c>
      <c r="C348" s="1078" t="s">
        <v>1565</v>
      </c>
      <c r="D348" s="1078">
        <v>8800</v>
      </c>
      <c r="E348" s="1078">
        <v>1</v>
      </c>
      <c r="F348" s="1078">
        <v>18500</v>
      </c>
      <c r="G348" s="1078">
        <v>9700</v>
      </c>
      <c r="H348" s="1078" t="s">
        <v>1397</v>
      </c>
    </row>
    <row r="349" spans="1:8" ht="22.5" x14ac:dyDescent="0.55000000000000004">
      <c r="A349" s="1078">
        <v>348</v>
      </c>
      <c r="B349" s="1078" t="s">
        <v>6170</v>
      </c>
      <c r="C349" s="1078" t="s">
        <v>6171</v>
      </c>
      <c r="D349" s="1078">
        <v>2350</v>
      </c>
      <c r="E349" s="1078">
        <v>1</v>
      </c>
      <c r="F349" s="1078">
        <v>4000</v>
      </c>
      <c r="G349" s="1078">
        <v>1650</v>
      </c>
      <c r="H349" s="1078" t="s">
        <v>1397</v>
      </c>
    </row>
    <row r="350" spans="1:8" ht="22.5" x14ac:dyDescent="0.55000000000000004">
      <c r="A350" s="1078">
        <v>349</v>
      </c>
      <c r="B350" s="1078" t="s">
        <v>1572</v>
      </c>
      <c r="C350" s="1078" t="s">
        <v>1573</v>
      </c>
      <c r="D350" s="1078">
        <v>5500</v>
      </c>
      <c r="E350" s="1078">
        <v>2</v>
      </c>
      <c r="F350" s="1078">
        <v>6600</v>
      </c>
      <c r="G350" s="1078">
        <v>1100</v>
      </c>
      <c r="H350" s="1078" t="s">
        <v>1397</v>
      </c>
    </row>
    <row r="351" spans="1:8" ht="22.5" x14ac:dyDescent="0.55000000000000004">
      <c r="A351" s="1078">
        <v>350</v>
      </c>
      <c r="B351" s="1078" t="s">
        <v>4350</v>
      </c>
      <c r="C351" s="1078" t="s">
        <v>4351</v>
      </c>
      <c r="D351" s="1078">
        <v>31000</v>
      </c>
      <c r="E351" s="1078">
        <v>2</v>
      </c>
      <c r="F351" s="1078">
        <v>34000</v>
      </c>
      <c r="G351" s="1078">
        <v>3000</v>
      </c>
      <c r="H351" s="1078" t="s">
        <v>1397</v>
      </c>
    </row>
    <row r="352" spans="1:8" ht="22.5" x14ac:dyDescent="0.55000000000000004">
      <c r="A352" s="1078">
        <v>351</v>
      </c>
      <c r="B352" s="1078" t="s">
        <v>8067</v>
      </c>
      <c r="C352" s="1078" t="s">
        <v>8068</v>
      </c>
      <c r="D352" s="1078">
        <v>17250</v>
      </c>
      <c r="E352" s="1078">
        <v>5</v>
      </c>
      <c r="F352" s="1078">
        <v>20000</v>
      </c>
      <c r="G352" s="1078">
        <v>2750</v>
      </c>
      <c r="H352" s="1078" t="s">
        <v>1397</v>
      </c>
    </row>
    <row r="353" spans="1:8" ht="22.5" x14ac:dyDescent="0.55000000000000004">
      <c r="A353" s="1078">
        <v>352</v>
      </c>
      <c r="B353" s="1078" t="s">
        <v>8554</v>
      </c>
      <c r="C353" s="1078" t="s">
        <v>8555</v>
      </c>
      <c r="D353" s="1078">
        <v>99000</v>
      </c>
      <c r="E353" s="1078">
        <v>5</v>
      </c>
      <c r="F353" s="1078">
        <v>105000</v>
      </c>
      <c r="G353" s="1078">
        <v>6000</v>
      </c>
      <c r="H353" s="1078" t="s">
        <v>1397</v>
      </c>
    </row>
    <row r="354" spans="1:8" ht="22.5" x14ac:dyDescent="0.55000000000000004">
      <c r="A354" s="1078">
        <v>353</v>
      </c>
      <c r="B354" s="1078" t="s">
        <v>2250</v>
      </c>
      <c r="C354" s="1078" t="s">
        <v>7621</v>
      </c>
      <c r="D354" s="1078">
        <v>1250</v>
      </c>
      <c r="E354" s="1078">
        <v>1</v>
      </c>
      <c r="F354" s="1078">
        <v>2500</v>
      </c>
      <c r="G354" s="1078">
        <v>1250</v>
      </c>
      <c r="H354" s="1078" t="s">
        <v>1397</v>
      </c>
    </row>
    <row r="355" spans="1:8" ht="22.5" x14ac:dyDescent="0.55000000000000004">
      <c r="A355" s="1078">
        <v>354</v>
      </c>
      <c r="B355" s="1078" t="s">
        <v>4352</v>
      </c>
      <c r="C355" s="1078" t="s">
        <v>4353</v>
      </c>
      <c r="D355" s="1078">
        <v>3300</v>
      </c>
      <c r="E355" s="1078">
        <v>2</v>
      </c>
      <c r="F355" s="1078">
        <v>6000</v>
      </c>
      <c r="G355" s="1078">
        <v>2700</v>
      </c>
      <c r="H355" s="1078" t="s">
        <v>1397</v>
      </c>
    </row>
    <row r="356" spans="1:8" ht="22.5" x14ac:dyDescent="0.55000000000000004">
      <c r="A356" s="1078">
        <v>355</v>
      </c>
      <c r="B356" s="1078" t="s">
        <v>4356</v>
      </c>
      <c r="C356" s="1078" t="s">
        <v>4357</v>
      </c>
      <c r="D356" s="1078">
        <v>536</v>
      </c>
      <c r="E356" s="1078">
        <v>1</v>
      </c>
      <c r="F356" s="1078">
        <v>700</v>
      </c>
      <c r="G356" s="1078">
        <v>164</v>
      </c>
      <c r="H356" s="1078" t="s">
        <v>1397</v>
      </c>
    </row>
    <row r="357" spans="1:8" ht="22.5" x14ac:dyDescent="0.55000000000000004">
      <c r="A357" s="1078">
        <v>356</v>
      </c>
      <c r="B357" s="1078" t="s">
        <v>8556</v>
      </c>
      <c r="C357" s="1078">
        <v>6207</v>
      </c>
      <c r="D357" s="1078">
        <v>30250</v>
      </c>
      <c r="E357" s="1078">
        <v>11</v>
      </c>
      <c r="F357" s="1078">
        <v>27500</v>
      </c>
      <c r="G357" s="1078">
        <v>-2750</v>
      </c>
      <c r="H357" s="1078" t="s">
        <v>1397</v>
      </c>
    </row>
    <row r="358" spans="1:8" ht="22.5" x14ac:dyDescent="0.55000000000000004">
      <c r="A358" s="1078">
        <v>357</v>
      </c>
      <c r="B358" s="1078" t="s">
        <v>4362</v>
      </c>
      <c r="C358" s="1078" t="s">
        <v>4363</v>
      </c>
      <c r="D358" s="1078">
        <v>31000</v>
      </c>
      <c r="E358" s="1078">
        <v>2</v>
      </c>
      <c r="F358" s="1078">
        <v>46000</v>
      </c>
      <c r="G358" s="1078">
        <v>15000</v>
      </c>
      <c r="H358" s="1078" t="s">
        <v>1397</v>
      </c>
    </row>
    <row r="359" spans="1:8" ht="22.5" x14ac:dyDescent="0.55000000000000004">
      <c r="A359" s="1078">
        <v>358</v>
      </c>
      <c r="B359" s="1078" t="s">
        <v>8557</v>
      </c>
      <c r="C359" s="1078" t="s">
        <v>8558</v>
      </c>
      <c r="D359" s="1078">
        <v>26500</v>
      </c>
      <c r="E359" s="1078">
        <v>1</v>
      </c>
      <c r="F359" s="1078">
        <v>31500</v>
      </c>
      <c r="G359" s="1078">
        <v>5000</v>
      </c>
      <c r="H359" s="1078" t="s">
        <v>1397</v>
      </c>
    </row>
    <row r="360" spans="1:8" ht="22.5" x14ac:dyDescent="0.55000000000000004">
      <c r="A360" s="1078">
        <v>359</v>
      </c>
      <c r="B360" s="1078" t="s">
        <v>3436</v>
      </c>
      <c r="C360" s="1078" t="s">
        <v>7623</v>
      </c>
      <c r="D360" s="1078">
        <v>5016</v>
      </c>
      <c r="E360" s="1078">
        <v>2</v>
      </c>
      <c r="F360" s="1078">
        <v>6000</v>
      </c>
      <c r="G360" s="1078">
        <v>984</v>
      </c>
      <c r="H360" s="1078" t="s">
        <v>1397</v>
      </c>
    </row>
    <row r="361" spans="1:8" ht="22.5" x14ac:dyDescent="0.55000000000000004">
      <c r="A361" s="1078">
        <v>360</v>
      </c>
      <c r="B361" s="1078" t="s">
        <v>6563</v>
      </c>
      <c r="C361" s="1078" t="s">
        <v>6564</v>
      </c>
      <c r="D361" s="1078">
        <v>31500</v>
      </c>
      <c r="E361" s="1078">
        <v>10</v>
      </c>
      <c r="F361" s="1078">
        <v>43000</v>
      </c>
      <c r="G361" s="1078">
        <v>11500</v>
      </c>
      <c r="H361" s="1078" t="s">
        <v>1397</v>
      </c>
    </row>
    <row r="362" spans="1:8" ht="22.5" x14ac:dyDescent="0.55000000000000004">
      <c r="A362" s="1078">
        <v>361</v>
      </c>
      <c r="B362" s="1078" t="s">
        <v>7911</v>
      </c>
      <c r="C362" s="1078" t="s">
        <v>7912</v>
      </c>
      <c r="D362" s="1078">
        <v>1200</v>
      </c>
      <c r="E362" s="1078">
        <v>2</v>
      </c>
      <c r="F362" s="1078">
        <v>1600</v>
      </c>
      <c r="G362" s="1078">
        <v>400</v>
      </c>
      <c r="H362" s="1078" t="s">
        <v>1397</v>
      </c>
    </row>
    <row r="363" spans="1:8" ht="22.5" x14ac:dyDescent="0.55000000000000004">
      <c r="A363" s="1078">
        <v>362</v>
      </c>
      <c r="B363" s="1078" t="s">
        <v>8559</v>
      </c>
      <c r="C363" s="1078" t="s">
        <v>8560</v>
      </c>
      <c r="D363" s="1078">
        <v>13750</v>
      </c>
      <c r="E363" s="1078">
        <v>1</v>
      </c>
      <c r="F363" s="1078">
        <v>17000</v>
      </c>
      <c r="G363" s="1078">
        <v>3250</v>
      </c>
      <c r="H363" s="1078" t="s">
        <v>1397</v>
      </c>
    </row>
    <row r="364" spans="1:8" ht="22.5" x14ac:dyDescent="0.55000000000000004">
      <c r="A364" s="1078">
        <v>363</v>
      </c>
      <c r="B364" s="1078" t="s">
        <v>8561</v>
      </c>
      <c r="C364" s="1078" t="s">
        <v>8562</v>
      </c>
      <c r="D364" s="1078">
        <v>3500</v>
      </c>
      <c r="E364" s="1078">
        <v>1</v>
      </c>
      <c r="F364" s="1078">
        <v>5000</v>
      </c>
      <c r="G364" s="1078">
        <v>1500</v>
      </c>
      <c r="H364" s="1078" t="s">
        <v>1397</v>
      </c>
    </row>
    <row r="365" spans="1:8" ht="22.5" x14ac:dyDescent="0.55000000000000004">
      <c r="A365" s="1078">
        <v>364</v>
      </c>
      <c r="B365" s="1078" t="s">
        <v>6843</v>
      </c>
      <c r="C365" s="1078" t="s">
        <v>6844</v>
      </c>
      <c r="D365" s="1078">
        <v>2750</v>
      </c>
      <c r="E365" s="1078">
        <v>1</v>
      </c>
      <c r="F365" s="1078">
        <v>3300</v>
      </c>
      <c r="G365" s="1078">
        <v>550</v>
      </c>
      <c r="H365" s="1078" t="s">
        <v>1397</v>
      </c>
    </row>
    <row r="366" spans="1:8" ht="22.5" x14ac:dyDescent="0.55000000000000004">
      <c r="A366" s="1078">
        <v>365</v>
      </c>
      <c r="B366" s="1078" t="s">
        <v>6268</v>
      </c>
      <c r="C366" s="1078" t="s">
        <v>6269</v>
      </c>
      <c r="D366" s="1078">
        <v>63900</v>
      </c>
      <c r="E366" s="1078">
        <v>3</v>
      </c>
      <c r="F366" s="1078">
        <v>84000</v>
      </c>
      <c r="G366" s="1078">
        <v>20100</v>
      </c>
      <c r="H366" s="1078" t="s">
        <v>933</v>
      </c>
    </row>
    <row r="367" spans="1:8" ht="22.5" x14ac:dyDescent="0.55000000000000004">
      <c r="A367" s="1078">
        <v>366</v>
      </c>
      <c r="B367" s="1078" t="s">
        <v>938</v>
      </c>
      <c r="C367" s="1078" t="s">
        <v>1576</v>
      </c>
      <c r="D367" s="1078">
        <v>13489</v>
      </c>
      <c r="E367" s="1078">
        <v>7</v>
      </c>
      <c r="F367" s="1078">
        <v>21000</v>
      </c>
      <c r="G367" s="1078">
        <v>7511</v>
      </c>
      <c r="H367" s="1078" t="s">
        <v>933</v>
      </c>
    </row>
    <row r="368" spans="1:8" ht="22.5" x14ac:dyDescent="0.55000000000000004">
      <c r="A368" s="1078">
        <v>367</v>
      </c>
      <c r="B368" s="1078" t="s">
        <v>940</v>
      </c>
      <c r="C368" s="1078" t="s">
        <v>7632</v>
      </c>
      <c r="D368" s="1078">
        <v>6430</v>
      </c>
      <c r="E368" s="1078">
        <v>1</v>
      </c>
      <c r="F368" s="1078">
        <v>13000</v>
      </c>
      <c r="G368" s="1078">
        <v>6570</v>
      </c>
      <c r="H368" s="1078" t="s">
        <v>1397</v>
      </c>
    </row>
    <row r="369" spans="1:8" ht="22.5" x14ac:dyDescent="0.55000000000000004">
      <c r="A369" s="1078">
        <v>368</v>
      </c>
      <c r="B369" s="1078" t="s">
        <v>941</v>
      </c>
      <c r="C369" s="1078" t="s">
        <v>935</v>
      </c>
      <c r="D369" s="1078">
        <v>18600</v>
      </c>
      <c r="E369" s="1078">
        <v>3</v>
      </c>
      <c r="F369" s="1078">
        <v>36000</v>
      </c>
      <c r="G369" s="1078">
        <v>17400</v>
      </c>
      <c r="H369" s="1078" t="s">
        <v>933</v>
      </c>
    </row>
    <row r="370" spans="1:8" ht="22.5" x14ac:dyDescent="0.55000000000000004">
      <c r="A370" s="1078">
        <v>369</v>
      </c>
      <c r="B370" s="1078" t="s">
        <v>2492</v>
      </c>
      <c r="C370" s="1078" t="s">
        <v>8563</v>
      </c>
      <c r="D370" s="1078">
        <v>5500</v>
      </c>
      <c r="E370" s="1078">
        <v>1</v>
      </c>
      <c r="F370" s="1078">
        <v>15000</v>
      </c>
      <c r="G370" s="1078">
        <v>9500</v>
      </c>
      <c r="H370" s="1078" t="s">
        <v>1397</v>
      </c>
    </row>
    <row r="371" spans="1:8" ht="22.5" x14ac:dyDescent="0.55000000000000004">
      <c r="A371" s="1078">
        <v>370</v>
      </c>
      <c r="B371" s="1078" t="s">
        <v>942</v>
      </c>
      <c r="C371" s="1078" t="s">
        <v>936</v>
      </c>
      <c r="D371" s="1078">
        <v>19476</v>
      </c>
      <c r="E371" s="1078">
        <v>2</v>
      </c>
      <c r="F371" s="1078">
        <v>30000</v>
      </c>
      <c r="G371" s="1078">
        <v>10524</v>
      </c>
      <c r="H371" s="1078" t="s">
        <v>933</v>
      </c>
    </row>
    <row r="372" spans="1:8" ht="22.5" x14ac:dyDescent="0.55000000000000004">
      <c r="A372" s="1078">
        <v>371</v>
      </c>
      <c r="B372" s="1078" t="s">
        <v>943</v>
      </c>
      <c r="C372" s="1078" t="s">
        <v>937</v>
      </c>
      <c r="D372" s="1078">
        <v>62500</v>
      </c>
      <c r="E372" s="1078">
        <v>5</v>
      </c>
      <c r="F372" s="1078">
        <v>90500</v>
      </c>
      <c r="G372" s="1078">
        <v>28000</v>
      </c>
      <c r="H372" s="1078" t="s">
        <v>933</v>
      </c>
    </row>
    <row r="373" spans="1:8" ht="22.5" x14ac:dyDescent="0.55000000000000004">
      <c r="A373" s="1078">
        <v>372</v>
      </c>
      <c r="B373" s="1078" t="s">
        <v>944</v>
      </c>
      <c r="C373" s="1078" t="s">
        <v>1578</v>
      </c>
      <c r="D373" s="1078">
        <v>23380</v>
      </c>
      <c r="E373" s="1078">
        <v>1</v>
      </c>
      <c r="F373" s="1078">
        <v>40000</v>
      </c>
      <c r="G373" s="1078">
        <v>16620</v>
      </c>
      <c r="H373" s="1078" t="s">
        <v>933</v>
      </c>
    </row>
    <row r="374" spans="1:8" ht="22.5" x14ac:dyDescent="0.55000000000000004">
      <c r="A374" s="1078">
        <v>373</v>
      </c>
      <c r="B374" s="1078" t="s">
        <v>4377</v>
      </c>
      <c r="C374" s="1078" t="s">
        <v>4378</v>
      </c>
      <c r="D374" s="1078">
        <v>54500</v>
      </c>
      <c r="E374" s="1078">
        <v>1</v>
      </c>
      <c r="F374" s="1078">
        <v>67000</v>
      </c>
      <c r="G374" s="1078">
        <v>12500</v>
      </c>
      <c r="H374" s="1078" t="s">
        <v>933</v>
      </c>
    </row>
    <row r="375" spans="1:8" ht="22.5" x14ac:dyDescent="0.55000000000000004">
      <c r="A375" s="1078">
        <v>374</v>
      </c>
      <c r="B375" s="1078" t="s">
        <v>945</v>
      </c>
      <c r="C375" s="1078" t="s">
        <v>1579</v>
      </c>
      <c r="D375" s="1078">
        <v>20748</v>
      </c>
      <c r="E375" s="1078">
        <v>28</v>
      </c>
      <c r="F375" s="1078">
        <v>33600</v>
      </c>
      <c r="G375" s="1078">
        <v>12852</v>
      </c>
      <c r="H375" s="1078" t="s">
        <v>1397</v>
      </c>
    </row>
    <row r="376" spans="1:8" ht="22.5" x14ac:dyDescent="0.55000000000000004">
      <c r="A376" s="1078">
        <v>375</v>
      </c>
      <c r="B376" s="1078" t="s">
        <v>3059</v>
      </c>
      <c r="C376" s="1078" t="s">
        <v>3255</v>
      </c>
      <c r="D376" s="1078">
        <v>8100</v>
      </c>
      <c r="E376" s="1078">
        <v>2</v>
      </c>
      <c r="F376" s="1078">
        <v>17000</v>
      </c>
      <c r="G376" s="1078">
        <v>8900</v>
      </c>
      <c r="H376" s="1078" t="s">
        <v>933</v>
      </c>
    </row>
    <row r="377" spans="1:8" ht="22.5" x14ac:dyDescent="0.55000000000000004">
      <c r="A377" s="1078">
        <v>376</v>
      </c>
      <c r="B377" s="1078" t="s">
        <v>952</v>
      </c>
      <c r="C377" s="1078" t="s">
        <v>1580</v>
      </c>
      <c r="D377" s="1078">
        <v>1030</v>
      </c>
      <c r="E377" s="1078">
        <v>1</v>
      </c>
      <c r="F377" s="1078">
        <v>2000</v>
      </c>
      <c r="G377" s="1078">
        <v>970</v>
      </c>
      <c r="H377" s="1078" t="s">
        <v>933</v>
      </c>
    </row>
    <row r="378" spans="1:8" ht="22.5" x14ac:dyDescent="0.55000000000000004">
      <c r="A378" s="1078">
        <v>377</v>
      </c>
      <c r="B378" s="1078" t="s">
        <v>953</v>
      </c>
      <c r="C378" s="1078" t="s">
        <v>8564</v>
      </c>
      <c r="D378" s="1078">
        <v>380</v>
      </c>
      <c r="E378" s="1078">
        <v>1</v>
      </c>
      <c r="F378" s="1078">
        <v>1000</v>
      </c>
      <c r="G378" s="1078">
        <v>620</v>
      </c>
      <c r="H378" s="1078" t="s">
        <v>1397</v>
      </c>
    </row>
    <row r="379" spans="1:8" ht="22.5" x14ac:dyDescent="0.55000000000000004">
      <c r="A379" s="1078">
        <v>378</v>
      </c>
      <c r="B379" s="1078" t="s">
        <v>1581</v>
      </c>
      <c r="C379" s="1078" t="s">
        <v>1582</v>
      </c>
      <c r="D379" s="1078">
        <v>318591</v>
      </c>
      <c r="E379" s="1078">
        <v>18</v>
      </c>
      <c r="F379" s="1078">
        <v>495000</v>
      </c>
      <c r="G379" s="1078">
        <v>176409</v>
      </c>
      <c r="H379" s="1078" t="s">
        <v>933</v>
      </c>
    </row>
    <row r="380" spans="1:8" ht="22.5" x14ac:dyDescent="0.55000000000000004">
      <c r="A380" s="1078">
        <v>379</v>
      </c>
      <c r="B380" s="1078" t="s">
        <v>3138</v>
      </c>
      <c r="C380" s="1078" t="s">
        <v>3139</v>
      </c>
      <c r="D380" s="1078">
        <v>47160</v>
      </c>
      <c r="E380" s="1078">
        <v>14</v>
      </c>
      <c r="F380" s="1078">
        <v>70000</v>
      </c>
      <c r="G380" s="1078">
        <v>22840</v>
      </c>
      <c r="H380" s="1078" t="s">
        <v>933</v>
      </c>
    </row>
    <row r="381" spans="1:8" ht="22.5" x14ac:dyDescent="0.55000000000000004">
      <c r="A381" s="1078">
        <v>380</v>
      </c>
      <c r="B381" s="1078" t="s">
        <v>8565</v>
      </c>
      <c r="C381" s="1078" t="s">
        <v>8566</v>
      </c>
      <c r="D381" s="1078">
        <v>7495</v>
      </c>
      <c r="E381" s="1078">
        <v>5</v>
      </c>
      <c r="F381" s="1078">
        <v>10000</v>
      </c>
      <c r="G381" s="1078">
        <v>2505</v>
      </c>
      <c r="H381" s="1078" t="s">
        <v>933</v>
      </c>
    </row>
    <row r="382" spans="1:8" ht="22.5" x14ac:dyDescent="0.55000000000000004">
      <c r="A382" s="1078">
        <v>381</v>
      </c>
      <c r="B382" s="1078" t="s">
        <v>6845</v>
      </c>
      <c r="C382" s="1078" t="s">
        <v>8567</v>
      </c>
      <c r="D382" s="1078">
        <v>98550</v>
      </c>
      <c r="E382" s="1078">
        <v>6</v>
      </c>
      <c r="F382" s="1078">
        <v>130000</v>
      </c>
      <c r="G382" s="1078">
        <v>31450</v>
      </c>
      <c r="H382" s="1078" t="s">
        <v>933</v>
      </c>
    </row>
    <row r="383" spans="1:8" ht="22.5" x14ac:dyDescent="0.55000000000000004">
      <c r="A383" s="1078">
        <v>382</v>
      </c>
      <c r="B383" s="1078" t="s">
        <v>1586</v>
      </c>
      <c r="C383" s="1078" t="s">
        <v>1587</v>
      </c>
      <c r="D383" s="1078">
        <v>137576</v>
      </c>
      <c r="E383" s="1078">
        <v>37</v>
      </c>
      <c r="F383" s="1078">
        <v>192400</v>
      </c>
      <c r="G383" s="1078">
        <v>54824</v>
      </c>
      <c r="H383" s="1078" t="s">
        <v>933</v>
      </c>
    </row>
    <row r="384" spans="1:8" ht="22.5" x14ac:dyDescent="0.55000000000000004">
      <c r="A384" s="1078">
        <v>383</v>
      </c>
      <c r="B384" s="1078" t="s">
        <v>7635</v>
      </c>
      <c r="C384" s="1078" t="s">
        <v>7636</v>
      </c>
      <c r="D384" s="1078">
        <v>40400</v>
      </c>
      <c r="E384" s="1078">
        <v>2</v>
      </c>
      <c r="F384" s="1078">
        <v>51000</v>
      </c>
      <c r="G384" s="1078">
        <v>10600</v>
      </c>
      <c r="H384" s="1078" t="s">
        <v>933</v>
      </c>
    </row>
    <row r="385" spans="1:8" ht="22.5" x14ac:dyDescent="0.55000000000000004">
      <c r="A385" s="1078">
        <v>384</v>
      </c>
      <c r="B385" s="1078" t="s">
        <v>7086</v>
      </c>
      <c r="C385" s="1078" t="s">
        <v>7087</v>
      </c>
      <c r="D385" s="1078">
        <v>19476</v>
      </c>
      <c r="E385" s="1078">
        <v>2</v>
      </c>
      <c r="F385" s="1078">
        <v>24000</v>
      </c>
      <c r="G385" s="1078">
        <v>4524</v>
      </c>
      <c r="H385" s="1078" t="s">
        <v>933</v>
      </c>
    </row>
    <row r="386" spans="1:8" ht="22.5" x14ac:dyDescent="0.55000000000000004">
      <c r="A386" s="1078">
        <v>385</v>
      </c>
      <c r="B386" s="1078" t="s">
        <v>8568</v>
      </c>
      <c r="C386" s="1078" t="s">
        <v>8569</v>
      </c>
      <c r="D386" s="1078">
        <v>4848</v>
      </c>
      <c r="E386" s="1078">
        <v>4</v>
      </c>
      <c r="F386" s="1078">
        <v>8000</v>
      </c>
      <c r="G386" s="1078">
        <v>3152</v>
      </c>
      <c r="H386" s="1078" t="s">
        <v>933</v>
      </c>
    </row>
    <row r="387" spans="1:8" ht="22.5" x14ac:dyDescent="0.55000000000000004">
      <c r="A387" s="1078">
        <v>386</v>
      </c>
      <c r="B387" s="1078" t="s">
        <v>1588</v>
      </c>
      <c r="C387" s="1078" t="s">
        <v>7639</v>
      </c>
      <c r="D387" s="1078">
        <v>10360</v>
      </c>
      <c r="E387" s="1078">
        <v>2</v>
      </c>
      <c r="F387" s="1078">
        <v>16000</v>
      </c>
      <c r="G387" s="1078">
        <v>5640</v>
      </c>
      <c r="H387" s="1078" t="s">
        <v>933</v>
      </c>
    </row>
    <row r="388" spans="1:8" ht="22.5" x14ac:dyDescent="0.55000000000000004">
      <c r="A388" s="1078">
        <v>387</v>
      </c>
      <c r="B388" s="1078" t="s">
        <v>8570</v>
      </c>
      <c r="C388" s="1078" t="s">
        <v>8571</v>
      </c>
      <c r="D388" s="1078">
        <v>5000</v>
      </c>
      <c r="E388" s="1078">
        <v>1</v>
      </c>
      <c r="F388" s="1078">
        <v>7000</v>
      </c>
      <c r="G388" s="1078">
        <v>2000</v>
      </c>
      <c r="H388" s="1078" t="s">
        <v>1397</v>
      </c>
    </row>
    <row r="389" spans="1:8" ht="22.5" x14ac:dyDescent="0.55000000000000004">
      <c r="A389" s="1078">
        <v>388</v>
      </c>
      <c r="B389" s="1078" t="s">
        <v>1589</v>
      </c>
      <c r="C389" s="1078" t="s">
        <v>1590</v>
      </c>
      <c r="D389" s="1078">
        <v>515</v>
      </c>
      <c r="E389" s="1078">
        <v>1</v>
      </c>
      <c r="F389" s="1078">
        <v>800</v>
      </c>
      <c r="G389" s="1078">
        <v>285</v>
      </c>
      <c r="H389" s="1078" t="s">
        <v>933</v>
      </c>
    </row>
    <row r="390" spans="1:8" ht="22.5" x14ac:dyDescent="0.55000000000000004">
      <c r="A390" s="1078">
        <v>389</v>
      </c>
      <c r="B390" s="1078" t="s">
        <v>8572</v>
      </c>
      <c r="C390" s="1078" t="s">
        <v>8573</v>
      </c>
      <c r="D390" s="1078">
        <v>1784</v>
      </c>
      <c r="E390" s="1078">
        <v>2</v>
      </c>
      <c r="F390" s="1078">
        <v>3000</v>
      </c>
      <c r="G390" s="1078">
        <v>1216</v>
      </c>
      <c r="H390" s="1078" t="s">
        <v>933</v>
      </c>
    </row>
    <row r="391" spans="1:8" ht="22.5" x14ac:dyDescent="0.55000000000000004">
      <c r="A391" s="1078">
        <v>390</v>
      </c>
      <c r="B391" s="1078" t="s">
        <v>8574</v>
      </c>
      <c r="C391" s="1078" t="s">
        <v>8575</v>
      </c>
      <c r="D391" s="1078">
        <v>950</v>
      </c>
      <c r="E391" s="1078">
        <v>1</v>
      </c>
      <c r="F391" s="1078">
        <v>1500</v>
      </c>
      <c r="G391" s="1078">
        <v>550</v>
      </c>
      <c r="H391" s="1078" t="s">
        <v>1397</v>
      </c>
    </row>
    <row r="392" spans="1:8" ht="22.5" x14ac:dyDescent="0.55000000000000004">
      <c r="A392" s="1078">
        <v>391</v>
      </c>
      <c r="B392" s="1078" t="s">
        <v>1595</v>
      </c>
      <c r="C392" s="1078" t="s">
        <v>1016</v>
      </c>
      <c r="D392" s="1078">
        <v>1250</v>
      </c>
      <c r="E392" s="1078">
        <v>1</v>
      </c>
      <c r="F392" s="1078">
        <v>2000</v>
      </c>
      <c r="G392" s="1078">
        <v>750</v>
      </c>
      <c r="H392" s="1078" t="s">
        <v>1397</v>
      </c>
    </row>
    <row r="393" spans="1:8" ht="22.5" x14ac:dyDescent="0.55000000000000004">
      <c r="A393" s="1078">
        <v>392</v>
      </c>
      <c r="B393" s="1078" t="s">
        <v>1596</v>
      </c>
      <c r="C393" s="1078" t="s">
        <v>1017</v>
      </c>
      <c r="D393" s="1078">
        <v>1155</v>
      </c>
      <c r="E393" s="1078">
        <v>21</v>
      </c>
      <c r="F393" s="1078">
        <v>3700</v>
      </c>
      <c r="G393" s="1078">
        <v>2545</v>
      </c>
      <c r="H393" s="1078" t="s">
        <v>1397</v>
      </c>
    </row>
    <row r="394" spans="1:8" ht="22.5" x14ac:dyDescent="0.55000000000000004">
      <c r="A394" s="1078">
        <v>393</v>
      </c>
      <c r="B394" s="1078" t="s">
        <v>1597</v>
      </c>
      <c r="C394" s="1078" t="s">
        <v>1019</v>
      </c>
      <c r="D394" s="1078">
        <v>1564</v>
      </c>
      <c r="E394" s="1078">
        <v>2</v>
      </c>
      <c r="F394" s="1078">
        <v>4000</v>
      </c>
      <c r="G394" s="1078">
        <v>2436</v>
      </c>
      <c r="H394" s="1078" t="s">
        <v>1397</v>
      </c>
    </row>
    <row r="395" spans="1:8" ht="22.5" x14ac:dyDescent="0.55000000000000004">
      <c r="A395" s="1078">
        <v>394</v>
      </c>
      <c r="B395" s="1078" t="s">
        <v>3008</v>
      </c>
      <c r="C395" s="1078" t="s">
        <v>3009</v>
      </c>
      <c r="D395" s="1078">
        <v>31141</v>
      </c>
      <c r="E395" s="1078">
        <v>11</v>
      </c>
      <c r="F395" s="1078">
        <v>41800</v>
      </c>
      <c r="G395" s="1078">
        <v>10659</v>
      </c>
      <c r="H395" s="1078" t="s">
        <v>1397</v>
      </c>
    </row>
    <row r="396" spans="1:8" ht="22.5" x14ac:dyDescent="0.55000000000000004">
      <c r="A396" s="1078">
        <v>395</v>
      </c>
      <c r="B396" s="1078" t="s">
        <v>1601</v>
      </c>
      <c r="C396" s="1078" t="s">
        <v>1021</v>
      </c>
      <c r="D396" s="1078">
        <v>1250</v>
      </c>
      <c r="E396" s="1078">
        <v>1</v>
      </c>
      <c r="F396" s="1078">
        <v>2000</v>
      </c>
      <c r="G396" s="1078">
        <v>750</v>
      </c>
      <c r="H396" s="1078" t="s">
        <v>1397</v>
      </c>
    </row>
    <row r="397" spans="1:8" ht="22.5" x14ac:dyDescent="0.55000000000000004">
      <c r="A397" s="1078">
        <v>396</v>
      </c>
      <c r="B397" s="1078" t="s">
        <v>1602</v>
      </c>
      <c r="C397" s="1079" t="s">
        <v>3258</v>
      </c>
      <c r="D397" s="1078">
        <v>1390</v>
      </c>
      <c r="E397" s="1078">
        <v>2</v>
      </c>
      <c r="F397" s="1078">
        <v>3000</v>
      </c>
      <c r="G397" s="1078">
        <v>1610</v>
      </c>
      <c r="H397" s="1078" t="s">
        <v>1397</v>
      </c>
    </row>
    <row r="398" spans="1:8" ht="22.5" x14ac:dyDescent="0.55000000000000004">
      <c r="A398" s="1078">
        <v>397</v>
      </c>
      <c r="B398" s="1078" t="s">
        <v>1603</v>
      </c>
      <c r="C398" s="1078" t="s">
        <v>1022</v>
      </c>
      <c r="D398" s="1078">
        <v>3459</v>
      </c>
      <c r="E398" s="1078">
        <v>3</v>
      </c>
      <c r="F398" s="1078">
        <v>6000</v>
      </c>
      <c r="G398" s="1078">
        <v>2541</v>
      </c>
      <c r="H398" s="1078" t="s">
        <v>1397</v>
      </c>
    </row>
    <row r="399" spans="1:8" ht="22.5" x14ac:dyDescent="0.55000000000000004">
      <c r="A399" s="1078">
        <v>398</v>
      </c>
      <c r="B399" s="1078" t="s">
        <v>1604</v>
      </c>
      <c r="C399" s="1078" t="s">
        <v>1018</v>
      </c>
      <c r="D399" s="1078">
        <v>100</v>
      </c>
      <c r="E399" s="1078">
        <v>4</v>
      </c>
      <c r="F399" s="1078">
        <v>400</v>
      </c>
      <c r="G399" s="1078">
        <v>300</v>
      </c>
      <c r="H399" s="1078" t="s">
        <v>1397</v>
      </c>
    </row>
    <row r="400" spans="1:8" ht="22.5" x14ac:dyDescent="0.55000000000000004">
      <c r="A400" s="1078">
        <v>399</v>
      </c>
      <c r="B400" s="1078" t="s">
        <v>1605</v>
      </c>
      <c r="C400" s="1078" t="s">
        <v>3140</v>
      </c>
      <c r="D400" s="1078">
        <v>201</v>
      </c>
      <c r="E400" s="1078">
        <v>2</v>
      </c>
      <c r="F400" s="1078">
        <v>400</v>
      </c>
      <c r="G400" s="1078">
        <v>199</v>
      </c>
      <c r="H400" s="1078" t="s">
        <v>1397</v>
      </c>
    </row>
    <row r="401" spans="1:8" ht="22.5" x14ac:dyDescent="0.55000000000000004">
      <c r="A401" s="1078">
        <v>400</v>
      </c>
      <c r="B401" s="1078" t="s">
        <v>1606</v>
      </c>
      <c r="C401" s="1078" t="s">
        <v>3040</v>
      </c>
      <c r="D401" s="1078">
        <v>1750</v>
      </c>
      <c r="E401" s="1078">
        <v>14</v>
      </c>
      <c r="F401" s="1078">
        <v>4200</v>
      </c>
      <c r="G401" s="1078">
        <v>2450</v>
      </c>
      <c r="H401" s="1078" t="s">
        <v>1397</v>
      </c>
    </row>
    <row r="402" spans="1:8" ht="22.5" x14ac:dyDescent="0.55000000000000004">
      <c r="A402" s="1078">
        <v>401</v>
      </c>
      <c r="B402" s="1078" t="s">
        <v>3259</v>
      </c>
      <c r="C402" s="1078" t="s">
        <v>3260</v>
      </c>
      <c r="D402" s="1078">
        <v>85500</v>
      </c>
      <c r="E402" s="1078">
        <v>11</v>
      </c>
      <c r="F402" s="1078">
        <v>122500</v>
      </c>
      <c r="G402" s="1078">
        <v>37000</v>
      </c>
      <c r="H402" s="1078" t="s">
        <v>1397</v>
      </c>
    </row>
    <row r="403" spans="1:8" ht="22.5" x14ac:dyDescent="0.55000000000000004">
      <c r="A403" s="1078">
        <v>402</v>
      </c>
      <c r="B403" s="1078" t="s">
        <v>1611</v>
      </c>
      <c r="C403" s="1078" t="s">
        <v>1007</v>
      </c>
      <c r="D403" s="1078">
        <v>295</v>
      </c>
      <c r="E403" s="1078">
        <v>1</v>
      </c>
      <c r="F403" s="1078">
        <v>500</v>
      </c>
      <c r="G403" s="1078">
        <v>205</v>
      </c>
      <c r="H403" s="1078" t="s">
        <v>1397</v>
      </c>
    </row>
    <row r="404" spans="1:8" ht="22.5" x14ac:dyDescent="0.55000000000000004">
      <c r="A404" s="1078">
        <v>403</v>
      </c>
      <c r="B404" s="1078" t="s">
        <v>1612</v>
      </c>
      <c r="C404" s="1079" t="s">
        <v>1008</v>
      </c>
      <c r="D404" s="1078">
        <v>6664</v>
      </c>
      <c r="E404" s="1078">
        <v>8</v>
      </c>
      <c r="F404" s="1078">
        <v>16000</v>
      </c>
      <c r="G404" s="1078">
        <v>9336</v>
      </c>
      <c r="H404" s="1078" t="s">
        <v>1397</v>
      </c>
    </row>
    <row r="405" spans="1:8" ht="22.5" x14ac:dyDescent="0.55000000000000004">
      <c r="A405" s="1078">
        <v>404</v>
      </c>
      <c r="B405" s="1078" t="s">
        <v>1613</v>
      </c>
      <c r="C405" s="1078" t="s">
        <v>1034</v>
      </c>
      <c r="D405" s="1078">
        <v>350</v>
      </c>
      <c r="E405" s="1078">
        <v>1</v>
      </c>
      <c r="F405" s="1078">
        <v>1000</v>
      </c>
      <c r="G405" s="1078">
        <v>650</v>
      </c>
      <c r="H405" s="1078" t="s">
        <v>1397</v>
      </c>
    </row>
    <row r="406" spans="1:8" ht="22.5" x14ac:dyDescent="0.55000000000000004">
      <c r="A406" s="1078">
        <v>405</v>
      </c>
      <c r="B406" s="1078" t="s">
        <v>1614</v>
      </c>
      <c r="C406" s="1078" t="s">
        <v>8576</v>
      </c>
      <c r="D406" s="1078">
        <v>535</v>
      </c>
      <c r="E406" s="1078">
        <v>1</v>
      </c>
      <c r="F406" s="1078">
        <v>1000</v>
      </c>
      <c r="G406" s="1078">
        <v>465</v>
      </c>
      <c r="H406" s="1078" t="s">
        <v>1397</v>
      </c>
    </row>
    <row r="407" spans="1:8" ht="22.5" x14ac:dyDescent="0.55000000000000004">
      <c r="A407" s="1078">
        <v>406</v>
      </c>
      <c r="B407" s="1078" t="s">
        <v>4408</v>
      </c>
      <c r="C407" s="1078" t="s">
        <v>4409</v>
      </c>
      <c r="D407" s="1078">
        <v>260</v>
      </c>
      <c r="E407" s="1078">
        <v>2</v>
      </c>
      <c r="F407" s="1078">
        <v>600</v>
      </c>
      <c r="G407" s="1078">
        <v>340</v>
      </c>
      <c r="H407" s="1078" t="s">
        <v>1397</v>
      </c>
    </row>
    <row r="408" spans="1:8" ht="22.5" x14ac:dyDescent="0.55000000000000004">
      <c r="A408" s="1078">
        <v>407</v>
      </c>
      <c r="B408" s="1078" t="s">
        <v>1616</v>
      </c>
      <c r="C408" s="1078" t="s">
        <v>1010</v>
      </c>
      <c r="D408" s="1078">
        <v>1120</v>
      </c>
      <c r="E408" s="1078">
        <v>4</v>
      </c>
      <c r="F408" s="1078">
        <v>1600</v>
      </c>
      <c r="G408" s="1078">
        <v>480</v>
      </c>
      <c r="H408" s="1078" t="s">
        <v>1397</v>
      </c>
    </row>
    <row r="409" spans="1:8" ht="22.5" x14ac:dyDescent="0.55000000000000004">
      <c r="A409" s="1078">
        <v>408</v>
      </c>
      <c r="B409" s="1078" t="s">
        <v>1617</v>
      </c>
      <c r="C409" s="1078" t="s">
        <v>1040</v>
      </c>
      <c r="D409" s="1078">
        <v>1325</v>
      </c>
      <c r="E409" s="1078">
        <v>1</v>
      </c>
      <c r="F409" s="1078">
        <v>2000</v>
      </c>
      <c r="G409" s="1078">
        <v>675</v>
      </c>
      <c r="H409" s="1078" t="s">
        <v>1397</v>
      </c>
    </row>
    <row r="410" spans="1:8" ht="22.5" x14ac:dyDescent="0.55000000000000004">
      <c r="A410" s="1078">
        <v>409</v>
      </c>
      <c r="B410" s="1078" t="s">
        <v>1618</v>
      </c>
      <c r="C410" s="1078" t="s">
        <v>1024</v>
      </c>
      <c r="D410" s="1078">
        <v>7890</v>
      </c>
      <c r="E410" s="1078">
        <v>4</v>
      </c>
      <c r="F410" s="1078">
        <v>14000</v>
      </c>
      <c r="G410" s="1078">
        <v>6110</v>
      </c>
      <c r="H410" s="1078" t="s">
        <v>1397</v>
      </c>
    </row>
    <row r="411" spans="1:8" ht="22.5" x14ac:dyDescent="0.55000000000000004">
      <c r="A411" s="1078">
        <v>410</v>
      </c>
      <c r="B411" s="1078" t="s">
        <v>1619</v>
      </c>
      <c r="C411" s="1078" t="s">
        <v>1025</v>
      </c>
      <c r="D411" s="1078">
        <v>78</v>
      </c>
      <c r="E411" s="1078">
        <v>1</v>
      </c>
      <c r="F411" s="1078">
        <v>150</v>
      </c>
      <c r="G411" s="1078">
        <v>72</v>
      </c>
      <c r="H411" s="1078" t="s">
        <v>1397</v>
      </c>
    </row>
    <row r="412" spans="1:8" ht="22.5" x14ac:dyDescent="0.55000000000000004">
      <c r="A412" s="1078">
        <v>411</v>
      </c>
      <c r="B412" s="1078" t="s">
        <v>1620</v>
      </c>
      <c r="C412" s="1078" t="s">
        <v>7353</v>
      </c>
      <c r="D412" s="1078">
        <v>640</v>
      </c>
      <c r="E412" s="1078">
        <v>8</v>
      </c>
      <c r="F412" s="1078">
        <v>1200</v>
      </c>
      <c r="G412" s="1078">
        <v>560</v>
      </c>
      <c r="H412" s="1078" t="s">
        <v>1397</v>
      </c>
    </row>
    <row r="413" spans="1:8" ht="22.5" x14ac:dyDescent="0.55000000000000004">
      <c r="A413" s="1078">
        <v>412</v>
      </c>
      <c r="B413" s="1078" t="s">
        <v>1621</v>
      </c>
      <c r="C413" s="1078" t="s">
        <v>1026</v>
      </c>
      <c r="D413" s="1078">
        <v>350</v>
      </c>
      <c r="E413" s="1078">
        <v>3</v>
      </c>
      <c r="F413" s="1078">
        <v>900</v>
      </c>
      <c r="G413" s="1078">
        <v>550</v>
      </c>
      <c r="H413" s="1078" t="s">
        <v>1397</v>
      </c>
    </row>
    <row r="414" spans="1:8" ht="22.5" x14ac:dyDescent="0.55000000000000004">
      <c r="A414" s="1078">
        <v>413</v>
      </c>
      <c r="B414" s="1078" t="s">
        <v>1626</v>
      </c>
      <c r="C414" s="1078" t="s">
        <v>1627</v>
      </c>
      <c r="D414" s="1078">
        <v>1389</v>
      </c>
      <c r="E414" s="1078">
        <v>3</v>
      </c>
      <c r="F414" s="1078">
        <v>3000</v>
      </c>
      <c r="G414" s="1078">
        <v>1611</v>
      </c>
      <c r="H414" s="1078" t="s">
        <v>1397</v>
      </c>
    </row>
    <row r="415" spans="1:8" ht="22.5" x14ac:dyDescent="0.55000000000000004">
      <c r="A415" s="1078">
        <v>414</v>
      </c>
      <c r="B415" s="1078" t="s">
        <v>3261</v>
      </c>
      <c r="C415" s="1078" t="s">
        <v>8264</v>
      </c>
      <c r="D415" s="1078">
        <v>23000</v>
      </c>
      <c r="E415" s="1078">
        <v>2</v>
      </c>
      <c r="F415" s="1078">
        <v>34500</v>
      </c>
      <c r="G415" s="1078">
        <v>11500</v>
      </c>
      <c r="H415" s="1078" t="s">
        <v>1397</v>
      </c>
    </row>
    <row r="416" spans="1:8" ht="22.5" x14ac:dyDescent="0.55000000000000004">
      <c r="A416" s="1078">
        <v>415</v>
      </c>
      <c r="B416" s="1078" t="s">
        <v>3262</v>
      </c>
      <c r="C416" s="1078" t="s">
        <v>3263</v>
      </c>
      <c r="D416" s="1078">
        <v>6200</v>
      </c>
      <c r="E416" s="1078">
        <v>1</v>
      </c>
      <c r="F416" s="1078">
        <v>13000</v>
      </c>
      <c r="G416" s="1078">
        <v>6800</v>
      </c>
      <c r="H416" s="1078" t="s">
        <v>1397</v>
      </c>
    </row>
    <row r="417" spans="1:8" ht="22.5" x14ac:dyDescent="0.55000000000000004">
      <c r="A417" s="1078">
        <v>416</v>
      </c>
      <c r="B417" s="1078" t="s">
        <v>1629</v>
      </c>
      <c r="C417" s="1078" t="s">
        <v>1035</v>
      </c>
      <c r="D417" s="1078">
        <v>4000</v>
      </c>
      <c r="E417" s="1078">
        <v>1</v>
      </c>
      <c r="F417" s="1078">
        <v>5500</v>
      </c>
      <c r="G417" s="1078">
        <v>1500</v>
      </c>
      <c r="H417" s="1078" t="s">
        <v>1397</v>
      </c>
    </row>
    <row r="418" spans="1:8" ht="22.5" x14ac:dyDescent="0.55000000000000004">
      <c r="A418" s="1078">
        <v>417</v>
      </c>
      <c r="B418" s="1078" t="s">
        <v>4422</v>
      </c>
      <c r="C418" s="1078" t="s">
        <v>4423</v>
      </c>
      <c r="D418" s="1078">
        <v>550</v>
      </c>
      <c r="E418" s="1078">
        <v>1</v>
      </c>
      <c r="F418" s="1078">
        <v>1000</v>
      </c>
      <c r="G418" s="1078">
        <v>450</v>
      </c>
      <c r="H418" s="1078" t="s">
        <v>1397</v>
      </c>
    </row>
    <row r="419" spans="1:8" ht="22.5" x14ac:dyDescent="0.55000000000000004">
      <c r="A419" s="1078">
        <v>418</v>
      </c>
      <c r="B419" s="1078" t="s">
        <v>3266</v>
      </c>
      <c r="C419" s="1078" t="s">
        <v>3267</v>
      </c>
      <c r="D419" s="1078">
        <v>2980</v>
      </c>
      <c r="E419" s="1078">
        <v>1</v>
      </c>
      <c r="F419" s="1078">
        <v>5000</v>
      </c>
      <c r="G419" s="1078">
        <v>2020</v>
      </c>
      <c r="H419" s="1078" t="s">
        <v>1397</v>
      </c>
    </row>
    <row r="420" spans="1:8" ht="22.5" x14ac:dyDescent="0.55000000000000004">
      <c r="A420" s="1078">
        <v>419</v>
      </c>
      <c r="B420" s="1078" t="s">
        <v>1631</v>
      </c>
      <c r="C420" s="1078" t="s">
        <v>7643</v>
      </c>
      <c r="D420" s="1078">
        <v>4360</v>
      </c>
      <c r="E420" s="1078">
        <v>5</v>
      </c>
      <c r="F420" s="1078">
        <v>6000</v>
      </c>
      <c r="G420" s="1078">
        <v>1640</v>
      </c>
      <c r="H420" s="1078" t="s">
        <v>1397</v>
      </c>
    </row>
    <row r="421" spans="1:8" ht="22.5" x14ac:dyDescent="0.55000000000000004">
      <c r="A421" s="1078">
        <v>420</v>
      </c>
      <c r="B421" s="1078" t="s">
        <v>1634</v>
      </c>
      <c r="C421" s="1078" t="s">
        <v>1635</v>
      </c>
      <c r="D421" s="1078">
        <v>1526</v>
      </c>
      <c r="E421" s="1078">
        <v>7</v>
      </c>
      <c r="F421" s="1078">
        <v>2900</v>
      </c>
      <c r="G421" s="1078">
        <v>1374</v>
      </c>
      <c r="H421" s="1078" t="s">
        <v>1397</v>
      </c>
    </row>
    <row r="422" spans="1:8" ht="22.5" x14ac:dyDescent="0.55000000000000004">
      <c r="A422" s="1078">
        <v>421</v>
      </c>
      <c r="B422" s="1078" t="s">
        <v>1636</v>
      </c>
      <c r="C422" s="1078" t="s">
        <v>1038</v>
      </c>
      <c r="D422" s="1078">
        <v>49110</v>
      </c>
      <c r="E422" s="1078">
        <v>14</v>
      </c>
      <c r="F422" s="1078">
        <v>63000</v>
      </c>
      <c r="G422" s="1078">
        <v>13890</v>
      </c>
      <c r="H422" s="1078" t="s">
        <v>1397</v>
      </c>
    </row>
    <row r="423" spans="1:8" ht="22.5" x14ac:dyDescent="0.55000000000000004">
      <c r="A423" s="1078">
        <v>422</v>
      </c>
      <c r="B423" s="1078" t="s">
        <v>1638</v>
      </c>
      <c r="C423" s="1079" t="s">
        <v>1041</v>
      </c>
      <c r="D423" s="1078">
        <v>1100</v>
      </c>
      <c r="E423" s="1078">
        <v>1</v>
      </c>
      <c r="F423" s="1078">
        <v>2000</v>
      </c>
      <c r="G423" s="1078">
        <v>900</v>
      </c>
      <c r="H423" s="1078" t="s">
        <v>1397</v>
      </c>
    </row>
    <row r="424" spans="1:8" ht="22.5" x14ac:dyDescent="0.55000000000000004">
      <c r="A424" s="1078">
        <v>423</v>
      </c>
      <c r="B424" s="1078" t="s">
        <v>1639</v>
      </c>
      <c r="C424" s="1078" t="s">
        <v>1042</v>
      </c>
      <c r="D424" s="1078">
        <v>550</v>
      </c>
      <c r="E424" s="1078">
        <v>1</v>
      </c>
      <c r="F424" s="1078">
        <v>1000</v>
      </c>
      <c r="G424" s="1078">
        <v>450</v>
      </c>
      <c r="H424" s="1078" t="s">
        <v>1397</v>
      </c>
    </row>
    <row r="425" spans="1:8" ht="22.5" x14ac:dyDescent="0.55000000000000004">
      <c r="A425" s="1078">
        <v>424</v>
      </c>
      <c r="B425" s="1078" t="s">
        <v>3143</v>
      </c>
      <c r="C425" s="1079" t="s">
        <v>3144</v>
      </c>
      <c r="D425" s="1078">
        <v>486</v>
      </c>
      <c r="E425" s="1078">
        <v>2</v>
      </c>
      <c r="F425" s="1078">
        <v>2000</v>
      </c>
      <c r="G425" s="1078">
        <v>1514</v>
      </c>
      <c r="H425" s="1078" t="s">
        <v>1397</v>
      </c>
    </row>
    <row r="426" spans="1:8" ht="22.5" x14ac:dyDescent="0.55000000000000004">
      <c r="A426" s="1078">
        <v>425</v>
      </c>
      <c r="B426" s="1078" t="s">
        <v>4433</v>
      </c>
      <c r="C426" s="1078" t="s">
        <v>4434</v>
      </c>
      <c r="D426" s="1078">
        <v>8800</v>
      </c>
      <c r="E426" s="1078">
        <v>12</v>
      </c>
      <c r="F426" s="1078">
        <v>13600</v>
      </c>
      <c r="G426" s="1078">
        <v>4800</v>
      </c>
      <c r="H426" s="1078" t="s">
        <v>1397</v>
      </c>
    </row>
    <row r="427" spans="1:8" ht="22.5" x14ac:dyDescent="0.55000000000000004">
      <c r="A427" s="1078">
        <v>426</v>
      </c>
      <c r="B427" s="1078" t="s">
        <v>4435</v>
      </c>
      <c r="C427" s="1078" t="s">
        <v>4436</v>
      </c>
      <c r="D427" s="1078">
        <v>600</v>
      </c>
      <c r="E427" s="1078">
        <v>3</v>
      </c>
      <c r="F427" s="1078">
        <v>1200</v>
      </c>
      <c r="G427" s="1078">
        <v>600</v>
      </c>
      <c r="H427" s="1078" t="s">
        <v>1397</v>
      </c>
    </row>
    <row r="428" spans="1:8" ht="22.5" x14ac:dyDescent="0.55000000000000004">
      <c r="A428" s="1078">
        <v>427</v>
      </c>
      <c r="B428" s="1078" t="s">
        <v>1643</v>
      </c>
      <c r="C428" s="1078" t="s">
        <v>1644</v>
      </c>
      <c r="D428" s="1078">
        <v>2777</v>
      </c>
      <c r="E428" s="1078">
        <v>4</v>
      </c>
      <c r="F428" s="1078">
        <v>6000</v>
      </c>
      <c r="G428" s="1078">
        <v>3223</v>
      </c>
      <c r="H428" s="1078" t="s">
        <v>1397</v>
      </c>
    </row>
    <row r="429" spans="1:8" ht="22.5" x14ac:dyDescent="0.55000000000000004">
      <c r="A429" s="1078">
        <v>428</v>
      </c>
      <c r="B429" s="1078" t="s">
        <v>4438</v>
      </c>
      <c r="C429" s="1078" t="s">
        <v>4439</v>
      </c>
      <c r="D429" s="1078">
        <v>2600</v>
      </c>
      <c r="E429" s="1078">
        <v>13</v>
      </c>
      <c r="F429" s="1078">
        <v>6500</v>
      </c>
      <c r="G429" s="1078">
        <v>3900</v>
      </c>
      <c r="H429" s="1078" t="s">
        <v>1397</v>
      </c>
    </row>
    <row r="430" spans="1:8" ht="22.5" x14ac:dyDescent="0.55000000000000004">
      <c r="A430" s="1078">
        <v>429</v>
      </c>
      <c r="B430" s="1078" t="s">
        <v>1645</v>
      </c>
      <c r="C430" s="1078" t="s">
        <v>1646</v>
      </c>
      <c r="D430" s="1078">
        <v>720</v>
      </c>
      <c r="E430" s="1078">
        <v>4</v>
      </c>
      <c r="F430" s="1078">
        <v>2000</v>
      </c>
      <c r="G430" s="1078">
        <v>1280</v>
      </c>
      <c r="H430" s="1078" t="s">
        <v>1397</v>
      </c>
    </row>
    <row r="431" spans="1:8" ht="22.5" x14ac:dyDescent="0.55000000000000004">
      <c r="A431" s="1078">
        <v>430</v>
      </c>
      <c r="B431" s="1078" t="s">
        <v>1647</v>
      </c>
      <c r="C431" s="1078" t="s">
        <v>1648</v>
      </c>
      <c r="D431" s="1078">
        <v>180</v>
      </c>
      <c r="E431" s="1078">
        <v>3</v>
      </c>
      <c r="F431" s="1078">
        <v>900</v>
      </c>
      <c r="G431" s="1078">
        <v>720</v>
      </c>
      <c r="H431" s="1078" t="s">
        <v>1397</v>
      </c>
    </row>
    <row r="432" spans="1:8" ht="22.5" x14ac:dyDescent="0.55000000000000004">
      <c r="A432" s="1078">
        <v>431</v>
      </c>
      <c r="B432" s="1078" t="s">
        <v>1653</v>
      </c>
      <c r="C432" s="1078" t="s">
        <v>1654</v>
      </c>
      <c r="D432" s="1078">
        <v>52</v>
      </c>
      <c r="E432" s="1078">
        <v>2</v>
      </c>
      <c r="F432" s="1078">
        <v>200</v>
      </c>
      <c r="G432" s="1078">
        <v>148</v>
      </c>
      <c r="H432" s="1078" t="s">
        <v>1397</v>
      </c>
    </row>
    <row r="433" spans="1:8" ht="22.5" x14ac:dyDescent="0.55000000000000004">
      <c r="A433" s="1078">
        <v>432</v>
      </c>
      <c r="B433" s="1078" t="s">
        <v>1657</v>
      </c>
      <c r="C433" s="1078" t="s">
        <v>1658</v>
      </c>
      <c r="D433" s="1078">
        <v>890</v>
      </c>
      <c r="E433" s="1078">
        <v>1</v>
      </c>
      <c r="F433" s="1078">
        <v>2000</v>
      </c>
      <c r="G433" s="1078">
        <v>1110</v>
      </c>
      <c r="H433" s="1078" t="s">
        <v>1397</v>
      </c>
    </row>
    <row r="434" spans="1:8" ht="22.5" x14ac:dyDescent="0.55000000000000004">
      <c r="A434" s="1078">
        <v>433</v>
      </c>
      <c r="B434" s="1078" t="s">
        <v>8071</v>
      </c>
      <c r="C434" s="1078" t="s">
        <v>8072</v>
      </c>
      <c r="D434" s="1078">
        <v>49000</v>
      </c>
      <c r="E434" s="1078">
        <v>2</v>
      </c>
      <c r="F434" s="1078">
        <v>60000</v>
      </c>
      <c r="G434" s="1078">
        <v>11000</v>
      </c>
      <c r="H434" s="1078" t="s">
        <v>1397</v>
      </c>
    </row>
    <row r="435" spans="1:8" ht="22.5" x14ac:dyDescent="0.55000000000000004">
      <c r="A435" s="1078">
        <v>434</v>
      </c>
      <c r="B435" s="1078" t="s">
        <v>1659</v>
      </c>
      <c r="C435" s="1078" t="s">
        <v>1660</v>
      </c>
      <c r="D435" s="1078">
        <v>380</v>
      </c>
      <c r="E435" s="1078">
        <v>1</v>
      </c>
      <c r="F435" s="1078">
        <v>1000</v>
      </c>
      <c r="G435" s="1078">
        <v>620</v>
      </c>
      <c r="H435" s="1078" t="s">
        <v>1397</v>
      </c>
    </row>
    <row r="436" spans="1:8" ht="22.5" x14ac:dyDescent="0.55000000000000004">
      <c r="A436" s="1078">
        <v>435</v>
      </c>
      <c r="B436" s="1078" t="s">
        <v>3145</v>
      </c>
      <c r="C436" s="1078" t="s">
        <v>8577</v>
      </c>
      <c r="D436" s="1078">
        <v>8800</v>
      </c>
      <c r="E436" s="1078">
        <v>8</v>
      </c>
      <c r="F436" s="1078">
        <v>12000</v>
      </c>
      <c r="G436" s="1078">
        <v>3200</v>
      </c>
      <c r="H436" s="1078" t="s">
        <v>1397</v>
      </c>
    </row>
    <row r="437" spans="1:8" ht="22.5" x14ac:dyDescent="0.55000000000000004">
      <c r="A437" s="1078">
        <v>436</v>
      </c>
      <c r="B437" s="1078" t="s">
        <v>3340</v>
      </c>
      <c r="C437" s="1078" t="s">
        <v>3341</v>
      </c>
      <c r="D437" s="1078">
        <v>3500</v>
      </c>
      <c r="E437" s="1078">
        <v>1</v>
      </c>
      <c r="F437" s="1078">
        <v>6000</v>
      </c>
      <c r="G437" s="1078">
        <v>2500</v>
      </c>
      <c r="H437" s="1078" t="s">
        <v>1397</v>
      </c>
    </row>
    <row r="438" spans="1:8" ht="22.5" x14ac:dyDescent="0.55000000000000004">
      <c r="A438" s="1078">
        <v>437</v>
      </c>
      <c r="B438" s="1078" t="s">
        <v>4461</v>
      </c>
      <c r="C438" s="1078" t="s">
        <v>4462</v>
      </c>
      <c r="D438" s="1078">
        <v>15333</v>
      </c>
      <c r="E438" s="1078">
        <v>1</v>
      </c>
      <c r="F438" s="1078">
        <v>30000</v>
      </c>
      <c r="G438" s="1078">
        <v>14667</v>
      </c>
      <c r="H438" s="1078" t="s">
        <v>1397</v>
      </c>
    </row>
    <row r="439" spans="1:8" ht="22.5" x14ac:dyDescent="0.55000000000000004">
      <c r="A439" s="1078">
        <v>438</v>
      </c>
      <c r="B439" s="1078" t="s">
        <v>1664</v>
      </c>
      <c r="C439" s="1078" t="s">
        <v>7647</v>
      </c>
      <c r="D439" s="1078">
        <v>7280</v>
      </c>
      <c r="E439" s="1078">
        <v>5</v>
      </c>
      <c r="F439" s="1078">
        <v>11000</v>
      </c>
      <c r="G439" s="1078">
        <v>3720</v>
      </c>
      <c r="H439" s="1078" t="s">
        <v>1397</v>
      </c>
    </row>
    <row r="440" spans="1:8" ht="22.5" x14ac:dyDescent="0.55000000000000004">
      <c r="A440" s="1078">
        <v>439</v>
      </c>
      <c r="B440" s="1078" t="s">
        <v>1667</v>
      </c>
      <c r="C440" s="1078" t="s">
        <v>3146</v>
      </c>
      <c r="D440" s="1078">
        <v>6270</v>
      </c>
      <c r="E440" s="1078">
        <v>27</v>
      </c>
      <c r="F440" s="1078">
        <v>16800</v>
      </c>
      <c r="G440" s="1078">
        <v>10530</v>
      </c>
      <c r="H440" s="1078" t="s">
        <v>1397</v>
      </c>
    </row>
    <row r="441" spans="1:8" ht="22.5" x14ac:dyDescent="0.55000000000000004">
      <c r="A441" s="1078">
        <v>440</v>
      </c>
      <c r="B441" s="1078" t="s">
        <v>1670</v>
      </c>
      <c r="C441" s="1078" t="s">
        <v>1671</v>
      </c>
      <c r="D441" s="1078">
        <v>67419</v>
      </c>
      <c r="E441" s="1078">
        <v>17</v>
      </c>
      <c r="F441" s="1078">
        <v>76500</v>
      </c>
      <c r="G441" s="1078">
        <v>9081</v>
      </c>
      <c r="H441" s="1078" t="s">
        <v>933</v>
      </c>
    </row>
    <row r="442" spans="1:8" ht="22.5" x14ac:dyDescent="0.55000000000000004">
      <c r="A442" s="1078">
        <v>441</v>
      </c>
      <c r="B442" s="1078" t="s">
        <v>1672</v>
      </c>
      <c r="C442" s="1078" t="s">
        <v>1673</v>
      </c>
      <c r="D442" s="1078">
        <v>400</v>
      </c>
      <c r="E442" s="1078">
        <v>1</v>
      </c>
      <c r="F442" s="1078">
        <v>1000</v>
      </c>
      <c r="G442" s="1078">
        <v>600</v>
      </c>
      <c r="H442" s="1078" t="s">
        <v>933</v>
      </c>
    </row>
    <row r="443" spans="1:8" ht="22.5" x14ac:dyDescent="0.55000000000000004">
      <c r="A443" s="1078">
        <v>442</v>
      </c>
      <c r="B443" s="1078" t="s">
        <v>2547</v>
      </c>
      <c r="C443" s="1078" t="s">
        <v>2548</v>
      </c>
      <c r="D443" s="1078">
        <v>800</v>
      </c>
      <c r="E443" s="1078">
        <v>4</v>
      </c>
      <c r="F443" s="1078">
        <v>2000</v>
      </c>
      <c r="G443" s="1078">
        <v>1200</v>
      </c>
      <c r="H443" s="1078" t="s">
        <v>1397</v>
      </c>
    </row>
    <row r="444" spans="1:8" ht="22.5" x14ac:dyDescent="0.55000000000000004">
      <c r="A444" s="1078">
        <v>443</v>
      </c>
      <c r="B444" s="1078" t="s">
        <v>4477</v>
      </c>
      <c r="C444" s="1078" t="s">
        <v>4478</v>
      </c>
      <c r="D444" s="1078">
        <v>750</v>
      </c>
      <c r="E444" s="1078">
        <v>1</v>
      </c>
      <c r="F444" s="1078">
        <v>1200</v>
      </c>
      <c r="G444" s="1078">
        <v>450</v>
      </c>
      <c r="H444" s="1078" t="s">
        <v>1397</v>
      </c>
    </row>
    <row r="445" spans="1:8" ht="22.5" x14ac:dyDescent="0.55000000000000004">
      <c r="A445" s="1078">
        <v>444</v>
      </c>
      <c r="B445" s="1078" t="s">
        <v>4483</v>
      </c>
      <c r="C445" s="1078" t="s">
        <v>7356</v>
      </c>
      <c r="D445" s="1078">
        <v>1050</v>
      </c>
      <c r="E445" s="1078">
        <v>1</v>
      </c>
      <c r="F445" s="1078">
        <v>2000</v>
      </c>
      <c r="G445" s="1078">
        <v>950</v>
      </c>
      <c r="H445" s="1078" t="s">
        <v>933</v>
      </c>
    </row>
    <row r="446" spans="1:8" ht="22.5" x14ac:dyDescent="0.55000000000000004">
      <c r="A446" s="1078">
        <v>445</v>
      </c>
      <c r="B446" s="1078" t="s">
        <v>2882</v>
      </c>
      <c r="C446" s="1078" t="s">
        <v>2883</v>
      </c>
      <c r="D446" s="1078">
        <v>5000</v>
      </c>
      <c r="E446" s="1078">
        <v>2</v>
      </c>
      <c r="F446" s="1078">
        <v>10000</v>
      </c>
      <c r="G446" s="1078">
        <v>5000</v>
      </c>
      <c r="H446" s="1078" t="s">
        <v>1397</v>
      </c>
    </row>
    <row r="447" spans="1:8" ht="22.5" x14ac:dyDescent="0.55000000000000004">
      <c r="A447" s="1078">
        <v>446</v>
      </c>
      <c r="B447" s="1078" t="s">
        <v>3147</v>
      </c>
      <c r="C447" s="1078" t="s">
        <v>3148</v>
      </c>
      <c r="D447" s="1078">
        <v>12300</v>
      </c>
      <c r="E447" s="1078">
        <v>10</v>
      </c>
      <c r="F447" s="1078">
        <v>20000</v>
      </c>
      <c r="G447" s="1078">
        <v>7700</v>
      </c>
      <c r="H447" s="1078" t="s">
        <v>1397</v>
      </c>
    </row>
    <row r="448" spans="1:8" ht="22.5" x14ac:dyDescent="0.55000000000000004">
      <c r="A448" s="1078">
        <v>447</v>
      </c>
      <c r="B448" s="1078" t="s">
        <v>6686</v>
      </c>
      <c r="C448" s="1078" t="s">
        <v>6687</v>
      </c>
      <c r="D448" s="1078">
        <v>48812</v>
      </c>
      <c r="E448" s="1078">
        <v>81</v>
      </c>
      <c r="F448" s="1078">
        <v>64800</v>
      </c>
      <c r="G448" s="1078">
        <v>15988</v>
      </c>
      <c r="H448" s="1078" t="s">
        <v>933</v>
      </c>
    </row>
    <row r="449" spans="1:8" ht="22.5" x14ac:dyDescent="0.55000000000000004">
      <c r="A449" s="1078">
        <v>448</v>
      </c>
      <c r="B449" s="1078" t="s">
        <v>8578</v>
      </c>
      <c r="C449" s="1078" t="s">
        <v>8579</v>
      </c>
      <c r="D449" s="1078">
        <v>4428</v>
      </c>
      <c r="E449" s="1078">
        <v>9</v>
      </c>
      <c r="F449" s="1078">
        <v>9000</v>
      </c>
      <c r="G449" s="1078">
        <v>4572</v>
      </c>
      <c r="H449" s="1078" t="s">
        <v>933</v>
      </c>
    </row>
    <row r="450" spans="1:8" ht="22.5" x14ac:dyDescent="0.55000000000000004">
      <c r="A450" s="1078">
        <v>449</v>
      </c>
      <c r="B450" s="1078" t="s">
        <v>6345</v>
      </c>
      <c r="C450" s="1078" t="s">
        <v>7913</v>
      </c>
      <c r="D450" s="1078">
        <v>25000</v>
      </c>
      <c r="E450" s="1078">
        <v>1</v>
      </c>
      <c r="F450" s="1078">
        <v>30000</v>
      </c>
      <c r="G450" s="1078">
        <v>5000</v>
      </c>
      <c r="H450" s="1078" t="s">
        <v>1397</v>
      </c>
    </row>
    <row r="451" spans="1:8" ht="22.5" x14ac:dyDescent="0.55000000000000004">
      <c r="A451" s="1078">
        <v>450</v>
      </c>
      <c r="B451" s="1078" t="s">
        <v>966</v>
      </c>
      <c r="C451" s="1078" t="s">
        <v>1674</v>
      </c>
      <c r="D451" s="1078">
        <v>1071</v>
      </c>
      <c r="E451" s="1078">
        <v>3</v>
      </c>
      <c r="F451" s="1078">
        <v>3000</v>
      </c>
      <c r="G451" s="1078">
        <v>1929</v>
      </c>
      <c r="H451" s="1078" t="s">
        <v>1397</v>
      </c>
    </row>
    <row r="452" spans="1:8" ht="22.5" x14ac:dyDescent="0.55000000000000004">
      <c r="A452" s="1078">
        <v>451</v>
      </c>
      <c r="B452" s="1078" t="s">
        <v>3268</v>
      </c>
      <c r="C452" s="1078" t="s">
        <v>8580</v>
      </c>
      <c r="D452" s="1078">
        <v>24375</v>
      </c>
      <c r="E452" s="1078">
        <v>17</v>
      </c>
      <c r="F452" s="1078">
        <v>30400</v>
      </c>
      <c r="G452" s="1078">
        <v>6025</v>
      </c>
      <c r="H452" s="1078" t="s">
        <v>1397</v>
      </c>
    </row>
    <row r="453" spans="1:8" ht="22.5" x14ac:dyDescent="0.55000000000000004">
      <c r="A453" s="1078">
        <v>452</v>
      </c>
      <c r="B453" s="1078" t="s">
        <v>8581</v>
      </c>
      <c r="C453" s="1078" t="s">
        <v>8582</v>
      </c>
      <c r="D453" s="1078">
        <v>4796</v>
      </c>
      <c r="E453" s="1078">
        <v>2</v>
      </c>
      <c r="F453" s="1078">
        <v>6000</v>
      </c>
      <c r="G453" s="1078">
        <v>1204</v>
      </c>
      <c r="H453" s="1078" t="s">
        <v>933</v>
      </c>
    </row>
    <row r="454" spans="1:8" ht="22.5" x14ac:dyDescent="0.55000000000000004">
      <c r="A454" s="1078">
        <v>453</v>
      </c>
      <c r="B454" s="1078" t="s">
        <v>1028</v>
      </c>
      <c r="C454" s="1078" t="s">
        <v>1027</v>
      </c>
      <c r="D454" s="1078">
        <v>12000</v>
      </c>
      <c r="E454" s="1078">
        <v>1</v>
      </c>
      <c r="F454" s="1078">
        <v>18500</v>
      </c>
      <c r="G454" s="1078">
        <v>6500</v>
      </c>
      <c r="H454" s="1078" t="s">
        <v>1397</v>
      </c>
    </row>
    <row r="455" spans="1:8" ht="22.5" x14ac:dyDescent="0.55000000000000004">
      <c r="A455" s="1078">
        <v>454</v>
      </c>
      <c r="B455" s="1078" t="s">
        <v>4508</v>
      </c>
      <c r="C455" s="1078" t="s">
        <v>4509</v>
      </c>
      <c r="D455" s="1078">
        <v>7450</v>
      </c>
      <c r="E455" s="1078">
        <v>2</v>
      </c>
      <c r="F455" s="1078">
        <v>16000</v>
      </c>
      <c r="G455" s="1078">
        <v>8550</v>
      </c>
      <c r="H455" s="1078" t="s">
        <v>1397</v>
      </c>
    </row>
    <row r="456" spans="1:8" ht="22.5" x14ac:dyDescent="0.55000000000000004">
      <c r="A456" s="1078">
        <v>455</v>
      </c>
      <c r="B456" s="1078" t="s">
        <v>1030</v>
      </c>
      <c r="C456" s="1079" t="s">
        <v>1676</v>
      </c>
      <c r="D456" s="1078">
        <v>1155</v>
      </c>
      <c r="E456" s="1078">
        <v>1</v>
      </c>
      <c r="F456" s="1078">
        <v>2000</v>
      </c>
      <c r="G456" s="1078">
        <v>845</v>
      </c>
      <c r="H456" s="1078" t="s">
        <v>1397</v>
      </c>
    </row>
    <row r="457" spans="1:8" ht="22.5" x14ac:dyDescent="0.55000000000000004">
      <c r="A457" s="1078">
        <v>456</v>
      </c>
      <c r="B457" s="1078" t="s">
        <v>3151</v>
      </c>
      <c r="C457" s="1078" t="s">
        <v>3152</v>
      </c>
      <c r="D457" s="1078">
        <v>11800</v>
      </c>
      <c r="E457" s="1078">
        <v>1</v>
      </c>
      <c r="F457" s="1078">
        <v>20000</v>
      </c>
      <c r="G457" s="1078">
        <v>8200</v>
      </c>
      <c r="H457" s="1078" t="s">
        <v>1397</v>
      </c>
    </row>
    <row r="458" spans="1:8" ht="22.5" x14ac:dyDescent="0.55000000000000004">
      <c r="A458" s="1078">
        <v>457</v>
      </c>
      <c r="B458" s="1078" t="s">
        <v>1037</v>
      </c>
      <c r="C458" s="1078" t="s">
        <v>3153</v>
      </c>
      <c r="D458" s="1078">
        <v>440</v>
      </c>
      <c r="E458" s="1078">
        <v>2</v>
      </c>
      <c r="F458" s="1078">
        <v>1200</v>
      </c>
      <c r="G458" s="1078">
        <v>760</v>
      </c>
      <c r="H458" s="1078" t="s">
        <v>1397</v>
      </c>
    </row>
    <row r="459" spans="1:8" ht="22.5" x14ac:dyDescent="0.55000000000000004">
      <c r="A459" s="1078">
        <v>458</v>
      </c>
      <c r="B459" s="1078" t="s">
        <v>3154</v>
      </c>
      <c r="C459" s="1078" t="s">
        <v>3155</v>
      </c>
      <c r="D459" s="1078">
        <v>12800</v>
      </c>
      <c r="E459" s="1078">
        <v>5</v>
      </c>
      <c r="F459" s="1078">
        <v>25000</v>
      </c>
      <c r="G459" s="1078">
        <v>12200</v>
      </c>
      <c r="H459" s="1078" t="s">
        <v>1397</v>
      </c>
    </row>
    <row r="460" spans="1:8" ht="22.5" x14ac:dyDescent="0.55000000000000004">
      <c r="A460" s="1078">
        <v>459</v>
      </c>
      <c r="B460" s="1078" t="s">
        <v>7655</v>
      </c>
      <c r="C460" s="1078" t="s">
        <v>7656</v>
      </c>
      <c r="D460" s="1078">
        <v>5653</v>
      </c>
      <c r="E460" s="1078">
        <v>1</v>
      </c>
      <c r="F460" s="1078">
        <v>8000</v>
      </c>
      <c r="G460" s="1078">
        <v>2347</v>
      </c>
      <c r="H460" s="1078" t="s">
        <v>933</v>
      </c>
    </row>
    <row r="461" spans="1:8" ht="22.5" x14ac:dyDescent="0.55000000000000004">
      <c r="A461" s="1078">
        <v>460</v>
      </c>
      <c r="B461" s="1078" t="s">
        <v>4517</v>
      </c>
      <c r="C461" s="1078" t="s">
        <v>4518</v>
      </c>
      <c r="D461" s="1078">
        <v>10908</v>
      </c>
      <c r="E461" s="1078">
        <v>2</v>
      </c>
      <c r="F461" s="1078">
        <v>14000</v>
      </c>
      <c r="G461" s="1078">
        <v>3092</v>
      </c>
      <c r="H461" s="1078" t="s">
        <v>1397</v>
      </c>
    </row>
    <row r="462" spans="1:8" ht="22.5" x14ac:dyDescent="0.55000000000000004">
      <c r="A462" s="1078">
        <v>461</v>
      </c>
      <c r="B462" s="1078" t="s">
        <v>1679</v>
      </c>
      <c r="C462" s="1078" t="s">
        <v>1680</v>
      </c>
      <c r="D462" s="1078">
        <v>2850</v>
      </c>
      <c r="E462" s="1078">
        <v>3</v>
      </c>
      <c r="F462" s="1078">
        <v>6000</v>
      </c>
      <c r="G462" s="1078">
        <v>3150</v>
      </c>
      <c r="H462" s="1078" t="s">
        <v>933</v>
      </c>
    </row>
    <row r="463" spans="1:8" ht="22.5" x14ac:dyDescent="0.55000000000000004">
      <c r="A463" s="1078">
        <v>462</v>
      </c>
      <c r="B463" s="1078" t="s">
        <v>1681</v>
      </c>
      <c r="C463" s="1078" t="s">
        <v>1682</v>
      </c>
      <c r="D463" s="1078">
        <v>18000</v>
      </c>
      <c r="E463" s="1078">
        <v>5</v>
      </c>
      <c r="F463" s="1078">
        <v>30000</v>
      </c>
      <c r="G463" s="1078">
        <v>12000</v>
      </c>
      <c r="H463" s="1078" t="s">
        <v>933</v>
      </c>
    </row>
    <row r="464" spans="1:8" ht="22.5" x14ac:dyDescent="0.55000000000000004">
      <c r="A464" s="1078">
        <v>463</v>
      </c>
      <c r="B464" s="1078" t="s">
        <v>8583</v>
      </c>
      <c r="C464" s="1078" t="s">
        <v>8584</v>
      </c>
      <c r="D464" s="1078">
        <v>21185</v>
      </c>
      <c r="E464" s="1078">
        <v>19</v>
      </c>
      <c r="F464" s="1078">
        <v>32300</v>
      </c>
      <c r="G464" s="1078">
        <v>11115</v>
      </c>
      <c r="H464" s="1078" t="s">
        <v>933</v>
      </c>
    </row>
    <row r="465" spans="1:8" ht="22.5" x14ac:dyDescent="0.55000000000000004">
      <c r="A465" s="1078">
        <v>464</v>
      </c>
      <c r="B465" s="1078" t="s">
        <v>3184</v>
      </c>
      <c r="C465" s="1078" t="s">
        <v>7358</v>
      </c>
      <c r="D465" s="1078">
        <v>21000</v>
      </c>
      <c r="E465" s="1078">
        <v>35</v>
      </c>
      <c r="F465" s="1078">
        <v>35000</v>
      </c>
      <c r="G465" s="1078">
        <v>14000</v>
      </c>
      <c r="H465" s="1078" t="s">
        <v>1397</v>
      </c>
    </row>
    <row r="466" spans="1:8" ht="22.5" x14ac:dyDescent="0.55000000000000004">
      <c r="A466" s="1078">
        <v>465</v>
      </c>
      <c r="B466" s="1078" t="s">
        <v>8075</v>
      </c>
      <c r="C466" s="1078" t="s">
        <v>8076</v>
      </c>
      <c r="D466" s="1078">
        <v>177110</v>
      </c>
      <c r="E466" s="1078">
        <v>10</v>
      </c>
      <c r="F466" s="1078">
        <v>250000</v>
      </c>
      <c r="G466" s="1078">
        <v>72890</v>
      </c>
      <c r="H466" s="1078" t="s">
        <v>933</v>
      </c>
    </row>
    <row r="467" spans="1:8" ht="22.5" x14ac:dyDescent="0.55000000000000004">
      <c r="A467" s="1078">
        <v>466</v>
      </c>
      <c r="B467" s="1078" t="s">
        <v>1684</v>
      </c>
      <c r="C467" s="1078" t="s">
        <v>1685</v>
      </c>
      <c r="D467" s="1078">
        <v>4100</v>
      </c>
      <c r="E467" s="1078">
        <v>1</v>
      </c>
      <c r="F467" s="1078">
        <v>8000</v>
      </c>
      <c r="G467" s="1078">
        <v>3900</v>
      </c>
      <c r="H467" s="1078" t="s">
        <v>933</v>
      </c>
    </row>
    <row r="468" spans="1:8" ht="22.5" x14ac:dyDescent="0.55000000000000004">
      <c r="A468" s="1078">
        <v>467</v>
      </c>
      <c r="B468" s="1078" t="s">
        <v>3269</v>
      </c>
      <c r="C468" s="1078" t="s">
        <v>3270</v>
      </c>
      <c r="D468" s="1078">
        <v>5000</v>
      </c>
      <c r="E468" s="1078">
        <v>1</v>
      </c>
      <c r="F468" s="1078">
        <v>8300</v>
      </c>
      <c r="G468" s="1078">
        <v>3300</v>
      </c>
      <c r="H468" s="1078" t="s">
        <v>1397</v>
      </c>
    </row>
    <row r="469" spans="1:8" ht="22.5" x14ac:dyDescent="0.55000000000000004">
      <c r="A469" s="1078">
        <v>468</v>
      </c>
      <c r="B469" s="1078" t="s">
        <v>7657</v>
      </c>
      <c r="C469" s="1078" t="s">
        <v>7658</v>
      </c>
      <c r="D469" s="1078">
        <v>193475</v>
      </c>
      <c r="E469" s="1078">
        <v>9</v>
      </c>
      <c r="F469" s="1078">
        <v>243000</v>
      </c>
      <c r="G469" s="1078">
        <v>49525</v>
      </c>
      <c r="H469" s="1078" t="s">
        <v>933</v>
      </c>
    </row>
    <row r="470" spans="1:8" ht="22.5" x14ac:dyDescent="0.55000000000000004">
      <c r="A470" s="1078">
        <v>469</v>
      </c>
      <c r="B470" s="1078" t="s">
        <v>8077</v>
      </c>
      <c r="C470" s="1078" t="s">
        <v>8585</v>
      </c>
      <c r="D470" s="1078">
        <v>216072</v>
      </c>
      <c r="E470" s="1078">
        <v>8</v>
      </c>
      <c r="F470" s="1078">
        <v>244000</v>
      </c>
      <c r="G470" s="1078">
        <v>27928</v>
      </c>
      <c r="H470" s="1078" t="s">
        <v>1397</v>
      </c>
    </row>
    <row r="471" spans="1:8" ht="22.5" x14ac:dyDescent="0.55000000000000004">
      <c r="A471" s="1078">
        <v>470</v>
      </c>
      <c r="B471" s="1078" t="s">
        <v>6565</v>
      </c>
      <c r="C471" s="1078" t="s">
        <v>6566</v>
      </c>
      <c r="D471" s="1078">
        <v>70000</v>
      </c>
      <c r="E471" s="1078">
        <v>2</v>
      </c>
      <c r="F471" s="1078">
        <v>84000</v>
      </c>
      <c r="G471" s="1078">
        <v>14000</v>
      </c>
      <c r="H471" s="1078" t="s">
        <v>1397</v>
      </c>
    </row>
    <row r="472" spans="1:8" ht="22.5" x14ac:dyDescent="0.55000000000000004">
      <c r="A472" s="1078">
        <v>471</v>
      </c>
      <c r="B472" s="1078" t="s">
        <v>3346</v>
      </c>
      <c r="C472" s="1078" t="s">
        <v>3347</v>
      </c>
      <c r="D472" s="1078">
        <v>35000</v>
      </c>
      <c r="E472" s="1078">
        <v>1</v>
      </c>
      <c r="F472" s="1078">
        <v>45000</v>
      </c>
      <c r="G472" s="1078">
        <v>10000</v>
      </c>
      <c r="H472" s="1078" t="s">
        <v>1397</v>
      </c>
    </row>
    <row r="473" spans="1:8" ht="22.5" x14ac:dyDescent="0.55000000000000004">
      <c r="A473" s="1078">
        <v>472</v>
      </c>
      <c r="B473" s="1078" t="s">
        <v>4535</v>
      </c>
      <c r="C473" s="1078" t="s">
        <v>4536</v>
      </c>
      <c r="D473" s="1078">
        <v>500</v>
      </c>
      <c r="E473" s="1078">
        <v>1</v>
      </c>
      <c r="F473" s="1078">
        <v>1500</v>
      </c>
      <c r="G473" s="1078">
        <v>1000</v>
      </c>
      <c r="H473" s="1078" t="s">
        <v>1397</v>
      </c>
    </row>
    <row r="474" spans="1:8" ht="22.5" x14ac:dyDescent="0.55000000000000004">
      <c r="A474" s="1078">
        <v>473</v>
      </c>
      <c r="B474" s="1078" t="s">
        <v>3156</v>
      </c>
      <c r="C474" s="1078" t="s">
        <v>7361</v>
      </c>
      <c r="D474" s="1078">
        <v>11000</v>
      </c>
      <c r="E474" s="1078">
        <v>2</v>
      </c>
      <c r="F474" s="1078">
        <v>15000</v>
      </c>
      <c r="G474" s="1078">
        <v>4000</v>
      </c>
      <c r="H474" s="1078" t="s">
        <v>1397</v>
      </c>
    </row>
    <row r="475" spans="1:8" ht="22.5" x14ac:dyDescent="0.55000000000000004">
      <c r="A475" s="1078">
        <v>474</v>
      </c>
      <c r="B475" s="1078" t="s">
        <v>3348</v>
      </c>
      <c r="C475" s="1078" t="s">
        <v>3349</v>
      </c>
      <c r="D475" s="1078">
        <v>12800</v>
      </c>
      <c r="E475" s="1078">
        <v>1</v>
      </c>
      <c r="F475" s="1078">
        <v>19500</v>
      </c>
      <c r="G475" s="1078">
        <v>6700</v>
      </c>
      <c r="H475" s="1078" t="s">
        <v>1397</v>
      </c>
    </row>
    <row r="476" spans="1:8" ht="22.5" x14ac:dyDescent="0.55000000000000004">
      <c r="A476" s="1078">
        <v>475</v>
      </c>
      <c r="B476" s="1078" t="s">
        <v>3062</v>
      </c>
      <c r="C476" s="1078" t="s">
        <v>3063</v>
      </c>
      <c r="D476" s="1078">
        <v>206600</v>
      </c>
      <c r="E476" s="1078">
        <v>13</v>
      </c>
      <c r="F476" s="1078">
        <v>234000</v>
      </c>
      <c r="G476" s="1078">
        <v>27400</v>
      </c>
      <c r="H476" s="1078" t="s">
        <v>1397</v>
      </c>
    </row>
    <row r="477" spans="1:8" ht="22.5" x14ac:dyDescent="0.55000000000000004">
      <c r="A477" s="1078">
        <v>476</v>
      </c>
      <c r="B477" s="1078" t="s">
        <v>1686</v>
      </c>
      <c r="C477" s="1078" t="s">
        <v>7363</v>
      </c>
      <c r="D477" s="1078">
        <v>27300</v>
      </c>
      <c r="E477" s="1078">
        <v>10</v>
      </c>
      <c r="F477" s="1078">
        <v>35000</v>
      </c>
      <c r="G477" s="1078">
        <v>7700</v>
      </c>
      <c r="H477" s="1078" t="s">
        <v>1397</v>
      </c>
    </row>
    <row r="478" spans="1:8" ht="22.5" x14ac:dyDescent="0.55000000000000004">
      <c r="A478" s="1078">
        <v>477</v>
      </c>
      <c r="B478" s="1078" t="s">
        <v>3271</v>
      </c>
      <c r="C478" s="1078" t="s">
        <v>7364</v>
      </c>
      <c r="D478" s="1078">
        <v>521827</v>
      </c>
      <c r="E478" s="1078">
        <v>22</v>
      </c>
      <c r="F478" s="1078">
        <v>576000</v>
      </c>
      <c r="G478" s="1078">
        <v>54173</v>
      </c>
      <c r="H478" s="1078" t="s">
        <v>1397</v>
      </c>
    </row>
    <row r="479" spans="1:8" ht="22.5" x14ac:dyDescent="0.55000000000000004">
      <c r="A479" s="1078">
        <v>478</v>
      </c>
      <c r="B479" s="1078" t="s">
        <v>3010</v>
      </c>
      <c r="C479" s="1078" t="s">
        <v>7365</v>
      </c>
      <c r="D479" s="1078">
        <v>1800</v>
      </c>
      <c r="E479" s="1078">
        <v>2</v>
      </c>
      <c r="F479" s="1078">
        <v>3000</v>
      </c>
      <c r="G479" s="1078">
        <v>1200</v>
      </c>
      <c r="H479" s="1078" t="s">
        <v>1397</v>
      </c>
    </row>
    <row r="480" spans="1:8" ht="22.5" x14ac:dyDescent="0.55000000000000004">
      <c r="A480" s="1078">
        <v>479</v>
      </c>
      <c r="B480" s="1078" t="s">
        <v>2498</v>
      </c>
      <c r="C480" s="1078" t="s">
        <v>2499</v>
      </c>
      <c r="D480" s="1078">
        <v>2600</v>
      </c>
      <c r="E480" s="1078">
        <v>4</v>
      </c>
      <c r="F480" s="1078">
        <v>4800</v>
      </c>
      <c r="G480" s="1078">
        <v>2200</v>
      </c>
      <c r="H480" s="1078" t="s">
        <v>1397</v>
      </c>
    </row>
    <row r="481" spans="1:8" ht="22.5" x14ac:dyDescent="0.55000000000000004">
      <c r="A481" s="1078">
        <v>480</v>
      </c>
      <c r="B481" s="1078" t="s">
        <v>1687</v>
      </c>
      <c r="C481" s="1078" t="s">
        <v>1688</v>
      </c>
      <c r="D481" s="1078">
        <v>2900</v>
      </c>
      <c r="E481" s="1078">
        <v>11</v>
      </c>
      <c r="F481" s="1078">
        <v>4400</v>
      </c>
      <c r="G481" s="1078">
        <v>1500</v>
      </c>
      <c r="H481" s="1078" t="s">
        <v>1397</v>
      </c>
    </row>
    <row r="482" spans="1:8" ht="22.5" x14ac:dyDescent="0.55000000000000004">
      <c r="A482" s="1078">
        <v>481</v>
      </c>
      <c r="B482" s="1078" t="s">
        <v>2500</v>
      </c>
      <c r="C482" s="1078" t="s">
        <v>2501</v>
      </c>
      <c r="D482" s="1078">
        <v>200</v>
      </c>
      <c r="E482" s="1078">
        <v>2</v>
      </c>
      <c r="F482" s="1078">
        <v>600</v>
      </c>
      <c r="G482" s="1078">
        <v>400</v>
      </c>
      <c r="H482" s="1078" t="s">
        <v>1397</v>
      </c>
    </row>
    <row r="483" spans="1:8" ht="22.5" x14ac:dyDescent="0.55000000000000004">
      <c r="A483" s="1078">
        <v>482</v>
      </c>
      <c r="B483" s="1078" t="s">
        <v>4563</v>
      </c>
      <c r="C483" s="1078" t="s">
        <v>8265</v>
      </c>
      <c r="D483" s="1078">
        <v>5600</v>
      </c>
      <c r="E483" s="1078">
        <v>2</v>
      </c>
      <c r="F483" s="1078">
        <v>8000</v>
      </c>
      <c r="G483" s="1078">
        <v>2400</v>
      </c>
      <c r="H483" s="1078" t="s">
        <v>1397</v>
      </c>
    </row>
    <row r="484" spans="1:8" ht="22.5" x14ac:dyDescent="0.55000000000000004">
      <c r="A484" s="1078">
        <v>483</v>
      </c>
      <c r="B484" s="1078" t="s">
        <v>1693</v>
      </c>
      <c r="C484" s="1078" t="s">
        <v>1694</v>
      </c>
      <c r="D484" s="1078">
        <v>60</v>
      </c>
      <c r="E484" s="1078">
        <v>1</v>
      </c>
      <c r="F484" s="1078">
        <v>150</v>
      </c>
      <c r="G484" s="1078">
        <v>90</v>
      </c>
      <c r="H484" s="1078" t="s">
        <v>1397</v>
      </c>
    </row>
    <row r="485" spans="1:8" ht="22.5" x14ac:dyDescent="0.55000000000000004">
      <c r="A485" s="1078">
        <v>484</v>
      </c>
      <c r="B485" s="1078" t="s">
        <v>1695</v>
      </c>
      <c r="C485" s="1078" t="s">
        <v>1696</v>
      </c>
      <c r="D485" s="1078">
        <v>2800</v>
      </c>
      <c r="E485" s="1078">
        <v>40</v>
      </c>
      <c r="F485" s="1078">
        <v>7700</v>
      </c>
      <c r="G485" s="1078">
        <v>4900</v>
      </c>
      <c r="H485" s="1078" t="s">
        <v>1397</v>
      </c>
    </row>
    <row r="486" spans="1:8" ht="22.5" x14ac:dyDescent="0.55000000000000004">
      <c r="A486" s="1078">
        <v>485</v>
      </c>
      <c r="B486" s="1078" t="s">
        <v>4570</v>
      </c>
      <c r="C486" s="1078" t="s">
        <v>4571</v>
      </c>
      <c r="D486" s="1078">
        <v>5200</v>
      </c>
      <c r="E486" s="1078">
        <v>2</v>
      </c>
      <c r="F486" s="1078">
        <v>9000</v>
      </c>
      <c r="G486" s="1078">
        <v>3800</v>
      </c>
      <c r="H486" s="1078" t="s">
        <v>1397</v>
      </c>
    </row>
    <row r="487" spans="1:8" ht="22.5" x14ac:dyDescent="0.55000000000000004">
      <c r="A487" s="1078">
        <v>486</v>
      </c>
      <c r="B487" s="1078" t="s">
        <v>1699</v>
      </c>
      <c r="C487" s="1078" t="s">
        <v>7366</v>
      </c>
      <c r="D487" s="1078">
        <v>15200</v>
      </c>
      <c r="E487" s="1078">
        <v>19</v>
      </c>
      <c r="F487" s="1078">
        <v>19000</v>
      </c>
      <c r="G487" s="1078">
        <v>3800</v>
      </c>
      <c r="H487" s="1078" t="s">
        <v>1397</v>
      </c>
    </row>
    <row r="488" spans="1:8" ht="22.5" x14ac:dyDescent="0.55000000000000004">
      <c r="A488" s="1078">
        <v>487</v>
      </c>
      <c r="B488" s="1078" t="s">
        <v>1700</v>
      </c>
      <c r="C488" s="1078" t="s">
        <v>7367</v>
      </c>
      <c r="D488" s="1078">
        <v>48598</v>
      </c>
      <c r="E488" s="1078">
        <v>22</v>
      </c>
      <c r="F488" s="1078">
        <v>69000</v>
      </c>
      <c r="G488" s="1078">
        <v>20402</v>
      </c>
      <c r="H488" s="1078" t="s">
        <v>1397</v>
      </c>
    </row>
    <row r="489" spans="1:8" ht="22.5" x14ac:dyDescent="0.55000000000000004">
      <c r="A489" s="1078">
        <v>488</v>
      </c>
      <c r="B489" s="1078" t="s">
        <v>4574</v>
      </c>
      <c r="C489" s="1078" t="s">
        <v>7660</v>
      </c>
      <c r="D489" s="1078">
        <v>19400</v>
      </c>
      <c r="E489" s="1078">
        <v>6</v>
      </c>
      <c r="F489" s="1078">
        <v>22200</v>
      </c>
      <c r="G489" s="1078">
        <v>2800</v>
      </c>
      <c r="H489" s="1078" t="s">
        <v>1397</v>
      </c>
    </row>
    <row r="490" spans="1:8" ht="22.5" x14ac:dyDescent="0.55000000000000004">
      <c r="A490" s="1078">
        <v>489</v>
      </c>
      <c r="B490" s="1078" t="s">
        <v>1703</v>
      </c>
      <c r="C490" s="1078" t="s">
        <v>7368</v>
      </c>
      <c r="D490" s="1078">
        <v>4680</v>
      </c>
      <c r="E490" s="1078">
        <v>26</v>
      </c>
      <c r="F490" s="1078">
        <v>7800</v>
      </c>
      <c r="G490" s="1078">
        <v>3120</v>
      </c>
      <c r="H490" s="1078" t="s">
        <v>1397</v>
      </c>
    </row>
    <row r="491" spans="1:8" ht="22.5" x14ac:dyDescent="0.55000000000000004">
      <c r="A491" s="1078">
        <v>490</v>
      </c>
      <c r="B491" s="1078" t="s">
        <v>2310</v>
      </c>
      <c r="C491" s="1078" t="s">
        <v>2311</v>
      </c>
      <c r="D491" s="1078">
        <v>850</v>
      </c>
      <c r="E491" s="1078">
        <v>1</v>
      </c>
      <c r="F491" s="1078">
        <v>1500</v>
      </c>
      <c r="G491" s="1078">
        <v>650</v>
      </c>
      <c r="H491" s="1078" t="s">
        <v>1397</v>
      </c>
    </row>
    <row r="492" spans="1:8" ht="22.5" x14ac:dyDescent="0.55000000000000004">
      <c r="A492" s="1078">
        <v>491</v>
      </c>
      <c r="B492" s="1078" t="s">
        <v>4584</v>
      </c>
      <c r="C492" s="1079" t="s">
        <v>4585</v>
      </c>
      <c r="D492" s="1078">
        <v>2200</v>
      </c>
      <c r="E492" s="1078">
        <v>1</v>
      </c>
      <c r="F492" s="1078">
        <v>3000</v>
      </c>
      <c r="G492" s="1078">
        <v>800</v>
      </c>
      <c r="H492" s="1078" t="s">
        <v>1397</v>
      </c>
    </row>
    <row r="493" spans="1:8" ht="22.5" x14ac:dyDescent="0.55000000000000004">
      <c r="A493" s="1078">
        <v>492</v>
      </c>
      <c r="B493" s="1078" t="s">
        <v>4586</v>
      </c>
      <c r="C493" s="1078" t="s">
        <v>4587</v>
      </c>
      <c r="D493" s="1078">
        <v>1700</v>
      </c>
      <c r="E493" s="1078">
        <v>1</v>
      </c>
      <c r="F493" s="1078">
        <v>3300</v>
      </c>
      <c r="G493" s="1078">
        <v>1600</v>
      </c>
      <c r="H493" s="1078" t="s">
        <v>1397</v>
      </c>
    </row>
    <row r="494" spans="1:8" ht="22.5" x14ac:dyDescent="0.55000000000000004">
      <c r="A494" s="1078">
        <v>493</v>
      </c>
      <c r="B494" s="1078" t="s">
        <v>2369</v>
      </c>
      <c r="C494" s="1078" t="s">
        <v>2370</v>
      </c>
      <c r="D494" s="1078">
        <v>750</v>
      </c>
      <c r="E494" s="1078">
        <v>6</v>
      </c>
      <c r="F494" s="1078">
        <v>1600</v>
      </c>
      <c r="G494" s="1078">
        <v>850</v>
      </c>
      <c r="H494" s="1078" t="s">
        <v>1397</v>
      </c>
    </row>
    <row r="495" spans="1:8" ht="22.5" x14ac:dyDescent="0.55000000000000004">
      <c r="A495" s="1078">
        <v>494</v>
      </c>
      <c r="B495" s="1078" t="s">
        <v>7914</v>
      </c>
      <c r="C495" s="1078" t="s">
        <v>7915</v>
      </c>
      <c r="D495" s="1078">
        <v>3750</v>
      </c>
      <c r="E495" s="1078">
        <v>1</v>
      </c>
      <c r="F495" s="1078">
        <v>5000</v>
      </c>
      <c r="G495" s="1078">
        <v>1250</v>
      </c>
      <c r="H495" s="1078" t="s">
        <v>1397</v>
      </c>
    </row>
    <row r="496" spans="1:8" ht="22.5" x14ac:dyDescent="0.55000000000000004">
      <c r="A496" s="1078">
        <v>495</v>
      </c>
      <c r="B496" s="1078" t="s">
        <v>3159</v>
      </c>
      <c r="C496" s="1078" t="s">
        <v>3160</v>
      </c>
      <c r="D496" s="1078">
        <v>8900</v>
      </c>
      <c r="E496" s="1078">
        <v>2</v>
      </c>
      <c r="F496" s="1078">
        <v>11000</v>
      </c>
      <c r="G496" s="1078">
        <v>2100</v>
      </c>
      <c r="H496" s="1078" t="s">
        <v>1397</v>
      </c>
    </row>
    <row r="497" spans="1:8" ht="22.5" x14ac:dyDescent="0.55000000000000004">
      <c r="A497" s="1078">
        <v>496</v>
      </c>
      <c r="B497" s="1078" t="s">
        <v>4592</v>
      </c>
      <c r="C497" s="1078" t="s">
        <v>8586</v>
      </c>
      <c r="D497" s="1078">
        <v>430000</v>
      </c>
      <c r="E497" s="1078">
        <v>1</v>
      </c>
      <c r="F497" s="1078">
        <v>460000</v>
      </c>
      <c r="G497" s="1078">
        <v>30000</v>
      </c>
      <c r="H497" s="1078" t="s">
        <v>1397</v>
      </c>
    </row>
    <row r="498" spans="1:8" ht="22.5" x14ac:dyDescent="0.55000000000000004">
      <c r="A498" s="1078">
        <v>497</v>
      </c>
      <c r="B498" s="1078" t="s">
        <v>4593</v>
      </c>
      <c r="C498" s="1078" t="s">
        <v>4594</v>
      </c>
      <c r="D498" s="1078">
        <v>23500</v>
      </c>
      <c r="E498" s="1078">
        <v>1</v>
      </c>
      <c r="F498" s="1078">
        <v>25000</v>
      </c>
      <c r="G498" s="1078">
        <v>1500</v>
      </c>
      <c r="H498" s="1078" t="s">
        <v>1397</v>
      </c>
    </row>
    <row r="499" spans="1:8" ht="22.5" x14ac:dyDescent="0.55000000000000004">
      <c r="A499" s="1078">
        <v>498</v>
      </c>
      <c r="B499" s="1078" t="s">
        <v>4595</v>
      </c>
      <c r="C499" s="1078" t="s">
        <v>7370</v>
      </c>
      <c r="D499" s="1078">
        <v>92500</v>
      </c>
      <c r="E499" s="1078">
        <v>5</v>
      </c>
      <c r="F499" s="1078">
        <v>115000</v>
      </c>
      <c r="G499" s="1078">
        <v>22500</v>
      </c>
      <c r="H499" s="1078" t="s">
        <v>1397</v>
      </c>
    </row>
    <row r="500" spans="1:8" ht="22.5" x14ac:dyDescent="0.55000000000000004">
      <c r="A500" s="1078">
        <v>499</v>
      </c>
      <c r="B500" s="1078" t="s">
        <v>1704</v>
      </c>
      <c r="C500" s="1078" t="s">
        <v>1023</v>
      </c>
      <c r="D500" s="1078">
        <v>5500</v>
      </c>
      <c r="E500" s="1078">
        <v>1</v>
      </c>
      <c r="F500" s="1078">
        <v>6500</v>
      </c>
      <c r="G500" s="1078">
        <v>1000</v>
      </c>
      <c r="H500" s="1078" t="s">
        <v>1397</v>
      </c>
    </row>
    <row r="501" spans="1:8" ht="22.5" x14ac:dyDescent="0.55000000000000004">
      <c r="A501" s="1078">
        <v>500</v>
      </c>
      <c r="B501" s="1078" t="s">
        <v>7916</v>
      </c>
      <c r="C501" s="1078" t="s">
        <v>7917</v>
      </c>
      <c r="D501" s="1078">
        <v>126000</v>
      </c>
      <c r="E501" s="1078">
        <v>1</v>
      </c>
      <c r="F501" s="1078">
        <v>150000</v>
      </c>
      <c r="G501" s="1078">
        <v>24000</v>
      </c>
      <c r="H501" s="1078" t="s">
        <v>1397</v>
      </c>
    </row>
    <row r="502" spans="1:8" ht="22.5" x14ac:dyDescent="0.55000000000000004">
      <c r="A502" s="1078">
        <v>501</v>
      </c>
      <c r="B502" s="1078" t="s">
        <v>2440</v>
      </c>
      <c r="C502" s="1078" t="s">
        <v>8587</v>
      </c>
      <c r="D502" s="1078">
        <v>227600</v>
      </c>
      <c r="E502" s="1078">
        <v>4</v>
      </c>
      <c r="F502" s="1078">
        <v>248000</v>
      </c>
      <c r="G502" s="1078">
        <v>20400</v>
      </c>
      <c r="H502" s="1078" t="s">
        <v>1397</v>
      </c>
    </row>
    <row r="503" spans="1:8" ht="22.5" x14ac:dyDescent="0.55000000000000004">
      <c r="A503" s="1078">
        <v>502</v>
      </c>
      <c r="B503" s="1078" t="s">
        <v>3444</v>
      </c>
      <c r="C503" s="1078" t="s">
        <v>3445</v>
      </c>
      <c r="D503" s="1078">
        <v>3700</v>
      </c>
      <c r="E503" s="1078">
        <v>1</v>
      </c>
      <c r="F503" s="1078">
        <v>5000</v>
      </c>
      <c r="G503" s="1078">
        <v>1300</v>
      </c>
      <c r="H503" s="1078" t="s">
        <v>1397</v>
      </c>
    </row>
    <row r="504" spans="1:8" ht="22.5" x14ac:dyDescent="0.55000000000000004">
      <c r="A504" s="1078">
        <v>503</v>
      </c>
      <c r="B504" s="1078" t="s">
        <v>2502</v>
      </c>
      <c r="C504" s="1078" t="s">
        <v>2503</v>
      </c>
      <c r="D504" s="1078">
        <v>200</v>
      </c>
      <c r="E504" s="1078">
        <v>2</v>
      </c>
      <c r="F504" s="1078">
        <v>600</v>
      </c>
      <c r="G504" s="1078">
        <v>400</v>
      </c>
      <c r="H504" s="1078" t="s">
        <v>1397</v>
      </c>
    </row>
    <row r="505" spans="1:8" ht="22.5" x14ac:dyDescent="0.55000000000000004">
      <c r="A505" s="1078">
        <v>504</v>
      </c>
      <c r="B505" s="1078" t="s">
        <v>7918</v>
      </c>
      <c r="C505" s="1078" t="s">
        <v>7919</v>
      </c>
      <c r="D505" s="1078">
        <v>3500</v>
      </c>
      <c r="E505" s="1078">
        <v>1</v>
      </c>
      <c r="F505" s="1078">
        <v>4500</v>
      </c>
      <c r="G505" s="1078">
        <v>1000</v>
      </c>
      <c r="H505" s="1078" t="s">
        <v>1397</v>
      </c>
    </row>
    <row r="506" spans="1:8" ht="22.5" x14ac:dyDescent="0.55000000000000004">
      <c r="A506" s="1078">
        <v>505</v>
      </c>
      <c r="B506" s="1078" t="s">
        <v>4620</v>
      </c>
      <c r="C506" s="1078" t="s">
        <v>4546</v>
      </c>
      <c r="D506" s="1078">
        <v>1600</v>
      </c>
      <c r="E506" s="1078">
        <v>1</v>
      </c>
      <c r="F506" s="1078">
        <v>2000</v>
      </c>
      <c r="G506" s="1078">
        <v>400</v>
      </c>
      <c r="H506" s="1078" t="s">
        <v>1397</v>
      </c>
    </row>
    <row r="507" spans="1:8" ht="22.5" x14ac:dyDescent="0.55000000000000004">
      <c r="A507" s="1078">
        <v>506</v>
      </c>
      <c r="B507" s="1078" t="s">
        <v>7920</v>
      </c>
      <c r="C507" s="1078" t="s">
        <v>7921</v>
      </c>
      <c r="D507" s="1078">
        <v>105000</v>
      </c>
      <c r="E507" s="1078">
        <v>1</v>
      </c>
      <c r="F507" s="1078">
        <v>115000</v>
      </c>
      <c r="G507" s="1078">
        <v>10000</v>
      </c>
      <c r="H507" s="1078" t="s">
        <v>1397</v>
      </c>
    </row>
    <row r="508" spans="1:8" ht="22.5" x14ac:dyDescent="0.55000000000000004">
      <c r="A508" s="1078">
        <v>507</v>
      </c>
      <c r="B508" s="1078" t="s">
        <v>4637</v>
      </c>
      <c r="C508" s="1078" t="s">
        <v>4638</v>
      </c>
      <c r="D508" s="1078">
        <v>2000</v>
      </c>
      <c r="E508" s="1078">
        <v>2</v>
      </c>
      <c r="F508" s="1078">
        <v>4000</v>
      </c>
      <c r="G508" s="1078">
        <v>2000</v>
      </c>
      <c r="H508" s="1078" t="s">
        <v>1397</v>
      </c>
    </row>
    <row r="509" spans="1:8" ht="22.5" x14ac:dyDescent="0.55000000000000004">
      <c r="A509" s="1078">
        <v>508</v>
      </c>
      <c r="B509" s="1078" t="s">
        <v>3276</v>
      </c>
      <c r="C509" s="1078" t="s">
        <v>3277</v>
      </c>
      <c r="D509" s="1078">
        <v>8800</v>
      </c>
      <c r="E509" s="1078">
        <v>1</v>
      </c>
      <c r="F509" s="1078">
        <v>11500</v>
      </c>
      <c r="G509" s="1078">
        <v>2700</v>
      </c>
      <c r="H509" s="1078" t="s">
        <v>1397</v>
      </c>
    </row>
    <row r="510" spans="1:8" ht="22.5" x14ac:dyDescent="0.55000000000000004">
      <c r="A510" s="1078">
        <v>509</v>
      </c>
      <c r="B510" s="1078" t="s">
        <v>4643</v>
      </c>
      <c r="C510" s="1078" t="s">
        <v>4644</v>
      </c>
      <c r="D510" s="1078">
        <v>800</v>
      </c>
      <c r="E510" s="1078">
        <v>1</v>
      </c>
      <c r="F510" s="1078">
        <v>1500</v>
      </c>
      <c r="G510" s="1078">
        <v>700</v>
      </c>
      <c r="H510" s="1078" t="s">
        <v>1397</v>
      </c>
    </row>
    <row r="511" spans="1:8" ht="22.5" x14ac:dyDescent="0.55000000000000004">
      <c r="A511" s="1078">
        <v>510</v>
      </c>
      <c r="B511" s="1078" t="s">
        <v>4648</v>
      </c>
      <c r="C511" s="1078" t="s">
        <v>4649</v>
      </c>
      <c r="D511" s="1078">
        <v>3000</v>
      </c>
      <c r="E511" s="1078">
        <v>3</v>
      </c>
      <c r="F511" s="1078">
        <v>3000</v>
      </c>
      <c r="G511" s="1078">
        <v>0</v>
      </c>
      <c r="H511" s="1078" t="s">
        <v>1397</v>
      </c>
    </row>
    <row r="512" spans="1:8" ht="22.5" x14ac:dyDescent="0.55000000000000004">
      <c r="A512" s="1078">
        <v>511</v>
      </c>
      <c r="B512" s="1078" t="s">
        <v>4652</v>
      </c>
      <c r="C512" s="1078" t="s">
        <v>4653</v>
      </c>
      <c r="D512" s="1078">
        <v>700</v>
      </c>
      <c r="E512" s="1078">
        <v>1</v>
      </c>
      <c r="F512" s="1078">
        <v>1300</v>
      </c>
      <c r="G512" s="1078">
        <v>600</v>
      </c>
      <c r="H512" s="1078" t="s">
        <v>1397</v>
      </c>
    </row>
    <row r="513" spans="1:8" ht="22.5" x14ac:dyDescent="0.55000000000000004">
      <c r="A513" s="1078">
        <v>512</v>
      </c>
      <c r="B513" s="1078" t="s">
        <v>4662</v>
      </c>
      <c r="C513" s="1078" t="s">
        <v>4663</v>
      </c>
      <c r="D513" s="1078">
        <v>1800</v>
      </c>
      <c r="E513" s="1078">
        <v>2</v>
      </c>
      <c r="F513" s="1078">
        <v>3000</v>
      </c>
      <c r="G513" s="1078">
        <v>1200</v>
      </c>
      <c r="H513" s="1078" t="s">
        <v>1397</v>
      </c>
    </row>
    <row r="514" spans="1:8" ht="22.5" x14ac:dyDescent="0.55000000000000004">
      <c r="A514" s="1078">
        <v>513</v>
      </c>
      <c r="B514" s="1078" t="s">
        <v>4676</v>
      </c>
      <c r="C514" s="1078" t="s">
        <v>4677</v>
      </c>
      <c r="D514" s="1078">
        <v>1250</v>
      </c>
      <c r="E514" s="1078">
        <v>3</v>
      </c>
      <c r="F514" s="1078">
        <v>2100</v>
      </c>
      <c r="G514" s="1078">
        <v>850</v>
      </c>
      <c r="H514" s="1078" t="s">
        <v>1397</v>
      </c>
    </row>
    <row r="515" spans="1:8" ht="22.5" x14ac:dyDescent="0.55000000000000004">
      <c r="A515" s="1078">
        <v>514</v>
      </c>
      <c r="B515" s="1078" t="s">
        <v>2510</v>
      </c>
      <c r="C515" s="1078" t="s">
        <v>6302</v>
      </c>
      <c r="D515" s="1078">
        <v>11500</v>
      </c>
      <c r="E515" s="1078">
        <v>5</v>
      </c>
      <c r="F515" s="1078">
        <v>15000</v>
      </c>
      <c r="G515" s="1078">
        <v>3500</v>
      </c>
      <c r="H515" s="1078" t="s">
        <v>1397</v>
      </c>
    </row>
    <row r="516" spans="1:8" ht="22.5" x14ac:dyDescent="0.55000000000000004">
      <c r="A516" s="1078">
        <v>515</v>
      </c>
      <c r="B516" s="1078" t="s">
        <v>2511</v>
      </c>
      <c r="C516" s="1078" t="s">
        <v>2512</v>
      </c>
      <c r="D516" s="1078">
        <v>700</v>
      </c>
      <c r="E516" s="1078">
        <v>1</v>
      </c>
      <c r="F516" s="1078">
        <v>1500</v>
      </c>
      <c r="G516" s="1078">
        <v>800</v>
      </c>
      <c r="H516" s="1078" t="s">
        <v>1397</v>
      </c>
    </row>
    <row r="517" spans="1:8" ht="22.5" x14ac:dyDescent="0.55000000000000004">
      <c r="A517" s="1078">
        <v>516</v>
      </c>
      <c r="B517" s="1078" t="s">
        <v>2513</v>
      </c>
      <c r="C517" s="1078" t="s">
        <v>2514</v>
      </c>
      <c r="D517" s="1078">
        <v>10080</v>
      </c>
      <c r="E517" s="1078">
        <v>3</v>
      </c>
      <c r="F517" s="1078">
        <v>13500</v>
      </c>
      <c r="G517" s="1078">
        <v>3420</v>
      </c>
      <c r="H517" s="1078" t="s">
        <v>1397</v>
      </c>
    </row>
    <row r="518" spans="1:8" ht="22.5" x14ac:dyDescent="0.55000000000000004">
      <c r="A518" s="1078">
        <v>517</v>
      </c>
      <c r="B518" s="1078" t="s">
        <v>4688</v>
      </c>
      <c r="C518" s="1078" t="s">
        <v>6390</v>
      </c>
      <c r="D518" s="1078">
        <v>107326</v>
      </c>
      <c r="E518" s="1078">
        <v>1</v>
      </c>
      <c r="F518" s="1078">
        <v>127000</v>
      </c>
      <c r="G518" s="1078">
        <v>19674</v>
      </c>
      <c r="H518" s="1078" t="s">
        <v>1397</v>
      </c>
    </row>
    <row r="519" spans="1:8" ht="22.5" x14ac:dyDescent="0.55000000000000004">
      <c r="A519" s="1078">
        <v>518</v>
      </c>
      <c r="B519" s="1078" t="s">
        <v>4692</v>
      </c>
      <c r="C519" s="1078" t="s">
        <v>4693</v>
      </c>
      <c r="D519" s="1078">
        <v>50500</v>
      </c>
      <c r="E519" s="1078">
        <v>7</v>
      </c>
      <c r="F519" s="1078">
        <v>54950</v>
      </c>
      <c r="G519" s="1078">
        <v>4450</v>
      </c>
      <c r="H519" s="1078" t="s">
        <v>1397</v>
      </c>
    </row>
    <row r="520" spans="1:8" ht="22.5" x14ac:dyDescent="0.55000000000000004">
      <c r="A520" s="1078">
        <v>519</v>
      </c>
      <c r="B520" s="1078" t="s">
        <v>1706</v>
      </c>
      <c r="C520" s="1078" t="s">
        <v>3278</v>
      </c>
      <c r="D520" s="1078">
        <v>1584</v>
      </c>
      <c r="E520" s="1078">
        <v>1</v>
      </c>
      <c r="F520" s="1078">
        <v>2000</v>
      </c>
      <c r="G520" s="1078">
        <v>416</v>
      </c>
      <c r="H520" s="1078" t="s">
        <v>1397</v>
      </c>
    </row>
    <row r="521" spans="1:8" ht="22.5" x14ac:dyDescent="0.55000000000000004">
      <c r="A521" s="1078">
        <v>520</v>
      </c>
      <c r="B521" s="1078" t="s">
        <v>4694</v>
      </c>
      <c r="C521" s="1078" t="s">
        <v>4695</v>
      </c>
      <c r="D521" s="1078">
        <v>1260</v>
      </c>
      <c r="E521" s="1078">
        <v>7</v>
      </c>
      <c r="F521" s="1078">
        <v>1750</v>
      </c>
      <c r="G521" s="1078">
        <v>490</v>
      </c>
      <c r="H521" s="1078" t="s">
        <v>1397</v>
      </c>
    </row>
    <row r="522" spans="1:8" ht="22.5" x14ac:dyDescent="0.55000000000000004">
      <c r="A522" s="1078">
        <v>521</v>
      </c>
      <c r="B522" s="1078" t="s">
        <v>2551</v>
      </c>
      <c r="C522" s="1078" t="s">
        <v>7668</v>
      </c>
      <c r="D522" s="1078">
        <v>760</v>
      </c>
      <c r="E522" s="1078">
        <v>2</v>
      </c>
      <c r="F522" s="1078">
        <v>1000</v>
      </c>
      <c r="G522" s="1078">
        <v>240</v>
      </c>
      <c r="H522" s="1078" t="s">
        <v>1397</v>
      </c>
    </row>
    <row r="523" spans="1:8" ht="22.5" x14ac:dyDescent="0.55000000000000004">
      <c r="A523" s="1078">
        <v>522</v>
      </c>
      <c r="B523" s="1078" t="s">
        <v>6176</v>
      </c>
      <c r="C523" s="1078" t="s">
        <v>6177</v>
      </c>
      <c r="D523" s="1078">
        <v>334</v>
      </c>
      <c r="E523" s="1078">
        <v>2</v>
      </c>
      <c r="F523" s="1078">
        <v>600</v>
      </c>
      <c r="G523" s="1078">
        <v>266</v>
      </c>
      <c r="H523" s="1078" t="s">
        <v>1397</v>
      </c>
    </row>
    <row r="524" spans="1:8" ht="22.5" x14ac:dyDescent="0.55000000000000004">
      <c r="A524" s="1078">
        <v>523</v>
      </c>
      <c r="B524" s="1078" t="s">
        <v>4703</v>
      </c>
      <c r="C524" s="1078" t="s">
        <v>4704</v>
      </c>
      <c r="D524" s="1078">
        <v>5000</v>
      </c>
      <c r="E524" s="1078">
        <v>1</v>
      </c>
      <c r="F524" s="1078">
        <v>10000</v>
      </c>
      <c r="G524" s="1078">
        <v>5000</v>
      </c>
      <c r="H524" s="1078" t="s">
        <v>1397</v>
      </c>
    </row>
    <row r="525" spans="1:8" ht="22.5" x14ac:dyDescent="0.55000000000000004">
      <c r="A525" s="1078">
        <v>524</v>
      </c>
      <c r="B525" s="1078" t="s">
        <v>4708</v>
      </c>
      <c r="C525" s="1079" t="s">
        <v>8268</v>
      </c>
      <c r="D525" s="1078">
        <v>44000</v>
      </c>
      <c r="E525" s="1078">
        <v>4</v>
      </c>
      <c r="F525" s="1078">
        <v>60000</v>
      </c>
      <c r="G525" s="1078">
        <v>16000</v>
      </c>
      <c r="H525" s="1078" t="s">
        <v>1397</v>
      </c>
    </row>
    <row r="526" spans="1:8" ht="22.5" x14ac:dyDescent="0.55000000000000004">
      <c r="A526" s="1078">
        <v>525</v>
      </c>
      <c r="B526" s="1078" t="s">
        <v>4709</v>
      </c>
      <c r="C526" s="1078" t="s">
        <v>8269</v>
      </c>
      <c r="D526" s="1078">
        <v>10500</v>
      </c>
      <c r="E526" s="1078">
        <v>5</v>
      </c>
      <c r="F526" s="1078">
        <v>15000</v>
      </c>
      <c r="G526" s="1078">
        <v>4500</v>
      </c>
      <c r="H526" s="1078" t="s">
        <v>1397</v>
      </c>
    </row>
    <row r="527" spans="1:8" ht="22.5" x14ac:dyDescent="0.55000000000000004">
      <c r="A527" s="1078">
        <v>526</v>
      </c>
      <c r="B527" s="1078" t="s">
        <v>4714</v>
      </c>
      <c r="C527" s="1078" t="s">
        <v>4715</v>
      </c>
      <c r="D527" s="1078">
        <v>150</v>
      </c>
      <c r="E527" s="1078">
        <v>1</v>
      </c>
      <c r="F527" s="1078">
        <v>300</v>
      </c>
      <c r="G527" s="1078">
        <v>150</v>
      </c>
      <c r="H527" s="1078" t="s">
        <v>1397</v>
      </c>
    </row>
    <row r="528" spans="1:8" ht="22.5" x14ac:dyDescent="0.55000000000000004">
      <c r="A528" s="1078">
        <v>527</v>
      </c>
      <c r="B528" s="1078" t="s">
        <v>4719</v>
      </c>
      <c r="C528" s="1078" t="s">
        <v>4720</v>
      </c>
      <c r="D528" s="1078">
        <v>450</v>
      </c>
      <c r="E528" s="1078">
        <v>1</v>
      </c>
      <c r="F528" s="1078">
        <v>1500</v>
      </c>
      <c r="G528" s="1078">
        <v>1050</v>
      </c>
      <c r="H528" s="1078" t="s">
        <v>1397</v>
      </c>
    </row>
    <row r="529" spans="1:8" ht="22.5" x14ac:dyDescent="0.55000000000000004">
      <c r="A529" s="1078">
        <v>528</v>
      </c>
      <c r="B529" s="1078" t="s">
        <v>7924</v>
      </c>
      <c r="C529" s="1078" t="s">
        <v>7925</v>
      </c>
      <c r="D529" s="1078">
        <v>3000</v>
      </c>
      <c r="E529" s="1078">
        <v>6</v>
      </c>
      <c r="F529" s="1078">
        <v>4200</v>
      </c>
      <c r="G529" s="1078">
        <v>1200</v>
      </c>
      <c r="H529" s="1078" t="s">
        <v>1397</v>
      </c>
    </row>
    <row r="530" spans="1:8" ht="22.5" x14ac:dyDescent="0.55000000000000004">
      <c r="A530" s="1078">
        <v>529</v>
      </c>
      <c r="B530" s="1078" t="s">
        <v>4732</v>
      </c>
      <c r="C530" s="1078" t="s">
        <v>7375</v>
      </c>
      <c r="D530" s="1078">
        <v>14720</v>
      </c>
      <c r="E530" s="1078">
        <v>1</v>
      </c>
      <c r="F530" s="1078">
        <v>30000</v>
      </c>
      <c r="G530" s="1078">
        <v>15280</v>
      </c>
      <c r="H530" s="1078" t="s">
        <v>1397</v>
      </c>
    </row>
    <row r="531" spans="1:8" ht="22.5" x14ac:dyDescent="0.55000000000000004">
      <c r="A531" s="1078">
        <v>530</v>
      </c>
      <c r="B531" s="1078" t="s">
        <v>3279</v>
      </c>
      <c r="C531" s="1078" t="s">
        <v>7376</v>
      </c>
      <c r="D531" s="1078">
        <v>3300</v>
      </c>
      <c r="E531" s="1078">
        <v>2</v>
      </c>
      <c r="F531" s="1078">
        <v>4400</v>
      </c>
      <c r="G531" s="1078">
        <v>1100</v>
      </c>
      <c r="H531" s="1078" t="s">
        <v>1397</v>
      </c>
    </row>
    <row r="532" spans="1:8" ht="22.5" x14ac:dyDescent="0.55000000000000004">
      <c r="A532" s="1078">
        <v>531</v>
      </c>
      <c r="B532" s="1078" t="s">
        <v>2990</v>
      </c>
      <c r="C532" s="1078" t="s">
        <v>8588</v>
      </c>
      <c r="D532" s="1078">
        <v>83000</v>
      </c>
      <c r="E532" s="1078">
        <v>1</v>
      </c>
      <c r="F532" s="1078">
        <v>95000</v>
      </c>
      <c r="G532" s="1078">
        <v>12000</v>
      </c>
      <c r="H532" s="1078" t="s">
        <v>1397</v>
      </c>
    </row>
    <row r="533" spans="1:8" ht="22.5" x14ac:dyDescent="0.55000000000000004">
      <c r="A533" s="1078">
        <v>532</v>
      </c>
      <c r="B533" s="1078" t="s">
        <v>7377</v>
      </c>
      <c r="C533" s="1078" t="s">
        <v>7378</v>
      </c>
      <c r="D533" s="1078">
        <v>4000</v>
      </c>
      <c r="E533" s="1078">
        <v>1</v>
      </c>
      <c r="F533" s="1078">
        <v>6000</v>
      </c>
      <c r="G533" s="1078">
        <v>2000</v>
      </c>
      <c r="H533" s="1078" t="s">
        <v>1397</v>
      </c>
    </row>
    <row r="534" spans="1:8" ht="22.5" x14ac:dyDescent="0.55000000000000004">
      <c r="A534" s="1078">
        <v>533</v>
      </c>
      <c r="B534" s="1078" t="s">
        <v>1708</v>
      </c>
      <c r="C534" s="1078" t="s">
        <v>1709</v>
      </c>
      <c r="D534" s="1078">
        <v>5600</v>
      </c>
      <c r="E534" s="1078">
        <v>2</v>
      </c>
      <c r="F534" s="1078">
        <v>6400</v>
      </c>
      <c r="G534" s="1078">
        <v>800</v>
      </c>
      <c r="H534" s="1078" t="s">
        <v>1397</v>
      </c>
    </row>
    <row r="535" spans="1:8" ht="22.5" x14ac:dyDescent="0.55000000000000004">
      <c r="A535" s="1078">
        <v>534</v>
      </c>
      <c r="B535" s="1078" t="s">
        <v>4740</v>
      </c>
      <c r="C535" s="1078" t="s">
        <v>4741</v>
      </c>
      <c r="D535" s="1078">
        <v>3300</v>
      </c>
      <c r="E535" s="1078">
        <v>1</v>
      </c>
      <c r="F535" s="1078">
        <v>7000</v>
      </c>
      <c r="G535" s="1078">
        <v>3700</v>
      </c>
      <c r="H535" s="1078" t="s">
        <v>1397</v>
      </c>
    </row>
    <row r="536" spans="1:8" ht="22.5" x14ac:dyDescent="0.55000000000000004">
      <c r="A536" s="1078">
        <v>535</v>
      </c>
      <c r="B536" s="1078" t="s">
        <v>4744</v>
      </c>
      <c r="C536" s="1078" t="s">
        <v>8270</v>
      </c>
      <c r="D536" s="1078">
        <v>6000</v>
      </c>
      <c r="E536" s="1078">
        <v>3</v>
      </c>
      <c r="F536" s="1078">
        <v>9000</v>
      </c>
      <c r="G536" s="1078">
        <v>3000</v>
      </c>
      <c r="H536" s="1078" t="s">
        <v>1397</v>
      </c>
    </row>
    <row r="537" spans="1:8" ht="22.5" x14ac:dyDescent="0.55000000000000004">
      <c r="A537" s="1078">
        <v>536</v>
      </c>
      <c r="B537" s="1078" t="s">
        <v>4750</v>
      </c>
      <c r="C537" s="1078" t="s">
        <v>4751</v>
      </c>
      <c r="D537" s="1078">
        <v>9450</v>
      </c>
      <c r="E537" s="1078">
        <v>3</v>
      </c>
      <c r="F537" s="1078">
        <v>15000</v>
      </c>
      <c r="G537" s="1078">
        <v>5550</v>
      </c>
      <c r="H537" s="1078" t="s">
        <v>1397</v>
      </c>
    </row>
    <row r="538" spans="1:8" ht="22.5" x14ac:dyDescent="0.55000000000000004">
      <c r="A538" s="1078">
        <v>537</v>
      </c>
      <c r="B538" s="1078" t="s">
        <v>4756</v>
      </c>
      <c r="C538" s="1078" t="s">
        <v>4757</v>
      </c>
      <c r="D538" s="1078">
        <v>11200</v>
      </c>
      <c r="E538" s="1078">
        <v>1</v>
      </c>
      <c r="F538" s="1078">
        <v>14500</v>
      </c>
      <c r="G538" s="1078">
        <v>3300</v>
      </c>
      <c r="H538" s="1078" t="s">
        <v>1397</v>
      </c>
    </row>
    <row r="539" spans="1:8" ht="22.5" x14ac:dyDescent="0.55000000000000004">
      <c r="A539" s="1078">
        <v>538</v>
      </c>
      <c r="B539" s="1078" t="s">
        <v>4760</v>
      </c>
      <c r="C539" s="1078" t="s">
        <v>8271</v>
      </c>
      <c r="D539" s="1078">
        <v>62000</v>
      </c>
      <c r="E539" s="1078">
        <v>1</v>
      </c>
      <c r="F539" s="1078">
        <v>87000</v>
      </c>
      <c r="G539" s="1078">
        <v>25000</v>
      </c>
      <c r="H539" s="1078" t="s">
        <v>1397</v>
      </c>
    </row>
    <row r="540" spans="1:8" ht="22.5" x14ac:dyDescent="0.55000000000000004">
      <c r="A540" s="1078">
        <v>539</v>
      </c>
      <c r="B540" s="1078" t="s">
        <v>6851</v>
      </c>
      <c r="C540" s="1078" t="s">
        <v>6852</v>
      </c>
      <c r="D540" s="1078">
        <v>1800</v>
      </c>
      <c r="E540" s="1078">
        <v>2</v>
      </c>
      <c r="F540" s="1078">
        <v>3000</v>
      </c>
      <c r="G540" s="1078">
        <v>1200</v>
      </c>
      <c r="H540" s="1078" t="s">
        <v>1397</v>
      </c>
    </row>
    <row r="541" spans="1:8" ht="22.5" x14ac:dyDescent="0.55000000000000004">
      <c r="A541" s="1078">
        <v>540</v>
      </c>
      <c r="B541" s="1078" t="s">
        <v>8589</v>
      </c>
      <c r="C541" s="1078" t="s">
        <v>8590</v>
      </c>
      <c r="D541" s="1078">
        <v>98000</v>
      </c>
      <c r="E541" s="1078">
        <v>1</v>
      </c>
      <c r="F541" s="1078">
        <v>120000</v>
      </c>
      <c r="G541" s="1078">
        <v>22000</v>
      </c>
      <c r="H541" s="1078" t="s">
        <v>1397</v>
      </c>
    </row>
    <row r="542" spans="1:8" ht="22.5" x14ac:dyDescent="0.55000000000000004">
      <c r="A542" s="1078">
        <v>541</v>
      </c>
      <c r="B542" s="1078" t="s">
        <v>4766</v>
      </c>
      <c r="C542" s="1078" t="s">
        <v>4767</v>
      </c>
      <c r="D542" s="1078">
        <v>600</v>
      </c>
      <c r="E542" s="1078">
        <v>1</v>
      </c>
      <c r="F542" s="1078">
        <v>800</v>
      </c>
      <c r="G542" s="1078">
        <v>200</v>
      </c>
      <c r="H542" s="1078" t="s">
        <v>1397</v>
      </c>
    </row>
    <row r="543" spans="1:8" ht="22.5" x14ac:dyDescent="0.55000000000000004">
      <c r="A543" s="1078">
        <v>542</v>
      </c>
      <c r="B543" s="1078" t="s">
        <v>4772</v>
      </c>
      <c r="C543" s="1078" t="s">
        <v>8272</v>
      </c>
      <c r="D543" s="1078">
        <v>2850</v>
      </c>
      <c r="E543" s="1078">
        <v>3</v>
      </c>
      <c r="F543" s="1078">
        <v>5400</v>
      </c>
      <c r="G543" s="1078">
        <v>2550</v>
      </c>
      <c r="H543" s="1078" t="s">
        <v>1397</v>
      </c>
    </row>
    <row r="544" spans="1:8" ht="22.5" x14ac:dyDescent="0.55000000000000004">
      <c r="A544" s="1078">
        <v>543</v>
      </c>
      <c r="B544" s="1078" t="s">
        <v>7379</v>
      </c>
      <c r="C544" s="1078" t="s">
        <v>7380</v>
      </c>
      <c r="D544" s="1078">
        <v>48000</v>
      </c>
      <c r="E544" s="1078">
        <v>3</v>
      </c>
      <c r="F544" s="1078">
        <v>58000</v>
      </c>
      <c r="G544" s="1078">
        <v>10000</v>
      </c>
      <c r="H544" s="1078" t="s">
        <v>1397</v>
      </c>
    </row>
    <row r="545" spans="1:8" ht="22.5" x14ac:dyDescent="0.55000000000000004">
      <c r="A545" s="1078">
        <v>544</v>
      </c>
      <c r="B545" s="1078" t="s">
        <v>3068</v>
      </c>
      <c r="C545" s="1078" t="s">
        <v>3069</v>
      </c>
      <c r="D545" s="1078">
        <v>3000</v>
      </c>
      <c r="E545" s="1078">
        <v>1</v>
      </c>
      <c r="F545" s="1078">
        <v>3500</v>
      </c>
      <c r="G545" s="1078">
        <v>500</v>
      </c>
      <c r="H545" s="1078" t="s">
        <v>1397</v>
      </c>
    </row>
    <row r="546" spans="1:8" ht="22.5" x14ac:dyDescent="0.55000000000000004">
      <c r="A546" s="1078">
        <v>545</v>
      </c>
      <c r="B546" s="1078" t="s">
        <v>6573</v>
      </c>
      <c r="C546" s="1078" t="s">
        <v>7926</v>
      </c>
      <c r="D546" s="1078">
        <v>25000</v>
      </c>
      <c r="E546" s="1078">
        <v>1</v>
      </c>
      <c r="F546" s="1078">
        <v>30000</v>
      </c>
      <c r="G546" s="1078">
        <v>5000</v>
      </c>
      <c r="H546" s="1078" t="s">
        <v>1397</v>
      </c>
    </row>
    <row r="547" spans="1:8" ht="22.5" x14ac:dyDescent="0.55000000000000004">
      <c r="A547" s="1078">
        <v>546</v>
      </c>
      <c r="B547" s="1078" t="s">
        <v>1710</v>
      </c>
      <c r="C547" s="1078" t="s">
        <v>1013</v>
      </c>
      <c r="D547" s="1078">
        <v>2720</v>
      </c>
      <c r="E547" s="1078">
        <v>4</v>
      </c>
      <c r="F547" s="1078">
        <v>3600</v>
      </c>
      <c r="G547" s="1078">
        <v>880</v>
      </c>
      <c r="H547" s="1078" t="s">
        <v>1397</v>
      </c>
    </row>
    <row r="548" spans="1:8" ht="22.5" x14ac:dyDescent="0.55000000000000004">
      <c r="A548" s="1078">
        <v>547</v>
      </c>
      <c r="B548" s="1078" t="s">
        <v>3070</v>
      </c>
      <c r="C548" s="1078" t="s">
        <v>3071</v>
      </c>
      <c r="D548" s="1078">
        <v>950000</v>
      </c>
      <c r="E548" s="1078">
        <v>2</v>
      </c>
      <c r="F548" s="1078">
        <v>1200000</v>
      </c>
      <c r="G548" s="1078">
        <v>250000</v>
      </c>
      <c r="H548" s="1078" t="s">
        <v>1397</v>
      </c>
    </row>
    <row r="549" spans="1:8" ht="22.5" x14ac:dyDescent="0.55000000000000004">
      <c r="A549" s="1078">
        <v>548</v>
      </c>
      <c r="B549" s="1078" t="s">
        <v>1711</v>
      </c>
      <c r="C549" s="1078" t="s">
        <v>1036</v>
      </c>
      <c r="D549" s="1078">
        <v>11200</v>
      </c>
      <c r="E549" s="1078">
        <v>8</v>
      </c>
      <c r="F549" s="1078">
        <v>14400</v>
      </c>
      <c r="G549" s="1078">
        <v>3200</v>
      </c>
      <c r="H549" s="1078" t="s">
        <v>1397</v>
      </c>
    </row>
    <row r="550" spans="1:8" ht="22.5" x14ac:dyDescent="0.55000000000000004">
      <c r="A550" s="1078">
        <v>549</v>
      </c>
      <c r="B550" s="1078" t="s">
        <v>4790</v>
      </c>
      <c r="C550" s="1078" t="s">
        <v>6690</v>
      </c>
      <c r="D550" s="1078">
        <v>1200</v>
      </c>
      <c r="E550" s="1078">
        <v>1</v>
      </c>
      <c r="F550" s="1078">
        <v>2500</v>
      </c>
      <c r="G550" s="1078">
        <v>1300</v>
      </c>
      <c r="H550" s="1078" t="s">
        <v>1397</v>
      </c>
    </row>
    <row r="551" spans="1:8" ht="22.5" x14ac:dyDescent="0.55000000000000004">
      <c r="A551" s="1078">
        <v>550</v>
      </c>
      <c r="B551" s="1078" t="s">
        <v>6691</v>
      </c>
      <c r="C551" s="1078" t="s">
        <v>6692</v>
      </c>
      <c r="D551" s="1078">
        <v>6000</v>
      </c>
      <c r="E551" s="1078">
        <v>3</v>
      </c>
      <c r="F551" s="1078">
        <v>8400</v>
      </c>
      <c r="G551" s="1078">
        <v>2400</v>
      </c>
      <c r="H551" s="1078" t="s">
        <v>1397</v>
      </c>
    </row>
    <row r="552" spans="1:8" ht="22.5" x14ac:dyDescent="0.55000000000000004">
      <c r="A552" s="1078">
        <v>551</v>
      </c>
      <c r="B552" s="1078" t="s">
        <v>8273</v>
      </c>
      <c r="C552" s="1078" t="s">
        <v>8274</v>
      </c>
      <c r="D552" s="1078">
        <v>10500</v>
      </c>
      <c r="E552" s="1078">
        <v>3</v>
      </c>
      <c r="F552" s="1078">
        <v>15000</v>
      </c>
      <c r="G552" s="1078">
        <v>4500</v>
      </c>
      <c r="H552" s="1078" t="s">
        <v>1397</v>
      </c>
    </row>
    <row r="553" spans="1:8" ht="22.5" x14ac:dyDescent="0.55000000000000004">
      <c r="A553" s="1078">
        <v>552</v>
      </c>
      <c r="B553" s="1078" t="s">
        <v>6469</v>
      </c>
      <c r="C553" s="1078" t="s">
        <v>6470</v>
      </c>
      <c r="D553" s="1078">
        <v>8500</v>
      </c>
      <c r="E553" s="1078">
        <v>5</v>
      </c>
      <c r="F553" s="1078">
        <v>12500</v>
      </c>
      <c r="G553" s="1078">
        <v>4000</v>
      </c>
      <c r="H553" s="1078" t="s">
        <v>1397</v>
      </c>
    </row>
    <row r="554" spans="1:8" ht="22.5" x14ac:dyDescent="0.55000000000000004">
      <c r="A554" s="1078">
        <v>553</v>
      </c>
      <c r="B554" s="1078" t="s">
        <v>6855</v>
      </c>
      <c r="C554" s="1078" t="s">
        <v>3361</v>
      </c>
      <c r="D554" s="1078">
        <v>5100</v>
      </c>
      <c r="E554" s="1078">
        <v>1</v>
      </c>
      <c r="F554" s="1078">
        <v>9000</v>
      </c>
      <c r="G554" s="1078">
        <v>3900</v>
      </c>
      <c r="H554" s="1078" t="s">
        <v>1397</v>
      </c>
    </row>
    <row r="555" spans="1:8" ht="22.5" x14ac:dyDescent="0.55000000000000004">
      <c r="A555" s="1078">
        <v>554</v>
      </c>
      <c r="B555" s="1078" t="s">
        <v>4806</v>
      </c>
      <c r="C555" s="1078" t="s">
        <v>4807</v>
      </c>
      <c r="D555" s="1078">
        <v>1600</v>
      </c>
      <c r="E555" s="1078">
        <v>4</v>
      </c>
      <c r="F555" s="1078">
        <v>4000</v>
      </c>
      <c r="G555" s="1078">
        <v>2400</v>
      </c>
      <c r="H555" s="1078" t="s">
        <v>1397</v>
      </c>
    </row>
    <row r="556" spans="1:8" ht="22.5" x14ac:dyDescent="0.55000000000000004">
      <c r="A556" s="1078">
        <v>555</v>
      </c>
      <c r="B556" s="1078" t="s">
        <v>4808</v>
      </c>
      <c r="C556" s="1078" t="s">
        <v>8275</v>
      </c>
      <c r="D556" s="1078">
        <v>7500</v>
      </c>
      <c r="E556" s="1078">
        <v>2</v>
      </c>
      <c r="F556" s="1078">
        <v>10000</v>
      </c>
      <c r="G556" s="1078">
        <v>2500</v>
      </c>
      <c r="H556" s="1078" t="s">
        <v>1397</v>
      </c>
    </row>
    <row r="557" spans="1:8" ht="22.5" x14ac:dyDescent="0.55000000000000004">
      <c r="A557" s="1078">
        <v>556</v>
      </c>
      <c r="B557" s="1078" t="s">
        <v>4811</v>
      </c>
      <c r="C557" s="1078" t="s">
        <v>8591</v>
      </c>
      <c r="D557" s="1078">
        <v>1150</v>
      </c>
      <c r="E557" s="1078">
        <v>1</v>
      </c>
      <c r="F557" s="1078">
        <v>2000</v>
      </c>
      <c r="G557" s="1078">
        <v>850</v>
      </c>
      <c r="H557" s="1078" t="s">
        <v>1397</v>
      </c>
    </row>
    <row r="558" spans="1:8" ht="22.5" x14ac:dyDescent="0.55000000000000004">
      <c r="A558" s="1078">
        <v>557</v>
      </c>
      <c r="B558" s="1078" t="s">
        <v>4830</v>
      </c>
      <c r="C558" s="1078" t="s">
        <v>4831</v>
      </c>
      <c r="D558" s="1078">
        <v>29500</v>
      </c>
      <c r="E558" s="1078">
        <v>1</v>
      </c>
      <c r="F558" s="1078">
        <v>37000</v>
      </c>
      <c r="G558" s="1078">
        <v>7500</v>
      </c>
      <c r="H558" s="1078" t="s">
        <v>1397</v>
      </c>
    </row>
    <row r="559" spans="1:8" ht="22.5" x14ac:dyDescent="0.55000000000000004">
      <c r="A559" s="1078">
        <v>558</v>
      </c>
      <c r="B559" s="1078" t="s">
        <v>4836</v>
      </c>
      <c r="C559" s="1078" t="s">
        <v>7383</v>
      </c>
      <c r="D559" s="1078">
        <v>1500</v>
      </c>
      <c r="E559" s="1078">
        <v>1</v>
      </c>
      <c r="F559" s="1078">
        <v>3000</v>
      </c>
      <c r="G559" s="1078">
        <v>1500</v>
      </c>
      <c r="H559" s="1078" t="s">
        <v>1397</v>
      </c>
    </row>
    <row r="560" spans="1:8" ht="22.5" x14ac:dyDescent="0.55000000000000004">
      <c r="A560" s="1078">
        <v>559</v>
      </c>
      <c r="B560" s="1078" t="s">
        <v>8080</v>
      </c>
      <c r="C560" s="1078" t="s">
        <v>8081</v>
      </c>
      <c r="D560" s="1078">
        <v>3535000</v>
      </c>
      <c r="E560" s="1078">
        <v>7</v>
      </c>
      <c r="F560" s="1078">
        <v>3850000</v>
      </c>
      <c r="G560" s="1078">
        <v>315000</v>
      </c>
      <c r="H560" s="1078" t="s">
        <v>1397</v>
      </c>
    </row>
    <row r="561" spans="1:8" ht="22.5" x14ac:dyDescent="0.55000000000000004">
      <c r="A561" s="1078">
        <v>560</v>
      </c>
      <c r="B561" s="1078" t="s">
        <v>3280</v>
      </c>
      <c r="C561" s="1078" t="s">
        <v>7674</v>
      </c>
      <c r="D561" s="1078">
        <v>8600</v>
      </c>
      <c r="E561" s="1078">
        <v>2</v>
      </c>
      <c r="F561" s="1078">
        <v>12000</v>
      </c>
      <c r="G561" s="1078">
        <v>3400</v>
      </c>
      <c r="H561" s="1078" t="s">
        <v>1397</v>
      </c>
    </row>
    <row r="562" spans="1:8" ht="22.5" x14ac:dyDescent="0.55000000000000004">
      <c r="A562" s="1078">
        <v>561</v>
      </c>
      <c r="B562" s="1078" t="s">
        <v>3281</v>
      </c>
      <c r="C562" s="1078" t="s">
        <v>8592</v>
      </c>
      <c r="D562" s="1078">
        <v>54450</v>
      </c>
      <c r="E562" s="1078">
        <v>1</v>
      </c>
      <c r="F562" s="1078">
        <v>50000</v>
      </c>
      <c r="G562" s="1078">
        <v>-4450</v>
      </c>
      <c r="H562" s="1078" t="s">
        <v>1397</v>
      </c>
    </row>
    <row r="563" spans="1:8" ht="22.5" x14ac:dyDescent="0.55000000000000004">
      <c r="A563" s="1078">
        <v>562</v>
      </c>
      <c r="B563" s="1078" t="s">
        <v>8593</v>
      </c>
      <c r="C563" s="1078" t="s">
        <v>8594</v>
      </c>
      <c r="D563" s="1078">
        <v>4000</v>
      </c>
      <c r="E563" s="1078">
        <v>1</v>
      </c>
      <c r="F563" s="1078">
        <v>6000</v>
      </c>
      <c r="G563" s="1078">
        <v>2000</v>
      </c>
      <c r="H563" s="1078" t="s">
        <v>1397</v>
      </c>
    </row>
    <row r="564" spans="1:8" ht="22.5" x14ac:dyDescent="0.55000000000000004">
      <c r="A564" s="1078">
        <v>563</v>
      </c>
      <c r="B564" s="1078" t="s">
        <v>8595</v>
      </c>
      <c r="C564" s="1078" t="s">
        <v>8596</v>
      </c>
      <c r="D564" s="1078">
        <v>1000</v>
      </c>
      <c r="E564" s="1078">
        <v>2</v>
      </c>
      <c r="F564" s="1078">
        <v>2000</v>
      </c>
      <c r="G564" s="1078">
        <v>1000</v>
      </c>
      <c r="H564" s="1078" t="s">
        <v>1397</v>
      </c>
    </row>
    <row r="565" spans="1:8" ht="22.5" x14ac:dyDescent="0.55000000000000004">
      <c r="A565" s="1078">
        <v>564</v>
      </c>
      <c r="B565" s="1078" t="s">
        <v>4857</v>
      </c>
      <c r="C565" s="1078" t="s">
        <v>4858</v>
      </c>
      <c r="D565" s="1078">
        <v>800</v>
      </c>
      <c r="E565" s="1078">
        <v>1</v>
      </c>
      <c r="F565" s="1078">
        <v>1500</v>
      </c>
      <c r="G565" s="1078">
        <v>700</v>
      </c>
      <c r="H565" s="1078" t="s">
        <v>1397</v>
      </c>
    </row>
    <row r="566" spans="1:8" ht="22.5" x14ac:dyDescent="0.55000000000000004">
      <c r="A566" s="1078">
        <v>565</v>
      </c>
      <c r="B566" s="1078" t="s">
        <v>4860</v>
      </c>
      <c r="C566" s="1078" t="s">
        <v>4861</v>
      </c>
      <c r="D566" s="1078">
        <v>7900</v>
      </c>
      <c r="E566" s="1078">
        <v>2</v>
      </c>
      <c r="F566" s="1078">
        <v>11000</v>
      </c>
      <c r="G566" s="1078">
        <v>3100</v>
      </c>
      <c r="H566" s="1078" t="s">
        <v>1397</v>
      </c>
    </row>
    <row r="567" spans="1:8" ht="22.5" x14ac:dyDescent="0.55000000000000004">
      <c r="A567" s="1078">
        <v>566</v>
      </c>
      <c r="B567" s="1078" t="s">
        <v>7385</v>
      </c>
      <c r="C567" s="1078" t="s">
        <v>7386</v>
      </c>
      <c r="D567" s="1078">
        <v>28500</v>
      </c>
      <c r="E567" s="1078">
        <v>1</v>
      </c>
      <c r="F567" s="1078">
        <v>35000</v>
      </c>
      <c r="G567" s="1078">
        <v>6500</v>
      </c>
      <c r="H567" s="1078" t="s">
        <v>1397</v>
      </c>
    </row>
    <row r="568" spans="1:8" ht="22.5" x14ac:dyDescent="0.55000000000000004">
      <c r="A568" s="1078">
        <v>567</v>
      </c>
      <c r="B568" s="1078" t="s">
        <v>3282</v>
      </c>
      <c r="C568" s="1078" t="s">
        <v>3283</v>
      </c>
      <c r="D568" s="1078">
        <v>1000</v>
      </c>
      <c r="E568" s="1078">
        <v>1</v>
      </c>
      <c r="F568" s="1078">
        <v>3000</v>
      </c>
      <c r="G568" s="1078">
        <v>2000</v>
      </c>
      <c r="H568" s="1078" t="s">
        <v>1397</v>
      </c>
    </row>
    <row r="569" spans="1:8" ht="22.5" x14ac:dyDescent="0.55000000000000004">
      <c r="A569" s="1078">
        <v>568</v>
      </c>
      <c r="B569" s="1078" t="s">
        <v>3284</v>
      </c>
      <c r="C569" s="1078" t="s">
        <v>7387</v>
      </c>
      <c r="D569" s="1078">
        <v>1200</v>
      </c>
      <c r="E569" s="1078">
        <v>3</v>
      </c>
      <c r="F569" s="1078">
        <v>2400</v>
      </c>
      <c r="G569" s="1078">
        <v>1200</v>
      </c>
      <c r="H569" s="1078" t="s">
        <v>1397</v>
      </c>
    </row>
    <row r="570" spans="1:8" ht="22.5" x14ac:dyDescent="0.55000000000000004">
      <c r="A570" s="1078">
        <v>569</v>
      </c>
      <c r="B570" s="1078" t="s">
        <v>3290</v>
      </c>
      <c r="C570" s="1078" t="s">
        <v>3291</v>
      </c>
      <c r="D570" s="1078">
        <v>74750</v>
      </c>
      <c r="E570" s="1078">
        <v>7</v>
      </c>
      <c r="F570" s="1078">
        <v>97500</v>
      </c>
      <c r="G570" s="1078">
        <v>22750</v>
      </c>
      <c r="H570" s="1078" t="s">
        <v>1397</v>
      </c>
    </row>
    <row r="571" spans="1:8" ht="22.5" x14ac:dyDescent="0.55000000000000004">
      <c r="A571" s="1078">
        <v>570</v>
      </c>
      <c r="B571" s="1078" t="s">
        <v>4905</v>
      </c>
      <c r="C571" s="1078" t="s">
        <v>4906</v>
      </c>
      <c r="D571" s="1078">
        <v>1900</v>
      </c>
      <c r="E571" s="1078">
        <v>1</v>
      </c>
      <c r="F571" s="1078">
        <v>2600</v>
      </c>
      <c r="G571" s="1078">
        <v>700</v>
      </c>
      <c r="H571" s="1078" t="s">
        <v>1397</v>
      </c>
    </row>
    <row r="572" spans="1:8" ht="22.5" x14ac:dyDescent="0.55000000000000004">
      <c r="A572" s="1078">
        <v>571</v>
      </c>
      <c r="B572" s="1078" t="s">
        <v>3364</v>
      </c>
      <c r="C572" s="1078" t="s">
        <v>3058</v>
      </c>
      <c r="D572" s="1078">
        <v>1800</v>
      </c>
      <c r="E572" s="1078">
        <v>4</v>
      </c>
      <c r="F572" s="1078">
        <v>2800</v>
      </c>
      <c r="G572" s="1078">
        <v>1000</v>
      </c>
      <c r="H572" s="1078" t="s">
        <v>1397</v>
      </c>
    </row>
    <row r="573" spans="1:8" ht="22.5" x14ac:dyDescent="0.55000000000000004">
      <c r="A573" s="1078">
        <v>572</v>
      </c>
      <c r="B573" s="1078" t="s">
        <v>3446</v>
      </c>
      <c r="C573" s="1078" t="s">
        <v>3447</v>
      </c>
      <c r="D573" s="1078">
        <v>1500</v>
      </c>
      <c r="E573" s="1078">
        <v>3</v>
      </c>
      <c r="F573" s="1078">
        <v>2400</v>
      </c>
      <c r="G573" s="1078">
        <v>900</v>
      </c>
      <c r="H573" s="1078" t="s">
        <v>1397</v>
      </c>
    </row>
    <row r="574" spans="1:8" ht="22.5" x14ac:dyDescent="0.55000000000000004">
      <c r="A574" s="1078">
        <v>573</v>
      </c>
      <c r="B574" s="1078" t="s">
        <v>4925</v>
      </c>
      <c r="C574" s="1078" t="s">
        <v>4926</v>
      </c>
      <c r="D574" s="1078">
        <v>500</v>
      </c>
      <c r="E574" s="1078">
        <v>1</v>
      </c>
      <c r="F574" s="1078">
        <v>1200</v>
      </c>
      <c r="G574" s="1078">
        <v>700</v>
      </c>
      <c r="H574" s="1078" t="s">
        <v>1397</v>
      </c>
    </row>
    <row r="575" spans="1:8" ht="22.5" x14ac:dyDescent="0.55000000000000004">
      <c r="A575" s="1078">
        <v>574</v>
      </c>
      <c r="B575" s="1078" t="s">
        <v>3452</v>
      </c>
      <c r="C575" s="1078" t="s">
        <v>3453</v>
      </c>
      <c r="D575" s="1078">
        <v>3000</v>
      </c>
      <c r="E575" s="1078">
        <v>4</v>
      </c>
      <c r="F575" s="1078">
        <v>4000</v>
      </c>
      <c r="G575" s="1078">
        <v>1000</v>
      </c>
      <c r="H575" s="1078" t="s">
        <v>1397</v>
      </c>
    </row>
    <row r="576" spans="1:8" ht="22.5" x14ac:dyDescent="0.55000000000000004">
      <c r="A576" s="1078">
        <v>575</v>
      </c>
      <c r="B576" s="1078" t="s">
        <v>6350</v>
      </c>
      <c r="C576" s="1078" t="s">
        <v>6351</v>
      </c>
      <c r="D576" s="1078">
        <v>13500</v>
      </c>
      <c r="E576" s="1078">
        <v>3</v>
      </c>
      <c r="F576" s="1078">
        <v>18000</v>
      </c>
      <c r="G576" s="1078">
        <v>4500</v>
      </c>
      <c r="H576" s="1078" t="s">
        <v>1397</v>
      </c>
    </row>
    <row r="577" spans="1:8" ht="22.5" x14ac:dyDescent="0.55000000000000004">
      <c r="A577" s="1078">
        <v>576</v>
      </c>
      <c r="B577" s="1078" t="s">
        <v>4945</v>
      </c>
      <c r="C577" s="1078" t="s">
        <v>4946</v>
      </c>
      <c r="D577" s="1078">
        <v>1250</v>
      </c>
      <c r="E577" s="1078">
        <v>1</v>
      </c>
      <c r="F577" s="1078">
        <v>1500</v>
      </c>
      <c r="G577" s="1078">
        <v>250</v>
      </c>
      <c r="H577" s="1078" t="s">
        <v>1397</v>
      </c>
    </row>
    <row r="578" spans="1:8" ht="22.5" x14ac:dyDescent="0.55000000000000004">
      <c r="A578" s="1078">
        <v>577</v>
      </c>
      <c r="B578" s="1078" t="s">
        <v>6271</v>
      </c>
      <c r="C578" s="1078" t="s">
        <v>6272</v>
      </c>
      <c r="D578" s="1078">
        <v>66100</v>
      </c>
      <c r="E578" s="1078">
        <v>1</v>
      </c>
      <c r="F578" s="1078">
        <v>90000</v>
      </c>
      <c r="G578" s="1078">
        <v>23900</v>
      </c>
      <c r="H578" s="1078" t="s">
        <v>1397</v>
      </c>
    </row>
    <row r="579" spans="1:8" ht="22.5" x14ac:dyDescent="0.55000000000000004">
      <c r="A579" s="1078">
        <v>578</v>
      </c>
      <c r="B579" s="1078" t="s">
        <v>7099</v>
      </c>
      <c r="C579" s="1078" t="s">
        <v>7100</v>
      </c>
      <c r="D579" s="1078">
        <v>750</v>
      </c>
      <c r="E579" s="1078">
        <v>1</v>
      </c>
      <c r="F579" s="1078">
        <v>1000</v>
      </c>
      <c r="G579" s="1078">
        <v>250</v>
      </c>
      <c r="H579" s="1078" t="s">
        <v>1397</v>
      </c>
    </row>
    <row r="580" spans="1:8" ht="22.5" x14ac:dyDescent="0.55000000000000004">
      <c r="A580" s="1078">
        <v>579</v>
      </c>
      <c r="B580" s="1078" t="s">
        <v>6474</v>
      </c>
      <c r="C580" s="1078" t="s">
        <v>8597</v>
      </c>
      <c r="D580" s="1078">
        <v>108200</v>
      </c>
      <c r="E580" s="1078">
        <v>1</v>
      </c>
      <c r="F580" s="1078">
        <v>130000</v>
      </c>
      <c r="G580" s="1078">
        <v>21800</v>
      </c>
      <c r="H580" s="1078" t="s">
        <v>1397</v>
      </c>
    </row>
    <row r="581" spans="1:8" ht="22.5" x14ac:dyDescent="0.55000000000000004">
      <c r="A581" s="1078">
        <v>580</v>
      </c>
      <c r="B581" s="1078" t="s">
        <v>6495</v>
      </c>
      <c r="C581" s="1078" t="s">
        <v>6496</v>
      </c>
      <c r="D581" s="1078">
        <v>9500</v>
      </c>
      <c r="E581" s="1078">
        <v>1</v>
      </c>
      <c r="F581" s="1078">
        <v>10000</v>
      </c>
      <c r="G581" s="1078">
        <v>500</v>
      </c>
      <c r="H581" s="1078" t="s">
        <v>1397</v>
      </c>
    </row>
    <row r="582" spans="1:8" ht="22.5" x14ac:dyDescent="0.55000000000000004">
      <c r="A582" s="1078">
        <v>581</v>
      </c>
      <c r="B582" s="1078" t="s">
        <v>6499</v>
      </c>
      <c r="C582" s="1078" t="s">
        <v>6574</v>
      </c>
      <c r="D582" s="1078">
        <v>138400</v>
      </c>
      <c r="E582" s="1078">
        <v>4</v>
      </c>
      <c r="F582" s="1078">
        <v>146000</v>
      </c>
      <c r="G582" s="1078">
        <v>7600</v>
      </c>
      <c r="H582" s="1078" t="s">
        <v>1397</v>
      </c>
    </row>
    <row r="583" spans="1:8" ht="22.5" x14ac:dyDescent="0.55000000000000004">
      <c r="A583" s="1078">
        <v>582</v>
      </c>
      <c r="B583" s="1078" t="s">
        <v>7932</v>
      </c>
      <c r="C583" s="1078" t="s">
        <v>7933</v>
      </c>
      <c r="D583" s="1078">
        <v>105700</v>
      </c>
      <c r="E583" s="1078">
        <v>4</v>
      </c>
      <c r="F583" s="1078">
        <v>128000</v>
      </c>
      <c r="G583" s="1078">
        <v>22300</v>
      </c>
      <c r="H583" s="1078" t="s">
        <v>1397</v>
      </c>
    </row>
    <row r="584" spans="1:8" ht="22.5" x14ac:dyDescent="0.55000000000000004">
      <c r="A584" s="1078">
        <v>583</v>
      </c>
      <c r="B584" s="1078" t="s">
        <v>6500</v>
      </c>
      <c r="C584" s="1078" t="s">
        <v>6859</v>
      </c>
      <c r="D584" s="1078">
        <v>61200</v>
      </c>
      <c r="E584" s="1078">
        <v>17</v>
      </c>
      <c r="F584" s="1078">
        <v>68000</v>
      </c>
      <c r="G584" s="1078">
        <v>6800</v>
      </c>
      <c r="H584" s="1078" t="s">
        <v>1397</v>
      </c>
    </row>
    <row r="585" spans="1:8" ht="22.5" x14ac:dyDescent="0.55000000000000004">
      <c r="A585" s="1078">
        <v>584</v>
      </c>
      <c r="B585" s="1078" t="s">
        <v>6693</v>
      </c>
      <c r="C585" s="1078" t="s">
        <v>6694</v>
      </c>
      <c r="D585" s="1078">
        <v>2800</v>
      </c>
      <c r="E585" s="1078">
        <v>1</v>
      </c>
      <c r="F585" s="1078">
        <v>4000</v>
      </c>
      <c r="G585" s="1078">
        <v>1200</v>
      </c>
      <c r="H585" s="1078" t="s">
        <v>1397</v>
      </c>
    </row>
    <row r="586" spans="1:8" ht="22.5" x14ac:dyDescent="0.55000000000000004">
      <c r="A586" s="1078">
        <v>585</v>
      </c>
      <c r="B586" s="1078" t="s">
        <v>8427</v>
      </c>
      <c r="C586" s="1078" t="s">
        <v>8428</v>
      </c>
      <c r="D586" s="1078">
        <v>550</v>
      </c>
      <c r="E586" s="1078">
        <v>1</v>
      </c>
      <c r="F586" s="1078">
        <v>1000</v>
      </c>
      <c r="G586" s="1078">
        <v>450</v>
      </c>
      <c r="H586" s="1078" t="s">
        <v>1397</v>
      </c>
    </row>
    <row r="587" spans="1:8" ht="22.5" x14ac:dyDescent="0.55000000000000004">
      <c r="A587" s="1078">
        <v>586</v>
      </c>
      <c r="B587" s="1078" t="s">
        <v>6584</v>
      </c>
      <c r="C587" s="1078" t="s">
        <v>6860</v>
      </c>
      <c r="D587" s="1078">
        <v>11900</v>
      </c>
      <c r="E587" s="1078">
        <v>2</v>
      </c>
      <c r="F587" s="1078">
        <v>16000</v>
      </c>
      <c r="G587" s="1078">
        <v>4100</v>
      </c>
      <c r="H587" s="1078" t="s">
        <v>1397</v>
      </c>
    </row>
    <row r="588" spans="1:8" ht="22.5" x14ac:dyDescent="0.55000000000000004">
      <c r="A588" s="1078">
        <v>587</v>
      </c>
      <c r="B588" s="1078" t="s">
        <v>6585</v>
      </c>
      <c r="C588" s="1078" t="s">
        <v>7390</v>
      </c>
      <c r="D588" s="1078">
        <v>18500</v>
      </c>
      <c r="E588" s="1078">
        <v>1</v>
      </c>
      <c r="F588" s="1078">
        <v>22000</v>
      </c>
      <c r="G588" s="1078">
        <v>3500</v>
      </c>
      <c r="H588" s="1078" t="s">
        <v>1397</v>
      </c>
    </row>
    <row r="589" spans="1:8" ht="22.5" x14ac:dyDescent="0.55000000000000004">
      <c r="A589" s="1078">
        <v>588</v>
      </c>
      <c r="B589" s="1078" t="s">
        <v>6588</v>
      </c>
      <c r="C589" s="1078" t="s">
        <v>6589</v>
      </c>
      <c r="D589" s="1078">
        <v>2000</v>
      </c>
      <c r="E589" s="1078">
        <v>2</v>
      </c>
      <c r="F589" s="1078">
        <v>3000</v>
      </c>
      <c r="G589" s="1078">
        <v>1000</v>
      </c>
      <c r="H589" s="1078" t="s">
        <v>1397</v>
      </c>
    </row>
    <row r="590" spans="1:8" ht="22.5" x14ac:dyDescent="0.55000000000000004">
      <c r="A590" s="1078">
        <v>589</v>
      </c>
      <c r="B590" s="1078" t="s">
        <v>6592</v>
      </c>
      <c r="C590" s="1078" t="s">
        <v>6593</v>
      </c>
      <c r="D590" s="1078">
        <v>72000</v>
      </c>
      <c r="E590" s="1078">
        <v>36</v>
      </c>
      <c r="F590" s="1078">
        <v>90000</v>
      </c>
      <c r="G590" s="1078">
        <v>18000</v>
      </c>
      <c r="H590" s="1078" t="s">
        <v>1397</v>
      </c>
    </row>
    <row r="591" spans="1:8" ht="22.5" x14ac:dyDescent="0.55000000000000004">
      <c r="A591" s="1078">
        <v>590</v>
      </c>
      <c r="B591" s="1078" t="s">
        <v>8598</v>
      </c>
      <c r="C591" s="1078" t="s">
        <v>8599</v>
      </c>
      <c r="D591" s="1078">
        <v>8000</v>
      </c>
      <c r="E591" s="1078">
        <v>1</v>
      </c>
      <c r="F591" s="1078">
        <v>10000</v>
      </c>
      <c r="G591" s="1078">
        <v>2000</v>
      </c>
      <c r="H591" s="1078" t="s">
        <v>1397</v>
      </c>
    </row>
    <row r="592" spans="1:8" ht="22.5" x14ac:dyDescent="0.55000000000000004">
      <c r="A592" s="1078">
        <v>591</v>
      </c>
      <c r="B592" s="1078" t="s">
        <v>6596</v>
      </c>
      <c r="C592" s="1078" t="s">
        <v>8600</v>
      </c>
      <c r="D592" s="1078">
        <v>50400</v>
      </c>
      <c r="E592" s="1078">
        <v>7</v>
      </c>
      <c r="F592" s="1078">
        <v>53900</v>
      </c>
      <c r="G592" s="1078">
        <v>3500</v>
      </c>
      <c r="H592" s="1078" t="s">
        <v>1397</v>
      </c>
    </row>
    <row r="593" spans="1:8" ht="22.5" x14ac:dyDescent="0.55000000000000004">
      <c r="A593" s="1078">
        <v>592</v>
      </c>
      <c r="B593" s="1078" t="s">
        <v>6597</v>
      </c>
      <c r="C593" s="1078" t="s">
        <v>6861</v>
      </c>
      <c r="D593" s="1078">
        <v>22500</v>
      </c>
      <c r="E593" s="1078">
        <v>5</v>
      </c>
      <c r="F593" s="1078">
        <v>27500</v>
      </c>
      <c r="G593" s="1078">
        <v>5000</v>
      </c>
      <c r="H593" s="1078" t="s">
        <v>1397</v>
      </c>
    </row>
    <row r="594" spans="1:8" ht="22.5" x14ac:dyDescent="0.55000000000000004">
      <c r="A594" s="1078">
        <v>593</v>
      </c>
      <c r="B594" s="1078" t="s">
        <v>6737</v>
      </c>
      <c r="C594" s="1078" t="s">
        <v>6738</v>
      </c>
      <c r="D594" s="1078">
        <v>7500</v>
      </c>
      <c r="E594" s="1078">
        <v>1</v>
      </c>
      <c r="F594" s="1078">
        <v>11000</v>
      </c>
      <c r="G594" s="1078">
        <v>3500</v>
      </c>
      <c r="H594" s="1078" t="s">
        <v>1397</v>
      </c>
    </row>
    <row r="595" spans="1:8" ht="22.5" x14ac:dyDescent="0.55000000000000004">
      <c r="A595" s="1078">
        <v>594</v>
      </c>
      <c r="B595" s="1078" t="s">
        <v>6743</v>
      </c>
      <c r="C595" s="1078" t="s">
        <v>8280</v>
      </c>
      <c r="D595" s="1078">
        <v>2300</v>
      </c>
      <c r="E595" s="1078">
        <v>4</v>
      </c>
      <c r="F595" s="1078">
        <v>3200</v>
      </c>
      <c r="G595" s="1078">
        <v>900</v>
      </c>
      <c r="H595" s="1078" t="s">
        <v>1397</v>
      </c>
    </row>
    <row r="596" spans="1:8" ht="22.5" x14ac:dyDescent="0.55000000000000004">
      <c r="A596" s="1078">
        <v>595</v>
      </c>
      <c r="B596" s="1078" t="s">
        <v>6746</v>
      </c>
      <c r="C596" s="1078" t="s">
        <v>6747</v>
      </c>
      <c r="D596" s="1078">
        <v>31000</v>
      </c>
      <c r="E596" s="1078">
        <v>1</v>
      </c>
      <c r="F596" s="1078">
        <v>40000</v>
      </c>
      <c r="G596" s="1078">
        <v>9000</v>
      </c>
      <c r="H596" s="1078" t="s">
        <v>1397</v>
      </c>
    </row>
    <row r="597" spans="1:8" ht="22.5" x14ac:dyDescent="0.55000000000000004">
      <c r="A597" s="1078">
        <v>596</v>
      </c>
      <c r="B597" s="1078" t="s">
        <v>7103</v>
      </c>
      <c r="C597" s="1078" t="s">
        <v>7104</v>
      </c>
      <c r="D597" s="1078">
        <v>750</v>
      </c>
      <c r="E597" s="1078">
        <v>1</v>
      </c>
      <c r="F597" s="1078">
        <v>1200</v>
      </c>
      <c r="G597" s="1078">
        <v>450</v>
      </c>
      <c r="H597" s="1078" t="s">
        <v>1397</v>
      </c>
    </row>
    <row r="598" spans="1:8" ht="22.5" x14ac:dyDescent="0.55000000000000004">
      <c r="A598" s="1078">
        <v>597</v>
      </c>
      <c r="B598" s="1078" t="s">
        <v>7107</v>
      </c>
      <c r="C598" s="1078" t="s">
        <v>7108</v>
      </c>
      <c r="D598" s="1078">
        <v>2800</v>
      </c>
      <c r="E598" s="1078">
        <v>1</v>
      </c>
      <c r="F598" s="1078">
        <v>4000</v>
      </c>
      <c r="G598" s="1078">
        <v>1200</v>
      </c>
      <c r="H598" s="1078" t="s">
        <v>1397</v>
      </c>
    </row>
    <row r="599" spans="1:8" ht="22.5" x14ac:dyDescent="0.55000000000000004">
      <c r="A599" s="1078">
        <v>598</v>
      </c>
      <c r="B599" s="1078" t="s">
        <v>6868</v>
      </c>
      <c r="C599" s="1078" t="s">
        <v>7935</v>
      </c>
      <c r="D599" s="1078">
        <v>16500</v>
      </c>
      <c r="E599" s="1078">
        <v>11</v>
      </c>
      <c r="F599" s="1078">
        <v>22000</v>
      </c>
      <c r="G599" s="1078">
        <v>5500</v>
      </c>
      <c r="H599" s="1078" t="s">
        <v>1397</v>
      </c>
    </row>
    <row r="600" spans="1:8" ht="22.5" x14ac:dyDescent="0.55000000000000004">
      <c r="A600" s="1078">
        <v>599</v>
      </c>
      <c r="B600" s="1078" t="s">
        <v>7115</v>
      </c>
      <c r="C600" s="1078" t="s">
        <v>7116</v>
      </c>
      <c r="D600" s="1078">
        <v>5100</v>
      </c>
      <c r="E600" s="1078">
        <v>2</v>
      </c>
      <c r="F600" s="1078">
        <v>6000</v>
      </c>
      <c r="G600" s="1078">
        <v>900</v>
      </c>
      <c r="H600" s="1078" t="s">
        <v>1397</v>
      </c>
    </row>
    <row r="601" spans="1:8" ht="22.5" x14ac:dyDescent="0.55000000000000004">
      <c r="A601" s="1078">
        <v>600</v>
      </c>
      <c r="B601" s="1078" t="s">
        <v>6871</v>
      </c>
      <c r="C601" s="1078" t="s">
        <v>6872</v>
      </c>
      <c r="D601" s="1078">
        <v>1600</v>
      </c>
      <c r="E601" s="1078">
        <v>2</v>
      </c>
      <c r="F601" s="1078">
        <v>3000</v>
      </c>
      <c r="G601" s="1078">
        <v>1400</v>
      </c>
      <c r="H601" s="1078" t="s">
        <v>1397</v>
      </c>
    </row>
    <row r="602" spans="1:8" ht="22.5" x14ac:dyDescent="0.55000000000000004">
      <c r="A602" s="1078">
        <v>601</v>
      </c>
      <c r="B602" s="1078" t="s">
        <v>7123</v>
      </c>
      <c r="C602" s="1078" t="s">
        <v>8601</v>
      </c>
      <c r="D602" s="1078">
        <v>38000</v>
      </c>
      <c r="E602" s="1078">
        <v>1</v>
      </c>
      <c r="F602" s="1078">
        <v>28000</v>
      </c>
      <c r="G602" s="1078">
        <v>-10000</v>
      </c>
      <c r="H602" s="1078" t="s">
        <v>1397</v>
      </c>
    </row>
    <row r="603" spans="1:8" ht="22.5" x14ac:dyDescent="0.55000000000000004">
      <c r="A603" s="1078">
        <v>602</v>
      </c>
      <c r="B603" s="1078" t="s">
        <v>6881</v>
      </c>
      <c r="C603" s="1078" t="s">
        <v>6882</v>
      </c>
      <c r="D603" s="1078">
        <v>14550</v>
      </c>
      <c r="E603" s="1078">
        <v>3</v>
      </c>
      <c r="F603" s="1078">
        <v>18000</v>
      </c>
      <c r="G603" s="1078">
        <v>3450</v>
      </c>
      <c r="H603" s="1078" t="s">
        <v>1397</v>
      </c>
    </row>
    <row r="604" spans="1:8" ht="22.5" x14ac:dyDescent="0.55000000000000004">
      <c r="A604" s="1078">
        <v>603</v>
      </c>
      <c r="B604" s="1078" t="s">
        <v>7130</v>
      </c>
      <c r="C604" s="1078" t="s">
        <v>7684</v>
      </c>
      <c r="D604" s="1078">
        <v>85000</v>
      </c>
      <c r="E604" s="1078">
        <v>1</v>
      </c>
      <c r="F604" s="1078">
        <v>105000</v>
      </c>
      <c r="G604" s="1078">
        <v>20000</v>
      </c>
      <c r="H604" s="1078" t="s">
        <v>1397</v>
      </c>
    </row>
    <row r="605" spans="1:8" ht="22.5" x14ac:dyDescent="0.55000000000000004">
      <c r="A605" s="1078">
        <v>604</v>
      </c>
      <c r="B605" s="1078" t="s">
        <v>7131</v>
      </c>
      <c r="C605" s="1078" t="s">
        <v>7132</v>
      </c>
      <c r="D605" s="1078">
        <v>400</v>
      </c>
      <c r="E605" s="1078">
        <v>1</v>
      </c>
      <c r="F605" s="1078">
        <v>600</v>
      </c>
      <c r="G605" s="1078">
        <v>200</v>
      </c>
      <c r="H605" s="1078" t="s">
        <v>1397</v>
      </c>
    </row>
    <row r="606" spans="1:8" ht="22.5" x14ac:dyDescent="0.55000000000000004">
      <c r="A606" s="1078">
        <v>605</v>
      </c>
      <c r="B606" s="1078" t="s">
        <v>7139</v>
      </c>
      <c r="C606" s="1078" t="s">
        <v>7140</v>
      </c>
      <c r="D606" s="1078">
        <v>800</v>
      </c>
      <c r="E606" s="1078">
        <v>1</v>
      </c>
      <c r="F606" s="1078">
        <v>1500</v>
      </c>
      <c r="G606" s="1078">
        <v>700</v>
      </c>
      <c r="H606" s="1078" t="s">
        <v>1397</v>
      </c>
    </row>
    <row r="607" spans="1:8" ht="22.5" x14ac:dyDescent="0.55000000000000004">
      <c r="A607" s="1078">
        <v>606</v>
      </c>
      <c r="B607" s="1078" t="s">
        <v>7141</v>
      </c>
      <c r="C607" s="1078" t="s">
        <v>7142</v>
      </c>
      <c r="D607" s="1078">
        <v>2300</v>
      </c>
      <c r="E607" s="1078">
        <v>1</v>
      </c>
      <c r="F607" s="1078">
        <v>3500</v>
      </c>
      <c r="G607" s="1078">
        <v>1200</v>
      </c>
      <c r="H607" s="1078" t="s">
        <v>1397</v>
      </c>
    </row>
    <row r="608" spans="1:8" ht="22.5" x14ac:dyDescent="0.55000000000000004">
      <c r="A608" s="1078">
        <v>607</v>
      </c>
      <c r="B608" s="1078" t="s">
        <v>7152</v>
      </c>
      <c r="C608" s="1078" t="s">
        <v>7153</v>
      </c>
      <c r="D608" s="1078">
        <v>800</v>
      </c>
      <c r="E608" s="1078">
        <v>1</v>
      </c>
      <c r="F608" s="1078">
        <v>1000</v>
      </c>
      <c r="G608" s="1078">
        <v>200</v>
      </c>
      <c r="H608" s="1078" t="s">
        <v>1397</v>
      </c>
    </row>
    <row r="609" spans="1:8" ht="22.5" x14ac:dyDescent="0.55000000000000004">
      <c r="A609" s="1078">
        <v>608</v>
      </c>
      <c r="B609" s="1078" t="s">
        <v>6883</v>
      </c>
      <c r="C609" s="1078" t="s">
        <v>7685</v>
      </c>
      <c r="D609" s="1078">
        <v>5600</v>
      </c>
      <c r="E609" s="1078">
        <v>3</v>
      </c>
      <c r="F609" s="1078">
        <v>9000</v>
      </c>
      <c r="G609" s="1078">
        <v>3400</v>
      </c>
      <c r="H609" s="1078" t="s">
        <v>1397</v>
      </c>
    </row>
    <row r="610" spans="1:8" ht="22.5" x14ac:dyDescent="0.55000000000000004">
      <c r="A610" s="1078">
        <v>609</v>
      </c>
      <c r="B610" s="1078" t="s">
        <v>7159</v>
      </c>
      <c r="C610" s="1078" t="s">
        <v>7160</v>
      </c>
      <c r="D610" s="1078">
        <v>800</v>
      </c>
      <c r="E610" s="1078">
        <v>1</v>
      </c>
      <c r="F610" s="1078">
        <v>1500</v>
      </c>
      <c r="G610" s="1078">
        <v>700</v>
      </c>
      <c r="H610" s="1078" t="s">
        <v>1397</v>
      </c>
    </row>
    <row r="611" spans="1:8" ht="22.5" x14ac:dyDescent="0.55000000000000004">
      <c r="A611" s="1078">
        <v>610</v>
      </c>
      <c r="B611" s="1078" t="s">
        <v>7165</v>
      </c>
      <c r="C611" s="1078" t="s">
        <v>8602</v>
      </c>
      <c r="D611" s="1078">
        <v>20000</v>
      </c>
      <c r="E611" s="1078">
        <v>2</v>
      </c>
      <c r="F611" s="1078">
        <v>24000</v>
      </c>
      <c r="G611" s="1078">
        <v>4000</v>
      </c>
      <c r="H611" s="1078" t="s">
        <v>1397</v>
      </c>
    </row>
    <row r="612" spans="1:8" ht="22.5" x14ac:dyDescent="0.55000000000000004">
      <c r="A612" s="1078">
        <v>611</v>
      </c>
      <c r="B612" s="1078" t="s">
        <v>7173</v>
      </c>
      <c r="C612" s="1078" t="s">
        <v>7174</v>
      </c>
      <c r="D612" s="1078">
        <v>4550</v>
      </c>
      <c r="E612" s="1078">
        <v>6</v>
      </c>
      <c r="F612" s="1078">
        <v>7800</v>
      </c>
      <c r="G612" s="1078">
        <v>3250</v>
      </c>
      <c r="H612" s="1078" t="s">
        <v>1397</v>
      </c>
    </row>
    <row r="613" spans="1:8" ht="22.5" x14ac:dyDescent="0.55000000000000004">
      <c r="A613" s="1078">
        <v>612</v>
      </c>
      <c r="B613" s="1078" t="s">
        <v>7394</v>
      </c>
      <c r="C613" s="1078" t="s">
        <v>7395</v>
      </c>
      <c r="D613" s="1078">
        <v>13800</v>
      </c>
      <c r="E613" s="1078">
        <v>6</v>
      </c>
      <c r="F613" s="1078">
        <v>18000</v>
      </c>
      <c r="G613" s="1078">
        <v>4200</v>
      </c>
      <c r="H613" s="1078" t="s">
        <v>1397</v>
      </c>
    </row>
    <row r="614" spans="1:8" ht="22.5" x14ac:dyDescent="0.55000000000000004">
      <c r="A614" s="1078">
        <v>613</v>
      </c>
      <c r="B614" s="1078" t="s">
        <v>7712</v>
      </c>
      <c r="C614" s="1078" t="s">
        <v>7713</v>
      </c>
      <c r="D614" s="1078">
        <v>5000</v>
      </c>
      <c r="E614" s="1078">
        <v>1</v>
      </c>
      <c r="F614" s="1078">
        <v>8500</v>
      </c>
      <c r="G614" s="1078">
        <v>3500</v>
      </c>
      <c r="H614" s="1078" t="s">
        <v>1397</v>
      </c>
    </row>
    <row r="615" spans="1:8" ht="22.5" x14ac:dyDescent="0.55000000000000004">
      <c r="A615" s="1078">
        <v>614</v>
      </c>
      <c r="B615" s="1078" t="s">
        <v>7716</v>
      </c>
      <c r="C615" s="1078" t="s">
        <v>7717</v>
      </c>
      <c r="D615" s="1078">
        <v>6500</v>
      </c>
      <c r="E615" s="1078">
        <v>1</v>
      </c>
      <c r="F615" s="1078">
        <v>10000</v>
      </c>
      <c r="G615" s="1078">
        <v>3500</v>
      </c>
      <c r="H615" s="1078" t="s">
        <v>1397</v>
      </c>
    </row>
    <row r="616" spans="1:8" ht="22.5" x14ac:dyDescent="0.55000000000000004">
      <c r="A616" s="1078">
        <v>615</v>
      </c>
      <c r="B616" s="1078" t="s">
        <v>7718</v>
      </c>
      <c r="C616" s="1078" t="s">
        <v>7719</v>
      </c>
      <c r="D616" s="1078">
        <v>16000</v>
      </c>
      <c r="E616" s="1078">
        <v>4</v>
      </c>
      <c r="F616" s="1078">
        <v>23000</v>
      </c>
      <c r="G616" s="1078">
        <v>7000</v>
      </c>
      <c r="H616" s="1078" t="s">
        <v>1397</v>
      </c>
    </row>
    <row r="617" spans="1:8" ht="22.5" x14ac:dyDescent="0.55000000000000004">
      <c r="A617" s="1078">
        <v>616</v>
      </c>
      <c r="B617" s="1078" t="s">
        <v>7720</v>
      </c>
      <c r="C617" s="1078" t="s">
        <v>7721</v>
      </c>
      <c r="D617" s="1078">
        <v>840</v>
      </c>
      <c r="E617" s="1078">
        <v>3</v>
      </c>
      <c r="F617" s="1078">
        <v>2100</v>
      </c>
      <c r="G617" s="1078">
        <v>1260</v>
      </c>
      <c r="H617" s="1078" t="s">
        <v>1397</v>
      </c>
    </row>
    <row r="618" spans="1:8" ht="22.5" x14ac:dyDescent="0.55000000000000004">
      <c r="A618" s="1078">
        <v>617</v>
      </c>
      <c r="B618" s="1078" t="s">
        <v>1716</v>
      </c>
      <c r="C618" s="1078" t="s">
        <v>7936</v>
      </c>
      <c r="D618" s="1078">
        <v>7800</v>
      </c>
      <c r="E618" s="1078">
        <v>4</v>
      </c>
      <c r="F618" s="1078">
        <v>9500</v>
      </c>
      <c r="G618" s="1078">
        <v>1700</v>
      </c>
      <c r="H618" s="1078" t="s">
        <v>1397</v>
      </c>
    </row>
    <row r="619" spans="1:8" ht="22.5" x14ac:dyDescent="0.55000000000000004">
      <c r="A619" s="1078">
        <v>618</v>
      </c>
      <c r="B619" s="1078" t="s">
        <v>7406</v>
      </c>
      <c r="C619" s="1078" t="s">
        <v>6902</v>
      </c>
      <c r="D619" s="1078">
        <v>6000</v>
      </c>
      <c r="E619" s="1078">
        <v>5</v>
      </c>
      <c r="F619" s="1078">
        <v>10000</v>
      </c>
      <c r="G619" s="1078">
        <v>4000</v>
      </c>
      <c r="H619" s="1078" t="s">
        <v>1397</v>
      </c>
    </row>
    <row r="620" spans="1:8" ht="22.5" x14ac:dyDescent="0.55000000000000004">
      <c r="A620" s="1078">
        <v>619</v>
      </c>
      <c r="B620" s="1078" t="s">
        <v>7407</v>
      </c>
      <c r="C620" s="1078" t="s">
        <v>7408</v>
      </c>
      <c r="D620" s="1078">
        <v>1200</v>
      </c>
      <c r="E620" s="1078">
        <v>1</v>
      </c>
      <c r="F620" s="1078">
        <v>1500</v>
      </c>
      <c r="G620" s="1078">
        <v>300</v>
      </c>
      <c r="H620" s="1078" t="s">
        <v>1397</v>
      </c>
    </row>
    <row r="621" spans="1:8" ht="22.5" x14ac:dyDescent="0.55000000000000004">
      <c r="A621" s="1078">
        <v>620</v>
      </c>
      <c r="B621" s="1078" t="s">
        <v>7409</v>
      </c>
      <c r="C621" s="1078" t="s">
        <v>7410</v>
      </c>
      <c r="D621" s="1078">
        <v>2000</v>
      </c>
      <c r="E621" s="1078">
        <v>1</v>
      </c>
      <c r="F621" s="1078">
        <v>2500</v>
      </c>
      <c r="G621" s="1078">
        <v>500</v>
      </c>
      <c r="H621" s="1078" t="s">
        <v>1397</v>
      </c>
    </row>
    <row r="622" spans="1:8" ht="22.5" x14ac:dyDescent="0.55000000000000004">
      <c r="A622" s="1078">
        <v>621</v>
      </c>
      <c r="B622" s="1078" t="s">
        <v>7411</v>
      </c>
      <c r="C622" s="1078" t="s">
        <v>8283</v>
      </c>
      <c r="D622" s="1078">
        <v>9000</v>
      </c>
      <c r="E622" s="1078">
        <v>30</v>
      </c>
      <c r="F622" s="1078">
        <v>15000</v>
      </c>
      <c r="G622" s="1078">
        <v>6000</v>
      </c>
      <c r="H622" s="1078" t="s">
        <v>1397</v>
      </c>
    </row>
    <row r="623" spans="1:8" ht="22.5" x14ac:dyDescent="0.55000000000000004">
      <c r="A623" s="1078">
        <v>622</v>
      </c>
      <c r="B623" s="1078" t="s">
        <v>7412</v>
      </c>
      <c r="C623" s="1078" t="s">
        <v>8284</v>
      </c>
      <c r="D623" s="1078">
        <v>500</v>
      </c>
      <c r="E623" s="1078">
        <v>1</v>
      </c>
      <c r="F623" s="1078">
        <v>1000</v>
      </c>
      <c r="G623" s="1078">
        <v>500</v>
      </c>
      <c r="H623" s="1078" t="s">
        <v>1397</v>
      </c>
    </row>
    <row r="624" spans="1:8" ht="22.5" x14ac:dyDescent="0.55000000000000004">
      <c r="A624" s="1078">
        <v>623</v>
      </c>
      <c r="B624" s="1078" t="s">
        <v>7414</v>
      </c>
      <c r="C624" s="1078" t="s">
        <v>7415</v>
      </c>
      <c r="D624" s="1078">
        <v>8000</v>
      </c>
      <c r="E624" s="1078">
        <v>1</v>
      </c>
      <c r="F624" s="1078">
        <v>12000</v>
      </c>
      <c r="G624" s="1078">
        <v>4000</v>
      </c>
      <c r="H624" s="1078" t="s">
        <v>1397</v>
      </c>
    </row>
    <row r="625" spans="1:8" ht="22.5" x14ac:dyDescent="0.55000000000000004">
      <c r="A625" s="1078">
        <v>624</v>
      </c>
      <c r="B625" s="1078" t="s">
        <v>7743</v>
      </c>
      <c r="C625" s="1078" t="s">
        <v>8430</v>
      </c>
      <c r="D625" s="1078">
        <v>9500</v>
      </c>
      <c r="E625" s="1078">
        <v>1</v>
      </c>
      <c r="F625" s="1078">
        <v>15000</v>
      </c>
      <c r="G625" s="1078">
        <v>5500</v>
      </c>
      <c r="H625" s="1078" t="s">
        <v>1397</v>
      </c>
    </row>
    <row r="626" spans="1:8" ht="22.5" x14ac:dyDescent="0.55000000000000004">
      <c r="A626" s="1078">
        <v>625</v>
      </c>
      <c r="B626" s="1078" t="s">
        <v>1717</v>
      </c>
      <c r="C626" s="1078" t="s">
        <v>7746</v>
      </c>
      <c r="D626" s="1078">
        <v>5200</v>
      </c>
      <c r="E626" s="1078">
        <v>17</v>
      </c>
      <c r="F626" s="1078">
        <v>11900</v>
      </c>
      <c r="G626" s="1078">
        <v>6700</v>
      </c>
      <c r="H626" s="1078" t="s">
        <v>1397</v>
      </c>
    </row>
    <row r="627" spans="1:8" ht="22.5" x14ac:dyDescent="0.55000000000000004">
      <c r="A627" s="1078">
        <v>626</v>
      </c>
      <c r="B627" s="1078" t="s">
        <v>7417</v>
      </c>
      <c r="C627" s="1078" t="s">
        <v>7418</v>
      </c>
      <c r="D627" s="1078">
        <v>7200</v>
      </c>
      <c r="E627" s="1078">
        <v>3</v>
      </c>
      <c r="F627" s="1078">
        <v>10500</v>
      </c>
      <c r="G627" s="1078">
        <v>3300</v>
      </c>
      <c r="H627" s="1078" t="s">
        <v>1397</v>
      </c>
    </row>
    <row r="628" spans="1:8" ht="22.5" x14ac:dyDescent="0.55000000000000004">
      <c r="A628" s="1078">
        <v>627</v>
      </c>
      <c r="B628" s="1078" t="s">
        <v>7747</v>
      </c>
      <c r="C628" s="1078" t="s">
        <v>8286</v>
      </c>
      <c r="D628" s="1078">
        <v>2500</v>
      </c>
      <c r="E628" s="1078">
        <v>2</v>
      </c>
      <c r="F628" s="1078">
        <v>3600</v>
      </c>
      <c r="G628" s="1078">
        <v>1100</v>
      </c>
      <c r="H628" s="1078" t="s">
        <v>1397</v>
      </c>
    </row>
    <row r="629" spans="1:8" ht="22.5" x14ac:dyDescent="0.55000000000000004">
      <c r="A629" s="1078">
        <v>628</v>
      </c>
      <c r="B629" s="1078" t="s">
        <v>7754</v>
      </c>
      <c r="C629" s="1078" t="s">
        <v>7755</v>
      </c>
      <c r="D629" s="1078">
        <v>5000</v>
      </c>
      <c r="E629" s="1078">
        <v>1</v>
      </c>
      <c r="F629" s="1078">
        <v>7000</v>
      </c>
      <c r="G629" s="1078">
        <v>2000</v>
      </c>
      <c r="H629" s="1078" t="s">
        <v>1397</v>
      </c>
    </row>
    <row r="630" spans="1:8" ht="22.5" x14ac:dyDescent="0.55000000000000004">
      <c r="A630" s="1078">
        <v>629</v>
      </c>
      <c r="B630" s="1078" t="s">
        <v>1718</v>
      </c>
      <c r="C630" s="1078" t="s">
        <v>7762</v>
      </c>
      <c r="D630" s="1078">
        <v>598</v>
      </c>
      <c r="E630" s="1078">
        <v>2</v>
      </c>
      <c r="F630" s="1078">
        <v>1400</v>
      </c>
      <c r="G630" s="1078">
        <v>802</v>
      </c>
      <c r="H630" s="1078" t="s">
        <v>1397</v>
      </c>
    </row>
    <row r="631" spans="1:8" ht="22.5" x14ac:dyDescent="0.55000000000000004">
      <c r="A631" s="1078">
        <v>630</v>
      </c>
      <c r="B631" s="1078" t="s">
        <v>7765</v>
      </c>
      <c r="C631" s="1078" t="s">
        <v>7766</v>
      </c>
      <c r="D631" s="1078">
        <v>3190</v>
      </c>
      <c r="E631" s="1078">
        <v>1</v>
      </c>
      <c r="F631" s="1078">
        <v>4500</v>
      </c>
      <c r="G631" s="1078">
        <v>1310</v>
      </c>
      <c r="H631" s="1078" t="s">
        <v>1397</v>
      </c>
    </row>
    <row r="632" spans="1:8" ht="22.5" x14ac:dyDescent="0.55000000000000004">
      <c r="A632" s="1078">
        <v>631</v>
      </c>
      <c r="B632" s="1078" t="s">
        <v>8603</v>
      </c>
      <c r="C632" s="1078" t="s">
        <v>8604</v>
      </c>
      <c r="D632" s="1078">
        <v>1800</v>
      </c>
      <c r="E632" s="1078">
        <v>2</v>
      </c>
      <c r="F632" s="1078">
        <v>2400</v>
      </c>
      <c r="G632" s="1078">
        <v>600</v>
      </c>
      <c r="H632" s="1078" t="s">
        <v>1397</v>
      </c>
    </row>
    <row r="633" spans="1:8" ht="22.5" x14ac:dyDescent="0.55000000000000004">
      <c r="A633" s="1078">
        <v>632</v>
      </c>
      <c r="B633" s="1078" t="s">
        <v>7776</v>
      </c>
      <c r="C633" s="1078" t="s">
        <v>8085</v>
      </c>
      <c r="D633" s="1078">
        <v>2100</v>
      </c>
      <c r="E633" s="1078">
        <v>1</v>
      </c>
      <c r="F633" s="1078">
        <v>3000</v>
      </c>
      <c r="G633" s="1078">
        <v>900</v>
      </c>
      <c r="H633" s="1078" t="s">
        <v>1397</v>
      </c>
    </row>
    <row r="634" spans="1:8" ht="22.5" x14ac:dyDescent="0.55000000000000004">
      <c r="A634" s="1078">
        <v>633</v>
      </c>
      <c r="B634" s="1078" t="s">
        <v>7781</v>
      </c>
      <c r="C634" s="1078" t="s">
        <v>8431</v>
      </c>
      <c r="D634" s="1078">
        <v>2700</v>
      </c>
      <c r="E634" s="1078">
        <v>1</v>
      </c>
      <c r="F634" s="1078">
        <v>5000</v>
      </c>
      <c r="G634" s="1078">
        <v>2300</v>
      </c>
      <c r="H634" s="1078" t="s">
        <v>1397</v>
      </c>
    </row>
    <row r="635" spans="1:8" ht="22.5" x14ac:dyDescent="0.55000000000000004">
      <c r="A635" s="1078">
        <v>634</v>
      </c>
      <c r="B635" s="1078" t="s">
        <v>1719</v>
      </c>
      <c r="C635" s="1078" t="s">
        <v>7422</v>
      </c>
      <c r="D635" s="1078">
        <v>12000</v>
      </c>
      <c r="E635" s="1078">
        <v>30</v>
      </c>
      <c r="F635" s="1078">
        <v>21000</v>
      </c>
      <c r="G635" s="1078">
        <v>9000</v>
      </c>
      <c r="H635" s="1078" t="s">
        <v>1397</v>
      </c>
    </row>
    <row r="636" spans="1:8" ht="22.5" x14ac:dyDescent="0.55000000000000004">
      <c r="A636" s="1078">
        <v>635</v>
      </c>
      <c r="B636" s="1078" t="s">
        <v>7940</v>
      </c>
      <c r="C636" s="1078" t="s">
        <v>7773</v>
      </c>
      <c r="D636" s="1078">
        <v>52500</v>
      </c>
      <c r="E636" s="1078">
        <v>3</v>
      </c>
      <c r="F636" s="1078">
        <v>71500</v>
      </c>
      <c r="G636" s="1078">
        <v>19000</v>
      </c>
      <c r="H636" s="1078" t="s">
        <v>1397</v>
      </c>
    </row>
    <row r="637" spans="1:8" ht="22.5" x14ac:dyDescent="0.55000000000000004">
      <c r="A637" s="1078">
        <v>636</v>
      </c>
      <c r="B637" s="1078" t="s">
        <v>8090</v>
      </c>
      <c r="C637" s="1078" t="s">
        <v>8091</v>
      </c>
      <c r="D637" s="1078">
        <v>15000</v>
      </c>
      <c r="E637" s="1078">
        <v>1</v>
      </c>
      <c r="F637" s="1078">
        <v>18000</v>
      </c>
      <c r="G637" s="1078">
        <v>3000</v>
      </c>
      <c r="H637" s="1078" t="s">
        <v>1397</v>
      </c>
    </row>
    <row r="638" spans="1:8" ht="22.5" x14ac:dyDescent="0.55000000000000004">
      <c r="A638" s="1078">
        <v>637</v>
      </c>
      <c r="B638" s="1078" t="s">
        <v>8094</v>
      </c>
      <c r="C638" s="1078" t="s">
        <v>8287</v>
      </c>
      <c r="D638" s="1078">
        <v>360000</v>
      </c>
      <c r="E638" s="1078">
        <v>3</v>
      </c>
      <c r="F638" s="1078">
        <v>435000</v>
      </c>
      <c r="G638" s="1078">
        <v>75000</v>
      </c>
      <c r="H638" s="1078" t="s">
        <v>1397</v>
      </c>
    </row>
    <row r="639" spans="1:8" ht="22.5" x14ac:dyDescent="0.55000000000000004">
      <c r="A639" s="1078">
        <v>638</v>
      </c>
      <c r="B639" s="1078" t="s">
        <v>7941</v>
      </c>
      <c r="C639" s="1078" t="s">
        <v>7370</v>
      </c>
      <c r="D639" s="1078">
        <v>67000</v>
      </c>
      <c r="E639" s="1078">
        <v>5</v>
      </c>
      <c r="F639" s="1078">
        <v>88500</v>
      </c>
      <c r="G639" s="1078">
        <v>21500</v>
      </c>
      <c r="H639" s="1078" t="s">
        <v>1397</v>
      </c>
    </row>
    <row r="640" spans="1:8" ht="22.5" x14ac:dyDescent="0.55000000000000004">
      <c r="A640" s="1078">
        <v>639</v>
      </c>
      <c r="B640" s="1078" t="s">
        <v>8095</v>
      </c>
      <c r="C640" s="1078" t="s">
        <v>8096</v>
      </c>
      <c r="D640" s="1078">
        <v>1200</v>
      </c>
      <c r="E640" s="1078">
        <v>1</v>
      </c>
      <c r="F640" s="1078">
        <v>2000</v>
      </c>
      <c r="G640" s="1078">
        <v>800</v>
      </c>
      <c r="H640" s="1078" t="s">
        <v>1397</v>
      </c>
    </row>
    <row r="641" spans="1:8" ht="22.5" x14ac:dyDescent="0.55000000000000004">
      <c r="A641" s="1078">
        <v>640</v>
      </c>
      <c r="B641" s="1078" t="s">
        <v>1720</v>
      </c>
      <c r="C641" s="1078" t="s">
        <v>7424</v>
      </c>
      <c r="D641" s="1078">
        <v>1780</v>
      </c>
      <c r="E641" s="1078">
        <v>10</v>
      </c>
      <c r="F641" s="1078">
        <v>5000</v>
      </c>
      <c r="G641" s="1078">
        <v>3220</v>
      </c>
      <c r="H641" s="1078" t="s">
        <v>1397</v>
      </c>
    </row>
    <row r="642" spans="1:8" ht="22.5" x14ac:dyDescent="0.55000000000000004">
      <c r="A642" s="1078">
        <v>641</v>
      </c>
      <c r="B642" s="1078" t="s">
        <v>1721</v>
      </c>
      <c r="C642" s="1078" t="s">
        <v>7425</v>
      </c>
      <c r="D642" s="1078">
        <v>600</v>
      </c>
      <c r="E642" s="1078">
        <v>2</v>
      </c>
      <c r="F642" s="1078">
        <v>1400</v>
      </c>
      <c r="G642" s="1078">
        <v>800</v>
      </c>
      <c r="H642" s="1078" t="s">
        <v>1397</v>
      </c>
    </row>
    <row r="643" spans="1:8" ht="22.5" x14ac:dyDescent="0.55000000000000004">
      <c r="A643" s="1078">
        <v>642</v>
      </c>
      <c r="B643" s="1078" t="s">
        <v>8114</v>
      </c>
      <c r="C643" s="1078" t="s">
        <v>8115</v>
      </c>
      <c r="D643" s="1078">
        <v>3000</v>
      </c>
      <c r="E643" s="1078">
        <v>5</v>
      </c>
      <c r="F643" s="1078">
        <v>4000</v>
      </c>
      <c r="G643" s="1078">
        <v>1000</v>
      </c>
      <c r="H643" s="1078" t="s">
        <v>1397</v>
      </c>
    </row>
    <row r="644" spans="1:8" ht="22.5" x14ac:dyDescent="0.55000000000000004">
      <c r="A644" s="1078">
        <v>643</v>
      </c>
      <c r="B644" s="1078" t="s">
        <v>8117</v>
      </c>
      <c r="C644" s="1078" t="s">
        <v>8118</v>
      </c>
      <c r="D644" s="1078">
        <v>12000</v>
      </c>
      <c r="E644" s="1078">
        <v>1</v>
      </c>
      <c r="F644" s="1078">
        <v>17000</v>
      </c>
      <c r="G644" s="1078">
        <v>5000</v>
      </c>
      <c r="H644" s="1078" t="s">
        <v>1397</v>
      </c>
    </row>
    <row r="645" spans="1:8" ht="22.5" x14ac:dyDescent="0.55000000000000004">
      <c r="A645" s="1078">
        <v>644</v>
      </c>
      <c r="B645" s="1078" t="s">
        <v>7960</v>
      </c>
      <c r="C645" s="1078" t="s">
        <v>7961</v>
      </c>
      <c r="D645" s="1078">
        <v>1450</v>
      </c>
      <c r="E645" s="1078">
        <v>3</v>
      </c>
      <c r="F645" s="1078">
        <v>2100</v>
      </c>
      <c r="G645" s="1078">
        <v>650</v>
      </c>
      <c r="H645" s="1078" t="s">
        <v>1397</v>
      </c>
    </row>
    <row r="646" spans="1:8" ht="22.5" x14ac:dyDescent="0.55000000000000004">
      <c r="A646" s="1078">
        <v>645</v>
      </c>
      <c r="B646" s="1078" t="s">
        <v>8141</v>
      </c>
      <c r="C646" s="1078" t="s">
        <v>8142</v>
      </c>
      <c r="D646" s="1078">
        <v>5500</v>
      </c>
      <c r="E646" s="1078">
        <v>1</v>
      </c>
      <c r="F646" s="1078">
        <v>7500</v>
      </c>
      <c r="G646" s="1078">
        <v>2000</v>
      </c>
      <c r="H646" s="1078" t="s">
        <v>1397</v>
      </c>
    </row>
    <row r="647" spans="1:8" ht="22.5" x14ac:dyDescent="0.55000000000000004">
      <c r="A647" s="1078">
        <v>646</v>
      </c>
      <c r="B647" s="1078" t="s">
        <v>8146</v>
      </c>
      <c r="C647" s="1078" t="s">
        <v>8147</v>
      </c>
      <c r="D647" s="1078">
        <v>800</v>
      </c>
      <c r="E647" s="1078">
        <v>1</v>
      </c>
      <c r="F647" s="1078">
        <v>1500</v>
      </c>
      <c r="G647" s="1078">
        <v>700</v>
      </c>
      <c r="H647" s="1078" t="s">
        <v>1397</v>
      </c>
    </row>
    <row r="648" spans="1:8" ht="22.5" x14ac:dyDescent="0.55000000000000004">
      <c r="A648" s="1078">
        <v>647</v>
      </c>
      <c r="B648" s="1078" t="s">
        <v>8152</v>
      </c>
      <c r="C648" s="1078" t="s">
        <v>8605</v>
      </c>
      <c r="D648" s="1078">
        <v>87000</v>
      </c>
      <c r="E648" s="1078">
        <v>1</v>
      </c>
      <c r="F648" s="1078">
        <v>110000</v>
      </c>
      <c r="G648" s="1078">
        <v>23000</v>
      </c>
      <c r="H648" s="1078" t="s">
        <v>1397</v>
      </c>
    </row>
    <row r="649" spans="1:8" ht="22.5" x14ac:dyDescent="0.55000000000000004">
      <c r="A649" s="1078">
        <v>648</v>
      </c>
      <c r="B649" s="1078" t="s">
        <v>8153</v>
      </c>
      <c r="C649" s="1078" t="s">
        <v>8154</v>
      </c>
      <c r="D649" s="1078">
        <v>1000</v>
      </c>
      <c r="E649" s="1078">
        <v>1</v>
      </c>
      <c r="F649" s="1078">
        <v>1500</v>
      </c>
      <c r="G649" s="1078">
        <v>500</v>
      </c>
      <c r="H649" s="1078" t="s">
        <v>1397</v>
      </c>
    </row>
    <row r="650" spans="1:8" ht="22.5" x14ac:dyDescent="0.55000000000000004">
      <c r="A650" s="1078">
        <v>649</v>
      </c>
      <c r="B650" s="1078" t="s">
        <v>8155</v>
      </c>
      <c r="C650" s="1078" t="s">
        <v>8156</v>
      </c>
      <c r="D650" s="1078">
        <v>2200</v>
      </c>
      <c r="E650" s="1078">
        <v>1</v>
      </c>
      <c r="F650" s="1078">
        <v>3500</v>
      </c>
      <c r="G650" s="1078">
        <v>1300</v>
      </c>
      <c r="H650" s="1078" t="s">
        <v>1397</v>
      </c>
    </row>
    <row r="651" spans="1:8" ht="22.5" x14ac:dyDescent="0.55000000000000004">
      <c r="A651" s="1078">
        <v>650</v>
      </c>
      <c r="B651" s="1078" t="s">
        <v>8157</v>
      </c>
      <c r="C651" s="1078" t="s">
        <v>8158</v>
      </c>
      <c r="D651" s="1078">
        <v>2800</v>
      </c>
      <c r="E651" s="1078">
        <v>2</v>
      </c>
      <c r="F651" s="1078">
        <v>4000</v>
      </c>
      <c r="G651" s="1078">
        <v>1200</v>
      </c>
      <c r="H651" s="1078" t="s">
        <v>1397</v>
      </c>
    </row>
    <row r="652" spans="1:8" ht="22.5" x14ac:dyDescent="0.55000000000000004">
      <c r="A652" s="1078">
        <v>651</v>
      </c>
      <c r="B652" s="1078" t="s">
        <v>8159</v>
      </c>
      <c r="C652" s="1078" t="s">
        <v>8160</v>
      </c>
      <c r="D652" s="1078">
        <v>1400</v>
      </c>
      <c r="E652" s="1078">
        <v>1</v>
      </c>
      <c r="F652" s="1078">
        <v>2500</v>
      </c>
      <c r="G652" s="1078">
        <v>1100</v>
      </c>
      <c r="H652" s="1078" t="s">
        <v>1397</v>
      </c>
    </row>
    <row r="653" spans="1:8" ht="22.5" x14ac:dyDescent="0.55000000000000004">
      <c r="A653" s="1078">
        <v>652</v>
      </c>
      <c r="B653" s="1078" t="s">
        <v>8161</v>
      </c>
      <c r="C653" s="1078" t="s">
        <v>8288</v>
      </c>
      <c r="D653" s="1078">
        <v>250</v>
      </c>
      <c r="E653" s="1078">
        <v>1</v>
      </c>
      <c r="F653" s="1078">
        <v>700</v>
      </c>
      <c r="G653" s="1078">
        <v>450</v>
      </c>
      <c r="H653" s="1078" t="s">
        <v>1397</v>
      </c>
    </row>
    <row r="654" spans="1:8" ht="22.5" x14ac:dyDescent="0.55000000000000004">
      <c r="A654" s="1078">
        <v>653</v>
      </c>
      <c r="B654" s="1078" t="s">
        <v>8433</v>
      </c>
      <c r="C654" s="1078" t="s">
        <v>8434</v>
      </c>
      <c r="D654" s="1078">
        <v>4600</v>
      </c>
      <c r="E654" s="1078">
        <v>2</v>
      </c>
      <c r="F654" s="1078">
        <v>6000</v>
      </c>
      <c r="G654" s="1078">
        <v>1400</v>
      </c>
      <c r="H654" s="1078" t="s">
        <v>1397</v>
      </c>
    </row>
    <row r="655" spans="1:8" ht="22.5" x14ac:dyDescent="0.55000000000000004">
      <c r="A655" s="1078">
        <v>654</v>
      </c>
      <c r="B655" s="1078" t="s">
        <v>8289</v>
      </c>
      <c r="C655" s="1078" t="s">
        <v>8290</v>
      </c>
      <c r="D655" s="1078">
        <v>19800</v>
      </c>
      <c r="E655" s="1078">
        <v>1</v>
      </c>
      <c r="F655" s="1078">
        <v>25000</v>
      </c>
      <c r="G655" s="1078">
        <v>5200</v>
      </c>
      <c r="H655" s="1078" t="s">
        <v>1397</v>
      </c>
    </row>
    <row r="656" spans="1:8" ht="22.5" x14ac:dyDescent="0.55000000000000004">
      <c r="A656" s="1078">
        <v>655</v>
      </c>
      <c r="B656" s="1078" t="s">
        <v>8291</v>
      </c>
      <c r="C656" s="1078" t="s">
        <v>8292</v>
      </c>
      <c r="D656" s="1078">
        <v>27400</v>
      </c>
      <c r="E656" s="1078">
        <v>4</v>
      </c>
      <c r="F656" s="1078">
        <v>32000</v>
      </c>
      <c r="G656" s="1078">
        <v>4600</v>
      </c>
      <c r="H656" s="1078" t="s">
        <v>1397</v>
      </c>
    </row>
    <row r="657" spans="1:8" ht="22.5" x14ac:dyDescent="0.55000000000000004">
      <c r="A657" s="1078">
        <v>656</v>
      </c>
      <c r="B657" s="1078" t="s">
        <v>6750</v>
      </c>
      <c r="C657" s="1078" t="s">
        <v>6751</v>
      </c>
      <c r="D657" s="1078">
        <v>850</v>
      </c>
      <c r="E657" s="1078">
        <v>1</v>
      </c>
      <c r="F657" s="1078">
        <v>2000</v>
      </c>
      <c r="G657" s="1078">
        <v>1150</v>
      </c>
      <c r="H657" s="1078" t="s">
        <v>1397</v>
      </c>
    </row>
    <row r="658" spans="1:8" ht="22.5" x14ac:dyDescent="0.55000000000000004">
      <c r="A658" s="1078">
        <v>657</v>
      </c>
      <c r="B658" s="1078" t="s">
        <v>8447</v>
      </c>
      <c r="C658" s="1078" t="s">
        <v>8606</v>
      </c>
      <c r="D658" s="1078">
        <v>3000</v>
      </c>
      <c r="E658" s="1078">
        <v>1</v>
      </c>
      <c r="F658" s="1078">
        <v>4500</v>
      </c>
      <c r="G658" s="1078">
        <v>1500</v>
      </c>
      <c r="H658" s="1078" t="s">
        <v>1397</v>
      </c>
    </row>
    <row r="659" spans="1:8" ht="22.5" x14ac:dyDescent="0.55000000000000004">
      <c r="A659" s="1078">
        <v>658</v>
      </c>
      <c r="B659" s="1078" t="s">
        <v>4959</v>
      </c>
      <c r="C659" s="1078" t="s">
        <v>4960</v>
      </c>
      <c r="D659" s="1078">
        <v>16700</v>
      </c>
      <c r="E659" s="1078">
        <v>2</v>
      </c>
      <c r="F659" s="1078">
        <v>22000</v>
      </c>
      <c r="G659" s="1078">
        <v>5300</v>
      </c>
      <c r="H659" s="1078" t="s">
        <v>1397</v>
      </c>
    </row>
    <row r="660" spans="1:8" ht="22.5" x14ac:dyDescent="0.55000000000000004">
      <c r="A660" s="1078">
        <v>659</v>
      </c>
      <c r="B660" s="1078" t="s">
        <v>8451</v>
      </c>
      <c r="C660" s="1078" t="s">
        <v>8452</v>
      </c>
      <c r="D660" s="1078">
        <v>800</v>
      </c>
      <c r="E660" s="1078">
        <v>1</v>
      </c>
      <c r="F660" s="1078">
        <v>1500</v>
      </c>
      <c r="G660" s="1078">
        <v>700</v>
      </c>
      <c r="H660" s="1078" t="s">
        <v>1397</v>
      </c>
    </row>
    <row r="661" spans="1:8" ht="22.5" x14ac:dyDescent="0.55000000000000004">
      <c r="A661" s="1078">
        <v>660</v>
      </c>
      <c r="B661" s="1078" t="s">
        <v>8298</v>
      </c>
      <c r="C661" s="1078" t="s">
        <v>8299</v>
      </c>
      <c r="D661" s="1078">
        <v>13500</v>
      </c>
      <c r="E661" s="1078">
        <v>1</v>
      </c>
      <c r="F661" s="1078">
        <v>18500</v>
      </c>
      <c r="G661" s="1078">
        <v>5000</v>
      </c>
      <c r="H661" s="1078" t="s">
        <v>1397</v>
      </c>
    </row>
    <row r="662" spans="1:8" ht="22.5" x14ac:dyDescent="0.55000000000000004">
      <c r="A662" s="1078">
        <v>661</v>
      </c>
      <c r="B662" s="1078" t="s">
        <v>8302</v>
      </c>
      <c r="C662" s="1078" t="s">
        <v>8303</v>
      </c>
      <c r="D662" s="1078">
        <v>3000</v>
      </c>
      <c r="E662" s="1078">
        <v>2</v>
      </c>
      <c r="F662" s="1078">
        <v>5000</v>
      </c>
      <c r="G662" s="1078">
        <v>2000</v>
      </c>
      <c r="H662" s="1078" t="s">
        <v>1397</v>
      </c>
    </row>
    <row r="663" spans="1:8" ht="22.5" x14ac:dyDescent="0.55000000000000004">
      <c r="A663" s="1078">
        <v>662</v>
      </c>
      <c r="B663" s="1078" t="s">
        <v>8304</v>
      </c>
      <c r="C663" s="1078" t="s">
        <v>8305</v>
      </c>
      <c r="D663" s="1078">
        <v>3000</v>
      </c>
      <c r="E663" s="1078">
        <v>1</v>
      </c>
      <c r="F663" s="1078">
        <v>5000</v>
      </c>
      <c r="G663" s="1078">
        <v>2000</v>
      </c>
      <c r="H663" s="1078" t="s">
        <v>1397</v>
      </c>
    </row>
    <row r="664" spans="1:8" ht="22.5" x14ac:dyDescent="0.55000000000000004">
      <c r="A664" s="1078">
        <v>663</v>
      </c>
      <c r="B664" s="1078" t="s">
        <v>8306</v>
      </c>
      <c r="C664" s="1078" t="s">
        <v>8307</v>
      </c>
      <c r="D664" s="1078">
        <v>600</v>
      </c>
      <c r="E664" s="1078">
        <v>1</v>
      </c>
      <c r="F664" s="1078">
        <v>1000</v>
      </c>
      <c r="G664" s="1078">
        <v>400</v>
      </c>
      <c r="H664" s="1078" t="s">
        <v>1397</v>
      </c>
    </row>
    <row r="665" spans="1:8" ht="22.5" x14ac:dyDescent="0.55000000000000004">
      <c r="A665" s="1078">
        <v>664</v>
      </c>
      <c r="B665" s="1078" t="s">
        <v>8321</v>
      </c>
      <c r="C665" s="1078" t="s">
        <v>8607</v>
      </c>
      <c r="D665" s="1078">
        <v>110000</v>
      </c>
      <c r="E665" s="1078">
        <v>1</v>
      </c>
      <c r="F665" s="1078">
        <v>135000</v>
      </c>
      <c r="G665" s="1078">
        <v>25000</v>
      </c>
      <c r="H665" s="1078" t="s">
        <v>1397</v>
      </c>
    </row>
    <row r="666" spans="1:8" ht="22.5" x14ac:dyDescent="0.55000000000000004">
      <c r="A666" s="1078">
        <v>665</v>
      </c>
      <c r="B666" s="1078" t="s">
        <v>8322</v>
      </c>
      <c r="C666" s="1078" t="s">
        <v>8323</v>
      </c>
      <c r="D666" s="1078">
        <v>2500</v>
      </c>
      <c r="E666" s="1078">
        <v>1</v>
      </c>
      <c r="F666" s="1078">
        <v>4000</v>
      </c>
      <c r="G666" s="1078">
        <v>1500</v>
      </c>
      <c r="H666" s="1078" t="s">
        <v>1397</v>
      </c>
    </row>
    <row r="667" spans="1:8" ht="22.5" x14ac:dyDescent="0.55000000000000004">
      <c r="A667" s="1078">
        <v>666</v>
      </c>
      <c r="B667" s="1078" t="s">
        <v>8468</v>
      </c>
      <c r="C667" s="1078" t="s">
        <v>8608</v>
      </c>
      <c r="D667" s="1078">
        <v>500000</v>
      </c>
      <c r="E667" s="1078">
        <v>1</v>
      </c>
      <c r="F667" s="1078">
        <v>560000</v>
      </c>
      <c r="G667" s="1078">
        <v>60000</v>
      </c>
      <c r="H667" s="1078" t="s">
        <v>1397</v>
      </c>
    </row>
    <row r="668" spans="1:8" ht="22.5" x14ac:dyDescent="0.55000000000000004">
      <c r="A668" s="1078">
        <v>667</v>
      </c>
      <c r="B668" s="1078" t="s">
        <v>8471</v>
      </c>
      <c r="C668" s="1078" t="s">
        <v>8472</v>
      </c>
      <c r="D668" s="1078">
        <v>5000</v>
      </c>
      <c r="E668" s="1078">
        <v>2</v>
      </c>
      <c r="F668" s="1078">
        <v>6000</v>
      </c>
      <c r="G668" s="1078">
        <v>1000</v>
      </c>
      <c r="H668" s="1078" t="s">
        <v>1397</v>
      </c>
    </row>
    <row r="669" spans="1:8" ht="22.5" x14ac:dyDescent="0.55000000000000004">
      <c r="A669" s="1078">
        <v>668</v>
      </c>
      <c r="B669" s="1078" t="s">
        <v>8609</v>
      </c>
      <c r="C669" s="1078" t="s">
        <v>8610</v>
      </c>
      <c r="D669" s="1078">
        <v>5500</v>
      </c>
      <c r="E669" s="1078">
        <v>1</v>
      </c>
      <c r="F669" s="1078">
        <v>7500</v>
      </c>
      <c r="G669" s="1078">
        <v>2000</v>
      </c>
      <c r="H669" s="1078" t="s">
        <v>1397</v>
      </c>
    </row>
    <row r="670" spans="1:8" ht="22.5" x14ac:dyDescent="0.55000000000000004">
      <c r="A670" s="1078">
        <v>669</v>
      </c>
      <c r="B670" s="1078" t="s">
        <v>8611</v>
      </c>
      <c r="C670" s="1078" t="s">
        <v>8612</v>
      </c>
      <c r="D670" s="1078">
        <v>13000</v>
      </c>
      <c r="E670" s="1078">
        <v>1</v>
      </c>
      <c r="F670" s="1078">
        <v>15000</v>
      </c>
      <c r="G670" s="1078">
        <v>2000</v>
      </c>
      <c r="H670" s="1078" t="s">
        <v>1397</v>
      </c>
    </row>
    <row r="671" spans="1:8" ht="22.5" x14ac:dyDescent="0.55000000000000004">
      <c r="A671" s="1078">
        <v>670</v>
      </c>
      <c r="B671" s="1078" t="s">
        <v>8613</v>
      </c>
      <c r="C671" s="1078" t="s">
        <v>8614</v>
      </c>
      <c r="D671" s="1078">
        <v>2400</v>
      </c>
      <c r="E671" s="1078">
        <v>2</v>
      </c>
      <c r="F671" s="1078">
        <v>4000</v>
      </c>
      <c r="G671" s="1078">
        <v>1600</v>
      </c>
      <c r="H671" s="1078" t="s">
        <v>1397</v>
      </c>
    </row>
    <row r="672" spans="1:8" ht="22.5" x14ac:dyDescent="0.55000000000000004">
      <c r="A672" s="1078">
        <v>671</v>
      </c>
      <c r="B672" s="1078" t="s">
        <v>8615</v>
      </c>
      <c r="C672" s="1078" t="s">
        <v>8616</v>
      </c>
      <c r="D672" s="1078">
        <v>16000</v>
      </c>
      <c r="E672" s="1078">
        <v>1</v>
      </c>
      <c r="F672" s="1078">
        <v>19000</v>
      </c>
      <c r="G672" s="1078">
        <v>3000</v>
      </c>
      <c r="H672" s="1078" t="s">
        <v>1397</v>
      </c>
    </row>
    <row r="673" spans="1:8" ht="22.5" x14ac:dyDescent="0.55000000000000004">
      <c r="A673" s="1078">
        <v>672</v>
      </c>
      <c r="B673" s="1078" t="s">
        <v>8617</v>
      </c>
      <c r="C673" s="1078" t="s">
        <v>8618</v>
      </c>
      <c r="D673" s="1078">
        <v>26000</v>
      </c>
      <c r="E673" s="1078">
        <v>1</v>
      </c>
      <c r="F673" s="1078">
        <v>33500</v>
      </c>
      <c r="G673" s="1078">
        <v>7500</v>
      </c>
      <c r="H673" s="1078" t="s">
        <v>1397</v>
      </c>
    </row>
    <row r="674" spans="1:8" ht="22.5" x14ac:dyDescent="0.55000000000000004">
      <c r="A674" s="1078">
        <v>673</v>
      </c>
      <c r="B674" s="1078" t="s">
        <v>8619</v>
      </c>
      <c r="C674" s="1078" t="s">
        <v>8620</v>
      </c>
      <c r="D674" s="1078">
        <v>6000</v>
      </c>
      <c r="E674" s="1078">
        <v>3</v>
      </c>
      <c r="F674" s="1078">
        <v>7500</v>
      </c>
      <c r="G674" s="1078">
        <v>1500</v>
      </c>
      <c r="H674" s="1078" t="s">
        <v>1397</v>
      </c>
    </row>
    <row r="675" spans="1:8" ht="22.5" x14ac:dyDescent="0.55000000000000004">
      <c r="A675" s="1078">
        <v>674</v>
      </c>
      <c r="B675" s="1078" t="s">
        <v>8621</v>
      </c>
      <c r="C675" s="1078" t="s">
        <v>8622</v>
      </c>
      <c r="D675" s="1078">
        <v>35000</v>
      </c>
      <c r="E675" s="1078">
        <v>1</v>
      </c>
      <c r="F675" s="1078">
        <v>40000</v>
      </c>
      <c r="G675" s="1078">
        <v>5000</v>
      </c>
      <c r="H675" s="1078" t="s">
        <v>1397</v>
      </c>
    </row>
    <row r="676" spans="1:8" ht="22.5" x14ac:dyDescent="0.55000000000000004">
      <c r="A676" s="1078">
        <v>675</v>
      </c>
      <c r="B676" s="1078" t="s">
        <v>1724</v>
      </c>
      <c r="C676" s="1078" t="s">
        <v>3294</v>
      </c>
      <c r="D676" s="1078">
        <v>2800</v>
      </c>
      <c r="E676" s="1078">
        <v>1</v>
      </c>
      <c r="F676" s="1078">
        <v>4000</v>
      </c>
      <c r="G676" s="1078">
        <v>1200</v>
      </c>
      <c r="H676" s="1078" t="s">
        <v>1397</v>
      </c>
    </row>
    <row r="677" spans="1:8" ht="22.5" x14ac:dyDescent="0.55000000000000004">
      <c r="A677" s="1078">
        <v>676</v>
      </c>
      <c r="B677" s="1078" t="s">
        <v>2445</v>
      </c>
      <c r="C677" s="1078" t="s">
        <v>7962</v>
      </c>
      <c r="D677" s="1078">
        <v>7900</v>
      </c>
      <c r="E677" s="1078">
        <v>1</v>
      </c>
      <c r="F677" s="1078">
        <v>10000</v>
      </c>
      <c r="G677" s="1078">
        <v>2100</v>
      </c>
      <c r="H677" s="1078" t="s">
        <v>1397</v>
      </c>
    </row>
    <row r="678" spans="1:8" ht="22.5" x14ac:dyDescent="0.55000000000000004">
      <c r="A678" s="1078">
        <v>677</v>
      </c>
      <c r="B678" s="1078" t="s">
        <v>6400</v>
      </c>
      <c r="C678" s="1078" t="s">
        <v>6604</v>
      </c>
      <c r="D678" s="1078">
        <v>2550</v>
      </c>
      <c r="E678" s="1078">
        <v>1</v>
      </c>
      <c r="F678" s="1078">
        <v>3500</v>
      </c>
      <c r="G678" s="1078">
        <v>950</v>
      </c>
      <c r="H678" s="1078" t="s">
        <v>1397</v>
      </c>
    </row>
    <row r="679" spans="1:8" ht="22.5" x14ac:dyDescent="0.55000000000000004">
      <c r="A679" s="1078">
        <v>678</v>
      </c>
      <c r="B679" s="1078" t="s">
        <v>6401</v>
      </c>
      <c r="C679" s="1078" t="s">
        <v>8328</v>
      </c>
      <c r="D679" s="1078">
        <v>8800</v>
      </c>
      <c r="E679" s="1078">
        <v>1</v>
      </c>
      <c r="F679" s="1078">
        <v>11700</v>
      </c>
      <c r="G679" s="1078">
        <v>2900</v>
      </c>
      <c r="H679" s="1078" t="s">
        <v>1397</v>
      </c>
    </row>
    <row r="680" spans="1:8" ht="22.5" x14ac:dyDescent="0.55000000000000004">
      <c r="A680" s="1078">
        <v>679</v>
      </c>
      <c r="B680" s="1078" t="s">
        <v>4976</v>
      </c>
      <c r="C680" s="1078" t="s">
        <v>4977</v>
      </c>
      <c r="D680" s="1078">
        <v>210</v>
      </c>
      <c r="E680" s="1078">
        <v>3</v>
      </c>
      <c r="F680" s="1078">
        <v>900</v>
      </c>
      <c r="G680" s="1078">
        <v>690</v>
      </c>
      <c r="H680" s="1078" t="s">
        <v>1397</v>
      </c>
    </row>
    <row r="681" spans="1:8" ht="22.5" x14ac:dyDescent="0.55000000000000004">
      <c r="A681" s="1078">
        <v>680</v>
      </c>
      <c r="B681" s="1078" t="s">
        <v>1725</v>
      </c>
      <c r="C681" s="1078" t="s">
        <v>978</v>
      </c>
      <c r="D681" s="1078">
        <v>720</v>
      </c>
      <c r="E681" s="1078">
        <v>6</v>
      </c>
      <c r="F681" s="1078">
        <v>1200</v>
      </c>
      <c r="G681" s="1078">
        <v>480</v>
      </c>
      <c r="H681" s="1078" t="s">
        <v>1397</v>
      </c>
    </row>
    <row r="682" spans="1:8" ht="22.5" x14ac:dyDescent="0.55000000000000004">
      <c r="A682" s="1078">
        <v>681</v>
      </c>
      <c r="B682" s="1078" t="s">
        <v>1726</v>
      </c>
      <c r="C682" s="1078" t="s">
        <v>979</v>
      </c>
      <c r="D682" s="1078">
        <v>11170</v>
      </c>
      <c r="E682" s="1078">
        <v>56</v>
      </c>
      <c r="F682" s="1078">
        <v>16800</v>
      </c>
      <c r="G682" s="1078">
        <v>5630</v>
      </c>
      <c r="H682" s="1078" t="s">
        <v>1397</v>
      </c>
    </row>
    <row r="683" spans="1:8" ht="22.5" x14ac:dyDescent="0.55000000000000004">
      <c r="A683" s="1078">
        <v>682</v>
      </c>
      <c r="B683" s="1078" t="s">
        <v>1727</v>
      </c>
      <c r="C683" s="1078" t="s">
        <v>2515</v>
      </c>
      <c r="D683" s="1078">
        <v>16250</v>
      </c>
      <c r="E683" s="1078">
        <v>34</v>
      </c>
      <c r="F683" s="1078">
        <v>23800</v>
      </c>
      <c r="G683" s="1078">
        <v>7550</v>
      </c>
      <c r="H683" s="1078" t="s">
        <v>1397</v>
      </c>
    </row>
    <row r="684" spans="1:8" ht="22.5" x14ac:dyDescent="0.55000000000000004">
      <c r="A684" s="1078">
        <v>683</v>
      </c>
      <c r="B684" s="1078" t="s">
        <v>2516</v>
      </c>
      <c r="C684" s="1078" t="s">
        <v>2517</v>
      </c>
      <c r="D684" s="1078">
        <v>1545</v>
      </c>
      <c r="E684" s="1078">
        <v>3</v>
      </c>
      <c r="F684" s="1078">
        <v>2400</v>
      </c>
      <c r="G684" s="1078">
        <v>855</v>
      </c>
      <c r="H684" s="1078" t="s">
        <v>1397</v>
      </c>
    </row>
    <row r="685" spans="1:8" ht="22.5" x14ac:dyDescent="0.55000000000000004">
      <c r="A685" s="1078">
        <v>684</v>
      </c>
      <c r="B685" s="1078" t="s">
        <v>4980</v>
      </c>
      <c r="C685" s="1078" t="s">
        <v>4981</v>
      </c>
      <c r="D685" s="1078">
        <v>3000</v>
      </c>
      <c r="E685" s="1078">
        <v>1</v>
      </c>
      <c r="F685" s="1078">
        <v>4500</v>
      </c>
      <c r="G685" s="1078">
        <v>1500</v>
      </c>
      <c r="H685" s="1078" t="s">
        <v>1397</v>
      </c>
    </row>
    <row r="686" spans="1:8" ht="22.5" x14ac:dyDescent="0.55000000000000004">
      <c r="A686" s="1078">
        <v>685</v>
      </c>
      <c r="B686" s="1078" t="s">
        <v>3365</v>
      </c>
      <c r="C686" s="1078" t="s">
        <v>3366</v>
      </c>
      <c r="D686" s="1078">
        <v>6250</v>
      </c>
      <c r="E686" s="1078">
        <v>1</v>
      </c>
      <c r="F686" s="1078">
        <v>9000</v>
      </c>
      <c r="G686" s="1078">
        <v>2750</v>
      </c>
      <c r="H686" s="1078" t="s">
        <v>1397</v>
      </c>
    </row>
    <row r="687" spans="1:8" ht="22.5" x14ac:dyDescent="0.55000000000000004">
      <c r="A687" s="1078">
        <v>686</v>
      </c>
      <c r="B687" s="1078" t="s">
        <v>1731</v>
      </c>
      <c r="C687" s="1078" t="s">
        <v>8331</v>
      </c>
      <c r="D687" s="1078">
        <v>4000</v>
      </c>
      <c r="E687" s="1078">
        <v>1</v>
      </c>
      <c r="F687" s="1078">
        <v>5000</v>
      </c>
      <c r="G687" s="1078">
        <v>1000</v>
      </c>
      <c r="H687" s="1078" t="s">
        <v>1397</v>
      </c>
    </row>
    <row r="688" spans="1:8" ht="22.5" x14ac:dyDescent="0.55000000000000004">
      <c r="A688" s="1078">
        <v>687</v>
      </c>
      <c r="B688" s="1078" t="s">
        <v>2890</v>
      </c>
      <c r="C688" s="1078" t="s">
        <v>2891</v>
      </c>
      <c r="D688" s="1078">
        <v>450</v>
      </c>
      <c r="E688" s="1078">
        <v>1</v>
      </c>
      <c r="F688" s="1078">
        <v>600</v>
      </c>
      <c r="G688" s="1078">
        <v>150</v>
      </c>
      <c r="H688" s="1078" t="s">
        <v>1397</v>
      </c>
    </row>
    <row r="689" spans="1:8" ht="22.5" x14ac:dyDescent="0.55000000000000004">
      <c r="A689" s="1078">
        <v>688</v>
      </c>
      <c r="B689" s="1078" t="s">
        <v>1734</v>
      </c>
      <c r="C689" s="1078" t="s">
        <v>6403</v>
      </c>
      <c r="D689" s="1078">
        <v>10800</v>
      </c>
      <c r="E689" s="1078">
        <v>2</v>
      </c>
      <c r="F689" s="1078">
        <v>14000</v>
      </c>
      <c r="G689" s="1078">
        <v>3200</v>
      </c>
      <c r="H689" s="1078" t="s">
        <v>1397</v>
      </c>
    </row>
    <row r="690" spans="1:8" ht="22.5" x14ac:dyDescent="0.55000000000000004">
      <c r="A690" s="1078">
        <v>689</v>
      </c>
      <c r="B690" s="1078" t="s">
        <v>5026</v>
      </c>
      <c r="C690" s="1078" t="s">
        <v>5027</v>
      </c>
      <c r="D690" s="1078">
        <v>1300</v>
      </c>
      <c r="E690" s="1078">
        <v>2</v>
      </c>
      <c r="F690" s="1078">
        <v>2400</v>
      </c>
      <c r="G690" s="1078">
        <v>1100</v>
      </c>
      <c r="H690" s="1078" t="s">
        <v>1397</v>
      </c>
    </row>
    <row r="691" spans="1:8" ht="22.5" x14ac:dyDescent="0.55000000000000004">
      <c r="A691" s="1078">
        <v>690</v>
      </c>
      <c r="B691" s="1078" t="s">
        <v>6404</v>
      </c>
      <c r="C691" s="1078" t="s">
        <v>6405</v>
      </c>
      <c r="D691" s="1078">
        <v>540</v>
      </c>
      <c r="E691" s="1078">
        <v>2</v>
      </c>
      <c r="F691" s="1078">
        <v>1000</v>
      </c>
      <c r="G691" s="1078">
        <v>460</v>
      </c>
      <c r="H691" s="1078" t="s">
        <v>1397</v>
      </c>
    </row>
    <row r="692" spans="1:8" ht="22.5" x14ac:dyDescent="0.55000000000000004">
      <c r="A692" s="1078">
        <v>691</v>
      </c>
      <c r="B692" s="1078" t="s">
        <v>5030</v>
      </c>
      <c r="C692" s="1078" t="s">
        <v>5031</v>
      </c>
      <c r="D692" s="1078">
        <v>8600</v>
      </c>
      <c r="E692" s="1078">
        <v>1</v>
      </c>
      <c r="F692" s="1078">
        <v>12000</v>
      </c>
      <c r="G692" s="1078">
        <v>3400</v>
      </c>
      <c r="H692" s="1078" t="s">
        <v>1397</v>
      </c>
    </row>
    <row r="693" spans="1:8" ht="22.5" x14ac:dyDescent="0.55000000000000004">
      <c r="A693" s="1078">
        <v>692</v>
      </c>
      <c r="B693" s="1078" t="s">
        <v>2892</v>
      </c>
      <c r="C693" s="1078" t="s">
        <v>6884</v>
      </c>
      <c r="D693" s="1078">
        <v>7500</v>
      </c>
      <c r="E693" s="1078">
        <v>1</v>
      </c>
      <c r="F693" s="1078">
        <v>9500</v>
      </c>
      <c r="G693" s="1078">
        <v>2000</v>
      </c>
      <c r="H693" s="1078" t="s">
        <v>1397</v>
      </c>
    </row>
    <row r="694" spans="1:8" ht="22.5" x14ac:dyDescent="0.55000000000000004">
      <c r="A694" s="1078">
        <v>693</v>
      </c>
      <c r="B694" s="1078" t="s">
        <v>3462</v>
      </c>
      <c r="C694" s="1078" t="s">
        <v>3463</v>
      </c>
      <c r="D694" s="1078">
        <v>550</v>
      </c>
      <c r="E694" s="1078">
        <v>1</v>
      </c>
      <c r="F694" s="1078">
        <v>1000</v>
      </c>
      <c r="G694" s="1078">
        <v>450</v>
      </c>
      <c r="H694" s="1078" t="s">
        <v>1397</v>
      </c>
    </row>
    <row r="695" spans="1:8" ht="22.5" x14ac:dyDescent="0.55000000000000004">
      <c r="A695" s="1078">
        <v>694</v>
      </c>
      <c r="B695" s="1078" t="s">
        <v>6506</v>
      </c>
      <c r="C695" s="1078" t="s">
        <v>6900</v>
      </c>
      <c r="D695" s="1078">
        <v>14800</v>
      </c>
      <c r="E695" s="1078">
        <v>1</v>
      </c>
      <c r="F695" s="1078">
        <v>15000</v>
      </c>
      <c r="G695" s="1078">
        <v>200</v>
      </c>
      <c r="H695" s="1078" t="s">
        <v>1397</v>
      </c>
    </row>
    <row r="696" spans="1:8" ht="22.5" x14ac:dyDescent="0.55000000000000004">
      <c r="A696" s="1078">
        <v>695</v>
      </c>
      <c r="B696" s="1078" t="s">
        <v>1738</v>
      </c>
      <c r="C696" s="1078" t="s">
        <v>1739</v>
      </c>
      <c r="D696" s="1078">
        <v>900</v>
      </c>
      <c r="E696" s="1078">
        <v>1</v>
      </c>
      <c r="F696" s="1078">
        <v>1500</v>
      </c>
      <c r="G696" s="1078">
        <v>600</v>
      </c>
      <c r="H696" s="1078" t="s">
        <v>1397</v>
      </c>
    </row>
    <row r="697" spans="1:8" ht="22.5" x14ac:dyDescent="0.55000000000000004">
      <c r="A697" s="1078">
        <v>696</v>
      </c>
      <c r="B697" s="1078" t="s">
        <v>1740</v>
      </c>
      <c r="C697" s="1078" t="s">
        <v>1741</v>
      </c>
      <c r="D697" s="1078">
        <v>3850</v>
      </c>
      <c r="E697" s="1078">
        <v>1</v>
      </c>
      <c r="F697" s="1078">
        <v>5000</v>
      </c>
      <c r="G697" s="1078">
        <v>1150</v>
      </c>
      <c r="H697" s="1078" t="s">
        <v>1397</v>
      </c>
    </row>
    <row r="698" spans="1:8" ht="22.5" x14ac:dyDescent="0.55000000000000004">
      <c r="A698" s="1078">
        <v>697</v>
      </c>
      <c r="B698" s="1078" t="s">
        <v>1745</v>
      </c>
      <c r="C698" s="1078" t="s">
        <v>6507</v>
      </c>
      <c r="D698" s="1078">
        <v>5560</v>
      </c>
      <c r="E698" s="1078">
        <v>4</v>
      </c>
      <c r="F698" s="1078">
        <v>9200</v>
      </c>
      <c r="G698" s="1078">
        <v>3640</v>
      </c>
      <c r="H698" s="1078" t="s">
        <v>1397</v>
      </c>
    </row>
    <row r="699" spans="1:8" ht="22.5" x14ac:dyDescent="0.55000000000000004">
      <c r="A699" s="1078">
        <v>698</v>
      </c>
      <c r="B699" s="1078" t="s">
        <v>1746</v>
      </c>
      <c r="C699" s="1078" t="s">
        <v>6886</v>
      </c>
      <c r="D699" s="1078">
        <v>3900</v>
      </c>
      <c r="E699" s="1078">
        <v>2</v>
      </c>
      <c r="F699" s="1078">
        <v>5000</v>
      </c>
      <c r="G699" s="1078">
        <v>1100</v>
      </c>
      <c r="H699" s="1078" t="s">
        <v>1397</v>
      </c>
    </row>
    <row r="700" spans="1:8" ht="22.5" x14ac:dyDescent="0.55000000000000004">
      <c r="A700" s="1078">
        <v>699</v>
      </c>
      <c r="B700" s="1078" t="s">
        <v>5053</v>
      </c>
      <c r="C700" s="1078" t="s">
        <v>7428</v>
      </c>
      <c r="D700" s="1078">
        <v>7000</v>
      </c>
      <c r="E700" s="1078">
        <v>1</v>
      </c>
      <c r="F700" s="1078">
        <v>10000</v>
      </c>
      <c r="G700" s="1078">
        <v>3000</v>
      </c>
      <c r="H700" s="1078" t="s">
        <v>1397</v>
      </c>
    </row>
    <row r="701" spans="1:8" ht="22.5" x14ac:dyDescent="0.55000000000000004">
      <c r="A701" s="1078">
        <v>700</v>
      </c>
      <c r="B701" s="1078" t="s">
        <v>5054</v>
      </c>
      <c r="C701" s="1078" t="s">
        <v>8623</v>
      </c>
      <c r="D701" s="1078">
        <v>78000</v>
      </c>
      <c r="E701" s="1078">
        <v>2</v>
      </c>
      <c r="F701" s="1078">
        <v>94000</v>
      </c>
      <c r="G701" s="1078">
        <v>16000</v>
      </c>
      <c r="H701" s="1078" t="s">
        <v>1397</v>
      </c>
    </row>
    <row r="702" spans="1:8" ht="22.5" x14ac:dyDescent="0.55000000000000004">
      <c r="A702" s="1078">
        <v>701</v>
      </c>
      <c r="B702" s="1078" t="s">
        <v>2518</v>
      </c>
      <c r="C702" s="1078" t="s">
        <v>2519</v>
      </c>
      <c r="D702" s="1078">
        <v>5712</v>
      </c>
      <c r="E702" s="1078">
        <v>16</v>
      </c>
      <c r="F702" s="1078">
        <v>11200</v>
      </c>
      <c r="G702" s="1078">
        <v>5488</v>
      </c>
      <c r="H702" s="1078" t="s">
        <v>1397</v>
      </c>
    </row>
    <row r="703" spans="1:8" ht="22.5" x14ac:dyDescent="0.55000000000000004">
      <c r="A703" s="1078">
        <v>702</v>
      </c>
      <c r="B703" s="1078" t="s">
        <v>1747</v>
      </c>
      <c r="C703" s="1078" t="s">
        <v>1748</v>
      </c>
      <c r="D703" s="1078">
        <v>3780</v>
      </c>
      <c r="E703" s="1078">
        <v>6</v>
      </c>
      <c r="F703" s="1078">
        <v>4800</v>
      </c>
      <c r="G703" s="1078">
        <v>1020</v>
      </c>
      <c r="H703" s="1078" t="s">
        <v>1397</v>
      </c>
    </row>
    <row r="704" spans="1:8" ht="22.5" x14ac:dyDescent="0.55000000000000004">
      <c r="A704" s="1078">
        <v>703</v>
      </c>
      <c r="B704" s="1078" t="s">
        <v>1749</v>
      </c>
      <c r="C704" s="1078" t="s">
        <v>1750</v>
      </c>
      <c r="D704" s="1078">
        <v>7000</v>
      </c>
      <c r="E704" s="1078">
        <v>18</v>
      </c>
      <c r="F704" s="1078">
        <v>18000</v>
      </c>
      <c r="G704" s="1078">
        <v>11000</v>
      </c>
      <c r="H704" s="1078" t="s">
        <v>1397</v>
      </c>
    </row>
    <row r="705" spans="1:8" ht="22.5" x14ac:dyDescent="0.55000000000000004">
      <c r="A705" s="1078">
        <v>704</v>
      </c>
      <c r="B705" s="1078" t="s">
        <v>1752</v>
      </c>
      <c r="C705" s="1078" t="s">
        <v>1753</v>
      </c>
      <c r="D705" s="1078">
        <v>1163</v>
      </c>
      <c r="E705" s="1078">
        <v>7</v>
      </c>
      <c r="F705" s="1078">
        <v>2100</v>
      </c>
      <c r="G705" s="1078">
        <v>937</v>
      </c>
      <c r="H705" s="1078" t="s">
        <v>1397</v>
      </c>
    </row>
    <row r="706" spans="1:8" ht="22.5" x14ac:dyDescent="0.55000000000000004">
      <c r="A706" s="1078">
        <v>705</v>
      </c>
      <c r="B706" s="1078" t="s">
        <v>1754</v>
      </c>
      <c r="C706" s="1078" t="s">
        <v>1755</v>
      </c>
      <c r="D706" s="1078">
        <v>700</v>
      </c>
      <c r="E706" s="1078">
        <v>2</v>
      </c>
      <c r="F706" s="1078">
        <v>1600</v>
      </c>
      <c r="G706" s="1078">
        <v>900</v>
      </c>
      <c r="H706" s="1078" t="s">
        <v>1397</v>
      </c>
    </row>
    <row r="707" spans="1:8" ht="22.5" x14ac:dyDescent="0.55000000000000004">
      <c r="A707" s="1078">
        <v>706</v>
      </c>
      <c r="B707" s="1078" t="s">
        <v>5062</v>
      </c>
      <c r="C707" s="1078" t="s">
        <v>6887</v>
      </c>
      <c r="D707" s="1078">
        <v>3223</v>
      </c>
      <c r="E707" s="1078">
        <v>11</v>
      </c>
      <c r="F707" s="1078">
        <v>5500</v>
      </c>
      <c r="G707" s="1078">
        <v>2277</v>
      </c>
      <c r="H707" s="1078" t="s">
        <v>1397</v>
      </c>
    </row>
    <row r="708" spans="1:8" ht="22.5" x14ac:dyDescent="0.55000000000000004">
      <c r="A708" s="1078">
        <v>707</v>
      </c>
      <c r="B708" s="1078" t="s">
        <v>3295</v>
      </c>
      <c r="C708" s="1078" t="s">
        <v>2831</v>
      </c>
      <c r="D708" s="1078">
        <v>102650</v>
      </c>
      <c r="E708" s="1078">
        <v>13</v>
      </c>
      <c r="F708" s="1078">
        <v>132500</v>
      </c>
      <c r="G708" s="1078">
        <v>29850</v>
      </c>
      <c r="H708" s="1078" t="s">
        <v>1397</v>
      </c>
    </row>
    <row r="709" spans="1:8" ht="22.5" x14ac:dyDescent="0.55000000000000004">
      <c r="A709" s="1078">
        <v>708</v>
      </c>
      <c r="B709" s="1078" t="s">
        <v>5072</v>
      </c>
      <c r="C709" s="1078" t="s">
        <v>5073</v>
      </c>
      <c r="D709" s="1078">
        <v>6800</v>
      </c>
      <c r="E709" s="1078">
        <v>1</v>
      </c>
      <c r="F709" s="1078">
        <v>8000</v>
      </c>
      <c r="G709" s="1078">
        <v>1200</v>
      </c>
      <c r="H709" s="1078" t="s">
        <v>1397</v>
      </c>
    </row>
    <row r="710" spans="1:8" ht="22.5" x14ac:dyDescent="0.55000000000000004">
      <c r="A710" s="1078">
        <v>709</v>
      </c>
      <c r="B710" s="1078" t="s">
        <v>3367</v>
      </c>
      <c r="C710" s="1078" t="s">
        <v>3368</v>
      </c>
      <c r="D710" s="1078">
        <v>6900</v>
      </c>
      <c r="E710" s="1078">
        <v>1</v>
      </c>
      <c r="F710" s="1078">
        <v>9000</v>
      </c>
      <c r="G710" s="1078">
        <v>2100</v>
      </c>
      <c r="H710" s="1078" t="s">
        <v>1397</v>
      </c>
    </row>
    <row r="711" spans="1:8" ht="22.5" x14ac:dyDescent="0.55000000000000004">
      <c r="A711" s="1078">
        <v>710</v>
      </c>
      <c r="B711" s="1078" t="s">
        <v>1769</v>
      </c>
      <c r="C711" s="1078" t="s">
        <v>6889</v>
      </c>
      <c r="D711" s="1078">
        <v>2200</v>
      </c>
      <c r="E711" s="1078">
        <v>1</v>
      </c>
      <c r="F711" s="1078">
        <v>3000</v>
      </c>
      <c r="G711" s="1078">
        <v>800</v>
      </c>
      <c r="H711" s="1078" t="s">
        <v>1397</v>
      </c>
    </row>
    <row r="712" spans="1:8" ht="22.5" x14ac:dyDescent="0.55000000000000004">
      <c r="A712" s="1078">
        <v>711</v>
      </c>
      <c r="B712" s="1078" t="s">
        <v>6508</v>
      </c>
      <c r="C712" s="1078" t="s">
        <v>6509</v>
      </c>
      <c r="D712" s="1078">
        <v>800</v>
      </c>
      <c r="E712" s="1078">
        <v>1</v>
      </c>
      <c r="F712" s="1078">
        <v>1500</v>
      </c>
      <c r="G712" s="1078">
        <v>700</v>
      </c>
      <c r="H712" s="1078" t="s">
        <v>1397</v>
      </c>
    </row>
    <row r="713" spans="1:8" ht="22.5" x14ac:dyDescent="0.55000000000000004">
      <c r="A713" s="1078">
        <v>712</v>
      </c>
      <c r="B713" s="1078" t="s">
        <v>2373</v>
      </c>
      <c r="C713" s="1078" t="s">
        <v>6608</v>
      </c>
      <c r="D713" s="1078">
        <v>1500</v>
      </c>
      <c r="E713" s="1078">
        <v>2</v>
      </c>
      <c r="F713" s="1078">
        <v>2400</v>
      </c>
      <c r="G713" s="1078">
        <v>900</v>
      </c>
      <c r="H713" s="1078" t="s">
        <v>1397</v>
      </c>
    </row>
    <row r="714" spans="1:8" ht="22.5" x14ac:dyDescent="0.55000000000000004">
      <c r="A714" s="1078">
        <v>713</v>
      </c>
      <c r="B714" s="1078" t="s">
        <v>5089</v>
      </c>
      <c r="C714" s="1078" t="s">
        <v>7185</v>
      </c>
      <c r="D714" s="1078">
        <v>1200</v>
      </c>
      <c r="E714" s="1078">
        <v>2</v>
      </c>
      <c r="F714" s="1078">
        <v>3000</v>
      </c>
      <c r="G714" s="1078">
        <v>1800</v>
      </c>
      <c r="H714" s="1078" t="s">
        <v>1397</v>
      </c>
    </row>
    <row r="715" spans="1:8" ht="22.5" x14ac:dyDescent="0.55000000000000004">
      <c r="A715" s="1078">
        <v>714</v>
      </c>
      <c r="B715" s="1078" t="s">
        <v>5099</v>
      </c>
      <c r="C715" s="1078" t="s">
        <v>5100</v>
      </c>
      <c r="D715" s="1078">
        <v>1500</v>
      </c>
      <c r="E715" s="1078">
        <v>5</v>
      </c>
      <c r="F715" s="1078">
        <v>3000</v>
      </c>
      <c r="G715" s="1078">
        <v>1500</v>
      </c>
      <c r="H715" s="1078" t="s">
        <v>1397</v>
      </c>
    </row>
    <row r="716" spans="1:8" ht="22.5" x14ac:dyDescent="0.55000000000000004">
      <c r="A716" s="1078">
        <v>715</v>
      </c>
      <c r="B716" s="1078" t="s">
        <v>8624</v>
      </c>
      <c r="C716" s="1078" t="s">
        <v>8625</v>
      </c>
      <c r="D716" s="1078">
        <v>1600</v>
      </c>
      <c r="E716" s="1078">
        <v>3</v>
      </c>
      <c r="F716" s="1078">
        <v>2200</v>
      </c>
      <c r="G716" s="1078">
        <v>600</v>
      </c>
      <c r="H716" s="1078" t="s">
        <v>1397</v>
      </c>
    </row>
    <row r="717" spans="1:8" ht="22.5" x14ac:dyDescent="0.55000000000000004">
      <c r="A717" s="1078">
        <v>716</v>
      </c>
      <c r="B717" s="1078" t="s">
        <v>1772</v>
      </c>
      <c r="C717" s="1078" t="s">
        <v>7432</v>
      </c>
      <c r="D717" s="1078">
        <v>1200</v>
      </c>
      <c r="E717" s="1078">
        <v>2</v>
      </c>
      <c r="F717" s="1078">
        <v>2300</v>
      </c>
      <c r="G717" s="1078">
        <v>1100</v>
      </c>
      <c r="H717" s="1078" t="s">
        <v>1397</v>
      </c>
    </row>
    <row r="718" spans="1:8" ht="22.5" x14ac:dyDescent="0.55000000000000004">
      <c r="A718" s="1078">
        <v>717</v>
      </c>
      <c r="B718" s="1078" t="s">
        <v>5101</v>
      </c>
      <c r="C718" s="1078" t="s">
        <v>5102</v>
      </c>
      <c r="D718" s="1078">
        <v>850</v>
      </c>
      <c r="E718" s="1078">
        <v>1</v>
      </c>
      <c r="F718" s="1078">
        <v>1900</v>
      </c>
      <c r="G718" s="1078">
        <v>1050</v>
      </c>
      <c r="H718" s="1078" t="s">
        <v>1397</v>
      </c>
    </row>
    <row r="719" spans="1:8" ht="22.5" x14ac:dyDescent="0.55000000000000004">
      <c r="A719" s="1078">
        <v>718</v>
      </c>
      <c r="B719" s="1078" t="s">
        <v>2043</v>
      </c>
      <c r="C719" s="1078" t="s">
        <v>2044</v>
      </c>
      <c r="D719" s="1078">
        <v>1000</v>
      </c>
      <c r="E719" s="1078">
        <v>1</v>
      </c>
      <c r="F719" s="1078">
        <v>1500</v>
      </c>
      <c r="G719" s="1078">
        <v>500</v>
      </c>
      <c r="H719" s="1078" t="s">
        <v>1397</v>
      </c>
    </row>
    <row r="720" spans="1:8" ht="22.5" x14ac:dyDescent="0.55000000000000004">
      <c r="A720" s="1078">
        <v>719</v>
      </c>
      <c r="B720" s="1078" t="s">
        <v>1777</v>
      </c>
      <c r="C720" s="1078" t="s">
        <v>1778</v>
      </c>
      <c r="D720" s="1078">
        <v>1900</v>
      </c>
      <c r="E720" s="1078">
        <v>2</v>
      </c>
      <c r="F720" s="1078">
        <v>4000</v>
      </c>
      <c r="G720" s="1078">
        <v>2100</v>
      </c>
      <c r="H720" s="1078" t="s">
        <v>1397</v>
      </c>
    </row>
    <row r="721" spans="1:8" ht="22.5" x14ac:dyDescent="0.55000000000000004">
      <c r="A721" s="1078">
        <v>720</v>
      </c>
      <c r="B721" s="1078" t="s">
        <v>1779</v>
      </c>
      <c r="C721" s="1078" t="s">
        <v>1780</v>
      </c>
      <c r="D721" s="1078">
        <v>2750</v>
      </c>
      <c r="E721" s="1078">
        <v>2</v>
      </c>
      <c r="F721" s="1078">
        <v>4000</v>
      </c>
      <c r="G721" s="1078">
        <v>1250</v>
      </c>
      <c r="H721" s="1078" t="s">
        <v>1397</v>
      </c>
    </row>
    <row r="722" spans="1:8" ht="22.5" x14ac:dyDescent="0.55000000000000004">
      <c r="A722" s="1078">
        <v>721</v>
      </c>
      <c r="B722" s="1078" t="s">
        <v>1781</v>
      </c>
      <c r="C722" s="1078" t="s">
        <v>1782</v>
      </c>
      <c r="D722" s="1078">
        <v>1000</v>
      </c>
      <c r="E722" s="1078">
        <v>2</v>
      </c>
      <c r="F722" s="1078">
        <v>2000</v>
      </c>
      <c r="G722" s="1078">
        <v>1000</v>
      </c>
      <c r="H722" s="1078" t="s">
        <v>1397</v>
      </c>
    </row>
    <row r="723" spans="1:8" ht="22.5" x14ac:dyDescent="0.55000000000000004">
      <c r="A723" s="1078">
        <v>722</v>
      </c>
      <c r="B723" s="1078" t="s">
        <v>2893</v>
      </c>
      <c r="C723" s="1078" t="s">
        <v>7433</v>
      </c>
      <c r="D723" s="1078">
        <v>4000</v>
      </c>
      <c r="E723" s="1078">
        <v>1</v>
      </c>
      <c r="F723" s="1078">
        <v>6000</v>
      </c>
      <c r="G723" s="1078">
        <v>2000</v>
      </c>
      <c r="H723" s="1078" t="s">
        <v>1397</v>
      </c>
    </row>
    <row r="724" spans="1:8" ht="22.5" x14ac:dyDescent="0.55000000000000004">
      <c r="A724" s="1078">
        <v>723</v>
      </c>
      <c r="B724" s="1078" t="s">
        <v>5113</v>
      </c>
      <c r="C724" s="1078" t="s">
        <v>5114</v>
      </c>
      <c r="D724" s="1078">
        <v>6000</v>
      </c>
      <c r="E724" s="1078">
        <v>1</v>
      </c>
      <c r="F724" s="1078">
        <v>7500</v>
      </c>
      <c r="G724" s="1078">
        <v>1500</v>
      </c>
      <c r="H724" s="1078" t="s">
        <v>1397</v>
      </c>
    </row>
    <row r="725" spans="1:8" ht="22.5" x14ac:dyDescent="0.55000000000000004">
      <c r="A725" s="1078">
        <v>724</v>
      </c>
      <c r="B725" s="1078" t="s">
        <v>1786</v>
      </c>
      <c r="C725" s="1078" t="s">
        <v>7434</v>
      </c>
      <c r="D725" s="1078">
        <v>450</v>
      </c>
      <c r="E725" s="1078">
        <v>1</v>
      </c>
      <c r="F725" s="1078">
        <v>1500</v>
      </c>
      <c r="G725" s="1078">
        <v>1050</v>
      </c>
      <c r="H725" s="1078" t="s">
        <v>1397</v>
      </c>
    </row>
    <row r="726" spans="1:8" ht="22.5" x14ac:dyDescent="0.55000000000000004">
      <c r="A726" s="1078">
        <v>725</v>
      </c>
      <c r="B726" s="1078" t="s">
        <v>1787</v>
      </c>
      <c r="C726" s="1078" t="s">
        <v>7435</v>
      </c>
      <c r="D726" s="1078">
        <v>8450</v>
      </c>
      <c r="E726" s="1078">
        <v>13</v>
      </c>
      <c r="F726" s="1078">
        <v>13000</v>
      </c>
      <c r="G726" s="1078">
        <v>4550</v>
      </c>
      <c r="H726" s="1078" t="s">
        <v>1397</v>
      </c>
    </row>
    <row r="727" spans="1:8" ht="22.5" x14ac:dyDescent="0.55000000000000004">
      <c r="A727" s="1078">
        <v>726</v>
      </c>
      <c r="B727" s="1078" t="s">
        <v>2894</v>
      </c>
      <c r="C727" s="1078" t="s">
        <v>7806</v>
      </c>
      <c r="D727" s="1078">
        <v>75000</v>
      </c>
      <c r="E727" s="1078">
        <v>1</v>
      </c>
      <c r="F727" s="1078">
        <v>97000</v>
      </c>
      <c r="G727" s="1078">
        <v>22000</v>
      </c>
      <c r="H727" s="1078" t="s">
        <v>1397</v>
      </c>
    </row>
    <row r="728" spans="1:8" ht="22.5" x14ac:dyDescent="0.55000000000000004">
      <c r="A728" s="1078">
        <v>727</v>
      </c>
      <c r="B728" s="1078" t="s">
        <v>5126</v>
      </c>
      <c r="C728" s="1078" t="s">
        <v>5127</v>
      </c>
      <c r="D728" s="1078">
        <v>8990</v>
      </c>
      <c r="E728" s="1078">
        <v>1</v>
      </c>
      <c r="F728" s="1078">
        <v>18000</v>
      </c>
      <c r="G728" s="1078">
        <v>9010</v>
      </c>
      <c r="H728" s="1078" t="s">
        <v>1397</v>
      </c>
    </row>
    <row r="729" spans="1:8" ht="22.5" x14ac:dyDescent="0.55000000000000004">
      <c r="A729" s="1078">
        <v>728</v>
      </c>
      <c r="B729" s="1078" t="s">
        <v>1789</v>
      </c>
      <c r="C729" s="1078" t="s">
        <v>1790</v>
      </c>
      <c r="D729" s="1078">
        <v>4200</v>
      </c>
      <c r="E729" s="1078">
        <v>4</v>
      </c>
      <c r="F729" s="1078">
        <v>6000</v>
      </c>
      <c r="G729" s="1078">
        <v>1800</v>
      </c>
      <c r="H729" s="1078" t="s">
        <v>1397</v>
      </c>
    </row>
    <row r="730" spans="1:8" ht="22.5" x14ac:dyDescent="0.55000000000000004">
      <c r="A730" s="1078">
        <v>729</v>
      </c>
      <c r="B730" s="1078" t="s">
        <v>1791</v>
      </c>
      <c r="C730" s="1078" t="s">
        <v>1792</v>
      </c>
      <c r="D730" s="1078">
        <v>2150</v>
      </c>
      <c r="E730" s="1078">
        <v>2</v>
      </c>
      <c r="F730" s="1078">
        <v>3400</v>
      </c>
      <c r="G730" s="1078">
        <v>1250</v>
      </c>
      <c r="H730" s="1078" t="s">
        <v>1397</v>
      </c>
    </row>
    <row r="731" spans="1:8" ht="22.5" x14ac:dyDescent="0.55000000000000004">
      <c r="A731" s="1078">
        <v>730</v>
      </c>
      <c r="B731" s="1078" t="s">
        <v>1793</v>
      </c>
      <c r="C731" s="1078" t="s">
        <v>1794</v>
      </c>
      <c r="D731" s="1078">
        <v>1000</v>
      </c>
      <c r="E731" s="1078">
        <v>1</v>
      </c>
      <c r="F731" s="1078">
        <v>1500</v>
      </c>
      <c r="G731" s="1078">
        <v>500</v>
      </c>
      <c r="H731" s="1078" t="s">
        <v>1397</v>
      </c>
    </row>
    <row r="732" spans="1:8" ht="22.5" x14ac:dyDescent="0.55000000000000004">
      <c r="A732" s="1078">
        <v>731</v>
      </c>
      <c r="B732" s="1078" t="s">
        <v>1797</v>
      </c>
      <c r="C732" s="1078" t="s">
        <v>1798</v>
      </c>
      <c r="D732" s="1078">
        <v>3800</v>
      </c>
      <c r="E732" s="1078">
        <v>2</v>
      </c>
      <c r="F732" s="1078">
        <v>4400</v>
      </c>
      <c r="G732" s="1078">
        <v>600</v>
      </c>
      <c r="H732" s="1078" t="s">
        <v>1397</v>
      </c>
    </row>
    <row r="733" spans="1:8" ht="22.5" x14ac:dyDescent="0.55000000000000004">
      <c r="A733" s="1078">
        <v>732</v>
      </c>
      <c r="B733" s="1078" t="s">
        <v>1799</v>
      </c>
      <c r="C733" s="1078" t="s">
        <v>1800</v>
      </c>
      <c r="D733" s="1078">
        <v>1550</v>
      </c>
      <c r="E733" s="1078">
        <v>1</v>
      </c>
      <c r="F733" s="1078">
        <v>3000</v>
      </c>
      <c r="G733" s="1078">
        <v>1450</v>
      </c>
      <c r="H733" s="1078" t="s">
        <v>1397</v>
      </c>
    </row>
    <row r="734" spans="1:8" ht="22.5" x14ac:dyDescent="0.55000000000000004">
      <c r="A734" s="1078">
        <v>733</v>
      </c>
      <c r="B734" s="1078" t="s">
        <v>1801</v>
      </c>
      <c r="C734" s="1078" t="s">
        <v>7436</v>
      </c>
      <c r="D734" s="1078">
        <v>330</v>
      </c>
      <c r="E734" s="1078">
        <v>11</v>
      </c>
      <c r="F734" s="1078">
        <v>700</v>
      </c>
      <c r="G734" s="1078">
        <v>370</v>
      </c>
      <c r="H734" s="1078" t="s">
        <v>1397</v>
      </c>
    </row>
    <row r="735" spans="1:8" ht="22.5" x14ac:dyDescent="0.55000000000000004">
      <c r="A735" s="1078">
        <v>734</v>
      </c>
      <c r="B735" s="1078" t="s">
        <v>1802</v>
      </c>
      <c r="C735" s="1079" t="s">
        <v>1803</v>
      </c>
      <c r="D735" s="1078">
        <v>140</v>
      </c>
      <c r="E735" s="1078">
        <v>10</v>
      </c>
      <c r="F735" s="1078">
        <v>500</v>
      </c>
      <c r="G735" s="1078">
        <v>360</v>
      </c>
      <c r="H735" s="1078" t="s">
        <v>1397</v>
      </c>
    </row>
    <row r="736" spans="1:8" ht="22.5" x14ac:dyDescent="0.55000000000000004">
      <c r="A736" s="1078">
        <v>735</v>
      </c>
      <c r="B736" s="1078" t="s">
        <v>1804</v>
      </c>
      <c r="C736" s="1078" t="s">
        <v>1805</v>
      </c>
      <c r="D736" s="1078">
        <v>1750</v>
      </c>
      <c r="E736" s="1078">
        <v>6</v>
      </c>
      <c r="F736" s="1078">
        <v>2400</v>
      </c>
      <c r="G736" s="1078">
        <v>650</v>
      </c>
      <c r="H736" s="1078" t="s">
        <v>1397</v>
      </c>
    </row>
    <row r="737" spans="1:8" ht="22.5" x14ac:dyDescent="0.55000000000000004">
      <c r="A737" s="1078">
        <v>736</v>
      </c>
      <c r="B737" s="1078" t="s">
        <v>6510</v>
      </c>
      <c r="C737" s="1078" t="s">
        <v>6511</v>
      </c>
      <c r="D737" s="1078">
        <v>672</v>
      </c>
      <c r="E737" s="1078">
        <v>2</v>
      </c>
      <c r="F737" s="1078">
        <v>1000</v>
      </c>
      <c r="G737" s="1078">
        <v>328</v>
      </c>
      <c r="H737" s="1078" t="s">
        <v>1397</v>
      </c>
    </row>
    <row r="738" spans="1:8" ht="22.5" x14ac:dyDescent="0.55000000000000004">
      <c r="A738" s="1078">
        <v>737</v>
      </c>
      <c r="B738" s="1078" t="s">
        <v>1806</v>
      </c>
      <c r="C738" s="1078" t="s">
        <v>1807</v>
      </c>
      <c r="D738" s="1078">
        <v>1050</v>
      </c>
      <c r="E738" s="1078">
        <v>3</v>
      </c>
      <c r="F738" s="1078">
        <v>1800</v>
      </c>
      <c r="G738" s="1078">
        <v>750</v>
      </c>
      <c r="H738" s="1078" t="s">
        <v>1397</v>
      </c>
    </row>
    <row r="739" spans="1:8" ht="22.5" x14ac:dyDescent="0.55000000000000004">
      <c r="A739" s="1078">
        <v>738</v>
      </c>
      <c r="B739" s="1078" t="s">
        <v>1808</v>
      </c>
      <c r="C739" s="1078" t="s">
        <v>1809</v>
      </c>
      <c r="D739" s="1078">
        <v>1450</v>
      </c>
      <c r="E739" s="1078">
        <v>1</v>
      </c>
      <c r="F739" s="1078">
        <v>2200</v>
      </c>
      <c r="G739" s="1078">
        <v>750</v>
      </c>
      <c r="H739" s="1078" t="s">
        <v>1397</v>
      </c>
    </row>
    <row r="740" spans="1:8" ht="22.5" x14ac:dyDescent="0.55000000000000004">
      <c r="A740" s="1078">
        <v>739</v>
      </c>
      <c r="B740" s="1078" t="s">
        <v>1811</v>
      </c>
      <c r="C740" s="1078" t="s">
        <v>1812</v>
      </c>
      <c r="D740" s="1078">
        <v>5000</v>
      </c>
      <c r="E740" s="1078">
        <v>4</v>
      </c>
      <c r="F740" s="1078">
        <v>8000</v>
      </c>
      <c r="G740" s="1078">
        <v>3000</v>
      </c>
      <c r="H740" s="1078" t="s">
        <v>1397</v>
      </c>
    </row>
    <row r="741" spans="1:8" ht="22.5" x14ac:dyDescent="0.55000000000000004">
      <c r="A741" s="1078">
        <v>740</v>
      </c>
      <c r="B741" s="1078" t="s">
        <v>1813</v>
      </c>
      <c r="C741" s="1078" t="s">
        <v>1814</v>
      </c>
      <c r="D741" s="1078">
        <v>850</v>
      </c>
      <c r="E741" s="1078">
        <v>1</v>
      </c>
      <c r="F741" s="1078">
        <v>2000</v>
      </c>
      <c r="G741" s="1078">
        <v>1150</v>
      </c>
      <c r="H741" s="1078" t="s">
        <v>1397</v>
      </c>
    </row>
    <row r="742" spans="1:8" ht="22.5" x14ac:dyDescent="0.55000000000000004">
      <c r="A742" s="1078">
        <v>741</v>
      </c>
      <c r="B742" s="1078" t="s">
        <v>1816</v>
      </c>
      <c r="C742" s="1078" t="s">
        <v>3298</v>
      </c>
      <c r="D742" s="1078">
        <v>2322</v>
      </c>
      <c r="E742" s="1078">
        <v>11</v>
      </c>
      <c r="F742" s="1078">
        <v>3850</v>
      </c>
      <c r="G742" s="1078">
        <v>1528</v>
      </c>
      <c r="H742" s="1078" t="s">
        <v>1397</v>
      </c>
    </row>
    <row r="743" spans="1:8" ht="22.5" x14ac:dyDescent="0.55000000000000004">
      <c r="A743" s="1078">
        <v>742</v>
      </c>
      <c r="B743" s="1078" t="s">
        <v>2895</v>
      </c>
      <c r="C743" s="1078" t="s">
        <v>2896</v>
      </c>
      <c r="D743" s="1078">
        <v>2600</v>
      </c>
      <c r="E743" s="1078">
        <v>2</v>
      </c>
      <c r="F743" s="1078">
        <v>3600</v>
      </c>
      <c r="G743" s="1078">
        <v>1000</v>
      </c>
      <c r="H743" s="1078" t="s">
        <v>1397</v>
      </c>
    </row>
    <row r="744" spans="1:8" ht="22.5" x14ac:dyDescent="0.55000000000000004">
      <c r="A744" s="1078">
        <v>743</v>
      </c>
      <c r="B744" s="1078" t="s">
        <v>2047</v>
      </c>
      <c r="C744" s="1078" t="s">
        <v>2048</v>
      </c>
      <c r="D744" s="1078">
        <v>5000</v>
      </c>
      <c r="E744" s="1078">
        <v>4</v>
      </c>
      <c r="F744" s="1078">
        <v>8000</v>
      </c>
      <c r="G744" s="1078">
        <v>3000</v>
      </c>
      <c r="H744" s="1078" t="s">
        <v>1397</v>
      </c>
    </row>
    <row r="745" spans="1:8" ht="22.5" x14ac:dyDescent="0.55000000000000004">
      <c r="A745" s="1078">
        <v>744</v>
      </c>
      <c r="B745" s="1078" t="s">
        <v>1817</v>
      </c>
      <c r="C745" s="1078" t="s">
        <v>1818</v>
      </c>
      <c r="D745" s="1078">
        <v>7335</v>
      </c>
      <c r="E745" s="1078">
        <v>5</v>
      </c>
      <c r="F745" s="1078">
        <v>11500</v>
      </c>
      <c r="G745" s="1078">
        <v>4165</v>
      </c>
      <c r="H745" s="1078" t="s">
        <v>1397</v>
      </c>
    </row>
    <row r="746" spans="1:8" ht="22.5" x14ac:dyDescent="0.55000000000000004">
      <c r="A746" s="1078">
        <v>745</v>
      </c>
      <c r="B746" s="1078" t="s">
        <v>1819</v>
      </c>
      <c r="C746" s="1079" t="s">
        <v>1820</v>
      </c>
      <c r="D746" s="1078">
        <v>220</v>
      </c>
      <c r="E746" s="1078">
        <v>1</v>
      </c>
      <c r="F746" s="1078">
        <v>500</v>
      </c>
      <c r="G746" s="1078">
        <v>280</v>
      </c>
      <c r="H746" s="1078" t="s">
        <v>1397</v>
      </c>
    </row>
    <row r="747" spans="1:8" ht="22.5" x14ac:dyDescent="0.55000000000000004">
      <c r="A747" s="1078">
        <v>746</v>
      </c>
      <c r="B747" s="1078" t="s">
        <v>5143</v>
      </c>
      <c r="C747" s="1078" t="s">
        <v>5144</v>
      </c>
      <c r="D747" s="1078">
        <v>12000</v>
      </c>
      <c r="E747" s="1078">
        <v>2</v>
      </c>
      <c r="F747" s="1078">
        <v>16000</v>
      </c>
      <c r="G747" s="1078">
        <v>4000</v>
      </c>
      <c r="H747" s="1078" t="s">
        <v>1397</v>
      </c>
    </row>
    <row r="748" spans="1:8" ht="22.5" x14ac:dyDescent="0.55000000000000004">
      <c r="A748" s="1078">
        <v>747</v>
      </c>
      <c r="B748" s="1078" t="s">
        <v>5145</v>
      </c>
      <c r="C748" s="1078" t="s">
        <v>5146</v>
      </c>
      <c r="D748" s="1078">
        <v>15993</v>
      </c>
      <c r="E748" s="1078">
        <v>1</v>
      </c>
      <c r="F748" s="1078">
        <v>36000</v>
      </c>
      <c r="G748" s="1078">
        <v>20007</v>
      </c>
      <c r="H748" s="1078" t="s">
        <v>1397</v>
      </c>
    </row>
    <row r="749" spans="1:8" ht="22.5" x14ac:dyDescent="0.55000000000000004">
      <c r="A749" s="1078">
        <v>748</v>
      </c>
      <c r="B749" s="1078" t="s">
        <v>5147</v>
      </c>
      <c r="C749" s="1078" t="s">
        <v>5148</v>
      </c>
      <c r="D749" s="1078">
        <v>10000</v>
      </c>
      <c r="E749" s="1078">
        <v>2</v>
      </c>
      <c r="F749" s="1078">
        <v>20400</v>
      </c>
      <c r="G749" s="1078">
        <v>10400</v>
      </c>
      <c r="H749" s="1078" t="s">
        <v>1397</v>
      </c>
    </row>
    <row r="750" spans="1:8" ht="22.5" x14ac:dyDescent="0.55000000000000004">
      <c r="A750" s="1078">
        <v>749</v>
      </c>
      <c r="B750" s="1078" t="s">
        <v>1825</v>
      </c>
      <c r="C750" s="1078" t="s">
        <v>1826</v>
      </c>
      <c r="D750" s="1078">
        <v>3300</v>
      </c>
      <c r="E750" s="1078">
        <v>3</v>
      </c>
      <c r="F750" s="1078">
        <v>4500</v>
      </c>
      <c r="G750" s="1078">
        <v>1200</v>
      </c>
      <c r="H750" s="1078" t="s">
        <v>1397</v>
      </c>
    </row>
    <row r="751" spans="1:8" ht="22.5" x14ac:dyDescent="0.55000000000000004">
      <c r="A751" s="1078">
        <v>750</v>
      </c>
      <c r="B751" s="1078" t="s">
        <v>1827</v>
      </c>
      <c r="C751" s="1078" t="s">
        <v>1828</v>
      </c>
      <c r="D751" s="1078">
        <v>1500</v>
      </c>
      <c r="E751" s="1078">
        <v>2</v>
      </c>
      <c r="F751" s="1078">
        <v>2700</v>
      </c>
      <c r="G751" s="1078">
        <v>1200</v>
      </c>
      <c r="H751" s="1078" t="s">
        <v>1397</v>
      </c>
    </row>
    <row r="752" spans="1:8" ht="22.5" x14ac:dyDescent="0.55000000000000004">
      <c r="A752" s="1078">
        <v>751</v>
      </c>
      <c r="B752" s="1078" t="s">
        <v>1829</v>
      </c>
      <c r="C752" s="1078" t="s">
        <v>1830</v>
      </c>
      <c r="D752" s="1078">
        <v>900</v>
      </c>
      <c r="E752" s="1078">
        <v>1</v>
      </c>
      <c r="F752" s="1078">
        <v>1800</v>
      </c>
      <c r="G752" s="1078">
        <v>900</v>
      </c>
      <c r="H752" s="1078" t="s">
        <v>1397</v>
      </c>
    </row>
    <row r="753" spans="1:8" ht="22.5" x14ac:dyDescent="0.55000000000000004">
      <c r="A753" s="1078">
        <v>752</v>
      </c>
      <c r="B753" s="1078" t="s">
        <v>1831</v>
      </c>
      <c r="C753" s="1078" t="s">
        <v>1832</v>
      </c>
      <c r="D753" s="1078">
        <v>1000</v>
      </c>
      <c r="E753" s="1078">
        <v>1</v>
      </c>
      <c r="F753" s="1078">
        <v>2300</v>
      </c>
      <c r="G753" s="1078">
        <v>1300</v>
      </c>
      <c r="H753" s="1078" t="s">
        <v>1397</v>
      </c>
    </row>
    <row r="754" spans="1:8" ht="22.5" x14ac:dyDescent="0.55000000000000004">
      <c r="A754" s="1078">
        <v>753</v>
      </c>
      <c r="B754" s="1078" t="s">
        <v>1833</v>
      </c>
      <c r="C754" s="1078" t="s">
        <v>1834</v>
      </c>
      <c r="D754" s="1078">
        <v>1700</v>
      </c>
      <c r="E754" s="1078">
        <v>1</v>
      </c>
      <c r="F754" s="1078">
        <v>2500</v>
      </c>
      <c r="G754" s="1078">
        <v>800</v>
      </c>
      <c r="H754" s="1078" t="s">
        <v>1397</v>
      </c>
    </row>
    <row r="755" spans="1:8" ht="22.5" x14ac:dyDescent="0.55000000000000004">
      <c r="A755" s="1078">
        <v>754</v>
      </c>
      <c r="B755" s="1078" t="s">
        <v>3189</v>
      </c>
      <c r="C755" s="1078" t="s">
        <v>7811</v>
      </c>
      <c r="D755" s="1078">
        <v>28255</v>
      </c>
      <c r="E755" s="1078">
        <v>4</v>
      </c>
      <c r="F755" s="1078">
        <v>34000</v>
      </c>
      <c r="G755" s="1078">
        <v>5745</v>
      </c>
      <c r="H755" s="1078" t="s">
        <v>1397</v>
      </c>
    </row>
    <row r="756" spans="1:8" ht="22.5" x14ac:dyDescent="0.55000000000000004">
      <c r="A756" s="1078">
        <v>755</v>
      </c>
      <c r="B756" s="1078" t="s">
        <v>3464</v>
      </c>
      <c r="C756" s="1078" t="s">
        <v>3465</v>
      </c>
      <c r="D756" s="1078">
        <v>9600</v>
      </c>
      <c r="E756" s="1078">
        <v>2</v>
      </c>
      <c r="F756" s="1078">
        <v>16400</v>
      </c>
      <c r="G756" s="1078">
        <v>6800</v>
      </c>
      <c r="H756" s="1078" t="s">
        <v>1397</v>
      </c>
    </row>
    <row r="757" spans="1:8" ht="22.5" x14ac:dyDescent="0.55000000000000004">
      <c r="A757" s="1078">
        <v>756</v>
      </c>
      <c r="B757" s="1078" t="s">
        <v>5157</v>
      </c>
      <c r="C757" s="1078" t="s">
        <v>5158</v>
      </c>
      <c r="D757" s="1078">
        <v>980</v>
      </c>
      <c r="E757" s="1078">
        <v>3</v>
      </c>
      <c r="F757" s="1078">
        <v>2100</v>
      </c>
      <c r="G757" s="1078">
        <v>1120</v>
      </c>
      <c r="H757" s="1078" t="s">
        <v>1397</v>
      </c>
    </row>
    <row r="758" spans="1:8" ht="22.5" x14ac:dyDescent="0.55000000000000004">
      <c r="A758" s="1078">
        <v>757</v>
      </c>
      <c r="B758" s="1078" t="s">
        <v>5161</v>
      </c>
      <c r="C758" s="1078" t="s">
        <v>5162</v>
      </c>
      <c r="D758" s="1078">
        <v>1850</v>
      </c>
      <c r="E758" s="1078">
        <v>1</v>
      </c>
      <c r="F758" s="1078">
        <v>3500</v>
      </c>
      <c r="G758" s="1078">
        <v>1650</v>
      </c>
      <c r="H758" s="1078" t="s">
        <v>1397</v>
      </c>
    </row>
    <row r="759" spans="1:8" ht="22.5" x14ac:dyDescent="0.55000000000000004">
      <c r="A759" s="1078">
        <v>758</v>
      </c>
      <c r="B759" s="1078" t="s">
        <v>7969</v>
      </c>
      <c r="C759" s="1078" t="s">
        <v>8334</v>
      </c>
      <c r="D759" s="1078">
        <v>183000</v>
      </c>
      <c r="E759" s="1078">
        <v>1</v>
      </c>
      <c r="F759" s="1078">
        <v>198000</v>
      </c>
      <c r="G759" s="1078">
        <v>15000</v>
      </c>
      <c r="H759" s="1078" t="s">
        <v>1397</v>
      </c>
    </row>
    <row r="760" spans="1:8" ht="22.5" x14ac:dyDescent="0.55000000000000004">
      <c r="A760" s="1078">
        <v>759</v>
      </c>
      <c r="B760" s="1078" t="s">
        <v>6204</v>
      </c>
      <c r="C760" s="1078" t="s">
        <v>8626</v>
      </c>
      <c r="D760" s="1078">
        <v>14500</v>
      </c>
      <c r="E760" s="1078">
        <v>1</v>
      </c>
      <c r="F760" s="1078">
        <v>35000</v>
      </c>
      <c r="G760" s="1078">
        <v>20500</v>
      </c>
      <c r="H760" s="1078" t="s">
        <v>1397</v>
      </c>
    </row>
    <row r="761" spans="1:8" ht="22.5" x14ac:dyDescent="0.55000000000000004">
      <c r="A761" s="1078">
        <v>760</v>
      </c>
      <c r="B761" s="1078" t="s">
        <v>5168</v>
      </c>
      <c r="C761" s="1078" t="s">
        <v>5169</v>
      </c>
      <c r="D761" s="1078">
        <v>300</v>
      </c>
      <c r="E761" s="1078">
        <v>1</v>
      </c>
      <c r="F761" s="1078">
        <v>800</v>
      </c>
      <c r="G761" s="1078">
        <v>500</v>
      </c>
      <c r="H761" s="1078" t="s">
        <v>1397</v>
      </c>
    </row>
    <row r="762" spans="1:8" ht="22.5" x14ac:dyDescent="0.55000000000000004">
      <c r="A762" s="1078">
        <v>761</v>
      </c>
      <c r="B762" s="1078" t="s">
        <v>6235</v>
      </c>
      <c r="C762" s="1078" t="s">
        <v>6236</v>
      </c>
      <c r="D762" s="1078">
        <v>600</v>
      </c>
      <c r="E762" s="1078">
        <v>1</v>
      </c>
      <c r="F762" s="1078">
        <v>1000</v>
      </c>
      <c r="G762" s="1078">
        <v>400</v>
      </c>
      <c r="H762" s="1078" t="s">
        <v>1397</v>
      </c>
    </row>
    <row r="763" spans="1:8" ht="22.5" x14ac:dyDescent="0.55000000000000004">
      <c r="A763" s="1078">
        <v>762</v>
      </c>
      <c r="B763" s="1078" t="s">
        <v>7439</v>
      </c>
      <c r="C763" s="1078" t="s">
        <v>7440</v>
      </c>
      <c r="D763" s="1078">
        <v>22000</v>
      </c>
      <c r="E763" s="1078">
        <v>4</v>
      </c>
      <c r="F763" s="1078">
        <v>28000</v>
      </c>
      <c r="G763" s="1078">
        <v>6000</v>
      </c>
      <c r="H763" s="1078" t="s">
        <v>1397</v>
      </c>
    </row>
    <row r="764" spans="1:8" ht="22.5" x14ac:dyDescent="0.55000000000000004">
      <c r="A764" s="1078">
        <v>763</v>
      </c>
      <c r="B764" s="1078" t="s">
        <v>6609</v>
      </c>
      <c r="C764" s="1078" t="s">
        <v>6610</v>
      </c>
      <c r="D764" s="1078">
        <v>15000</v>
      </c>
      <c r="E764" s="1078">
        <v>2</v>
      </c>
      <c r="F764" s="1078">
        <v>20000</v>
      </c>
      <c r="G764" s="1078">
        <v>5000</v>
      </c>
      <c r="H764" s="1078" t="s">
        <v>1397</v>
      </c>
    </row>
    <row r="765" spans="1:8" ht="22.5" x14ac:dyDescent="0.55000000000000004">
      <c r="A765" s="1078">
        <v>764</v>
      </c>
      <c r="B765" s="1078" t="s">
        <v>1848</v>
      </c>
      <c r="C765" s="1078" t="s">
        <v>8336</v>
      </c>
      <c r="D765" s="1078">
        <v>2000</v>
      </c>
      <c r="E765" s="1078">
        <v>1</v>
      </c>
      <c r="F765" s="1078">
        <v>3000</v>
      </c>
      <c r="G765" s="1078">
        <v>1000</v>
      </c>
      <c r="H765" s="1078" t="s">
        <v>1397</v>
      </c>
    </row>
    <row r="766" spans="1:8" ht="22.5" x14ac:dyDescent="0.55000000000000004">
      <c r="A766" s="1078">
        <v>765</v>
      </c>
      <c r="B766" s="1078" t="s">
        <v>8627</v>
      </c>
      <c r="C766" s="1078" t="s">
        <v>8628</v>
      </c>
      <c r="D766" s="1078">
        <v>333000</v>
      </c>
      <c r="E766" s="1078">
        <v>1</v>
      </c>
      <c r="F766" s="1078">
        <v>355000</v>
      </c>
      <c r="G766" s="1078">
        <v>22000</v>
      </c>
      <c r="H766" s="1078" t="s">
        <v>1397</v>
      </c>
    </row>
    <row r="767" spans="1:8" ht="22.5" x14ac:dyDescent="0.55000000000000004">
      <c r="A767" s="1078">
        <v>766</v>
      </c>
      <c r="B767" s="1078" t="s">
        <v>5178</v>
      </c>
      <c r="C767" s="1078" t="s">
        <v>5179</v>
      </c>
      <c r="D767" s="1078">
        <v>1650</v>
      </c>
      <c r="E767" s="1078">
        <v>1</v>
      </c>
      <c r="F767" s="1078">
        <v>2500</v>
      </c>
      <c r="G767" s="1078">
        <v>850</v>
      </c>
      <c r="H767" s="1078" t="s">
        <v>1397</v>
      </c>
    </row>
    <row r="768" spans="1:8" ht="22.5" x14ac:dyDescent="0.55000000000000004">
      <c r="A768" s="1078">
        <v>767</v>
      </c>
      <c r="B768" s="1078" t="s">
        <v>5183</v>
      </c>
      <c r="C768" s="1078" t="s">
        <v>7820</v>
      </c>
      <c r="D768" s="1078">
        <v>10400</v>
      </c>
      <c r="E768" s="1078">
        <v>2</v>
      </c>
      <c r="F768" s="1078">
        <v>15000</v>
      </c>
      <c r="G768" s="1078">
        <v>4600</v>
      </c>
      <c r="H768" s="1078" t="s">
        <v>1397</v>
      </c>
    </row>
    <row r="769" spans="1:8" ht="22.5" x14ac:dyDescent="0.55000000000000004">
      <c r="A769" s="1078">
        <v>768</v>
      </c>
      <c r="B769" s="1078" t="s">
        <v>1852</v>
      </c>
      <c r="C769" s="1078" t="s">
        <v>1853</v>
      </c>
      <c r="D769" s="1078">
        <v>2240</v>
      </c>
      <c r="E769" s="1078">
        <v>4</v>
      </c>
      <c r="F769" s="1078">
        <v>4800</v>
      </c>
      <c r="G769" s="1078">
        <v>2560</v>
      </c>
      <c r="H769" s="1078" t="s">
        <v>1397</v>
      </c>
    </row>
    <row r="770" spans="1:8" ht="22.5" x14ac:dyDescent="0.55000000000000004">
      <c r="A770" s="1078">
        <v>769</v>
      </c>
      <c r="B770" s="1078" t="s">
        <v>6359</v>
      </c>
      <c r="C770" s="1078" t="s">
        <v>6360</v>
      </c>
      <c r="D770" s="1078">
        <v>11800</v>
      </c>
      <c r="E770" s="1078">
        <v>2</v>
      </c>
      <c r="F770" s="1078">
        <v>16000</v>
      </c>
      <c r="G770" s="1078">
        <v>4200</v>
      </c>
      <c r="H770" s="1078" t="s">
        <v>1397</v>
      </c>
    </row>
    <row r="771" spans="1:8" ht="22.5" x14ac:dyDescent="0.55000000000000004">
      <c r="A771" s="1078">
        <v>770</v>
      </c>
      <c r="B771" s="1078" t="s">
        <v>5193</v>
      </c>
      <c r="C771" s="1078" t="s">
        <v>5194</v>
      </c>
      <c r="D771" s="1078">
        <v>5500</v>
      </c>
      <c r="E771" s="1078">
        <v>1</v>
      </c>
      <c r="F771" s="1078">
        <v>9000</v>
      </c>
      <c r="G771" s="1078">
        <v>3500</v>
      </c>
      <c r="H771" s="1078" t="s">
        <v>1397</v>
      </c>
    </row>
    <row r="772" spans="1:8" ht="22.5" x14ac:dyDescent="0.55000000000000004">
      <c r="A772" s="1078">
        <v>771</v>
      </c>
      <c r="B772" s="1078" t="s">
        <v>6760</v>
      </c>
      <c r="C772" s="1078" t="s">
        <v>6761</v>
      </c>
      <c r="D772" s="1078">
        <v>3000</v>
      </c>
      <c r="E772" s="1078">
        <v>1</v>
      </c>
      <c r="F772" s="1078">
        <v>4000</v>
      </c>
      <c r="G772" s="1078">
        <v>1000</v>
      </c>
      <c r="H772" s="1078" t="s">
        <v>1397</v>
      </c>
    </row>
    <row r="773" spans="1:8" ht="22.5" x14ac:dyDescent="0.55000000000000004">
      <c r="A773" s="1078">
        <v>772</v>
      </c>
      <c r="B773" s="1078" t="s">
        <v>5207</v>
      </c>
      <c r="C773" s="1078" t="s">
        <v>5208</v>
      </c>
      <c r="D773" s="1078">
        <v>1500</v>
      </c>
      <c r="E773" s="1078">
        <v>1</v>
      </c>
      <c r="F773" s="1078">
        <v>3000</v>
      </c>
      <c r="G773" s="1078">
        <v>1500</v>
      </c>
      <c r="H773" s="1078" t="s">
        <v>1397</v>
      </c>
    </row>
    <row r="774" spans="1:8" ht="22.5" x14ac:dyDescent="0.55000000000000004">
      <c r="A774" s="1078">
        <v>773</v>
      </c>
      <c r="B774" s="1078" t="s">
        <v>5209</v>
      </c>
      <c r="C774" s="1078" t="s">
        <v>5210</v>
      </c>
      <c r="D774" s="1078">
        <v>500</v>
      </c>
      <c r="E774" s="1078">
        <v>1</v>
      </c>
      <c r="F774" s="1078">
        <v>1200</v>
      </c>
      <c r="G774" s="1078">
        <v>700</v>
      </c>
      <c r="H774" s="1078" t="s">
        <v>1397</v>
      </c>
    </row>
    <row r="775" spans="1:8" ht="22.5" x14ac:dyDescent="0.55000000000000004">
      <c r="A775" s="1078">
        <v>774</v>
      </c>
      <c r="B775" s="1078" t="s">
        <v>1862</v>
      </c>
      <c r="C775" s="1078" t="s">
        <v>7821</v>
      </c>
      <c r="D775" s="1078">
        <v>1500</v>
      </c>
      <c r="E775" s="1078">
        <v>2</v>
      </c>
      <c r="F775" s="1078">
        <v>3400</v>
      </c>
      <c r="G775" s="1078">
        <v>1900</v>
      </c>
      <c r="H775" s="1078" t="s">
        <v>1397</v>
      </c>
    </row>
    <row r="776" spans="1:8" ht="22.5" x14ac:dyDescent="0.55000000000000004">
      <c r="A776" s="1078">
        <v>775</v>
      </c>
      <c r="B776" s="1078" t="s">
        <v>5213</v>
      </c>
      <c r="C776" s="1078" t="s">
        <v>5214</v>
      </c>
      <c r="D776" s="1078">
        <v>8800</v>
      </c>
      <c r="E776" s="1078">
        <v>1</v>
      </c>
      <c r="F776" s="1078">
        <v>13500</v>
      </c>
      <c r="G776" s="1078">
        <v>4700</v>
      </c>
      <c r="H776" s="1078" t="s">
        <v>1397</v>
      </c>
    </row>
    <row r="777" spans="1:8" ht="22.5" x14ac:dyDescent="0.55000000000000004">
      <c r="A777" s="1078">
        <v>776</v>
      </c>
      <c r="B777" s="1078" t="s">
        <v>5219</v>
      </c>
      <c r="C777" s="1078" t="s">
        <v>7443</v>
      </c>
      <c r="D777" s="1078">
        <v>580</v>
      </c>
      <c r="E777" s="1078">
        <v>1</v>
      </c>
      <c r="F777" s="1078">
        <v>1300</v>
      </c>
      <c r="G777" s="1078">
        <v>720</v>
      </c>
      <c r="H777" s="1078" t="s">
        <v>1397</v>
      </c>
    </row>
    <row r="778" spans="1:8" ht="22.5" x14ac:dyDescent="0.55000000000000004">
      <c r="A778" s="1078">
        <v>777</v>
      </c>
      <c r="B778" s="1078" t="s">
        <v>1865</v>
      </c>
      <c r="C778" s="1078" t="s">
        <v>6407</v>
      </c>
      <c r="D778" s="1078">
        <v>3841</v>
      </c>
      <c r="E778" s="1078">
        <v>23</v>
      </c>
      <c r="F778" s="1078">
        <v>6900</v>
      </c>
      <c r="G778" s="1078">
        <v>3059</v>
      </c>
      <c r="H778" s="1078" t="s">
        <v>1397</v>
      </c>
    </row>
    <row r="779" spans="1:8" ht="22.5" x14ac:dyDescent="0.55000000000000004">
      <c r="A779" s="1078">
        <v>778</v>
      </c>
      <c r="B779" s="1078" t="s">
        <v>5223</v>
      </c>
      <c r="C779" s="1078" t="s">
        <v>6514</v>
      </c>
      <c r="D779" s="1078">
        <v>17000</v>
      </c>
      <c r="E779" s="1078">
        <v>1</v>
      </c>
      <c r="F779" s="1078">
        <v>28000</v>
      </c>
      <c r="G779" s="1078">
        <v>11000</v>
      </c>
      <c r="H779" s="1078" t="s">
        <v>1397</v>
      </c>
    </row>
    <row r="780" spans="1:8" ht="22.5" x14ac:dyDescent="0.55000000000000004">
      <c r="A780" s="1078">
        <v>779</v>
      </c>
      <c r="B780" s="1078" t="s">
        <v>1868</v>
      </c>
      <c r="C780" s="1078" t="s">
        <v>1810</v>
      </c>
      <c r="D780" s="1078">
        <v>1450</v>
      </c>
      <c r="E780" s="1078">
        <v>1</v>
      </c>
      <c r="F780" s="1078">
        <v>2500</v>
      </c>
      <c r="G780" s="1078">
        <v>1050</v>
      </c>
      <c r="H780" s="1078" t="s">
        <v>1397</v>
      </c>
    </row>
    <row r="781" spans="1:8" ht="22.5" x14ac:dyDescent="0.55000000000000004">
      <c r="A781" s="1078">
        <v>780</v>
      </c>
      <c r="B781" s="1078" t="s">
        <v>2840</v>
      </c>
      <c r="C781" s="1078" t="s">
        <v>2841</v>
      </c>
      <c r="D781" s="1078">
        <v>1500</v>
      </c>
      <c r="E781" s="1078">
        <v>1</v>
      </c>
      <c r="F781" s="1078">
        <v>2500</v>
      </c>
      <c r="G781" s="1078">
        <v>1000</v>
      </c>
      <c r="H781" s="1078" t="s">
        <v>1397</v>
      </c>
    </row>
    <row r="782" spans="1:8" ht="22.5" x14ac:dyDescent="0.55000000000000004">
      <c r="A782" s="1078">
        <v>781</v>
      </c>
      <c r="B782" s="1078" t="s">
        <v>8169</v>
      </c>
      <c r="C782" s="1078" t="s">
        <v>8170</v>
      </c>
      <c r="D782" s="1078">
        <v>53350</v>
      </c>
      <c r="E782" s="1078">
        <v>1</v>
      </c>
      <c r="F782" s="1078">
        <v>60000</v>
      </c>
      <c r="G782" s="1078">
        <v>6650</v>
      </c>
      <c r="H782" s="1078" t="s">
        <v>1397</v>
      </c>
    </row>
    <row r="783" spans="1:8" ht="22.5" x14ac:dyDescent="0.55000000000000004">
      <c r="A783" s="1078">
        <v>782</v>
      </c>
      <c r="B783" s="1078" t="s">
        <v>1871</v>
      </c>
      <c r="C783" s="1078" t="s">
        <v>1872</v>
      </c>
      <c r="D783" s="1078">
        <v>1800</v>
      </c>
      <c r="E783" s="1078">
        <v>1</v>
      </c>
      <c r="F783" s="1078">
        <v>2300</v>
      </c>
      <c r="G783" s="1078">
        <v>500</v>
      </c>
      <c r="H783" s="1078" t="s">
        <v>1397</v>
      </c>
    </row>
    <row r="784" spans="1:8" ht="22.5" x14ac:dyDescent="0.55000000000000004">
      <c r="A784" s="1078">
        <v>783</v>
      </c>
      <c r="B784" s="1078" t="s">
        <v>5237</v>
      </c>
      <c r="C784" s="1079" t="s">
        <v>5238</v>
      </c>
      <c r="D784" s="1078">
        <v>1000</v>
      </c>
      <c r="E784" s="1078">
        <v>1</v>
      </c>
      <c r="F784" s="1078">
        <v>3300</v>
      </c>
      <c r="G784" s="1078">
        <v>2300</v>
      </c>
      <c r="H784" s="1078" t="s">
        <v>1397</v>
      </c>
    </row>
    <row r="785" spans="1:8" ht="22.5" x14ac:dyDescent="0.55000000000000004">
      <c r="A785" s="1078">
        <v>784</v>
      </c>
      <c r="B785" s="1078" t="s">
        <v>5240</v>
      </c>
      <c r="C785" s="1078" t="s">
        <v>7444</v>
      </c>
      <c r="D785" s="1078">
        <v>6100</v>
      </c>
      <c r="E785" s="1078">
        <v>10</v>
      </c>
      <c r="F785" s="1078">
        <v>11000</v>
      </c>
      <c r="G785" s="1078">
        <v>4900</v>
      </c>
      <c r="H785" s="1078" t="s">
        <v>1397</v>
      </c>
    </row>
    <row r="786" spans="1:8" ht="22.5" x14ac:dyDescent="0.55000000000000004">
      <c r="A786" s="1078">
        <v>785</v>
      </c>
      <c r="B786" s="1078" t="s">
        <v>2527</v>
      </c>
      <c r="C786" s="1078" t="s">
        <v>2528</v>
      </c>
      <c r="D786" s="1078">
        <v>800</v>
      </c>
      <c r="E786" s="1078">
        <v>1</v>
      </c>
      <c r="F786" s="1078">
        <v>1500</v>
      </c>
      <c r="G786" s="1078">
        <v>700</v>
      </c>
      <c r="H786" s="1078" t="s">
        <v>1397</v>
      </c>
    </row>
    <row r="787" spans="1:8" ht="22.5" x14ac:dyDescent="0.55000000000000004">
      <c r="A787" s="1078">
        <v>786</v>
      </c>
      <c r="B787" s="1078" t="s">
        <v>1875</v>
      </c>
      <c r="C787" s="1079" t="s">
        <v>1876</v>
      </c>
      <c r="D787" s="1078">
        <v>1900</v>
      </c>
      <c r="E787" s="1078">
        <v>2</v>
      </c>
      <c r="F787" s="1078">
        <v>4000</v>
      </c>
      <c r="G787" s="1078">
        <v>2100</v>
      </c>
      <c r="H787" s="1078" t="s">
        <v>1397</v>
      </c>
    </row>
    <row r="788" spans="1:8" ht="22.5" x14ac:dyDescent="0.55000000000000004">
      <c r="A788" s="1078">
        <v>787</v>
      </c>
      <c r="B788" s="1078" t="s">
        <v>5252</v>
      </c>
      <c r="C788" s="1078" t="s">
        <v>8339</v>
      </c>
      <c r="D788" s="1078">
        <v>250</v>
      </c>
      <c r="E788" s="1078">
        <v>1</v>
      </c>
      <c r="F788" s="1078">
        <v>500</v>
      </c>
      <c r="G788" s="1078">
        <v>250</v>
      </c>
      <c r="H788" s="1078" t="s">
        <v>1397</v>
      </c>
    </row>
    <row r="789" spans="1:8" ht="22.5" x14ac:dyDescent="0.55000000000000004">
      <c r="A789" s="1078">
        <v>788</v>
      </c>
      <c r="B789" s="1078" t="s">
        <v>5253</v>
      </c>
      <c r="C789" s="1078" t="s">
        <v>5254</v>
      </c>
      <c r="D789" s="1078">
        <v>500</v>
      </c>
      <c r="E789" s="1078">
        <v>1</v>
      </c>
      <c r="F789" s="1078">
        <v>900</v>
      </c>
      <c r="G789" s="1078">
        <v>400</v>
      </c>
      <c r="H789" s="1078" t="s">
        <v>1397</v>
      </c>
    </row>
    <row r="790" spans="1:8" ht="22.5" x14ac:dyDescent="0.55000000000000004">
      <c r="A790" s="1078">
        <v>789</v>
      </c>
      <c r="B790" s="1078" t="s">
        <v>5259</v>
      </c>
      <c r="C790" s="1078" t="s">
        <v>5260</v>
      </c>
      <c r="D790" s="1078">
        <v>250</v>
      </c>
      <c r="E790" s="1078">
        <v>2</v>
      </c>
      <c r="F790" s="1078">
        <v>600</v>
      </c>
      <c r="G790" s="1078">
        <v>350</v>
      </c>
      <c r="H790" s="1078" t="s">
        <v>1397</v>
      </c>
    </row>
    <row r="791" spans="1:8" ht="22.5" x14ac:dyDescent="0.55000000000000004">
      <c r="A791" s="1078">
        <v>790</v>
      </c>
      <c r="B791" s="1078" t="s">
        <v>1878</v>
      </c>
      <c r="C791" s="1078" t="s">
        <v>1879</v>
      </c>
      <c r="D791" s="1078">
        <v>8001</v>
      </c>
      <c r="E791" s="1078">
        <v>3</v>
      </c>
      <c r="F791" s="1078">
        <v>9900</v>
      </c>
      <c r="G791" s="1078">
        <v>1899</v>
      </c>
      <c r="H791" s="1078" t="s">
        <v>1397</v>
      </c>
    </row>
    <row r="792" spans="1:8" ht="22.5" x14ac:dyDescent="0.55000000000000004">
      <c r="A792" s="1078">
        <v>791</v>
      </c>
      <c r="B792" s="1078" t="s">
        <v>8629</v>
      </c>
      <c r="C792" s="1078" t="s">
        <v>8630</v>
      </c>
      <c r="D792" s="1078">
        <v>11500</v>
      </c>
      <c r="E792" s="1078">
        <v>1</v>
      </c>
      <c r="F792" s="1078">
        <v>15000</v>
      </c>
      <c r="G792" s="1078">
        <v>3500</v>
      </c>
      <c r="H792" s="1078" t="s">
        <v>1397</v>
      </c>
    </row>
    <row r="793" spans="1:8" ht="22.5" x14ac:dyDescent="0.55000000000000004">
      <c r="A793" s="1078">
        <v>792</v>
      </c>
      <c r="B793" s="1078" t="s">
        <v>1886</v>
      </c>
      <c r="C793" s="1078" t="s">
        <v>1887</v>
      </c>
      <c r="D793" s="1078">
        <v>15750</v>
      </c>
      <c r="E793" s="1078">
        <v>7</v>
      </c>
      <c r="F793" s="1078">
        <v>27000</v>
      </c>
      <c r="G793" s="1078">
        <v>11250</v>
      </c>
      <c r="H793" s="1078" t="s">
        <v>1397</v>
      </c>
    </row>
    <row r="794" spans="1:8" ht="22.5" x14ac:dyDescent="0.55000000000000004">
      <c r="A794" s="1078">
        <v>793</v>
      </c>
      <c r="B794" s="1078" t="s">
        <v>1888</v>
      </c>
      <c r="C794" s="1078" t="s">
        <v>1889</v>
      </c>
      <c r="D794" s="1078">
        <v>4010</v>
      </c>
      <c r="E794" s="1078">
        <v>2</v>
      </c>
      <c r="F794" s="1078">
        <v>8000</v>
      </c>
      <c r="G794" s="1078">
        <v>3990</v>
      </c>
      <c r="H794" s="1078" t="s">
        <v>1397</v>
      </c>
    </row>
    <row r="795" spans="1:8" ht="22.5" x14ac:dyDescent="0.55000000000000004">
      <c r="A795" s="1078">
        <v>794</v>
      </c>
      <c r="B795" s="1078" t="s">
        <v>1890</v>
      </c>
      <c r="C795" s="1078" t="s">
        <v>1891</v>
      </c>
      <c r="D795" s="1078">
        <v>4200</v>
      </c>
      <c r="E795" s="1078">
        <v>1</v>
      </c>
      <c r="F795" s="1078">
        <v>6500</v>
      </c>
      <c r="G795" s="1078">
        <v>2300</v>
      </c>
      <c r="H795" s="1078" t="s">
        <v>1397</v>
      </c>
    </row>
    <row r="796" spans="1:8" ht="22.5" x14ac:dyDescent="0.55000000000000004">
      <c r="A796" s="1078">
        <v>795</v>
      </c>
      <c r="B796" s="1078" t="s">
        <v>1893</v>
      </c>
      <c r="C796" s="1078" t="s">
        <v>1894</v>
      </c>
      <c r="D796" s="1078">
        <v>800</v>
      </c>
      <c r="E796" s="1078">
        <v>2</v>
      </c>
      <c r="F796" s="1078">
        <v>2000</v>
      </c>
      <c r="G796" s="1078">
        <v>1200</v>
      </c>
      <c r="H796" s="1078" t="s">
        <v>1397</v>
      </c>
    </row>
    <row r="797" spans="1:8" ht="22.5" x14ac:dyDescent="0.55000000000000004">
      <c r="A797" s="1078">
        <v>796</v>
      </c>
      <c r="B797" s="1078" t="s">
        <v>5293</v>
      </c>
      <c r="C797" s="1078" t="s">
        <v>5294</v>
      </c>
      <c r="D797" s="1078">
        <v>600</v>
      </c>
      <c r="E797" s="1078">
        <v>1</v>
      </c>
      <c r="F797" s="1078">
        <v>1000</v>
      </c>
      <c r="G797" s="1078">
        <v>400</v>
      </c>
      <c r="H797" s="1078" t="s">
        <v>1397</v>
      </c>
    </row>
    <row r="798" spans="1:8" ht="22.5" x14ac:dyDescent="0.55000000000000004">
      <c r="A798" s="1078">
        <v>797</v>
      </c>
      <c r="B798" s="1078" t="s">
        <v>5297</v>
      </c>
      <c r="C798" s="1078" t="s">
        <v>6409</v>
      </c>
      <c r="D798" s="1078">
        <v>360</v>
      </c>
      <c r="E798" s="1078">
        <v>2</v>
      </c>
      <c r="F798" s="1078">
        <v>1000</v>
      </c>
      <c r="G798" s="1078">
        <v>640</v>
      </c>
      <c r="H798" s="1078" t="s">
        <v>1397</v>
      </c>
    </row>
    <row r="799" spans="1:8" ht="22.5" x14ac:dyDescent="0.55000000000000004">
      <c r="A799" s="1078">
        <v>798</v>
      </c>
      <c r="B799" s="1078" t="s">
        <v>3046</v>
      </c>
      <c r="C799" s="1078" t="s">
        <v>6893</v>
      </c>
      <c r="D799" s="1078">
        <v>300368</v>
      </c>
      <c r="E799" s="1078">
        <v>7</v>
      </c>
      <c r="F799" s="1078">
        <v>385000</v>
      </c>
      <c r="G799" s="1078">
        <v>84632</v>
      </c>
      <c r="H799" s="1078" t="s">
        <v>1397</v>
      </c>
    </row>
    <row r="800" spans="1:8" ht="22.5" x14ac:dyDescent="0.55000000000000004">
      <c r="A800" s="1078">
        <v>799</v>
      </c>
      <c r="B800" s="1078" t="s">
        <v>5322</v>
      </c>
      <c r="C800" s="1078" t="s">
        <v>5323</v>
      </c>
      <c r="D800" s="1078">
        <v>1600</v>
      </c>
      <c r="E800" s="1078">
        <v>1</v>
      </c>
      <c r="F800" s="1078">
        <v>3000</v>
      </c>
      <c r="G800" s="1078">
        <v>1400</v>
      </c>
      <c r="H800" s="1078" t="s">
        <v>1397</v>
      </c>
    </row>
    <row r="801" spans="1:8" ht="22.5" x14ac:dyDescent="0.55000000000000004">
      <c r="A801" s="1078">
        <v>800</v>
      </c>
      <c r="B801" s="1078" t="s">
        <v>6772</v>
      </c>
      <c r="C801" s="1078" t="s">
        <v>6773</v>
      </c>
      <c r="D801" s="1078">
        <v>2800</v>
      </c>
      <c r="E801" s="1078">
        <v>1</v>
      </c>
      <c r="F801" s="1078">
        <v>4500</v>
      </c>
      <c r="G801" s="1078">
        <v>1700</v>
      </c>
      <c r="H801" s="1078" t="s">
        <v>1397</v>
      </c>
    </row>
    <row r="802" spans="1:8" ht="22.5" x14ac:dyDescent="0.55000000000000004">
      <c r="A802" s="1078">
        <v>801</v>
      </c>
      <c r="B802" s="1078" t="s">
        <v>1895</v>
      </c>
      <c r="C802" s="1078" t="s">
        <v>1896</v>
      </c>
      <c r="D802" s="1078">
        <v>679700</v>
      </c>
      <c r="E802" s="1078">
        <v>286</v>
      </c>
      <c r="F802" s="1078">
        <v>723950</v>
      </c>
      <c r="G802" s="1078">
        <v>44250</v>
      </c>
      <c r="H802" s="1078" t="s">
        <v>1397</v>
      </c>
    </row>
    <row r="803" spans="1:8" ht="22.5" x14ac:dyDescent="0.55000000000000004">
      <c r="A803" s="1078">
        <v>802</v>
      </c>
      <c r="B803" s="1078" t="s">
        <v>5344</v>
      </c>
      <c r="C803" s="1078" t="s">
        <v>5345</v>
      </c>
      <c r="D803" s="1078">
        <v>4000</v>
      </c>
      <c r="E803" s="1078">
        <v>1</v>
      </c>
      <c r="F803" s="1078">
        <v>5500</v>
      </c>
      <c r="G803" s="1078">
        <v>1500</v>
      </c>
      <c r="H803" s="1078" t="s">
        <v>1397</v>
      </c>
    </row>
    <row r="804" spans="1:8" ht="22.5" x14ac:dyDescent="0.55000000000000004">
      <c r="A804" s="1078">
        <v>803</v>
      </c>
      <c r="B804" s="1078" t="s">
        <v>5346</v>
      </c>
      <c r="C804" s="1078" t="s">
        <v>5347</v>
      </c>
      <c r="D804" s="1078">
        <v>1000</v>
      </c>
      <c r="E804" s="1078">
        <v>1</v>
      </c>
      <c r="F804" s="1078">
        <v>1800</v>
      </c>
      <c r="G804" s="1078">
        <v>800</v>
      </c>
      <c r="H804" s="1078" t="s">
        <v>1397</v>
      </c>
    </row>
    <row r="805" spans="1:8" ht="22.5" x14ac:dyDescent="0.55000000000000004">
      <c r="A805" s="1078">
        <v>804</v>
      </c>
      <c r="B805" s="1078" t="s">
        <v>5348</v>
      </c>
      <c r="C805" s="1078" t="s">
        <v>5349</v>
      </c>
      <c r="D805" s="1078">
        <v>1250</v>
      </c>
      <c r="E805" s="1078">
        <v>1</v>
      </c>
      <c r="F805" s="1078">
        <v>2500</v>
      </c>
      <c r="G805" s="1078">
        <v>1250</v>
      </c>
      <c r="H805" s="1078" t="s">
        <v>1397</v>
      </c>
    </row>
    <row r="806" spans="1:8" ht="22.5" x14ac:dyDescent="0.55000000000000004">
      <c r="A806" s="1078">
        <v>805</v>
      </c>
      <c r="B806" s="1078" t="s">
        <v>5352</v>
      </c>
      <c r="C806" s="1078" t="s">
        <v>7447</v>
      </c>
      <c r="D806" s="1078">
        <v>450</v>
      </c>
      <c r="E806" s="1078">
        <v>1</v>
      </c>
      <c r="F806" s="1078">
        <v>1000</v>
      </c>
      <c r="G806" s="1078">
        <v>550</v>
      </c>
      <c r="H806" s="1078" t="s">
        <v>1397</v>
      </c>
    </row>
    <row r="807" spans="1:8" ht="22.5" x14ac:dyDescent="0.55000000000000004">
      <c r="A807" s="1078">
        <v>806</v>
      </c>
      <c r="B807" s="1078" t="s">
        <v>1897</v>
      </c>
      <c r="C807" s="1078" t="s">
        <v>8340</v>
      </c>
      <c r="D807" s="1078">
        <v>7650</v>
      </c>
      <c r="E807" s="1078">
        <v>3</v>
      </c>
      <c r="F807" s="1078">
        <v>11400</v>
      </c>
      <c r="G807" s="1078">
        <v>3750</v>
      </c>
      <c r="H807" s="1078" t="s">
        <v>1397</v>
      </c>
    </row>
    <row r="808" spans="1:8" ht="22.5" x14ac:dyDescent="0.55000000000000004">
      <c r="A808" s="1078">
        <v>807</v>
      </c>
      <c r="B808" s="1078" t="s">
        <v>8171</v>
      </c>
      <c r="C808" s="1078" t="s">
        <v>8172</v>
      </c>
      <c r="D808" s="1078">
        <v>33000</v>
      </c>
      <c r="E808" s="1078">
        <v>1</v>
      </c>
      <c r="F808" s="1078">
        <v>43000</v>
      </c>
      <c r="G808" s="1078">
        <v>10000</v>
      </c>
      <c r="H808" s="1078" t="s">
        <v>1397</v>
      </c>
    </row>
    <row r="809" spans="1:8" ht="22.5" x14ac:dyDescent="0.55000000000000004">
      <c r="A809" s="1078">
        <v>808</v>
      </c>
      <c r="B809" s="1078" t="s">
        <v>5357</v>
      </c>
      <c r="C809" s="1078" t="s">
        <v>7827</v>
      </c>
      <c r="D809" s="1078">
        <v>210</v>
      </c>
      <c r="E809" s="1078">
        <v>1</v>
      </c>
      <c r="F809" s="1078">
        <v>500</v>
      </c>
      <c r="G809" s="1078">
        <v>290</v>
      </c>
      <c r="H809" s="1078" t="s">
        <v>1397</v>
      </c>
    </row>
    <row r="810" spans="1:8" ht="22.5" x14ac:dyDescent="0.55000000000000004">
      <c r="A810" s="1078">
        <v>809</v>
      </c>
      <c r="B810" s="1078" t="s">
        <v>5358</v>
      </c>
      <c r="C810" s="1078" t="s">
        <v>5359</v>
      </c>
      <c r="D810" s="1078">
        <v>2667</v>
      </c>
      <c r="E810" s="1078">
        <v>3</v>
      </c>
      <c r="F810" s="1078">
        <v>6000</v>
      </c>
      <c r="G810" s="1078">
        <v>3333</v>
      </c>
      <c r="H810" s="1078" t="s">
        <v>1397</v>
      </c>
    </row>
    <row r="811" spans="1:8" ht="22.5" x14ac:dyDescent="0.55000000000000004">
      <c r="A811" s="1078">
        <v>810</v>
      </c>
      <c r="B811" s="1078" t="s">
        <v>6894</v>
      </c>
      <c r="C811" s="1079" t="s">
        <v>6807</v>
      </c>
      <c r="D811" s="1078">
        <v>45000</v>
      </c>
      <c r="E811" s="1078">
        <v>9</v>
      </c>
      <c r="F811" s="1078">
        <v>58500</v>
      </c>
      <c r="G811" s="1078">
        <v>13500</v>
      </c>
      <c r="H811" s="1078" t="s">
        <v>1397</v>
      </c>
    </row>
    <row r="812" spans="1:8" ht="22.5" x14ac:dyDescent="0.55000000000000004">
      <c r="A812" s="1078">
        <v>811</v>
      </c>
      <c r="B812" s="1078" t="s">
        <v>1901</v>
      </c>
      <c r="C812" s="1078" t="s">
        <v>1902</v>
      </c>
      <c r="D812" s="1078">
        <v>2640</v>
      </c>
      <c r="E812" s="1078">
        <v>2</v>
      </c>
      <c r="F812" s="1078">
        <v>5000</v>
      </c>
      <c r="G812" s="1078">
        <v>2360</v>
      </c>
      <c r="H812" s="1078" t="s">
        <v>1397</v>
      </c>
    </row>
    <row r="813" spans="1:8" ht="22.5" x14ac:dyDescent="0.55000000000000004">
      <c r="A813" s="1078">
        <v>812</v>
      </c>
      <c r="B813" s="1078" t="s">
        <v>8631</v>
      </c>
      <c r="C813" s="1078" t="s">
        <v>8632</v>
      </c>
      <c r="D813" s="1078">
        <v>4050</v>
      </c>
      <c r="E813" s="1078">
        <v>1</v>
      </c>
      <c r="F813" s="1078">
        <v>5500</v>
      </c>
      <c r="G813" s="1078">
        <v>1450</v>
      </c>
      <c r="H813" s="1078" t="s">
        <v>1397</v>
      </c>
    </row>
    <row r="814" spans="1:8" ht="22.5" x14ac:dyDescent="0.55000000000000004">
      <c r="A814" s="1078">
        <v>813</v>
      </c>
      <c r="B814" s="1078" t="s">
        <v>1904</v>
      </c>
      <c r="C814" s="1078" t="s">
        <v>1905</v>
      </c>
      <c r="D814" s="1078">
        <v>700</v>
      </c>
      <c r="E814" s="1078">
        <v>2</v>
      </c>
      <c r="F814" s="1078">
        <v>1000</v>
      </c>
      <c r="G814" s="1078">
        <v>300</v>
      </c>
      <c r="H814" s="1078" t="s">
        <v>1397</v>
      </c>
    </row>
    <row r="815" spans="1:8" ht="22.5" x14ac:dyDescent="0.55000000000000004">
      <c r="A815" s="1078">
        <v>814</v>
      </c>
      <c r="B815" s="1078" t="s">
        <v>1906</v>
      </c>
      <c r="C815" s="1078" t="s">
        <v>1907</v>
      </c>
      <c r="D815" s="1078">
        <v>3336</v>
      </c>
      <c r="E815" s="1078">
        <v>4</v>
      </c>
      <c r="F815" s="1078">
        <v>6200</v>
      </c>
      <c r="G815" s="1078">
        <v>2864</v>
      </c>
      <c r="H815" s="1078" t="s">
        <v>1397</v>
      </c>
    </row>
    <row r="816" spans="1:8" ht="22.5" x14ac:dyDescent="0.55000000000000004">
      <c r="A816" s="1078">
        <v>815</v>
      </c>
      <c r="B816" s="1078" t="s">
        <v>3176</v>
      </c>
      <c r="C816" s="1078" t="s">
        <v>3177</v>
      </c>
      <c r="D816" s="1078">
        <v>9460</v>
      </c>
      <c r="E816" s="1078">
        <v>4</v>
      </c>
      <c r="F816" s="1078">
        <v>18000</v>
      </c>
      <c r="G816" s="1078">
        <v>8540</v>
      </c>
      <c r="H816" s="1078" t="s">
        <v>1397</v>
      </c>
    </row>
    <row r="817" spans="1:8" ht="22.5" x14ac:dyDescent="0.55000000000000004">
      <c r="A817" s="1078">
        <v>816</v>
      </c>
      <c r="B817" s="1078" t="s">
        <v>5377</v>
      </c>
      <c r="C817" s="1078" t="s">
        <v>8174</v>
      </c>
      <c r="D817" s="1078">
        <v>3000</v>
      </c>
      <c r="E817" s="1078">
        <v>1</v>
      </c>
      <c r="F817" s="1078">
        <v>6000</v>
      </c>
      <c r="G817" s="1078">
        <v>3000</v>
      </c>
      <c r="H817" s="1078" t="s">
        <v>1397</v>
      </c>
    </row>
    <row r="818" spans="1:8" ht="22.5" x14ac:dyDescent="0.55000000000000004">
      <c r="A818" s="1078">
        <v>817</v>
      </c>
      <c r="B818" s="1078" t="s">
        <v>3178</v>
      </c>
      <c r="C818" s="1078" t="s">
        <v>3179</v>
      </c>
      <c r="D818" s="1078">
        <v>8850</v>
      </c>
      <c r="E818" s="1078">
        <v>3</v>
      </c>
      <c r="F818" s="1078">
        <v>15000</v>
      </c>
      <c r="G818" s="1078">
        <v>6150</v>
      </c>
      <c r="H818" s="1078" t="s">
        <v>1397</v>
      </c>
    </row>
    <row r="819" spans="1:8" ht="22.5" x14ac:dyDescent="0.55000000000000004">
      <c r="A819" s="1078">
        <v>818</v>
      </c>
      <c r="B819" s="1078" t="s">
        <v>5380</v>
      </c>
      <c r="C819" s="1078" t="s">
        <v>5381</v>
      </c>
      <c r="D819" s="1078">
        <v>700</v>
      </c>
      <c r="E819" s="1078">
        <v>1</v>
      </c>
      <c r="F819" s="1078">
        <v>1500</v>
      </c>
      <c r="G819" s="1078">
        <v>800</v>
      </c>
      <c r="H819" s="1078" t="s">
        <v>1397</v>
      </c>
    </row>
    <row r="820" spans="1:8" ht="22.5" x14ac:dyDescent="0.55000000000000004">
      <c r="A820" s="1078">
        <v>819</v>
      </c>
      <c r="B820" s="1078" t="s">
        <v>5382</v>
      </c>
      <c r="C820" s="1078" t="s">
        <v>5383</v>
      </c>
      <c r="D820" s="1078">
        <v>2300</v>
      </c>
      <c r="E820" s="1078">
        <v>1</v>
      </c>
      <c r="F820" s="1078">
        <v>5400</v>
      </c>
      <c r="G820" s="1078">
        <v>3100</v>
      </c>
      <c r="H820" s="1078" t="s">
        <v>1397</v>
      </c>
    </row>
    <row r="821" spans="1:8" ht="22.5" x14ac:dyDescent="0.55000000000000004">
      <c r="A821" s="1078">
        <v>820</v>
      </c>
      <c r="B821" s="1078" t="s">
        <v>5384</v>
      </c>
      <c r="C821" s="1078" t="s">
        <v>5385</v>
      </c>
      <c r="D821" s="1078">
        <v>2400</v>
      </c>
      <c r="E821" s="1078">
        <v>12</v>
      </c>
      <c r="F821" s="1078">
        <v>6000</v>
      </c>
      <c r="G821" s="1078">
        <v>3600</v>
      </c>
      <c r="H821" s="1078" t="s">
        <v>1397</v>
      </c>
    </row>
    <row r="822" spans="1:8" ht="22.5" x14ac:dyDescent="0.55000000000000004">
      <c r="A822" s="1078">
        <v>821</v>
      </c>
      <c r="B822" s="1078" t="s">
        <v>1914</v>
      </c>
      <c r="C822" s="1078" t="s">
        <v>1915</v>
      </c>
      <c r="D822" s="1078">
        <v>1450</v>
      </c>
      <c r="E822" s="1078">
        <v>1</v>
      </c>
      <c r="F822" s="1078">
        <v>2500</v>
      </c>
      <c r="G822" s="1078">
        <v>1050</v>
      </c>
      <c r="H822" s="1078" t="s">
        <v>1397</v>
      </c>
    </row>
    <row r="823" spans="1:8" ht="22.5" x14ac:dyDescent="0.55000000000000004">
      <c r="A823" s="1078">
        <v>822</v>
      </c>
      <c r="B823" s="1078" t="s">
        <v>5394</v>
      </c>
      <c r="C823" s="1078" t="s">
        <v>5395</v>
      </c>
      <c r="D823" s="1078">
        <v>1500</v>
      </c>
      <c r="E823" s="1078">
        <v>1</v>
      </c>
      <c r="F823" s="1078">
        <v>3000</v>
      </c>
      <c r="G823" s="1078">
        <v>1500</v>
      </c>
      <c r="H823" s="1078" t="s">
        <v>1397</v>
      </c>
    </row>
    <row r="824" spans="1:8" ht="22.5" x14ac:dyDescent="0.55000000000000004">
      <c r="A824" s="1078">
        <v>823</v>
      </c>
      <c r="B824" s="1078" t="s">
        <v>1916</v>
      </c>
      <c r="C824" s="1078" t="s">
        <v>1917</v>
      </c>
      <c r="D824" s="1078">
        <v>1150</v>
      </c>
      <c r="E824" s="1078">
        <v>1</v>
      </c>
      <c r="F824" s="1078">
        <v>2500</v>
      </c>
      <c r="G824" s="1078">
        <v>1350</v>
      </c>
      <c r="H824" s="1078" t="s">
        <v>1397</v>
      </c>
    </row>
    <row r="825" spans="1:8" ht="22.5" x14ac:dyDescent="0.55000000000000004">
      <c r="A825" s="1078">
        <v>824</v>
      </c>
      <c r="B825" s="1078" t="s">
        <v>5398</v>
      </c>
      <c r="C825" s="1078" t="s">
        <v>5399</v>
      </c>
      <c r="D825" s="1078">
        <v>1600</v>
      </c>
      <c r="E825" s="1078">
        <v>1</v>
      </c>
      <c r="F825" s="1078">
        <v>3500</v>
      </c>
      <c r="G825" s="1078">
        <v>1900</v>
      </c>
      <c r="H825" s="1078" t="s">
        <v>1397</v>
      </c>
    </row>
    <row r="826" spans="1:8" ht="22.5" x14ac:dyDescent="0.55000000000000004">
      <c r="A826" s="1078">
        <v>825</v>
      </c>
      <c r="B826" s="1078" t="s">
        <v>8341</v>
      </c>
      <c r="C826" s="1078" t="s">
        <v>8342</v>
      </c>
      <c r="D826" s="1078">
        <v>18200</v>
      </c>
      <c r="E826" s="1078">
        <v>1</v>
      </c>
      <c r="F826" s="1078">
        <v>23000</v>
      </c>
      <c r="G826" s="1078">
        <v>4800</v>
      </c>
      <c r="H826" s="1078" t="s">
        <v>1397</v>
      </c>
    </row>
    <row r="827" spans="1:8" ht="22.5" x14ac:dyDescent="0.55000000000000004">
      <c r="A827" s="1078">
        <v>826</v>
      </c>
      <c r="B827" s="1078" t="s">
        <v>1924</v>
      </c>
      <c r="C827" s="1078" t="s">
        <v>1925</v>
      </c>
      <c r="D827" s="1078">
        <v>1900</v>
      </c>
      <c r="E827" s="1078">
        <v>2</v>
      </c>
      <c r="F827" s="1078">
        <v>3600</v>
      </c>
      <c r="G827" s="1078">
        <v>1700</v>
      </c>
      <c r="H827" s="1078" t="s">
        <v>1397</v>
      </c>
    </row>
    <row r="828" spans="1:8" ht="22.5" x14ac:dyDescent="0.55000000000000004">
      <c r="A828" s="1078">
        <v>827</v>
      </c>
      <c r="B828" s="1078" t="s">
        <v>1926</v>
      </c>
      <c r="C828" s="1078" t="s">
        <v>1927</v>
      </c>
      <c r="D828" s="1078">
        <v>1000</v>
      </c>
      <c r="E828" s="1078">
        <v>1</v>
      </c>
      <c r="F828" s="1078">
        <v>2000</v>
      </c>
      <c r="G828" s="1078">
        <v>1000</v>
      </c>
      <c r="H828" s="1078" t="s">
        <v>1397</v>
      </c>
    </row>
    <row r="829" spans="1:8" ht="22.5" x14ac:dyDescent="0.55000000000000004">
      <c r="A829" s="1078">
        <v>828</v>
      </c>
      <c r="B829" s="1078" t="s">
        <v>1928</v>
      </c>
      <c r="C829" s="1079" t="s">
        <v>1929</v>
      </c>
      <c r="D829" s="1078">
        <v>3000</v>
      </c>
      <c r="E829" s="1078">
        <v>20</v>
      </c>
      <c r="F829" s="1078">
        <v>6000</v>
      </c>
      <c r="G829" s="1078">
        <v>3000</v>
      </c>
      <c r="H829" s="1078" t="s">
        <v>1397</v>
      </c>
    </row>
    <row r="830" spans="1:8" ht="22.5" x14ac:dyDescent="0.55000000000000004">
      <c r="A830" s="1078">
        <v>829</v>
      </c>
      <c r="B830" s="1078" t="s">
        <v>7451</v>
      </c>
      <c r="C830" s="1079" t="s">
        <v>8633</v>
      </c>
      <c r="D830" s="1078">
        <v>447500</v>
      </c>
      <c r="E830" s="1078">
        <v>9</v>
      </c>
      <c r="F830" s="1078">
        <v>490000</v>
      </c>
      <c r="G830" s="1078">
        <v>42500</v>
      </c>
      <c r="H830" s="1078" t="s">
        <v>1397</v>
      </c>
    </row>
    <row r="831" spans="1:8" ht="22.5" x14ac:dyDescent="0.55000000000000004">
      <c r="A831" s="1078">
        <v>830</v>
      </c>
      <c r="B831" s="1078" t="s">
        <v>3301</v>
      </c>
      <c r="C831" s="1078" t="s">
        <v>3302</v>
      </c>
      <c r="D831" s="1078">
        <v>1500</v>
      </c>
      <c r="E831" s="1078">
        <v>3</v>
      </c>
      <c r="F831" s="1078">
        <v>3000</v>
      </c>
      <c r="G831" s="1078">
        <v>1500</v>
      </c>
      <c r="H831" s="1078" t="s">
        <v>1397</v>
      </c>
    </row>
    <row r="832" spans="1:8" ht="22.5" x14ac:dyDescent="0.55000000000000004">
      <c r="A832" s="1078">
        <v>831</v>
      </c>
      <c r="B832" s="1078" t="s">
        <v>1931</v>
      </c>
      <c r="C832" s="1078" t="s">
        <v>6774</v>
      </c>
      <c r="D832" s="1078">
        <v>650</v>
      </c>
      <c r="E832" s="1078">
        <v>1</v>
      </c>
      <c r="F832" s="1078">
        <v>1500</v>
      </c>
      <c r="G832" s="1078">
        <v>850</v>
      </c>
      <c r="H832" s="1078" t="s">
        <v>1397</v>
      </c>
    </row>
    <row r="833" spans="1:8" ht="22.5" x14ac:dyDescent="0.55000000000000004">
      <c r="A833" s="1078">
        <v>832</v>
      </c>
      <c r="B833" s="1078" t="s">
        <v>1932</v>
      </c>
      <c r="C833" s="1078" t="s">
        <v>1933</v>
      </c>
      <c r="D833" s="1078">
        <v>3050</v>
      </c>
      <c r="E833" s="1078">
        <v>1</v>
      </c>
      <c r="F833" s="1078">
        <v>4000</v>
      </c>
      <c r="G833" s="1078">
        <v>950</v>
      </c>
      <c r="H833" s="1078" t="s">
        <v>1397</v>
      </c>
    </row>
    <row r="834" spans="1:8" ht="22.5" x14ac:dyDescent="0.55000000000000004">
      <c r="A834" s="1078">
        <v>833</v>
      </c>
      <c r="B834" s="1078" t="s">
        <v>1934</v>
      </c>
      <c r="C834" s="1078" t="s">
        <v>1935</v>
      </c>
      <c r="D834" s="1078">
        <v>2756</v>
      </c>
      <c r="E834" s="1078">
        <v>1</v>
      </c>
      <c r="F834" s="1078">
        <v>4000</v>
      </c>
      <c r="G834" s="1078">
        <v>1244</v>
      </c>
      <c r="H834" s="1078" t="s">
        <v>1397</v>
      </c>
    </row>
    <row r="835" spans="1:8" ht="22.5" x14ac:dyDescent="0.55000000000000004">
      <c r="A835" s="1078">
        <v>834</v>
      </c>
      <c r="B835" s="1078" t="s">
        <v>6209</v>
      </c>
      <c r="C835" s="1078" t="s">
        <v>6210</v>
      </c>
      <c r="D835" s="1078">
        <v>200</v>
      </c>
      <c r="E835" s="1078">
        <v>2</v>
      </c>
      <c r="F835" s="1078">
        <v>1000</v>
      </c>
      <c r="G835" s="1078">
        <v>800</v>
      </c>
      <c r="H835" s="1078" t="s">
        <v>1397</v>
      </c>
    </row>
    <row r="836" spans="1:8" ht="22.5" x14ac:dyDescent="0.55000000000000004">
      <c r="A836" s="1078">
        <v>835</v>
      </c>
      <c r="B836" s="1078" t="s">
        <v>1939</v>
      </c>
      <c r="C836" s="1078" t="s">
        <v>1940</v>
      </c>
      <c r="D836" s="1078">
        <v>550</v>
      </c>
      <c r="E836" s="1078">
        <v>1</v>
      </c>
      <c r="F836" s="1078">
        <v>1500</v>
      </c>
      <c r="G836" s="1078">
        <v>950</v>
      </c>
      <c r="H836" s="1078" t="s">
        <v>1397</v>
      </c>
    </row>
    <row r="837" spans="1:8" ht="22.5" x14ac:dyDescent="0.55000000000000004">
      <c r="A837" s="1078">
        <v>836</v>
      </c>
      <c r="B837" s="1078" t="s">
        <v>8175</v>
      </c>
      <c r="C837" s="1078" t="s">
        <v>8176</v>
      </c>
      <c r="D837" s="1078">
        <v>3100</v>
      </c>
      <c r="E837" s="1078">
        <v>6</v>
      </c>
      <c r="F837" s="1078">
        <v>4800</v>
      </c>
      <c r="G837" s="1078">
        <v>1700</v>
      </c>
      <c r="H837" s="1078" t="s">
        <v>1397</v>
      </c>
    </row>
    <row r="838" spans="1:8" ht="22.5" x14ac:dyDescent="0.55000000000000004">
      <c r="A838" s="1078">
        <v>837</v>
      </c>
      <c r="B838" s="1078" t="s">
        <v>5469</v>
      </c>
      <c r="C838" s="1078" t="s">
        <v>5470</v>
      </c>
      <c r="D838" s="1078">
        <v>69600</v>
      </c>
      <c r="E838" s="1078">
        <v>3</v>
      </c>
      <c r="F838" s="1078">
        <v>96000</v>
      </c>
      <c r="G838" s="1078">
        <v>26400</v>
      </c>
      <c r="H838" s="1078" t="s">
        <v>1397</v>
      </c>
    </row>
    <row r="839" spans="1:8" ht="22.5" x14ac:dyDescent="0.55000000000000004">
      <c r="A839" s="1078">
        <v>838</v>
      </c>
      <c r="B839" s="1078" t="s">
        <v>5498</v>
      </c>
      <c r="C839" s="1078" t="s">
        <v>5499</v>
      </c>
      <c r="D839" s="1078">
        <v>16500</v>
      </c>
      <c r="E839" s="1078">
        <v>1</v>
      </c>
      <c r="F839" s="1078">
        <v>25000</v>
      </c>
      <c r="G839" s="1078">
        <v>8500</v>
      </c>
      <c r="H839" s="1078" t="s">
        <v>1397</v>
      </c>
    </row>
    <row r="840" spans="1:8" ht="22.5" x14ac:dyDescent="0.55000000000000004">
      <c r="A840" s="1078">
        <v>839</v>
      </c>
      <c r="B840" s="1078" t="s">
        <v>6308</v>
      </c>
      <c r="C840" s="1078" t="s">
        <v>6309</v>
      </c>
      <c r="D840" s="1078">
        <v>6900</v>
      </c>
      <c r="E840" s="1078">
        <v>1</v>
      </c>
      <c r="F840" s="1078">
        <v>9000</v>
      </c>
      <c r="G840" s="1078">
        <v>2100</v>
      </c>
      <c r="H840" s="1078" t="s">
        <v>1397</v>
      </c>
    </row>
    <row r="841" spans="1:8" ht="22.5" x14ac:dyDescent="0.55000000000000004">
      <c r="A841" s="1078">
        <v>840</v>
      </c>
      <c r="B841" s="1078" t="s">
        <v>5525</v>
      </c>
      <c r="C841" s="1078" t="s">
        <v>5526</v>
      </c>
      <c r="D841" s="1078">
        <v>943</v>
      </c>
      <c r="E841" s="1078">
        <v>1</v>
      </c>
      <c r="F841" s="1078">
        <v>2300</v>
      </c>
      <c r="G841" s="1078">
        <v>1357</v>
      </c>
      <c r="H841" s="1078" t="s">
        <v>1397</v>
      </c>
    </row>
    <row r="842" spans="1:8" ht="22.5" x14ac:dyDescent="0.55000000000000004">
      <c r="A842" s="1078">
        <v>841</v>
      </c>
      <c r="B842" s="1078" t="s">
        <v>8343</v>
      </c>
      <c r="C842" s="1078" t="s">
        <v>8344</v>
      </c>
      <c r="D842" s="1078">
        <v>87200</v>
      </c>
      <c r="E842" s="1078">
        <v>4</v>
      </c>
      <c r="F842" s="1078">
        <v>100000</v>
      </c>
      <c r="G842" s="1078">
        <v>12800</v>
      </c>
      <c r="H842" s="1078" t="s">
        <v>57</v>
      </c>
    </row>
    <row r="843" spans="1:8" ht="22.5" x14ac:dyDescent="0.55000000000000004">
      <c r="A843" s="1078">
        <v>842</v>
      </c>
      <c r="B843" s="1078" t="s">
        <v>6213</v>
      </c>
      <c r="C843" s="1078" t="s">
        <v>6214</v>
      </c>
      <c r="D843" s="1078">
        <v>80000</v>
      </c>
      <c r="E843" s="1078">
        <v>1</v>
      </c>
      <c r="F843" s="1078">
        <v>115000</v>
      </c>
      <c r="G843" s="1078">
        <v>35000</v>
      </c>
      <c r="H843" s="1078" t="s">
        <v>57</v>
      </c>
    </row>
    <row r="844" spans="1:8" ht="22.5" x14ac:dyDescent="0.55000000000000004">
      <c r="A844" s="1078">
        <v>843</v>
      </c>
      <c r="B844" s="1078" t="s">
        <v>6620</v>
      </c>
      <c r="C844" s="1078" t="s">
        <v>6898</v>
      </c>
      <c r="D844" s="1078">
        <v>37000</v>
      </c>
      <c r="E844" s="1078">
        <v>1</v>
      </c>
      <c r="F844" s="1078">
        <v>45000</v>
      </c>
      <c r="G844" s="1078">
        <v>8000</v>
      </c>
      <c r="H844" s="1078" t="s">
        <v>57</v>
      </c>
    </row>
    <row r="845" spans="1:8" ht="22.5" x14ac:dyDescent="0.55000000000000004">
      <c r="A845" s="1078">
        <v>844</v>
      </c>
      <c r="B845" s="1078" t="s">
        <v>6899</v>
      </c>
      <c r="C845" s="1078" t="s">
        <v>6900</v>
      </c>
      <c r="D845" s="1078">
        <v>15000</v>
      </c>
      <c r="E845" s="1078">
        <v>1</v>
      </c>
      <c r="F845" s="1078">
        <v>20000</v>
      </c>
      <c r="G845" s="1078">
        <v>5000</v>
      </c>
      <c r="H845" s="1078" t="s">
        <v>57</v>
      </c>
    </row>
    <row r="846" spans="1:8" ht="22.5" x14ac:dyDescent="0.55000000000000004">
      <c r="A846" s="1078">
        <v>845</v>
      </c>
      <c r="B846" s="1078" t="s">
        <v>3303</v>
      </c>
      <c r="C846" s="1078" t="s">
        <v>7845</v>
      </c>
      <c r="D846" s="1078">
        <v>483000</v>
      </c>
      <c r="E846" s="1078">
        <v>1</v>
      </c>
      <c r="F846" s="1078">
        <v>530000</v>
      </c>
      <c r="G846" s="1078">
        <v>47000</v>
      </c>
      <c r="H846" s="1078" t="s">
        <v>1397</v>
      </c>
    </row>
    <row r="847" spans="1:8" ht="22.5" x14ac:dyDescent="0.55000000000000004">
      <c r="A847" s="1078">
        <v>846</v>
      </c>
      <c r="B847" s="1078" t="s">
        <v>8634</v>
      </c>
      <c r="C847" s="1078" t="s">
        <v>8635</v>
      </c>
      <c r="D847" s="1078">
        <v>920000</v>
      </c>
      <c r="E847" s="1078">
        <v>1</v>
      </c>
      <c r="F847" s="1078">
        <v>970000</v>
      </c>
      <c r="G847" s="1078">
        <v>50000</v>
      </c>
      <c r="H847" s="1078" t="s">
        <v>1397</v>
      </c>
    </row>
    <row r="848" spans="1:8" ht="22.5" x14ac:dyDescent="0.55000000000000004">
      <c r="A848" s="1078">
        <v>847</v>
      </c>
      <c r="B848" s="1078" t="s">
        <v>8636</v>
      </c>
      <c r="C848" s="1078" t="s">
        <v>8637</v>
      </c>
      <c r="D848" s="1078">
        <v>4851000</v>
      </c>
      <c r="E848" s="1078">
        <v>1</v>
      </c>
      <c r="F848" s="1078">
        <v>5101000</v>
      </c>
      <c r="G848" s="1078">
        <v>250000</v>
      </c>
      <c r="H848" s="1078" t="s">
        <v>1397</v>
      </c>
    </row>
    <row r="849" spans="1:8" ht="22.5" x14ac:dyDescent="0.55000000000000004">
      <c r="A849" s="1078">
        <v>848</v>
      </c>
      <c r="B849" s="1078" t="s">
        <v>1965</v>
      </c>
      <c r="C849" s="1078" t="s">
        <v>1966</v>
      </c>
      <c r="D849" s="1078">
        <v>2640</v>
      </c>
      <c r="E849" s="1078">
        <v>2</v>
      </c>
      <c r="F849" s="1078">
        <v>5000</v>
      </c>
      <c r="G849" s="1078">
        <v>2360</v>
      </c>
      <c r="H849" s="1078" t="s">
        <v>1877</v>
      </c>
    </row>
    <row r="850" spans="1:8" ht="22.5" x14ac:dyDescent="0.55000000000000004">
      <c r="A850" s="1078">
        <v>849</v>
      </c>
      <c r="B850" s="1078" t="s">
        <v>5598</v>
      </c>
      <c r="C850" s="1079" t="s">
        <v>5599</v>
      </c>
      <c r="D850" s="1078">
        <v>1270</v>
      </c>
      <c r="E850" s="1078">
        <v>1</v>
      </c>
      <c r="F850" s="1078">
        <v>3200</v>
      </c>
      <c r="G850" s="1078">
        <v>1930</v>
      </c>
      <c r="H850" s="1078" t="s">
        <v>1877</v>
      </c>
    </row>
    <row r="851" spans="1:8" ht="22.5" x14ac:dyDescent="0.55000000000000004">
      <c r="A851" s="1078">
        <v>850</v>
      </c>
      <c r="B851" s="1078" t="s">
        <v>5618</v>
      </c>
      <c r="C851" s="1078" t="s">
        <v>5619</v>
      </c>
      <c r="D851" s="1078">
        <v>3410</v>
      </c>
      <c r="E851" s="1078">
        <v>1</v>
      </c>
      <c r="F851" s="1078">
        <v>6000</v>
      </c>
      <c r="G851" s="1078">
        <v>2590</v>
      </c>
      <c r="H851" s="1078" t="s">
        <v>1877</v>
      </c>
    </row>
    <row r="852" spans="1:8" ht="22.5" x14ac:dyDescent="0.55000000000000004">
      <c r="A852" s="1078">
        <v>851</v>
      </c>
      <c r="B852" s="1078" t="s">
        <v>5625</v>
      </c>
      <c r="C852" s="1078" t="s">
        <v>5626</v>
      </c>
      <c r="D852" s="1078">
        <v>44842</v>
      </c>
      <c r="E852" s="1078">
        <v>1</v>
      </c>
      <c r="F852" s="1078">
        <v>60000</v>
      </c>
      <c r="G852" s="1078">
        <v>15158</v>
      </c>
      <c r="H852" s="1078" t="s">
        <v>1877</v>
      </c>
    </row>
    <row r="853" spans="1:8" ht="22.5" x14ac:dyDescent="0.55000000000000004">
      <c r="A853" s="1078">
        <v>852</v>
      </c>
      <c r="B853" s="1078" t="s">
        <v>1973</v>
      </c>
      <c r="C853" s="1078" t="s">
        <v>1974</v>
      </c>
      <c r="D853" s="1078">
        <v>7320</v>
      </c>
      <c r="E853" s="1078">
        <v>2</v>
      </c>
      <c r="F853" s="1078">
        <v>14500</v>
      </c>
      <c r="G853" s="1078">
        <v>7180</v>
      </c>
      <c r="H853" s="1078" t="s">
        <v>1877</v>
      </c>
    </row>
    <row r="854" spans="1:8" ht="22.5" x14ac:dyDescent="0.55000000000000004">
      <c r="A854" s="1078">
        <v>853</v>
      </c>
      <c r="B854" s="1078" t="s">
        <v>5634</v>
      </c>
      <c r="C854" s="1078" t="s">
        <v>5635</v>
      </c>
      <c r="D854" s="1078">
        <v>3470</v>
      </c>
      <c r="E854" s="1078">
        <v>1</v>
      </c>
      <c r="F854" s="1078">
        <v>6500</v>
      </c>
      <c r="G854" s="1078">
        <v>3030</v>
      </c>
      <c r="H854" s="1078" t="s">
        <v>1877</v>
      </c>
    </row>
    <row r="855" spans="1:8" ht="22.5" x14ac:dyDescent="0.55000000000000004">
      <c r="A855" s="1078">
        <v>854</v>
      </c>
      <c r="B855" s="1078" t="s">
        <v>1975</v>
      </c>
      <c r="C855" s="1078" t="s">
        <v>1976</v>
      </c>
      <c r="D855" s="1078">
        <v>1400</v>
      </c>
      <c r="E855" s="1078">
        <v>1</v>
      </c>
      <c r="F855" s="1078">
        <v>3500</v>
      </c>
      <c r="G855" s="1078">
        <v>2100</v>
      </c>
      <c r="H855" s="1078" t="s">
        <v>1877</v>
      </c>
    </row>
    <row r="856" spans="1:8" ht="22.5" x14ac:dyDescent="0.55000000000000004">
      <c r="A856" s="1078">
        <v>855</v>
      </c>
      <c r="B856" s="1078" t="s">
        <v>8638</v>
      </c>
      <c r="C856" s="1078" t="s">
        <v>8639</v>
      </c>
      <c r="D856" s="1078">
        <v>8270</v>
      </c>
      <c r="E856" s="1078">
        <v>1</v>
      </c>
      <c r="F856" s="1078">
        <v>19500</v>
      </c>
      <c r="G856" s="1078">
        <v>11230</v>
      </c>
      <c r="H856" s="1078" t="s">
        <v>1877</v>
      </c>
    </row>
    <row r="857" spans="1:8" ht="22.5" x14ac:dyDescent="0.55000000000000004">
      <c r="A857" s="1078">
        <v>856</v>
      </c>
      <c r="B857" s="1078" t="s">
        <v>5711</v>
      </c>
      <c r="C857" s="1078" t="s">
        <v>7460</v>
      </c>
      <c r="D857" s="1078">
        <v>17040</v>
      </c>
      <c r="E857" s="1078">
        <v>3</v>
      </c>
      <c r="F857" s="1078">
        <v>36000</v>
      </c>
      <c r="G857" s="1078">
        <v>18960</v>
      </c>
      <c r="H857" s="1078" t="s">
        <v>1877</v>
      </c>
    </row>
    <row r="858" spans="1:8" ht="22.5" x14ac:dyDescent="0.55000000000000004">
      <c r="A858" s="1078">
        <v>857</v>
      </c>
      <c r="B858" s="1078" t="s">
        <v>5720</v>
      </c>
      <c r="C858" s="1078" t="s">
        <v>5721</v>
      </c>
      <c r="D858" s="1078">
        <v>1200</v>
      </c>
      <c r="E858" s="1078">
        <v>1</v>
      </c>
      <c r="F858" s="1078">
        <v>2500</v>
      </c>
      <c r="G858" s="1078">
        <v>1300</v>
      </c>
      <c r="H858" s="1078" t="s">
        <v>1877</v>
      </c>
    </row>
    <row r="859" spans="1:8" ht="22.5" x14ac:dyDescent="0.55000000000000004">
      <c r="A859" s="1078">
        <v>858</v>
      </c>
      <c r="B859" s="1078" t="s">
        <v>5739</v>
      </c>
      <c r="C859" s="1078" t="s">
        <v>5740</v>
      </c>
      <c r="D859" s="1078">
        <v>3840</v>
      </c>
      <c r="E859" s="1078">
        <v>2</v>
      </c>
      <c r="F859" s="1078">
        <v>10000</v>
      </c>
      <c r="G859" s="1078">
        <v>6160</v>
      </c>
      <c r="H859" s="1078" t="s">
        <v>1877</v>
      </c>
    </row>
    <row r="860" spans="1:8" ht="22.5" x14ac:dyDescent="0.55000000000000004">
      <c r="A860" s="1078">
        <v>859</v>
      </c>
      <c r="B860" s="1078" t="s">
        <v>1999</v>
      </c>
      <c r="C860" s="1078" t="s">
        <v>2000</v>
      </c>
      <c r="D860" s="1078">
        <v>472</v>
      </c>
      <c r="E860" s="1078">
        <v>2</v>
      </c>
      <c r="F860" s="1078">
        <v>1200</v>
      </c>
      <c r="G860" s="1078">
        <v>728</v>
      </c>
      <c r="H860" s="1078" t="s">
        <v>1877</v>
      </c>
    </row>
    <row r="861" spans="1:8" ht="22.5" x14ac:dyDescent="0.55000000000000004">
      <c r="A861" s="1078">
        <v>860</v>
      </c>
      <c r="B861" s="1078" t="s">
        <v>5770</v>
      </c>
      <c r="C861" s="1079" t="s">
        <v>5771</v>
      </c>
      <c r="D861" s="1078">
        <v>900</v>
      </c>
      <c r="E861" s="1078">
        <v>1</v>
      </c>
      <c r="F861" s="1078">
        <v>1500</v>
      </c>
      <c r="G861" s="1078">
        <v>600</v>
      </c>
      <c r="H861" s="1078" t="s">
        <v>1877</v>
      </c>
    </row>
    <row r="862" spans="1:8" ht="22.5" x14ac:dyDescent="0.55000000000000004">
      <c r="A862" s="1078">
        <v>861</v>
      </c>
      <c r="B862" s="1078" t="s">
        <v>2558</v>
      </c>
      <c r="C862" s="1078" t="s">
        <v>2559</v>
      </c>
      <c r="D862" s="1078">
        <v>2090</v>
      </c>
      <c r="E862" s="1078">
        <v>1</v>
      </c>
      <c r="F862" s="1078">
        <v>4500</v>
      </c>
      <c r="G862" s="1078">
        <v>2410</v>
      </c>
      <c r="H862" s="1078" t="s">
        <v>1877</v>
      </c>
    </row>
    <row r="863" spans="1:8" ht="22.5" x14ac:dyDescent="0.55000000000000004">
      <c r="A863" s="1078">
        <v>862</v>
      </c>
      <c r="B863" s="1078" t="s">
        <v>5789</v>
      </c>
      <c r="C863" s="1078" t="s">
        <v>5790</v>
      </c>
      <c r="D863" s="1078">
        <v>3280</v>
      </c>
      <c r="E863" s="1078">
        <v>1</v>
      </c>
      <c r="F863" s="1078">
        <v>11000</v>
      </c>
      <c r="G863" s="1078">
        <v>7720</v>
      </c>
      <c r="H863" s="1078" t="s">
        <v>1877</v>
      </c>
    </row>
    <row r="864" spans="1:8" ht="22.5" x14ac:dyDescent="0.55000000000000004">
      <c r="A864" s="1078">
        <v>863</v>
      </c>
      <c r="B864" s="1078" t="s">
        <v>5814</v>
      </c>
      <c r="C864" s="1078" t="s">
        <v>5815</v>
      </c>
      <c r="D864" s="1078">
        <v>3812</v>
      </c>
      <c r="E864" s="1078">
        <v>2</v>
      </c>
      <c r="F864" s="1078">
        <v>9000</v>
      </c>
      <c r="G864" s="1078">
        <v>5188</v>
      </c>
      <c r="H864" s="1078" t="s">
        <v>1877</v>
      </c>
    </row>
    <row r="865" spans="1:8" ht="22.5" x14ac:dyDescent="0.55000000000000004">
      <c r="A865" s="1078">
        <v>864</v>
      </c>
      <c r="B865" s="1078" t="s">
        <v>5827</v>
      </c>
      <c r="C865" s="1078" t="s">
        <v>7859</v>
      </c>
      <c r="D865" s="1078">
        <v>1374</v>
      </c>
      <c r="E865" s="1078">
        <v>2</v>
      </c>
      <c r="F865" s="1078">
        <v>4000</v>
      </c>
      <c r="G865" s="1078">
        <v>2626</v>
      </c>
      <c r="H865" s="1078" t="s">
        <v>1877</v>
      </c>
    </row>
    <row r="866" spans="1:8" ht="22.5" x14ac:dyDescent="0.55000000000000004">
      <c r="A866" s="1078">
        <v>865</v>
      </c>
      <c r="B866" s="1078" t="s">
        <v>2012</v>
      </c>
      <c r="C866" s="1078" t="s">
        <v>2013</v>
      </c>
      <c r="D866" s="1078">
        <v>950</v>
      </c>
      <c r="E866" s="1078">
        <v>1</v>
      </c>
      <c r="F866" s="1078">
        <v>2000</v>
      </c>
      <c r="G866" s="1078">
        <v>1050</v>
      </c>
      <c r="H866" s="1078" t="s">
        <v>1877</v>
      </c>
    </row>
    <row r="867" spans="1:8" ht="22.5" x14ac:dyDescent="0.55000000000000004">
      <c r="A867" s="1078">
        <v>866</v>
      </c>
      <c r="B867" s="1078" t="s">
        <v>5864</v>
      </c>
      <c r="C867" s="1078" t="s">
        <v>5865</v>
      </c>
      <c r="D867" s="1078">
        <v>968</v>
      </c>
      <c r="E867" s="1078">
        <v>1</v>
      </c>
      <c r="F867" s="1078">
        <v>2000</v>
      </c>
      <c r="G867" s="1078">
        <v>1032</v>
      </c>
      <c r="H867" s="1078" t="s">
        <v>1877</v>
      </c>
    </row>
    <row r="868" spans="1:8" ht="22.5" x14ac:dyDescent="0.55000000000000004">
      <c r="A868" s="1078">
        <v>867</v>
      </c>
      <c r="B868" s="1078" t="s">
        <v>5878</v>
      </c>
      <c r="C868" s="1078" t="s">
        <v>5879</v>
      </c>
      <c r="D868" s="1078">
        <v>2428</v>
      </c>
      <c r="E868" s="1078">
        <v>2</v>
      </c>
      <c r="F868" s="1078">
        <v>4000</v>
      </c>
      <c r="G868" s="1078">
        <v>1572</v>
      </c>
      <c r="H868" s="1078" t="s">
        <v>1877</v>
      </c>
    </row>
    <row r="869" spans="1:8" ht="22.5" x14ac:dyDescent="0.55000000000000004">
      <c r="A869" s="1078">
        <v>868</v>
      </c>
      <c r="B869" s="1078" t="s">
        <v>8640</v>
      </c>
      <c r="C869" s="1078" t="s">
        <v>8641</v>
      </c>
      <c r="D869" s="1078">
        <v>1085</v>
      </c>
      <c r="E869" s="1078">
        <v>1</v>
      </c>
      <c r="F869" s="1078">
        <v>2000</v>
      </c>
      <c r="G869" s="1078">
        <v>915</v>
      </c>
      <c r="H869" s="1078" t="s">
        <v>1877</v>
      </c>
    </row>
    <row r="870" spans="1:8" ht="22.5" x14ac:dyDescent="0.55000000000000004">
      <c r="A870" s="1078">
        <v>869</v>
      </c>
      <c r="B870" s="1078" t="s">
        <v>5882</v>
      </c>
      <c r="C870" s="1078" t="s">
        <v>5883</v>
      </c>
      <c r="D870" s="1078">
        <v>12180</v>
      </c>
      <c r="E870" s="1078">
        <v>1</v>
      </c>
      <c r="F870" s="1078">
        <v>22500</v>
      </c>
      <c r="G870" s="1078">
        <v>10320</v>
      </c>
      <c r="H870" s="1078" t="s">
        <v>1877</v>
      </c>
    </row>
    <row r="871" spans="1:8" ht="22.5" x14ac:dyDescent="0.55000000000000004">
      <c r="A871" s="689">
        <v>870</v>
      </c>
      <c r="B871" s="690" t="s">
        <v>5894</v>
      </c>
      <c r="C871" s="689" t="s">
        <v>5895</v>
      </c>
      <c r="D871" s="252">
        <v>6420</v>
      </c>
      <c r="E871" s="252">
        <v>6</v>
      </c>
      <c r="F871" s="252">
        <v>15000</v>
      </c>
      <c r="G871" s="252">
        <v>8580</v>
      </c>
      <c r="H871" s="689" t="s">
        <v>1877</v>
      </c>
    </row>
    <row r="872" spans="1:8" ht="22.5" x14ac:dyDescent="0.55000000000000004">
      <c r="A872" s="689">
        <v>871</v>
      </c>
      <c r="B872" s="690" t="s">
        <v>5896</v>
      </c>
      <c r="C872" s="689" t="s">
        <v>5897</v>
      </c>
      <c r="D872" s="252">
        <v>625</v>
      </c>
      <c r="E872" s="252">
        <v>1</v>
      </c>
      <c r="F872" s="252">
        <v>1000</v>
      </c>
      <c r="G872" s="252">
        <v>375</v>
      </c>
      <c r="H872" s="689" t="s">
        <v>1877</v>
      </c>
    </row>
    <row r="873" spans="1:8" ht="22.5" x14ac:dyDescent="0.55000000000000004">
      <c r="A873" s="689">
        <v>872</v>
      </c>
      <c r="B873" s="690" t="s">
        <v>5900</v>
      </c>
      <c r="C873" s="689" t="s">
        <v>5901</v>
      </c>
      <c r="D873" s="252">
        <v>1870</v>
      </c>
      <c r="E873" s="252">
        <v>1</v>
      </c>
      <c r="F873" s="252">
        <v>4500</v>
      </c>
      <c r="G873" s="252">
        <v>2630</v>
      </c>
      <c r="H873" s="689" t="s">
        <v>1877</v>
      </c>
    </row>
    <row r="874" spans="1:8" ht="22.5" x14ac:dyDescent="0.55000000000000004">
      <c r="A874" s="689">
        <v>873</v>
      </c>
      <c r="B874" s="690" t="s">
        <v>5902</v>
      </c>
      <c r="C874" s="689" t="s">
        <v>5903</v>
      </c>
      <c r="D874" s="252">
        <v>900</v>
      </c>
      <c r="E874" s="252">
        <v>2</v>
      </c>
      <c r="F874" s="252">
        <v>1400</v>
      </c>
      <c r="G874" s="252">
        <v>500</v>
      </c>
      <c r="H874" s="689" t="s">
        <v>1877</v>
      </c>
    </row>
    <row r="875" spans="1:8" ht="22.5" x14ac:dyDescent="0.55000000000000004">
      <c r="A875" s="689">
        <v>874</v>
      </c>
      <c r="B875" s="690" t="s">
        <v>5904</v>
      </c>
      <c r="C875" s="689" t="s">
        <v>5905</v>
      </c>
      <c r="D875" s="252">
        <v>950</v>
      </c>
      <c r="E875" s="252">
        <v>1</v>
      </c>
      <c r="F875" s="252">
        <v>3000</v>
      </c>
      <c r="G875" s="252">
        <v>2050</v>
      </c>
      <c r="H875" s="689" t="s">
        <v>1877</v>
      </c>
    </row>
    <row r="876" spans="1:8" ht="22.5" x14ac:dyDescent="0.55000000000000004">
      <c r="A876" s="689">
        <v>875</v>
      </c>
      <c r="B876" s="690" t="s">
        <v>5917</v>
      </c>
      <c r="C876" s="689" t="s">
        <v>7465</v>
      </c>
      <c r="D876" s="252">
        <v>3360</v>
      </c>
      <c r="E876" s="252">
        <v>2</v>
      </c>
      <c r="F876" s="252">
        <v>7500</v>
      </c>
      <c r="G876" s="252">
        <v>4140</v>
      </c>
      <c r="H876" s="689" t="s">
        <v>1877</v>
      </c>
    </row>
    <row r="877" spans="1:8" ht="22.5" x14ac:dyDescent="0.55000000000000004">
      <c r="A877" s="689">
        <v>876</v>
      </c>
      <c r="B877" s="690" t="s">
        <v>5926</v>
      </c>
      <c r="C877" s="689" t="s">
        <v>5927</v>
      </c>
      <c r="D877" s="252">
        <v>3600</v>
      </c>
      <c r="E877" s="252">
        <v>4</v>
      </c>
      <c r="F877" s="252">
        <v>8000</v>
      </c>
      <c r="G877" s="252">
        <v>4400</v>
      </c>
      <c r="H877" s="689" t="s">
        <v>1877</v>
      </c>
    </row>
    <row r="878" spans="1:8" ht="22.5" x14ac:dyDescent="0.55000000000000004">
      <c r="A878" s="689">
        <v>877</v>
      </c>
      <c r="B878" s="690" t="s">
        <v>5933</v>
      </c>
      <c r="C878" s="689" t="s">
        <v>5934</v>
      </c>
      <c r="D878" s="252">
        <v>4220</v>
      </c>
      <c r="E878" s="252">
        <v>1</v>
      </c>
      <c r="F878" s="252">
        <v>7000</v>
      </c>
      <c r="G878" s="252">
        <v>2780</v>
      </c>
      <c r="H878" s="689" t="s">
        <v>1877</v>
      </c>
    </row>
    <row r="879" spans="1:8" ht="22.5" x14ac:dyDescent="0.55000000000000004">
      <c r="A879" s="689">
        <v>878</v>
      </c>
      <c r="B879" s="690" t="s">
        <v>2021</v>
      </c>
      <c r="C879" s="689" t="s">
        <v>2022</v>
      </c>
      <c r="D879" s="252">
        <v>5240</v>
      </c>
      <c r="E879" s="252">
        <v>2</v>
      </c>
      <c r="F879" s="252">
        <v>11000</v>
      </c>
      <c r="G879" s="252">
        <v>5760</v>
      </c>
      <c r="H879" s="689" t="s">
        <v>1877</v>
      </c>
    </row>
    <row r="880" spans="1:8" ht="22.5" x14ac:dyDescent="0.55000000000000004">
      <c r="A880" s="689">
        <v>879</v>
      </c>
      <c r="B880" s="690" t="s">
        <v>2023</v>
      </c>
      <c r="C880" s="689" t="s">
        <v>2024</v>
      </c>
      <c r="D880" s="252">
        <v>5640</v>
      </c>
      <c r="E880" s="252">
        <v>1</v>
      </c>
      <c r="F880" s="252">
        <v>9000</v>
      </c>
      <c r="G880" s="252">
        <v>3360</v>
      </c>
      <c r="H880" s="689" t="s">
        <v>1877</v>
      </c>
    </row>
    <row r="881" spans="1:8" ht="22.5" x14ac:dyDescent="0.55000000000000004">
      <c r="A881" s="689">
        <v>880</v>
      </c>
      <c r="B881" s="690" t="s">
        <v>5940</v>
      </c>
      <c r="C881" s="689" t="s">
        <v>5941</v>
      </c>
      <c r="D881" s="252">
        <v>4460</v>
      </c>
      <c r="E881" s="252">
        <v>2</v>
      </c>
      <c r="F881" s="252">
        <v>9500</v>
      </c>
      <c r="G881" s="252">
        <v>5040</v>
      </c>
      <c r="H881" s="689" t="s">
        <v>1877</v>
      </c>
    </row>
    <row r="882" spans="1:8" ht="22.5" x14ac:dyDescent="0.55000000000000004">
      <c r="A882" s="689">
        <v>881</v>
      </c>
      <c r="B882" s="690" t="s">
        <v>5992</v>
      </c>
      <c r="C882" s="689" t="s">
        <v>5993</v>
      </c>
      <c r="D882" s="252">
        <v>1990</v>
      </c>
      <c r="E882" s="252">
        <v>1</v>
      </c>
      <c r="F882" s="252">
        <v>4000</v>
      </c>
      <c r="G882" s="252">
        <v>2010</v>
      </c>
      <c r="H882" s="689" t="s">
        <v>1877</v>
      </c>
    </row>
    <row r="883" spans="1:8" ht="22.5" x14ac:dyDescent="0.55000000000000004">
      <c r="A883" s="689">
        <v>882</v>
      </c>
      <c r="B883" s="690" t="s">
        <v>6046</v>
      </c>
      <c r="C883" s="689" t="s">
        <v>7876</v>
      </c>
      <c r="D883" s="252">
        <v>1014</v>
      </c>
      <c r="E883" s="252">
        <v>1</v>
      </c>
      <c r="F883" s="252">
        <v>2000</v>
      </c>
      <c r="G883" s="252">
        <v>986</v>
      </c>
      <c r="H883" s="689" t="s">
        <v>1877</v>
      </c>
    </row>
    <row r="884" spans="1:8" ht="22.5" x14ac:dyDescent="0.55000000000000004">
      <c r="A884" s="689">
        <v>883</v>
      </c>
      <c r="B884" s="690" t="s">
        <v>6080</v>
      </c>
      <c r="C884" s="689" t="s">
        <v>6081</v>
      </c>
      <c r="D884" s="252">
        <v>5230</v>
      </c>
      <c r="E884" s="252">
        <v>1</v>
      </c>
      <c r="F884" s="252">
        <v>8000</v>
      </c>
      <c r="G884" s="252">
        <v>2770</v>
      </c>
      <c r="H884" s="689" t="s">
        <v>1877</v>
      </c>
    </row>
    <row r="885" spans="1:8" ht="22.5" x14ac:dyDescent="0.55000000000000004">
      <c r="A885" s="689">
        <v>884</v>
      </c>
      <c r="B885" s="690" t="s">
        <v>6084</v>
      </c>
      <c r="C885" s="689" t="s">
        <v>6085</v>
      </c>
      <c r="D885" s="252">
        <v>9510</v>
      </c>
      <c r="E885" s="252">
        <v>1</v>
      </c>
      <c r="F885" s="252">
        <v>25000</v>
      </c>
      <c r="G885" s="252">
        <v>15490</v>
      </c>
      <c r="H885" s="689" t="s">
        <v>1877</v>
      </c>
    </row>
    <row r="886" spans="1:8" ht="22.5" x14ac:dyDescent="0.55000000000000004">
      <c r="A886" s="689">
        <v>885</v>
      </c>
      <c r="B886" s="690" t="s">
        <v>6098</v>
      </c>
      <c r="C886" s="689" t="s">
        <v>6099</v>
      </c>
      <c r="D886" s="252">
        <v>750</v>
      </c>
      <c r="E886" s="252">
        <v>1</v>
      </c>
      <c r="F886" s="252">
        <v>1500</v>
      </c>
      <c r="G886" s="252">
        <v>750</v>
      </c>
      <c r="H886" s="689" t="s">
        <v>1877</v>
      </c>
    </row>
    <row r="887" spans="1:8" ht="22.5" x14ac:dyDescent="0.55000000000000004">
      <c r="A887" s="689"/>
      <c r="B887" s="690"/>
      <c r="C887" s="689" t="s">
        <v>6</v>
      </c>
      <c r="D887" s="252">
        <v>28228230</v>
      </c>
      <c r="E887" s="252">
        <v>3328</v>
      </c>
      <c r="F887" s="252">
        <v>34110000</v>
      </c>
      <c r="G887" s="252">
        <v>5881770</v>
      </c>
      <c r="H887" s="689"/>
    </row>
    <row r="888" spans="1:8" ht="22.5" x14ac:dyDescent="0.55000000000000004">
      <c r="A888" s="689"/>
      <c r="B888" s="690"/>
      <c r="C888" s="689"/>
      <c r="D888" s="252"/>
      <c r="E888" s="252"/>
      <c r="F888" s="252"/>
      <c r="G888" s="252"/>
      <c r="H888" s="689"/>
    </row>
    <row r="889" spans="1:8" ht="22.5" x14ac:dyDescent="0.55000000000000004">
      <c r="A889" s="689"/>
      <c r="B889" s="690"/>
      <c r="C889" s="689"/>
      <c r="D889" s="252"/>
      <c r="E889" s="252"/>
      <c r="F889" s="252"/>
      <c r="G889" s="252"/>
      <c r="H889" s="689"/>
    </row>
    <row r="890" spans="1:8" ht="22.5" x14ac:dyDescent="0.55000000000000004">
      <c r="A890" s="689"/>
      <c r="B890" s="690"/>
      <c r="C890" s="689"/>
      <c r="D890" s="252"/>
      <c r="E890" s="252"/>
      <c r="F890" s="252"/>
      <c r="G890" s="252"/>
      <c r="H890" s="689"/>
    </row>
    <row r="891" spans="1:8" ht="22.5" x14ac:dyDescent="0.55000000000000004">
      <c r="A891" s="689"/>
      <c r="B891" s="690"/>
      <c r="C891" s="689"/>
      <c r="D891" s="252"/>
      <c r="E891" s="252"/>
      <c r="F891" s="252"/>
      <c r="G891" s="252"/>
      <c r="H891" s="689"/>
    </row>
    <row r="892" spans="1:8" ht="22.5" x14ac:dyDescent="0.55000000000000004">
      <c r="A892" s="689"/>
      <c r="B892" s="690"/>
      <c r="C892" s="689"/>
      <c r="D892" s="252"/>
      <c r="E892" s="252"/>
      <c r="F892" s="252"/>
      <c r="G892" s="252"/>
      <c r="H892" s="689"/>
    </row>
    <row r="893" spans="1:8" ht="22.5" x14ac:dyDescent="0.55000000000000004">
      <c r="A893" s="689"/>
      <c r="B893" s="690"/>
      <c r="C893" s="689"/>
      <c r="D893" s="252"/>
      <c r="E893" s="252"/>
      <c r="F893" s="252"/>
      <c r="G893" s="252"/>
      <c r="H893" s="689"/>
    </row>
    <row r="894" spans="1:8" ht="22.5" x14ac:dyDescent="0.55000000000000004">
      <c r="A894" s="689"/>
      <c r="B894" s="690"/>
      <c r="C894" s="689"/>
      <c r="D894" s="252"/>
      <c r="E894" s="252"/>
      <c r="F894" s="252"/>
      <c r="G894" s="252"/>
      <c r="H894" s="689"/>
    </row>
    <row r="895" spans="1:8" ht="22.5" x14ac:dyDescent="0.55000000000000004">
      <c r="A895" s="689"/>
      <c r="B895" s="690"/>
      <c r="C895" s="689"/>
      <c r="D895" s="252"/>
      <c r="E895" s="252"/>
      <c r="F895" s="252"/>
      <c r="G895" s="252"/>
      <c r="H895" s="689"/>
    </row>
    <row r="896" spans="1:8" ht="22.5" x14ac:dyDescent="0.55000000000000004">
      <c r="A896" s="689"/>
      <c r="B896" s="690"/>
      <c r="C896" s="689"/>
      <c r="D896" s="252"/>
      <c r="E896" s="252"/>
      <c r="F896" s="252"/>
      <c r="G896" s="252"/>
      <c r="H896" s="689"/>
    </row>
    <row r="897" spans="1:8" ht="22.5" x14ac:dyDescent="0.55000000000000004">
      <c r="A897" s="689"/>
      <c r="B897" s="690"/>
      <c r="C897" s="689"/>
      <c r="D897" s="252"/>
      <c r="E897" s="252"/>
      <c r="F897" s="252"/>
      <c r="G897" s="252"/>
      <c r="H897" s="689"/>
    </row>
    <row r="898" spans="1:8" ht="22.5" x14ac:dyDescent="0.55000000000000004">
      <c r="A898" s="689"/>
      <c r="B898" s="690"/>
      <c r="C898" s="689"/>
      <c r="D898" s="252"/>
      <c r="E898" s="252"/>
      <c r="F898" s="252"/>
      <c r="G898" s="252"/>
      <c r="H898" s="689"/>
    </row>
    <row r="899" spans="1:8" ht="22.5" x14ac:dyDescent="0.55000000000000004">
      <c r="A899" s="689"/>
      <c r="B899" s="690"/>
      <c r="C899" s="689"/>
      <c r="D899" s="252"/>
      <c r="E899" s="252"/>
      <c r="F899" s="252"/>
      <c r="G899" s="252"/>
      <c r="H899" s="689"/>
    </row>
    <row r="900" spans="1:8" ht="22.5" x14ac:dyDescent="0.55000000000000004">
      <c r="A900" s="689"/>
      <c r="B900" s="690"/>
      <c r="C900" s="689"/>
      <c r="D900" s="252"/>
      <c r="E900" s="252"/>
      <c r="F900" s="252"/>
      <c r="G900" s="252"/>
      <c r="H900" s="689"/>
    </row>
    <row r="901" spans="1:8" ht="22.5" x14ac:dyDescent="0.55000000000000004">
      <c r="A901" s="689"/>
      <c r="B901" s="690"/>
      <c r="C901" s="689"/>
      <c r="D901" s="252"/>
      <c r="E901" s="252"/>
      <c r="F901" s="252"/>
      <c r="G901" s="252"/>
      <c r="H901" s="689"/>
    </row>
    <row r="902" spans="1:8" ht="22.5" x14ac:dyDescent="0.55000000000000004">
      <c r="A902" s="689"/>
      <c r="B902" s="690"/>
      <c r="C902" s="689"/>
      <c r="D902" s="252"/>
      <c r="E902" s="252"/>
      <c r="F902" s="252"/>
      <c r="G902" s="252"/>
      <c r="H902" s="689"/>
    </row>
    <row r="903" spans="1:8" ht="22.5" x14ac:dyDescent="0.55000000000000004">
      <c r="A903" s="689"/>
      <c r="B903" s="690"/>
      <c r="C903" s="689"/>
      <c r="D903" s="252"/>
      <c r="E903" s="252"/>
      <c r="F903" s="252"/>
      <c r="G903" s="252"/>
      <c r="H903" s="689"/>
    </row>
    <row r="904" spans="1:8" ht="22.5" x14ac:dyDescent="0.55000000000000004">
      <c r="A904" s="689"/>
      <c r="B904" s="690"/>
      <c r="C904" s="689"/>
      <c r="D904" s="252"/>
      <c r="E904" s="252"/>
      <c r="F904" s="252"/>
      <c r="G904" s="252"/>
      <c r="H904" s="689"/>
    </row>
    <row r="905" spans="1:8" ht="22.5" x14ac:dyDescent="0.55000000000000004">
      <c r="A905" s="689"/>
      <c r="B905" s="690"/>
      <c r="C905" s="689"/>
      <c r="D905" s="252"/>
      <c r="E905" s="252"/>
      <c r="F905" s="252"/>
      <c r="G905" s="252"/>
      <c r="H905" s="689"/>
    </row>
    <row r="906" spans="1:8" ht="22.5" x14ac:dyDescent="0.55000000000000004">
      <c r="A906" s="689"/>
      <c r="B906" s="690"/>
      <c r="C906" s="689"/>
      <c r="D906" s="252"/>
      <c r="E906" s="252"/>
      <c r="F906" s="252"/>
      <c r="G906" s="252"/>
      <c r="H906" s="689"/>
    </row>
    <row r="907" spans="1:8" ht="22.5" x14ac:dyDescent="0.55000000000000004">
      <c r="A907" s="689"/>
      <c r="B907" s="690"/>
      <c r="C907" s="689"/>
      <c r="D907" s="252"/>
      <c r="E907" s="252"/>
      <c r="F907" s="252"/>
      <c r="G907" s="252"/>
      <c r="H907" s="689"/>
    </row>
    <row r="908" spans="1:8" ht="22.5" x14ac:dyDescent="0.55000000000000004">
      <c r="A908" s="689"/>
      <c r="B908" s="690"/>
      <c r="C908" s="689"/>
      <c r="D908" s="252"/>
      <c r="E908" s="252"/>
      <c r="F908" s="252"/>
      <c r="G908" s="252"/>
      <c r="H908" s="689"/>
    </row>
    <row r="909" spans="1:8" ht="22.5" x14ac:dyDescent="0.55000000000000004">
      <c r="A909" s="689"/>
      <c r="B909" s="690"/>
      <c r="C909" s="689"/>
      <c r="D909" s="252"/>
      <c r="E909" s="252"/>
      <c r="F909" s="252"/>
      <c r="G909" s="252"/>
      <c r="H909" s="689"/>
    </row>
    <row r="910" spans="1:8" ht="22.5" x14ac:dyDescent="0.55000000000000004">
      <c r="A910" s="689"/>
      <c r="B910" s="690"/>
      <c r="C910" s="689"/>
      <c r="D910" s="252"/>
      <c r="E910" s="252"/>
      <c r="F910" s="252"/>
      <c r="G910" s="252"/>
      <c r="H910" s="689"/>
    </row>
    <row r="911" spans="1:8" ht="22.5" x14ac:dyDescent="0.55000000000000004">
      <c r="A911" s="689"/>
      <c r="B911" s="690"/>
      <c r="C911" s="689"/>
      <c r="D911" s="252"/>
      <c r="E911" s="252"/>
      <c r="F911" s="252"/>
      <c r="G911" s="252"/>
      <c r="H911" s="689"/>
    </row>
    <row r="912" spans="1:8" ht="22.5" x14ac:dyDescent="0.55000000000000004">
      <c r="A912" s="689"/>
      <c r="B912" s="690"/>
      <c r="C912" s="689"/>
      <c r="D912" s="252"/>
      <c r="E912" s="252"/>
      <c r="F912" s="252"/>
      <c r="G912" s="252"/>
      <c r="H912" s="689"/>
    </row>
    <row r="913" spans="1:8" ht="22.5" x14ac:dyDescent="0.55000000000000004">
      <c r="A913" s="689"/>
      <c r="B913" s="690"/>
      <c r="C913" s="689"/>
      <c r="D913" s="252"/>
      <c r="E913" s="252"/>
      <c r="F913" s="252"/>
      <c r="G913" s="252"/>
      <c r="H913" s="689"/>
    </row>
    <row r="914" spans="1:8" ht="22.5" x14ac:dyDescent="0.55000000000000004">
      <c r="A914" s="689"/>
      <c r="B914" s="690"/>
      <c r="C914" s="689"/>
      <c r="D914" s="252"/>
      <c r="E914" s="252"/>
      <c r="F914" s="252"/>
      <c r="G914" s="252"/>
      <c r="H914" s="689"/>
    </row>
    <row r="915" spans="1:8" ht="22.5" x14ac:dyDescent="0.55000000000000004">
      <c r="A915" s="689"/>
      <c r="B915" s="690"/>
      <c r="C915" s="689"/>
      <c r="D915" s="252"/>
      <c r="E915" s="252"/>
      <c r="F915" s="252"/>
      <c r="G915" s="252"/>
      <c r="H915" s="689"/>
    </row>
    <row r="916" spans="1:8" ht="22.5" x14ac:dyDescent="0.55000000000000004">
      <c r="A916" s="689"/>
      <c r="B916" s="690"/>
      <c r="C916" s="689"/>
      <c r="D916" s="252"/>
      <c r="E916" s="252"/>
      <c r="F916" s="252"/>
      <c r="G916" s="252"/>
      <c r="H916" s="689"/>
    </row>
    <row r="917" spans="1:8" ht="22.5" x14ac:dyDescent="0.55000000000000004">
      <c r="A917" s="689"/>
      <c r="B917" s="690"/>
      <c r="C917" s="689"/>
      <c r="D917" s="252"/>
      <c r="E917" s="252"/>
      <c r="F917" s="252"/>
      <c r="G917" s="252"/>
      <c r="H917" s="689"/>
    </row>
    <row r="918" spans="1:8" ht="22.5" x14ac:dyDescent="0.55000000000000004">
      <c r="A918" s="689"/>
      <c r="B918" s="690"/>
      <c r="C918" s="689"/>
      <c r="D918" s="252"/>
      <c r="E918" s="252"/>
      <c r="F918" s="252"/>
      <c r="G918" s="252"/>
      <c r="H918" s="689"/>
    </row>
    <row r="919" spans="1:8" ht="22.5" x14ac:dyDescent="0.55000000000000004">
      <c r="A919" s="689"/>
      <c r="B919" s="690"/>
      <c r="C919" s="689"/>
      <c r="D919" s="252"/>
      <c r="E919" s="252"/>
      <c r="F919" s="252"/>
      <c r="G919" s="252"/>
      <c r="H919" s="689"/>
    </row>
    <row r="920" spans="1:8" ht="22.5" x14ac:dyDescent="0.55000000000000004">
      <c r="A920" s="689"/>
      <c r="B920" s="690"/>
      <c r="C920" s="689"/>
      <c r="D920" s="252"/>
      <c r="E920" s="252"/>
      <c r="F920" s="252"/>
      <c r="G920" s="252"/>
      <c r="H920" s="689"/>
    </row>
    <row r="921" spans="1:8" ht="22.5" x14ac:dyDescent="0.55000000000000004">
      <c r="A921" s="689"/>
      <c r="B921" s="690"/>
      <c r="C921" s="689"/>
      <c r="D921" s="252"/>
      <c r="E921" s="252"/>
      <c r="F921" s="252"/>
      <c r="G921" s="252"/>
      <c r="H921" s="689"/>
    </row>
    <row r="922" spans="1:8" ht="22.5" x14ac:dyDescent="0.55000000000000004">
      <c r="A922" s="689"/>
      <c r="B922" s="690"/>
      <c r="C922" s="689"/>
      <c r="D922" s="252"/>
      <c r="E922" s="252"/>
      <c r="F922" s="252"/>
      <c r="G922" s="252"/>
      <c r="H922" s="689"/>
    </row>
    <row r="923" spans="1:8" ht="22.5" x14ac:dyDescent="0.55000000000000004">
      <c r="A923" s="689"/>
      <c r="B923" s="690"/>
      <c r="C923" s="689"/>
      <c r="D923" s="252"/>
      <c r="E923" s="252"/>
      <c r="F923" s="252"/>
      <c r="G923" s="252"/>
      <c r="H923" s="689"/>
    </row>
    <row r="924" spans="1:8" ht="22.5" x14ac:dyDescent="0.55000000000000004">
      <c r="A924" s="689"/>
      <c r="B924" s="690"/>
      <c r="C924" s="689"/>
      <c r="D924" s="252"/>
      <c r="E924" s="252"/>
      <c r="F924" s="252"/>
      <c r="G924" s="252"/>
      <c r="H924" s="689"/>
    </row>
    <row r="925" spans="1:8" ht="22.5" x14ac:dyDescent="0.55000000000000004">
      <c r="A925" s="689"/>
      <c r="B925" s="690"/>
      <c r="C925" s="689"/>
      <c r="D925" s="252"/>
      <c r="E925" s="252"/>
      <c r="F925" s="252"/>
      <c r="G925" s="252"/>
      <c r="H925" s="689"/>
    </row>
    <row r="926" spans="1:8" ht="22.5" x14ac:dyDescent="0.55000000000000004">
      <c r="A926" s="689"/>
      <c r="B926" s="690"/>
      <c r="C926" s="689"/>
      <c r="D926" s="252"/>
      <c r="E926" s="252"/>
      <c r="F926" s="252"/>
      <c r="G926" s="252"/>
      <c r="H926" s="689"/>
    </row>
    <row r="927" spans="1:8" ht="22.5" x14ac:dyDescent="0.55000000000000004">
      <c r="A927" s="689"/>
      <c r="B927" s="690"/>
      <c r="C927" s="689"/>
      <c r="D927" s="252"/>
      <c r="E927" s="252"/>
      <c r="F927" s="252"/>
      <c r="G927" s="252"/>
      <c r="H927" s="689"/>
    </row>
    <row r="928" spans="1:8" ht="22.5" x14ac:dyDescent="0.55000000000000004">
      <c r="A928" s="689"/>
      <c r="B928" s="690"/>
      <c r="C928" s="689"/>
      <c r="D928" s="252"/>
      <c r="E928" s="252"/>
      <c r="F928" s="252"/>
      <c r="G928" s="252"/>
      <c r="H928" s="689"/>
    </row>
    <row r="929" spans="1:8" ht="22.5" x14ac:dyDescent="0.55000000000000004">
      <c r="A929" s="689"/>
      <c r="B929" s="690"/>
      <c r="C929" s="689"/>
      <c r="D929" s="252"/>
      <c r="E929" s="252"/>
      <c r="F929" s="252"/>
      <c r="G929" s="252"/>
      <c r="H929" s="689"/>
    </row>
    <row r="930" spans="1:8" ht="22.5" x14ac:dyDescent="0.55000000000000004">
      <c r="A930" s="689"/>
      <c r="B930" s="690"/>
      <c r="C930" s="689"/>
      <c r="D930" s="252"/>
      <c r="E930" s="252"/>
      <c r="F930" s="252"/>
      <c r="G930" s="252"/>
      <c r="H930" s="689"/>
    </row>
    <row r="931" spans="1:8" ht="22.5" x14ac:dyDescent="0.55000000000000004">
      <c r="A931" s="689"/>
      <c r="B931" s="690"/>
      <c r="C931" s="689"/>
      <c r="D931" s="252"/>
      <c r="E931" s="252"/>
      <c r="F931" s="252"/>
      <c r="G931" s="252"/>
      <c r="H931" s="689"/>
    </row>
    <row r="932" spans="1:8" ht="22.5" x14ac:dyDescent="0.55000000000000004">
      <c r="A932" s="689"/>
      <c r="B932" s="690"/>
      <c r="C932" s="689"/>
      <c r="D932" s="252"/>
      <c r="E932" s="252"/>
      <c r="F932" s="252"/>
      <c r="G932" s="252"/>
      <c r="H932" s="689"/>
    </row>
    <row r="933" spans="1:8" ht="22.5" x14ac:dyDescent="0.55000000000000004">
      <c r="A933" s="689"/>
      <c r="B933" s="690"/>
      <c r="C933" s="689"/>
      <c r="D933" s="252"/>
      <c r="E933" s="252"/>
      <c r="F933" s="252"/>
      <c r="G933" s="252"/>
      <c r="H933" s="689"/>
    </row>
    <row r="934" spans="1:8" ht="22.5" x14ac:dyDescent="0.55000000000000004">
      <c r="A934" s="689"/>
      <c r="B934" s="690"/>
      <c r="C934" s="689"/>
      <c r="D934" s="252"/>
      <c r="E934" s="252"/>
      <c r="F934" s="252"/>
      <c r="G934" s="252"/>
      <c r="H934" s="689"/>
    </row>
    <row r="935" spans="1:8" ht="22.5" x14ac:dyDescent="0.55000000000000004">
      <c r="A935" s="689"/>
      <c r="B935" s="690"/>
      <c r="C935" s="689"/>
      <c r="D935" s="252"/>
      <c r="E935" s="252"/>
      <c r="F935" s="252"/>
      <c r="G935" s="252"/>
      <c r="H935" s="689"/>
    </row>
    <row r="936" spans="1:8" ht="22.5" x14ac:dyDescent="0.55000000000000004">
      <c r="A936" s="689"/>
      <c r="B936" s="690"/>
      <c r="C936" s="689"/>
      <c r="D936" s="252"/>
      <c r="E936" s="252"/>
      <c r="F936" s="252"/>
      <c r="G936" s="252"/>
      <c r="H936" s="689"/>
    </row>
    <row r="937" spans="1:8" ht="22.5" x14ac:dyDescent="0.55000000000000004">
      <c r="A937" s="689"/>
      <c r="B937" s="690"/>
      <c r="C937" s="689"/>
      <c r="D937" s="252"/>
      <c r="E937" s="252"/>
      <c r="F937" s="252"/>
      <c r="G937" s="252"/>
      <c r="H937" s="689"/>
    </row>
    <row r="938" spans="1:8" ht="22.5" x14ac:dyDescent="0.55000000000000004">
      <c r="A938" s="689"/>
      <c r="B938" s="690"/>
      <c r="C938" s="689"/>
      <c r="D938" s="252"/>
      <c r="E938" s="252"/>
      <c r="F938" s="252"/>
      <c r="G938" s="252"/>
      <c r="H938" s="689"/>
    </row>
    <row r="939" spans="1:8" ht="22.5" x14ac:dyDescent="0.55000000000000004">
      <c r="A939" s="689"/>
      <c r="B939" s="690"/>
      <c r="C939" s="689"/>
      <c r="D939" s="252"/>
      <c r="E939" s="252"/>
      <c r="F939" s="252"/>
      <c r="G939" s="252"/>
      <c r="H939" s="689"/>
    </row>
    <row r="940" spans="1:8" ht="22.5" x14ac:dyDescent="0.55000000000000004">
      <c r="A940" s="689"/>
      <c r="B940" s="690"/>
      <c r="C940" s="689"/>
      <c r="D940" s="252"/>
      <c r="E940" s="252"/>
      <c r="F940" s="252"/>
      <c r="G940" s="252"/>
      <c r="H940" s="689"/>
    </row>
    <row r="941" spans="1:8" ht="22.5" x14ac:dyDescent="0.55000000000000004">
      <c r="A941" s="689"/>
      <c r="B941" s="690"/>
      <c r="C941" s="689"/>
      <c r="D941" s="252"/>
      <c r="E941" s="252"/>
      <c r="F941" s="252"/>
      <c r="G941" s="252"/>
      <c r="H941" s="689"/>
    </row>
    <row r="942" spans="1:8" ht="22.5" x14ac:dyDescent="0.55000000000000004">
      <c r="A942" s="689"/>
      <c r="B942" s="690"/>
      <c r="C942" s="689"/>
      <c r="D942" s="252"/>
      <c r="E942" s="252"/>
      <c r="F942" s="252"/>
      <c r="G942" s="252"/>
      <c r="H942" s="689"/>
    </row>
    <row r="943" spans="1:8" ht="22.5" x14ac:dyDescent="0.55000000000000004">
      <c r="A943" s="689"/>
      <c r="B943" s="690"/>
      <c r="C943" s="689"/>
      <c r="D943" s="252"/>
      <c r="E943" s="252"/>
      <c r="F943" s="252"/>
      <c r="G943" s="252"/>
      <c r="H943" s="689"/>
    </row>
    <row r="944" spans="1:8" ht="22.5" x14ac:dyDescent="0.55000000000000004">
      <c r="A944" s="689"/>
      <c r="B944" s="690"/>
      <c r="C944" s="689"/>
      <c r="D944" s="252"/>
      <c r="E944" s="252"/>
      <c r="F944" s="252"/>
      <c r="G944" s="252"/>
      <c r="H944" s="689"/>
    </row>
    <row r="945" spans="1:8" ht="22.5" x14ac:dyDescent="0.55000000000000004">
      <c r="A945" s="689"/>
      <c r="B945" s="690"/>
      <c r="C945" s="689"/>
      <c r="D945" s="252"/>
      <c r="E945" s="252"/>
      <c r="F945" s="252"/>
      <c r="G945" s="252"/>
      <c r="H945" s="689"/>
    </row>
    <row r="946" spans="1:8" ht="22.5" x14ac:dyDescent="0.55000000000000004">
      <c r="A946" s="689"/>
      <c r="B946" s="690"/>
      <c r="C946" s="689"/>
      <c r="D946" s="252"/>
      <c r="E946" s="252"/>
      <c r="F946" s="252"/>
      <c r="G946" s="252"/>
      <c r="H946" s="689"/>
    </row>
    <row r="947" spans="1:8" ht="22.5" x14ac:dyDescent="0.55000000000000004">
      <c r="A947" s="689"/>
      <c r="B947" s="690"/>
      <c r="C947" s="689"/>
      <c r="D947" s="252"/>
      <c r="E947" s="252"/>
      <c r="F947" s="252"/>
      <c r="G947" s="252"/>
      <c r="H947" s="689"/>
    </row>
    <row r="948" spans="1:8" ht="22.5" x14ac:dyDescent="0.55000000000000004">
      <c r="A948" s="689"/>
      <c r="B948" s="690"/>
      <c r="C948" s="689"/>
      <c r="D948" s="252"/>
      <c r="E948" s="252"/>
      <c r="F948" s="252"/>
      <c r="G948" s="252"/>
      <c r="H948" s="689"/>
    </row>
    <row r="949" spans="1:8" ht="22.5" x14ac:dyDescent="0.55000000000000004">
      <c r="A949" s="689"/>
      <c r="B949" s="690"/>
      <c r="C949" s="689"/>
      <c r="D949" s="252"/>
      <c r="E949" s="252"/>
      <c r="F949" s="252"/>
      <c r="G949" s="252"/>
      <c r="H949" s="689"/>
    </row>
    <row r="950" spans="1:8" ht="22.5" x14ac:dyDescent="0.55000000000000004">
      <c r="A950" s="689"/>
      <c r="B950" s="690"/>
      <c r="C950" s="689"/>
      <c r="D950" s="252"/>
      <c r="E950" s="252"/>
      <c r="F950" s="252"/>
      <c r="G950" s="252"/>
      <c r="H950" s="689"/>
    </row>
    <row r="951" spans="1:8" ht="22.5" x14ac:dyDescent="0.55000000000000004">
      <c r="A951" s="689"/>
      <c r="B951" s="690"/>
      <c r="C951" s="689"/>
      <c r="D951" s="252"/>
      <c r="E951" s="252"/>
      <c r="F951" s="252"/>
      <c r="G951" s="252"/>
      <c r="H951" s="689"/>
    </row>
    <row r="952" spans="1:8" ht="22.5" x14ac:dyDescent="0.55000000000000004">
      <c r="A952" s="689"/>
      <c r="B952" s="690"/>
      <c r="C952" s="689"/>
      <c r="D952" s="252"/>
      <c r="E952" s="252"/>
      <c r="F952" s="252"/>
      <c r="G952" s="252"/>
      <c r="H952" s="689"/>
    </row>
    <row r="953" spans="1:8" ht="22.5" x14ac:dyDescent="0.55000000000000004">
      <c r="A953" s="689"/>
      <c r="B953" s="690"/>
      <c r="C953" s="689"/>
      <c r="D953" s="252"/>
      <c r="E953" s="252"/>
      <c r="F953" s="252"/>
      <c r="G953" s="252"/>
      <c r="H953" s="689"/>
    </row>
    <row r="954" spans="1:8" ht="22.5" x14ac:dyDescent="0.55000000000000004">
      <c r="A954" s="689"/>
      <c r="B954" s="690"/>
      <c r="C954" s="689"/>
      <c r="D954" s="252"/>
      <c r="E954" s="252"/>
      <c r="F954" s="252"/>
      <c r="G954" s="252"/>
      <c r="H954" s="689"/>
    </row>
    <row r="955" spans="1:8" ht="22.5" x14ac:dyDescent="0.55000000000000004">
      <c r="A955" s="689"/>
      <c r="B955" s="690"/>
      <c r="C955" s="689"/>
      <c r="D955" s="252"/>
      <c r="E955" s="252"/>
      <c r="F955" s="252"/>
      <c r="G955" s="252"/>
      <c r="H955" s="689"/>
    </row>
    <row r="956" spans="1:8" ht="22.5" x14ac:dyDescent="0.55000000000000004">
      <c r="A956" s="689"/>
      <c r="B956" s="690"/>
      <c r="C956" s="689"/>
      <c r="D956" s="252"/>
      <c r="E956" s="252"/>
      <c r="F956" s="252"/>
      <c r="G956" s="252"/>
      <c r="H956" s="689"/>
    </row>
    <row r="957" spans="1:8" ht="22.5" x14ac:dyDescent="0.55000000000000004">
      <c r="A957" s="689"/>
      <c r="B957" s="690"/>
      <c r="C957" s="689"/>
      <c r="D957" s="252"/>
      <c r="E957" s="252"/>
      <c r="F957" s="252"/>
      <c r="G957" s="252"/>
      <c r="H957" s="689"/>
    </row>
    <row r="958" spans="1:8" ht="22.5" x14ac:dyDescent="0.55000000000000004">
      <c r="A958" s="689"/>
      <c r="B958" s="690"/>
      <c r="C958" s="689"/>
      <c r="D958" s="252"/>
      <c r="E958" s="252"/>
      <c r="F958" s="252"/>
      <c r="G958" s="252"/>
      <c r="H958" s="689"/>
    </row>
    <row r="959" spans="1:8" ht="22.5" x14ac:dyDescent="0.55000000000000004">
      <c r="A959" s="689"/>
      <c r="B959" s="690"/>
      <c r="C959" s="689"/>
      <c r="D959" s="252"/>
      <c r="E959" s="252"/>
      <c r="F959" s="252"/>
      <c r="G959" s="252"/>
      <c r="H959" s="689"/>
    </row>
    <row r="960" spans="1:8" ht="22.5" x14ac:dyDescent="0.55000000000000004">
      <c r="A960" s="689"/>
      <c r="B960" s="690"/>
      <c r="C960" s="689"/>
      <c r="D960" s="252"/>
      <c r="E960" s="252"/>
      <c r="F960" s="252"/>
      <c r="G960" s="252"/>
      <c r="H960" s="689"/>
    </row>
    <row r="961" spans="1:8" ht="22.5" x14ac:dyDescent="0.55000000000000004">
      <c r="A961" s="689"/>
      <c r="B961" s="690"/>
      <c r="C961" s="689"/>
      <c r="D961" s="252"/>
      <c r="E961" s="252"/>
      <c r="F961" s="252"/>
      <c r="G961" s="252"/>
      <c r="H961" s="689"/>
    </row>
    <row r="962" spans="1:8" ht="22.5" x14ac:dyDescent="0.55000000000000004">
      <c r="A962" s="689"/>
      <c r="B962" s="690"/>
      <c r="C962" s="689"/>
      <c r="D962" s="252"/>
      <c r="E962" s="252"/>
      <c r="F962" s="252"/>
      <c r="G962" s="252"/>
      <c r="H962" s="689"/>
    </row>
    <row r="963" spans="1:8" ht="22.5" x14ac:dyDescent="0.55000000000000004">
      <c r="A963" s="689"/>
      <c r="B963" s="690"/>
      <c r="C963" s="689"/>
      <c r="D963" s="252"/>
      <c r="E963" s="252"/>
      <c r="F963" s="252"/>
      <c r="G963" s="252"/>
      <c r="H963" s="689"/>
    </row>
    <row r="964" spans="1:8" ht="22.5" x14ac:dyDescent="0.55000000000000004">
      <c r="A964" s="689"/>
      <c r="B964" s="690"/>
      <c r="C964" s="689"/>
      <c r="D964" s="252"/>
      <c r="E964" s="252"/>
      <c r="F964" s="252"/>
      <c r="G964" s="252"/>
      <c r="H964" s="689"/>
    </row>
    <row r="965" spans="1:8" ht="22.5" x14ac:dyDescent="0.55000000000000004">
      <c r="A965" s="689"/>
      <c r="B965" s="690"/>
      <c r="C965" s="689"/>
      <c r="D965" s="252"/>
      <c r="E965" s="252"/>
      <c r="F965" s="252"/>
      <c r="G965" s="252"/>
      <c r="H965" s="689"/>
    </row>
    <row r="966" spans="1:8" ht="22.5" x14ac:dyDescent="0.55000000000000004">
      <c r="A966" s="689"/>
      <c r="B966" s="690"/>
      <c r="C966" s="689"/>
      <c r="D966" s="252"/>
      <c r="E966" s="252"/>
      <c r="F966" s="252"/>
      <c r="G966" s="252"/>
      <c r="H966" s="689"/>
    </row>
    <row r="967" spans="1:8" ht="22.5" x14ac:dyDescent="0.55000000000000004">
      <c r="A967" s="689"/>
      <c r="B967" s="690"/>
      <c r="C967" s="689"/>
      <c r="D967" s="252"/>
      <c r="E967" s="252"/>
      <c r="F967" s="252"/>
      <c r="G967" s="252"/>
      <c r="H967" s="689"/>
    </row>
    <row r="968" spans="1:8" ht="22.5" x14ac:dyDescent="0.55000000000000004">
      <c r="A968" s="689"/>
      <c r="B968" s="690"/>
      <c r="C968" s="689"/>
      <c r="D968" s="252"/>
      <c r="E968" s="252"/>
      <c r="F968" s="252"/>
      <c r="G968" s="252"/>
      <c r="H968" s="689"/>
    </row>
    <row r="969" spans="1:8" ht="22.5" x14ac:dyDescent="0.55000000000000004">
      <c r="A969" s="689"/>
      <c r="B969" s="690"/>
      <c r="C969" s="689"/>
      <c r="D969" s="252"/>
      <c r="E969" s="252"/>
      <c r="F969" s="252"/>
      <c r="G969" s="252"/>
      <c r="H969" s="689"/>
    </row>
    <row r="970" spans="1:8" ht="22.5" x14ac:dyDescent="0.55000000000000004">
      <c r="A970" s="689"/>
      <c r="B970" s="690"/>
      <c r="C970" s="689"/>
      <c r="D970" s="252"/>
      <c r="E970" s="252"/>
      <c r="F970" s="252"/>
      <c r="G970" s="252"/>
      <c r="H970" s="689"/>
    </row>
    <row r="971" spans="1:8" ht="22.5" x14ac:dyDescent="0.55000000000000004">
      <c r="A971" s="689"/>
      <c r="B971" s="690"/>
      <c r="C971" s="689"/>
      <c r="D971" s="252"/>
      <c r="E971" s="252"/>
      <c r="F971" s="252"/>
      <c r="G971" s="252"/>
      <c r="H971" s="689"/>
    </row>
    <row r="972" spans="1:8" ht="22.5" x14ac:dyDescent="0.55000000000000004">
      <c r="A972" s="689"/>
      <c r="B972" s="690"/>
      <c r="C972" s="689"/>
      <c r="D972" s="252"/>
      <c r="E972" s="252"/>
      <c r="F972" s="252"/>
      <c r="G972" s="252"/>
      <c r="H972" s="689"/>
    </row>
    <row r="973" spans="1:8" ht="22.5" x14ac:dyDescent="0.55000000000000004">
      <c r="A973" s="689"/>
      <c r="B973" s="690"/>
      <c r="C973" s="689"/>
      <c r="D973" s="252"/>
      <c r="E973" s="252"/>
      <c r="F973" s="252"/>
      <c r="G973" s="252"/>
      <c r="H973" s="689"/>
    </row>
    <row r="974" spans="1:8" ht="22.5" x14ac:dyDescent="0.55000000000000004">
      <c r="A974" s="689"/>
      <c r="B974" s="690"/>
      <c r="C974" s="689"/>
      <c r="D974" s="252"/>
      <c r="E974" s="252"/>
      <c r="F974" s="252"/>
      <c r="G974" s="252"/>
      <c r="H974" s="689"/>
    </row>
    <row r="975" spans="1:8" ht="22.5" x14ac:dyDescent="0.55000000000000004">
      <c r="A975" s="689"/>
      <c r="B975" s="690"/>
      <c r="C975" s="689"/>
      <c r="D975" s="252"/>
      <c r="E975" s="252"/>
      <c r="F975" s="252"/>
      <c r="G975" s="252"/>
      <c r="H975" s="689"/>
    </row>
    <row r="976" spans="1:8" ht="22.5" x14ac:dyDescent="0.55000000000000004">
      <c r="A976" s="689"/>
      <c r="B976" s="690"/>
      <c r="C976" s="689"/>
      <c r="D976" s="252"/>
      <c r="E976" s="252"/>
      <c r="F976" s="252"/>
      <c r="G976" s="252"/>
      <c r="H976" s="689"/>
    </row>
    <row r="977" spans="1:8" ht="22.5" x14ac:dyDescent="0.55000000000000004">
      <c r="A977" s="689"/>
      <c r="B977" s="690"/>
      <c r="C977" s="689"/>
      <c r="D977" s="252"/>
      <c r="E977" s="252"/>
      <c r="F977" s="252"/>
      <c r="G977" s="252"/>
      <c r="H977" s="689"/>
    </row>
    <row r="978" spans="1:8" ht="22.5" x14ac:dyDescent="0.55000000000000004">
      <c r="A978" s="689"/>
      <c r="B978" s="690"/>
      <c r="C978" s="689"/>
      <c r="D978" s="252"/>
      <c r="E978" s="252"/>
      <c r="F978" s="252"/>
      <c r="G978" s="252"/>
      <c r="H978" s="689"/>
    </row>
    <row r="979" spans="1:8" ht="22.5" x14ac:dyDescent="0.55000000000000004">
      <c r="A979" s="689"/>
      <c r="B979" s="690"/>
      <c r="C979" s="689"/>
      <c r="D979" s="252"/>
      <c r="E979" s="252"/>
      <c r="F979" s="252"/>
      <c r="G979" s="252"/>
      <c r="H979" s="689"/>
    </row>
    <row r="980" spans="1:8" ht="22.5" x14ac:dyDescent="0.55000000000000004">
      <c r="A980" s="689"/>
      <c r="B980" s="690"/>
      <c r="C980" s="689"/>
      <c r="D980" s="252"/>
      <c r="E980" s="252"/>
      <c r="F980" s="252"/>
      <c r="G980" s="252"/>
      <c r="H980" s="689"/>
    </row>
    <row r="981" spans="1:8" ht="22.5" x14ac:dyDescent="0.55000000000000004">
      <c r="A981" s="689"/>
      <c r="B981" s="690"/>
      <c r="C981" s="689"/>
      <c r="D981" s="252"/>
      <c r="E981" s="252"/>
      <c r="F981" s="252"/>
      <c r="G981" s="252"/>
      <c r="H981" s="689"/>
    </row>
    <row r="982" spans="1:8" ht="22.5" x14ac:dyDescent="0.55000000000000004">
      <c r="A982" s="689"/>
      <c r="B982" s="690"/>
      <c r="C982" s="689"/>
      <c r="D982" s="252"/>
      <c r="E982" s="252"/>
      <c r="F982" s="252"/>
      <c r="G982" s="252"/>
      <c r="H982" s="689"/>
    </row>
    <row r="983" spans="1:8" ht="22.5" x14ac:dyDescent="0.55000000000000004">
      <c r="A983" s="689"/>
      <c r="B983" s="690"/>
      <c r="C983" s="689"/>
      <c r="D983" s="252"/>
      <c r="E983" s="252"/>
      <c r="F983" s="252"/>
      <c r="G983" s="252"/>
      <c r="H983" s="689"/>
    </row>
    <row r="984" spans="1:8" ht="22.5" x14ac:dyDescent="0.55000000000000004">
      <c r="A984" s="689"/>
      <c r="B984" s="690"/>
      <c r="C984" s="689"/>
      <c r="D984" s="252"/>
      <c r="E984" s="252"/>
      <c r="F984" s="252"/>
      <c r="G984" s="252"/>
      <c r="H984" s="689"/>
    </row>
    <row r="985" spans="1:8" ht="22.5" x14ac:dyDescent="0.55000000000000004">
      <c r="A985" s="689"/>
      <c r="B985" s="690"/>
      <c r="C985" s="689"/>
      <c r="D985" s="252"/>
      <c r="E985" s="252"/>
      <c r="F985" s="252"/>
      <c r="G985" s="252"/>
      <c r="H985" s="689"/>
    </row>
    <row r="986" spans="1:8" ht="22.5" x14ac:dyDescent="0.55000000000000004">
      <c r="A986" s="689"/>
      <c r="B986" s="690"/>
      <c r="C986" s="689"/>
      <c r="D986" s="252"/>
      <c r="E986" s="252"/>
      <c r="F986" s="252"/>
      <c r="G986" s="252"/>
      <c r="H986" s="689"/>
    </row>
    <row r="987" spans="1:8" ht="22.5" x14ac:dyDescent="0.55000000000000004">
      <c r="A987" s="689"/>
      <c r="B987" s="690"/>
      <c r="C987" s="689"/>
      <c r="D987" s="252"/>
      <c r="E987" s="252"/>
      <c r="F987" s="252"/>
      <c r="G987" s="252"/>
      <c r="H987" s="689"/>
    </row>
    <row r="988" spans="1:8" ht="22.5" x14ac:dyDescent="0.55000000000000004">
      <c r="A988" s="689"/>
      <c r="B988" s="690"/>
      <c r="C988" s="689"/>
      <c r="D988" s="252"/>
      <c r="E988" s="252"/>
      <c r="F988" s="252"/>
      <c r="G988" s="252"/>
      <c r="H988" s="689"/>
    </row>
    <row r="989" spans="1:8" ht="22.5" x14ac:dyDescent="0.55000000000000004">
      <c r="A989" s="689"/>
      <c r="B989" s="690"/>
      <c r="C989" s="689"/>
      <c r="D989" s="252"/>
      <c r="E989" s="252"/>
      <c r="F989" s="252"/>
      <c r="G989" s="252"/>
      <c r="H989" s="689"/>
    </row>
    <row r="990" spans="1:8" ht="22.5" x14ac:dyDescent="0.55000000000000004">
      <c r="A990" s="689"/>
      <c r="B990" s="690"/>
      <c r="C990" s="689"/>
      <c r="D990" s="252"/>
      <c r="E990" s="252"/>
      <c r="F990" s="252"/>
      <c r="G990" s="252"/>
      <c r="H990" s="689"/>
    </row>
    <row r="991" spans="1:8" ht="22.5" x14ac:dyDescent="0.55000000000000004">
      <c r="A991" s="689"/>
      <c r="B991" s="690"/>
      <c r="C991" s="689"/>
      <c r="D991" s="252"/>
      <c r="E991" s="252"/>
      <c r="F991" s="252"/>
      <c r="G991" s="252"/>
      <c r="H991" s="689"/>
    </row>
    <row r="992" spans="1:8" ht="22.5" x14ac:dyDescent="0.55000000000000004">
      <c r="A992" s="689"/>
      <c r="B992" s="690"/>
      <c r="C992" s="689"/>
      <c r="D992" s="252"/>
      <c r="E992" s="252"/>
      <c r="F992" s="252"/>
      <c r="G992" s="252"/>
      <c r="H992" s="689"/>
    </row>
    <row r="993" spans="1:8" ht="22.5" x14ac:dyDescent="0.55000000000000004">
      <c r="A993" s="689"/>
      <c r="B993" s="690"/>
      <c r="C993" s="689"/>
      <c r="D993" s="252"/>
      <c r="E993" s="252"/>
      <c r="F993" s="252"/>
      <c r="G993" s="252"/>
      <c r="H993" s="689"/>
    </row>
    <row r="994" spans="1:8" ht="22.5" x14ac:dyDescent="0.55000000000000004">
      <c r="A994" s="689"/>
      <c r="B994" s="690"/>
      <c r="C994" s="689"/>
      <c r="D994" s="252"/>
      <c r="E994" s="252"/>
      <c r="F994" s="252"/>
      <c r="G994" s="252"/>
      <c r="H994" s="689"/>
    </row>
    <row r="995" spans="1:8" ht="22.5" x14ac:dyDescent="0.55000000000000004">
      <c r="A995" s="689"/>
      <c r="B995" s="690"/>
      <c r="C995" s="689"/>
      <c r="D995" s="252"/>
      <c r="E995" s="252"/>
      <c r="F995" s="252"/>
      <c r="G995" s="252"/>
      <c r="H995" s="689"/>
    </row>
    <row r="996" spans="1:8" ht="22.5" x14ac:dyDescent="0.55000000000000004">
      <c r="A996" s="689"/>
      <c r="B996" s="690"/>
      <c r="C996" s="689"/>
      <c r="D996" s="252"/>
      <c r="E996" s="252"/>
      <c r="F996" s="252"/>
      <c r="G996" s="252"/>
      <c r="H996" s="689"/>
    </row>
    <row r="997" spans="1:8" ht="22.5" x14ac:dyDescent="0.55000000000000004">
      <c r="A997" s="689"/>
      <c r="B997" s="690"/>
      <c r="C997" s="689"/>
      <c r="D997" s="252"/>
      <c r="E997" s="252"/>
      <c r="F997" s="252"/>
      <c r="G997" s="252"/>
      <c r="H997" s="689"/>
    </row>
    <row r="998" spans="1:8" ht="22.5" x14ac:dyDescent="0.55000000000000004">
      <c r="A998" s="689"/>
      <c r="B998" s="690"/>
      <c r="C998" s="689"/>
      <c r="D998" s="252"/>
      <c r="E998" s="252"/>
      <c r="F998" s="252"/>
      <c r="G998" s="252"/>
      <c r="H998" s="689"/>
    </row>
    <row r="999" spans="1:8" ht="22.5" x14ac:dyDescent="0.55000000000000004">
      <c r="A999" s="689"/>
      <c r="B999" s="690"/>
      <c r="C999" s="689"/>
      <c r="D999" s="252"/>
      <c r="E999" s="252"/>
      <c r="F999" s="252"/>
      <c r="G999" s="252"/>
      <c r="H999" s="689"/>
    </row>
    <row r="1000" spans="1:8" ht="22.5" x14ac:dyDescent="0.55000000000000004">
      <c r="A1000" s="689"/>
      <c r="B1000" s="690"/>
      <c r="C1000" s="689"/>
      <c r="D1000" s="252"/>
      <c r="E1000" s="252"/>
      <c r="F1000" s="252"/>
      <c r="G1000" s="252"/>
      <c r="H1000" s="689"/>
    </row>
    <row r="1001" spans="1:8" ht="22.5" x14ac:dyDescent="0.55000000000000004">
      <c r="A1001" s="689"/>
      <c r="B1001" s="690"/>
      <c r="C1001" s="689"/>
      <c r="D1001" s="252"/>
      <c r="E1001" s="252"/>
      <c r="F1001" s="252"/>
      <c r="G1001" s="252"/>
      <c r="H1001" s="689"/>
    </row>
    <row r="1002" spans="1:8" ht="22.5" x14ac:dyDescent="0.55000000000000004">
      <c r="A1002" s="689"/>
      <c r="B1002" s="690"/>
      <c r="C1002" s="689"/>
      <c r="D1002" s="252"/>
      <c r="E1002" s="252"/>
      <c r="F1002" s="252"/>
      <c r="G1002" s="252"/>
      <c r="H1002" s="689"/>
    </row>
    <row r="1003" spans="1:8" ht="22.5" x14ac:dyDescent="0.55000000000000004">
      <c r="A1003" s="689"/>
      <c r="B1003" s="690"/>
      <c r="C1003" s="689"/>
      <c r="D1003" s="252"/>
      <c r="E1003" s="252"/>
      <c r="F1003" s="252"/>
      <c r="G1003" s="252"/>
      <c r="H1003" s="689"/>
    </row>
    <row r="1004" spans="1:8" ht="22.5" x14ac:dyDescent="0.55000000000000004">
      <c r="A1004" s="689"/>
      <c r="B1004" s="690"/>
      <c r="C1004" s="689"/>
      <c r="D1004" s="252"/>
      <c r="E1004" s="252"/>
      <c r="F1004" s="252"/>
      <c r="G1004" s="252"/>
      <c r="H1004" s="689"/>
    </row>
    <row r="1005" spans="1:8" ht="22.5" x14ac:dyDescent="0.55000000000000004">
      <c r="A1005" s="689"/>
      <c r="B1005" s="690"/>
      <c r="C1005" s="689"/>
      <c r="D1005" s="252"/>
      <c r="E1005" s="252"/>
      <c r="F1005" s="252"/>
      <c r="G1005" s="252"/>
      <c r="H1005" s="689"/>
    </row>
    <row r="1006" spans="1:8" ht="22.5" x14ac:dyDescent="0.55000000000000004">
      <c r="A1006" s="689"/>
      <c r="B1006" s="690"/>
      <c r="C1006" s="689"/>
      <c r="D1006" s="252"/>
      <c r="E1006" s="252"/>
      <c r="F1006" s="252"/>
      <c r="G1006" s="252"/>
      <c r="H1006" s="689"/>
    </row>
    <row r="1007" spans="1:8" ht="22.5" x14ac:dyDescent="0.55000000000000004">
      <c r="A1007" s="689"/>
      <c r="B1007" s="690"/>
      <c r="C1007" s="689"/>
      <c r="D1007" s="252"/>
      <c r="E1007" s="252"/>
      <c r="F1007" s="252"/>
      <c r="G1007" s="252"/>
      <c r="H1007" s="689"/>
    </row>
    <row r="1008" spans="1:8" ht="22.5" x14ac:dyDescent="0.55000000000000004">
      <c r="A1008" s="689"/>
      <c r="B1008" s="690"/>
      <c r="C1008" s="689"/>
      <c r="D1008" s="252"/>
      <c r="E1008" s="252"/>
      <c r="F1008" s="252"/>
      <c r="G1008" s="252"/>
      <c r="H1008" s="689"/>
    </row>
    <row r="1009" spans="1:8" ht="22.5" x14ac:dyDescent="0.55000000000000004">
      <c r="A1009" s="689"/>
      <c r="B1009" s="690"/>
      <c r="C1009" s="689"/>
      <c r="D1009" s="252"/>
      <c r="E1009" s="252"/>
      <c r="F1009" s="252"/>
      <c r="G1009" s="252"/>
      <c r="H1009" s="689"/>
    </row>
    <row r="1010" spans="1:8" ht="22.5" x14ac:dyDescent="0.55000000000000004">
      <c r="A1010" s="689"/>
      <c r="B1010" s="690"/>
      <c r="C1010" s="689"/>
      <c r="D1010" s="252"/>
      <c r="E1010" s="252"/>
      <c r="F1010" s="252"/>
      <c r="G1010" s="252"/>
      <c r="H1010" s="689"/>
    </row>
    <row r="1011" spans="1:8" ht="22.5" x14ac:dyDescent="0.55000000000000004">
      <c r="A1011" s="689"/>
      <c r="B1011" s="690"/>
      <c r="C1011" s="689"/>
      <c r="D1011" s="252"/>
      <c r="E1011" s="252"/>
      <c r="F1011" s="252"/>
      <c r="G1011" s="252"/>
      <c r="H1011" s="689"/>
    </row>
    <row r="1012" spans="1:8" ht="22.5" x14ac:dyDescent="0.55000000000000004">
      <c r="A1012" s="689"/>
      <c r="B1012" s="690"/>
      <c r="C1012" s="689"/>
      <c r="D1012" s="252"/>
      <c r="E1012" s="252"/>
      <c r="F1012" s="252"/>
      <c r="G1012" s="252"/>
      <c r="H1012" s="689"/>
    </row>
    <row r="1013" spans="1:8" ht="22.5" x14ac:dyDescent="0.55000000000000004">
      <c r="A1013" s="689"/>
      <c r="B1013" s="690"/>
      <c r="C1013" s="689"/>
      <c r="D1013" s="252"/>
      <c r="E1013" s="252"/>
      <c r="F1013" s="252"/>
      <c r="G1013" s="252"/>
      <c r="H1013" s="689"/>
    </row>
    <row r="1014" spans="1:8" ht="22.5" x14ac:dyDescent="0.55000000000000004">
      <c r="A1014" s="689"/>
      <c r="B1014" s="690"/>
      <c r="C1014" s="689"/>
      <c r="D1014" s="252"/>
      <c r="E1014" s="252"/>
      <c r="F1014" s="252"/>
      <c r="G1014" s="252"/>
      <c r="H1014" s="689"/>
    </row>
    <row r="1015" spans="1:8" ht="22.5" x14ac:dyDescent="0.55000000000000004">
      <c r="A1015" s="689"/>
      <c r="B1015" s="690"/>
      <c r="C1015" s="689"/>
      <c r="D1015" s="252"/>
      <c r="E1015" s="252"/>
      <c r="F1015" s="252"/>
      <c r="G1015" s="252"/>
      <c r="H1015" s="689"/>
    </row>
    <row r="1016" spans="1:8" ht="22.5" x14ac:dyDescent="0.55000000000000004">
      <c r="A1016" s="689"/>
      <c r="B1016" s="690"/>
      <c r="C1016" s="689"/>
      <c r="D1016" s="252"/>
      <c r="E1016" s="252"/>
      <c r="F1016" s="252"/>
      <c r="G1016" s="252"/>
      <c r="H1016" s="689"/>
    </row>
    <row r="1017" spans="1:8" ht="22.5" x14ac:dyDescent="0.55000000000000004">
      <c r="A1017" s="689"/>
      <c r="B1017" s="690"/>
      <c r="C1017" s="689"/>
      <c r="D1017" s="252"/>
      <c r="E1017" s="252"/>
      <c r="F1017" s="252"/>
      <c r="G1017" s="252"/>
      <c r="H1017" s="689"/>
    </row>
    <row r="1018" spans="1:8" ht="22.5" x14ac:dyDescent="0.55000000000000004">
      <c r="A1018" s="689"/>
      <c r="B1018" s="690"/>
      <c r="C1018" s="689"/>
      <c r="D1018" s="252"/>
      <c r="E1018" s="252"/>
      <c r="F1018" s="252"/>
      <c r="G1018" s="252"/>
      <c r="H1018" s="689"/>
    </row>
    <row r="1019" spans="1:8" ht="22.5" x14ac:dyDescent="0.55000000000000004">
      <c r="A1019" s="689"/>
      <c r="B1019" s="690"/>
      <c r="C1019" s="689"/>
      <c r="D1019" s="252"/>
      <c r="E1019" s="252"/>
      <c r="F1019" s="252"/>
      <c r="G1019" s="252"/>
      <c r="H1019" s="689"/>
    </row>
    <row r="1020" spans="1:8" ht="22.5" x14ac:dyDescent="0.55000000000000004">
      <c r="A1020" s="689"/>
      <c r="B1020" s="690"/>
      <c r="C1020" s="689"/>
      <c r="D1020" s="252"/>
      <c r="E1020" s="252"/>
      <c r="F1020" s="252"/>
      <c r="G1020" s="252"/>
      <c r="H1020" s="689"/>
    </row>
    <row r="1021" spans="1:8" ht="22.5" x14ac:dyDescent="0.55000000000000004">
      <c r="A1021" s="689"/>
      <c r="B1021" s="690"/>
      <c r="C1021" s="689"/>
      <c r="D1021" s="252"/>
      <c r="E1021" s="252"/>
      <c r="F1021" s="252"/>
      <c r="G1021" s="252"/>
      <c r="H1021" s="689"/>
    </row>
    <row r="1022" spans="1:8" ht="22.5" x14ac:dyDescent="0.55000000000000004">
      <c r="A1022" s="689"/>
      <c r="B1022" s="690"/>
      <c r="C1022" s="689"/>
      <c r="D1022" s="252"/>
      <c r="E1022" s="252"/>
      <c r="F1022" s="252"/>
      <c r="G1022" s="252"/>
      <c r="H1022" s="689"/>
    </row>
    <row r="1023" spans="1:8" ht="22.5" x14ac:dyDescent="0.55000000000000004">
      <c r="A1023" s="689"/>
      <c r="B1023" s="690"/>
      <c r="C1023" s="689"/>
      <c r="D1023" s="252"/>
      <c r="E1023" s="252"/>
      <c r="F1023" s="252"/>
      <c r="G1023" s="252"/>
      <c r="H1023" s="689"/>
    </row>
    <row r="1024" spans="1:8" ht="22.5" x14ac:dyDescent="0.55000000000000004">
      <c r="A1024" s="689"/>
      <c r="B1024" s="690"/>
      <c r="C1024" s="689"/>
      <c r="D1024" s="252"/>
      <c r="E1024" s="252"/>
      <c r="F1024" s="252"/>
      <c r="G1024" s="252"/>
      <c r="H1024" s="689"/>
    </row>
    <row r="1025" spans="1:8" ht="22.5" x14ac:dyDescent="0.55000000000000004">
      <c r="A1025" s="689"/>
      <c r="B1025" s="690"/>
      <c r="C1025" s="689"/>
      <c r="D1025" s="252"/>
      <c r="E1025" s="252"/>
      <c r="F1025" s="252"/>
      <c r="G1025" s="252"/>
      <c r="H1025" s="689"/>
    </row>
    <row r="1026" spans="1:8" ht="22.5" x14ac:dyDescent="0.55000000000000004">
      <c r="A1026" s="689"/>
      <c r="B1026" s="690"/>
      <c r="C1026" s="689"/>
      <c r="D1026" s="252"/>
      <c r="E1026" s="252"/>
      <c r="F1026" s="252"/>
      <c r="G1026" s="252"/>
      <c r="H1026" s="689"/>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tabColor rgb="FFFFFF00"/>
  </sheetPr>
  <dimension ref="A1:AL29"/>
  <sheetViews>
    <sheetView workbookViewId="0">
      <selection activeCell="N2" sqref="N2:N3"/>
    </sheetView>
  </sheetViews>
  <sheetFormatPr defaultColWidth="8.7109375" defaultRowHeight="18" x14ac:dyDescent="0.45"/>
  <cols>
    <col min="1" max="1" width="8.28515625" style="11" bestFit="1" customWidth="1"/>
    <col min="2" max="2" width="13.42578125" style="266" bestFit="1" customWidth="1"/>
    <col min="3" max="3" width="21.7109375" style="120" customWidth="1"/>
    <col min="4" max="4" width="28.42578125" style="120" bestFit="1" customWidth="1"/>
    <col min="5" max="5" width="16.42578125" style="317" customWidth="1"/>
    <col min="6" max="6" width="16.42578125" style="120" customWidth="1"/>
    <col min="7" max="7" width="18.7109375" style="120" customWidth="1"/>
    <col min="8" max="8" width="20.7109375" style="317" customWidth="1"/>
    <col min="9" max="9" width="66.42578125" style="11" bestFit="1" customWidth="1"/>
    <col min="10" max="10" width="18.42578125" style="11" bestFit="1" customWidth="1"/>
    <col min="11" max="11" width="8.7109375" style="11" customWidth="1"/>
    <col min="12" max="12" width="15.28515625" style="11" customWidth="1"/>
    <col min="13" max="13" width="6.42578125" style="11" customWidth="1"/>
    <col min="14" max="14" width="15.5703125" style="367" customWidth="1"/>
    <col min="15" max="15" width="12.7109375" style="11" customWidth="1"/>
    <col min="16" max="16" width="13.28515625" style="11" customWidth="1"/>
    <col min="17" max="17" width="10.7109375" style="11" customWidth="1"/>
    <col min="18" max="18" width="18.42578125" style="11" customWidth="1"/>
    <col min="19" max="19" width="9.5703125" style="11" customWidth="1"/>
    <col min="20" max="20" width="9.42578125" style="11" customWidth="1"/>
    <col min="21" max="21" width="17.28515625" style="11" bestFit="1" customWidth="1"/>
    <col min="22" max="22" width="22.5703125" style="11" customWidth="1"/>
    <col min="23" max="23" width="24.28515625" style="11" customWidth="1"/>
    <col min="24" max="24" width="28.42578125" style="11" customWidth="1"/>
    <col min="25" max="25" width="16.42578125" style="11" customWidth="1"/>
    <col min="26" max="26" width="18.42578125" style="11" customWidth="1"/>
    <col min="27" max="27" width="13.5703125" style="11" customWidth="1"/>
    <col min="28" max="28" width="16.42578125" style="319" customWidth="1"/>
    <col min="29" max="29" width="19.42578125" style="11" customWidth="1"/>
    <col min="30" max="30" width="13.5703125" style="11" customWidth="1"/>
    <col min="31" max="31" width="19.42578125" style="319" customWidth="1"/>
    <col min="32" max="32" width="22.28515625" style="11" customWidth="1"/>
    <col min="33" max="16384" width="8.7109375" style="11"/>
  </cols>
  <sheetData>
    <row r="1" spans="1:38" s="272" customFormat="1" ht="20.25" customHeight="1" x14ac:dyDescent="0.45">
      <c r="A1" s="385" t="s">
        <v>2</v>
      </c>
      <c r="B1" s="386" t="s">
        <v>12</v>
      </c>
      <c r="C1" s="387" t="s">
        <v>2819</v>
      </c>
      <c r="D1" s="385" t="s">
        <v>2355</v>
      </c>
      <c r="E1" s="385" t="s">
        <v>2817</v>
      </c>
      <c r="F1" s="385" t="s">
        <v>2820</v>
      </c>
      <c r="G1" s="388" t="s">
        <v>2139</v>
      </c>
      <c r="H1" s="385" t="s">
        <v>2345</v>
      </c>
      <c r="I1" s="385" t="s">
        <v>932</v>
      </c>
      <c r="J1" s="388" t="s">
        <v>929</v>
      </c>
      <c r="K1" s="388" t="s">
        <v>930</v>
      </c>
      <c r="L1" s="273" t="s">
        <v>2346</v>
      </c>
      <c r="M1" s="273" t="s">
        <v>917</v>
      </c>
      <c r="N1" s="276" t="s">
        <v>59</v>
      </c>
      <c r="O1" s="276" t="s">
        <v>60</v>
      </c>
      <c r="P1" s="276" t="s">
        <v>61</v>
      </c>
      <c r="Q1" s="441" t="s">
        <v>2134</v>
      </c>
      <c r="R1" s="442" t="s">
        <v>90</v>
      </c>
      <c r="S1" s="442" t="s">
        <v>62</v>
      </c>
      <c r="T1" s="276" t="s">
        <v>63</v>
      </c>
      <c r="U1" s="276" t="s">
        <v>64</v>
      </c>
      <c r="V1" s="276" t="s">
        <v>934</v>
      </c>
      <c r="W1" s="276" t="s">
        <v>965</v>
      </c>
      <c r="X1" s="276" t="s">
        <v>920</v>
      </c>
      <c r="Y1" s="276" t="s">
        <v>65</v>
      </c>
      <c r="Z1" s="276" t="s">
        <v>66</v>
      </c>
      <c r="AA1" s="276" t="s">
        <v>67</v>
      </c>
      <c r="AB1" s="276" t="s">
        <v>68</v>
      </c>
      <c r="AC1" s="276" t="s">
        <v>69</v>
      </c>
      <c r="AD1" s="276" t="s">
        <v>70</v>
      </c>
      <c r="AE1" s="276" t="s">
        <v>71</v>
      </c>
      <c r="AF1" s="276" t="s">
        <v>72</v>
      </c>
      <c r="AG1" s="276"/>
      <c r="AH1" s="276"/>
      <c r="AI1" s="276"/>
      <c r="AJ1" s="389"/>
      <c r="AK1" s="276"/>
      <c r="AL1" s="11"/>
    </row>
    <row r="2" spans="1:38" x14ac:dyDescent="0.45">
      <c r="A2" s="119">
        <v>1</v>
      </c>
      <c r="B2" s="278">
        <v>44160</v>
      </c>
      <c r="C2" s="17" t="s">
        <v>2430</v>
      </c>
      <c r="D2" s="279" t="s">
        <v>2424</v>
      </c>
      <c r="E2" s="280">
        <v>784586808</v>
      </c>
      <c r="F2" s="281"/>
      <c r="G2" s="281" t="s">
        <v>2429</v>
      </c>
      <c r="H2" s="280"/>
      <c r="I2" s="282" t="s">
        <v>2432</v>
      </c>
      <c r="J2" s="283"/>
      <c r="K2" s="284"/>
      <c r="L2" s="284"/>
      <c r="M2" s="284">
        <v>1</v>
      </c>
      <c r="N2" s="365">
        <v>3730000</v>
      </c>
      <c r="O2" s="285">
        <v>0.01</v>
      </c>
      <c r="P2" s="285">
        <v>0.11</v>
      </c>
      <c r="Q2" s="285">
        <v>0.1</v>
      </c>
      <c r="R2" s="286"/>
      <c r="S2" s="285">
        <v>0.3</v>
      </c>
      <c r="T2" s="285">
        <f>100%-S2</f>
        <v>0.7</v>
      </c>
      <c r="U2" s="287">
        <f>(N2*S2)+(N2*T2*P2)+(N2*O2)+R2</f>
        <v>1443510</v>
      </c>
      <c r="V2" s="287">
        <f>U2</f>
        <v>1443510</v>
      </c>
      <c r="W2" s="287"/>
      <c r="X2" s="288"/>
      <c r="Y2" s="287">
        <f>N2*T2</f>
        <v>2611000</v>
      </c>
      <c r="Z2" s="289"/>
      <c r="AA2" s="211">
        <f>T2/2</f>
        <v>0.35</v>
      </c>
      <c r="AB2" s="290">
        <f>EDATE(B2,6)</f>
        <v>44341</v>
      </c>
      <c r="AC2" s="212">
        <f>N2*AA2</f>
        <v>1305500</v>
      </c>
      <c r="AD2" s="211">
        <f>T2/2</f>
        <v>0.35</v>
      </c>
      <c r="AE2" s="290">
        <f>EDATE(B2,12)</f>
        <v>44525</v>
      </c>
      <c r="AF2" s="212">
        <f>N2*AD2</f>
        <v>1305500</v>
      </c>
    </row>
    <row r="3" spans="1:38" x14ac:dyDescent="0.45">
      <c r="A3" s="119">
        <v>2</v>
      </c>
      <c r="B3" s="278">
        <v>44160</v>
      </c>
      <c r="C3" s="281" t="s">
        <v>2428</v>
      </c>
      <c r="D3" s="279" t="s">
        <v>2424</v>
      </c>
      <c r="E3" s="280">
        <v>269869740</v>
      </c>
      <c r="F3" s="281"/>
      <c r="G3" s="281" t="s">
        <v>2429</v>
      </c>
      <c r="H3" s="280"/>
      <c r="I3" s="282" t="s">
        <v>2431</v>
      </c>
      <c r="J3" s="283"/>
      <c r="K3" s="284"/>
      <c r="L3" s="284"/>
      <c r="M3" s="284">
        <v>1</v>
      </c>
      <c r="N3" s="365">
        <v>3930000</v>
      </c>
      <c r="O3" s="285">
        <v>0.01</v>
      </c>
      <c r="P3" s="285">
        <v>0.11</v>
      </c>
      <c r="Q3" s="285">
        <v>0.1</v>
      </c>
      <c r="R3" s="286"/>
      <c r="S3" s="285">
        <v>0.3</v>
      </c>
      <c r="T3" s="285">
        <f t="shared" ref="T3:T21" si="0">100%-S3</f>
        <v>0.7</v>
      </c>
      <c r="U3" s="287">
        <f>(N3*S3)+(N3*T3*P3)+(N3*O3)+R3</f>
        <v>1520910</v>
      </c>
      <c r="V3" s="287">
        <f t="shared" ref="V3:V26" si="1">U3</f>
        <v>1520910</v>
      </c>
      <c r="W3" s="287"/>
      <c r="X3" s="292"/>
      <c r="Y3" s="287">
        <f>N3*T3</f>
        <v>2751000</v>
      </c>
      <c r="Z3" s="289"/>
      <c r="AA3" s="211">
        <f>T3/2</f>
        <v>0.35</v>
      </c>
      <c r="AB3" s="290">
        <f>EDATE(B3,6)</f>
        <v>44341</v>
      </c>
      <c r="AC3" s="212">
        <f>N3*AA3</f>
        <v>1375500</v>
      </c>
      <c r="AD3" s="211">
        <f>T3/2</f>
        <v>0.35</v>
      </c>
      <c r="AE3" s="290">
        <f>EDATE(B3,12)</f>
        <v>44525</v>
      </c>
      <c r="AF3" s="212">
        <f>N3*AD3</f>
        <v>1375500</v>
      </c>
    </row>
    <row r="4" spans="1:38" x14ac:dyDescent="0.45">
      <c r="A4" s="119">
        <v>3</v>
      </c>
      <c r="B4" s="291"/>
      <c r="C4" s="293"/>
      <c r="D4" s="293"/>
      <c r="E4" s="294"/>
      <c r="F4" s="293"/>
      <c r="G4" s="293"/>
      <c r="H4" s="294"/>
      <c r="I4" s="282"/>
      <c r="J4" s="283"/>
      <c r="K4" s="284"/>
      <c r="L4" s="284"/>
      <c r="M4" s="284"/>
      <c r="N4" s="365" t="str">
        <f>IFERROR(VLOOKUP(L4,[2]COA!E:F,2,0),"-")</f>
        <v>-</v>
      </c>
      <c r="O4" s="285">
        <v>0.01</v>
      </c>
      <c r="P4" s="285">
        <v>0.11</v>
      </c>
      <c r="Q4" s="285">
        <v>0.1</v>
      </c>
      <c r="R4" s="286"/>
      <c r="S4" s="285">
        <v>0.3</v>
      </c>
      <c r="T4" s="285">
        <f t="shared" si="0"/>
        <v>0.7</v>
      </c>
      <c r="U4" s="287"/>
      <c r="V4" s="287"/>
      <c r="W4" s="287"/>
      <c r="X4" s="295"/>
      <c r="Y4" s="287"/>
      <c r="Z4" s="289"/>
      <c r="AA4" s="211"/>
      <c r="AB4" s="290"/>
      <c r="AC4" s="212"/>
      <c r="AD4" s="211"/>
      <c r="AE4" s="290"/>
      <c r="AF4" s="212"/>
    </row>
    <row r="5" spans="1:38" x14ac:dyDescent="0.45">
      <c r="A5" s="119">
        <v>4</v>
      </c>
      <c r="B5" s="291"/>
      <c r="C5" s="293"/>
      <c r="D5" s="293"/>
      <c r="E5" s="294"/>
      <c r="F5" s="293"/>
      <c r="G5" s="293"/>
      <c r="H5" s="294"/>
      <c r="I5" s="282"/>
      <c r="J5" s="283"/>
      <c r="K5" s="284"/>
      <c r="L5" s="284"/>
      <c r="M5" s="284"/>
      <c r="N5" s="365" t="str">
        <f>IFERROR(VLOOKUP(L5,[2]COA!E:F,2,0),"-")</f>
        <v>-</v>
      </c>
      <c r="O5" s="285">
        <v>0.01</v>
      </c>
      <c r="P5" s="285">
        <v>0.11</v>
      </c>
      <c r="Q5" s="285">
        <v>0.1</v>
      </c>
      <c r="R5" s="286"/>
      <c r="S5" s="285">
        <v>0.3</v>
      </c>
      <c r="T5" s="285">
        <f t="shared" si="0"/>
        <v>0.7</v>
      </c>
      <c r="U5" s="287"/>
      <c r="V5" s="287"/>
      <c r="W5" s="287"/>
      <c r="X5" s="288"/>
      <c r="Y5" s="287"/>
      <c r="Z5" s="289"/>
      <c r="AA5" s="211"/>
      <c r="AB5" s="290"/>
      <c r="AC5" s="212"/>
      <c r="AD5" s="211"/>
      <c r="AE5" s="290"/>
      <c r="AF5" s="212"/>
    </row>
    <row r="6" spans="1:38" x14ac:dyDescent="0.45">
      <c r="A6" s="119">
        <v>5</v>
      </c>
      <c r="B6" s="291"/>
      <c r="C6" s="293"/>
      <c r="D6" s="293"/>
      <c r="E6" s="294"/>
      <c r="F6" s="293"/>
      <c r="G6" s="293"/>
      <c r="H6" s="294"/>
      <c r="I6" s="282"/>
      <c r="J6" s="283"/>
      <c r="K6" s="284"/>
      <c r="L6" s="284"/>
      <c r="M6" s="284"/>
      <c r="N6" s="365" t="str">
        <f>IFERROR(VLOOKUP(L6,[2]COA!E:F,2,0),"-")</f>
        <v>-</v>
      </c>
      <c r="O6" s="285">
        <v>0.01</v>
      </c>
      <c r="P6" s="285"/>
      <c r="Q6" s="285">
        <v>0.1</v>
      </c>
      <c r="R6" s="286"/>
      <c r="S6" s="285">
        <v>0.3</v>
      </c>
      <c r="T6" s="285">
        <f t="shared" si="0"/>
        <v>0.7</v>
      </c>
      <c r="U6" s="287"/>
      <c r="V6" s="287"/>
      <c r="W6" s="287"/>
      <c r="X6" s="288"/>
      <c r="Y6" s="287"/>
      <c r="Z6" s="289"/>
      <c r="AA6" s="211"/>
      <c r="AB6" s="290"/>
      <c r="AC6" s="212"/>
      <c r="AD6" s="211"/>
      <c r="AE6" s="290"/>
      <c r="AF6" s="212"/>
    </row>
    <row r="7" spans="1:38" x14ac:dyDescent="0.45">
      <c r="A7" s="119">
        <v>6</v>
      </c>
      <c r="B7" s="291"/>
      <c r="C7" s="293"/>
      <c r="D7" s="293"/>
      <c r="E7" s="294"/>
      <c r="F7" s="293"/>
      <c r="G7" s="293"/>
      <c r="H7" s="294"/>
      <c r="I7" s="282"/>
      <c r="J7" s="283"/>
      <c r="K7" s="284"/>
      <c r="L7" s="284"/>
      <c r="M7" s="284"/>
      <c r="N7" s="365" t="str">
        <f>IFERROR(VLOOKUP(L7,[2]COA!E:F,2,0),"-")</f>
        <v>-</v>
      </c>
      <c r="O7" s="285">
        <v>0.01</v>
      </c>
      <c r="P7" s="285"/>
      <c r="Q7" s="285">
        <v>0.1</v>
      </c>
      <c r="R7" s="286"/>
      <c r="S7" s="285">
        <v>0.3</v>
      </c>
      <c r="T7" s="285">
        <f t="shared" si="0"/>
        <v>0.7</v>
      </c>
      <c r="U7" s="287"/>
      <c r="V7" s="287"/>
      <c r="W7" s="287"/>
      <c r="X7" s="288"/>
      <c r="Y7" s="287"/>
      <c r="Z7" s="289"/>
      <c r="AA7" s="211"/>
      <c r="AB7" s="290"/>
      <c r="AC7" s="212"/>
      <c r="AD7" s="211"/>
      <c r="AE7" s="290"/>
      <c r="AF7" s="212"/>
    </row>
    <row r="8" spans="1:38" x14ac:dyDescent="0.45">
      <c r="A8" s="119">
        <v>7</v>
      </c>
      <c r="B8" s="291"/>
      <c r="C8" s="293"/>
      <c r="D8" s="293"/>
      <c r="E8" s="294"/>
      <c r="F8" s="293"/>
      <c r="G8" s="293"/>
      <c r="H8" s="294"/>
      <c r="I8" s="282"/>
      <c r="J8" s="283"/>
      <c r="K8" s="284"/>
      <c r="L8" s="284"/>
      <c r="M8" s="284"/>
      <c r="N8" s="365" t="str">
        <f>IFERROR(VLOOKUP(L8,[2]COA!E:F,2,0),"-")</f>
        <v>-</v>
      </c>
      <c r="O8" s="285">
        <v>0.01</v>
      </c>
      <c r="P8" s="285"/>
      <c r="Q8" s="285">
        <v>0.1</v>
      </c>
      <c r="R8" s="286"/>
      <c r="S8" s="285">
        <v>0.3</v>
      </c>
      <c r="T8" s="285">
        <f t="shared" si="0"/>
        <v>0.7</v>
      </c>
      <c r="U8" s="287"/>
      <c r="V8" s="287"/>
      <c r="W8" s="287"/>
      <c r="X8" s="288"/>
      <c r="Y8" s="287"/>
      <c r="Z8" s="289"/>
      <c r="AA8" s="211"/>
      <c r="AB8" s="290"/>
      <c r="AC8" s="212"/>
      <c r="AD8" s="211"/>
      <c r="AE8" s="290"/>
      <c r="AF8" s="212"/>
    </row>
    <row r="9" spans="1:38" x14ac:dyDescent="0.25">
      <c r="A9" s="119">
        <v>8</v>
      </c>
      <c r="B9" s="291"/>
      <c r="C9" s="293"/>
      <c r="D9" s="293"/>
      <c r="E9" s="294"/>
      <c r="F9" s="293"/>
      <c r="G9" s="293"/>
      <c r="H9" s="294"/>
      <c r="I9" s="283"/>
      <c r="J9" s="283"/>
      <c r="K9" s="284"/>
      <c r="L9" s="284"/>
      <c r="M9" s="284"/>
      <c r="N9" s="365" t="str">
        <f>IFERROR(VLOOKUP(L9,[2]COA!E:F,2,0),"-")</f>
        <v>-</v>
      </c>
      <c r="O9" s="285">
        <v>0.01</v>
      </c>
      <c r="P9" s="285"/>
      <c r="Q9" s="285">
        <v>0.1</v>
      </c>
      <c r="R9" s="286"/>
      <c r="S9" s="285">
        <v>0.3</v>
      </c>
      <c r="T9" s="285">
        <f t="shared" si="0"/>
        <v>0.7</v>
      </c>
      <c r="U9" s="287"/>
      <c r="V9" s="287"/>
      <c r="W9" s="287"/>
      <c r="X9" s="288"/>
      <c r="Y9" s="287"/>
      <c r="Z9" s="289"/>
      <c r="AA9" s="211"/>
      <c r="AB9" s="290"/>
      <c r="AC9" s="212"/>
      <c r="AD9" s="211"/>
      <c r="AE9" s="290"/>
      <c r="AF9" s="212"/>
    </row>
    <row r="10" spans="1:38" x14ac:dyDescent="0.45">
      <c r="A10" s="119">
        <v>9</v>
      </c>
      <c r="B10" s="291"/>
      <c r="C10" s="293"/>
      <c r="D10" s="293"/>
      <c r="E10" s="294"/>
      <c r="F10" s="293"/>
      <c r="G10" s="293"/>
      <c r="H10" s="294"/>
      <c r="I10" s="282"/>
      <c r="J10" s="283"/>
      <c r="K10" s="284"/>
      <c r="L10" s="284"/>
      <c r="M10" s="284"/>
      <c r="N10" s="365" t="str">
        <f>IFERROR(VLOOKUP(L10,[2]COA!E:F,2,0),"-")</f>
        <v>-</v>
      </c>
      <c r="O10" s="285">
        <v>0.01</v>
      </c>
      <c r="P10" s="285"/>
      <c r="Q10" s="285">
        <v>0.1</v>
      </c>
      <c r="R10" s="286"/>
      <c r="S10" s="285">
        <v>0.3</v>
      </c>
      <c r="T10" s="285">
        <f t="shared" si="0"/>
        <v>0.7</v>
      </c>
      <c r="U10" s="287"/>
      <c r="V10" s="287"/>
      <c r="W10" s="287"/>
      <c r="X10" s="288"/>
      <c r="Y10" s="287"/>
      <c r="Z10" s="289"/>
      <c r="AA10" s="211"/>
      <c r="AB10" s="290"/>
      <c r="AC10" s="212"/>
      <c r="AD10" s="211"/>
      <c r="AE10" s="290"/>
      <c r="AF10" s="212"/>
    </row>
    <row r="11" spans="1:38" x14ac:dyDescent="0.45">
      <c r="A11" s="119">
        <v>10</v>
      </c>
      <c r="B11" s="291"/>
      <c r="C11" s="293"/>
      <c r="D11" s="293"/>
      <c r="E11" s="294"/>
      <c r="F11" s="293"/>
      <c r="G11" s="293"/>
      <c r="H11" s="294"/>
      <c r="I11" s="282"/>
      <c r="J11" s="283"/>
      <c r="K11" s="284"/>
      <c r="L11" s="284"/>
      <c r="M11" s="284"/>
      <c r="N11" s="365" t="str">
        <f>IFERROR(VLOOKUP(L11,[2]COA!E:F,2,0),"-")</f>
        <v>-</v>
      </c>
      <c r="O11" s="285">
        <v>0.01</v>
      </c>
      <c r="P11" s="285"/>
      <c r="Q11" s="285">
        <v>0.1</v>
      </c>
      <c r="R11" s="286"/>
      <c r="S11" s="285">
        <v>0.3</v>
      </c>
      <c r="T11" s="285">
        <f t="shared" si="0"/>
        <v>0.7</v>
      </c>
      <c r="U11" s="287"/>
      <c r="V11" s="287"/>
      <c r="W11" s="296"/>
      <c r="X11" s="297"/>
      <c r="Y11" s="287"/>
      <c r="Z11" s="289"/>
      <c r="AA11" s="211"/>
      <c r="AB11" s="290"/>
      <c r="AC11" s="212"/>
      <c r="AD11" s="211"/>
      <c r="AE11" s="290"/>
      <c r="AF11" s="212"/>
    </row>
    <row r="12" spans="1:38" x14ac:dyDescent="0.45">
      <c r="A12" s="119">
        <v>11</v>
      </c>
      <c r="B12" s="291"/>
      <c r="C12" s="293"/>
      <c r="D12" s="293"/>
      <c r="E12" s="294"/>
      <c r="F12" s="293"/>
      <c r="G12" s="293"/>
      <c r="H12" s="294"/>
      <c r="I12" s="282"/>
      <c r="J12" s="283"/>
      <c r="K12" s="284"/>
      <c r="L12" s="284"/>
      <c r="M12" s="284"/>
      <c r="N12" s="365" t="str">
        <f>IFERROR(VLOOKUP(L12,[2]COA!E:F,2,0),"-")</f>
        <v>-</v>
      </c>
      <c r="O12" s="285">
        <v>0.01</v>
      </c>
      <c r="P12" s="285"/>
      <c r="Q12" s="285">
        <v>0.1</v>
      </c>
      <c r="R12" s="286"/>
      <c r="S12" s="285">
        <v>0.3</v>
      </c>
      <c r="T12" s="285">
        <f t="shared" si="0"/>
        <v>0.7</v>
      </c>
      <c r="U12" s="287"/>
      <c r="V12" s="287"/>
      <c r="W12" s="287"/>
      <c r="X12" s="288"/>
      <c r="Y12" s="287"/>
      <c r="Z12" s="289"/>
      <c r="AA12" s="211"/>
      <c r="AB12" s="290"/>
      <c r="AC12" s="212"/>
      <c r="AD12" s="211"/>
      <c r="AE12" s="290"/>
      <c r="AF12" s="212"/>
    </row>
    <row r="13" spans="1:38" x14ac:dyDescent="0.45">
      <c r="A13" s="119">
        <v>12</v>
      </c>
      <c r="B13" s="291"/>
      <c r="C13" s="293"/>
      <c r="D13" s="293"/>
      <c r="E13" s="294"/>
      <c r="F13" s="293"/>
      <c r="G13" s="293"/>
      <c r="H13" s="294"/>
      <c r="I13" s="282"/>
      <c r="J13" s="283"/>
      <c r="K13" s="284"/>
      <c r="L13" s="284"/>
      <c r="M13" s="284"/>
      <c r="N13" s="298"/>
      <c r="O13" s="285">
        <v>0.01</v>
      </c>
      <c r="P13" s="285"/>
      <c r="Q13" s="285">
        <v>0.1</v>
      </c>
      <c r="R13" s="286"/>
      <c r="S13" s="285">
        <v>0.3</v>
      </c>
      <c r="T13" s="285">
        <f t="shared" si="0"/>
        <v>0.7</v>
      </c>
      <c r="U13" s="287"/>
      <c r="V13" s="287"/>
      <c r="W13" s="287"/>
      <c r="X13" s="288"/>
      <c r="Y13" s="287"/>
      <c r="Z13" s="289"/>
      <c r="AA13" s="211"/>
      <c r="AB13" s="290"/>
      <c r="AC13" s="212"/>
      <c r="AD13" s="211"/>
      <c r="AE13" s="290"/>
      <c r="AF13" s="212"/>
    </row>
    <row r="14" spans="1:38" x14ac:dyDescent="0.45">
      <c r="A14" s="119">
        <v>13</v>
      </c>
      <c r="B14" s="291"/>
      <c r="C14" s="293"/>
      <c r="D14" s="293"/>
      <c r="E14" s="294"/>
      <c r="F14" s="293"/>
      <c r="G14" s="293"/>
      <c r="H14" s="294"/>
      <c r="I14" s="282"/>
      <c r="J14" s="283"/>
      <c r="K14" s="284"/>
      <c r="L14" s="284"/>
      <c r="M14" s="284"/>
      <c r="N14" s="298"/>
      <c r="O14" s="285">
        <v>0.01</v>
      </c>
      <c r="P14" s="285"/>
      <c r="Q14" s="285">
        <v>0.1</v>
      </c>
      <c r="R14" s="286"/>
      <c r="S14" s="285">
        <v>0.3</v>
      </c>
      <c r="T14" s="285">
        <f t="shared" si="0"/>
        <v>0.7</v>
      </c>
      <c r="U14" s="287"/>
      <c r="V14" s="287"/>
      <c r="W14" s="287"/>
      <c r="X14" s="288"/>
      <c r="Y14" s="287"/>
      <c r="Z14" s="289"/>
      <c r="AA14" s="211"/>
      <c r="AB14" s="290"/>
      <c r="AC14" s="212"/>
      <c r="AD14" s="211"/>
      <c r="AE14" s="290"/>
      <c r="AF14" s="212"/>
    </row>
    <row r="15" spans="1:38" ht="18" customHeight="1" x14ac:dyDescent="0.45">
      <c r="A15" s="119">
        <v>14</v>
      </c>
      <c r="B15" s="291"/>
      <c r="C15" s="293"/>
      <c r="D15" s="293"/>
      <c r="E15" s="294"/>
      <c r="F15" s="293"/>
      <c r="G15" s="293"/>
      <c r="H15" s="294"/>
      <c r="I15" s="282"/>
      <c r="J15" s="283"/>
      <c r="K15" s="284"/>
      <c r="L15" s="284"/>
      <c r="M15" s="284"/>
      <c r="N15" s="298"/>
      <c r="O15" s="285">
        <v>0.01</v>
      </c>
      <c r="P15" s="285"/>
      <c r="Q15" s="285">
        <v>0.1</v>
      </c>
      <c r="R15" s="286"/>
      <c r="S15" s="285">
        <v>0.3</v>
      </c>
      <c r="T15" s="285">
        <f t="shared" si="0"/>
        <v>0.7</v>
      </c>
      <c r="U15" s="287">
        <f>N15*O15+N15*T15*Q15+N15*S15</f>
        <v>0</v>
      </c>
      <c r="V15" s="287">
        <f t="shared" si="1"/>
        <v>0</v>
      </c>
      <c r="W15" s="287"/>
      <c r="X15" s="288"/>
      <c r="Y15" s="287">
        <f>N15*T15</f>
        <v>0</v>
      </c>
      <c r="Z15" s="289"/>
      <c r="AA15" s="211"/>
      <c r="AB15" s="290"/>
      <c r="AC15" s="212"/>
      <c r="AD15" s="211"/>
      <c r="AE15" s="290"/>
      <c r="AF15" s="212"/>
    </row>
    <row r="16" spans="1:38" ht="18" customHeight="1" x14ac:dyDescent="0.45">
      <c r="A16" s="119">
        <v>15</v>
      </c>
      <c r="B16" s="291"/>
      <c r="C16" s="293"/>
      <c r="D16" s="293"/>
      <c r="E16" s="294"/>
      <c r="F16" s="293"/>
      <c r="G16" s="293"/>
      <c r="H16" s="294"/>
      <c r="I16" s="282"/>
      <c r="J16" s="283"/>
      <c r="K16" s="284"/>
      <c r="L16" s="284"/>
      <c r="M16" s="284"/>
      <c r="N16" s="298"/>
      <c r="O16" s="285">
        <v>0.01</v>
      </c>
      <c r="P16" s="285"/>
      <c r="Q16" s="285">
        <v>0.1</v>
      </c>
      <c r="R16" s="286"/>
      <c r="S16" s="285">
        <v>0.3</v>
      </c>
      <c r="T16" s="285">
        <f t="shared" si="0"/>
        <v>0.7</v>
      </c>
      <c r="U16" s="287">
        <f>N16*O16+N16*T16*Q16+N16*S16</f>
        <v>0</v>
      </c>
      <c r="V16" s="287">
        <f t="shared" si="1"/>
        <v>0</v>
      </c>
      <c r="W16" s="287"/>
      <c r="X16" s="288"/>
      <c r="Y16" s="287">
        <f>N16*T16</f>
        <v>0</v>
      </c>
      <c r="Z16" s="289"/>
      <c r="AA16" s="211"/>
      <c r="AB16" s="290"/>
      <c r="AC16" s="212"/>
      <c r="AD16" s="211"/>
      <c r="AE16" s="290"/>
      <c r="AF16" s="212"/>
    </row>
    <row r="17" spans="1:32" ht="18" customHeight="1" x14ac:dyDescent="0.45">
      <c r="A17" s="119">
        <v>16</v>
      </c>
      <c r="B17" s="291"/>
      <c r="C17" s="293"/>
      <c r="D17" s="293"/>
      <c r="E17" s="294"/>
      <c r="F17" s="293"/>
      <c r="G17" s="293"/>
      <c r="H17" s="294"/>
      <c r="I17" s="282"/>
      <c r="J17" s="283"/>
      <c r="K17" s="284"/>
      <c r="L17" s="284"/>
      <c r="M17" s="284"/>
      <c r="N17" s="298"/>
      <c r="O17" s="285">
        <v>0.01</v>
      </c>
      <c r="P17" s="285"/>
      <c r="Q17" s="285">
        <v>0.1</v>
      </c>
      <c r="R17" s="286"/>
      <c r="S17" s="285">
        <v>0.3</v>
      </c>
      <c r="T17" s="285">
        <f t="shared" si="0"/>
        <v>0.7</v>
      </c>
      <c r="U17" s="299">
        <f>IFERROR(N17*O17+N17*T17*Q17+N17*S17,"-")</f>
        <v>0</v>
      </c>
      <c r="V17" s="299">
        <f t="shared" si="1"/>
        <v>0</v>
      </c>
      <c r="W17" s="287"/>
      <c r="X17" s="288"/>
      <c r="Y17" s="299">
        <f>IFERROR(N17*T17,"-")</f>
        <v>0</v>
      </c>
      <c r="Z17" s="289"/>
      <c r="AA17" s="211"/>
      <c r="AB17" s="290"/>
      <c r="AC17" s="300"/>
      <c r="AD17" s="211"/>
      <c r="AE17" s="290"/>
      <c r="AF17" s="212"/>
    </row>
    <row r="18" spans="1:32" ht="18" customHeight="1" x14ac:dyDescent="0.45">
      <c r="A18" s="119">
        <v>17</v>
      </c>
      <c r="B18" s="291"/>
      <c r="C18" s="293"/>
      <c r="D18" s="293"/>
      <c r="E18" s="294"/>
      <c r="F18" s="293"/>
      <c r="G18" s="293"/>
      <c r="H18" s="294"/>
      <c r="I18" s="282"/>
      <c r="J18" s="283"/>
      <c r="K18" s="284"/>
      <c r="L18" s="284"/>
      <c r="M18" s="284"/>
      <c r="N18" s="298" t="str">
        <f>IFERROR(VLOOKUP(L18,[2]COA!E:F,2,0),"-")</f>
        <v>-</v>
      </c>
      <c r="O18" s="285">
        <v>0.01</v>
      </c>
      <c r="P18" s="285"/>
      <c r="Q18" s="285">
        <v>0.1</v>
      </c>
      <c r="R18" s="286"/>
      <c r="S18" s="285">
        <v>0.3</v>
      </c>
      <c r="T18" s="285">
        <f t="shared" si="0"/>
        <v>0.7</v>
      </c>
      <c r="U18" s="299" t="str">
        <f t="shared" ref="U18:U27" si="2">IFERROR(N18*O18+N18*T18*Q18+N18*S18,"-")</f>
        <v>-</v>
      </c>
      <c r="V18" s="299" t="str">
        <f t="shared" si="1"/>
        <v>-</v>
      </c>
      <c r="W18" s="287"/>
      <c r="X18" s="288"/>
      <c r="Y18" s="299" t="str">
        <f t="shared" ref="Y18:Y27" si="3">IFERROR(N18*T18,"-")</f>
        <v>-</v>
      </c>
      <c r="Z18" s="289"/>
      <c r="AA18" s="211"/>
      <c r="AB18" s="290"/>
      <c r="AC18" s="300"/>
      <c r="AD18" s="211"/>
      <c r="AE18" s="290"/>
      <c r="AF18" s="300"/>
    </row>
    <row r="19" spans="1:32" ht="18" customHeight="1" x14ac:dyDescent="0.45">
      <c r="A19" s="119">
        <v>18</v>
      </c>
      <c r="B19" s="291"/>
      <c r="C19" s="293"/>
      <c r="D19" s="293"/>
      <c r="E19" s="294"/>
      <c r="F19" s="293"/>
      <c r="G19" s="293"/>
      <c r="H19" s="294"/>
      <c r="I19" s="282"/>
      <c r="J19" s="282"/>
      <c r="K19" s="283"/>
      <c r="L19" s="284"/>
      <c r="M19" s="284"/>
      <c r="N19" s="365" t="str">
        <f>IFERROR(VLOOKUP(L19,[2]COA!E:F,2,0),"-")</f>
        <v>-</v>
      </c>
      <c r="O19" s="285">
        <v>0.01</v>
      </c>
      <c r="P19" s="285"/>
      <c r="Q19" s="285">
        <v>0.1</v>
      </c>
      <c r="R19" s="286"/>
      <c r="S19" s="285">
        <v>0.3</v>
      </c>
      <c r="T19" s="285">
        <f t="shared" si="0"/>
        <v>0.7</v>
      </c>
      <c r="U19" s="299" t="str">
        <f t="shared" si="2"/>
        <v>-</v>
      </c>
      <c r="V19" s="299" t="str">
        <f t="shared" si="1"/>
        <v>-</v>
      </c>
      <c r="W19" s="287"/>
      <c r="X19" s="288"/>
      <c r="Y19" s="299" t="str">
        <f t="shared" si="3"/>
        <v>-</v>
      </c>
      <c r="Z19" s="289"/>
      <c r="AA19" s="211"/>
      <c r="AB19" s="290"/>
      <c r="AC19" s="300"/>
      <c r="AD19" s="211"/>
      <c r="AE19" s="290"/>
      <c r="AF19" s="300"/>
    </row>
    <row r="20" spans="1:32" ht="18" customHeight="1" x14ac:dyDescent="0.45">
      <c r="A20" s="119">
        <v>19</v>
      </c>
      <c r="B20" s="291"/>
      <c r="C20" s="293"/>
      <c r="D20" s="293"/>
      <c r="E20" s="294"/>
      <c r="F20" s="293"/>
      <c r="G20" s="293"/>
      <c r="H20" s="294"/>
      <c r="I20" s="282"/>
      <c r="J20" s="282"/>
      <c r="K20" s="283"/>
      <c r="L20" s="284"/>
      <c r="M20" s="119"/>
      <c r="N20" s="302" t="str">
        <f>IFERROR(VLOOKUP(L20,[2]COA!E:F,2,0),"-")</f>
        <v>-</v>
      </c>
      <c r="O20" s="285">
        <v>0.01</v>
      </c>
      <c r="P20" s="285"/>
      <c r="Q20" s="285">
        <v>0.1</v>
      </c>
      <c r="R20" s="286"/>
      <c r="S20" s="285">
        <v>0.3</v>
      </c>
      <c r="T20" s="285">
        <f t="shared" si="0"/>
        <v>0.7</v>
      </c>
      <c r="U20" s="157" t="str">
        <f t="shared" si="2"/>
        <v>-</v>
      </c>
      <c r="V20" s="303" t="str">
        <f t="shared" si="1"/>
        <v>-</v>
      </c>
      <c r="W20" s="135"/>
      <c r="X20" s="134"/>
      <c r="Y20" s="157" t="str">
        <f t="shared" si="3"/>
        <v>-</v>
      </c>
      <c r="Z20" s="119"/>
      <c r="AA20" s="211"/>
      <c r="AB20" s="290"/>
      <c r="AC20" s="300"/>
      <c r="AD20" s="211"/>
      <c r="AE20" s="290"/>
      <c r="AF20" s="300"/>
    </row>
    <row r="21" spans="1:32" ht="18" customHeight="1" x14ac:dyDescent="0.45">
      <c r="A21" s="119"/>
      <c r="B21" s="304"/>
      <c r="C21" s="119"/>
      <c r="D21" s="119"/>
      <c r="E21" s="305"/>
      <c r="F21" s="119"/>
      <c r="G21" s="119"/>
      <c r="H21" s="305"/>
      <c r="I21" s="1"/>
      <c r="J21" s="1"/>
      <c r="K21" s="119"/>
      <c r="L21" s="119"/>
      <c r="M21" s="119"/>
      <c r="N21" s="302" t="str">
        <f>IFERROR(VLOOKUP(L21,[2]COA!E:F,2,0),"-")</f>
        <v>-</v>
      </c>
      <c r="O21" s="285">
        <v>0.01</v>
      </c>
      <c r="P21" s="285"/>
      <c r="Q21" s="285">
        <v>0.1</v>
      </c>
      <c r="R21" s="286"/>
      <c r="S21" s="285">
        <v>0.3</v>
      </c>
      <c r="T21" s="285">
        <f t="shared" si="0"/>
        <v>0.7</v>
      </c>
      <c r="U21" s="157" t="str">
        <f t="shared" si="2"/>
        <v>-</v>
      </c>
      <c r="V21" s="303" t="str">
        <f t="shared" si="1"/>
        <v>-</v>
      </c>
      <c r="W21" s="135"/>
      <c r="X21" s="134"/>
      <c r="Y21" s="157" t="str">
        <f t="shared" si="3"/>
        <v>-</v>
      </c>
      <c r="Z21" s="119"/>
      <c r="AA21" s="155"/>
      <c r="AB21" s="306"/>
      <c r="AC21" s="303"/>
      <c r="AD21" s="155"/>
      <c r="AE21" s="307"/>
      <c r="AF21" s="157"/>
    </row>
    <row r="22" spans="1:32" ht="18" customHeight="1" x14ac:dyDescent="0.45">
      <c r="A22" s="119"/>
      <c r="B22" s="304"/>
      <c r="C22" s="119"/>
      <c r="D22" s="119"/>
      <c r="E22" s="305"/>
      <c r="F22" s="119"/>
      <c r="G22" s="119"/>
      <c r="H22" s="305"/>
      <c r="I22" s="1"/>
      <c r="J22" s="1"/>
      <c r="K22" s="119"/>
      <c r="L22" s="119"/>
      <c r="M22" s="119"/>
      <c r="N22" s="302" t="str">
        <f>IFERROR(VLOOKUP(L22,[2]COA!E:F,2,0),"-")</f>
        <v>-</v>
      </c>
      <c r="O22" s="285">
        <v>0.01</v>
      </c>
      <c r="P22" s="285"/>
      <c r="Q22" s="285">
        <v>0.1</v>
      </c>
      <c r="R22" s="286"/>
      <c r="S22" s="285">
        <v>0.3</v>
      </c>
      <c r="T22" s="285">
        <f>100%-S22</f>
        <v>0.7</v>
      </c>
      <c r="U22" s="157" t="str">
        <f t="shared" si="2"/>
        <v>-</v>
      </c>
      <c r="V22" s="303" t="str">
        <f t="shared" si="1"/>
        <v>-</v>
      </c>
      <c r="W22" s="135"/>
      <c r="X22" s="134"/>
      <c r="Y22" s="157" t="str">
        <f t="shared" si="3"/>
        <v>-</v>
      </c>
      <c r="Z22" s="119"/>
      <c r="AA22" s="155"/>
      <c r="AB22" s="306"/>
      <c r="AC22" s="303"/>
      <c r="AD22" s="155"/>
      <c r="AE22" s="307"/>
      <c r="AF22" s="157"/>
    </row>
    <row r="23" spans="1:32" ht="18" customHeight="1" x14ac:dyDescent="0.45">
      <c r="A23" s="119"/>
      <c r="B23" s="304"/>
      <c r="C23" s="119"/>
      <c r="D23" s="119"/>
      <c r="E23" s="305"/>
      <c r="F23" s="119"/>
      <c r="G23" s="119"/>
      <c r="H23" s="305"/>
      <c r="I23" s="1"/>
      <c r="J23" s="1"/>
      <c r="K23" s="119"/>
      <c r="L23" s="119"/>
      <c r="M23" s="119"/>
      <c r="N23" s="302" t="str">
        <f>IFERROR(VLOOKUP(L23,[2]COA!E:F,2,0),"-")</f>
        <v>-</v>
      </c>
      <c r="O23" s="285">
        <v>0.01</v>
      </c>
      <c r="P23" s="285"/>
      <c r="Q23" s="285">
        <v>0.1</v>
      </c>
      <c r="R23" s="286"/>
      <c r="S23" s="285">
        <v>0.3</v>
      </c>
      <c r="T23" s="285">
        <f>100%-S23</f>
        <v>0.7</v>
      </c>
      <c r="U23" s="157" t="str">
        <f t="shared" si="2"/>
        <v>-</v>
      </c>
      <c r="V23" s="303" t="str">
        <f t="shared" si="1"/>
        <v>-</v>
      </c>
      <c r="W23" s="135"/>
      <c r="X23" s="134"/>
      <c r="Y23" s="157" t="str">
        <f t="shared" si="3"/>
        <v>-</v>
      </c>
      <c r="Z23" s="119"/>
      <c r="AA23" s="155"/>
      <c r="AB23" s="306"/>
      <c r="AC23" s="303"/>
      <c r="AD23" s="155"/>
      <c r="AE23" s="307"/>
      <c r="AF23" s="157"/>
    </row>
    <row r="24" spans="1:32" x14ac:dyDescent="0.45">
      <c r="A24" s="119"/>
      <c r="B24" s="304"/>
      <c r="C24" s="119"/>
      <c r="D24" s="119"/>
      <c r="E24" s="305"/>
      <c r="F24" s="119"/>
      <c r="G24" s="119"/>
      <c r="H24" s="305"/>
      <c r="I24" s="1"/>
      <c r="J24" s="1"/>
      <c r="K24" s="119"/>
      <c r="L24" s="119"/>
      <c r="M24" s="119"/>
      <c r="N24" s="302" t="str">
        <f>IFERROR(VLOOKUP(L24,[2]COA!E:F,2,0),"-")</f>
        <v>-</v>
      </c>
      <c r="O24" s="285">
        <v>0.01</v>
      </c>
      <c r="P24" s="285"/>
      <c r="Q24" s="285">
        <v>0.1</v>
      </c>
      <c r="R24" s="286"/>
      <c r="S24" s="285">
        <v>0.3</v>
      </c>
      <c r="T24" s="285">
        <f>100%-S24</f>
        <v>0.7</v>
      </c>
      <c r="U24" s="157" t="str">
        <f t="shared" si="2"/>
        <v>-</v>
      </c>
      <c r="V24" s="303" t="str">
        <f t="shared" si="1"/>
        <v>-</v>
      </c>
      <c r="W24" s="135"/>
      <c r="X24" s="134"/>
      <c r="Y24" s="157" t="str">
        <f t="shared" si="3"/>
        <v>-</v>
      </c>
      <c r="Z24" s="119"/>
      <c r="AA24" s="155"/>
      <c r="AB24" s="306"/>
      <c r="AC24" s="303"/>
      <c r="AD24" s="155"/>
      <c r="AE24" s="307"/>
      <c r="AF24" s="157"/>
    </row>
    <row r="25" spans="1:32" x14ac:dyDescent="0.45">
      <c r="A25" s="119"/>
      <c r="B25" s="304"/>
      <c r="C25" s="119"/>
      <c r="D25" s="119"/>
      <c r="E25" s="305"/>
      <c r="F25" s="119"/>
      <c r="G25" s="119"/>
      <c r="H25" s="305"/>
      <c r="I25" s="1"/>
      <c r="J25" s="1"/>
      <c r="K25" s="119"/>
      <c r="L25" s="119"/>
      <c r="M25" s="119"/>
      <c r="N25" s="302" t="str">
        <f>IFERROR(VLOOKUP(L25,[2]COA!E:F,2,0),"-")</f>
        <v>-</v>
      </c>
      <c r="O25" s="285">
        <v>0.01</v>
      </c>
      <c r="P25" s="285"/>
      <c r="Q25" s="285">
        <v>0.1</v>
      </c>
      <c r="R25" s="286"/>
      <c r="S25" s="285">
        <v>0.3</v>
      </c>
      <c r="T25" s="285">
        <f>100%-S25</f>
        <v>0.7</v>
      </c>
      <c r="U25" s="157" t="str">
        <f t="shared" si="2"/>
        <v>-</v>
      </c>
      <c r="V25" s="303" t="str">
        <f t="shared" si="1"/>
        <v>-</v>
      </c>
      <c r="W25" s="135"/>
      <c r="X25" s="134"/>
      <c r="Y25" s="157" t="str">
        <f t="shared" si="3"/>
        <v>-</v>
      </c>
      <c r="Z25" s="119"/>
      <c r="AA25" s="155"/>
      <c r="AB25" s="306"/>
      <c r="AC25" s="303"/>
      <c r="AD25" s="155"/>
      <c r="AE25" s="307"/>
      <c r="AF25" s="157"/>
    </row>
    <row r="26" spans="1:32" x14ac:dyDescent="0.45">
      <c r="A26" s="119"/>
      <c r="B26" s="304"/>
      <c r="C26" s="119"/>
      <c r="D26" s="119"/>
      <c r="E26" s="305"/>
      <c r="F26" s="119"/>
      <c r="G26" s="119"/>
      <c r="H26" s="305"/>
      <c r="I26" s="1"/>
      <c r="J26" s="1"/>
      <c r="K26" s="119"/>
      <c r="L26" s="119"/>
      <c r="M26" s="119"/>
      <c r="N26" s="302" t="str">
        <f>IFERROR(VLOOKUP(L26,[2]COA!E:F,2,0),"-")</f>
        <v>-</v>
      </c>
      <c r="O26" s="285">
        <v>0.01</v>
      </c>
      <c r="P26" s="285"/>
      <c r="Q26" s="285">
        <v>0.1</v>
      </c>
      <c r="R26" s="285"/>
      <c r="S26" s="285">
        <v>0.3</v>
      </c>
      <c r="T26" s="285">
        <f>100%-S26</f>
        <v>0.7</v>
      </c>
      <c r="U26" s="157" t="str">
        <f t="shared" si="2"/>
        <v>-</v>
      </c>
      <c r="V26" s="303" t="str">
        <f t="shared" si="1"/>
        <v>-</v>
      </c>
      <c r="W26" s="135"/>
      <c r="X26" s="134"/>
      <c r="Y26" s="157" t="str">
        <f t="shared" si="3"/>
        <v>-</v>
      </c>
      <c r="Z26" s="119"/>
      <c r="AA26" s="155"/>
      <c r="AB26" s="306"/>
      <c r="AC26" s="303"/>
      <c r="AD26" s="155"/>
      <c r="AE26" s="307"/>
      <c r="AF26" s="157"/>
    </row>
    <row r="27" spans="1:32" ht="18.75" thickBot="1" x14ac:dyDescent="0.5">
      <c r="A27" s="158"/>
      <c r="B27" s="308"/>
      <c r="C27" s="158"/>
      <c r="D27" s="158"/>
      <c r="E27" s="309"/>
      <c r="F27" s="158"/>
      <c r="G27" s="158"/>
      <c r="H27" s="309"/>
      <c r="I27" s="158"/>
      <c r="J27" s="158"/>
      <c r="K27" s="310" t="s">
        <v>74</v>
      </c>
      <c r="L27" s="310"/>
      <c r="M27" s="310"/>
      <c r="N27" s="366" t="str">
        <f>IFERROR(VLOOKUP(L27,[2]COA!E:F,2,0),"-")</f>
        <v>-</v>
      </c>
      <c r="O27" s="312"/>
      <c r="P27" s="312"/>
      <c r="Q27" s="312"/>
      <c r="R27" s="312"/>
      <c r="S27" s="312"/>
      <c r="T27" s="312"/>
      <c r="U27" s="157" t="str">
        <f t="shared" si="2"/>
        <v>-</v>
      </c>
      <c r="V27" s="313">
        <f>SUM(V2:V26)</f>
        <v>2964420</v>
      </c>
      <c r="W27" s="314">
        <f>SUM(W2:W26)</f>
        <v>0</v>
      </c>
      <c r="X27" s="159"/>
      <c r="Y27" s="159" t="str">
        <f t="shared" si="3"/>
        <v>-</v>
      </c>
      <c r="Z27" s="159"/>
      <c r="AA27" s="159"/>
      <c r="AB27" s="315"/>
      <c r="AC27" s="316"/>
      <c r="AD27" s="316"/>
      <c r="AE27" s="315"/>
      <c r="AF27" s="316"/>
    </row>
    <row r="28" spans="1:32" ht="18.75" thickTop="1" x14ac:dyDescent="0.45"/>
    <row r="29" spans="1:32" x14ac:dyDescent="0.45">
      <c r="U29" s="213"/>
    </row>
  </sheetData>
  <phoneticPr fontId="45" type="noConversion"/>
  <pageMargins left="0.24" right="0.2" top="0.39" bottom="0.75" header="0.3" footer="0.3"/>
  <pageSetup paperSize="9" scale="85" orientation="landscape" verticalDpi="0" r:id="rId1"/>
  <drawing r:id="rId2"/>
  <tableParts count="1">
    <tablePart r:id="rId3"/>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J123"/>
  <sheetViews>
    <sheetView topLeftCell="A10" zoomScale="78" zoomScaleNormal="78" zoomScaleSheetLayoutView="77" workbookViewId="0">
      <selection activeCell="H21" sqref="H21"/>
    </sheetView>
  </sheetViews>
  <sheetFormatPr defaultColWidth="8.7109375" defaultRowHeight="21.75" x14ac:dyDescent="0.55000000000000004"/>
  <cols>
    <col min="1" max="1" width="14.85546875" style="23" customWidth="1"/>
    <col min="2" max="2" width="17.42578125" style="23" customWidth="1"/>
    <col min="3" max="3" width="26.5703125" style="23" bestFit="1" customWidth="1"/>
    <col min="4" max="4" width="16.85546875" style="375" customWidth="1"/>
    <col min="5" max="5" width="12" style="23" bestFit="1" customWidth="1"/>
    <col min="6" max="6" width="63.5703125" style="23" bestFit="1" customWidth="1"/>
    <col min="7" max="7" width="21.5703125" style="376" customWidth="1"/>
    <col min="8" max="8" width="18.85546875" style="84" customWidth="1"/>
    <col min="9" max="9" width="20.85546875" style="23" customWidth="1"/>
    <col min="10" max="10" width="20.85546875" style="23" bestFit="1" customWidth="1"/>
    <col min="11" max="16384" width="8.7109375" style="23"/>
  </cols>
  <sheetData>
    <row r="1" spans="1:10" x14ac:dyDescent="0.55000000000000004">
      <c r="A1" s="202" t="s">
        <v>3197</v>
      </c>
      <c r="B1" s="202"/>
    </row>
    <row r="3" spans="1:10" x14ac:dyDescent="0.55000000000000004">
      <c r="A3" s="363" t="s">
        <v>12</v>
      </c>
      <c r="B3" s="368" t="s">
        <v>1382</v>
      </c>
      <c r="C3" s="368" t="s">
        <v>2566</v>
      </c>
      <c r="D3" s="377" t="s">
        <v>2569</v>
      </c>
      <c r="E3" s="368" t="s">
        <v>1367</v>
      </c>
      <c r="F3" s="368" t="s">
        <v>932</v>
      </c>
      <c r="G3" s="376" t="s">
        <v>2977</v>
      </c>
      <c r="H3" s="108" t="s">
        <v>2814</v>
      </c>
      <c r="I3"/>
      <c r="J3"/>
    </row>
    <row r="4" spans="1:10" x14ac:dyDescent="0.55000000000000004">
      <c r="A4" s="460">
        <v>44136</v>
      </c>
      <c r="B4" s="23" t="s">
        <v>2374</v>
      </c>
      <c r="C4" s="23" t="s">
        <v>2316</v>
      </c>
      <c r="D4" s="531">
        <v>799406646</v>
      </c>
      <c r="E4" s="23" t="s">
        <v>2460</v>
      </c>
      <c r="F4" s="23" t="s">
        <v>2377</v>
      </c>
      <c r="G4" s="376">
        <v>44317</v>
      </c>
      <c r="H4" s="108">
        <v>744000</v>
      </c>
      <c r="I4"/>
      <c r="J4"/>
    </row>
    <row r="5" spans="1:10" x14ac:dyDescent="0.55000000000000004">
      <c r="A5" s="460">
        <v>44152</v>
      </c>
      <c r="B5" s="23" t="s">
        <v>2396</v>
      </c>
      <c r="C5" s="23" t="s">
        <v>2290</v>
      </c>
      <c r="D5" s="531">
        <v>762017900</v>
      </c>
      <c r="E5" s="23" t="s">
        <v>2460</v>
      </c>
      <c r="F5" s="23" t="s">
        <v>2399</v>
      </c>
      <c r="G5" s="376">
        <v>44333</v>
      </c>
      <c r="H5" s="108">
        <v>987000</v>
      </c>
      <c r="I5"/>
      <c r="J5"/>
    </row>
    <row r="6" spans="1:10" x14ac:dyDescent="0.55000000000000004">
      <c r="A6" s="460">
        <v>44153</v>
      </c>
      <c r="B6" s="23" t="s">
        <v>2400</v>
      </c>
      <c r="C6" s="23" t="s">
        <v>2347</v>
      </c>
      <c r="D6" s="531">
        <v>425741998</v>
      </c>
      <c r="E6" s="23" t="s">
        <v>2460</v>
      </c>
      <c r="F6" s="23" t="s">
        <v>2403</v>
      </c>
      <c r="G6" s="376">
        <v>44334</v>
      </c>
      <c r="H6" s="108">
        <v>957390</v>
      </c>
      <c r="I6"/>
      <c r="J6"/>
    </row>
    <row r="7" spans="1:10" x14ac:dyDescent="0.55000000000000004">
      <c r="A7" s="460">
        <v>44155</v>
      </c>
      <c r="B7" s="23" t="s">
        <v>2404</v>
      </c>
      <c r="C7" s="23" t="s">
        <v>2153</v>
      </c>
      <c r="D7" s="531">
        <v>799419927</v>
      </c>
      <c r="E7" s="23" t="s">
        <v>2460</v>
      </c>
      <c r="F7" s="23" t="s">
        <v>2406</v>
      </c>
      <c r="G7" s="376">
        <v>44336</v>
      </c>
      <c r="H7" s="108">
        <v>721680</v>
      </c>
      <c r="I7"/>
      <c r="J7"/>
    </row>
    <row r="8" spans="1:10" x14ac:dyDescent="0.55000000000000004">
      <c r="A8" s="460">
        <v>44155</v>
      </c>
      <c r="B8" s="23" t="s">
        <v>2407</v>
      </c>
      <c r="C8" s="23" t="s">
        <v>2408</v>
      </c>
      <c r="D8" s="531">
        <v>798813398</v>
      </c>
      <c r="E8" s="23" t="s">
        <v>2460</v>
      </c>
      <c r="F8" s="23" t="s">
        <v>2411</v>
      </c>
      <c r="G8" s="376">
        <v>44336</v>
      </c>
      <c r="H8" s="108">
        <v>957390</v>
      </c>
      <c r="I8"/>
      <c r="J8"/>
    </row>
    <row r="9" spans="1:10" x14ac:dyDescent="0.55000000000000004">
      <c r="A9" s="460">
        <v>44157</v>
      </c>
      <c r="B9" s="23" t="s">
        <v>2413</v>
      </c>
      <c r="C9" s="23" t="s">
        <v>2414</v>
      </c>
      <c r="D9" s="531">
        <v>777070377</v>
      </c>
      <c r="E9" s="23" t="s">
        <v>2460</v>
      </c>
      <c r="F9" s="23" t="s">
        <v>2417</v>
      </c>
      <c r="G9" s="376">
        <v>44338</v>
      </c>
      <c r="H9" s="108">
        <v>957390</v>
      </c>
      <c r="I9"/>
      <c r="J9"/>
    </row>
    <row r="10" spans="1:10" x14ac:dyDescent="0.55000000000000004">
      <c r="A10" s="460">
        <v>44162</v>
      </c>
      <c r="B10" s="23" t="s">
        <v>2418</v>
      </c>
      <c r="C10" s="23" t="s">
        <v>2419</v>
      </c>
      <c r="D10" s="531">
        <v>761034336</v>
      </c>
      <c r="E10" s="23" t="s">
        <v>2460</v>
      </c>
      <c r="F10" s="23" t="s">
        <v>2422</v>
      </c>
      <c r="G10" s="376">
        <v>44343</v>
      </c>
      <c r="H10" s="108">
        <v>721680</v>
      </c>
      <c r="I10"/>
      <c r="J10"/>
    </row>
    <row r="11" spans="1:10" x14ac:dyDescent="0.55000000000000004">
      <c r="A11" s="460">
        <v>44162</v>
      </c>
      <c r="B11" s="23" t="s">
        <v>2423</v>
      </c>
      <c r="C11" s="23" t="s">
        <v>2424</v>
      </c>
      <c r="D11" s="531">
        <v>777893034</v>
      </c>
      <c r="E11" s="23" t="s">
        <v>2460</v>
      </c>
      <c r="F11" s="23" t="s">
        <v>2427</v>
      </c>
      <c r="G11" s="376">
        <v>44343</v>
      </c>
      <c r="H11" s="108">
        <v>957390</v>
      </c>
      <c r="I11"/>
      <c r="J11"/>
    </row>
    <row r="12" spans="1:10" x14ac:dyDescent="0.55000000000000004">
      <c r="A12" s="460">
        <v>44165</v>
      </c>
      <c r="B12" s="23" t="s">
        <v>2456</v>
      </c>
      <c r="C12" s="23" t="s">
        <v>2347</v>
      </c>
      <c r="D12" s="531">
        <v>420024352</v>
      </c>
      <c r="E12" s="23" t="s">
        <v>2460</v>
      </c>
      <c r="F12" s="23" t="s">
        <v>2459</v>
      </c>
      <c r="G12" s="376">
        <v>44346</v>
      </c>
      <c r="H12" s="108">
        <v>669825</v>
      </c>
      <c r="I12"/>
      <c r="J12"/>
    </row>
    <row r="13" spans="1:10" x14ac:dyDescent="0.55000000000000004">
      <c r="A13" s="460" t="s">
        <v>2049</v>
      </c>
      <c r="D13" s="531"/>
      <c r="G13" s="376">
        <v>399026</v>
      </c>
      <c r="H13" s="108">
        <v>7673745</v>
      </c>
      <c r="I13"/>
      <c r="J13"/>
    </row>
    <row r="14" spans="1:10" x14ac:dyDescent="0.55000000000000004">
      <c r="A14"/>
      <c r="B14"/>
      <c r="C14"/>
      <c r="D14" s="509"/>
      <c r="E14"/>
      <c r="F14"/>
      <c r="G14"/>
      <c r="H14"/>
      <c r="I14"/>
      <c r="J14"/>
    </row>
    <row r="15" spans="1:10" x14ac:dyDescent="0.55000000000000004">
      <c r="A15" s="363" t="s">
        <v>12</v>
      </c>
      <c r="B15" s="368" t="s">
        <v>1382</v>
      </c>
      <c r="C15" s="368" t="s">
        <v>2566</v>
      </c>
      <c r="D15" s="377" t="s">
        <v>2569</v>
      </c>
      <c r="E15" s="368" t="s">
        <v>1367</v>
      </c>
      <c r="F15" s="368" t="s">
        <v>932</v>
      </c>
      <c r="G15" s="376" t="s">
        <v>2978</v>
      </c>
      <c r="H15" s="108" t="s">
        <v>2979</v>
      </c>
      <c r="I15"/>
      <c r="J15"/>
    </row>
    <row r="16" spans="1:10" x14ac:dyDescent="0.55000000000000004">
      <c r="A16" s="460">
        <v>43971</v>
      </c>
      <c r="B16" s="23" t="s">
        <v>2576</v>
      </c>
      <c r="C16" s="23" t="s">
        <v>2347</v>
      </c>
      <c r="D16" s="531">
        <v>799415809</v>
      </c>
      <c r="E16" s="23" t="s">
        <v>2460</v>
      </c>
      <c r="F16" s="23" t="s">
        <v>1373</v>
      </c>
      <c r="G16" s="376">
        <v>44336</v>
      </c>
      <c r="H16" s="108">
        <v>987000</v>
      </c>
      <c r="I16"/>
      <c r="J16"/>
    </row>
    <row r="17" spans="1:10" x14ac:dyDescent="0.55000000000000004">
      <c r="A17" s="460">
        <v>43974</v>
      </c>
      <c r="B17" s="23" t="s">
        <v>2144</v>
      </c>
      <c r="C17" s="23" t="s">
        <v>2145</v>
      </c>
      <c r="D17" s="531">
        <v>799411302</v>
      </c>
      <c r="E17" s="23" t="s">
        <v>2460</v>
      </c>
      <c r="F17" s="23" t="s">
        <v>1373</v>
      </c>
      <c r="G17" s="376">
        <v>44339</v>
      </c>
      <c r="H17" s="108">
        <v>987000</v>
      </c>
      <c r="I17"/>
      <c r="J17"/>
    </row>
    <row r="18" spans="1:10" x14ac:dyDescent="0.55000000000000004">
      <c r="A18" s="460">
        <v>43981</v>
      </c>
      <c r="B18" s="23" t="s">
        <v>2147</v>
      </c>
      <c r="C18" s="23" t="s">
        <v>2581</v>
      </c>
      <c r="D18" s="531">
        <v>795199746</v>
      </c>
      <c r="E18" s="23" t="s">
        <v>2460</v>
      </c>
      <c r="F18" s="23" t="s">
        <v>1373</v>
      </c>
      <c r="G18" s="376">
        <v>44346</v>
      </c>
      <c r="H18" s="108">
        <v>963000</v>
      </c>
      <c r="I18"/>
      <c r="J18"/>
    </row>
    <row r="19" spans="1:10" x14ac:dyDescent="0.55000000000000004">
      <c r="A19" s="460" t="s">
        <v>2049</v>
      </c>
      <c r="D19" s="531"/>
      <c r="G19" s="376">
        <v>133021</v>
      </c>
      <c r="H19" s="108">
        <v>2937000</v>
      </c>
      <c r="I19"/>
      <c r="J19"/>
    </row>
    <row r="20" spans="1:10" x14ac:dyDescent="0.55000000000000004">
      <c r="A20"/>
      <c r="B20"/>
      <c r="C20"/>
      <c r="D20" s="509"/>
      <c r="E20"/>
      <c r="F20"/>
      <c r="G20"/>
      <c r="H20"/>
      <c r="I20"/>
      <c r="J20"/>
    </row>
    <row r="21" spans="1:10" x14ac:dyDescent="0.55000000000000004">
      <c r="A21"/>
      <c r="B21"/>
      <c r="C21"/>
      <c r="D21" s="509"/>
      <c r="E21"/>
      <c r="F21"/>
      <c r="G21" s="510"/>
      <c r="H21"/>
      <c r="I21"/>
      <c r="J21"/>
    </row>
    <row r="22" spans="1:10" x14ac:dyDescent="0.55000000000000004">
      <c r="A22"/>
      <c r="B22"/>
      <c r="C22"/>
      <c r="D22" s="509"/>
      <c r="E22"/>
      <c r="F22"/>
      <c r="G22" s="510"/>
      <c r="H22"/>
      <c r="I22"/>
      <c r="J22"/>
    </row>
    <row r="23" spans="1:10" x14ac:dyDescent="0.55000000000000004">
      <c r="A23"/>
      <c r="B23"/>
      <c r="C23"/>
      <c r="D23" s="509"/>
      <c r="E23"/>
      <c r="F23"/>
      <c r="G23" s="510"/>
      <c r="H23"/>
      <c r="I23"/>
      <c r="J23"/>
    </row>
    <row r="24" spans="1:10" x14ac:dyDescent="0.55000000000000004">
      <c r="A24"/>
      <c r="B24"/>
      <c r="C24"/>
      <c r="D24" s="509"/>
      <c r="E24"/>
      <c r="F24"/>
      <c r="G24" s="510"/>
      <c r="H24"/>
      <c r="I24"/>
      <c r="J24"/>
    </row>
    <row r="25" spans="1:10" x14ac:dyDescent="0.55000000000000004">
      <c r="A25"/>
      <c r="B25"/>
      <c r="C25"/>
      <c r="D25" s="509"/>
      <c r="E25"/>
      <c r="F25"/>
      <c r="G25" s="510"/>
      <c r="H25"/>
      <c r="I25"/>
      <c r="J25"/>
    </row>
    <row r="26" spans="1:10" x14ac:dyDescent="0.55000000000000004">
      <c r="A26"/>
      <c r="B26"/>
      <c r="C26"/>
      <c r="D26" s="509"/>
      <c r="E26"/>
      <c r="F26"/>
      <c r="G26" s="510"/>
      <c r="H26"/>
      <c r="I26"/>
      <c r="J26"/>
    </row>
    <row r="27" spans="1:10" x14ac:dyDescent="0.55000000000000004">
      <c r="A27"/>
      <c r="B27"/>
      <c r="C27"/>
      <c r="D27" s="509"/>
      <c r="E27"/>
      <c r="F27"/>
      <c r="G27" s="510"/>
      <c r="H27"/>
      <c r="I27"/>
      <c r="J27"/>
    </row>
    <row r="28" spans="1:10" x14ac:dyDescent="0.55000000000000004">
      <c r="A28"/>
      <c r="B28"/>
      <c r="C28"/>
      <c r="D28" s="509"/>
      <c r="E28"/>
      <c r="F28"/>
      <c r="G28" s="510"/>
      <c r="H28"/>
      <c r="I28"/>
      <c r="J28"/>
    </row>
    <row r="29" spans="1:10" x14ac:dyDescent="0.55000000000000004">
      <c r="A29"/>
      <c r="B29"/>
      <c r="C29"/>
      <c r="D29" s="509"/>
      <c r="E29"/>
      <c r="F29"/>
      <c r="G29" s="510"/>
      <c r="H29"/>
      <c r="I29"/>
      <c r="J29"/>
    </row>
    <row r="30" spans="1:10" x14ac:dyDescent="0.55000000000000004">
      <c r="A30"/>
      <c r="B30"/>
      <c r="C30"/>
      <c r="D30" s="509"/>
      <c r="E30"/>
      <c r="F30"/>
      <c r="G30" s="510"/>
      <c r="H30"/>
      <c r="I30"/>
      <c r="J30"/>
    </row>
    <row r="31" spans="1:10" x14ac:dyDescent="0.55000000000000004">
      <c r="A31"/>
      <c r="B31"/>
      <c r="C31"/>
      <c r="D31" s="509"/>
      <c r="E31"/>
      <c r="F31"/>
      <c r="G31" s="510"/>
      <c r="H31"/>
      <c r="I31"/>
      <c r="J31"/>
    </row>
    <row r="32" spans="1:10" x14ac:dyDescent="0.55000000000000004">
      <c r="A32"/>
      <c r="B32"/>
      <c r="C32"/>
      <c r="D32" s="509"/>
      <c r="E32"/>
      <c r="F32"/>
      <c r="G32" s="510"/>
      <c r="H32"/>
      <c r="I32"/>
      <c r="J32"/>
    </row>
    <row r="33" spans="1:10" x14ac:dyDescent="0.55000000000000004">
      <c r="A33"/>
      <c r="B33"/>
      <c r="C33"/>
      <c r="D33" s="509"/>
      <c r="E33"/>
      <c r="F33"/>
      <c r="G33" s="510"/>
      <c r="H33"/>
      <c r="I33"/>
      <c r="J33"/>
    </row>
    <row r="34" spans="1:10" x14ac:dyDescent="0.55000000000000004">
      <c r="A34"/>
      <c r="B34"/>
      <c r="C34"/>
      <c r="D34" s="509"/>
      <c r="E34"/>
      <c r="F34"/>
      <c r="G34" s="510"/>
      <c r="H34"/>
      <c r="I34"/>
      <c r="J34"/>
    </row>
    <row r="35" spans="1:10" x14ac:dyDescent="0.55000000000000004">
      <c r="A35"/>
      <c r="B35"/>
      <c r="C35"/>
      <c r="D35" s="509"/>
      <c r="E35"/>
      <c r="F35"/>
      <c r="G35" s="510"/>
      <c r="H35"/>
      <c r="I35"/>
      <c r="J35"/>
    </row>
    <row r="36" spans="1:10" x14ac:dyDescent="0.55000000000000004">
      <c r="A36"/>
      <c r="B36"/>
      <c r="C36"/>
      <c r="D36" s="509"/>
      <c r="E36"/>
      <c r="F36"/>
      <c r="G36" s="510"/>
      <c r="H36"/>
      <c r="I36"/>
      <c r="J36"/>
    </row>
    <row r="37" spans="1:10" x14ac:dyDescent="0.55000000000000004">
      <c r="A37"/>
      <c r="B37"/>
      <c r="C37"/>
      <c r="D37" s="509"/>
      <c r="E37"/>
      <c r="F37"/>
      <c r="G37" s="510"/>
      <c r="H37"/>
      <c r="I37"/>
      <c r="J37"/>
    </row>
    <row r="38" spans="1:10" x14ac:dyDescent="0.55000000000000004">
      <c r="A38"/>
      <c r="B38"/>
      <c r="C38"/>
      <c r="D38" s="509"/>
      <c r="E38"/>
      <c r="F38"/>
      <c r="G38" s="510"/>
      <c r="H38"/>
      <c r="I38"/>
      <c r="J38"/>
    </row>
    <row r="39" spans="1:10" x14ac:dyDescent="0.55000000000000004">
      <c r="A39"/>
      <c r="B39"/>
      <c r="C39"/>
      <c r="D39" s="509"/>
      <c r="E39"/>
      <c r="F39"/>
      <c r="G39" s="510"/>
      <c r="H39"/>
      <c r="I39"/>
      <c r="J39"/>
    </row>
    <row r="40" spans="1:10" x14ac:dyDescent="0.55000000000000004">
      <c r="A40"/>
      <c r="B40"/>
      <c r="C40"/>
      <c r="D40" s="509"/>
      <c r="E40"/>
      <c r="F40"/>
      <c r="G40" s="510"/>
      <c r="H40"/>
      <c r="I40"/>
      <c r="J40"/>
    </row>
    <row r="41" spans="1:10" x14ac:dyDescent="0.55000000000000004">
      <c r="A41"/>
      <c r="B41"/>
      <c r="C41"/>
      <c r="D41" s="509"/>
      <c r="E41"/>
      <c r="F41"/>
      <c r="G41" s="510"/>
      <c r="H41"/>
      <c r="I41"/>
      <c r="J41"/>
    </row>
    <row r="42" spans="1:10" x14ac:dyDescent="0.55000000000000004">
      <c r="A42"/>
      <c r="B42"/>
      <c r="C42"/>
      <c r="D42" s="509"/>
      <c r="E42"/>
      <c r="F42"/>
      <c r="G42" s="510"/>
      <c r="H42"/>
      <c r="I42"/>
      <c r="J42"/>
    </row>
    <row r="43" spans="1:10" x14ac:dyDescent="0.55000000000000004">
      <c r="A43"/>
      <c r="B43"/>
      <c r="C43"/>
      <c r="D43" s="509"/>
      <c r="E43"/>
      <c r="F43"/>
      <c r="G43" s="510"/>
      <c r="H43"/>
      <c r="I43"/>
      <c r="J43"/>
    </row>
    <row r="44" spans="1:10" x14ac:dyDescent="0.55000000000000004">
      <c r="A44"/>
      <c r="B44"/>
      <c r="C44"/>
      <c r="D44" s="509"/>
      <c r="E44"/>
      <c r="F44"/>
      <c r="G44" s="510"/>
      <c r="H44"/>
      <c r="I44"/>
      <c r="J44"/>
    </row>
    <row r="45" spans="1:10" x14ac:dyDescent="0.55000000000000004">
      <c r="A45"/>
      <c r="B45"/>
      <c r="C45"/>
      <c r="D45" s="509"/>
      <c r="E45"/>
      <c r="F45"/>
      <c r="G45" s="510"/>
      <c r="H45"/>
      <c r="I45"/>
      <c r="J45"/>
    </row>
    <row r="46" spans="1:10" x14ac:dyDescent="0.55000000000000004">
      <c r="A46"/>
      <c r="B46"/>
      <c r="C46"/>
      <c r="D46" s="509"/>
      <c r="E46"/>
      <c r="F46"/>
      <c r="G46" s="510"/>
      <c r="H46"/>
      <c r="I46"/>
      <c r="J46"/>
    </row>
    <row r="47" spans="1:10" x14ac:dyDescent="0.55000000000000004">
      <c r="A47"/>
      <c r="B47"/>
      <c r="C47"/>
      <c r="D47" s="509"/>
      <c r="E47"/>
      <c r="F47"/>
      <c r="G47" s="510"/>
      <c r="H47"/>
      <c r="I47"/>
      <c r="J47"/>
    </row>
    <row r="48" spans="1:10" x14ac:dyDescent="0.55000000000000004">
      <c r="A48"/>
      <c r="B48"/>
      <c r="C48"/>
      <c r="D48" s="509"/>
      <c r="E48"/>
      <c r="F48"/>
      <c r="G48" s="510"/>
      <c r="H48"/>
      <c r="I48"/>
      <c r="J48"/>
    </row>
    <row r="49" spans="1:10" x14ac:dyDescent="0.55000000000000004">
      <c r="A49"/>
      <c r="B49"/>
      <c r="C49"/>
      <c r="D49" s="509"/>
      <c r="E49"/>
      <c r="F49"/>
      <c r="G49" s="510"/>
      <c r="H49"/>
      <c r="I49"/>
      <c r="J49"/>
    </row>
    <row r="50" spans="1:10" x14ac:dyDescent="0.55000000000000004">
      <c r="A50"/>
      <c r="B50"/>
      <c r="C50"/>
      <c r="D50" s="509"/>
      <c r="E50"/>
      <c r="F50"/>
      <c r="G50" s="510"/>
      <c r="H50"/>
      <c r="I50"/>
      <c r="J50"/>
    </row>
    <row r="51" spans="1:10" x14ac:dyDescent="0.55000000000000004">
      <c r="A51"/>
      <c r="B51"/>
      <c r="C51"/>
      <c r="D51" s="509"/>
      <c r="E51"/>
      <c r="F51"/>
      <c r="G51" s="510"/>
      <c r="H51"/>
      <c r="I51"/>
      <c r="J51"/>
    </row>
    <row r="52" spans="1:10" x14ac:dyDescent="0.55000000000000004">
      <c r="A52"/>
      <c r="B52"/>
      <c r="C52"/>
      <c r="D52" s="509"/>
      <c r="E52"/>
      <c r="F52"/>
      <c r="G52" s="510"/>
      <c r="H52"/>
      <c r="I52"/>
      <c r="J52"/>
    </row>
    <row r="53" spans="1:10" x14ac:dyDescent="0.55000000000000004">
      <c r="A53"/>
      <c r="B53"/>
      <c r="C53"/>
      <c r="D53" s="509"/>
      <c r="E53"/>
      <c r="F53"/>
      <c r="G53" s="510"/>
      <c r="H53"/>
      <c r="I53"/>
      <c r="J53"/>
    </row>
    <row r="54" spans="1:10" x14ac:dyDescent="0.55000000000000004">
      <c r="A54"/>
      <c r="B54"/>
      <c r="C54"/>
      <c r="D54" s="509"/>
      <c r="E54"/>
      <c r="F54"/>
      <c r="G54" s="510"/>
      <c r="H54"/>
      <c r="I54"/>
      <c r="J54"/>
    </row>
    <row r="55" spans="1:10" x14ac:dyDescent="0.55000000000000004">
      <c r="A55"/>
      <c r="B55"/>
      <c r="C55"/>
      <c r="D55" s="509"/>
      <c r="E55"/>
      <c r="F55"/>
      <c r="G55" s="510"/>
      <c r="H55"/>
      <c r="I55"/>
      <c r="J55"/>
    </row>
    <row r="56" spans="1:10" x14ac:dyDescent="0.55000000000000004">
      <c r="A56"/>
      <c r="B56"/>
      <c r="C56"/>
      <c r="D56" s="509"/>
      <c r="E56"/>
      <c r="F56"/>
      <c r="G56" s="510"/>
      <c r="H56"/>
      <c r="I56"/>
      <c r="J56"/>
    </row>
    <row r="57" spans="1:10" x14ac:dyDescent="0.55000000000000004">
      <c r="A57"/>
      <c r="B57"/>
      <c r="C57"/>
      <c r="D57" s="509"/>
      <c r="E57"/>
      <c r="F57"/>
      <c r="G57" s="510"/>
      <c r="H57"/>
      <c r="I57"/>
      <c r="J57"/>
    </row>
    <row r="58" spans="1:10" x14ac:dyDescent="0.55000000000000004">
      <c r="A58"/>
      <c r="B58"/>
      <c r="C58"/>
      <c r="D58" s="509"/>
      <c r="E58"/>
      <c r="F58"/>
      <c r="G58" s="510"/>
      <c r="H58"/>
      <c r="I58"/>
      <c r="J58"/>
    </row>
    <row r="59" spans="1:10" x14ac:dyDescent="0.55000000000000004">
      <c r="A59"/>
      <c r="B59"/>
      <c r="C59"/>
      <c r="D59" s="509"/>
      <c r="E59"/>
      <c r="F59"/>
      <c r="G59" s="510"/>
      <c r="H59"/>
      <c r="I59"/>
      <c r="J59"/>
    </row>
    <row r="60" spans="1:10" x14ac:dyDescent="0.55000000000000004">
      <c r="A60"/>
      <c r="B60"/>
      <c r="C60"/>
      <c r="D60" s="509"/>
      <c r="E60"/>
      <c r="F60"/>
      <c r="G60" s="510"/>
      <c r="H60"/>
      <c r="I60"/>
      <c r="J60"/>
    </row>
    <row r="61" spans="1:10" x14ac:dyDescent="0.55000000000000004">
      <c r="A61"/>
      <c r="B61"/>
      <c r="C61"/>
      <c r="D61" s="509"/>
      <c r="E61"/>
      <c r="F61"/>
      <c r="G61" s="510"/>
      <c r="H61"/>
      <c r="I61"/>
      <c r="J61"/>
    </row>
    <row r="62" spans="1:10" x14ac:dyDescent="0.55000000000000004">
      <c r="A62"/>
      <c r="B62"/>
      <c r="C62"/>
      <c r="D62" s="509"/>
      <c r="E62"/>
      <c r="F62"/>
      <c r="G62" s="510"/>
      <c r="H62"/>
      <c r="I62"/>
      <c r="J62"/>
    </row>
    <row r="63" spans="1:10" x14ac:dyDescent="0.55000000000000004">
      <c r="A63"/>
      <c r="B63"/>
    </row>
    <row r="69" spans="1:8" x14ac:dyDescent="0.55000000000000004">
      <c r="A69"/>
      <c r="B69"/>
      <c r="C69"/>
      <c r="D69" s="509"/>
      <c r="E69"/>
      <c r="F69"/>
      <c r="G69"/>
      <c r="H69"/>
    </row>
    <row r="70" spans="1:8" x14ac:dyDescent="0.55000000000000004">
      <c r="A70"/>
      <c r="B70"/>
      <c r="C70"/>
      <c r="D70" s="509"/>
      <c r="E70"/>
      <c r="F70"/>
      <c r="G70" s="510"/>
      <c r="H70"/>
    </row>
    <row r="71" spans="1:8" x14ac:dyDescent="0.55000000000000004">
      <c r="A71"/>
      <c r="B71"/>
      <c r="C71"/>
      <c r="D71" s="509"/>
      <c r="E71"/>
      <c r="F71"/>
      <c r="G71" s="510"/>
      <c r="H71"/>
    </row>
    <row r="72" spans="1:8" x14ac:dyDescent="0.55000000000000004">
      <c r="A72"/>
      <c r="B72"/>
      <c r="C72"/>
      <c r="D72" s="509"/>
      <c r="E72"/>
      <c r="F72"/>
      <c r="G72" s="510"/>
      <c r="H72"/>
    </row>
    <row r="73" spans="1:8" x14ac:dyDescent="0.55000000000000004">
      <c r="A73"/>
      <c r="B73"/>
      <c r="C73"/>
      <c r="D73" s="509"/>
      <c r="E73"/>
      <c r="F73"/>
      <c r="G73" s="510"/>
      <c r="H73"/>
    </row>
    <row r="74" spans="1:8" x14ac:dyDescent="0.55000000000000004">
      <c r="A74"/>
      <c r="B74"/>
      <c r="C74"/>
      <c r="D74" s="509"/>
      <c r="E74"/>
      <c r="F74"/>
      <c r="G74" s="510"/>
      <c r="H74"/>
    </row>
    <row r="75" spans="1:8" x14ac:dyDescent="0.55000000000000004">
      <c r="A75"/>
      <c r="B75"/>
      <c r="C75"/>
      <c r="D75" s="509"/>
      <c r="E75"/>
      <c r="F75"/>
      <c r="G75" s="510"/>
      <c r="H75"/>
    </row>
    <row r="76" spans="1:8" x14ac:dyDescent="0.55000000000000004">
      <c r="A76"/>
      <c r="B76"/>
      <c r="C76"/>
      <c r="D76" s="509"/>
      <c r="E76"/>
      <c r="F76"/>
      <c r="G76" s="510"/>
      <c r="H76"/>
    </row>
    <row r="77" spans="1:8" x14ac:dyDescent="0.55000000000000004">
      <c r="A77"/>
      <c r="B77"/>
      <c r="C77"/>
      <c r="D77" s="509"/>
      <c r="E77"/>
      <c r="F77"/>
      <c r="G77" s="510"/>
      <c r="H77"/>
    </row>
    <row r="78" spans="1:8" x14ac:dyDescent="0.55000000000000004">
      <c r="A78"/>
      <c r="B78"/>
      <c r="C78"/>
      <c r="D78" s="509"/>
      <c r="E78"/>
      <c r="F78"/>
      <c r="G78" s="510"/>
      <c r="H78"/>
    </row>
    <row r="79" spans="1:8" x14ac:dyDescent="0.55000000000000004">
      <c r="A79"/>
      <c r="B79"/>
      <c r="C79"/>
      <c r="D79" s="509"/>
      <c r="E79"/>
      <c r="F79"/>
      <c r="G79" s="510"/>
      <c r="H79"/>
    </row>
    <row r="80" spans="1:8" x14ac:dyDescent="0.55000000000000004">
      <c r="A80"/>
      <c r="B80"/>
      <c r="C80"/>
      <c r="D80" s="509"/>
      <c r="E80"/>
      <c r="F80"/>
      <c r="G80" s="510"/>
      <c r="H80"/>
    </row>
    <row r="81" spans="1:8" x14ac:dyDescent="0.55000000000000004">
      <c r="A81"/>
      <c r="B81"/>
      <c r="C81"/>
      <c r="D81" s="509"/>
      <c r="E81"/>
      <c r="F81"/>
      <c r="G81" s="510"/>
      <c r="H81"/>
    </row>
    <row r="82" spans="1:8" x14ac:dyDescent="0.55000000000000004">
      <c r="A82"/>
      <c r="B82"/>
      <c r="C82"/>
      <c r="D82" s="509"/>
      <c r="E82"/>
      <c r="F82"/>
      <c r="G82" s="510"/>
      <c r="H82"/>
    </row>
    <row r="83" spans="1:8" x14ac:dyDescent="0.55000000000000004">
      <c r="A83"/>
      <c r="B83"/>
      <c r="C83"/>
      <c r="D83" s="509"/>
      <c r="E83"/>
      <c r="F83"/>
      <c r="G83" s="510"/>
      <c r="H83"/>
    </row>
    <row r="84" spans="1:8" x14ac:dyDescent="0.55000000000000004">
      <c r="A84"/>
      <c r="B84"/>
      <c r="C84"/>
      <c r="D84" s="509"/>
      <c r="E84"/>
      <c r="F84"/>
      <c r="G84" s="510"/>
      <c r="H84"/>
    </row>
    <row r="85" spans="1:8" x14ac:dyDescent="0.55000000000000004">
      <c r="A85"/>
      <c r="B85"/>
      <c r="C85"/>
      <c r="D85" s="509"/>
      <c r="E85"/>
      <c r="F85"/>
      <c r="G85" s="510"/>
      <c r="H85"/>
    </row>
    <row r="86" spans="1:8" x14ac:dyDescent="0.55000000000000004">
      <c r="A86"/>
      <c r="B86"/>
      <c r="C86"/>
      <c r="D86" s="509"/>
      <c r="E86"/>
      <c r="F86"/>
      <c r="G86" s="510"/>
      <c r="H86"/>
    </row>
    <row r="87" spans="1:8" x14ac:dyDescent="0.55000000000000004">
      <c r="A87"/>
      <c r="B87"/>
      <c r="C87"/>
      <c r="D87" s="509"/>
      <c r="E87"/>
      <c r="F87"/>
      <c r="G87" s="510"/>
      <c r="H87"/>
    </row>
    <row r="88" spans="1:8" x14ac:dyDescent="0.55000000000000004">
      <c r="A88"/>
      <c r="B88"/>
      <c r="C88"/>
      <c r="D88" s="509"/>
      <c r="E88"/>
      <c r="F88"/>
      <c r="G88" s="510"/>
      <c r="H88"/>
    </row>
    <row r="89" spans="1:8" x14ac:dyDescent="0.55000000000000004">
      <c r="A89"/>
      <c r="B89"/>
      <c r="C89"/>
      <c r="D89" s="509"/>
      <c r="E89"/>
      <c r="F89"/>
      <c r="G89" s="510"/>
      <c r="H89"/>
    </row>
    <row r="90" spans="1:8" x14ac:dyDescent="0.55000000000000004">
      <c r="A90"/>
      <c r="B90"/>
      <c r="C90"/>
      <c r="D90" s="509"/>
      <c r="E90"/>
      <c r="F90"/>
      <c r="G90" s="510"/>
      <c r="H90"/>
    </row>
    <row r="91" spans="1:8" x14ac:dyDescent="0.55000000000000004">
      <c r="A91"/>
      <c r="B91"/>
      <c r="C91"/>
      <c r="D91" s="509"/>
      <c r="E91"/>
      <c r="F91"/>
      <c r="G91" s="510"/>
      <c r="H91"/>
    </row>
    <row r="92" spans="1:8" x14ac:dyDescent="0.55000000000000004">
      <c r="A92"/>
      <c r="B92"/>
      <c r="C92"/>
      <c r="D92" s="509"/>
      <c r="E92"/>
      <c r="F92"/>
      <c r="G92" s="510"/>
      <c r="H92"/>
    </row>
    <row r="93" spans="1:8" x14ac:dyDescent="0.55000000000000004">
      <c r="A93"/>
      <c r="B93"/>
      <c r="C93"/>
      <c r="D93" s="509"/>
      <c r="E93"/>
      <c r="F93"/>
      <c r="G93" s="510"/>
      <c r="H93"/>
    </row>
    <row r="94" spans="1:8" x14ac:dyDescent="0.55000000000000004">
      <c r="A94"/>
      <c r="B94"/>
      <c r="C94"/>
      <c r="D94" s="509"/>
      <c r="E94"/>
      <c r="F94"/>
      <c r="G94" s="510"/>
      <c r="H94"/>
    </row>
    <row r="95" spans="1:8" x14ac:dyDescent="0.55000000000000004">
      <c r="A95"/>
      <c r="B95"/>
      <c r="C95"/>
      <c r="D95" s="509"/>
      <c r="E95"/>
      <c r="F95"/>
      <c r="G95" s="510"/>
      <c r="H95"/>
    </row>
    <row r="96" spans="1:8" x14ac:dyDescent="0.55000000000000004">
      <c r="A96"/>
      <c r="B96"/>
      <c r="C96"/>
      <c r="D96" s="509"/>
      <c r="E96"/>
      <c r="F96"/>
      <c r="G96" s="510"/>
      <c r="H96"/>
    </row>
    <row r="97" spans="1:8" x14ac:dyDescent="0.55000000000000004">
      <c r="A97"/>
      <c r="B97"/>
      <c r="C97"/>
      <c r="D97" s="509"/>
      <c r="E97"/>
      <c r="F97"/>
      <c r="G97" s="510"/>
      <c r="H97"/>
    </row>
    <row r="98" spans="1:8" x14ac:dyDescent="0.55000000000000004">
      <c r="A98"/>
      <c r="B98"/>
      <c r="C98"/>
      <c r="D98" s="509"/>
      <c r="E98"/>
      <c r="F98"/>
      <c r="G98" s="510"/>
      <c r="H98"/>
    </row>
    <row r="99" spans="1:8" x14ac:dyDescent="0.55000000000000004">
      <c r="A99"/>
      <c r="B99"/>
      <c r="C99"/>
      <c r="D99" s="509"/>
      <c r="E99"/>
      <c r="F99"/>
      <c r="G99" s="510"/>
      <c r="H99"/>
    </row>
    <row r="100" spans="1:8" x14ac:dyDescent="0.55000000000000004">
      <c r="A100"/>
      <c r="B100"/>
      <c r="C100"/>
      <c r="D100" s="509"/>
      <c r="E100"/>
      <c r="F100"/>
      <c r="G100" s="510"/>
      <c r="H100"/>
    </row>
    <row r="101" spans="1:8" x14ac:dyDescent="0.55000000000000004">
      <c r="A101"/>
      <c r="B101"/>
      <c r="C101"/>
      <c r="D101" s="509"/>
      <c r="E101"/>
      <c r="F101"/>
      <c r="G101" s="510"/>
      <c r="H101"/>
    </row>
    <row r="102" spans="1:8" x14ac:dyDescent="0.55000000000000004">
      <c r="A102"/>
      <c r="B102"/>
      <c r="C102"/>
      <c r="D102" s="509"/>
      <c r="E102"/>
      <c r="F102"/>
      <c r="G102" s="510"/>
      <c r="H102"/>
    </row>
    <row r="103" spans="1:8" x14ac:dyDescent="0.55000000000000004">
      <c r="A103"/>
      <c r="B103"/>
      <c r="C103"/>
      <c r="D103" s="509"/>
      <c r="E103"/>
      <c r="F103"/>
      <c r="G103" s="510"/>
      <c r="H103"/>
    </row>
    <row r="104" spans="1:8" x14ac:dyDescent="0.55000000000000004">
      <c r="A104"/>
      <c r="B104"/>
      <c r="C104"/>
      <c r="D104" s="509"/>
      <c r="E104"/>
      <c r="F104"/>
      <c r="G104" s="510"/>
      <c r="H104"/>
    </row>
    <row r="105" spans="1:8" x14ac:dyDescent="0.55000000000000004">
      <c r="A105"/>
      <c r="B105"/>
      <c r="C105"/>
      <c r="D105" s="509"/>
      <c r="E105"/>
      <c r="F105"/>
      <c r="G105" s="510"/>
      <c r="H105"/>
    </row>
    <row r="106" spans="1:8" x14ac:dyDescent="0.55000000000000004">
      <c r="A106"/>
      <c r="B106"/>
      <c r="C106"/>
      <c r="D106" s="509"/>
      <c r="E106"/>
      <c r="F106"/>
      <c r="G106" s="510"/>
      <c r="H106"/>
    </row>
    <row r="107" spans="1:8" x14ac:dyDescent="0.55000000000000004">
      <c r="A107"/>
      <c r="B107"/>
      <c r="C107"/>
      <c r="D107" s="509"/>
      <c r="E107"/>
      <c r="F107"/>
      <c r="G107" s="510"/>
      <c r="H107"/>
    </row>
    <row r="108" spans="1:8" x14ac:dyDescent="0.55000000000000004">
      <c r="A108"/>
      <c r="B108"/>
      <c r="C108"/>
      <c r="D108" s="509"/>
      <c r="E108"/>
      <c r="F108"/>
      <c r="G108" s="510"/>
      <c r="H108"/>
    </row>
    <row r="109" spans="1:8" x14ac:dyDescent="0.55000000000000004">
      <c r="A109"/>
      <c r="B109"/>
      <c r="C109"/>
      <c r="D109" s="509"/>
      <c r="E109"/>
      <c r="F109"/>
      <c r="G109" s="510"/>
      <c r="H109"/>
    </row>
    <row r="110" spans="1:8" x14ac:dyDescent="0.55000000000000004">
      <c r="A110"/>
      <c r="B110"/>
      <c r="C110"/>
      <c r="D110" s="509"/>
      <c r="E110"/>
      <c r="F110"/>
      <c r="G110" s="510"/>
      <c r="H110"/>
    </row>
    <row r="111" spans="1:8" x14ac:dyDescent="0.55000000000000004">
      <c r="A111"/>
      <c r="B111"/>
      <c r="C111"/>
      <c r="D111" s="509"/>
      <c r="E111"/>
      <c r="F111"/>
      <c r="G111" s="510"/>
      <c r="H111"/>
    </row>
    <row r="112" spans="1:8" x14ac:dyDescent="0.55000000000000004">
      <c r="A112"/>
      <c r="B112"/>
      <c r="C112"/>
      <c r="D112" s="509"/>
      <c r="E112"/>
      <c r="F112"/>
      <c r="G112" s="510"/>
      <c r="H112"/>
    </row>
    <row r="113" spans="1:8" x14ac:dyDescent="0.55000000000000004">
      <c r="A113"/>
      <c r="B113"/>
      <c r="C113"/>
      <c r="D113" s="509"/>
      <c r="E113"/>
      <c r="F113"/>
      <c r="G113" s="510"/>
      <c r="H113"/>
    </row>
    <row r="114" spans="1:8" x14ac:dyDescent="0.55000000000000004">
      <c r="A114"/>
      <c r="B114"/>
      <c r="C114"/>
      <c r="D114" s="509"/>
      <c r="E114"/>
      <c r="F114"/>
      <c r="G114" s="510"/>
      <c r="H114"/>
    </row>
    <row r="115" spans="1:8" x14ac:dyDescent="0.55000000000000004">
      <c r="A115"/>
      <c r="B115"/>
      <c r="C115"/>
      <c r="D115" s="509"/>
      <c r="E115"/>
      <c r="F115"/>
      <c r="G115" s="510"/>
      <c r="H115"/>
    </row>
    <row r="116" spans="1:8" x14ac:dyDescent="0.55000000000000004">
      <c r="A116"/>
      <c r="B116"/>
      <c r="C116"/>
      <c r="D116" s="509"/>
      <c r="E116"/>
      <c r="F116"/>
      <c r="G116" s="510"/>
      <c r="H116"/>
    </row>
    <row r="117" spans="1:8" x14ac:dyDescent="0.55000000000000004">
      <c r="A117"/>
      <c r="B117"/>
      <c r="C117"/>
      <c r="D117" s="509"/>
      <c r="E117"/>
      <c r="F117"/>
      <c r="G117" s="510"/>
      <c r="H117"/>
    </row>
    <row r="118" spans="1:8" x14ac:dyDescent="0.55000000000000004">
      <c r="A118"/>
      <c r="B118"/>
      <c r="C118"/>
      <c r="D118" s="509"/>
      <c r="E118"/>
      <c r="F118"/>
      <c r="G118" s="510"/>
      <c r="H118"/>
    </row>
    <row r="119" spans="1:8" x14ac:dyDescent="0.55000000000000004">
      <c r="A119"/>
      <c r="B119"/>
      <c r="C119"/>
      <c r="D119" s="509"/>
      <c r="E119"/>
      <c r="F119"/>
      <c r="G119" s="510"/>
      <c r="H119"/>
    </row>
    <row r="120" spans="1:8" x14ac:dyDescent="0.55000000000000004">
      <c r="A120"/>
      <c r="B120"/>
      <c r="C120"/>
      <c r="D120" s="509"/>
      <c r="E120"/>
      <c r="F120"/>
      <c r="G120" s="510"/>
      <c r="H120"/>
    </row>
    <row r="121" spans="1:8" x14ac:dyDescent="0.55000000000000004">
      <c r="A121"/>
      <c r="B121"/>
      <c r="C121"/>
      <c r="D121" s="509"/>
      <c r="E121"/>
      <c r="F121"/>
      <c r="G121" s="510"/>
      <c r="H121"/>
    </row>
    <row r="122" spans="1:8" x14ac:dyDescent="0.55000000000000004">
      <c r="A122"/>
      <c r="B122"/>
      <c r="C122"/>
      <c r="D122" s="509"/>
      <c r="E122"/>
      <c r="F122"/>
      <c r="G122" s="510"/>
      <c r="H122"/>
    </row>
    <row r="123" spans="1:8" x14ac:dyDescent="0.55000000000000004">
      <c r="A123"/>
      <c r="B123"/>
      <c r="C123"/>
      <c r="D123" s="509"/>
      <c r="E123"/>
      <c r="F123"/>
      <c r="G123" s="510"/>
      <c r="H123"/>
    </row>
  </sheetData>
  <pageMargins left="0.24" right="0.22" top="0.75" bottom="0.75" header="0.3" footer="0.3"/>
  <pageSetup paperSize="9" scale="75" orientation="landscape" r:id="rId3"/>
  <drawing r:id="rId4"/>
  <extLst>
    <ext xmlns:x15="http://schemas.microsoft.com/office/spreadsheetml/2010/11/main" uri="{7E03D99C-DC04-49d9-9315-930204A7B6E9}">
      <x15:timelineRefs>
        <x15:timelineRef r:id="rId5"/>
      </x15:timelineRef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rgb="FF0070C0"/>
  </sheetPr>
  <dimension ref="A1:AV84"/>
  <sheetViews>
    <sheetView zoomScale="115" zoomScaleNormal="115" workbookViewId="0">
      <pane xSplit="4" ySplit="1" topLeftCell="E56" activePane="bottomRight" state="frozen"/>
      <selection pane="topRight" activeCell="E1" sqref="E1"/>
      <selection pane="bottomLeft" activeCell="A2" sqref="A2"/>
      <selection pane="bottomRight" activeCell="C70" sqref="C70"/>
    </sheetView>
  </sheetViews>
  <sheetFormatPr defaultColWidth="8.7109375" defaultRowHeight="18" x14ac:dyDescent="0.45"/>
  <cols>
    <col min="1" max="1" width="6.28515625" style="11" customWidth="1"/>
    <col min="2" max="2" width="10.42578125" style="393" bestFit="1" customWidth="1"/>
    <col min="3" max="3" width="16.85546875" style="167" customWidth="1"/>
    <col min="4" max="4" width="39.5703125" style="166" customWidth="1"/>
    <col min="5" max="5" width="21" style="166" customWidth="1"/>
    <col min="6" max="6" width="12.7109375" style="166" customWidth="1"/>
    <col min="7" max="7" width="13.85546875" style="394" customWidth="1"/>
    <col min="8" max="8" width="16.140625" style="166" customWidth="1"/>
    <col min="9" max="9" width="18.7109375" style="166" customWidth="1"/>
    <col min="10" max="10" width="21.85546875" style="317" customWidth="1"/>
    <col min="11" max="11" width="19.5703125" style="317" customWidth="1"/>
    <col min="12" max="12" width="61" style="11" customWidth="1"/>
    <col min="13" max="13" width="23.42578125" style="11" customWidth="1"/>
    <col min="14" max="14" width="21" style="11" customWidth="1"/>
    <col min="15" max="15" width="22.7109375" style="11" customWidth="1"/>
    <col min="16" max="16" width="24.42578125" style="11" customWidth="1"/>
    <col min="17" max="17" width="13.7109375" style="458" bestFit="1" customWidth="1"/>
    <col min="18" max="18" width="12.7109375" style="459" customWidth="1"/>
    <col min="19" max="19" width="53.7109375" style="459" customWidth="1"/>
    <col min="20" max="20" width="39.5703125" style="11" customWidth="1"/>
    <col min="21" max="21" width="35.28515625" style="11" customWidth="1"/>
    <col min="22" max="22" width="30" style="11" customWidth="1"/>
    <col min="23" max="23" width="27.140625" style="11" customWidth="1"/>
    <col min="24" max="24" width="22.42578125" style="11" customWidth="1"/>
    <col min="25" max="25" width="13.140625" style="11" customWidth="1"/>
    <col min="26" max="26" width="19.5703125" style="11" customWidth="1"/>
    <col min="27" max="27" width="26.5703125" style="11" customWidth="1"/>
    <col min="28" max="28" width="32.42578125" style="11" customWidth="1"/>
    <col min="29" max="29" width="29.5703125" style="11" customWidth="1"/>
    <col min="30" max="30" width="23.42578125" style="11" customWidth="1"/>
    <col min="31" max="31" width="21.28515625" style="11" customWidth="1"/>
    <col min="32" max="32" width="20" style="11" customWidth="1"/>
    <col min="33" max="33" width="20.5703125" style="11" customWidth="1"/>
    <col min="34" max="34" width="22.85546875" style="11" customWidth="1"/>
    <col min="35" max="35" width="18.7109375" style="11" customWidth="1"/>
    <col min="36" max="36" width="19.7109375" style="203" customWidth="1"/>
    <col min="37" max="37" width="18.140625" style="11" customWidth="1"/>
    <col min="38" max="38" width="15.7109375" style="11" customWidth="1"/>
    <col min="39" max="16384" width="8.7109375" style="11"/>
  </cols>
  <sheetData>
    <row r="1" spans="1:38" s="272" customFormat="1" ht="20.25" customHeight="1" x14ac:dyDescent="0.45">
      <c r="A1" s="385" t="s">
        <v>2</v>
      </c>
      <c r="B1" s="386" t="s">
        <v>12</v>
      </c>
      <c r="C1" s="385" t="s">
        <v>1382</v>
      </c>
      <c r="D1" s="385" t="s">
        <v>2566</v>
      </c>
      <c r="E1" s="385" t="s">
        <v>2567</v>
      </c>
      <c r="F1" s="385" t="s">
        <v>2568</v>
      </c>
      <c r="G1" s="388" t="s">
        <v>2569</v>
      </c>
      <c r="H1" s="385" t="s">
        <v>2570</v>
      </c>
      <c r="I1" s="385" t="s">
        <v>2815</v>
      </c>
      <c r="J1" s="388" t="s">
        <v>2816</v>
      </c>
      <c r="K1" s="388" t="s">
        <v>1367</v>
      </c>
      <c r="L1" s="273" t="s">
        <v>932</v>
      </c>
      <c r="M1" s="273" t="s">
        <v>929</v>
      </c>
      <c r="N1" s="276" t="s">
        <v>930</v>
      </c>
      <c r="O1" s="276" t="s">
        <v>2571</v>
      </c>
      <c r="P1" s="276" t="s">
        <v>917</v>
      </c>
      <c r="Q1" s="441" t="s">
        <v>59</v>
      </c>
      <c r="R1" s="442" t="s">
        <v>17</v>
      </c>
      <c r="S1" s="442" t="s">
        <v>919</v>
      </c>
      <c r="T1" s="276" t="s">
        <v>60</v>
      </c>
      <c r="U1" s="276" t="s">
        <v>61</v>
      </c>
      <c r="V1" s="276" t="s">
        <v>2134</v>
      </c>
      <c r="W1" s="276" t="s">
        <v>90</v>
      </c>
      <c r="X1" s="276" t="s">
        <v>62</v>
      </c>
      <c r="Y1" s="276" t="s">
        <v>63</v>
      </c>
      <c r="Z1" s="276" t="s">
        <v>64</v>
      </c>
      <c r="AA1" s="276" t="s">
        <v>934</v>
      </c>
      <c r="AB1" s="276" t="s">
        <v>965</v>
      </c>
      <c r="AC1" s="276" t="s">
        <v>920</v>
      </c>
      <c r="AD1" s="276" t="s">
        <v>65</v>
      </c>
      <c r="AE1" s="276" t="s">
        <v>66</v>
      </c>
      <c r="AF1" s="276" t="s">
        <v>67</v>
      </c>
      <c r="AG1" s="276" t="s">
        <v>2572</v>
      </c>
      <c r="AH1" s="276" t="s">
        <v>2573</v>
      </c>
      <c r="AI1" s="276" t="s">
        <v>70</v>
      </c>
      <c r="AJ1" s="389" t="s">
        <v>2574</v>
      </c>
      <c r="AK1" s="276" t="s">
        <v>2575</v>
      </c>
      <c r="AL1" s="11"/>
    </row>
    <row r="2" spans="1:38" s="557" customFormat="1" x14ac:dyDescent="0.45">
      <c r="A2" s="543">
        <v>1</v>
      </c>
      <c r="B2" s="544">
        <v>43971</v>
      </c>
      <c r="C2" s="1016" t="s">
        <v>2576</v>
      </c>
      <c r="D2" s="1016" t="s">
        <v>2347</v>
      </c>
      <c r="E2" s="545"/>
      <c r="F2" s="545"/>
      <c r="G2" s="546">
        <v>799415809</v>
      </c>
      <c r="H2" s="545" t="s">
        <v>2142</v>
      </c>
      <c r="I2" s="545" t="s">
        <v>2578</v>
      </c>
      <c r="J2" s="546"/>
      <c r="K2" s="547" t="s">
        <v>2460</v>
      </c>
      <c r="L2" s="548" t="s">
        <v>1373</v>
      </c>
      <c r="M2" s="549" t="s">
        <v>1374</v>
      </c>
      <c r="N2" s="543" t="s">
        <v>1375</v>
      </c>
      <c r="O2" s="543"/>
      <c r="P2" s="543">
        <v>1</v>
      </c>
      <c r="Q2" s="550">
        <v>3290000</v>
      </c>
      <c r="R2" s="551">
        <v>3110000</v>
      </c>
      <c r="S2" s="551">
        <v>180000</v>
      </c>
      <c r="T2" s="552">
        <v>0.01</v>
      </c>
      <c r="U2" s="552">
        <v>0.11</v>
      </c>
      <c r="V2" s="552">
        <v>0.1</v>
      </c>
      <c r="W2" s="553"/>
      <c r="X2" s="552">
        <v>0.4</v>
      </c>
      <c r="Y2" s="552">
        <v>0.6</v>
      </c>
      <c r="Z2" s="554">
        <v>1566040</v>
      </c>
      <c r="AA2" s="554">
        <v>1566040</v>
      </c>
      <c r="AB2" s="554"/>
      <c r="AC2" s="555"/>
      <c r="AD2" s="554">
        <v>1974000</v>
      </c>
      <c r="AE2" s="543"/>
      <c r="AF2" s="552">
        <v>0.3</v>
      </c>
      <c r="AG2" s="556">
        <v>44155</v>
      </c>
      <c r="AH2" s="554"/>
      <c r="AI2" s="552">
        <v>0.3</v>
      </c>
      <c r="AJ2" s="556">
        <v>44336</v>
      </c>
      <c r="AK2" s="554"/>
    </row>
    <row r="3" spans="1:38" s="557" customFormat="1" x14ac:dyDescent="0.45">
      <c r="A3" s="543">
        <v>2</v>
      </c>
      <c r="B3" s="544">
        <v>43974</v>
      </c>
      <c r="C3" s="1016" t="s">
        <v>2144</v>
      </c>
      <c r="D3" s="1016" t="s">
        <v>2145</v>
      </c>
      <c r="E3" s="545"/>
      <c r="F3" s="545"/>
      <c r="G3" s="546">
        <v>799411302</v>
      </c>
      <c r="H3" s="545" t="s">
        <v>2579</v>
      </c>
      <c r="I3" s="545" t="s">
        <v>2580</v>
      </c>
      <c r="J3" s="546"/>
      <c r="K3" s="547" t="s">
        <v>2460</v>
      </c>
      <c r="L3" s="548" t="s">
        <v>1373</v>
      </c>
      <c r="M3" s="549" t="s">
        <v>1378</v>
      </c>
      <c r="N3" s="543" t="s">
        <v>1375</v>
      </c>
      <c r="O3" s="543"/>
      <c r="P3" s="543">
        <v>1</v>
      </c>
      <c r="Q3" s="550">
        <v>3290000</v>
      </c>
      <c r="R3" s="551">
        <v>3110000</v>
      </c>
      <c r="S3" s="551">
        <v>180000</v>
      </c>
      <c r="T3" s="552">
        <v>0.01</v>
      </c>
      <c r="U3" s="552">
        <v>0.11</v>
      </c>
      <c r="V3" s="552">
        <v>0.1</v>
      </c>
      <c r="W3" s="553"/>
      <c r="X3" s="552">
        <v>0.4</v>
      </c>
      <c r="Y3" s="552">
        <v>0.6</v>
      </c>
      <c r="Z3" s="554">
        <v>1566040</v>
      </c>
      <c r="AA3" s="554">
        <v>1566040</v>
      </c>
      <c r="AB3" s="554"/>
      <c r="AC3" s="564"/>
      <c r="AD3" s="554">
        <v>1974000</v>
      </c>
      <c r="AE3" s="543"/>
      <c r="AF3" s="552">
        <v>0.3</v>
      </c>
      <c r="AG3" s="556">
        <v>44158</v>
      </c>
      <c r="AH3" s="554"/>
      <c r="AI3" s="552">
        <v>0.3</v>
      </c>
      <c r="AJ3" s="556">
        <v>44339</v>
      </c>
      <c r="AK3" s="554"/>
    </row>
    <row r="4" spans="1:38" s="557" customFormat="1" x14ac:dyDescent="0.45">
      <c r="A4" s="543">
        <v>3</v>
      </c>
      <c r="B4" s="544">
        <v>43981</v>
      </c>
      <c r="C4" s="1016" t="s">
        <v>2147</v>
      </c>
      <c r="D4" s="1017" t="s">
        <v>2581</v>
      </c>
      <c r="E4" s="543" t="s">
        <v>2582</v>
      </c>
      <c r="F4" s="543"/>
      <c r="G4" s="547">
        <v>795199746</v>
      </c>
      <c r="H4" s="543" t="s">
        <v>2148</v>
      </c>
      <c r="I4" s="543" t="s">
        <v>2583</v>
      </c>
      <c r="J4" s="547"/>
      <c r="K4" s="547" t="s">
        <v>2460</v>
      </c>
      <c r="L4" s="548" t="s">
        <v>1373</v>
      </c>
      <c r="M4" s="549" t="s">
        <v>1384</v>
      </c>
      <c r="N4" s="543" t="s">
        <v>1375</v>
      </c>
      <c r="O4" s="543"/>
      <c r="P4" s="543">
        <v>1</v>
      </c>
      <c r="Q4" s="550">
        <v>3210000</v>
      </c>
      <c r="R4" s="551">
        <v>3030000</v>
      </c>
      <c r="S4" s="551">
        <v>180000</v>
      </c>
      <c r="T4" s="552">
        <v>0.01</v>
      </c>
      <c r="U4" s="552">
        <v>0.11</v>
      </c>
      <c r="V4" s="552">
        <v>0.1</v>
      </c>
      <c r="W4" s="553"/>
      <c r="X4" s="552">
        <v>0.4</v>
      </c>
      <c r="Y4" s="552">
        <v>0.6</v>
      </c>
      <c r="Z4" s="554">
        <v>1527960</v>
      </c>
      <c r="AA4" s="554">
        <v>1527960</v>
      </c>
      <c r="AB4" s="554"/>
      <c r="AC4" s="556"/>
      <c r="AD4" s="554">
        <v>1926000</v>
      </c>
      <c r="AE4" s="543"/>
      <c r="AF4" s="552">
        <v>0.3</v>
      </c>
      <c r="AG4" s="556">
        <v>44165</v>
      </c>
      <c r="AH4" s="554"/>
      <c r="AI4" s="552">
        <v>0.3</v>
      </c>
      <c r="AJ4" s="556">
        <v>44346</v>
      </c>
      <c r="AK4" s="554"/>
    </row>
    <row r="5" spans="1:38" s="557" customFormat="1" x14ac:dyDescent="0.45">
      <c r="A5" s="543">
        <v>4</v>
      </c>
      <c r="B5" s="544">
        <v>43986</v>
      </c>
      <c r="C5" s="1016" t="s">
        <v>2584</v>
      </c>
      <c r="D5" s="543" t="s">
        <v>2347</v>
      </c>
      <c r="E5" s="543"/>
      <c r="F5" s="543"/>
      <c r="G5" s="547"/>
      <c r="H5" s="543" t="s">
        <v>2143</v>
      </c>
      <c r="I5" s="543"/>
      <c r="J5" s="547"/>
      <c r="K5" s="547" t="s">
        <v>2460</v>
      </c>
      <c r="L5" s="548" t="s">
        <v>1373</v>
      </c>
      <c r="M5" s="549" t="s">
        <v>1385</v>
      </c>
      <c r="N5" s="543" t="s">
        <v>1375</v>
      </c>
      <c r="O5" s="543"/>
      <c r="P5" s="543">
        <v>1</v>
      </c>
      <c r="Q5" s="550">
        <v>3210000</v>
      </c>
      <c r="R5" s="551">
        <v>3030000</v>
      </c>
      <c r="S5" s="551">
        <v>180000</v>
      </c>
      <c r="T5" s="552">
        <v>0.01</v>
      </c>
      <c r="U5" s="552">
        <v>0.11</v>
      </c>
      <c r="V5" s="552">
        <v>0.1</v>
      </c>
      <c r="W5" s="553"/>
      <c r="X5" s="552">
        <v>0.4</v>
      </c>
      <c r="Y5" s="552">
        <v>0.6</v>
      </c>
      <c r="Z5" s="554">
        <v>1527960</v>
      </c>
      <c r="AA5" s="554">
        <v>1527960</v>
      </c>
      <c r="AB5" s="554"/>
      <c r="AC5" s="555"/>
      <c r="AD5" s="554">
        <v>1926000</v>
      </c>
      <c r="AE5" s="543"/>
      <c r="AF5" s="552">
        <v>0.3</v>
      </c>
      <c r="AG5" s="556">
        <v>44169</v>
      </c>
      <c r="AH5" s="554"/>
      <c r="AI5" s="552">
        <v>0.3</v>
      </c>
      <c r="AJ5" s="556">
        <v>44351</v>
      </c>
      <c r="AK5" s="554"/>
    </row>
    <row r="6" spans="1:38" s="557" customFormat="1" x14ac:dyDescent="0.45">
      <c r="A6" s="543">
        <v>5</v>
      </c>
      <c r="B6" s="544">
        <v>43991</v>
      </c>
      <c r="C6" s="1016" t="s">
        <v>2585</v>
      </c>
      <c r="D6" s="543" t="s">
        <v>2150</v>
      </c>
      <c r="E6" s="543" t="s">
        <v>2586</v>
      </c>
      <c r="F6" s="543"/>
      <c r="G6" s="547">
        <v>799410475</v>
      </c>
      <c r="H6" s="543" t="s">
        <v>2149</v>
      </c>
      <c r="I6" s="543" t="s">
        <v>2587</v>
      </c>
      <c r="J6" s="547"/>
      <c r="K6" s="547" t="s">
        <v>2460</v>
      </c>
      <c r="L6" s="548" t="s">
        <v>2588</v>
      </c>
      <c r="M6" s="549" t="s">
        <v>1387</v>
      </c>
      <c r="N6" s="543" t="s">
        <v>1375</v>
      </c>
      <c r="O6" s="543"/>
      <c r="P6" s="543">
        <v>1</v>
      </c>
      <c r="Q6" s="550">
        <v>3210000</v>
      </c>
      <c r="R6" s="551">
        <v>3030000</v>
      </c>
      <c r="S6" s="551">
        <v>180000</v>
      </c>
      <c r="T6" s="552">
        <v>0.01</v>
      </c>
      <c r="U6" s="552">
        <v>0.11</v>
      </c>
      <c r="V6" s="552">
        <v>0.1</v>
      </c>
      <c r="W6" s="553"/>
      <c r="X6" s="552">
        <v>0.4</v>
      </c>
      <c r="Y6" s="552">
        <v>0.6</v>
      </c>
      <c r="Z6" s="554">
        <v>1508700</v>
      </c>
      <c r="AA6" s="554">
        <v>1508700</v>
      </c>
      <c r="AB6" s="554"/>
      <c r="AC6" s="555"/>
      <c r="AD6" s="554">
        <v>1926000</v>
      </c>
      <c r="AE6" s="543"/>
      <c r="AF6" s="552">
        <v>0.3</v>
      </c>
      <c r="AG6" s="556">
        <v>44174</v>
      </c>
      <c r="AH6" s="554"/>
      <c r="AI6" s="552">
        <v>0.3</v>
      </c>
      <c r="AJ6" s="556">
        <v>44356</v>
      </c>
      <c r="AK6" s="554"/>
    </row>
    <row r="7" spans="1:38" s="557" customFormat="1" x14ac:dyDescent="0.45">
      <c r="A7" s="543">
        <v>6</v>
      </c>
      <c r="B7" s="544">
        <v>43992</v>
      </c>
      <c r="C7" s="1016" t="s">
        <v>2140</v>
      </c>
      <c r="D7" s="543" t="s">
        <v>2141</v>
      </c>
      <c r="E7" s="543"/>
      <c r="F7" s="543"/>
      <c r="G7" s="547">
        <v>786651600</v>
      </c>
      <c r="H7" s="543" t="s">
        <v>2589</v>
      </c>
      <c r="I7" s="543" t="s">
        <v>2590</v>
      </c>
      <c r="J7" s="547"/>
      <c r="K7" s="547" t="s">
        <v>2460</v>
      </c>
      <c r="L7" s="548" t="s">
        <v>2055</v>
      </c>
      <c r="M7" s="549" t="s">
        <v>2591</v>
      </c>
      <c r="N7" s="543" t="s">
        <v>1375</v>
      </c>
      <c r="O7" s="543"/>
      <c r="P7" s="543">
        <v>1</v>
      </c>
      <c r="Q7" s="550">
        <v>2480000</v>
      </c>
      <c r="R7" s="551">
        <v>2380000</v>
      </c>
      <c r="S7" s="551">
        <v>100000</v>
      </c>
      <c r="T7" s="552">
        <v>0.01</v>
      </c>
      <c r="U7" s="552">
        <v>0.11</v>
      </c>
      <c r="V7" s="552">
        <v>0.1</v>
      </c>
      <c r="W7" s="553"/>
      <c r="X7" s="552">
        <v>0.4</v>
      </c>
      <c r="Y7" s="552">
        <v>0.6</v>
      </c>
      <c r="Z7" s="554">
        <v>1165600</v>
      </c>
      <c r="AA7" s="554">
        <v>1165600</v>
      </c>
      <c r="AB7" s="554"/>
      <c r="AC7" s="555"/>
      <c r="AD7" s="554">
        <v>1488000</v>
      </c>
      <c r="AE7" s="543"/>
      <c r="AF7" s="552">
        <v>0.3</v>
      </c>
      <c r="AG7" s="556">
        <v>44175</v>
      </c>
      <c r="AH7" s="554"/>
      <c r="AI7" s="552">
        <v>0.3</v>
      </c>
      <c r="AJ7" s="556">
        <v>44357</v>
      </c>
      <c r="AK7" s="554"/>
    </row>
    <row r="8" spans="1:38" s="557" customFormat="1" x14ac:dyDescent="0.45">
      <c r="A8" s="543">
        <v>7</v>
      </c>
      <c r="B8" s="544">
        <v>44006</v>
      </c>
      <c r="C8" s="1016" t="s">
        <v>2155</v>
      </c>
      <c r="D8" s="543" t="s">
        <v>2592</v>
      </c>
      <c r="E8" s="543" t="s">
        <v>2593</v>
      </c>
      <c r="F8" s="543"/>
      <c r="G8" s="547">
        <v>775098077</v>
      </c>
      <c r="H8" s="543" t="s">
        <v>2594</v>
      </c>
      <c r="I8" s="543" t="s">
        <v>2595</v>
      </c>
      <c r="J8" s="547"/>
      <c r="K8" s="547" t="s">
        <v>2460</v>
      </c>
      <c r="L8" s="548" t="s">
        <v>2588</v>
      </c>
      <c r="M8" s="549" t="s">
        <v>1387</v>
      </c>
      <c r="N8" s="543" t="s">
        <v>1375</v>
      </c>
      <c r="O8" s="543"/>
      <c r="P8" s="543">
        <v>1</v>
      </c>
      <c r="Q8" s="550">
        <v>3210000</v>
      </c>
      <c r="R8" s="551">
        <v>3030000</v>
      </c>
      <c r="S8" s="551">
        <v>180000</v>
      </c>
      <c r="T8" s="552">
        <v>0.01</v>
      </c>
      <c r="U8" s="552">
        <v>0.11</v>
      </c>
      <c r="V8" s="552">
        <v>0.1</v>
      </c>
      <c r="W8" s="553"/>
      <c r="X8" s="552">
        <v>0.4</v>
      </c>
      <c r="Y8" s="552">
        <v>0.6</v>
      </c>
      <c r="Z8" s="554">
        <v>1508700</v>
      </c>
      <c r="AA8" s="554">
        <v>1508700</v>
      </c>
      <c r="AB8" s="554"/>
      <c r="AC8" s="555"/>
      <c r="AD8" s="554">
        <v>1926000</v>
      </c>
      <c r="AE8" s="543"/>
      <c r="AF8" s="552">
        <v>0.3</v>
      </c>
      <c r="AG8" s="556">
        <v>44189</v>
      </c>
      <c r="AH8" s="554"/>
      <c r="AI8" s="552">
        <v>0.3</v>
      </c>
      <c r="AJ8" s="556">
        <v>44371</v>
      </c>
      <c r="AK8" s="554"/>
    </row>
    <row r="9" spans="1:38" s="557" customFormat="1" x14ac:dyDescent="0.45">
      <c r="A9" s="543">
        <v>8</v>
      </c>
      <c r="B9" s="544">
        <v>44027</v>
      </c>
      <c r="C9" s="1016" t="s">
        <v>2156</v>
      </c>
      <c r="D9" s="543" t="s">
        <v>2596</v>
      </c>
      <c r="E9" s="543" t="s">
        <v>2597</v>
      </c>
      <c r="F9" s="543"/>
      <c r="G9" s="547">
        <v>780394495</v>
      </c>
      <c r="H9" s="543" t="s">
        <v>2157</v>
      </c>
      <c r="I9" s="543" t="s">
        <v>2598</v>
      </c>
      <c r="J9" s="547"/>
      <c r="K9" s="547" t="s">
        <v>2460</v>
      </c>
      <c r="L9" s="548" t="s">
        <v>1390</v>
      </c>
      <c r="M9" s="549" t="s">
        <v>1391</v>
      </c>
      <c r="N9" s="543" t="s">
        <v>1375</v>
      </c>
      <c r="O9" s="543"/>
      <c r="P9" s="543">
        <v>1</v>
      </c>
      <c r="Q9" s="550">
        <v>3290000</v>
      </c>
      <c r="R9" s="551">
        <v>3110000</v>
      </c>
      <c r="S9" s="551">
        <v>180000</v>
      </c>
      <c r="T9" s="552">
        <v>0.01</v>
      </c>
      <c r="U9" s="552">
        <v>0.11</v>
      </c>
      <c r="V9" s="552">
        <v>0.1</v>
      </c>
      <c r="W9" s="553"/>
      <c r="X9" s="552">
        <v>0.4</v>
      </c>
      <c r="Y9" s="552">
        <v>0.6</v>
      </c>
      <c r="Z9" s="554">
        <v>1546300</v>
      </c>
      <c r="AA9" s="554">
        <v>1546300</v>
      </c>
      <c r="AB9" s="554"/>
      <c r="AC9" s="555"/>
      <c r="AD9" s="554">
        <v>1974000</v>
      </c>
      <c r="AE9" s="543"/>
      <c r="AF9" s="552">
        <v>0.3</v>
      </c>
      <c r="AG9" s="556">
        <v>44211</v>
      </c>
      <c r="AH9" s="554"/>
      <c r="AI9" s="552">
        <v>0.3</v>
      </c>
      <c r="AJ9" s="556">
        <v>44392</v>
      </c>
      <c r="AK9" s="554"/>
    </row>
    <row r="10" spans="1:38" s="557" customFormat="1" x14ac:dyDescent="0.45">
      <c r="A10" s="543">
        <v>9</v>
      </c>
      <c r="B10" s="544">
        <v>44028</v>
      </c>
      <c r="C10" s="1016" t="s">
        <v>2599</v>
      </c>
      <c r="D10" s="543" t="s">
        <v>1393</v>
      </c>
      <c r="E10" s="543"/>
      <c r="F10" s="543"/>
      <c r="G10" s="547">
        <v>666186309</v>
      </c>
      <c r="H10" s="543" t="s">
        <v>2160</v>
      </c>
      <c r="I10" s="543" t="s">
        <v>2600</v>
      </c>
      <c r="J10" s="547"/>
      <c r="K10" s="547" t="s">
        <v>2460</v>
      </c>
      <c r="L10" s="548" t="s">
        <v>1390</v>
      </c>
      <c r="M10" s="549" t="s">
        <v>1392</v>
      </c>
      <c r="N10" s="543" t="s">
        <v>1375</v>
      </c>
      <c r="O10" s="650"/>
      <c r="P10" s="543">
        <v>1</v>
      </c>
      <c r="Q10" s="550">
        <v>3290000</v>
      </c>
      <c r="R10" s="551">
        <v>3110000</v>
      </c>
      <c r="S10" s="551">
        <v>180000</v>
      </c>
      <c r="T10" s="552">
        <v>0.01</v>
      </c>
      <c r="U10" s="552">
        <v>0.11</v>
      </c>
      <c r="V10" s="552">
        <v>0.1</v>
      </c>
      <c r="W10" s="553"/>
      <c r="X10" s="552">
        <v>0.4</v>
      </c>
      <c r="Y10" s="552">
        <v>0.6</v>
      </c>
      <c r="Z10" s="554">
        <v>1546300</v>
      </c>
      <c r="AA10" s="554">
        <v>1546300</v>
      </c>
      <c r="AB10" s="554"/>
      <c r="AC10" s="555"/>
      <c r="AD10" s="554">
        <v>1974000</v>
      </c>
      <c r="AE10" s="543"/>
      <c r="AF10" s="552">
        <v>0.3</v>
      </c>
      <c r="AG10" s="556">
        <v>44212</v>
      </c>
      <c r="AH10" s="554"/>
      <c r="AI10" s="552">
        <v>0.3</v>
      </c>
      <c r="AJ10" s="556">
        <v>44393</v>
      </c>
      <c r="AK10" s="554"/>
    </row>
    <row r="11" spans="1:38" s="557" customFormat="1" x14ac:dyDescent="0.45">
      <c r="A11" s="543">
        <v>10</v>
      </c>
      <c r="B11" s="544">
        <v>44037</v>
      </c>
      <c r="C11" s="1016" t="s">
        <v>2601</v>
      </c>
      <c r="D11" s="543" t="s">
        <v>2602</v>
      </c>
      <c r="E11" s="543"/>
      <c r="F11" s="543"/>
      <c r="G11" s="547">
        <v>781172255</v>
      </c>
      <c r="H11" s="543" t="s">
        <v>2159</v>
      </c>
      <c r="I11" s="543" t="s">
        <v>2603</v>
      </c>
      <c r="J11" s="547"/>
      <c r="K11" s="547" t="s">
        <v>2460</v>
      </c>
      <c r="L11" s="549" t="s">
        <v>1394</v>
      </c>
      <c r="M11" s="549" t="s">
        <v>1395</v>
      </c>
      <c r="N11" s="543" t="s">
        <v>1396</v>
      </c>
      <c r="O11" s="543"/>
      <c r="P11" s="543">
        <v>1</v>
      </c>
      <c r="Q11" s="550">
        <v>2290000</v>
      </c>
      <c r="R11" s="551">
        <v>2195000</v>
      </c>
      <c r="S11" s="551">
        <v>95000</v>
      </c>
      <c r="T11" s="552">
        <v>0.01</v>
      </c>
      <c r="U11" s="552">
        <v>0.11</v>
      </c>
      <c r="V11" s="552">
        <v>0.1</v>
      </c>
      <c r="W11" s="553"/>
      <c r="X11" s="552">
        <v>0.4</v>
      </c>
      <c r="Y11" s="552">
        <v>0.6</v>
      </c>
      <c r="Z11" s="554">
        <v>1076300</v>
      </c>
      <c r="AA11" s="554">
        <v>1076300</v>
      </c>
      <c r="AB11" s="554"/>
      <c r="AC11" s="555"/>
      <c r="AD11" s="554">
        <v>1374000</v>
      </c>
      <c r="AE11" s="543"/>
      <c r="AF11" s="552">
        <v>0.3</v>
      </c>
      <c r="AG11" s="556">
        <v>44221</v>
      </c>
      <c r="AH11" s="554"/>
      <c r="AI11" s="552">
        <v>0.3</v>
      </c>
      <c r="AJ11" s="556">
        <v>44402</v>
      </c>
      <c r="AK11" s="554"/>
    </row>
    <row r="12" spans="1:38" s="557" customFormat="1" x14ac:dyDescent="0.45">
      <c r="A12" s="543">
        <v>11</v>
      </c>
      <c r="B12" s="544">
        <v>44054</v>
      </c>
      <c r="C12" s="1016" t="s">
        <v>6521</v>
      </c>
      <c r="D12" s="543" t="s">
        <v>2153</v>
      </c>
      <c r="E12" s="543"/>
      <c r="F12" s="543"/>
      <c r="G12" s="547">
        <v>647431701</v>
      </c>
      <c r="H12" s="543" t="s">
        <v>2152</v>
      </c>
      <c r="I12" s="543" t="s">
        <v>2605</v>
      </c>
      <c r="J12" s="547"/>
      <c r="K12" s="547" t="s">
        <v>2460</v>
      </c>
      <c r="L12" s="548" t="s">
        <v>2055</v>
      </c>
      <c r="M12" s="549" t="s">
        <v>2056</v>
      </c>
      <c r="N12" s="543" t="s">
        <v>1375</v>
      </c>
      <c r="O12" s="543" t="s">
        <v>2348</v>
      </c>
      <c r="P12" s="543">
        <v>1</v>
      </c>
      <c r="Q12" s="550">
        <v>2480000</v>
      </c>
      <c r="R12" s="551">
        <v>2380000</v>
      </c>
      <c r="S12" s="551">
        <v>100000</v>
      </c>
      <c r="T12" s="552">
        <v>0.01</v>
      </c>
      <c r="U12" s="552">
        <v>0.11</v>
      </c>
      <c r="V12" s="552">
        <v>0.1</v>
      </c>
      <c r="W12" s="553"/>
      <c r="X12" s="552">
        <v>0.4</v>
      </c>
      <c r="Y12" s="552">
        <v>0.6</v>
      </c>
      <c r="Z12" s="554">
        <v>1165600</v>
      </c>
      <c r="AA12" s="554">
        <v>1165600</v>
      </c>
      <c r="AB12" s="554"/>
      <c r="AC12" s="555"/>
      <c r="AD12" s="554">
        <v>1488000</v>
      </c>
      <c r="AE12" s="543"/>
      <c r="AF12" s="552">
        <v>0.3</v>
      </c>
      <c r="AG12" s="556">
        <v>44238</v>
      </c>
      <c r="AH12" s="554"/>
      <c r="AI12" s="552">
        <v>0.3</v>
      </c>
      <c r="AJ12" s="556">
        <v>44419</v>
      </c>
      <c r="AK12" s="554"/>
    </row>
    <row r="13" spans="1:38" s="452" customFormat="1" x14ac:dyDescent="0.45">
      <c r="A13" s="444">
        <v>12</v>
      </c>
      <c r="B13" s="445">
        <v>44054</v>
      </c>
      <c r="C13" s="444" t="s">
        <v>2606</v>
      </c>
      <c r="D13" s="444" t="s">
        <v>2607</v>
      </c>
      <c r="E13" s="444" t="s">
        <v>2608</v>
      </c>
      <c r="F13" s="444"/>
      <c r="G13" s="446">
        <v>690850805</v>
      </c>
      <c r="H13" s="444" t="s">
        <v>2162</v>
      </c>
      <c r="I13" s="444" t="s">
        <v>2609</v>
      </c>
      <c r="J13" s="446"/>
      <c r="K13" s="446" t="s">
        <v>2460</v>
      </c>
      <c r="L13" s="447" t="s">
        <v>1390</v>
      </c>
      <c r="M13" s="204" t="s">
        <v>2057</v>
      </c>
      <c r="N13" s="444" t="s">
        <v>1375</v>
      </c>
      <c r="O13" s="444" t="s">
        <v>2356</v>
      </c>
      <c r="P13" s="444">
        <v>1</v>
      </c>
      <c r="Q13" s="453">
        <v>3290000</v>
      </c>
      <c r="R13" s="454">
        <v>3110000</v>
      </c>
      <c r="S13" s="454">
        <v>180000</v>
      </c>
      <c r="T13" s="448">
        <v>0.01</v>
      </c>
      <c r="U13" s="448">
        <v>0.11</v>
      </c>
      <c r="V13" s="448">
        <v>0.1</v>
      </c>
      <c r="W13" s="449"/>
      <c r="X13" s="448">
        <v>0.4</v>
      </c>
      <c r="Y13" s="448">
        <v>0.6</v>
      </c>
      <c r="Z13" s="131">
        <v>1546300</v>
      </c>
      <c r="AA13" s="131">
        <v>1546300</v>
      </c>
      <c r="AB13" s="558"/>
      <c r="AC13" s="559"/>
      <c r="AD13" s="131">
        <v>1974000</v>
      </c>
      <c r="AE13" s="444"/>
      <c r="AF13" s="448">
        <v>0.3</v>
      </c>
      <c r="AG13" s="451">
        <v>44238</v>
      </c>
      <c r="AH13" s="131">
        <v>987000</v>
      </c>
      <c r="AI13" s="448">
        <v>0.3</v>
      </c>
      <c r="AJ13" s="451">
        <v>44419</v>
      </c>
      <c r="AK13" s="131">
        <v>987000</v>
      </c>
    </row>
    <row r="14" spans="1:38" s="557" customFormat="1" x14ac:dyDescent="0.45">
      <c r="A14" s="543">
        <v>13</v>
      </c>
      <c r="B14" s="544">
        <v>44059</v>
      </c>
      <c r="C14" s="543" t="s">
        <v>2610</v>
      </c>
      <c r="D14" s="543" t="s">
        <v>2166</v>
      </c>
      <c r="E14" s="543" t="s">
        <v>2611</v>
      </c>
      <c r="F14" s="543"/>
      <c r="G14" s="547">
        <v>788673567</v>
      </c>
      <c r="H14" s="543" t="s">
        <v>2165</v>
      </c>
      <c r="I14" s="543" t="s">
        <v>2612</v>
      </c>
      <c r="J14" s="547"/>
      <c r="K14" s="547" t="s">
        <v>2460</v>
      </c>
      <c r="L14" s="548" t="s">
        <v>2167</v>
      </c>
      <c r="M14" s="549" t="s">
        <v>2164</v>
      </c>
      <c r="N14" s="543" t="s">
        <v>1375</v>
      </c>
      <c r="O14" s="543" t="s">
        <v>2351</v>
      </c>
      <c r="P14" s="543">
        <v>1</v>
      </c>
      <c r="Q14" s="550">
        <v>2290000</v>
      </c>
      <c r="R14" s="551">
        <v>2195000</v>
      </c>
      <c r="S14" s="551">
        <v>95000</v>
      </c>
      <c r="T14" s="552">
        <v>0.01</v>
      </c>
      <c r="U14" s="552"/>
      <c r="V14" s="552">
        <v>0.1</v>
      </c>
      <c r="W14" s="553"/>
      <c r="X14" s="552">
        <v>0.4</v>
      </c>
      <c r="Y14" s="552">
        <v>0.6</v>
      </c>
      <c r="Z14" s="554">
        <v>1076300</v>
      </c>
      <c r="AA14" s="554">
        <v>1076300</v>
      </c>
      <c r="AB14" s="554"/>
      <c r="AC14" s="555"/>
      <c r="AD14" s="554">
        <v>1374000</v>
      </c>
      <c r="AE14" s="543"/>
      <c r="AF14" s="552">
        <v>0.3</v>
      </c>
      <c r="AG14" s="556">
        <v>44243</v>
      </c>
      <c r="AH14" s="554"/>
      <c r="AI14" s="552">
        <v>0.3</v>
      </c>
      <c r="AJ14" s="556">
        <v>44424</v>
      </c>
      <c r="AK14" s="554"/>
    </row>
    <row r="15" spans="1:38" s="557" customFormat="1" x14ac:dyDescent="0.45">
      <c r="A15" s="543">
        <v>14</v>
      </c>
      <c r="B15" s="544">
        <v>44066</v>
      </c>
      <c r="C15" s="543" t="s">
        <v>2237</v>
      </c>
      <c r="D15" s="543" t="s">
        <v>2613</v>
      </c>
      <c r="E15" s="543"/>
      <c r="F15" s="543"/>
      <c r="G15" s="547">
        <v>781315116</v>
      </c>
      <c r="H15" s="543" t="s">
        <v>2238</v>
      </c>
      <c r="I15" s="543" t="s">
        <v>2614</v>
      </c>
      <c r="J15" s="547">
        <v>771253084</v>
      </c>
      <c r="K15" s="547" t="s">
        <v>2460</v>
      </c>
      <c r="L15" s="548" t="s">
        <v>1390</v>
      </c>
      <c r="M15" s="549" t="s">
        <v>2161</v>
      </c>
      <c r="N15" s="543" t="s">
        <v>1375</v>
      </c>
      <c r="O15" s="543" t="s">
        <v>2356</v>
      </c>
      <c r="P15" s="543">
        <v>1</v>
      </c>
      <c r="Q15" s="550">
        <v>3290000</v>
      </c>
      <c r="R15" s="551">
        <v>3110000</v>
      </c>
      <c r="S15" s="551">
        <v>180000</v>
      </c>
      <c r="T15" s="552">
        <v>0.01</v>
      </c>
      <c r="U15" s="552"/>
      <c r="V15" s="552">
        <v>0.1</v>
      </c>
      <c r="W15" s="553"/>
      <c r="X15" s="552">
        <v>0.4</v>
      </c>
      <c r="Y15" s="552">
        <v>0.6</v>
      </c>
      <c r="Z15" s="554">
        <v>1546300</v>
      </c>
      <c r="AA15" s="554">
        <v>1546300</v>
      </c>
      <c r="AB15" s="554"/>
      <c r="AC15" s="555"/>
      <c r="AD15" s="554">
        <v>1974000</v>
      </c>
      <c r="AE15" s="543"/>
      <c r="AF15" s="552">
        <v>0.3</v>
      </c>
      <c r="AG15" s="556">
        <v>44250</v>
      </c>
      <c r="AH15" s="554"/>
      <c r="AI15" s="552">
        <v>0.3</v>
      </c>
      <c r="AJ15" s="556">
        <v>44431</v>
      </c>
      <c r="AK15" s="554"/>
    </row>
    <row r="16" spans="1:38" s="557" customFormat="1" x14ac:dyDescent="0.45">
      <c r="A16" s="543">
        <v>15</v>
      </c>
      <c r="B16" s="544">
        <v>44079</v>
      </c>
      <c r="C16" s="543" t="s">
        <v>6292</v>
      </c>
      <c r="D16" s="543" t="s">
        <v>2347</v>
      </c>
      <c r="E16" s="543"/>
      <c r="F16" s="543"/>
      <c r="G16" s="547">
        <v>792245446</v>
      </c>
      <c r="H16" s="543" t="s">
        <v>2616</v>
      </c>
      <c r="I16" s="543" t="s">
        <v>2617</v>
      </c>
      <c r="J16" s="547">
        <v>792245446</v>
      </c>
      <c r="K16" s="547" t="s">
        <v>2460</v>
      </c>
      <c r="L16" s="548" t="s">
        <v>1390</v>
      </c>
      <c r="M16" s="549" t="s">
        <v>2163</v>
      </c>
      <c r="N16" s="543" t="s">
        <v>1375</v>
      </c>
      <c r="O16" s="543" t="s">
        <v>2356</v>
      </c>
      <c r="P16" s="543">
        <v>1</v>
      </c>
      <c r="Q16" s="550">
        <v>3290000</v>
      </c>
      <c r="R16" s="551">
        <v>3110000</v>
      </c>
      <c r="S16" s="551">
        <v>180000</v>
      </c>
      <c r="T16" s="552">
        <v>0.01</v>
      </c>
      <c r="U16" s="552"/>
      <c r="V16" s="552">
        <v>0.1</v>
      </c>
      <c r="W16" s="553"/>
      <c r="X16" s="552">
        <v>0.4</v>
      </c>
      <c r="Y16" s="552">
        <v>0.6</v>
      </c>
      <c r="Z16" s="554">
        <v>1546300</v>
      </c>
      <c r="AA16" s="554">
        <v>1546300</v>
      </c>
      <c r="AB16" s="554"/>
      <c r="AC16" s="555"/>
      <c r="AD16" s="554">
        <v>1974000</v>
      </c>
      <c r="AE16" s="543"/>
      <c r="AF16" s="552">
        <v>0.3</v>
      </c>
      <c r="AG16" s="556">
        <v>44260</v>
      </c>
      <c r="AH16" s="554"/>
      <c r="AI16" s="552">
        <v>0.3</v>
      </c>
      <c r="AJ16" s="556">
        <v>44444</v>
      </c>
      <c r="AK16" s="554"/>
    </row>
    <row r="17" spans="1:48" s="452" customFormat="1" ht="18" customHeight="1" x14ac:dyDescent="0.45">
      <c r="A17" s="444">
        <v>16</v>
      </c>
      <c r="B17" s="445">
        <v>44083</v>
      </c>
      <c r="C17" s="444" t="s">
        <v>2300</v>
      </c>
      <c r="D17" s="444" t="s">
        <v>2279</v>
      </c>
      <c r="E17" s="444"/>
      <c r="F17" s="444"/>
      <c r="G17" s="446">
        <v>778979731</v>
      </c>
      <c r="H17" s="444" t="s">
        <v>2148</v>
      </c>
      <c r="I17" s="444" t="s">
        <v>2619</v>
      </c>
      <c r="J17" s="446">
        <v>975558566</v>
      </c>
      <c r="K17" s="446" t="s">
        <v>2460</v>
      </c>
      <c r="L17" s="447" t="s">
        <v>1373</v>
      </c>
      <c r="M17" s="204" t="s">
        <v>2146</v>
      </c>
      <c r="N17" s="444" t="s">
        <v>1375</v>
      </c>
      <c r="O17" s="444" t="s">
        <v>2357</v>
      </c>
      <c r="P17" s="444">
        <v>1</v>
      </c>
      <c r="Q17" s="453">
        <v>3210000</v>
      </c>
      <c r="R17" s="454">
        <v>3030000</v>
      </c>
      <c r="S17" s="454">
        <v>180000</v>
      </c>
      <c r="T17" s="448">
        <v>0.01</v>
      </c>
      <c r="U17" s="448"/>
      <c r="V17" s="448">
        <v>0.1</v>
      </c>
      <c r="W17" s="449"/>
      <c r="X17" s="448">
        <v>0.4</v>
      </c>
      <c r="Y17" s="448">
        <v>0.6</v>
      </c>
      <c r="Z17" s="131">
        <v>1508700</v>
      </c>
      <c r="AA17" s="131">
        <v>1508700</v>
      </c>
      <c r="AB17" s="131"/>
      <c r="AC17" s="455"/>
      <c r="AD17" s="131">
        <v>1926000</v>
      </c>
      <c r="AE17" s="444"/>
      <c r="AF17" s="448">
        <v>0.3</v>
      </c>
      <c r="AG17" s="451">
        <v>44264</v>
      </c>
      <c r="AH17" s="131">
        <v>963000</v>
      </c>
      <c r="AI17" s="448">
        <v>0.3</v>
      </c>
      <c r="AJ17" s="451">
        <v>44448</v>
      </c>
      <c r="AK17" s="131">
        <v>963000</v>
      </c>
    </row>
    <row r="18" spans="1:48" s="163" customFormat="1" ht="18" customHeight="1" x14ac:dyDescent="0.45">
      <c r="A18" s="543">
        <v>17</v>
      </c>
      <c r="B18" s="544">
        <v>44087</v>
      </c>
      <c r="C18" s="543" t="s">
        <v>2301</v>
      </c>
      <c r="D18" s="543" t="s">
        <v>2347</v>
      </c>
      <c r="E18" s="543"/>
      <c r="F18" s="543"/>
      <c r="G18" s="547">
        <v>799419374</v>
      </c>
      <c r="H18" s="543" t="s">
        <v>2285</v>
      </c>
      <c r="I18" s="543" t="s">
        <v>2620</v>
      </c>
      <c r="J18" s="547">
        <v>975558566</v>
      </c>
      <c r="K18" s="547" t="s">
        <v>2460</v>
      </c>
      <c r="L18" s="548" t="s">
        <v>1390</v>
      </c>
      <c r="M18" s="549" t="s">
        <v>2287</v>
      </c>
      <c r="N18" s="543" t="s">
        <v>1375</v>
      </c>
      <c r="O18" s="543" t="s">
        <v>2356</v>
      </c>
      <c r="P18" s="543">
        <v>1</v>
      </c>
      <c r="Q18" s="550">
        <v>3290000</v>
      </c>
      <c r="R18" s="551">
        <v>3110000</v>
      </c>
      <c r="S18" s="551">
        <v>180000</v>
      </c>
      <c r="T18" s="552">
        <v>0.01</v>
      </c>
      <c r="U18" s="552"/>
      <c r="V18" s="552">
        <v>0.1</v>
      </c>
      <c r="W18" s="553"/>
      <c r="X18" s="552">
        <v>0.4</v>
      </c>
      <c r="Y18" s="552">
        <v>0.6</v>
      </c>
      <c r="Z18" s="554">
        <v>1546300</v>
      </c>
      <c r="AA18" s="554">
        <v>1546300</v>
      </c>
      <c r="AB18" s="554"/>
      <c r="AC18" s="555"/>
      <c r="AD18" s="554">
        <v>1974000</v>
      </c>
      <c r="AE18" s="543"/>
      <c r="AF18" s="552">
        <v>0.3</v>
      </c>
      <c r="AG18" s="556">
        <v>44268</v>
      </c>
      <c r="AH18" s="554"/>
      <c r="AI18" s="552">
        <v>0.3</v>
      </c>
      <c r="AJ18" s="556">
        <v>44452</v>
      </c>
      <c r="AK18" s="554"/>
    </row>
    <row r="19" spans="1:48" s="452" customFormat="1" ht="18" customHeight="1" x14ac:dyDescent="0.45">
      <c r="A19" s="444">
        <v>18</v>
      </c>
      <c r="B19" s="445">
        <v>44104</v>
      </c>
      <c r="C19" s="444" t="s">
        <v>2315</v>
      </c>
      <c r="D19" s="444" t="s">
        <v>2316</v>
      </c>
      <c r="E19" s="444"/>
      <c r="F19" s="444"/>
      <c r="G19" s="446">
        <v>773125022</v>
      </c>
      <c r="H19" s="444" t="s">
        <v>2291</v>
      </c>
      <c r="I19" s="444" t="s">
        <v>2621</v>
      </c>
      <c r="J19" s="446">
        <v>799409605</v>
      </c>
      <c r="K19" s="446" t="s">
        <v>2460</v>
      </c>
      <c r="L19" s="447" t="s">
        <v>2622</v>
      </c>
      <c r="M19" s="204"/>
      <c r="N19" s="444" t="s">
        <v>1375</v>
      </c>
      <c r="O19" s="444" t="s">
        <v>2348</v>
      </c>
      <c r="P19" s="444">
        <v>1</v>
      </c>
      <c r="Q19" s="453">
        <v>2480000</v>
      </c>
      <c r="R19" s="454">
        <v>2380000</v>
      </c>
      <c r="S19" s="454">
        <v>100000</v>
      </c>
      <c r="T19" s="448">
        <v>0.01</v>
      </c>
      <c r="U19" s="448"/>
      <c r="V19" s="448">
        <v>0.1</v>
      </c>
      <c r="W19" s="449"/>
      <c r="X19" s="448">
        <v>0.4</v>
      </c>
      <c r="Y19" s="448">
        <v>0.6</v>
      </c>
      <c r="Z19" s="450">
        <v>1165600</v>
      </c>
      <c r="AA19" s="450">
        <v>1165600</v>
      </c>
      <c r="AB19" s="131"/>
      <c r="AC19" s="455"/>
      <c r="AD19" s="450">
        <v>1488000</v>
      </c>
      <c r="AE19" s="444"/>
      <c r="AF19" s="448">
        <v>0.3</v>
      </c>
      <c r="AG19" s="451">
        <v>44285</v>
      </c>
      <c r="AH19" s="450">
        <v>744000</v>
      </c>
      <c r="AI19" s="448">
        <v>0.3</v>
      </c>
      <c r="AJ19" s="451">
        <v>44469</v>
      </c>
      <c r="AK19" s="131">
        <v>744000</v>
      </c>
    </row>
    <row r="20" spans="1:48" s="557" customFormat="1" ht="18" customHeight="1" x14ac:dyDescent="0.45">
      <c r="A20" s="543">
        <v>19</v>
      </c>
      <c r="B20" s="544">
        <v>44131</v>
      </c>
      <c r="C20" s="543" t="s">
        <v>2349</v>
      </c>
      <c r="D20" s="543" t="s">
        <v>2145</v>
      </c>
      <c r="E20" s="543"/>
      <c r="F20" s="543"/>
      <c r="G20" s="547">
        <v>686190834</v>
      </c>
      <c r="H20" s="543" t="s">
        <v>2623</v>
      </c>
      <c r="I20" s="543" t="s">
        <v>2350</v>
      </c>
      <c r="J20" s="547">
        <v>451042452</v>
      </c>
      <c r="K20" s="547" t="s">
        <v>2460</v>
      </c>
      <c r="L20" s="548" t="s">
        <v>2624</v>
      </c>
      <c r="M20" s="549"/>
      <c r="N20" s="543" t="s">
        <v>1375</v>
      </c>
      <c r="O20" s="543" t="s">
        <v>2351</v>
      </c>
      <c r="P20" s="543">
        <v>1</v>
      </c>
      <c r="Q20" s="550">
        <v>2290000</v>
      </c>
      <c r="R20" s="551">
        <v>2195000</v>
      </c>
      <c r="S20" s="551">
        <v>95000</v>
      </c>
      <c r="T20" s="552">
        <v>0.01</v>
      </c>
      <c r="U20" s="552"/>
      <c r="V20" s="552">
        <v>0.1</v>
      </c>
      <c r="W20" s="553"/>
      <c r="X20" s="552">
        <v>0.4</v>
      </c>
      <c r="Y20" s="552">
        <v>0.6</v>
      </c>
      <c r="Z20" s="560">
        <v>1076300</v>
      </c>
      <c r="AA20" s="560">
        <v>1076300</v>
      </c>
      <c r="AB20" s="554"/>
      <c r="AC20" s="555"/>
      <c r="AD20" s="560">
        <v>1374000</v>
      </c>
      <c r="AE20" s="543"/>
      <c r="AF20" s="552">
        <v>0.3</v>
      </c>
      <c r="AG20" s="556">
        <v>44313</v>
      </c>
      <c r="AH20" s="560"/>
      <c r="AI20" s="552">
        <v>0.3</v>
      </c>
      <c r="AJ20" s="556">
        <v>44496</v>
      </c>
      <c r="AK20" s="560"/>
    </row>
    <row r="21" spans="1:48" s="557" customFormat="1" ht="18" customHeight="1" x14ac:dyDescent="0.45">
      <c r="A21" s="543">
        <v>20</v>
      </c>
      <c r="B21" s="544">
        <v>44133</v>
      </c>
      <c r="C21" s="543" t="s">
        <v>2359</v>
      </c>
      <c r="D21" s="543" t="s">
        <v>2360</v>
      </c>
      <c r="E21" s="543"/>
      <c r="F21" s="543"/>
      <c r="G21" s="547">
        <v>769226235</v>
      </c>
      <c r="H21" s="543" t="s">
        <v>2289</v>
      </c>
      <c r="I21" s="543" t="s">
        <v>2625</v>
      </c>
      <c r="J21" s="547">
        <v>448005725</v>
      </c>
      <c r="K21" s="547" t="s">
        <v>2460</v>
      </c>
      <c r="L21" s="548" t="s">
        <v>2626</v>
      </c>
      <c r="M21" s="548"/>
      <c r="N21" s="543" t="s">
        <v>1375</v>
      </c>
      <c r="O21" s="543" t="s">
        <v>2357</v>
      </c>
      <c r="P21" s="543">
        <v>1</v>
      </c>
      <c r="Q21" s="550">
        <v>3210000</v>
      </c>
      <c r="R21" s="551">
        <v>3030000</v>
      </c>
      <c r="S21" s="551">
        <v>180000</v>
      </c>
      <c r="T21" s="552">
        <v>0.01</v>
      </c>
      <c r="U21" s="552"/>
      <c r="V21" s="552">
        <v>0.1</v>
      </c>
      <c r="W21" s="553"/>
      <c r="X21" s="552">
        <v>0.4</v>
      </c>
      <c r="Y21" s="552">
        <v>0.6</v>
      </c>
      <c r="Z21" s="560">
        <v>1508700</v>
      </c>
      <c r="AA21" s="560">
        <v>1508700</v>
      </c>
      <c r="AB21" s="554"/>
      <c r="AC21" s="555"/>
      <c r="AD21" s="560">
        <v>1926000</v>
      </c>
      <c r="AE21" s="543"/>
      <c r="AF21" s="552">
        <v>0.3</v>
      </c>
      <c r="AG21" s="556">
        <v>44315</v>
      </c>
      <c r="AH21" s="560"/>
      <c r="AI21" s="552">
        <v>0.3</v>
      </c>
      <c r="AJ21" s="556">
        <v>44498</v>
      </c>
      <c r="AK21" s="560"/>
    </row>
    <row r="22" spans="1:48" s="452" customFormat="1" ht="18" customHeight="1" x14ac:dyDescent="0.45">
      <c r="A22" s="444">
        <v>21</v>
      </c>
      <c r="B22" s="445">
        <v>44136</v>
      </c>
      <c r="C22" s="444" t="s">
        <v>2374</v>
      </c>
      <c r="D22" s="444" t="s">
        <v>2316</v>
      </c>
      <c r="E22" s="444"/>
      <c r="F22" s="444"/>
      <c r="G22" s="446">
        <v>799406646</v>
      </c>
      <c r="H22" s="444" t="s">
        <v>2375</v>
      </c>
      <c r="I22" s="444" t="s">
        <v>2376</v>
      </c>
      <c r="J22" s="446">
        <v>758527366</v>
      </c>
      <c r="K22" s="446" t="s">
        <v>2460</v>
      </c>
      <c r="L22" s="447" t="s">
        <v>2377</v>
      </c>
      <c r="M22" s="447"/>
      <c r="N22" s="204"/>
      <c r="O22" s="444" t="s">
        <v>2348</v>
      </c>
      <c r="P22" s="444">
        <v>1</v>
      </c>
      <c r="Q22" s="453">
        <v>2480000</v>
      </c>
      <c r="R22" s="454">
        <v>2380000</v>
      </c>
      <c r="S22" s="454">
        <v>100000</v>
      </c>
      <c r="T22" s="448">
        <v>0.01</v>
      </c>
      <c r="U22" s="448"/>
      <c r="V22" s="448">
        <v>0.1</v>
      </c>
      <c r="W22" s="449"/>
      <c r="X22" s="448">
        <v>0.4</v>
      </c>
      <c r="Y22" s="448">
        <v>0.6</v>
      </c>
      <c r="Z22" s="450">
        <v>1165600</v>
      </c>
      <c r="AA22" s="450">
        <v>1165600</v>
      </c>
      <c r="AB22" s="131"/>
      <c r="AC22" s="455"/>
      <c r="AD22" s="450">
        <v>1488000</v>
      </c>
      <c r="AE22" s="444"/>
      <c r="AF22" s="448">
        <v>0.3</v>
      </c>
      <c r="AG22" s="451">
        <v>44317</v>
      </c>
      <c r="AH22" s="450">
        <v>744000</v>
      </c>
      <c r="AI22" s="448">
        <v>0.3</v>
      </c>
      <c r="AJ22" s="451">
        <v>44501</v>
      </c>
      <c r="AK22" s="450">
        <v>744000</v>
      </c>
    </row>
    <row r="23" spans="1:48" s="557" customFormat="1" ht="18" customHeight="1" x14ac:dyDescent="0.45">
      <c r="A23" s="543">
        <v>22</v>
      </c>
      <c r="B23" s="544">
        <v>44152</v>
      </c>
      <c r="C23" s="543" t="s">
        <v>2396</v>
      </c>
      <c r="D23" s="543" t="s">
        <v>2290</v>
      </c>
      <c r="E23" s="543"/>
      <c r="F23" s="543"/>
      <c r="G23" s="547">
        <v>762017900</v>
      </c>
      <c r="H23" s="543" t="s">
        <v>2397</v>
      </c>
      <c r="I23" s="543" t="s">
        <v>2398</v>
      </c>
      <c r="J23" s="547">
        <v>958842972</v>
      </c>
      <c r="K23" s="547" t="s">
        <v>2460</v>
      </c>
      <c r="L23" s="548" t="s">
        <v>2399</v>
      </c>
      <c r="M23" s="548"/>
      <c r="N23" s="549" t="s">
        <v>1375</v>
      </c>
      <c r="O23" s="543" t="s">
        <v>2356</v>
      </c>
      <c r="P23" s="543">
        <v>1</v>
      </c>
      <c r="Q23" s="697">
        <v>3290000</v>
      </c>
      <c r="R23" s="698">
        <v>3100000</v>
      </c>
      <c r="S23" s="698">
        <v>190000</v>
      </c>
      <c r="T23" s="552">
        <v>0.01</v>
      </c>
      <c r="U23" s="552"/>
      <c r="V23" s="552">
        <v>0.1</v>
      </c>
      <c r="W23" s="553"/>
      <c r="X23" s="552">
        <v>0.4</v>
      </c>
      <c r="Y23" s="552">
        <v>0.6</v>
      </c>
      <c r="Z23" s="560">
        <v>1546300</v>
      </c>
      <c r="AA23" s="560">
        <v>1546300</v>
      </c>
      <c r="AB23" s="554"/>
      <c r="AC23" s="555"/>
      <c r="AD23" s="560">
        <v>1974000</v>
      </c>
      <c r="AE23" s="543"/>
      <c r="AF23" s="552">
        <v>0.3</v>
      </c>
      <c r="AG23" s="556">
        <v>44333</v>
      </c>
      <c r="AH23" s="560"/>
      <c r="AI23" s="552">
        <v>0.3</v>
      </c>
      <c r="AJ23" s="556">
        <v>44517</v>
      </c>
      <c r="AK23" s="560"/>
    </row>
    <row r="24" spans="1:48" s="557" customFormat="1" x14ac:dyDescent="0.45">
      <c r="A24" s="543">
        <v>23</v>
      </c>
      <c r="B24" s="544">
        <v>44153</v>
      </c>
      <c r="C24" s="543" t="s">
        <v>2400</v>
      </c>
      <c r="D24" s="543" t="s">
        <v>2347</v>
      </c>
      <c r="E24" s="543"/>
      <c r="F24" s="543"/>
      <c r="G24" s="547">
        <v>425741998</v>
      </c>
      <c r="H24" s="543" t="s">
        <v>2401</v>
      </c>
      <c r="I24" s="543" t="s">
        <v>2402</v>
      </c>
      <c r="J24" s="547">
        <v>799415864</v>
      </c>
      <c r="K24" s="547" t="s">
        <v>2460</v>
      </c>
      <c r="L24" s="548" t="s">
        <v>2403</v>
      </c>
      <c r="M24" s="548"/>
      <c r="N24" s="549" t="s">
        <v>1375</v>
      </c>
      <c r="O24" s="543" t="s">
        <v>2356</v>
      </c>
      <c r="P24" s="543">
        <v>1</v>
      </c>
      <c r="Q24" s="697">
        <v>3191300</v>
      </c>
      <c r="R24" s="698">
        <v>2977670</v>
      </c>
      <c r="S24" s="698">
        <v>213630</v>
      </c>
      <c r="T24" s="552">
        <v>0.01</v>
      </c>
      <c r="U24" s="552"/>
      <c r="V24" s="552">
        <v>0.1</v>
      </c>
      <c r="W24" s="553"/>
      <c r="X24" s="552">
        <v>0.4</v>
      </c>
      <c r="Y24" s="552">
        <v>0.6</v>
      </c>
      <c r="Z24" s="560">
        <v>1499911</v>
      </c>
      <c r="AA24" s="560">
        <v>1499911</v>
      </c>
      <c r="AB24" s="554"/>
      <c r="AC24" s="555"/>
      <c r="AD24" s="560">
        <v>1914780</v>
      </c>
      <c r="AE24" s="543"/>
      <c r="AF24" s="552">
        <v>0.3</v>
      </c>
      <c r="AG24" s="556">
        <v>44334</v>
      </c>
      <c r="AH24" s="560"/>
      <c r="AI24" s="552">
        <v>0.3</v>
      </c>
      <c r="AJ24" s="556">
        <v>44518</v>
      </c>
      <c r="AK24" s="560"/>
    </row>
    <row r="25" spans="1:48" s="557" customFormat="1" x14ac:dyDescent="0.45">
      <c r="A25" s="543">
        <v>24</v>
      </c>
      <c r="B25" s="544">
        <v>44155</v>
      </c>
      <c r="C25" s="543" t="s">
        <v>2404</v>
      </c>
      <c r="D25" s="543" t="s">
        <v>2153</v>
      </c>
      <c r="E25" s="543"/>
      <c r="F25" s="543"/>
      <c r="G25" s="547">
        <v>799419927</v>
      </c>
      <c r="H25" s="543" t="s">
        <v>2292</v>
      </c>
      <c r="I25" s="543" t="s">
        <v>2405</v>
      </c>
      <c r="J25" s="547">
        <v>778927454</v>
      </c>
      <c r="K25" s="547" t="s">
        <v>2460</v>
      </c>
      <c r="L25" s="548" t="s">
        <v>2406</v>
      </c>
      <c r="M25" s="548"/>
      <c r="N25" s="549" t="s">
        <v>1375</v>
      </c>
      <c r="O25" s="543" t="s">
        <v>2348</v>
      </c>
      <c r="P25" s="543">
        <v>1</v>
      </c>
      <c r="Q25" s="697">
        <v>2405600</v>
      </c>
      <c r="R25" s="698">
        <v>2262488</v>
      </c>
      <c r="S25" s="698">
        <v>143112</v>
      </c>
      <c r="T25" s="552">
        <v>0.01</v>
      </c>
      <c r="U25" s="552"/>
      <c r="V25" s="552">
        <v>0.1</v>
      </c>
      <c r="W25" s="553"/>
      <c r="X25" s="552">
        <v>0.4</v>
      </c>
      <c r="Y25" s="552">
        <v>0.6</v>
      </c>
      <c r="Z25" s="560">
        <v>1130632</v>
      </c>
      <c r="AA25" s="560">
        <v>1130632</v>
      </c>
      <c r="AB25" s="555"/>
      <c r="AC25" s="560"/>
      <c r="AD25" s="543">
        <v>1443360</v>
      </c>
      <c r="AE25" s="560"/>
      <c r="AF25" s="552">
        <v>0.3</v>
      </c>
      <c r="AG25" s="556">
        <v>44336</v>
      </c>
      <c r="AH25" s="560"/>
      <c r="AI25" s="552">
        <v>0.3</v>
      </c>
      <c r="AJ25" s="556">
        <v>44520</v>
      </c>
      <c r="AK25" s="560"/>
    </row>
    <row r="26" spans="1:48" s="557" customFormat="1" x14ac:dyDescent="0.45">
      <c r="A26" s="543">
        <v>25</v>
      </c>
      <c r="B26" s="544">
        <v>44155</v>
      </c>
      <c r="C26" s="543" t="s">
        <v>2407</v>
      </c>
      <c r="D26" s="543" t="s">
        <v>2408</v>
      </c>
      <c r="E26" s="543"/>
      <c r="F26" s="543"/>
      <c r="G26" s="547">
        <v>798813398</v>
      </c>
      <c r="H26" s="543" t="s">
        <v>2409</v>
      </c>
      <c r="I26" s="543" t="s">
        <v>2410</v>
      </c>
      <c r="J26" s="547">
        <v>775119243</v>
      </c>
      <c r="K26" s="547" t="s">
        <v>2460</v>
      </c>
      <c r="L26" s="548" t="s">
        <v>2411</v>
      </c>
      <c r="M26" s="548"/>
      <c r="N26" s="549" t="s">
        <v>1375</v>
      </c>
      <c r="O26" s="543" t="s">
        <v>2356</v>
      </c>
      <c r="P26" s="543">
        <v>1</v>
      </c>
      <c r="Q26" s="697">
        <v>3191300</v>
      </c>
      <c r="R26" s="698">
        <v>2977670</v>
      </c>
      <c r="S26" s="698">
        <v>213630</v>
      </c>
      <c r="T26" s="552">
        <v>0.01</v>
      </c>
      <c r="U26" s="552"/>
      <c r="V26" s="552">
        <v>0.1</v>
      </c>
      <c r="W26" s="553"/>
      <c r="X26" s="552">
        <v>0.4</v>
      </c>
      <c r="Y26" s="552">
        <v>0.6</v>
      </c>
      <c r="Z26" s="560">
        <v>1499911</v>
      </c>
      <c r="AA26" s="560">
        <v>1499911</v>
      </c>
      <c r="AB26" s="555"/>
      <c r="AC26" s="560"/>
      <c r="AD26" s="543">
        <v>1914780</v>
      </c>
      <c r="AE26" s="560"/>
      <c r="AF26" s="552">
        <v>0.3</v>
      </c>
      <c r="AG26" s="556">
        <v>44336</v>
      </c>
      <c r="AH26" s="560"/>
      <c r="AI26" s="552">
        <v>0.3</v>
      </c>
      <c r="AJ26" s="556">
        <v>44520</v>
      </c>
      <c r="AK26" s="560"/>
    </row>
    <row r="27" spans="1:48" s="557" customFormat="1" ht="18" customHeight="1" x14ac:dyDescent="0.45">
      <c r="A27" s="543">
        <v>26</v>
      </c>
      <c r="B27" s="544">
        <v>44157</v>
      </c>
      <c r="C27" s="543" t="s">
        <v>2413</v>
      </c>
      <c r="D27" s="543" t="s">
        <v>2414</v>
      </c>
      <c r="E27" s="543"/>
      <c r="F27" s="543"/>
      <c r="G27" s="547">
        <v>777070377</v>
      </c>
      <c r="H27" s="543" t="s">
        <v>2415</v>
      </c>
      <c r="I27" s="543" t="s">
        <v>2416</v>
      </c>
      <c r="J27" s="547">
        <v>420270964</v>
      </c>
      <c r="K27" s="547" t="s">
        <v>2460</v>
      </c>
      <c r="L27" s="548" t="s">
        <v>2417</v>
      </c>
      <c r="M27" s="548"/>
      <c r="N27" s="549" t="s">
        <v>1375</v>
      </c>
      <c r="O27" s="543" t="s">
        <v>2356</v>
      </c>
      <c r="P27" s="543">
        <v>1</v>
      </c>
      <c r="Q27" s="697">
        <v>3191300</v>
      </c>
      <c r="R27" s="698">
        <v>2977670</v>
      </c>
      <c r="S27" s="698">
        <v>213630</v>
      </c>
      <c r="T27" s="552">
        <v>0.01</v>
      </c>
      <c r="U27" s="552"/>
      <c r="V27" s="552">
        <v>0.1</v>
      </c>
      <c r="W27" s="553"/>
      <c r="X27" s="552">
        <v>0.4</v>
      </c>
      <c r="Y27" s="552">
        <v>0.6</v>
      </c>
      <c r="Z27" s="560">
        <v>1499911</v>
      </c>
      <c r="AA27" s="560">
        <v>1499911</v>
      </c>
      <c r="AB27" s="560"/>
      <c r="AC27" s="560"/>
      <c r="AD27" s="560">
        <v>1914780</v>
      </c>
      <c r="AE27" s="560"/>
      <c r="AF27" s="552">
        <v>0.3</v>
      </c>
      <c r="AG27" s="556">
        <v>44338</v>
      </c>
      <c r="AH27" s="560"/>
      <c r="AI27" s="552">
        <v>0.3</v>
      </c>
      <c r="AJ27" s="556">
        <v>44522</v>
      </c>
      <c r="AK27" s="560"/>
    </row>
    <row r="28" spans="1:48" s="557" customFormat="1" x14ac:dyDescent="0.45">
      <c r="A28" s="543">
        <v>27</v>
      </c>
      <c r="B28" s="544">
        <v>44162</v>
      </c>
      <c r="C28" s="543" t="s">
        <v>2418</v>
      </c>
      <c r="D28" s="543" t="s">
        <v>2419</v>
      </c>
      <c r="E28" s="543"/>
      <c r="F28" s="543"/>
      <c r="G28" s="547">
        <v>761034336</v>
      </c>
      <c r="H28" s="543" t="s">
        <v>2420</v>
      </c>
      <c r="I28" s="543" t="s">
        <v>2421</v>
      </c>
      <c r="J28" s="547">
        <v>769330211</v>
      </c>
      <c r="K28" s="547" t="s">
        <v>2460</v>
      </c>
      <c r="L28" s="548" t="s">
        <v>2422</v>
      </c>
      <c r="M28" s="548"/>
      <c r="N28" s="549" t="s">
        <v>1375</v>
      </c>
      <c r="O28" s="543" t="s">
        <v>2348</v>
      </c>
      <c r="P28" s="543">
        <v>1</v>
      </c>
      <c r="Q28" s="697">
        <v>2405600</v>
      </c>
      <c r="R28" s="698">
        <v>2262488</v>
      </c>
      <c r="S28" s="698">
        <v>143112</v>
      </c>
      <c r="T28" s="552">
        <v>0.01</v>
      </c>
      <c r="U28" s="552"/>
      <c r="V28" s="552">
        <v>0.1</v>
      </c>
      <c r="W28" s="552"/>
      <c r="X28" s="552">
        <v>0.4</v>
      </c>
      <c r="Y28" s="552">
        <v>0.6</v>
      </c>
      <c r="Z28" s="560">
        <v>1130632</v>
      </c>
      <c r="AA28" s="560">
        <v>1130632</v>
      </c>
      <c r="AB28" s="560"/>
      <c r="AC28" s="560"/>
      <c r="AD28" s="560">
        <v>1443360</v>
      </c>
      <c r="AE28" s="560"/>
      <c r="AF28" s="552">
        <v>0.3</v>
      </c>
      <c r="AG28" s="556">
        <v>44343</v>
      </c>
      <c r="AH28" s="560"/>
      <c r="AI28" s="552">
        <v>0.3</v>
      </c>
      <c r="AJ28" s="556">
        <v>44527</v>
      </c>
      <c r="AK28" s="560"/>
      <c r="AL28" s="11"/>
      <c r="AM28" s="11"/>
      <c r="AN28" s="11"/>
      <c r="AO28" s="11"/>
      <c r="AP28" s="11"/>
      <c r="AQ28" s="11"/>
      <c r="AR28" s="11"/>
      <c r="AS28" s="11"/>
      <c r="AT28" s="11"/>
      <c r="AU28" s="163"/>
      <c r="AV28" s="163"/>
    </row>
    <row r="29" spans="1:48" s="557" customFormat="1" x14ac:dyDescent="0.45">
      <c r="A29" s="543">
        <v>28</v>
      </c>
      <c r="B29" s="544">
        <v>44162</v>
      </c>
      <c r="C29" s="543" t="s">
        <v>2423</v>
      </c>
      <c r="D29" s="543" t="s">
        <v>2424</v>
      </c>
      <c r="E29" s="543"/>
      <c r="F29" s="543"/>
      <c r="G29" s="547">
        <v>777893034</v>
      </c>
      <c r="H29" s="543" t="s">
        <v>2425</v>
      </c>
      <c r="I29" s="543" t="s">
        <v>2426</v>
      </c>
      <c r="J29" s="547">
        <v>261691147</v>
      </c>
      <c r="K29" s="547" t="s">
        <v>2460</v>
      </c>
      <c r="L29" s="548" t="s">
        <v>2427</v>
      </c>
      <c r="M29" s="548"/>
      <c r="N29" s="549" t="s">
        <v>1375</v>
      </c>
      <c r="O29" s="543" t="s">
        <v>2356</v>
      </c>
      <c r="P29" s="543">
        <v>1</v>
      </c>
      <c r="Q29" s="697">
        <v>3191300</v>
      </c>
      <c r="R29" s="698">
        <v>2977670</v>
      </c>
      <c r="S29" s="698">
        <v>213630</v>
      </c>
      <c r="T29" s="552">
        <v>0.01</v>
      </c>
      <c r="U29" s="552"/>
      <c r="V29" s="552">
        <v>0.1</v>
      </c>
      <c r="W29" s="552"/>
      <c r="X29" s="552">
        <v>0.4</v>
      </c>
      <c r="Y29" s="552">
        <v>0.6</v>
      </c>
      <c r="Z29" s="560">
        <v>1499911</v>
      </c>
      <c r="AA29" s="560">
        <v>1499911</v>
      </c>
      <c r="AB29" s="560">
        <v>0</v>
      </c>
      <c r="AC29" s="560"/>
      <c r="AD29" s="560">
        <v>1914780</v>
      </c>
      <c r="AE29" s="560"/>
      <c r="AF29" s="552">
        <v>0.3</v>
      </c>
      <c r="AG29" s="556">
        <v>44343</v>
      </c>
      <c r="AH29" s="560"/>
      <c r="AI29" s="552">
        <v>0.3</v>
      </c>
      <c r="AJ29" s="556">
        <v>44527</v>
      </c>
      <c r="AK29" s="560"/>
      <c r="AL29" s="11"/>
      <c r="AM29" s="11"/>
      <c r="AN29" s="11"/>
      <c r="AO29" s="11"/>
      <c r="AP29" s="11"/>
      <c r="AQ29" s="11"/>
      <c r="AR29" s="11"/>
      <c r="AS29" s="11"/>
      <c r="AT29" s="11"/>
      <c r="AU29" s="163"/>
      <c r="AV29" s="163"/>
    </row>
    <row r="30" spans="1:48" s="557" customFormat="1" x14ac:dyDescent="0.45">
      <c r="A30" s="543">
        <v>29</v>
      </c>
      <c r="B30" s="544">
        <v>44165</v>
      </c>
      <c r="C30" s="543" t="s">
        <v>2456</v>
      </c>
      <c r="D30" s="543" t="s">
        <v>2347</v>
      </c>
      <c r="E30" s="543"/>
      <c r="F30" s="543"/>
      <c r="G30" s="547">
        <v>420024352</v>
      </c>
      <c r="H30" s="543" t="s">
        <v>2457</v>
      </c>
      <c r="I30" s="543" t="s">
        <v>2458</v>
      </c>
      <c r="J30" s="547"/>
      <c r="K30" s="547" t="s">
        <v>2460</v>
      </c>
      <c r="L30" s="548" t="s">
        <v>2459</v>
      </c>
      <c r="M30" s="548"/>
      <c r="N30" s="549" t="s">
        <v>1375</v>
      </c>
      <c r="O30" s="543" t="s">
        <v>2351</v>
      </c>
      <c r="P30" s="543">
        <v>1</v>
      </c>
      <c r="Q30" s="697">
        <v>2232750</v>
      </c>
      <c r="R30" s="698">
        <v>2108078</v>
      </c>
      <c r="S30" s="698">
        <v>124672</v>
      </c>
      <c r="T30" s="552">
        <v>0.01</v>
      </c>
      <c r="U30" s="552"/>
      <c r="V30" s="552">
        <v>0.1</v>
      </c>
      <c r="W30" s="552"/>
      <c r="X30" s="552">
        <v>0.4</v>
      </c>
      <c r="Y30" s="552">
        <v>0.6</v>
      </c>
      <c r="Z30" s="560">
        <v>1049392.5</v>
      </c>
      <c r="AA30" s="560">
        <v>1049392.5</v>
      </c>
      <c r="AB30" s="560"/>
      <c r="AC30" s="560"/>
      <c r="AD30" s="560">
        <v>1339650</v>
      </c>
      <c r="AE30" s="560"/>
      <c r="AF30" s="552">
        <v>0.3</v>
      </c>
      <c r="AG30" s="556">
        <v>44346</v>
      </c>
      <c r="AH30" s="560"/>
      <c r="AI30" s="552">
        <v>0.3</v>
      </c>
      <c r="AJ30" s="556">
        <v>44530</v>
      </c>
      <c r="AK30" s="560"/>
      <c r="AL30" s="11"/>
      <c r="AM30" s="11"/>
      <c r="AN30" s="11"/>
      <c r="AO30" s="11"/>
      <c r="AP30" s="11"/>
      <c r="AQ30" s="11"/>
      <c r="AR30" s="11"/>
      <c r="AS30" s="11"/>
      <c r="AT30" s="11"/>
      <c r="AU30" s="163"/>
      <c r="AV30" s="163"/>
    </row>
    <row r="31" spans="1:48" s="557" customFormat="1" x14ac:dyDescent="0.45">
      <c r="A31" s="543">
        <v>30</v>
      </c>
      <c r="B31" s="544">
        <v>44169</v>
      </c>
      <c r="C31" s="543" t="s">
        <v>2627</v>
      </c>
      <c r="D31" s="543" t="s">
        <v>2628</v>
      </c>
      <c r="E31" s="543"/>
      <c r="F31" s="543"/>
      <c r="G31" s="547">
        <v>794360622</v>
      </c>
      <c r="H31" s="543" t="s">
        <v>2629</v>
      </c>
      <c r="I31" s="543" t="s">
        <v>2630</v>
      </c>
      <c r="J31" s="547">
        <v>791703991</v>
      </c>
      <c r="K31" s="547" t="s">
        <v>2460</v>
      </c>
      <c r="L31" s="548" t="s">
        <v>2631</v>
      </c>
      <c r="M31" s="548"/>
      <c r="N31" s="549" t="s">
        <v>1375</v>
      </c>
      <c r="O31" s="543" t="s">
        <v>2356</v>
      </c>
      <c r="P31" s="543">
        <v>1</v>
      </c>
      <c r="Q31" s="697">
        <v>3191300</v>
      </c>
      <c r="R31" s="698">
        <v>2977670</v>
      </c>
      <c r="S31" s="698">
        <v>213630</v>
      </c>
      <c r="T31" s="552">
        <v>0.01</v>
      </c>
      <c r="U31" s="552"/>
      <c r="V31" s="552">
        <v>0.1</v>
      </c>
      <c r="W31" s="552"/>
      <c r="X31" s="552">
        <v>0.4</v>
      </c>
      <c r="Y31" s="552">
        <v>0.6</v>
      </c>
      <c r="Z31" s="560">
        <v>1499911</v>
      </c>
      <c r="AA31" s="560">
        <v>1499911</v>
      </c>
      <c r="AB31" s="560"/>
      <c r="AC31" s="560"/>
      <c r="AD31" s="560">
        <v>1914780</v>
      </c>
      <c r="AE31" s="560"/>
      <c r="AF31" s="552">
        <v>0.3</v>
      </c>
      <c r="AG31" s="556">
        <v>44351</v>
      </c>
      <c r="AH31" s="560"/>
      <c r="AI31" s="552">
        <v>0.3</v>
      </c>
      <c r="AJ31" s="556">
        <v>44534</v>
      </c>
      <c r="AK31" s="560"/>
    </row>
    <row r="32" spans="1:48" s="557" customFormat="1" x14ac:dyDescent="0.45">
      <c r="A32" s="543">
        <v>31</v>
      </c>
      <c r="B32" s="544">
        <v>44169</v>
      </c>
      <c r="C32" s="543" t="s">
        <v>2632</v>
      </c>
      <c r="D32" s="543" t="s">
        <v>2633</v>
      </c>
      <c r="E32" s="543"/>
      <c r="F32" s="543"/>
      <c r="G32" s="547">
        <v>444512584</v>
      </c>
      <c r="H32" s="543" t="s">
        <v>2294</v>
      </c>
      <c r="I32" s="543" t="s">
        <v>2634</v>
      </c>
      <c r="J32" s="547"/>
      <c r="K32" s="547" t="s">
        <v>2460</v>
      </c>
      <c r="L32" s="548" t="s">
        <v>2635</v>
      </c>
      <c r="M32" s="548"/>
      <c r="N32" s="549" t="s">
        <v>1375</v>
      </c>
      <c r="O32" s="543" t="s">
        <v>2351</v>
      </c>
      <c r="P32" s="543">
        <v>1</v>
      </c>
      <c r="Q32" s="697">
        <v>2232750</v>
      </c>
      <c r="R32" s="698">
        <v>2108078</v>
      </c>
      <c r="S32" s="698">
        <v>124672</v>
      </c>
      <c r="T32" s="552">
        <v>0.01</v>
      </c>
      <c r="U32" s="552"/>
      <c r="V32" s="552">
        <v>0.1</v>
      </c>
      <c r="W32" s="552"/>
      <c r="X32" s="552">
        <v>0.4</v>
      </c>
      <c r="Y32" s="552">
        <v>0.6</v>
      </c>
      <c r="Z32" s="560">
        <v>1049392.5</v>
      </c>
      <c r="AA32" s="560">
        <v>1049392.5</v>
      </c>
      <c r="AB32" s="560"/>
      <c r="AC32" s="560"/>
      <c r="AD32" s="560">
        <v>1339650</v>
      </c>
      <c r="AE32" s="560"/>
      <c r="AF32" s="552">
        <v>0.3</v>
      </c>
      <c r="AG32" s="556">
        <v>44351</v>
      </c>
      <c r="AH32" s="560"/>
      <c r="AI32" s="552">
        <v>0.3</v>
      </c>
      <c r="AJ32" s="556">
        <v>44534</v>
      </c>
      <c r="AK32" s="560"/>
    </row>
    <row r="33" spans="1:44" s="557" customFormat="1" x14ac:dyDescent="0.45">
      <c r="A33" s="543">
        <v>32</v>
      </c>
      <c r="B33" s="544">
        <v>44170</v>
      </c>
      <c r="C33" s="543" t="s">
        <v>2636</v>
      </c>
      <c r="D33" s="543" t="s">
        <v>2414</v>
      </c>
      <c r="E33" s="543"/>
      <c r="F33" s="543"/>
      <c r="G33" s="547">
        <v>799406975</v>
      </c>
      <c r="H33" s="543" t="s">
        <v>2637</v>
      </c>
      <c r="I33" s="543" t="s">
        <v>2638</v>
      </c>
      <c r="J33" s="547">
        <v>799406975</v>
      </c>
      <c r="K33" s="547" t="s">
        <v>2460</v>
      </c>
      <c r="L33" s="548" t="s">
        <v>2639</v>
      </c>
      <c r="M33" s="548"/>
      <c r="N33" s="549" t="s">
        <v>1375</v>
      </c>
      <c r="O33" s="543" t="s">
        <v>2356</v>
      </c>
      <c r="P33" s="543">
        <v>1</v>
      </c>
      <c r="Q33" s="697">
        <v>3191300</v>
      </c>
      <c r="R33" s="698">
        <v>2977670</v>
      </c>
      <c r="S33" s="698">
        <v>213630</v>
      </c>
      <c r="T33" s="552">
        <v>0.01</v>
      </c>
      <c r="U33" s="552"/>
      <c r="V33" s="552">
        <v>0.1</v>
      </c>
      <c r="W33" s="553"/>
      <c r="X33" s="552">
        <v>0.4</v>
      </c>
      <c r="Y33" s="552">
        <v>0.6</v>
      </c>
      <c r="Z33" s="560">
        <v>1499911</v>
      </c>
      <c r="AA33" s="560">
        <v>1499911</v>
      </c>
      <c r="AB33" s="560"/>
      <c r="AC33" s="560"/>
      <c r="AD33" s="560">
        <v>1914780</v>
      </c>
      <c r="AE33" s="560"/>
      <c r="AF33" s="552">
        <v>0.3</v>
      </c>
      <c r="AG33" s="556">
        <v>44352</v>
      </c>
      <c r="AH33" s="560"/>
      <c r="AI33" s="552">
        <v>0.3</v>
      </c>
      <c r="AJ33" s="556">
        <v>44535</v>
      </c>
      <c r="AK33" s="560"/>
    </row>
    <row r="34" spans="1:44" s="557" customFormat="1" x14ac:dyDescent="0.45">
      <c r="A34" s="543">
        <v>33</v>
      </c>
      <c r="B34" s="544">
        <v>44174</v>
      </c>
      <c r="C34" s="543" t="s">
        <v>2640</v>
      </c>
      <c r="D34" s="543" t="s">
        <v>2641</v>
      </c>
      <c r="E34" s="543"/>
      <c r="F34" s="543"/>
      <c r="G34" s="547">
        <v>252847193</v>
      </c>
      <c r="H34" s="543" t="s">
        <v>2642</v>
      </c>
      <c r="I34" s="543" t="s">
        <v>2643</v>
      </c>
      <c r="J34" s="547"/>
      <c r="K34" s="547" t="s">
        <v>2460</v>
      </c>
      <c r="L34" s="548" t="s">
        <v>2644</v>
      </c>
      <c r="M34" s="548"/>
      <c r="N34" s="549" t="s">
        <v>1375</v>
      </c>
      <c r="O34" s="543" t="s">
        <v>2356</v>
      </c>
      <c r="P34" s="543">
        <v>1</v>
      </c>
      <c r="Q34" s="697">
        <v>3191300</v>
      </c>
      <c r="R34" s="698">
        <v>2977670</v>
      </c>
      <c r="S34" s="698">
        <v>213630</v>
      </c>
      <c r="T34" s="552">
        <v>0.01</v>
      </c>
      <c r="U34" s="726"/>
      <c r="V34" s="552">
        <v>0.1</v>
      </c>
      <c r="W34" s="727"/>
      <c r="X34" s="552">
        <v>0.4</v>
      </c>
      <c r="Y34" s="552">
        <v>0.6</v>
      </c>
      <c r="Z34" s="560">
        <v>1499911</v>
      </c>
      <c r="AA34" s="560">
        <v>1499911</v>
      </c>
      <c r="AB34" s="560"/>
      <c r="AC34" s="560"/>
      <c r="AD34" s="560">
        <v>1914780</v>
      </c>
      <c r="AE34" s="560"/>
      <c r="AF34" s="552">
        <v>0.3</v>
      </c>
      <c r="AG34" s="556">
        <v>44356</v>
      </c>
      <c r="AH34" s="560"/>
      <c r="AI34" s="552">
        <v>0.3</v>
      </c>
      <c r="AJ34" s="556">
        <v>44539</v>
      </c>
      <c r="AK34" s="560"/>
    </row>
    <row r="35" spans="1:44" s="557" customFormat="1" x14ac:dyDescent="0.45">
      <c r="A35" s="543">
        <v>34</v>
      </c>
      <c r="B35" s="544">
        <v>44175</v>
      </c>
      <c r="C35" s="543" t="s">
        <v>2420</v>
      </c>
      <c r="D35" s="543" t="s">
        <v>2358</v>
      </c>
      <c r="E35" s="543"/>
      <c r="F35" s="543"/>
      <c r="G35" s="547">
        <v>420195637</v>
      </c>
      <c r="H35" s="543" t="s">
        <v>2645</v>
      </c>
      <c r="I35" s="543" t="s">
        <v>2646</v>
      </c>
      <c r="J35" s="547"/>
      <c r="K35" s="547" t="s">
        <v>2460</v>
      </c>
      <c r="L35" s="548" t="s">
        <v>2647</v>
      </c>
      <c r="M35" s="548"/>
      <c r="N35" s="549" t="s">
        <v>1375</v>
      </c>
      <c r="O35" s="543" t="s">
        <v>2356</v>
      </c>
      <c r="P35" s="543">
        <v>1</v>
      </c>
      <c r="Q35" s="697">
        <v>3191300</v>
      </c>
      <c r="R35" s="698">
        <v>2977670</v>
      </c>
      <c r="S35" s="698">
        <v>213630</v>
      </c>
      <c r="T35" s="552">
        <v>0.01</v>
      </c>
      <c r="U35" s="552"/>
      <c r="V35" s="552">
        <v>0.1</v>
      </c>
      <c r="W35" s="553"/>
      <c r="X35" s="552">
        <v>0.4</v>
      </c>
      <c r="Y35" s="552">
        <v>0.6</v>
      </c>
      <c r="Z35" s="560">
        <v>1499911</v>
      </c>
      <c r="AA35" s="560">
        <v>1499911</v>
      </c>
      <c r="AB35" s="560"/>
      <c r="AC35" s="560"/>
      <c r="AD35" s="560">
        <v>1914780</v>
      </c>
      <c r="AE35" s="560"/>
      <c r="AF35" s="552">
        <v>0.3</v>
      </c>
      <c r="AG35" s="556">
        <v>44357</v>
      </c>
      <c r="AH35" s="560"/>
      <c r="AI35" s="552">
        <v>0.3</v>
      </c>
      <c r="AJ35" s="556">
        <v>44540</v>
      </c>
      <c r="AK35" s="560"/>
    </row>
    <row r="36" spans="1:44" s="557" customFormat="1" x14ac:dyDescent="0.45">
      <c r="A36" s="543">
        <v>35</v>
      </c>
      <c r="B36" s="544">
        <v>44175</v>
      </c>
      <c r="C36" s="543" t="s">
        <v>2648</v>
      </c>
      <c r="D36" s="543" t="s">
        <v>2649</v>
      </c>
      <c r="E36" s="543" t="s">
        <v>2650</v>
      </c>
      <c r="F36" s="543"/>
      <c r="G36" s="547">
        <v>669117638</v>
      </c>
      <c r="H36" s="543" t="s">
        <v>2651</v>
      </c>
      <c r="I36" s="543" t="s">
        <v>2652</v>
      </c>
      <c r="J36" s="547">
        <v>673647161</v>
      </c>
      <c r="K36" s="547" t="s">
        <v>2460</v>
      </c>
      <c r="L36" s="548" t="s">
        <v>2653</v>
      </c>
      <c r="M36" s="548"/>
      <c r="N36" s="549" t="s">
        <v>2654</v>
      </c>
      <c r="O36" s="543" t="s">
        <v>2351</v>
      </c>
      <c r="P36" s="543">
        <v>1</v>
      </c>
      <c r="Q36" s="697">
        <v>2232750</v>
      </c>
      <c r="R36" s="698">
        <v>2108078</v>
      </c>
      <c r="S36" s="698">
        <v>124672</v>
      </c>
      <c r="T36" s="552">
        <v>0.01</v>
      </c>
      <c r="U36" s="552"/>
      <c r="V36" s="552">
        <v>0.1</v>
      </c>
      <c r="W36" s="553"/>
      <c r="X36" s="552">
        <v>0.4</v>
      </c>
      <c r="Y36" s="552">
        <v>0.6</v>
      </c>
      <c r="Z36" s="560">
        <v>1049392.5</v>
      </c>
      <c r="AA36" s="560">
        <v>1049392.5</v>
      </c>
      <c r="AB36" s="560"/>
      <c r="AC36" s="560"/>
      <c r="AD36" s="560">
        <v>1339650</v>
      </c>
      <c r="AE36" s="560"/>
      <c r="AF36" s="552">
        <v>0.3</v>
      </c>
      <c r="AG36" s="556">
        <v>44357</v>
      </c>
      <c r="AH36" s="560"/>
      <c r="AI36" s="552">
        <v>0.3</v>
      </c>
      <c r="AJ36" s="556">
        <v>44540</v>
      </c>
      <c r="AK36" s="560"/>
      <c r="AL36" s="11"/>
      <c r="AM36" s="11"/>
      <c r="AN36" s="11"/>
      <c r="AO36" s="11"/>
      <c r="AP36" s="11"/>
      <c r="AQ36" s="11"/>
      <c r="AR36" s="11"/>
    </row>
    <row r="37" spans="1:44" s="557" customFormat="1" x14ac:dyDescent="0.45">
      <c r="A37" s="543">
        <v>36</v>
      </c>
      <c r="B37" s="544">
        <v>44178</v>
      </c>
      <c r="C37" s="543" t="s">
        <v>2655</v>
      </c>
      <c r="D37" s="543" t="s">
        <v>2656</v>
      </c>
      <c r="E37" s="543" t="s">
        <v>2657</v>
      </c>
      <c r="F37" s="543"/>
      <c r="G37" s="547">
        <v>786284816</v>
      </c>
      <c r="H37" s="543" t="s">
        <v>2625</v>
      </c>
      <c r="I37" s="543" t="s">
        <v>2658</v>
      </c>
      <c r="J37" s="547">
        <v>796828361</v>
      </c>
      <c r="K37" s="547" t="s">
        <v>2460</v>
      </c>
      <c r="L37" s="548" t="s">
        <v>2659</v>
      </c>
      <c r="M37" s="549"/>
      <c r="N37" s="549" t="s">
        <v>1375</v>
      </c>
      <c r="O37" s="543" t="s">
        <v>2356</v>
      </c>
      <c r="P37" s="543">
        <v>1</v>
      </c>
      <c r="Q37" s="997">
        <v>3191300</v>
      </c>
      <c r="R37" s="698">
        <v>2977670</v>
      </c>
      <c r="S37" s="998">
        <v>213630</v>
      </c>
      <c r="T37" s="552">
        <v>0.01</v>
      </c>
      <c r="U37" s="552"/>
      <c r="V37" s="552">
        <v>0.1</v>
      </c>
      <c r="W37" s="553"/>
      <c r="X37" s="552">
        <v>0.4</v>
      </c>
      <c r="Y37" s="552">
        <v>0.6</v>
      </c>
      <c r="Z37" s="560">
        <v>1499911</v>
      </c>
      <c r="AA37" s="560">
        <v>1499911</v>
      </c>
      <c r="AB37" s="554"/>
      <c r="AC37" s="555"/>
      <c r="AD37" s="554">
        <v>1914780</v>
      </c>
      <c r="AE37" s="543"/>
      <c r="AF37" s="552">
        <v>0.3</v>
      </c>
      <c r="AG37" s="556">
        <v>44360</v>
      </c>
      <c r="AH37" s="560"/>
      <c r="AI37" s="552">
        <v>0.3</v>
      </c>
      <c r="AJ37" s="556">
        <v>44543</v>
      </c>
      <c r="AK37" s="560"/>
    </row>
    <row r="38" spans="1:44" s="557" customFormat="1" x14ac:dyDescent="0.45">
      <c r="A38" s="543">
        <v>37</v>
      </c>
      <c r="B38" s="544">
        <v>44180</v>
      </c>
      <c r="C38" s="543" t="s">
        <v>2660</v>
      </c>
      <c r="D38" s="543" t="s">
        <v>2661</v>
      </c>
      <c r="E38" s="543" t="s">
        <v>2662</v>
      </c>
      <c r="F38" s="543"/>
      <c r="G38" s="547">
        <v>420306544</v>
      </c>
      <c r="H38" s="543" t="s">
        <v>2663</v>
      </c>
      <c r="I38" s="543" t="s">
        <v>2664</v>
      </c>
      <c r="J38" s="547">
        <v>264587869</v>
      </c>
      <c r="K38" s="547" t="s">
        <v>2460</v>
      </c>
      <c r="L38" s="548" t="s">
        <v>2665</v>
      </c>
      <c r="M38" s="549"/>
      <c r="N38" s="549" t="s">
        <v>1375</v>
      </c>
      <c r="O38" s="543" t="s">
        <v>2356</v>
      </c>
      <c r="P38" s="543">
        <v>1</v>
      </c>
      <c r="Q38" s="997">
        <v>3191300</v>
      </c>
      <c r="R38" s="698">
        <v>2977670</v>
      </c>
      <c r="S38" s="998">
        <v>213630</v>
      </c>
      <c r="T38" s="552">
        <v>0.01</v>
      </c>
      <c r="U38" s="552"/>
      <c r="V38" s="552">
        <v>0.1</v>
      </c>
      <c r="W38" s="553"/>
      <c r="X38" s="552">
        <v>0.4</v>
      </c>
      <c r="Y38" s="552">
        <v>0.6</v>
      </c>
      <c r="Z38" s="560">
        <v>1499911</v>
      </c>
      <c r="AA38" s="560">
        <v>1499911</v>
      </c>
      <c r="AB38" s="554"/>
      <c r="AC38" s="555"/>
      <c r="AD38" s="560">
        <v>1914780</v>
      </c>
      <c r="AE38" s="543"/>
      <c r="AF38" s="552">
        <v>0.3</v>
      </c>
      <c r="AG38" s="556">
        <v>44362</v>
      </c>
      <c r="AH38" s="560"/>
      <c r="AI38" s="552">
        <v>0.3</v>
      </c>
      <c r="AJ38" s="556">
        <v>44545</v>
      </c>
      <c r="AK38" s="560"/>
    </row>
    <row r="39" spans="1:44" s="557" customFormat="1" x14ac:dyDescent="0.45">
      <c r="A39" s="543">
        <v>38</v>
      </c>
      <c r="B39" s="544">
        <v>44181</v>
      </c>
      <c r="C39" s="543" t="s">
        <v>2666</v>
      </c>
      <c r="D39" s="543" t="s">
        <v>2667</v>
      </c>
      <c r="E39" s="543" t="s">
        <v>2668</v>
      </c>
      <c r="F39" s="543"/>
      <c r="G39" s="547">
        <v>977180007</v>
      </c>
      <c r="H39" s="543" t="s">
        <v>2669</v>
      </c>
      <c r="I39" s="543" t="s">
        <v>2612</v>
      </c>
      <c r="J39" s="547">
        <v>664655245</v>
      </c>
      <c r="K39" s="547" t="s">
        <v>2460</v>
      </c>
      <c r="L39" s="548" t="s">
        <v>2670</v>
      </c>
      <c r="M39" s="549"/>
      <c r="N39" s="549" t="s">
        <v>1375</v>
      </c>
      <c r="O39" s="543" t="s">
        <v>2356</v>
      </c>
      <c r="P39" s="543">
        <v>1</v>
      </c>
      <c r="Q39" s="550">
        <v>3191300</v>
      </c>
      <c r="R39" s="698">
        <v>2977670</v>
      </c>
      <c r="S39" s="551">
        <v>213630</v>
      </c>
      <c r="T39" s="552">
        <v>0.01</v>
      </c>
      <c r="U39" s="552"/>
      <c r="V39" s="552">
        <v>0.1</v>
      </c>
      <c r="W39" s="553"/>
      <c r="X39" s="552">
        <v>0.4</v>
      </c>
      <c r="Y39" s="552">
        <v>0.6</v>
      </c>
      <c r="Z39" s="560">
        <v>1499911</v>
      </c>
      <c r="AA39" s="560">
        <v>1499911</v>
      </c>
      <c r="AB39" s="554"/>
      <c r="AC39" s="555"/>
      <c r="AD39" s="560">
        <v>1914780</v>
      </c>
      <c r="AE39" s="543"/>
      <c r="AF39" s="552">
        <v>0.3</v>
      </c>
      <c r="AG39" s="556">
        <v>44363</v>
      </c>
      <c r="AH39" s="560"/>
      <c r="AI39" s="552">
        <v>0.3</v>
      </c>
      <c r="AJ39" s="556">
        <v>44546</v>
      </c>
      <c r="AK39" s="560"/>
    </row>
    <row r="40" spans="1:44" s="452" customFormat="1" x14ac:dyDescent="0.45">
      <c r="A40" s="444">
        <v>39</v>
      </c>
      <c r="B40" s="445">
        <v>44184</v>
      </c>
      <c r="C40" s="444" t="s">
        <v>2671</v>
      </c>
      <c r="D40" s="444" t="s">
        <v>2672</v>
      </c>
      <c r="E40" s="444" t="s">
        <v>2673</v>
      </c>
      <c r="F40" s="444" t="s">
        <v>2674</v>
      </c>
      <c r="G40" s="446">
        <v>799416984</v>
      </c>
      <c r="H40" s="444" t="s">
        <v>2675</v>
      </c>
      <c r="I40" s="444" t="s">
        <v>2676</v>
      </c>
      <c r="J40" s="446">
        <v>796939764</v>
      </c>
      <c r="K40" s="446" t="s">
        <v>2460</v>
      </c>
      <c r="L40" s="695" t="s">
        <v>2677</v>
      </c>
      <c r="M40" s="204"/>
      <c r="N40" s="204" t="s">
        <v>1375</v>
      </c>
      <c r="O40" s="444" t="s">
        <v>2356</v>
      </c>
      <c r="P40" s="444">
        <v>1</v>
      </c>
      <c r="Q40" s="453">
        <v>3191300</v>
      </c>
      <c r="R40" s="454">
        <v>2977670</v>
      </c>
      <c r="S40" s="454">
        <v>213630</v>
      </c>
      <c r="T40" s="448">
        <v>0.01</v>
      </c>
      <c r="U40" s="448"/>
      <c r="V40" s="448">
        <v>0.1</v>
      </c>
      <c r="W40" s="449"/>
      <c r="X40" s="448">
        <v>0.4</v>
      </c>
      <c r="Y40" s="448">
        <v>0.6</v>
      </c>
      <c r="Z40" s="450">
        <v>1499911</v>
      </c>
      <c r="AA40" s="450">
        <v>1499911</v>
      </c>
      <c r="AB40" s="131"/>
      <c r="AC40" s="455"/>
      <c r="AD40" s="450">
        <v>1914780</v>
      </c>
      <c r="AE40" s="444"/>
      <c r="AF40" s="448">
        <v>0.3</v>
      </c>
      <c r="AG40" s="451">
        <v>44366</v>
      </c>
      <c r="AH40" s="450">
        <v>957390</v>
      </c>
      <c r="AI40" s="408">
        <v>0.3</v>
      </c>
      <c r="AJ40" s="456">
        <v>44549</v>
      </c>
      <c r="AK40" s="303">
        <v>957390</v>
      </c>
      <c r="AL40" s="11"/>
      <c r="AM40" s="11"/>
      <c r="AN40" s="11"/>
      <c r="AO40" s="11"/>
      <c r="AP40" s="11"/>
      <c r="AQ40" s="11"/>
      <c r="AR40" s="11"/>
    </row>
    <row r="41" spans="1:44" s="557" customFormat="1" x14ac:dyDescent="0.45">
      <c r="A41" s="543">
        <v>40</v>
      </c>
      <c r="B41" s="544">
        <v>44185</v>
      </c>
      <c r="C41" s="543" t="s">
        <v>2678</v>
      </c>
      <c r="D41" s="543" t="s">
        <v>2679</v>
      </c>
      <c r="E41" s="543" t="s">
        <v>2680</v>
      </c>
      <c r="F41" s="543" t="s">
        <v>2681</v>
      </c>
      <c r="G41" s="547">
        <v>680125834</v>
      </c>
      <c r="H41" s="543" t="s">
        <v>2682</v>
      </c>
      <c r="I41" s="543" t="s">
        <v>2676</v>
      </c>
      <c r="J41" s="547">
        <v>796939764</v>
      </c>
      <c r="K41" s="547" t="s">
        <v>2460</v>
      </c>
      <c r="L41" s="549" t="s">
        <v>2683</v>
      </c>
      <c r="M41" s="549"/>
      <c r="N41" s="549" t="s">
        <v>1375</v>
      </c>
      <c r="O41" s="543" t="s">
        <v>2356</v>
      </c>
      <c r="P41" s="543">
        <v>1</v>
      </c>
      <c r="Q41" s="550">
        <v>3191300</v>
      </c>
      <c r="R41" s="551">
        <v>2977670</v>
      </c>
      <c r="S41" s="551">
        <v>213630</v>
      </c>
      <c r="T41" s="552">
        <v>0.01</v>
      </c>
      <c r="U41" s="552"/>
      <c r="V41" s="552">
        <v>0.1</v>
      </c>
      <c r="W41" s="553"/>
      <c r="X41" s="552">
        <v>0.4</v>
      </c>
      <c r="Y41" s="552">
        <v>0.6</v>
      </c>
      <c r="Z41" s="560">
        <v>1499911</v>
      </c>
      <c r="AA41" s="560">
        <v>1499911</v>
      </c>
      <c r="AB41" s="554"/>
      <c r="AC41" s="555"/>
      <c r="AD41" s="560">
        <v>1914780</v>
      </c>
      <c r="AE41" s="543"/>
      <c r="AF41" s="552">
        <v>0.3</v>
      </c>
      <c r="AG41" s="556">
        <v>44367</v>
      </c>
      <c r="AH41" s="560"/>
      <c r="AI41" s="552">
        <v>0.3</v>
      </c>
      <c r="AJ41" s="556">
        <v>44550</v>
      </c>
      <c r="AK41" s="560"/>
    </row>
    <row r="42" spans="1:44" s="452" customFormat="1" x14ac:dyDescent="0.45">
      <c r="A42" s="543">
        <v>41</v>
      </c>
      <c r="B42" s="544">
        <v>44188</v>
      </c>
      <c r="C42" s="543" t="s">
        <v>2684</v>
      </c>
      <c r="D42" s="543" t="s">
        <v>2685</v>
      </c>
      <c r="E42" s="543" t="s">
        <v>2686</v>
      </c>
      <c r="F42" s="543" t="s">
        <v>2687</v>
      </c>
      <c r="G42" s="547">
        <v>780119896</v>
      </c>
      <c r="H42" s="543" t="s">
        <v>2688</v>
      </c>
      <c r="I42" s="543" t="s">
        <v>2689</v>
      </c>
      <c r="J42" s="547">
        <v>650679068</v>
      </c>
      <c r="K42" s="547" t="s">
        <v>2460</v>
      </c>
      <c r="L42" s="696" t="s">
        <v>2690</v>
      </c>
      <c r="M42" s="549"/>
      <c r="N42" s="549" t="s">
        <v>1375</v>
      </c>
      <c r="O42" s="543" t="s">
        <v>2356</v>
      </c>
      <c r="P42" s="543">
        <v>1</v>
      </c>
      <c r="Q42" s="550">
        <v>3191300</v>
      </c>
      <c r="R42" s="551">
        <v>2977670</v>
      </c>
      <c r="S42" s="551">
        <v>213630</v>
      </c>
      <c r="T42" s="552">
        <v>0.01</v>
      </c>
      <c r="U42" s="552"/>
      <c r="V42" s="552">
        <v>0.1</v>
      </c>
      <c r="W42" s="553"/>
      <c r="X42" s="552">
        <v>0.4</v>
      </c>
      <c r="Y42" s="552">
        <v>0.6</v>
      </c>
      <c r="Z42" s="560">
        <v>1499911</v>
      </c>
      <c r="AA42" s="560">
        <v>1499911</v>
      </c>
      <c r="AB42" s="554"/>
      <c r="AC42" s="555"/>
      <c r="AD42" s="560">
        <v>1914780</v>
      </c>
      <c r="AE42" s="543"/>
      <c r="AF42" s="552">
        <v>0.3</v>
      </c>
      <c r="AG42" s="556">
        <v>44370</v>
      </c>
      <c r="AH42" s="560"/>
      <c r="AI42" s="552">
        <v>0.3</v>
      </c>
      <c r="AJ42" s="556">
        <v>44553</v>
      </c>
      <c r="AK42" s="560"/>
      <c r="AL42" s="11"/>
      <c r="AM42" s="11"/>
      <c r="AN42" s="11"/>
      <c r="AO42" s="11"/>
      <c r="AP42" s="11"/>
      <c r="AQ42" s="11"/>
      <c r="AR42" s="11"/>
    </row>
    <row r="43" spans="1:44" s="452" customFormat="1" x14ac:dyDescent="0.45">
      <c r="A43" s="543">
        <v>42</v>
      </c>
      <c r="B43" s="652">
        <v>44192</v>
      </c>
      <c r="C43" s="651" t="s">
        <v>2691</v>
      </c>
      <c r="D43" s="651" t="s">
        <v>2692</v>
      </c>
      <c r="E43" s="651" t="s">
        <v>2693</v>
      </c>
      <c r="F43" s="651" t="s">
        <v>2694</v>
      </c>
      <c r="G43" s="653">
        <v>794361068</v>
      </c>
      <c r="H43" s="651" t="s">
        <v>2695</v>
      </c>
      <c r="I43" s="651" t="s">
        <v>2696</v>
      </c>
      <c r="J43" s="653">
        <v>775115282</v>
      </c>
      <c r="K43" s="653" t="s">
        <v>2460</v>
      </c>
      <c r="L43" s="654" t="s">
        <v>2697</v>
      </c>
      <c r="M43" s="654"/>
      <c r="N43" s="654" t="s">
        <v>1375</v>
      </c>
      <c r="O43" s="651" t="s">
        <v>2356</v>
      </c>
      <c r="P43" s="651">
        <v>1</v>
      </c>
      <c r="Q43" s="655">
        <v>3191300</v>
      </c>
      <c r="R43" s="656">
        <v>2977670</v>
      </c>
      <c r="S43" s="656">
        <v>213630</v>
      </c>
      <c r="T43" s="211">
        <v>0.01</v>
      </c>
      <c r="U43" s="211"/>
      <c r="V43" s="211">
        <v>0.1</v>
      </c>
      <c r="W43" s="657"/>
      <c r="X43" s="211">
        <v>0.4</v>
      </c>
      <c r="Y43" s="211">
        <v>0.6</v>
      </c>
      <c r="Z43" s="300">
        <v>1499911</v>
      </c>
      <c r="AA43" s="300">
        <v>1499911</v>
      </c>
      <c r="AB43" s="212"/>
      <c r="AC43" s="404"/>
      <c r="AD43" s="300">
        <v>1914780</v>
      </c>
      <c r="AE43" s="651"/>
      <c r="AF43" s="211">
        <v>0.3</v>
      </c>
      <c r="AG43" s="381">
        <v>44374</v>
      </c>
      <c r="AH43" s="300">
        <v>250000</v>
      </c>
      <c r="AI43" s="211">
        <v>0.3</v>
      </c>
      <c r="AJ43" s="381">
        <v>44557</v>
      </c>
      <c r="AK43" s="300">
        <v>957390</v>
      </c>
      <c r="AL43" s="11"/>
      <c r="AM43" s="11"/>
      <c r="AN43" s="11"/>
      <c r="AO43" s="11"/>
      <c r="AP43" s="11"/>
      <c r="AQ43" s="11"/>
      <c r="AR43" s="11"/>
    </row>
    <row r="44" spans="1:44" s="163" customFormat="1" x14ac:dyDescent="0.45">
      <c r="A44" s="444">
        <v>43</v>
      </c>
      <c r="B44" s="445">
        <v>44192</v>
      </c>
      <c r="C44" s="444" t="s">
        <v>2698</v>
      </c>
      <c r="D44" s="444" t="s">
        <v>2699</v>
      </c>
      <c r="E44" s="444" t="s">
        <v>2700</v>
      </c>
      <c r="F44" s="444" t="s">
        <v>2701</v>
      </c>
      <c r="G44" s="446">
        <v>764922939</v>
      </c>
      <c r="H44" s="444" t="s">
        <v>2702</v>
      </c>
      <c r="I44" s="444" t="s">
        <v>2676</v>
      </c>
      <c r="J44" s="446">
        <v>796939764</v>
      </c>
      <c r="K44" s="446" t="s">
        <v>2460</v>
      </c>
      <c r="L44" s="695" t="s">
        <v>2703</v>
      </c>
      <c r="M44" s="204"/>
      <c r="N44" s="204" t="s">
        <v>1375</v>
      </c>
      <c r="O44" s="444" t="s">
        <v>2356</v>
      </c>
      <c r="P44" s="444">
        <v>1</v>
      </c>
      <c r="Q44" s="453">
        <v>3191300</v>
      </c>
      <c r="R44" s="454">
        <v>2977670</v>
      </c>
      <c r="S44" s="454">
        <v>213630</v>
      </c>
      <c r="T44" s="448">
        <v>0.01</v>
      </c>
      <c r="U44" s="448"/>
      <c r="V44" s="448">
        <v>0.1</v>
      </c>
      <c r="W44" s="449"/>
      <c r="X44" s="448">
        <v>0.4</v>
      </c>
      <c r="Y44" s="448">
        <v>0.6</v>
      </c>
      <c r="Z44" s="450">
        <v>1499911</v>
      </c>
      <c r="AA44" s="450">
        <v>1499911</v>
      </c>
      <c r="AB44" s="131"/>
      <c r="AC44" s="455"/>
      <c r="AD44" s="450">
        <v>1914780</v>
      </c>
      <c r="AE44" s="444"/>
      <c r="AF44" s="448">
        <v>0.3</v>
      </c>
      <c r="AG44" s="451">
        <v>44374</v>
      </c>
      <c r="AH44" s="450">
        <v>957390</v>
      </c>
      <c r="AI44" s="408">
        <v>0.3</v>
      </c>
      <c r="AJ44" s="456">
        <v>44557</v>
      </c>
      <c r="AK44" s="303">
        <v>957390</v>
      </c>
      <c r="AL44" s="11"/>
      <c r="AM44" s="11"/>
      <c r="AN44" s="11"/>
      <c r="AO44" s="11"/>
      <c r="AP44" s="11"/>
      <c r="AQ44" s="11"/>
      <c r="AR44" s="11"/>
    </row>
    <row r="45" spans="1:44" s="557" customFormat="1" x14ac:dyDescent="0.45">
      <c r="A45" s="543">
        <v>44</v>
      </c>
      <c r="B45" s="544">
        <v>44194</v>
      </c>
      <c r="C45" s="543" t="s">
        <v>2704</v>
      </c>
      <c r="D45" s="543" t="s">
        <v>2705</v>
      </c>
      <c r="E45" s="543" t="s">
        <v>2706</v>
      </c>
      <c r="F45" s="543" t="s">
        <v>2707</v>
      </c>
      <c r="G45" s="547">
        <v>766995487</v>
      </c>
      <c r="H45" s="543" t="s">
        <v>2708</v>
      </c>
      <c r="I45" s="543" t="s">
        <v>2709</v>
      </c>
      <c r="J45" s="547">
        <v>778978045</v>
      </c>
      <c r="K45" s="547" t="s">
        <v>2460</v>
      </c>
      <c r="L45" s="549" t="s">
        <v>2710</v>
      </c>
      <c r="M45" s="549"/>
      <c r="N45" s="549" t="s">
        <v>1375</v>
      </c>
      <c r="O45" s="543" t="s">
        <v>2356</v>
      </c>
      <c r="P45" s="543">
        <v>1</v>
      </c>
      <c r="Q45" s="550">
        <v>3191300</v>
      </c>
      <c r="R45" s="551">
        <v>2977670</v>
      </c>
      <c r="S45" s="551">
        <v>213630</v>
      </c>
      <c r="T45" s="552">
        <v>0.01</v>
      </c>
      <c r="U45" s="552"/>
      <c r="V45" s="552">
        <v>0.1</v>
      </c>
      <c r="W45" s="553"/>
      <c r="X45" s="552">
        <v>0.4</v>
      </c>
      <c r="Y45" s="552">
        <v>0.6</v>
      </c>
      <c r="Z45" s="560">
        <v>1499911</v>
      </c>
      <c r="AA45" s="560">
        <v>1499911</v>
      </c>
      <c r="AB45" s="554"/>
      <c r="AC45" s="555"/>
      <c r="AD45" s="560">
        <v>1914780</v>
      </c>
      <c r="AE45" s="543"/>
      <c r="AF45" s="552">
        <v>0.3</v>
      </c>
      <c r="AG45" s="556">
        <v>44376</v>
      </c>
      <c r="AH45" s="560"/>
      <c r="AI45" s="552">
        <v>0.3</v>
      </c>
      <c r="AJ45" s="556">
        <v>44559</v>
      </c>
      <c r="AK45" s="560"/>
    </row>
    <row r="46" spans="1:44" s="557" customFormat="1" x14ac:dyDescent="0.45">
      <c r="A46" s="543">
        <v>45</v>
      </c>
      <c r="B46" s="544">
        <v>44195</v>
      </c>
      <c r="C46" s="543" t="s">
        <v>2711</v>
      </c>
      <c r="D46" s="543" t="s">
        <v>2712</v>
      </c>
      <c r="E46" s="543" t="s">
        <v>2713</v>
      </c>
      <c r="F46" s="543" t="s">
        <v>2714</v>
      </c>
      <c r="G46" s="547">
        <v>778578996</v>
      </c>
      <c r="H46" s="543" t="s">
        <v>2715</v>
      </c>
      <c r="I46" s="543" t="s">
        <v>2716</v>
      </c>
      <c r="J46" s="547">
        <v>778578996</v>
      </c>
      <c r="K46" s="547" t="s">
        <v>2460</v>
      </c>
      <c r="L46" s="549" t="s">
        <v>2717</v>
      </c>
      <c r="M46" s="549"/>
      <c r="N46" s="549" t="s">
        <v>1375</v>
      </c>
      <c r="O46" s="543" t="s">
        <v>2356</v>
      </c>
      <c r="P46" s="543">
        <v>1</v>
      </c>
      <c r="Q46" s="550">
        <v>3191300</v>
      </c>
      <c r="R46" s="551">
        <v>2977670</v>
      </c>
      <c r="S46" s="551">
        <v>213630</v>
      </c>
      <c r="T46" s="552">
        <v>0.01</v>
      </c>
      <c r="U46" s="552"/>
      <c r="V46" s="552">
        <v>0.1</v>
      </c>
      <c r="W46" s="553"/>
      <c r="X46" s="552">
        <v>0.4</v>
      </c>
      <c r="Y46" s="552">
        <v>0.6</v>
      </c>
      <c r="Z46" s="560">
        <v>1499911</v>
      </c>
      <c r="AA46" s="560">
        <v>1499911</v>
      </c>
      <c r="AB46" s="554"/>
      <c r="AC46" s="555"/>
      <c r="AD46" s="560">
        <v>1914780</v>
      </c>
      <c r="AE46" s="543"/>
      <c r="AF46" s="552">
        <v>0.3</v>
      </c>
      <c r="AG46" s="556">
        <v>44377</v>
      </c>
      <c r="AH46" s="560"/>
      <c r="AI46" s="552">
        <v>0.3</v>
      </c>
      <c r="AJ46" s="556">
        <v>44560</v>
      </c>
      <c r="AK46" s="560"/>
    </row>
    <row r="47" spans="1:44" s="557" customFormat="1" x14ac:dyDescent="0.45">
      <c r="A47" s="543">
        <v>46</v>
      </c>
      <c r="B47" s="544">
        <v>44201</v>
      </c>
      <c r="C47" s="543" t="s">
        <v>2736</v>
      </c>
      <c r="D47" s="543" t="s">
        <v>2737</v>
      </c>
      <c r="E47" s="543" t="s">
        <v>2738</v>
      </c>
      <c r="F47" s="543" t="s">
        <v>2739</v>
      </c>
      <c r="G47" s="547">
        <v>786417092</v>
      </c>
      <c r="H47" s="543" t="s">
        <v>2740</v>
      </c>
      <c r="I47" s="543" t="s">
        <v>2741</v>
      </c>
      <c r="J47" s="547">
        <v>794634771</v>
      </c>
      <c r="K47" s="547" t="s">
        <v>2460</v>
      </c>
      <c r="L47" s="729" t="s">
        <v>2742</v>
      </c>
      <c r="M47" s="549"/>
      <c r="N47" s="549" t="s">
        <v>1375</v>
      </c>
      <c r="O47" s="543" t="s">
        <v>2356</v>
      </c>
      <c r="P47" s="543">
        <v>1</v>
      </c>
      <c r="Q47" s="550">
        <v>3290000</v>
      </c>
      <c r="R47" s="551">
        <v>3110000</v>
      </c>
      <c r="S47" s="551">
        <f t="shared" ref="S47:S59" si="0">Q47-R47</f>
        <v>180000</v>
      </c>
      <c r="T47" s="552">
        <v>0.01</v>
      </c>
      <c r="U47" s="552"/>
      <c r="V47" s="552">
        <v>0.1</v>
      </c>
      <c r="W47" s="553"/>
      <c r="X47" s="552">
        <v>0.4</v>
      </c>
      <c r="Y47" s="552">
        <f t="shared" ref="Y47:Y59" si="1">100%-X47</f>
        <v>0.6</v>
      </c>
      <c r="Z47" s="560">
        <f t="shared" ref="Z47:Z59" si="2">IFERROR(Q47*T47+Q47*Y47*V47+Q47*X47,"-")</f>
        <v>1546300</v>
      </c>
      <c r="AA47" s="560">
        <f t="shared" ref="AA47:AA59" si="3">Z47</f>
        <v>1546300</v>
      </c>
      <c r="AB47" s="554"/>
      <c r="AC47" s="555"/>
      <c r="AD47" s="560">
        <f t="shared" ref="AD47:AD59" si="4">IFERROR(Q47*Y47,"-")</f>
        <v>1974000</v>
      </c>
      <c r="AE47" s="543"/>
      <c r="AF47" s="552">
        <f>Y47/2</f>
        <v>0.3</v>
      </c>
      <c r="AG47" s="556">
        <f t="shared" ref="AG47:AG59" si="5">EDATE(B47,6)</f>
        <v>44382</v>
      </c>
      <c r="AH47" s="560"/>
      <c r="AI47" s="552">
        <v>0.3</v>
      </c>
      <c r="AJ47" s="556">
        <f t="shared" ref="AJ47:AJ59" si="6">EDATE(B47,12)</f>
        <v>44566</v>
      </c>
      <c r="AK47" s="560"/>
    </row>
    <row r="48" spans="1:44" s="685" customFormat="1" x14ac:dyDescent="0.45">
      <c r="A48" s="444">
        <v>47</v>
      </c>
      <c r="B48" s="668">
        <v>44202</v>
      </c>
      <c r="C48" s="669" t="s">
        <v>2743</v>
      </c>
      <c r="D48" s="669" t="s">
        <v>2744</v>
      </c>
      <c r="E48" s="667" t="s">
        <v>2745</v>
      </c>
      <c r="F48" s="669" t="s">
        <v>2746</v>
      </c>
      <c r="G48" s="670">
        <v>785585664</v>
      </c>
      <c r="H48" s="669" t="s">
        <v>2293</v>
      </c>
      <c r="I48" s="669" t="s">
        <v>2747</v>
      </c>
      <c r="J48" s="670">
        <v>799415644</v>
      </c>
      <c r="K48" s="671" t="s">
        <v>2460</v>
      </c>
      <c r="L48" s="672" t="s">
        <v>2748</v>
      </c>
      <c r="M48" s="672"/>
      <c r="N48" s="673" t="s">
        <v>1375</v>
      </c>
      <c r="O48" s="667" t="s">
        <v>2348</v>
      </c>
      <c r="P48" s="669">
        <v>1</v>
      </c>
      <c r="Q48" s="674">
        <v>2480000</v>
      </c>
      <c r="R48" s="675">
        <v>2380000</v>
      </c>
      <c r="S48" s="676">
        <f t="shared" si="0"/>
        <v>100000</v>
      </c>
      <c r="T48" s="677">
        <v>0.01</v>
      </c>
      <c r="U48" s="678"/>
      <c r="V48" s="677">
        <v>0.1</v>
      </c>
      <c r="W48" s="679"/>
      <c r="X48" s="677">
        <v>0.4</v>
      </c>
      <c r="Y48" s="677">
        <f t="shared" si="1"/>
        <v>0.6</v>
      </c>
      <c r="Z48" s="680">
        <f t="shared" si="2"/>
        <v>1165600</v>
      </c>
      <c r="AA48" s="681">
        <f t="shared" si="3"/>
        <v>1165600</v>
      </c>
      <c r="AB48" s="682"/>
      <c r="AC48" s="683"/>
      <c r="AD48" s="680">
        <f t="shared" si="4"/>
        <v>1488000</v>
      </c>
      <c r="AE48" s="669"/>
      <c r="AF48" s="677">
        <f>Y47/2</f>
        <v>0.3</v>
      </c>
      <c r="AG48" s="684">
        <f t="shared" si="5"/>
        <v>44383</v>
      </c>
      <c r="AH48" s="680">
        <f>IFERROR(Q48*AF48,"-")</f>
        <v>744000</v>
      </c>
      <c r="AI48" s="664">
        <v>0.3</v>
      </c>
      <c r="AJ48" s="666">
        <f t="shared" si="6"/>
        <v>44567</v>
      </c>
      <c r="AK48" s="665">
        <f>IFERROR(Q48*AI48,"-")</f>
        <v>744000</v>
      </c>
      <c r="AL48" s="11"/>
      <c r="AM48" s="11"/>
      <c r="AN48" s="11"/>
      <c r="AO48" s="11"/>
      <c r="AP48" s="11"/>
      <c r="AQ48" s="11"/>
      <c r="AR48" s="11"/>
    </row>
    <row r="49" spans="1:47" x14ac:dyDescent="0.45">
      <c r="A49" s="543">
        <v>48</v>
      </c>
      <c r="B49" s="378">
        <v>44202</v>
      </c>
      <c r="C49" s="154" t="s">
        <v>2749</v>
      </c>
      <c r="D49" s="154" t="s">
        <v>2750</v>
      </c>
      <c r="E49" s="154" t="s">
        <v>2751</v>
      </c>
      <c r="F49" s="154" t="s">
        <v>2752</v>
      </c>
      <c r="G49" s="382">
        <v>452466579</v>
      </c>
      <c r="H49" s="154" t="s">
        <v>2753</v>
      </c>
      <c r="I49" s="154" t="s">
        <v>2754</v>
      </c>
      <c r="J49" s="382">
        <v>263168919</v>
      </c>
      <c r="K49" s="382" t="s">
        <v>2460</v>
      </c>
      <c r="L49" s="5" t="s">
        <v>2755</v>
      </c>
      <c r="M49" s="5"/>
      <c r="N49" s="5" t="s">
        <v>1375</v>
      </c>
      <c r="O49" s="154" t="s">
        <v>2348</v>
      </c>
      <c r="P49" s="154">
        <v>1</v>
      </c>
      <c r="Q49" s="505">
        <v>2480000</v>
      </c>
      <c r="R49" s="506">
        <v>2380000</v>
      </c>
      <c r="S49" s="443">
        <f t="shared" si="0"/>
        <v>100000</v>
      </c>
      <c r="T49" s="408">
        <v>0.01</v>
      </c>
      <c r="U49" s="507"/>
      <c r="V49" s="408">
        <v>0.1</v>
      </c>
      <c r="W49" s="42"/>
      <c r="X49" s="408">
        <v>0.4</v>
      </c>
      <c r="Y49" s="408">
        <f t="shared" si="1"/>
        <v>0.6</v>
      </c>
      <c r="Z49" s="303">
        <f t="shared" si="2"/>
        <v>1165600</v>
      </c>
      <c r="AA49" s="303">
        <f t="shared" si="3"/>
        <v>1165600</v>
      </c>
      <c r="AB49" s="156"/>
      <c r="AC49" s="457"/>
      <c r="AD49" s="303">
        <f t="shared" si="4"/>
        <v>1488000</v>
      </c>
      <c r="AE49" s="154"/>
      <c r="AF49" s="408">
        <f>Y48/2</f>
        <v>0.3</v>
      </c>
      <c r="AG49" s="456">
        <f t="shared" si="5"/>
        <v>44383</v>
      </c>
      <c r="AH49" s="560"/>
      <c r="AI49" s="408">
        <v>0.3</v>
      </c>
      <c r="AJ49" s="456">
        <f t="shared" si="6"/>
        <v>44567</v>
      </c>
      <c r="AK49" s="303">
        <f>IFERROR(Q49*AI49,"-")</f>
        <v>744000</v>
      </c>
    </row>
    <row r="50" spans="1:47" s="557" customFormat="1" x14ac:dyDescent="0.45">
      <c r="A50" s="543">
        <v>49</v>
      </c>
      <c r="B50" s="544">
        <v>44202</v>
      </c>
      <c r="C50" s="543" t="s">
        <v>2756</v>
      </c>
      <c r="D50" s="543" t="s">
        <v>2757</v>
      </c>
      <c r="E50" s="543" t="s">
        <v>2758</v>
      </c>
      <c r="F50" s="543" t="s">
        <v>2759</v>
      </c>
      <c r="G50" s="547">
        <v>769315275</v>
      </c>
      <c r="H50" s="543" t="s">
        <v>2619</v>
      </c>
      <c r="I50" s="543" t="s">
        <v>2760</v>
      </c>
      <c r="J50" s="547"/>
      <c r="K50" s="547" t="s">
        <v>2460</v>
      </c>
      <c r="L50" s="549" t="s">
        <v>2761</v>
      </c>
      <c r="M50" s="549"/>
      <c r="N50" s="543"/>
      <c r="O50" s="543"/>
      <c r="P50" s="543">
        <v>1</v>
      </c>
      <c r="Q50" s="550">
        <v>2241000</v>
      </c>
      <c r="R50" s="551">
        <v>2022000</v>
      </c>
      <c r="S50" s="551">
        <f t="shared" si="0"/>
        <v>219000</v>
      </c>
      <c r="T50" s="552">
        <v>0.01</v>
      </c>
      <c r="U50" s="552"/>
      <c r="V50" s="552">
        <v>0.1</v>
      </c>
      <c r="W50" s="553"/>
      <c r="X50" s="552">
        <v>0.4</v>
      </c>
      <c r="Y50" s="552">
        <f t="shared" si="1"/>
        <v>0.6</v>
      </c>
      <c r="Z50" s="560">
        <f t="shared" si="2"/>
        <v>1053270</v>
      </c>
      <c r="AA50" s="560">
        <f t="shared" si="3"/>
        <v>1053270</v>
      </c>
      <c r="AB50" s="554"/>
      <c r="AC50" s="555"/>
      <c r="AD50" s="560">
        <f t="shared" si="4"/>
        <v>1344600</v>
      </c>
      <c r="AE50" s="543"/>
      <c r="AF50" s="552">
        <f>Y49/2</f>
        <v>0.3</v>
      </c>
      <c r="AG50" s="556">
        <f t="shared" si="5"/>
        <v>44383</v>
      </c>
      <c r="AH50" s="560"/>
      <c r="AI50" s="552">
        <v>0.3</v>
      </c>
      <c r="AJ50" s="556">
        <f t="shared" si="6"/>
        <v>44567</v>
      </c>
      <c r="AK50" s="560"/>
    </row>
    <row r="51" spans="1:47" x14ac:dyDescent="0.45">
      <c r="A51" s="444">
        <v>50</v>
      </c>
      <c r="B51" s="445">
        <v>44205</v>
      </c>
      <c r="C51" s="444" t="s">
        <v>2777</v>
      </c>
      <c r="D51" s="444" t="s">
        <v>2778</v>
      </c>
      <c r="E51" s="444" t="s">
        <v>2779</v>
      </c>
      <c r="F51" s="444" t="s">
        <v>2780</v>
      </c>
      <c r="G51" s="446">
        <v>766995752</v>
      </c>
      <c r="H51" s="444" t="s">
        <v>2781</v>
      </c>
      <c r="I51" s="444" t="s">
        <v>2782</v>
      </c>
      <c r="J51" s="446">
        <v>699112720</v>
      </c>
      <c r="K51" s="446" t="s">
        <v>2460</v>
      </c>
      <c r="L51" s="686" t="s">
        <v>2783</v>
      </c>
      <c r="M51" s="204"/>
      <c r="N51" s="444" t="s">
        <v>2654</v>
      </c>
      <c r="O51" s="444" t="s">
        <v>2351</v>
      </c>
      <c r="P51" s="444">
        <v>1</v>
      </c>
      <c r="Q51" s="687">
        <v>2290000</v>
      </c>
      <c r="R51" s="688">
        <v>2195000</v>
      </c>
      <c r="S51" s="454">
        <f t="shared" si="0"/>
        <v>95000</v>
      </c>
      <c r="T51" s="448">
        <v>0.01</v>
      </c>
      <c r="U51" s="448"/>
      <c r="V51" s="448">
        <v>0.1</v>
      </c>
      <c r="W51" s="449"/>
      <c r="X51" s="448">
        <v>0.4</v>
      </c>
      <c r="Y51" s="448">
        <f t="shared" si="1"/>
        <v>0.6</v>
      </c>
      <c r="Z51" s="450">
        <f t="shared" si="2"/>
        <v>1076300</v>
      </c>
      <c r="AA51" s="450">
        <f t="shared" si="3"/>
        <v>1076300</v>
      </c>
      <c r="AB51" s="131"/>
      <c r="AC51" s="455"/>
      <c r="AD51" s="450">
        <f t="shared" si="4"/>
        <v>1374000</v>
      </c>
      <c r="AE51" s="444"/>
      <c r="AF51" s="448">
        <f>Y50/2</f>
        <v>0.3</v>
      </c>
      <c r="AG51" s="451">
        <f t="shared" si="5"/>
        <v>44386</v>
      </c>
      <c r="AH51" s="450">
        <f>IFERROR(Q51*AF51,"-")</f>
        <v>687000</v>
      </c>
      <c r="AI51" s="408">
        <v>0.3</v>
      </c>
      <c r="AJ51" s="456">
        <f t="shared" si="6"/>
        <v>44570</v>
      </c>
      <c r="AK51" s="303">
        <f>IFERROR(Q51*AI51,"-")</f>
        <v>687000</v>
      </c>
    </row>
    <row r="52" spans="1:47" s="557" customFormat="1" x14ac:dyDescent="0.45">
      <c r="A52" s="543">
        <v>51</v>
      </c>
      <c r="B52" s="544">
        <v>44205</v>
      </c>
      <c r="C52" s="543" t="s">
        <v>2784</v>
      </c>
      <c r="D52" s="543" t="s">
        <v>2785</v>
      </c>
      <c r="E52" s="543" t="s">
        <v>2786</v>
      </c>
      <c r="F52" s="543" t="s">
        <v>2787</v>
      </c>
      <c r="G52" s="547">
        <v>441577318</v>
      </c>
      <c r="H52" s="543" t="s">
        <v>2590</v>
      </c>
      <c r="I52" s="543" t="s">
        <v>2158</v>
      </c>
      <c r="J52" s="547">
        <v>793435414</v>
      </c>
      <c r="K52" s="547" t="s">
        <v>2460</v>
      </c>
      <c r="L52" s="729" t="s">
        <v>2788</v>
      </c>
      <c r="M52" s="549"/>
      <c r="N52" s="549" t="s">
        <v>1375</v>
      </c>
      <c r="O52" s="543" t="s">
        <v>2356</v>
      </c>
      <c r="P52" s="543">
        <v>1</v>
      </c>
      <c r="Q52" s="730">
        <v>3290000</v>
      </c>
      <c r="R52" s="731">
        <v>3110000</v>
      </c>
      <c r="S52" s="551">
        <f t="shared" si="0"/>
        <v>180000</v>
      </c>
      <c r="T52" s="552">
        <v>0.01</v>
      </c>
      <c r="U52" s="552"/>
      <c r="V52" s="552">
        <v>0.1</v>
      </c>
      <c r="W52" s="553"/>
      <c r="X52" s="552">
        <v>0.4</v>
      </c>
      <c r="Y52" s="552">
        <f t="shared" si="1"/>
        <v>0.6</v>
      </c>
      <c r="Z52" s="560">
        <f t="shared" si="2"/>
        <v>1546300</v>
      </c>
      <c r="AA52" s="560">
        <f t="shared" si="3"/>
        <v>1546300</v>
      </c>
      <c r="AB52" s="554"/>
      <c r="AC52" s="555"/>
      <c r="AD52" s="560">
        <f t="shared" si="4"/>
        <v>1974000</v>
      </c>
      <c r="AE52" s="543"/>
      <c r="AF52" s="552">
        <f>Y51/2</f>
        <v>0.3</v>
      </c>
      <c r="AG52" s="556">
        <f t="shared" si="5"/>
        <v>44386</v>
      </c>
      <c r="AH52" s="560"/>
      <c r="AI52" s="552">
        <v>0.3</v>
      </c>
      <c r="AJ52" s="556">
        <f t="shared" si="6"/>
        <v>44570</v>
      </c>
      <c r="AK52" s="560"/>
    </row>
    <row r="53" spans="1:47" s="557" customFormat="1" x14ac:dyDescent="0.45">
      <c r="A53" s="543">
        <v>52</v>
      </c>
      <c r="B53" s="544">
        <v>44206</v>
      </c>
      <c r="C53" s="543" t="s">
        <v>2789</v>
      </c>
      <c r="D53" s="543" t="s">
        <v>2790</v>
      </c>
      <c r="E53" s="543" t="s">
        <v>2791</v>
      </c>
      <c r="F53" s="543" t="s">
        <v>2792</v>
      </c>
      <c r="G53" s="547">
        <v>667256904</v>
      </c>
      <c r="H53" s="543" t="s">
        <v>2793</v>
      </c>
      <c r="I53" s="543" t="s">
        <v>984</v>
      </c>
      <c r="J53" s="547">
        <v>674092850</v>
      </c>
      <c r="K53" s="547" t="s">
        <v>2460</v>
      </c>
      <c r="L53" s="729" t="s">
        <v>2794</v>
      </c>
      <c r="M53" s="549"/>
      <c r="N53" s="549" t="s">
        <v>1375</v>
      </c>
      <c r="O53" s="543" t="s">
        <v>2356</v>
      </c>
      <c r="P53" s="543">
        <v>1</v>
      </c>
      <c r="Q53" s="730">
        <v>3290000</v>
      </c>
      <c r="R53" s="731">
        <v>3110000</v>
      </c>
      <c r="S53" s="551">
        <f t="shared" si="0"/>
        <v>180000</v>
      </c>
      <c r="T53" s="552">
        <v>0.01</v>
      </c>
      <c r="U53" s="552"/>
      <c r="V53" s="552">
        <v>0.1</v>
      </c>
      <c r="W53" s="553"/>
      <c r="X53" s="552">
        <v>0.4</v>
      </c>
      <c r="Y53" s="552">
        <f t="shared" si="1"/>
        <v>0.6</v>
      </c>
      <c r="Z53" s="560">
        <f t="shared" si="2"/>
        <v>1546300</v>
      </c>
      <c r="AA53" s="560">
        <f t="shared" si="3"/>
        <v>1546300</v>
      </c>
      <c r="AB53" s="554"/>
      <c r="AC53" s="555"/>
      <c r="AD53" s="560">
        <f t="shared" si="4"/>
        <v>1974000</v>
      </c>
      <c r="AE53" s="543"/>
      <c r="AF53" s="552">
        <f>AF49</f>
        <v>0.3</v>
      </c>
      <c r="AG53" s="556">
        <f t="shared" si="5"/>
        <v>44387</v>
      </c>
      <c r="AH53" s="560"/>
      <c r="AI53" s="552">
        <v>0.3</v>
      </c>
      <c r="AJ53" s="556">
        <f t="shared" si="6"/>
        <v>44571</v>
      </c>
      <c r="AK53" s="560"/>
    </row>
    <row r="54" spans="1:47" s="557" customFormat="1" x14ac:dyDescent="0.45">
      <c r="A54" s="543">
        <v>53</v>
      </c>
      <c r="B54" s="544">
        <v>44209</v>
      </c>
      <c r="C54" s="543" t="s">
        <v>2795</v>
      </c>
      <c r="D54" s="543" t="s">
        <v>2796</v>
      </c>
      <c r="E54" s="543" t="s">
        <v>2797</v>
      </c>
      <c r="F54" s="543" t="s">
        <v>2798</v>
      </c>
      <c r="G54" s="547">
        <v>796152215</v>
      </c>
      <c r="H54" s="543" t="s">
        <v>2799</v>
      </c>
      <c r="I54" s="543" t="s">
        <v>2800</v>
      </c>
      <c r="J54" s="547">
        <v>694789958</v>
      </c>
      <c r="K54" s="547" t="s">
        <v>2460</v>
      </c>
      <c r="L54" s="729" t="s">
        <v>2801</v>
      </c>
      <c r="M54" s="549"/>
      <c r="N54" s="549" t="s">
        <v>1375</v>
      </c>
      <c r="O54" s="543" t="s">
        <v>2348</v>
      </c>
      <c r="P54" s="543">
        <v>1</v>
      </c>
      <c r="Q54" s="730">
        <v>2480000</v>
      </c>
      <c r="R54" s="731">
        <v>2380000</v>
      </c>
      <c r="S54" s="551">
        <f t="shared" si="0"/>
        <v>100000</v>
      </c>
      <c r="T54" s="552">
        <v>0.01</v>
      </c>
      <c r="U54" s="552"/>
      <c r="V54" s="552">
        <v>0.1</v>
      </c>
      <c r="W54" s="553"/>
      <c r="X54" s="552">
        <v>0.4</v>
      </c>
      <c r="Y54" s="552">
        <f t="shared" si="1"/>
        <v>0.6</v>
      </c>
      <c r="Z54" s="560">
        <f t="shared" si="2"/>
        <v>1165600</v>
      </c>
      <c r="AA54" s="560">
        <f t="shared" si="3"/>
        <v>1165600</v>
      </c>
      <c r="AB54" s="554"/>
      <c r="AC54" s="555"/>
      <c r="AD54" s="560">
        <f t="shared" si="4"/>
        <v>1488000</v>
      </c>
      <c r="AE54" s="543"/>
      <c r="AF54" s="552">
        <f>AF48</f>
        <v>0.3</v>
      </c>
      <c r="AG54" s="556">
        <f t="shared" si="5"/>
        <v>44390</v>
      </c>
      <c r="AH54" s="560"/>
      <c r="AI54" s="552">
        <v>0.3</v>
      </c>
      <c r="AJ54" s="556">
        <f t="shared" si="6"/>
        <v>44574</v>
      </c>
      <c r="AK54" s="560"/>
    </row>
    <row r="55" spans="1:47" x14ac:dyDescent="0.45">
      <c r="A55" s="444">
        <v>54</v>
      </c>
      <c r="B55" s="445">
        <v>44217</v>
      </c>
      <c r="C55" s="444" t="s">
        <v>2689</v>
      </c>
      <c r="D55" s="444" t="s">
        <v>2802</v>
      </c>
      <c r="E55" s="444" t="s">
        <v>2803</v>
      </c>
      <c r="F55" s="444" t="s">
        <v>2804</v>
      </c>
      <c r="G55" s="446">
        <v>691037523</v>
      </c>
      <c r="H55" s="444" t="s">
        <v>2805</v>
      </c>
      <c r="I55" s="444" t="s">
        <v>2806</v>
      </c>
      <c r="J55" s="446">
        <v>752891420</v>
      </c>
      <c r="K55" s="446" t="s">
        <v>2460</v>
      </c>
      <c r="L55" s="686" t="s">
        <v>2807</v>
      </c>
      <c r="M55" s="204"/>
      <c r="N55" s="444"/>
      <c r="O55" s="444" t="s">
        <v>2356</v>
      </c>
      <c r="P55" s="444">
        <v>1</v>
      </c>
      <c r="Q55" s="687">
        <v>3290000</v>
      </c>
      <c r="R55" s="454">
        <v>3110000</v>
      </c>
      <c r="S55" s="454">
        <f t="shared" si="0"/>
        <v>180000</v>
      </c>
      <c r="T55" s="448">
        <v>0.01</v>
      </c>
      <c r="U55" s="448"/>
      <c r="V55" s="448">
        <v>0.1</v>
      </c>
      <c r="W55" s="449"/>
      <c r="X55" s="448">
        <v>0.4</v>
      </c>
      <c r="Y55" s="448">
        <f t="shared" si="1"/>
        <v>0.6</v>
      </c>
      <c r="Z55" s="450">
        <f t="shared" si="2"/>
        <v>1546300</v>
      </c>
      <c r="AA55" s="450">
        <f t="shared" si="3"/>
        <v>1546300</v>
      </c>
      <c r="AB55" s="131"/>
      <c r="AC55" s="455"/>
      <c r="AD55" s="450">
        <f t="shared" si="4"/>
        <v>1974000</v>
      </c>
      <c r="AE55" s="444"/>
      <c r="AF55" s="448">
        <f>AF49</f>
        <v>0.3</v>
      </c>
      <c r="AG55" s="451">
        <f t="shared" si="5"/>
        <v>44398</v>
      </c>
      <c r="AH55" s="450">
        <f>IFERROR(Q55*AF55,"-")</f>
        <v>987000</v>
      </c>
      <c r="AI55" s="408">
        <v>0.3</v>
      </c>
      <c r="AJ55" s="456">
        <f t="shared" si="6"/>
        <v>44582</v>
      </c>
      <c r="AK55" s="303">
        <f>IFERROR(Q55*AI55,"-")</f>
        <v>987000</v>
      </c>
    </row>
    <row r="56" spans="1:47" x14ac:dyDescent="0.45">
      <c r="A56" s="444">
        <v>55</v>
      </c>
      <c r="B56" s="445">
        <v>44217</v>
      </c>
      <c r="C56" s="444" t="s">
        <v>2808</v>
      </c>
      <c r="D56" s="444" t="s">
        <v>2802</v>
      </c>
      <c r="E56" s="444" t="s">
        <v>2809</v>
      </c>
      <c r="F56" s="444" t="s">
        <v>2810</v>
      </c>
      <c r="G56" s="446">
        <v>763556883</v>
      </c>
      <c r="H56" s="444" t="s">
        <v>2811</v>
      </c>
      <c r="I56" s="444" t="s">
        <v>2812</v>
      </c>
      <c r="J56" s="446">
        <v>780416180</v>
      </c>
      <c r="K56" s="446" t="s">
        <v>2460</v>
      </c>
      <c r="L56" s="686" t="s">
        <v>2813</v>
      </c>
      <c r="M56" s="204"/>
      <c r="N56" s="444"/>
      <c r="O56" s="444" t="s">
        <v>2357</v>
      </c>
      <c r="P56" s="444">
        <v>1</v>
      </c>
      <c r="Q56" s="687">
        <v>3210000</v>
      </c>
      <c r="R56" s="688">
        <v>3030000</v>
      </c>
      <c r="S56" s="454">
        <f t="shared" si="0"/>
        <v>180000</v>
      </c>
      <c r="T56" s="448">
        <v>0.01</v>
      </c>
      <c r="U56" s="448"/>
      <c r="V56" s="448">
        <v>0.1</v>
      </c>
      <c r="W56" s="449"/>
      <c r="X56" s="448">
        <v>0.4</v>
      </c>
      <c r="Y56" s="448">
        <f t="shared" si="1"/>
        <v>0.6</v>
      </c>
      <c r="Z56" s="450">
        <f t="shared" si="2"/>
        <v>1508700</v>
      </c>
      <c r="AA56" s="450">
        <f t="shared" si="3"/>
        <v>1508700</v>
      </c>
      <c r="AB56" s="131"/>
      <c r="AC56" s="455"/>
      <c r="AD56" s="450">
        <f t="shared" si="4"/>
        <v>1926000</v>
      </c>
      <c r="AE56" s="444"/>
      <c r="AF56" s="448">
        <f>AF50</f>
        <v>0.3</v>
      </c>
      <c r="AG56" s="451">
        <f t="shared" si="5"/>
        <v>44398</v>
      </c>
      <c r="AH56" s="450">
        <f>IFERROR(Q56*AF56,"-")</f>
        <v>963000</v>
      </c>
      <c r="AI56" s="408">
        <v>0.3</v>
      </c>
      <c r="AJ56" s="456">
        <f t="shared" si="6"/>
        <v>44582</v>
      </c>
      <c r="AK56" s="303">
        <f>IFERROR(Q56*AI56,"-")</f>
        <v>963000</v>
      </c>
    </row>
    <row r="57" spans="1:47" s="1014" customFormat="1" x14ac:dyDescent="0.45">
      <c r="A57" s="699">
        <v>56</v>
      </c>
      <c r="B57" s="1002">
        <v>44221</v>
      </c>
      <c r="C57" s="543" t="s">
        <v>2821</v>
      </c>
      <c r="D57" s="699" t="s">
        <v>2822</v>
      </c>
      <c r="E57" s="699" t="s">
        <v>2823</v>
      </c>
      <c r="F57" s="699" t="s">
        <v>2824</v>
      </c>
      <c r="G57" s="1003">
        <v>780248655</v>
      </c>
      <c r="H57" s="699" t="s">
        <v>2594</v>
      </c>
      <c r="I57" s="699" t="s">
        <v>2825</v>
      </c>
      <c r="J57" s="1003">
        <v>661662005</v>
      </c>
      <c r="K57" s="1003" t="s">
        <v>2460</v>
      </c>
      <c r="L57" s="1004" t="s">
        <v>2826</v>
      </c>
      <c r="M57" s="1005"/>
      <c r="N57" s="699"/>
      <c r="O57" s="699" t="s">
        <v>2348</v>
      </c>
      <c r="P57" s="699">
        <v>1</v>
      </c>
      <c r="Q57" s="1006">
        <v>2480000</v>
      </c>
      <c r="R57" s="1007">
        <v>2380000</v>
      </c>
      <c r="S57" s="1008">
        <f t="shared" si="0"/>
        <v>100000</v>
      </c>
      <c r="T57" s="1009">
        <v>0.01</v>
      </c>
      <c r="U57" s="1009"/>
      <c r="V57" s="1009">
        <v>0.1</v>
      </c>
      <c r="W57" s="1010"/>
      <c r="X57" s="1009">
        <v>0.4</v>
      </c>
      <c r="Y57" s="1009">
        <f t="shared" si="1"/>
        <v>0.6</v>
      </c>
      <c r="Z57" s="700">
        <f t="shared" si="2"/>
        <v>1165600</v>
      </c>
      <c r="AA57" s="700">
        <f t="shared" si="3"/>
        <v>1165600</v>
      </c>
      <c r="AB57" s="1011"/>
      <c r="AC57" s="1012"/>
      <c r="AD57" s="700">
        <f t="shared" si="4"/>
        <v>1488000</v>
      </c>
      <c r="AE57" s="699"/>
      <c r="AF57" s="1009">
        <f>AF51</f>
        <v>0.3</v>
      </c>
      <c r="AG57" s="1013">
        <f t="shared" si="5"/>
        <v>44402</v>
      </c>
      <c r="AH57" s="700"/>
      <c r="AI57" s="1009">
        <v>0.3</v>
      </c>
      <c r="AJ57" s="1013">
        <f t="shared" si="6"/>
        <v>44586</v>
      </c>
      <c r="AK57" s="700"/>
      <c r="AL57" s="557"/>
      <c r="AM57" s="557"/>
      <c r="AN57" s="557"/>
      <c r="AO57" s="557"/>
      <c r="AP57" s="557"/>
      <c r="AQ57" s="557"/>
      <c r="AR57" s="557"/>
      <c r="AS57" s="557"/>
      <c r="AT57" s="557"/>
      <c r="AU57" s="557"/>
    </row>
    <row r="58" spans="1:47" s="557" customFormat="1" x14ac:dyDescent="0.45">
      <c r="A58" s="543">
        <v>57</v>
      </c>
      <c r="B58" s="378">
        <v>44226</v>
      </c>
      <c r="C58" s="154" t="s">
        <v>2964</v>
      </c>
      <c r="D58" s="154" t="s">
        <v>2785</v>
      </c>
      <c r="E58" s="154" t="s">
        <v>2965</v>
      </c>
      <c r="F58" s="154" t="s">
        <v>2966</v>
      </c>
      <c r="G58" s="382">
        <v>773294155</v>
      </c>
      <c r="H58" s="154" t="s">
        <v>2967</v>
      </c>
      <c r="I58" s="154" t="s">
        <v>2968</v>
      </c>
      <c r="J58" s="382">
        <v>446698966</v>
      </c>
      <c r="K58" s="382" t="s">
        <v>2460</v>
      </c>
      <c r="L58" s="508" t="s">
        <v>2969</v>
      </c>
      <c r="M58" s="5"/>
      <c r="N58" s="154"/>
      <c r="O58" s="154" t="s">
        <v>2356</v>
      </c>
      <c r="P58" s="154">
        <v>1</v>
      </c>
      <c r="Q58" s="505">
        <v>3340000</v>
      </c>
      <c r="R58" s="506">
        <v>3090000</v>
      </c>
      <c r="S58" s="443">
        <f t="shared" si="0"/>
        <v>250000</v>
      </c>
      <c r="T58" s="408">
        <v>0.01</v>
      </c>
      <c r="U58" s="408"/>
      <c r="V58" s="408">
        <v>0.1</v>
      </c>
      <c r="W58" s="42"/>
      <c r="X58" s="408">
        <v>0.4</v>
      </c>
      <c r="Y58" s="408">
        <f t="shared" si="1"/>
        <v>0.6</v>
      </c>
      <c r="Z58" s="303">
        <f t="shared" si="2"/>
        <v>1569800</v>
      </c>
      <c r="AA58" s="303">
        <f t="shared" si="3"/>
        <v>1569800</v>
      </c>
      <c r="AB58" s="156"/>
      <c r="AC58" s="457"/>
      <c r="AD58" s="303">
        <f t="shared" si="4"/>
        <v>2004000</v>
      </c>
      <c r="AE58" s="154"/>
      <c r="AF58" s="408">
        <f>AF52</f>
        <v>0.3</v>
      </c>
      <c r="AG58" s="456">
        <f t="shared" si="5"/>
        <v>44407</v>
      </c>
      <c r="AH58" s="560"/>
      <c r="AI58" s="408">
        <v>0.3</v>
      </c>
      <c r="AJ58" s="456">
        <f t="shared" si="6"/>
        <v>44591</v>
      </c>
      <c r="AK58" s="303">
        <f>IFERROR(Q58*AI58,"-")</f>
        <v>1002000</v>
      </c>
      <c r="AL58" s="11"/>
      <c r="AM58" s="11"/>
      <c r="AN58" s="11"/>
      <c r="AO58" s="11"/>
      <c r="AP58" s="11"/>
      <c r="AQ58" s="11"/>
      <c r="AR58" s="11"/>
      <c r="AS58" s="11"/>
      <c r="AT58" s="11"/>
      <c r="AU58" s="11"/>
    </row>
    <row r="59" spans="1:47" x14ac:dyDescent="0.45">
      <c r="A59" s="444">
        <v>58</v>
      </c>
      <c r="B59" s="445">
        <v>44231</v>
      </c>
      <c r="C59" s="444" t="s">
        <v>2970</v>
      </c>
      <c r="D59" s="444" t="s">
        <v>2971</v>
      </c>
      <c r="E59" s="444" t="s">
        <v>2972</v>
      </c>
      <c r="F59" s="444" t="s">
        <v>2973</v>
      </c>
      <c r="G59" s="446">
        <v>660470701</v>
      </c>
      <c r="H59" s="444" t="s">
        <v>2974</v>
      </c>
      <c r="I59" s="444" t="s">
        <v>2975</v>
      </c>
      <c r="J59" s="446">
        <v>799414933</v>
      </c>
      <c r="K59" s="446" t="s">
        <v>2460</v>
      </c>
      <c r="L59" s="686" t="s">
        <v>2976</v>
      </c>
      <c r="M59" s="204"/>
      <c r="N59" s="444"/>
      <c r="O59" s="444" t="s">
        <v>2348</v>
      </c>
      <c r="P59" s="444">
        <v>1</v>
      </c>
      <c r="Q59" s="453">
        <v>2500000</v>
      </c>
      <c r="R59" s="454">
        <v>2320000</v>
      </c>
      <c r="S59" s="454">
        <f t="shared" si="0"/>
        <v>180000</v>
      </c>
      <c r="T59" s="448">
        <v>0.01</v>
      </c>
      <c r="U59" s="448"/>
      <c r="V59" s="448">
        <v>0.1</v>
      </c>
      <c r="W59" s="449"/>
      <c r="X59" s="448">
        <v>0.4</v>
      </c>
      <c r="Y59" s="448">
        <f t="shared" si="1"/>
        <v>0.6</v>
      </c>
      <c r="Z59" s="450">
        <f t="shared" si="2"/>
        <v>1175000</v>
      </c>
      <c r="AA59" s="450">
        <f t="shared" si="3"/>
        <v>1175000</v>
      </c>
      <c r="AB59" s="131"/>
      <c r="AC59" s="455"/>
      <c r="AD59" s="450">
        <f t="shared" si="4"/>
        <v>1500000</v>
      </c>
      <c r="AE59" s="444"/>
      <c r="AF59" s="448">
        <f>Y57/2</f>
        <v>0.3</v>
      </c>
      <c r="AG59" s="451">
        <f t="shared" si="5"/>
        <v>44412</v>
      </c>
      <c r="AH59" s="450">
        <f>IFERROR(Q59*AF59,"-")</f>
        <v>750000</v>
      </c>
      <c r="AI59" s="408">
        <v>0.3</v>
      </c>
      <c r="AJ59" s="456">
        <f t="shared" si="6"/>
        <v>44596</v>
      </c>
      <c r="AK59" s="303">
        <f>IFERROR(Q59*AI59,"-")</f>
        <v>750000</v>
      </c>
    </row>
    <row r="60" spans="1:47" ht="18.75" thickBot="1" x14ac:dyDescent="0.5">
      <c r="B60" s="11"/>
      <c r="C60" s="11"/>
      <c r="D60" s="11"/>
      <c r="AJ60" s="561"/>
    </row>
    <row r="61" spans="1:47" ht="18.75" thickBot="1" x14ac:dyDescent="0.5">
      <c r="B61" s="11"/>
      <c r="C61" s="11"/>
      <c r="D61" s="11"/>
      <c r="AG61" s="562" t="s">
        <v>3379</v>
      </c>
      <c r="AH61" s="565">
        <f>SUM(AH13:AH46)</f>
        <v>5602780</v>
      </c>
      <c r="AJ61" s="562" t="s">
        <v>3374</v>
      </c>
      <c r="AK61" s="565">
        <f>SUM(AK2:AK46)</f>
        <v>6310170</v>
      </c>
    </row>
    <row r="62" spans="1:47" ht="18.75" thickBot="1" x14ac:dyDescent="0.5">
      <c r="B62" s="11"/>
      <c r="C62" s="11"/>
      <c r="D62" s="11"/>
      <c r="AG62" s="562" t="s">
        <v>3380</v>
      </c>
      <c r="AH62" s="566">
        <f>SUM(AH47:AH59)</f>
        <v>4131000</v>
      </c>
      <c r="AJ62" s="562" t="s">
        <v>3378</v>
      </c>
      <c r="AK62" s="565">
        <f>SUM(AK47:AK59)</f>
        <v>5877000</v>
      </c>
    </row>
    <row r="63" spans="1:47" x14ac:dyDescent="0.45">
      <c r="B63" s="11"/>
      <c r="C63" s="11"/>
      <c r="D63" s="11"/>
    </row>
    <row r="64" spans="1:47" ht="18.75" thickBot="1" x14ac:dyDescent="0.5">
      <c r="B64" s="11"/>
      <c r="C64" s="11"/>
      <c r="D64" s="11"/>
    </row>
    <row r="65" spans="2:37" ht="18.75" thickBot="1" x14ac:dyDescent="0.5">
      <c r="B65" s="11"/>
      <c r="C65" s="11"/>
      <c r="D65" s="11"/>
      <c r="AJ65" s="562" t="s">
        <v>3375</v>
      </c>
      <c r="AK65" s="565">
        <f>SUM(AH61+AK61)</f>
        <v>11912950</v>
      </c>
    </row>
    <row r="66" spans="2:37" ht="18.75" thickBot="1" x14ac:dyDescent="0.5">
      <c r="B66" s="11"/>
      <c r="C66" s="11"/>
      <c r="D66" s="11"/>
      <c r="AJ66" s="562" t="s">
        <v>3376</v>
      </c>
      <c r="AK66" s="565">
        <f>SUM(AH62+AK62)</f>
        <v>10008000</v>
      </c>
    </row>
    <row r="67" spans="2:37" ht="18.75" thickBot="1" x14ac:dyDescent="0.5">
      <c r="B67" s="11"/>
      <c r="C67" s="11"/>
      <c r="D67" s="11"/>
      <c r="AJ67" s="1019" t="s">
        <v>3377</v>
      </c>
      <c r="AK67" s="1020"/>
    </row>
    <row r="68" spans="2:37" x14ac:dyDescent="0.45">
      <c r="B68" s="11"/>
      <c r="C68" s="11"/>
      <c r="D68" s="11"/>
    </row>
    <row r="69" spans="2:37" ht="18.75" thickBot="1" x14ac:dyDescent="0.5">
      <c r="B69" s="11"/>
      <c r="C69" s="11"/>
      <c r="D69" s="11"/>
      <c r="AJ69" s="728" t="s">
        <v>3381</v>
      </c>
      <c r="AK69" s="588">
        <f>SUM(AK65:AK67)</f>
        <v>21920950</v>
      </c>
    </row>
    <row r="70" spans="2:37" ht="18.75" thickTop="1" x14ac:dyDescent="0.45">
      <c r="B70" s="11"/>
      <c r="C70" s="11"/>
      <c r="D70" s="11"/>
      <c r="AI70" s="563"/>
    </row>
    <row r="71" spans="2:37" x14ac:dyDescent="0.45">
      <c r="B71" s="11"/>
      <c r="C71" s="11"/>
      <c r="D71" s="11"/>
    </row>
    <row r="72" spans="2:37" x14ac:dyDescent="0.45">
      <c r="B72" s="11"/>
      <c r="C72" s="11"/>
      <c r="D72" s="11"/>
    </row>
    <row r="73" spans="2:37" x14ac:dyDescent="0.45">
      <c r="B73" s="11"/>
      <c r="C73" s="11"/>
      <c r="D73" s="11"/>
    </row>
    <row r="74" spans="2:37" x14ac:dyDescent="0.45">
      <c r="B74" s="11"/>
      <c r="C74" s="11"/>
      <c r="D74" s="11"/>
    </row>
    <row r="75" spans="2:37" x14ac:dyDescent="0.45">
      <c r="B75" s="11"/>
      <c r="C75" s="11"/>
      <c r="D75" s="11"/>
    </row>
    <row r="76" spans="2:37" x14ac:dyDescent="0.45">
      <c r="B76" s="11"/>
      <c r="C76" s="11"/>
      <c r="D76" s="11"/>
    </row>
    <row r="77" spans="2:37" x14ac:dyDescent="0.45">
      <c r="B77" s="11"/>
      <c r="C77" s="11"/>
      <c r="D77" s="11"/>
    </row>
    <row r="78" spans="2:37" x14ac:dyDescent="0.45">
      <c r="B78" s="11"/>
      <c r="C78" s="11"/>
      <c r="D78" s="11"/>
    </row>
    <row r="79" spans="2:37" x14ac:dyDescent="0.45">
      <c r="B79" s="11"/>
      <c r="C79" s="11"/>
      <c r="D79" s="11"/>
    </row>
    <row r="80" spans="2:37" x14ac:dyDescent="0.45">
      <c r="B80" s="11"/>
      <c r="C80" s="11"/>
      <c r="D80" s="11"/>
    </row>
    <row r="81" spans="2:4" x14ac:dyDescent="0.45">
      <c r="B81" s="11"/>
      <c r="C81" s="11"/>
      <c r="D81" s="11"/>
    </row>
    <row r="82" spans="2:4" x14ac:dyDescent="0.45">
      <c r="B82" s="11"/>
      <c r="C82" s="11"/>
      <c r="D82" s="11"/>
    </row>
    <row r="83" spans="2:4" x14ac:dyDescent="0.45">
      <c r="B83" s="11"/>
      <c r="C83" s="11"/>
      <c r="D83" s="11"/>
    </row>
    <row r="84" spans="2:4" x14ac:dyDescent="0.45">
      <c r="B84" s="11"/>
      <c r="C84" s="11"/>
      <c r="D84" s="11"/>
    </row>
  </sheetData>
  <autoFilter ref="A1:AK59">
    <sortState ref="A2:AK59">
      <sortCondition ref="A1:A59"/>
    </sortState>
  </autoFilter>
  <pageMargins left="0.7" right="0.7" top="0.75" bottom="0.75" header="0.3" footer="0.3"/>
  <ignoredErrors>
    <ignoredError sqref="AK61" formulaRange="1"/>
  </ignoredErrors>
  <legacyDrawing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[3]COA!#REF!</xm:f>
          </x14:formula1>
          <xm:sqref>O58:O59</xm:sqref>
        </x14:dataValidation>
      </x14:dataValidation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tabColor rgb="FF99FFCC"/>
  </sheetPr>
  <dimension ref="A1:G22"/>
  <sheetViews>
    <sheetView topLeftCell="A10" workbookViewId="0">
      <selection activeCell="C7" sqref="C7"/>
    </sheetView>
  </sheetViews>
  <sheetFormatPr defaultColWidth="9.28515625" defaultRowHeight="21.75" x14ac:dyDescent="0.55000000000000004"/>
  <cols>
    <col min="1" max="1" width="58.140625" style="23" customWidth="1"/>
    <col min="2" max="2" width="14.7109375" style="23" customWidth="1"/>
    <col min="3" max="3" width="17.7109375" style="23" bestFit="1" customWidth="1"/>
    <col min="4" max="4" width="19.7109375" style="23" customWidth="1"/>
    <col min="5" max="5" width="9.28515625" style="23"/>
    <col min="6" max="6" width="10.7109375" style="23" customWidth="1"/>
    <col min="7" max="7" width="30.85546875" style="23" customWidth="1"/>
    <col min="8" max="16384" width="9.28515625" style="23"/>
  </cols>
  <sheetData>
    <row r="1" spans="1:7" ht="23.25" thickBot="1" x14ac:dyDescent="0.6">
      <c r="A1" s="1323" t="s">
        <v>3386</v>
      </c>
      <c r="B1" s="1323"/>
      <c r="C1" s="574">
        <f ca="1">TODAY()</f>
        <v>44711</v>
      </c>
      <c r="D1" s="575"/>
    </row>
    <row r="2" spans="1:7" ht="23.25" thickBot="1" x14ac:dyDescent="0.6">
      <c r="A2" s="1323"/>
      <c r="B2" s="1323"/>
      <c r="C2" s="1323"/>
      <c r="D2" s="1323"/>
    </row>
    <row r="3" spans="1:7" ht="23.25" thickBot="1" x14ac:dyDescent="0.6">
      <c r="A3" s="576"/>
      <c r="B3" s="528" t="s">
        <v>3085</v>
      </c>
      <c r="C3" s="529" t="s">
        <v>3084</v>
      </c>
      <c r="D3" s="529" t="s">
        <v>1366</v>
      </c>
    </row>
    <row r="4" spans="1:7" ht="23.25" thickBot="1" x14ac:dyDescent="0.6">
      <c r="A4" s="577"/>
      <c r="B4" s="474"/>
      <c r="C4" s="475"/>
      <c r="D4" s="476"/>
    </row>
    <row r="5" spans="1:7" ht="23.25" thickBot="1" x14ac:dyDescent="0.6">
      <c r="A5" s="578"/>
      <c r="B5" s="471"/>
      <c r="C5" s="472"/>
      <c r="D5" s="473"/>
    </row>
    <row r="6" spans="1:7" ht="23.25" thickBot="1" x14ac:dyDescent="0.6">
      <c r="A6" s="577" t="s">
        <v>3389</v>
      </c>
      <c r="B6" s="471"/>
      <c r="C6" s="472">
        <v>11912950</v>
      </c>
      <c r="D6" s="473"/>
    </row>
    <row r="7" spans="1:7" ht="23.25" thickBot="1" x14ac:dyDescent="0.6">
      <c r="A7" s="577" t="s">
        <v>3390</v>
      </c>
      <c r="B7" s="471"/>
      <c r="C7" s="475"/>
      <c r="D7" s="473"/>
    </row>
    <row r="8" spans="1:7" ht="23.25" thickBot="1" x14ac:dyDescent="0.6">
      <c r="A8" s="577" t="s">
        <v>3382</v>
      </c>
      <c r="B8" s="571">
        <f>'Daily Cash Book'!W35</f>
        <v>0</v>
      </c>
      <c r="C8" s="572"/>
      <c r="D8" s="573"/>
    </row>
    <row r="9" spans="1:7" ht="22.5" thickBot="1" x14ac:dyDescent="0.6">
      <c r="A9" s="580" t="s">
        <v>3383</v>
      </c>
      <c r="B9" s="471">
        <f>SUM(B7:B8)</f>
        <v>0</v>
      </c>
      <c r="C9" s="472">
        <f>SUM(C6:C8)</f>
        <v>11912950</v>
      </c>
      <c r="D9" s="473">
        <f>B9-C9</f>
        <v>-11912950</v>
      </c>
    </row>
    <row r="10" spans="1:7" ht="22.5" thickBot="1" x14ac:dyDescent="0.6">
      <c r="A10" s="579"/>
      <c r="B10" s="474"/>
      <c r="C10" s="475"/>
      <c r="D10" s="476"/>
    </row>
    <row r="11" spans="1:7" ht="22.5" thickBot="1" x14ac:dyDescent="0.6">
      <c r="A11" s="579"/>
      <c r="B11" s="474"/>
      <c r="C11" s="475"/>
      <c r="D11" s="476"/>
    </row>
    <row r="12" spans="1:7" ht="23.25" thickBot="1" x14ac:dyDescent="0.6">
      <c r="A12" s="577" t="s">
        <v>3387</v>
      </c>
      <c r="B12" s="471"/>
      <c r="C12" s="472">
        <v>10008000</v>
      </c>
      <c r="D12" s="473"/>
    </row>
    <row r="13" spans="1:7" ht="23.25" thickBot="1" x14ac:dyDescent="0.6">
      <c r="A13" s="577" t="s">
        <v>3382</v>
      </c>
      <c r="B13" s="571">
        <f>'Daily Cash Book'!W41</f>
        <v>0</v>
      </c>
      <c r="C13" s="572"/>
      <c r="D13" s="573"/>
    </row>
    <row r="14" spans="1:7" ht="23.25" thickBot="1" x14ac:dyDescent="0.6">
      <c r="A14" s="576" t="s">
        <v>3384</v>
      </c>
      <c r="B14" s="471">
        <f>SUM(B13)</f>
        <v>0</v>
      </c>
      <c r="C14" s="472">
        <f>SUM(C12:C13)</f>
        <v>10008000</v>
      </c>
      <c r="D14" s="473">
        <f>B14-C14</f>
        <v>-10008000</v>
      </c>
    </row>
    <row r="15" spans="1:7" ht="23.25" thickBot="1" x14ac:dyDescent="0.6">
      <c r="A15" s="576"/>
      <c r="B15" s="474"/>
      <c r="C15" s="475"/>
      <c r="D15" s="476"/>
      <c r="F15" s="658">
        <v>44503</v>
      </c>
      <c r="G15" s="659" t="s">
        <v>6285</v>
      </c>
    </row>
    <row r="16" spans="1:7" ht="23.25" thickBot="1" x14ac:dyDescent="0.6">
      <c r="A16" s="576"/>
      <c r="B16" s="474"/>
      <c r="C16" s="475"/>
      <c r="D16" s="489"/>
    </row>
    <row r="17" spans="1:4" ht="23.25" thickBot="1" x14ac:dyDescent="0.6">
      <c r="A17" s="580" t="s">
        <v>3385</v>
      </c>
      <c r="B17" s="471"/>
      <c r="C17" s="472"/>
      <c r="D17" s="635">
        <f>SUM(D8:D15)</f>
        <v>-21920950</v>
      </c>
    </row>
    <row r="18" spans="1:4" ht="22.5" thickBot="1" x14ac:dyDescent="0.6">
      <c r="A18" s="581"/>
      <c r="B18" s="471"/>
      <c r="C18" s="472"/>
      <c r="D18" s="486"/>
    </row>
    <row r="22" spans="1:4" x14ac:dyDescent="0.55000000000000004">
      <c r="A22" s="399"/>
    </row>
  </sheetData>
  <mergeCells count="2">
    <mergeCell ref="A1:B1"/>
    <mergeCell ref="A2:D2"/>
  </mergeCells>
  <pageMargins left="0.36" right="0.12" top="0.75" bottom="0.28000000000000003" header="0.3" footer="0.3"/>
  <pageSetup paperSize="9" orientation="portrait" verticalDpi="0" r:id="rId1"/>
  <legacy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I4"/>
  <sheetViews>
    <sheetView workbookViewId="0">
      <selection activeCell="D5" sqref="D5"/>
    </sheetView>
  </sheetViews>
  <sheetFormatPr defaultColWidth="11.85546875" defaultRowHeight="21.75" x14ac:dyDescent="0.55000000000000004"/>
  <cols>
    <col min="1" max="1" width="14.7109375" style="592" customWidth="1"/>
    <col min="2" max="2" width="7.28515625" style="592" customWidth="1"/>
    <col min="3" max="3" width="18.28515625" style="592" hidden="1" customWidth="1"/>
    <col min="4" max="4" width="29" style="592" customWidth="1"/>
    <col min="5" max="5" width="25.28515625" style="592" customWidth="1"/>
    <col min="6" max="7" width="0" style="592" hidden="1" customWidth="1"/>
    <col min="8" max="8" width="11.85546875" style="592"/>
    <col min="9" max="9" width="14.42578125" style="629" customWidth="1"/>
    <col min="10" max="16384" width="11.85546875" style="592"/>
  </cols>
  <sheetData>
    <row r="1" spans="1:9" x14ac:dyDescent="0.55000000000000004">
      <c r="A1" s="592" t="s">
        <v>12</v>
      </c>
      <c r="B1" s="592" t="s">
        <v>18</v>
      </c>
      <c r="C1" s="592" t="s">
        <v>84</v>
      </c>
      <c r="D1" s="592" t="s">
        <v>13</v>
      </c>
      <c r="E1" s="592" t="s">
        <v>3373</v>
      </c>
      <c r="F1" s="592" t="s">
        <v>10</v>
      </c>
      <c r="G1" s="592" t="s">
        <v>16</v>
      </c>
      <c r="H1" s="592" t="s">
        <v>17</v>
      </c>
      <c r="I1" s="629" t="s">
        <v>4</v>
      </c>
    </row>
    <row r="2" spans="1:9" x14ac:dyDescent="0.55000000000000004">
      <c r="A2" s="591">
        <v>44382</v>
      </c>
      <c r="B2" s="592">
        <v>5</v>
      </c>
      <c r="C2" s="592" t="s">
        <v>2296</v>
      </c>
      <c r="D2" s="592" t="s">
        <v>6105</v>
      </c>
      <c r="E2" s="592" t="s">
        <v>3372</v>
      </c>
      <c r="H2" s="592">
        <v>963000</v>
      </c>
      <c r="I2" s="629">
        <v>-963000</v>
      </c>
    </row>
    <row r="3" spans="1:9" x14ac:dyDescent="0.55000000000000004">
      <c r="A3" s="591">
        <v>44382</v>
      </c>
      <c r="B3" s="592">
        <v>5</v>
      </c>
      <c r="C3" s="592" t="s">
        <v>2296</v>
      </c>
      <c r="D3" s="592" t="s">
        <v>6104</v>
      </c>
      <c r="E3" s="592" t="s">
        <v>3372</v>
      </c>
      <c r="H3" s="592">
        <v>957390</v>
      </c>
      <c r="I3" s="629">
        <v>-957390</v>
      </c>
    </row>
    <row r="4" spans="1:9" x14ac:dyDescent="0.55000000000000004">
      <c r="A4" s="591">
        <v>44382</v>
      </c>
      <c r="B4" s="592">
        <v>5</v>
      </c>
      <c r="C4" s="592" t="s">
        <v>2296</v>
      </c>
      <c r="D4" s="592" t="s">
        <v>6103</v>
      </c>
      <c r="E4" s="592" t="s">
        <v>3372</v>
      </c>
      <c r="H4" s="592">
        <v>957390</v>
      </c>
      <c r="I4" s="629">
        <v>-957390</v>
      </c>
    </row>
  </sheetData>
  <pageMargins left="0.7" right="0.7" top="0.75" bottom="0.75" header="0.3" footer="0.3"/>
  <tableParts count="1">
    <tablePart r:id="rId1"/>
  </tableParts>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tabColor theme="6"/>
  </sheetPr>
  <dimension ref="A1:P169"/>
  <sheetViews>
    <sheetView topLeftCell="A13" workbookViewId="0">
      <selection activeCell="B11" sqref="B11"/>
    </sheetView>
  </sheetViews>
  <sheetFormatPr defaultColWidth="9.28515625" defaultRowHeight="21.75" x14ac:dyDescent="0.55000000000000004"/>
  <cols>
    <col min="1" max="1" width="69" style="23" customWidth="1"/>
    <col min="2" max="2" width="14.7109375" style="23" customWidth="1"/>
    <col min="3" max="3" width="20.140625" style="23" customWidth="1"/>
    <col min="4" max="4" width="22.140625" style="23" customWidth="1"/>
    <col min="5" max="5" width="4.7109375" style="23" customWidth="1"/>
    <col min="6" max="6" width="14" style="592" customWidth="1"/>
    <col min="7" max="7" width="16.5703125" style="592" customWidth="1"/>
    <col min="8" max="8" width="13.28515625" style="592" customWidth="1"/>
    <col min="9" max="9" width="16.85546875" style="597" customWidth="1"/>
    <col min="10" max="12" width="9.28515625" style="23"/>
    <col min="13" max="13" width="2.7109375" style="23" customWidth="1"/>
    <col min="14" max="16384" width="9.28515625" style="23"/>
  </cols>
  <sheetData>
    <row r="1" spans="1:16" ht="23.25" thickBot="1" x14ac:dyDescent="0.6">
      <c r="A1" s="1324" t="s">
        <v>3388</v>
      </c>
      <c r="B1" s="1324"/>
      <c r="C1" s="582">
        <f ca="1">TODAY()</f>
        <v>44711</v>
      </c>
      <c r="D1" s="583"/>
      <c r="F1" s="1325" t="s">
        <v>6132</v>
      </c>
      <c r="G1" s="1325"/>
      <c r="H1" s="1325"/>
      <c r="I1" s="1325"/>
    </row>
    <row r="2" spans="1:16" ht="23.25" thickBot="1" x14ac:dyDescent="0.6">
      <c r="A2" s="1324"/>
      <c r="B2" s="1324"/>
      <c r="C2" s="1324"/>
      <c r="D2" s="1324"/>
      <c r="F2" s="625" t="s">
        <v>12</v>
      </c>
      <c r="G2" s="625" t="s">
        <v>84</v>
      </c>
      <c r="H2" s="625" t="s">
        <v>13</v>
      </c>
      <c r="I2" s="638" t="s">
        <v>2762</v>
      </c>
    </row>
    <row r="3" spans="1:16" ht="23.25" thickBot="1" x14ac:dyDescent="0.6">
      <c r="A3" s="584"/>
      <c r="B3" s="528" t="s">
        <v>3085</v>
      </c>
      <c r="C3" s="529" t="s">
        <v>3084</v>
      </c>
      <c r="D3" s="529" t="s">
        <v>1366</v>
      </c>
      <c r="F3" s="592" t="s">
        <v>2453</v>
      </c>
      <c r="G3" s="592" t="s">
        <v>2453</v>
      </c>
      <c r="H3" s="592" t="s">
        <v>2908</v>
      </c>
      <c r="I3" s="590"/>
    </row>
    <row r="4" spans="1:16" ht="23.25" thickBot="1" x14ac:dyDescent="0.6">
      <c r="A4" s="584"/>
      <c r="B4" s="474"/>
      <c r="C4" s="475"/>
      <c r="D4" s="476"/>
      <c r="F4" s="592" t="s">
        <v>2453</v>
      </c>
      <c r="G4" s="592" t="s">
        <v>2453</v>
      </c>
      <c r="H4" s="592" t="s">
        <v>2453</v>
      </c>
      <c r="I4" s="590"/>
    </row>
    <row r="5" spans="1:16" ht="23.25" thickBot="1" x14ac:dyDescent="0.6">
      <c r="A5" s="584"/>
      <c r="B5" s="471"/>
      <c r="C5" s="472"/>
      <c r="D5" s="473"/>
      <c r="F5" s="591">
        <v>44422</v>
      </c>
      <c r="G5" s="592" t="s">
        <v>2453</v>
      </c>
      <c r="H5" s="592" t="s">
        <v>2453</v>
      </c>
      <c r="I5" s="590"/>
    </row>
    <row r="6" spans="1:16" ht="23.25" thickBot="1" x14ac:dyDescent="0.6">
      <c r="A6" s="585" t="s">
        <v>6526</v>
      </c>
      <c r="B6" s="471"/>
      <c r="C6" s="472">
        <v>11912950</v>
      </c>
      <c r="D6" s="473"/>
      <c r="F6" s="592" t="s">
        <v>2049</v>
      </c>
      <c r="I6" s="590"/>
    </row>
    <row r="7" spans="1:16" ht="23.25" thickBot="1" x14ac:dyDescent="0.6">
      <c r="A7" s="585" t="s">
        <v>6527</v>
      </c>
      <c r="B7" s="471"/>
      <c r="C7" s="472"/>
      <c r="D7" s="473"/>
      <c r="F7"/>
      <c r="G7"/>
      <c r="H7"/>
      <c r="I7"/>
    </row>
    <row r="8" spans="1:16" ht="23.25" thickBot="1" x14ac:dyDescent="0.6">
      <c r="A8" s="587" t="s">
        <v>6532</v>
      </c>
      <c r="B8" s="571">
        <f>'Daily Cash Book'!X10</f>
        <v>0</v>
      </c>
      <c r="C8" s="572"/>
      <c r="D8" s="573"/>
      <c r="F8"/>
      <c r="G8"/>
      <c r="H8"/>
      <c r="I8"/>
    </row>
    <row r="9" spans="1:16" ht="23.25" thickBot="1" x14ac:dyDescent="0.6">
      <c r="A9" s="584"/>
      <c r="B9" s="471">
        <f>SUM(B7:B8)</f>
        <v>0</v>
      </c>
      <c r="C9" s="472">
        <f>SUM(C6:C8)</f>
        <v>11912950</v>
      </c>
      <c r="D9" s="473">
        <f>B9-C9</f>
        <v>-11912950</v>
      </c>
      <c r="F9"/>
      <c r="G9"/>
      <c r="H9"/>
      <c r="I9"/>
    </row>
    <row r="10" spans="1:16" ht="23.25" thickBot="1" x14ac:dyDescent="0.6">
      <c r="A10" s="584"/>
      <c r="B10" s="471"/>
      <c r="C10" s="472"/>
      <c r="D10" s="473"/>
      <c r="F10"/>
      <c r="G10"/>
      <c r="H10"/>
      <c r="I10"/>
    </row>
    <row r="11" spans="1:16" ht="23.25" thickBot="1" x14ac:dyDescent="0.6">
      <c r="A11" s="586" t="s">
        <v>6525</v>
      </c>
      <c r="B11" s="471"/>
      <c r="C11" s="475">
        <v>10008000</v>
      </c>
      <c r="D11" s="473"/>
    </row>
    <row r="12" spans="1:16" ht="23.25" thickBot="1" x14ac:dyDescent="0.6">
      <c r="A12" s="585" t="s">
        <v>6533</v>
      </c>
      <c r="B12" s="571">
        <f>'Daily Cash Book'!X11</f>
        <v>0</v>
      </c>
      <c r="C12" s="572"/>
      <c r="D12" s="573"/>
    </row>
    <row r="13" spans="1:16" ht="23.25" thickBot="1" x14ac:dyDescent="0.6">
      <c r="A13" s="584"/>
      <c r="B13" s="471">
        <f>SUM(B12)</f>
        <v>0</v>
      </c>
      <c r="C13" s="472">
        <f>SUM(C11:C12)</f>
        <v>10008000</v>
      </c>
      <c r="D13" s="473">
        <f>B13-C13</f>
        <v>-10008000</v>
      </c>
      <c r="F13" s="1326" t="s">
        <v>6131</v>
      </c>
      <c r="G13" s="1326"/>
      <c r="H13" s="1326"/>
      <c r="I13" s="1326"/>
    </row>
    <row r="14" spans="1:16" ht="23.25" thickBot="1" x14ac:dyDescent="0.6">
      <c r="A14" s="585" t="s">
        <v>6528</v>
      </c>
      <c r="B14" s="474"/>
      <c r="C14" s="475"/>
      <c r="D14" s="476"/>
      <c r="F14" s="630" t="s">
        <v>12</v>
      </c>
      <c r="G14" s="630" t="s">
        <v>84</v>
      </c>
      <c r="H14" s="630" t="s">
        <v>13</v>
      </c>
      <c r="I14" s="637" t="s">
        <v>2776</v>
      </c>
      <c r="O14" s="628"/>
      <c r="P14" s="628"/>
    </row>
    <row r="15" spans="1:16" ht="23.25" thickBot="1" x14ac:dyDescent="0.6">
      <c r="A15" s="585"/>
      <c r="B15" s="474"/>
      <c r="C15" s="475"/>
      <c r="D15" s="601"/>
      <c r="F15" s="592" t="s">
        <v>2049</v>
      </c>
      <c r="I15" s="590"/>
    </row>
    <row r="16" spans="1:16" ht="23.25" thickBot="1" x14ac:dyDescent="0.6">
      <c r="A16" s="585" t="s">
        <v>6524</v>
      </c>
      <c r="B16" s="471"/>
      <c r="C16" s="472"/>
      <c r="D16" s="634">
        <f>SUM(D8:D13)</f>
        <v>-21920950</v>
      </c>
      <c r="E16" s="600"/>
      <c r="F16"/>
      <c r="G16"/>
      <c r="H16"/>
      <c r="I16"/>
    </row>
    <row r="17" spans="1:9" ht="23.25" thickBot="1" x14ac:dyDescent="0.6">
      <c r="A17" s="584"/>
      <c r="B17" s="471"/>
      <c r="C17" s="472"/>
      <c r="D17" s="530"/>
      <c r="F17"/>
      <c r="G17"/>
      <c r="H17"/>
      <c r="I17"/>
    </row>
    <row r="18" spans="1:9" x14ac:dyDescent="0.55000000000000004">
      <c r="D18" s="174"/>
      <c r="F18"/>
      <c r="G18"/>
      <c r="H18"/>
      <c r="I18"/>
    </row>
    <row r="19" spans="1:9" x14ac:dyDescent="0.55000000000000004">
      <c r="F19"/>
      <c r="G19"/>
      <c r="H19"/>
      <c r="I19" s="261"/>
    </row>
    <row r="20" spans="1:9" x14ac:dyDescent="0.55000000000000004">
      <c r="F20"/>
      <c r="G20"/>
      <c r="H20"/>
      <c r="I20" s="261"/>
    </row>
    <row r="21" spans="1:9" x14ac:dyDescent="0.55000000000000004">
      <c r="C21" s="1076" t="s">
        <v>6523</v>
      </c>
      <c r="D21" s="632">
        <f>ABS(D16)</f>
        <v>21920950</v>
      </c>
      <c r="F21"/>
      <c r="G21"/>
      <c r="H21"/>
      <c r="I21" s="261"/>
    </row>
    <row r="22" spans="1:9" x14ac:dyDescent="0.55000000000000004">
      <c r="C22" s="1077" t="s">
        <v>6522</v>
      </c>
      <c r="D22" s="631">
        <f>ABS('Tri Hp Customer Of Cash Flow'!D17)</f>
        <v>21920950</v>
      </c>
      <c r="F22"/>
      <c r="G22"/>
      <c r="H22"/>
      <c r="I22" s="261"/>
    </row>
    <row r="23" spans="1:9" ht="27" thickBot="1" x14ac:dyDescent="0.7">
      <c r="C23" s="999" t="s">
        <v>2284</v>
      </c>
      <c r="D23" s="640">
        <f>D21-D22</f>
        <v>0</v>
      </c>
      <c r="F23"/>
      <c r="G23"/>
      <c r="H23"/>
      <c r="I23" s="261"/>
    </row>
    <row r="24" spans="1:9" ht="22.5" thickTop="1" x14ac:dyDescent="0.55000000000000004">
      <c r="F24"/>
      <c r="G24"/>
      <c r="H24"/>
      <c r="I24" s="261"/>
    </row>
    <row r="25" spans="1:9" x14ac:dyDescent="0.55000000000000004">
      <c r="F25"/>
      <c r="G25"/>
      <c r="H25"/>
      <c r="I25" s="261"/>
    </row>
    <row r="26" spans="1:9" x14ac:dyDescent="0.55000000000000004">
      <c r="F26"/>
      <c r="G26"/>
      <c r="H26"/>
      <c r="I26" s="261"/>
    </row>
    <row r="27" spans="1:9" x14ac:dyDescent="0.55000000000000004">
      <c r="F27"/>
      <c r="G27"/>
      <c r="H27"/>
      <c r="I27" s="261"/>
    </row>
    <row r="28" spans="1:9" x14ac:dyDescent="0.55000000000000004">
      <c r="F28"/>
      <c r="G28"/>
      <c r="H28"/>
      <c r="I28" s="261"/>
    </row>
    <row r="29" spans="1:9" x14ac:dyDescent="0.55000000000000004">
      <c r="F29"/>
      <c r="G29"/>
      <c r="H29"/>
      <c r="I29" s="261"/>
    </row>
    <row r="30" spans="1:9" x14ac:dyDescent="0.55000000000000004">
      <c r="F30"/>
      <c r="G30"/>
      <c r="H30"/>
      <c r="I30" s="261"/>
    </row>
    <row r="31" spans="1:9" x14ac:dyDescent="0.55000000000000004">
      <c r="F31"/>
      <c r="G31"/>
      <c r="H31"/>
      <c r="I31" s="261"/>
    </row>
    <row r="32" spans="1:9" x14ac:dyDescent="0.55000000000000004">
      <c r="F32"/>
      <c r="G32"/>
      <c r="H32"/>
      <c r="I32" s="261"/>
    </row>
    <row r="33" spans="6:9" x14ac:dyDescent="0.55000000000000004">
      <c r="F33"/>
      <c r="G33"/>
      <c r="H33"/>
      <c r="I33" s="261"/>
    </row>
    <row r="34" spans="6:9" x14ac:dyDescent="0.55000000000000004">
      <c r="F34"/>
      <c r="G34"/>
      <c r="H34"/>
      <c r="I34" s="261"/>
    </row>
    <row r="35" spans="6:9" x14ac:dyDescent="0.55000000000000004">
      <c r="F35"/>
      <c r="G35"/>
      <c r="H35"/>
      <c r="I35" s="261"/>
    </row>
    <row r="36" spans="6:9" x14ac:dyDescent="0.55000000000000004">
      <c r="F36"/>
      <c r="G36"/>
      <c r="H36"/>
      <c r="I36" s="261"/>
    </row>
    <row r="37" spans="6:9" x14ac:dyDescent="0.55000000000000004">
      <c r="F37"/>
      <c r="G37"/>
      <c r="H37"/>
      <c r="I37" s="261"/>
    </row>
    <row r="38" spans="6:9" x14ac:dyDescent="0.55000000000000004">
      <c r="F38"/>
      <c r="G38"/>
      <c r="H38"/>
      <c r="I38" s="261"/>
    </row>
    <row r="39" spans="6:9" x14ac:dyDescent="0.55000000000000004">
      <c r="F39"/>
      <c r="G39"/>
      <c r="H39"/>
      <c r="I39" s="261"/>
    </row>
    <row r="40" spans="6:9" x14ac:dyDescent="0.55000000000000004">
      <c r="F40"/>
      <c r="G40"/>
      <c r="H40"/>
      <c r="I40" s="261"/>
    </row>
    <row r="41" spans="6:9" x14ac:dyDescent="0.55000000000000004">
      <c r="F41"/>
      <c r="G41"/>
      <c r="H41"/>
      <c r="I41" s="261"/>
    </row>
    <row r="42" spans="6:9" x14ac:dyDescent="0.55000000000000004">
      <c r="F42"/>
      <c r="G42"/>
      <c r="H42"/>
      <c r="I42" s="261"/>
    </row>
    <row r="43" spans="6:9" x14ac:dyDescent="0.55000000000000004">
      <c r="F43"/>
      <c r="G43"/>
      <c r="H43"/>
      <c r="I43" s="261"/>
    </row>
    <row r="44" spans="6:9" x14ac:dyDescent="0.55000000000000004">
      <c r="F44"/>
      <c r="G44"/>
      <c r="H44"/>
      <c r="I44" s="261"/>
    </row>
    <row r="45" spans="6:9" x14ac:dyDescent="0.55000000000000004">
      <c r="F45"/>
      <c r="G45"/>
      <c r="H45"/>
      <c r="I45" s="261"/>
    </row>
    <row r="46" spans="6:9" x14ac:dyDescent="0.55000000000000004">
      <c r="F46"/>
      <c r="G46"/>
      <c r="H46"/>
      <c r="I46" s="261"/>
    </row>
    <row r="47" spans="6:9" x14ac:dyDescent="0.55000000000000004">
      <c r="F47"/>
      <c r="G47"/>
      <c r="H47"/>
      <c r="I47" s="261"/>
    </row>
    <row r="48" spans="6:9" x14ac:dyDescent="0.55000000000000004">
      <c r="F48"/>
      <c r="G48"/>
      <c r="H48"/>
      <c r="I48" s="261"/>
    </row>
    <row r="49" spans="6:9" x14ac:dyDescent="0.55000000000000004">
      <c r="F49"/>
      <c r="G49"/>
      <c r="H49"/>
      <c r="I49" s="261"/>
    </row>
    <row r="50" spans="6:9" x14ac:dyDescent="0.55000000000000004">
      <c r="F50"/>
      <c r="G50"/>
      <c r="H50"/>
      <c r="I50" s="261"/>
    </row>
    <row r="51" spans="6:9" x14ac:dyDescent="0.55000000000000004">
      <c r="F51"/>
      <c r="G51"/>
      <c r="H51"/>
      <c r="I51" s="261"/>
    </row>
    <row r="52" spans="6:9" x14ac:dyDescent="0.55000000000000004">
      <c r="F52"/>
      <c r="G52"/>
      <c r="H52"/>
      <c r="I52" s="261"/>
    </row>
    <row r="53" spans="6:9" x14ac:dyDescent="0.55000000000000004">
      <c r="F53"/>
      <c r="G53"/>
      <c r="H53"/>
      <c r="I53" s="261"/>
    </row>
    <row r="54" spans="6:9" x14ac:dyDescent="0.55000000000000004">
      <c r="F54"/>
      <c r="G54"/>
      <c r="H54"/>
      <c r="I54" s="261"/>
    </row>
    <row r="55" spans="6:9" x14ac:dyDescent="0.55000000000000004">
      <c r="F55"/>
      <c r="G55"/>
      <c r="H55"/>
      <c r="I55" s="261"/>
    </row>
    <row r="56" spans="6:9" x14ac:dyDescent="0.55000000000000004">
      <c r="F56"/>
      <c r="G56"/>
      <c r="H56"/>
      <c r="I56" s="261"/>
    </row>
    <row r="57" spans="6:9" x14ac:dyDescent="0.55000000000000004">
      <c r="F57"/>
      <c r="G57"/>
      <c r="H57"/>
      <c r="I57" s="261"/>
    </row>
    <row r="58" spans="6:9" x14ac:dyDescent="0.55000000000000004">
      <c r="F58"/>
      <c r="G58"/>
      <c r="H58"/>
      <c r="I58" s="261"/>
    </row>
    <row r="59" spans="6:9" x14ac:dyDescent="0.55000000000000004">
      <c r="F59"/>
      <c r="G59"/>
      <c r="H59"/>
      <c r="I59" s="261"/>
    </row>
    <row r="60" spans="6:9" x14ac:dyDescent="0.55000000000000004">
      <c r="F60"/>
      <c r="G60"/>
      <c r="H60"/>
      <c r="I60" s="261"/>
    </row>
    <row r="61" spans="6:9" x14ac:dyDescent="0.55000000000000004">
      <c r="F61"/>
      <c r="G61"/>
      <c r="H61"/>
      <c r="I61" s="261"/>
    </row>
    <row r="62" spans="6:9" x14ac:dyDescent="0.55000000000000004">
      <c r="F62"/>
      <c r="G62"/>
      <c r="H62"/>
      <c r="I62" s="261"/>
    </row>
    <row r="63" spans="6:9" x14ac:dyDescent="0.55000000000000004">
      <c r="F63"/>
      <c r="G63"/>
      <c r="H63"/>
      <c r="I63" s="261"/>
    </row>
    <row r="64" spans="6:9" x14ac:dyDescent="0.55000000000000004">
      <c r="F64"/>
      <c r="G64"/>
      <c r="H64"/>
      <c r="I64" s="261"/>
    </row>
    <row r="65" spans="6:9" x14ac:dyDescent="0.55000000000000004">
      <c r="F65"/>
      <c r="G65"/>
      <c r="H65"/>
      <c r="I65" s="261"/>
    </row>
    <row r="66" spans="6:9" x14ac:dyDescent="0.55000000000000004">
      <c r="F66"/>
      <c r="G66"/>
      <c r="H66"/>
      <c r="I66" s="261"/>
    </row>
    <row r="67" spans="6:9" x14ac:dyDescent="0.55000000000000004">
      <c r="F67"/>
      <c r="G67"/>
      <c r="H67"/>
      <c r="I67" s="261"/>
    </row>
    <row r="68" spans="6:9" x14ac:dyDescent="0.55000000000000004">
      <c r="F68"/>
      <c r="G68"/>
      <c r="H68"/>
      <c r="I68" s="261"/>
    </row>
    <row r="69" spans="6:9" x14ac:dyDescent="0.55000000000000004">
      <c r="F69"/>
      <c r="G69"/>
      <c r="H69"/>
      <c r="I69" s="261"/>
    </row>
    <row r="70" spans="6:9" x14ac:dyDescent="0.55000000000000004">
      <c r="F70"/>
      <c r="G70"/>
      <c r="H70"/>
      <c r="I70" s="261"/>
    </row>
    <row r="71" spans="6:9" x14ac:dyDescent="0.55000000000000004">
      <c r="F71"/>
      <c r="G71"/>
      <c r="H71"/>
      <c r="I71" s="261"/>
    </row>
    <row r="72" spans="6:9" x14ac:dyDescent="0.55000000000000004">
      <c r="F72"/>
      <c r="G72"/>
      <c r="H72"/>
      <c r="I72" s="261"/>
    </row>
    <row r="73" spans="6:9" x14ac:dyDescent="0.55000000000000004">
      <c r="F73"/>
      <c r="G73"/>
      <c r="H73"/>
      <c r="I73" s="261"/>
    </row>
    <row r="74" spans="6:9" x14ac:dyDescent="0.55000000000000004">
      <c r="F74"/>
      <c r="G74"/>
      <c r="H74"/>
      <c r="I74" s="261"/>
    </row>
    <row r="75" spans="6:9" x14ac:dyDescent="0.55000000000000004">
      <c r="F75"/>
      <c r="G75"/>
      <c r="H75"/>
      <c r="I75" s="261"/>
    </row>
    <row r="76" spans="6:9" x14ac:dyDescent="0.55000000000000004">
      <c r="F76"/>
      <c r="G76"/>
      <c r="H76"/>
      <c r="I76" s="261"/>
    </row>
    <row r="77" spans="6:9" x14ac:dyDescent="0.55000000000000004">
      <c r="F77"/>
      <c r="G77"/>
      <c r="H77"/>
      <c r="I77" s="261"/>
    </row>
    <row r="78" spans="6:9" x14ac:dyDescent="0.55000000000000004">
      <c r="F78"/>
      <c r="G78"/>
      <c r="H78"/>
      <c r="I78" s="261"/>
    </row>
    <row r="79" spans="6:9" x14ac:dyDescent="0.55000000000000004">
      <c r="F79"/>
      <c r="G79"/>
      <c r="H79"/>
      <c r="I79" s="261"/>
    </row>
    <row r="80" spans="6:9" x14ac:dyDescent="0.55000000000000004">
      <c r="F80"/>
      <c r="G80"/>
      <c r="H80"/>
      <c r="I80" s="261"/>
    </row>
    <row r="81" spans="6:9" x14ac:dyDescent="0.55000000000000004">
      <c r="F81"/>
      <c r="G81"/>
      <c r="H81"/>
      <c r="I81" s="261"/>
    </row>
    <row r="82" spans="6:9" x14ac:dyDescent="0.55000000000000004">
      <c r="F82"/>
      <c r="G82"/>
      <c r="H82"/>
      <c r="I82" s="261"/>
    </row>
    <row r="83" spans="6:9" x14ac:dyDescent="0.55000000000000004">
      <c r="F83"/>
      <c r="G83"/>
      <c r="H83"/>
      <c r="I83" s="261"/>
    </row>
    <row r="84" spans="6:9" x14ac:dyDescent="0.55000000000000004">
      <c r="F84"/>
      <c r="G84"/>
      <c r="H84"/>
      <c r="I84" s="261"/>
    </row>
    <row r="85" spans="6:9" x14ac:dyDescent="0.55000000000000004">
      <c r="F85"/>
      <c r="G85"/>
      <c r="H85"/>
      <c r="I85" s="261"/>
    </row>
    <row r="86" spans="6:9" x14ac:dyDescent="0.55000000000000004">
      <c r="F86"/>
      <c r="G86"/>
      <c r="H86"/>
      <c r="I86" s="261"/>
    </row>
    <row r="87" spans="6:9" x14ac:dyDescent="0.55000000000000004">
      <c r="F87"/>
      <c r="G87"/>
      <c r="H87"/>
      <c r="I87" s="261"/>
    </row>
    <row r="88" spans="6:9" x14ac:dyDescent="0.55000000000000004">
      <c r="F88"/>
      <c r="G88"/>
      <c r="H88"/>
      <c r="I88" s="261"/>
    </row>
    <row r="89" spans="6:9" x14ac:dyDescent="0.55000000000000004">
      <c r="F89"/>
      <c r="G89"/>
      <c r="H89"/>
      <c r="I89" s="261"/>
    </row>
    <row r="90" spans="6:9" x14ac:dyDescent="0.55000000000000004">
      <c r="F90"/>
      <c r="G90"/>
      <c r="H90"/>
      <c r="I90" s="261"/>
    </row>
    <row r="91" spans="6:9" x14ac:dyDescent="0.55000000000000004">
      <c r="F91"/>
      <c r="G91"/>
      <c r="H91"/>
      <c r="I91" s="261"/>
    </row>
    <row r="92" spans="6:9" x14ac:dyDescent="0.55000000000000004">
      <c r="F92"/>
      <c r="G92"/>
      <c r="H92"/>
      <c r="I92" s="261"/>
    </row>
    <row r="93" spans="6:9" x14ac:dyDescent="0.55000000000000004">
      <c r="F93"/>
      <c r="G93"/>
      <c r="H93"/>
      <c r="I93" s="261"/>
    </row>
    <row r="94" spans="6:9" x14ac:dyDescent="0.55000000000000004">
      <c r="F94"/>
      <c r="G94"/>
      <c r="H94"/>
      <c r="I94" s="261"/>
    </row>
    <row r="95" spans="6:9" x14ac:dyDescent="0.55000000000000004">
      <c r="F95"/>
      <c r="G95"/>
      <c r="H95"/>
      <c r="I95" s="261"/>
    </row>
    <row r="96" spans="6:9" x14ac:dyDescent="0.55000000000000004">
      <c r="F96"/>
      <c r="G96"/>
      <c r="H96"/>
      <c r="I96" s="261"/>
    </row>
    <row r="97" spans="6:9" x14ac:dyDescent="0.55000000000000004">
      <c r="F97"/>
      <c r="G97"/>
      <c r="H97"/>
      <c r="I97" s="261"/>
    </row>
    <row r="98" spans="6:9" x14ac:dyDescent="0.55000000000000004">
      <c r="F98"/>
      <c r="G98"/>
      <c r="H98"/>
      <c r="I98" s="261"/>
    </row>
    <row r="99" spans="6:9" x14ac:dyDescent="0.55000000000000004">
      <c r="F99"/>
      <c r="G99"/>
      <c r="H99"/>
      <c r="I99" s="261"/>
    </row>
    <row r="100" spans="6:9" x14ac:dyDescent="0.55000000000000004">
      <c r="F100"/>
      <c r="G100"/>
      <c r="H100"/>
      <c r="I100" s="261"/>
    </row>
    <row r="101" spans="6:9" x14ac:dyDescent="0.55000000000000004">
      <c r="F101"/>
      <c r="G101"/>
      <c r="H101"/>
      <c r="I101" s="261"/>
    </row>
    <row r="102" spans="6:9" x14ac:dyDescent="0.55000000000000004">
      <c r="F102"/>
      <c r="G102"/>
      <c r="H102"/>
      <c r="I102" s="261"/>
    </row>
    <row r="103" spans="6:9" x14ac:dyDescent="0.55000000000000004">
      <c r="F103"/>
      <c r="G103"/>
      <c r="H103"/>
      <c r="I103" s="261"/>
    </row>
    <row r="104" spans="6:9" x14ac:dyDescent="0.55000000000000004">
      <c r="F104"/>
      <c r="G104"/>
      <c r="H104"/>
      <c r="I104" s="261"/>
    </row>
    <row r="105" spans="6:9" x14ac:dyDescent="0.55000000000000004">
      <c r="F105"/>
      <c r="G105"/>
      <c r="H105"/>
      <c r="I105" s="261"/>
    </row>
    <row r="106" spans="6:9" x14ac:dyDescent="0.55000000000000004">
      <c r="F106"/>
      <c r="G106"/>
      <c r="H106"/>
      <c r="I106" s="261"/>
    </row>
    <row r="107" spans="6:9" x14ac:dyDescent="0.55000000000000004">
      <c r="F107"/>
      <c r="G107"/>
      <c r="H107"/>
      <c r="I107" s="261"/>
    </row>
    <row r="108" spans="6:9" x14ac:dyDescent="0.55000000000000004">
      <c r="F108"/>
      <c r="G108"/>
      <c r="H108"/>
      <c r="I108" s="261"/>
    </row>
    <row r="109" spans="6:9" x14ac:dyDescent="0.55000000000000004">
      <c r="F109"/>
      <c r="G109"/>
      <c r="H109"/>
      <c r="I109" s="261"/>
    </row>
    <row r="110" spans="6:9" x14ac:dyDescent="0.55000000000000004">
      <c r="F110"/>
      <c r="G110"/>
      <c r="H110"/>
      <c r="I110" s="261"/>
    </row>
    <row r="111" spans="6:9" x14ac:dyDescent="0.55000000000000004">
      <c r="F111"/>
      <c r="G111"/>
      <c r="H111"/>
      <c r="I111" s="261"/>
    </row>
    <row r="112" spans="6:9" x14ac:dyDescent="0.55000000000000004">
      <c r="F112"/>
      <c r="G112"/>
      <c r="H112"/>
      <c r="I112" s="261"/>
    </row>
    <row r="113" spans="6:9" x14ac:dyDescent="0.55000000000000004">
      <c r="F113"/>
      <c r="G113"/>
      <c r="H113"/>
      <c r="I113" s="261"/>
    </row>
    <row r="114" spans="6:9" x14ac:dyDescent="0.55000000000000004">
      <c r="F114"/>
      <c r="G114"/>
      <c r="H114"/>
      <c r="I114" s="261"/>
    </row>
    <row r="115" spans="6:9" x14ac:dyDescent="0.55000000000000004">
      <c r="F115"/>
      <c r="G115"/>
      <c r="H115"/>
      <c r="I115" s="261"/>
    </row>
    <row r="116" spans="6:9" x14ac:dyDescent="0.55000000000000004">
      <c r="F116"/>
      <c r="G116"/>
      <c r="H116"/>
      <c r="I116" s="261"/>
    </row>
    <row r="117" spans="6:9" x14ac:dyDescent="0.55000000000000004">
      <c r="F117"/>
      <c r="G117"/>
      <c r="H117"/>
      <c r="I117" s="261"/>
    </row>
    <row r="118" spans="6:9" x14ac:dyDescent="0.55000000000000004">
      <c r="F118"/>
      <c r="G118"/>
      <c r="H118"/>
      <c r="I118" s="261"/>
    </row>
    <row r="119" spans="6:9" x14ac:dyDescent="0.55000000000000004">
      <c r="F119"/>
      <c r="G119"/>
      <c r="H119"/>
      <c r="I119" s="261"/>
    </row>
    <row r="120" spans="6:9" x14ac:dyDescent="0.55000000000000004">
      <c r="F120"/>
      <c r="G120"/>
      <c r="H120"/>
      <c r="I120" s="261"/>
    </row>
    <row r="121" spans="6:9" x14ac:dyDescent="0.55000000000000004">
      <c r="F121"/>
      <c r="G121"/>
      <c r="H121"/>
      <c r="I121" s="261"/>
    </row>
    <row r="122" spans="6:9" x14ac:dyDescent="0.55000000000000004">
      <c r="F122"/>
      <c r="G122"/>
      <c r="H122"/>
      <c r="I122" s="261"/>
    </row>
    <row r="123" spans="6:9" x14ac:dyDescent="0.55000000000000004">
      <c r="F123"/>
      <c r="G123"/>
      <c r="H123"/>
      <c r="I123" s="261"/>
    </row>
    <row r="124" spans="6:9" x14ac:dyDescent="0.55000000000000004">
      <c r="F124"/>
      <c r="G124"/>
      <c r="H124"/>
      <c r="I124" s="261"/>
    </row>
    <row r="125" spans="6:9" x14ac:dyDescent="0.55000000000000004">
      <c r="F125"/>
      <c r="G125"/>
      <c r="H125"/>
      <c r="I125" s="261"/>
    </row>
    <row r="126" spans="6:9" x14ac:dyDescent="0.55000000000000004">
      <c r="F126"/>
      <c r="G126"/>
      <c r="H126"/>
      <c r="I126" s="261"/>
    </row>
    <row r="127" spans="6:9" x14ac:dyDescent="0.55000000000000004">
      <c r="F127"/>
      <c r="G127"/>
      <c r="H127"/>
      <c r="I127" s="261"/>
    </row>
    <row r="128" spans="6:9" x14ac:dyDescent="0.55000000000000004">
      <c r="F128"/>
      <c r="G128"/>
      <c r="H128"/>
      <c r="I128" s="261"/>
    </row>
    <row r="129" spans="6:9" x14ac:dyDescent="0.55000000000000004">
      <c r="F129"/>
      <c r="G129"/>
      <c r="H129"/>
      <c r="I129" s="261"/>
    </row>
    <row r="130" spans="6:9" x14ac:dyDescent="0.55000000000000004">
      <c r="F130"/>
      <c r="G130"/>
      <c r="H130"/>
      <c r="I130" s="261"/>
    </row>
    <row r="131" spans="6:9" x14ac:dyDescent="0.55000000000000004">
      <c r="F131"/>
      <c r="G131"/>
      <c r="H131"/>
      <c r="I131" s="261"/>
    </row>
    <row r="132" spans="6:9" x14ac:dyDescent="0.55000000000000004">
      <c r="F132"/>
      <c r="G132"/>
      <c r="H132"/>
      <c r="I132" s="261"/>
    </row>
    <row r="133" spans="6:9" x14ac:dyDescent="0.55000000000000004">
      <c r="F133"/>
      <c r="G133"/>
      <c r="H133"/>
      <c r="I133" s="261"/>
    </row>
    <row r="134" spans="6:9" x14ac:dyDescent="0.55000000000000004">
      <c r="F134"/>
      <c r="G134"/>
      <c r="H134"/>
      <c r="I134" s="261"/>
    </row>
    <row r="135" spans="6:9" x14ac:dyDescent="0.55000000000000004">
      <c r="F135"/>
      <c r="G135"/>
      <c r="H135"/>
      <c r="I135" s="261"/>
    </row>
    <row r="136" spans="6:9" x14ac:dyDescent="0.55000000000000004">
      <c r="F136"/>
      <c r="G136"/>
      <c r="H136"/>
      <c r="I136" s="261"/>
    </row>
    <row r="137" spans="6:9" x14ac:dyDescent="0.55000000000000004">
      <c r="F137"/>
      <c r="G137"/>
      <c r="H137"/>
      <c r="I137" s="261"/>
    </row>
    <row r="138" spans="6:9" x14ac:dyDescent="0.55000000000000004">
      <c r="F138"/>
      <c r="G138"/>
      <c r="H138"/>
      <c r="I138" s="261"/>
    </row>
    <row r="139" spans="6:9" x14ac:dyDescent="0.55000000000000004">
      <c r="F139"/>
      <c r="G139"/>
      <c r="H139"/>
      <c r="I139" s="261"/>
    </row>
    <row r="140" spans="6:9" x14ac:dyDescent="0.55000000000000004">
      <c r="F140"/>
      <c r="G140"/>
      <c r="H140"/>
      <c r="I140" s="261"/>
    </row>
    <row r="141" spans="6:9" x14ac:dyDescent="0.55000000000000004">
      <c r="F141"/>
      <c r="G141"/>
      <c r="H141"/>
      <c r="I141" s="261"/>
    </row>
    <row r="142" spans="6:9" x14ac:dyDescent="0.55000000000000004">
      <c r="F142"/>
      <c r="G142"/>
      <c r="H142"/>
      <c r="I142" s="261"/>
    </row>
    <row r="143" spans="6:9" x14ac:dyDescent="0.55000000000000004">
      <c r="F143"/>
      <c r="G143"/>
      <c r="H143"/>
      <c r="I143" s="261"/>
    </row>
    <row r="144" spans="6:9" x14ac:dyDescent="0.55000000000000004">
      <c r="F144"/>
      <c r="G144"/>
      <c r="H144"/>
      <c r="I144" s="261"/>
    </row>
    <row r="145" spans="6:9" x14ac:dyDescent="0.55000000000000004">
      <c r="F145"/>
      <c r="G145"/>
      <c r="H145"/>
      <c r="I145" s="261"/>
    </row>
    <row r="146" spans="6:9" x14ac:dyDescent="0.55000000000000004">
      <c r="F146"/>
      <c r="G146"/>
      <c r="H146"/>
      <c r="I146" s="261"/>
    </row>
    <row r="147" spans="6:9" x14ac:dyDescent="0.55000000000000004">
      <c r="F147"/>
      <c r="G147"/>
      <c r="H147"/>
      <c r="I147" s="261"/>
    </row>
    <row r="148" spans="6:9" x14ac:dyDescent="0.55000000000000004">
      <c r="F148"/>
      <c r="G148"/>
      <c r="H148"/>
      <c r="I148" s="261"/>
    </row>
    <row r="149" spans="6:9" x14ac:dyDescent="0.55000000000000004">
      <c r="F149"/>
      <c r="G149"/>
      <c r="H149"/>
      <c r="I149" s="261"/>
    </row>
    <row r="150" spans="6:9" x14ac:dyDescent="0.55000000000000004">
      <c r="F150"/>
      <c r="G150"/>
      <c r="H150"/>
      <c r="I150" s="261"/>
    </row>
    <row r="151" spans="6:9" x14ac:dyDescent="0.55000000000000004">
      <c r="F151"/>
      <c r="G151"/>
      <c r="H151"/>
      <c r="I151" s="261"/>
    </row>
    <row r="152" spans="6:9" x14ac:dyDescent="0.55000000000000004">
      <c r="F152"/>
      <c r="G152"/>
      <c r="H152"/>
      <c r="I152" s="261"/>
    </row>
    <row r="153" spans="6:9" x14ac:dyDescent="0.55000000000000004">
      <c r="F153"/>
      <c r="G153"/>
      <c r="H153"/>
      <c r="I153" s="261"/>
    </row>
    <row r="154" spans="6:9" x14ac:dyDescent="0.55000000000000004">
      <c r="F154"/>
      <c r="G154"/>
      <c r="H154"/>
      <c r="I154" s="261"/>
    </row>
    <row r="155" spans="6:9" x14ac:dyDescent="0.55000000000000004">
      <c r="F155"/>
      <c r="G155"/>
      <c r="H155"/>
      <c r="I155" s="261"/>
    </row>
    <row r="156" spans="6:9" x14ac:dyDescent="0.55000000000000004">
      <c r="F156"/>
      <c r="G156"/>
      <c r="H156"/>
      <c r="I156" s="261"/>
    </row>
    <row r="157" spans="6:9" x14ac:dyDescent="0.55000000000000004">
      <c r="F157"/>
      <c r="G157"/>
      <c r="H157"/>
      <c r="I157" s="261"/>
    </row>
    <row r="158" spans="6:9" x14ac:dyDescent="0.55000000000000004">
      <c r="F158"/>
      <c r="G158"/>
      <c r="H158"/>
      <c r="I158" s="261"/>
    </row>
    <row r="159" spans="6:9" x14ac:dyDescent="0.55000000000000004">
      <c r="F159"/>
      <c r="G159"/>
      <c r="H159"/>
      <c r="I159" s="261"/>
    </row>
    <row r="160" spans="6:9" x14ac:dyDescent="0.55000000000000004">
      <c r="F160"/>
      <c r="G160"/>
      <c r="H160"/>
      <c r="I160" s="261"/>
    </row>
    <row r="161" spans="6:9" x14ac:dyDescent="0.55000000000000004">
      <c r="F161"/>
      <c r="G161"/>
      <c r="H161"/>
      <c r="I161" s="261"/>
    </row>
    <row r="162" spans="6:9" x14ac:dyDescent="0.55000000000000004">
      <c r="F162"/>
      <c r="G162"/>
      <c r="H162"/>
      <c r="I162" s="261"/>
    </row>
    <row r="163" spans="6:9" x14ac:dyDescent="0.55000000000000004">
      <c r="F163"/>
      <c r="G163"/>
      <c r="H163"/>
      <c r="I163" s="261"/>
    </row>
    <row r="164" spans="6:9" x14ac:dyDescent="0.55000000000000004">
      <c r="F164"/>
      <c r="G164"/>
      <c r="H164"/>
      <c r="I164" s="261"/>
    </row>
    <row r="165" spans="6:9" x14ac:dyDescent="0.55000000000000004">
      <c r="F165"/>
      <c r="G165"/>
      <c r="H165"/>
      <c r="I165" s="261"/>
    </row>
    <row r="166" spans="6:9" x14ac:dyDescent="0.55000000000000004">
      <c r="F166"/>
      <c r="G166"/>
      <c r="H166"/>
      <c r="I166" s="261"/>
    </row>
    <row r="167" spans="6:9" x14ac:dyDescent="0.55000000000000004">
      <c r="F167"/>
      <c r="G167"/>
      <c r="H167"/>
      <c r="I167" s="261"/>
    </row>
    <row r="168" spans="6:9" x14ac:dyDescent="0.55000000000000004">
      <c r="F168"/>
      <c r="G168"/>
      <c r="H168"/>
      <c r="I168" s="261"/>
    </row>
    <row r="169" spans="6:9" x14ac:dyDescent="0.55000000000000004">
      <c r="F169"/>
      <c r="G169"/>
      <c r="H169"/>
      <c r="I169" s="261"/>
    </row>
  </sheetData>
  <mergeCells count="4">
    <mergeCell ref="A1:B1"/>
    <mergeCell ref="A2:D2"/>
    <mergeCell ref="F1:I1"/>
    <mergeCell ref="F13:I13"/>
  </mergeCells>
  <pageMargins left="0.36" right="0.12" top="0.75" bottom="0.28000000000000003" header="0.3" footer="0.3"/>
  <pageSetup paperSize="9" orientation="portrait" verticalDpi="0" r:id="rId3"/>
  <drawing r:id="rId4"/>
  <legacyDrawing r:id="rId5"/>
  <extLst>
    <ext xmlns:x14="http://schemas.microsoft.com/office/spreadsheetml/2009/9/main" uri="{A8765BA9-456A-4dab-B4F3-ACF838C121DE}">
      <x14:slicerList>
        <x14:slicer r:id="rId6"/>
      </x14:slicerList>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tabColor rgb="FF0070C0"/>
  </sheetPr>
  <dimension ref="A1:AH44"/>
  <sheetViews>
    <sheetView topLeftCell="Q1" workbookViewId="0">
      <selection activeCell="AC3" sqref="AC3"/>
    </sheetView>
  </sheetViews>
  <sheetFormatPr defaultRowHeight="15" x14ac:dyDescent="0.25"/>
  <cols>
    <col min="2" max="2" width="11.42578125" bestFit="1" customWidth="1"/>
    <col min="3" max="3" width="16.5703125" bestFit="1" customWidth="1"/>
    <col min="5" max="5" width="14" bestFit="1" customWidth="1"/>
    <col min="8" max="8" width="25.28515625" bestFit="1" customWidth="1"/>
    <col min="9" max="9" width="59.42578125" bestFit="1" customWidth="1"/>
    <col min="21" max="22" width="13.5703125" bestFit="1" customWidth="1"/>
    <col min="25" max="25" width="13.28515625" bestFit="1" customWidth="1"/>
    <col min="27" max="27" width="12.7109375" bestFit="1" customWidth="1"/>
    <col min="28" max="28" width="11.42578125" bestFit="1" customWidth="1"/>
    <col min="29" max="29" width="12.5703125" bestFit="1" customWidth="1"/>
    <col min="31" max="32" width="13.28515625" bestFit="1" customWidth="1"/>
  </cols>
  <sheetData>
    <row r="1" spans="1:34" ht="72" x14ac:dyDescent="0.45">
      <c r="A1" s="273" t="s">
        <v>2</v>
      </c>
      <c r="B1" s="274" t="s">
        <v>12</v>
      </c>
      <c r="C1" s="273" t="s">
        <v>931</v>
      </c>
      <c r="D1" s="273" t="s">
        <v>2355</v>
      </c>
      <c r="E1" s="275" t="s">
        <v>2817</v>
      </c>
      <c r="F1" s="273" t="s">
        <v>2818</v>
      </c>
      <c r="G1" s="273" t="s">
        <v>2139</v>
      </c>
      <c r="H1" s="275" t="s">
        <v>2345</v>
      </c>
      <c r="I1" s="273" t="s">
        <v>932</v>
      </c>
      <c r="J1" s="273" t="s">
        <v>929</v>
      </c>
      <c r="K1" s="276" t="s">
        <v>930</v>
      </c>
      <c r="L1" s="276" t="s">
        <v>2346</v>
      </c>
      <c r="M1" s="276" t="s">
        <v>917</v>
      </c>
      <c r="N1" s="277" t="s">
        <v>59</v>
      </c>
      <c r="O1" s="276" t="s">
        <v>60</v>
      </c>
      <c r="P1" s="276" t="s">
        <v>61</v>
      </c>
      <c r="Q1" s="276" t="s">
        <v>2134</v>
      </c>
      <c r="R1" s="276" t="s">
        <v>90</v>
      </c>
      <c r="S1" s="276" t="s">
        <v>62</v>
      </c>
      <c r="T1" s="276" t="s">
        <v>63</v>
      </c>
      <c r="U1" s="276" t="s">
        <v>64</v>
      </c>
      <c r="V1" s="276" t="s">
        <v>934</v>
      </c>
      <c r="W1" s="276" t="s">
        <v>965</v>
      </c>
      <c r="X1" s="276" t="s">
        <v>920</v>
      </c>
      <c r="Y1" s="276" t="s">
        <v>65</v>
      </c>
      <c r="Z1" s="276" t="s">
        <v>66</v>
      </c>
      <c r="AA1" s="276" t="s">
        <v>67</v>
      </c>
      <c r="AB1" s="274" t="s">
        <v>68</v>
      </c>
      <c r="AC1" s="276" t="s">
        <v>69</v>
      </c>
      <c r="AD1" s="276" t="s">
        <v>70</v>
      </c>
      <c r="AE1" s="274" t="s">
        <v>71</v>
      </c>
      <c r="AF1" s="276" t="s">
        <v>72</v>
      </c>
      <c r="AG1" s="272"/>
      <c r="AH1" s="272"/>
    </row>
    <row r="2" spans="1:34" s="570" customFormat="1" ht="18" x14ac:dyDescent="0.45">
      <c r="A2" s="543">
        <v>1</v>
      </c>
      <c r="B2" s="567">
        <v>43988</v>
      </c>
      <c r="C2" s="545" t="s">
        <v>2151</v>
      </c>
      <c r="D2" s="568" t="s">
        <v>1386</v>
      </c>
      <c r="E2" s="546">
        <v>785024670</v>
      </c>
      <c r="F2" s="545"/>
      <c r="G2" s="545"/>
      <c r="H2" s="546"/>
      <c r="I2" s="548" t="s">
        <v>2379</v>
      </c>
      <c r="J2" s="549"/>
      <c r="K2" s="543"/>
      <c r="L2" s="543" t="s">
        <v>2357</v>
      </c>
      <c r="M2" s="543">
        <v>1</v>
      </c>
      <c r="N2" s="543">
        <f>IFERROR(VLOOKUP(L2,[4]COA!E:F,2,0),"-")</f>
        <v>3113700</v>
      </c>
      <c r="O2" s="552">
        <v>0.01</v>
      </c>
      <c r="P2" s="552">
        <v>0.11</v>
      </c>
      <c r="Q2" s="552">
        <v>0.1</v>
      </c>
      <c r="R2" s="553"/>
      <c r="S2" s="552">
        <v>0.3</v>
      </c>
      <c r="T2" s="552">
        <f>100%-S2</f>
        <v>0.7</v>
      </c>
      <c r="U2" s="554">
        <f>(N2*S2)+(N2*T2*P2)+(N2*O2)+R2</f>
        <v>1205001.8999999999</v>
      </c>
      <c r="V2" s="554">
        <f>U2</f>
        <v>1205001.8999999999</v>
      </c>
      <c r="W2" s="554"/>
      <c r="X2" s="555"/>
      <c r="Y2" s="554">
        <f>N2*T2</f>
        <v>2179590</v>
      </c>
      <c r="Z2" s="543"/>
      <c r="AA2" s="552">
        <f>T2/2</f>
        <v>0.35</v>
      </c>
      <c r="AB2" s="569">
        <f>EDATE(B2,6)</f>
        <v>44171</v>
      </c>
      <c r="AC2" s="554"/>
      <c r="AD2" s="552">
        <f>T2/2</f>
        <v>0.35</v>
      </c>
      <c r="AE2" s="569">
        <f>EDATE(B2,12)</f>
        <v>44353</v>
      </c>
      <c r="AF2" s="554"/>
      <c r="AG2" s="557"/>
      <c r="AH2" s="557"/>
    </row>
    <row r="3" spans="1:34" ht="18" x14ac:dyDescent="0.45">
      <c r="A3" s="119">
        <v>2</v>
      </c>
      <c r="B3" s="291">
        <v>44138</v>
      </c>
      <c r="C3" s="281" t="s">
        <v>2384</v>
      </c>
      <c r="D3" s="281" t="s">
        <v>2286</v>
      </c>
      <c r="E3" s="280">
        <v>784466118</v>
      </c>
      <c r="F3" s="281" t="s">
        <v>2385</v>
      </c>
      <c r="G3" s="281" t="s">
        <v>2386</v>
      </c>
      <c r="H3" s="280">
        <v>796368757</v>
      </c>
      <c r="I3" s="282" t="s">
        <v>2387</v>
      </c>
      <c r="J3" s="283"/>
      <c r="K3" s="284"/>
      <c r="L3" s="284" t="s">
        <v>2356</v>
      </c>
      <c r="M3" s="284">
        <v>1</v>
      </c>
      <c r="N3" s="284">
        <f>IFERROR(VLOOKUP(L3,[4]COA!E:F,2,0),"-")</f>
        <v>3191300</v>
      </c>
      <c r="O3" s="285">
        <v>0.01</v>
      </c>
      <c r="P3" s="285">
        <v>0.11</v>
      </c>
      <c r="Q3" s="285">
        <v>0.1</v>
      </c>
      <c r="R3" s="286"/>
      <c r="S3" s="285">
        <v>0.3</v>
      </c>
      <c r="T3" s="285">
        <f t="shared" ref="T3:T21" si="0">100%-S3</f>
        <v>0.7</v>
      </c>
      <c r="U3" s="287">
        <f>(N3*S3)+(N3*T3*P3)+(N3*O3)+R3</f>
        <v>1235033.1000000001</v>
      </c>
      <c r="V3" s="287">
        <f t="shared" ref="V3:V26" si="1">U3</f>
        <v>1235033.1000000001</v>
      </c>
      <c r="W3" s="287"/>
      <c r="X3" s="292"/>
      <c r="Y3" s="287">
        <f>N3*T3</f>
        <v>2233910</v>
      </c>
      <c r="Z3" s="289"/>
      <c r="AA3" s="211">
        <f>T3/2</f>
        <v>0.35</v>
      </c>
      <c r="AB3" s="290">
        <f>EDATE(B3,6)</f>
        <v>44319</v>
      </c>
      <c r="AC3" s="554"/>
      <c r="AD3" s="211">
        <f>T3/2</f>
        <v>0.35</v>
      </c>
      <c r="AE3" s="290">
        <f>EDATE(B3,12)</f>
        <v>44503</v>
      </c>
      <c r="AF3" s="212">
        <f>N3*AD3</f>
        <v>1116955</v>
      </c>
      <c r="AG3" s="11"/>
      <c r="AH3" s="11"/>
    </row>
    <row r="4" spans="1:34" ht="18" x14ac:dyDescent="0.45">
      <c r="A4" s="119">
        <v>3</v>
      </c>
      <c r="B4" s="291"/>
      <c r="C4" s="293"/>
      <c r="D4" s="293"/>
      <c r="E4" s="294"/>
      <c r="F4" s="293"/>
      <c r="G4" s="293"/>
      <c r="H4" s="294"/>
      <c r="I4" s="282"/>
      <c r="J4" s="283"/>
      <c r="K4" s="284"/>
      <c r="L4" s="284"/>
      <c r="M4" s="284"/>
      <c r="N4" s="284" t="str">
        <f>IFERROR(VLOOKUP(L4,[4]COA!E:F,2,0),"-")</f>
        <v>-</v>
      </c>
      <c r="O4" s="285">
        <v>0.01</v>
      </c>
      <c r="P4" s="285">
        <v>0.11</v>
      </c>
      <c r="Q4" s="285">
        <v>0.1</v>
      </c>
      <c r="R4" s="286"/>
      <c r="S4" s="285">
        <v>0.3</v>
      </c>
      <c r="T4" s="285">
        <f t="shared" si="0"/>
        <v>0.7</v>
      </c>
      <c r="U4" s="287"/>
      <c r="V4" s="287"/>
      <c r="W4" s="287"/>
      <c r="X4" s="295"/>
      <c r="Y4" s="287"/>
      <c r="Z4" s="289"/>
      <c r="AA4" s="211"/>
      <c r="AB4" s="290"/>
      <c r="AC4" s="212"/>
      <c r="AD4" s="211"/>
      <c r="AE4" s="290"/>
      <c r="AF4" s="212"/>
      <c r="AG4" s="11"/>
      <c r="AH4" s="11"/>
    </row>
    <row r="5" spans="1:34" ht="18" x14ac:dyDescent="0.45">
      <c r="A5" s="119">
        <v>4</v>
      </c>
      <c r="B5" s="291"/>
      <c r="C5" s="293"/>
      <c r="D5" s="293"/>
      <c r="E5" s="294"/>
      <c r="F5" s="293"/>
      <c r="G5" s="293"/>
      <c r="H5" s="294"/>
      <c r="I5" s="282"/>
      <c r="J5" s="283"/>
      <c r="K5" s="284"/>
      <c r="L5" s="284"/>
      <c r="M5" s="284"/>
      <c r="N5" s="284" t="str">
        <f>IFERROR(VLOOKUP(L5,[4]COA!E:F,2,0),"-")</f>
        <v>-</v>
      </c>
      <c r="O5" s="285">
        <v>0.01</v>
      </c>
      <c r="P5" s="285">
        <v>0.11</v>
      </c>
      <c r="Q5" s="285">
        <v>0.1</v>
      </c>
      <c r="R5" s="286"/>
      <c r="S5" s="285">
        <v>0.3</v>
      </c>
      <c r="T5" s="285">
        <f t="shared" si="0"/>
        <v>0.7</v>
      </c>
      <c r="U5" s="287"/>
      <c r="V5" s="287"/>
      <c r="W5" s="287"/>
      <c r="X5" s="288"/>
      <c r="Y5" s="287"/>
      <c r="Z5" s="289"/>
      <c r="AA5" s="211"/>
      <c r="AB5" s="290"/>
      <c r="AC5" s="212"/>
      <c r="AD5" s="211"/>
      <c r="AE5" s="290"/>
      <c r="AF5" s="212"/>
      <c r="AG5" s="11"/>
      <c r="AH5" s="11"/>
    </row>
    <row r="6" spans="1:34" ht="18" x14ac:dyDescent="0.45">
      <c r="A6" s="119">
        <v>5</v>
      </c>
      <c r="B6" s="291"/>
      <c r="C6" s="293"/>
      <c r="D6" s="293"/>
      <c r="E6" s="294"/>
      <c r="F6" s="293"/>
      <c r="G6" s="293"/>
      <c r="H6" s="294"/>
      <c r="I6" s="282"/>
      <c r="J6" s="283"/>
      <c r="K6" s="284"/>
      <c r="L6" s="284"/>
      <c r="M6" s="284"/>
      <c r="N6" s="284" t="str">
        <f>IFERROR(VLOOKUP(L6,[4]COA!E:F,2,0),"-")</f>
        <v>-</v>
      </c>
      <c r="O6" s="285">
        <v>0.01</v>
      </c>
      <c r="P6" s="285"/>
      <c r="Q6" s="285">
        <v>0.1</v>
      </c>
      <c r="R6" s="286"/>
      <c r="S6" s="285">
        <v>0.3</v>
      </c>
      <c r="T6" s="285">
        <f t="shared" si="0"/>
        <v>0.7</v>
      </c>
      <c r="U6" s="287"/>
      <c r="V6" s="287"/>
      <c r="W6" s="287"/>
      <c r="X6" s="288"/>
      <c r="Y6" s="287"/>
      <c r="Z6" s="289"/>
      <c r="AA6" s="211"/>
      <c r="AB6" s="290"/>
      <c r="AC6" s="212"/>
      <c r="AD6" s="211"/>
      <c r="AE6" s="290"/>
      <c r="AF6" s="212"/>
      <c r="AG6" s="11"/>
      <c r="AH6" s="11"/>
    </row>
    <row r="7" spans="1:34" ht="18" x14ac:dyDescent="0.45">
      <c r="A7" s="119">
        <v>6</v>
      </c>
      <c r="B7" s="291"/>
      <c r="C7" s="293"/>
      <c r="D7" s="293"/>
      <c r="E7" s="294"/>
      <c r="F7" s="293"/>
      <c r="G7" s="293"/>
      <c r="H7" s="294"/>
      <c r="I7" s="282"/>
      <c r="J7" s="283"/>
      <c r="K7" s="284"/>
      <c r="L7" s="284"/>
      <c r="M7" s="284"/>
      <c r="N7" s="284" t="str">
        <f>IFERROR(VLOOKUP(L7,[4]COA!E:F,2,0),"-")</f>
        <v>-</v>
      </c>
      <c r="O7" s="285">
        <v>0.01</v>
      </c>
      <c r="P7" s="285"/>
      <c r="Q7" s="285">
        <v>0.1</v>
      </c>
      <c r="R7" s="286"/>
      <c r="S7" s="285">
        <v>0.3</v>
      </c>
      <c r="T7" s="285">
        <f t="shared" si="0"/>
        <v>0.7</v>
      </c>
      <c r="U7" s="287"/>
      <c r="V7" s="287"/>
      <c r="W7" s="287"/>
      <c r="X7" s="288"/>
      <c r="Y7" s="287"/>
      <c r="Z7" s="289"/>
      <c r="AA7" s="211"/>
      <c r="AB7" s="290"/>
      <c r="AC7" s="212"/>
      <c r="AD7" s="211"/>
      <c r="AE7" s="290"/>
      <c r="AF7" s="212"/>
      <c r="AG7" s="11"/>
      <c r="AH7" s="11"/>
    </row>
    <row r="8" spans="1:34" ht="18" x14ac:dyDescent="0.45">
      <c r="A8" s="119">
        <v>7</v>
      </c>
      <c r="B8" s="291"/>
      <c r="C8" s="293"/>
      <c r="D8" s="293"/>
      <c r="E8" s="294"/>
      <c r="F8" s="293"/>
      <c r="G8" s="293"/>
      <c r="H8" s="294"/>
      <c r="I8" s="282"/>
      <c r="J8" s="283"/>
      <c r="K8" s="284"/>
      <c r="L8" s="284"/>
      <c r="M8" s="284"/>
      <c r="N8" s="284" t="str">
        <f>IFERROR(VLOOKUP(L8,[4]COA!E:F,2,0),"-")</f>
        <v>-</v>
      </c>
      <c r="O8" s="285">
        <v>0.01</v>
      </c>
      <c r="P8" s="285"/>
      <c r="Q8" s="285">
        <v>0.1</v>
      </c>
      <c r="R8" s="286"/>
      <c r="S8" s="285">
        <v>0.3</v>
      </c>
      <c r="T8" s="285">
        <f t="shared" si="0"/>
        <v>0.7</v>
      </c>
      <c r="U8" s="287"/>
      <c r="V8" s="287"/>
      <c r="W8" s="287"/>
      <c r="X8" s="288"/>
      <c r="Y8" s="287"/>
      <c r="Z8" s="289"/>
      <c r="AA8" s="211"/>
      <c r="AB8" s="290"/>
      <c r="AC8" s="212"/>
      <c r="AD8" s="211"/>
      <c r="AE8" s="290"/>
      <c r="AF8" s="212"/>
      <c r="AG8" s="11"/>
      <c r="AH8" s="11"/>
    </row>
    <row r="9" spans="1:34" ht="18" x14ac:dyDescent="0.25">
      <c r="A9" s="119">
        <v>8</v>
      </c>
      <c r="B9" s="291"/>
      <c r="C9" s="293"/>
      <c r="D9" s="293"/>
      <c r="E9" s="294"/>
      <c r="F9" s="293"/>
      <c r="G9" s="293"/>
      <c r="H9" s="294"/>
      <c r="I9" s="283"/>
      <c r="J9" s="283"/>
      <c r="K9" s="284"/>
      <c r="L9" s="284"/>
      <c r="M9" s="284"/>
      <c r="N9" s="284" t="str">
        <f>IFERROR(VLOOKUP(L9,[4]COA!E:F,2,0),"-")</f>
        <v>-</v>
      </c>
      <c r="O9" s="285">
        <v>0.01</v>
      </c>
      <c r="P9" s="285"/>
      <c r="Q9" s="285">
        <v>0.1</v>
      </c>
      <c r="R9" s="286"/>
      <c r="S9" s="285">
        <v>0.3</v>
      </c>
      <c r="T9" s="285">
        <f t="shared" si="0"/>
        <v>0.7</v>
      </c>
      <c r="U9" s="287"/>
      <c r="V9" s="287"/>
      <c r="W9" s="287"/>
      <c r="X9" s="288"/>
      <c r="Y9" s="287"/>
      <c r="Z9" s="289"/>
      <c r="AA9" s="211"/>
      <c r="AB9" s="290"/>
      <c r="AC9" s="212"/>
      <c r="AD9" s="211"/>
      <c r="AE9" s="290"/>
      <c r="AF9" s="212"/>
      <c r="AG9" s="11"/>
      <c r="AH9" s="11"/>
    </row>
    <row r="10" spans="1:34" ht="18" x14ac:dyDescent="0.45">
      <c r="A10" s="119">
        <v>9</v>
      </c>
      <c r="B10" s="291"/>
      <c r="C10" s="293"/>
      <c r="D10" s="293"/>
      <c r="E10" s="294"/>
      <c r="F10" s="293"/>
      <c r="G10" s="293"/>
      <c r="H10" s="294"/>
      <c r="I10" s="282"/>
      <c r="J10" s="283"/>
      <c r="K10" s="284"/>
      <c r="L10" s="284"/>
      <c r="M10" s="284"/>
      <c r="N10" s="284" t="str">
        <f>IFERROR(VLOOKUP(L10,[4]COA!E:F,2,0),"-")</f>
        <v>-</v>
      </c>
      <c r="O10" s="285">
        <v>0.01</v>
      </c>
      <c r="P10" s="285"/>
      <c r="Q10" s="285">
        <v>0.1</v>
      </c>
      <c r="R10" s="286"/>
      <c r="S10" s="285">
        <v>0.3</v>
      </c>
      <c r="T10" s="285">
        <f t="shared" si="0"/>
        <v>0.7</v>
      </c>
      <c r="U10" s="287"/>
      <c r="V10" s="287"/>
      <c r="W10" s="287"/>
      <c r="X10" s="288"/>
      <c r="Y10" s="287"/>
      <c r="Z10" s="289"/>
      <c r="AA10" s="211"/>
      <c r="AB10" s="290"/>
      <c r="AC10" s="212"/>
      <c r="AD10" s="211"/>
      <c r="AE10" s="290"/>
      <c r="AF10" s="212"/>
      <c r="AG10" s="11"/>
      <c r="AH10" s="11"/>
    </row>
    <row r="11" spans="1:34" ht="18" x14ac:dyDescent="0.45">
      <c r="A11" s="119">
        <v>10</v>
      </c>
      <c r="B11" s="291"/>
      <c r="C11" s="293"/>
      <c r="D11" s="293"/>
      <c r="E11" s="294"/>
      <c r="F11" s="293"/>
      <c r="G11" s="293"/>
      <c r="H11" s="294"/>
      <c r="I11" s="282"/>
      <c r="J11" s="283"/>
      <c r="K11" s="284"/>
      <c r="L11" s="284"/>
      <c r="M11" s="284"/>
      <c r="N11" s="284" t="str">
        <f>IFERROR(VLOOKUP(L11,[4]COA!E:F,2,0),"-")</f>
        <v>-</v>
      </c>
      <c r="O11" s="285">
        <v>0.01</v>
      </c>
      <c r="P11" s="285"/>
      <c r="Q11" s="285">
        <v>0.1</v>
      </c>
      <c r="R11" s="286"/>
      <c r="S11" s="285">
        <v>0.3</v>
      </c>
      <c r="T11" s="285">
        <f t="shared" si="0"/>
        <v>0.7</v>
      </c>
      <c r="U11" s="287"/>
      <c r="V11" s="287"/>
      <c r="W11" s="296"/>
      <c r="X11" s="297"/>
      <c r="Y11" s="287"/>
      <c r="Z11" s="289"/>
      <c r="AA11" s="211"/>
      <c r="AB11" s="290"/>
      <c r="AC11" s="212"/>
      <c r="AD11" s="211"/>
      <c r="AE11" s="290"/>
      <c r="AF11" s="212"/>
      <c r="AG11" s="11"/>
      <c r="AH11" s="11"/>
    </row>
    <row r="12" spans="1:34" ht="18" x14ac:dyDescent="0.45">
      <c r="A12" s="119">
        <v>11</v>
      </c>
      <c r="B12" s="291"/>
      <c r="C12" s="293"/>
      <c r="D12" s="293"/>
      <c r="E12" s="294"/>
      <c r="F12" s="293"/>
      <c r="G12" s="293"/>
      <c r="H12" s="294"/>
      <c r="I12" s="282"/>
      <c r="J12" s="283"/>
      <c r="K12" s="284"/>
      <c r="L12" s="284"/>
      <c r="M12" s="284"/>
      <c r="N12" s="284" t="str">
        <f>IFERROR(VLOOKUP(L12,[4]COA!E:F,2,0),"-")</f>
        <v>-</v>
      </c>
      <c r="O12" s="285">
        <v>0.01</v>
      </c>
      <c r="P12" s="285"/>
      <c r="Q12" s="285">
        <v>0.1</v>
      </c>
      <c r="R12" s="286"/>
      <c r="S12" s="285">
        <v>0.3</v>
      </c>
      <c r="T12" s="285">
        <f t="shared" si="0"/>
        <v>0.7</v>
      </c>
      <c r="U12" s="287"/>
      <c r="V12" s="287"/>
      <c r="W12" s="287"/>
      <c r="X12" s="288"/>
      <c r="Y12" s="287"/>
      <c r="Z12" s="289"/>
      <c r="AA12" s="211"/>
      <c r="AB12" s="290"/>
      <c r="AC12" s="212"/>
      <c r="AD12" s="211"/>
      <c r="AE12" s="290"/>
      <c r="AF12" s="212"/>
      <c r="AG12" s="11"/>
      <c r="AH12" s="11"/>
    </row>
    <row r="13" spans="1:34" ht="18" x14ac:dyDescent="0.45">
      <c r="A13" s="119">
        <v>12</v>
      </c>
      <c r="B13" s="291"/>
      <c r="C13" s="293"/>
      <c r="D13" s="293"/>
      <c r="E13" s="294"/>
      <c r="F13" s="293"/>
      <c r="G13" s="293"/>
      <c r="H13" s="294"/>
      <c r="I13" s="282"/>
      <c r="J13" s="283"/>
      <c r="K13" s="284"/>
      <c r="L13" s="284"/>
      <c r="M13" s="284"/>
      <c r="N13" s="298"/>
      <c r="O13" s="285">
        <v>0.01</v>
      </c>
      <c r="P13" s="285"/>
      <c r="Q13" s="285">
        <v>0.1</v>
      </c>
      <c r="R13" s="286"/>
      <c r="S13" s="285">
        <v>0.3</v>
      </c>
      <c r="T13" s="285">
        <f t="shared" si="0"/>
        <v>0.7</v>
      </c>
      <c r="U13" s="287"/>
      <c r="V13" s="287"/>
      <c r="W13" s="287"/>
      <c r="X13" s="288"/>
      <c r="Y13" s="287"/>
      <c r="Z13" s="289"/>
      <c r="AA13" s="211"/>
      <c r="AB13" s="290"/>
      <c r="AC13" s="212"/>
      <c r="AD13" s="211"/>
      <c r="AE13" s="290"/>
      <c r="AF13" s="212"/>
      <c r="AG13" s="11"/>
      <c r="AH13" s="11"/>
    </row>
    <row r="14" spans="1:34" ht="18" x14ac:dyDescent="0.45">
      <c r="A14" s="119">
        <v>13</v>
      </c>
      <c r="B14" s="291"/>
      <c r="C14" s="293"/>
      <c r="D14" s="293"/>
      <c r="E14" s="294"/>
      <c r="F14" s="293"/>
      <c r="G14" s="293"/>
      <c r="H14" s="294"/>
      <c r="I14" s="282"/>
      <c r="J14" s="283"/>
      <c r="K14" s="284"/>
      <c r="L14" s="284"/>
      <c r="M14" s="284"/>
      <c r="N14" s="298"/>
      <c r="O14" s="285">
        <v>0.01</v>
      </c>
      <c r="P14" s="285"/>
      <c r="Q14" s="285">
        <v>0.1</v>
      </c>
      <c r="R14" s="286"/>
      <c r="S14" s="285">
        <v>0.3</v>
      </c>
      <c r="T14" s="285">
        <f t="shared" si="0"/>
        <v>0.7</v>
      </c>
      <c r="U14" s="287"/>
      <c r="V14" s="287"/>
      <c r="W14" s="287"/>
      <c r="X14" s="288"/>
      <c r="Y14" s="287"/>
      <c r="Z14" s="289"/>
      <c r="AA14" s="211"/>
      <c r="AB14" s="290"/>
      <c r="AC14" s="212"/>
      <c r="AD14" s="211"/>
      <c r="AE14" s="290"/>
      <c r="AF14" s="212"/>
      <c r="AG14" s="11"/>
      <c r="AH14" s="11"/>
    </row>
    <row r="15" spans="1:34" ht="18" x14ac:dyDescent="0.45">
      <c r="A15" s="119">
        <v>14</v>
      </c>
      <c r="B15" s="291"/>
      <c r="C15" s="293"/>
      <c r="D15" s="293"/>
      <c r="E15" s="294"/>
      <c r="F15" s="293"/>
      <c r="G15" s="293"/>
      <c r="H15" s="294"/>
      <c r="I15" s="282"/>
      <c r="J15" s="283"/>
      <c r="K15" s="284"/>
      <c r="L15" s="284"/>
      <c r="M15" s="284"/>
      <c r="N15" s="298"/>
      <c r="O15" s="285">
        <v>0.01</v>
      </c>
      <c r="P15" s="285"/>
      <c r="Q15" s="285">
        <v>0.1</v>
      </c>
      <c r="R15" s="286"/>
      <c r="S15" s="285">
        <v>0.3</v>
      </c>
      <c r="T15" s="285">
        <f t="shared" si="0"/>
        <v>0.7</v>
      </c>
      <c r="U15" s="287">
        <f>N15*O15+N15*T15*Q15+N15*S15</f>
        <v>0</v>
      </c>
      <c r="V15" s="287">
        <f t="shared" si="1"/>
        <v>0</v>
      </c>
      <c r="W15" s="287"/>
      <c r="X15" s="288"/>
      <c r="Y15" s="287">
        <f>N15*T15</f>
        <v>0</v>
      </c>
      <c r="Z15" s="289"/>
      <c r="AA15" s="211"/>
      <c r="AB15" s="290"/>
      <c r="AC15" s="212"/>
      <c r="AD15" s="211"/>
      <c r="AE15" s="290"/>
      <c r="AF15" s="212"/>
      <c r="AG15" s="11"/>
      <c r="AH15" s="11"/>
    </row>
    <row r="16" spans="1:34" ht="18" x14ac:dyDescent="0.45">
      <c r="A16" s="119">
        <v>15</v>
      </c>
      <c r="B16" s="291"/>
      <c r="C16" s="293"/>
      <c r="D16" s="293"/>
      <c r="E16" s="294"/>
      <c r="F16" s="293"/>
      <c r="G16" s="293"/>
      <c r="H16" s="294"/>
      <c r="I16" s="282"/>
      <c r="J16" s="283"/>
      <c r="K16" s="284"/>
      <c r="L16" s="284"/>
      <c r="M16" s="284"/>
      <c r="N16" s="298"/>
      <c r="O16" s="285">
        <v>0.01</v>
      </c>
      <c r="P16" s="285"/>
      <c r="Q16" s="285">
        <v>0.1</v>
      </c>
      <c r="R16" s="286"/>
      <c r="S16" s="285">
        <v>0.3</v>
      </c>
      <c r="T16" s="285">
        <f t="shared" si="0"/>
        <v>0.7</v>
      </c>
      <c r="U16" s="287">
        <f>N16*O16+N16*T16*Q16+N16*S16</f>
        <v>0</v>
      </c>
      <c r="V16" s="287">
        <f t="shared" si="1"/>
        <v>0</v>
      </c>
      <c r="W16" s="287"/>
      <c r="X16" s="288"/>
      <c r="Y16" s="287">
        <f>N16*T16</f>
        <v>0</v>
      </c>
      <c r="Z16" s="289"/>
      <c r="AA16" s="211"/>
      <c r="AB16" s="290"/>
      <c r="AC16" s="212"/>
      <c r="AD16" s="211"/>
      <c r="AE16" s="290"/>
      <c r="AF16" s="212"/>
      <c r="AG16" s="11"/>
      <c r="AH16" s="11"/>
    </row>
    <row r="17" spans="1:34" ht="18" x14ac:dyDescent="0.45">
      <c r="A17" s="119">
        <v>16</v>
      </c>
      <c r="B17" s="291"/>
      <c r="C17" s="293"/>
      <c r="D17" s="293"/>
      <c r="E17" s="294"/>
      <c r="F17" s="293"/>
      <c r="G17" s="293"/>
      <c r="H17" s="294"/>
      <c r="I17" s="282"/>
      <c r="J17" s="283"/>
      <c r="K17" s="284"/>
      <c r="L17" s="284"/>
      <c r="M17" s="284"/>
      <c r="N17" s="298"/>
      <c r="O17" s="285">
        <v>0.01</v>
      </c>
      <c r="P17" s="285"/>
      <c r="Q17" s="285">
        <v>0.1</v>
      </c>
      <c r="R17" s="286"/>
      <c r="S17" s="285">
        <v>0.3</v>
      </c>
      <c r="T17" s="285">
        <f t="shared" si="0"/>
        <v>0.7</v>
      </c>
      <c r="U17" s="299">
        <f>IFERROR(N17*O17+N17*T17*Q17+N17*S17,"-")</f>
        <v>0</v>
      </c>
      <c r="V17" s="299">
        <f t="shared" si="1"/>
        <v>0</v>
      </c>
      <c r="W17" s="287"/>
      <c r="X17" s="288"/>
      <c r="Y17" s="299">
        <f>IFERROR(N17*T17,"-")</f>
        <v>0</v>
      </c>
      <c r="Z17" s="289"/>
      <c r="AA17" s="211"/>
      <c r="AB17" s="290"/>
      <c r="AC17" s="300"/>
      <c r="AD17" s="211"/>
      <c r="AE17" s="290"/>
      <c r="AF17" s="212"/>
      <c r="AG17" s="11"/>
      <c r="AH17" s="11"/>
    </row>
    <row r="18" spans="1:34" ht="18" x14ac:dyDescent="0.45">
      <c r="A18" s="119">
        <v>17</v>
      </c>
      <c r="B18" s="291"/>
      <c r="C18" s="293"/>
      <c r="D18" s="293"/>
      <c r="E18" s="294"/>
      <c r="F18" s="293"/>
      <c r="G18" s="293"/>
      <c r="H18" s="294"/>
      <c r="I18" s="282"/>
      <c r="J18" s="283"/>
      <c r="K18" s="284"/>
      <c r="L18" s="284"/>
      <c r="M18" s="284"/>
      <c r="N18" s="301" t="str">
        <f>IFERROR(VLOOKUP(L18,[4]COA!E:F,2,0),"-")</f>
        <v>-</v>
      </c>
      <c r="O18" s="285">
        <v>0.01</v>
      </c>
      <c r="P18" s="285"/>
      <c r="Q18" s="285">
        <v>0.1</v>
      </c>
      <c r="R18" s="286"/>
      <c r="S18" s="285">
        <v>0.3</v>
      </c>
      <c r="T18" s="285">
        <f t="shared" si="0"/>
        <v>0.7</v>
      </c>
      <c r="U18" s="299" t="str">
        <f t="shared" ref="U18:U27" si="2">IFERROR(N18*O18+N18*T18*Q18+N18*S18,"-")</f>
        <v>-</v>
      </c>
      <c r="V18" s="299" t="str">
        <f t="shared" si="1"/>
        <v>-</v>
      </c>
      <c r="W18" s="287"/>
      <c r="X18" s="288"/>
      <c r="Y18" s="299" t="str">
        <f t="shared" ref="Y18:Y27" si="3">IFERROR(N18*T18,"-")</f>
        <v>-</v>
      </c>
      <c r="Z18" s="289"/>
      <c r="AA18" s="211"/>
      <c r="AB18" s="290"/>
      <c r="AC18" s="300"/>
      <c r="AD18" s="211"/>
      <c r="AE18" s="290"/>
      <c r="AF18" s="300"/>
      <c r="AG18" s="11"/>
      <c r="AH18" s="11"/>
    </row>
    <row r="19" spans="1:34" ht="18" x14ac:dyDescent="0.45">
      <c r="A19" s="119">
        <v>18</v>
      </c>
      <c r="B19" s="291"/>
      <c r="C19" s="293"/>
      <c r="D19" s="293"/>
      <c r="E19" s="294"/>
      <c r="F19" s="293"/>
      <c r="G19" s="293"/>
      <c r="H19" s="294"/>
      <c r="I19" s="282"/>
      <c r="J19" s="282"/>
      <c r="K19" s="283"/>
      <c r="L19" s="284"/>
      <c r="M19" s="284"/>
      <c r="N19" s="284" t="str">
        <f>IFERROR(VLOOKUP(L19,[4]COA!E:F,2,0),"-")</f>
        <v>-</v>
      </c>
      <c r="O19" s="285">
        <v>0.01</v>
      </c>
      <c r="P19" s="285"/>
      <c r="Q19" s="285">
        <v>0.1</v>
      </c>
      <c r="R19" s="286"/>
      <c r="S19" s="285">
        <v>0.3</v>
      </c>
      <c r="T19" s="285">
        <f t="shared" si="0"/>
        <v>0.7</v>
      </c>
      <c r="U19" s="299" t="str">
        <f t="shared" si="2"/>
        <v>-</v>
      </c>
      <c r="V19" s="299" t="str">
        <f t="shared" si="1"/>
        <v>-</v>
      </c>
      <c r="W19" s="287"/>
      <c r="X19" s="288"/>
      <c r="Y19" s="299" t="str">
        <f t="shared" si="3"/>
        <v>-</v>
      </c>
      <c r="Z19" s="289"/>
      <c r="AA19" s="211"/>
      <c r="AB19" s="290"/>
      <c r="AC19" s="300"/>
      <c r="AD19" s="211"/>
      <c r="AE19" s="290"/>
      <c r="AF19" s="300"/>
      <c r="AG19" s="11"/>
      <c r="AH19" s="11"/>
    </row>
    <row r="20" spans="1:34" ht="18" x14ac:dyDescent="0.45">
      <c r="A20" s="119">
        <v>19</v>
      </c>
      <c r="B20" s="291"/>
      <c r="C20" s="293"/>
      <c r="D20" s="293"/>
      <c r="E20" s="294"/>
      <c r="F20" s="293"/>
      <c r="G20" s="293"/>
      <c r="H20" s="294"/>
      <c r="I20" s="282"/>
      <c r="J20" s="282"/>
      <c r="K20" s="283"/>
      <c r="L20" s="284"/>
      <c r="M20" s="119"/>
      <c r="N20" s="302" t="str">
        <f>IFERROR(VLOOKUP(L20,[4]COA!E:F,2,0),"-")</f>
        <v>-</v>
      </c>
      <c r="O20" s="285">
        <v>0.01</v>
      </c>
      <c r="P20" s="285"/>
      <c r="Q20" s="285">
        <v>0.1</v>
      </c>
      <c r="R20" s="286"/>
      <c r="S20" s="285">
        <v>0.3</v>
      </c>
      <c r="T20" s="285">
        <f t="shared" si="0"/>
        <v>0.7</v>
      </c>
      <c r="U20" s="157" t="str">
        <f t="shared" si="2"/>
        <v>-</v>
      </c>
      <c r="V20" s="303" t="str">
        <f t="shared" si="1"/>
        <v>-</v>
      </c>
      <c r="W20" s="135"/>
      <c r="X20" s="134"/>
      <c r="Y20" s="157" t="str">
        <f t="shared" si="3"/>
        <v>-</v>
      </c>
      <c r="Z20" s="119"/>
      <c r="AA20" s="211"/>
      <c r="AB20" s="290"/>
      <c r="AC20" s="300"/>
      <c r="AD20" s="211"/>
      <c r="AE20" s="290"/>
      <c r="AF20" s="300"/>
      <c r="AG20" s="11"/>
      <c r="AH20" s="11"/>
    </row>
    <row r="21" spans="1:34" ht="18" x14ac:dyDescent="0.45">
      <c r="A21" s="119"/>
      <c r="B21" s="304"/>
      <c r="C21" s="119"/>
      <c r="D21" s="119"/>
      <c r="E21" s="305"/>
      <c r="F21" s="119"/>
      <c r="G21" s="119"/>
      <c r="H21" s="305"/>
      <c r="I21" s="1"/>
      <c r="J21" s="1"/>
      <c r="K21" s="119"/>
      <c r="L21" s="119"/>
      <c r="M21" s="119"/>
      <c r="N21" s="302" t="str">
        <f>IFERROR(VLOOKUP(L21,[4]COA!E:F,2,0),"-")</f>
        <v>-</v>
      </c>
      <c r="O21" s="285">
        <v>0.01</v>
      </c>
      <c r="P21" s="285"/>
      <c r="Q21" s="285">
        <v>0.1</v>
      </c>
      <c r="R21" s="286"/>
      <c r="S21" s="285">
        <v>0.3</v>
      </c>
      <c r="T21" s="285">
        <f t="shared" si="0"/>
        <v>0.7</v>
      </c>
      <c r="U21" s="157" t="str">
        <f t="shared" si="2"/>
        <v>-</v>
      </c>
      <c r="V21" s="303" t="str">
        <f t="shared" si="1"/>
        <v>-</v>
      </c>
      <c r="W21" s="135"/>
      <c r="X21" s="134"/>
      <c r="Y21" s="157" t="str">
        <f t="shared" si="3"/>
        <v>-</v>
      </c>
      <c r="Z21" s="119"/>
      <c r="AA21" s="155"/>
      <c r="AB21" s="306"/>
      <c r="AC21" s="303"/>
      <c r="AD21" s="155"/>
      <c r="AE21" s="307"/>
      <c r="AF21" s="157"/>
      <c r="AG21" s="11"/>
      <c r="AH21" s="11"/>
    </row>
    <row r="22" spans="1:34" ht="18" x14ac:dyDescent="0.45">
      <c r="A22" s="119"/>
      <c r="B22" s="304"/>
      <c r="C22" s="119"/>
      <c r="D22" s="119"/>
      <c r="E22" s="305"/>
      <c r="F22" s="119"/>
      <c r="G22" s="119"/>
      <c r="H22" s="305"/>
      <c r="I22" s="1"/>
      <c r="J22" s="1"/>
      <c r="K22" s="119"/>
      <c r="L22" s="119"/>
      <c r="M22" s="119"/>
      <c r="N22" s="302" t="str">
        <f>IFERROR(VLOOKUP(L22,[4]COA!E:F,2,0),"-")</f>
        <v>-</v>
      </c>
      <c r="O22" s="285">
        <v>0.01</v>
      </c>
      <c r="P22" s="285"/>
      <c r="Q22" s="285">
        <v>0.1</v>
      </c>
      <c r="R22" s="286"/>
      <c r="S22" s="285">
        <v>0.3</v>
      </c>
      <c r="T22" s="285">
        <f>100%-S22</f>
        <v>0.7</v>
      </c>
      <c r="U22" s="157" t="str">
        <f t="shared" si="2"/>
        <v>-</v>
      </c>
      <c r="V22" s="303" t="str">
        <f t="shared" si="1"/>
        <v>-</v>
      </c>
      <c r="W22" s="135"/>
      <c r="X22" s="134"/>
      <c r="Y22" s="157" t="str">
        <f t="shared" si="3"/>
        <v>-</v>
      </c>
      <c r="Z22" s="119"/>
      <c r="AA22" s="155"/>
      <c r="AB22" s="306"/>
      <c r="AC22" s="303"/>
      <c r="AD22" s="155"/>
      <c r="AE22" s="307"/>
      <c r="AF22" s="157"/>
      <c r="AG22" s="11"/>
      <c r="AH22" s="11"/>
    </row>
    <row r="23" spans="1:34" ht="18" x14ac:dyDescent="0.45">
      <c r="A23" s="119"/>
      <c r="B23" s="304"/>
      <c r="C23" s="119"/>
      <c r="D23" s="119"/>
      <c r="E23" s="305"/>
      <c r="F23" s="119"/>
      <c r="G23" s="119"/>
      <c r="H23" s="305"/>
      <c r="I23" s="1"/>
      <c r="J23" s="1"/>
      <c r="K23" s="119"/>
      <c r="L23" s="119"/>
      <c r="M23" s="119"/>
      <c r="N23" s="302" t="str">
        <f>IFERROR(VLOOKUP(L23,[4]COA!E:F,2,0),"-")</f>
        <v>-</v>
      </c>
      <c r="O23" s="285">
        <v>0.01</v>
      </c>
      <c r="P23" s="285"/>
      <c r="Q23" s="285">
        <v>0.1</v>
      </c>
      <c r="R23" s="286"/>
      <c r="S23" s="285">
        <v>0.3</v>
      </c>
      <c r="T23" s="285">
        <f>100%-S23</f>
        <v>0.7</v>
      </c>
      <c r="U23" s="157" t="str">
        <f t="shared" si="2"/>
        <v>-</v>
      </c>
      <c r="V23" s="303" t="str">
        <f t="shared" si="1"/>
        <v>-</v>
      </c>
      <c r="W23" s="135"/>
      <c r="X23" s="134"/>
      <c r="Y23" s="157" t="str">
        <f t="shared" si="3"/>
        <v>-</v>
      </c>
      <c r="Z23" s="119"/>
      <c r="AA23" s="155"/>
      <c r="AB23" s="306"/>
      <c r="AC23" s="303"/>
      <c r="AD23" s="155"/>
      <c r="AE23" s="307"/>
      <c r="AF23" s="157"/>
      <c r="AG23" s="11"/>
      <c r="AH23" s="11"/>
    </row>
    <row r="24" spans="1:34" ht="18" x14ac:dyDescent="0.45">
      <c r="A24" s="119"/>
      <c r="B24" s="304"/>
      <c r="C24" s="119"/>
      <c r="D24" s="119"/>
      <c r="E24" s="305"/>
      <c r="F24" s="119"/>
      <c r="G24" s="119"/>
      <c r="H24" s="305"/>
      <c r="I24" s="1"/>
      <c r="J24" s="1"/>
      <c r="K24" s="119"/>
      <c r="L24" s="119"/>
      <c r="M24" s="119"/>
      <c r="N24" s="302" t="str">
        <f>IFERROR(VLOOKUP(L24,[4]COA!E:F,2,0),"-")</f>
        <v>-</v>
      </c>
      <c r="O24" s="285">
        <v>0.01</v>
      </c>
      <c r="P24" s="285"/>
      <c r="Q24" s="285">
        <v>0.1</v>
      </c>
      <c r="R24" s="286"/>
      <c r="S24" s="285">
        <v>0.3</v>
      </c>
      <c r="T24" s="285">
        <f>100%-S24</f>
        <v>0.7</v>
      </c>
      <c r="U24" s="157" t="str">
        <f t="shared" si="2"/>
        <v>-</v>
      </c>
      <c r="V24" s="303" t="str">
        <f t="shared" si="1"/>
        <v>-</v>
      </c>
      <c r="W24" s="135"/>
      <c r="X24" s="134"/>
      <c r="Y24" s="157" t="str">
        <f t="shared" si="3"/>
        <v>-</v>
      </c>
      <c r="Z24" s="119"/>
      <c r="AA24" s="155"/>
      <c r="AB24" s="306"/>
      <c r="AC24" s="303"/>
      <c r="AD24" s="155"/>
      <c r="AE24" s="307"/>
      <c r="AF24" s="157"/>
      <c r="AG24" s="11"/>
      <c r="AH24" s="11"/>
    </row>
    <row r="25" spans="1:34" ht="18" x14ac:dyDescent="0.45">
      <c r="A25" s="119"/>
      <c r="B25" s="304"/>
      <c r="C25" s="119"/>
      <c r="D25" s="119"/>
      <c r="E25" s="305"/>
      <c r="F25" s="119"/>
      <c r="G25" s="119"/>
      <c r="H25" s="305"/>
      <c r="I25" s="1"/>
      <c r="J25" s="1"/>
      <c r="K25" s="119"/>
      <c r="L25" s="119"/>
      <c r="M25" s="119"/>
      <c r="N25" s="302" t="str">
        <f>IFERROR(VLOOKUP(L25,[4]COA!E:F,2,0),"-")</f>
        <v>-</v>
      </c>
      <c r="O25" s="285">
        <v>0.01</v>
      </c>
      <c r="P25" s="285"/>
      <c r="Q25" s="285">
        <v>0.1</v>
      </c>
      <c r="R25" s="286"/>
      <c r="S25" s="285">
        <v>0.3</v>
      </c>
      <c r="T25" s="285">
        <f>100%-S25</f>
        <v>0.7</v>
      </c>
      <c r="U25" s="157" t="str">
        <f t="shared" si="2"/>
        <v>-</v>
      </c>
      <c r="V25" s="303" t="str">
        <f t="shared" si="1"/>
        <v>-</v>
      </c>
      <c r="W25" s="135"/>
      <c r="X25" s="134"/>
      <c r="Y25" s="157" t="str">
        <f t="shared" si="3"/>
        <v>-</v>
      </c>
      <c r="Z25" s="119"/>
      <c r="AA25" s="155"/>
      <c r="AB25" s="306"/>
      <c r="AC25" s="303"/>
      <c r="AD25" s="155"/>
      <c r="AE25" s="307"/>
      <c r="AF25" s="157"/>
      <c r="AG25" s="11"/>
      <c r="AH25" s="11"/>
    </row>
    <row r="26" spans="1:34" ht="18" x14ac:dyDescent="0.45">
      <c r="A26" s="119"/>
      <c r="B26" s="304"/>
      <c r="C26" s="119"/>
      <c r="D26" s="119"/>
      <c r="E26" s="305"/>
      <c r="F26" s="119"/>
      <c r="G26" s="119"/>
      <c r="H26" s="305"/>
      <c r="I26" s="1"/>
      <c r="J26" s="1"/>
      <c r="K26" s="119"/>
      <c r="L26" s="119"/>
      <c r="M26" s="119"/>
      <c r="N26" s="302" t="str">
        <f>IFERROR(VLOOKUP(L26,[4]COA!E:F,2,0),"-")</f>
        <v>-</v>
      </c>
      <c r="O26" s="285">
        <v>0.01</v>
      </c>
      <c r="P26" s="285"/>
      <c r="Q26" s="285">
        <v>0.1</v>
      </c>
      <c r="R26" s="285"/>
      <c r="S26" s="285">
        <v>0.3</v>
      </c>
      <c r="T26" s="285">
        <f>100%-S26</f>
        <v>0.7</v>
      </c>
      <c r="U26" s="157" t="str">
        <f t="shared" si="2"/>
        <v>-</v>
      </c>
      <c r="V26" s="303" t="str">
        <f t="shared" si="1"/>
        <v>-</v>
      </c>
      <c r="W26" s="135"/>
      <c r="X26" s="134"/>
      <c r="Y26" s="157" t="str">
        <f t="shared" si="3"/>
        <v>-</v>
      </c>
      <c r="Z26" s="119"/>
      <c r="AA26" s="155"/>
      <c r="AB26" s="306"/>
      <c r="AC26" s="303"/>
      <c r="AD26" s="155"/>
      <c r="AE26" s="307"/>
      <c r="AF26" s="157"/>
      <c r="AG26" s="11"/>
      <c r="AH26" s="11"/>
    </row>
    <row r="27" spans="1:34" ht="18.75" thickBot="1" x14ac:dyDescent="0.5">
      <c r="A27" s="158"/>
      <c r="B27" s="308"/>
      <c r="C27" s="158"/>
      <c r="D27" s="158"/>
      <c r="E27" s="309"/>
      <c r="F27" s="158"/>
      <c r="G27" s="158"/>
      <c r="H27" s="309"/>
      <c r="I27" s="158"/>
      <c r="J27" s="158"/>
      <c r="K27" s="310" t="s">
        <v>74</v>
      </c>
      <c r="L27" s="310"/>
      <c r="M27" s="310"/>
      <c r="N27" s="311" t="str">
        <f>IFERROR(VLOOKUP(L27,[4]COA!E:F,2,0),"-")</f>
        <v>-</v>
      </c>
      <c r="O27" s="312"/>
      <c r="P27" s="312"/>
      <c r="Q27" s="312"/>
      <c r="R27" s="312"/>
      <c r="S27" s="312"/>
      <c r="T27" s="312"/>
      <c r="U27" s="157" t="str">
        <f t="shared" si="2"/>
        <v>-</v>
      </c>
      <c r="V27" s="313">
        <f>SUM(V2:V26)</f>
        <v>2440035</v>
      </c>
      <c r="W27" s="314">
        <f>SUM(W2:W26)</f>
        <v>0</v>
      </c>
      <c r="X27" s="159"/>
      <c r="Y27" s="159" t="str">
        <f t="shared" si="3"/>
        <v>-</v>
      </c>
      <c r="Z27" s="159"/>
      <c r="AA27" s="159"/>
      <c r="AB27" s="315"/>
      <c r="AC27" s="316"/>
      <c r="AD27" s="316"/>
      <c r="AE27" s="315"/>
      <c r="AF27" s="316"/>
      <c r="AG27" s="11"/>
      <c r="AH27" s="11"/>
    </row>
    <row r="28" spans="1:34" ht="18.75" thickTop="1" x14ac:dyDescent="0.45">
      <c r="A28" s="11"/>
      <c r="B28" s="266"/>
      <c r="C28" s="120"/>
      <c r="D28" s="120"/>
      <c r="E28" s="317"/>
      <c r="F28" s="120"/>
      <c r="G28" s="120"/>
      <c r="H28" s="317"/>
      <c r="I28" s="11"/>
      <c r="J28" s="11"/>
      <c r="K28" s="11"/>
      <c r="L28" s="11"/>
      <c r="M28" s="11"/>
      <c r="N28" s="318"/>
      <c r="O28" s="11"/>
      <c r="P28" s="11"/>
      <c r="Q28" s="11"/>
      <c r="R28" s="11"/>
      <c r="S28" s="11"/>
      <c r="T28" s="11"/>
      <c r="U28" s="11"/>
      <c r="V28" s="11"/>
      <c r="W28" s="11"/>
      <c r="X28" s="11"/>
      <c r="Y28" s="11"/>
      <c r="Z28" s="11"/>
      <c r="AA28" s="11"/>
      <c r="AB28" s="319"/>
      <c r="AC28" s="11"/>
      <c r="AD28" s="11"/>
      <c r="AE28" s="319"/>
      <c r="AF28" s="11"/>
      <c r="AG28" s="11"/>
      <c r="AH28" s="11"/>
    </row>
    <row r="29" spans="1:34" ht="18" x14ac:dyDescent="0.45">
      <c r="A29" s="11"/>
      <c r="B29" s="266"/>
      <c r="C29" s="120"/>
      <c r="D29" s="120"/>
      <c r="E29" s="317"/>
      <c r="F29" s="120"/>
      <c r="G29" s="120"/>
      <c r="H29" s="317"/>
      <c r="I29" s="11"/>
      <c r="J29" s="11"/>
      <c r="K29" s="11"/>
      <c r="L29" s="11"/>
      <c r="M29" s="11"/>
      <c r="N29" s="318"/>
      <c r="O29" s="11"/>
      <c r="P29" s="11"/>
      <c r="Q29" s="11"/>
      <c r="R29" s="11"/>
      <c r="S29" s="11"/>
      <c r="T29" s="11"/>
      <c r="U29" s="213"/>
      <c r="V29" s="11"/>
      <c r="W29" s="11"/>
      <c r="X29" s="11"/>
      <c r="Y29" s="11"/>
      <c r="Z29" s="11"/>
      <c r="AA29" s="11"/>
      <c r="AB29" s="319"/>
      <c r="AC29" s="11"/>
      <c r="AD29" s="11"/>
      <c r="AE29" s="319"/>
      <c r="AF29" s="11"/>
      <c r="AG29" s="11"/>
      <c r="AH29" s="11"/>
    </row>
    <row r="30" spans="1:34" ht="18" x14ac:dyDescent="0.45">
      <c r="A30" s="11"/>
      <c r="B30" s="266"/>
      <c r="C30" s="120"/>
      <c r="D30" s="120"/>
      <c r="E30" s="317"/>
      <c r="F30" s="120"/>
      <c r="G30" s="120"/>
      <c r="H30" s="317"/>
      <c r="I30" s="11"/>
      <c r="J30" s="11"/>
      <c r="K30" s="11"/>
      <c r="L30" s="11"/>
      <c r="M30" s="11"/>
      <c r="N30" s="318"/>
      <c r="O30" s="11"/>
      <c r="P30" s="11"/>
      <c r="Q30" s="11"/>
      <c r="R30" s="11"/>
      <c r="S30" s="11"/>
      <c r="T30" s="11"/>
      <c r="U30" s="11"/>
      <c r="V30" s="11"/>
      <c r="W30" s="11"/>
      <c r="X30" s="11"/>
      <c r="Y30" s="11"/>
      <c r="Z30" s="11"/>
      <c r="AA30" s="11"/>
      <c r="AB30" s="319"/>
      <c r="AC30" s="11"/>
      <c r="AD30" s="11"/>
      <c r="AE30" s="319"/>
      <c r="AF30" s="11"/>
      <c r="AG30" s="11"/>
      <c r="AH30" s="11"/>
    </row>
    <row r="31" spans="1:34" ht="18" x14ac:dyDescent="0.45">
      <c r="A31" s="11"/>
      <c r="B31" s="266"/>
      <c r="C31" s="120"/>
      <c r="D31" s="120"/>
      <c r="E31" s="317"/>
      <c r="F31" s="120"/>
      <c r="G31" s="120"/>
      <c r="H31" s="317"/>
      <c r="I31" s="11"/>
      <c r="J31" s="11"/>
      <c r="K31" s="11"/>
      <c r="L31" s="11"/>
      <c r="M31" s="11"/>
      <c r="N31" s="318"/>
      <c r="O31" s="11"/>
      <c r="P31" s="11"/>
      <c r="Q31" s="11"/>
      <c r="R31" s="11"/>
      <c r="S31" s="11"/>
      <c r="T31" s="11"/>
      <c r="U31" s="11"/>
      <c r="V31" s="11"/>
      <c r="W31" s="11"/>
      <c r="X31" s="11"/>
      <c r="Y31" s="11"/>
      <c r="Z31" s="11"/>
      <c r="AA31" s="11"/>
      <c r="AB31" s="319"/>
      <c r="AC31" s="11"/>
      <c r="AD31" s="11"/>
      <c r="AE31" s="319"/>
      <c r="AF31" s="11"/>
      <c r="AG31" s="11"/>
      <c r="AH31" s="11"/>
    </row>
    <row r="32" spans="1:34" ht="18" x14ac:dyDescent="0.45">
      <c r="A32" s="11"/>
      <c r="B32" s="266"/>
      <c r="C32" s="120"/>
      <c r="D32" s="120"/>
      <c r="E32" s="317"/>
      <c r="F32" s="120"/>
      <c r="G32" s="120"/>
      <c r="H32" s="317"/>
      <c r="I32" s="11"/>
      <c r="J32" s="11"/>
      <c r="K32" s="11"/>
      <c r="L32" s="11"/>
      <c r="M32" s="11"/>
      <c r="N32" s="318"/>
      <c r="O32" s="11"/>
      <c r="P32" s="11"/>
      <c r="Q32" s="11"/>
      <c r="R32" s="11"/>
      <c r="S32" s="11"/>
      <c r="T32" s="11"/>
      <c r="U32" s="11"/>
      <c r="V32" s="11"/>
      <c r="W32" s="11"/>
      <c r="X32" s="11"/>
      <c r="Y32" s="11"/>
      <c r="Z32" s="11"/>
      <c r="AA32" s="11"/>
      <c r="AB32" s="319"/>
      <c r="AC32" s="11"/>
      <c r="AD32" s="11"/>
      <c r="AE32" s="319"/>
      <c r="AF32" s="11"/>
      <c r="AG32" s="11"/>
      <c r="AH32" s="11"/>
    </row>
    <row r="33" spans="1:34" ht="18" x14ac:dyDescent="0.45">
      <c r="A33" s="11"/>
      <c r="B33" s="266"/>
      <c r="C33" s="120"/>
      <c r="D33" s="120"/>
      <c r="E33" s="317"/>
      <c r="F33" s="120"/>
      <c r="G33" s="120"/>
      <c r="H33" s="317"/>
      <c r="I33" s="11"/>
      <c r="J33" s="11"/>
      <c r="K33" s="11"/>
      <c r="L33" s="11"/>
      <c r="M33" s="11"/>
      <c r="N33" s="318"/>
      <c r="O33" s="11"/>
      <c r="P33" s="11"/>
      <c r="Q33" s="11"/>
      <c r="R33" s="11"/>
      <c r="S33" s="11"/>
      <c r="T33" s="11"/>
      <c r="U33" s="11"/>
      <c r="V33" s="11"/>
      <c r="W33" s="11"/>
      <c r="X33" s="11"/>
      <c r="Y33" s="11"/>
      <c r="Z33" s="11"/>
      <c r="AA33" s="11"/>
      <c r="AB33" s="319"/>
      <c r="AC33" s="11"/>
      <c r="AD33" s="11"/>
      <c r="AE33" s="319"/>
      <c r="AF33" s="11"/>
      <c r="AG33" s="11"/>
      <c r="AH33" s="11"/>
    </row>
    <row r="34" spans="1:34" ht="18" x14ac:dyDescent="0.45">
      <c r="A34" s="11"/>
      <c r="B34" s="266"/>
      <c r="C34" s="120"/>
      <c r="D34" s="120"/>
      <c r="E34" s="317"/>
      <c r="F34" s="120"/>
      <c r="G34" s="120"/>
      <c r="H34" s="317"/>
      <c r="I34" s="11"/>
      <c r="J34" s="11"/>
      <c r="K34" s="11"/>
      <c r="L34" s="11"/>
      <c r="M34" s="11"/>
      <c r="N34" s="318"/>
      <c r="O34" s="11"/>
      <c r="P34" s="11"/>
      <c r="Q34" s="11"/>
      <c r="R34" s="11"/>
      <c r="S34" s="11"/>
      <c r="T34" s="11"/>
      <c r="U34" s="11"/>
      <c r="V34" s="11"/>
      <c r="W34" s="11"/>
      <c r="X34" s="11"/>
      <c r="Y34" s="11"/>
      <c r="Z34" s="11"/>
      <c r="AA34" s="11"/>
      <c r="AB34" s="319"/>
      <c r="AC34" s="11"/>
      <c r="AD34" s="11"/>
      <c r="AE34" s="319"/>
      <c r="AF34" s="11"/>
      <c r="AG34" s="11"/>
      <c r="AH34" s="11"/>
    </row>
    <row r="35" spans="1:34" ht="18" x14ac:dyDescent="0.45">
      <c r="A35" s="11"/>
      <c r="B35" s="266"/>
      <c r="C35" s="120"/>
      <c r="D35" s="120"/>
      <c r="E35" s="317"/>
      <c r="F35" s="120"/>
      <c r="G35" s="120"/>
      <c r="H35" s="317"/>
      <c r="I35" s="11"/>
      <c r="J35" s="11"/>
      <c r="K35" s="11"/>
      <c r="L35" s="11"/>
      <c r="M35" s="11"/>
      <c r="N35" s="318"/>
      <c r="O35" s="11"/>
      <c r="P35" s="11"/>
      <c r="Q35" s="11"/>
      <c r="R35" s="11"/>
      <c r="S35" s="11"/>
      <c r="T35" s="11"/>
      <c r="U35" s="11"/>
      <c r="V35" s="11"/>
      <c r="W35" s="11"/>
      <c r="X35" s="11"/>
      <c r="Y35" s="11"/>
      <c r="Z35" s="11"/>
      <c r="AA35" s="11"/>
      <c r="AB35" s="319"/>
      <c r="AC35" s="11"/>
      <c r="AD35" s="11"/>
      <c r="AE35" s="319"/>
      <c r="AF35" s="11"/>
      <c r="AG35" s="11"/>
      <c r="AH35" s="11"/>
    </row>
    <row r="36" spans="1:34" ht="18" x14ac:dyDescent="0.45">
      <c r="A36" s="11"/>
      <c r="B36" s="266"/>
      <c r="C36" s="120"/>
      <c r="D36" s="120"/>
      <c r="E36" s="317"/>
      <c r="F36" s="120"/>
      <c r="G36" s="120"/>
      <c r="H36" s="317"/>
      <c r="I36" s="11"/>
      <c r="J36" s="11"/>
      <c r="K36" s="11"/>
      <c r="L36" s="11"/>
      <c r="M36" s="11"/>
      <c r="N36" s="318"/>
      <c r="O36" s="11"/>
      <c r="P36" s="11"/>
      <c r="Q36" s="11"/>
      <c r="R36" s="11"/>
      <c r="S36" s="11"/>
      <c r="T36" s="11"/>
      <c r="U36" s="11"/>
      <c r="V36" s="11"/>
      <c r="W36" s="11"/>
      <c r="X36" s="11"/>
      <c r="Y36" s="11"/>
      <c r="Z36" s="11"/>
      <c r="AA36" s="11"/>
      <c r="AB36" s="319"/>
      <c r="AC36" s="11"/>
      <c r="AD36" s="11"/>
      <c r="AE36" s="319"/>
      <c r="AF36" s="11"/>
      <c r="AG36" s="11"/>
      <c r="AH36" s="11"/>
    </row>
    <row r="37" spans="1:34" ht="18" x14ac:dyDescent="0.45">
      <c r="A37" s="11"/>
      <c r="B37" s="266"/>
      <c r="C37" s="120"/>
      <c r="D37" s="120"/>
      <c r="E37" s="317"/>
      <c r="F37" s="120"/>
      <c r="G37" s="120"/>
      <c r="H37" s="317"/>
      <c r="I37" s="11"/>
      <c r="J37" s="11"/>
      <c r="K37" s="11"/>
      <c r="L37" s="11"/>
      <c r="M37" s="11"/>
      <c r="N37" s="318"/>
      <c r="O37" s="11"/>
      <c r="P37" s="11"/>
      <c r="Q37" s="11"/>
      <c r="R37" s="11"/>
      <c r="S37" s="11"/>
      <c r="T37" s="11"/>
      <c r="U37" s="11"/>
      <c r="V37" s="11"/>
      <c r="W37" s="11"/>
      <c r="X37" s="11"/>
      <c r="Y37" s="11"/>
      <c r="Z37" s="11"/>
      <c r="AA37" s="11"/>
      <c r="AB37" s="319"/>
      <c r="AC37" s="11"/>
      <c r="AD37" s="11"/>
      <c r="AE37" s="319"/>
      <c r="AF37" s="11"/>
      <c r="AG37" s="11"/>
      <c r="AH37" s="11"/>
    </row>
    <row r="38" spans="1:34" ht="18" x14ac:dyDescent="0.45">
      <c r="A38" s="11"/>
      <c r="B38" s="266"/>
      <c r="C38" s="120"/>
      <c r="D38" s="120"/>
      <c r="E38" s="317"/>
      <c r="F38" s="120"/>
      <c r="G38" s="120"/>
      <c r="H38" s="317"/>
      <c r="I38" s="11"/>
      <c r="J38" s="11"/>
      <c r="K38" s="11"/>
      <c r="L38" s="11"/>
      <c r="M38" s="11"/>
      <c r="N38" s="318"/>
      <c r="O38" s="11"/>
      <c r="P38" s="11"/>
      <c r="Q38" s="11"/>
      <c r="R38" s="11"/>
      <c r="S38" s="11"/>
      <c r="T38" s="11"/>
      <c r="U38" s="11"/>
      <c r="V38" s="11"/>
      <c r="W38" s="11"/>
      <c r="X38" s="11"/>
      <c r="Y38" s="11"/>
      <c r="Z38" s="11"/>
      <c r="AA38" s="11"/>
      <c r="AB38" s="319"/>
      <c r="AC38" s="11"/>
      <c r="AD38" s="11"/>
      <c r="AE38" s="319"/>
      <c r="AF38" s="11"/>
      <c r="AG38" s="11"/>
      <c r="AH38" s="11"/>
    </row>
    <row r="39" spans="1:34" ht="18" x14ac:dyDescent="0.45">
      <c r="A39" s="11"/>
      <c r="B39" s="266"/>
      <c r="C39" s="120"/>
      <c r="D39" s="120"/>
      <c r="E39" s="317"/>
      <c r="F39" s="120"/>
      <c r="G39" s="120"/>
      <c r="H39" s="317"/>
      <c r="I39" s="11"/>
      <c r="J39" s="11"/>
      <c r="K39" s="11"/>
      <c r="L39" s="11"/>
      <c r="M39" s="11"/>
      <c r="N39" s="318"/>
      <c r="O39" s="11"/>
      <c r="P39" s="11"/>
      <c r="Q39" s="11"/>
      <c r="R39" s="11"/>
      <c r="S39" s="11"/>
      <c r="T39" s="11"/>
      <c r="U39" s="11"/>
      <c r="V39" s="11"/>
      <c r="W39" s="11"/>
      <c r="X39" s="11"/>
      <c r="Y39" s="11"/>
      <c r="Z39" s="11"/>
      <c r="AA39" s="11"/>
      <c r="AB39" s="319"/>
      <c r="AC39" s="11"/>
      <c r="AD39" s="11"/>
      <c r="AE39" s="319"/>
      <c r="AF39" s="11"/>
      <c r="AG39" s="11"/>
      <c r="AH39" s="11"/>
    </row>
    <row r="40" spans="1:34" ht="18" x14ac:dyDescent="0.45">
      <c r="A40" s="11"/>
      <c r="B40" s="266"/>
      <c r="C40" s="120"/>
      <c r="D40" s="120"/>
      <c r="E40" s="317"/>
      <c r="F40" s="120"/>
      <c r="G40" s="120"/>
      <c r="H40" s="317"/>
      <c r="I40" s="11"/>
      <c r="J40" s="11"/>
      <c r="K40" s="11"/>
      <c r="L40" s="11"/>
      <c r="M40" s="11"/>
      <c r="N40" s="318"/>
      <c r="O40" s="11"/>
      <c r="P40" s="11"/>
      <c r="Q40" s="11"/>
      <c r="R40" s="11"/>
      <c r="S40" s="11"/>
      <c r="T40" s="11"/>
      <c r="U40" s="11"/>
      <c r="V40" s="11"/>
      <c r="W40" s="11"/>
      <c r="X40" s="11"/>
      <c r="Y40" s="11"/>
      <c r="Z40" s="11"/>
      <c r="AA40" s="11"/>
      <c r="AB40" s="319"/>
      <c r="AC40" s="11"/>
      <c r="AD40" s="11"/>
      <c r="AE40" s="319"/>
      <c r="AF40" s="11"/>
      <c r="AG40" s="11"/>
      <c r="AH40" s="11"/>
    </row>
    <row r="41" spans="1:34" ht="18" x14ac:dyDescent="0.45">
      <c r="A41" s="11"/>
      <c r="B41" s="266"/>
      <c r="C41" s="120"/>
      <c r="D41" s="120"/>
      <c r="E41" s="317"/>
      <c r="F41" s="120"/>
      <c r="G41" s="120"/>
      <c r="H41" s="317"/>
      <c r="I41" s="11"/>
      <c r="J41" s="11"/>
      <c r="K41" s="11"/>
      <c r="L41" s="11"/>
      <c r="M41" s="11"/>
      <c r="N41" s="318"/>
      <c r="O41" s="11"/>
      <c r="P41" s="11"/>
      <c r="Q41" s="11"/>
      <c r="R41" s="11"/>
      <c r="S41" s="11"/>
      <c r="T41" s="11"/>
      <c r="U41" s="11"/>
      <c r="V41" s="11"/>
      <c r="W41" s="11"/>
      <c r="X41" s="11"/>
      <c r="Y41" s="11"/>
      <c r="Z41" s="11"/>
      <c r="AA41" s="11"/>
      <c r="AB41" s="319"/>
      <c r="AC41" s="11"/>
      <c r="AD41" s="11"/>
      <c r="AE41" s="319"/>
      <c r="AF41" s="11"/>
      <c r="AG41" s="11"/>
      <c r="AH41" s="11"/>
    </row>
    <row r="42" spans="1:34" ht="18" x14ac:dyDescent="0.45">
      <c r="A42" s="11"/>
      <c r="B42" s="266"/>
      <c r="C42" s="120"/>
      <c r="D42" s="120"/>
      <c r="E42" s="317"/>
      <c r="F42" s="120"/>
      <c r="G42" s="120"/>
      <c r="H42" s="317"/>
      <c r="I42" s="11"/>
      <c r="J42" s="11"/>
      <c r="K42" s="11"/>
      <c r="L42" s="11"/>
      <c r="M42" s="11"/>
      <c r="N42" s="318"/>
      <c r="O42" s="11"/>
      <c r="P42" s="11"/>
      <c r="Q42" s="11"/>
      <c r="R42" s="11"/>
      <c r="S42" s="11"/>
      <c r="T42" s="11"/>
      <c r="U42" s="11"/>
      <c r="V42" s="11"/>
      <c r="W42" s="11"/>
      <c r="X42" s="11"/>
      <c r="Y42" s="11"/>
      <c r="Z42" s="11"/>
      <c r="AA42" s="11"/>
      <c r="AB42" s="319"/>
      <c r="AC42" s="11"/>
      <c r="AD42" s="11"/>
      <c r="AE42" s="319"/>
      <c r="AF42" s="11"/>
      <c r="AG42" s="11"/>
      <c r="AH42" s="11"/>
    </row>
    <row r="43" spans="1:34" ht="18" x14ac:dyDescent="0.45">
      <c r="A43" s="11"/>
      <c r="B43" s="266"/>
      <c r="C43" s="120"/>
      <c r="D43" s="120"/>
      <c r="E43" s="317"/>
      <c r="F43" s="120"/>
      <c r="G43" s="120"/>
      <c r="H43" s="317"/>
      <c r="I43" s="11"/>
      <c r="J43" s="11"/>
      <c r="K43" s="11"/>
      <c r="L43" s="11"/>
      <c r="M43" s="11"/>
      <c r="N43" s="318"/>
      <c r="O43" s="11"/>
      <c r="P43" s="11"/>
      <c r="Q43" s="11"/>
      <c r="R43" s="11"/>
      <c r="S43" s="11"/>
      <c r="T43" s="11"/>
      <c r="U43" s="11"/>
      <c r="V43" s="11"/>
      <c r="W43" s="11"/>
      <c r="X43" s="11"/>
      <c r="Y43" s="11"/>
      <c r="Z43" s="11"/>
      <c r="AA43" s="11"/>
      <c r="AB43" s="319"/>
      <c r="AC43" s="11"/>
      <c r="AD43" s="11"/>
      <c r="AE43" s="319"/>
      <c r="AF43" s="11"/>
      <c r="AG43" s="11"/>
      <c r="AH43" s="11"/>
    </row>
    <row r="44" spans="1:34" ht="18" x14ac:dyDescent="0.45">
      <c r="A44" s="11"/>
      <c r="B44" s="266"/>
      <c r="C44" s="120"/>
      <c r="D44" s="120"/>
      <c r="E44" s="317"/>
      <c r="F44" s="120"/>
      <c r="G44" s="120"/>
      <c r="H44" s="317"/>
      <c r="I44" s="11"/>
      <c r="J44" s="11"/>
      <c r="K44" s="11"/>
      <c r="L44" s="11"/>
      <c r="M44" s="11"/>
      <c r="N44" s="318"/>
      <c r="O44" s="11"/>
      <c r="P44" s="11"/>
      <c r="Q44" s="11"/>
      <c r="R44" s="11"/>
      <c r="S44" s="11"/>
      <c r="T44" s="11"/>
      <c r="U44" s="11"/>
      <c r="V44" s="11"/>
      <c r="W44" s="11"/>
      <c r="X44" s="11"/>
      <c r="Y44" s="11"/>
      <c r="Z44" s="11"/>
      <c r="AA44" s="11"/>
      <c r="AB44" s="319"/>
      <c r="AC44" s="11"/>
      <c r="AD44" s="11"/>
      <c r="AE44" s="319"/>
      <c r="AF44" s="11"/>
      <c r="AG44" s="11"/>
      <c r="AH44" s="11"/>
    </row>
  </sheetData>
  <pageMargins left="0.7" right="0.7" top="0.75" bottom="0.75" header="0.3" footer="0.3"/>
  <ignoredErrors>
    <ignoredError sqref="AF3" calculatedColumn="1"/>
  </ignoredErrors>
  <tableParts count="1">
    <tablePart r:id="rId1"/>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tabColor rgb="FF002060"/>
  </sheetPr>
  <dimension ref="A3:O260"/>
  <sheetViews>
    <sheetView zoomScaleNormal="100" workbookViewId="0">
      <selection activeCell="E12" sqref="E12"/>
    </sheetView>
  </sheetViews>
  <sheetFormatPr defaultColWidth="9.28515625" defaultRowHeight="21.75" x14ac:dyDescent="0.55000000000000004"/>
  <cols>
    <col min="1" max="1" width="14" style="23" bestFit="1" customWidth="1"/>
    <col min="2" max="2" width="22.28515625" style="23" bestFit="1" customWidth="1"/>
    <col min="3" max="3" width="34.5703125" style="23" bestFit="1" customWidth="1"/>
    <col min="4" max="4" width="19.5703125" style="256" bestFit="1" customWidth="1"/>
    <col min="5" max="5" width="17.5703125" style="23" bestFit="1" customWidth="1"/>
    <col min="6" max="6" width="23" style="23" bestFit="1" customWidth="1"/>
    <col min="7" max="7" width="19.5703125" style="256" bestFit="1" customWidth="1"/>
    <col min="8" max="8" width="18.5703125" style="23" bestFit="1" customWidth="1"/>
    <col min="9" max="9" width="40.42578125" style="84" bestFit="1" customWidth="1"/>
    <col min="10" max="10" width="37.42578125" style="399" customWidth="1"/>
    <col min="11" max="11" width="20.85546875" style="399" customWidth="1"/>
    <col min="12" max="12" width="18.140625" style="399" customWidth="1"/>
    <col min="13" max="13" width="24.42578125" style="399" bestFit="1" customWidth="1"/>
    <col min="14" max="14" width="24.42578125" style="23" bestFit="1" customWidth="1"/>
    <col min="15" max="15" width="24.42578125" style="399" bestFit="1" customWidth="1"/>
    <col min="16" max="16384" width="9.28515625" style="23"/>
  </cols>
  <sheetData>
    <row r="3" spans="1:15" x14ac:dyDescent="0.55000000000000004">
      <c r="A3" s="368" t="s">
        <v>2344</v>
      </c>
      <c r="B3" s="368" t="s">
        <v>2574</v>
      </c>
      <c r="C3" s="368" t="s">
        <v>931</v>
      </c>
      <c r="D3" s="368" t="s">
        <v>2566</v>
      </c>
      <c r="E3" s="495" t="s">
        <v>2569</v>
      </c>
      <c r="F3" s="368" t="s">
        <v>2570</v>
      </c>
      <c r="G3" s="368" t="s">
        <v>2139</v>
      </c>
      <c r="H3" s="495" t="s">
        <v>2345</v>
      </c>
      <c r="I3" s="368" t="s">
        <v>1367</v>
      </c>
      <c r="J3" s="368" t="s">
        <v>932</v>
      </c>
      <c r="K3" s="23" t="s">
        <v>2721</v>
      </c>
      <c r="L3" s="399" t="s">
        <v>2720</v>
      </c>
      <c r="M3"/>
      <c r="N3"/>
      <c r="O3"/>
    </row>
    <row r="4" spans="1:15" x14ac:dyDescent="0.55000000000000004">
      <c r="A4" s="23" t="s">
        <v>2718</v>
      </c>
      <c r="B4" s="98">
        <v>44357</v>
      </c>
      <c r="C4" s="23" t="s">
        <v>2140</v>
      </c>
      <c r="D4" s="23" t="s">
        <v>2141</v>
      </c>
      <c r="E4" s="23">
        <v>786651600</v>
      </c>
      <c r="F4" s="23" t="s">
        <v>2589</v>
      </c>
      <c r="G4" s="23" t="s">
        <v>2590</v>
      </c>
      <c r="H4" s="23" t="s">
        <v>2453</v>
      </c>
      <c r="I4" s="23" t="s">
        <v>2460</v>
      </c>
      <c r="J4" s="23" t="s">
        <v>2055</v>
      </c>
      <c r="K4" s="108">
        <v>744000</v>
      </c>
      <c r="L4" s="399">
        <v>44175</v>
      </c>
      <c r="M4"/>
      <c r="N4"/>
      <c r="O4"/>
    </row>
    <row r="5" spans="1:15" x14ac:dyDescent="0.55000000000000004">
      <c r="A5" s="23" t="s">
        <v>2719</v>
      </c>
      <c r="B5" s="98">
        <v>44371</v>
      </c>
      <c r="C5" s="23" t="s">
        <v>2155</v>
      </c>
      <c r="D5" s="23" t="s">
        <v>2592</v>
      </c>
      <c r="E5" s="23">
        <v>775098077</v>
      </c>
      <c r="F5" s="23" t="s">
        <v>2594</v>
      </c>
      <c r="G5" s="23" t="s">
        <v>2595</v>
      </c>
      <c r="H5" s="23" t="s">
        <v>2453</v>
      </c>
      <c r="I5" s="23" t="s">
        <v>2460</v>
      </c>
      <c r="J5" s="23" t="s">
        <v>2588</v>
      </c>
      <c r="K5" s="108">
        <v>963000</v>
      </c>
      <c r="L5" s="399">
        <v>44189</v>
      </c>
      <c r="M5"/>
      <c r="N5"/>
      <c r="O5"/>
    </row>
    <row r="6" spans="1:15" x14ac:dyDescent="0.55000000000000004">
      <c r="A6" s="23" t="s">
        <v>2958</v>
      </c>
      <c r="B6" s="98">
        <v>44351</v>
      </c>
      <c r="C6" s="23" t="s">
        <v>2584</v>
      </c>
      <c r="D6" s="23" t="s">
        <v>2347</v>
      </c>
      <c r="E6" s="23" t="s">
        <v>2453</v>
      </c>
      <c r="F6" s="23" t="s">
        <v>2143</v>
      </c>
      <c r="G6" s="23" t="s">
        <v>2453</v>
      </c>
      <c r="H6" s="23" t="s">
        <v>2453</v>
      </c>
      <c r="I6" s="23" t="s">
        <v>2460</v>
      </c>
      <c r="J6" s="23" t="s">
        <v>1373</v>
      </c>
      <c r="K6" s="108">
        <v>963000</v>
      </c>
      <c r="L6" s="399">
        <v>44169</v>
      </c>
      <c r="M6"/>
      <c r="N6"/>
      <c r="O6"/>
    </row>
    <row r="7" spans="1:15" x14ac:dyDescent="0.55000000000000004">
      <c r="A7" s="23" t="s">
        <v>2959</v>
      </c>
      <c r="B7" s="98">
        <v>44356</v>
      </c>
      <c r="C7" s="23" t="s">
        <v>2585</v>
      </c>
      <c r="D7" s="23" t="s">
        <v>2150</v>
      </c>
      <c r="E7" s="23">
        <v>799410475</v>
      </c>
      <c r="F7" s="23" t="s">
        <v>2149</v>
      </c>
      <c r="G7" s="23" t="s">
        <v>2587</v>
      </c>
      <c r="H7" s="23" t="s">
        <v>2453</v>
      </c>
      <c r="I7" s="23" t="s">
        <v>2460</v>
      </c>
      <c r="J7" s="23" t="s">
        <v>2588</v>
      </c>
      <c r="K7" s="108">
        <v>963000</v>
      </c>
      <c r="L7" s="399">
        <v>44174</v>
      </c>
      <c r="M7"/>
      <c r="N7"/>
      <c r="O7"/>
    </row>
    <row r="8" spans="1:15" x14ac:dyDescent="0.55000000000000004">
      <c r="A8" s="255" t="s">
        <v>2049</v>
      </c>
      <c r="B8" s="255"/>
      <c r="C8" s="255"/>
      <c r="D8" s="255"/>
      <c r="E8" s="255"/>
      <c r="F8" s="255"/>
      <c r="G8" s="255"/>
      <c r="H8" s="255"/>
      <c r="I8" s="255"/>
      <c r="J8" s="255"/>
      <c r="K8" s="108">
        <v>3633000</v>
      </c>
      <c r="L8" s="399">
        <v>176707</v>
      </c>
      <c r="M8"/>
      <c r="N8"/>
      <c r="O8"/>
    </row>
    <row r="9" spans="1:15" x14ac:dyDescent="0.55000000000000004">
      <c r="A9"/>
      <c r="B9"/>
      <c r="C9"/>
      <c r="D9"/>
      <c r="E9"/>
      <c r="F9"/>
      <c r="G9"/>
      <c r="H9"/>
      <c r="I9"/>
      <c r="J9"/>
      <c r="K9"/>
      <c r="L9" s="407"/>
      <c r="M9"/>
      <c r="N9"/>
      <c r="O9"/>
    </row>
    <row r="10" spans="1:15" x14ac:dyDescent="0.55000000000000004">
      <c r="A10"/>
      <c r="B10"/>
      <c r="C10"/>
      <c r="D10"/>
      <c r="E10"/>
      <c r="F10"/>
      <c r="G10"/>
      <c r="H10"/>
      <c r="I10"/>
      <c r="J10"/>
      <c r="K10"/>
      <c r="L10" s="407"/>
      <c r="M10"/>
      <c r="N10"/>
      <c r="O10" s="407"/>
    </row>
    <row r="11" spans="1:15" x14ac:dyDescent="0.55000000000000004">
      <c r="A11"/>
      <c r="B11"/>
      <c r="C11"/>
      <c r="D11"/>
      <c r="E11"/>
      <c r="F11"/>
      <c r="G11"/>
      <c r="H11"/>
      <c r="I11"/>
      <c r="J11"/>
      <c r="K11"/>
      <c r="L11" s="407"/>
      <c r="M11"/>
      <c r="N11"/>
      <c r="O11" s="407"/>
    </row>
    <row r="12" spans="1:15" x14ac:dyDescent="0.55000000000000004">
      <c r="A12"/>
      <c r="B12"/>
      <c r="C12"/>
      <c r="D12"/>
      <c r="E12"/>
      <c r="F12"/>
      <c r="G12"/>
      <c r="H12"/>
      <c r="I12"/>
      <c r="J12"/>
      <c r="K12"/>
      <c r="L12" s="407"/>
      <c r="M12"/>
      <c r="N12"/>
      <c r="O12" s="407"/>
    </row>
    <row r="13" spans="1:15" x14ac:dyDescent="0.55000000000000004">
      <c r="A13"/>
      <c r="B13"/>
      <c r="C13"/>
      <c r="D13"/>
      <c r="E13"/>
      <c r="F13"/>
      <c r="G13"/>
      <c r="H13"/>
      <c r="I13"/>
      <c r="J13"/>
      <c r="K13"/>
      <c r="L13" s="407"/>
      <c r="M13"/>
      <c r="N13"/>
      <c r="O13" s="407"/>
    </row>
    <row r="14" spans="1:15" x14ac:dyDescent="0.55000000000000004">
      <c r="A14"/>
      <c r="B14"/>
      <c r="C14"/>
      <c r="D14"/>
      <c r="E14"/>
      <c r="F14"/>
      <c r="G14"/>
      <c r="H14"/>
      <c r="I14"/>
      <c r="J14"/>
      <c r="K14"/>
      <c r="L14" s="407"/>
      <c r="M14"/>
      <c r="N14"/>
      <c r="O14" s="407"/>
    </row>
    <row r="15" spans="1:15" x14ac:dyDescent="0.55000000000000004">
      <c r="A15"/>
      <c r="B15"/>
      <c r="C15"/>
      <c r="D15"/>
      <c r="E15"/>
      <c r="F15"/>
      <c r="G15"/>
      <c r="H15"/>
      <c r="I15"/>
      <c r="J15"/>
      <c r="K15"/>
      <c r="L15" s="407"/>
      <c r="M15"/>
      <c r="N15"/>
      <c r="O15" s="407"/>
    </row>
    <row r="16" spans="1:15" x14ac:dyDescent="0.55000000000000004">
      <c r="A16"/>
      <c r="B16"/>
      <c r="C16"/>
      <c r="D16"/>
      <c r="E16"/>
      <c r="F16"/>
      <c r="G16"/>
      <c r="H16"/>
      <c r="I16"/>
      <c r="J16"/>
      <c r="K16"/>
      <c r="L16" s="407"/>
      <c r="M16"/>
      <c r="N16"/>
      <c r="O16" s="407"/>
    </row>
    <row r="17" spans="1:15" x14ac:dyDescent="0.55000000000000004">
      <c r="A17"/>
      <c r="B17"/>
      <c r="C17"/>
      <c r="D17"/>
      <c r="E17"/>
      <c r="F17"/>
      <c r="G17"/>
      <c r="H17"/>
      <c r="I17"/>
      <c r="J17"/>
      <c r="K17"/>
      <c r="L17" s="407"/>
      <c r="M17"/>
      <c r="N17"/>
      <c r="O17" s="407"/>
    </row>
    <row r="18" spans="1:15" x14ac:dyDescent="0.55000000000000004">
      <c r="A18"/>
      <c r="B18"/>
      <c r="C18"/>
      <c r="D18"/>
      <c r="E18"/>
      <c r="F18"/>
      <c r="G18"/>
      <c r="H18"/>
      <c r="I18"/>
      <c r="J18"/>
      <c r="K18"/>
      <c r="L18" s="407"/>
      <c r="M18"/>
      <c r="N18"/>
      <c r="O18" s="407"/>
    </row>
    <row r="19" spans="1:15" x14ac:dyDescent="0.55000000000000004">
      <c r="A19"/>
      <c r="B19"/>
      <c r="C19"/>
      <c r="D19"/>
      <c r="E19"/>
      <c r="F19"/>
      <c r="G19"/>
      <c r="H19"/>
      <c r="I19"/>
      <c r="J19"/>
      <c r="K19"/>
      <c r="L19" s="407"/>
      <c r="M19"/>
      <c r="N19"/>
      <c r="O19" s="407"/>
    </row>
    <row r="20" spans="1:15" x14ac:dyDescent="0.55000000000000004">
      <c r="A20"/>
      <c r="B20"/>
      <c r="C20"/>
      <c r="D20"/>
      <c r="E20"/>
      <c r="F20"/>
      <c r="G20"/>
      <c r="H20"/>
      <c r="I20"/>
      <c r="J20"/>
      <c r="K20"/>
      <c r="L20" s="407"/>
      <c r="M20"/>
      <c r="N20"/>
      <c r="O20" s="407"/>
    </row>
    <row r="21" spans="1:15" x14ac:dyDescent="0.55000000000000004">
      <c r="A21"/>
      <c r="B21"/>
      <c r="C21"/>
      <c r="D21"/>
      <c r="E21"/>
      <c r="F21"/>
      <c r="G21"/>
      <c r="H21"/>
      <c r="I21"/>
      <c r="J21"/>
      <c r="K21"/>
      <c r="L21" s="407"/>
      <c r="M21"/>
      <c r="N21"/>
      <c r="O21" s="407"/>
    </row>
    <row r="22" spans="1:15" x14ac:dyDescent="0.55000000000000004">
      <c r="A22"/>
      <c r="B22"/>
      <c r="C22"/>
      <c r="D22"/>
      <c r="E22"/>
      <c r="F22"/>
      <c r="G22"/>
      <c r="H22"/>
      <c r="I22"/>
      <c r="J22"/>
      <c r="K22"/>
      <c r="L22" s="407"/>
      <c r="M22"/>
      <c r="N22"/>
      <c r="O22" s="407"/>
    </row>
    <row r="23" spans="1:15" x14ac:dyDescent="0.55000000000000004">
      <c r="A23"/>
      <c r="B23"/>
      <c r="C23"/>
      <c r="D23"/>
      <c r="E23"/>
      <c r="F23"/>
      <c r="G23"/>
      <c r="H23"/>
      <c r="I23"/>
      <c r="J23"/>
      <c r="K23"/>
      <c r="L23" s="407"/>
      <c r="M23"/>
      <c r="N23"/>
      <c r="O23" s="407"/>
    </row>
    <row r="24" spans="1:15" x14ac:dyDescent="0.55000000000000004">
      <c r="A24"/>
      <c r="B24"/>
      <c r="C24"/>
      <c r="D24"/>
      <c r="E24"/>
      <c r="F24"/>
      <c r="G24"/>
      <c r="H24"/>
      <c r="I24"/>
      <c r="J24"/>
      <c r="K24"/>
      <c r="L24" s="407"/>
      <c r="M24"/>
      <c r="N24"/>
      <c r="O24" s="407"/>
    </row>
    <row r="25" spans="1:15" x14ac:dyDescent="0.55000000000000004">
      <c r="A25"/>
      <c r="B25"/>
      <c r="C25"/>
      <c r="D25"/>
      <c r="E25"/>
      <c r="F25"/>
      <c r="G25"/>
      <c r="H25"/>
      <c r="I25"/>
      <c r="J25"/>
      <c r="K25"/>
      <c r="L25" s="407"/>
      <c r="M25"/>
      <c r="N25"/>
      <c r="O25" s="407"/>
    </row>
    <row r="26" spans="1:15" x14ac:dyDescent="0.55000000000000004">
      <c r="A26"/>
      <c r="B26"/>
      <c r="C26"/>
      <c r="D26"/>
      <c r="E26"/>
      <c r="F26"/>
      <c r="G26"/>
      <c r="H26"/>
      <c r="I26"/>
      <c r="J26"/>
      <c r="K26"/>
      <c r="L26" s="407"/>
      <c r="M26"/>
      <c r="N26"/>
      <c r="O26" s="407"/>
    </row>
    <row r="27" spans="1:15" x14ac:dyDescent="0.55000000000000004">
      <c r="A27"/>
      <c r="B27"/>
      <c r="C27"/>
      <c r="D27"/>
      <c r="E27"/>
      <c r="F27"/>
      <c r="G27"/>
      <c r="H27"/>
      <c r="I27"/>
      <c r="J27"/>
      <c r="K27"/>
      <c r="L27" s="407"/>
      <c r="M27"/>
      <c r="N27"/>
      <c r="O27" s="407"/>
    </row>
    <row r="28" spans="1:15" x14ac:dyDescent="0.55000000000000004">
      <c r="A28"/>
      <c r="B28"/>
      <c r="C28"/>
      <c r="D28"/>
      <c r="E28"/>
      <c r="F28"/>
      <c r="G28"/>
      <c r="H28"/>
      <c r="I28"/>
      <c r="J28"/>
      <c r="K28"/>
      <c r="L28" s="407"/>
      <c r="M28"/>
      <c r="N28"/>
      <c r="O28" s="407"/>
    </row>
    <row r="29" spans="1:15" x14ac:dyDescent="0.55000000000000004">
      <c r="A29"/>
      <c r="B29"/>
      <c r="C29"/>
      <c r="D29"/>
      <c r="E29"/>
      <c r="F29"/>
      <c r="G29"/>
      <c r="H29"/>
      <c r="I29"/>
      <c r="J29"/>
      <c r="K29"/>
      <c r="L29" s="407"/>
      <c r="M29"/>
      <c r="N29"/>
      <c r="O29" s="407"/>
    </row>
    <row r="30" spans="1:15" x14ac:dyDescent="0.55000000000000004">
      <c r="A30"/>
      <c r="B30"/>
      <c r="C30"/>
      <c r="D30"/>
      <c r="E30"/>
      <c r="F30"/>
      <c r="G30"/>
      <c r="H30"/>
      <c r="I30"/>
      <c r="J30"/>
      <c r="K30"/>
      <c r="L30" s="407"/>
      <c r="M30"/>
      <c r="N30"/>
      <c r="O30" s="407"/>
    </row>
    <row r="31" spans="1:15" x14ac:dyDescent="0.55000000000000004">
      <c r="A31"/>
      <c r="B31"/>
      <c r="C31"/>
      <c r="D31"/>
      <c r="E31"/>
      <c r="F31"/>
      <c r="G31"/>
      <c r="H31"/>
      <c r="I31"/>
      <c r="J31"/>
      <c r="K31"/>
      <c r="L31" s="407"/>
      <c r="M31"/>
      <c r="N31"/>
      <c r="O31" s="407"/>
    </row>
    <row r="32" spans="1:15" x14ac:dyDescent="0.55000000000000004">
      <c r="A32"/>
      <c r="B32"/>
      <c r="C32"/>
      <c r="D32"/>
      <c r="E32"/>
      <c r="F32"/>
      <c r="G32"/>
      <c r="H32"/>
      <c r="I32"/>
      <c r="J32"/>
      <c r="K32"/>
      <c r="L32" s="407"/>
      <c r="M32"/>
      <c r="N32"/>
      <c r="O32" s="407"/>
    </row>
    <row r="33" spans="1:15" x14ac:dyDescent="0.55000000000000004">
      <c r="A33"/>
      <c r="B33"/>
      <c r="C33"/>
      <c r="D33"/>
      <c r="E33"/>
      <c r="F33"/>
      <c r="G33"/>
      <c r="H33"/>
      <c r="I33"/>
      <c r="J33"/>
      <c r="K33"/>
      <c r="L33" s="407"/>
      <c r="M33"/>
      <c r="N33"/>
      <c r="O33" s="407"/>
    </row>
    <row r="34" spans="1:15" x14ac:dyDescent="0.55000000000000004">
      <c r="A34"/>
      <c r="B34"/>
      <c r="C34"/>
      <c r="D34"/>
      <c r="E34"/>
      <c r="F34"/>
      <c r="G34"/>
      <c r="H34"/>
      <c r="I34"/>
      <c r="J34"/>
      <c r="K34"/>
      <c r="L34" s="407"/>
      <c r="M34"/>
      <c r="N34"/>
      <c r="O34" s="407"/>
    </row>
    <row r="35" spans="1:15" x14ac:dyDescent="0.55000000000000004">
      <c r="A35"/>
      <c r="B35"/>
      <c r="C35"/>
      <c r="D35"/>
      <c r="E35"/>
      <c r="F35"/>
      <c r="G35"/>
      <c r="H35"/>
      <c r="I35"/>
      <c r="J35"/>
      <c r="K35"/>
      <c r="L35" s="407"/>
      <c r="M35"/>
      <c r="N35"/>
      <c r="O35" s="407"/>
    </row>
    <row r="36" spans="1:15" x14ac:dyDescent="0.55000000000000004">
      <c r="A36"/>
      <c r="B36"/>
      <c r="C36"/>
      <c r="D36"/>
      <c r="E36"/>
      <c r="F36"/>
      <c r="G36"/>
      <c r="H36"/>
      <c r="I36"/>
      <c r="J36"/>
      <c r="K36"/>
      <c r="L36" s="407"/>
      <c r="M36"/>
      <c r="N36"/>
      <c r="O36" s="407"/>
    </row>
    <row r="37" spans="1:15" x14ac:dyDescent="0.55000000000000004">
      <c r="A37"/>
      <c r="B37"/>
      <c r="C37"/>
      <c r="D37"/>
      <c r="E37"/>
      <c r="F37"/>
      <c r="G37"/>
      <c r="H37"/>
      <c r="I37"/>
      <c r="J37"/>
      <c r="K37"/>
      <c r="L37" s="407"/>
      <c r="M37"/>
      <c r="N37"/>
      <c r="O37" s="407"/>
    </row>
    <row r="38" spans="1:15" x14ac:dyDescent="0.55000000000000004">
      <c r="A38"/>
      <c r="B38"/>
      <c r="C38"/>
      <c r="D38"/>
      <c r="E38"/>
      <c r="F38"/>
      <c r="G38"/>
      <c r="H38"/>
      <c r="I38"/>
      <c r="J38"/>
      <c r="K38"/>
      <c r="L38" s="407"/>
      <c r="M38"/>
      <c r="N38"/>
      <c r="O38" s="407"/>
    </row>
    <row r="39" spans="1:15" x14ac:dyDescent="0.55000000000000004">
      <c r="A39"/>
      <c r="B39"/>
      <c r="C39"/>
      <c r="D39"/>
      <c r="E39"/>
      <c r="F39"/>
      <c r="G39"/>
      <c r="H39"/>
      <c r="I39"/>
      <c r="J39"/>
      <c r="K39"/>
      <c r="L39" s="407"/>
      <c r="M39"/>
      <c r="N39"/>
      <c r="O39" s="407"/>
    </row>
    <row r="40" spans="1:15" x14ac:dyDescent="0.55000000000000004">
      <c r="A40"/>
      <c r="B40"/>
      <c r="C40"/>
      <c r="D40"/>
      <c r="E40"/>
      <c r="F40"/>
      <c r="G40"/>
      <c r="H40"/>
      <c r="I40"/>
      <c r="J40"/>
      <c r="K40"/>
      <c r="L40" s="407"/>
      <c r="M40"/>
      <c r="N40"/>
      <c r="O40" s="407"/>
    </row>
    <row r="41" spans="1:15" x14ac:dyDescent="0.55000000000000004">
      <c r="A41"/>
      <c r="B41"/>
      <c r="C41"/>
      <c r="D41"/>
      <c r="E41"/>
      <c r="F41"/>
      <c r="G41"/>
      <c r="H41"/>
      <c r="I41"/>
      <c r="J41"/>
      <c r="K41"/>
      <c r="L41" s="407"/>
      <c r="M41"/>
      <c r="N41"/>
      <c r="O41" s="407"/>
    </row>
    <row r="42" spans="1:15" x14ac:dyDescent="0.55000000000000004">
      <c r="A42"/>
      <c r="B42"/>
      <c r="C42"/>
      <c r="D42"/>
      <c r="E42"/>
      <c r="F42"/>
      <c r="G42"/>
      <c r="H42"/>
      <c r="I42"/>
      <c r="J42"/>
      <c r="K42"/>
      <c r="L42" s="407"/>
      <c r="M42"/>
      <c r="N42"/>
      <c r="O42" s="407"/>
    </row>
    <row r="43" spans="1:15" x14ac:dyDescent="0.55000000000000004">
      <c r="A43"/>
      <c r="B43"/>
      <c r="C43"/>
      <c r="D43"/>
      <c r="E43"/>
      <c r="F43"/>
      <c r="G43"/>
      <c r="H43"/>
      <c r="I43"/>
      <c r="J43"/>
      <c r="K43"/>
      <c r="L43" s="407"/>
      <c r="M43"/>
      <c r="N43"/>
      <c r="O43" s="407"/>
    </row>
    <row r="44" spans="1:15" x14ac:dyDescent="0.55000000000000004">
      <c r="A44"/>
      <c r="B44"/>
      <c r="C44"/>
      <c r="D44"/>
      <c r="E44"/>
      <c r="F44"/>
      <c r="G44"/>
      <c r="H44"/>
      <c r="I44"/>
      <c r="J44"/>
      <c r="K44"/>
      <c r="L44" s="407"/>
      <c r="M44"/>
      <c r="N44"/>
      <c r="O44" s="407"/>
    </row>
    <row r="45" spans="1:15" x14ac:dyDescent="0.55000000000000004">
      <c r="A45"/>
      <c r="B45"/>
      <c r="C45"/>
      <c r="D45"/>
      <c r="E45"/>
      <c r="F45"/>
      <c r="G45"/>
      <c r="H45"/>
      <c r="I45"/>
      <c r="J45"/>
      <c r="K45"/>
      <c r="L45" s="407"/>
      <c r="M45"/>
      <c r="N45"/>
      <c r="O45" s="407"/>
    </row>
    <row r="46" spans="1:15" x14ac:dyDescent="0.55000000000000004">
      <c r="A46"/>
      <c r="B46"/>
      <c r="C46"/>
      <c r="D46"/>
      <c r="E46"/>
      <c r="F46"/>
      <c r="G46"/>
      <c r="H46"/>
      <c r="I46"/>
      <c r="J46"/>
      <c r="K46"/>
      <c r="L46" s="407"/>
      <c r="M46"/>
      <c r="N46"/>
      <c r="O46" s="407"/>
    </row>
    <row r="47" spans="1:15" x14ac:dyDescent="0.55000000000000004">
      <c r="A47"/>
      <c r="B47"/>
      <c r="C47"/>
      <c r="D47"/>
      <c r="E47"/>
      <c r="F47"/>
      <c r="G47"/>
      <c r="H47"/>
      <c r="I47"/>
      <c r="J47"/>
      <c r="K47"/>
      <c r="L47" s="407"/>
      <c r="M47"/>
      <c r="N47"/>
      <c r="O47" s="407"/>
    </row>
    <row r="48" spans="1:15" x14ac:dyDescent="0.55000000000000004">
      <c r="A48"/>
      <c r="B48"/>
      <c r="C48"/>
      <c r="D48"/>
      <c r="E48"/>
      <c r="F48"/>
      <c r="G48"/>
      <c r="H48"/>
      <c r="I48"/>
      <c r="J48"/>
      <c r="K48"/>
      <c r="L48" s="407"/>
      <c r="M48"/>
      <c r="N48"/>
      <c r="O48" s="407"/>
    </row>
    <row r="49" spans="1:15" x14ac:dyDescent="0.55000000000000004">
      <c r="A49"/>
      <c r="B49"/>
      <c r="C49"/>
      <c r="D49"/>
      <c r="E49"/>
      <c r="F49"/>
      <c r="G49"/>
      <c r="H49"/>
      <c r="I49"/>
      <c r="J49"/>
      <c r="K49"/>
      <c r="L49" s="407"/>
      <c r="M49"/>
      <c r="N49"/>
      <c r="O49" s="407"/>
    </row>
    <row r="50" spans="1:15" x14ac:dyDescent="0.55000000000000004">
      <c r="A50"/>
      <c r="B50"/>
      <c r="C50"/>
      <c r="D50"/>
      <c r="E50"/>
      <c r="F50"/>
      <c r="G50"/>
      <c r="H50"/>
      <c r="I50"/>
      <c r="J50"/>
      <c r="K50"/>
      <c r="L50" s="407"/>
      <c r="M50"/>
      <c r="N50"/>
      <c r="O50" s="407"/>
    </row>
    <row r="51" spans="1:15" x14ac:dyDescent="0.55000000000000004">
      <c r="A51"/>
      <c r="B51"/>
      <c r="C51"/>
      <c r="D51"/>
      <c r="E51"/>
      <c r="F51"/>
      <c r="G51"/>
      <c r="H51"/>
      <c r="I51"/>
      <c r="J51"/>
      <c r="K51"/>
      <c r="L51" s="407"/>
      <c r="M51"/>
      <c r="N51"/>
      <c r="O51" s="407"/>
    </row>
    <row r="52" spans="1:15" x14ac:dyDescent="0.55000000000000004">
      <c r="A52"/>
      <c r="B52"/>
      <c r="C52"/>
      <c r="D52"/>
      <c r="E52"/>
      <c r="F52"/>
      <c r="G52"/>
      <c r="H52"/>
      <c r="I52"/>
      <c r="J52"/>
      <c r="K52"/>
      <c r="L52" s="407"/>
      <c r="M52"/>
      <c r="N52"/>
      <c r="O52" s="407"/>
    </row>
    <row r="53" spans="1:15" x14ac:dyDescent="0.55000000000000004">
      <c r="A53"/>
      <c r="B53"/>
      <c r="C53"/>
      <c r="D53"/>
      <c r="E53"/>
      <c r="F53"/>
      <c r="G53"/>
      <c r="H53"/>
      <c r="I53"/>
      <c r="J53"/>
      <c r="K53"/>
      <c r="L53" s="407"/>
      <c r="M53"/>
      <c r="N53"/>
      <c r="O53" s="407"/>
    </row>
    <row r="54" spans="1:15" x14ac:dyDescent="0.55000000000000004">
      <c r="A54"/>
      <c r="B54"/>
      <c r="C54"/>
      <c r="D54"/>
      <c r="E54"/>
      <c r="F54"/>
      <c r="G54"/>
      <c r="H54"/>
      <c r="I54"/>
      <c r="J54"/>
      <c r="K54"/>
      <c r="L54" s="407"/>
      <c r="M54"/>
      <c r="N54"/>
      <c r="O54" s="407"/>
    </row>
    <row r="55" spans="1:15" x14ac:dyDescent="0.55000000000000004">
      <c r="A55"/>
      <c r="B55"/>
      <c r="C55"/>
      <c r="D55"/>
      <c r="E55"/>
      <c r="F55"/>
      <c r="G55"/>
      <c r="H55"/>
      <c r="I55"/>
      <c r="J55"/>
      <c r="K55"/>
      <c r="L55" s="407"/>
      <c r="M55"/>
      <c r="N55"/>
      <c r="O55" s="407"/>
    </row>
    <row r="56" spans="1:15" x14ac:dyDescent="0.55000000000000004">
      <c r="A56"/>
      <c r="B56"/>
      <c r="C56"/>
      <c r="D56"/>
      <c r="E56"/>
      <c r="F56"/>
      <c r="G56"/>
      <c r="H56"/>
      <c r="I56"/>
      <c r="J56"/>
      <c r="K56"/>
      <c r="L56" s="407"/>
      <c r="M56"/>
      <c r="N56"/>
      <c r="O56" s="407"/>
    </row>
    <row r="57" spans="1:15" x14ac:dyDescent="0.55000000000000004">
      <c r="A57"/>
      <c r="B57"/>
      <c r="C57"/>
      <c r="D57"/>
      <c r="E57"/>
      <c r="F57"/>
      <c r="G57"/>
      <c r="H57"/>
      <c r="I57"/>
      <c r="J57"/>
      <c r="K57"/>
      <c r="L57" s="407"/>
      <c r="M57"/>
      <c r="N57"/>
      <c r="O57" s="407"/>
    </row>
    <row r="58" spans="1:15" x14ac:dyDescent="0.55000000000000004">
      <c r="A58"/>
      <c r="B58"/>
      <c r="C58"/>
      <c r="D58"/>
      <c r="E58"/>
      <c r="F58"/>
      <c r="G58"/>
      <c r="H58"/>
      <c r="I58"/>
      <c r="J58"/>
      <c r="K58"/>
      <c r="L58" s="407"/>
      <c r="M58"/>
      <c r="N58"/>
      <c r="O58" s="407"/>
    </row>
    <row r="59" spans="1:15" x14ac:dyDescent="0.55000000000000004">
      <c r="A59"/>
      <c r="B59"/>
      <c r="C59"/>
      <c r="D59"/>
      <c r="E59"/>
      <c r="F59"/>
      <c r="G59"/>
      <c r="H59"/>
      <c r="I59"/>
      <c r="J59"/>
      <c r="K59"/>
      <c r="L59" s="407"/>
      <c r="M59"/>
      <c r="N59"/>
      <c r="O59" s="407"/>
    </row>
    <row r="60" spans="1:15" x14ac:dyDescent="0.55000000000000004">
      <c r="A60"/>
      <c r="B60"/>
      <c r="C60"/>
      <c r="D60"/>
      <c r="E60"/>
      <c r="F60"/>
      <c r="G60"/>
      <c r="H60"/>
      <c r="I60"/>
      <c r="J60"/>
      <c r="K60"/>
      <c r="L60" s="407"/>
      <c r="M60"/>
      <c r="N60"/>
      <c r="O60" s="407"/>
    </row>
    <row r="61" spans="1:15" x14ac:dyDescent="0.55000000000000004">
      <c r="A61"/>
      <c r="B61"/>
      <c r="C61"/>
      <c r="D61"/>
      <c r="E61"/>
      <c r="F61"/>
      <c r="G61"/>
      <c r="H61"/>
      <c r="I61"/>
      <c r="J61"/>
      <c r="K61"/>
      <c r="L61" s="407"/>
      <c r="M61"/>
      <c r="N61"/>
      <c r="O61" s="407"/>
    </row>
    <row r="62" spans="1:15" x14ac:dyDescent="0.55000000000000004">
      <c r="A62"/>
      <c r="B62"/>
      <c r="C62"/>
      <c r="D62"/>
      <c r="E62"/>
      <c r="F62"/>
      <c r="G62"/>
      <c r="H62"/>
      <c r="I62"/>
      <c r="J62"/>
      <c r="K62"/>
      <c r="L62" s="407"/>
      <c r="M62"/>
      <c r="N62"/>
      <c r="O62" s="407"/>
    </row>
    <row r="63" spans="1:15" x14ac:dyDescent="0.55000000000000004">
      <c r="A63"/>
      <c r="B63"/>
      <c r="C63"/>
    </row>
    <row r="64" spans="1:15" x14ac:dyDescent="0.55000000000000004">
      <c r="A64"/>
      <c r="B64"/>
      <c r="C64"/>
    </row>
    <row r="65" spans="1:3" x14ac:dyDescent="0.55000000000000004">
      <c r="A65"/>
      <c r="B65"/>
      <c r="C65"/>
    </row>
    <row r="66" spans="1:3" x14ac:dyDescent="0.55000000000000004">
      <c r="A66"/>
      <c r="B66"/>
      <c r="C66"/>
    </row>
    <row r="67" spans="1:3" x14ac:dyDescent="0.55000000000000004">
      <c r="A67"/>
      <c r="B67"/>
      <c r="C67"/>
    </row>
    <row r="68" spans="1:3" x14ac:dyDescent="0.55000000000000004">
      <c r="A68"/>
      <c r="B68"/>
      <c r="C68"/>
    </row>
    <row r="69" spans="1:3" x14ac:dyDescent="0.55000000000000004">
      <c r="A69"/>
      <c r="B69"/>
      <c r="C69"/>
    </row>
    <row r="70" spans="1:3" x14ac:dyDescent="0.55000000000000004">
      <c r="A70"/>
      <c r="B70"/>
      <c r="C70"/>
    </row>
    <row r="71" spans="1:3" x14ac:dyDescent="0.55000000000000004">
      <c r="A71"/>
      <c r="B71"/>
      <c r="C71"/>
    </row>
    <row r="72" spans="1:3" x14ac:dyDescent="0.55000000000000004">
      <c r="A72"/>
      <c r="B72"/>
      <c r="C72"/>
    </row>
    <row r="73" spans="1:3" x14ac:dyDescent="0.55000000000000004">
      <c r="A73"/>
      <c r="B73"/>
      <c r="C73"/>
    </row>
    <row r="74" spans="1:3" x14ac:dyDescent="0.55000000000000004">
      <c r="A74"/>
      <c r="B74"/>
      <c r="C74"/>
    </row>
    <row r="75" spans="1:3" x14ac:dyDescent="0.55000000000000004">
      <c r="A75"/>
      <c r="B75"/>
      <c r="C75"/>
    </row>
    <row r="76" spans="1:3" x14ac:dyDescent="0.55000000000000004">
      <c r="A76"/>
      <c r="B76"/>
      <c r="C76"/>
    </row>
    <row r="77" spans="1:3" x14ac:dyDescent="0.55000000000000004">
      <c r="A77"/>
      <c r="B77"/>
      <c r="C77"/>
    </row>
    <row r="78" spans="1:3" x14ac:dyDescent="0.55000000000000004">
      <c r="A78"/>
      <c r="B78"/>
      <c r="C78"/>
    </row>
    <row r="79" spans="1:3" x14ac:dyDescent="0.55000000000000004">
      <c r="A79"/>
      <c r="B79"/>
      <c r="C79"/>
    </row>
    <row r="80" spans="1:3" x14ac:dyDescent="0.55000000000000004">
      <c r="A80"/>
      <c r="B80"/>
      <c r="C80"/>
    </row>
    <row r="81" spans="1:3" x14ac:dyDescent="0.55000000000000004">
      <c r="A81"/>
      <c r="B81"/>
      <c r="C81"/>
    </row>
    <row r="82" spans="1:3" x14ac:dyDescent="0.55000000000000004">
      <c r="A82"/>
      <c r="B82"/>
      <c r="C82"/>
    </row>
    <row r="83" spans="1:3" x14ac:dyDescent="0.55000000000000004">
      <c r="A83"/>
      <c r="B83"/>
      <c r="C83"/>
    </row>
    <row r="84" spans="1:3" x14ac:dyDescent="0.55000000000000004">
      <c r="A84"/>
      <c r="B84"/>
      <c r="C84"/>
    </row>
    <row r="85" spans="1:3" x14ac:dyDescent="0.55000000000000004">
      <c r="A85"/>
      <c r="B85"/>
      <c r="C85"/>
    </row>
    <row r="86" spans="1:3" x14ac:dyDescent="0.55000000000000004">
      <c r="A86"/>
      <c r="B86"/>
      <c r="C86"/>
    </row>
    <row r="87" spans="1:3" x14ac:dyDescent="0.55000000000000004">
      <c r="A87"/>
      <c r="B87"/>
      <c r="C87"/>
    </row>
    <row r="88" spans="1:3" x14ac:dyDescent="0.55000000000000004">
      <c r="A88"/>
      <c r="B88"/>
      <c r="C88"/>
    </row>
    <row r="89" spans="1:3" x14ac:dyDescent="0.55000000000000004">
      <c r="A89"/>
      <c r="B89"/>
      <c r="C89"/>
    </row>
    <row r="90" spans="1:3" x14ac:dyDescent="0.55000000000000004">
      <c r="A90"/>
      <c r="B90"/>
      <c r="C90"/>
    </row>
    <row r="91" spans="1:3" x14ac:dyDescent="0.55000000000000004">
      <c r="A91"/>
      <c r="B91"/>
      <c r="C91"/>
    </row>
    <row r="92" spans="1:3" x14ac:dyDescent="0.55000000000000004">
      <c r="A92"/>
      <c r="B92"/>
      <c r="C92"/>
    </row>
    <row r="93" spans="1:3" x14ac:dyDescent="0.55000000000000004">
      <c r="A93"/>
      <c r="B93"/>
      <c r="C93"/>
    </row>
    <row r="94" spans="1:3" x14ac:dyDescent="0.55000000000000004">
      <c r="A94"/>
      <c r="B94"/>
      <c r="C94"/>
    </row>
    <row r="95" spans="1:3" x14ac:dyDescent="0.55000000000000004">
      <c r="A95"/>
      <c r="B95"/>
      <c r="C95"/>
    </row>
    <row r="96" spans="1:3" x14ac:dyDescent="0.55000000000000004">
      <c r="A96"/>
      <c r="B96"/>
      <c r="C96"/>
    </row>
    <row r="97" spans="1:3" x14ac:dyDescent="0.55000000000000004">
      <c r="A97"/>
      <c r="B97"/>
      <c r="C97"/>
    </row>
    <row r="98" spans="1:3" x14ac:dyDescent="0.55000000000000004">
      <c r="A98"/>
      <c r="B98"/>
      <c r="C98"/>
    </row>
    <row r="99" spans="1:3" x14ac:dyDescent="0.55000000000000004">
      <c r="A99"/>
      <c r="B99"/>
      <c r="C99"/>
    </row>
    <row r="100" spans="1:3" x14ac:dyDescent="0.55000000000000004">
      <c r="A100"/>
      <c r="B100"/>
      <c r="C100"/>
    </row>
    <row r="101" spans="1:3" x14ac:dyDescent="0.55000000000000004">
      <c r="A101"/>
      <c r="B101"/>
      <c r="C101"/>
    </row>
    <row r="102" spans="1:3" x14ac:dyDescent="0.55000000000000004">
      <c r="A102"/>
      <c r="B102"/>
      <c r="C102"/>
    </row>
    <row r="103" spans="1:3" x14ac:dyDescent="0.55000000000000004">
      <c r="A103"/>
      <c r="B103"/>
      <c r="C103"/>
    </row>
    <row r="104" spans="1:3" x14ac:dyDescent="0.55000000000000004">
      <c r="A104"/>
      <c r="B104"/>
      <c r="C104"/>
    </row>
    <row r="105" spans="1:3" x14ac:dyDescent="0.55000000000000004">
      <c r="A105"/>
      <c r="B105"/>
      <c r="C105"/>
    </row>
    <row r="106" spans="1:3" x14ac:dyDescent="0.55000000000000004">
      <c r="A106"/>
      <c r="B106"/>
      <c r="C106"/>
    </row>
    <row r="107" spans="1:3" x14ac:dyDescent="0.55000000000000004">
      <c r="A107"/>
      <c r="B107"/>
      <c r="C107"/>
    </row>
    <row r="108" spans="1:3" x14ac:dyDescent="0.55000000000000004">
      <c r="A108"/>
      <c r="B108"/>
      <c r="C108"/>
    </row>
    <row r="109" spans="1:3" x14ac:dyDescent="0.55000000000000004">
      <c r="A109"/>
      <c r="B109"/>
      <c r="C109"/>
    </row>
    <row r="110" spans="1:3" x14ac:dyDescent="0.55000000000000004">
      <c r="A110"/>
      <c r="B110"/>
      <c r="C110"/>
    </row>
    <row r="111" spans="1:3" x14ac:dyDescent="0.55000000000000004">
      <c r="A111"/>
      <c r="B111"/>
      <c r="C111"/>
    </row>
    <row r="112" spans="1:3" x14ac:dyDescent="0.55000000000000004">
      <c r="A112"/>
      <c r="B112"/>
      <c r="C112"/>
    </row>
    <row r="113" spans="1:3" x14ac:dyDescent="0.55000000000000004">
      <c r="A113"/>
      <c r="B113"/>
      <c r="C113"/>
    </row>
    <row r="114" spans="1:3" x14ac:dyDescent="0.55000000000000004">
      <c r="A114"/>
      <c r="B114"/>
      <c r="C114"/>
    </row>
    <row r="115" spans="1:3" x14ac:dyDescent="0.55000000000000004">
      <c r="A115"/>
      <c r="B115"/>
      <c r="C115"/>
    </row>
    <row r="116" spans="1:3" x14ac:dyDescent="0.55000000000000004">
      <c r="A116"/>
      <c r="B116"/>
      <c r="C116"/>
    </row>
    <row r="117" spans="1:3" x14ac:dyDescent="0.55000000000000004">
      <c r="A117"/>
      <c r="B117"/>
      <c r="C117"/>
    </row>
    <row r="118" spans="1:3" x14ac:dyDescent="0.55000000000000004">
      <c r="A118"/>
      <c r="B118"/>
      <c r="C118"/>
    </row>
    <row r="119" spans="1:3" x14ac:dyDescent="0.55000000000000004">
      <c r="A119"/>
      <c r="B119"/>
      <c r="C119"/>
    </row>
    <row r="120" spans="1:3" x14ac:dyDescent="0.55000000000000004">
      <c r="A120"/>
      <c r="B120"/>
      <c r="C120"/>
    </row>
    <row r="121" spans="1:3" x14ac:dyDescent="0.55000000000000004">
      <c r="A121"/>
      <c r="B121"/>
      <c r="C121"/>
    </row>
    <row r="122" spans="1:3" x14ac:dyDescent="0.55000000000000004">
      <c r="A122"/>
      <c r="B122"/>
      <c r="C122"/>
    </row>
    <row r="123" spans="1:3" x14ac:dyDescent="0.55000000000000004">
      <c r="A123"/>
      <c r="B123"/>
      <c r="C123"/>
    </row>
    <row r="124" spans="1:3" x14ac:dyDescent="0.55000000000000004">
      <c r="A124"/>
      <c r="B124"/>
      <c r="C124"/>
    </row>
    <row r="125" spans="1:3" x14ac:dyDescent="0.55000000000000004">
      <c r="A125"/>
      <c r="B125"/>
      <c r="C125"/>
    </row>
    <row r="126" spans="1:3" x14ac:dyDescent="0.55000000000000004">
      <c r="A126"/>
      <c r="B126"/>
      <c r="C126"/>
    </row>
    <row r="127" spans="1:3" x14ac:dyDescent="0.55000000000000004">
      <c r="A127"/>
      <c r="B127"/>
      <c r="C127"/>
    </row>
    <row r="128" spans="1:3" x14ac:dyDescent="0.55000000000000004">
      <c r="A128"/>
      <c r="B128"/>
      <c r="C128"/>
    </row>
    <row r="129" spans="1:3" x14ac:dyDescent="0.55000000000000004">
      <c r="A129"/>
      <c r="B129"/>
      <c r="C129"/>
    </row>
    <row r="130" spans="1:3" x14ac:dyDescent="0.55000000000000004">
      <c r="A130"/>
      <c r="B130"/>
      <c r="C130"/>
    </row>
    <row r="131" spans="1:3" x14ac:dyDescent="0.55000000000000004">
      <c r="A131"/>
      <c r="B131"/>
      <c r="C131"/>
    </row>
    <row r="132" spans="1:3" x14ac:dyDescent="0.55000000000000004">
      <c r="A132"/>
      <c r="B132"/>
      <c r="C132"/>
    </row>
    <row r="133" spans="1:3" x14ac:dyDescent="0.55000000000000004">
      <c r="A133"/>
      <c r="B133"/>
      <c r="C133"/>
    </row>
    <row r="134" spans="1:3" x14ac:dyDescent="0.55000000000000004">
      <c r="A134"/>
      <c r="B134"/>
      <c r="C134"/>
    </row>
    <row r="135" spans="1:3" x14ac:dyDescent="0.55000000000000004">
      <c r="A135"/>
      <c r="B135"/>
      <c r="C135"/>
    </row>
    <row r="136" spans="1:3" x14ac:dyDescent="0.55000000000000004">
      <c r="A136"/>
      <c r="B136"/>
      <c r="C136"/>
    </row>
    <row r="137" spans="1:3" x14ac:dyDescent="0.55000000000000004">
      <c r="A137"/>
      <c r="B137"/>
      <c r="C137"/>
    </row>
    <row r="138" spans="1:3" x14ac:dyDescent="0.55000000000000004">
      <c r="A138"/>
      <c r="B138"/>
      <c r="C138"/>
    </row>
    <row r="139" spans="1:3" x14ac:dyDescent="0.55000000000000004">
      <c r="A139"/>
      <c r="B139"/>
      <c r="C139"/>
    </row>
    <row r="140" spans="1:3" x14ac:dyDescent="0.55000000000000004">
      <c r="A140"/>
      <c r="B140"/>
      <c r="C140"/>
    </row>
    <row r="141" spans="1:3" x14ac:dyDescent="0.55000000000000004">
      <c r="A141"/>
      <c r="B141"/>
      <c r="C141"/>
    </row>
    <row r="142" spans="1:3" x14ac:dyDescent="0.55000000000000004">
      <c r="A142"/>
      <c r="B142"/>
      <c r="C142"/>
    </row>
    <row r="143" spans="1:3" x14ac:dyDescent="0.55000000000000004">
      <c r="A143"/>
      <c r="B143"/>
      <c r="C143"/>
    </row>
    <row r="144" spans="1:3" x14ac:dyDescent="0.55000000000000004">
      <c r="A144"/>
      <c r="B144"/>
      <c r="C144"/>
    </row>
    <row r="145" spans="1:3" x14ac:dyDescent="0.55000000000000004">
      <c r="A145"/>
      <c r="B145"/>
      <c r="C145"/>
    </row>
    <row r="146" spans="1:3" x14ac:dyDescent="0.55000000000000004">
      <c r="A146"/>
      <c r="B146"/>
      <c r="C146"/>
    </row>
    <row r="147" spans="1:3" x14ac:dyDescent="0.55000000000000004">
      <c r="A147"/>
      <c r="B147"/>
      <c r="C147"/>
    </row>
    <row r="148" spans="1:3" x14ac:dyDescent="0.55000000000000004">
      <c r="A148"/>
      <c r="B148"/>
      <c r="C148"/>
    </row>
    <row r="149" spans="1:3" x14ac:dyDescent="0.55000000000000004">
      <c r="A149"/>
      <c r="B149"/>
      <c r="C149"/>
    </row>
    <row r="150" spans="1:3" x14ac:dyDescent="0.55000000000000004">
      <c r="A150"/>
      <c r="B150"/>
      <c r="C150"/>
    </row>
    <row r="151" spans="1:3" x14ac:dyDescent="0.55000000000000004">
      <c r="A151"/>
      <c r="B151"/>
      <c r="C151"/>
    </row>
    <row r="152" spans="1:3" x14ac:dyDescent="0.55000000000000004">
      <c r="A152"/>
      <c r="B152"/>
      <c r="C152"/>
    </row>
    <row r="153" spans="1:3" x14ac:dyDescent="0.55000000000000004">
      <c r="A153"/>
      <c r="B153"/>
      <c r="C153"/>
    </row>
    <row r="154" spans="1:3" x14ac:dyDescent="0.55000000000000004">
      <c r="A154"/>
      <c r="B154"/>
      <c r="C154"/>
    </row>
    <row r="155" spans="1:3" x14ac:dyDescent="0.55000000000000004">
      <c r="A155"/>
      <c r="B155"/>
      <c r="C155"/>
    </row>
    <row r="156" spans="1:3" x14ac:dyDescent="0.55000000000000004">
      <c r="A156"/>
      <c r="B156"/>
      <c r="C156"/>
    </row>
    <row r="157" spans="1:3" x14ac:dyDescent="0.55000000000000004">
      <c r="A157"/>
      <c r="B157"/>
      <c r="C157"/>
    </row>
    <row r="158" spans="1:3" x14ac:dyDescent="0.55000000000000004">
      <c r="A158"/>
      <c r="B158"/>
      <c r="C158"/>
    </row>
    <row r="159" spans="1:3" x14ac:dyDescent="0.55000000000000004">
      <c r="A159"/>
      <c r="B159"/>
      <c r="C159"/>
    </row>
    <row r="160" spans="1:3" x14ac:dyDescent="0.55000000000000004">
      <c r="A160"/>
      <c r="B160"/>
      <c r="C160"/>
    </row>
    <row r="161" spans="1:3" x14ac:dyDescent="0.55000000000000004">
      <c r="A161"/>
      <c r="B161"/>
      <c r="C161"/>
    </row>
    <row r="162" spans="1:3" x14ac:dyDescent="0.55000000000000004">
      <c r="A162"/>
    </row>
    <row r="163" spans="1:3" x14ac:dyDescent="0.55000000000000004">
      <c r="A163"/>
    </row>
    <row r="164" spans="1:3" x14ac:dyDescent="0.55000000000000004">
      <c r="A164"/>
    </row>
    <row r="165" spans="1:3" x14ac:dyDescent="0.55000000000000004">
      <c r="A165"/>
    </row>
    <row r="166" spans="1:3" x14ac:dyDescent="0.55000000000000004">
      <c r="A166"/>
    </row>
    <row r="167" spans="1:3" x14ac:dyDescent="0.55000000000000004">
      <c r="A167"/>
    </row>
    <row r="168" spans="1:3" x14ac:dyDescent="0.55000000000000004">
      <c r="A168"/>
    </row>
    <row r="169" spans="1:3" x14ac:dyDescent="0.55000000000000004">
      <c r="A169"/>
    </row>
    <row r="170" spans="1:3" x14ac:dyDescent="0.55000000000000004">
      <c r="A170"/>
    </row>
    <row r="171" spans="1:3" x14ac:dyDescent="0.55000000000000004">
      <c r="A171"/>
    </row>
    <row r="172" spans="1:3" x14ac:dyDescent="0.55000000000000004">
      <c r="A172"/>
    </row>
    <row r="173" spans="1:3" x14ac:dyDescent="0.55000000000000004">
      <c r="A173"/>
    </row>
    <row r="174" spans="1:3" x14ac:dyDescent="0.55000000000000004">
      <c r="A174"/>
    </row>
    <row r="175" spans="1:3" x14ac:dyDescent="0.55000000000000004">
      <c r="A175"/>
    </row>
    <row r="176" spans="1:3" x14ac:dyDescent="0.55000000000000004">
      <c r="A176"/>
    </row>
    <row r="177" spans="1:1" x14ac:dyDescent="0.55000000000000004">
      <c r="A177"/>
    </row>
    <row r="178" spans="1:1" x14ac:dyDescent="0.55000000000000004">
      <c r="A178"/>
    </row>
    <row r="179" spans="1:1" x14ac:dyDescent="0.55000000000000004">
      <c r="A179"/>
    </row>
    <row r="180" spans="1:1" x14ac:dyDescent="0.55000000000000004">
      <c r="A180"/>
    </row>
    <row r="181" spans="1:1" x14ac:dyDescent="0.55000000000000004">
      <c r="A181"/>
    </row>
    <row r="182" spans="1:1" x14ac:dyDescent="0.55000000000000004">
      <c r="A182"/>
    </row>
    <row r="183" spans="1:1" x14ac:dyDescent="0.55000000000000004">
      <c r="A183"/>
    </row>
    <row r="184" spans="1:1" x14ac:dyDescent="0.55000000000000004">
      <c r="A184"/>
    </row>
    <row r="185" spans="1:1" x14ac:dyDescent="0.55000000000000004">
      <c r="A185"/>
    </row>
    <row r="186" spans="1:1" x14ac:dyDescent="0.55000000000000004">
      <c r="A186"/>
    </row>
    <row r="187" spans="1:1" x14ac:dyDescent="0.55000000000000004">
      <c r="A187"/>
    </row>
    <row r="188" spans="1:1" x14ac:dyDescent="0.55000000000000004">
      <c r="A188"/>
    </row>
    <row r="189" spans="1:1" x14ac:dyDescent="0.55000000000000004">
      <c r="A189"/>
    </row>
    <row r="190" spans="1:1" x14ac:dyDescent="0.55000000000000004">
      <c r="A190"/>
    </row>
    <row r="191" spans="1:1" x14ac:dyDescent="0.55000000000000004">
      <c r="A191"/>
    </row>
    <row r="192" spans="1:1" x14ac:dyDescent="0.55000000000000004">
      <c r="A192"/>
    </row>
    <row r="193" spans="1:1" x14ac:dyDescent="0.55000000000000004">
      <c r="A193"/>
    </row>
    <row r="194" spans="1:1" x14ac:dyDescent="0.55000000000000004">
      <c r="A194"/>
    </row>
    <row r="195" spans="1:1" x14ac:dyDescent="0.55000000000000004">
      <c r="A195"/>
    </row>
    <row r="196" spans="1:1" x14ac:dyDescent="0.55000000000000004">
      <c r="A196"/>
    </row>
    <row r="197" spans="1:1" x14ac:dyDescent="0.55000000000000004">
      <c r="A197"/>
    </row>
    <row r="198" spans="1:1" x14ac:dyDescent="0.55000000000000004">
      <c r="A198"/>
    </row>
    <row r="199" spans="1:1" x14ac:dyDescent="0.55000000000000004">
      <c r="A199"/>
    </row>
    <row r="200" spans="1:1" x14ac:dyDescent="0.55000000000000004">
      <c r="A200"/>
    </row>
    <row r="201" spans="1:1" x14ac:dyDescent="0.55000000000000004">
      <c r="A201"/>
    </row>
    <row r="202" spans="1:1" x14ac:dyDescent="0.55000000000000004">
      <c r="A202"/>
    </row>
    <row r="203" spans="1:1" x14ac:dyDescent="0.55000000000000004">
      <c r="A203"/>
    </row>
    <row r="204" spans="1:1" x14ac:dyDescent="0.55000000000000004">
      <c r="A204"/>
    </row>
    <row r="205" spans="1:1" x14ac:dyDescent="0.55000000000000004">
      <c r="A205"/>
    </row>
    <row r="206" spans="1:1" x14ac:dyDescent="0.55000000000000004">
      <c r="A206"/>
    </row>
    <row r="207" spans="1:1" x14ac:dyDescent="0.55000000000000004">
      <c r="A207"/>
    </row>
    <row r="208" spans="1:1" x14ac:dyDescent="0.55000000000000004">
      <c r="A208"/>
    </row>
    <row r="209" spans="1:1" x14ac:dyDescent="0.55000000000000004">
      <c r="A209"/>
    </row>
    <row r="210" spans="1:1" x14ac:dyDescent="0.55000000000000004">
      <c r="A210"/>
    </row>
    <row r="211" spans="1:1" x14ac:dyDescent="0.55000000000000004">
      <c r="A211"/>
    </row>
    <row r="212" spans="1:1" x14ac:dyDescent="0.55000000000000004">
      <c r="A212"/>
    </row>
    <row r="213" spans="1:1" x14ac:dyDescent="0.55000000000000004">
      <c r="A213"/>
    </row>
    <row r="214" spans="1:1" x14ac:dyDescent="0.55000000000000004">
      <c r="A214"/>
    </row>
    <row r="215" spans="1:1" x14ac:dyDescent="0.55000000000000004">
      <c r="A215"/>
    </row>
    <row r="216" spans="1:1" x14ac:dyDescent="0.55000000000000004">
      <c r="A216"/>
    </row>
    <row r="217" spans="1:1" x14ac:dyDescent="0.55000000000000004">
      <c r="A217"/>
    </row>
    <row r="218" spans="1:1" x14ac:dyDescent="0.55000000000000004">
      <c r="A218"/>
    </row>
    <row r="219" spans="1:1" x14ac:dyDescent="0.55000000000000004">
      <c r="A219"/>
    </row>
    <row r="220" spans="1:1" x14ac:dyDescent="0.55000000000000004">
      <c r="A220"/>
    </row>
    <row r="221" spans="1:1" x14ac:dyDescent="0.55000000000000004">
      <c r="A221"/>
    </row>
    <row r="222" spans="1:1" x14ac:dyDescent="0.55000000000000004">
      <c r="A222"/>
    </row>
    <row r="223" spans="1:1" x14ac:dyDescent="0.55000000000000004">
      <c r="A223"/>
    </row>
    <row r="224" spans="1:1" x14ac:dyDescent="0.55000000000000004">
      <c r="A224"/>
    </row>
    <row r="225" spans="1:1" x14ac:dyDescent="0.55000000000000004">
      <c r="A225"/>
    </row>
    <row r="226" spans="1:1" x14ac:dyDescent="0.55000000000000004">
      <c r="A226"/>
    </row>
    <row r="227" spans="1:1" x14ac:dyDescent="0.55000000000000004">
      <c r="A227"/>
    </row>
    <row r="228" spans="1:1" x14ac:dyDescent="0.55000000000000004">
      <c r="A228"/>
    </row>
    <row r="229" spans="1:1" x14ac:dyDescent="0.55000000000000004">
      <c r="A229"/>
    </row>
    <row r="230" spans="1:1" x14ac:dyDescent="0.55000000000000004">
      <c r="A230"/>
    </row>
    <row r="231" spans="1:1" x14ac:dyDescent="0.55000000000000004">
      <c r="A231"/>
    </row>
    <row r="232" spans="1:1" x14ac:dyDescent="0.55000000000000004">
      <c r="A232"/>
    </row>
    <row r="233" spans="1:1" x14ac:dyDescent="0.55000000000000004">
      <c r="A233"/>
    </row>
    <row r="234" spans="1:1" x14ac:dyDescent="0.55000000000000004">
      <c r="A234"/>
    </row>
    <row r="235" spans="1:1" x14ac:dyDescent="0.55000000000000004">
      <c r="A235"/>
    </row>
    <row r="236" spans="1:1" x14ac:dyDescent="0.55000000000000004">
      <c r="A236"/>
    </row>
    <row r="237" spans="1:1" x14ac:dyDescent="0.55000000000000004">
      <c r="A237"/>
    </row>
    <row r="238" spans="1:1" x14ac:dyDescent="0.55000000000000004">
      <c r="A238"/>
    </row>
    <row r="239" spans="1:1" x14ac:dyDescent="0.55000000000000004">
      <c r="A239"/>
    </row>
    <row r="240" spans="1:1" x14ac:dyDescent="0.55000000000000004">
      <c r="A240"/>
    </row>
    <row r="241" spans="1:1" x14ac:dyDescent="0.55000000000000004">
      <c r="A241"/>
    </row>
    <row r="242" spans="1:1" x14ac:dyDescent="0.55000000000000004">
      <c r="A242"/>
    </row>
    <row r="243" spans="1:1" x14ac:dyDescent="0.55000000000000004">
      <c r="A243"/>
    </row>
    <row r="244" spans="1:1" x14ac:dyDescent="0.55000000000000004">
      <c r="A244"/>
    </row>
    <row r="245" spans="1:1" x14ac:dyDescent="0.55000000000000004">
      <c r="A245"/>
    </row>
    <row r="246" spans="1:1" x14ac:dyDescent="0.55000000000000004">
      <c r="A246"/>
    </row>
    <row r="247" spans="1:1" x14ac:dyDescent="0.55000000000000004">
      <c r="A247"/>
    </row>
    <row r="248" spans="1:1" x14ac:dyDescent="0.55000000000000004">
      <c r="A248"/>
    </row>
    <row r="249" spans="1:1" x14ac:dyDescent="0.55000000000000004">
      <c r="A249"/>
    </row>
    <row r="250" spans="1:1" x14ac:dyDescent="0.55000000000000004">
      <c r="A250"/>
    </row>
    <row r="251" spans="1:1" x14ac:dyDescent="0.55000000000000004">
      <c r="A251"/>
    </row>
    <row r="252" spans="1:1" x14ac:dyDescent="0.55000000000000004">
      <c r="A252"/>
    </row>
    <row r="253" spans="1:1" x14ac:dyDescent="0.55000000000000004">
      <c r="A253"/>
    </row>
    <row r="254" spans="1:1" x14ac:dyDescent="0.55000000000000004">
      <c r="A254"/>
    </row>
    <row r="255" spans="1:1" x14ac:dyDescent="0.55000000000000004">
      <c r="A255"/>
    </row>
    <row r="256" spans="1:1" x14ac:dyDescent="0.55000000000000004">
      <c r="A256"/>
    </row>
    <row r="257" spans="1:1" x14ac:dyDescent="0.55000000000000004">
      <c r="A257"/>
    </row>
    <row r="258" spans="1:1" x14ac:dyDescent="0.55000000000000004">
      <c r="A258"/>
    </row>
    <row r="259" spans="1:1" x14ac:dyDescent="0.55000000000000004">
      <c r="A259"/>
    </row>
    <row r="260" spans="1:1" x14ac:dyDescent="0.55000000000000004">
      <c r="A260"/>
    </row>
  </sheetData>
  <pageMargins left="0.24" right="0.16" top="0.75" bottom="0.75" header="0.3" footer="0.3"/>
  <pageSetup paperSize="9" scale="50" orientation="landscape" verticalDpi="0" r:id="rId2"/>
  <drawing r:id="rId3"/>
  <extLst>
    <ext xmlns:x15="http://schemas.microsoft.com/office/spreadsheetml/2010/11/main" uri="{7E03D99C-DC04-49d9-9315-930204A7B6E9}">
      <x15:timelineRefs>
        <x15:timelineRef r:id="rId4"/>
      </x15:timelineRef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rgb="FF002060"/>
  </sheetPr>
  <dimension ref="A1:AY59"/>
  <sheetViews>
    <sheetView topLeftCell="A22" workbookViewId="0">
      <selection activeCell="C9" sqref="C9"/>
    </sheetView>
  </sheetViews>
  <sheetFormatPr defaultColWidth="14.42578125" defaultRowHeight="18" x14ac:dyDescent="0.25"/>
  <cols>
    <col min="1" max="1" width="4.28515625" style="11" bestFit="1" customWidth="1"/>
    <col min="2" max="2" width="14.42578125" style="398"/>
    <col min="3" max="3" width="17.42578125" style="160" bestFit="1" customWidth="1"/>
    <col min="4" max="4" width="30.7109375" style="160" bestFit="1" customWidth="1"/>
    <col min="5" max="5" width="20.7109375" style="160" bestFit="1" customWidth="1"/>
    <col min="6" max="6" width="12.7109375" style="160" bestFit="1" customWidth="1"/>
    <col min="7" max="7" width="12.5703125" style="160" bestFit="1" customWidth="1"/>
    <col min="8" max="11" width="14.42578125" style="160"/>
    <col min="12" max="12" width="67.28515625" style="11" bestFit="1" customWidth="1"/>
    <col min="13" max="13" width="18.5703125" style="161" bestFit="1" customWidth="1"/>
    <col min="14" max="14" width="7.28515625" style="11" bestFit="1" customWidth="1"/>
    <col min="15" max="15" width="14.42578125" style="162"/>
    <col min="16" max="16" width="14.42578125" style="120"/>
    <col min="17" max="17" width="21.28515625" style="402" bestFit="1" customWidth="1"/>
    <col min="18" max="26" width="14.42578125" style="11"/>
    <col min="27" max="27" width="14.42578125" style="163"/>
    <col min="28" max="28" width="14.42578125" style="164"/>
    <col min="29" max="30" width="14.42578125" style="11"/>
    <col min="31" max="31" width="14.42578125" style="405"/>
    <col min="32" max="32" width="14.42578125" style="11"/>
    <col min="33" max="33" width="14.42578125" style="170"/>
    <col min="34" max="34" width="14.42578125" style="405"/>
    <col min="35" max="35" width="14.42578125" style="11"/>
    <col min="36" max="36" width="14.42578125" style="168"/>
    <col min="37" max="37" width="14.42578125" style="169"/>
    <col min="38" max="38" width="14.42578125" style="11"/>
    <col min="39" max="39" width="14.42578125" style="165"/>
    <col min="40" max="50" width="14.42578125" style="11"/>
    <col min="51" max="51" width="14.42578125" style="203"/>
    <col min="52" max="16384" width="14.42578125" style="11"/>
  </cols>
  <sheetData>
    <row r="1" spans="1:51" s="272" customFormat="1" ht="54" x14ac:dyDescent="0.45">
      <c r="A1" s="385" t="s">
        <v>2</v>
      </c>
      <c r="B1" s="406" t="s">
        <v>2344</v>
      </c>
      <c r="C1" s="387" t="s">
        <v>931</v>
      </c>
      <c r="D1" s="385" t="s">
        <v>2566</v>
      </c>
      <c r="E1" s="385" t="s">
        <v>2567</v>
      </c>
      <c r="F1" s="385" t="s">
        <v>2568</v>
      </c>
      <c r="G1" s="388" t="s">
        <v>2569</v>
      </c>
      <c r="H1" s="385" t="s">
        <v>2570</v>
      </c>
      <c r="I1" s="385" t="s">
        <v>2139</v>
      </c>
      <c r="J1" s="388" t="s">
        <v>2345</v>
      </c>
      <c r="K1" s="388" t="s">
        <v>1367</v>
      </c>
      <c r="L1" s="273" t="s">
        <v>932</v>
      </c>
      <c r="M1" s="273" t="s">
        <v>929</v>
      </c>
      <c r="N1" s="276" t="s">
        <v>930</v>
      </c>
      <c r="O1" s="276" t="s">
        <v>2571</v>
      </c>
      <c r="P1" s="276" t="s">
        <v>917</v>
      </c>
      <c r="Q1" s="364" t="s">
        <v>59</v>
      </c>
      <c r="R1" s="276" t="s">
        <v>60</v>
      </c>
      <c r="S1" s="276" t="s">
        <v>61</v>
      </c>
      <c r="T1" s="276" t="s">
        <v>2134</v>
      </c>
      <c r="U1" s="276" t="s">
        <v>90</v>
      </c>
      <c r="V1" s="276" t="s">
        <v>62</v>
      </c>
      <c r="W1" s="276" t="s">
        <v>63</v>
      </c>
      <c r="X1" s="276" t="s">
        <v>64</v>
      </c>
      <c r="Y1" s="276" t="s">
        <v>934</v>
      </c>
      <c r="Z1" s="276" t="s">
        <v>965</v>
      </c>
      <c r="AA1" s="276" t="s">
        <v>920</v>
      </c>
      <c r="AB1" s="276" t="s">
        <v>65</v>
      </c>
      <c r="AC1" s="276" t="s">
        <v>66</v>
      </c>
      <c r="AD1" s="276" t="s">
        <v>67</v>
      </c>
      <c r="AE1" s="403" t="s">
        <v>2572</v>
      </c>
      <c r="AF1" s="276" t="s">
        <v>2573</v>
      </c>
      <c r="AG1" s="276" t="s">
        <v>70</v>
      </c>
      <c r="AH1" s="403" t="s">
        <v>2574</v>
      </c>
      <c r="AI1" s="276" t="s">
        <v>2575</v>
      </c>
      <c r="AJ1" s="11"/>
    </row>
    <row r="2" spans="1:51" s="120" customFormat="1" x14ac:dyDescent="0.45">
      <c r="A2" s="121">
        <v>1</v>
      </c>
      <c r="B2" s="396">
        <v>43843</v>
      </c>
      <c r="C2" s="122" t="s">
        <v>2168</v>
      </c>
      <c r="D2" s="122"/>
      <c r="E2" s="122"/>
      <c r="F2" s="122"/>
      <c r="G2" s="122"/>
      <c r="H2" s="122"/>
      <c r="I2" s="122"/>
      <c r="J2" s="122"/>
      <c r="K2" s="122"/>
      <c r="L2" s="123" t="s">
        <v>2169</v>
      </c>
      <c r="M2" s="124" t="s">
        <v>2170</v>
      </c>
      <c r="N2" s="125"/>
      <c r="O2" s="126" t="s">
        <v>2171</v>
      </c>
      <c r="P2" s="121">
        <v>1</v>
      </c>
      <c r="Q2" s="210">
        <v>2480000</v>
      </c>
      <c r="R2" s="127">
        <v>0.01</v>
      </c>
      <c r="S2" s="127">
        <v>0.1</v>
      </c>
      <c r="T2" s="127"/>
      <c r="U2" s="127">
        <v>0.4</v>
      </c>
      <c r="V2" s="127">
        <f t="shared" ref="V2:V14" si="0">100%-U2</f>
        <v>0.6</v>
      </c>
      <c r="W2" s="128">
        <f>((Q2*60%)*10%)/365*366</f>
        <v>149207.67123287672</v>
      </c>
      <c r="X2" s="129">
        <f t="shared" ref="X2:X14" si="1">(Q2*R2)+(Q2*U2)+W2</f>
        <v>1166007.6712328768</v>
      </c>
      <c r="Y2" s="128">
        <f t="shared" ref="Y2:Y14" si="2">Q2*V2</f>
        <v>1488000</v>
      </c>
      <c r="Z2" s="121"/>
      <c r="AA2" s="127">
        <f t="shared" ref="AA2:AA14" si="3">V2/2</f>
        <v>0.3</v>
      </c>
      <c r="AB2" s="130">
        <v>44025</v>
      </c>
      <c r="AC2" s="131">
        <v>199000</v>
      </c>
      <c r="AD2" s="132" t="s">
        <v>2172</v>
      </c>
      <c r="AE2" s="404">
        <v>43988</v>
      </c>
      <c r="AF2" s="133">
        <v>545000</v>
      </c>
      <c r="AG2" s="127">
        <f t="shared" ref="AG2:AG14" si="4">V2/2</f>
        <v>0.3</v>
      </c>
      <c r="AH2" s="404">
        <v>44209</v>
      </c>
      <c r="AI2" s="128">
        <v>744000</v>
      </c>
      <c r="AJ2" s="125"/>
      <c r="AK2" s="125"/>
      <c r="AL2" s="1"/>
      <c r="AM2" s="134"/>
      <c r="AN2" s="135"/>
      <c r="AO2" s="135"/>
      <c r="AP2" s="135"/>
      <c r="AQ2" s="1"/>
      <c r="AR2" s="135"/>
      <c r="AS2" s="135"/>
      <c r="AT2" s="134"/>
    </row>
    <row r="3" spans="1:51" x14ac:dyDescent="0.25">
      <c r="A3" s="121">
        <v>2</v>
      </c>
      <c r="B3" s="396">
        <v>43843</v>
      </c>
      <c r="C3" s="122" t="s">
        <v>2173</v>
      </c>
      <c r="D3" s="122"/>
      <c r="E3" s="122"/>
      <c r="F3" s="122"/>
      <c r="G3" s="122"/>
      <c r="H3" s="122"/>
      <c r="I3" s="122"/>
      <c r="J3" s="122"/>
      <c r="K3" s="122"/>
      <c r="L3" s="125" t="s">
        <v>2174</v>
      </c>
      <c r="M3" s="124" t="s">
        <v>2175</v>
      </c>
      <c r="N3" s="125"/>
      <c r="O3" s="126" t="s">
        <v>2176</v>
      </c>
      <c r="P3" s="121">
        <v>1</v>
      </c>
      <c r="Q3" s="210">
        <v>3290000</v>
      </c>
      <c r="R3" s="127">
        <v>0.01</v>
      </c>
      <c r="S3" s="127">
        <v>0.1</v>
      </c>
      <c r="T3" s="127"/>
      <c r="U3" s="127">
        <v>0.4</v>
      </c>
      <c r="V3" s="127">
        <f t="shared" si="0"/>
        <v>0.6</v>
      </c>
      <c r="W3" s="128">
        <f t="shared" ref="W3:W14" si="5">((Q3*60%)*10%)/365*366</f>
        <v>197940.82191780821</v>
      </c>
      <c r="X3" s="136">
        <f t="shared" si="1"/>
        <v>1546840.8219178081</v>
      </c>
      <c r="Y3" s="128">
        <f t="shared" si="2"/>
        <v>1974000</v>
      </c>
      <c r="Z3" s="121"/>
      <c r="AA3" s="127">
        <f t="shared" si="3"/>
        <v>0.3</v>
      </c>
      <c r="AB3" s="137">
        <v>44025</v>
      </c>
      <c r="AC3" s="138"/>
      <c r="AD3" s="211">
        <v>0.3</v>
      </c>
      <c r="AE3" s="404">
        <v>44027</v>
      </c>
      <c r="AF3" s="136">
        <v>987000</v>
      </c>
      <c r="AG3" s="127">
        <f t="shared" si="4"/>
        <v>0.3</v>
      </c>
      <c r="AH3" s="404">
        <v>44209</v>
      </c>
      <c r="AI3" s="128">
        <v>987000</v>
      </c>
      <c r="AJ3" s="125"/>
      <c r="AK3" s="125" t="s">
        <v>2177</v>
      </c>
      <c r="AL3" s="1" t="s">
        <v>2178</v>
      </c>
      <c r="AM3" s="134"/>
      <c r="AN3" s="135"/>
      <c r="AO3" s="135"/>
      <c r="AP3" s="135"/>
      <c r="AQ3" s="1"/>
      <c r="AR3" s="135"/>
      <c r="AS3" s="135"/>
      <c r="AT3" s="134"/>
      <c r="AY3" s="11"/>
    </row>
    <row r="4" spans="1:51" x14ac:dyDescent="0.25">
      <c r="A4" s="121">
        <v>3</v>
      </c>
      <c r="B4" s="396">
        <v>43843</v>
      </c>
      <c r="C4" s="122" t="s">
        <v>2179</v>
      </c>
      <c r="D4" s="122"/>
      <c r="E4" s="122"/>
      <c r="F4" s="122"/>
      <c r="G4" s="122"/>
      <c r="H4" s="122"/>
      <c r="I4" s="122"/>
      <c r="J4" s="122"/>
      <c r="K4" s="122"/>
      <c r="L4" s="125" t="s">
        <v>2174</v>
      </c>
      <c r="M4" s="124" t="s">
        <v>2180</v>
      </c>
      <c r="N4" s="125"/>
      <c r="O4" s="126" t="s">
        <v>2181</v>
      </c>
      <c r="P4" s="121">
        <v>1</v>
      </c>
      <c r="Q4" s="210">
        <v>3290000</v>
      </c>
      <c r="R4" s="127">
        <v>0.01</v>
      </c>
      <c r="S4" s="127">
        <v>0.1</v>
      </c>
      <c r="T4" s="127"/>
      <c r="U4" s="127">
        <v>0.4</v>
      </c>
      <c r="V4" s="127">
        <f t="shared" si="0"/>
        <v>0.6</v>
      </c>
      <c r="W4" s="128">
        <f t="shared" si="5"/>
        <v>197940.82191780821</v>
      </c>
      <c r="X4" s="136">
        <f t="shared" si="1"/>
        <v>1546840.8219178081</v>
      </c>
      <c r="Y4" s="128">
        <f t="shared" si="2"/>
        <v>1974000</v>
      </c>
      <c r="Z4" s="121"/>
      <c r="AA4" s="127">
        <f t="shared" si="3"/>
        <v>0.3</v>
      </c>
      <c r="AB4" s="137">
        <v>44025</v>
      </c>
      <c r="AC4" s="138"/>
      <c r="AD4" s="211">
        <v>0.3</v>
      </c>
      <c r="AE4" s="404">
        <v>44027</v>
      </c>
      <c r="AF4" s="136">
        <v>987000</v>
      </c>
      <c r="AG4" s="127">
        <f t="shared" si="4"/>
        <v>0.3</v>
      </c>
      <c r="AH4" s="404">
        <v>44209</v>
      </c>
      <c r="AI4" s="128">
        <v>987000</v>
      </c>
      <c r="AJ4" s="125"/>
      <c r="AK4" s="125"/>
      <c r="AL4" s="1"/>
      <c r="AM4" s="134"/>
      <c r="AN4" s="135"/>
      <c r="AO4" s="135"/>
      <c r="AP4" s="135"/>
      <c r="AQ4" s="1"/>
      <c r="AR4" s="135"/>
      <c r="AS4" s="135"/>
      <c r="AT4" s="134"/>
      <c r="AY4" s="11"/>
    </row>
    <row r="5" spans="1:51" x14ac:dyDescent="0.25">
      <c r="A5" s="121">
        <v>4</v>
      </c>
      <c r="B5" s="396">
        <v>43843</v>
      </c>
      <c r="C5" s="139" t="s">
        <v>2182</v>
      </c>
      <c r="D5" s="139"/>
      <c r="E5" s="139"/>
      <c r="F5" s="139"/>
      <c r="G5" s="139"/>
      <c r="H5" s="139"/>
      <c r="I5" s="139"/>
      <c r="J5" s="139"/>
      <c r="K5" s="139"/>
      <c r="L5" s="125" t="s">
        <v>2174</v>
      </c>
      <c r="M5" s="124" t="s">
        <v>2183</v>
      </c>
      <c r="N5" s="125"/>
      <c r="O5" s="126" t="s">
        <v>2184</v>
      </c>
      <c r="P5" s="121">
        <v>1</v>
      </c>
      <c r="Q5" s="210">
        <v>3290000</v>
      </c>
      <c r="R5" s="127">
        <v>0.01</v>
      </c>
      <c r="S5" s="127">
        <v>0.1</v>
      </c>
      <c r="T5" s="127"/>
      <c r="U5" s="127">
        <v>0.4</v>
      </c>
      <c r="V5" s="127">
        <f t="shared" si="0"/>
        <v>0.6</v>
      </c>
      <c r="W5" s="128">
        <f t="shared" si="5"/>
        <v>197940.82191780821</v>
      </c>
      <c r="X5" s="136">
        <f t="shared" si="1"/>
        <v>1546840.8219178081</v>
      </c>
      <c r="Y5" s="128">
        <f t="shared" si="2"/>
        <v>1974000</v>
      </c>
      <c r="Z5" s="121"/>
      <c r="AA5" s="127">
        <f t="shared" si="3"/>
        <v>0.3</v>
      </c>
      <c r="AB5" s="140">
        <v>44025</v>
      </c>
      <c r="AC5" s="141"/>
      <c r="AD5" s="211">
        <v>0.3</v>
      </c>
      <c r="AE5" s="404">
        <v>44036</v>
      </c>
      <c r="AF5" s="138">
        <f>Q5*AA5</f>
        <v>987000</v>
      </c>
      <c r="AG5" s="127">
        <f t="shared" si="4"/>
        <v>0.3</v>
      </c>
      <c r="AH5" s="404">
        <v>44209</v>
      </c>
      <c r="AI5" s="128">
        <v>987000</v>
      </c>
      <c r="AJ5" s="125"/>
      <c r="AK5" s="125"/>
      <c r="AL5" s="1"/>
      <c r="AM5" s="134"/>
      <c r="AN5" s="135"/>
      <c r="AO5" s="135"/>
      <c r="AP5" s="135"/>
      <c r="AQ5" s="1"/>
      <c r="AR5" s="135"/>
      <c r="AS5" s="135"/>
      <c r="AT5" s="134"/>
      <c r="AY5" s="11"/>
    </row>
    <row r="6" spans="1:51" x14ac:dyDescent="0.25">
      <c r="A6" s="121">
        <v>5</v>
      </c>
      <c r="B6" s="396">
        <v>43843</v>
      </c>
      <c r="C6" s="139" t="s">
        <v>2185</v>
      </c>
      <c r="D6" s="139"/>
      <c r="E6" s="139"/>
      <c r="F6" s="139"/>
      <c r="G6" s="139"/>
      <c r="H6" s="139"/>
      <c r="I6" s="139"/>
      <c r="J6" s="139"/>
      <c r="K6" s="139"/>
      <c r="L6" s="125" t="s">
        <v>2174</v>
      </c>
      <c r="M6" s="124" t="s">
        <v>2186</v>
      </c>
      <c r="N6" s="125"/>
      <c r="O6" s="126" t="s">
        <v>2187</v>
      </c>
      <c r="P6" s="121">
        <v>1</v>
      </c>
      <c r="Q6" s="210">
        <v>3290000</v>
      </c>
      <c r="R6" s="127">
        <v>0.01</v>
      </c>
      <c r="S6" s="127">
        <v>0.1</v>
      </c>
      <c r="T6" s="127"/>
      <c r="U6" s="127">
        <v>0.4</v>
      </c>
      <c r="V6" s="127">
        <f t="shared" si="0"/>
        <v>0.6</v>
      </c>
      <c r="W6" s="128">
        <f t="shared" si="5"/>
        <v>197940.82191780821</v>
      </c>
      <c r="X6" s="136">
        <f t="shared" si="1"/>
        <v>1546840.8219178081</v>
      </c>
      <c r="Y6" s="128">
        <f t="shared" si="2"/>
        <v>1974000</v>
      </c>
      <c r="Z6" s="121"/>
      <c r="AA6" s="127">
        <f t="shared" si="3"/>
        <v>0.3</v>
      </c>
      <c r="AB6" s="140">
        <v>44025</v>
      </c>
      <c r="AC6" s="141"/>
      <c r="AD6" s="211">
        <v>0.3</v>
      </c>
      <c r="AE6" s="404">
        <v>44036</v>
      </c>
      <c r="AF6" s="138">
        <f>Q6*AA6</f>
        <v>987000</v>
      </c>
      <c r="AG6" s="127">
        <f t="shared" si="4"/>
        <v>0.3</v>
      </c>
      <c r="AH6" s="404">
        <v>44209</v>
      </c>
      <c r="AI6" s="128">
        <v>987000</v>
      </c>
      <c r="AJ6" s="125"/>
      <c r="AK6" s="125"/>
      <c r="AL6" s="1"/>
      <c r="AM6" s="134"/>
      <c r="AN6" s="135"/>
      <c r="AO6" s="135"/>
      <c r="AP6" s="135"/>
      <c r="AQ6" s="1"/>
      <c r="AR6" s="135"/>
      <c r="AS6" s="135"/>
      <c r="AT6" s="134"/>
      <c r="AY6" s="11"/>
    </row>
    <row r="7" spans="1:51" x14ac:dyDescent="0.25">
      <c r="A7" s="121">
        <v>6</v>
      </c>
      <c r="B7" s="396">
        <v>43843</v>
      </c>
      <c r="C7" s="139" t="s">
        <v>2188</v>
      </c>
      <c r="D7" s="139"/>
      <c r="E7" s="139"/>
      <c r="F7" s="139"/>
      <c r="G7" s="139"/>
      <c r="H7" s="139"/>
      <c r="I7" s="139"/>
      <c r="J7" s="139"/>
      <c r="K7" s="139"/>
      <c r="L7" s="125" t="s">
        <v>2174</v>
      </c>
      <c r="M7" s="124" t="s">
        <v>2189</v>
      </c>
      <c r="N7" s="125"/>
      <c r="O7" s="126" t="s">
        <v>2190</v>
      </c>
      <c r="P7" s="121">
        <v>1</v>
      </c>
      <c r="Q7" s="210">
        <v>3290000</v>
      </c>
      <c r="R7" s="127">
        <v>0.01</v>
      </c>
      <c r="S7" s="127">
        <v>0.1</v>
      </c>
      <c r="T7" s="127"/>
      <c r="U7" s="127">
        <v>0.4</v>
      </c>
      <c r="V7" s="127">
        <f t="shared" si="0"/>
        <v>0.6</v>
      </c>
      <c r="W7" s="128">
        <f t="shared" si="5"/>
        <v>197940.82191780821</v>
      </c>
      <c r="X7" s="136">
        <f t="shared" si="1"/>
        <v>1546840.8219178081</v>
      </c>
      <c r="Y7" s="128">
        <f t="shared" si="2"/>
        <v>1974000</v>
      </c>
      <c r="Z7" s="121"/>
      <c r="AA7" s="127">
        <f t="shared" si="3"/>
        <v>0.3</v>
      </c>
      <c r="AB7" s="137">
        <v>44025</v>
      </c>
      <c r="AC7" s="138"/>
      <c r="AD7" s="211">
        <v>0.3</v>
      </c>
      <c r="AE7" s="404">
        <v>43998</v>
      </c>
      <c r="AF7" s="138">
        <v>987000</v>
      </c>
      <c r="AG7" s="127">
        <f t="shared" si="4"/>
        <v>0.3</v>
      </c>
      <c r="AH7" s="404">
        <v>44209</v>
      </c>
      <c r="AI7" s="128">
        <v>987000</v>
      </c>
      <c r="AJ7" s="5"/>
      <c r="AK7" s="5"/>
      <c r="AL7" s="1"/>
      <c r="AM7" s="134"/>
      <c r="AN7" s="135"/>
      <c r="AO7" s="135"/>
      <c r="AP7" s="135"/>
      <c r="AQ7" s="1"/>
      <c r="AR7" s="135"/>
      <c r="AS7" s="135"/>
      <c r="AT7" s="134"/>
      <c r="AY7" s="11"/>
    </row>
    <row r="8" spans="1:51" x14ac:dyDescent="0.25">
      <c r="A8" s="121">
        <v>7</v>
      </c>
      <c r="B8" s="396">
        <v>43843</v>
      </c>
      <c r="C8" s="139" t="s">
        <v>2191</v>
      </c>
      <c r="D8" s="139"/>
      <c r="E8" s="139"/>
      <c r="F8" s="139"/>
      <c r="G8" s="139"/>
      <c r="H8" s="139"/>
      <c r="I8" s="139"/>
      <c r="J8" s="139"/>
      <c r="K8" s="139"/>
      <c r="L8" s="125" t="s">
        <v>2192</v>
      </c>
      <c r="M8" s="124" t="s">
        <v>2193</v>
      </c>
      <c r="N8" s="125"/>
      <c r="O8" s="126" t="s">
        <v>2194</v>
      </c>
      <c r="P8" s="121">
        <v>1</v>
      </c>
      <c r="Q8" s="210">
        <v>3150000</v>
      </c>
      <c r="R8" s="127">
        <v>0.01</v>
      </c>
      <c r="S8" s="127">
        <v>0.1</v>
      </c>
      <c r="T8" s="127"/>
      <c r="U8" s="127">
        <v>0.4</v>
      </c>
      <c r="V8" s="127">
        <f t="shared" si="0"/>
        <v>0.6</v>
      </c>
      <c r="W8" s="128">
        <f t="shared" si="5"/>
        <v>189517.80821917806</v>
      </c>
      <c r="X8" s="136">
        <f t="shared" si="1"/>
        <v>1481017.8082191781</v>
      </c>
      <c r="Y8" s="128">
        <f t="shared" si="2"/>
        <v>1890000</v>
      </c>
      <c r="Z8" s="121"/>
      <c r="AA8" s="127">
        <f t="shared" si="3"/>
        <v>0.3</v>
      </c>
      <c r="AB8" s="140">
        <v>44025</v>
      </c>
      <c r="AC8" s="141"/>
      <c r="AD8" s="211">
        <v>0.3</v>
      </c>
      <c r="AE8" s="404">
        <v>44039</v>
      </c>
      <c r="AF8" s="138">
        <f>Q8*AA8</f>
        <v>945000</v>
      </c>
      <c r="AG8" s="127">
        <f t="shared" si="4"/>
        <v>0.3</v>
      </c>
      <c r="AH8" s="404">
        <v>44209</v>
      </c>
      <c r="AI8" s="128">
        <v>945000</v>
      </c>
      <c r="AJ8" s="5"/>
      <c r="AK8" s="5"/>
      <c r="AL8" s="1"/>
      <c r="AM8" s="134"/>
      <c r="AN8" s="135"/>
      <c r="AO8" s="135"/>
      <c r="AP8" s="135"/>
      <c r="AQ8" s="1"/>
      <c r="AR8" s="135"/>
      <c r="AS8" s="135"/>
      <c r="AT8" s="134"/>
      <c r="AY8" s="11"/>
    </row>
    <row r="9" spans="1:51" x14ac:dyDescent="0.25">
      <c r="A9" s="121">
        <v>8</v>
      </c>
      <c r="B9" s="396">
        <v>43843</v>
      </c>
      <c r="C9" s="139" t="s">
        <v>2195</v>
      </c>
      <c r="D9" s="139"/>
      <c r="E9" s="139"/>
      <c r="F9" s="139"/>
      <c r="G9" s="139"/>
      <c r="H9" s="139"/>
      <c r="I9" s="139"/>
      <c r="J9" s="139"/>
      <c r="K9" s="139"/>
      <c r="L9" s="142" t="s">
        <v>2196</v>
      </c>
      <c r="M9" s="124" t="s">
        <v>2197</v>
      </c>
      <c r="N9" s="125"/>
      <c r="O9" s="126" t="s">
        <v>2198</v>
      </c>
      <c r="P9" s="121">
        <v>1</v>
      </c>
      <c r="Q9" s="210">
        <v>2740000</v>
      </c>
      <c r="R9" s="127">
        <v>0.01</v>
      </c>
      <c r="S9" s="127">
        <v>0.1</v>
      </c>
      <c r="T9" s="127"/>
      <c r="U9" s="127">
        <v>0.4</v>
      </c>
      <c r="V9" s="127">
        <f t="shared" si="0"/>
        <v>0.6</v>
      </c>
      <c r="W9" s="128">
        <f t="shared" si="5"/>
        <v>164850.4109589041</v>
      </c>
      <c r="X9" s="136">
        <f t="shared" si="1"/>
        <v>1288250.4109589041</v>
      </c>
      <c r="Y9" s="128">
        <f t="shared" si="2"/>
        <v>1644000</v>
      </c>
      <c r="Z9" s="121"/>
      <c r="AA9" s="127">
        <f t="shared" si="3"/>
        <v>0.3</v>
      </c>
      <c r="AB9" s="140">
        <v>44025</v>
      </c>
      <c r="AC9" s="141"/>
      <c r="AD9" s="211">
        <v>0.3</v>
      </c>
      <c r="AE9" s="404">
        <v>44040</v>
      </c>
      <c r="AF9" s="138">
        <f>Q9*AA9</f>
        <v>822000</v>
      </c>
      <c r="AG9" s="127">
        <f t="shared" si="4"/>
        <v>0.3</v>
      </c>
      <c r="AH9" s="404">
        <v>44209</v>
      </c>
      <c r="AI9" s="128">
        <v>822000</v>
      </c>
      <c r="AJ9" s="5"/>
      <c r="AK9" s="5"/>
      <c r="AL9" s="1"/>
      <c r="AM9" s="134"/>
      <c r="AN9" s="135"/>
      <c r="AO9" s="135"/>
      <c r="AP9" s="135"/>
      <c r="AQ9" s="1"/>
      <c r="AR9" s="135"/>
      <c r="AS9" s="135"/>
      <c r="AT9" s="134"/>
      <c r="AY9" s="11"/>
    </row>
    <row r="10" spans="1:51" x14ac:dyDescent="0.25">
      <c r="A10" s="143">
        <v>1</v>
      </c>
      <c r="B10" s="397">
        <v>43887</v>
      </c>
      <c r="C10" s="144" t="s">
        <v>2288</v>
      </c>
      <c r="D10" s="144"/>
      <c r="E10" s="144"/>
      <c r="F10" s="144"/>
      <c r="G10" s="144"/>
      <c r="H10" s="144"/>
      <c r="I10" s="144"/>
      <c r="J10" s="144"/>
      <c r="K10" s="144"/>
      <c r="L10" s="145" t="s">
        <v>2192</v>
      </c>
      <c r="M10" s="146">
        <v>100160000008788</v>
      </c>
      <c r="N10" s="145"/>
      <c r="O10" s="147">
        <v>629</v>
      </c>
      <c r="P10" s="143">
        <v>1</v>
      </c>
      <c r="Q10" s="150">
        <v>3150000</v>
      </c>
      <c r="R10" s="148">
        <v>0.01</v>
      </c>
      <c r="S10" s="148">
        <v>0.1</v>
      </c>
      <c r="T10" s="148"/>
      <c r="U10" s="148">
        <v>0.4</v>
      </c>
      <c r="V10" s="148">
        <f t="shared" si="0"/>
        <v>0.6</v>
      </c>
      <c r="W10" s="128">
        <f t="shared" si="5"/>
        <v>189517.80821917806</v>
      </c>
      <c r="X10" s="150">
        <f t="shared" si="1"/>
        <v>1481017.8082191781</v>
      </c>
      <c r="Y10" s="149">
        <f t="shared" si="2"/>
        <v>1890000</v>
      </c>
      <c r="Z10" s="143"/>
      <c r="AA10" s="127">
        <f t="shared" si="3"/>
        <v>0.3</v>
      </c>
      <c r="AB10" s="151">
        <v>44069</v>
      </c>
      <c r="AC10" s="149">
        <f>Q10*AA10</f>
        <v>945000</v>
      </c>
      <c r="AD10" s="211">
        <v>0.3</v>
      </c>
      <c r="AE10" s="404">
        <v>44041</v>
      </c>
      <c r="AF10" s="138">
        <f>Q10*AA10</f>
        <v>945000</v>
      </c>
      <c r="AG10" s="148">
        <f t="shared" si="4"/>
        <v>0.3</v>
      </c>
      <c r="AH10" s="404">
        <v>44253</v>
      </c>
      <c r="AI10" s="149">
        <v>945000</v>
      </c>
      <c r="AJ10" s="1"/>
      <c r="AK10" s="1"/>
      <c r="AL10" s="1"/>
      <c r="AM10" s="134"/>
      <c r="AN10" s="135"/>
      <c r="AO10" s="135"/>
      <c r="AP10" s="135"/>
      <c r="AQ10" s="1"/>
      <c r="AR10" s="135"/>
      <c r="AS10" s="135"/>
      <c r="AT10" s="134"/>
      <c r="AY10" s="11"/>
    </row>
    <row r="11" spans="1:51" x14ac:dyDescent="0.25">
      <c r="A11" s="143">
        <v>2</v>
      </c>
      <c r="B11" s="397">
        <v>43887</v>
      </c>
      <c r="C11" s="144" t="s">
        <v>2199</v>
      </c>
      <c r="D11" s="144"/>
      <c r="E11" s="144"/>
      <c r="F11" s="144"/>
      <c r="G11" s="144"/>
      <c r="H11" s="144"/>
      <c r="I11" s="144"/>
      <c r="J11" s="144"/>
      <c r="K11" s="144"/>
      <c r="L11" s="145" t="s">
        <v>2174</v>
      </c>
      <c r="M11" s="146">
        <v>100160000008761</v>
      </c>
      <c r="N11" s="145"/>
      <c r="O11" s="147">
        <v>773</v>
      </c>
      <c r="P11" s="143">
        <v>1</v>
      </c>
      <c r="Q11" s="150">
        <v>3290000</v>
      </c>
      <c r="R11" s="148">
        <v>0.01</v>
      </c>
      <c r="S11" s="148">
        <v>0.1</v>
      </c>
      <c r="T11" s="148"/>
      <c r="U11" s="148">
        <v>0.4</v>
      </c>
      <c r="V11" s="148">
        <f t="shared" si="0"/>
        <v>0.6</v>
      </c>
      <c r="W11" s="128">
        <f t="shared" si="5"/>
        <v>197940.82191780821</v>
      </c>
      <c r="X11" s="150">
        <f t="shared" si="1"/>
        <v>1546840.8219178081</v>
      </c>
      <c r="Y11" s="149">
        <f t="shared" si="2"/>
        <v>1974000</v>
      </c>
      <c r="Z11" s="143"/>
      <c r="AA11" s="127">
        <f t="shared" si="3"/>
        <v>0.3</v>
      </c>
      <c r="AB11" s="137">
        <v>44069</v>
      </c>
      <c r="AC11" s="138"/>
      <c r="AD11" s="211">
        <v>0.3</v>
      </c>
      <c r="AE11" s="404">
        <v>44042</v>
      </c>
      <c r="AF11" s="138">
        <f>Q11*AA11</f>
        <v>987000</v>
      </c>
      <c r="AG11" s="148">
        <f t="shared" si="4"/>
        <v>0.3</v>
      </c>
      <c r="AH11" s="404">
        <v>44253</v>
      </c>
      <c r="AI11" s="149">
        <v>987000</v>
      </c>
      <c r="AJ11" s="1"/>
      <c r="AK11" s="1"/>
      <c r="AL11" s="1"/>
      <c r="AM11" s="134"/>
      <c r="AN11" s="135"/>
      <c r="AO11" s="135"/>
      <c r="AP11" s="135"/>
      <c r="AQ11" s="1"/>
      <c r="AR11" s="135"/>
      <c r="AS11" s="135"/>
      <c r="AT11" s="134"/>
      <c r="AY11" s="11"/>
    </row>
    <row r="12" spans="1:51" x14ac:dyDescent="0.25">
      <c r="A12" s="143">
        <v>3</v>
      </c>
      <c r="B12" s="397">
        <v>43887</v>
      </c>
      <c r="C12" s="144" t="s">
        <v>2200</v>
      </c>
      <c r="D12" s="144"/>
      <c r="E12" s="144"/>
      <c r="F12" s="144"/>
      <c r="G12" s="144"/>
      <c r="H12" s="144"/>
      <c r="I12" s="144"/>
      <c r="J12" s="144"/>
      <c r="K12" s="144"/>
      <c r="L12" s="145" t="s">
        <v>2174</v>
      </c>
      <c r="M12" s="146">
        <v>100160000008745</v>
      </c>
      <c r="N12" s="145"/>
      <c r="O12" s="152">
        <v>1052</v>
      </c>
      <c r="P12" s="143">
        <v>1</v>
      </c>
      <c r="Q12" s="150">
        <v>3290000</v>
      </c>
      <c r="R12" s="148">
        <v>0.01</v>
      </c>
      <c r="S12" s="148">
        <v>0.1</v>
      </c>
      <c r="T12" s="148"/>
      <c r="U12" s="148">
        <v>0.4</v>
      </c>
      <c r="V12" s="148">
        <f t="shared" si="0"/>
        <v>0.6</v>
      </c>
      <c r="W12" s="128">
        <f t="shared" si="5"/>
        <v>197940.82191780821</v>
      </c>
      <c r="X12" s="150">
        <f t="shared" si="1"/>
        <v>1546840.8219178081</v>
      </c>
      <c r="Y12" s="149">
        <f t="shared" si="2"/>
        <v>1974000</v>
      </c>
      <c r="Z12" s="143"/>
      <c r="AA12" s="127">
        <f t="shared" si="3"/>
        <v>0.3</v>
      </c>
      <c r="AB12" s="151">
        <v>44069</v>
      </c>
      <c r="AC12" s="141"/>
      <c r="AD12" s="211">
        <v>0.3</v>
      </c>
      <c r="AE12" s="404">
        <v>44088</v>
      </c>
      <c r="AF12" s="138">
        <f>Q13*AA12</f>
        <v>987000</v>
      </c>
      <c r="AG12" s="148">
        <f t="shared" si="4"/>
        <v>0.3</v>
      </c>
      <c r="AH12" s="404">
        <v>44253</v>
      </c>
      <c r="AI12" s="149">
        <v>987000</v>
      </c>
      <c r="AJ12" s="1"/>
      <c r="AK12" s="1"/>
      <c r="AL12" s="1"/>
      <c r="AM12" s="134"/>
      <c r="AN12" s="135"/>
      <c r="AO12" s="135"/>
      <c r="AP12" s="135"/>
      <c r="AQ12" s="1"/>
      <c r="AR12" s="135"/>
      <c r="AS12" s="135"/>
      <c r="AT12" s="134"/>
      <c r="AY12" s="11"/>
    </row>
    <row r="13" spans="1:51" x14ac:dyDescent="0.25">
      <c r="A13" s="143">
        <v>4</v>
      </c>
      <c r="B13" s="397">
        <v>43887</v>
      </c>
      <c r="C13" s="144" t="s">
        <v>2201</v>
      </c>
      <c r="D13" s="144"/>
      <c r="E13" s="144"/>
      <c r="F13" s="144"/>
      <c r="G13" s="144"/>
      <c r="H13" s="144"/>
      <c r="I13" s="144"/>
      <c r="J13" s="144"/>
      <c r="K13" s="144"/>
      <c r="L13" s="145" t="s">
        <v>2174</v>
      </c>
      <c r="M13" s="146">
        <v>100160000008777</v>
      </c>
      <c r="N13" s="145"/>
      <c r="O13" s="152">
        <v>1116</v>
      </c>
      <c r="P13" s="143">
        <v>1</v>
      </c>
      <c r="Q13" s="150">
        <v>3290000</v>
      </c>
      <c r="R13" s="148">
        <v>0.01</v>
      </c>
      <c r="S13" s="148">
        <v>0.1</v>
      </c>
      <c r="T13" s="148"/>
      <c r="U13" s="148">
        <v>0.4</v>
      </c>
      <c r="V13" s="148">
        <f t="shared" si="0"/>
        <v>0.6</v>
      </c>
      <c r="W13" s="128">
        <f t="shared" si="5"/>
        <v>197940.82191780821</v>
      </c>
      <c r="X13" s="153">
        <f t="shared" si="1"/>
        <v>1546840.8219178081</v>
      </c>
      <c r="Y13" s="149">
        <f t="shared" si="2"/>
        <v>1974000</v>
      </c>
      <c r="Z13" s="143"/>
      <c r="AA13" s="127">
        <f t="shared" si="3"/>
        <v>0.3</v>
      </c>
      <c r="AB13" s="151">
        <v>44069</v>
      </c>
      <c r="AC13" s="141"/>
      <c r="AD13" s="211">
        <v>0.3</v>
      </c>
      <c r="AE13" s="404">
        <v>44088</v>
      </c>
      <c r="AF13" s="138">
        <f>Q13*AA13</f>
        <v>987000</v>
      </c>
      <c r="AG13" s="148">
        <f t="shared" si="4"/>
        <v>0.3</v>
      </c>
      <c r="AH13" s="404">
        <v>44253</v>
      </c>
      <c r="AI13" s="149">
        <v>987000</v>
      </c>
      <c r="AJ13" s="1"/>
      <c r="AK13" s="1"/>
      <c r="AL13" s="1"/>
      <c r="AM13" s="134"/>
      <c r="AN13" s="135"/>
      <c r="AO13" s="135"/>
      <c r="AP13" s="135"/>
      <c r="AQ13" s="1"/>
      <c r="AR13" s="135"/>
      <c r="AS13" s="135"/>
      <c r="AT13" s="134"/>
      <c r="AY13" s="11"/>
    </row>
    <row r="14" spans="1:51" x14ac:dyDescent="0.25">
      <c r="A14" s="143">
        <v>5</v>
      </c>
      <c r="B14" s="397">
        <v>43887</v>
      </c>
      <c r="C14" s="144" t="s">
        <v>2202</v>
      </c>
      <c r="D14" s="144"/>
      <c r="E14" s="144"/>
      <c r="F14" s="144"/>
      <c r="G14" s="144"/>
      <c r="H14" s="144"/>
      <c r="I14" s="144"/>
      <c r="J14" s="144"/>
      <c r="K14" s="144"/>
      <c r="L14" s="145" t="s">
        <v>2203</v>
      </c>
      <c r="M14" s="146">
        <v>100160000008753</v>
      </c>
      <c r="N14" s="145"/>
      <c r="O14" s="152">
        <v>191</v>
      </c>
      <c r="P14" s="143">
        <v>1</v>
      </c>
      <c r="Q14" s="150">
        <v>2290000</v>
      </c>
      <c r="R14" s="148">
        <v>0.01</v>
      </c>
      <c r="S14" s="148">
        <v>0.1</v>
      </c>
      <c r="T14" s="148"/>
      <c r="U14" s="148">
        <v>0.4</v>
      </c>
      <c r="V14" s="148">
        <f t="shared" si="0"/>
        <v>0.6</v>
      </c>
      <c r="W14" s="128">
        <f t="shared" si="5"/>
        <v>137776.43835616438</v>
      </c>
      <c r="X14" s="150">
        <f t="shared" si="1"/>
        <v>1076676.4383561644</v>
      </c>
      <c r="Y14" s="149">
        <f t="shared" si="2"/>
        <v>1374000</v>
      </c>
      <c r="Z14" s="143"/>
      <c r="AA14" s="127">
        <f t="shared" si="3"/>
        <v>0.3</v>
      </c>
      <c r="AB14" s="151">
        <v>44069</v>
      </c>
      <c r="AC14" s="209"/>
      <c r="AD14" s="211">
        <v>0.3</v>
      </c>
      <c r="AE14" s="404">
        <v>44088</v>
      </c>
      <c r="AF14" s="138">
        <f>Q14*AA14</f>
        <v>687000</v>
      </c>
      <c r="AG14" s="148">
        <f t="shared" si="4"/>
        <v>0.3</v>
      </c>
      <c r="AH14" s="404">
        <v>44253</v>
      </c>
      <c r="AI14" s="149">
        <v>687000</v>
      </c>
      <c r="AJ14" s="1"/>
      <c r="AK14" s="1"/>
      <c r="AL14" s="1"/>
      <c r="AM14" s="134"/>
      <c r="AN14" s="135"/>
      <c r="AO14" s="135"/>
      <c r="AP14" s="135"/>
      <c r="AQ14" s="1"/>
      <c r="AR14" s="135"/>
      <c r="AS14" s="135"/>
      <c r="AT14" s="134"/>
      <c r="AY14" s="11"/>
    </row>
    <row r="15" spans="1:51" x14ac:dyDescent="0.45">
      <c r="A15" s="119">
        <v>1</v>
      </c>
      <c r="B15" s="395">
        <v>43971</v>
      </c>
      <c r="C15" s="379" t="s">
        <v>2576</v>
      </c>
      <c r="D15" s="17" t="s">
        <v>2577</v>
      </c>
      <c r="E15" s="17"/>
      <c r="F15" s="17"/>
      <c r="G15" s="380">
        <v>799415809</v>
      </c>
      <c r="H15" s="17" t="s">
        <v>2142</v>
      </c>
      <c r="I15" s="17" t="s">
        <v>2578</v>
      </c>
      <c r="J15" s="280"/>
      <c r="K15" s="294" t="s">
        <v>2460</v>
      </c>
      <c r="L15" s="282" t="s">
        <v>1373</v>
      </c>
      <c r="M15" s="283" t="s">
        <v>1374</v>
      </c>
      <c r="N15" s="284" t="s">
        <v>1375</v>
      </c>
      <c r="O15" s="284"/>
      <c r="P15" s="284">
        <v>1</v>
      </c>
      <c r="Q15" s="298">
        <v>3290000</v>
      </c>
      <c r="R15" s="285">
        <v>0.01</v>
      </c>
      <c r="S15" s="285">
        <v>0.11</v>
      </c>
      <c r="T15" s="285">
        <v>0.1</v>
      </c>
      <c r="U15" s="286"/>
      <c r="V15" s="285">
        <v>0.4</v>
      </c>
      <c r="W15" s="285">
        <f t="shared" ref="W15:W59" si="6">100%-V15</f>
        <v>0.6</v>
      </c>
      <c r="X15" s="287">
        <f>(Q15*V15)+(Q15*W15*S15)+(Q15*R15)+U15</f>
        <v>1566040</v>
      </c>
      <c r="Y15" s="287">
        <f t="shared" ref="Y15:Y36" si="7">X15</f>
        <v>1566040</v>
      </c>
      <c r="Z15" s="287"/>
      <c r="AA15" s="288"/>
      <c r="AB15" s="287">
        <f t="shared" ref="AB15:AB31" si="8">Q15*W15</f>
        <v>1974000</v>
      </c>
      <c r="AC15" s="289"/>
      <c r="AD15" s="211">
        <v>0.3</v>
      </c>
      <c r="AE15" s="404">
        <f t="shared" ref="AE15:AE49" si="9">EDATE(B15,6)</f>
        <v>44155</v>
      </c>
      <c r="AF15" s="212">
        <f t="shared" ref="AF15:AF31" si="10">Q15*AD15</f>
        <v>987000</v>
      </c>
      <c r="AG15" s="211">
        <v>0.3</v>
      </c>
      <c r="AH15" s="404">
        <f t="shared" ref="AH15:AH59" si="11">EDATE(B15,12)</f>
        <v>44336</v>
      </c>
      <c r="AI15" s="212">
        <f t="shared" ref="AI15:AI31" si="12">Q15*AG15</f>
        <v>987000</v>
      </c>
      <c r="AJ15" s="11"/>
      <c r="AK15" s="11"/>
      <c r="AM15" s="11"/>
      <c r="AY15" s="11"/>
    </row>
    <row r="16" spans="1:51" x14ac:dyDescent="0.45">
      <c r="A16" s="119">
        <v>2</v>
      </c>
      <c r="B16" s="395">
        <v>43974</v>
      </c>
      <c r="C16" s="379" t="s">
        <v>2144</v>
      </c>
      <c r="D16" s="17" t="s">
        <v>2145</v>
      </c>
      <c r="E16" s="17"/>
      <c r="F16" s="17"/>
      <c r="G16" s="380">
        <v>799411302</v>
      </c>
      <c r="H16" s="17" t="s">
        <v>2579</v>
      </c>
      <c r="I16" s="17" t="s">
        <v>2580</v>
      </c>
      <c r="J16" s="280"/>
      <c r="K16" s="294" t="s">
        <v>2460</v>
      </c>
      <c r="L16" s="282" t="s">
        <v>1373</v>
      </c>
      <c r="M16" s="283" t="s">
        <v>1378</v>
      </c>
      <c r="N16" s="284" t="s">
        <v>1375</v>
      </c>
      <c r="O16" s="284"/>
      <c r="P16" s="284">
        <v>1</v>
      </c>
      <c r="Q16" s="298">
        <v>3290000</v>
      </c>
      <c r="R16" s="285">
        <v>0.01</v>
      </c>
      <c r="S16" s="285">
        <v>0.11</v>
      </c>
      <c r="T16" s="285">
        <v>0.1</v>
      </c>
      <c r="U16" s="286"/>
      <c r="V16" s="285">
        <v>0.4</v>
      </c>
      <c r="W16" s="285">
        <f t="shared" si="6"/>
        <v>0.6</v>
      </c>
      <c r="X16" s="287">
        <f>(Q16*V16)+(Q16*W16*S16)+(Q16*R16)+U16</f>
        <v>1566040</v>
      </c>
      <c r="Y16" s="287">
        <f t="shared" si="7"/>
        <v>1566040</v>
      </c>
      <c r="Z16" s="287"/>
      <c r="AA16" s="292"/>
      <c r="AB16" s="287">
        <f t="shared" si="8"/>
        <v>1974000</v>
      </c>
      <c r="AC16" s="289"/>
      <c r="AD16" s="211">
        <v>0.3</v>
      </c>
      <c r="AE16" s="404">
        <f t="shared" si="9"/>
        <v>44158</v>
      </c>
      <c r="AF16" s="212">
        <f t="shared" si="10"/>
        <v>987000</v>
      </c>
      <c r="AG16" s="211">
        <v>0.3</v>
      </c>
      <c r="AH16" s="404">
        <f t="shared" si="11"/>
        <v>44339</v>
      </c>
      <c r="AI16" s="212">
        <f t="shared" si="12"/>
        <v>987000</v>
      </c>
      <c r="AJ16" s="11"/>
      <c r="AK16" s="11"/>
      <c r="AM16" s="11"/>
      <c r="AY16" s="11"/>
    </row>
    <row r="17" spans="1:51" x14ac:dyDescent="0.45">
      <c r="A17" s="119">
        <v>3</v>
      </c>
      <c r="B17" s="395">
        <v>43981</v>
      </c>
      <c r="C17" s="4" t="s">
        <v>2147</v>
      </c>
      <c r="D17" s="154" t="s">
        <v>2581</v>
      </c>
      <c r="E17" s="154" t="s">
        <v>2582</v>
      </c>
      <c r="F17" s="154"/>
      <c r="G17" s="382">
        <v>795199746</v>
      </c>
      <c r="H17" s="154" t="s">
        <v>2148</v>
      </c>
      <c r="I17" s="154" t="s">
        <v>2583</v>
      </c>
      <c r="J17" s="294"/>
      <c r="K17" s="294" t="s">
        <v>2460</v>
      </c>
      <c r="L17" s="282" t="s">
        <v>1373</v>
      </c>
      <c r="M17" s="283" t="s">
        <v>1384</v>
      </c>
      <c r="N17" s="284" t="s">
        <v>1375</v>
      </c>
      <c r="O17" s="284"/>
      <c r="P17" s="284">
        <v>1</v>
      </c>
      <c r="Q17" s="298">
        <v>3210000</v>
      </c>
      <c r="R17" s="285">
        <v>0.01</v>
      </c>
      <c r="S17" s="285">
        <v>0.11</v>
      </c>
      <c r="T17" s="285">
        <v>0.1</v>
      </c>
      <c r="U17" s="286"/>
      <c r="V17" s="285">
        <v>0.4</v>
      </c>
      <c r="W17" s="285">
        <f t="shared" si="6"/>
        <v>0.6</v>
      </c>
      <c r="X17" s="287">
        <f>(Q17*V17)+(Q17*W17*S17)+(Q17*R17)+U17</f>
        <v>1527960</v>
      </c>
      <c r="Y17" s="287">
        <f t="shared" si="7"/>
        <v>1527960</v>
      </c>
      <c r="Z17" s="287"/>
      <c r="AA17" s="295"/>
      <c r="AB17" s="287">
        <f t="shared" si="8"/>
        <v>1926000</v>
      </c>
      <c r="AC17" s="289"/>
      <c r="AD17" s="211">
        <v>0.3</v>
      </c>
      <c r="AE17" s="404">
        <f t="shared" si="9"/>
        <v>44165</v>
      </c>
      <c r="AF17" s="212">
        <f t="shared" si="10"/>
        <v>963000</v>
      </c>
      <c r="AG17" s="211">
        <v>0.3</v>
      </c>
      <c r="AH17" s="404">
        <f t="shared" si="11"/>
        <v>44346</v>
      </c>
      <c r="AI17" s="212">
        <f t="shared" si="12"/>
        <v>963000</v>
      </c>
      <c r="AJ17" s="11"/>
      <c r="AK17" s="11"/>
      <c r="AM17" s="11"/>
      <c r="AY17" s="11"/>
    </row>
    <row r="18" spans="1:51" x14ac:dyDescent="0.45">
      <c r="A18" s="119">
        <v>4</v>
      </c>
      <c r="B18" s="395">
        <v>43986</v>
      </c>
      <c r="C18" s="4" t="s">
        <v>2584</v>
      </c>
      <c r="D18" s="154" t="s">
        <v>2347</v>
      </c>
      <c r="E18" s="154"/>
      <c r="F18" s="154"/>
      <c r="G18" s="382"/>
      <c r="H18" s="154" t="s">
        <v>2143</v>
      </c>
      <c r="I18" s="154"/>
      <c r="J18" s="294"/>
      <c r="K18" s="294" t="s">
        <v>2460</v>
      </c>
      <c r="L18" s="282" t="s">
        <v>1373</v>
      </c>
      <c r="M18" s="283" t="s">
        <v>1385</v>
      </c>
      <c r="N18" s="284" t="s">
        <v>1375</v>
      </c>
      <c r="O18" s="284"/>
      <c r="P18" s="284">
        <v>1</v>
      </c>
      <c r="Q18" s="298">
        <v>3210000</v>
      </c>
      <c r="R18" s="285">
        <v>0.01</v>
      </c>
      <c r="S18" s="285">
        <v>0.11</v>
      </c>
      <c r="T18" s="285">
        <v>0.1</v>
      </c>
      <c r="U18" s="286"/>
      <c r="V18" s="285">
        <v>0.4</v>
      </c>
      <c r="W18" s="285">
        <f t="shared" si="6"/>
        <v>0.6</v>
      </c>
      <c r="X18" s="287">
        <f>(Q18*V18)+(Q18*W18*S18)+(Q18*R18)+U18</f>
        <v>1527960</v>
      </c>
      <c r="Y18" s="287">
        <f t="shared" si="7"/>
        <v>1527960</v>
      </c>
      <c r="Z18" s="287"/>
      <c r="AA18" s="288"/>
      <c r="AB18" s="287">
        <f t="shared" si="8"/>
        <v>1926000</v>
      </c>
      <c r="AC18" s="289"/>
      <c r="AD18" s="211">
        <v>0.3</v>
      </c>
      <c r="AE18" s="404">
        <f t="shared" si="9"/>
        <v>44169</v>
      </c>
      <c r="AF18" s="212">
        <f t="shared" si="10"/>
        <v>963000</v>
      </c>
      <c r="AG18" s="211">
        <v>0.3</v>
      </c>
      <c r="AH18" s="404">
        <f t="shared" si="11"/>
        <v>44351</v>
      </c>
      <c r="AI18" s="212">
        <f t="shared" si="12"/>
        <v>963000</v>
      </c>
      <c r="AJ18" s="11"/>
      <c r="AK18" s="11"/>
      <c r="AM18" s="11"/>
      <c r="AY18" s="11"/>
    </row>
    <row r="19" spans="1:51" x14ac:dyDescent="0.45">
      <c r="A19" s="119">
        <v>5</v>
      </c>
      <c r="B19" s="395">
        <v>43991</v>
      </c>
      <c r="C19" s="4" t="s">
        <v>2585</v>
      </c>
      <c r="D19" s="154" t="s">
        <v>2150</v>
      </c>
      <c r="E19" s="154" t="s">
        <v>2586</v>
      </c>
      <c r="F19" s="154"/>
      <c r="G19" s="382">
        <v>799410475</v>
      </c>
      <c r="H19" s="154" t="s">
        <v>2149</v>
      </c>
      <c r="I19" s="154" t="s">
        <v>2587</v>
      </c>
      <c r="J19" s="294"/>
      <c r="K19" s="294" t="s">
        <v>2460</v>
      </c>
      <c r="L19" s="282" t="s">
        <v>2588</v>
      </c>
      <c r="M19" s="283" t="s">
        <v>1387</v>
      </c>
      <c r="N19" s="284" t="s">
        <v>1375</v>
      </c>
      <c r="O19" s="284"/>
      <c r="P19" s="284">
        <v>1</v>
      </c>
      <c r="Q19" s="298">
        <v>3210000</v>
      </c>
      <c r="R19" s="285">
        <v>0.01</v>
      </c>
      <c r="S19" s="285">
        <v>0.11</v>
      </c>
      <c r="T19" s="285">
        <v>0.1</v>
      </c>
      <c r="U19" s="286"/>
      <c r="V19" s="285">
        <v>0.4</v>
      </c>
      <c r="W19" s="285">
        <f t="shared" si="6"/>
        <v>0.6</v>
      </c>
      <c r="X19" s="287">
        <f t="shared" ref="X19:X31" si="13">Q19*R19+Q19*W19*T19+Q19*V19</f>
        <v>1508700</v>
      </c>
      <c r="Y19" s="287">
        <f t="shared" si="7"/>
        <v>1508700</v>
      </c>
      <c r="Z19" s="287"/>
      <c r="AA19" s="288"/>
      <c r="AB19" s="287">
        <f t="shared" si="8"/>
        <v>1926000</v>
      </c>
      <c r="AC19" s="289"/>
      <c r="AD19" s="211">
        <v>0.3</v>
      </c>
      <c r="AE19" s="404">
        <f t="shared" si="9"/>
        <v>44174</v>
      </c>
      <c r="AF19" s="212">
        <f t="shared" si="10"/>
        <v>963000</v>
      </c>
      <c r="AG19" s="211">
        <v>0.3</v>
      </c>
      <c r="AH19" s="404">
        <f t="shared" si="11"/>
        <v>44356</v>
      </c>
      <c r="AI19" s="212">
        <f t="shared" si="12"/>
        <v>963000</v>
      </c>
      <c r="AJ19" s="11"/>
      <c r="AK19" s="11"/>
      <c r="AM19" s="11"/>
      <c r="AY19" s="11"/>
    </row>
    <row r="20" spans="1:51" x14ac:dyDescent="0.45">
      <c r="A20" s="119">
        <v>6</v>
      </c>
      <c r="B20" s="395">
        <v>43992</v>
      </c>
      <c r="C20" s="4" t="s">
        <v>2140</v>
      </c>
      <c r="D20" s="154" t="s">
        <v>2141</v>
      </c>
      <c r="E20" s="154"/>
      <c r="F20" s="154"/>
      <c r="G20" s="382">
        <v>786651600</v>
      </c>
      <c r="H20" s="154" t="s">
        <v>2589</v>
      </c>
      <c r="I20" s="154" t="s">
        <v>2590</v>
      </c>
      <c r="J20" s="294"/>
      <c r="K20" s="294" t="s">
        <v>2460</v>
      </c>
      <c r="L20" s="282" t="s">
        <v>2055</v>
      </c>
      <c r="M20" s="283" t="s">
        <v>2591</v>
      </c>
      <c r="N20" s="284" t="s">
        <v>1375</v>
      </c>
      <c r="O20" s="284"/>
      <c r="P20" s="284">
        <v>1</v>
      </c>
      <c r="Q20" s="298">
        <v>2480000</v>
      </c>
      <c r="R20" s="285">
        <v>0.01</v>
      </c>
      <c r="S20" s="285">
        <v>0.11</v>
      </c>
      <c r="T20" s="285">
        <v>0.1</v>
      </c>
      <c r="U20" s="286"/>
      <c r="V20" s="285">
        <v>0.4</v>
      </c>
      <c r="W20" s="285">
        <f t="shared" si="6"/>
        <v>0.6</v>
      </c>
      <c r="X20" s="287">
        <f>IFERROR(Q20*R20+Q20*W20*T20+Q20*V20,"-")</f>
        <v>1165600</v>
      </c>
      <c r="Y20" s="287">
        <f t="shared" si="7"/>
        <v>1165600</v>
      </c>
      <c r="Z20" s="287"/>
      <c r="AA20" s="288"/>
      <c r="AB20" s="287">
        <f>IFERROR(Q20*W20,"-")</f>
        <v>1488000</v>
      </c>
      <c r="AC20" s="289"/>
      <c r="AD20" s="211">
        <v>0.3</v>
      </c>
      <c r="AE20" s="404">
        <f t="shared" si="9"/>
        <v>44175</v>
      </c>
      <c r="AF20" s="212">
        <f>IFERROR(Q20*AD20,"-")</f>
        <v>744000</v>
      </c>
      <c r="AG20" s="211">
        <v>0.3</v>
      </c>
      <c r="AH20" s="404">
        <f t="shared" si="11"/>
        <v>44357</v>
      </c>
      <c r="AI20" s="212">
        <f>IFERROR(Q20*AG20,"-")</f>
        <v>744000</v>
      </c>
      <c r="AJ20" s="11"/>
      <c r="AK20" s="11"/>
      <c r="AM20" s="11"/>
      <c r="AY20" s="11"/>
    </row>
    <row r="21" spans="1:51" x14ac:dyDescent="0.45">
      <c r="A21" s="119">
        <v>7</v>
      </c>
      <c r="B21" s="395">
        <v>44006</v>
      </c>
      <c r="C21" s="4" t="s">
        <v>2155</v>
      </c>
      <c r="D21" s="154" t="s">
        <v>2592</v>
      </c>
      <c r="E21" s="154" t="s">
        <v>2593</v>
      </c>
      <c r="F21" s="154"/>
      <c r="G21" s="382">
        <v>775098077</v>
      </c>
      <c r="H21" s="154" t="s">
        <v>2594</v>
      </c>
      <c r="I21" s="154" t="s">
        <v>2595</v>
      </c>
      <c r="J21" s="294"/>
      <c r="K21" s="294" t="s">
        <v>2460</v>
      </c>
      <c r="L21" s="282" t="s">
        <v>2588</v>
      </c>
      <c r="M21" s="283" t="s">
        <v>1387</v>
      </c>
      <c r="N21" s="284" t="s">
        <v>1375</v>
      </c>
      <c r="O21" s="284"/>
      <c r="P21" s="284">
        <v>1</v>
      </c>
      <c r="Q21" s="298">
        <v>3210000</v>
      </c>
      <c r="R21" s="285">
        <v>0.01</v>
      </c>
      <c r="S21" s="285">
        <v>0.11</v>
      </c>
      <c r="T21" s="285">
        <v>0.1</v>
      </c>
      <c r="U21" s="286"/>
      <c r="V21" s="285">
        <v>0.4</v>
      </c>
      <c r="W21" s="285">
        <f t="shared" si="6"/>
        <v>0.6</v>
      </c>
      <c r="X21" s="287">
        <f>IFERROR(Q21*R21+Q21*W21*T21+Q21*V21,"-")</f>
        <v>1508700</v>
      </c>
      <c r="Y21" s="287">
        <f t="shared" si="7"/>
        <v>1508700</v>
      </c>
      <c r="Z21" s="287"/>
      <c r="AA21" s="288"/>
      <c r="AB21" s="287">
        <f>IFERROR(Q21*W21,"-")</f>
        <v>1926000</v>
      </c>
      <c r="AC21" s="289"/>
      <c r="AD21" s="211">
        <v>0.3</v>
      </c>
      <c r="AE21" s="404">
        <f t="shared" si="9"/>
        <v>44189</v>
      </c>
      <c r="AF21" s="212">
        <f>IFERROR(Q21*AD21,"-")</f>
        <v>963000</v>
      </c>
      <c r="AG21" s="211">
        <v>0.3</v>
      </c>
      <c r="AH21" s="404">
        <f t="shared" si="11"/>
        <v>44371</v>
      </c>
      <c r="AI21" s="212">
        <f>IFERROR(Q21*AG21,"-")</f>
        <v>963000</v>
      </c>
      <c r="AJ21" s="11"/>
      <c r="AK21" s="11"/>
      <c r="AM21" s="11"/>
      <c r="AY21" s="11"/>
    </row>
    <row r="22" spans="1:51" x14ac:dyDescent="0.45">
      <c r="A22" s="119">
        <v>8</v>
      </c>
      <c r="B22" s="395">
        <v>44027</v>
      </c>
      <c r="C22" s="4" t="s">
        <v>2156</v>
      </c>
      <c r="D22" s="154" t="s">
        <v>2596</v>
      </c>
      <c r="E22" s="154" t="s">
        <v>2597</v>
      </c>
      <c r="F22" s="154"/>
      <c r="G22" s="382">
        <v>780394495</v>
      </c>
      <c r="H22" s="154" t="s">
        <v>2157</v>
      </c>
      <c r="I22" s="154" t="s">
        <v>2598</v>
      </c>
      <c r="J22" s="294"/>
      <c r="K22" s="294" t="s">
        <v>2460</v>
      </c>
      <c r="L22" s="282" t="s">
        <v>1390</v>
      </c>
      <c r="M22" s="283" t="s">
        <v>1391</v>
      </c>
      <c r="N22" s="284" t="s">
        <v>1375</v>
      </c>
      <c r="O22" s="284"/>
      <c r="P22" s="284">
        <v>1</v>
      </c>
      <c r="Q22" s="298">
        <v>3290000</v>
      </c>
      <c r="R22" s="285">
        <v>0.01</v>
      </c>
      <c r="S22" s="285">
        <v>0.11</v>
      </c>
      <c r="T22" s="285">
        <v>0.1</v>
      </c>
      <c r="U22" s="286"/>
      <c r="V22" s="285">
        <v>0.4</v>
      </c>
      <c r="W22" s="285">
        <f t="shared" si="6"/>
        <v>0.6</v>
      </c>
      <c r="X22" s="287">
        <f>IFERROR(Q22*R22+Q22*W22*T22+Q22*V22,"-")</f>
        <v>1546300</v>
      </c>
      <c r="Y22" s="287">
        <f t="shared" si="7"/>
        <v>1546300</v>
      </c>
      <c r="Z22" s="287"/>
      <c r="AA22" s="288"/>
      <c r="AB22" s="287">
        <f t="shared" si="8"/>
        <v>1974000</v>
      </c>
      <c r="AC22" s="289"/>
      <c r="AD22" s="211">
        <f t="shared" ref="AD22:AD56" si="14">W21/2</f>
        <v>0.3</v>
      </c>
      <c r="AE22" s="404">
        <f t="shared" si="9"/>
        <v>44211</v>
      </c>
      <c r="AF22" s="212">
        <f t="shared" si="10"/>
        <v>987000</v>
      </c>
      <c r="AG22" s="211">
        <v>0.3</v>
      </c>
      <c r="AH22" s="404">
        <f t="shared" si="11"/>
        <v>44392</v>
      </c>
      <c r="AI22" s="212">
        <f t="shared" si="12"/>
        <v>987000</v>
      </c>
      <c r="AJ22" s="11"/>
      <c r="AK22" s="11"/>
      <c r="AM22" s="11"/>
      <c r="AY22" s="11"/>
    </row>
    <row r="23" spans="1:51" x14ac:dyDescent="0.45">
      <c r="A23" s="119">
        <v>9</v>
      </c>
      <c r="B23" s="395">
        <v>44028</v>
      </c>
      <c r="C23" s="4" t="s">
        <v>2599</v>
      </c>
      <c r="D23" s="154" t="s">
        <v>1393</v>
      </c>
      <c r="E23" s="154"/>
      <c r="F23" s="154"/>
      <c r="G23" s="382">
        <v>666186309</v>
      </c>
      <c r="H23" s="154" t="s">
        <v>2160</v>
      </c>
      <c r="I23" s="154" t="s">
        <v>2600</v>
      </c>
      <c r="J23" s="294"/>
      <c r="K23" s="294" t="s">
        <v>2460</v>
      </c>
      <c r="L23" s="282" t="s">
        <v>1390</v>
      </c>
      <c r="M23" s="283" t="s">
        <v>1392</v>
      </c>
      <c r="N23" s="284" t="s">
        <v>1375</v>
      </c>
      <c r="O23" s="383"/>
      <c r="P23" s="284">
        <v>1</v>
      </c>
      <c r="Q23" s="298">
        <v>3290000</v>
      </c>
      <c r="R23" s="285">
        <v>0.01</v>
      </c>
      <c r="S23" s="285">
        <v>0.11</v>
      </c>
      <c r="T23" s="285">
        <v>0.1</v>
      </c>
      <c r="U23" s="286"/>
      <c r="V23" s="285">
        <v>0.4</v>
      </c>
      <c r="W23" s="285">
        <f t="shared" si="6"/>
        <v>0.6</v>
      </c>
      <c r="X23" s="287">
        <f>IFERROR(Q23*R23+Q23*W23*T23+Q23*V23,"-")</f>
        <v>1546300</v>
      </c>
      <c r="Y23" s="287">
        <f t="shared" si="7"/>
        <v>1546300</v>
      </c>
      <c r="Z23" s="287"/>
      <c r="AA23" s="288"/>
      <c r="AB23" s="287">
        <f t="shared" si="8"/>
        <v>1974000</v>
      </c>
      <c r="AC23" s="289"/>
      <c r="AD23" s="211">
        <f t="shared" si="14"/>
        <v>0.3</v>
      </c>
      <c r="AE23" s="404">
        <f t="shared" si="9"/>
        <v>44212</v>
      </c>
      <c r="AF23" s="212">
        <f t="shared" si="10"/>
        <v>987000</v>
      </c>
      <c r="AG23" s="211">
        <v>0.3</v>
      </c>
      <c r="AH23" s="404">
        <f t="shared" si="11"/>
        <v>44393</v>
      </c>
      <c r="AI23" s="212">
        <f t="shared" si="12"/>
        <v>987000</v>
      </c>
      <c r="AJ23" s="11"/>
      <c r="AK23" s="11"/>
      <c r="AM23" s="11"/>
      <c r="AY23" s="11"/>
    </row>
    <row r="24" spans="1:51" x14ac:dyDescent="0.45">
      <c r="A24" s="119">
        <v>10</v>
      </c>
      <c r="B24" s="395">
        <v>44037</v>
      </c>
      <c r="C24" s="4" t="s">
        <v>2601</v>
      </c>
      <c r="D24" s="154" t="s">
        <v>2602</v>
      </c>
      <c r="E24" s="154"/>
      <c r="F24" s="154"/>
      <c r="G24" s="382">
        <v>781172255</v>
      </c>
      <c r="H24" s="154" t="s">
        <v>2159</v>
      </c>
      <c r="I24" s="154" t="s">
        <v>2603</v>
      </c>
      <c r="J24" s="294"/>
      <c r="K24" s="294" t="s">
        <v>2460</v>
      </c>
      <c r="L24" s="283" t="s">
        <v>1394</v>
      </c>
      <c r="M24" s="283" t="s">
        <v>1395</v>
      </c>
      <c r="N24" s="284" t="s">
        <v>1396</v>
      </c>
      <c r="O24" s="284"/>
      <c r="P24" s="284">
        <v>1</v>
      </c>
      <c r="Q24" s="298">
        <v>2290000</v>
      </c>
      <c r="R24" s="285">
        <v>0.01</v>
      </c>
      <c r="S24" s="285">
        <v>0.11</v>
      </c>
      <c r="T24" s="285">
        <v>0.1</v>
      </c>
      <c r="U24" s="286"/>
      <c r="V24" s="285">
        <v>0.4</v>
      </c>
      <c r="W24" s="285">
        <f t="shared" si="6"/>
        <v>0.6</v>
      </c>
      <c r="X24" s="287">
        <f>IFERROR(Q24*R24+Q24*W24*T24+Q24*V24,"-")</f>
        <v>1076300</v>
      </c>
      <c r="Y24" s="287">
        <f t="shared" si="7"/>
        <v>1076300</v>
      </c>
      <c r="Z24" s="287"/>
      <c r="AA24" s="288"/>
      <c r="AB24" s="287">
        <f t="shared" si="8"/>
        <v>1374000</v>
      </c>
      <c r="AC24" s="289"/>
      <c r="AD24" s="211">
        <f t="shared" si="14"/>
        <v>0.3</v>
      </c>
      <c r="AE24" s="404">
        <f t="shared" si="9"/>
        <v>44221</v>
      </c>
      <c r="AF24" s="212">
        <f t="shared" si="10"/>
        <v>687000</v>
      </c>
      <c r="AG24" s="211">
        <v>0.3</v>
      </c>
      <c r="AH24" s="404">
        <f t="shared" si="11"/>
        <v>44402</v>
      </c>
      <c r="AI24" s="212">
        <f t="shared" si="12"/>
        <v>687000</v>
      </c>
      <c r="AJ24" s="11"/>
      <c r="AK24" s="11"/>
      <c r="AM24" s="11"/>
      <c r="AY24" s="11"/>
    </row>
    <row r="25" spans="1:51" x14ac:dyDescent="0.45">
      <c r="A25" s="119">
        <v>11</v>
      </c>
      <c r="B25" s="395">
        <v>44054</v>
      </c>
      <c r="C25" s="4" t="s">
        <v>2604</v>
      </c>
      <c r="D25" s="154" t="s">
        <v>2153</v>
      </c>
      <c r="E25" s="154"/>
      <c r="F25" s="154"/>
      <c r="G25" s="382">
        <v>7647431701</v>
      </c>
      <c r="H25" s="154" t="s">
        <v>2152</v>
      </c>
      <c r="I25" s="154" t="s">
        <v>2605</v>
      </c>
      <c r="J25" s="294"/>
      <c r="K25" s="294" t="s">
        <v>2460</v>
      </c>
      <c r="L25" s="282" t="s">
        <v>2055</v>
      </c>
      <c r="M25" s="283" t="s">
        <v>2056</v>
      </c>
      <c r="N25" s="284" t="s">
        <v>1375</v>
      </c>
      <c r="O25" s="284" t="s">
        <v>2348</v>
      </c>
      <c r="P25" s="284">
        <v>1</v>
      </c>
      <c r="Q25" s="298">
        <v>2480000</v>
      </c>
      <c r="R25" s="285">
        <v>0.01</v>
      </c>
      <c r="S25" s="285">
        <v>0.11</v>
      </c>
      <c r="T25" s="285">
        <v>0.1</v>
      </c>
      <c r="U25" s="286"/>
      <c r="V25" s="285">
        <v>0.4</v>
      </c>
      <c r="W25" s="285">
        <f t="shared" si="6"/>
        <v>0.6</v>
      </c>
      <c r="X25" s="287">
        <f t="shared" si="13"/>
        <v>1165600</v>
      </c>
      <c r="Y25" s="287">
        <f t="shared" si="7"/>
        <v>1165600</v>
      </c>
      <c r="Z25" s="287"/>
      <c r="AA25" s="288"/>
      <c r="AB25" s="287">
        <f t="shared" si="8"/>
        <v>1488000</v>
      </c>
      <c r="AC25" s="289"/>
      <c r="AD25" s="211">
        <f t="shared" si="14"/>
        <v>0.3</v>
      </c>
      <c r="AE25" s="404">
        <f t="shared" si="9"/>
        <v>44238</v>
      </c>
      <c r="AF25" s="212">
        <f t="shared" si="10"/>
        <v>744000</v>
      </c>
      <c r="AG25" s="211">
        <v>0.3</v>
      </c>
      <c r="AH25" s="404">
        <f t="shared" si="11"/>
        <v>44419</v>
      </c>
      <c r="AI25" s="212">
        <f t="shared" si="12"/>
        <v>744000</v>
      </c>
      <c r="AJ25" s="11"/>
      <c r="AK25" s="11"/>
      <c r="AM25" s="11"/>
      <c r="AY25" s="11"/>
    </row>
    <row r="26" spans="1:51" x14ac:dyDescent="0.45">
      <c r="A26" s="119">
        <v>12</v>
      </c>
      <c r="B26" s="395">
        <v>44054</v>
      </c>
      <c r="C26" s="4" t="s">
        <v>2606</v>
      </c>
      <c r="D26" s="154" t="s">
        <v>2607</v>
      </c>
      <c r="E26" s="154" t="s">
        <v>2608</v>
      </c>
      <c r="F26" s="154"/>
      <c r="G26" s="382">
        <v>690850805</v>
      </c>
      <c r="H26" s="154" t="s">
        <v>2162</v>
      </c>
      <c r="I26" s="154" t="s">
        <v>2609</v>
      </c>
      <c r="J26" s="294"/>
      <c r="K26" s="294" t="s">
        <v>2460</v>
      </c>
      <c r="L26" s="282" t="s">
        <v>1390</v>
      </c>
      <c r="M26" s="283" t="s">
        <v>2057</v>
      </c>
      <c r="N26" s="284" t="s">
        <v>1375</v>
      </c>
      <c r="O26" s="284" t="s">
        <v>2356</v>
      </c>
      <c r="P26" s="284">
        <v>1</v>
      </c>
      <c r="Q26" s="298">
        <v>3290000</v>
      </c>
      <c r="R26" s="285">
        <v>0.01</v>
      </c>
      <c r="S26" s="285">
        <v>0.11</v>
      </c>
      <c r="T26" s="285">
        <v>0.1</v>
      </c>
      <c r="U26" s="286"/>
      <c r="V26" s="285">
        <v>0.4</v>
      </c>
      <c r="W26" s="285">
        <f t="shared" si="6"/>
        <v>0.6</v>
      </c>
      <c r="X26" s="287">
        <f t="shared" si="13"/>
        <v>1546300</v>
      </c>
      <c r="Y26" s="287">
        <f t="shared" si="7"/>
        <v>1546300</v>
      </c>
      <c r="Z26" s="296"/>
      <c r="AA26" s="297"/>
      <c r="AB26" s="287">
        <f t="shared" si="8"/>
        <v>1974000</v>
      </c>
      <c r="AC26" s="289"/>
      <c r="AD26" s="211">
        <f t="shared" si="14"/>
        <v>0.3</v>
      </c>
      <c r="AE26" s="404">
        <f t="shared" si="9"/>
        <v>44238</v>
      </c>
      <c r="AF26" s="212">
        <f t="shared" si="10"/>
        <v>987000</v>
      </c>
      <c r="AG26" s="211">
        <v>0.3</v>
      </c>
      <c r="AH26" s="404">
        <f t="shared" si="11"/>
        <v>44419</v>
      </c>
      <c r="AI26" s="212">
        <f t="shared" si="12"/>
        <v>987000</v>
      </c>
      <c r="AJ26" s="11"/>
      <c r="AK26" s="11"/>
      <c r="AM26" s="11"/>
      <c r="AY26" s="11"/>
    </row>
    <row r="27" spans="1:51" x14ac:dyDescent="0.45">
      <c r="A27" s="119">
        <v>13</v>
      </c>
      <c r="B27" s="395">
        <v>44059</v>
      </c>
      <c r="C27" s="4" t="s">
        <v>2610</v>
      </c>
      <c r="D27" s="154" t="s">
        <v>2166</v>
      </c>
      <c r="E27" s="154" t="s">
        <v>2611</v>
      </c>
      <c r="F27" s="154"/>
      <c r="G27" s="382">
        <v>788673567</v>
      </c>
      <c r="H27" s="154" t="s">
        <v>2165</v>
      </c>
      <c r="I27" s="154" t="s">
        <v>2612</v>
      </c>
      <c r="J27" s="294"/>
      <c r="K27" s="294" t="s">
        <v>2460</v>
      </c>
      <c r="L27" s="282" t="s">
        <v>2167</v>
      </c>
      <c r="M27" s="283" t="s">
        <v>2164</v>
      </c>
      <c r="N27" s="284" t="s">
        <v>1375</v>
      </c>
      <c r="O27" s="284" t="s">
        <v>2351</v>
      </c>
      <c r="P27" s="284">
        <v>1</v>
      </c>
      <c r="Q27" s="298">
        <v>2290000</v>
      </c>
      <c r="R27" s="285">
        <v>0.01</v>
      </c>
      <c r="S27" s="285"/>
      <c r="T27" s="285">
        <v>0.1</v>
      </c>
      <c r="U27" s="286"/>
      <c r="V27" s="285">
        <v>0.4</v>
      </c>
      <c r="W27" s="285">
        <f t="shared" si="6"/>
        <v>0.6</v>
      </c>
      <c r="X27" s="287">
        <f t="shared" si="13"/>
        <v>1076300</v>
      </c>
      <c r="Y27" s="287">
        <f t="shared" si="7"/>
        <v>1076300</v>
      </c>
      <c r="Z27" s="287"/>
      <c r="AA27" s="288"/>
      <c r="AB27" s="287">
        <f t="shared" si="8"/>
        <v>1374000</v>
      </c>
      <c r="AC27" s="289"/>
      <c r="AD27" s="211">
        <f t="shared" si="14"/>
        <v>0.3</v>
      </c>
      <c r="AE27" s="404">
        <f t="shared" si="9"/>
        <v>44243</v>
      </c>
      <c r="AF27" s="212">
        <f t="shared" si="10"/>
        <v>687000</v>
      </c>
      <c r="AG27" s="211">
        <v>0.3</v>
      </c>
      <c r="AH27" s="404">
        <f t="shared" si="11"/>
        <v>44424</v>
      </c>
      <c r="AI27" s="212">
        <f t="shared" si="12"/>
        <v>687000</v>
      </c>
      <c r="AJ27" s="11"/>
      <c r="AK27" s="11"/>
      <c r="AM27" s="11"/>
      <c r="AY27" s="11"/>
    </row>
    <row r="28" spans="1:51" x14ac:dyDescent="0.45">
      <c r="A28" s="119">
        <v>14</v>
      </c>
      <c r="B28" s="395">
        <v>44066</v>
      </c>
      <c r="C28" s="4" t="s">
        <v>2237</v>
      </c>
      <c r="D28" s="154" t="s">
        <v>2613</v>
      </c>
      <c r="E28" s="154"/>
      <c r="F28" s="154"/>
      <c r="G28" s="382">
        <v>781315116</v>
      </c>
      <c r="H28" s="154" t="s">
        <v>2238</v>
      </c>
      <c r="I28" s="154" t="s">
        <v>2614</v>
      </c>
      <c r="J28" s="294">
        <v>771253084</v>
      </c>
      <c r="K28" s="294" t="s">
        <v>2460</v>
      </c>
      <c r="L28" s="282" t="s">
        <v>1390</v>
      </c>
      <c r="M28" s="283" t="s">
        <v>2161</v>
      </c>
      <c r="N28" s="284" t="s">
        <v>1375</v>
      </c>
      <c r="O28" s="284" t="s">
        <v>2356</v>
      </c>
      <c r="P28" s="284">
        <v>1</v>
      </c>
      <c r="Q28" s="298">
        <v>3290000</v>
      </c>
      <c r="R28" s="285">
        <v>0.01</v>
      </c>
      <c r="S28" s="285"/>
      <c r="T28" s="285">
        <v>0.1</v>
      </c>
      <c r="U28" s="286"/>
      <c r="V28" s="285">
        <v>0.4</v>
      </c>
      <c r="W28" s="285">
        <f t="shared" si="6"/>
        <v>0.6</v>
      </c>
      <c r="X28" s="287">
        <f t="shared" si="13"/>
        <v>1546300</v>
      </c>
      <c r="Y28" s="287">
        <f t="shared" si="7"/>
        <v>1546300</v>
      </c>
      <c r="Z28" s="287"/>
      <c r="AA28" s="288"/>
      <c r="AB28" s="287">
        <f t="shared" si="8"/>
        <v>1974000</v>
      </c>
      <c r="AC28" s="289"/>
      <c r="AD28" s="211">
        <f t="shared" si="14"/>
        <v>0.3</v>
      </c>
      <c r="AE28" s="404">
        <f t="shared" si="9"/>
        <v>44250</v>
      </c>
      <c r="AF28" s="212">
        <f t="shared" si="10"/>
        <v>987000</v>
      </c>
      <c r="AG28" s="211">
        <v>0.3</v>
      </c>
      <c r="AH28" s="404">
        <f t="shared" si="11"/>
        <v>44431</v>
      </c>
      <c r="AI28" s="212">
        <f t="shared" si="12"/>
        <v>987000</v>
      </c>
      <c r="AJ28" s="11"/>
      <c r="AK28" s="11"/>
      <c r="AM28" s="11"/>
      <c r="AY28" s="11"/>
    </row>
    <row r="29" spans="1:51" x14ac:dyDescent="0.45">
      <c r="A29" s="119">
        <v>15</v>
      </c>
      <c r="B29" s="395">
        <v>44079</v>
      </c>
      <c r="C29" s="4" t="s">
        <v>2615</v>
      </c>
      <c r="D29" s="154" t="s">
        <v>2347</v>
      </c>
      <c r="E29" s="154"/>
      <c r="F29" s="154"/>
      <c r="G29" s="382">
        <v>792245446</v>
      </c>
      <c r="H29" s="154" t="s">
        <v>2616</v>
      </c>
      <c r="I29" s="154" t="s">
        <v>2617</v>
      </c>
      <c r="J29" s="294">
        <v>792245446</v>
      </c>
      <c r="K29" s="294" t="s">
        <v>2460</v>
      </c>
      <c r="L29" s="282" t="s">
        <v>1390</v>
      </c>
      <c r="M29" s="283" t="s">
        <v>2163</v>
      </c>
      <c r="N29" s="284" t="s">
        <v>1375</v>
      </c>
      <c r="O29" s="284" t="s">
        <v>2356</v>
      </c>
      <c r="P29" s="284">
        <v>1</v>
      </c>
      <c r="Q29" s="298">
        <v>3290000</v>
      </c>
      <c r="R29" s="285">
        <v>0.01</v>
      </c>
      <c r="S29" s="285"/>
      <c r="T29" s="285">
        <v>0.1</v>
      </c>
      <c r="U29" s="286"/>
      <c r="V29" s="285">
        <v>0.4</v>
      </c>
      <c r="W29" s="285">
        <f t="shared" si="6"/>
        <v>0.6</v>
      </c>
      <c r="X29" s="287">
        <f t="shared" si="13"/>
        <v>1546300</v>
      </c>
      <c r="Y29" s="287">
        <f t="shared" si="7"/>
        <v>1546300</v>
      </c>
      <c r="Z29" s="287"/>
      <c r="AA29" s="288"/>
      <c r="AB29" s="287">
        <f t="shared" si="8"/>
        <v>1974000</v>
      </c>
      <c r="AC29" s="289"/>
      <c r="AD29" s="211">
        <f t="shared" si="14"/>
        <v>0.3</v>
      </c>
      <c r="AE29" s="404">
        <f t="shared" si="9"/>
        <v>44260</v>
      </c>
      <c r="AF29" s="212">
        <f t="shared" si="10"/>
        <v>987000</v>
      </c>
      <c r="AG29" s="211">
        <v>0.3</v>
      </c>
      <c r="AH29" s="404">
        <f t="shared" si="11"/>
        <v>44444</v>
      </c>
      <c r="AI29" s="212">
        <f t="shared" si="12"/>
        <v>987000</v>
      </c>
      <c r="AJ29" s="11"/>
      <c r="AK29" s="11"/>
      <c r="AM29" s="11"/>
      <c r="AY29" s="11"/>
    </row>
    <row r="30" spans="1:51" x14ac:dyDescent="0.45">
      <c r="A30" s="119">
        <v>16</v>
      </c>
      <c r="B30" s="395">
        <v>44083</v>
      </c>
      <c r="C30" s="4" t="s">
        <v>2618</v>
      </c>
      <c r="D30" s="154" t="s">
        <v>2279</v>
      </c>
      <c r="E30" s="154"/>
      <c r="F30" s="154"/>
      <c r="G30" s="382">
        <v>778979731</v>
      </c>
      <c r="H30" s="154" t="s">
        <v>2148</v>
      </c>
      <c r="I30" s="154" t="s">
        <v>2619</v>
      </c>
      <c r="J30" s="294">
        <v>975558566</v>
      </c>
      <c r="K30" s="294" t="s">
        <v>2460</v>
      </c>
      <c r="L30" s="282" t="s">
        <v>1373</v>
      </c>
      <c r="M30" s="283" t="s">
        <v>2146</v>
      </c>
      <c r="N30" s="284" t="s">
        <v>1375</v>
      </c>
      <c r="O30" s="284" t="s">
        <v>2357</v>
      </c>
      <c r="P30" s="284">
        <v>1</v>
      </c>
      <c r="Q30" s="298">
        <v>3210000</v>
      </c>
      <c r="R30" s="285">
        <v>0.01</v>
      </c>
      <c r="S30" s="285"/>
      <c r="T30" s="285">
        <v>0.1</v>
      </c>
      <c r="U30" s="286"/>
      <c r="V30" s="285">
        <v>0.4</v>
      </c>
      <c r="W30" s="285">
        <f t="shared" si="6"/>
        <v>0.6</v>
      </c>
      <c r="X30" s="287">
        <f t="shared" si="13"/>
        <v>1508700</v>
      </c>
      <c r="Y30" s="287">
        <f t="shared" si="7"/>
        <v>1508700</v>
      </c>
      <c r="Z30" s="287"/>
      <c r="AA30" s="288"/>
      <c r="AB30" s="287">
        <f t="shared" si="8"/>
        <v>1926000</v>
      </c>
      <c r="AC30" s="289"/>
      <c r="AD30" s="211">
        <f t="shared" si="14"/>
        <v>0.3</v>
      </c>
      <c r="AE30" s="404">
        <f t="shared" si="9"/>
        <v>44264</v>
      </c>
      <c r="AF30" s="212">
        <f t="shared" si="10"/>
        <v>963000</v>
      </c>
      <c r="AG30" s="211">
        <v>0.3</v>
      </c>
      <c r="AH30" s="404">
        <f t="shared" si="11"/>
        <v>44448</v>
      </c>
      <c r="AI30" s="212">
        <f t="shared" si="12"/>
        <v>963000</v>
      </c>
      <c r="AJ30" s="11"/>
      <c r="AK30" s="11"/>
      <c r="AM30" s="11"/>
      <c r="AY30" s="11"/>
    </row>
    <row r="31" spans="1:51" x14ac:dyDescent="0.45">
      <c r="A31" s="119">
        <v>17</v>
      </c>
      <c r="B31" s="395">
        <v>44087</v>
      </c>
      <c r="C31" s="4" t="s">
        <v>2301</v>
      </c>
      <c r="D31" s="154" t="s">
        <v>2347</v>
      </c>
      <c r="E31" s="154"/>
      <c r="F31" s="154"/>
      <c r="G31" s="382">
        <v>799419374</v>
      </c>
      <c r="H31" s="154" t="s">
        <v>2285</v>
      </c>
      <c r="I31" s="154" t="s">
        <v>2620</v>
      </c>
      <c r="J31" s="294">
        <v>975558566</v>
      </c>
      <c r="K31" s="294" t="s">
        <v>2460</v>
      </c>
      <c r="L31" s="282" t="s">
        <v>1390</v>
      </c>
      <c r="M31" s="283" t="s">
        <v>2287</v>
      </c>
      <c r="N31" s="284" t="s">
        <v>1375</v>
      </c>
      <c r="O31" s="284" t="s">
        <v>2356</v>
      </c>
      <c r="P31" s="284">
        <v>1</v>
      </c>
      <c r="Q31" s="298">
        <v>3290000</v>
      </c>
      <c r="R31" s="285">
        <v>0.01</v>
      </c>
      <c r="S31" s="285"/>
      <c r="T31" s="285">
        <v>0.1</v>
      </c>
      <c r="U31" s="286"/>
      <c r="V31" s="285">
        <v>0.4</v>
      </c>
      <c r="W31" s="285">
        <f t="shared" si="6"/>
        <v>0.6</v>
      </c>
      <c r="X31" s="287">
        <f t="shared" si="13"/>
        <v>1546300</v>
      </c>
      <c r="Y31" s="287">
        <f t="shared" si="7"/>
        <v>1546300</v>
      </c>
      <c r="Z31" s="287"/>
      <c r="AA31" s="288"/>
      <c r="AB31" s="287">
        <f t="shared" si="8"/>
        <v>1974000</v>
      </c>
      <c r="AC31" s="289"/>
      <c r="AD31" s="211">
        <f t="shared" si="14"/>
        <v>0.3</v>
      </c>
      <c r="AE31" s="404">
        <f t="shared" si="9"/>
        <v>44268</v>
      </c>
      <c r="AF31" s="212">
        <f t="shared" si="10"/>
        <v>987000</v>
      </c>
      <c r="AG31" s="211">
        <v>0.3</v>
      </c>
      <c r="AH31" s="404">
        <f t="shared" si="11"/>
        <v>44452</v>
      </c>
      <c r="AI31" s="212">
        <f t="shared" si="12"/>
        <v>987000</v>
      </c>
      <c r="AJ31" s="11"/>
      <c r="AK31" s="11"/>
      <c r="AM31" s="11"/>
      <c r="AY31" s="11"/>
    </row>
    <row r="32" spans="1:51" x14ac:dyDescent="0.45">
      <c r="A32" s="119">
        <v>18</v>
      </c>
      <c r="B32" s="395">
        <v>44104</v>
      </c>
      <c r="C32" s="4" t="s">
        <v>2315</v>
      </c>
      <c r="D32" s="154" t="s">
        <v>2316</v>
      </c>
      <c r="E32" s="154"/>
      <c r="F32" s="154"/>
      <c r="G32" s="382">
        <v>773125022</v>
      </c>
      <c r="H32" s="154" t="s">
        <v>2291</v>
      </c>
      <c r="I32" s="154" t="s">
        <v>2621</v>
      </c>
      <c r="J32" s="294">
        <v>799409605</v>
      </c>
      <c r="K32" s="294" t="s">
        <v>2460</v>
      </c>
      <c r="L32" s="282" t="s">
        <v>2622</v>
      </c>
      <c r="M32" s="283"/>
      <c r="N32" s="284" t="s">
        <v>1375</v>
      </c>
      <c r="O32" s="284" t="s">
        <v>2348</v>
      </c>
      <c r="P32" s="284">
        <v>1</v>
      </c>
      <c r="Q32" s="298">
        <v>2480000</v>
      </c>
      <c r="R32" s="285">
        <v>0.01</v>
      </c>
      <c r="S32" s="285"/>
      <c r="T32" s="285">
        <v>0.1</v>
      </c>
      <c r="U32" s="286"/>
      <c r="V32" s="285">
        <v>0.4</v>
      </c>
      <c r="W32" s="285">
        <f t="shared" si="6"/>
        <v>0.6</v>
      </c>
      <c r="X32" s="299">
        <f t="shared" ref="X32:X59" si="15">IFERROR(Q32*R32+Q32*W32*T32+Q32*V32,"-")</f>
        <v>1165600</v>
      </c>
      <c r="Y32" s="299">
        <f t="shared" si="7"/>
        <v>1165600</v>
      </c>
      <c r="Z32" s="287"/>
      <c r="AA32" s="288"/>
      <c r="AB32" s="299">
        <f>IFERROR(Q32*W32,"-")</f>
        <v>1488000</v>
      </c>
      <c r="AC32" s="289"/>
      <c r="AD32" s="211">
        <f t="shared" si="14"/>
        <v>0.3</v>
      </c>
      <c r="AE32" s="404">
        <f t="shared" si="9"/>
        <v>44285</v>
      </c>
      <c r="AF32" s="300">
        <f>IFERROR(Q32*AD32,"-")</f>
        <v>744000</v>
      </c>
      <c r="AG32" s="211">
        <v>0.3</v>
      </c>
      <c r="AH32" s="404">
        <f t="shared" si="11"/>
        <v>44469</v>
      </c>
      <c r="AI32" s="212">
        <f>IFERROR(Q32*AG32,"-")</f>
        <v>744000</v>
      </c>
      <c r="AJ32" s="11"/>
      <c r="AK32" s="11"/>
      <c r="AM32" s="11"/>
      <c r="AY32" s="11"/>
    </row>
    <row r="33" spans="1:51" x14ac:dyDescent="0.45">
      <c r="A33" s="119">
        <v>19</v>
      </c>
      <c r="B33" s="395">
        <v>44131</v>
      </c>
      <c r="C33" s="4" t="s">
        <v>2349</v>
      </c>
      <c r="D33" s="154" t="s">
        <v>2145</v>
      </c>
      <c r="E33" s="154"/>
      <c r="F33" s="154"/>
      <c r="G33" s="382">
        <v>686190834</v>
      </c>
      <c r="H33" s="154" t="s">
        <v>2623</v>
      </c>
      <c r="I33" s="154" t="s">
        <v>2350</v>
      </c>
      <c r="J33" s="294">
        <v>451042452</v>
      </c>
      <c r="K33" s="294" t="s">
        <v>2460</v>
      </c>
      <c r="L33" s="282" t="s">
        <v>2624</v>
      </c>
      <c r="M33" s="283"/>
      <c r="N33" s="284" t="s">
        <v>1375</v>
      </c>
      <c r="O33" s="284" t="s">
        <v>2351</v>
      </c>
      <c r="P33" s="284">
        <v>1</v>
      </c>
      <c r="Q33" s="400">
        <v>2290000</v>
      </c>
      <c r="R33" s="285">
        <v>0.01</v>
      </c>
      <c r="S33" s="285"/>
      <c r="T33" s="285">
        <v>0.1</v>
      </c>
      <c r="U33" s="286"/>
      <c r="V33" s="285">
        <v>0.4</v>
      </c>
      <c r="W33" s="285">
        <f t="shared" si="6"/>
        <v>0.6</v>
      </c>
      <c r="X33" s="299">
        <f t="shared" si="15"/>
        <v>1076300</v>
      </c>
      <c r="Y33" s="299">
        <f t="shared" si="7"/>
        <v>1076300</v>
      </c>
      <c r="Z33" s="287"/>
      <c r="AA33" s="288"/>
      <c r="AB33" s="299">
        <f t="shared" ref="AB33:AB59" si="16">IFERROR(Q33*W33,"-")</f>
        <v>1374000</v>
      </c>
      <c r="AC33" s="289"/>
      <c r="AD33" s="211">
        <f t="shared" si="14"/>
        <v>0.3</v>
      </c>
      <c r="AE33" s="404">
        <f t="shared" si="9"/>
        <v>44313</v>
      </c>
      <c r="AF33" s="300">
        <f t="shared" ref="AF33:AF59" si="17">IFERROR(Q33*AD33,"-")</f>
        <v>687000</v>
      </c>
      <c r="AG33" s="211">
        <v>0.3</v>
      </c>
      <c r="AH33" s="404">
        <f t="shared" si="11"/>
        <v>44496</v>
      </c>
      <c r="AI33" s="300">
        <f t="shared" ref="AI33:AI59" si="18">IFERROR(Q33*AG33,"-")</f>
        <v>687000</v>
      </c>
      <c r="AJ33" s="11"/>
      <c r="AK33" s="11"/>
      <c r="AM33" s="11"/>
      <c r="AY33" s="11"/>
    </row>
    <row r="34" spans="1:51" x14ac:dyDescent="0.45">
      <c r="A34" s="119">
        <v>20</v>
      </c>
      <c r="B34" s="395">
        <v>44133</v>
      </c>
      <c r="C34" s="4" t="s">
        <v>2359</v>
      </c>
      <c r="D34" s="154" t="s">
        <v>2360</v>
      </c>
      <c r="E34" s="154"/>
      <c r="F34" s="154"/>
      <c r="G34" s="382">
        <v>769226235</v>
      </c>
      <c r="H34" s="154" t="s">
        <v>2289</v>
      </c>
      <c r="I34" s="154" t="s">
        <v>2625</v>
      </c>
      <c r="J34" s="294">
        <v>448005725</v>
      </c>
      <c r="K34" s="294" t="s">
        <v>2460</v>
      </c>
      <c r="L34" s="282" t="s">
        <v>2626</v>
      </c>
      <c r="M34" s="282"/>
      <c r="N34" s="283" t="s">
        <v>1375</v>
      </c>
      <c r="O34" s="284" t="s">
        <v>2357</v>
      </c>
      <c r="P34" s="284">
        <v>1</v>
      </c>
      <c r="Q34" s="401">
        <v>3210000</v>
      </c>
      <c r="R34" s="285">
        <v>0.01</v>
      </c>
      <c r="S34" s="285"/>
      <c r="T34" s="285">
        <v>0.1</v>
      </c>
      <c r="U34" s="286"/>
      <c r="V34" s="285">
        <v>0.4</v>
      </c>
      <c r="W34" s="285">
        <f t="shared" si="6"/>
        <v>0.6</v>
      </c>
      <c r="X34" s="299">
        <f t="shared" si="15"/>
        <v>1508700</v>
      </c>
      <c r="Y34" s="299">
        <f t="shared" si="7"/>
        <v>1508700</v>
      </c>
      <c r="Z34" s="287"/>
      <c r="AA34" s="288"/>
      <c r="AB34" s="299">
        <f t="shared" si="16"/>
        <v>1926000</v>
      </c>
      <c r="AC34" s="289"/>
      <c r="AD34" s="211">
        <f t="shared" si="14"/>
        <v>0.3</v>
      </c>
      <c r="AE34" s="404">
        <f t="shared" si="9"/>
        <v>44315</v>
      </c>
      <c r="AF34" s="300">
        <f t="shared" si="17"/>
        <v>963000</v>
      </c>
      <c r="AG34" s="211">
        <v>0.3</v>
      </c>
      <c r="AH34" s="404">
        <f t="shared" si="11"/>
        <v>44498</v>
      </c>
      <c r="AI34" s="300">
        <f t="shared" si="18"/>
        <v>963000</v>
      </c>
      <c r="AJ34" s="11"/>
      <c r="AK34" s="11"/>
      <c r="AM34" s="11"/>
      <c r="AY34" s="11"/>
    </row>
    <row r="35" spans="1:51" x14ac:dyDescent="0.45">
      <c r="A35" s="119">
        <v>21</v>
      </c>
      <c r="B35" s="395">
        <v>44136</v>
      </c>
      <c r="C35" s="4" t="s">
        <v>2374</v>
      </c>
      <c r="D35" s="154" t="s">
        <v>2316</v>
      </c>
      <c r="E35" s="154"/>
      <c r="F35" s="154"/>
      <c r="G35" s="382">
        <v>799406646</v>
      </c>
      <c r="H35" s="154" t="s">
        <v>2375</v>
      </c>
      <c r="I35" s="154" t="s">
        <v>2376</v>
      </c>
      <c r="J35" s="294">
        <v>758527366</v>
      </c>
      <c r="K35" s="294" t="s">
        <v>2460</v>
      </c>
      <c r="L35" s="282" t="s">
        <v>2377</v>
      </c>
      <c r="M35" s="282"/>
      <c r="N35" s="283"/>
      <c r="O35" s="284" t="s">
        <v>2348</v>
      </c>
      <c r="P35" s="284">
        <v>1</v>
      </c>
      <c r="Q35" s="401">
        <v>2480000</v>
      </c>
      <c r="R35" s="285">
        <v>0.01</v>
      </c>
      <c r="S35" s="285"/>
      <c r="T35" s="285">
        <v>0.1</v>
      </c>
      <c r="U35" s="286"/>
      <c r="V35" s="285">
        <v>0.4</v>
      </c>
      <c r="W35" s="285">
        <f t="shared" si="6"/>
        <v>0.6</v>
      </c>
      <c r="X35" s="299">
        <f t="shared" si="15"/>
        <v>1165600</v>
      </c>
      <c r="Y35" s="299">
        <f t="shared" si="7"/>
        <v>1165600</v>
      </c>
      <c r="Z35" s="287"/>
      <c r="AA35" s="288"/>
      <c r="AB35" s="299">
        <f t="shared" si="16"/>
        <v>1488000</v>
      </c>
      <c r="AC35" s="289"/>
      <c r="AD35" s="211">
        <f t="shared" si="14"/>
        <v>0.3</v>
      </c>
      <c r="AE35" s="404">
        <f t="shared" si="9"/>
        <v>44317</v>
      </c>
      <c r="AF35" s="300">
        <f t="shared" si="17"/>
        <v>744000</v>
      </c>
      <c r="AG35" s="211">
        <v>0.3</v>
      </c>
      <c r="AH35" s="404">
        <f t="shared" si="11"/>
        <v>44501</v>
      </c>
      <c r="AI35" s="300">
        <f t="shared" si="18"/>
        <v>744000</v>
      </c>
      <c r="AJ35" s="11"/>
      <c r="AK35" s="11"/>
      <c r="AM35" s="11"/>
      <c r="AY35" s="11"/>
    </row>
    <row r="36" spans="1:51" x14ac:dyDescent="0.45">
      <c r="A36" s="119">
        <v>22</v>
      </c>
      <c r="B36" s="395">
        <v>44152</v>
      </c>
      <c r="C36" s="4" t="s">
        <v>2396</v>
      </c>
      <c r="D36" s="154" t="s">
        <v>2290</v>
      </c>
      <c r="E36" s="154"/>
      <c r="F36" s="154"/>
      <c r="G36" s="382">
        <v>762017900</v>
      </c>
      <c r="H36" s="154" t="s">
        <v>2397</v>
      </c>
      <c r="I36" s="154" t="s">
        <v>2398</v>
      </c>
      <c r="J36" s="294">
        <v>958842972</v>
      </c>
      <c r="K36" s="294" t="s">
        <v>2460</v>
      </c>
      <c r="L36" s="282" t="s">
        <v>2399</v>
      </c>
      <c r="M36" s="282"/>
      <c r="N36" s="283" t="s">
        <v>1375</v>
      </c>
      <c r="O36" s="284" t="s">
        <v>2356</v>
      </c>
      <c r="P36" s="284">
        <v>1</v>
      </c>
      <c r="Q36" s="401">
        <v>3290000</v>
      </c>
      <c r="R36" s="285">
        <v>0.01</v>
      </c>
      <c r="S36" s="285"/>
      <c r="T36" s="285">
        <v>0.1</v>
      </c>
      <c r="U36" s="286"/>
      <c r="V36" s="285">
        <v>0.4</v>
      </c>
      <c r="W36" s="285">
        <f t="shared" si="6"/>
        <v>0.6</v>
      </c>
      <c r="X36" s="299">
        <f t="shared" si="15"/>
        <v>1546300</v>
      </c>
      <c r="Y36" s="299">
        <f t="shared" si="7"/>
        <v>1546300</v>
      </c>
      <c r="Z36" s="287"/>
      <c r="AA36" s="288"/>
      <c r="AB36" s="299">
        <f t="shared" si="16"/>
        <v>1974000</v>
      </c>
      <c r="AC36" s="289"/>
      <c r="AD36" s="211">
        <f t="shared" si="14"/>
        <v>0.3</v>
      </c>
      <c r="AE36" s="404">
        <f t="shared" si="9"/>
        <v>44333</v>
      </c>
      <c r="AF36" s="300">
        <f t="shared" si="17"/>
        <v>987000</v>
      </c>
      <c r="AG36" s="211">
        <v>0.3</v>
      </c>
      <c r="AH36" s="404">
        <f t="shared" si="11"/>
        <v>44517</v>
      </c>
      <c r="AI36" s="300">
        <f t="shared" si="18"/>
        <v>987000</v>
      </c>
      <c r="AJ36" s="11"/>
      <c r="AK36" s="11"/>
      <c r="AM36" s="11"/>
      <c r="AY36" s="11"/>
    </row>
    <row r="37" spans="1:51" x14ac:dyDescent="0.45">
      <c r="A37" s="119">
        <v>23</v>
      </c>
      <c r="B37" s="395">
        <v>44153</v>
      </c>
      <c r="C37" s="4" t="s">
        <v>2400</v>
      </c>
      <c r="D37" s="154" t="s">
        <v>2347</v>
      </c>
      <c r="E37" s="154"/>
      <c r="F37" s="154"/>
      <c r="G37" s="382">
        <v>425741998</v>
      </c>
      <c r="H37" s="154" t="s">
        <v>2401</v>
      </c>
      <c r="I37" s="154" t="s">
        <v>2402</v>
      </c>
      <c r="J37" s="294">
        <v>799415864</v>
      </c>
      <c r="K37" s="294" t="s">
        <v>2460</v>
      </c>
      <c r="L37" s="282" t="s">
        <v>2403</v>
      </c>
      <c r="M37" s="282"/>
      <c r="N37" s="283" t="s">
        <v>1375</v>
      </c>
      <c r="O37" s="284" t="s">
        <v>2356</v>
      </c>
      <c r="P37" s="284">
        <v>1</v>
      </c>
      <c r="Q37" s="401" t="e">
        <f>VLOOKUP(#REF!,[5]COA!E:F,2,0)</f>
        <v>#REF!</v>
      </c>
      <c r="R37" s="285">
        <v>0.01</v>
      </c>
      <c r="S37" s="285"/>
      <c r="T37" s="285">
        <v>0.1</v>
      </c>
      <c r="U37" s="286"/>
      <c r="V37" s="285">
        <v>0.4</v>
      </c>
      <c r="W37" s="285">
        <f t="shared" si="6"/>
        <v>0.6</v>
      </c>
      <c r="X37" s="299" t="str">
        <f t="shared" si="15"/>
        <v>-</v>
      </c>
      <c r="Y37" s="299" t="str">
        <f>X37</f>
        <v>-</v>
      </c>
      <c r="Z37" s="287"/>
      <c r="AA37" s="288"/>
      <c r="AB37" s="299" t="str">
        <f t="shared" si="16"/>
        <v>-</v>
      </c>
      <c r="AC37" s="289"/>
      <c r="AD37" s="211">
        <f t="shared" si="14"/>
        <v>0.3</v>
      </c>
      <c r="AE37" s="404">
        <f t="shared" si="9"/>
        <v>44334</v>
      </c>
      <c r="AF37" s="300" t="str">
        <f t="shared" si="17"/>
        <v>-</v>
      </c>
      <c r="AG37" s="211">
        <v>0.3</v>
      </c>
      <c r="AH37" s="404">
        <f t="shared" si="11"/>
        <v>44518</v>
      </c>
      <c r="AI37" s="300" t="str">
        <f t="shared" si="18"/>
        <v>-</v>
      </c>
      <c r="AJ37" s="11"/>
      <c r="AK37" s="11"/>
      <c r="AM37" s="11"/>
      <c r="AY37" s="11"/>
    </row>
    <row r="38" spans="1:51" x14ac:dyDescent="0.45">
      <c r="A38" s="119">
        <v>24</v>
      </c>
      <c r="B38" s="395">
        <v>44155</v>
      </c>
      <c r="C38" s="4" t="s">
        <v>2404</v>
      </c>
      <c r="D38" s="154" t="s">
        <v>2153</v>
      </c>
      <c r="E38" s="154"/>
      <c r="F38" s="154"/>
      <c r="G38" s="382">
        <v>799419927</v>
      </c>
      <c r="H38" s="154" t="s">
        <v>2292</v>
      </c>
      <c r="I38" s="154" t="s">
        <v>2405</v>
      </c>
      <c r="J38" s="294">
        <v>778927454</v>
      </c>
      <c r="K38" s="294" t="s">
        <v>2460</v>
      </c>
      <c r="L38" s="282" t="s">
        <v>2406</v>
      </c>
      <c r="M38" s="282"/>
      <c r="N38" s="283" t="s">
        <v>1375</v>
      </c>
      <c r="O38" s="284" t="s">
        <v>2348</v>
      </c>
      <c r="P38" s="284">
        <v>1</v>
      </c>
      <c r="Q38" s="401">
        <f>IFERROR(VLOOKUP(O38,[5]COA!E:F,2,0),"-")</f>
        <v>2405600</v>
      </c>
      <c r="R38" s="285">
        <v>0.01</v>
      </c>
      <c r="S38" s="285"/>
      <c r="T38" s="285">
        <v>0.1</v>
      </c>
      <c r="U38" s="286"/>
      <c r="V38" s="285">
        <v>0.4</v>
      </c>
      <c r="W38" s="285">
        <f t="shared" si="6"/>
        <v>0.6</v>
      </c>
      <c r="X38" s="299">
        <f t="shared" si="15"/>
        <v>1130632</v>
      </c>
      <c r="Y38" s="299">
        <f t="shared" ref="Y38:Y59" si="19">X38</f>
        <v>1130632</v>
      </c>
      <c r="Z38" s="288"/>
      <c r="AA38" s="299"/>
      <c r="AB38" s="289">
        <f t="shared" si="16"/>
        <v>1443360</v>
      </c>
      <c r="AC38" s="299"/>
      <c r="AD38" s="211">
        <f t="shared" si="14"/>
        <v>0.3</v>
      </c>
      <c r="AE38" s="404">
        <f t="shared" si="9"/>
        <v>44336</v>
      </c>
      <c r="AF38" s="300">
        <f t="shared" si="17"/>
        <v>721680</v>
      </c>
      <c r="AG38" s="211">
        <v>0.3</v>
      </c>
      <c r="AH38" s="404">
        <f t="shared" si="11"/>
        <v>44520</v>
      </c>
      <c r="AI38" s="300">
        <f t="shared" si="18"/>
        <v>721680</v>
      </c>
      <c r="AJ38" s="11"/>
      <c r="AK38" s="11"/>
      <c r="AM38" s="11"/>
      <c r="AY38" s="11"/>
    </row>
    <row r="39" spans="1:51" x14ac:dyDescent="0.45">
      <c r="A39" s="119">
        <v>25</v>
      </c>
      <c r="B39" s="395">
        <v>44155</v>
      </c>
      <c r="C39" s="4" t="s">
        <v>2407</v>
      </c>
      <c r="D39" s="154" t="s">
        <v>2408</v>
      </c>
      <c r="E39" s="154"/>
      <c r="F39" s="154"/>
      <c r="G39" s="382">
        <v>798813398</v>
      </c>
      <c r="H39" s="154" t="s">
        <v>2409</v>
      </c>
      <c r="I39" s="154" t="s">
        <v>2410</v>
      </c>
      <c r="J39" s="294">
        <v>775119243</v>
      </c>
      <c r="K39" s="294" t="s">
        <v>2460</v>
      </c>
      <c r="L39" s="282" t="s">
        <v>2411</v>
      </c>
      <c r="M39" s="282"/>
      <c r="N39" s="283" t="s">
        <v>1375</v>
      </c>
      <c r="O39" s="284" t="s">
        <v>2356</v>
      </c>
      <c r="P39" s="284">
        <v>1</v>
      </c>
      <c r="Q39" s="401">
        <f>IFERROR(VLOOKUP(O39,[5]COA!E:F,2,0),"-")</f>
        <v>3191300</v>
      </c>
      <c r="R39" s="285">
        <v>0.01</v>
      </c>
      <c r="S39" s="285"/>
      <c r="T39" s="285">
        <v>0.1</v>
      </c>
      <c r="U39" s="286"/>
      <c r="V39" s="285">
        <v>0.4</v>
      </c>
      <c r="W39" s="285">
        <f t="shared" si="6"/>
        <v>0.6</v>
      </c>
      <c r="X39" s="299">
        <f t="shared" si="15"/>
        <v>1499911</v>
      </c>
      <c r="Y39" s="299">
        <f t="shared" si="19"/>
        <v>1499911</v>
      </c>
      <c r="Z39" s="288"/>
      <c r="AA39" s="299"/>
      <c r="AB39" s="289">
        <f t="shared" si="16"/>
        <v>1914780</v>
      </c>
      <c r="AC39" s="299"/>
      <c r="AD39" s="211">
        <f t="shared" si="14"/>
        <v>0.3</v>
      </c>
      <c r="AE39" s="404">
        <f t="shared" si="9"/>
        <v>44336</v>
      </c>
      <c r="AF39" s="300">
        <f t="shared" si="17"/>
        <v>957390</v>
      </c>
      <c r="AG39" s="211">
        <v>0.3</v>
      </c>
      <c r="AH39" s="404">
        <f t="shared" si="11"/>
        <v>44520</v>
      </c>
      <c r="AI39" s="300">
        <f t="shared" si="18"/>
        <v>957390</v>
      </c>
      <c r="AJ39" s="11"/>
      <c r="AK39" s="11"/>
      <c r="AM39" s="11"/>
      <c r="AY39" s="11"/>
    </row>
    <row r="40" spans="1:51" x14ac:dyDescent="0.45">
      <c r="A40" s="119">
        <v>26</v>
      </c>
      <c r="B40" s="395">
        <v>44157</v>
      </c>
      <c r="C40" s="4" t="s">
        <v>2413</v>
      </c>
      <c r="D40" s="154" t="s">
        <v>2414</v>
      </c>
      <c r="E40" s="154"/>
      <c r="F40" s="154"/>
      <c r="G40" s="382">
        <v>777070377</v>
      </c>
      <c r="H40" s="154" t="s">
        <v>2415</v>
      </c>
      <c r="I40" s="154" t="s">
        <v>2416</v>
      </c>
      <c r="J40" s="294">
        <v>420270964</v>
      </c>
      <c r="K40" s="294" t="s">
        <v>2460</v>
      </c>
      <c r="L40" s="282" t="s">
        <v>2417</v>
      </c>
      <c r="M40" s="282"/>
      <c r="N40" s="283" t="s">
        <v>1375</v>
      </c>
      <c r="O40" s="284" t="s">
        <v>2356</v>
      </c>
      <c r="P40" s="284">
        <v>1</v>
      </c>
      <c r="Q40" s="401">
        <f>IFERROR(VLOOKUP(O40,[5]COA!E:F,2,0),"-")</f>
        <v>3191300</v>
      </c>
      <c r="R40" s="285">
        <v>0.01</v>
      </c>
      <c r="S40" s="285"/>
      <c r="T40" s="285">
        <v>0.1</v>
      </c>
      <c r="U40" s="286"/>
      <c r="V40" s="285">
        <v>0.4</v>
      </c>
      <c r="W40" s="285">
        <f t="shared" si="6"/>
        <v>0.6</v>
      </c>
      <c r="X40" s="299">
        <f t="shared" si="15"/>
        <v>1499911</v>
      </c>
      <c r="Y40" s="299">
        <f t="shared" si="19"/>
        <v>1499911</v>
      </c>
      <c r="Z40" s="299"/>
      <c r="AA40" s="299"/>
      <c r="AB40" s="299">
        <f t="shared" si="16"/>
        <v>1914780</v>
      </c>
      <c r="AC40" s="299"/>
      <c r="AD40" s="211">
        <f t="shared" si="14"/>
        <v>0.3</v>
      </c>
      <c r="AE40" s="404">
        <f t="shared" si="9"/>
        <v>44338</v>
      </c>
      <c r="AF40" s="300">
        <f t="shared" si="17"/>
        <v>957390</v>
      </c>
      <c r="AG40" s="211">
        <v>0.3</v>
      </c>
      <c r="AH40" s="404">
        <f t="shared" si="11"/>
        <v>44522</v>
      </c>
      <c r="AI40" s="300">
        <f t="shared" si="18"/>
        <v>957390</v>
      </c>
      <c r="AJ40" s="11"/>
      <c r="AK40" s="11"/>
      <c r="AM40" s="11"/>
      <c r="AY40" s="11"/>
    </row>
    <row r="41" spans="1:51" x14ac:dyDescent="0.45">
      <c r="A41" s="119">
        <v>27</v>
      </c>
      <c r="B41" s="395">
        <v>44162</v>
      </c>
      <c r="C41" s="4" t="s">
        <v>2418</v>
      </c>
      <c r="D41" s="154" t="s">
        <v>2419</v>
      </c>
      <c r="E41" s="154"/>
      <c r="F41" s="154"/>
      <c r="G41" s="382">
        <v>761034336</v>
      </c>
      <c r="H41" s="154" t="s">
        <v>2420</v>
      </c>
      <c r="I41" s="154" t="s">
        <v>2421</v>
      </c>
      <c r="J41" s="294">
        <v>769330211</v>
      </c>
      <c r="K41" s="294" t="s">
        <v>2460</v>
      </c>
      <c r="L41" s="282" t="s">
        <v>2422</v>
      </c>
      <c r="M41" s="282"/>
      <c r="N41" s="283" t="s">
        <v>1375</v>
      </c>
      <c r="O41" s="284" t="s">
        <v>2348</v>
      </c>
      <c r="P41" s="284">
        <v>1</v>
      </c>
      <c r="Q41" s="401">
        <f>IFERROR(VLOOKUP(O41,[5]COA!E:F,2,0),"-")</f>
        <v>2405600</v>
      </c>
      <c r="R41" s="285">
        <v>0.01</v>
      </c>
      <c r="S41" s="285"/>
      <c r="T41" s="285">
        <v>0.1</v>
      </c>
      <c r="U41" s="285"/>
      <c r="V41" s="285">
        <v>0.4</v>
      </c>
      <c r="W41" s="285">
        <f t="shared" si="6"/>
        <v>0.6</v>
      </c>
      <c r="X41" s="299">
        <f t="shared" si="15"/>
        <v>1130632</v>
      </c>
      <c r="Y41" s="299">
        <f t="shared" si="19"/>
        <v>1130632</v>
      </c>
      <c r="Z41" s="299"/>
      <c r="AA41" s="299"/>
      <c r="AB41" s="299">
        <f t="shared" si="16"/>
        <v>1443360</v>
      </c>
      <c r="AC41" s="299"/>
      <c r="AD41" s="211">
        <f t="shared" si="14"/>
        <v>0.3</v>
      </c>
      <c r="AE41" s="404">
        <f t="shared" si="9"/>
        <v>44343</v>
      </c>
      <c r="AF41" s="300">
        <f t="shared" si="17"/>
        <v>721680</v>
      </c>
      <c r="AG41" s="211">
        <v>0.3</v>
      </c>
      <c r="AH41" s="404">
        <f t="shared" si="11"/>
        <v>44527</v>
      </c>
      <c r="AI41" s="300">
        <f t="shared" si="18"/>
        <v>721680</v>
      </c>
      <c r="AJ41" s="11"/>
      <c r="AK41" s="11"/>
      <c r="AM41" s="11"/>
      <c r="AY41" s="11"/>
    </row>
    <row r="42" spans="1:51" x14ac:dyDescent="0.45">
      <c r="A42" s="119">
        <v>28</v>
      </c>
      <c r="B42" s="395">
        <v>44162</v>
      </c>
      <c r="C42" s="4" t="s">
        <v>2423</v>
      </c>
      <c r="D42" s="154" t="s">
        <v>2424</v>
      </c>
      <c r="E42" s="154"/>
      <c r="F42" s="154"/>
      <c r="G42" s="382">
        <v>777893034</v>
      </c>
      <c r="H42" s="154" t="s">
        <v>2425</v>
      </c>
      <c r="I42" s="154" t="s">
        <v>2426</v>
      </c>
      <c r="J42" s="294">
        <v>261691147</v>
      </c>
      <c r="K42" s="294" t="s">
        <v>2460</v>
      </c>
      <c r="L42" s="282" t="s">
        <v>2427</v>
      </c>
      <c r="M42" s="282"/>
      <c r="N42" s="283" t="s">
        <v>1375</v>
      </c>
      <c r="O42" s="284" t="s">
        <v>2356</v>
      </c>
      <c r="P42" s="284">
        <v>1</v>
      </c>
      <c r="Q42" s="401">
        <f>IFERROR(VLOOKUP(O42,[5]COA!E:F,2,0),"-")</f>
        <v>3191300</v>
      </c>
      <c r="R42" s="285">
        <v>0.01</v>
      </c>
      <c r="S42" s="285"/>
      <c r="T42" s="285">
        <v>0.1</v>
      </c>
      <c r="U42" s="285"/>
      <c r="V42" s="285">
        <v>0.4</v>
      </c>
      <c r="W42" s="285">
        <f t="shared" si="6"/>
        <v>0.6</v>
      </c>
      <c r="X42" s="299">
        <f t="shared" si="15"/>
        <v>1499911</v>
      </c>
      <c r="Y42" s="299">
        <f t="shared" si="19"/>
        <v>1499911</v>
      </c>
      <c r="Z42" s="299">
        <f>SUM(Z15:Z41)</f>
        <v>0</v>
      </c>
      <c r="AA42" s="299"/>
      <c r="AB42" s="299">
        <f t="shared" si="16"/>
        <v>1914780</v>
      </c>
      <c r="AC42" s="299"/>
      <c r="AD42" s="211">
        <f t="shared" si="14"/>
        <v>0.3</v>
      </c>
      <c r="AE42" s="404">
        <f t="shared" si="9"/>
        <v>44343</v>
      </c>
      <c r="AF42" s="300">
        <f t="shared" si="17"/>
        <v>957390</v>
      </c>
      <c r="AG42" s="211">
        <v>0.3</v>
      </c>
      <c r="AH42" s="404">
        <f t="shared" si="11"/>
        <v>44527</v>
      </c>
      <c r="AI42" s="300">
        <f t="shared" si="18"/>
        <v>957390</v>
      </c>
      <c r="AJ42" s="11"/>
      <c r="AK42" s="11"/>
      <c r="AM42" s="11"/>
      <c r="AY42" s="11"/>
    </row>
    <row r="43" spans="1:51" x14ac:dyDescent="0.45">
      <c r="A43" s="119">
        <v>29</v>
      </c>
      <c r="B43" s="395">
        <v>44165</v>
      </c>
      <c r="C43" s="4" t="s">
        <v>2456</v>
      </c>
      <c r="D43" s="154" t="s">
        <v>2347</v>
      </c>
      <c r="E43" s="154"/>
      <c r="F43" s="154"/>
      <c r="G43" s="382">
        <v>420024352</v>
      </c>
      <c r="H43" s="154" t="s">
        <v>2457</v>
      </c>
      <c r="I43" s="154" t="s">
        <v>2458</v>
      </c>
      <c r="J43" s="294"/>
      <c r="K43" s="294" t="s">
        <v>2460</v>
      </c>
      <c r="L43" s="282" t="s">
        <v>2459</v>
      </c>
      <c r="M43" s="282"/>
      <c r="N43" s="283" t="s">
        <v>1375</v>
      </c>
      <c r="O43" s="284" t="s">
        <v>2351</v>
      </c>
      <c r="P43" s="284">
        <v>1</v>
      </c>
      <c r="Q43" s="401">
        <f>IFERROR(VLOOKUP(O43,[5]COA!E:F,2,0),"-")</f>
        <v>2232750</v>
      </c>
      <c r="R43" s="285">
        <v>0.01</v>
      </c>
      <c r="S43" s="285"/>
      <c r="T43" s="285">
        <v>0.1</v>
      </c>
      <c r="U43" s="285"/>
      <c r="V43" s="285">
        <v>0.4</v>
      </c>
      <c r="W43" s="285">
        <f t="shared" si="6"/>
        <v>0.6</v>
      </c>
      <c r="X43" s="299">
        <f t="shared" si="15"/>
        <v>1049392.5</v>
      </c>
      <c r="Y43" s="299">
        <f t="shared" si="19"/>
        <v>1049392.5</v>
      </c>
      <c r="Z43" s="299"/>
      <c r="AA43" s="299"/>
      <c r="AB43" s="299">
        <f t="shared" si="16"/>
        <v>1339650</v>
      </c>
      <c r="AC43" s="299"/>
      <c r="AD43" s="211">
        <f t="shared" si="14"/>
        <v>0.3</v>
      </c>
      <c r="AE43" s="404">
        <f t="shared" si="9"/>
        <v>44346</v>
      </c>
      <c r="AF43" s="300">
        <f t="shared" si="17"/>
        <v>669825</v>
      </c>
      <c r="AG43" s="211">
        <v>0.3</v>
      </c>
      <c r="AH43" s="404">
        <f t="shared" si="11"/>
        <v>44530</v>
      </c>
      <c r="AI43" s="300">
        <f t="shared" si="18"/>
        <v>669825</v>
      </c>
      <c r="AJ43" s="11"/>
      <c r="AK43" s="11"/>
      <c r="AM43" s="11"/>
      <c r="AY43" s="11"/>
    </row>
    <row r="44" spans="1:51" x14ac:dyDescent="0.45">
      <c r="A44" s="119">
        <v>30</v>
      </c>
      <c r="B44" s="395">
        <v>44169</v>
      </c>
      <c r="C44" s="4" t="s">
        <v>2627</v>
      </c>
      <c r="D44" s="154" t="s">
        <v>2628</v>
      </c>
      <c r="E44" s="154"/>
      <c r="F44" s="154"/>
      <c r="G44" s="382">
        <v>794360622</v>
      </c>
      <c r="H44" s="154" t="s">
        <v>2629</v>
      </c>
      <c r="I44" s="154" t="s">
        <v>2630</v>
      </c>
      <c r="J44" s="294">
        <v>791703991</v>
      </c>
      <c r="K44" s="294" t="s">
        <v>2460</v>
      </c>
      <c r="L44" s="282" t="s">
        <v>2631</v>
      </c>
      <c r="M44" s="282"/>
      <c r="N44" s="283" t="s">
        <v>1375</v>
      </c>
      <c r="O44" s="284" t="s">
        <v>2356</v>
      </c>
      <c r="P44" s="284">
        <v>1</v>
      </c>
      <c r="Q44" s="401">
        <f>IFERROR(VLOOKUP(O44,[5]COA!E:F,2,0),"-")</f>
        <v>3191300</v>
      </c>
      <c r="R44" s="285">
        <v>0.01</v>
      </c>
      <c r="S44" s="285"/>
      <c r="T44" s="285">
        <v>0.1</v>
      </c>
      <c r="U44" s="285"/>
      <c r="V44" s="285">
        <v>0.4</v>
      </c>
      <c r="W44" s="285">
        <f t="shared" si="6"/>
        <v>0.6</v>
      </c>
      <c r="X44" s="299">
        <f>IFERROR(Q44*R44+Q44*W44*T44+Q44*V44,"-")</f>
        <v>1499911</v>
      </c>
      <c r="Y44" s="299">
        <f t="shared" si="19"/>
        <v>1499911</v>
      </c>
      <c r="Z44" s="299"/>
      <c r="AA44" s="299"/>
      <c r="AB44" s="299">
        <f>IFERROR(Q44*W44,"-")</f>
        <v>1914780</v>
      </c>
      <c r="AC44" s="299"/>
      <c r="AD44" s="211">
        <f t="shared" si="14"/>
        <v>0.3</v>
      </c>
      <c r="AE44" s="404">
        <f t="shared" si="9"/>
        <v>44351</v>
      </c>
      <c r="AF44" s="300">
        <f>IFERROR(Q44*AD44,"-")</f>
        <v>957390</v>
      </c>
      <c r="AG44" s="211">
        <v>0.3</v>
      </c>
      <c r="AH44" s="404">
        <f t="shared" si="11"/>
        <v>44534</v>
      </c>
      <c r="AI44" s="300">
        <f t="shared" si="18"/>
        <v>957390</v>
      </c>
      <c r="AJ44" s="11"/>
      <c r="AK44" s="11"/>
      <c r="AM44" s="11"/>
      <c r="AY44" s="11"/>
    </row>
    <row r="45" spans="1:51" x14ac:dyDescent="0.45">
      <c r="A45" s="119">
        <v>31</v>
      </c>
      <c r="B45" s="395">
        <v>44169</v>
      </c>
      <c r="C45" s="4" t="s">
        <v>2632</v>
      </c>
      <c r="D45" s="154" t="s">
        <v>2633</v>
      </c>
      <c r="E45" s="154"/>
      <c r="F45" s="154"/>
      <c r="G45" s="382">
        <v>444512584</v>
      </c>
      <c r="H45" s="154" t="s">
        <v>2294</v>
      </c>
      <c r="I45" s="154" t="s">
        <v>2634</v>
      </c>
      <c r="J45" s="294"/>
      <c r="K45" s="294" t="s">
        <v>2460</v>
      </c>
      <c r="L45" s="282" t="s">
        <v>2635</v>
      </c>
      <c r="M45" s="282"/>
      <c r="N45" s="283" t="s">
        <v>1375</v>
      </c>
      <c r="O45" s="284" t="s">
        <v>2351</v>
      </c>
      <c r="P45" s="284">
        <v>1</v>
      </c>
      <c r="Q45" s="401">
        <f>IFERROR(VLOOKUP(O45,[5]COA!E:F,2,0),"-")</f>
        <v>2232750</v>
      </c>
      <c r="R45" s="285">
        <v>0.01</v>
      </c>
      <c r="S45" s="285"/>
      <c r="T45" s="285">
        <v>0.1</v>
      </c>
      <c r="U45" s="285"/>
      <c r="V45" s="285">
        <v>0.4</v>
      </c>
      <c r="W45" s="285">
        <f t="shared" si="6"/>
        <v>0.6</v>
      </c>
      <c r="X45" s="299">
        <f>IFERROR(Q45*R45+Q45*W45*T45+Q45*V45,"-")</f>
        <v>1049392.5</v>
      </c>
      <c r="Y45" s="299">
        <f t="shared" si="19"/>
        <v>1049392.5</v>
      </c>
      <c r="Z45" s="299"/>
      <c r="AA45" s="299"/>
      <c r="AB45" s="299">
        <f>IFERROR(Q45*W45,"-")</f>
        <v>1339650</v>
      </c>
      <c r="AC45" s="299"/>
      <c r="AD45" s="211">
        <f t="shared" si="14"/>
        <v>0.3</v>
      </c>
      <c r="AE45" s="404">
        <f t="shared" si="9"/>
        <v>44351</v>
      </c>
      <c r="AF45" s="300">
        <f>IFERROR(Q45*AD45,"-")</f>
        <v>669825</v>
      </c>
      <c r="AG45" s="211">
        <v>0.3</v>
      </c>
      <c r="AH45" s="404">
        <f t="shared" si="11"/>
        <v>44534</v>
      </c>
      <c r="AI45" s="300">
        <f t="shared" si="18"/>
        <v>669825</v>
      </c>
      <c r="AJ45" s="11"/>
      <c r="AK45" s="11"/>
      <c r="AM45" s="11"/>
      <c r="AY45" s="11"/>
    </row>
    <row r="46" spans="1:51" x14ac:dyDescent="0.45">
      <c r="A46" s="119">
        <v>32</v>
      </c>
      <c r="B46" s="395">
        <v>44170</v>
      </c>
      <c r="C46" s="4" t="s">
        <v>2636</v>
      </c>
      <c r="D46" s="154" t="s">
        <v>2414</v>
      </c>
      <c r="E46" s="154"/>
      <c r="F46" s="154"/>
      <c r="G46" s="382">
        <v>799406975</v>
      </c>
      <c r="H46" s="154" t="s">
        <v>2637</v>
      </c>
      <c r="I46" s="154" t="s">
        <v>2638</v>
      </c>
      <c r="J46" s="294">
        <v>799406975</v>
      </c>
      <c r="K46" s="294" t="s">
        <v>2460</v>
      </c>
      <c r="L46" s="282" t="s">
        <v>2639</v>
      </c>
      <c r="M46" s="282"/>
      <c r="N46" s="283" t="s">
        <v>1375</v>
      </c>
      <c r="O46" s="284" t="s">
        <v>2356</v>
      </c>
      <c r="P46" s="284">
        <v>1</v>
      </c>
      <c r="Q46" s="401">
        <f>IFERROR(VLOOKUP(O46,[5]COA!E:F,2,0),"-")</f>
        <v>3191300</v>
      </c>
      <c r="R46" s="285">
        <v>0.01</v>
      </c>
      <c r="S46" s="285"/>
      <c r="T46" s="285">
        <v>0.1</v>
      </c>
      <c r="U46" s="286"/>
      <c r="V46" s="285">
        <v>0.4</v>
      </c>
      <c r="W46" s="285">
        <f t="shared" si="6"/>
        <v>0.6</v>
      </c>
      <c r="X46" s="299">
        <f t="shared" si="15"/>
        <v>1499911</v>
      </c>
      <c r="Y46" s="299">
        <f t="shared" si="19"/>
        <v>1499911</v>
      </c>
      <c r="Z46" s="299"/>
      <c r="AA46" s="299"/>
      <c r="AB46" s="299">
        <f t="shared" si="16"/>
        <v>1914780</v>
      </c>
      <c r="AC46" s="299"/>
      <c r="AD46" s="211">
        <f t="shared" si="14"/>
        <v>0.3</v>
      </c>
      <c r="AE46" s="404">
        <f t="shared" si="9"/>
        <v>44352</v>
      </c>
      <c r="AF46" s="300">
        <f>IFERROR(Q46*AD46,"-")</f>
        <v>957390</v>
      </c>
      <c r="AG46" s="211">
        <v>0.3</v>
      </c>
      <c r="AH46" s="404">
        <f t="shared" si="11"/>
        <v>44535</v>
      </c>
      <c r="AI46" s="300">
        <f t="shared" si="18"/>
        <v>957390</v>
      </c>
      <c r="AJ46" s="11"/>
      <c r="AK46" s="11"/>
      <c r="AM46" s="11"/>
      <c r="AY46" s="11"/>
    </row>
    <row r="47" spans="1:51" x14ac:dyDescent="0.45">
      <c r="A47" s="119">
        <v>33</v>
      </c>
      <c r="B47" s="395">
        <v>44174</v>
      </c>
      <c r="C47" s="4" t="s">
        <v>2640</v>
      </c>
      <c r="D47" s="154" t="s">
        <v>2641</v>
      </c>
      <c r="E47" s="154"/>
      <c r="F47" s="154"/>
      <c r="G47" s="382">
        <v>252847193</v>
      </c>
      <c r="H47" s="154" t="s">
        <v>2642</v>
      </c>
      <c r="I47" s="154" t="s">
        <v>2643</v>
      </c>
      <c r="J47" s="294"/>
      <c r="K47" s="294" t="s">
        <v>2460</v>
      </c>
      <c r="L47" s="282" t="s">
        <v>2644</v>
      </c>
      <c r="M47" s="282"/>
      <c r="N47" s="283" t="s">
        <v>1375</v>
      </c>
      <c r="O47" s="284" t="s">
        <v>2356</v>
      </c>
      <c r="P47" s="284">
        <v>1</v>
      </c>
      <c r="Q47" s="401">
        <f>IFERROR(VLOOKUP(O47,[5]COA!E:F,2,0),"-")</f>
        <v>3191300</v>
      </c>
      <c r="R47" s="285">
        <v>0.01</v>
      </c>
      <c r="S47" s="390"/>
      <c r="T47" s="285">
        <v>0.1</v>
      </c>
      <c r="U47" s="391"/>
      <c r="V47" s="285">
        <v>0.4</v>
      </c>
      <c r="W47" s="285">
        <f t="shared" si="6"/>
        <v>0.6</v>
      </c>
      <c r="X47" s="299">
        <f t="shared" si="15"/>
        <v>1499911</v>
      </c>
      <c r="Y47" s="299">
        <f t="shared" si="19"/>
        <v>1499911</v>
      </c>
      <c r="Z47" s="299"/>
      <c r="AA47" s="299"/>
      <c r="AB47" s="299">
        <f t="shared" si="16"/>
        <v>1914780</v>
      </c>
      <c r="AC47" s="299"/>
      <c r="AD47" s="211">
        <f t="shared" si="14"/>
        <v>0.3</v>
      </c>
      <c r="AE47" s="404">
        <f t="shared" si="9"/>
        <v>44356</v>
      </c>
      <c r="AF47" s="300">
        <f>IFERROR(Q47*AD47,"-")</f>
        <v>957390</v>
      </c>
      <c r="AG47" s="211">
        <v>0.3</v>
      </c>
      <c r="AH47" s="404">
        <f t="shared" si="11"/>
        <v>44539</v>
      </c>
      <c r="AI47" s="300">
        <f t="shared" si="18"/>
        <v>957390</v>
      </c>
      <c r="AJ47" s="11"/>
      <c r="AK47" s="11"/>
      <c r="AM47" s="11"/>
      <c r="AY47" s="11"/>
    </row>
    <row r="48" spans="1:51" x14ac:dyDescent="0.45">
      <c r="A48" s="119">
        <v>34</v>
      </c>
      <c r="B48" s="395">
        <v>44175</v>
      </c>
      <c r="C48" s="4" t="s">
        <v>2420</v>
      </c>
      <c r="D48" s="154" t="s">
        <v>2358</v>
      </c>
      <c r="E48" s="154"/>
      <c r="F48" s="154"/>
      <c r="G48" s="382">
        <v>420195637</v>
      </c>
      <c r="H48" s="154" t="s">
        <v>2645</v>
      </c>
      <c r="I48" s="154" t="s">
        <v>2646</v>
      </c>
      <c r="J48" s="294"/>
      <c r="K48" s="294" t="s">
        <v>2460</v>
      </c>
      <c r="L48" s="282" t="s">
        <v>2647</v>
      </c>
      <c r="M48" s="282"/>
      <c r="N48" s="283" t="s">
        <v>1375</v>
      </c>
      <c r="O48" s="284" t="s">
        <v>2356</v>
      </c>
      <c r="P48" s="284">
        <v>1</v>
      </c>
      <c r="Q48" s="401">
        <f>IFERROR(VLOOKUP(O48,[5]COA!E:F,2,0),"-")</f>
        <v>3191300</v>
      </c>
      <c r="R48" s="285">
        <v>0.01</v>
      </c>
      <c r="S48" s="285"/>
      <c r="T48" s="285">
        <v>0.1</v>
      </c>
      <c r="U48" s="286"/>
      <c r="V48" s="285">
        <v>0.4</v>
      </c>
      <c r="W48" s="285">
        <f t="shared" si="6"/>
        <v>0.6</v>
      </c>
      <c r="X48" s="157">
        <f t="shared" si="15"/>
        <v>1499911</v>
      </c>
      <c r="Y48" s="299">
        <f t="shared" si="19"/>
        <v>1499911</v>
      </c>
      <c r="Z48" s="299"/>
      <c r="AA48" s="299"/>
      <c r="AB48" s="299">
        <f t="shared" si="16"/>
        <v>1914780</v>
      </c>
      <c r="AC48" s="299"/>
      <c r="AD48" s="211">
        <f t="shared" si="14"/>
        <v>0.3</v>
      </c>
      <c r="AE48" s="404">
        <f t="shared" si="9"/>
        <v>44357</v>
      </c>
      <c r="AF48" s="300">
        <f t="shared" si="17"/>
        <v>957390</v>
      </c>
      <c r="AG48" s="211">
        <v>0.3</v>
      </c>
      <c r="AH48" s="404">
        <f t="shared" si="11"/>
        <v>44540</v>
      </c>
      <c r="AI48" s="300">
        <f t="shared" si="18"/>
        <v>957390</v>
      </c>
      <c r="AJ48" s="11"/>
      <c r="AK48" s="11"/>
      <c r="AM48" s="11"/>
      <c r="AY48" s="11"/>
    </row>
    <row r="49" spans="1:51" x14ac:dyDescent="0.45">
      <c r="A49" s="119">
        <v>35</v>
      </c>
      <c r="B49" s="395">
        <v>44175</v>
      </c>
      <c r="C49" s="4" t="s">
        <v>2648</v>
      </c>
      <c r="D49" s="154" t="s">
        <v>2649</v>
      </c>
      <c r="E49" s="154" t="s">
        <v>2650</v>
      </c>
      <c r="F49" s="154"/>
      <c r="G49" s="382">
        <v>669117638</v>
      </c>
      <c r="H49" s="154" t="s">
        <v>2651</v>
      </c>
      <c r="I49" s="154" t="s">
        <v>2652</v>
      </c>
      <c r="J49" s="305">
        <v>673647161</v>
      </c>
      <c r="K49" s="294" t="s">
        <v>2460</v>
      </c>
      <c r="L49" s="282" t="s">
        <v>2653</v>
      </c>
      <c r="M49" s="282"/>
      <c r="N49" s="283" t="s">
        <v>2654</v>
      </c>
      <c r="O49" s="284" t="s">
        <v>2351</v>
      </c>
      <c r="P49" s="284">
        <v>1</v>
      </c>
      <c r="Q49" s="401">
        <f>IFERROR(VLOOKUP(O49,[5]COA!E:F,2,0),"-")</f>
        <v>2232750</v>
      </c>
      <c r="R49" s="285">
        <v>0.01</v>
      </c>
      <c r="S49" s="285"/>
      <c r="T49" s="285">
        <v>0.1</v>
      </c>
      <c r="U49" s="286"/>
      <c r="V49" s="285">
        <v>0.4</v>
      </c>
      <c r="W49" s="285">
        <f t="shared" si="6"/>
        <v>0.6</v>
      </c>
      <c r="X49" s="157">
        <f t="shared" si="15"/>
        <v>1049392.5</v>
      </c>
      <c r="Y49" s="299">
        <f t="shared" si="19"/>
        <v>1049392.5</v>
      </c>
      <c r="Z49" s="299"/>
      <c r="AA49" s="299"/>
      <c r="AB49" s="299">
        <f t="shared" si="16"/>
        <v>1339650</v>
      </c>
      <c r="AC49" s="299"/>
      <c r="AD49" s="211">
        <f t="shared" si="14"/>
        <v>0.3</v>
      </c>
      <c r="AE49" s="404">
        <f t="shared" si="9"/>
        <v>44357</v>
      </c>
      <c r="AF49" s="300">
        <f t="shared" si="17"/>
        <v>669825</v>
      </c>
      <c r="AG49" s="211">
        <v>0.3</v>
      </c>
      <c r="AH49" s="404">
        <f t="shared" si="11"/>
        <v>44540</v>
      </c>
      <c r="AI49" s="300">
        <f t="shared" si="18"/>
        <v>669825</v>
      </c>
      <c r="AJ49" s="11"/>
      <c r="AK49" s="11"/>
      <c r="AM49" s="11"/>
      <c r="AY49" s="11"/>
    </row>
    <row r="50" spans="1:51" x14ac:dyDescent="0.45">
      <c r="A50" s="119">
        <v>36</v>
      </c>
      <c r="B50" s="395">
        <v>44178</v>
      </c>
      <c r="C50" s="4" t="s">
        <v>2655</v>
      </c>
      <c r="D50" s="154" t="s">
        <v>2656</v>
      </c>
      <c r="E50" s="154" t="s">
        <v>2657</v>
      </c>
      <c r="F50" s="154"/>
      <c r="G50" s="382">
        <v>786284816</v>
      </c>
      <c r="H50" s="154" t="s">
        <v>2625</v>
      </c>
      <c r="I50" s="154" t="s">
        <v>2658</v>
      </c>
      <c r="J50" s="305">
        <v>796828361</v>
      </c>
      <c r="K50" s="294" t="s">
        <v>2460</v>
      </c>
      <c r="L50" s="282" t="s">
        <v>2659</v>
      </c>
      <c r="M50" s="1"/>
      <c r="N50" s="283" t="s">
        <v>1375</v>
      </c>
      <c r="O50" s="284" t="s">
        <v>2356</v>
      </c>
      <c r="P50" s="119">
        <v>1</v>
      </c>
      <c r="Q50" s="302">
        <f>IFERROR(VLOOKUP(O50,[5]COA!E:F,2,0),"-")</f>
        <v>3191300</v>
      </c>
      <c r="R50" s="285">
        <v>0.01</v>
      </c>
      <c r="S50" s="285"/>
      <c r="T50" s="285">
        <v>0.1</v>
      </c>
      <c r="U50" s="286"/>
      <c r="V50" s="285">
        <v>0.4</v>
      </c>
      <c r="W50" s="285">
        <f t="shared" si="6"/>
        <v>0.6</v>
      </c>
      <c r="X50" s="157">
        <f t="shared" si="15"/>
        <v>1499911</v>
      </c>
      <c r="Y50" s="299">
        <f t="shared" si="19"/>
        <v>1499911</v>
      </c>
      <c r="Z50" s="135"/>
      <c r="AA50" s="134"/>
      <c r="AB50" s="135">
        <f t="shared" si="16"/>
        <v>1914780</v>
      </c>
      <c r="AC50" s="119"/>
      <c r="AD50" s="211">
        <f t="shared" si="14"/>
        <v>0.3</v>
      </c>
      <c r="AE50" s="404">
        <f>EDATE(B50,6)</f>
        <v>44360</v>
      </c>
      <c r="AF50" s="300">
        <f t="shared" si="17"/>
        <v>957390</v>
      </c>
      <c r="AG50" s="211">
        <v>0.3</v>
      </c>
      <c r="AH50" s="404">
        <f t="shared" si="11"/>
        <v>44543</v>
      </c>
      <c r="AI50" s="300">
        <f t="shared" si="18"/>
        <v>957390</v>
      </c>
      <c r="AJ50" s="11"/>
      <c r="AK50" s="11"/>
      <c r="AM50" s="11"/>
      <c r="AY50" s="11"/>
    </row>
    <row r="51" spans="1:51" x14ac:dyDescent="0.45">
      <c r="A51" s="119">
        <v>37</v>
      </c>
      <c r="B51" s="395">
        <v>44180</v>
      </c>
      <c r="C51" s="4" t="s">
        <v>2660</v>
      </c>
      <c r="D51" s="154" t="s">
        <v>2661</v>
      </c>
      <c r="E51" s="154" t="s">
        <v>2662</v>
      </c>
      <c r="F51" s="154"/>
      <c r="G51" s="382">
        <v>420306544</v>
      </c>
      <c r="H51" s="154" t="s">
        <v>2663</v>
      </c>
      <c r="I51" s="154" t="s">
        <v>2664</v>
      </c>
      <c r="J51" s="305">
        <v>264587869</v>
      </c>
      <c r="K51" s="294" t="s">
        <v>2460</v>
      </c>
      <c r="L51" s="282" t="s">
        <v>2665</v>
      </c>
      <c r="M51" s="1"/>
      <c r="N51" s="283" t="s">
        <v>1375</v>
      </c>
      <c r="O51" s="284" t="s">
        <v>2356</v>
      </c>
      <c r="P51" s="119">
        <v>1</v>
      </c>
      <c r="Q51" s="302">
        <f>IFERROR(VLOOKUP(O51,[5]COA!E:F,2,0),"-")</f>
        <v>3191300</v>
      </c>
      <c r="R51" s="285">
        <v>0.01</v>
      </c>
      <c r="S51" s="285"/>
      <c r="T51" s="285">
        <v>0.1</v>
      </c>
      <c r="U51" s="286"/>
      <c r="V51" s="285">
        <v>0.4</v>
      </c>
      <c r="W51" s="285">
        <f t="shared" si="6"/>
        <v>0.6</v>
      </c>
      <c r="X51" s="157">
        <f t="shared" si="15"/>
        <v>1499911</v>
      </c>
      <c r="Y51" s="299">
        <f t="shared" si="19"/>
        <v>1499911</v>
      </c>
      <c r="Z51" s="135"/>
      <c r="AA51" s="134"/>
      <c r="AB51" s="157">
        <f t="shared" si="16"/>
        <v>1914780</v>
      </c>
      <c r="AC51" s="119"/>
      <c r="AD51" s="211">
        <f t="shared" si="14"/>
        <v>0.3</v>
      </c>
      <c r="AE51" s="404">
        <f>EDATE(B51,6)</f>
        <v>44362</v>
      </c>
      <c r="AF51" s="300">
        <f t="shared" si="17"/>
        <v>957390</v>
      </c>
      <c r="AG51" s="211">
        <v>0.3</v>
      </c>
      <c r="AH51" s="404">
        <f t="shared" si="11"/>
        <v>44545</v>
      </c>
      <c r="AI51" s="300">
        <f t="shared" si="18"/>
        <v>957390</v>
      </c>
      <c r="AJ51" s="11"/>
      <c r="AK51" s="11"/>
      <c r="AM51" s="11"/>
      <c r="AY51" s="11"/>
    </row>
    <row r="52" spans="1:51" x14ac:dyDescent="0.45">
      <c r="A52" s="119">
        <v>38</v>
      </c>
      <c r="B52" s="395">
        <v>44181</v>
      </c>
      <c r="C52" s="4" t="s">
        <v>2666</v>
      </c>
      <c r="D52" s="154" t="s">
        <v>2667</v>
      </c>
      <c r="E52" s="154" t="s">
        <v>2668</v>
      </c>
      <c r="F52" s="154"/>
      <c r="G52" s="382">
        <v>977180007</v>
      </c>
      <c r="H52" s="154" t="s">
        <v>2669</v>
      </c>
      <c r="I52" s="154" t="s">
        <v>2612</v>
      </c>
      <c r="J52" s="305">
        <v>664655245</v>
      </c>
      <c r="K52" s="294" t="s">
        <v>2460</v>
      </c>
      <c r="L52" s="282" t="s">
        <v>2670</v>
      </c>
      <c r="M52" s="1"/>
      <c r="N52" s="283" t="s">
        <v>1375</v>
      </c>
      <c r="O52" s="284" t="s">
        <v>2356</v>
      </c>
      <c r="P52" s="119">
        <v>1</v>
      </c>
      <c r="Q52" s="302">
        <f>IFERROR(VLOOKUP(O52,[5]COA!E:F,2,0),"-")</f>
        <v>3191300</v>
      </c>
      <c r="R52" s="285">
        <v>0.01</v>
      </c>
      <c r="S52" s="285"/>
      <c r="T52" s="285">
        <v>0.1</v>
      </c>
      <c r="U52" s="286"/>
      <c r="V52" s="285">
        <v>0.4</v>
      </c>
      <c r="W52" s="285">
        <f t="shared" si="6"/>
        <v>0.6</v>
      </c>
      <c r="X52" s="157">
        <f t="shared" si="15"/>
        <v>1499911</v>
      </c>
      <c r="Y52" s="299">
        <f t="shared" si="19"/>
        <v>1499911</v>
      </c>
      <c r="Z52" s="135"/>
      <c r="AA52" s="134"/>
      <c r="AB52" s="157">
        <f t="shared" si="16"/>
        <v>1914780</v>
      </c>
      <c r="AC52" s="119"/>
      <c r="AD52" s="211">
        <f t="shared" si="14"/>
        <v>0.3</v>
      </c>
      <c r="AE52" s="404">
        <f t="shared" ref="AE52:AE59" si="20">EDATE(B52,6)</f>
        <v>44363</v>
      </c>
      <c r="AF52" s="300">
        <f t="shared" si="17"/>
        <v>957390</v>
      </c>
      <c r="AG52" s="211">
        <v>0.3</v>
      </c>
      <c r="AH52" s="404">
        <f t="shared" si="11"/>
        <v>44546</v>
      </c>
      <c r="AI52" s="300">
        <f t="shared" si="18"/>
        <v>957390</v>
      </c>
      <c r="AJ52" s="11"/>
      <c r="AK52" s="11"/>
      <c r="AM52" s="11"/>
      <c r="AY52" s="11"/>
    </row>
    <row r="53" spans="1:51" ht="21.75" x14ac:dyDescent="0.45">
      <c r="A53" s="119">
        <v>40</v>
      </c>
      <c r="B53" s="395">
        <v>44184</v>
      </c>
      <c r="C53" s="4" t="s">
        <v>2671</v>
      </c>
      <c r="D53" s="154" t="s">
        <v>2672</v>
      </c>
      <c r="E53" s="154" t="s">
        <v>2673</v>
      </c>
      <c r="F53" s="154" t="s">
        <v>2674</v>
      </c>
      <c r="G53" s="382">
        <v>799416984</v>
      </c>
      <c r="H53" s="154" t="s">
        <v>2675</v>
      </c>
      <c r="I53" s="154" t="s">
        <v>2676</v>
      </c>
      <c r="J53" s="305">
        <v>796939764</v>
      </c>
      <c r="K53" s="294" t="s">
        <v>2460</v>
      </c>
      <c r="L53" s="392" t="s">
        <v>2677</v>
      </c>
      <c r="M53" s="1"/>
      <c r="N53" s="283" t="s">
        <v>1375</v>
      </c>
      <c r="O53" s="284" t="s">
        <v>2356</v>
      </c>
      <c r="P53" s="119">
        <v>1</v>
      </c>
      <c r="Q53" s="302">
        <f>IFERROR(VLOOKUP(O53,[5]COA!E:F,2,0),"-")</f>
        <v>3191300</v>
      </c>
      <c r="R53" s="285">
        <v>0.01</v>
      </c>
      <c r="S53" s="285"/>
      <c r="T53" s="285">
        <v>0.1</v>
      </c>
      <c r="U53" s="286"/>
      <c r="V53" s="285">
        <v>0.4</v>
      </c>
      <c r="W53" s="285">
        <f t="shared" si="6"/>
        <v>0.6</v>
      </c>
      <c r="X53" s="157">
        <f t="shared" si="15"/>
        <v>1499911</v>
      </c>
      <c r="Y53" s="299">
        <f t="shared" si="19"/>
        <v>1499911</v>
      </c>
      <c r="Z53" s="135"/>
      <c r="AA53" s="134"/>
      <c r="AB53" s="157">
        <f t="shared" si="16"/>
        <v>1914780</v>
      </c>
      <c r="AC53" s="119"/>
      <c r="AD53" s="211">
        <f t="shared" si="14"/>
        <v>0.3</v>
      </c>
      <c r="AE53" s="404">
        <f t="shared" si="20"/>
        <v>44366</v>
      </c>
      <c r="AF53" s="300">
        <f t="shared" si="17"/>
        <v>957390</v>
      </c>
      <c r="AG53" s="211">
        <v>0.3</v>
      </c>
      <c r="AH53" s="404">
        <f t="shared" si="11"/>
        <v>44549</v>
      </c>
      <c r="AI53" s="300">
        <f t="shared" si="18"/>
        <v>957390</v>
      </c>
      <c r="AJ53" s="11"/>
      <c r="AK53" s="11"/>
      <c r="AM53" s="11"/>
      <c r="AY53" s="11"/>
    </row>
    <row r="54" spans="1:51" x14ac:dyDescent="0.45">
      <c r="A54" s="119">
        <v>41</v>
      </c>
      <c r="B54" s="395">
        <v>44185</v>
      </c>
      <c r="C54" s="4" t="s">
        <v>2678</v>
      </c>
      <c r="D54" s="154" t="s">
        <v>2679</v>
      </c>
      <c r="E54" s="154" t="s">
        <v>2680</v>
      </c>
      <c r="F54" s="154" t="s">
        <v>2681</v>
      </c>
      <c r="G54" s="382">
        <v>680125834</v>
      </c>
      <c r="H54" s="154" t="s">
        <v>2682</v>
      </c>
      <c r="I54" s="154" t="s">
        <v>2676</v>
      </c>
      <c r="J54" s="305">
        <v>796939764</v>
      </c>
      <c r="K54" s="294" t="s">
        <v>2460</v>
      </c>
      <c r="L54" s="1" t="s">
        <v>2683</v>
      </c>
      <c r="M54" s="1"/>
      <c r="N54" s="283" t="s">
        <v>1375</v>
      </c>
      <c r="O54" s="284" t="s">
        <v>2356</v>
      </c>
      <c r="P54" s="119">
        <v>1</v>
      </c>
      <c r="Q54" s="302">
        <f>IFERROR(VLOOKUP(O54,[5]COA!E:F,2,0),"-")</f>
        <v>3191300</v>
      </c>
      <c r="R54" s="285">
        <v>0.01</v>
      </c>
      <c r="S54" s="285"/>
      <c r="T54" s="285">
        <v>0.1</v>
      </c>
      <c r="U54" s="286"/>
      <c r="V54" s="285">
        <v>0.4</v>
      </c>
      <c r="W54" s="285">
        <f t="shared" si="6"/>
        <v>0.6</v>
      </c>
      <c r="X54" s="157">
        <f t="shared" si="15"/>
        <v>1499911</v>
      </c>
      <c r="Y54" s="299">
        <f t="shared" si="19"/>
        <v>1499911</v>
      </c>
      <c r="Z54" s="135"/>
      <c r="AA54" s="134"/>
      <c r="AB54" s="157">
        <f t="shared" si="16"/>
        <v>1914780</v>
      </c>
      <c r="AC54" s="119"/>
      <c r="AD54" s="211">
        <f t="shared" si="14"/>
        <v>0.3</v>
      </c>
      <c r="AE54" s="404">
        <f t="shared" si="20"/>
        <v>44367</v>
      </c>
      <c r="AF54" s="300">
        <f t="shared" si="17"/>
        <v>957390</v>
      </c>
      <c r="AG54" s="211">
        <v>0.3</v>
      </c>
      <c r="AH54" s="404">
        <f t="shared" si="11"/>
        <v>44550</v>
      </c>
      <c r="AI54" s="300">
        <f t="shared" si="18"/>
        <v>957390</v>
      </c>
      <c r="AJ54" s="11"/>
      <c r="AK54" s="11"/>
      <c r="AM54" s="11"/>
      <c r="AY54" s="11"/>
    </row>
    <row r="55" spans="1:51" ht="21.75" x14ac:dyDescent="0.45">
      <c r="A55" s="119">
        <v>43</v>
      </c>
      <c r="B55" s="395">
        <v>44188</v>
      </c>
      <c r="C55" s="4" t="s">
        <v>2684</v>
      </c>
      <c r="D55" s="154" t="s">
        <v>2685</v>
      </c>
      <c r="E55" s="154" t="s">
        <v>2686</v>
      </c>
      <c r="F55" s="154" t="s">
        <v>2687</v>
      </c>
      <c r="G55" s="382">
        <v>780119896</v>
      </c>
      <c r="H55" s="154" t="s">
        <v>2688</v>
      </c>
      <c r="I55" s="154" t="s">
        <v>2689</v>
      </c>
      <c r="J55" s="305">
        <v>650679068</v>
      </c>
      <c r="K55" s="294" t="s">
        <v>2460</v>
      </c>
      <c r="L55" s="392" t="s">
        <v>2690</v>
      </c>
      <c r="M55" s="1"/>
      <c r="N55" s="283" t="s">
        <v>1375</v>
      </c>
      <c r="O55" s="284" t="s">
        <v>2356</v>
      </c>
      <c r="P55" s="119">
        <v>1</v>
      </c>
      <c r="Q55" s="302">
        <f>IFERROR(VLOOKUP(O55,[5]COA!E:F,2,0),"-")</f>
        <v>3191300</v>
      </c>
      <c r="R55" s="285">
        <v>0.01</v>
      </c>
      <c r="S55" s="285"/>
      <c r="T55" s="285">
        <v>0.1</v>
      </c>
      <c r="U55" s="286"/>
      <c r="V55" s="285">
        <v>0.4</v>
      </c>
      <c r="W55" s="285">
        <f t="shared" si="6"/>
        <v>0.6</v>
      </c>
      <c r="X55" s="157">
        <f t="shared" si="15"/>
        <v>1499911</v>
      </c>
      <c r="Y55" s="299">
        <f t="shared" si="19"/>
        <v>1499911</v>
      </c>
      <c r="Z55" s="135"/>
      <c r="AA55" s="134"/>
      <c r="AB55" s="157">
        <f t="shared" si="16"/>
        <v>1914780</v>
      </c>
      <c r="AC55" s="119"/>
      <c r="AD55" s="211">
        <f t="shared" si="14"/>
        <v>0.3</v>
      </c>
      <c r="AE55" s="404">
        <f t="shared" si="20"/>
        <v>44370</v>
      </c>
      <c r="AF55" s="300">
        <f t="shared" si="17"/>
        <v>957390</v>
      </c>
      <c r="AG55" s="211">
        <v>0.3</v>
      </c>
      <c r="AH55" s="404">
        <f t="shared" si="11"/>
        <v>44553</v>
      </c>
      <c r="AI55" s="300">
        <f t="shared" si="18"/>
        <v>957390</v>
      </c>
      <c r="AJ55" s="11"/>
      <c r="AK55" s="11"/>
      <c r="AM55" s="11"/>
      <c r="AY55" s="11"/>
    </row>
    <row r="56" spans="1:51" x14ac:dyDescent="0.45">
      <c r="A56" s="119">
        <v>45</v>
      </c>
      <c r="B56" s="395">
        <v>44192</v>
      </c>
      <c r="C56" s="4" t="s">
        <v>2691</v>
      </c>
      <c r="D56" s="154" t="s">
        <v>2692</v>
      </c>
      <c r="E56" s="154" t="s">
        <v>2693</v>
      </c>
      <c r="F56" s="154" t="s">
        <v>2694</v>
      </c>
      <c r="G56" s="382">
        <v>794361068</v>
      </c>
      <c r="H56" s="154" t="s">
        <v>2695</v>
      </c>
      <c r="I56" s="154" t="s">
        <v>2696</v>
      </c>
      <c r="J56" s="305">
        <v>775115282</v>
      </c>
      <c r="K56" s="294" t="s">
        <v>2460</v>
      </c>
      <c r="L56" s="1" t="s">
        <v>2697</v>
      </c>
      <c r="M56" s="1"/>
      <c r="N56" s="283" t="s">
        <v>1375</v>
      </c>
      <c r="O56" s="284" t="s">
        <v>2356</v>
      </c>
      <c r="P56" s="119">
        <v>1</v>
      </c>
      <c r="Q56" s="302">
        <f>IFERROR(VLOOKUP(O56,[5]COA!E:F,2,0),"-")</f>
        <v>3191300</v>
      </c>
      <c r="R56" s="285">
        <v>0.01</v>
      </c>
      <c r="S56" s="285"/>
      <c r="T56" s="285">
        <v>0.1</v>
      </c>
      <c r="U56" s="286"/>
      <c r="V56" s="285">
        <v>0.4</v>
      </c>
      <c r="W56" s="285">
        <f t="shared" si="6"/>
        <v>0.6</v>
      </c>
      <c r="X56" s="157">
        <f t="shared" si="15"/>
        <v>1499911</v>
      </c>
      <c r="Y56" s="299">
        <f t="shared" si="19"/>
        <v>1499911</v>
      </c>
      <c r="Z56" s="135"/>
      <c r="AA56" s="384"/>
      <c r="AB56" s="157">
        <f t="shared" si="16"/>
        <v>1914780</v>
      </c>
      <c r="AC56" s="119"/>
      <c r="AD56" s="211">
        <f t="shared" si="14"/>
        <v>0.3</v>
      </c>
      <c r="AE56" s="404">
        <f t="shared" si="20"/>
        <v>44374</v>
      </c>
      <c r="AF56" s="300">
        <f t="shared" si="17"/>
        <v>957390</v>
      </c>
      <c r="AG56" s="211">
        <v>0.3</v>
      </c>
      <c r="AH56" s="404">
        <f t="shared" si="11"/>
        <v>44557</v>
      </c>
      <c r="AI56" s="300">
        <f>IFERROR(Q56*AG56,"-")</f>
        <v>957390</v>
      </c>
      <c r="AJ56" s="11"/>
      <c r="AK56" s="11"/>
      <c r="AM56" s="11"/>
      <c r="AY56" s="11"/>
    </row>
    <row r="57" spans="1:51" ht="21.75" x14ac:dyDescent="0.45">
      <c r="A57" s="119">
        <v>47</v>
      </c>
      <c r="B57" s="395">
        <v>44192</v>
      </c>
      <c r="C57" s="4" t="s">
        <v>2698</v>
      </c>
      <c r="D57" s="154" t="s">
        <v>2699</v>
      </c>
      <c r="E57" s="154" t="s">
        <v>2700</v>
      </c>
      <c r="F57" s="154" t="s">
        <v>2701</v>
      </c>
      <c r="G57" s="382">
        <v>764922939</v>
      </c>
      <c r="H57" s="154" t="s">
        <v>2702</v>
      </c>
      <c r="I57" s="154" t="s">
        <v>2676</v>
      </c>
      <c r="J57" s="305">
        <v>796939764</v>
      </c>
      <c r="K57" s="294" t="s">
        <v>2460</v>
      </c>
      <c r="L57" s="392" t="s">
        <v>2703</v>
      </c>
      <c r="M57" s="1"/>
      <c r="N57" s="283" t="s">
        <v>1375</v>
      </c>
      <c r="O57" s="284" t="s">
        <v>2356</v>
      </c>
      <c r="P57" s="119">
        <v>1</v>
      </c>
      <c r="Q57" s="302">
        <f>IFERROR(VLOOKUP(O57,[5]COA!E:F,2,0),"-")</f>
        <v>3191300</v>
      </c>
      <c r="R57" s="285">
        <v>0.01</v>
      </c>
      <c r="S57" s="285"/>
      <c r="T57" s="285">
        <v>0.1</v>
      </c>
      <c r="U57" s="286"/>
      <c r="V57" s="285">
        <v>0.4</v>
      </c>
      <c r="W57" s="285">
        <f t="shared" si="6"/>
        <v>0.6</v>
      </c>
      <c r="X57" s="157">
        <f t="shared" si="15"/>
        <v>1499911</v>
      </c>
      <c r="Y57" s="299">
        <f t="shared" si="19"/>
        <v>1499911</v>
      </c>
      <c r="Z57" s="135"/>
      <c r="AA57" s="384"/>
      <c r="AB57" s="157">
        <f t="shared" si="16"/>
        <v>1914780</v>
      </c>
      <c r="AC57" s="119"/>
      <c r="AD57" s="211">
        <f>W55/2</f>
        <v>0.3</v>
      </c>
      <c r="AE57" s="404">
        <f t="shared" si="20"/>
        <v>44374</v>
      </c>
      <c r="AF57" s="300">
        <f t="shared" si="17"/>
        <v>957390</v>
      </c>
      <c r="AG57" s="211">
        <v>0.3</v>
      </c>
      <c r="AH57" s="404">
        <f t="shared" si="11"/>
        <v>44557</v>
      </c>
      <c r="AI57" s="300">
        <f t="shared" si="18"/>
        <v>957390</v>
      </c>
      <c r="AJ57" s="11"/>
      <c r="AK57" s="11"/>
      <c r="AM57" s="11"/>
      <c r="AY57" s="11"/>
    </row>
    <row r="58" spans="1:51" x14ac:dyDescent="0.45">
      <c r="A58" s="119">
        <v>49</v>
      </c>
      <c r="B58" s="395">
        <v>44194</v>
      </c>
      <c r="C58" s="4" t="s">
        <v>2704</v>
      </c>
      <c r="D58" s="154" t="s">
        <v>2705</v>
      </c>
      <c r="E58" s="154" t="s">
        <v>2706</v>
      </c>
      <c r="F58" s="154" t="s">
        <v>2707</v>
      </c>
      <c r="G58" s="382">
        <v>766995487</v>
      </c>
      <c r="H58" s="154" t="s">
        <v>2708</v>
      </c>
      <c r="I58" s="154" t="s">
        <v>2709</v>
      </c>
      <c r="J58" s="305">
        <v>778978045</v>
      </c>
      <c r="K58" s="294" t="s">
        <v>2460</v>
      </c>
      <c r="L58" s="1" t="s">
        <v>2710</v>
      </c>
      <c r="M58" s="1"/>
      <c r="N58" s="283" t="s">
        <v>1375</v>
      </c>
      <c r="O58" s="284" t="s">
        <v>2356</v>
      </c>
      <c r="P58" s="119">
        <v>1</v>
      </c>
      <c r="Q58" s="302">
        <f>IFERROR(VLOOKUP(O58,[5]COA!E:F,2,0),"-")</f>
        <v>3191300</v>
      </c>
      <c r="R58" s="285">
        <v>0.01</v>
      </c>
      <c r="S58" s="285"/>
      <c r="T58" s="285">
        <v>0.1</v>
      </c>
      <c r="U58" s="286"/>
      <c r="V58" s="285">
        <v>0.4</v>
      </c>
      <c r="W58" s="285">
        <f t="shared" si="6"/>
        <v>0.6</v>
      </c>
      <c r="X58" s="157">
        <f t="shared" si="15"/>
        <v>1499911</v>
      </c>
      <c r="Y58" s="299">
        <f>X58</f>
        <v>1499911</v>
      </c>
      <c r="Z58" s="135"/>
      <c r="AA58" s="384"/>
      <c r="AB58" s="157">
        <f t="shared" si="16"/>
        <v>1914780</v>
      </c>
      <c r="AC58" s="119"/>
      <c r="AD58" s="211">
        <f>W56/2</f>
        <v>0.3</v>
      </c>
      <c r="AE58" s="404">
        <f t="shared" si="20"/>
        <v>44376</v>
      </c>
      <c r="AF58" s="300">
        <f t="shared" si="17"/>
        <v>957390</v>
      </c>
      <c r="AG58" s="211">
        <v>0.3</v>
      </c>
      <c r="AH58" s="404">
        <f t="shared" si="11"/>
        <v>44559</v>
      </c>
      <c r="AI58" s="300">
        <f t="shared" si="18"/>
        <v>957390</v>
      </c>
      <c r="AJ58" s="11"/>
      <c r="AK58" s="11"/>
      <c r="AM58" s="11"/>
      <c r="AY58" s="11"/>
    </row>
    <row r="59" spans="1:51" x14ac:dyDescent="0.45">
      <c r="A59" s="119">
        <v>51</v>
      </c>
      <c r="B59" s="395">
        <v>44195</v>
      </c>
      <c r="C59" s="4" t="s">
        <v>2711</v>
      </c>
      <c r="D59" s="154" t="s">
        <v>2712</v>
      </c>
      <c r="E59" s="154" t="s">
        <v>2713</v>
      </c>
      <c r="F59" s="154" t="s">
        <v>2714</v>
      </c>
      <c r="G59" s="382">
        <v>778578996</v>
      </c>
      <c r="H59" s="154" t="s">
        <v>2715</v>
      </c>
      <c r="I59" s="154" t="s">
        <v>2716</v>
      </c>
      <c r="J59" s="305">
        <v>778578996</v>
      </c>
      <c r="K59" s="294" t="s">
        <v>2460</v>
      </c>
      <c r="L59" s="1" t="s">
        <v>2717</v>
      </c>
      <c r="M59" s="1"/>
      <c r="N59" s="283" t="s">
        <v>1375</v>
      </c>
      <c r="O59" s="284" t="s">
        <v>2356</v>
      </c>
      <c r="P59" s="119">
        <v>1</v>
      </c>
      <c r="Q59" s="302">
        <f>IFERROR(VLOOKUP(O59,[5]COA!E:F,2,0),"-")</f>
        <v>3191300</v>
      </c>
      <c r="R59" s="285">
        <v>0.01</v>
      </c>
      <c r="S59" s="285"/>
      <c r="T59" s="285">
        <v>0.1</v>
      </c>
      <c r="U59" s="286"/>
      <c r="V59" s="285">
        <v>0.4</v>
      </c>
      <c r="W59" s="285">
        <f t="shared" si="6"/>
        <v>0.6</v>
      </c>
      <c r="X59" s="157">
        <f t="shared" si="15"/>
        <v>1499911</v>
      </c>
      <c r="Y59" s="299">
        <f t="shared" si="19"/>
        <v>1499911</v>
      </c>
      <c r="Z59" s="135"/>
      <c r="AA59" s="384"/>
      <c r="AB59" s="157">
        <f t="shared" si="16"/>
        <v>1914780</v>
      </c>
      <c r="AC59" s="119"/>
      <c r="AD59" s="211">
        <f>W57/2</f>
        <v>0.3</v>
      </c>
      <c r="AE59" s="404">
        <f t="shared" si="20"/>
        <v>44377</v>
      </c>
      <c r="AF59" s="300">
        <f t="shared" si="17"/>
        <v>957390</v>
      </c>
      <c r="AG59" s="211">
        <v>0.3</v>
      </c>
      <c r="AH59" s="404">
        <f t="shared" si="11"/>
        <v>44560</v>
      </c>
      <c r="AI59" s="300">
        <f t="shared" si="18"/>
        <v>957390</v>
      </c>
      <c r="AJ59" s="11"/>
      <c r="AK59" s="11"/>
      <c r="AM59" s="11"/>
      <c r="AY59" s="11"/>
    </row>
  </sheetData>
  <pageMargins left="0.7" right="0.7" top="0.75" bottom="0.75" header="0.3" footer="0.3"/>
  <pageSetup paperSize="9" orientation="portrait" verticalDpi="0"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002060"/>
  </sheetPr>
  <dimension ref="A1:AF31"/>
  <sheetViews>
    <sheetView workbookViewId="0">
      <selection activeCell="F10" sqref="F10"/>
    </sheetView>
  </sheetViews>
  <sheetFormatPr defaultColWidth="8.7109375" defaultRowHeight="18" x14ac:dyDescent="0.45"/>
  <cols>
    <col min="1" max="1" width="8.28515625" style="11" bestFit="1" customWidth="1"/>
    <col min="2" max="2" width="13.42578125" style="266" bestFit="1" customWidth="1"/>
    <col min="3" max="3" width="21.7109375" style="120" customWidth="1"/>
    <col min="4" max="4" width="28.42578125" style="120" bestFit="1" customWidth="1"/>
    <col min="5" max="5" width="16.42578125" style="317" customWidth="1"/>
    <col min="6" max="6" width="16.42578125" style="120" customWidth="1"/>
    <col min="7" max="7" width="18.7109375" style="120" customWidth="1"/>
    <col min="8" max="8" width="20.7109375" style="317" customWidth="1"/>
    <col min="9" max="9" width="66.42578125" style="11" bestFit="1" customWidth="1"/>
    <col min="10" max="10" width="18.42578125" style="11" bestFit="1" customWidth="1"/>
    <col min="11" max="11" width="8.7109375" style="11" customWidth="1"/>
    <col min="12" max="12" width="15.28515625" style="11" customWidth="1"/>
    <col min="13" max="13" width="6.42578125" style="11" customWidth="1"/>
    <col min="14" max="14" width="15.5703125" style="318" customWidth="1"/>
    <col min="15" max="15" width="12.7109375" style="11" customWidth="1"/>
    <col min="16" max="16" width="13.28515625" style="11" customWidth="1"/>
    <col min="17" max="17" width="10.7109375" style="11" customWidth="1"/>
    <col min="18" max="18" width="18.42578125" style="11" customWidth="1"/>
    <col min="19" max="19" width="9.5703125" style="11" customWidth="1"/>
    <col min="20" max="20" width="9.42578125" style="11" customWidth="1"/>
    <col min="21" max="21" width="17.28515625" style="11" bestFit="1" customWidth="1"/>
    <col min="22" max="22" width="22.5703125" style="11" customWidth="1"/>
    <col min="23" max="23" width="24.28515625" style="11" customWidth="1"/>
    <col min="24" max="24" width="28.42578125" style="11" customWidth="1"/>
    <col min="25" max="25" width="16.42578125" style="11" customWidth="1"/>
    <col min="26" max="26" width="18.42578125" style="11" customWidth="1"/>
    <col min="27" max="27" width="13.5703125" style="11" customWidth="1"/>
    <col min="28" max="28" width="16.42578125" style="319" customWidth="1"/>
    <col min="29" max="29" width="19.42578125" style="11" customWidth="1"/>
    <col min="30" max="30" width="13.5703125" style="11" customWidth="1"/>
    <col min="31" max="31" width="19.42578125" style="319" customWidth="1"/>
    <col min="32" max="32" width="22.28515625" style="11" customWidth="1"/>
    <col min="33" max="16384" width="8.7109375" style="11"/>
  </cols>
  <sheetData>
    <row r="1" spans="1:32" ht="24" customHeight="1" x14ac:dyDescent="0.45">
      <c r="A1" s="1327" t="s">
        <v>2378</v>
      </c>
      <c r="B1" s="1327"/>
      <c r="C1" s="171"/>
      <c r="D1" s="263"/>
      <c r="E1" s="263"/>
      <c r="F1" s="263"/>
      <c r="G1" s="263"/>
      <c r="H1" s="263"/>
      <c r="I1" s="263"/>
      <c r="J1" s="263"/>
      <c r="K1" s="263"/>
      <c r="L1" s="263"/>
      <c r="M1" s="263"/>
      <c r="N1" s="264"/>
      <c r="O1" s="263"/>
      <c r="P1" s="263"/>
      <c r="Q1" s="263"/>
      <c r="R1" s="263"/>
      <c r="S1" s="263"/>
      <c r="T1" s="263"/>
      <c r="U1" s="263"/>
      <c r="V1" s="263"/>
      <c r="W1" s="263"/>
      <c r="X1" s="263"/>
      <c r="Y1" s="263"/>
      <c r="Z1" s="263"/>
      <c r="AA1" s="263"/>
      <c r="AB1" s="265"/>
      <c r="AC1" s="263"/>
      <c r="AD1" s="263"/>
      <c r="AE1" s="265"/>
      <c r="AF1" s="263"/>
    </row>
    <row r="2" spans="1:32" ht="19.5" customHeight="1" x14ac:dyDescent="0.45">
      <c r="C2" s="267"/>
      <c r="D2" s="267"/>
      <c r="E2" s="268"/>
      <c r="F2" s="267"/>
      <c r="G2" s="267"/>
      <c r="H2" s="268"/>
      <c r="I2" s="269"/>
      <c r="J2" s="269"/>
      <c r="K2" s="269"/>
      <c r="L2" s="269"/>
      <c r="M2" s="267">
        <f>SUM(M4:M27)</f>
        <v>2</v>
      </c>
      <c r="N2" s="270"/>
      <c r="O2" s="269"/>
      <c r="P2" s="269"/>
      <c r="Q2" s="269"/>
      <c r="R2" s="269"/>
      <c r="S2" s="269"/>
      <c r="T2" s="269"/>
      <c r="U2" s="269"/>
      <c r="V2" s="269"/>
      <c r="W2" s="269"/>
      <c r="X2" s="269"/>
      <c r="Y2" s="269"/>
      <c r="Z2" s="269"/>
      <c r="AA2" s="269"/>
      <c r="AB2" s="271"/>
      <c r="AC2" s="269"/>
      <c r="AD2" s="269"/>
      <c r="AE2" s="271"/>
      <c r="AF2" s="269"/>
    </row>
    <row r="3" spans="1:32" s="272" customFormat="1" ht="38.25" customHeight="1" x14ac:dyDescent="0.45">
      <c r="A3" s="273" t="s">
        <v>2</v>
      </c>
      <c r="B3" s="274" t="s">
        <v>2344</v>
      </c>
      <c r="C3" s="273" t="s">
        <v>2135</v>
      </c>
      <c r="D3" s="273" t="s">
        <v>2137</v>
      </c>
      <c r="E3" s="275" t="s">
        <v>2138</v>
      </c>
      <c r="F3" s="273" t="s">
        <v>2136</v>
      </c>
      <c r="G3" s="273" t="s">
        <v>2139</v>
      </c>
      <c r="H3" s="275" t="s">
        <v>2345</v>
      </c>
      <c r="I3" s="273" t="s">
        <v>932</v>
      </c>
      <c r="J3" s="273" t="s">
        <v>929</v>
      </c>
      <c r="K3" s="276" t="s">
        <v>930</v>
      </c>
      <c r="L3" s="276" t="s">
        <v>2346</v>
      </c>
      <c r="M3" s="276" t="s">
        <v>917</v>
      </c>
      <c r="N3" s="277" t="s">
        <v>59</v>
      </c>
      <c r="O3" s="276" t="s">
        <v>60</v>
      </c>
      <c r="P3" s="276" t="s">
        <v>61</v>
      </c>
      <c r="Q3" s="276" t="s">
        <v>2134</v>
      </c>
      <c r="R3" s="276" t="s">
        <v>90</v>
      </c>
      <c r="S3" s="276" t="s">
        <v>62</v>
      </c>
      <c r="T3" s="276" t="s">
        <v>63</v>
      </c>
      <c r="U3" s="276" t="s">
        <v>64</v>
      </c>
      <c r="V3" s="276" t="s">
        <v>934</v>
      </c>
      <c r="W3" s="276" t="s">
        <v>965</v>
      </c>
      <c r="X3" s="276" t="s">
        <v>920</v>
      </c>
      <c r="Y3" s="276" t="s">
        <v>65</v>
      </c>
      <c r="Z3" s="276" t="s">
        <v>66</v>
      </c>
      <c r="AA3" s="276" t="s">
        <v>67</v>
      </c>
      <c r="AB3" s="274" t="s">
        <v>68</v>
      </c>
      <c r="AC3" s="276" t="s">
        <v>69</v>
      </c>
      <c r="AD3" s="276" t="s">
        <v>70</v>
      </c>
      <c r="AE3" s="274" t="s">
        <v>71</v>
      </c>
      <c r="AF3" s="276" t="s">
        <v>72</v>
      </c>
    </row>
    <row r="4" spans="1:32" x14ac:dyDescent="0.45">
      <c r="A4" s="119">
        <v>1</v>
      </c>
      <c r="B4" s="278">
        <v>43988</v>
      </c>
      <c r="C4" s="17" t="s">
        <v>2151</v>
      </c>
      <c r="D4" s="279" t="s">
        <v>1386</v>
      </c>
      <c r="E4" s="280">
        <v>785024670</v>
      </c>
      <c r="F4" s="281"/>
      <c r="G4" s="281"/>
      <c r="H4" s="280"/>
      <c r="I4" s="282" t="s">
        <v>2379</v>
      </c>
      <c r="J4" s="283"/>
      <c r="K4" s="284"/>
      <c r="L4" s="284" t="s">
        <v>2357</v>
      </c>
      <c r="M4" s="284">
        <v>1</v>
      </c>
      <c r="N4" s="284">
        <f>IFERROR(VLOOKUP(L4,[2]COA!E:F,2,0),"-")</f>
        <v>3210000</v>
      </c>
      <c r="O4" s="285">
        <v>0.01</v>
      </c>
      <c r="P4" s="285">
        <v>0.11</v>
      </c>
      <c r="Q4" s="285">
        <v>0.1</v>
      </c>
      <c r="R4" s="286"/>
      <c r="S4" s="285">
        <v>0.3</v>
      </c>
      <c r="T4" s="285">
        <f>100%-S4</f>
        <v>0.7</v>
      </c>
      <c r="U4" s="287">
        <f>(N4*S4)+(N4*T4*P4)+(N4*O4)+R4</f>
        <v>1242270</v>
      </c>
      <c r="V4" s="287">
        <f>U4</f>
        <v>1242270</v>
      </c>
      <c r="W4" s="287"/>
      <c r="X4" s="288"/>
      <c r="Y4" s="287">
        <f>N4*T4</f>
        <v>2247000</v>
      </c>
      <c r="Z4" s="289"/>
      <c r="AA4" s="211">
        <f>T4/2</f>
        <v>0.35</v>
      </c>
      <c r="AB4" s="290">
        <f>EDATE(B4,6)</f>
        <v>44171</v>
      </c>
      <c r="AC4" s="212">
        <f>N4*AA4</f>
        <v>1123500</v>
      </c>
      <c r="AD4" s="211">
        <f>T4/2</f>
        <v>0.35</v>
      </c>
      <c r="AE4" s="290">
        <f>EDATE(B4,12)</f>
        <v>44353</v>
      </c>
      <c r="AF4" s="212">
        <f>N4*AD4</f>
        <v>1123500</v>
      </c>
    </row>
    <row r="5" spans="1:32" x14ac:dyDescent="0.45">
      <c r="A5" s="119">
        <v>2</v>
      </c>
      <c r="B5" s="291">
        <v>44138</v>
      </c>
      <c r="C5" s="281" t="s">
        <v>2384</v>
      </c>
      <c r="D5" s="281" t="s">
        <v>2286</v>
      </c>
      <c r="E5" s="280">
        <v>784466118</v>
      </c>
      <c r="F5" s="281" t="s">
        <v>2385</v>
      </c>
      <c r="G5" s="281" t="s">
        <v>2386</v>
      </c>
      <c r="H5" s="280">
        <v>796368757</v>
      </c>
      <c r="I5" s="282" t="s">
        <v>2387</v>
      </c>
      <c r="J5" s="283"/>
      <c r="K5" s="284"/>
      <c r="L5" s="284" t="s">
        <v>2356</v>
      </c>
      <c r="M5" s="284">
        <v>1</v>
      </c>
      <c r="N5" s="284">
        <f>IFERROR(VLOOKUP(L5,[2]COA!E:F,2,0),"-")</f>
        <v>3290000</v>
      </c>
      <c r="O5" s="285">
        <v>0.01</v>
      </c>
      <c r="P5" s="285">
        <v>0.11</v>
      </c>
      <c r="Q5" s="285">
        <v>0.1</v>
      </c>
      <c r="R5" s="286"/>
      <c r="S5" s="285">
        <v>0.3</v>
      </c>
      <c r="T5" s="285">
        <f t="shared" ref="T5:T23" si="0">100%-S5</f>
        <v>0.7</v>
      </c>
      <c r="U5" s="287">
        <f>(N5*S5)+(N5*T5*P5)+(N5*O5)+R5</f>
        <v>1273230</v>
      </c>
      <c r="V5" s="287">
        <f t="shared" ref="V5:V28" si="1">U5</f>
        <v>1273230</v>
      </c>
      <c r="W5" s="287"/>
      <c r="X5" s="292"/>
      <c r="Y5" s="287">
        <f>N5*T5</f>
        <v>2303000</v>
      </c>
      <c r="Z5" s="289"/>
      <c r="AA5" s="211">
        <f>T5/2</f>
        <v>0.35</v>
      </c>
      <c r="AB5" s="290">
        <f>EDATE(B5,6)</f>
        <v>44319</v>
      </c>
      <c r="AC5" s="212">
        <f>N5*AA5</f>
        <v>1151500</v>
      </c>
      <c r="AD5" s="211">
        <f>T5/2</f>
        <v>0.35</v>
      </c>
      <c r="AE5" s="290">
        <f>EDATE(B5,12)</f>
        <v>44503</v>
      </c>
      <c r="AF5" s="212">
        <f>N5*AD5</f>
        <v>1151500</v>
      </c>
    </row>
    <row r="6" spans="1:32" x14ac:dyDescent="0.45">
      <c r="A6" s="119">
        <v>3</v>
      </c>
      <c r="B6" s="291"/>
      <c r="C6" s="293"/>
      <c r="D6" s="293"/>
      <c r="E6" s="294"/>
      <c r="F6" s="293"/>
      <c r="G6" s="293"/>
      <c r="H6" s="294"/>
      <c r="I6" s="282"/>
      <c r="J6" s="283"/>
      <c r="K6" s="284"/>
      <c r="L6" s="284"/>
      <c r="M6" s="284"/>
      <c r="N6" s="284" t="str">
        <f>IFERROR(VLOOKUP(L6,[2]COA!E:F,2,0),"-")</f>
        <v>-</v>
      </c>
      <c r="O6" s="285">
        <v>0.01</v>
      </c>
      <c r="P6" s="285">
        <v>0.11</v>
      </c>
      <c r="Q6" s="285">
        <v>0.1</v>
      </c>
      <c r="R6" s="286"/>
      <c r="S6" s="285">
        <v>0.3</v>
      </c>
      <c r="T6" s="285">
        <f t="shared" si="0"/>
        <v>0.7</v>
      </c>
      <c r="U6" s="287"/>
      <c r="V6" s="287"/>
      <c r="W6" s="287"/>
      <c r="X6" s="295"/>
      <c r="Y6" s="287"/>
      <c r="Z6" s="289"/>
      <c r="AA6" s="211"/>
      <c r="AB6" s="290"/>
      <c r="AC6" s="212"/>
      <c r="AD6" s="211"/>
      <c r="AE6" s="290"/>
      <c r="AF6" s="212"/>
    </row>
    <row r="7" spans="1:32" x14ac:dyDescent="0.45">
      <c r="A7" s="119">
        <v>4</v>
      </c>
      <c r="B7" s="291"/>
      <c r="C7" s="293"/>
      <c r="D7" s="293"/>
      <c r="E7" s="294"/>
      <c r="F7" s="293"/>
      <c r="G7" s="293"/>
      <c r="H7" s="294"/>
      <c r="I7" s="282"/>
      <c r="J7" s="283"/>
      <c r="K7" s="284"/>
      <c r="L7" s="284"/>
      <c r="M7" s="284"/>
      <c r="N7" s="284" t="str">
        <f>IFERROR(VLOOKUP(L7,[2]COA!E:F,2,0),"-")</f>
        <v>-</v>
      </c>
      <c r="O7" s="285">
        <v>0.01</v>
      </c>
      <c r="P7" s="285">
        <v>0.11</v>
      </c>
      <c r="Q7" s="285">
        <v>0.1</v>
      </c>
      <c r="R7" s="286"/>
      <c r="S7" s="285">
        <v>0.3</v>
      </c>
      <c r="T7" s="285">
        <f t="shared" si="0"/>
        <v>0.7</v>
      </c>
      <c r="U7" s="287"/>
      <c r="V7" s="287"/>
      <c r="W7" s="287"/>
      <c r="X7" s="288"/>
      <c r="Y7" s="287"/>
      <c r="Z7" s="289"/>
      <c r="AA7" s="211"/>
      <c r="AB7" s="290"/>
      <c r="AC7" s="212"/>
      <c r="AD7" s="211"/>
      <c r="AE7" s="290"/>
      <c r="AF7" s="212"/>
    </row>
    <row r="8" spans="1:32" x14ac:dyDescent="0.45">
      <c r="A8" s="119">
        <v>5</v>
      </c>
      <c r="B8" s="291"/>
      <c r="C8" s="293"/>
      <c r="D8" s="293"/>
      <c r="E8" s="294"/>
      <c r="F8" s="293"/>
      <c r="G8" s="293"/>
      <c r="H8" s="294"/>
      <c r="I8" s="282"/>
      <c r="J8" s="283"/>
      <c r="K8" s="284"/>
      <c r="L8" s="284"/>
      <c r="M8" s="284"/>
      <c r="N8" s="284" t="str">
        <f>IFERROR(VLOOKUP(L8,[2]COA!E:F,2,0),"-")</f>
        <v>-</v>
      </c>
      <c r="O8" s="285">
        <v>0.01</v>
      </c>
      <c r="P8" s="285"/>
      <c r="Q8" s="285">
        <v>0.1</v>
      </c>
      <c r="R8" s="286"/>
      <c r="S8" s="285">
        <v>0.3</v>
      </c>
      <c r="T8" s="285">
        <f t="shared" si="0"/>
        <v>0.7</v>
      </c>
      <c r="U8" s="287"/>
      <c r="V8" s="287"/>
      <c r="W8" s="287"/>
      <c r="X8" s="288"/>
      <c r="Y8" s="287"/>
      <c r="Z8" s="289"/>
      <c r="AA8" s="211"/>
      <c r="AB8" s="290"/>
      <c r="AC8" s="212"/>
      <c r="AD8" s="211"/>
      <c r="AE8" s="290"/>
      <c r="AF8" s="212"/>
    </row>
    <row r="9" spans="1:32" x14ac:dyDescent="0.45">
      <c r="A9" s="119">
        <v>6</v>
      </c>
      <c r="B9" s="291"/>
      <c r="C9" s="293"/>
      <c r="D9" s="293"/>
      <c r="E9" s="294"/>
      <c r="F9" s="293"/>
      <c r="G9" s="293"/>
      <c r="H9" s="294"/>
      <c r="I9" s="282"/>
      <c r="J9" s="283"/>
      <c r="K9" s="284"/>
      <c r="L9" s="284"/>
      <c r="M9" s="284"/>
      <c r="N9" s="284" t="str">
        <f>IFERROR(VLOOKUP(L9,[2]COA!E:F,2,0),"-")</f>
        <v>-</v>
      </c>
      <c r="O9" s="285">
        <v>0.01</v>
      </c>
      <c r="P9" s="285"/>
      <c r="Q9" s="285">
        <v>0.1</v>
      </c>
      <c r="R9" s="286"/>
      <c r="S9" s="285">
        <v>0.3</v>
      </c>
      <c r="T9" s="285">
        <f t="shared" si="0"/>
        <v>0.7</v>
      </c>
      <c r="U9" s="287"/>
      <c r="V9" s="287"/>
      <c r="W9" s="287"/>
      <c r="X9" s="288"/>
      <c r="Y9" s="287"/>
      <c r="Z9" s="289"/>
      <c r="AA9" s="211"/>
      <c r="AB9" s="290"/>
      <c r="AC9" s="212"/>
      <c r="AD9" s="211"/>
      <c r="AE9" s="290"/>
      <c r="AF9" s="212"/>
    </row>
    <row r="10" spans="1:32" x14ac:dyDescent="0.45">
      <c r="A10" s="119">
        <v>7</v>
      </c>
      <c r="B10" s="291"/>
      <c r="C10" s="293"/>
      <c r="D10" s="293"/>
      <c r="E10" s="294"/>
      <c r="F10" s="293"/>
      <c r="G10" s="293"/>
      <c r="H10" s="294"/>
      <c r="I10" s="282"/>
      <c r="J10" s="283"/>
      <c r="K10" s="284"/>
      <c r="L10" s="284"/>
      <c r="M10" s="284"/>
      <c r="N10" s="284" t="str">
        <f>IFERROR(VLOOKUP(L10,[2]COA!E:F,2,0),"-")</f>
        <v>-</v>
      </c>
      <c r="O10" s="285">
        <v>0.01</v>
      </c>
      <c r="P10" s="285"/>
      <c r="Q10" s="285">
        <v>0.1</v>
      </c>
      <c r="R10" s="286"/>
      <c r="S10" s="285">
        <v>0.3</v>
      </c>
      <c r="T10" s="285">
        <f t="shared" si="0"/>
        <v>0.7</v>
      </c>
      <c r="U10" s="287"/>
      <c r="V10" s="287"/>
      <c r="W10" s="287"/>
      <c r="X10" s="288"/>
      <c r="Y10" s="287"/>
      <c r="Z10" s="289"/>
      <c r="AA10" s="211"/>
      <c r="AB10" s="290"/>
      <c r="AC10" s="212"/>
      <c r="AD10" s="211"/>
      <c r="AE10" s="290"/>
      <c r="AF10" s="212"/>
    </row>
    <row r="11" spans="1:32" x14ac:dyDescent="0.25">
      <c r="A11" s="119">
        <v>8</v>
      </c>
      <c r="B11" s="291"/>
      <c r="C11" s="293"/>
      <c r="D11" s="293"/>
      <c r="E11" s="294"/>
      <c r="F11" s="293"/>
      <c r="G11" s="293"/>
      <c r="H11" s="294"/>
      <c r="I11" s="283"/>
      <c r="J11" s="283"/>
      <c r="K11" s="284"/>
      <c r="L11" s="284"/>
      <c r="M11" s="284"/>
      <c r="N11" s="284" t="str">
        <f>IFERROR(VLOOKUP(L11,[2]COA!E:F,2,0),"-")</f>
        <v>-</v>
      </c>
      <c r="O11" s="285">
        <v>0.01</v>
      </c>
      <c r="P11" s="285"/>
      <c r="Q11" s="285">
        <v>0.1</v>
      </c>
      <c r="R11" s="286"/>
      <c r="S11" s="285">
        <v>0.3</v>
      </c>
      <c r="T11" s="285">
        <f t="shared" si="0"/>
        <v>0.7</v>
      </c>
      <c r="U11" s="287"/>
      <c r="V11" s="287"/>
      <c r="W11" s="287"/>
      <c r="X11" s="288"/>
      <c r="Y11" s="287"/>
      <c r="Z11" s="289"/>
      <c r="AA11" s="211"/>
      <c r="AB11" s="290"/>
      <c r="AC11" s="212"/>
      <c r="AD11" s="211"/>
      <c r="AE11" s="290"/>
      <c r="AF11" s="212"/>
    </row>
    <row r="12" spans="1:32" x14ac:dyDescent="0.45">
      <c r="A12" s="119">
        <v>9</v>
      </c>
      <c r="B12" s="291"/>
      <c r="C12" s="293"/>
      <c r="D12" s="293"/>
      <c r="E12" s="294"/>
      <c r="F12" s="293"/>
      <c r="G12" s="293"/>
      <c r="H12" s="294"/>
      <c r="I12" s="282"/>
      <c r="J12" s="283"/>
      <c r="K12" s="284"/>
      <c r="L12" s="284"/>
      <c r="M12" s="284"/>
      <c r="N12" s="284" t="str">
        <f>IFERROR(VLOOKUP(L12,[2]COA!E:F,2,0),"-")</f>
        <v>-</v>
      </c>
      <c r="O12" s="285">
        <v>0.01</v>
      </c>
      <c r="P12" s="285"/>
      <c r="Q12" s="285">
        <v>0.1</v>
      </c>
      <c r="R12" s="286"/>
      <c r="S12" s="285">
        <v>0.3</v>
      </c>
      <c r="T12" s="285">
        <f t="shared" si="0"/>
        <v>0.7</v>
      </c>
      <c r="U12" s="287"/>
      <c r="V12" s="287"/>
      <c r="W12" s="287"/>
      <c r="X12" s="288"/>
      <c r="Y12" s="287"/>
      <c r="Z12" s="289"/>
      <c r="AA12" s="211"/>
      <c r="AB12" s="290"/>
      <c r="AC12" s="212"/>
      <c r="AD12" s="211"/>
      <c r="AE12" s="290"/>
      <c r="AF12" s="212"/>
    </row>
    <row r="13" spans="1:32" x14ac:dyDescent="0.45">
      <c r="A13" s="119">
        <v>10</v>
      </c>
      <c r="B13" s="291"/>
      <c r="C13" s="293"/>
      <c r="D13" s="293"/>
      <c r="E13" s="294"/>
      <c r="F13" s="293"/>
      <c r="G13" s="293"/>
      <c r="H13" s="294"/>
      <c r="I13" s="282"/>
      <c r="J13" s="283"/>
      <c r="K13" s="284"/>
      <c r="L13" s="284"/>
      <c r="M13" s="284"/>
      <c r="N13" s="284" t="str">
        <f>IFERROR(VLOOKUP(L13,[2]COA!E:F,2,0),"-")</f>
        <v>-</v>
      </c>
      <c r="O13" s="285">
        <v>0.01</v>
      </c>
      <c r="P13" s="285"/>
      <c r="Q13" s="285">
        <v>0.1</v>
      </c>
      <c r="R13" s="286"/>
      <c r="S13" s="285">
        <v>0.3</v>
      </c>
      <c r="T13" s="285">
        <f t="shared" si="0"/>
        <v>0.7</v>
      </c>
      <c r="U13" s="287"/>
      <c r="V13" s="287"/>
      <c r="W13" s="296"/>
      <c r="X13" s="297"/>
      <c r="Y13" s="287"/>
      <c r="Z13" s="289"/>
      <c r="AA13" s="211"/>
      <c r="AB13" s="290"/>
      <c r="AC13" s="212"/>
      <c r="AD13" s="211"/>
      <c r="AE13" s="290"/>
      <c r="AF13" s="212"/>
    </row>
    <row r="14" spans="1:32" x14ac:dyDescent="0.45">
      <c r="A14" s="119">
        <v>11</v>
      </c>
      <c r="B14" s="291"/>
      <c r="C14" s="293"/>
      <c r="D14" s="293"/>
      <c r="E14" s="294"/>
      <c r="F14" s="293"/>
      <c r="G14" s="293"/>
      <c r="H14" s="294"/>
      <c r="I14" s="282"/>
      <c r="J14" s="283"/>
      <c r="K14" s="284"/>
      <c r="L14" s="284"/>
      <c r="M14" s="284"/>
      <c r="N14" s="284" t="str">
        <f>IFERROR(VLOOKUP(L14,[2]COA!E:F,2,0),"-")</f>
        <v>-</v>
      </c>
      <c r="O14" s="285">
        <v>0.01</v>
      </c>
      <c r="P14" s="285"/>
      <c r="Q14" s="285">
        <v>0.1</v>
      </c>
      <c r="R14" s="286"/>
      <c r="S14" s="285">
        <v>0.3</v>
      </c>
      <c r="T14" s="285">
        <f t="shared" si="0"/>
        <v>0.7</v>
      </c>
      <c r="U14" s="287"/>
      <c r="V14" s="287"/>
      <c r="W14" s="287"/>
      <c r="X14" s="288"/>
      <c r="Y14" s="287"/>
      <c r="Z14" s="289"/>
      <c r="AA14" s="211"/>
      <c r="AB14" s="290"/>
      <c r="AC14" s="212"/>
      <c r="AD14" s="211"/>
      <c r="AE14" s="290"/>
      <c r="AF14" s="212"/>
    </row>
    <row r="15" spans="1:32" x14ac:dyDescent="0.45">
      <c r="A15" s="119">
        <v>12</v>
      </c>
      <c r="B15" s="291"/>
      <c r="C15" s="293"/>
      <c r="D15" s="293"/>
      <c r="E15" s="294"/>
      <c r="F15" s="293"/>
      <c r="G15" s="293"/>
      <c r="H15" s="294"/>
      <c r="I15" s="282"/>
      <c r="J15" s="283"/>
      <c r="K15" s="284"/>
      <c r="L15" s="284"/>
      <c r="M15" s="284"/>
      <c r="N15" s="298"/>
      <c r="O15" s="285">
        <v>0.01</v>
      </c>
      <c r="P15" s="285"/>
      <c r="Q15" s="285">
        <v>0.1</v>
      </c>
      <c r="R15" s="286"/>
      <c r="S15" s="285">
        <v>0.3</v>
      </c>
      <c r="T15" s="285">
        <f t="shared" si="0"/>
        <v>0.7</v>
      </c>
      <c r="U15" s="287"/>
      <c r="V15" s="287"/>
      <c r="W15" s="287"/>
      <c r="X15" s="288"/>
      <c r="Y15" s="287"/>
      <c r="Z15" s="289"/>
      <c r="AA15" s="211"/>
      <c r="AB15" s="290"/>
      <c r="AC15" s="212"/>
      <c r="AD15" s="211"/>
      <c r="AE15" s="290"/>
      <c r="AF15" s="212"/>
    </row>
    <row r="16" spans="1:32" x14ac:dyDescent="0.45">
      <c r="A16" s="119">
        <v>13</v>
      </c>
      <c r="B16" s="291"/>
      <c r="C16" s="293"/>
      <c r="D16" s="293"/>
      <c r="E16" s="294"/>
      <c r="F16" s="293"/>
      <c r="G16" s="293"/>
      <c r="H16" s="294"/>
      <c r="I16" s="282"/>
      <c r="J16" s="283"/>
      <c r="K16" s="284"/>
      <c r="L16" s="284"/>
      <c r="M16" s="284"/>
      <c r="N16" s="298"/>
      <c r="O16" s="285">
        <v>0.01</v>
      </c>
      <c r="P16" s="285"/>
      <c r="Q16" s="285">
        <v>0.1</v>
      </c>
      <c r="R16" s="286"/>
      <c r="S16" s="285">
        <v>0.3</v>
      </c>
      <c r="T16" s="285">
        <f t="shared" si="0"/>
        <v>0.7</v>
      </c>
      <c r="U16" s="287"/>
      <c r="V16" s="287"/>
      <c r="W16" s="287"/>
      <c r="X16" s="288"/>
      <c r="Y16" s="287"/>
      <c r="Z16" s="289"/>
      <c r="AA16" s="211"/>
      <c r="AB16" s="290"/>
      <c r="AC16" s="212"/>
      <c r="AD16" s="211"/>
      <c r="AE16" s="290"/>
      <c r="AF16" s="212"/>
    </row>
    <row r="17" spans="1:32" ht="18" customHeight="1" x14ac:dyDescent="0.45">
      <c r="A17" s="119">
        <v>14</v>
      </c>
      <c r="B17" s="291"/>
      <c r="C17" s="293"/>
      <c r="D17" s="293"/>
      <c r="E17" s="294"/>
      <c r="F17" s="293"/>
      <c r="G17" s="293"/>
      <c r="H17" s="294"/>
      <c r="I17" s="282"/>
      <c r="J17" s="283"/>
      <c r="K17" s="284"/>
      <c r="L17" s="284"/>
      <c r="M17" s="284"/>
      <c r="N17" s="298"/>
      <c r="O17" s="285">
        <v>0.01</v>
      </c>
      <c r="P17" s="285"/>
      <c r="Q17" s="285">
        <v>0.1</v>
      </c>
      <c r="R17" s="286"/>
      <c r="S17" s="285">
        <v>0.3</v>
      </c>
      <c r="T17" s="285">
        <f t="shared" si="0"/>
        <v>0.7</v>
      </c>
      <c r="U17" s="287">
        <f>N17*O17+N17*T17*Q17+N17*S17</f>
        <v>0</v>
      </c>
      <c r="V17" s="287">
        <f t="shared" si="1"/>
        <v>0</v>
      </c>
      <c r="W17" s="287"/>
      <c r="X17" s="288"/>
      <c r="Y17" s="287">
        <f>N17*T17</f>
        <v>0</v>
      </c>
      <c r="Z17" s="289"/>
      <c r="AA17" s="211"/>
      <c r="AB17" s="290"/>
      <c r="AC17" s="212"/>
      <c r="AD17" s="211"/>
      <c r="AE17" s="290"/>
      <c r="AF17" s="212"/>
    </row>
    <row r="18" spans="1:32" ht="18" customHeight="1" x14ac:dyDescent="0.45">
      <c r="A18" s="119">
        <v>15</v>
      </c>
      <c r="B18" s="291"/>
      <c r="C18" s="293"/>
      <c r="D18" s="293"/>
      <c r="E18" s="294"/>
      <c r="F18" s="293"/>
      <c r="G18" s="293"/>
      <c r="H18" s="294"/>
      <c r="I18" s="282"/>
      <c r="J18" s="283"/>
      <c r="K18" s="284"/>
      <c r="L18" s="284"/>
      <c r="M18" s="284"/>
      <c r="N18" s="298"/>
      <c r="O18" s="285">
        <v>0.01</v>
      </c>
      <c r="P18" s="285"/>
      <c r="Q18" s="285">
        <v>0.1</v>
      </c>
      <c r="R18" s="286"/>
      <c r="S18" s="285">
        <v>0.3</v>
      </c>
      <c r="T18" s="285">
        <f t="shared" si="0"/>
        <v>0.7</v>
      </c>
      <c r="U18" s="287">
        <f>N18*O18+N18*T18*Q18+N18*S18</f>
        <v>0</v>
      </c>
      <c r="V18" s="287">
        <f t="shared" si="1"/>
        <v>0</v>
      </c>
      <c r="W18" s="287"/>
      <c r="X18" s="288"/>
      <c r="Y18" s="287">
        <f>N18*T18</f>
        <v>0</v>
      </c>
      <c r="Z18" s="289"/>
      <c r="AA18" s="211"/>
      <c r="AB18" s="290"/>
      <c r="AC18" s="212"/>
      <c r="AD18" s="211"/>
      <c r="AE18" s="290"/>
      <c r="AF18" s="212"/>
    </row>
    <row r="19" spans="1:32" ht="18" customHeight="1" x14ac:dyDescent="0.45">
      <c r="A19" s="119">
        <v>16</v>
      </c>
      <c r="B19" s="291"/>
      <c r="C19" s="293"/>
      <c r="D19" s="293"/>
      <c r="E19" s="294"/>
      <c r="F19" s="293"/>
      <c r="G19" s="293"/>
      <c r="H19" s="294"/>
      <c r="I19" s="282"/>
      <c r="J19" s="283"/>
      <c r="K19" s="284"/>
      <c r="L19" s="284"/>
      <c r="M19" s="284"/>
      <c r="N19" s="298"/>
      <c r="O19" s="285">
        <v>0.01</v>
      </c>
      <c r="P19" s="285"/>
      <c r="Q19" s="285">
        <v>0.1</v>
      </c>
      <c r="R19" s="286"/>
      <c r="S19" s="285">
        <v>0.3</v>
      </c>
      <c r="T19" s="285">
        <f t="shared" si="0"/>
        <v>0.7</v>
      </c>
      <c r="U19" s="299">
        <f>IFERROR(N19*O19+N19*T19*Q19+N19*S19,"-")</f>
        <v>0</v>
      </c>
      <c r="V19" s="299">
        <f t="shared" si="1"/>
        <v>0</v>
      </c>
      <c r="W19" s="287"/>
      <c r="X19" s="288"/>
      <c r="Y19" s="299">
        <f>IFERROR(N19*T19,"-")</f>
        <v>0</v>
      </c>
      <c r="Z19" s="289"/>
      <c r="AA19" s="211"/>
      <c r="AB19" s="290"/>
      <c r="AC19" s="300"/>
      <c r="AD19" s="211"/>
      <c r="AE19" s="290"/>
      <c r="AF19" s="212"/>
    </row>
    <row r="20" spans="1:32" ht="18" customHeight="1" x14ac:dyDescent="0.45">
      <c r="A20" s="119">
        <v>17</v>
      </c>
      <c r="B20" s="291"/>
      <c r="C20" s="293"/>
      <c r="D20" s="293"/>
      <c r="E20" s="294"/>
      <c r="F20" s="293"/>
      <c r="G20" s="293"/>
      <c r="H20" s="294"/>
      <c r="I20" s="282"/>
      <c r="J20" s="283"/>
      <c r="K20" s="284"/>
      <c r="L20" s="284"/>
      <c r="M20" s="284"/>
      <c r="N20" s="301" t="str">
        <f>IFERROR(VLOOKUP(L20,[2]COA!E:F,2,0),"-")</f>
        <v>-</v>
      </c>
      <c r="O20" s="285">
        <v>0.01</v>
      </c>
      <c r="P20" s="285"/>
      <c r="Q20" s="285">
        <v>0.1</v>
      </c>
      <c r="R20" s="286"/>
      <c r="S20" s="285">
        <v>0.3</v>
      </c>
      <c r="T20" s="285">
        <f t="shared" si="0"/>
        <v>0.7</v>
      </c>
      <c r="U20" s="299" t="str">
        <f t="shared" ref="U20:U29" si="2">IFERROR(N20*O20+N20*T20*Q20+N20*S20,"-")</f>
        <v>-</v>
      </c>
      <c r="V20" s="299" t="str">
        <f t="shared" si="1"/>
        <v>-</v>
      </c>
      <c r="W20" s="287"/>
      <c r="X20" s="288"/>
      <c r="Y20" s="299" t="str">
        <f t="shared" ref="Y20:Y29" si="3">IFERROR(N20*T20,"-")</f>
        <v>-</v>
      </c>
      <c r="Z20" s="289"/>
      <c r="AA20" s="211"/>
      <c r="AB20" s="290"/>
      <c r="AC20" s="300"/>
      <c r="AD20" s="211"/>
      <c r="AE20" s="290"/>
      <c r="AF20" s="300"/>
    </row>
    <row r="21" spans="1:32" ht="18" customHeight="1" x14ac:dyDescent="0.45">
      <c r="A21" s="119">
        <v>18</v>
      </c>
      <c r="B21" s="291"/>
      <c r="C21" s="293"/>
      <c r="D21" s="293"/>
      <c r="E21" s="294"/>
      <c r="F21" s="293"/>
      <c r="G21" s="293"/>
      <c r="H21" s="294"/>
      <c r="I21" s="282"/>
      <c r="J21" s="282"/>
      <c r="K21" s="283"/>
      <c r="L21" s="284"/>
      <c r="M21" s="284"/>
      <c r="N21" s="284" t="str">
        <f>IFERROR(VLOOKUP(L21,[2]COA!E:F,2,0),"-")</f>
        <v>-</v>
      </c>
      <c r="O21" s="285">
        <v>0.01</v>
      </c>
      <c r="P21" s="285"/>
      <c r="Q21" s="285">
        <v>0.1</v>
      </c>
      <c r="R21" s="286"/>
      <c r="S21" s="285">
        <v>0.3</v>
      </c>
      <c r="T21" s="285">
        <f t="shared" si="0"/>
        <v>0.7</v>
      </c>
      <c r="U21" s="299" t="str">
        <f t="shared" si="2"/>
        <v>-</v>
      </c>
      <c r="V21" s="299" t="str">
        <f t="shared" si="1"/>
        <v>-</v>
      </c>
      <c r="W21" s="287"/>
      <c r="X21" s="288"/>
      <c r="Y21" s="299" t="str">
        <f t="shared" si="3"/>
        <v>-</v>
      </c>
      <c r="Z21" s="289"/>
      <c r="AA21" s="211"/>
      <c r="AB21" s="290"/>
      <c r="AC21" s="300"/>
      <c r="AD21" s="211"/>
      <c r="AE21" s="290"/>
      <c r="AF21" s="300"/>
    </row>
    <row r="22" spans="1:32" ht="18" customHeight="1" x14ac:dyDescent="0.45">
      <c r="A22" s="119">
        <v>19</v>
      </c>
      <c r="B22" s="291"/>
      <c r="C22" s="293"/>
      <c r="D22" s="293"/>
      <c r="E22" s="294"/>
      <c r="F22" s="293"/>
      <c r="G22" s="293"/>
      <c r="H22" s="294"/>
      <c r="I22" s="282"/>
      <c r="J22" s="282"/>
      <c r="K22" s="283"/>
      <c r="L22" s="284"/>
      <c r="M22" s="119"/>
      <c r="N22" s="302" t="str">
        <f>IFERROR(VLOOKUP(L22,[2]COA!E:F,2,0),"-")</f>
        <v>-</v>
      </c>
      <c r="O22" s="285">
        <v>0.01</v>
      </c>
      <c r="P22" s="285"/>
      <c r="Q22" s="285">
        <v>0.1</v>
      </c>
      <c r="R22" s="286"/>
      <c r="S22" s="285">
        <v>0.3</v>
      </c>
      <c r="T22" s="285">
        <f t="shared" si="0"/>
        <v>0.7</v>
      </c>
      <c r="U22" s="157" t="str">
        <f t="shared" si="2"/>
        <v>-</v>
      </c>
      <c r="V22" s="303" t="str">
        <f t="shared" si="1"/>
        <v>-</v>
      </c>
      <c r="W22" s="135"/>
      <c r="X22" s="134"/>
      <c r="Y22" s="157" t="str">
        <f t="shared" si="3"/>
        <v>-</v>
      </c>
      <c r="Z22" s="119"/>
      <c r="AA22" s="211"/>
      <c r="AB22" s="290"/>
      <c r="AC22" s="300"/>
      <c r="AD22" s="211"/>
      <c r="AE22" s="290"/>
      <c r="AF22" s="300"/>
    </row>
    <row r="23" spans="1:32" ht="18" customHeight="1" x14ac:dyDescent="0.45">
      <c r="A23" s="119"/>
      <c r="B23" s="304"/>
      <c r="C23" s="119"/>
      <c r="D23" s="119"/>
      <c r="E23" s="305"/>
      <c r="F23" s="119"/>
      <c r="G23" s="119"/>
      <c r="H23" s="305"/>
      <c r="I23" s="1"/>
      <c r="J23" s="1"/>
      <c r="K23" s="119"/>
      <c r="L23" s="119"/>
      <c r="M23" s="119"/>
      <c r="N23" s="302" t="str">
        <f>IFERROR(VLOOKUP(L23,[2]COA!E:F,2,0),"-")</f>
        <v>-</v>
      </c>
      <c r="O23" s="285">
        <v>0.01</v>
      </c>
      <c r="P23" s="285"/>
      <c r="Q23" s="285">
        <v>0.1</v>
      </c>
      <c r="R23" s="286"/>
      <c r="S23" s="285">
        <v>0.3</v>
      </c>
      <c r="T23" s="285">
        <f t="shared" si="0"/>
        <v>0.7</v>
      </c>
      <c r="U23" s="157" t="str">
        <f t="shared" si="2"/>
        <v>-</v>
      </c>
      <c r="V23" s="303" t="str">
        <f t="shared" si="1"/>
        <v>-</v>
      </c>
      <c r="W23" s="135"/>
      <c r="X23" s="134"/>
      <c r="Y23" s="157" t="str">
        <f t="shared" si="3"/>
        <v>-</v>
      </c>
      <c r="Z23" s="119"/>
      <c r="AA23" s="155"/>
      <c r="AB23" s="306"/>
      <c r="AC23" s="303"/>
      <c r="AD23" s="155"/>
      <c r="AE23" s="307"/>
      <c r="AF23" s="157"/>
    </row>
    <row r="24" spans="1:32" ht="18" customHeight="1" x14ac:dyDescent="0.45">
      <c r="A24" s="119"/>
      <c r="B24" s="304"/>
      <c r="C24" s="119"/>
      <c r="D24" s="119"/>
      <c r="E24" s="305"/>
      <c r="F24" s="119"/>
      <c r="G24" s="119"/>
      <c r="H24" s="305"/>
      <c r="I24" s="1"/>
      <c r="J24" s="1"/>
      <c r="K24" s="119"/>
      <c r="L24" s="119"/>
      <c r="M24" s="119"/>
      <c r="N24" s="302" t="str">
        <f>IFERROR(VLOOKUP(L24,[2]COA!E:F,2,0),"-")</f>
        <v>-</v>
      </c>
      <c r="O24" s="285">
        <v>0.01</v>
      </c>
      <c r="P24" s="285"/>
      <c r="Q24" s="285">
        <v>0.1</v>
      </c>
      <c r="R24" s="286"/>
      <c r="S24" s="285">
        <v>0.3</v>
      </c>
      <c r="T24" s="285">
        <f>100%-S24</f>
        <v>0.7</v>
      </c>
      <c r="U24" s="157" t="str">
        <f t="shared" si="2"/>
        <v>-</v>
      </c>
      <c r="V24" s="303" t="str">
        <f t="shared" si="1"/>
        <v>-</v>
      </c>
      <c r="W24" s="135"/>
      <c r="X24" s="134"/>
      <c r="Y24" s="157" t="str">
        <f t="shared" si="3"/>
        <v>-</v>
      </c>
      <c r="Z24" s="119"/>
      <c r="AA24" s="155"/>
      <c r="AB24" s="306"/>
      <c r="AC24" s="303"/>
      <c r="AD24" s="155"/>
      <c r="AE24" s="307"/>
      <c r="AF24" s="157"/>
    </row>
    <row r="25" spans="1:32" ht="18" customHeight="1" x14ac:dyDescent="0.45">
      <c r="A25" s="119"/>
      <c r="B25" s="304"/>
      <c r="C25" s="119"/>
      <c r="D25" s="119"/>
      <c r="E25" s="305"/>
      <c r="F25" s="119"/>
      <c r="G25" s="119"/>
      <c r="H25" s="305"/>
      <c r="I25" s="1"/>
      <c r="J25" s="1"/>
      <c r="K25" s="119"/>
      <c r="L25" s="119"/>
      <c r="M25" s="119"/>
      <c r="N25" s="302" t="str">
        <f>IFERROR(VLOOKUP(L25,[2]COA!E:F,2,0),"-")</f>
        <v>-</v>
      </c>
      <c r="O25" s="285">
        <v>0.01</v>
      </c>
      <c r="P25" s="285"/>
      <c r="Q25" s="285">
        <v>0.1</v>
      </c>
      <c r="R25" s="286"/>
      <c r="S25" s="285">
        <v>0.3</v>
      </c>
      <c r="T25" s="285">
        <f>100%-S25</f>
        <v>0.7</v>
      </c>
      <c r="U25" s="157" t="str">
        <f t="shared" si="2"/>
        <v>-</v>
      </c>
      <c r="V25" s="303" t="str">
        <f t="shared" si="1"/>
        <v>-</v>
      </c>
      <c r="W25" s="135"/>
      <c r="X25" s="134"/>
      <c r="Y25" s="157" t="str">
        <f t="shared" si="3"/>
        <v>-</v>
      </c>
      <c r="Z25" s="119"/>
      <c r="AA25" s="155"/>
      <c r="AB25" s="306"/>
      <c r="AC25" s="303"/>
      <c r="AD25" s="155"/>
      <c r="AE25" s="307"/>
      <c r="AF25" s="157"/>
    </row>
    <row r="26" spans="1:32" x14ac:dyDescent="0.45">
      <c r="A26" s="119"/>
      <c r="B26" s="304"/>
      <c r="C26" s="119"/>
      <c r="D26" s="119"/>
      <c r="E26" s="305"/>
      <c r="F26" s="119"/>
      <c r="G26" s="119"/>
      <c r="H26" s="305"/>
      <c r="I26" s="1"/>
      <c r="J26" s="1"/>
      <c r="K26" s="119"/>
      <c r="L26" s="119"/>
      <c r="M26" s="119"/>
      <c r="N26" s="302" t="str">
        <f>IFERROR(VLOOKUP(L26,[2]COA!E:F,2,0),"-")</f>
        <v>-</v>
      </c>
      <c r="O26" s="285">
        <v>0.01</v>
      </c>
      <c r="P26" s="285"/>
      <c r="Q26" s="285">
        <v>0.1</v>
      </c>
      <c r="R26" s="286"/>
      <c r="S26" s="285">
        <v>0.3</v>
      </c>
      <c r="T26" s="285">
        <f>100%-S26</f>
        <v>0.7</v>
      </c>
      <c r="U26" s="157" t="str">
        <f t="shared" si="2"/>
        <v>-</v>
      </c>
      <c r="V26" s="303" t="str">
        <f t="shared" si="1"/>
        <v>-</v>
      </c>
      <c r="W26" s="135"/>
      <c r="X26" s="134"/>
      <c r="Y26" s="157" t="str">
        <f t="shared" si="3"/>
        <v>-</v>
      </c>
      <c r="Z26" s="119"/>
      <c r="AA26" s="155"/>
      <c r="AB26" s="306"/>
      <c r="AC26" s="303"/>
      <c r="AD26" s="155"/>
      <c r="AE26" s="307"/>
      <c r="AF26" s="157"/>
    </row>
    <row r="27" spans="1:32" x14ac:dyDescent="0.45">
      <c r="A27" s="119"/>
      <c r="B27" s="304"/>
      <c r="C27" s="119"/>
      <c r="D27" s="119"/>
      <c r="E27" s="305"/>
      <c r="F27" s="119"/>
      <c r="G27" s="119"/>
      <c r="H27" s="305"/>
      <c r="I27" s="1"/>
      <c r="J27" s="1"/>
      <c r="K27" s="119"/>
      <c r="L27" s="119"/>
      <c r="M27" s="119"/>
      <c r="N27" s="302" t="str">
        <f>IFERROR(VLOOKUP(L27,[2]COA!E:F,2,0),"-")</f>
        <v>-</v>
      </c>
      <c r="O27" s="285">
        <v>0.01</v>
      </c>
      <c r="P27" s="285"/>
      <c r="Q27" s="285">
        <v>0.1</v>
      </c>
      <c r="R27" s="286"/>
      <c r="S27" s="285">
        <v>0.3</v>
      </c>
      <c r="T27" s="285">
        <f>100%-S27</f>
        <v>0.7</v>
      </c>
      <c r="U27" s="157" t="str">
        <f t="shared" si="2"/>
        <v>-</v>
      </c>
      <c r="V27" s="303" t="str">
        <f t="shared" si="1"/>
        <v>-</v>
      </c>
      <c r="W27" s="135"/>
      <c r="X27" s="134"/>
      <c r="Y27" s="157" t="str">
        <f t="shared" si="3"/>
        <v>-</v>
      </c>
      <c r="Z27" s="119"/>
      <c r="AA27" s="155"/>
      <c r="AB27" s="306"/>
      <c r="AC27" s="303"/>
      <c r="AD27" s="155"/>
      <c r="AE27" s="307"/>
      <c r="AF27" s="157"/>
    </row>
    <row r="28" spans="1:32" x14ac:dyDescent="0.45">
      <c r="A28" s="119"/>
      <c r="B28" s="304"/>
      <c r="C28" s="119"/>
      <c r="D28" s="119"/>
      <c r="E28" s="305"/>
      <c r="F28" s="119"/>
      <c r="G28" s="119"/>
      <c r="H28" s="305"/>
      <c r="I28" s="1"/>
      <c r="J28" s="1"/>
      <c r="K28" s="119"/>
      <c r="L28" s="119"/>
      <c r="M28" s="119"/>
      <c r="N28" s="302" t="str">
        <f>IFERROR(VLOOKUP(L28,[2]COA!E:F,2,0),"-")</f>
        <v>-</v>
      </c>
      <c r="O28" s="285">
        <v>0.01</v>
      </c>
      <c r="P28" s="285"/>
      <c r="Q28" s="285">
        <v>0.1</v>
      </c>
      <c r="R28" s="285"/>
      <c r="S28" s="285">
        <v>0.3</v>
      </c>
      <c r="T28" s="285">
        <f>100%-S28</f>
        <v>0.7</v>
      </c>
      <c r="U28" s="157" t="str">
        <f t="shared" si="2"/>
        <v>-</v>
      </c>
      <c r="V28" s="303" t="str">
        <f t="shared" si="1"/>
        <v>-</v>
      </c>
      <c r="W28" s="135"/>
      <c r="X28" s="134"/>
      <c r="Y28" s="157" t="str">
        <f t="shared" si="3"/>
        <v>-</v>
      </c>
      <c r="Z28" s="119"/>
      <c r="AA28" s="155"/>
      <c r="AB28" s="306"/>
      <c r="AC28" s="303"/>
      <c r="AD28" s="155"/>
      <c r="AE28" s="307"/>
      <c r="AF28" s="157"/>
    </row>
    <row r="29" spans="1:32" ht="18.75" thickBot="1" x14ac:dyDescent="0.5">
      <c r="A29" s="158"/>
      <c r="B29" s="308"/>
      <c r="C29" s="158"/>
      <c r="D29" s="158"/>
      <c r="E29" s="309"/>
      <c r="F29" s="158"/>
      <c r="G29" s="158"/>
      <c r="H29" s="309"/>
      <c r="I29" s="158"/>
      <c r="J29" s="158"/>
      <c r="K29" s="310" t="s">
        <v>74</v>
      </c>
      <c r="L29" s="310"/>
      <c r="M29" s="310"/>
      <c r="N29" s="311" t="str">
        <f>IFERROR(VLOOKUP(L29,[2]COA!E:F,2,0),"-")</f>
        <v>-</v>
      </c>
      <c r="O29" s="312"/>
      <c r="P29" s="312"/>
      <c r="Q29" s="312"/>
      <c r="R29" s="312"/>
      <c r="S29" s="312"/>
      <c r="T29" s="312"/>
      <c r="U29" s="157" t="str">
        <f t="shared" si="2"/>
        <v>-</v>
      </c>
      <c r="V29" s="313">
        <f>SUM(V4:V28)</f>
        <v>2515500</v>
      </c>
      <c r="W29" s="314">
        <f>SUM(W4:W28)</f>
        <v>0</v>
      </c>
      <c r="X29" s="159"/>
      <c r="Y29" s="159" t="str">
        <f t="shared" si="3"/>
        <v>-</v>
      </c>
      <c r="Z29" s="159"/>
      <c r="AA29" s="159"/>
      <c r="AB29" s="315"/>
      <c r="AC29" s="316"/>
      <c r="AD29" s="316"/>
      <c r="AE29" s="315"/>
      <c r="AF29" s="316"/>
    </row>
    <row r="30" spans="1:32" ht="18.75" thickTop="1" x14ac:dyDescent="0.45"/>
    <row r="31" spans="1:32" x14ac:dyDescent="0.45">
      <c r="U31" s="213"/>
    </row>
  </sheetData>
  <mergeCells count="1">
    <mergeCell ref="A1:B1"/>
  </mergeCells>
  <pageMargins left="0.7" right="0.7" top="0.75" bottom="0.75" header="0.3" footer="0.3"/>
  <drawing r:id="rId1"/>
  <tableParts count="1">
    <tablePart r:id="rId2"/>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rgb="FFFFFF00"/>
  </sheetPr>
  <dimension ref="A1:G37"/>
  <sheetViews>
    <sheetView view="pageBreakPreview" topLeftCell="A22" zoomScale="90" zoomScaleNormal="100" zoomScaleSheetLayoutView="90" workbookViewId="0">
      <selection activeCell="F20" sqref="F20"/>
    </sheetView>
  </sheetViews>
  <sheetFormatPr defaultColWidth="9.28515625" defaultRowHeight="21.75" x14ac:dyDescent="0.55000000000000004"/>
  <cols>
    <col min="1" max="1" width="6.140625" style="592" customWidth="1"/>
    <col min="2" max="2" width="44" style="592" customWidth="1"/>
    <col min="3" max="3" width="19.42578125" style="597" customWidth="1"/>
    <col min="4" max="4" width="5.85546875" style="592" customWidth="1"/>
    <col min="5" max="5" width="6" style="592" customWidth="1"/>
    <col min="6" max="6" width="18.42578125" style="592" customWidth="1"/>
    <col min="7" max="7" width="23.28515625" style="597" customWidth="1"/>
    <col min="8" max="16384" width="9.28515625" style="592"/>
  </cols>
  <sheetData>
    <row r="1" spans="1:7" x14ac:dyDescent="0.55000000000000004">
      <c r="A1" s="1328" t="s">
        <v>8874</v>
      </c>
      <c r="B1" s="1328"/>
      <c r="C1" s="1328"/>
      <c r="E1" s="1328" t="s">
        <v>8875</v>
      </c>
      <c r="F1" s="1328"/>
      <c r="G1" s="1328"/>
    </row>
    <row r="2" spans="1:7" ht="25.35" customHeight="1" x14ac:dyDescent="0.55000000000000004">
      <c r="A2" s="708" t="s">
        <v>2</v>
      </c>
      <c r="B2" s="709" t="s">
        <v>2204</v>
      </c>
      <c r="C2" s="710" t="s">
        <v>5</v>
      </c>
      <c r="E2" s="708" t="s">
        <v>9</v>
      </c>
      <c r="F2" s="709" t="s">
        <v>2904</v>
      </c>
      <c r="G2" s="711" t="s">
        <v>2905</v>
      </c>
    </row>
    <row r="3" spans="1:7" ht="25.35" customHeight="1" x14ac:dyDescent="0.55000000000000004">
      <c r="A3" s="712">
        <v>1</v>
      </c>
      <c r="B3" s="706" t="s">
        <v>2079</v>
      </c>
      <c r="C3" s="713">
        <v>0</v>
      </c>
      <c r="E3" s="703">
        <v>2</v>
      </c>
      <c r="F3" s="706">
        <v>2020</v>
      </c>
      <c r="G3" s="714">
        <f>C30</f>
        <v>11912950</v>
      </c>
    </row>
    <row r="4" spans="1:7" ht="25.35" customHeight="1" x14ac:dyDescent="0.55000000000000004">
      <c r="A4" s="712">
        <v>2</v>
      </c>
      <c r="B4" s="706" t="s">
        <v>2076</v>
      </c>
      <c r="C4" s="713">
        <v>0</v>
      </c>
      <c r="E4" s="733">
        <v>3</v>
      </c>
      <c r="F4" s="706">
        <v>2021</v>
      </c>
      <c r="G4" s="694">
        <f>C36</f>
        <v>10008000</v>
      </c>
    </row>
    <row r="5" spans="1:7" ht="25.35" customHeight="1" thickBot="1" x14ac:dyDescent="0.6">
      <c r="A5" s="712">
        <v>3</v>
      </c>
      <c r="B5" s="706" t="s">
        <v>3019</v>
      </c>
      <c r="C5" s="713">
        <v>411000</v>
      </c>
      <c r="E5" s="736">
        <v>4</v>
      </c>
      <c r="F5" s="736" t="s">
        <v>2906</v>
      </c>
      <c r="G5" s="737">
        <f>C22</f>
        <v>5570391</v>
      </c>
    </row>
    <row r="6" spans="1:7" ht="25.35" customHeight="1" thickBot="1" x14ac:dyDescent="0.6">
      <c r="A6" s="712">
        <v>4</v>
      </c>
      <c r="B6" s="706" t="s">
        <v>933</v>
      </c>
      <c r="C6" s="713">
        <v>2487066</v>
      </c>
      <c r="E6" s="734">
        <v>6</v>
      </c>
      <c r="F6" s="709" t="s">
        <v>6</v>
      </c>
      <c r="G6" s="735">
        <f>SUM(G3:G5)</f>
        <v>27491341</v>
      </c>
    </row>
    <row r="7" spans="1:7" ht="25.35" customHeight="1" thickTop="1" x14ac:dyDescent="0.55000000000000004">
      <c r="A7" s="712">
        <v>5</v>
      </c>
      <c r="B7" s="706" t="s">
        <v>3020</v>
      </c>
      <c r="C7" s="713">
        <v>0</v>
      </c>
    </row>
    <row r="8" spans="1:7" ht="25.35" customHeight="1" x14ac:dyDescent="0.55000000000000004">
      <c r="A8" s="712">
        <v>6</v>
      </c>
      <c r="B8" s="706" t="s">
        <v>2271</v>
      </c>
      <c r="C8" s="713">
        <v>0</v>
      </c>
    </row>
    <row r="9" spans="1:7" ht="25.35" customHeight="1" x14ac:dyDescent="0.55000000000000004">
      <c r="A9" s="712">
        <v>7</v>
      </c>
      <c r="B9" s="706" t="s">
        <v>2074</v>
      </c>
      <c r="C9" s="713">
        <v>0</v>
      </c>
    </row>
    <row r="10" spans="1:7" ht="25.35" customHeight="1" x14ac:dyDescent="0.55000000000000004">
      <c r="A10" s="712">
        <v>8</v>
      </c>
      <c r="B10" s="706" t="s">
        <v>3021</v>
      </c>
      <c r="C10" s="713">
        <v>0</v>
      </c>
    </row>
    <row r="11" spans="1:7" ht="25.35" customHeight="1" x14ac:dyDescent="0.55000000000000004">
      <c r="A11" s="712">
        <v>9</v>
      </c>
      <c r="B11" s="706" t="s">
        <v>3022</v>
      </c>
      <c r="C11" s="713">
        <v>0</v>
      </c>
    </row>
    <row r="12" spans="1:7" ht="25.35" customHeight="1" x14ac:dyDescent="0.55000000000000004">
      <c r="A12" s="712">
        <v>10</v>
      </c>
      <c r="B12" s="706" t="s">
        <v>6776</v>
      </c>
      <c r="C12" s="713">
        <v>0</v>
      </c>
    </row>
    <row r="13" spans="1:7" ht="25.35" customHeight="1" x14ac:dyDescent="0.55000000000000004">
      <c r="A13" s="712">
        <v>11</v>
      </c>
      <c r="B13" s="706" t="s">
        <v>3023</v>
      </c>
      <c r="C13" s="713">
        <v>0</v>
      </c>
    </row>
    <row r="14" spans="1:7" x14ac:dyDescent="0.55000000000000004">
      <c r="A14" s="712">
        <v>12</v>
      </c>
      <c r="B14" s="706" t="s">
        <v>2068</v>
      </c>
      <c r="C14" s="713">
        <v>0</v>
      </c>
    </row>
    <row r="15" spans="1:7" x14ac:dyDescent="0.55000000000000004">
      <c r="A15" s="712">
        <v>13</v>
      </c>
      <c r="B15" s="706" t="s">
        <v>2077</v>
      </c>
      <c r="C15" s="713">
        <v>0</v>
      </c>
    </row>
    <row r="16" spans="1:7" x14ac:dyDescent="0.55000000000000004">
      <c r="A16" s="712">
        <v>14</v>
      </c>
      <c r="B16" s="706" t="s">
        <v>1372</v>
      </c>
      <c r="C16" s="713">
        <v>0</v>
      </c>
    </row>
    <row r="17" spans="1:6" x14ac:dyDescent="0.55000000000000004">
      <c r="A17" s="712">
        <v>15</v>
      </c>
      <c r="B17" s="706" t="s">
        <v>3024</v>
      </c>
      <c r="C17" s="713">
        <v>0</v>
      </c>
    </row>
    <row r="18" spans="1:6" x14ac:dyDescent="0.55000000000000004">
      <c r="A18" s="712">
        <v>16</v>
      </c>
      <c r="B18" s="706" t="s">
        <v>6777</v>
      </c>
      <c r="C18" s="713">
        <v>438000</v>
      </c>
    </row>
    <row r="19" spans="1:6" x14ac:dyDescent="0.55000000000000004">
      <c r="A19" s="712">
        <v>17</v>
      </c>
      <c r="B19" s="706" t="s">
        <v>2075</v>
      </c>
      <c r="C19" s="713">
        <v>674325</v>
      </c>
    </row>
    <row r="20" spans="1:6" ht="22.5" x14ac:dyDescent="0.6">
      <c r="A20" s="712">
        <v>18</v>
      </c>
      <c r="B20" s="1223" t="s">
        <v>8200</v>
      </c>
      <c r="C20" s="713">
        <v>1560000</v>
      </c>
    </row>
    <row r="21" spans="1:6" x14ac:dyDescent="0.55000000000000004">
      <c r="A21" s="715"/>
      <c r="B21" s="716"/>
      <c r="C21" s="717"/>
    </row>
    <row r="22" spans="1:6" ht="22.5" thickBot="1" x14ac:dyDescent="0.6">
      <c r="A22" s="718"/>
      <c r="B22" s="706" t="s">
        <v>2049</v>
      </c>
      <c r="C22" s="719">
        <f>SUBTOTAL(109,C3:C21)</f>
        <v>5570391</v>
      </c>
      <c r="F22" s="590"/>
    </row>
    <row r="23" spans="1:6" ht="22.5" thickTop="1" x14ac:dyDescent="0.55000000000000004">
      <c r="A23" s="624"/>
      <c r="B23" s="624"/>
      <c r="C23" s="626"/>
    </row>
    <row r="24" spans="1:6" x14ac:dyDescent="0.55000000000000004">
      <c r="A24" s="624"/>
      <c r="B24" s="701"/>
      <c r="C24" s="175"/>
    </row>
    <row r="26" spans="1:6" x14ac:dyDescent="0.55000000000000004">
      <c r="A26" s="720" t="s">
        <v>2206</v>
      </c>
      <c r="B26" s="720"/>
      <c r="C26" s="720"/>
    </row>
    <row r="27" spans="1:6" x14ac:dyDescent="0.55000000000000004">
      <c r="A27" s="708" t="s">
        <v>2</v>
      </c>
      <c r="B27" s="709" t="s">
        <v>2204</v>
      </c>
      <c r="C27" s="710" t="s">
        <v>5</v>
      </c>
    </row>
    <row r="28" spans="1:6" x14ac:dyDescent="0.55000000000000004">
      <c r="A28" s="712">
        <v>1</v>
      </c>
      <c r="B28" s="693" t="s">
        <v>2205</v>
      </c>
      <c r="C28" s="714">
        <f>ABS('Tri Hp Bank Of Cash Flow '!D9)</f>
        <v>11912950</v>
      </c>
      <c r="F28" s="590"/>
    </row>
    <row r="29" spans="1:6" x14ac:dyDescent="0.55000000000000004">
      <c r="A29" s="721"/>
      <c r="B29" s="704"/>
      <c r="C29" s="705"/>
    </row>
    <row r="30" spans="1:6" ht="22.5" thickBot="1" x14ac:dyDescent="0.6">
      <c r="A30" s="721"/>
      <c r="B30" s="707" t="s">
        <v>6</v>
      </c>
      <c r="C30" s="517">
        <f>SUM(C28:C29)</f>
        <v>11912950</v>
      </c>
    </row>
    <row r="31" spans="1:6" ht="22.5" thickTop="1" x14ac:dyDescent="0.55000000000000004"/>
    <row r="32" spans="1:6" x14ac:dyDescent="0.55000000000000004">
      <c r="A32" s="720" t="s">
        <v>2903</v>
      </c>
      <c r="B32" s="720"/>
      <c r="C32" s="720"/>
    </row>
    <row r="33" spans="1:3" x14ac:dyDescent="0.55000000000000004">
      <c r="A33" s="708" t="s">
        <v>2</v>
      </c>
      <c r="B33" s="709" t="s">
        <v>2204</v>
      </c>
      <c r="C33" s="710" t="s">
        <v>5</v>
      </c>
    </row>
    <row r="34" spans="1:3" x14ac:dyDescent="0.55000000000000004">
      <c r="A34" s="712">
        <v>1</v>
      </c>
      <c r="B34" s="693" t="s">
        <v>2205</v>
      </c>
      <c r="C34" s="714">
        <f>ABS('Tri Hp Bank Of Cash Flow '!D13)</f>
        <v>10008000</v>
      </c>
    </row>
    <row r="35" spans="1:3" x14ac:dyDescent="0.55000000000000004">
      <c r="A35" s="721"/>
      <c r="B35" s="704"/>
      <c r="C35" s="705"/>
    </row>
    <row r="36" spans="1:3" ht="22.5" thickBot="1" x14ac:dyDescent="0.6">
      <c r="A36" s="721"/>
      <c r="B36" s="707" t="s">
        <v>6</v>
      </c>
      <c r="C36" s="517">
        <f>SUM(C34:C35)</f>
        <v>10008000</v>
      </c>
    </row>
    <row r="37" spans="1:3" ht="22.5" thickTop="1" x14ac:dyDescent="0.55000000000000004"/>
  </sheetData>
  <mergeCells count="2">
    <mergeCell ref="E1:G1"/>
    <mergeCell ref="A1:C1"/>
  </mergeCells>
  <pageMargins left="0.41" right="0.2" top="0.53" bottom="0.76" header="0.3" footer="0.3"/>
  <pageSetup paperSize="9" scale="77" orientation="portrait" r:id="rId1"/>
  <tableParts count="4">
    <tablePart r:id="rId2"/>
    <tablePart r:id="rId3"/>
    <tablePart r:id="rId4"/>
    <tablePart r:id="rId5"/>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rgb="FFFFFF00"/>
  </sheetPr>
  <dimension ref="A1:P42"/>
  <sheetViews>
    <sheetView view="pageBreakPreview" topLeftCell="B1" zoomScale="60" zoomScaleNormal="98" workbookViewId="0">
      <selection activeCell="B1" sqref="B1:H27"/>
    </sheetView>
  </sheetViews>
  <sheetFormatPr defaultColWidth="9.28515625" defaultRowHeight="21.75" x14ac:dyDescent="0.55000000000000004"/>
  <cols>
    <col min="1" max="1" width="1.42578125" style="592" hidden="1" customWidth="1"/>
    <col min="2" max="2" width="5.28515625" style="592" customWidth="1"/>
    <col min="3" max="3" width="43.5703125" style="592" bestFit="1" customWidth="1"/>
    <col min="4" max="4" width="20.7109375" style="597" customWidth="1"/>
    <col min="5" max="5" width="3.42578125" style="592" customWidth="1"/>
    <col min="6" max="6" width="5.140625" style="592" customWidth="1"/>
    <col min="7" max="7" width="30" style="592" customWidth="1"/>
    <col min="8" max="8" width="25.28515625" style="597" customWidth="1"/>
    <col min="9" max="9" width="3.42578125" style="592" customWidth="1"/>
    <col min="10" max="10" width="2.85546875" style="596" customWidth="1"/>
    <col min="11" max="11" width="26" style="597" bestFit="1" customWidth="1"/>
    <col min="12" max="12" width="15.5703125" style="597" bestFit="1" customWidth="1"/>
    <col min="13" max="13" width="3.5703125" style="592" customWidth="1"/>
    <col min="14" max="14" width="26.7109375" style="597" bestFit="1" customWidth="1"/>
    <col min="15" max="15" width="25.85546875" style="597" customWidth="1"/>
    <col min="16" max="16384" width="9.28515625" style="592"/>
  </cols>
  <sheetData>
    <row r="1" spans="1:16" x14ac:dyDescent="0.55000000000000004">
      <c r="B1" s="1329" t="s">
        <v>8871</v>
      </c>
      <c r="C1" s="1329"/>
      <c r="D1" s="1329"/>
      <c r="E1" s="701"/>
      <c r="F1" s="1328" t="s">
        <v>8872</v>
      </c>
      <c r="G1" s="1328"/>
      <c r="H1" s="1328"/>
      <c r="K1" s="1163" t="s">
        <v>3196</v>
      </c>
      <c r="N1" s="1163" t="s">
        <v>3195</v>
      </c>
    </row>
    <row r="2" spans="1:16" ht="20.100000000000001" customHeight="1" x14ac:dyDescent="0.55000000000000004">
      <c r="A2" s="701"/>
      <c r="B2" s="1164" t="s">
        <v>9</v>
      </c>
      <c r="C2" s="1165" t="s">
        <v>2455</v>
      </c>
      <c r="D2" s="1166" t="s">
        <v>5</v>
      </c>
      <c r="E2" s="1167"/>
      <c r="F2" s="1168" t="s">
        <v>9</v>
      </c>
      <c r="G2" s="1168" t="s">
        <v>2455</v>
      </c>
      <c r="H2" s="1169" t="s">
        <v>5</v>
      </c>
      <c r="I2" s="1170"/>
      <c r="J2" s="732"/>
      <c r="K2" s="1171" t="s">
        <v>2065</v>
      </c>
      <c r="L2" s="1172" t="s">
        <v>8178</v>
      </c>
      <c r="M2" s="732"/>
      <c r="N2" s="1173" t="s">
        <v>2050</v>
      </c>
      <c r="O2" s="1173" t="s">
        <v>6775</v>
      </c>
      <c r="P2" s="589"/>
    </row>
    <row r="3" spans="1:16" ht="20.100000000000001" customHeight="1" x14ac:dyDescent="0.55000000000000004">
      <c r="A3" s="701"/>
      <c r="B3" s="1174">
        <v>1</v>
      </c>
      <c r="C3" s="692" t="s">
        <v>2079</v>
      </c>
      <c r="D3" s="702">
        <v>0</v>
      </c>
      <c r="E3" s="624"/>
      <c r="F3" s="1175">
        <v>1</v>
      </c>
      <c r="G3" s="693" t="s">
        <v>2470</v>
      </c>
      <c r="H3" s="694">
        <v>93100</v>
      </c>
      <c r="K3" s="597" t="s">
        <v>2079</v>
      </c>
      <c r="L3" s="597">
        <v>0</v>
      </c>
      <c r="N3" s="597" t="s">
        <v>2470</v>
      </c>
      <c r="O3" s="597">
        <v>93100</v>
      </c>
    </row>
    <row r="4" spans="1:16" ht="20.100000000000001" customHeight="1" x14ac:dyDescent="0.55000000000000004">
      <c r="A4" s="1176"/>
      <c r="B4" s="1174">
        <v>2</v>
      </c>
      <c r="C4" s="692" t="s">
        <v>2076</v>
      </c>
      <c r="D4" s="702">
        <v>0</v>
      </c>
      <c r="E4" s="624"/>
      <c r="F4" s="1175">
        <v>2</v>
      </c>
      <c r="G4" s="693" t="s">
        <v>1420</v>
      </c>
      <c r="H4" s="694">
        <v>93640</v>
      </c>
      <c r="K4" s="597" t="s">
        <v>2076</v>
      </c>
      <c r="L4" s="597">
        <v>0</v>
      </c>
      <c r="N4" s="597" t="s">
        <v>1420</v>
      </c>
      <c r="O4" s="597">
        <v>93640</v>
      </c>
    </row>
    <row r="5" spans="1:16" ht="20.100000000000001" customHeight="1" x14ac:dyDescent="0.55000000000000004">
      <c r="A5" s="1176"/>
      <c r="B5" s="1177">
        <v>3</v>
      </c>
      <c r="C5" s="1178" t="s">
        <v>3019</v>
      </c>
      <c r="D5" s="1179">
        <v>411000</v>
      </c>
      <c r="E5" s="624"/>
      <c r="F5" s="1175">
        <v>3</v>
      </c>
      <c r="G5" s="693" t="s">
        <v>1380</v>
      </c>
      <c r="H5" s="693">
        <v>106500</v>
      </c>
      <c r="K5" s="597" t="s">
        <v>3019</v>
      </c>
      <c r="L5" s="597">
        <v>411000</v>
      </c>
      <c r="N5" s="597" t="s">
        <v>1380</v>
      </c>
      <c r="O5" s="597">
        <v>106500</v>
      </c>
    </row>
    <row r="6" spans="1:16" ht="20.100000000000001" customHeight="1" x14ac:dyDescent="0.55000000000000004">
      <c r="A6" s="1176"/>
      <c r="B6" s="1174">
        <v>6</v>
      </c>
      <c r="C6" s="692" t="s">
        <v>933</v>
      </c>
      <c r="D6" s="1180">
        <v>2487066</v>
      </c>
      <c r="E6" s="624"/>
      <c r="F6" s="1175">
        <v>4</v>
      </c>
      <c r="G6" s="693" t="s">
        <v>933</v>
      </c>
      <c r="H6" s="694">
        <v>7718906</v>
      </c>
      <c r="K6" s="597" t="s">
        <v>933</v>
      </c>
      <c r="L6" s="597">
        <v>2487066</v>
      </c>
      <c r="N6" s="597" t="s">
        <v>933</v>
      </c>
      <c r="O6" s="597">
        <v>7718906</v>
      </c>
    </row>
    <row r="7" spans="1:16" ht="20.100000000000001" customHeight="1" x14ac:dyDescent="0.55000000000000004">
      <c r="A7" s="1181"/>
      <c r="B7" s="1174">
        <v>7</v>
      </c>
      <c r="C7" s="692" t="s">
        <v>3020</v>
      </c>
      <c r="D7" s="702">
        <v>0</v>
      </c>
      <c r="E7" s="624"/>
      <c r="F7" s="1175">
        <v>5</v>
      </c>
      <c r="G7" s="693" t="s">
        <v>6137</v>
      </c>
      <c r="H7" s="694">
        <v>227500</v>
      </c>
      <c r="K7" s="597" t="s">
        <v>3020</v>
      </c>
      <c r="L7" s="597">
        <v>0</v>
      </c>
      <c r="N7" s="597" t="s">
        <v>6137</v>
      </c>
      <c r="O7" s="597">
        <v>227500</v>
      </c>
    </row>
    <row r="8" spans="1:16" ht="20.100000000000001" customHeight="1" x14ac:dyDescent="0.55000000000000004">
      <c r="A8" s="1176"/>
      <c r="B8" s="1174">
        <v>8</v>
      </c>
      <c r="C8" s="692" t="s">
        <v>2271</v>
      </c>
      <c r="D8" s="702">
        <v>0</v>
      </c>
      <c r="E8" s="624"/>
      <c r="F8" s="1175">
        <v>6</v>
      </c>
      <c r="G8" s="693" t="s">
        <v>1429</v>
      </c>
      <c r="H8" s="694">
        <v>1262500</v>
      </c>
      <c r="K8" s="597" t="s">
        <v>2271</v>
      </c>
      <c r="L8" s="597">
        <v>0</v>
      </c>
      <c r="N8" s="597" t="s">
        <v>1429</v>
      </c>
      <c r="O8" s="597">
        <v>1262500</v>
      </c>
    </row>
    <row r="9" spans="1:16" ht="20.100000000000001" customHeight="1" x14ac:dyDescent="0.55000000000000004">
      <c r="A9" s="1181"/>
      <c r="B9" s="1174">
        <v>9</v>
      </c>
      <c r="C9" s="692" t="s">
        <v>2074</v>
      </c>
      <c r="D9" s="702">
        <v>0</v>
      </c>
      <c r="E9" s="624"/>
      <c r="F9" s="1175">
        <v>7</v>
      </c>
      <c r="G9" s="693" t="s">
        <v>1397</v>
      </c>
      <c r="H9" s="694">
        <v>62582202</v>
      </c>
      <c r="K9" s="597" t="s">
        <v>2074</v>
      </c>
      <c r="L9" s="597">
        <v>0</v>
      </c>
      <c r="N9" s="597" t="s">
        <v>1397</v>
      </c>
      <c r="O9" s="597">
        <v>62582202</v>
      </c>
    </row>
    <row r="10" spans="1:16" ht="20.45" customHeight="1" x14ac:dyDescent="0.55000000000000004">
      <c r="A10" s="624"/>
      <c r="B10" s="1174">
        <v>10</v>
      </c>
      <c r="C10" s="692" t="s">
        <v>3021</v>
      </c>
      <c r="D10" s="702">
        <v>0</v>
      </c>
      <c r="E10" s="624"/>
      <c r="F10" s="1175">
        <v>8</v>
      </c>
      <c r="G10" s="693" t="s">
        <v>1093</v>
      </c>
      <c r="H10" s="694">
        <v>8665972</v>
      </c>
      <c r="K10" s="597" t="s">
        <v>3021</v>
      </c>
      <c r="L10" s="597">
        <v>0</v>
      </c>
      <c r="N10" s="597" t="s">
        <v>1093</v>
      </c>
      <c r="O10" s="597">
        <v>8665972</v>
      </c>
    </row>
    <row r="11" spans="1:16" ht="20.100000000000001" customHeight="1" x14ac:dyDescent="0.55000000000000004">
      <c r="A11" s="624"/>
      <c r="B11" s="1174">
        <v>11</v>
      </c>
      <c r="C11" s="692" t="s">
        <v>3022</v>
      </c>
      <c r="D11" s="702">
        <v>0</v>
      </c>
      <c r="E11" s="624"/>
      <c r="F11" s="1175">
        <v>9</v>
      </c>
      <c r="G11" s="693" t="s">
        <v>1948</v>
      </c>
      <c r="H11" s="694">
        <v>4631</v>
      </c>
      <c r="K11" s="597" t="s">
        <v>3022</v>
      </c>
      <c r="L11" s="597">
        <v>0</v>
      </c>
      <c r="N11" s="597" t="s">
        <v>1948</v>
      </c>
      <c r="O11" s="597">
        <v>4631</v>
      </c>
    </row>
    <row r="12" spans="1:16" ht="20.100000000000001" customHeight="1" x14ac:dyDescent="0.55000000000000004">
      <c r="A12" s="624"/>
      <c r="B12" s="1174">
        <v>12</v>
      </c>
      <c r="C12" s="692" t="s">
        <v>6776</v>
      </c>
      <c r="D12" s="702">
        <v>0</v>
      </c>
      <c r="E12" s="624"/>
      <c r="F12" s="1175">
        <v>10</v>
      </c>
      <c r="G12" s="693" t="s">
        <v>57</v>
      </c>
      <c r="H12" s="694">
        <v>4121540</v>
      </c>
      <c r="K12" s="597" t="s">
        <v>6776</v>
      </c>
      <c r="L12" s="597">
        <v>0</v>
      </c>
      <c r="N12" s="597" t="s">
        <v>57</v>
      </c>
      <c r="O12" s="597">
        <v>4121540</v>
      </c>
    </row>
    <row r="13" spans="1:16" ht="20.100000000000001" customHeight="1" x14ac:dyDescent="0.55000000000000004">
      <c r="A13" s="1182"/>
      <c r="B13" s="1174">
        <v>13</v>
      </c>
      <c r="C13" s="692" t="s">
        <v>3023</v>
      </c>
      <c r="D13" s="702">
        <v>0</v>
      </c>
      <c r="E13" s="624"/>
      <c r="F13" s="1175">
        <v>11</v>
      </c>
      <c r="G13" s="693" t="s">
        <v>1877</v>
      </c>
      <c r="H13" s="694">
        <v>4624748</v>
      </c>
      <c r="K13" s="597" t="s">
        <v>3023</v>
      </c>
      <c r="L13" s="597">
        <v>0</v>
      </c>
      <c r="N13" s="597" t="s">
        <v>1877</v>
      </c>
      <c r="O13" s="597">
        <v>4624748</v>
      </c>
    </row>
    <row r="14" spans="1:16" ht="20.100000000000001" customHeight="1" x14ac:dyDescent="0.55000000000000004">
      <c r="A14" s="624"/>
      <c r="B14" s="1174">
        <v>14</v>
      </c>
      <c r="C14" s="692" t="s">
        <v>2068</v>
      </c>
      <c r="D14" s="702">
        <v>0</v>
      </c>
      <c r="E14" s="624"/>
      <c r="F14" s="1175"/>
      <c r="G14" s="693"/>
      <c r="H14" s="1183"/>
      <c r="K14" s="597" t="s">
        <v>2068</v>
      </c>
      <c r="L14" s="597">
        <v>0</v>
      </c>
      <c r="N14" s="1171" t="s">
        <v>2049</v>
      </c>
      <c r="O14" s="1171">
        <f>SUM(O3:O13)</f>
        <v>89501239</v>
      </c>
    </row>
    <row r="15" spans="1:16" ht="20.100000000000001" customHeight="1" x14ac:dyDescent="0.55000000000000004">
      <c r="A15" s="624"/>
      <c r="B15" s="1174">
        <v>15</v>
      </c>
      <c r="C15" s="692" t="s">
        <v>2077</v>
      </c>
      <c r="D15" s="702">
        <v>0</v>
      </c>
      <c r="E15" s="624"/>
      <c r="F15" s="1175"/>
      <c r="G15" s="1184" t="s">
        <v>2049</v>
      </c>
      <c r="H15" s="1184">
        <f>SUM(H3:H14)</f>
        <v>89501239</v>
      </c>
      <c r="K15" s="597" t="s">
        <v>2077</v>
      </c>
      <c r="L15" s="597">
        <v>0</v>
      </c>
      <c r="M15" s="202"/>
    </row>
    <row r="16" spans="1:16" ht="20.100000000000001" customHeight="1" x14ac:dyDescent="0.55000000000000004">
      <c r="A16" s="624"/>
      <c r="B16" s="1174">
        <v>16</v>
      </c>
      <c r="C16" s="692" t="s">
        <v>1372</v>
      </c>
      <c r="D16" s="702">
        <v>0</v>
      </c>
      <c r="E16" s="624"/>
      <c r="K16" s="597" t="s">
        <v>1372</v>
      </c>
      <c r="L16" s="597">
        <v>0</v>
      </c>
      <c r="M16" s="202"/>
    </row>
    <row r="17" spans="1:12" ht="20.100000000000001" customHeight="1" x14ac:dyDescent="0.55000000000000004">
      <c r="A17" s="624"/>
      <c r="B17" s="1174">
        <v>17</v>
      </c>
      <c r="C17" s="692" t="s">
        <v>3024</v>
      </c>
      <c r="D17" s="702">
        <v>0</v>
      </c>
      <c r="E17" s="624"/>
      <c r="K17" s="597" t="s">
        <v>3024</v>
      </c>
      <c r="L17" s="597">
        <v>0</v>
      </c>
    </row>
    <row r="18" spans="1:12" x14ac:dyDescent="0.55000000000000004">
      <c r="A18" s="624"/>
      <c r="B18" s="1174">
        <v>18</v>
      </c>
      <c r="C18" s="692" t="s">
        <v>6777</v>
      </c>
      <c r="D18" s="702">
        <v>438000</v>
      </c>
      <c r="E18" s="624"/>
      <c r="K18" s="597" t="s">
        <v>6777</v>
      </c>
      <c r="L18" s="597">
        <v>438000</v>
      </c>
    </row>
    <row r="19" spans="1:12" x14ac:dyDescent="0.55000000000000004">
      <c r="A19" s="624"/>
      <c r="B19" s="1174">
        <v>19</v>
      </c>
      <c r="C19" s="692" t="s">
        <v>2075</v>
      </c>
      <c r="D19" s="702">
        <v>674325</v>
      </c>
      <c r="E19" s="624"/>
      <c r="K19" s="597" t="s">
        <v>2075</v>
      </c>
      <c r="L19" s="597">
        <v>674325</v>
      </c>
    </row>
    <row r="20" spans="1:12" ht="22.5" x14ac:dyDescent="0.6">
      <c r="A20" s="624"/>
      <c r="B20" s="1174">
        <v>20</v>
      </c>
      <c r="C20" s="1222" t="s">
        <v>8200</v>
      </c>
      <c r="D20" s="702">
        <v>1560000</v>
      </c>
      <c r="E20" s="624"/>
      <c r="F20" s="1185"/>
      <c r="K20" s="1221" t="s">
        <v>8200</v>
      </c>
      <c r="L20" s="597">
        <v>1560000</v>
      </c>
    </row>
    <row r="21" spans="1:12" x14ac:dyDescent="0.55000000000000004">
      <c r="A21" s="624"/>
      <c r="B21" s="1174">
        <v>22</v>
      </c>
      <c r="C21" s="1184" t="s">
        <v>2049</v>
      </c>
      <c r="D21" s="62">
        <f>SUBTOTAL(109,D3:D20)</f>
        <v>5570391</v>
      </c>
      <c r="E21" s="624"/>
      <c r="F21" s="626"/>
      <c r="K21" s="1171" t="s">
        <v>2049</v>
      </c>
      <c r="L21" s="1171">
        <f>SUM(L3:L20)</f>
        <v>5570391</v>
      </c>
    </row>
    <row r="22" spans="1:12" x14ac:dyDescent="0.55000000000000004">
      <c r="A22" s="624"/>
      <c r="B22" s="1186"/>
      <c r="C22" s="692"/>
      <c r="D22" s="1187"/>
      <c r="E22" s="624"/>
      <c r="F22" s="626"/>
    </row>
    <row r="23" spans="1:12" x14ac:dyDescent="0.55000000000000004">
      <c r="A23" s="624"/>
      <c r="B23" s="1188"/>
      <c r="C23" s="1189"/>
      <c r="D23" s="626"/>
      <c r="E23" s="1190"/>
      <c r="F23" s="626"/>
    </row>
    <row r="24" spans="1:12" ht="23.25" x14ac:dyDescent="0.6">
      <c r="A24" s="624"/>
      <c r="B24" s="624"/>
      <c r="C24" s="1191" t="s">
        <v>2341</v>
      </c>
      <c r="D24" s="1191" t="s">
        <v>4</v>
      </c>
      <c r="E24" s="1190"/>
      <c r="F24" s="597"/>
      <c r="G24" s="1330" t="s">
        <v>8873</v>
      </c>
      <c r="H24" s="1330"/>
      <c r="J24" s="732"/>
    </row>
    <row r="25" spans="1:12" x14ac:dyDescent="0.55000000000000004">
      <c r="A25" s="624"/>
      <c r="B25" s="624"/>
      <c r="C25" s="721" t="s">
        <v>7880</v>
      </c>
      <c r="D25" s="702">
        <f>H15</f>
        <v>89501239</v>
      </c>
      <c r="E25" s="1192"/>
      <c r="F25" s="597"/>
      <c r="G25" s="87" t="s">
        <v>6377</v>
      </c>
      <c r="H25" s="732" t="s">
        <v>5</v>
      </c>
    </row>
    <row r="26" spans="1:12" x14ac:dyDescent="0.55000000000000004">
      <c r="A26" s="624"/>
      <c r="B26" s="624"/>
      <c r="C26" s="721" t="s">
        <v>8179</v>
      </c>
      <c r="D26" s="702">
        <f>D21</f>
        <v>5570391</v>
      </c>
      <c r="E26" s="1192"/>
      <c r="F26" s="597"/>
      <c r="G26" s="1193">
        <v>44681</v>
      </c>
      <c r="H26" s="62">
        <v>31546161</v>
      </c>
    </row>
    <row r="27" spans="1:12" ht="22.5" thickBot="1" x14ac:dyDescent="0.6">
      <c r="A27" s="624"/>
      <c r="B27" s="624"/>
      <c r="C27" s="1194" t="s">
        <v>3017</v>
      </c>
      <c r="D27" s="517">
        <f>D25-D26</f>
        <v>83930848</v>
      </c>
      <c r="E27" s="1192"/>
      <c r="F27" s="597"/>
      <c r="G27" s="1195"/>
      <c r="H27" s="1196"/>
    </row>
    <row r="28" spans="1:12" ht="22.5" thickTop="1" x14ac:dyDescent="0.55000000000000004">
      <c r="A28" s="624"/>
      <c r="B28" s="624"/>
      <c r="C28" s="624"/>
      <c r="D28" s="626"/>
      <c r="E28" s="1190"/>
      <c r="F28" s="597"/>
      <c r="G28" s="591"/>
    </row>
    <row r="29" spans="1:12" x14ac:dyDescent="0.55000000000000004">
      <c r="A29" s="624"/>
      <c r="B29" s="624"/>
      <c r="D29" s="175"/>
      <c r="E29" s="1197"/>
      <c r="G29" s="591"/>
    </row>
    <row r="30" spans="1:12" ht="22.5" x14ac:dyDescent="0.55000000000000004">
      <c r="B30" s="624"/>
      <c r="C30" s="626"/>
      <c r="D30" s="175"/>
      <c r="E30" s="1197"/>
      <c r="F30" s="597"/>
      <c r="H30" s="1198"/>
    </row>
    <row r="31" spans="1:12" x14ac:dyDescent="0.55000000000000004">
      <c r="B31" s="624"/>
      <c r="D31" s="592"/>
      <c r="E31" s="1197"/>
      <c r="F31" s="597"/>
    </row>
    <row r="32" spans="1:12" x14ac:dyDescent="0.55000000000000004">
      <c r="B32" s="624"/>
      <c r="C32" s="1199"/>
      <c r="D32" s="592"/>
      <c r="E32" s="626"/>
      <c r="F32" s="597"/>
      <c r="H32" s="592"/>
    </row>
    <row r="33" spans="2:14" x14ac:dyDescent="0.55000000000000004">
      <c r="B33" s="624"/>
      <c r="D33" s="592"/>
      <c r="E33" s="626"/>
      <c r="F33" s="597"/>
      <c r="H33" s="592"/>
      <c r="K33" s="592"/>
      <c r="N33" s="592"/>
    </row>
    <row r="34" spans="2:14" x14ac:dyDescent="0.55000000000000004">
      <c r="B34" s="624"/>
      <c r="D34" s="592"/>
      <c r="H34" s="592"/>
      <c r="I34" s="597"/>
      <c r="K34" s="592"/>
      <c r="N34" s="592"/>
    </row>
    <row r="35" spans="2:14" x14ac:dyDescent="0.55000000000000004">
      <c r="C35" s="624"/>
      <c r="D35" s="592"/>
      <c r="H35" s="592"/>
      <c r="I35" s="597"/>
      <c r="K35" s="592"/>
      <c r="N35" s="592"/>
    </row>
    <row r="36" spans="2:14" x14ac:dyDescent="0.55000000000000004">
      <c r="F36" s="87"/>
      <c r="H36" s="592"/>
      <c r="I36" s="597"/>
      <c r="K36" s="592"/>
      <c r="N36" s="592"/>
    </row>
    <row r="37" spans="2:14" x14ac:dyDescent="0.55000000000000004">
      <c r="I37" s="597"/>
      <c r="K37" s="592"/>
      <c r="N37" s="592"/>
    </row>
    <row r="38" spans="2:14" x14ac:dyDescent="0.55000000000000004">
      <c r="E38" s="597"/>
      <c r="I38" s="597"/>
      <c r="K38" s="592"/>
      <c r="N38" s="592"/>
    </row>
    <row r="39" spans="2:14" x14ac:dyDescent="0.55000000000000004">
      <c r="E39" s="597"/>
      <c r="I39" s="597"/>
      <c r="K39" s="592"/>
      <c r="N39" s="592"/>
    </row>
    <row r="40" spans="2:14" x14ac:dyDescent="0.55000000000000004">
      <c r="E40" s="202"/>
      <c r="I40" s="597"/>
    </row>
    <row r="41" spans="2:14" x14ac:dyDescent="0.55000000000000004">
      <c r="E41" s="175"/>
    </row>
    <row r="42" spans="2:14" x14ac:dyDescent="0.55000000000000004">
      <c r="E42" s="175"/>
    </row>
  </sheetData>
  <mergeCells count="3">
    <mergeCell ref="F1:H1"/>
    <mergeCell ref="B1:D1"/>
    <mergeCell ref="G24:H24"/>
  </mergeCells>
  <pageMargins left="0.15" right="0.25" top="0.75" bottom="0.75" header="0.3" footer="0.3"/>
  <pageSetup paperSize="9" scale="75" orientation="portrait" verticalDpi="0" r:id="rId1"/>
  <ignoredErrors>
    <ignoredError sqref="D22" formulaRange="1"/>
    <ignoredError sqref="H26" calculatedColumn="1"/>
  </ignoredErrors>
  <tableParts count="3">
    <tablePart r:id="rId2"/>
    <tablePart r:id="rId3"/>
    <tablePart r:id="rId4"/>
  </tablePart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D2"/>
  <sheetViews>
    <sheetView workbookViewId="0">
      <selection sqref="A1:D2"/>
    </sheetView>
  </sheetViews>
  <sheetFormatPr defaultRowHeight="15" x14ac:dyDescent="0.25"/>
  <cols>
    <col min="1" max="1" width="15.140625" customWidth="1"/>
    <col min="2" max="2" width="12.28515625" customWidth="1"/>
    <col min="3" max="3" width="10.5703125" customWidth="1"/>
    <col min="4" max="4" width="11.85546875" customWidth="1"/>
  </cols>
  <sheetData>
    <row r="1" spans="1:4" x14ac:dyDescent="0.25">
      <c r="A1" t="s">
        <v>6286</v>
      </c>
      <c r="B1" t="s">
        <v>2236</v>
      </c>
      <c r="C1" t="s">
        <v>1383</v>
      </c>
      <c r="D1" t="s">
        <v>2119</v>
      </c>
    </row>
    <row r="2" spans="1:4" x14ac:dyDescent="0.25">
      <c r="A2" s="407">
        <v>44227</v>
      </c>
      <c r="B2">
        <v>7973192</v>
      </c>
      <c r="C2">
        <v>1522605</v>
      </c>
      <c r="D2">
        <v>6450587</v>
      </c>
    </row>
  </sheetData>
  <pageMargins left="0.7" right="0.7" top="0.75" bottom="0.75" header="0.3" footer="0.3"/>
  <tableParts count="1">
    <tablePart r:id="rId1"/>
  </tablePart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rgb="FFFC24AF"/>
  </sheetPr>
  <dimension ref="A1:M32"/>
  <sheetViews>
    <sheetView view="pageBreakPreview" zoomScale="60" zoomScaleNormal="84" workbookViewId="0">
      <selection activeCell="C4" sqref="C4"/>
    </sheetView>
  </sheetViews>
  <sheetFormatPr defaultColWidth="19.28515625" defaultRowHeight="21" x14ac:dyDescent="0.6"/>
  <cols>
    <col min="1" max="1" width="2.85546875" style="1081" customWidth="1"/>
    <col min="2" max="2" width="19.28515625" style="739"/>
    <col min="3" max="3" width="19.28515625" style="1081"/>
    <col min="4" max="4" width="19.28515625" style="777"/>
    <col min="5" max="5" width="19.28515625" style="739"/>
    <col min="6" max="6" width="6" style="739" customWidth="1"/>
    <col min="7" max="7" width="13.85546875" style="1082" customWidth="1"/>
    <col min="8" max="8" width="18.28515625" style="739" customWidth="1"/>
    <col min="9" max="9" width="13.5703125" style="739" customWidth="1"/>
    <col min="10" max="10" width="12" style="739" customWidth="1"/>
    <col min="11" max="11" width="5.28515625" style="739" customWidth="1"/>
    <col min="12" max="12" width="13.140625" style="739" customWidth="1"/>
    <col min="13" max="13" width="20.42578125" style="777" bestFit="1" customWidth="1"/>
    <col min="14" max="14" width="13.140625" style="739" customWidth="1"/>
    <col min="15" max="15" width="17.5703125" style="739" customWidth="1"/>
    <col min="16" max="16" width="3.85546875" style="739" customWidth="1"/>
    <col min="17" max="17" width="19.85546875" style="739" customWidth="1"/>
    <col min="18" max="18" width="24.140625" style="739" customWidth="1"/>
    <col min="19" max="16384" width="19.28515625" style="739"/>
  </cols>
  <sheetData>
    <row r="1" spans="1:13" x14ac:dyDescent="0.6">
      <c r="B1" s="1331" t="s">
        <v>7292</v>
      </c>
      <c r="C1" s="1331"/>
      <c r="D1" s="1098" t="s">
        <v>8501</v>
      </c>
    </row>
    <row r="2" spans="1:13" x14ac:dyDescent="0.6">
      <c r="A2" s="739"/>
      <c r="B2" s="1082"/>
      <c r="C2" s="739"/>
      <c r="D2" s="739"/>
      <c r="G2" s="739"/>
      <c r="H2" s="777"/>
      <c r="M2" s="739"/>
    </row>
    <row r="3" spans="1:13" x14ac:dyDescent="0.6">
      <c r="A3" s="739"/>
      <c r="B3" s="1083" t="s">
        <v>6286</v>
      </c>
      <c r="C3" s="1084" t="s">
        <v>2236</v>
      </c>
      <c r="D3" s="1085" t="s">
        <v>1383</v>
      </c>
      <c r="E3" s="1085" t="s">
        <v>2119</v>
      </c>
      <c r="G3" s="1086" t="s">
        <v>6287</v>
      </c>
      <c r="H3" s="1056" t="s">
        <v>6288</v>
      </c>
      <c r="I3" s="739" t="s">
        <v>6289</v>
      </c>
      <c r="J3" s="739" t="s">
        <v>6290</v>
      </c>
      <c r="L3" s="1081" t="s">
        <v>1244</v>
      </c>
      <c r="M3" s="739" t="s">
        <v>8486</v>
      </c>
    </row>
    <row r="4" spans="1:13" s="1081" customFormat="1" ht="27" x14ac:dyDescent="0.75">
      <c r="B4" s="1087">
        <v>44592</v>
      </c>
      <c r="C4" s="1225">
        <v>5596988</v>
      </c>
      <c r="D4" s="1089">
        <v>1513550</v>
      </c>
      <c r="E4" s="1090">
        <f>Table24[[#This Row],[Sale Profit]]-Table24[[#This Row],[Expense]]</f>
        <v>4083438</v>
      </c>
      <c r="G4" s="1091">
        <v>44592</v>
      </c>
      <c r="H4" s="1056">
        <v>4083438</v>
      </c>
      <c r="I4" s="1092">
        <v>4083438</v>
      </c>
      <c r="J4" s="1093">
        <v>0.25218446880751588</v>
      </c>
      <c r="L4" s="1081">
        <f>COUNT(Table24[Sale Profit])</f>
        <v>4</v>
      </c>
      <c r="M4" s="1080">
        <f>GETPIVOTDATA("Sum of Net Profit",$G$3)/COUNT(Table24[Sale Profit])</f>
        <v>4048066.5</v>
      </c>
    </row>
    <row r="5" spans="1:13" x14ac:dyDescent="0.6">
      <c r="A5" s="739"/>
      <c r="B5" s="1087">
        <v>44620</v>
      </c>
      <c r="C5" s="1094">
        <v>4422515</v>
      </c>
      <c r="D5" s="1095">
        <v>1430650</v>
      </c>
      <c r="E5" s="1096">
        <f>Table24[[#This Row],[Sale Profit]]-Table24[[#This Row],[Expense]]</f>
        <v>2991865</v>
      </c>
      <c r="G5" s="1091">
        <v>44620</v>
      </c>
      <c r="H5" s="1056">
        <v>2991865</v>
      </c>
      <c r="I5" s="1092">
        <v>2991865</v>
      </c>
      <c r="J5" s="1093">
        <v>0.18477123584802768</v>
      </c>
      <c r="M5" s="739"/>
    </row>
    <row r="6" spans="1:13" x14ac:dyDescent="0.6">
      <c r="A6" s="739"/>
      <c r="B6" s="1087">
        <v>44651</v>
      </c>
      <c r="C6" s="1088">
        <v>6200928</v>
      </c>
      <c r="D6" s="1089">
        <v>1395250</v>
      </c>
      <c r="E6" s="1096">
        <f>Table24[[#This Row],[Sale Profit]]-Table24[[#This Row],[Expense]]</f>
        <v>4805678</v>
      </c>
      <c r="G6" s="1091">
        <v>44651</v>
      </c>
      <c r="H6" s="1056">
        <v>4805678</v>
      </c>
      <c r="I6" s="1092">
        <v>4805678</v>
      </c>
      <c r="J6" s="1093">
        <v>0.29678847914183226</v>
      </c>
      <c r="M6" s="739"/>
    </row>
    <row r="7" spans="1:13" x14ac:dyDescent="0.6">
      <c r="A7" s="739"/>
      <c r="B7" s="1087">
        <v>44681</v>
      </c>
      <c r="C7" s="1088">
        <v>6029435</v>
      </c>
      <c r="D7" s="1089">
        <v>1718150</v>
      </c>
      <c r="E7" s="1096">
        <f>Table24[[#This Row],[Sale Profit]]-Table24[[#This Row],[Expense]]</f>
        <v>4311285</v>
      </c>
      <c r="G7" s="1091">
        <v>44681</v>
      </c>
      <c r="H7" s="1056">
        <v>4311285</v>
      </c>
      <c r="I7" s="1092">
        <v>4311285</v>
      </c>
      <c r="J7" s="1093">
        <v>0.26625581620262412</v>
      </c>
      <c r="M7" s="739"/>
    </row>
    <row r="8" spans="1:13" x14ac:dyDescent="0.6">
      <c r="A8" s="739"/>
      <c r="B8" s="1087">
        <v>44712</v>
      </c>
      <c r="C8" s="1094"/>
      <c r="D8" s="1095"/>
      <c r="E8" s="1096">
        <f>Table24[[#This Row],[Sale Profit]]-Table24[[#This Row],[Expense]]</f>
        <v>0</v>
      </c>
      <c r="G8" s="1091">
        <v>44712</v>
      </c>
      <c r="H8" s="1056">
        <v>0</v>
      </c>
      <c r="I8" s="1092">
        <v>0</v>
      </c>
      <c r="J8" s="1093">
        <v>0</v>
      </c>
      <c r="M8" s="739"/>
    </row>
    <row r="9" spans="1:13" x14ac:dyDescent="0.6">
      <c r="A9" s="739"/>
      <c r="B9" s="1087">
        <v>44742</v>
      </c>
      <c r="C9" s="1088"/>
      <c r="D9" s="1089"/>
      <c r="E9" s="1096">
        <f>Table24[[#This Row],[Sale Profit]]-Table24[[#This Row],[Expense]]</f>
        <v>0</v>
      </c>
      <c r="G9" s="1091">
        <v>44742</v>
      </c>
      <c r="H9" s="1056">
        <v>0</v>
      </c>
      <c r="I9" s="1092">
        <v>0</v>
      </c>
      <c r="J9" s="1093">
        <v>0</v>
      </c>
      <c r="M9" s="739"/>
    </row>
    <row r="10" spans="1:13" x14ac:dyDescent="0.6">
      <c r="A10" s="739"/>
      <c r="B10" s="1087">
        <v>44773</v>
      </c>
      <c r="C10" s="1088"/>
      <c r="D10" s="1089"/>
      <c r="E10" s="1096">
        <f>Table24[[#This Row],[Sale Profit]]-Table24[[#This Row],[Expense]]</f>
        <v>0</v>
      </c>
      <c r="G10" s="1091">
        <v>44773</v>
      </c>
      <c r="H10" s="1056">
        <v>0</v>
      </c>
      <c r="I10" s="1092">
        <v>0</v>
      </c>
      <c r="J10" s="1093">
        <v>0</v>
      </c>
      <c r="M10" s="739"/>
    </row>
    <row r="11" spans="1:13" x14ac:dyDescent="0.6">
      <c r="A11" s="739"/>
      <c r="B11" s="1087">
        <v>44804</v>
      </c>
      <c r="C11" s="1094"/>
      <c r="D11" s="1095"/>
      <c r="E11" s="1096">
        <f>Table24[[#This Row],[Sale Profit]]-Table24[[#This Row],[Expense]]</f>
        <v>0</v>
      </c>
      <c r="G11" s="1091">
        <v>44804</v>
      </c>
      <c r="H11" s="1056">
        <v>0</v>
      </c>
      <c r="I11" s="1092">
        <v>0</v>
      </c>
      <c r="J11" s="1093">
        <v>0</v>
      </c>
      <c r="M11" s="739"/>
    </row>
    <row r="12" spans="1:13" x14ac:dyDescent="0.6">
      <c r="A12" s="739"/>
      <c r="B12" s="1087">
        <v>44834</v>
      </c>
      <c r="C12" s="1066"/>
      <c r="D12" s="1066"/>
      <c r="E12" s="1096">
        <f>Table24[[#This Row],[Sale Profit]]-Table24[[#This Row],[Expense]]</f>
        <v>0</v>
      </c>
      <c r="G12" s="1091">
        <v>44834</v>
      </c>
      <c r="H12" s="1056">
        <v>0</v>
      </c>
      <c r="I12" s="1092">
        <v>0</v>
      </c>
      <c r="J12" s="1093">
        <v>0</v>
      </c>
      <c r="M12" s="739"/>
    </row>
    <row r="13" spans="1:13" x14ac:dyDescent="0.6">
      <c r="A13" s="739"/>
      <c r="B13" s="1087">
        <v>44865</v>
      </c>
      <c r="C13" s="1066"/>
      <c r="D13" s="1066"/>
      <c r="E13" s="1096">
        <f>Table24[[#This Row],[Sale Profit]]-Table24[[#This Row],[Expense]]</f>
        <v>0</v>
      </c>
      <c r="G13" s="1091">
        <v>44865</v>
      </c>
      <c r="H13" s="1056">
        <v>0</v>
      </c>
      <c r="I13" s="1092">
        <v>0</v>
      </c>
      <c r="J13" s="1093">
        <v>0</v>
      </c>
      <c r="M13" s="739"/>
    </row>
    <row r="14" spans="1:13" x14ac:dyDescent="0.6">
      <c r="A14" s="739"/>
      <c r="B14" s="1087">
        <v>44895</v>
      </c>
      <c r="C14" s="1066"/>
      <c r="D14" s="1066"/>
      <c r="E14" s="1096">
        <f>Table24[[#This Row],[Sale Profit]]-Table24[[#This Row],[Expense]]</f>
        <v>0</v>
      </c>
      <c r="G14" s="1091">
        <v>44895</v>
      </c>
      <c r="H14" s="1056">
        <v>0</v>
      </c>
      <c r="I14" s="1092">
        <v>0</v>
      </c>
      <c r="J14" s="1093">
        <v>0</v>
      </c>
      <c r="M14" s="739"/>
    </row>
    <row r="15" spans="1:13" x14ac:dyDescent="0.6">
      <c r="A15" s="739"/>
      <c r="B15" s="1087">
        <v>44926</v>
      </c>
      <c r="C15" s="1066"/>
      <c r="D15" s="1066"/>
      <c r="E15" s="1096">
        <f>Table24[[#This Row],[Sale Profit]]-Table24[[#This Row],[Expense]]</f>
        <v>0</v>
      </c>
      <c r="G15" s="1091">
        <v>44926</v>
      </c>
      <c r="H15" s="1056">
        <v>0</v>
      </c>
      <c r="I15" s="1092">
        <v>0</v>
      </c>
      <c r="J15" s="1093">
        <v>0</v>
      </c>
      <c r="M15" s="739"/>
    </row>
    <row r="16" spans="1:13" x14ac:dyDescent="0.6">
      <c r="A16" s="739"/>
      <c r="B16" s="1082"/>
      <c r="C16" s="739"/>
      <c r="D16" s="739"/>
      <c r="G16" s="1091" t="s">
        <v>2049</v>
      </c>
      <c r="H16" s="1056">
        <v>16192266</v>
      </c>
      <c r="I16" s="1056">
        <v>16192266</v>
      </c>
      <c r="J16" s="1097">
        <v>1</v>
      </c>
      <c r="M16" s="739"/>
    </row>
    <row r="17" spans="1:13" x14ac:dyDescent="0.6">
      <c r="A17" s="739"/>
      <c r="B17" s="1082"/>
      <c r="C17" s="739"/>
      <c r="D17" s="739"/>
      <c r="G17" s="739"/>
      <c r="H17" s="777"/>
      <c r="M17" s="739"/>
    </row>
    <row r="18" spans="1:13" x14ac:dyDescent="0.6">
      <c r="A18" s="739"/>
      <c r="B18" s="1082"/>
      <c r="C18" s="739"/>
      <c r="D18" s="739"/>
      <c r="G18" s="739"/>
      <c r="H18" s="777"/>
      <c r="M18" s="739"/>
    </row>
    <row r="19" spans="1:13" x14ac:dyDescent="0.6">
      <c r="A19" s="739"/>
      <c r="B19" s="1082"/>
      <c r="C19" s="739"/>
      <c r="D19" s="739"/>
      <c r="G19" s="739"/>
      <c r="H19" s="777"/>
      <c r="M19" s="739"/>
    </row>
    <row r="20" spans="1:13" x14ac:dyDescent="0.6">
      <c r="A20" s="739"/>
      <c r="B20" s="1082"/>
      <c r="C20" s="739"/>
      <c r="D20" s="739"/>
      <c r="G20" s="739"/>
      <c r="H20" s="777"/>
      <c r="M20" s="739"/>
    </row>
    <row r="21" spans="1:13" x14ac:dyDescent="0.6">
      <c r="A21" s="739"/>
      <c r="B21" s="1082"/>
      <c r="C21" s="739"/>
      <c r="D21" s="739"/>
      <c r="G21" s="739"/>
      <c r="H21" s="777"/>
      <c r="M21" s="739"/>
    </row>
    <row r="22" spans="1:13" x14ac:dyDescent="0.6">
      <c r="A22" s="739"/>
      <c r="B22" s="1082"/>
      <c r="C22" s="739"/>
      <c r="D22" s="739"/>
      <c r="G22" s="739"/>
      <c r="H22" s="777"/>
      <c r="M22" s="739"/>
    </row>
    <row r="23" spans="1:13" x14ac:dyDescent="0.6">
      <c r="A23" s="739"/>
      <c r="B23" s="1082"/>
      <c r="C23" s="739"/>
      <c r="D23" s="739"/>
      <c r="G23" s="739"/>
      <c r="H23" s="777"/>
      <c r="M23" s="739"/>
    </row>
    <row r="24" spans="1:13" x14ac:dyDescent="0.6">
      <c r="A24" s="739"/>
      <c r="B24" s="1082"/>
      <c r="C24" s="739"/>
      <c r="D24" s="739"/>
      <c r="G24" s="739"/>
      <c r="H24" s="777"/>
      <c r="M24" s="739"/>
    </row>
    <row r="25" spans="1:13" x14ac:dyDescent="0.6">
      <c r="A25" s="739"/>
      <c r="B25" s="1082"/>
      <c r="C25" s="739"/>
      <c r="D25" s="739"/>
      <c r="G25" s="739"/>
      <c r="H25" s="777"/>
      <c r="M25" s="739"/>
    </row>
    <row r="26" spans="1:13" x14ac:dyDescent="0.6">
      <c r="A26" s="739"/>
      <c r="B26" s="1082"/>
      <c r="C26" s="739"/>
      <c r="D26" s="739"/>
      <c r="G26" s="739"/>
      <c r="H26" s="777"/>
      <c r="M26" s="739"/>
    </row>
    <row r="27" spans="1:13" x14ac:dyDescent="0.6">
      <c r="A27" s="739"/>
      <c r="B27" s="1082"/>
      <c r="C27" s="739"/>
      <c r="D27" s="739"/>
      <c r="G27" s="739"/>
      <c r="H27" s="777"/>
      <c r="M27" s="739"/>
    </row>
    <row r="28" spans="1:13" x14ac:dyDescent="0.6">
      <c r="A28" s="739"/>
      <c r="B28" s="1082"/>
      <c r="C28" s="739"/>
      <c r="D28" s="739"/>
      <c r="G28" s="739"/>
      <c r="H28" s="777"/>
      <c r="M28" s="739"/>
    </row>
    <row r="29" spans="1:13" x14ac:dyDescent="0.6">
      <c r="A29" s="739"/>
      <c r="B29" s="1082"/>
      <c r="C29" s="739"/>
      <c r="D29" s="739"/>
      <c r="G29" s="739"/>
      <c r="H29" s="777"/>
      <c r="M29" s="739"/>
    </row>
    <row r="30" spans="1:13" x14ac:dyDescent="0.6">
      <c r="A30" s="739"/>
      <c r="B30" s="1082"/>
      <c r="C30" s="739"/>
      <c r="D30" s="739"/>
      <c r="G30" s="739"/>
      <c r="H30" s="777"/>
      <c r="M30" s="739"/>
    </row>
    <row r="31" spans="1:13" x14ac:dyDescent="0.6">
      <c r="A31" s="739"/>
      <c r="B31" s="1082"/>
      <c r="C31" s="739"/>
      <c r="D31" s="739"/>
      <c r="G31" s="739"/>
      <c r="H31" s="777"/>
      <c r="M31" s="739"/>
    </row>
    <row r="32" spans="1:13" x14ac:dyDescent="0.6">
      <c r="A32" s="739"/>
      <c r="B32" s="1082"/>
      <c r="C32" s="739"/>
      <c r="D32" s="739"/>
      <c r="G32" s="739"/>
      <c r="H32" s="777"/>
      <c r="M32" s="739"/>
    </row>
  </sheetData>
  <mergeCells count="1">
    <mergeCell ref="B1:C1"/>
  </mergeCells>
  <phoneticPr fontId="45" type="noConversion"/>
  <conditionalFormatting pivot="1">
    <cfRule type="dataBar" priority="8">
      <dataBar showValue="0">
        <cfvo type="min"/>
        <cfvo type="max"/>
        <color rgb="FF002060"/>
      </dataBar>
      <extLst>
        <ext xmlns:x14="http://schemas.microsoft.com/office/spreadsheetml/2009/9/main" uri="{B025F937-C7B1-47D3-B67F-A62EFF666E3E}">
          <x14:id>{7CE651BE-15B8-4EA6-9C1B-0B670DD17BF8}</x14:id>
        </ext>
      </extLst>
    </cfRule>
  </conditionalFormatting>
  <conditionalFormatting pivot="1">
    <cfRule type="dataBar" priority="7">
      <dataBar showValue="0">
        <cfvo type="min"/>
        <cfvo type="max"/>
        <color theme="7" tint="-0.249977111117893"/>
      </dataBar>
      <extLst>
        <ext xmlns:x14="http://schemas.microsoft.com/office/spreadsheetml/2009/9/main" uri="{B025F937-C7B1-47D3-B67F-A62EFF666E3E}">
          <x14:id>{848F8586-EB3D-4EA5-884D-D1400EFEBD48}</x14:id>
        </ext>
      </extLst>
    </cfRule>
  </conditionalFormatting>
  <conditionalFormatting sqref="I1:I3 I17:I1048576">
    <cfRule type="dataBar" priority="6">
      <dataBar showValue="0">
        <cfvo type="min"/>
        <cfvo type="max"/>
        <color rgb="FF638EC6"/>
      </dataBar>
      <extLst>
        <ext xmlns:x14="http://schemas.microsoft.com/office/spreadsheetml/2009/9/main" uri="{B025F937-C7B1-47D3-B67F-A62EFF666E3E}">
          <x14:id>{447DBDC8-258F-4037-B0A3-3FEF2B98D349}</x14:id>
        </ext>
      </extLst>
    </cfRule>
  </conditionalFormatting>
  <conditionalFormatting sqref="M10">
    <cfRule type="dataBar" priority="4">
      <dataBar showValue="0">
        <cfvo type="min"/>
        <cfvo type="max"/>
        <color rgb="FFFF5050"/>
      </dataBar>
      <extLst>
        <ext xmlns:x14="http://schemas.microsoft.com/office/spreadsheetml/2009/9/main" uri="{B025F937-C7B1-47D3-B67F-A62EFF666E3E}">
          <x14:id>{02477A71-BFC4-4D20-BA14-3D089F20A6CF}</x14:id>
        </ext>
      </extLst>
    </cfRule>
    <cfRule type="dataBar" priority="5">
      <dataBar>
        <cfvo type="min"/>
        <cfvo type="max"/>
        <color rgb="FF53E602"/>
      </dataBar>
      <extLst>
        <ext xmlns:x14="http://schemas.microsoft.com/office/spreadsheetml/2009/9/main" uri="{B025F937-C7B1-47D3-B67F-A62EFF666E3E}">
          <x14:id>{2915A351-CF96-4AC2-94A4-7B0EDC4A6E14}</x14:id>
        </ext>
      </extLst>
    </cfRule>
  </conditionalFormatting>
  <conditionalFormatting sqref="I1:I3 I17:I1048576">
    <cfRule type="dataBar" priority="3">
      <dataBar showValue="0">
        <cfvo type="min"/>
        <cfvo type="max"/>
        <color rgb="FF638EC6"/>
      </dataBar>
      <extLst>
        <ext xmlns:x14="http://schemas.microsoft.com/office/spreadsheetml/2009/9/main" uri="{B025F937-C7B1-47D3-B67F-A62EFF666E3E}">
          <x14:id>{5C959AA0-1641-4B62-A0AA-7B6F89888294}</x14:id>
        </ext>
      </extLst>
    </cfRule>
  </conditionalFormatting>
  <conditionalFormatting pivot="1" sqref="I16">
    <cfRule type="dataBar" priority="2">
      <dataBar>
        <cfvo type="min"/>
        <cfvo type="max"/>
        <color rgb="FFFF555A"/>
      </dataBar>
      <extLst>
        <ext xmlns:x14="http://schemas.microsoft.com/office/spreadsheetml/2009/9/main" uri="{B025F937-C7B1-47D3-B67F-A62EFF666E3E}">
          <x14:id>{99310C39-FCF4-47E4-8E07-505B5A8343CC}</x14:id>
        </ext>
      </extLst>
    </cfRule>
  </conditionalFormatting>
  <conditionalFormatting pivot="1" sqref="I4:I15">
    <cfRule type="dataBar" priority="1">
      <dataBar showValue="0">
        <cfvo type="min"/>
        <cfvo type="max"/>
        <color rgb="FF638EC6"/>
      </dataBar>
      <extLst>
        <ext xmlns:x14="http://schemas.microsoft.com/office/spreadsheetml/2009/9/main" uri="{B025F937-C7B1-47D3-B67F-A62EFF666E3E}">
          <x14:id>{71FCFBCB-721A-478B-909B-2F277BF8F4BA}</x14:id>
        </ext>
      </extLst>
    </cfRule>
  </conditionalFormatting>
  <pageMargins left="0.25" right="0.25" top="0.52" bottom="0.75" header="0.3" footer="0.3"/>
  <pageSetup paperSize="9" scale="75" orientation="landscape" verticalDpi="0" r:id="rId2"/>
  <drawing r:id="rId3"/>
  <tableParts count="2">
    <tablePart r:id="rId4"/>
    <tablePart r:id="rId5"/>
  </tableParts>
  <extLst>
    <ext xmlns:x14="http://schemas.microsoft.com/office/spreadsheetml/2009/9/main" uri="{78C0D931-6437-407d-A8EE-F0AAD7539E65}">
      <x14:conditionalFormattings>
        <x14:conditionalFormatting xmlns:xm="http://schemas.microsoft.com/office/excel/2006/main" pivot="1">
          <x14:cfRule type="dataBar" id="{7CE651BE-15B8-4EA6-9C1B-0B670DD17BF8}">
            <x14:dataBar minLength="0" maxLength="100" border="1">
              <x14:cfvo type="autoMin"/>
              <x14:cfvo type="autoMax"/>
              <x14:borderColor rgb="FFFFFF00"/>
              <x14:negativeFillColor rgb="FFFF0000"/>
              <x14:axisColor rgb="FF000000"/>
            </x14:dataBar>
          </x14:cfRule>
        </x14:conditionalFormatting>
        <x14:conditionalFormatting xmlns:xm="http://schemas.microsoft.com/office/excel/2006/main" pivot="1">
          <x14:cfRule type="dataBar" id="{848F8586-EB3D-4EA5-884D-D1400EFEBD48}">
            <x14:dataBar minLength="0" maxLength="100" gradient="0">
              <x14:cfvo type="autoMin"/>
              <x14:cfvo type="autoMax"/>
              <x14:negativeFillColor rgb="FFFF0000"/>
              <x14:axisColor rgb="FF000000"/>
            </x14:dataBar>
          </x14:cfRule>
        </x14:conditionalFormatting>
        <x14:conditionalFormatting xmlns:xm="http://schemas.microsoft.com/office/excel/2006/main">
          <x14:cfRule type="dataBar" id="{447DBDC8-258F-4037-B0A3-3FEF2B98D349}">
            <x14:dataBar minLength="0" maxLength="100" gradient="0">
              <x14:cfvo type="autoMin"/>
              <x14:cfvo type="autoMax"/>
              <x14:negativeFillColor rgb="FFFF0000"/>
              <x14:axisColor rgb="FF000000"/>
            </x14:dataBar>
          </x14:cfRule>
          <xm:sqref>I1:I3 I17:I1048576</xm:sqref>
        </x14:conditionalFormatting>
        <x14:conditionalFormatting xmlns:xm="http://schemas.microsoft.com/office/excel/2006/main">
          <x14:cfRule type="dataBar" id="{02477A71-BFC4-4D20-BA14-3D089F20A6CF}">
            <x14:dataBar minLength="0" maxLength="100" gradient="0">
              <x14:cfvo type="autoMin"/>
              <x14:cfvo type="autoMax"/>
              <x14:negativeFillColor rgb="FFFF0000"/>
              <x14:axisColor rgb="FF000000"/>
            </x14:dataBar>
          </x14:cfRule>
          <x14:cfRule type="dataBar" id="{2915A351-CF96-4AC2-94A4-7B0EDC4A6E14}">
            <x14:dataBar minLength="0" maxLength="100" gradient="0">
              <x14:cfvo type="autoMin"/>
              <x14:cfvo type="autoMax"/>
              <x14:negativeFillColor rgb="FFFF0000"/>
              <x14:axisColor rgb="FF000000"/>
            </x14:dataBar>
          </x14:cfRule>
          <xm:sqref>M10</xm:sqref>
        </x14:conditionalFormatting>
        <x14:conditionalFormatting xmlns:xm="http://schemas.microsoft.com/office/excel/2006/main">
          <x14:cfRule type="dataBar" id="{5C959AA0-1641-4B62-A0AA-7B6F89888294}">
            <x14:dataBar minLength="0" maxLength="100" gradient="0">
              <x14:cfvo type="autoMin"/>
              <x14:cfvo type="autoMax"/>
              <x14:negativeFillColor rgb="FFFF0000"/>
              <x14:axisColor rgb="FF000000"/>
            </x14:dataBar>
          </x14:cfRule>
          <xm:sqref>I1:I3 I17:I1048576</xm:sqref>
        </x14:conditionalFormatting>
        <x14:conditionalFormatting xmlns:xm="http://schemas.microsoft.com/office/excel/2006/main" pivot="1">
          <x14:cfRule type="dataBar" id="{99310C39-FCF4-47E4-8E07-505B5A8343CC}">
            <x14:dataBar minLength="0" maxLength="100" gradient="0">
              <x14:cfvo type="autoMin"/>
              <x14:cfvo type="autoMax"/>
              <x14:negativeFillColor rgb="FFFF0000"/>
              <x14:axisColor rgb="FF000000"/>
            </x14:dataBar>
          </x14:cfRule>
          <xm:sqref>I16</xm:sqref>
        </x14:conditionalFormatting>
        <x14:conditionalFormatting xmlns:xm="http://schemas.microsoft.com/office/excel/2006/main" pivot="1">
          <x14:cfRule type="dataBar" id="{71FCFBCB-721A-478B-909B-2F277BF8F4BA}">
            <x14:dataBar minLength="0" maxLength="100" gradient="0">
              <x14:cfvo type="autoMin"/>
              <x14:cfvo type="autoMax"/>
              <x14:negativeFillColor rgb="FFFF0000"/>
              <x14:axisColor rgb="FF000000"/>
            </x14:dataBar>
          </x14:cfRule>
          <xm:sqref>I4:I15</xm:sqref>
        </x14:conditionalFormatting>
      </x14:conditionalFormatting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5E8A6F"/>
  </sheetPr>
  <dimension ref="A1:T31"/>
  <sheetViews>
    <sheetView topLeftCell="A9" zoomScale="84" zoomScaleNormal="84" workbookViewId="0">
      <selection activeCell="I27" sqref="I27"/>
    </sheetView>
  </sheetViews>
  <sheetFormatPr defaultRowHeight="21.75" x14ac:dyDescent="0.6"/>
  <cols>
    <col min="1" max="1" width="5" style="741" customWidth="1"/>
    <col min="2" max="2" width="28.28515625" style="741" customWidth="1"/>
    <col min="3" max="4" width="18.28515625" style="744" customWidth="1"/>
    <col min="5" max="5" width="21.140625" style="744" customWidth="1"/>
    <col min="6" max="6" width="18.42578125" style="744" customWidth="1"/>
    <col min="7" max="7" width="4.28515625" style="744" customWidth="1"/>
    <col min="8" max="8" width="7.140625" style="744" customWidth="1"/>
    <col min="9" max="9" width="23.85546875" style="744" customWidth="1"/>
    <col min="10" max="10" width="14.5703125" style="741" customWidth="1"/>
    <col min="11" max="11" width="8.5703125" style="741" customWidth="1"/>
    <col min="12" max="13" width="17.140625" style="741" customWidth="1"/>
    <col min="14" max="14" width="20.5703125" style="741" customWidth="1"/>
    <col min="15" max="15" width="21.85546875" style="741" customWidth="1"/>
    <col min="16" max="16" width="14.85546875" style="741" customWidth="1"/>
    <col min="17" max="17" width="4.28515625" style="741" customWidth="1"/>
    <col min="18" max="18" width="8.42578125" style="741" customWidth="1"/>
    <col min="19" max="19" width="22.28515625" style="741" customWidth="1"/>
    <col min="20" max="20" width="13" style="741" customWidth="1"/>
    <col min="21" max="16384" width="9.140625" style="741"/>
  </cols>
  <sheetData>
    <row r="1" spans="1:20" x14ac:dyDescent="0.6">
      <c r="B1" s="1332" t="s">
        <v>9039</v>
      </c>
      <c r="C1" s="1332"/>
      <c r="D1" s="1332"/>
      <c r="E1" s="1332"/>
      <c r="F1" s="1332"/>
      <c r="H1" s="1333" t="s">
        <v>9040</v>
      </c>
      <c r="I1" s="1333"/>
      <c r="J1" s="1333"/>
      <c r="L1" s="1332" t="s">
        <v>9041</v>
      </c>
      <c r="M1" s="1332"/>
      <c r="N1" s="1332"/>
      <c r="O1" s="1332"/>
      <c r="P1" s="1332"/>
    </row>
    <row r="2" spans="1:20" x14ac:dyDescent="0.6">
      <c r="A2" s="1100" t="s">
        <v>9</v>
      </c>
      <c r="B2" s="1101" t="s">
        <v>8209</v>
      </c>
      <c r="C2" s="1102" t="s">
        <v>9044</v>
      </c>
      <c r="D2" s="1102" t="s">
        <v>9043</v>
      </c>
      <c r="E2" s="1103" t="s">
        <v>9042</v>
      </c>
      <c r="F2" s="1103" t="s">
        <v>4</v>
      </c>
      <c r="G2" s="1104"/>
      <c r="H2" s="1105" t="s">
        <v>9</v>
      </c>
      <c r="I2" s="1106" t="s">
        <v>8202</v>
      </c>
      <c r="J2" s="1105" t="s">
        <v>8214</v>
      </c>
      <c r="L2" s="1101" t="s">
        <v>8209</v>
      </c>
      <c r="M2" s="1102" t="s">
        <v>9045</v>
      </c>
      <c r="N2" s="1102" t="s">
        <v>9046</v>
      </c>
      <c r="O2" s="1103" t="s">
        <v>8499</v>
      </c>
      <c r="P2" s="1103" t="s">
        <v>4</v>
      </c>
      <c r="R2" s="1333" t="s">
        <v>8500</v>
      </c>
      <c r="S2" s="1333"/>
      <c r="T2" s="1333"/>
    </row>
    <row r="3" spans="1:20" x14ac:dyDescent="0.6">
      <c r="A3" s="1107">
        <v>1</v>
      </c>
      <c r="B3" s="1108" t="s">
        <v>8202</v>
      </c>
      <c r="C3" s="1262">
        <v>2619010</v>
      </c>
      <c r="D3" s="1271">
        <v>2619010</v>
      </c>
      <c r="E3" s="1109"/>
      <c r="F3" s="1109">
        <f t="shared" ref="F3:F28" si="0">D3-(C3+E3)</f>
        <v>0</v>
      </c>
      <c r="G3" s="1104"/>
      <c r="H3" s="742">
        <v>1</v>
      </c>
      <c r="I3" s="1110" t="s">
        <v>8211</v>
      </c>
      <c r="J3" s="796">
        <v>16000</v>
      </c>
      <c r="L3" s="1108" t="s">
        <v>8202</v>
      </c>
      <c r="M3" s="1109"/>
      <c r="N3" s="1109"/>
      <c r="O3" s="1109"/>
      <c r="P3" s="1109">
        <f t="shared" ref="P3:P28" si="1">N3-(M3+O3)</f>
        <v>0</v>
      </c>
      <c r="R3" s="1105" t="s">
        <v>9</v>
      </c>
      <c r="S3" s="1106" t="s">
        <v>8202</v>
      </c>
      <c r="T3" s="1105" t="s">
        <v>8214</v>
      </c>
    </row>
    <row r="4" spans="1:20" ht="23.25" x14ac:dyDescent="0.6">
      <c r="A4" s="1107">
        <v>2</v>
      </c>
      <c r="B4" s="1108" t="s">
        <v>8196</v>
      </c>
      <c r="C4" s="1260">
        <v>1155120</v>
      </c>
      <c r="D4" s="1271">
        <v>1155120</v>
      </c>
      <c r="E4" s="1109"/>
      <c r="F4" s="1109">
        <f t="shared" si="0"/>
        <v>0</v>
      </c>
      <c r="G4" s="1104"/>
      <c r="H4" s="742">
        <v>2</v>
      </c>
      <c r="I4" s="1201" t="s">
        <v>8489</v>
      </c>
      <c r="J4" s="1109">
        <v>264180</v>
      </c>
      <c r="L4" s="1108" t="s">
        <v>8196</v>
      </c>
      <c r="M4" s="1109"/>
      <c r="N4" s="1109"/>
      <c r="O4" s="1109"/>
      <c r="P4" s="1109">
        <f t="shared" si="1"/>
        <v>0</v>
      </c>
      <c r="R4" s="742">
        <v>1</v>
      </c>
      <c r="S4" s="1099" t="s">
        <v>8497</v>
      </c>
      <c r="T4" s="796">
        <v>28800</v>
      </c>
    </row>
    <row r="5" spans="1:20" ht="23.25" x14ac:dyDescent="0.6">
      <c r="A5" s="1107">
        <v>3</v>
      </c>
      <c r="B5" s="1108" t="s">
        <v>8208</v>
      </c>
      <c r="C5" s="1260">
        <v>227496</v>
      </c>
      <c r="D5" s="1271">
        <v>227500</v>
      </c>
      <c r="E5" s="1109"/>
      <c r="F5" s="1109">
        <f t="shared" si="0"/>
        <v>4</v>
      </c>
      <c r="G5" s="1104"/>
      <c r="H5" s="742">
        <v>3</v>
      </c>
      <c r="I5" s="1201" t="s">
        <v>6223</v>
      </c>
      <c r="J5" s="796">
        <v>1696500</v>
      </c>
      <c r="L5" s="1108" t="s">
        <v>8208</v>
      </c>
      <c r="M5" s="1109"/>
      <c r="N5" s="1109"/>
      <c r="O5" s="1109"/>
      <c r="P5" s="1109">
        <f t="shared" si="1"/>
        <v>0</v>
      </c>
      <c r="R5" s="742">
        <v>2</v>
      </c>
      <c r="S5" s="1099" t="s">
        <v>8211</v>
      </c>
      <c r="T5" s="796"/>
    </row>
    <row r="6" spans="1:20" x14ac:dyDescent="0.6">
      <c r="A6" s="1107">
        <v>4</v>
      </c>
      <c r="B6" s="1108" t="s">
        <v>8195</v>
      </c>
      <c r="C6" s="1260">
        <v>358500</v>
      </c>
      <c r="D6" s="1271">
        <v>358500</v>
      </c>
      <c r="E6" s="1109"/>
      <c r="F6" s="1109">
        <f t="shared" si="0"/>
        <v>0</v>
      </c>
      <c r="G6" s="1104"/>
      <c r="H6" s="742">
        <v>4</v>
      </c>
      <c r="I6" s="1110" t="s">
        <v>8970</v>
      </c>
      <c r="J6" s="796">
        <v>365360</v>
      </c>
      <c r="L6" s="1108" t="s">
        <v>8195</v>
      </c>
      <c r="M6" s="1109"/>
      <c r="N6" s="1109"/>
      <c r="O6" s="1109"/>
      <c r="P6" s="1109">
        <f t="shared" si="1"/>
        <v>0</v>
      </c>
      <c r="R6" s="742">
        <v>3</v>
      </c>
      <c r="S6" s="1099" t="s">
        <v>8206</v>
      </c>
      <c r="T6" s="796"/>
    </row>
    <row r="7" spans="1:20" x14ac:dyDescent="0.6">
      <c r="A7" s="1107">
        <v>5</v>
      </c>
      <c r="B7" s="1108" t="s">
        <v>8193</v>
      </c>
      <c r="C7" s="1260">
        <v>1680250</v>
      </c>
      <c r="D7" s="1271">
        <v>1680250</v>
      </c>
      <c r="E7" s="1109"/>
      <c r="F7" s="1109">
        <f t="shared" si="0"/>
        <v>0</v>
      </c>
      <c r="G7" s="1104"/>
      <c r="H7" s="742">
        <v>5</v>
      </c>
      <c r="I7" s="1110" t="s">
        <v>8212</v>
      </c>
      <c r="J7" s="796">
        <v>14000</v>
      </c>
      <c r="L7" s="1108" t="s">
        <v>8193</v>
      </c>
      <c r="M7" s="1109"/>
      <c r="N7" s="1109"/>
      <c r="O7" s="1109"/>
      <c r="P7" s="1109">
        <f t="shared" si="1"/>
        <v>0</v>
      </c>
      <c r="R7" s="742">
        <v>4</v>
      </c>
      <c r="S7" s="1099" t="s">
        <v>8212</v>
      </c>
      <c r="T7" s="796"/>
    </row>
    <row r="8" spans="1:20" x14ac:dyDescent="0.6">
      <c r="A8" s="1107">
        <v>6</v>
      </c>
      <c r="B8" s="1108" t="s">
        <v>8197</v>
      </c>
      <c r="C8" s="1260">
        <v>2219990</v>
      </c>
      <c r="D8" s="1271">
        <v>2220000</v>
      </c>
      <c r="E8" s="1109"/>
      <c r="F8" s="1109">
        <f t="shared" si="0"/>
        <v>10</v>
      </c>
      <c r="G8" s="1104"/>
      <c r="H8" s="742">
        <v>6</v>
      </c>
      <c r="I8" s="1110" t="s">
        <v>8203</v>
      </c>
      <c r="J8" s="796">
        <v>68500</v>
      </c>
      <c r="L8" s="1108" t="s">
        <v>8197</v>
      </c>
      <c r="M8" s="1109"/>
      <c r="N8" s="1109"/>
      <c r="O8" s="1109"/>
      <c r="P8" s="1109">
        <f t="shared" si="1"/>
        <v>0</v>
      </c>
      <c r="R8" s="742">
        <v>5</v>
      </c>
      <c r="S8" s="1099" t="s">
        <v>8203</v>
      </c>
      <c r="T8" s="796"/>
    </row>
    <row r="9" spans="1:20" x14ac:dyDescent="0.6">
      <c r="A9" s="1107">
        <v>7</v>
      </c>
      <c r="B9" s="1108" t="s">
        <v>8200</v>
      </c>
      <c r="C9" s="1260">
        <v>5020500</v>
      </c>
      <c r="D9" s="1271">
        <v>5020500</v>
      </c>
      <c r="E9" s="1109"/>
      <c r="F9" s="1109">
        <f t="shared" si="0"/>
        <v>0</v>
      </c>
      <c r="G9" s="1104"/>
      <c r="H9" s="742">
        <v>7</v>
      </c>
      <c r="I9" s="1110" t="s">
        <v>8498</v>
      </c>
      <c r="J9" s="796">
        <v>97120</v>
      </c>
      <c r="L9" s="1108" t="s">
        <v>8200</v>
      </c>
      <c r="M9" s="1109"/>
      <c r="N9" s="1109"/>
      <c r="O9" s="1109"/>
      <c r="P9" s="1109">
        <f t="shared" si="1"/>
        <v>0</v>
      </c>
      <c r="R9" s="742">
        <v>8</v>
      </c>
      <c r="S9" s="1099" t="s">
        <v>8202</v>
      </c>
      <c r="T9" s="796"/>
    </row>
    <row r="10" spans="1:20" x14ac:dyDescent="0.6">
      <c r="A10" s="1107">
        <v>8</v>
      </c>
      <c r="B10" s="1108" t="s">
        <v>8198</v>
      </c>
      <c r="C10" s="1260">
        <v>79000</v>
      </c>
      <c r="D10" s="1271">
        <v>79000</v>
      </c>
      <c r="E10" s="1109"/>
      <c r="F10" s="1109">
        <f t="shared" si="0"/>
        <v>0</v>
      </c>
      <c r="G10" s="1104"/>
      <c r="H10" s="742">
        <v>8</v>
      </c>
      <c r="I10" s="1110" t="s">
        <v>8971</v>
      </c>
      <c r="J10" s="796">
        <v>9850</v>
      </c>
      <c r="L10" s="1108" t="s">
        <v>8198</v>
      </c>
      <c r="M10" s="1109"/>
      <c r="N10" s="1109"/>
      <c r="O10" s="1109"/>
      <c r="P10" s="1109">
        <f t="shared" si="1"/>
        <v>0</v>
      </c>
      <c r="R10" s="742">
        <v>9</v>
      </c>
      <c r="S10" s="1099" t="s">
        <v>8498</v>
      </c>
      <c r="T10" s="796">
        <v>23550</v>
      </c>
    </row>
    <row r="11" spans="1:20" x14ac:dyDescent="0.6">
      <c r="A11" s="1107">
        <v>9</v>
      </c>
      <c r="B11" s="1108" t="s">
        <v>8204</v>
      </c>
      <c r="C11" s="1260">
        <v>1933710</v>
      </c>
      <c r="D11" s="1271">
        <v>1933710</v>
      </c>
      <c r="E11" s="1109"/>
      <c r="F11" s="1109">
        <f t="shared" si="0"/>
        <v>0</v>
      </c>
      <c r="G11" s="1104"/>
      <c r="H11" s="742">
        <v>9</v>
      </c>
      <c r="I11" s="1110" t="s">
        <v>8202</v>
      </c>
      <c r="J11" s="796">
        <v>80000</v>
      </c>
      <c r="L11" s="1108" t="s">
        <v>8204</v>
      </c>
      <c r="M11" s="1109"/>
      <c r="N11" s="1109"/>
      <c r="O11" s="1109"/>
      <c r="P11" s="1109">
        <f t="shared" si="1"/>
        <v>0</v>
      </c>
      <c r="R11" s="1107"/>
      <c r="S11" s="1114" t="s">
        <v>74</v>
      </c>
      <c r="T11" s="1115">
        <f>SUM(T4:T10)</f>
        <v>52350</v>
      </c>
    </row>
    <row r="12" spans="1:20" x14ac:dyDescent="0.6">
      <c r="A12" s="1107">
        <v>10</v>
      </c>
      <c r="B12" s="1108" t="s">
        <v>8210</v>
      </c>
      <c r="C12" s="1260">
        <v>1068750</v>
      </c>
      <c r="D12" s="1271">
        <v>1068750</v>
      </c>
      <c r="E12" s="1109"/>
      <c r="F12" s="1109">
        <f t="shared" si="0"/>
        <v>0</v>
      </c>
      <c r="G12" s="1104"/>
      <c r="H12" s="742">
        <v>10</v>
      </c>
      <c r="I12" s="1099" t="s">
        <v>8906</v>
      </c>
      <c r="J12" s="796">
        <v>7500</v>
      </c>
      <c r="L12" s="1108" t="s">
        <v>8210</v>
      </c>
      <c r="M12" s="1109"/>
      <c r="N12" s="1109"/>
      <c r="O12" s="1109"/>
      <c r="P12" s="1109">
        <f t="shared" si="1"/>
        <v>0</v>
      </c>
    </row>
    <row r="13" spans="1:20" x14ac:dyDescent="0.6">
      <c r="A13" s="1107">
        <v>11</v>
      </c>
      <c r="B13" s="1108" t="s">
        <v>8194</v>
      </c>
      <c r="C13" s="1260">
        <v>116958</v>
      </c>
      <c r="D13" s="1271">
        <v>116958</v>
      </c>
      <c r="E13" s="1109"/>
      <c r="F13" s="1109">
        <f t="shared" si="0"/>
        <v>0</v>
      </c>
      <c r="G13" s="1104"/>
      <c r="H13" s="1107"/>
      <c r="I13" s="1114" t="s">
        <v>74</v>
      </c>
      <c r="J13" s="1115">
        <f>SUM(J3:J12)</f>
        <v>2619010</v>
      </c>
      <c r="L13" s="1108" t="s">
        <v>8194</v>
      </c>
      <c r="M13" s="1109"/>
      <c r="N13" s="1109"/>
      <c r="O13" s="1109"/>
      <c r="P13" s="1109">
        <f t="shared" si="1"/>
        <v>0</v>
      </c>
    </row>
    <row r="14" spans="1:20" x14ac:dyDescent="0.6">
      <c r="A14" s="1107">
        <v>12</v>
      </c>
      <c r="B14" s="1108" t="s">
        <v>8207</v>
      </c>
      <c r="C14" s="1260">
        <v>150000</v>
      </c>
      <c r="D14" s="1271">
        <v>150000</v>
      </c>
      <c r="E14" s="1109"/>
      <c r="F14" s="1109">
        <f t="shared" si="0"/>
        <v>0</v>
      </c>
      <c r="G14" s="1104"/>
      <c r="H14" s="741"/>
      <c r="I14" s="1111"/>
      <c r="L14" s="1108" t="s">
        <v>8207</v>
      </c>
      <c r="M14" s="1109"/>
      <c r="N14" s="1109"/>
      <c r="O14" s="1109"/>
      <c r="P14" s="1109">
        <f t="shared" si="1"/>
        <v>0</v>
      </c>
    </row>
    <row r="15" spans="1:20" x14ac:dyDescent="0.6">
      <c r="A15" s="1107">
        <v>13</v>
      </c>
      <c r="B15" s="1108" t="s">
        <v>8201</v>
      </c>
      <c r="C15" s="1109"/>
      <c r="D15" s="1109"/>
      <c r="E15" s="1109"/>
      <c r="F15" s="1109">
        <f t="shared" si="0"/>
        <v>0</v>
      </c>
      <c r="G15" s="1104"/>
      <c r="H15" s="741"/>
      <c r="I15" s="1111"/>
      <c r="L15" s="1108" t="s">
        <v>8201</v>
      </c>
      <c r="M15" s="1109"/>
      <c r="N15" s="1109"/>
      <c r="O15" s="1109"/>
      <c r="P15" s="1109">
        <f t="shared" si="1"/>
        <v>0</v>
      </c>
    </row>
    <row r="16" spans="1:20" x14ac:dyDescent="0.6">
      <c r="A16" s="1107">
        <v>14</v>
      </c>
      <c r="B16" s="1108" t="s">
        <v>8213</v>
      </c>
      <c r="C16" s="1262">
        <v>195080</v>
      </c>
      <c r="D16" s="1271">
        <v>195080</v>
      </c>
      <c r="E16" s="1109"/>
      <c r="F16" s="1109">
        <f t="shared" si="0"/>
        <v>0</v>
      </c>
      <c r="G16" s="1104"/>
      <c r="H16" s="741"/>
      <c r="I16" s="1111"/>
      <c r="J16" s="744"/>
      <c r="L16" s="1108" t="s">
        <v>8213</v>
      </c>
      <c r="M16" s="1109"/>
      <c r="N16" s="1109"/>
      <c r="O16" s="1109"/>
      <c r="P16" s="1109">
        <f t="shared" si="1"/>
        <v>0</v>
      </c>
    </row>
    <row r="17" spans="1:19" x14ac:dyDescent="0.6">
      <c r="A17" s="1107">
        <v>16</v>
      </c>
      <c r="B17" s="1099" t="s">
        <v>7879</v>
      </c>
      <c r="C17" s="1109"/>
      <c r="D17" s="1109"/>
      <c r="E17" s="1262">
        <v>181830</v>
      </c>
      <c r="F17" s="1109">
        <f t="shared" si="0"/>
        <v>-181830</v>
      </c>
      <c r="G17" s="1104"/>
      <c r="H17" s="741"/>
      <c r="I17" s="1272"/>
      <c r="J17" s="744"/>
      <c r="L17" s="1099" t="s">
        <v>7879</v>
      </c>
      <c r="M17" s="1109"/>
      <c r="N17" s="1109"/>
      <c r="O17" s="1109"/>
      <c r="P17" s="1109">
        <f t="shared" si="1"/>
        <v>0</v>
      </c>
      <c r="S17" s="1211"/>
    </row>
    <row r="18" spans="1:19" ht="23.25" x14ac:dyDescent="0.6">
      <c r="A18" s="1107">
        <v>17</v>
      </c>
      <c r="B18" s="1108" t="s">
        <v>8205</v>
      </c>
      <c r="C18" s="1261">
        <v>390000</v>
      </c>
      <c r="D18" s="1271">
        <v>390000</v>
      </c>
      <c r="E18" s="1109"/>
      <c r="F18" s="1109">
        <f t="shared" si="0"/>
        <v>0</v>
      </c>
      <c r="G18" s="1104"/>
      <c r="H18" s="741"/>
      <c r="I18" s="1272"/>
      <c r="J18" s="744"/>
      <c r="L18" s="1108" t="s">
        <v>8205</v>
      </c>
      <c r="M18" s="1109"/>
      <c r="N18" s="1109"/>
      <c r="O18" s="1109"/>
      <c r="P18" s="1109">
        <f t="shared" si="1"/>
        <v>0</v>
      </c>
      <c r="S18" s="1211"/>
    </row>
    <row r="19" spans="1:19" x14ac:dyDescent="0.6">
      <c r="A19" s="1107">
        <v>18</v>
      </c>
      <c r="B19" s="1108" t="s">
        <v>8199</v>
      </c>
      <c r="C19" s="1109"/>
      <c r="D19" s="1109"/>
      <c r="E19" s="1109"/>
      <c r="F19" s="1109">
        <f t="shared" si="0"/>
        <v>0</v>
      </c>
      <c r="G19" s="1104"/>
      <c r="H19" s="741"/>
      <c r="I19" s="1272"/>
      <c r="J19" s="744"/>
      <c r="L19" s="1108" t="s">
        <v>8199</v>
      </c>
      <c r="M19" s="1109"/>
      <c r="N19" s="1109"/>
      <c r="O19" s="1109"/>
      <c r="P19" s="1109">
        <f t="shared" si="1"/>
        <v>0</v>
      </c>
    </row>
    <row r="20" spans="1:19" x14ac:dyDescent="0.6">
      <c r="A20" s="1107">
        <v>19</v>
      </c>
      <c r="B20" s="1108" t="s">
        <v>8217</v>
      </c>
      <c r="C20" s="1262">
        <v>4536431</v>
      </c>
      <c r="D20" s="1271">
        <v>4573810.67</v>
      </c>
      <c r="E20" s="1109"/>
      <c r="F20" s="1109">
        <f>D20-(C20+E20)</f>
        <v>37379.669999999925</v>
      </c>
      <c r="G20" s="1104"/>
      <c r="H20" s="741"/>
      <c r="I20" s="1272"/>
      <c r="J20" s="744"/>
      <c r="L20" s="1108" t="s">
        <v>933</v>
      </c>
      <c r="M20" s="1109"/>
      <c r="N20" s="1109"/>
      <c r="O20" s="1109"/>
      <c r="P20" s="1109">
        <f t="shared" si="1"/>
        <v>0</v>
      </c>
    </row>
    <row r="21" spans="1:19" x14ac:dyDescent="0.6">
      <c r="A21" s="1107">
        <v>20</v>
      </c>
      <c r="B21" s="1108" t="s">
        <v>8219</v>
      </c>
      <c r="C21" s="1262">
        <v>7917000</v>
      </c>
      <c r="D21" s="1271">
        <v>7917000</v>
      </c>
      <c r="E21" s="1109"/>
      <c r="F21" s="1109">
        <f t="shared" si="0"/>
        <v>0</v>
      </c>
      <c r="G21" s="741"/>
      <c r="H21" s="741"/>
      <c r="I21" s="1272"/>
      <c r="J21" s="744"/>
      <c r="L21" s="1108" t="s">
        <v>8219</v>
      </c>
      <c r="M21" s="1109"/>
      <c r="N21" s="1109"/>
      <c r="O21" s="1109"/>
      <c r="P21" s="1109">
        <f t="shared" si="1"/>
        <v>0</v>
      </c>
    </row>
    <row r="22" spans="1:19" ht="23.25" x14ac:dyDescent="0.6">
      <c r="A22" s="1107">
        <v>21</v>
      </c>
      <c r="B22" s="1108" t="s">
        <v>8215</v>
      </c>
      <c r="C22" s="1261">
        <v>37000</v>
      </c>
      <c r="D22" s="1271">
        <v>40000</v>
      </c>
      <c r="E22" s="1262">
        <v>3000</v>
      </c>
      <c r="F22" s="1109">
        <f t="shared" si="0"/>
        <v>0</v>
      </c>
      <c r="G22" s="1104"/>
      <c r="H22" s="741"/>
      <c r="I22" s="1272"/>
      <c r="J22" s="744"/>
      <c r="L22" s="1108" t="s">
        <v>8215</v>
      </c>
      <c r="M22" s="1109"/>
      <c r="N22" s="1109"/>
      <c r="O22" s="1109"/>
      <c r="P22" s="1109">
        <f t="shared" si="1"/>
        <v>0</v>
      </c>
    </row>
    <row r="23" spans="1:19" x14ac:dyDescent="0.6">
      <c r="A23" s="1107">
        <v>22</v>
      </c>
      <c r="B23" s="1112" t="s">
        <v>6776</v>
      </c>
      <c r="C23" s="1262">
        <v>400704</v>
      </c>
      <c r="D23" s="1271">
        <v>400704</v>
      </c>
      <c r="E23" s="1109"/>
      <c r="F23" s="1109">
        <f t="shared" si="0"/>
        <v>0</v>
      </c>
      <c r="G23" s="1104"/>
      <c r="H23" s="741"/>
      <c r="I23" s="1273" t="s">
        <v>9088</v>
      </c>
      <c r="L23" s="1112" t="s">
        <v>6776</v>
      </c>
      <c r="M23" s="1109"/>
      <c r="N23" s="1109"/>
      <c r="O23" s="1109"/>
      <c r="P23" s="1109">
        <f t="shared" si="1"/>
        <v>0</v>
      </c>
    </row>
    <row r="24" spans="1:19" x14ac:dyDescent="0.6">
      <c r="A24" s="1107">
        <v>23</v>
      </c>
      <c r="B24" s="1108" t="s">
        <v>8216</v>
      </c>
      <c r="C24" s="1262">
        <v>366000</v>
      </c>
      <c r="D24" s="1271">
        <v>366000</v>
      </c>
      <c r="E24" s="1109"/>
      <c r="F24" s="1109">
        <f t="shared" si="0"/>
        <v>0</v>
      </c>
      <c r="G24" s="1104"/>
      <c r="H24" s="741"/>
      <c r="I24" s="1272">
        <v>691990</v>
      </c>
      <c r="L24" s="1108" t="s">
        <v>8216</v>
      </c>
      <c r="M24" s="1109"/>
      <c r="N24" s="1109"/>
      <c r="O24" s="1109"/>
      <c r="P24" s="1109">
        <f t="shared" si="1"/>
        <v>0</v>
      </c>
    </row>
    <row r="25" spans="1:19" x14ac:dyDescent="0.6">
      <c r="A25" s="1107">
        <v>24</v>
      </c>
      <c r="B25" s="1108" t="s">
        <v>57</v>
      </c>
      <c r="C25" s="1262">
        <v>292000</v>
      </c>
      <c r="D25" s="1271">
        <v>292000</v>
      </c>
      <c r="E25" s="1109"/>
      <c r="F25" s="1109">
        <f t="shared" si="0"/>
        <v>0</v>
      </c>
      <c r="G25" s="741"/>
      <c r="H25" s="741"/>
      <c r="I25" s="1272">
        <v>188502.48</v>
      </c>
      <c r="L25" s="1108" t="s">
        <v>57</v>
      </c>
      <c r="M25" s="1109"/>
      <c r="N25" s="1109"/>
      <c r="O25" s="1109"/>
      <c r="P25" s="1109">
        <f t="shared" si="1"/>
        <v>0</v>
      </c>
    </row>
    <row r="26" spans="1:19" x14ac:dyDescent="0.6">
      <c r="A26" s="1107">
        <v>25</v>
      </c>
      <c r="B26" s="1108" t="s">
        <v>8218</v>
      </c>
      <c r="C26" s="1262">
        <v>522000</v>
      </c>
      <c r="D26" s="1271">
        <v>522000</v>
      </c>
      <c r="E26" s="1109"/>
      <c r="F26" s="1109">
        <f t="shared" si="0"/>
        <v>0</v>
      </c>
      <c r="G26" s="741"/>
      <c r="H26" s="741"/>
      <c r="I26" s="1111">
        <v>1558678.07</v>
      </c>
      <c r="L26" s="1108" t="s">
        <v>8218</v>
      </c>
      <c r="M26" s="1109"/>
      <c r="N26" s="1109"/>
      <c r="O26" s="1109"/>
      <c r="P26" s="1109">
        <f t="shared" si="1"/>
        <v>0</v>
      </c>
    </row>
    <row r="27" spans="1:19" x14ac:dyDescent="0.6">
      <c r="A27" s="1107">
        <v>26</v>
      </c>
      <c r="B27" s="1108" t="s">
        <v>8220</v>
      </c>
      <c r="C27" s="1262">
        <v>1053000</v>
      </c>
      <c r="D27" s="1271">
        <v>1053000</v>
      </c>
      <c r="E27" s="1107"/>
      <c r="F27" s="1109">
        <f t="shared" si="0"/>
        <v>0</v>
      </c>
      <c r="G27" s="741"/>
      <c r="H27" s="741"/>
      <c r="I27" s="1111">
        <v>96960</v>
      </c>
      <c r="L27" s="1108" t="s">
        <v>8220</v>
      </c>
      <c r="M27" s="1109"/>
      <c r="N27" s="1109"/>
      <c r="O27" s="1109"/>
      <c r="P27" s="1109">
        <f t="shared" si="1"/>
        <v>0</v>
      </c>
    </row>
    <row r="28" spans="1:19" x14ac:dyDescent="0.6">
      <c r="A28" s="1107">
        <v>27</v>
      </c>
      <c r="B28" s="1108" t="s">
        <v>8221</v>
      </c>
      <c r="C28" s="1262">
        <v>503734</v>
      </c>
      <c r="D28" s="1271">
        <v>503734</v>
      </c>
      <c r="E28" s="1107"/>
      <c r="F28" s="1109">
        <f t="shared" si="0"/>
        <v>0</v>
      </c>
      <c r="H28" s="741"/>
      <c r="I28" s="1111">
        <v>584471.92000000004</v>
      </c>
      <c r="L28" s="1108" t="s">
        <v>8221</v>
      </c>
      <c r="M28" s="1109"/>
      <c r="N28" s="1109"/>
      <c r="O28" s="1109"/>
      <c r="P28" s="1109">
        <f t="shared" si="1"/>
        <v>0</v>
      </c>
    </row>
    <row r="29" spans="1:19" x14ac:dyDescent="0.6">
      <c r="A29" s="1108"/>
      <c r="B29" s="1270" t="s">
        <v>6</v>
      </c>
      <c r="C29" s="1113">
        <f>SUM(C3:C28)</f>
        <v>32842233</v>
      </c>
      <c r="D29" s="1113">
        <f>SUM(D3:D28)</f>
        <v>32882626.670000002</v>
      </c>
      <c r="E29" s="1113">
        <f>SUM(E3:E28)</f>
        <v>184830</v>
      </c>
      <c r="F29" s="1113">
        <f>SUM(F3:F28)</f>
        <v>-144436.33000000007</v>
      </c>
      <c r="H29" s="741"/>
      <c r="I29" s="1111">
        <v>1003687.5</v>
      </c>
      <c r="L29" s="742" t="s">
        <v>6</v>
      </c>
      <c r="M29" s="1113">
        <f>SUM(M3:M28)</f>
        <v>0</v>
      </c>
      <c r="N29" s="1113">
        <f>SUM(N3:N28)</f>
        <v>0</v>
      </c>
      <c r="O29" s="1113">
        <f>SUM(O3:O28)</f>
        <v>0</v>
      </c>
      <c r="P29" s="1113">
        <f>SUM(P3:P28)</f>
        <v>0</v>
      </c>
    </row>
    <row r="30" spans="1:19" x14ac:dyDescent="0.6">
      <c r="I30" s="744">
        <v>449520.7</v>
      </c>
    </row>
    <row r="31" spans="1:19" x14ac:dyDescent="0.6">
      <c r="J31" s="744"/>
    </row>
  </sheetData>
  <mergeCells count="4">
    <mergeCell ref="B1:F1"/>
    <mergeCell ref="H1:J1"/>
    <mergeCell ref="L1:P1"/>
    <mergeCell ref="R2:T2"/>
  </mergeCells>
  <pageMargins left="0.7" right="0.7" top="0.75" bottom="0.75" header="0.3" footer="0.3"/>
  <ignoredErrors>
    <ignoredError sqref="E29" formula="1"/>
  </ignoredError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EFB1257-EEF3-461B-8BA0-ADED823183A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42</vt:i4>
      </vt:variant>
      <vt:variant>
        <vt:lpstr>Named Ranges</vt:lpstr>
      </vt:variant>
      <vt:variant>
        <vt:i4>13</vt:i4>
      </vt:variant>
    </vt:vector>
  </HeadingPairs>
  <TitlesOfParts>
    <vt:vector size="55" baseType="lpstr">
      <vt:lpstr>Supplier (COA)</vt:lpstr>
      <vt:lpstr>Navigation</vt:lpstr>
      <vt:lpstr>P&amp;L Com </vt:lpstr>
      <vt:lpstr>Profit (or) Loss Statement</vt:lpstr>
      <vt:lpstr>COA</vt:lpstr>
      <vt:lpstr>2018+2019</vt:lpstr>
      <vt:lpstr>2018 Company Cash flow</vt:lpstr>
      <vt:lpstr>2019 Company Cash flow</vt:lpstr>
      <vt:lpstr>2020 Company Cash flow</vt:lpstr>
      <vt:lpstr>2021 Company Cash flow</vt:lpstr>
      <vt:lpstr>Ko Htwe</vt:lpstr>
      <vt:lpstr>Sheet2</vt:lpstr>
      <vt:lpstr>Daily Cash Book</vt:lpstr>
      <vt:lpstr>Statement of cash flow</vt:lpstr>
      <vt:lpstr>Spare Debitor(Receivabel)(1)</vt:lpstr>
      <vt:lpstr>spare debitor receiable(2)</vt:lpstr>
      <vt:lpstr>Fertilizer(2021)</vt:lpstr>
      <vt:lpstr>Sheet4</vt:lpstr>
      <vt:lpstr>Sheet6</vt:lpstr>
      <vt:lpstr>Sheet9</vt:lpstr>
      <vt:lpstr>Creditor Purchase &amp; Payment</vt:lpstr>
      <vt:lpstr>Cash Pur Voucher, No Paid</vt:lpstr>
      <vt:lpstr>Loan</vt:lpstr>
      <vt:lpstr>Stock Pivot</vt:lpstr>
      <vt:lpstr>Stock(30-4-2022)</vt:lpstr>
      <vt:lpstr>Profit Pivot</vt:lpstr>
      <vt:lpstr>Profit (1-4-22) to (30-4-22) </vt:lpstr>
      <vt:lpstr>Shop HPGBS 30% win shwe war</vt:lpstr>
      <vt:lpstr>Pivot</vt:lpstr>
      <vt:lpstr>GBS 40% 2020+2021</vt:lpstr>
      <vt:lpstr>Tri Hp Customer Of Cash Flow</vt:lpstr>
      <vt:lpstr>pivot(8)</vt:lpstr>
      <vt:lpstr>Tri Hp Bank Of Cash Flow </vt:lpstr>
      <vt:lpstr>GBS 30%(2020)</vt:lpstr>
      <vt:lpstr>Sheet3</vt:lpstr>
      <vt:lpstr>Co. HP GBS 40% (2020)</vt:lpstr>
      <vt:lpstr>Co. HP GBS 30%(2020)</vt:lpstr>
      <vt:lpstr>Liabilities</vt:lpstr>
      <vt:lpstr> A yaung Tat</vt:lpstr>
      <vt:lpstr>Sheet8</vt:lpstr>
      <vt:lpstr>Profit (or) Loss 2022 of Year</vt:lpstr>
      <vt:lpstr>Purchase Adjustment</vt:lpstr>
      <vt:lpstr>' A yaung Tat'!Print_Area</vt:lpstr>
      <vt:lpstr>'2018+2019'!Print_Area</vt:lpstr>
      <vt:lpstr>'Daily Cash Book'!Print_Area</vt:lpstr>
      <vt:lpstr>'Fertilizer(2021)'!Print_Area</vt:lpstr>
      <vt:lpstr>'Ko Htwe'!Print_Area</vt:lpstr>
      <vt:lpstr>Liabilities!Print_Area</vt:lpstr>
      <vt:lpstr>Pivot!Print_Area</vt:lpstr>
      <vt:lpstr>'Profit (or) Loss 2022 of Year'!Print_Area</vt:lpstr>
      <vt:lpstr>'Profit (or) Loss Statement'!Print_Area</vt:lpstr>
      <vt:lpstr>Sheet2!Print_Area</vt:lpstr>
      <vt:lpstr>Sheet3!Print_Area</vt:lpstr>
      <vt:lpstr>'spare debitor receiable(2)'!Print_Area</vt:lpstr>
      <vt:lpstr>'Statement of cash flow'!Print_Area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acc3</dc:creator>
  <cp:lastModifiedBy>U Zin Maung</cp:lastModifiedBy>
  <cp:lastPrinted>2022-05-02T03:57:42Z</cp:lastPrinted>
  <dcterms:created xsi:type="dcterms:W3CDTF">2016-08-06T06:28:17Z</dcterms:created>
  <dcterms:modified xsi:type="dcterms:W3CDTF">2022-05-30T13:26:50Z</dcterms:modified>
</cp:coreProperties>
</file>