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hidePivotFieldList="1" defaultThemeVersion="153222"/>
  <mc:AlternateContent xmlns:mc="http://schemas.openxmlformats.org/markup-compatibility/2006">
    <mc:Choice Requires="x15">
      <x15ac:absPath xmlns:x15ac="http://schemas.microsoft.com/office/spreadsheetml/2010/11/ac" url="D:\Spare Hp Sale\"/>
    </mc:Choice>
  </mc:AlternateContent>
  <bookViews>
    <workbookView xWindow="-120" yWindow="-120" windowWidth="20730" windowHeight="11160" activeTab="1"/>
  </bookViews>
  <sheets>
    <sheet name="Dashboard" sheetId="46" r:id="rId1"/>
    <sheet name=" Data Save " sheetId="48" r:id="rId2"/>
    <sheet name="Vlookup" sheetId="51" r:id="rId3"/>
    <sheet name="Pivot Table" sheetId="52" r:id="rId4"/>
    <sheet name="Print" sheetId="50" r:id="rId5"/>
  </sheets>
  <definedNames>
    <definedName name="_xlnm._FilterDatabase" localSheetId="1" hidden="1">' Data Save '!$A$1:$AI$66</definedName>
    <definedName name="_xlnm._FilterDatabase" localSheetId="2" hidden="1">Vlookup!$A$1:$H$50</definedName>
    <definedName name="_xlnm.Print_Area" localSheetId="1">' Data Save '!$A$1:$U$22</definedName>
    <definedName name="_xlnm.Print_Area" localSheetId="4">Print!$A$1:$E$31</definedName>
    <definedName name="Slicer_ေၾကြးက်န္">#N/A</definedName>
  </definedNames>
  <calcPr calcId="18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2" i="50" l="1"/>
  <c r="U27" i="48"/>
  <c r="M42" i="48" l="1"/>
  <c r="U42" i="48" s="1"/>
  <c r="M41" i="48"/>
  <c r="U41" i="48" s="1"/>
  <c r="M40" i="48"/>
  <c r="U40" i="48" s="1"/>
  <c r="M39" i="48"/>
  <c r="U39" i="48" s="1"/>
  <c r="M38" i="48"/>
  <c r="U38" i="48" s="1"/>
  <c r="M37" i="48"/>
  <c r="U37" i="48" s="1"/>
  <c r="M36" i="48"/>
  <c r="U36" i="48" s="1"/>
  <c r="M35" i="48"/>
  <c r="U35" i="48" s="1"/>
  <c r="M34" i="48"/>
  <c r="U34" i="48" s="1"/>
  <c r="M33" i="48"/>
  <c r="U33" i="48" s="1"/>
  <c r="M32" i="48"/>
  <c r="U32" i="48" s="1"/>
  <c r="M31" i="48"/>
  <c r="U31" i="48" s="1"/>
  <c r="M30" i="48"/>
  <c r="M29" i="48"/>
  <c r="U29" i="48" s="1"/>
  <c r="M28" i="48"/>
  <c r="U28" i="48" s="1"/>
  <c r="M26" i="48"/>
  <c r="U26" i="48" s="1"/>
  <c r="M25" i="48"/>
  <c r="U25" i="48" s="1"/>
  <c r="M24" i="48"/>
  <c r="U24" i="48" s="1"/>
  <c r="M23" i="48"/>
  <c r="P23" i="48" s="1"/>
  <c r="U23" i="48" s="1"/>
  <c r="M21" i="48"/>
  <c r="P21" i="48" s="1"/>
  <c r="U21" i="48" s="1"/>
  <c r="M22" i="48"/>
  <c r="P22" i="48" s="1"/>
  <c r="U22" i="48" s="1"/>
  <c r="M20" i="48"/>
  <c r="P20" i="48" s="1"/>
  <c r="U20" i="48" s="1"/>
  <c r="M19" i="48"/>
  <c r="P19" i="48" s="1"/>
  <c r="U19" i="48" s="1"/>
  <c r="M18" i="48"/>
  <c r="P18" i="48" s="1"/>
  <c r="U18" i="48" s="1"/>
  <c r="M17" i="48"/>
  <c r="P17" i="48" s="1"/>
  <c r="U17" i="48" s="1"/>
  <c r="M16" i="48"/>
  <c r="P16" i="48" s="1"/>
  <c r="U16" i="48" s="1"/>
  <c r="M15" i="48"/>
  <c r="P15" i="48" s="1"/>
  <c r="U15" i="48" s="1"/>
  <c r="M14" i="48"/>
  <c r="P14" i="48" s="1"/>
  <c r="U14" i="48" s="1"/>
  <c r="M13" i="48"/>
  <c r="P13" i="48" s="1"/>
  <c r="U13" i="48" s="1"/>
  <c r="M2" i="48"/>
  <c r="P2" i="48" s="1"/>
  <c r="U2" i="48" s="1"/>
  <c r="M12" i="48"/>
  <c r="P12" i="48" s="1"/>
  <c r="U12" i="48" s="1"/>
  <c r="M10" i="48"/>
  <c r="P10" i="48" s="1"/>
  <c r="U10" i="48" s="1"/>
  <c r="M9" i="48"/>
  <c r="P9" i="48" s="1"/>
  <c r="U9" i="48" s="1"/>
  <c r="M8" i="48"/>
  <c r="P8" i="48" s="1"/>
  <c r="U8" i="48" s="1"/>
  <c r="M5" i="48"/>
  <c r="P5" i="48" s="1"/>
  <c r="U5" i="48" s="1"/>
  <c r="M3" i="48"/>
  <c r="P3" i="48" s="1"/>
  <c r="U3" i="48" s="1"/>
  <c r="M4" i="48"/>
  <c r="P4" i="48" s="1"/>
  <c r="U4" i="48" s="1"/>
  <c r="M7" i="48"/>
  <c r="P7" i="48" s="1"/>
  <c r="U7" i="48" s="1"/>
  <c r="M6" i="48"/>
  <c r="P6" i="48" s="1"/>
  <c r="U6" i="48" s="1"/>
  <c r="M11" i="48"/>
  <c r="P11" i="48" s="1"/>
  <c r="U11" i="48" s="1"/>
  <c r="U30" i="48"/>
  <c r="U43" i="48"/>
  <c r="U44" i="48"/>
  <c r="U45" i="48"/>
  <c r="U46" i="48"/>
  <c r="U47" i="48"/>
  <c r="U48" i="48"/>
  <c r="U49" i="48"/>
  <c r="U50" i="48"/>
  <c r="U51" i="48"/>
  <c r="U52" i="48"/>
  <c r="U53" i="48"/>
  <c r="U54" i="48"/>
  <c r="U55" i="48"/>
  <c r="U56" i="48"/>
  <c r="U57" i="48"/>
  <c r="U58" i="48"/>
  <c r="U59" i="48"/>
  <c r="U60" i="48"/>
  <c r="U61" i="48"/>
  <c r="U62" i="48"/>
  <c r="U63" i="48"/>
  <c r="U64" i="48"/>
  <c r="U65" i="48"/>
  <c r="U66" i="48"/>
  <c r="J9" i="46" l="1"/>
  <c r="E8" i="51"/>
  <c r="E2" i="51"/>
  <c r="G50" i="51"/>
  <c r="G51" i="51"/>
  <c r="G52" i="51"/>
  <c r="G53" i="51"/>
  <c r="G54" i="51"/>
  <c r="G55" i="51"/>
  <c r="F50" i="51"/>
  <c r="F51" i="51"/>
  <c r="F52" i="51"/>
  <c r="F53" i="51"/>
  <c r="F54" i="51"/>
  <c r="E50" i="51"/>
  <c r="E51" i="51"/>
  <c r="E52" i="51"/>
  <c r="E53" i="51"/>
  <c r="E54" i="51"/>
  <c r="D50" i="51"/>
  <c r="D51" i="51"/>
  <c r="D52" i="51"/>
  <c r="D53" i="51"/>
  <c r="D54" i="51"/>
  <c r="C50" i="51"/>
  <c r="C51" i="51"/>
  <c r="C52" i="51"/>
  <c r="C53" i="51"/>
  <c r="C54" i="51"/>
  <c r="B50" i="51"/>
  <c r="B51" i="51"/>
  <c r="B52" i="51"/>
  <c r="B53" i="51"/>
  <c r="B54" i="51"/>
  <c r="F42" i="51" l="1"/>
  <c r="F41" i="51"/>
  <c r="F40" i="51"/>
  <c r="F38" i="51"/>
  <c r="F36" i="51"/>
  <c r="F35" i="51"/>
  <c r="F34" i="51"/>
  <c r="E5" i="51"/>
  <c r="E3" i="51"/>
  <c r="E4" i="51"/>
  <c r="E6" i="51"/>
  <c r="E7" i="51"/>
  <c r="E9" i="51"/>
  <c r="E10" i="51"/>
  <c r="E11" i="51"/>
  <c r="E12" i="51"/>
  <c r="E13" i="51"/>
  <c r="E14" i="51"/>
  <c r="E15" i="51"/>
  <c r="E16" i="51"/>
  <c r="E17" i="51"/>
  <c r="E18" i="51"/>
  <c r="E19" i="51"/>
  <c r="E20" i="51"/>
  <c r="E21" i="51"/>
  <c r="E22" i="51"/>
  <c r="E23" i="51"/>
  <c r="E24" i="51"/>
  <c r="E25" i="51"/>
  <c r="E26" i="51"/>
  <c r="E27" i="51"/>
  <c r="E28" i="51"/>
  <c r="E29" i="51"/>
  <c r="E30" i="51"/>
  <c r="E31" i="51"/>
  <c r="E32" i="51"/>
  <c r="E33" i="51"/>
  <c r="E34" i="51"/>
  <c r="E35" i="51"/>
  <c r="E36" i="51"/>
  <c r="E37" i="51"/>
  <c r="E38" i="51"/>
  <c r="E39" i="51"/>
  <c r="E40" i="51"/>
  <c r="E41" i="51"/>
  <c r="E42" i="51"/>
  <c r="E43" i="51"/>
  <c r="E44" i="51"/>
  <c r="G43" i="51"/>
  <c r="G44" i="51"/>
  <c r="G45" i="51"/>
  <c r="G46" i="51"/>
  <c r="G47" i="51"/>
  <c r="G48" i="51"/>
  <c r="G49" i="51"/>
  <c r="G42" i="51"/>
  <c r="F43" i="51"/>
  <c r="F44" i="51"/>
  <c r="F45" i="51"/>
  <c r="F46" i="51"/>
  <c r="F47" i="51"/>
  <c r="F48" i="51"/>
  <c r="F49" i="51"/>
  <c r="E45" i="51"/>
  <c r="E46" i="51"/>
  <c r="E47" i="51"/>
  <c r="E48" i="51"/>
  <c r="E49" i="51"/>
  <c r="D43" i="51"/>
  <c r="D44" i="51"/>
  <c r="D45" i="51"/>
  <c r="D46" i="51"/>
  <c r="D47" i="51"/>
  <c r="D48" i="51"/>
  <c r="D49" i="51"/>
  <c r="D42" i="51"/>
  <c r="C43" i="51"/>
  <c r="C44" i="51"/>
  <c r="C45" i="51"/>
  <c r="C46" i="51"/>
  <c r="C47" i="51"/>
  <c r="C48" i="51"/>
  <c r="C49" i="51"/>
  <c r="C42" i="51"/>
  <c r="B43" i="51"/>
  <c r="B44" i="51"/>
  <c r="B45" i="51"/>
  <c r="B46" i="51"/>
  <c r="B47" i="51"/>
  <c r="B48" i="51"/>
  <c r="B49" i="51"/>
  <c r="B42" i="51"/>
  <c r="G10" i="51"/>
  <c r="G11" i="51"/>
  <c r="G12" i="51"/>
  <c r="G13" i="51"/>
  <c r="G14" i="51"/>
  <c r="G15" i="51"/>
  <c r="G16" i="51"/>
  <c r="G17" i="51"/>
  <c r="G18" i="51"/>
  <c r="G19" i="51"/>
  <c r="G20" i="51"/>
  <c r="G21" i="51"/>
  <c r="G22" i="51"/>
  <c r="G23" i="51"/>
  <c r="G24" i="51"/>
  <c r="G25" i="51"/>
  <c r="G26" i="51"/>
  <c r="G27" i="51"/>
  <c r="G28" i="51"/>
  <c r="G29" i="51"/>
  <c r="G30" i="51"/>
  <c r="G31" i="51"/>
  <c r="G32" i="51"/>
  <c r="G33" i="51"/>
  <c r="G34" i="51"/>
  <c r="G35" i="51"/>
  <c r="G36" i="51"/>
  <c r="G37" i="51"/>
  <c r="G38" i="51"/>
  <c r="G39" i="51"/>
  <c r="G40" i="51"/>
  <c r="G41" i="51"/>
  <c r="F8" i="51"/>
  <c r="F9" i="51"/>
  <c r="F10" i="51"/>
  <c r="F11" i="51"/>
  <c r="F12" i="51"/>
  <c r="F13" i="51"/>
  <c r="F14" i="51"/>
  <c r="F15" i="51"/>
  <c r="F16" i="51"/>
  <c r="F17" i="51"/>
  <c r="F18" i="51"/>
  <c r="F19" i="51"/>
  <c r="F20" i="51"/>
  <c r="F21" i="51"/>
  <c r="F22" i="51"/>
  <c r="F23" i="51"/>
  <c r="F24" i="51"/>
  <c r="F25" i="51"/>
  <c r="F26" i="51"/>
  <c r="F27" i="51"/>
  <c r="F28" i="51"/>
  <c r="F29" i="51"/>
  <c r="F30" i="51"/>
  <c r="F31" i="51"/>
  <c r="F32" i="51"/>
  <c r="F33" i="51"/>
  <c r="F37" i="51"/>
  <c r="F39" i="51"/>
  <c r="D10" i="51"/>
  <c r="D11" i="51"/>
  <c r="D12" i="51"/>
  <c r="D13" i="51"/>
  <c r="D14" i="51"/>
  <c r="D15" i="51"/>
  <c r="D16" i="51"/>
  <c r="D17" i="51"/>
  <c r="D18" i="51"/>
  <c r="D19" i="51"/>
  <c r="D20" i="51"/>
  <c r="D21" i="51"/>
  <c r="D22" i="51"/>
  <c r="D23" i="51"/>
  <c r="D24" i="51"/>
  <c r="D25" i="51"/>
  <c r="D26" i="51"/>
  <c r="D27" i="51"/>
  <c r="D28" i="51"/>
  <c r="D29" i="51"/>
  <c r="D30" i="51"/>
  <c r="D31" i="51"/>
  <c r="D32" i="51"/>
  <c r="D33" i="51"/>
  <c r="D34" i="51"/>
  <c r="D35" i="51"/>
  <c r="D36" i="51"/>
  <c r="D37" i="51"/>
  <c r="D38" i="51"/>
  <c r="D39" i="51"/>
  <c r="D40" i="51"/>
  <c r="D41" i="51"/>
  <c r="C13" i="51"/>
  <c r="C14" i="51"/>
  <c r="C15" i="51"/>
  <c r="C16" i="51"/>
  <c r="C17" i="51"/>
  <c r="C18" i="51"/>
  <c r="C19" i="51"/>
  <c r="C20" i="51"/>
  <c r="C21" i="51"/>
  <c r="C22" i="51"/>
  <c r="C23" i="51"/>
  <c r="C24" i="51"/>
  <c r="C25" i="51"/>
  <c r="C26" i="51"/>
  <c r="C27" i="51"/>
  <c r="C28" i="51"/>
  <c r="C29" i="51"/>
  <c r="C30" i="51"/>
  <c r="C31" i="51"/>
  <c r="C32" i="51"/>
  <c r="C33" i="51"/>
  <c r="C34" i="51"/>
  <c r="C35" i="51"/>
  <c r="C36" i="51"/>
  <c r="C37" i="51"/>
  <c r="C38" i="51"/>
  <c r="C39" i="51"/>
  <c r="C40" i="51"/>
  <c r="C41" i="51"/>
  <c r="C10" i="51"/>
  <c r="C11" i="51"/>
  <c r="C12" i="51"/>
  <c r="B11" i="51"/>
  <c r="B12" i="51"/>
  <c r="B13" i="51"/>
  <c r="B14" i="51"/>
  <c r="B15" i="51"/>
  <c r="B16" i="51"/>
  <c r="B17" i="51"/>
  <c r="B18" i="51"/>
  <c r="B19" i="51"/>
  <c r="B20" i="51"/>
  <c r="B21" i="51"/>
  <c r="B22" i="51"/>
  <c r="B23" i="51"/>
  <c r="B24" i="51"/>
  <c r="B25" i="51"/>
  <c r="B26" i="51"/>
  <c r="B27" i="51"/>
  <c r="B28" i="51"/>
  <c r="B29" i="51"/>
  <c r="B30" i="51"/>
  <c r="B31" i="51"/>
  <c r="B32" i="51"/>
  <c r="B33" i="51"/>
  <c r="B34" i="51"/>
  <c r="B35" i="51"/>
  <c r="B36" i="51"/>
  <c r="B37" i="51"/>
  <c r="B38" i="51"/>
  <c r="B39" i="51"/>
  <c r="B40" i="51"/>
  <c r="B41" i="51"/>
  <c r="G3" i="51"/>
  <c r="G4" i="51"/>
  <c r="G5" i="51"/>
  <c r="G6" i="51"/>
  <c r="G7" i="51"/>
  <c r="G8" i="51"/>
  <c r="G9" i="51"/>
  <c r="G2" i="51"/>
  <c r="F3" i="51"/>
  <c r="F4" i="51"/>
  <c r="F5" i="51"/>
  <c r="F6" i="51"/>
  <c r="F7" i="51"/>
  <c r="F2" i="51"/>
  <c r="D3" i="51"/>
  <c r="D4" i="51"/>
  <c r="D5" i="51"/>
  <c r="D6" i="51"/>
  <c r="D7" i="51"/>
  <c r="D8" i="51"/>
  <c r="D9" i="51"/>
  <c r="D2" i="51"/>
  <c r="C3" i="51"/>
  <c r="C4" i="51"/>
  <c r="C5" i="51"/>
  <c r="C6" i="51"/>
  <c r="C7" i="51"/>
  <c r="C8" i="51"/>
  <c r="C9" i="51"/>
  <c r="C2" i="51"/>
  <c r="B3" i="51"/>
  <c r="B4" i="51"/>
  <c r="B5" i="51"/>
  <c r="B6" i="51"/>
  <c r="B7" i="51"/>
  <c r="B8" i="51"/>
  <c r="B9" i="51"/>
  <c r="B10" i="51"/>
  <c r="B2" i="51"/>
  <c r="Q32" i="50" l="1"/>
  <c r="P32" i="50"/>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8" i="51"/>
  <c r="H39" i="51"/>
  <c r="H40" i="51"/>
  <c r="H41" i="51"/>
  <c r="H42" i="51"/>
  <c r="H2" i="51"/>
  <c r="H37" i="51" l="1"/>
  <c r="H34" i="51"/>
  <c r="H35" i="51" l="1"/>
  <c r="H36" i="51"/>
  <c r="H32" i="51" l="1"/>
  <c r="H33" i="51"/>
  <c r="H31" i="51" l="1"/>
  <c r="D23" i="50"/>
  <c r="B20" i="50" l="1"/>
  <c r="H44" i="51" l="1"/>
  <c r="H46" i="51"/>
  <c r="H47" i="51"/>
  <c r="H48" i="51"/>
  <c r="H49" i="51"/>
  <c r="H50" i="51"/>
  <c r="H51" i="51"/>
  <c r="H52" i="51"/>
  <c r="H53" i="51"/>
  <c r="H54" i="51"/>
  <c r="D13" i="46"/>
  <c r="D16" i="46" s="1"/>
  <c r="H45" i="51" l="1"/>
  <c r="H43" i="51"/>
  <c r="H30" i="51"/>
  <c r="O32" i="50"/>
  <c r="E19" i="50" s="1"/>
  <c r="H32" i="50"/>
  <c r="E12" i="50" s="1"/>
  <c r="C22" i="50"/>
  <c r="G32" i="50"/>
  <c r="N32" i="50"/>
  <c r="F32" i="50"/>
  <c r="B12" i="50" s="1"/>
  <c r="M32" i="50"/>
  <c r="E32" i="50"/>
  <c r="B11" i="50" s="1"/>
  <c r="K32" i="50"/>
  <c r="C16" i="50" s="1"/>
  <c r="B32" i="50"/>
  <c r="L32" i="50"/>
  <c r="D16" i="50" s="1"/>
  <c r="D32" i="50"/>
  <c r="B10" i="50" s="1"/>
  <c r="C32" i="50"/>
  <c r="E10" i="50" s="1"/>
  <c r="I32" i="50"/>
  <c r="E13" i="50" s="1"/>
  <c r="J32" i="50"/>
  <c r="B16" i="50" s="1"/>
  <c r="A3" i="46"/>
  <c r="E16" i="50" l="1"/>
  <c r="E17" i="50" s="1"/>
  <c r="E20" i="50" s="1"/>
  <c r="B13" i="50"/>
  <c r="A16" i="50"/>
</calcChain>
</file>

<file path=xl/sharedStrings.xml><?xml version="1.0" encoding="utf-8"?>
<sst xmlns="http://schemas.openxmlformats.org/spreadsheetml/2006/main" count="264" uniqueCount="137">
  <si>
    <t>Qty</t>
  </si>
  <si>
    <t>Price</t>
  </si>
  <si>
    <t>Amount</t>
  </si>
  <si>
    <t>Particular</t>
  </si>
  <si>
    <t>အာမခံကိုယ္စားလွယ္</t>
  </si>
  <si>
    <t>ဖုန္းနံပါတ္</t>
  </si>
  <si>
    <t>က်န္ေငြ</t>
  </si>
  <si>
    <t>ဝယ္သူလက္မွတ္ _ _ _ _ _ _ _​ _ _ _</t>
  </si>
  <si>
    <t xml:space="preserve">ဝယ္သူအမည္    _ _ _ _ _ _ _ _ _ _ </t>
  </si>
  <si>
    <t>ေရာင္းသူလက္မွတ္ _ _ _ _ _ _ _​ _ _ _</t>
  </si>
  <si>
    <t xml:space="preserve">ေရာင္းသူ အမည္    _ _ _ _ _ _ _ _ _ _ </t>
  </si>
  <si>
    <t>ေန႔စြဲ</t>
  </si>
  <si>
    <t>ဝယ္သူအမည္</t>
  </si>
  <si>
    <t>ေနရပ္</t>
  </si>
  <si>
    <t>အဘအမည္</t>
  </si>
  <si>
    <t>ဝယ္ယူအားေပးမႈအတြက္အထူးေက်းဇူးတင္ရွိပါသည္။</t>
  </si>
  <si>
    <t>အမည္</t>
  </si>
  <si>
    <t>စက္ပစၥည္းအမည္</t>
  </si>
  <si>
    <t>ႏႈန္း</t>
  </si>
  <si>
    <t>သင့္ေငြ</t>
  </si>
  <si>
    <t>ေပးေငြ</t>
  </si>
  <si>
    <t>ေၾကြးဆပ္ရက္</t>
  </si>
  <si>
    <t xml:space="preserve">စုစုေပါင္း </t>
  </si>
  <si>
    <t>ထန္းမနိုင္</t>
  </si>
  <si>
    <t>ေတာ္ကလိတ္</t>
  </si>
  <si>
    <t>ကိုယ္စားလွယ္</t>
  </si>
  <si>
    <t>ကိုယ္စားလွယ္ဖုန္း</t>
  </si>
  <si>
    <t>က်ံဳဒရယ္</t>
  </si>
  <si>
    <t>ဦးၾကည္လြင္</t>
  </si>
  <si>
    <t>ဆည္ေျမာင္း</t>
  </si>
  <si>
    <t>အတိုးသင့္ေငြ</t>
  </si>
  <si>
    <t>ကိုသန္းေဇာ္ဦး</t>
  </si>
  <si>
    <t>Engine 22Hp</t>
  </si>
  <si>
    <t>က်န္ေငြစုစုေပါင္း</t>
  </si>
  <si>
    <t>ကိုစည္သူ</t>
  </si>
  <si>
    <t>ေၾကြးက်န္စုစုေပါင္း</t>
  </si>
  <si>
    <t>စက္ပစၥည္း ေၾကြးက်န္အေရာင္း</t>
  </si>
  <si>
    <t>S.No</t>
  </si>
  <si>
    <t>ေဘာက္ခ်ာနံပါတ္</t>
  </si>
  <si>
    <t>ဝါးေသာက္</t>
  </si>
  <si>
    <t>ဦးေက်ာ္ရင္</t>
  </si>
  <si>
    <t>ေညာင္ပင္သာ</t>
  </si>
  <si>
    <t>ကိုစန္းလြင္ေက်ာ္</t>
  </si>
  <si>
    <t>ကိုေဝယံ</t>
  </si>
  <si>
    <t>ေက်ာက္စက္</t>
  </si>
  <si>
    <t>သဲကုန္းတန္း</t>
  </si>
  <si>
    <t>ဦးသိန္းစိန္</t>
  </si>
  <si>
    <t>ဘက္မွန္</t>
  </si>
  <si>
    <t>ကိုေအာင္ေအာင္</t>
  </si>
  <si>
    <t>က်ဴေတာေခ်ာင္</t>
  </si>
  <si>
    <t>ဦးဝင္းေဇာ္</t>
  </si>
  <si>
    <t>သခြတ္ပင္</t>
  </si>
  <si>
    <t>ပိုက္စိမ္းေခြ</t>
  </si>
  <si>
    <t>ေရေမာ္တာ</t>
  </si>
  <si>
    <t>မိဘေမတၱာ</t>
  </si>
  <si>
    <t>ကိုေထြး</t>
  </si>
  <si>
    <t>ဦးသန္းဦး</t>
  </si>
  <si>
    <t>သံုးဘီးပစၥည္း</t>
  </si>
  <si>
    <t>ဝရိန္ပံုး+ေဂါက္+ႀကိဳး</t>
  </si>
  <si>
    <t>ေရပန္႔တြဲ</t>
  </si>
  <si>
    <t>ကိုဝႀကီး</t>
  </si>
  <si>
    <t>ထန္းတပင္</t>
  </si>
  <si>
    <t>ေျမဆီဖိုး က်န္ေငြ</t>
  </si>
  <si>
    <t xml:space="preserve">ဦးဖိုးသဲ </t>
  </si>
  <si>
    <t>ဦးခိုင္ႀကီး</t>
  </si>
  <si>
    <t>ဆီတင္ပန္႔</t>
  </si>
  <si>
    <t>ဦးခ်စ္ဖိန္႔</t>
  </si>
  <si>
    <t>လက္ခုတ္ကုန္း</t>
  </si>
  <si>
    <t>ႀကိဳးစက္ အစံု</t>
  </si>
  <si>
    <t xml:space="preserve"> ႏႈန္း </t>
  </si>
  <si>
    <t xml:space="preserve"> သင့္ေငြ </t>
  </si>
  <si>
    <t xml:space="preserve"> အတိုးသင့္ေငြ </t>
  </si>
  <si>
    <t xml:space="preserve"> ေပးေငြ </t>
  </si>
  <si>
    <t xml:space="preserve"> က်န္ေငြစုစုေပါင္း </t>
  </si>
  <si>
    <t xml:space="preserve"> ေၾကြးဆပ္ </t>
  </si>
  <si>
    <t xml:space="preserve"> ေန႔စြဲ2 </t>
  </si>
  <si>
    <t xml:space="preserve"> ေၾကြးက်န္ </t>
  </si>
  <si>
    <t>09-688855957</t>
  </si>
  <si>
    <t>09-263474233</t>
  </si>
  <si>
    <t>ကိုမ်ိဴးသန္႕</t>
  </si>
  <si>
    <t>SP ေၾကြးက်န္</t>
  </si>
  <si>
    <t>Sales2</t>
  </si>
  <si>
    <t>Purchase</t>
  </si>
  <si>
    <t>ေၾကြးဆပ္ေန႔စြဲ</t>
  </si>
  <si>
    <t>ကိုေအာင္ကိုစန္း</t>
  </si>
  <si>
    <t>သမၼာန္ေခ်ာင္း</t>
  </si>
  <si>
    <t>ေရေဆးပန္႔+ေရပံုး</t>
  </si>
  <si>
    <t>ေလဂိတ္</t>
  </si>
  <si>
    <t>ဝင္းမ်ိဴးေက်ာ္</t>
  </si>
  <si>
    <t>spေၾကြးက်န္</t>
  </si>
  <si>
    <t>ဦးေဇာ္ေထြး</t>
  </si>
  <si>
    <t>ေရေဆးစက္+အစံု</t>
  </si>
  <si>
    <t>ေလဂန္း</t>
  </si>
  <si>
    <t>ေအာင္ခန္႔ျဖဴ</t>
  </si>
  <si>
    <t>SP</t>
  </si>
  <si>
    <t>ဖြားမိုးၾကီး</t>
  </si>
  <si>
    <t>ေရျမွပ္ပန္႔</t>
  </si>
  <si>
    <t>Grand Total</t>
  </si>
  <si>
    <t xml:space="preserve">Sum of  ေၾကြးက်န္ </t>
  </si>
  <si>
    <t>Engine spare</t>
  </si>
  <si>
    <t>ကိုဆန္းလြင္ေက်ာ္</t>
  </si>
  <si>
    <t>ေျမဆီေၾကြးဆပ္က်န္ေငြ</t>
  </si>
  <si>
    <t>ကိုဖိုးသဲ</t>
  </si>
  <si>
    <t xml:space="preserve">ဦးခိုင္ႀကီး </t>
  </si>
  <si>
    <t>ခ်စ္ဖိန္႕</t>
  </si>
  <si>
    <t>ႀကိဳးစက္အစံု</t>
  </si>
  <si>
    <t>ကိုမ်ိဳးသန္႔</t>
  </si>
  <si>
    <t>sp ေၾကြးက်န္</t>
  </si>
  <si>
    <t>ကိုေအာင္ကိုဆန္း</t>
  </si>
  <si>
    <t>သမၻာန္ေခ်ာင္း</t>
  </si>
  <si>
    <t>SP ေႀကြးက်န္</t>
  </si>
  <si>
    <t>ေရေဆးစက္အစံု</t>
  </si>
  <si>
    <t>Tri Spare</t>
  </si>
  <si>
    <t>Spare</t>
  </si>
  <si>
    <t>လက္ခုတ္ကုုန္း</t>
  </si>
  <si>
    <t>Engine + တစ္ဘီးထြန္</t>
  </si>
  <si>
    <t>ေတာ္လန္း</t>
  </si>
  <si>
    <t>ဦးသန္းနိုင္</t>
  </si>
  <si>
    <t>ဦးနိုင္ဝင္း</t>
  </si>
  <si>
    <t>ေကာ့မွဴး</t>
  </si>
  <si>
    <t>ဦးဝင္းကို</t>
  </si>
  <si>
    <t>ၿမကၽြန္းသာ</t>
  </si>
  <si>
    <t>တစ္ဘီးထြန္</t>
  </si>
  <si>
    <t>ဦးေဌးေအာင္</t>
  </si>
  <si>
    <t>ဓါတ္ေတာ္</t>
  </si>
  <si>
    <t>ကိုဟန္ေက်ာ္စိုး</t>
  </si>
  <si>
    <t>ဦးစန္းသူ</t>
  </si>
  <si>
    <t>ဒလ</t>
  </si>
  <si>
    <t>ေမာ္ေမာ္</t>
  </si>
  <si>
    <t>ကိုသန္းေဇာ္</t>
  </si>
  <si>
    <t>ကိုမ်ိဳးနိုင္</t>
  </si>
  <si>
    <t>ကိုေဇာ္မ်ိဳး</t>
  </si>
  <si>
    <t>ခ်ိန္းေစာသမား</t>
  </si>
  <si>
    <t>ခ်ိန္းေစာ</t>
  </si>
  <si>
    <t>ဦးမိုးနိူင္</t>
  </si>
  <si>
    <t>မမိလဲ့</t>
  </si>
  <si>
    <t>ကိုမ်ိဳး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</si>
</sst>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3" formatCode="_(* #,##0.00_);_(* \(#,##0.00\);_(* &quot;-&quot;??_);_(@_)"/>
    <numFmt numFmtId="164" formatCode="_(* #,##0_);_(* \(#,##0\);_(* &quot;-&quot;??_);_(@_)"/>
    <numFmt numFmtId="165" formatCode="dd/mmm/yyyy"/>
    <numFmt numFmtId="166" formatCode="\(dd\-mm\-yyyy\)"/>
    <numFmt numFmtId="167" formatCode="dd\-mmm\-yyyy"/>
    <numFmt numFmtId="168" formatCode="0\9\-000000000"/>
    <numFmt numFmtId="169" formatCode="00000"/>
    <numFmt numFmtId="170" formatCode="\(\ dd\-mmm\-yyyy\ \)&quot;ေန႔တြင္ေပးဆပ္ရမည္။&quot;"/>
    <numFmt numFmtId="171" formatCode="&quot;က်န္ေငြ&quot;\ \(\ 0,000\ \)\ &quot;က်ပ္တိတိအား&quot;"/>
  </numFmts>
  <fonts count="11">
    <font>
      <sz val="11"/>
      <color theme="1"/>
      <name val="Calibri"/>
      <family val="2"/>
      <charset val="1"/>
      <scheme val="minor"/>
    </font>
    <font>
      <sz val="11"/>
      <color theme="1"/>
      <name val="Zawgyi-One"/>
      <family val="2"/>
    </font>
    <font>
      <b/>
      <sz val="11"/>
      <color theme="1"/>
      <name val="Zawgyi-One"/>
      <family val="2"/>
    </font>
    <font>
      <sz val="11"/>
      <color theme="1"/>
      <name val="Calibri"/>
      <family val="2"/>
      <charset val="1"/>
      <scheme val="minor"/>
    </font>
    <font>
      <b/>
      <sz val="12"/>
      <color theme="0"/>
      <name val="Zawgyi-One"/>
      <family val="2"/>
    </font>
    <font>
      <b/>
      <sz val="18"/>
      <color theme="0"/>
      <name val="Zawgyi-One"/>
      <family val="2"/>
    </font>
    <font>
      <sz val="11"/>
      <color theme="0"/>
      <name val="Win PhaAn"/>
    </font>
    <font>
      <b/>
      <sz val="16"/>
      <color rgb="FF000000"/>
      <name val="Calibri"/>
      <family val="2"/>
    </font>
    <font>
      <b/>
      <i/>
      <sz val="11"/>
      <color theme="1"/>
      <name val="Zawgyi-One"/>
      <family val="2"/>
    </font>
    <font>
      <b/>
      <i/>
      <u/>
      <sz val="11"/>
      <color theme="1"/>
      <name val="Zawgyi-One"/>
      <family val="2"/>
    </font>
    <font>
      <sz val="11"/>
      <color theme="0"/>
      <name val="Zawgyi-One"/>
      <family val="2"/>
    </font>
  </fonts>
  <fills count="11">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theme="1"/>
        <bgColor indexed="64"/>
      </patternFill>
    </fill>
    <fill>
      <patternFill patternType="solid">
        <fgColor rgb="FF002060"/>
        <bgColor indexed="64"/>
      </patternFill>
    </fill>
    <fill>
      <gradientFill degree="90">
        <stop position="0">
          <color theme="0"/>
        </stop>
        <stop position="1">
          <color theme="4"/>
        </stop>
      </gradientFill>
    </fill>
    <fill>
      <gradientFill degree="90">
        <stop position="0">
          <color theme="1" tint="5.0965910824915313E-2"/>
        </stop>
        <stop position="1">
          <color theme="1" tint="0.25098422193060094"/>
        </stop>
      </gradientFill>
    </fill>
    <fill>
      <patternFill patternType="solid">
        <fgColor theme="1"/>
        <bgColor auto="1"/>
      </patternFill>
    </fill>
    <fill>
      <patternFill patternType="solid">
        <fgColor rgb="FFFFC000"/>
        <bgColor indexed="64"/>
      </patternFill>
    </fill>
    <fill>
      <patternFill patternType="solid">
        <fgColor rgb="FF00B0F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s>
  <cellStyleXfs count="2">
    <xf numFmtId="0" fontId="0" fillId="0" borderId="0"/>
    <xf numFmtId="43" fontId="3" fillId="0" borderId="0" applyFont="0" applyFill="0" applyBorder="0" applyAlignment="0" applyProtection="0"/>
  </cellStyleXfs>
  <cellXfs count="144">
    <xf numFmtId="0" fontId="0" fillId="0" borderId="0" xfId="0"/>
    <xf numFmtId="0" fontId="2" fillId="0" borderId="1" xfId="0" applyFont="1" applyBorder="1" applyAlignment="1">
      <alignment horizontal="center"/>
    </xf>
    <xf numFmtId="0" fontId="2" fillId="0" borderId="0" xfId="0" applyFont="1" applyBorder="1" applyAlignment="1">
      <alignment horizontal="center"/>
    </xf>
    <xf numFmtId="0" fontId="1" fillId="0" borderId="0" xfId="0" applyFont="1"/>
    <xf numFmtId="164" fontId="1" fillId="0" borderId="0" xfId="1" applyNumberFormat="1" applyFont="1"/>
    <xf numFmtId="0" fontId="1" fillId="0" borderId="0" xfId="0" applyFont="1" applyBorder="1"/>
    <xf numFmtId="164" fontId="1" fillId="0" borderId="1" xfId="1" applyNumberFormat="1" applyFont="1" applyBorder="1" applyAlignment="1">
      <alignment horizontal="right" vertical="center"/>
    </xf>
    <xf numFmtId="164" fontId="2" fillId="0" borderId="1" xfId="1" applyNumberFormat="1" applyFont="1" applyBorder="1" applyAlignment="1">
      <alignment horizontal="right"/>
    </xf>
    <xf numFmtId="164" fontId="2" fillId="0" borderId="2" xfId="1" applyNumberFormat="1" applyFont="1" applyBorder="1" applyAlignment="1">
      <alignment horizontal="center"/>
    </xf>
    <xf numFmtId="164" fontId="2" fillId="0" borderId="1" xfId="1" applyNumberFormat="1" applyFont="1" applyBorder="1" applyAlignment="1">
      <alignment horizontal="center"/>
    </xf>
    <xf numFmtId="164" fontId="1" fillId="0" borderId="1" xfId="1" applyNumberFormat="1" applyFont="1" applyBorder="1" applyAlignment="1">
      <alignment horizontal="center"/>
    </xf>
    <xf numFmtId="3" fontId="1" fillId="0" borderId="0" xfId="0" applyNumberFormat="1" applyFont="1" applyAlignment="1">
      <alignment horizontal="center" vertical="center" wrapText="1"/>
    </xf>
    <xf numFmtId="164" fontId="2" fillId="0" borderId="0" xfId="1" applyNumberFormat="1" applyFont="1" applyBorder="1" applyAlignment="1">
      <alignment horizontal="center"/>
    </xf>
    <xf numFmtId="164" fontId="2" fillId="0" borderId="0" xfId="1" applyNumberFormat="1" applyFont="1" applyBorder="1" applyAlignment="1">
      <alignment horizontal="right"/>
    </xf>
    <xf numFmtId="165" fontId="1" fillId="0" borderId="0" xfId="0" applyNumberFormat="1" applyFont="1"/>
    <xf numFmtId="164" fontId="1" fillId="0" borderId="1" xfId="1" applyNumberFormat="1" applyFont="1" applyBorder="1"/>
    <xf numFmtId="0" fontId="2" fillId="0" borderId="0" xfId="0" applyFont="1" applyAlignment="1">
      <alignment horizontal="center"/>
    </xf>
    <xf numFmtId="0" fontId="2" fillId="0" borderId="4" xfId="0" applyFont="1" applyBorder="1" applyAlignment="1">
      <alignment horizontal="center" vertical="top"/>
    </xf>
    <xf numFmtId="0" fontId="1" fillId="0" borderId="0" xfId="0" applyFont="1" applyBorder="1" applyAlignment="1">
      <alignment horizontal="center"/>
    </xf>
    <xf numFmtId="0" fontId="2" fillId="0" borderId="1" xfId="0" applyFont="1" applyBorder="1" applyAlignment="1">
      <alignment horizontal="center" vertical="center"/>
    </xf>
    <xf numFmtId="164" fontId="2" fillId="0" borderId="1" xfId="1" applyNumberFormat="1" applyFont="1" applyBorder="1" applyAlignment="1">
      <alignment horizontal="center" vertical="center"/>
    </xf>
    <xf numFmtId="0" fontId="1" fillId="0" borderId="1" xfId="0" applyFont="1" applyBorder="1" applyAlignment="1">
      <alignment horizontal="center" vertical="center"/>
    </xf>
    <xf numFmtId="0" fontId="2" fillId="0" borderId="0" xfId="0" applyFont="1" applyAlignment="1"/>
    <xf numFmtId="164" fontId="2" fillId="0" borderId="0" xfId="1" applyNumberFormat="1" applyFont="1" applyBorder="1" applyAlignment="1">
      <alignment horizontal="left"/>
    </xf>
    <xf numFmtId="0" fontId="2" fillId="0" borderId="0" xfId="0" applyFont="1" applyAlignment="1">
      <alignment horizontal="center" vertical="center"/>
    </xf>
    <xf numFmtId="168" fontId="1" fillId="0" borderId="0" xfId="0" applyNumberFormat="1" applyFont="1"/>
    <xf numFmtId="0" fontId="1" fillId="4" borderId="0" xfId="0" applyFont="1" applyFill="1" applyBorder="1"/>
    <xf numFmtId="0" fontId="2" fillId="4" borderId="0" xfId="0" applyFont="1" applyFill="1" applyBorder="1" applyAlignment="1">
      <alignment horizontal="center" vertical="center"/>
    </xf>
    <xf numFmtId="14" fontId="1" fillId="4" borderId="0" xfId="0" applyNumberFormat="1" applyFont="1" applyFill="1" applyBorder="1"/>
    <xf numFmtId="164" fontId="1" fillId="4" borderId="0" xfId="1" applyNumberFormat="1" applyFont="1" applyFill="1" applyBorder="1"/>
    <xf numFmtId="164" fontId="1" fillId="4" borderId="0" xfId="1" applyNumberFormat="1" applyFont="1" applyFill="1" applyBorder="1" applyAlignment="1">
      <alignment horizontal="right"/>
    </xf>
    <xf numFmtId="164" fontId="1" fillId="4" borderId="3" xfId="1" applyNumberFormat="1" applyFont="1" applyFill="1" applyBorder="1" applyAlignment="1">
      <alignment horizontal="center"/>
    </xf>
    <xf numFmtId="164" fontId="1" fillId="4" borderId="1" xfId="1" applyNumberFormat="1" applyFont="1" applyFill="1" applyBorder="1"/>
    <xf numFmtId="164" fontId="1" fillId="4" borderId="1" xfId="0" applyNumberFormat="1" applyFont="1" applyFill="1" applyBorder="1"/>
    <xf numFmtId="164" fontId="1" fillId="4" borderId="1" xfId="1" applyNumberFormat="1" applyFont="1" applyFill="1" applyBorder="1" applyAlignment="1">
      <alignment horizontal="center"/>
    </xf>
    <xf numFmtId="165" fontId="1" fillId="4" borderId="1" xfId="1" applyNumberFormat="1" applyFont="1" applyFill="1" applyBorder="1" applyAlignment="1">
      <alignment horizontal="center"/>
    </xf>
    <xf numFmtId="165" fontId="1" fillId="4" borderId="3" xfId="1" applyNumberFormat="1" applyFont="1" applyFill="1" applyBorder="1" applyAlignment="1">
      <alignment horizontal="center"/>
    </xf>
    <xf numFmtId="168" fontId="1" fillId="4" borderId="3" xfId="1" applyNumberFormat="1" applyFont="1" applyFill="1" applyBorder="1" applyAlignment="1">
      <alignment horizontal="center"/>
    </xf>
    <xf numFmtId="0" fontId="1" fillId="4" borderId="0" xfId="0" applyFont="1" applyFill="1"/>
    <xf numFmtId="14" fontId="1" fillId="4" borderId="0" xfId="0" applyNumberFormat="1" applyFont="1" applyFill="1"/>
    <xf numFmtId="167" fontId="1" fillId="0" borderId="1" xfId="0" applyNumberFormat="1" applyFont="1" applyBorder="1" applyAlignment="1">
      <alignment horizontal="center" vertical="top"/>
    </xf>
    <xf numFmtId="0" fontId="1" fillId="0" borderId="1" xfId="0" applyFont="1" applyBorder="1" applyAlignment="1">
      <alignment horizontal="center"/>
    </xf>
    <xf numFmtId="168" fontId="1" fillId="0" borderId="1" xfId="0" applyNumberFormat="1" applyFont="1" applyBorder="1" applyAlignment="1">
      <alignment horizontal="center"/>
    </xf>
    <xf numFmtId="0" fontId="1" fillId="0" borderId="0" xfId="0" applyFont="1" applyAlignment="1">
      <alignment horizontal="center"/>
    </xf>
    <xf numFmtId="165" fontId="4" fillId="5" borderId="4" xfId="0" applyNumberFormat="1" applyFont="1" applyFill="1" applyBorder="1" applyAlignment="1">
      <alignment horizontal="right" vertical="center" wrapText="1"/>
    </xf>
    <xf numFmtId="0" fontId="1" fillId="5" borderId="0" xfId="0" applyFont="1" applyFill="1"/>
    <xf numFmtId="0" fontId="4" fillId="5" borderId="4" xfId="0" applyFont="1" applyFill="1" applyBorder="1" applyAlignment="1">
      <alignment horizontal="right" vertical="center"/>
    </xf>
    <xf numFmtId="168" fontId="4" fillId="5" borderId="4" xfId="0" applyNumberFormat="1" applyFont="1" applyFill="1" applyBorder="1" applyAlignment="1">
      <alignment horizontal="right" vertical="center"/>
    </xf>
    <xf numFmtId="168" fontId="4" fillId="5" borderId="5" xfId="0" applyNumberFormat="1" applyFont="1" applyFill="1" applyBorder="1" applyAlignment="1">
      <alignment horizontal="right" vertical="center"/>
    </xf>
    <xf numFmtId="0" fontId="4" fillId="5" borderId="5" xfId="0" applyFont="1" applyFill="1" applyBorder="1" applyAlignment="1">
      <alignment horizontal="right" vertical="center"/>
    </xf>
    <xf numFmtId="0" fontId="4" fillId="5" borderId="5" xfId="0" applyFont="1" applyFill="1" applyBorder="1" applyAlignment="1">
      <alignment horizontal="right" vertical="center" wrapText="1"/>
    </xf>
    <xf numFmtId="164" fontId="4" fillId="5" borderId="5" xfId="1" applyNumberFormat="1" applyFont="1" applyFill="1" applyBorder="1" applyAlignment="1">
      <alignment horizontal="right" vertical="center" wrapText="1"/>
    </xf>
    <xf numFmtId="165" fontId="4" fillId="5" borderId="5" xfId="0" applyNumberFormat="1" applyFont="1" applyFill="1" applyBorder="1" applyAlignment="1">
      <alignment horizontal="right" vertical="center" wrapText="1"/>
    </xf>
    <xf numFmtId="0" fontId="1" fillId="5" borderId="0" xfId="0" applyFont="1" applyFill="1" applyAlignment="1">
      <alignment horizontal="right"/>
    </xf>
    <xf numFmtId="0" fontId="1" fillId="5" borderId="0" xfId="0" applyFont="1" applyFill="1" applyAlignment="1">
      <alignment horizontal="center"/>
    </xf>
    <xf numFmtId="0" fontId="1" fillId="0" borderId="0" xfId="0" applyFont="1" applyBorder="1" applyAlignment="1">
      <alignment vertical="top"/>
    </xf>
    <xf numFmtId="0" fontId="1" fillId="0" borderId="0" xfId="0" applyFont="1" applyBorder="1" applyAlignment="1"/>
    <xf numFmtId="168" fontId="1" fillId="0" borderId="0" xfId="0" applyNumberFormat="1" applyFont="1" applyBorder="1" applyAlignment="1"/>
    <xf numFmtId="0" fontId="1" fillId="0" borderId="1" xfId="0" applyFont="1" applyBorder="1" applyAlignment="1">
      <alignment horizontal="center" vertical="center" wrapText="1"/>
    </xf>
    <xf numFmtId="166" fontId="2" fillId="0" borderId="0" xfId="0" applyNumberFormat="1" applyFont="1" applyBorder="1" applyAlignment="1">
      <alignment horizontal="center"/>
    </xf>
    <xf numFmtId="0" fontId="1" fillId="4" borderId="0" xfId="0" applyFont="1" applyFill="1" applyBorder="1" applyAlignment="1">
      <alignment horizontal="center"/>
    </xf>
    <xf numFmtId="0" fontId="2" fillId="6" borderId="0" xfId="0" applyFont="1" applyFill="1"/>
    <xf numFmtId="164" fontId="2" fillId="6" borderId="0" xfId="1" applyNumberFormat="1" applyFont="1" applyFill="1"/>
    <xf numFmtId="0" fontId="5" fillId="8" borderId="0" xfId="0" applyFont="1" applyFill="1" applyBorder="1" applyAlignment="1">
      <alignment vertical="center"/>
    </xf>
    <xf numFmtId="0" fontId="6" fillId="8" borderId="0" xfId="0" applyFont="1" applyFill="1" applyBorder="1" applyAlignment="1">
      <alignment vertical="center"/>
    </xf>
    <xf numFmtId="167" fontId="1" fillId="0" borderId="1" xfId="0" applyNumberFormat="1" applyFont="1" applyBorder="1" applyAlignment="1">
      <alignment horizontal="center"/>
    </xf>
    <xf numFmtId="167" fontId="1" fillId="0" borderId="0" xfId="0" applyNumberFormat="1" applyFont="1" applyAlignment="1">
      <alignment horizontal="center"/>
    </xf>
    <xf numFmtId="164" fontId="1" fillId="2" borderId="1" xfId="1" applyNumberFormat="1" applyFont="1" applyFill="1" applyBorder="1"/>
    <xf numFmtId="169" fontId="2" fillId="0" borderId="1" xfId="1" applyNumberFormat="1" applyFont="1" applyBorder="1" applyAlignment="1">
      <alignment horizontal="center"/>
    </xf>
    <xf numFmtId="0" fontId="1" fillId="0" borderId="1" xfId="0" applyFont="1" applyBorder="1"/>
    <xf numFmtId="168" fontId="1" fillId="0" borderId="1" xfId="0" applyNumberFormat="1" applyFont="1" applyBorder="1"/>
    <xf numFmtId="164" fontId="1" fillId="0" borderId="1" xfId="1" applyNumberFormat="1" applyFont="1" applyBorder="1" applyAlignment="1">
      <alignment horizontal="right"/>
    </xf>
    <xf numFmtId="169" fontId="1" fillId="2" borderId="1" xfId="1" applyNumberFormat="1" applyFont="1" applyFill="1" applyBorder="1" applyAlignment="1">
      <alignment horizontal="center"/>
    </xf>
    <xf numFmtId="169" fontId="1" fillId="2" borderId="0" xfId="0" applyNumberFormat="1" applyFont="1" applyFill="1" applyBorder="1" applyAlignment="1">
      <alignment horizontal="center"/>
    </xf>
    <xf numFmtId="164" fontId="1" fillId="2" borderId="0" xfId="1" applyNumberFormat="1" applyFont="1" applyFill="1" applyBorder="1"/>
    <xf numFmtId="164" fontId="1" fillId="5" borderId="0" xfId="1" applyNumberFormat="1" applyFont="1" applyFill="1" applyAlignment="1">
      <alignment horizontal="center"/>
    </xf>
    <xf numFmtId="167" fontId="4" fillId="3" borderId="1" xfId="0" applyNumberFormat="1" applyFont="1" applyFill="1" applyBorder="1" applyAlignment="1">
      <alignment horizontal="center" vertical="center" wrapText="1"/>
    </xf>
    <xf numFmtId="0" fontId="4" fillId="3" borderId="1" xfId="0" applyFont="1" applyFill="1" applyBorder="1" applyAlignment="1">
      <alignment horizontal="center" vertical="center"/>
    </xf>
    <xf numFmtId="168" fontId="4" fillId="3" borderId="1" xfId="0" applyNumberFormat="1" applyFont="1" applyFill="1" applyBorder="1" applyAlignment="1">
      <alignment horizontal="center" vertical="center"/>
    </xf>
    <xf numFmtId="0" fontId="4" fillId="3" borderId="1" xfId="0" applyFont="1" applyFill="1" applyBorder="1" applyAlignment="1">
      <alignment horizontal="center" vertical="center" wrapText="1"/>
    </xf>
    <xf numFmtId="164" fontId="4" fillId="3" borderId="1" xfId="1" applyNumberFormat="1" applyFont="1" applyFill="1" applyBorder="1" applyAlignment="1">
      <alignment horizontal="center" vertical="center" wrapText="1"/>
    </xf>
    <xf numFmtId="165" fontId="4" fillId="3" borderId="1" xfId="0" applyNumberFormat="1" applyFont="1" applyFill="1" applyBorder="1" applyAlignment="1">
      <alignment horizontal="center" vertical="center" wrapText="1"/>
    </xf>
    <xf numFmtId="0" fontId="8" fillId="0" borderId="0" xfId="0" applyFont="1"/>
    <xf numFmtId="0" fontId="9" fillId="0" borderId="0" xfId="0" applyFont="1" applyAlignment="1">
      <alignment horizontal="center"/>
    </xf>
    <xf numFmtId="0" fontId="10" fillId="0" borderId="0" xfId="0" applyFont="1"/>
    <xf numFmtId="0" fontId="10" fillId="0" borderId="0" xfId="0" applyFont="1" applyAlignment="1">
      <alignment horizontal="center"/>
    </xf>
    <xf numFmtId="169" fontId="1" fillId="4" borderId="1" xfId="0" applyNumberFormat="1" applyFont="1" applyFill="1" applyBorder="1" applyAlignment="1">
      <alignment horizontal="center" vertical="center"/>
    </xf>
    <xf numFmtId="165" fontId="1" fillId="4" borderId="1" xfId="0" applyNumberFormat="1" applyFont="1" applyFill="1" applyBorder="1"/>
    <xf numFmtId="0" fontId="1" fillId="4" borderId="1" xfId="0" applyFont="1" applyFill="1" applyBorder="1"/>
    <xf numFmtId="0" fontId="1" fillId="4" borderId="9" xfId="0" applyFont="1" applyFill="1" applyBorder="1"/>
    <xf numFmtId="169" fontId="1" fillId="0" borderId="0" xfId="0" applyNumberFormat="1" applyFont="1" applyAlignment="1">
      <alignment horizontal="center"/>
    </xf>
    <xf numFmtId="165" fontId="1" fillId="0" borderId="0" xfId="0" applyNumberFormat="1" applyFont="1" applyAlignment="1">
      <alignment horizontal="center"/>
    </xf>
    <xf numFmtId="49" fontId="1" fillId="0" borderId="0" xfId="0" applyNumberFormat="1" applyFont="1" applyAlignment="1">
      <alignment horizontal="center"/>
    </xf>
    <xf numFmtId="168" fontId="1" fillId="0" borderId="0" xfId="0" applyNumberFormat="1" applyFont="1" applyAlignment="1">
      <alignment horizontal="center"/>
    </xf>
    <xf numFmtId="49" fontId="4" fillId="3" borderId="1" xfId="0" applyNumberFormat="1" applyFont="1" applyFill="1" applyBorder="1" applyAlignment="1">
      <alignment horizontal="center" vertical="center"/>
    </xf>
    <xf numFmtId="49" fontId="1" fillId="0" borderId="0" xfId="0" applyNumberFormat="1" applyFont="1"/>
    <xf numFmtId="164" fontId="1" fillId="0" borderId="0" xfId="1" applyNumberFormat="1" applyFont="1" applyAlignment="1">
      <alignment horizontal="center"/>
    </xf>
    <xf numFmtId="14" fontId="1" fillId="0" borderId="0" xfId="0" applyNumberFormat="1" applyFont="1"/>
    <xf numFmtId="0" fontId="1" fillId="0" borderId="0" xfId="0" pivotButton="1" applyFont="1" applyAlignment="1">
      <alignment horizontal="center"/>
    </xf>
    <xf numFmtId="169" fontId="1" fillId="0" borderId="0" xfId="0" pivotButton="1" applyNumberFormat="1" applyFont="1" applyAlignment="1">
      <alignment horizontal="center"/>
    </xf>
    <xf numFmtId="164" fontId="0" fillId="0" borderId="0" xfId="1" applyNumberFormat="1" applyFont="1"/>
    <xf numFmtId="0" fontId="0" fillId="0" borderId="0" xfId="0" applyAlignment="1">
      <alignment horizontal="center"/>
    </xf>
    <xf numFmtId="164" fontId="1" fillId="0" borderId="0" xfId="0" applyNumberFormat="1" applyFont="1"/>
    <xf numFmtId="164" fontId="1" fillId="0" borderId="0" xfId="0" applyNumberFormat="1" applyFont="1" applyAlignment="1">
      <alignment horizontal="center"/>
    </xf>
    <xf numFmtId="169" fontId="4" fillId="3" borderId="1" xfId="0" applyNumberFormat="1" applyFont="1" applyFill="1" applyBorder="1" applyAlignment="1">
      <alignment horizontal="center" vertical="center" wrapText="1"/>
    </xf>
    <xf numFmtId="167" fontId="1" fillId="2" borderId="1" xfId="0" applyNumberFormat="1" applyFont="1" applyFill="1" applyBorder="1" applyAlignment="1">
      <alignment horizontal="center"/>
    </xf>
    <xf numFmtId="164" fontId="1" fillId="2" borderId="1" xfId="1" applyNumberFormat="1" applyFont="1" applyFill="1" applyBorder="1" applyAlignment="1">
      <alignment horizontal="center"/>
    </xf>
    <xf numFmtId="0" fontId="1" fillId="2" borderId="1" xfId="0" applyFont="1" applyFill="1" applyBorder="1"/>
    <xf numFmtId="168" fontId="1" fillId="2" borderId="1" xfId="0" applyNumberFormat="1" applyFont="1" applyFill="1" applyBorder="1"/>
    <xf numFmtId="0" fontId="1" fillId="2" borderId="0" xfId="0" applyFont="1" applyFill="1"/>
    <xf numFmtId="167" fontId="1" fillId="2" borderId="0" xfId="0" applyNumberFormat="1" applyFont="1" applyFill="1" applyBorder="1" applyAlignment="1">
      <alignment horizontal="center"/>
    </xf>
    <xf numFmtId="0" fontId="1" fillId="2" borderId="0" xfId="0" applyFont="1" applyFill="1" applyBorder="1"/>
    <xf numFmtId="168" fontId="1" fillId="2" borderId="0" xfId="0" applyNumberFormat="1" applyFont="1" applyFill="1" applyBorder="1"/>
    <xf numFmtId="165" fontId="1" fillId="2" borderId="0" xfId="0" applyNumberFormat="1" applyFont="1" applyFill="1" applyBorder="1"/>
    <xf numFmtId="169" fontId="1" fillId="2" borderId="0" xfId="0" applyNumberFormat="1" applyFont="1" applyFill="1" applyAlignment="1">
      <alignment horizontal="center"/>
    </xf>
    <xf numFmtId="167" fontId="1" fillId="2" borderId="0" xfId="0" applyNumberFormat="1" applyFont="1" applyFill="1" applyAlignment="1">
      <alignment horizontal="center"/>
    </xf>
    <xf numFmtId="168" fontId="1" fillId="2" borderId="0" xfId="0" applyNumberFormat="1" applyFont="1" applyFill="1"/>
    <xf numFmtId="164" fontId="1" fillId="2" borderId="0" xfId="1" applyNumberFormat="1" applyFont="1" applyFill="1"/>
    <xf numFmtId="165" fontId="1" fillId="2" borderId="0" xfId="0" applyNumberFormat="1" applyFont="1" applyFill="1"/>
    <xf numFmtId="164" fontId="1" fillId="2" borderId="1" xfId="0" applyNumberFormat="1" applyFont="1" applyFill="1" applyBorder="1"/>
    <xf numFmtId="169" fontId="1" fillId="9" borderId="1" xfId="1" applyNumberFormat="1" applyFont="1" applyFill="1" applyBorder="1" applyAlignment="1">
      <alignment horizontal="center"/>
    </xf>
    <xf numFmtId="167" fontId="1" fillId="9" borderId="1" xfId="0" applyNumberFormat="1" applyFont="1" applyFill="1" applyBorder="1" applyAlignment="1">
      <alignment horizontal="center"/>
    </xf>
    <xf numFmtId="0" fontId="1" fillId="9" borderId="1" xfId="0" applyFont="1" applyFill="1" applyBorder="1"/>
    <xf numFmtId="168" fontId="1" fillId="9" borderId="1" xfId="0" applyNumberFormat="1" applyFont="1" applyFill="1" applyBorder="1"/>
    <xf numFmtId="164" fontId="1" fillId="9" borderId="1" xfId="1" applyNumberFormat="1" applyFont="1" applyFill="1" applyBorder="1"/>
    <xf numFmtId="164" fontId="1" fillId="9" borderId="1" xfId="1" applyNumberFormat="1" applyFont="1" applyFill="1" applyBorder="1" applyAlignment="1">
      <alignment horizontal="center"/>
    </xf>
    <xf numFmtId="164" fontId="1" fillId="9" borderId="1" xfId="0" applyNumberFormat="1" applyFont="1" applyFill="1" applyBorder="1"/>
    <xf numFmtId="0" fontId="1" fillId="9" borderId="0" xfId="0" applyFont="1" applyFill="1"/>
    <xf numFmtId="169" fontId="1" fillId="10" borderId="1" xfId="1" applyNumberFormat="1" applyFont="1" applyFill="1" applyBorder="1" applyAlignment="1">
      <alignment horizontal="center"/>
    </xf>
    <xf numFmtId="167" fontId="1" fillId="10" borderId="1" xfId="0" applyNumberFormat="1" applyFont="1" applyFill="1" applyBorder="1" applyAlignment="1">
      <alignment horizontal="center"/>
    </xf>
    <xf numFmtId="0" fontId="1" fillId="10" borderId="1" xfId="0" applyFont="1" applyFill="1" applyBorder="1"/>
    <xf numFmtId="168" fontId="1" fillId="10" borderId="1" xfId="0" applyNumberFormat="1" applyFont="1" applyFill="1" applyBorder="1"/>
    <xf numFmtId="164" fontId="1" fillId="10" borderId="1" xfId="1" applyNumberFormat="1" applyFont="1" applyFill="1" applyBorder="1"/>
    <xf numFmtId="164" fontId="1" fillId="10" borderId="1" xfId="1" applyNumberFormat="1" applyFont="1" applyFill="1" applyBorder="1" applyAlignment="1">
      <alignment horizontal="center"/>
    </xf>
    <xf numFmtId="164" fontId="1" fillId="10" borderId="1" xfId="0" applyNumberFormat="1" applyFont="1" applyFill="1" applyBorder="1"/>
    <xf numFmtId="0" fontId="1" fillId="10" borderId="0" xfId="0" applyFont="1" applyFill="1"/>
    <xf numFmtId="0" fontId="5" fillId="7" borderId="6" xfId="0" applyFont="1" applyFill="1" applyBorder="1" applyAlignment="1">
      <alignment horizontal="center" vertical="center"/>
    </xf>
    <xf numFmtId="0" fontId="5" fillId="7" borderId="7" xfId="0" applyFont="1" applyFill="1" applyBorder="1" applyAlignment="1">
      <alignment horizontal="center" vertical="center"/>
    </xf>
    <xf numFmtId="0" fontId="5" fillId="7" borderId="8" xfId="0" applyFont="1" applyFill="1" applyBorder="1" applyAlignment="1">
      <alignment horizontal="center" vertical="center"/>
    </xf>
    <xf numFmtId="0" fontId="1" fillId="0" borderId="0" xfId="0" applyFont="1" applyAlignment="1"/>
    <xf numFmtId="0" fontId="8" fillId="0" borderId="0" xfId="0" applyNumberFormat="1" applyFont="1" applyAlignment="1">
      <alignment horizontal="left"/>
    </xf>
    <xf numFmtId="0" fontId="2" fillId="0" borderId="0" xfId="0" applyFont="1" applyAlignment="1">
      <alignment horizontal="left"/>
    </xf>
    <xf numFmtId="170" fontId="8" fillId="0" borderId="0" xfId="0" applyNumberFormat="1" applyFont="1" applyAlignment="1">
      <alignment horizontal="left"/>
    </xf>
    <xf numFmtId="171" fontId="8" fillId="0" borderId="0" xfId="0" applyNumberFormat="1" applyFont="1" applyAlignment="1">
      <alignment horizontal="right"/>
    </xf>
  </cellXfs>
  <cellStyles count="2">
    <cellStyle name="Comma" xfId="1" builtinId="3"/>
    <cellStyle name="Normal" xfId="0" builtinId="0"/>
  </cellStyles>
  <dxfs count="248">
    <dxf>
      <alignment horizontal="center" readingOrder="0"/>
    </dxf>
    <dxf>
      <alignment horizontal="center" readingOrder="0"/>
    </dxf>
    <dxf>
      <alignment horizontal="left" readingOrder="0"/>
    </dxf>
    <dxf>
      <numFmt numFmtId="164" formatCode="_(* #,##0_);_(* \(#,##0\);_(* &quot;-&quot;??_);_(@_)"/>
    </dxf>
    <dxf>
      <numFmt numFmtId="164" formatCode="_(* #,##0_);_(* \(#,##0\);_(* &quot;-&quot;??_);_(@_)"/>
    </dxf>
    <dxf>
      <numFmt numFmtId="164" formatCode="_(* #,##0_);_(* \(#,##0\);_(* &quot;-&quot;??_);_(@_)"/>
    </dxf>
    <dxf>
      <numFmt numFmtId="172" formatCode="_(* #,##0.0_);_(* \(#,##0.0\);_(* &quot;-&quot;??_);_(@_)"/>
    </dxf>
    <dxf>
      <numFmt numFmtId="172" formatCode="_(* #,##0.0_);_(* \(#,##0.0\);_(* &quot;-&quot;??_);_(@_)"/>
    </dxf>
    <dxf>
      <numFmt numFmtId="172" formatCode="_(* #,##0.0_);_(* \(#,##0.0\);_(* &quot;-&quot;??_);_(@_)"/>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numFmt numFmtId="169" formatCode="00000"/>
    </dxf>
    <dxf>
      <numFmt numFmtId="169" formatCode="00000"/>
    </dxf>
    <dxf>
      <numFmt numFmtId="169" formatCode="00000"/>
    </dxf>
    <dxf>
      <alignment horizontal="center" readingOrder="0"/>
    </dxf>
    <dxf>
      <alignment horizontal="center" readingOrder="0"/>
    </dxf>
    <dxf>
      <alignment horizontal="center"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190500</xdr:colOff>
          <xdr:row>7</xdr:row>
          <xdr:rowOff>190500</xdr:rowOff>
        </xdr:from>
        <xdr:to>
          <xdr:col>7</xdr:col>
          <xdr:colOff>95250</xdr:colOff>
          <xdr:row>9</xdr:row>
          <xdr:rowOff>28575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Data 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200025</xdr:colOff>
          <xdr:row>11</xdr:row>
          <xdr:rowOff>142875</xdr:rowOff>
        </xdr:from>
        <xdr:to>
          <xdr:col>7</xdr:col>
          <xdr:colOff>104775</xdr:colOff>
          <xdr:row>12</xdr:row>
          <xdr:rowOff>257175</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000-000004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Clear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107950</xdr:colOff>
      <xdr:row>0</xdr:row>
      <xdr:rowOff>50800</xdr:rowOff>
    </xdr:from>
    <xdr:to>
      <xdr:col>11</xdr:col>
      <xdr:colOff>107950</xdr:colOff>
      <xdr:row>9</xdr:row>
      <xdr:rowOff>231775</xdr:rowOff>
    </xdr:to>
    <mc:AlternateContent xmlns:mc="http://schemas.openxmlformats.org/markup-compatibility/2006" xmlns:a14="http://schemas.microsoft.com/office/drawing/2010/main">
      <mc:Choice Requires="a14">
        <xdr:graphicFrame macro="">
          <xdr:nvGraphicFramePr>
            <xdr:cNvPr id="4" name=" ေၾကြးက်န္ ">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 ေၾကြးက်န္ "/>
            </a:graphicData>
          </a:graphic>
        </xdr:graphicFrame>
      </mc:Choice>
      <mc:Fallback xmlns="">
        <xdr:sp macro="" textlink="">
          <xdr:nvSpPr>
            <xdr:cNvPr id="0" name=""/>
            <xdr:cNvSpPr>
              <a:spLocks noTextEdit="1"/>
            </xdr:cNvSpPr>
          </xdr:nvSpPr>
          <xdr:spPr>
            <a:xfrm>
              <a:off x="9398000" y="508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266966</xdr:colOff>
      <xdr:row>30</xdr:row>
      <xdr:rowOff>50322</xdr:rowOff>
    </xdr:from>
    <xdr:to>
      <xdr:col>1</xdr:col>
      <xdr:colOff>633867</xdr:colOff>
      <xdr:row>30</xdr:row>
      <xdr:rowOff>381000</xdr:rowOff>
    </xdr:to>
    <xdr:sp macro="" textlink="">
      <xdr:nvSpPr>
        <xdr:cNvPr id="4" name="Explosion: 8 Points 8">
          <a:extLst>
            <a:ext uri="{FF2B5EF4-FFF2-40B4-BE49-F238E27FC236}">
              <a16:creationId xmlns:a16="http://schemas.microsoft.com/office/drawing/2014/main" id="{00000000-0008-0000-0400-000004000000}"/>
            </a:ext>
          </a:extLst>
        </xdr:cNvPr>
        <xdr:cNvSpPr/>
      </xdr:nvSpPr>
      <xdr:spPr>
        <a:xfrm>
          <a:off x="1067066" y="8508522"/>
          <a:ext cx="366901" cy="330678"/>
        </a:xfrm>
        <a:prstGeom prst="irregularSeal1">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66941</xdr:colOff>
      <xdr:row>30</xdr:row>
      <xdr:rowOff>50322</xdr:rowOff>
    </xdr:from>
    <xdr:to>
      <xdr:col>4</xdr:col>
      <xdr:colOff>433842</xdr:colOff>
      <xdr:row>30</xdr:row>
      <xdr:rowOff>381000</xdr:rowOff>
    </xdr:to>
    <xdr:sp macro="" textlink="">
      <xdr:nvSpPr>
        <xdr:cNvPr id="5" name="Explosion: 8 Points 8">
          <a:extLst>
            <a:ext uri="{FF2B5EF4-FFF2-40B4-BE49-F238E27FC236}">
              <a16:creationId xmlns:a16="http://schemas.microsoft.com/office/drawing/2014/main" id="{00000000-0008-0000-0400-000005000000}"/>
            </a:ext>
          </a:extLst>
        </xdr:cNvPr>
        <xdr:cNvSpPr/>
      </xdr:nvSpPr>
      <xdr:spPr>
        <a:xfrm>
          <a:off x="5546991" y="8508522"/>
          <a:ext cx="366901" cy="330678"/>
        </a:xfrm>
        <a:prstGeom prst="irregularSeal1">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200025</xdr:colOff>
      <xdr:row>14</xdr:row>
      <xdr:rowOff>136525</xdr:rowOff>
    </xdr:from>
    <xdr:to>
      <xdr:col>8</xdr:col>
      <xdr:colOff>320675</xdr:colOff>
      <xdr:row>15</xdr:row>
      <xdr:rowOff>311150</xdr:rowOff>
    </xdr:to>
    <xdr:sp macro="[0]!PrintPreview" textlink="">
      <xdr:nvSpPr>
        <xdr:cNvPr id="2" name="Rounded Rectangle 1">
          <a:extLst>
            <a:ext uri="{FF2B5EF4-FFF2-40B4-BE49-F238E27FC236}">
              <a16:creationId xmlns:a16="http://schemas.microsoft.com/office/drawing/2014/main" id="{00000000-0008-0000-0400-000002000000}"/>
            </a:ext>
          </a:extLst>
        </xdr:cNvPr>
        <xdr:cNvSpPr/>
      </xdr:nvSpPr>
      <xdr:spPr>
        <a:xfrm>
          <a:off x="7635875" y="4111625"/>
          <a:ext cx="1549400" cy="434975"/>
        </a:xfrm>
        <a:prstGeom prst="roundRect">
          <a:avLst>
            <a:gd name="adj" fmla="val 48485"/>
          </a:avLst>
        </a:prstGeom>
        <a:solidFill>
          <a:schemeClr val="accent1">
            <a:lumMod val="75000"/>
          </a:schemeClr>
        </a:solidFill>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50">
              <a:ln w="0">
                <a:solidFill>
                  <a:schemeClr val="bg1"/>
                </a:solidFill>
              </a:ln>
              <a:solidFill>
                <a:schemeClr val="bg1">
                  <a:lumMod val="95000"/>
                </a:schemeClr>
              </a:solidFill>
              <a:effectLst>
                <a:innerShdw blurRad="63500" dist="50800" dir="13500000">
                  <a:srgbClr val="000000">
                    <a:alpha val="50000"/>
                  </a:srgbClr>
                </a:innerShdw>
              </a:effectLst>
              <a:latin typeface="Arial Black" panose="020B0A04020102020204" pitchFamily="34" charset="0"/>
            </a:rPr>
            <a:t>PrentPreview</a:t>
          </a:r>
          <a:endParaRPr lang="en-US" sz="1100" b="1" cap="none" spc="50">
            <a:ln w="0">
              <a:solidFill>
                <a:schemeClr val="bg1"/>
              </a:solidFill>
            </a:ln>
            <a:solidFill>
              <a:schemeClr val="bg1">
                <a:lumMod val="95000"/>
              </a:schemeClr>
            </a:solidFill>
            <a:effectLst>
              <a:innerShdw blurRad="63500" dist="50800" dir="13500000">
                <a:srgbClr val="000000">
                  <a:alpha val="50000"/>
                </a:srgbClr>
              </a:innerShdw>
            </a:effectLst>
            <a:latin typeface="Arial Black" panose="020B0A04020102020204" pitchFamily="34" charset="0"/>
          </a:endParaRPr>
        </a:p>
      </xdr:txBody>
    </xdr:sp>
    <xdr:clientData/>
  </xdr:twoCellAnchor>
  <xdr:twoCellAnchor>
    <xdr:from>
      <xdr:col>6</xdr:col>
      <xdr:colOff>495300</xdr:colOff>
      <xdr:row>20</xdr:row>
      <xdr:rowOff>177800</xdr:rowOff>
    </xdr:from>
    <xdr:to>
      <xdr:col>8</xdr:col>
      <xdr:colOff>184150</xdr:colOff>
      <xdr:row>22</xdr:row>
      <xdr:rowOff>31750</xdr:rowOff>
    </xdr:to>
    <xdr:sp macro="[0]!Moven" textlink="">
      <xdr:nvSpPr>
        <xdr:cNvPr id="6" name="Rounded Rectangle 5">
          <a:extLst>
            <a:ext uri="{FF2B5EF4-FFF2-40B4-BE49-F238E27FC236}">
              <a16:creationId xmlns:a16="http://schemas.microsoft.com/office/drawing/2014/main" id="{00000000-0008-0000-0400-000006000000}"/>
            </a:ext>
          </a:extLst>
        </xdr:cNvPr>
        <xdr:cNvSpPr/>
      </xdr:nvSpPr>
      <xdr:spPr>
        <a:xfrm>
          <a:off x="7591425" y="6188075"/>
          <a:ext cx="1050925" cy="406400"/>
        </a:xfrm>
        <a:prstGeom prst="roundRect">
          <a:avLst>
            <a:gd name="adj" fmla="val 50000"/>
          </a:avLst>
        </a:prstGeom>
        <a:solidFill>
          <a:srgbClr val="FF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relaxedInset"/>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555625</xdr:colOff>
      <xdr:row>20</xdr:row>
      <xdr:rowOff>225425</xdr:rowOff>
    </xdr:from>
    <xdr:to>
      <xdr:col>7</xdr:col>
      <xdr:colOff>247777</xdr:colOff>
      <xdr:row>21</xdr:row>
      <xdr:rowOff>250952</xdr:rowOff>
    </xdr:to>
    <xdr:sp macro="[0]!Moven" textlink="">
      <xdr:nvSpPr>
        <xdr:cNvPr id="7" name="MoveBtn">
          <a:extLst>
            <a:ext uri="{FF2B5EF4-FFF2-40B4-BE49-F238E27FC236}">
              <a16:creationId xmlns:a16="http://schemas.microsoft.com/office/drawing/2014/main" id="{00000000-0008-0000-0400-000007000000}"/>
            </a:ext>
          </a:extLst>
        </xdr:cNvPr>
        <xdr:cNvSpPr/>
      </xdr:nvSpPr>
      <xdr:spPr>
        <a:xfrm>
          <a:off x="7651750" y="6235700"/>
          <a:ext cx="301752" cy="301752"/>
        </a:xfrm>
        <a:prstGeom prst="ellipse">
          <a:avLst/>
        </a:prstGeom>
        <a:solidFill>
          <a:srgbClr val="00B0F0"/>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476251</xdr:colOff>
      <xdr:row>18</xdr:row>
      <xdr:rowOff>177800</xdr:rowOff>
    </xdr:from>
    <xdr:to>
      <xdr:col>8</xdr:col>
      <xdr:colOff>171450</xdr:colOff>
      <xdr:row>20</xdr:row>
      <xdr:rowOff>19050</xdr:rowOff>
    </xdr:to>
    <xdr:sp macro="[0]!Moven2" textlink="">
      <xdr:nvSpPr>
        <xdr:cNvPr id="8" name="Rounded Rectangle 7">
          <a:extLst>
            <a:ext uri="{FF2B5EF4-FFF2-40B4-BE49-F238E27FC236}">
              <a16:creationId xmlns:a16="http://schemas.microsoft.com/office/drawing/2014/main" id="{00000000-0008-0000-0400-000008000000}"/>
            </a:ext>
          </a:extLst>
        </xdr:cNvPr>
        <xdr:cNvSpPr/>
      </xdr:nvSpPr>
      <xdr:spPr>
        <a:xfrm>
          <a:off x="7572376" y="5635625"/>
          <a:ext cx="1057274" cy="393700"/>
        </a:xfrm>
        <a:prstGeom prst="roundRect">
          <a:avLst>
            <a:gd name="adj" fmla="val 50000"/>
          </a:avLst>
        </a:prstGeom>
        <a:solidFill>
          <a:schemeClr val="accent5">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relaxedInset"/>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565149</xdr:colOff>
      <xdr:row>18</xdr:row>
      <xdr:rowOff>215900</xdr:rowOff>
    </xdr:from>
    <xdr:to>
      <xdr:col>8</xdr:col>
      <xdr:colOff>114426</xdr:colOff>
      <xdr:row>19</xdr:row>
      <xdr:rowOff>241427</xdr:rowOff>
    </xdr:to>
    <xdr:sp macro="[0]!Moven2" textlink="">
      <xdr:nvSpPr>
        <xdr:cNvPr id="9" name="MoveBtn2">
          <a:extLst>
            <a:ext uri="{FF2B5EF4-FFF2-40B4-BE49-F238E27FC236}">
              <a16:creationId xmlns:a16="http://schemas.microsoft.com/office/drawing/2014/main" id="{00000000-0008-0000-0400-000009000000}"/>
            </a:ext>
          </a:extLst>
        </xdr:cNvPr>
        <xdr:cNvSpPr/>
      </xdr:nvSpPr>
      <xdr:spPr>
        <a:xfrm>
          <a:off x="8270874" y="5673725"/>
          <a:ext cx="301752" cy="301752"/>
        </a:xfrm>
        <a:prstGeom prst="ellipse">
          <a:avLst/>
        </a:prstGeom>
        <a:solidFill>
          <a:schemeClr val="accent2">
            <a:lumMod val="60000"/>
            <a:lumOff val="40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133350</xdr:colOff>
      <xdr:row>18</xdr:row>
      <xdr:rowOff>228600</xdr:rowOff>
    </xdr:from>
    <xdr:to>
      <xdr:col>6</xdr:col>
      <xdr:colOff>450850</xdr:colOff>
      <xdr:row>19</xdr:row>
      <xdr:rowOff>254000</xdr:rowOff>
    </xdr:to>
    <xdr:sp macro="" textlink="">
      <xdr:nvSpPr>
        <xdr:cNvPr id="10" name="TextBox 9">
          <a:extLst>
            <a:ext uri="{FF2B5EF4-FFF2-40B4-BE49-F238E27FC236}">
              <a16:creationId xmlns:a16="http://schemas.microsoft.com/office/drawing/2014/main" id="{00000000-0008-0000-0400-00000A000000}"/>
            </a:ext>
          </a:extLst>
        </xdr:cNvPr>
        <xdr:cNvSpPr txBox="1"/>
      </xdr:nvSpPr>
      <xdr:spPr>
        <a:xfrm>
          <a:off x="6927850" y="5429250"/>
          <a:ext cx="958850"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Zawgyi-One" panose="020B0604030504040204" pitchFamily="34" charset="0"/>
              <a:cs typeface="Zawgyi-One" panose="020B0604030504040204" pitchFamily="34" charset="0"/>
            </a:rPr>
            <a:t>ပစၥည္းမယူရေသး</a:t>
          </a:r>
          <a:endParaRPr lang="en-US" sz="1000" b="1">
            <a:latin typeface="Zawgyi-One" panose="020B0604030504040204" pitchFamily="34" charset="0"/>
            <a:cs typeface="Zawgyi-One" panose="020B0604030504040204" pitchFamily="34" charset="0"/>
          </a:endParaRPr>
        </a:p>
      </xdr:txBody>
    </xdr:sp>
    <xdr:clientData/>
  </xdr:twoCellAnchor>
  <xdr:twoCellAnchor>
    <xdr:from>
      <xdr:col>8</xdr:col>
      <xdr:colOff>184150</xdr:colOff>
      <xdr:row>18</xdr:row>
      <xdr:rowOff>209550</xdr:rowOff>
    </xdr:from>
    <xdr:to>
      <xdr:col>8</xdr:col>
      <xdr:colOff>1041400</xdr:colOff>
      <xdr:row>19</xdr:row>
      <xdr:rowOff>234950</xdr:rowOff>
    </xdr:to>
    <xdr:sp macro="" textlink="">
      <xdr:nvSpPr>
        <xdr:cNvPr id="11" name="TextBox 10">
          <a:extLst>
            <a:ext uri="{FF2B5EF4-FFF2-40B4-BE49-F238E27FC236}">
              <a16:creationId xmlns:a16="http://schemas.microsoft.com/office/drawing/2014/main" id="{00000000-0008-0000-0400-00000B000000}"/>
            </a:ext>
          </a:extLst>
        </xdr:cNvPr>
        <xdr:cNvSpPr txBox="1"/>
      </xdr:nvSpPr>
      <xdr:spPr>
        <a:xfrm>
          <a:off x="9048750" y="5410200"/>
          <a:ext cx="857250"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Zawgyi-One" panose="020B0604030504040204" pitchFamily="34" charset="0"/>
              <a:cs typeface="Zawgyi-One" panose="020B0604030504040204" pitchFamily="34" charset="0"/>
            </a:rPr>
            <a:t>ကုန္ထုတ္ေပးၿပီး</a:t>
          </a:r>
          <a:endParaRPr lang="en-US" sz="1000" b="1">
            <a:latin typeface="Zawgyi-One" panose="020B0604030504040204" pitchFamily="34" charset="0"/>
            <a:cs typeface="Zawgyi-One" panose="020B0604030504040204" pitchFamily="34" charset="0"/>
          </a:endParaRPr>
        </a:p>
      </xdr:txBody>
    </xdr:sp>
    <xdr:clientData/>
  </xdr:twoCellAnchor>
  <xdr:twoCellAnchor>
    <xdr:from>
      <xdr:col>5</xdr:col>
      <xdr:colOff>133350</xdr:colOff>
      <xdr:row>20</xdr:row>
      <xdr:rowOff>203200</xdr:rowOff>
    </xdr:from>
    <xdr:to>
      <xdr:col>6</xdr:col>
      <xdr:colOff>450850</xdr:colOff>
      <xdr:row>21</xdr:row>
      <xdr:rowOff>228600</xdr:rowOff>
    </xdr:to>
    <xdr:sp macro="" textlink="">
      <xdr:nvSpPr>
        <xdr:cNvPr id="12" name="TextBox 11">
          <a:extLst>
            <a:ext uri="{FF2B5EF4-FFF2-40B4-BE49-F238E27FC236}">
              <a16:creationId xmlns:a16="http://schemas.microsoft.com/office/drawing/2014/main" id="{00000000-0008-0000-0400-00000C000000}"/>
            </a:ext>
          </a:extLst>
        </xdr:cNvPr>
        <xdr:cNvSpPr txBox="1"/>
      </xdr:nvSpPr>
      <xdr:spPr>
        <a:xfrm>
          <a:off x="6927850" y="5924550"/>
          <a:ext cx="958850"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1">
              <a:latin typeface="Zawgyi-One" panose="020B0604030504040204" pitchFamily="34" charset="0"/>
              <a:cs typeface="Zawgyi-One" panose="020B0604030504040204" pitchFamily="34" charset="0"/>
            </a:rPr>
            <a:t>ေၾကြးက်န္ရွိ</a:t>
          </a:r>
          <a:endParaRPr lang="en-US" sz="1000" b="1">
            <a:latin typeface="Zawgyi-One" panose="020B0604030504040204" pitchFamily="34" charset="0"/>
            <a:cs typeface="Zawgyi-One" panose="020B0604030504040204" pitchFamily="34" charset="0"/>
          </a:endParaRPr>
        </a:p>
      </xdr:txBody>
    </xdr:sp>
    <xdr:clientData/>
  </xdr:twoCellAnchor>
  <xdr:twoCellAnchor>
    <xdr:from>
      <xdr:col>8</xdr:col>
      <xdr:colOff>203200</xdr:colOff>
      <xdr:row>20</xdr:row>
      <xdr:rowOff>209550</xdr:rowOff>
    </xdr:from>
    <xdr:to>
      <xdr:col>8</xdr:col>
      <xdr:colOff>1054100</xdr:colOff>
      <xdr:row>21</xdr:row>
      <xdr:rowOff>234950</xdr:rowOff>
    </xdr:to>
    <xdr:sp macro="" textlink="">
      <xdr:nvSpPr>
        <xdr:cNvPr id="13" name="TextBox 12">
          <a:extLst>
            <a:ext uri="{FF2B5EF4-FFF2-40B4-BE49-F238E27FC236}">
              <a16:creationId xmlns:a16="http://schemas.microsoft.com/office/drawing/2014/main" id="{00000000-0008-0000-0400-00000D000000}"/>
            </a:ext>
          </a:extLst>
        </xdr:cNvPr>
        <xdr:cNvSpPr txBox="1"/>
      </xdr:nvSpPr>
      <xdr:spPr>
        <a:xfrm>
          <a:off x="9067800" y="5930900"/>
          <a:ext cx="850900"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1">
              <a:latin typeface="Zawgyi-One" panose="020B0604030504040204" pitchFamily="34" charset="0"/>
              <a:cs typeface="Zawgyi-One" panose="020B0604030504040204" pitchFamily="34" charset="0"/>
            </a:rPr>
            <a:t>ေၾကြးက်န္မရွိ</a:t>
          </a:r>
          <a:endParaRPr lang="en-US" sz="1000" b="1">
            <a:latin typeface="Zawgyi-One" panose="020B0604030504040204" pitchFamily="34" charset="0"/>
            <a:cs typeface="Zawgyi-One" panose="020B0604030504040204" pitchFamily="34" charset="0"/>
          </a:endParaRPr>
        </a:p>
      </xdr:txBody>
    </xdr:sp>
    <xdr:clientData/>
  </xdr:twoCellAnchor>
  <xdr:twoCellAnchor>
    <xdr:from>
      <xdr:col>1</xdr:col>
      <xdr:colOff>276225</xdr:colOff>
      <xdr:row>18</xdr:row>
      <xdr:rowOff>200025</xdr:rowOff>
    </xdr:from>
    <xdr:to>
      <xdr:col>1</xdr:col>
      <xdr:colOff>1844675</xdr:colOff>
      <xdr:row>20</xdr:row>
      <xdr:rowOff>79375</xdr:rowOff>
    </xdr:to>
    <xdr:sp macro="" textlink="">
      <xdr:nvSpPr>
        <xdr:cNvPr id="25" name="Oval 24">
          <a:extLst>
            <a:ext uri="{FF2B5EF4-FFF2-40B4-BE49-F238E27FC236}">
              <a16:creationId xmlns:a16="http://schemas.microsoft.com/office/drawing/2014/main" id="{00000000-0008-0000-0400-000019000000}"/>
            </a:ext>
          </a:extLst>
        </xdr:cNvPr>
        <xdr:cNvSpPr/>
      </xdr:nvSpPr>
      <xdr:spPr>
        <a:xfrm>
          <a:off x="1057275" y="5657850"/>
          <a:ext cx="1568450" cy="431800"/>
        </a:xfrm>
        <a:prstGeom prst="ellipse">
          <a:avLst/>
        </a:prstGeom>
        <a:noFill/>
        <a:ln w="9525" cap="flat" cmpd="sng" algn="ctr">
          <a:solidFill>
            <a:schemeClr val="accent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rtlCol="0" anchor="t"/>
        <a:lstStyle/>
        <a:p>
          <a:pPr algn="l"/>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ELL" refreshedDate="44293.336602777781" createdVersion="6" refreshedVersion="6" minRefreshableVersion="3" recordCount="55">
  <cacheSource type="worksheet">
    <worksheetSource ref="A1:H1048576" sheet="Vlookup"/>
  </cacheSource>
  <cacheFields count="8">
    <cacheField name="ေဘာက္ခ်ာနံပါတ္" numFmtId="0">
      <sharedItems containsString="0" containsBlank="1" containsNumber="1" containsInteger="1" minValue="1" maxValue="53" count="5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m/>
      </sharedItems>
    </cacheField>
    <cacheField name="ေန႔စြဲ" numFmtId="0">
      <sharedItems containsDate="1" containsBlank="1" containsMixedTypes="1" minDate="2020-08-21T00:00:00" maxDate="2021-12-07T00:00:00" count="34">
        <d v="2021-02-09T00:00:00"/>
        <d v="2021-02-15T00:00:00"/>
        <d v="2021-02-17T00:00:00"/>
        <d v="2021-03-17T00:00:00"/>
        <d v="2020-08-21T00:00:00"/>
        <d v="2021-01-07T00:00:00"/>
        <d v="2021-01-05T00:00:00"/>
        <d v="2021-01-01T00:00:00"/>
        <d v="2021-01-15T00:00:00"/>
        <d v="2021-01-16T00:00:00"/>
        <d v="2021-01-31T00:00:00"/>
        <d v="2020-12-11T00:00:00"/>
        <d v="2021-12-06T00:00:00"/>
        <d v="2020-12-15T00:00:00"/>
        <d v="2021-02-25T00:00:00"/>
        <d v="2021-03-02T00:00:00"/>
        <d v="2021-03-05T00:00:00"/>
        <d v="2021-03-06T00:00:00"/>
        <d v="2021-03-07T00:00:00"/>
        <d v="2021-03-09T00:00:00"/>
        <d v="2021-03-15T00:00:00"/>
        <d v="2021-03-20T00:00:00"/>
        <d v="2021-03-21T00:00:00"/>
        <d v="2020-12-04T00:00:00"/>
        <d v="2021-03-27T00:00:00"/>
        <d v="2021-03-29T00:00:00"/>
        <d v="2021-03-30T00:00:00"/>
        <d v="2021-04-01T00:00:00"/>
        <d v="2021-04-02T00:00:00"/>
        <d v="2021-04-03T00:00:00"/>
        <d v="2021-04-05T00:00:00"/>
        <s v="-"/>
        <m/>
        <d v="2021-04-07T00:00:00" u="1"/>
      </sharedItems>
    </cacheField>
    <cacheField name="ဝယ္သူအမည္" numFmtId="0">
      <sharedItems containsBlank="1" count="37">
        <s v="ကိုခိုင္ႀကီး"/>
        <s v="ကိုသန္းေဇာ္ဦး"/>
        <s v="ဦးထြန္းလွ"/>
        <s v="ဦးၾကည္လြင္"/>
        <s v="ကိုေအာင္ေအာင္"/>
        <s v="ဦးေက်ာ္ရင္"/>
        <s v="ကိုစန္းလြင္ေက်ာ္"/>
        <s v="ကိုေဝယံ"/>
        <s v="ကိုဝႀကီး"/>
        <s v="ကိုသန္းနိုင္"/>
        <s v="ဦးသိန္းစိန္"/>
        <s v="ကိုစည္သူ"/>
        <s v="ဦးဖိုးသဲ "/>
        <s v="ဦးဝင္းေဇာ္"/>
        <s v="ဦးခိုင္ႀကီး"/>
        <s v="ဦးခိုင္ေဇာ္"/>
        <s v="ကိုေလး"/>
        <s v="ဦးခ်စ္ဖိန္႔"/>
        <s v="မိဘေမတၱာ"/>
        <s v="ဦးပိုးတီ"/>
        <s v="ကုိုေက်ာ္ဝဏၰ"/>
        <s v="ကိုေထြး"/>
        <s v="ဦးသန္းဦး"/>
        <s v="ကိုသန္းေဇာ္"/>
        <s v="ကိုမ်ိဴးသန္႕"/>
        <s v="ကိုေက်ာ္ဝဏၰ"/>
        <s v="ကိုေအာင္ကိုစန္း"/>
        <s v="ဝင္းမ်ိဴးေက်ာ္"/>
        <s v="ဦးေဇာ္ေထြး"/>
        <s v="ကိုေအာင္ကိုဟိန္း"/>
        <s v="ေအာင္ခန္႕ျဖဴ"/>
        <s v="ေအာင္ခန္႔ျဖဴ"/>
        <s v="ဖြားမိုးၾကီး"/>
        <s v="-"/>
        <m/>
        <s v="ကိုျမ" u="1"/>
        <s v="ကိုထြား" u="1"/>
      </sharedItems>
    </cacheField>
    <cacheField name="ေနရပ္" numFmtId="0">
      <sharedItems containsBlank="1" count="16">
        <s v="ထန္းမနိုင္"/>
        <s v="ေတာ္ကလိတ္"/>
        <s v="က်ံဳဒရယ္"/>
        <s v="ဆည္ေျမာင္း"/>
        <s v="ဝါးေသာက္"/>
        <s v="ေညာင္ပင္သာ"/>
        <s v="သဲကုန္းတန္း"/>
        <s v="ထန္းတပင္"/>
        <s v="က်ဴေတာေခ်ာင္"/>
        <s v="သခြတ္ပင္"/>
        <s v="လက္ခုတ္ကုန္း"/>
        <s v="သမၼာန္ေခ်ာင္း"/>
        <s v="ရခိုင္ေခ်ာင္"/>
        <s v="-"/>
        <m/>
        <s v="မဝန္း" u="1"/>
      </sharedItems>
    </cacheField>
    <cacheField name="ဖုန္းနံပါတ္" numFmtId="0">
      <sharedItems containsBlank="1" containsMixedTypes="1" containsNumber="1" containsInteger="1" minValue="0" maxValue="799313054" count="9">
        <n v="448040542"/>
        <s v="09-688855957"/>
        <s v="09-069359308"/>
        <n v="0"/>
        <s v="09-420113523"/>
        <s v="09-263474233"/>
        <n v="799313054"/>
        <s v="-"/>
        <m/>
      </sharedItems>
    </cacheField>
    <cacheField name="စက္ပစၥည္းအမည္" numFmtId="0">
      <sharedItems containsBlank="1" containsMixedTypes="1" containsNumber="1" containsInteger="1" minValue="0" maxValue="0" count="31">
        <s v="Engine28Hp"/>
        <s v="Engine 22Hp"/>
        <s v="မီးစက္တြဲ"/>
        <s v="ဝရိန္ပံုး+ေဂါက္+ႀကိဳး"/>
        <s v="ဝရိန္ပံုး"/>
        <s v="ေရပန္႔တြဲ"/>
        <n v="0"/>
        <s v="ေက်ာက္စက္"/>
        <s v="ေျမဆီဖိုး က်န္ေငြ"/>
        <s v="ဘက္မွန္"/>
        <s v="ပိုက္စိမ္းေခြ"/>
        <s v="ဆီတင္ပန္႔"/>
        <s v="ေရေမာ္တာ"/>
        <s v="ပါဝါပန္႔"/>
        <s v="ေလအိုး အစံု"/>
        <s v="သံုးဘီးပစၥည္း"/>
        <s v="ႀကိဳးစက္ အစံု"/>
        <s v="ရိတ္စက္ SP"/>
        <s v="SP ေၾကြးက်န္"/>
        <s v="Auto ပန္႔"/>
        <s v="ေရေဆးပန္႔+ေရပံုး"/>
        <s v="ေလဂိတ္"/>
        <s v="spေၾကြးက်န္"/>
        <s v="ဝရန္ပံုး+ အစံု"/>
        <s v="ေရေဆးစက္+အစံု"/>
        <s v="ဘထၳရီအိုး"/>
        <s v="ေလဂန္း"/>
        <s v="SP"/>
        <s v="ေရျမွပ္ပန္႔"/>
        <s v="-"/>
        <m/>
      </sharedItems>
    </cacheField>
    <cacheField name="ေၾကြးဆပ္ရက္" numFmtId="165">
      <sharedItems containsDate="1" containsBlank="1" containsMixedTypes="1" minDate="1899-12-30T00:00:00" maxDate="2021-05-01T00:00:00" count="28">
        <d v="1899-12-30T00:00:00"/>
        <d v="2021-03-15T00:00:00"/>
        <d v="2021-02-28T00:00:00"/>
        <d v="2021-03-20T00:00:00"/>
        <d v="2020-09-21T00:00:00"/>
        <d v="2021-02-07T00:00:00"/>
        <d v="2021-02-05T00:00:00"/>
        <d v="2021-02-08T00:00:00"/>
        <d v="2021-02-15T00:00:00"/>
        <d v="2021-02-16T00:00:00"/>
        <d v="2021-01-11T00:00:00"/>
        <d v="2021-01-06T00:00:00"/>
        <d v="2021-01-15T00:00:00"/>
        <d v="2021-03-25T00:00:00"/>
        <d v="2021-04-02T00:00:00"/>
        <d v="2021-04-20T00:00:00"/>
        <d v="2021-03-29T00:00:00"/>
        <d v="2021-03-30T00:00:00"/>
        <d v="2021-03-31T00:00:00"/>
        <d v="2021-03-23T00:00:00"/>
        <d v="2021-03-21T00:00:00"/>
        <d v="2020-12-30T00:00:00"/>
        <d v="2021-04-29T00:00:00"/>
        <d v="2021-04-15T00:00:00"/>
        <d v="2021-04-30T00:00:00"/>
        <s v="-"/>
        <m/>
        <d v="2021-04-28T00:00:00" u="1"/>
      </sharedItems>
    </cacheField>
    <cacheField name=" ေၾကြးက်န္ " numFmtId="164">
      <sharedItems containsBlank="1" containsMixedTypes="1" containsNumber="1" containsInteger="1" minValue="0" maxValue="225000" count="26">
        <n v="0"/>
        <n v="225000"/>
        <n v="83500"/>
        <n v="138000"/>
        <n v="4000"/>
        <n v="11000"/>
        <n v="5000"/>
        <n v="7000"/>
        <n v="33500"/>
        <n v="19500"/>
        <n v="22000"/>
        <n v="35000"/>
        <n v="17500"/>
        <n v="62000"/>
        <n v="63000"/>
        <n v="20000"/>
        <n v="48200"/>
        <n v="93000"/>
        <n v="5200"/>
        <n v="15000"/>
        <n v="10500"/>
        <n v="89000"/>
        <n v="101700"/>
        <n v="30000"/>
        <s v="-"/>
        <m/>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55">
  <r>
    <x v="0"/>
    <x v="0"/>
    <x v="0"/>
    <x v="0"/>
    <x v="0"/>
    <x v="0"/>
    <x v="0"/>
    <x v="0"/>
  </r>
  <r>
    <x v="1"/>
    <x v="1"/>
    <x v="1"/>
    <x v="1"/>
    <x v="1"/>
    <x v="1"/>
    <x v="1"/>
    <x v="1"/>
  </r>
  <r>
    <x v="2"/>
    <x v="2"/>
    <x v="2"/>
    <x v="2"/>
    <x v="2"/>
    <x v="2"/>
    <x v="2"/>
    <x v="0"/>
  </r>
  <r>
    <x v="3"/>
    <x v="3"/>
    <x v="3"/>
    <x v="3"/>
    <x v="3"/>
    <x v="3"/>
    <x v="3"/>
    <x v="2"/>
  </r>
  <r>
    <x v="4"/>
    <x v="4"/>
    <x v="4"/>
    <x v="4"/>
    <x v="3"/>
    <x v="4"/>
    <x v="4"/>
    <x v="0"/>
  </r>
  <r>
    <x v="5"/>
    <x v="5"/>
    <x v="5"/>
    <x v="5"/>
    <x v="3"/>
    <x v="5"/>
    <x v="5"/>
    <x v="3"/>
  </r>
  <r>
    <x v="6"/>
    <x v="6"/>
    <x v="6"/>
    <x v="2"/>
    <x v="3"/>
    <x v="6"/>
    <x v="6"/>
    <x v="4"/>
  </r>
  <r>
    <x v="7"/>
    <x v="7"/>
    <x v="7"/>
    <x v="4"/>
    <x v="3"/>
    <x v="7"/>
    <x v="7"/>
    <x v="0"/>
  </r>
  <r>
    <x v="8"/>
    <x v="8"/>
    <x v="8"/>
    <x v="3"/>
    <x v="3"/>
    <x v="6"/>
    <x v="8"/>
    <x v="5"/>
  </r>
  <r>
    <x v="9"/>
    <x v="9"/>
    <x v="9"/>
    <x v="6"/>
    <x v="3"/>
    <x v="4"/>
    <x v="9"/>
    <x v="0"/>
  </r>
  <r>
    <x v="10"/>
    <x v="10"/>
    <x v="10"/>
    <x v="7"/>
    <x v="3"/>
    <x v="8"/>
    <x v="2"/>
    <x v="6"/>
  </r>
  <r>
    <x v="11"/>
    <x v="11"/>
    <x v="11"/>
    <x v="4"/>
    <x v="3"/>
    <x v="9"/>
    <x v="10"/>
    <x v="7"/>
  </r>
  <r>
    <x v="12"/>
    <x v="12"/>
    <x v="4"/>
    <x v="5"/>
    <x v="3"/>
    <x v="6"/>
    <x v="11"/>
    <x v="8"/>
  </r>
  <r>
    <x v="13"/>
    <x v="13"/>
    <x v="12"/>
    <x v="8"/>
    <x v="3"/>
    <x v="6"/>
    <x v="12"/>
    <x v="9"/>
  </r>
  <r>
    <x v="14"/>
    <x v="14"/>
    <x v="13"/>
    <x v="9"/>
    <x v="3"/>
    <x v="10"/>
    <x v="13"/>
    <x v="10"/>
  </r>
  <r>
    <x v="15"/>
    <x v="15"/>
    <x v="14"/>
    <x v="0"/>
    <x v="3"/>
    <x v="11"/>
    <x v="14"/>
    <x v="11"/>
  </r>
  <r>
    <x v="16"/>
    <x v="16"/>
    <x v="15"/>
    <x v="4"/>
    <x v="3"/>
    <x v="12"/>
    <x v="15"/>
    <x v="0"/>
  </r>
  <r>
    <x v="17"/>
    <x v="17"/>
    <x v="16"/>
    <x v="4"/>
    <x v="3"/>
    <x v="13"/>
    <x v="16"/>
    <x v="0"/>
  </r>
  <r>
    <x v="18"/>
    <x v="18"/>
    <x v="15"/>
    <x v="4"/>
    <x v="3"/>
    <x v="12"/>
    <x v="17"/>
    <x v="0"/>
  </r>
  <r>
    <x v="19"/>
    <x v="19"/>
    <x v="17"/>
    <x v="4"/>
    <x v="3"/>
    <x v="7"/>
    <x v="18"/>
    <x v="12"/>
  </r>
  <r>
    <x v="20"/>
    <x v="20"/>
    <x v="18"/>
    <x v="4"/>
    <x v="3"/>
    <x v="14"/>
    <x v="19"/>
    <x v="0"/>
  </r>
  <r>
    <x v="21"/>
    <x v="3"/>
    <x v="19"/>
    <x v="2"/>
    <x v="3"/>
    <x v="6"/>
    <x v="16"/>
    <x v="0"/>
  </r>
  <r>
    <x v="22"/>
    <x v="21"/>
    <x v="20"/>
    <x v="4"/>
    <x v="4"/>
    <x v="12"/>
    <x v="16"/>
    <x v="0"/>
  </r>
  <r>
    <x v="23"/>
    <x v="21"/>
    <x v="21"/>
    <x v="4"/>
    <x v="3"/>
    <x v="12"/>
    <x v="16"/>
    <x v="0"/>
  </r>
  <r>
    <x v="24"/>
    <x v="22"/>
    <x v="22"/>
    <x v="10"/>
    <x v="5"/>
    <x v="15"/>
    <x v="16"/>
    <x v="13"/>
  </r>
  <r>
    <x v="25"/>
    <x v="22"/>
    <x v="21"/>
    <x v="4"/>
    <x v="3"/>
    <x v="12"/>
    <x v="16"/>
    <x v="14"/>
  </r>
  <r>
    <x v="26"/>
    <x v="22"/>
    <x v="7"/>
    <x v="4"/>
    <x v="3"/>
    <x v="16"/>
    <x v="16"/>
    <x v="15"/>
  </r>
  <r>
    <x v="27"/>
    <x v="20"/>
    <x v="23"/>
    <x v="4"/>
    <x v="3"/>
    <x v="17"/>
    <x v="20"/>
    <x v="0"/>
  </r>
  <r>
    <x v="28"/>
    <x v="23"/>
    <x v="24"/>
    <x v="4"/>
    <x v="3"/>
    <x v="18"/>
    <x v="21"/>
    <x v="16"/>
  </r>
  <r>
    <x v="29"/>
    <x v="24"/>
    <x v="25"/>
    <x v="4"/>
    <x v="3"/>
    <x v="19"/>
    <x v="17"/>
    <x v="0"/>
  </r>
  <r>
    <x v="30"/>
    <x v="25"/>
    <x v="26"/>
    <x v="11"/>
    <x v="3"/>
    <x v="20"/>
    <x v="22"/>
    <x v="17"/>
  </r>
  <r>
    <x v="31"/>
    <x v="25"/>
    <x v="18"/>
    <x v="4"/>
    <x v="3"/>
    <x v="6"/>
    <x v="17"/>
    <x v="18"/>
  </r>
  <r>
    <x v="32"/>
    <x v="26"/>
    <x v="18"/>
    <x v="4"/>
    <x v="3"/>
    <x v="21"/>
    <x v="23"/>
    <x v="19"/>
  </r>
  <r>
    <x v="33"/>
    <x v="26"/>
    <x v="27"/>
    <x v="5"/>
    <x v="3"/>
    <x v="22"/>
    <x v="23"/>
    <x v="20"/>
  </r>
  <r>
    <x v="34"/>
    <x v="26"/>
    <x v="28"/>
    <x v="6"/>
    <x v="3"/>
    <x v="18"/>
    <x v="23"/>
    <x v="7"/>
  </r>
  <r>
    <x v="35"/>
    <x v="27"/>
    <x v="29"/>
    <x v="12"/>
    <x v="6"/>
    <x v="23"/>
    <x v="14"/>
    <x v="0"/>
  </r>
  <r>
    <x v="36"/>
    <x v="28"/>
    <x v="18"/>
    <x v="4"/>
    <x v="3"/>
    <x v="24"/>
    <x v="23"/>
    <x v="21"/>
  </r>
  <r>
    <x v="37"/>
    <x v="29"/>
    <x v="30"/>
    <x v="4"/>
    <x v="3"/>
    <x v="25"/>
    <x v="23"/>
    <x v="0"/>
  </r>
  <r>
    <x v="38"/>
    <x v="30"/>
    <x v="18"/>
    <x v="4"/>
    <x v="3"/>
    <x v="26"/>
    <x v="24"/>
    <x v="22"/>
  </r>
  <r>
    <x v="39"/>
    <x v="30"/>
    <x v="31"/>
    <x v="4"/>
    <x v="3"/>
    <x v="27"/>
    <x v="24"/>
    <x v="19"/>
  </r>
  <r>
    <x v="40"/>
    <x v="30"/>
    <x v="32"/>
    <x v="4"/>
    <x v="3"/>
    <x v="28"/>
    <x v="24"/>
    <x v="23"/>
  </r>
  <r>
    <x v="41"/>
    <x v="31"/>
    <x v="33"/>
    <x v="13"/>
    <x v="7"/>
    <x v="29"/>
    <x v="25"/>
    <x v="24"/>
  </r>
  <r>
    <x v="42"/>
    <x v="31"/>
    <x v="33"/>
    <x v="13"/>
    <x v="7"/>
    <x v="29"/>
    <x v="25"/>
    <x v="24"/>
  </r>
  <r>
    <x v="43"/>
    <x v="31"/>
    <x v="33"/>
    <x v="13"/>
    <x v="7"/>
    <x v="29"/>
    <x v="25"/>
    <x v="24"/>
  </r>
  <r>
    <x v="44"/>
    <x v="31"/>
    <x v="33"/>
    <x v="13"/>
    <x v="7"/>
    <x v="29"/>
    <x v="25"/>
    <x v="24"/>
  </r>
  <r>
    <x v="45"/>
    <x v="31"/>
    <x v="33"/>
    <x v="13"/>
    <x v="7"/>
    <x v="29"/>
    <x v="25"/>
    <x v="24"/>
  </r>
  <r>
    <x v="46"/>
    <x v="31"/>
    <x v="33"/>
    <x v="13"/>
    <x v="7"/>
    <x v="29"/>
    <x v="25"/>
    <x v="24"/>
  </r>
  <r>
    <x v="47"/>
    <x v="31"/>
    <x v="33"/>
    <x v="13"/>
    <x v="7"/>
    <x v="29"/>
    <x v="25"/>
    <x v="24"/>
  </r>
  <r>
    <x v="48"/>
    <x v="31"/>
    <x v="33"/>
    <x v="13"/>
    <x v="7"/>
    <x v="29"/>
    <x v="25"/>
    <x v="24"/>
  </r>
  <r>
    <x v="49"/>
    <x v="31"/>
    <x v="33"/>
    <x v="13"/>
    <x v="7"/>
    <x v="29"/>
    <x v="25"/>
    <x v="24"/>
  </r>
  <r>
    <x v="50"/>
    <x v="31"/>
    <x v="33"/>
    <x v="13"/>
    <x v="7"/>
    <x v="29"/>
    <x v="25"/>
    <x v="24"/>
  </r>
  <r>
    <x v="51"/>
    <x v="31"/>
    <x v="33"/>
    <x v="13"/>
    <x v="7"/>
    <x v="29"/>
    <x v="25"/>
    <x v="24"/>
  </r>
  <r>
    <x v="52"/>
    <x v="31"/>
    <x v="33"/>
    <x v="13"/>
    <x v="7"/>
    <x v="29"/>
    <x v="25"/>
    <x v="24"/>
  </r>
  <r>
    <x v="53"/>
    <x v="32"/>
    <x v="34"/>
    <x v="14"/>
    <x v="8"/>
    <x v="30"/>
    <x v="25"/>
    <x v="25"/>
  </r>
  <r>
    <x v="53"/>
    <x v="32"/>
    <x v="34"/>
    <x v="14"/>
    <x v="8"/>
    <x v="30"/>
    <x v="26"/>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3:H29" firstHeaderRow="1" firstDataRow="1" firstDataCol="7"/>
  <pivotFields count="8">
    <pivotField axis="axisRow" compact="0" outline="0" showAll="0" defaultSubtota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53"/>
        <item x="41"/>
        <item x="42"/>
        <item x="43"/>
        <item x="44"/>
        <item x="45"/>
        <item x="46"/>
        <item x="47"/>
        <item x="48"/>
        <item x="49"/>
        <item x="50"/>
        <item x="51"/>
        <item x="52"/>
      </items>
      <extLst>
        <ext xmlns:x14="http://schemas.microsoft.com/office/spreadsheetml/2009/9/main" uri="{2946ED86-A175-432a-8AC1-64E0C546D7DE}">
          <x14:pivotField fillDownLabels="1"/>
        </ext>
      </extLst>
    </pivotField>
    <pivotField axis="axisRow" compact="0" outline="0" showAll="0" defaultSubtotal="0">
      <items count="34">
        <item x="31"/>
        <item x="4"/>
        <item x="23"/>
        <item x="11"/>
        <item x="13"/>
        <item x="7"/>
        <item x="6"/>
        <item x="5"/>
        <item x="8"/>
        <item x="9"/>
        <item x="10"/>
        <item x="0"/>
        <item x="1"/>
        <item x="2"/>
        <item x="14"/>
        <item x="15"/>
        <item x="16"/>
        <item x="17"/>
        <item x="18"/>
        <item x="19"/>
        <item x="20"/>
        <item x="3"/>
        <item x="21"/>
        <item x="22"/>
        <item x="24"/>
        <item x="25"/>
        <item x="26"/>
        <item x="27"/>
        <item x="28"/>
        <item x="29"/>
        <item x="30"/>
        <item x="12"/>
        <item x="32"/>
        <item m="1" x="33"/>
      </items>
      <extLst>
        <ext xmlns:x14="http://schemas.microsoft.com/office/spreadsheetml/2009/9/main" uri="{2946ED86-A175-432a-8AC1-64E0C546D7DE}">
          <x14:pivotField fillDownLabels="1"/>
        </ext>
      </extLst>
    </pivotField>
    <pivotField axis="axisRow" compact="0" outline="0" showAll="0" defaultSubtotal="0">
      <items count="37">
        <item x="33"/>
        <item x="0"/>
        <item x="11"/>
        <item x="6"/>
        <item x="24"/>
        <item x="8"/>
        <item x="9"/>
        <item x="23"/>
        <item x="1"/>
        <item x="25"/>
        <item x="21"/>
        <item x="16"/>
        <item x="7"/>
        <item x="26"/>
        <item x="29"/>
        <item x="4"/>
        <item x="20"/>
        <item x="32"/>
        <item x="18"/>
        <item x="27"/>
        <item x="14"/>
        <item x="15"/>
        <item x="17"/>
        <item x="2"/>
        <item x="19"/>
        <item x="12"/>
        <item x="3"/>
        <item x="13"/>
        <item x="22"/>
        <item x="10"/>
        <item x="5"/>
        <item x="28"/>
        <item x="31"/>
        <item x="30"/>
        <item x="34"/>
        <item m="1" x="35"/>
        <item m="1" x="36"/>
      </items>
      <extLst>
        <ext xmlns:x14="http://schemas.microsoft.com/office/spreadsheetml/2009/9/main" uri="{2946ED86-A175-432a-8AC1-64E0C546D7DE}">
          <x14:pivotField fillDownLabels="1"/>
        </ext>
      </extLst>
    </pivotField>
    <pivotField axis="axisRow" compact="0" outline="0" showAll="0" defaultSubtotal="0">
      <items count="16">
        <item x="13"/>
        <item x="2"/>
        <item x="8"/>
        <item x="3"/>
        <item x="7"/>
        <item x="0"/>
        <item x="12"/>
        <item x="10"/>
        <item x="4"/>
        <item x="9"/>
        <item x="11"/>
        <item x="6"/>
        <item x="5"/>
        <item x="1"/>
        <item x="14"/>
        <item m="1" x="15"/>
      </items>
      <extLst>
        <ext xmlns:x14="http://schemas.microsoft.com/office/spreadsheetml/2009/9/main" uri="{2946ED86-A175-432a-8AC1-64E0C546D7DE}">
          <x14:pivotField fillDownLabels="1"/>
        </ext>
      </extLst>
    </pivotField>
    <pivotField axis="axisRow" compact="0" outline="0" showAll="0" defaultSubtotal="0">
      <items count="9">
        <item x="3"/>
        <item x="0"/>
        <item x="6"/>
        <item x="7"/>
        <item x="2"/>
        <item x="5"/>
        <item x="4"/>
        <item x="1"/>
        <item x="8"/>
      </items>
      <extLst>
        <ext xmlns:x14="http://schemas.microsoft.com/office/spreadsheetml/2009/9/main" uri="{2946ED86-A175-432a-8AC1-64E0C546D7DE}">
          <x14:pivotField fillDownLabels="1"/>
        </ext>
      </extLst>
    </pivotField>
    <pivotField axis="axisRow" compact="0" outline="0" showAll="0" defaultSubtotal="0">
      <items count="31">
        <item x="6"/>
        <item x="29"/>
        <item x="19"/>
        <item x="1"/>
        <item x="0"/>
        <item x="27"/>
        <item x="18"/>
        <item x="22"/>
        <item x="11"/>
        <item x="16"/>
        <item x="13"/>
        <item x="10"/>
        <item x="9"/>
        <item x="25"/>
        <item x="2"/>
        <item x="17"/>
        <item x="23"/>
        <item x="4"/>
        <item x="3"/>
        <item x="15"/>
        <item x="7"/>
        <item x="8"/>
        <item x="5"/>
        <item x="28"/>
        <item x="24"/>
        <item x="20"/>
        <item x="12"/>
        <item x="26"/>
        <item x="21"/>
        <item x="14"/>
        <item x="30"/>
      </items>
      <extLst>
        <ext xmlns:x14="http://schemas.microsoft.com/office/spreadsheetml/2009/9/main" uri="{2946ED86-A175-432a-8AC1-64E0C546D7DE}">
          <x14:pivotField fillDownLabels="1"/>
        </ext>
      </extLst>
    </pivotField>
    <pivotField axis="axisRow" compact="0" outline="0" showAll="0" defaultSubtotal="0">
      <items count="28">
        <item x="25"/>
        <item x="0"/>
        <item x="4"/>
        <item x="21"/>
        <item x="11"/>
        <item x="10"/>
        <item x="12"/>
        <item x="6"/>
        <item x="5"/>
        <item x="7"/>
        <item x="8"/>
        <item x="9"/>
        <item x="2"/>
        <item x="1"/>
        <item x="3"/>
        <item x="20"/>
        <item x="19"/>
        <item x="13"/>
        <item x="16"/>
        <item x="17"/>
        <item x="18"/>
        <item x="14"/>
        <item x="23"/>
        <item x="15"/>
        <item x="22"/>
        <item x="24"/>
        <item x="26"/>
        <item m="1" x="27"/>
      </items>
      <extLst>
        <ext xmlns:x14="http://schemas.microsoft.com/office/spreadsheetml/2009/9/main" uri="{2946ED86-A175-432a-8AC1-64E0C546D7DE}">
          <x14:pivotField fillDownLabels="1"/>
        </ext>
      </extLst>
    </pivotField>
    <pivotField dataField="1" compact="0" outline="0" showAll="0" defaultSubtotal="0">
      <items count="26">
        <item h="1" x="0"/>
        <item x="4"/>
        <item x="6"/>
        <item x="18"/>
        <item x="7"/>
        <item x="20"/>
        <item x="5"/>
        <item x="19"/>
        <item x="12"/>
        <item x="9"/>
        <item x="15"/>
        <item x="10"/>
        <item x="23"/>
        <item x="8"/>
        <item x="11"/>
        <item x="16"/>
        <item x="13"/>
        <item x="14"/>
        <item x="2"/>
        <item x="21"/>
        <item x="17"/>
        <item x="22"/>
        <item x="3"/>
        <item x="1"/>
        <item h="1" x="24"/>
        <item h="1" x="25"/>
      </items>
      <extLst>
        <ext xmlns:x14="http://schemas.microsoft.com/office/spreadsheetml/2009/9/main" uri="{2946ED86-A175-432a-8AC1-64E0C546D7DE}">
          <x14:pivotField fillDownLabels="1"/>
        </ext>
      </extLst>
    </pivotField>
  </pivotFields>
  <rowFields count="7">
    <field x="0"/>
    <field x="1"/>
    <field x="2"/>
    <field x="3"/>
    <field x="4"/>
    <field x="5"/>
    <field x="6"/>
  </rowFields>
  <rowItems count="26">
    <i>
      <x v="1"/>
      <x v="12"/>
      <x v="8"/>
      <x v="13"/>
      <x v="7"/>
      <x v="3"/>
      <x v="13"/>
    </i>
    <i>
      <x v="3"/>
      <x v="21"/>
      <x v="26"/>
      <x v="3"/>
      <x/>
      <x v="18"/>
      <x v="14"/>
    </i>
    <i>
      <x v="5"/>
      <x v="7"/>
      <x v="30"/>
      <x v="12"/>
      <x/>
      <x v="22"/>
      <x v="8"/>
    </i>
    <i>
      <x v="6"/>
      <x v="6"/>
      <x v="3"/>
      <x v="1"/>
      <x/>
      <x/>
      <x v="7"/>
    </i>
    <i>
      <x v="8"/>
      <x v="8"/>
      <x v="5"/>
      <x v="3"/>
      <x/>
      <x/>
      <x v="10"/>
    </i>
    <i>
      <x v="10"/>
      <x v="10"/>
      <x v="29"/>
      <x v="4"/>
      <x/>
      <x v="21"/>
      <x v="12"/>
    </i>
    <i>
      <x v="11"/>
      <x v="3"/>
      <x v="2"/>
      <x v="8"/>
      <x/>
      <x v="12"/>
      <x v="5"/>
    </i>
    <i>
      <x v="12"/>
      <x v="31"/>
      <x v="15"/>
      <x v="12"/>
      <x/>
      <x/>
      <x v="4"/>
    </i>
    <i>
      <x v="13"/>
      <x v="4"/>
      <x v="25"/>
      <x v="2"/>
      <x/>
      <x/>
      <x v="6"/>
    </i>
    <i>
      <x v="14"/>
      <x v="14"/>
      <x v="27"/>
      <x v="9"/>
      <x/>
      <x v="11"/>
      <x v="17"/>
    </i>
    <i>
      <x v="15"/>
      <x v="15"/>
      <x v="20"/>
      <x v="5"/>
      <x/>
      <x v="8"/>
      <x v="21"/>
    </i>
    <i>
      <x v="19"/>
      <x v="19"/>
      <x v="22"/>
      <x v="8"/>
      <x/>
      <x v="20"/>
      <x v="20"/>
    </i>
    <i>
      <x v="24"/>
      <x v="23"/>
      <x v="28"/>
      <x v="7"/>
      <x v="5"/>
      <x v="19"/>
      <x v="18"/>
    </i>
    <i>
      <x v="25"/>
      <x v="23"/>
      <x v="10"/>
      <x v="8"/>
      <x/>
      <x v="26"/>
      <x v="18"/>
    </i>
    <i>
      <x v="26"/>
      <x v="23"/>
      <x v="12"/>
      <x v="8"/>
      <x/>
      <x v="9"/>
      <x v="18"/>
    </i>
    <i>
      <x v="28"/>
      <x v="2"/>
      <x v="4"/>
      <x v="8"/>
      <x/>
      <x v="6"/>
      <x v="3"/>
    </i>
    <i>
      <x v="30"/>
      <x v="25"/>
      <x v="13"/>
      <x v="10"/>
      <x/>
      <x v="25"/>
      <x v="24"/>
    </i>
    <i>
      <x v="31"/>
      <x v="25"/>
      <x v="18"/>
      <x v="8"/>
      <x/>
      <x/>
      <x v="19"/>
    </i>
    <i>
      <x v="32"/>
      <x v="26"/>
      <x v="18"/>
      <x v="8"/>
      <x/>
      <x v="28"/>
      <x v="22"/>
    </i>
    <i>
      <x v="33"/>
      <x v="26"/>
      <x v="19"/>
      <x v="12"/>
      <x/>
      <x v="7"/>
      <x v="22"/>
    </i>
    <i>
      <x v="34"/>
      <x v="26"/>
      <x v="31"/>
      <x v="11"/>
      <x/>
      <x v="6"/>
      <x v="22"/>
    </i>
    <i>
      <x v="36"/>
      <x v="28"/>
      <x v="18"/>
      <x v="8"/>
      <x/>
      <x v="24"/>
      <x v="22"/>
    </i>
    <i>
      <x v="38"/>
      <x v="30"/>
      <x v="18"/>
      <x v="8"/>
      <x/>
      <x v="27"/>
      <x v="25"/>
    </i>
    <i>
      <x v="39"/>
      <x v="30"/>
      <x v="32"/>
      <x v="8"/>
      <x/>
      <x v="5"/>
      <x v="25"/>
    </i>
    <i>
      <x v="40"/>
      <x v="30"/>
      <x v="17"/>
      <x v="8"/>
      <x/>
      <x v="23"/>
      <x v="25"/>
    </i>
    <i t="grand">
      <x/>
    </i>
  </rowItems>
  <colItems count="1">
    <i/>
  </colItems>
  <dataFields count="1">
    <dataField name="Sum of  ေၾကြးက်န္ " fld="7" baseField="6" baseItem="12" numFmtId="164"/>
  </dataFields>
  <formats count="248">
    <format dxfId="247">
      <pivotArea dataOnly="0" labelOnly="1" fieldPosition="0">
        <references count="3">
          <reference field="0" count="1" selected="0">
            <x v="1"/>
          </reference>
          <reference field="1" count="1" selected="0">
            <x v="12"/>
          </reference>
          <reference field="2" count="1">
            <x v="8"/>
          </reference>
        </references>
      </pivotArea>
    </format>
    <format dxfId="246">
      <pivotArea type="all" dataOnly="0" outline="0" fieldPosition="0"/>
    </format>
    <format dxfId="245">
      <pivotArea outline="0" collapsedLevelsAreSubtotals="1" fieldPosition="0"/>
    </format>
    <format dxfId="244">
      <pivotArea field="0" type="button" dataOnly="0" labelOnly="1" outline="0" axis="axisRow" fieldPosition="0"/>
    </format>
    <format dxfId="243">
      <pivotArea field="1" type="button" dataOnly="0" labelOnly="1" outline="0" axis="axisRow" fieldPosition="1"/>
    </format>
    <format dxfId="242">
      <pivotArea field="2" type="button" dataOnly="0" labelOnly="1" outline="0" axis="axisRow" fieldPosition="2"/>
    </format>
    <format dxfId="241">
      <pivotArea field="3" type="button" dataOnly="0" labelOnly="1" outline="0" axis="axisRow" fieldPosition="3"/>
    </format>
    <format dxfId="240">
      <pivotArea field="4" type="button" dataOnly="0" labelOnly="1" outline="0" axis="axisRow" fieldPosition="4"/>
    </format>
    <format dxfId="239">
      <pivotArea field="5" type="button" dataOnly="0" labelOnly="1" outline="0" axis="axisRow" fieldPosition="5"/>
    </format>
    <format dxfId="238">
      <pivotArea field="6" type="button" dataOnly="0" labelOnly="1" outline="0" axis="axisRow" fieldPosition="6"/>
    </format>
    <format dxfId="237">
      <pivotArea dataOnly="0" labelOnly="1" outline="0" axis="axisValues" fieldPosition="0"/>
    </format>
    <format dxfId="236">
      <pivotArea dataOnly="0" labelOnly="1" outline="0" fieldPosition="0">
        <references count="1">
          <reference field="0" count="0"/>
        </references>
      </pivotArea>
    </format>
    <format dxfId="235">
      <pivotArea dataOnly="0" labelOnly="1" grandRow="1" outline="0" fieldPosition="0"/>
    </format>
    <format dxfId="234">
      <pivotArea dataOnly="0" labelOnly="1" outline="0" fieldPosition="0">
        <references count="2">
          <reference field="0" count="1" selected="0">
            <x v="0"/>
          </reference>
          <reference field="1" count="1">
            <x v="11"/>
          </reference>
        </references>
      </pivotArea>
    </format>
    <format dxfId="233">
      <pivotArea dataOnly="0" labelOnly="1" outline="0" fieldPosition="0">
        <references count="2">
          <reference field="0" count="1" selected="0">
            <x v="1"/>
          </reference>
          <reference field="1" count="1">
            <x v="12"/>
          </reference>
        </references>
      </pivotArea>
    </format>
    <format dxfId="232">
      <pivotArea dataOnly="0" labelOnly="1" outline="0" fieldPosition="0">
        <references count="2">
          <reference field="0" count="1" selected="0">
            <x v="2"/>
          </reference>
          <reference field="1" count="1">
            <x v="13"/>
          </reference>
        </references>
      </pivotArea>
    </format>
    <format dxfId="231">
      <pivotArea dataOnly="0" labelOnly="1" outline="0" fieldPosition="0">
        <references count="2">
          <reference field="0" count="1" selected="0">
            <x v="3"/>
          </reference>
          <reference field="1" count="1">
            <x v="21"/>
          </reference>
        </references>
      </pivotArea>
    </format>
    <format dxfId="230">
      <pivotArea dataOnly="0" labelOnly="1" outline="0" fieldPosition="0">
        <references count="2">
          <reference field="0" count="1" selected="0">
            <x v="4"/>
          </reference>
          <reference field="1" count="1">
            <x v="1"/>
          </reference>
        </references>
      </pivotArea>
    </format>
    <format dxfId="229">
      <pivotArea dataOnly="0" labelOnly="1" outline="0" fieldPosition="0">
        <references count="2">
          <reference field="0" count="1" selected="0">
            <x v="5"/>
          </reference>
          <reference field="1" count="1">
            <x v="7"/>
          </reference>
        </references>
      </pivotArea>
    </format>
    <format dxfId="228">
      <pivotArea dataOnly="0" labelOnly="1" outline="0" fieldPosition="0">
        <references count="2">
          <reference field="0" count="1" selected="0">
            <x v="6"/>
          </reference>
          <reference field="1" count="1">
            <x v="6"/>
          </reference>
        </references>
      </pivotArea>
    </format>
    <format dxfId="227">
      <pivotArea dataOnly="0" labelOnly="1" outline="0" fieldPosition="0">
        <references count="2">
          <reference field="0" count="1" selected="0">
            <x v="7"/>
          </reference>
          <reference field="1" count="1">
            <x v="5"/>
          </reference>
        </references>
      </pivotArea>
    </format>
    <format dxfId="226">
      <pivotArea dataOnly="0" labelOnly="1" outline="0" fieldPosition="0">
        <references count="2">
          <reference field="0" count="1" selected="0">
            <x v="8"/>
          </reference>
          <reference field="1" count="1">
            <x v="8"/>
          </reference>
        </references>
      </pivotArea>
    </format>
    <format dxfId="225">
      <pivotArea dataOnly="0" labelOnly="1" outline="0" fieldPosition="0">
        <references count="2">
          <reference field="0" count="1" selected="0">
            <x v="9"/>
          </reference>
          <reference field="1" count="1">
            <x v="9"/>
          </reference>
        </references>
      </pivotArea>
    </format>
    <format dxfId="224">
      <pivotArea dataOnly="0" labelOnly="1" outline="0" fieldPosition="0">
        <references count="2">
          <reference field="0" count="1" selected="0">
            <x v="10"/>
          </reference>
          <reference field="1" count="1">
            <x v="10"/>
          </reference>
        </references>
      </pivotArea>
    </format>
    <format dxfId="223">
      <pivotArea dataOnly="0" labelOnly="1" outline="0" fieldPosition="0">
        <references count="2">
          <reference field="0" count="1" selected="0">
            <x v="11"/>
          </reference>
          <reference field="1" count="1">
            <x v="3"/>
          </reference>
        </references>
      </pivotArea>
    </format>
    <format dxfId="222">
      <pivotArea dataOnly="0" labelOnly="1" outline="0" fieldPosition="0">
        <references count="2">
          <reference field="0" count="1" selected="0">
            <x v="12"/>
          </reference>
          <reference field="1" count="1">
            <x v="31"/>
          </reference>
        </references>
      </pivotArea>
    </format>
    <format dxfId="221">
      <pivotArea dataOnly="0" labelOnly="1" outline="0" fieldPosition="0">
        <references count="2">
          <reference field="0" count="1" selected="0">
            <x v="13"/>
          </reference>
          <reference field="1" count="1">
            <x v="4"/>
          </reference>
        </references>
      </pivotArea>
    </format>
    <format dxfId="220">
      <pivotArea dataOnly="0" labelOnly="1" outline="0" fieldPosition="0">
        <references count="2">
          <reference field="0" count="1" selected="0">
            <x v="14"/>
          </reference>
          <reference field="1" count="1">
            <x v="14"/>
          </reference>
        </references>
      </pivotArea>
    </format>
    <format dxfId="219">
      <pivotArea dataOnly="0" labelOnly="1" outline="0" fieldPosition="0">
        <references count="2">
          <reference field="0" count="1" selected="0">
            <x v="15"/>
          </reference>
          <reference field="1" count="1">
            <x v="15"/>
          </reference>
        </references>
      </pivotArea>
    </format>
    <format dxfId="218">
      <pivotArea dataOnly="0" labelOnly="1" outline="0" fieldPosition="0">
        <references count="2">
          <reference field="0" count="1" selected="0">
            <x v="16"/>
          </reference>
          <reference field="1" count="1">
            <x v="16"/>
          </reference>
        </references>
      </pivotArea>
    </format>
    <format dxfId="217">
      <pivotArea dataOnly="0" labelOnly="1" outline="0" fieldPosition="0">
        <references count="2">
          <reference field="0" count="1" selected="0">
            <x v="17"/>
          </reference>
          <reference field="1" count="1">
            <x v="17"/>
          </reference>
        </references>
      </pivotArea>
    </format>
    <format dxfId="216">
      <pivotArea dataOnly="0" labelOnly="1" outline="0" fieldPosition="0">
        <references count="2">
          <reference field="0" count="1" selected="0">
            <x v="18"/>
          </reference>
          <reference field="1" count="1">
            <x v="18"/>
          </reference>
        </references>
      </pivotArea>
    </format>
    <format dxfId="215">
      <pivotArea dataOnly="0" labelOnly="1" outline="0" fieldPosition="0">
        <references count="2">
          <reference field="0" count="1" selected="0">
            <x v="19"/>
          </reference>
          <reference field="1" count="1">
            <x v="19"/>
          </reference>
        </references>
      </pivotArea>
    </format>
    <format dxfId="214">
      <pivotArea dataOnly="0" labelOnly="1" outline="0" fieldPosition="0">
        <references count="2">
          <reference field="0" count="1" selected="0">
            <x v="20"/>
          </reference>
          <reference field="1" count="1">
            <x v="20"/>
          </reference>
        </references>
      </pivotArea>
    </format>
    <format dxfId="213">
      <pivotArea dataOnly="0" labelOnly="1" outline="0" fieldPosition="0">
        <references count="2">
          <reference field="0" count="1" selected="0">
            <x v="21"/>
          </reference>
          <reference field="1" count="1">
            <x v="21"/>
          </reference>
        </references>
      </pivotArea>
    </format>
    <format dxfId="212">
      <pivotArea dataOnly="0" labelOnly="1" outline="0" fieldPosition="0">
        <references count="2">
          <reference field="0" count="1" selected="0">
            <x v="22"/>
          </reference>
          <reference field="1" count="1">
            <x v="22"/>
          </reference>
        </references>
      </pivotArea>
    </format>
    <format dxfId="211">
      <pivotArea dataOnly="0" labelOnly="1" outline="0" fieldPosition="0">
        <references count="2">
          <reference field="0" count="1" selected="0">
            <x v="24"/>
          </reference>
          <reference field="1" count="1">
            <x v="23"/>
          </reference>
        </references>
      </pivotArea>
    </format>
    <format dxfId="210">
      <pivotArea dataOnly="0" labelOnly="1" outline="0" fieldPosition="0">
        <references count="2">
          <reference field="0" count="1" selected="0">
            <x v="27"/>
          </reference>
          <reference field="1" count="1">
            <x v="20"/>
          </reference>
        </references>
      </pivotArea>
    </format>
    <format dxfId="209">
      <pivotArea dataOnly="0" labelOnly="1" outline="0" fieldPosition="0">
        <references count="2">
          <reference field="0" count="1" selected="0">
            <x v="28"/>
          </reference>
          <reference field="1" count="1">
            <x v="2"/>
          </reference>
        </references>
      </pivotArea>
    </format>
    <format dxfId="208">
      <pivotArea dataOnly="0" labelOnly="1" outline="0" fieldPosition="0">
        <references count="2">
          <reference field="0" count="1" selected="0">
            <x v="29"/>
          </reference>
          <reference field="1" count="1">
            <x v="24"/>
          </reference>
        </references>
      </pivotArea>
    </format>
    <format dxfId="207">
      <pivotArea dataOnly="0" labelOnly="1" outline="0" fieldPosition="0">
        <references count="2">
          <reference field="0" count="1" selected="0">
            <x v="30"/>
          </reference>
          <reference field="1" count="1">
            <x v="25"/>
          </reference>
        </references>
      </pivotArea>
    </format>
    <format dxfId="206">
      <pivotArea dataOnly="0" labelOnly="1" outline="0" fieldPosition="0">
        <references count="2">
          <reference field="0" count="1" selected="0">
            <x v="32"/>
          </reference>
          <reference field="1" count="1">
            <x v="26"/>
          </reference>
        </references>
      </pivotArea>
    </format>
    <format dxfId="205">
      <pivotArea dataOnly="0" labelOnly="1" outline="0" fieldPosition="0">
        <references count="2">
          <reference field="0" count="1" selected="0">
            <x v="35"/>
          </reference>
          <reference field="1" count="1">
            <x v="27"/>
          </reference>
        </references>
      </pivotArea>
    </format>
    <format dxfId="204">
      <pivotArea dataOnly="0" labelOnly="1" outline="0" fieldPosition="0">
        <references count="2">
          <reference field="0" count="1" selected="0">
            <x v="36"/>
          </reference>
          <reference field="1" count="1">
            <x v="28"/>
          </reference>
        </references>
      </pivotArea>
    </format>
    <format dxfId="203">
      <pivotArea dataOnly="0" labelOnly="1" outline="0" fieldPosition="0">
        <references count="2">
          <reference field="0" count="1" selected="0">
            <x v="37"/>
          </reference>
          <reference field="1" count="1">
            <x v="29"/>
          </reference>
        </references>
      </pivotArea>
    </format>
    <format dxfId="202">
      <pivotArea dataOnly="0" labelOnly="1" outline="0" fieldPosition="0">
        <references count="2">
          <reference field="0" count="1" selected="0">
            <x v="38"/>
          </reference>
          <reference field="1" count="1">
            <x v="30"/>
          </reference>
        </references>
      </pivotArea>
    </format>
    <format dxfId="201">
      <pivotArea dataOnly="0" labelOnly="1" outline="0" fieldPosition="0">
        <references count="2">
          <reference field="0" count="1" selected="0">
            <x v="41"/>
          </reference>
          <reference field="1" count="2">
            <x v="0"/>
            <x v="32"/>
          </reference>
        </references>
      </pivotArea>
    </format>
    <format dxfId="200">
      <pivotArea dataOnly="0" labelOnly="1" outline="0" fieldPosition="0">
        <references count="3">
          <reference field="0" count="1" selected="0">
            <x v="0"/>
          </reference>
          <reference field="1" count="1" selected="0">
            <x v="11"/>
          </reference>
          <reference field="2" count="1">
            <x v="1"/>
          </reference>
        </references>
      </pivotArea>
    </format>
    <format dxfId="199">
      <pivotArea dataOnly="0" labelOnly="1" outline="0" fieldPosition="0">
        <references count="3">
          <reference field="0" count="1" selected="0">
            <x v="1"/>
          </reference>
          <reference field="1" count="1" selected="0">
            <x v="12"/>
          </reference>
          <reference field="2" count="1">
            <x v="8"/>
          </reference>
        </references>
      </pivotArea>
    </format>
    <format dxfId="198">
      <pivotArea dataOnly="0" labelOnly="1" outline="0" fieldPosition="0">
        <references count="3">
          <reference field="0" count="1" selected="0">
            <x v="2"/>
          </reference>
          <reference field="1" count="1" selected="0">
            <x v="13"/>
          </reference>
          <reference field="2" count="1">
            <x v="23"/>
          </reference>
        </references>
      </pivotArea>
    </format>
    <format dxfId="197">
      <pivotArea dataOnly="0" labelOnly="1" outline="0" fieldPosition="0">
        <references count="3">
          <reference field="0" count="1" selected="0">
            <x v="3"/>
          </reference>
          <reference field="1" count="1" selected="0">
            <x v="21"/>
          </reference>
          <reference field="2" count="1">
            <x v="26"/>
          </reference>
        </references>
      </pivotArea>
    </format>
    <format dxfId="196">
      <pivotArea dataOnly="0" labelOnly="1" outline="0" fieldPosition="0">
        <references count="3">
          <reference field="0" count="1" selected="0">
            <x v="4"/>
          </reference>
          <reference field="1" count="1" selected="0">
            <x v="1"/>
          </reference>
          <reference field="2" count="1">
            <x v="15"/>
          </reference>
        </references>
      </pivotArea>
    </format>
    <format dxfId="195">
      <pivotArea dataOnly="0" labelOnly="1" outline="0" fieldPosition="0">
        <references count="3">
          <reference field="0" count="1" selected="0">
            <x v="5"/>
          </reference>
          <reference field="1" count="1" selected="0">
            <x v="7"/>
          </reference>
          <reference field="2" count="1">
            <x v="30"/>
          </reference>
        </references>
      </pivotArea>
    </format>
    <format dxfId="194">
      <pivotArea dataOnly="0" labelOnly="1" outline="0" fieldPosition="0">
        <references count="3">
          <reference field="0" count="1" selected="0">
            <x v="6"/>
          </reference>
          <reference field="1" count="1" selected="0">
            <x v="6"/>
          </reference>
          <reference field="2" count="1">
            <x v="3"/>
          </reference>
        </references>
      </pivotArea>
    </format>
    <format dxfId="193">
      <pivotArea dataOnly="0" labelOnly="1" outline="0" fieldPosition="0">
        <references count="3">
          <reference field="0" count="1" selected="0">
            <x v="7"/>
          </reference>
          <reference field="1" count="1" selected="0">
            <x v="5"/>
          </reference>
          <reference field="2" count="1">
            <x v="12"/>
          </reference>
        </references>
      </pivotArea>
    </format>
    <format dxfId="192">
      <pivotArea dataOnly="0" labelOnly="1" outline="0" fieldPosition="0">
        <references count="3">
          <reference field="0" count="1" selected="0">
            <x v="8"/>
          </reference>
          <reference field="1" count="1" selected="0">
            <x v="8"/>
          </reference>
          <reference field="2" count="1">
            <x v="5"/>
          </reference>
        </references>
      </pivotArea>
    </format>
    <format dxfId="191">
      <pivotArea dataOnly="0" labelOnly="1" outline="0" fieldPosition="0">
        <references count="3">
          <reference field="0" count="1" selected="0">
            <x v="9"/>
          </reference>
          <reference field="1" count="1" selected="0">
            <x v="9"/>
          </reference>
          <reference field="2" count="1">
            <x v="6"/>
          </reference>
        </references>
      </pivotArea>
    </format>
    <format dxfId="190">
      <pivotArea dataOnly="0" labelOnly="1" outline="0" fieldPosition="0">
        <references count="3">
          <reference field="0" count="1" selected="0">
            <x v="10"/>
          </reference>
          <reference field="1" count="1" selected="0">
            <x v="10"/>
          </reference>
          <reference field="2" count="1">
            <x v="29"/>
          </reference>
        </references>
      </pivotArea>
    </format>
    <format dxfId="189">
      <pivotArea dataOnly="0" labelOnly="1" outline="0" fieldPosition="0">
        <references count="3">
          <reference field="0" count="1" selected="0">
            <x v="11"/>
          </reference>
          <reference field="1" count="1" selected="0">
            <x v="3"/>
          </reference>
          <reference field="2" count="1">
            <x v="2"/>
          </reference>
        </references>
      </pivotArea>
    </format>
    <format dxfId="188">
      <pivotArea dataOnly="0" labelOnly="1" outline="0" fieldPosition="0">
        <references count="3">
          <reference field="0" count="1" selected="0">
            <x v="12"/>
          </reference>
          <reference field="1" count="1" selected="0">
            <x v="31"/>
          </reference>
          <reference field="2" count="1">
            <x v="15"/>
          </reference>
        </references>
      </pivotArea>
    </format>
    <format dxfId="187">
      <pivotArea dataOnly="0" labelOnly="1" outline="0" fieldPosition="0">
        <references count="3">
          <reference field="0" count="1" selected="0">
            <x v="13"/>
          </reference>
          <reference field="1" count="1" selected="0">
            <x v="4"/>
          </reference>
          <reference field="2" count="1">
            <x v="25"/>
          </reference>
        </references>
      </pivotArea>
    </format>
    <format dxfId="186">
      <pivotArea dataOnly="0" labelOnly="1" outline="0" fieldPosition="0">
        <references count="3">
          <reference field="0" count="1" selected="0">
            <x v="14"/>
          </reference>
          <reference field="1" count="1" selected="0">
            <x v="14"/>
          </reference>
          <reference field="2" count="1">
            <x v="27"/>
          </reference>
        </references>
      </pivotArea>
    </format>
    <format dxfId="185">
      <pivotArea dataOnly="0" labelOnly="1" outline="0" fieldPosition="0">
        <references count="3">
          <reference field="0" count="1" selected="0">
            <x v="15"/>
          </reference>
          <reference field="1" count="1" selected="0">
            <x v="15"/>
          </reference>
          <reference field="2" count="1">
            <x v="20"/>
          </reference>
        </references>
      </pivotArea>
    </format>
    <format dxfId="184">
      <pivotArea dataOnly="0" labelOnly="1" outline="0" fieldPosition="0">
        <references count="3">
          <reference field="0" count="1" selected="0">
            <x v="16"/>
          </reference>
          <reference field="1" count="1" selected="0">
            <x v="16"/>
          </reference>
          <reference field="2" count="1">
            <x v="21"/>
          </reference>
        </references>
      </pivotArea>
    </format>
    <format dxfId="183">
      <pivotArea dataOnly="0" labelOnly="1" outline="0" fieldPosition="0">
        <references count="3">
          <reference field="0" count="1" selected="0">
            <x v="17"/>
          </reference>
          <reference field="1" count="1" selected="0">
            <x v="17"/>
          </reference>
          <reference field="2" count="1">
            <x v="11"/>
          </reference>
        </references>
      </pivotArea>
    </format>
    <format dxfId="182">
      <pivotArea dataOnly="0" labelOnly="1" outline="0" fieldPosition="0">
        <references count="3">
          <reference field="0" count="1" selected="0">
            <x v="18"/>
          </reference>
          <reference field="1" count="1" selected="0">
            <x v="18"/>
          </reference>
          <reference field="2" count="1">
            <x v="21"/>
          </reference>
        </references>
      </pivotArea>
    </format>
    <format dxfId="181">
      <pivotArea dataOnly="0" labelOnly="1" outline="0" fieldPosition="0">
        <references count="3">
          <reference field="0" count="1" selected="0">
            <x v="19"/>
          </reference>
          <reference field="1" count="1" selected="0">
            <x v="19"/>
          </reference>
          <reference field="2" count="1">
            <x v="22"/>
          </reference>
        </references>
      </pivotArea>
    </format>
    <format dxfId="180">
      <pivotArea dataOnly="0" labelOnly="1" outline="0" fieldPosition="0">
        <references count="3">
          <reference field="0" count="1" selected="0">
            <x v="20"/>
          </reference>
          <reference field="1" count="1" selected="0">
            <x v="20"/>
          </reference>
          <reference field="2" count="1">
            <x v="18"/>
          </reference>
        </references>
      </pivotArea>
    </format>
    <format dxfId="179">
      <pivotArea dataOnly="0" labelOnly="1" outline="0" fieldPosition="0">
        <references count="3">
          <reference field="0" count="1" selected="0">
            <x v="21"/>
          </reference>
          <reference field="1" count="1" selected="0">
            <x v="21"/>
          </reference>
          <reference field="2" count="1">
            <x v="24"/>
          </reference>
        </references>
      </pivotArea>
    </format>
    <format dxfId="178">
      <pivotArea dataOnly="0" labelOnly="1" outline="0" fieldPosition="0">
        <references count="3">
          <reference field="0" count="1" selected="0">
            <x v="22"/>
          </reference>
          <reference field="1" count="1" selected="0">
            <x v="22"/>
          </reference>
          <reference field="2" count="1">
            <x v="16"/>
          </reference>
        </references>
      </pivotArea>
    </format>
    <format dxfId="177">
      <pivotArea dataOnly="0" labelOnly="1" outline="0" fieldPosition="0">
        <references count="3">
          <reference field="0" count="1" selected="0">
            <x v="23"/>
          </reference>
          <reference field="1" count="1" selected="0">
            <x v="22"/>
          </reference>
          <reference field="2" count="1">
            <x v="10"/>
          </reference>
        </references>
      </pivotArea>
    </format>
    <format dxfId="176">
      <pivotArea dataOnly="0" labelOnly="1" outline="0" fieldPosition="0">
        <references count="3">
          <reference field="0" count="1" selected="0">
            <x v="24"/>
          </reference>
          <reference field="1" count="1" selected="0">
            <x v="23"/>
          </reference>
          <reference field="2" count="1">
            <x v="28"/>
          </reference>
        </references>
      </pivotArea>
    </format>
    <format dxfId="175">
      <pivotArea dataOnly="0" labelOnly="1" outline="0" fieldPosition="0">
        <references count="3">
          <reference field="0" count="1" selected="0">
            <x v="25"/>
          </reference>
          <reference field="1" count="1" selected="0">
            <x v="23"/>
          </reference>
          <reference field="2" count="1">
            <x v="10"/>
          </reference>
        </references>
      </pivotArea>
    </format>
    <format dxfId="174">
      <pivotArea dataOnly="0" labelOnly="1" outline="0" fieldPosition="0">
        <references count="3">
          <reference field="0" count="1" selected="0">
            <x v="26"/>
          </reference>
          <reference field="1" count="1" selected="0">
            <x v="23"/>
          </reference>
          <reference field="2" count="1">
            <x v="12"/>
          </reference>
        </references>
      </pivotArea>
    </format>
    <format dxfId="173">
      <pivotArea dataOnly="0" labelOnly="1" outline="0" fieldPosition="0">
        <references count="3">
          <reference field="0" count="1" selected="0">
            <x v="27"/>
          </reference>
          <reference field="1" count="1" selected="0">
            <x v="20"/>
          </reference>
          <reference field="2" count="1">
            <x v="7"/>
          </reference>
        </references>
      </pivotArea>
    </format>
    <format dxfId="172">
      <pivotArea dataOnly="0" labelOnly="1" outline="0" fieldPosition="0">
        <references count="3">
          <reference field="0" count="1" selected="0">
            <x v="28"/>
          </reference>
          <reference field="1" count="1" selected="0">
            <x v="2"/>
          </reference>
          <reference field="2" count="1">
            <x v="4"/>
          </reference>
        </references>
      </pivotArea>
    </format>
    <format dxfId="171">
      <pivotArea dataOnly="0" labelOnly="1" outline="0" fieldPosition="0">
        <references count="3">
          <reference field="0" count="1" selected="0">
            <x v="29"/>
          </reference>
          <reference field="1" count="1" selected="0">
            <x v="24"/>
          </reference>
          <reference field="2" count="1">
            <x v="9"/>
          </reference>
        </references>
      </pivotArea>
    </format>
    <format dxfId="170">
      <pivotArea dataOnly="0" labelOnly="1" outline="0" fieldPosition="0">
        <references count="3">
          <reference field="0" count="1" selected="0">
            <x v="30"/>
          </reference>
          <reference field="1" count="1" selected="0">
            <x v="25"/>
          </reference>
          <reference field="2" count="1">
            <x v="13"/>
          </reference>
        </references>
      </pivotArea>
    </format>
    <format dxfId="169">
      <pivotArea dataOnly="0" labelOnly="1" outline="0" fieldPosition="0">
        <references count="3">
          <reference field="0" count="1" selected="0">
            <x v="31"/>
          </reference>
          <reference field="1" count="1" selected="0">
            <x v="25"/>
          </reference>
          <reference field="2" count="1">
            <x v="18"/>
          </reference>
        </references>
      </pivotArea>
    </format>
    <format dxfId="168">
      <pivotArea dataOnly="0" labelOnly="1" outline="0" fieldPosition="0">
        <references count="3">
          <reference field="0" count="1" selected="0">
            <x v="33"/>
          </reference>
          <reference field="1" count="1" selected="0">
            <x v="26"/>
          </reference>
          <reference field="2" count="1">
            <x v="19"/>
          </reference>
        </references>
      </pivotArea>
    </format>
    <format dxfId="167">
      <pivotArea dataOnly="0" labelOnly="1" outline="0" fieldPosition="0">
        <references count="3">
          <reference field="0" count="1" selected="0">
            <x v="34"/>
          </reference>
          <reference field="1" count="1" selected="0">
            <x v="26"/>
          </reference>
          <reference field="2" count="1">
            <x v="31"/>
          </reference>
        </references>
      </pivotArea>
    </format>
    <format dxfId="166">
      <pivotArea dataOnly="0" labelOnly="1" outline="0" fieldPosition="0">
        <references count="3">
          <reference field="0" count="1" selected="0">
            <x v="35"/>
          </reference>
          <reference field="1" count="1" selected="0">
            <x v="27"/>
          </reference>
          <reference field="2" count="1">
            <x v="14"/>
          </reference>
        </references>
      </pivotArea>
    </format>
    <format dxfId="165">
      <pivotArea dataOnly="0" labelOnly="1" outline="0" fieldPosition="0">
        <references count="3">
          <reference field="0" count="1" selected="0">
            <x v="36"/>
          </reference>
          <reference field="1" count="1" selected="0">
            <x v="28"/>
          </reference>
          <reference field="2" count="1">
            <x v="18"/>
          </reference>
        </references>
      </pivotArea>
    </format>
    <format dxfId="164">
      <pivotArea dataOnly="0" labelOnly="1" outline="0" fieldPosition="0">
        <references count="3">
          <reference field="0" count="1" selected="0">
            <x v="37"/>
          </reference>
          <reference field="1" count="1" selected="0">
            <x v="29"/>
          </reference>
          <reference field="2" count="1">
            <x v="33"/>
          </reference>
        </references>
      </pivotArea>
    </format>
    <format dxfId="163">
      <pivotArea dataOnly="0" labelOnly="1" outline="0" fieldPosition="0">
        <references count="3">
          <reference field="0" count="1" selected="0">
            <x v="38"/>
          </reference>
          <reference field="1" count="1" selected="0">
            <x v="30"/>
          </reference>
          <reference field="2" count="1">
            <x v="18"/>
          </reference>
        </references>
      </pivotArea>
    </format>
    <format dxfId="162">
      <pivotArea dataOnly="0" labelOnly="1" outline="0" fieldPosition="0">
        <references count="3">
          <reference field="0" count="1" selected="0">
            <x v="39"/>
          </reference>
          <reference field="1" count="1" selected="0">
            <x v="30"/>
          </reference>
          <reference field="2" count="1">
            <x v="32"/>
          </reference>
        </references>
      </pivotArea>
    </format>
    <format dxfId="161">
      <pivotArea dataOnly="0" labelOnly="1" outline="0" fieldPosition="0">
        <references count="3">
          <reference field="0" count="1" selected="0">
            <x v="40"/>
          </reference>
          <reference field="1" count="1" selected="0">
            <x v="30"/>
          </reference>
          <reference field="2" count="1">
            <x v="17"/>
          </reference>
        </references>
      </pivotArea>
    </format>
    <format dxfId="160">
      <pivotArea dataOnly="0" labelOnly="1" outline="0" fieldPosition="0">
        <references count="3">
          <reference field="0" count="1" selected="0">
            <x v="41"/>
          </reference>
          <reference field="1" count="1" selected="0">
            <x v="0"/>
          </reference>
          <reference field="2" count="1">
            <x v="0"/>
          </reference>
        </references>
      </pivotArea>
    </format>
    <format dxfId="159">
      <pivotArea dataOnly="0" labelOnly="1" outline="0" fieldPosition="0">
        <references count="3">
          <reference field="0" count="1" selected="0">
            <x v="41"/>
          </reference>
          <reference field="1" count="1" selected="0">
            <x v="32"/>
          </reference>
          <reference field="2" count="1">
            <x v="34"/>
          </reference>
        </references>
      </pivotArea>
    </format>
    <format dxfId="158">
      <pivotArea dataOnly="0" labelOnly="1" outline="0" fieldPosition="0">
        <references count="4">
          <reference field="0" count="1" selected="0">
            <x v="0"/>
          </reference>
          <reference field="1" count="1" selected="0">
            <x v="11"/>
          </reference>
          <reference field="2" count="1" selected="0">
            <x v="1"/>
          </reference>
          <reference field="3" count="1">
            <x v="5"/>
          </reference>
        </references>
      </pivotArea>
    </format>
    <format dxfId="157">
      <pivotArea dataOnly="0" labelOnly="1" outline="0" fieldPosition="0">
        <references count="4">
          <reference field="0" count="1" selected="0">
            <x v="1"/>
          </reference>
          <reference field="1" count="1" selected="0">
            <x v="12"/>
          </reference>
          <reference field="2" count="1" selected="0">
            <x v="8"/>
          </reference>
          <reference field="3" count="1">
            <x v="13"/>
          </reference>
        </references>
      </pivotArea>
    </format>
    <format dxfId="156">
      <pivotArea dataOnly="0" labelOnly="1" outline="0" fieldPosition="0">
        <references count="4">
          <reference field="0" count="1" selected="0">
            <x v="2"/>
          </reference>
          <reference field="1" count="1" selected="0">
            <x v="13"/>
          </reference>
          <reference field="2" count="1" selected="0">
            <x v="23"/>
          </reference>
          <reference field="3" count="1">
            <x v="1"/>
          </reference>
        </references>
      </pivotArea>
    </format>
    <format dxfId="155">
      <pivotArea dataOnly="0" labelOnly="1" outline="0" fieldPosition="0">
        <references count="4">
          <reference field="0" count="1" selected="0">
            <x v="3"/>
          </reference>
          <reference field="1" count="1" selected="0">
            <x v="21"/>
          </reference>
          <reference field="2" count="1" selected="0">
            <x v="26"/>
          </reference>
          <reference field="3" count="1">
            <x v="3"/>
          </reference>
        </references>
      </pivotArea>
    </format>
    <format dxfId="154">
      <pivotArea dataOnly="0" labelOnly="1" outline="0" fieldPosition="0">
        <references count="4">
          <reference field="0" count="1" selected="0">
            <x v="4"/>
          </reference>
          <reference field="1" count="1" selected="0">
            <x v="1"/>
          </reference>
          <reference field="2" count="1" selected="0">
            <x v="15"/>
          </reference>
          <reference field="3" count="1">
            <x v="8"/>
          </reference>
        </references>
      </pivotArea>
    </format>
    <format dxfId="153">
      <pivotArea dataOnly="0" labelOnly="1" outline="0" fieldPosition="0">
        <references count="4">
          <reference field="0" count="1" selected="0">
            <x v="5"/>
          </reference>
          <reference field="1" count="1" selected="0">
            <x v="7"/>
          </reference>
          <reference field="2" count="1" selected="0">
            <x v="30"/>
          </reference>
          <reference field="3" count="1">
            <x v="12"/>
          </reference>
        </references>
      </pivotArea>
    </format>
    <format dxfId="152">
      <pivotArea dataOnly="0" labelOnly="1" outline="0" fieldPosition="0">
        <references count="4">
          <reference field="0" count="1" selected="0">
            <x v="6"/>
          </reference>
          <reference field="1" count="1" selected="0">
            <x v="6"/>
          </reference>
          <reference field="2" count="1" selected="0">
            <x v="3"/>
          </reference>
          <reference field="3" count="1">
            <x v="1"/>
          </reference>
        </references>
      </pivotArea>
    </format>
    <format dxfId="151">
      <pivotArea dataOnly="0" labelOnly="1" outline="0" fieldPosition="0">
        <references count="4">
          <reference field="0" count="1" selected="0">
            <x v="7"/>
          </reference>
          <reference field="1" count="1" selected="0">
            <x v="5"/>
          </reference>
          <reference field="2" count="1" selected="0">
            <x v="12"/>
          </reference>
          <reference field="3" count="1">
            <x v="8"/>
          </reference>
        </references>
      </pivotArea>
    </format>
    <format dxfId="150">
      <pivotArea dataOnly="0" labelOnly="1" outline="0" fieldPosition="0">
        <references count="4">
          <reference field="0" count="1" selected="0">
            <x v="8"/>
          </reference>
          <reference field="1" count="1" selected="0">
            <x v="8"/>
          </reference>
          <reference field="2" count="1" selected="0">
            <x v="5"/>
          </reference>
          <reference field="3" count="1">
            <x v="3"/>
          </reference>
        </references>
      </pivotArea>
    </format>
    <format dxfId="149">
      <pivotArea dataOnly="0" labelOnly="1" outline="0" fieldPosition="0">
        <references count="4">
          <reference field="0" count="1" selected="0">
            <x v="9"/>
          </reference>
          <reference field="1" count="1" selected="0">
            <x v="9"/>
          </reference>
          <reference field="2" count="1" selected="0">
            <x v="6"/>
          </reference>
          <reference field="3" count="1">
            <x v="11"/>
          </reference>
        </references>
      </pivotArea>
    </format>
    <format dxfId="148">
      <pivotArea dataOnly="0" labelOnly="1" outline="0" fieldPosition="0">
        <references count="4">
          <reference field="0" count="1" selected="0">
            <x v="10"/>
          </reference>
          <reference field="1" count="1" selected="0">
            <x v="10"/>
          </reference>
          <reference field="2" count="1" selected="0">
            <x v="29"/>
          </reference>
          <reference field="3" count="1">
            <x v="4"/>
          </reference>
        </references>
      </pivotArea>
    </format>
    <format dxfId="147">
      <pivotArea dataOnly="0" labelOnly="1" outline="0" fieldPosition="0">
        <references count="4">
          <reference field="0" count="1" selected="0">
            <x v="11"/>
          </reference>
          <reference field="1" count="1" selected="0">
            <x v="3"/>
          </reference>
          <reference field="2" count="1" selected="0">
            <x v="2"/>
          </reference>
          <reference field="3" count="1">
            <x v="8"/>
          </reference>
        </references>
      </pivotArea>
    </format>
    <format dxfId="146">
      <pivotArea dataOnly="0" labelOnly="1" outline="0" fieldPosition="0">
        <references count="4">
          <reference field="0" count="1" selected="0">
            <x v="12"/>
          </reference>
          <reference field="1" count="1" selected="0">
            <x v="31"/>
          </reference>
          <reference field="2" count="1" selected="0">
            <x v="15"/>
          </reference>
          <reference field="3" count="1">
            <x v="12"/>
          </reference>
        </references>
      </pivotArea>
    </format>
    <format dxfId="145">
      <pivotArea dataOnly="0" labelOnly="1" outline="0" fieldPosition="0">
        <references count="4">
          <reference field="0" count="1" selected="0">
            <x v="13"/>
          </reference>
          <reference field="1" count="1" selected="0">
            <x v="4"/>
          </reference>
          <reference field="2" count="1" selected="0">
            <x v="25"/>
          </reference>
          <reference field="3" count="1">
            <x v="2"/>
          </reference>
        </references>
      </pivotArea>
    </format>
    <format dxfId="144">
      <pivotArea dataOnly="0" labelOnly="1" outline="0" fieldPosition="0">
        <references count="4">
          <reference field="0" count="1" selected="0">
            <x v="14"/>
          </reference>
          <reference field="1" count="1" selected="0">
            <x v="14"/>
          </reference>
          <reference field="2" count="1" selected="0">
            <x v="27"/>
          </reference>
          <reference field="3" count="1">
            <x v="9"/>
          </reference>
        </references>
      </pivotArea>
    </format>
    <format dxfId="143">
      <pivotArea dataOnly="0" labelOnly="1" outline="0" fieldPosition="0">
        <references count="4">
          <reference field="0" count="1" selected="0">
            <x v="15"/>
          </reference>
          <reference field="1" count="1" selected="0">
            <x v="15"/>
          </reference>
          <reference field="2" count="1" selected="0">
            <x v="20"/>
          </reference>
          <reference field="3" count="1">
            <x v="5"/>
          </reference>
        </references>
      </pivotArea>
    </format>
    <format dxfId="142">
      <pivotArea dataOnly="0" labelOnly="1" outline="0" fieldPosition="0">
        <references count="4">
          <reference field="0" count="1" selected="0">
            <x v="16"/>
          </reference>
          <reference field="1" count="1" selected="0">
            <x v="16"/>
          </reference>
          <reference field="2" count="1" selected="0">
            <x v="21"/>
          </reference>
          <reference field="3" count="1">
            <x v="8"/>
          </reference>
        </references>
      </pivotArea>
    </format>
    <format dxfId="141">
      <pivotArea dataOnly="0" labelOnly="1" outline="0" fieldPosition="0">
        <references count="4">
          <reference field="0" count="1" selected="0">
            <x v="21"/>
          </reference>
          <reference field="1" count="1" selected="0">
            <x v="21"/>
          </reference>
          <reference field="2" count="1" selected="0">
            <x v="24"/>
          </reference>
          <reference field="3" count="1">
            <x v="1"/>
          </reference>
        </references>
      </pivotArea>
    </format>
    <format dxfId="140">
      <pivotArea dataOnly="0" labelOnly="1" outline="0" fieldPosition="0">
        <references count="4">
          <reference field="0" count="1" selected="0">
            <x v="22"/>
          </reference>
          <reference field="1" count="1" selected="0">
            <x v="22"/>
          </reference>
          <reference field="2" count="1" selected="0">
            <x v="16"/>
          </reference>
          <reference field="3" count="1">
            <x v="8"/>
          </reference>
        </references>
      </pivotArea>
    </format>
    <format dxfId="139">
      <pivotArea dataOnly="0" labelOnly="1" outline="0" fieldPosition="0">
        <references count="4">
          <reference field="0" count="1" selected="0">
            <x v="24"/>
          </reference>
          <reference field="1" count="1" selected="0">
            <x v="23"/>
          </reference>
          <reference field="2" count="1" selected="0">
            <x v="28"/>
          </reference>
          <reference field="3" count="1">
            <x v="7"/>
          </reference>
        </references>
      </pivotArea>
    </format>
    <format dxfId="138">
      <pivotArea dataOnly="0" labelOnly="1" outline="0" fieldPosition="0">
        <references count="4">
          <reference field="0" count="1" selected="0">
            <x v="25"/>
          </reference>
          <reference field="1" count="1" selected="0">
            <x v="23"/>
          </reference>
          <reference field="2" count="1" selected="0">
            <x v="10"/>
          </reference>
          <reference field="3" count="1">
            <x v="8"/>
          </reference>
        </references>
      </pivotArea>
    </format>
    <format dxfId="137">
      <pivotArea dataOnly="0" labelOnly="1" outline="0" fieldPosition="0">
        <references count="4">
          <reference field="0" count="1" selected="0">
            <x v="30"/>
          </reference>
          <reference field="1" count="1" selected="0">
            <x v="25"/>
          </reference>
          <reference field="2" count="1" selected="0">
            <x v="13"/>
          </reference>
          <reference field="3" count="1">
            <x v="10"/>
          </reference>
        </references>
      </pivotArea>
    </format>
    <format dxfId="136">
      <pivotArea dataOnly="0" labelOnly="1" outline="0" fieldPosition="0">
        <references count="4">
          <reference field="0" count="1" selected="0">
            <x v="31"/>
          </reference>
          <reference field="1" count="1" selected="0">
            <x v="25"/>
          </reference>
          <reference field="2" count="1" selected="0">
            <x v="18"/>
          </reference>
          <reference field="3" count="1">
            <x v="8"/>
          </reference>
        </references>
      </pivotArea>
    </format>
    <format dxfId="135">
      <pivotArea dataOnly="0" labelOnly="1" outline="0" fieldPosition="0">
        <references count="4">
          <reference field="0" count="1" selected="0">
            <x v="33"/>
          </reference>
          <reference field="1" count="1" selected="0">
            <x v="26"/>
          </reference>
          <reference field="2" count="1" selected="0">
            <x v="19"/>
          </reference>
          <reference field="3" count="1">
            <x v="12"/>
          </reference>
        </references>
      </pivotArea>
    </format>
    <format dxfId="134">
      <pivotArea dataOnly="0" labelOnly="1" outline="0" fieldPosition="0">
        <references count="4">
          <reference field="0" count="1" selected="0">
            <x v="34"/>
          </reference>
          <reference field="1" count="1" selected="0">
            <x v="26"/>
          </reference>
          <reference field="2" count="1" selected="0">
            <x v="31"/>
          </reference>
          <reference field="3" count="1">
            <x v="11"/>
          </reference>
        </references>
      </pivotArea>
    </format>
    <format dxfId="133">
      <pivotArea dataOnly="0" labelOnly="1" outline="0" fieldPosition="0">
        <references count="4">
          <reference field="0" count="1" selected="0">
            <x v="35"/>
          </reference>
          <reference field="1" count="1" selected="0">
            <x v="27"/>
          </reference>
          <reference field="2" count="1" selected="0">
            <x v="14"/>
          </reference>
          <reference field="3" count="1">
            <x v="6"/>
          </reference>
        </references>
      </pivotArea>
    </format>
    <format dxfId="132">
      <pivotArea dataOnly="0" labelOnly="1" outline="0" fieldPosition="0">
        <references count="4">
          <reference field="0" count="1" selected="0">
            <x v="36"/>
          </reference>
          <reference field="1" count="1" selected="0">
            <x v="28"/>
          </reference>
          <reference field="2" count="1" selected="0">
            <x v="18"/>
          </reference>
          <reference field="3" count="1">
            <x v="8"/>
          </reference>
        </references>
      </pivotArea>
    </format>
    <format dxfId="131">
      <pivotArea dataOnly="0" labelOnly="1" outline="0" fieldPosition="0">
        <references count="4">
          <reference field="0" count="1" selected="0">
            <x v="41"/>
          </reference>
          <reference field="1" count="1" selected="0">
            <x v="0"/>
          </reference>
          <reference field="2" count="1" selected="0">
            <x v="0"/>
          </reference>
          <reference field="3" count="1">
            <x v="0"/>
          </reference>
        </references>
      </pivotArea>
    </format>
    <format dxfId="130">
      <pivotArea dataOnly="0" labelOnly="1" outline="0" fieldPosition="0">
        <references count="4">
          <reference field="0" count="1" selected="0">
            <x v="41"/>
          </reference>
          <reference field="1" count="1" selected="0">
            <x v="32"/>
          </reference>
          <reference field="2" count="1" selected="0">
            <x v="34"/>
          </reference>
          <reference field="3" count="1">
            <x v="14"/>
          </reference>
        </references>
      </pivotArea>
    </format>
    <format dxfId="129">
      <pivotArea dataOnly="0" labelOnly="1" outline="0" fieldPosition="0">
        <references count="5">
          <reference field="0" count="1" selected="0">
            <x v="0"/>
          </reference>
          <reference field="1" count="1" selected="0">
            <x v="11"/>
          </reference>
          <reference field="2" count="1" selected="0">
            <x v="1"/>
          </reference>
          <reference field="3" count="1" selected="0">
            <x v="5"/>
          </reference>
          <reference field="4" count="1">
            <x v="1"/>
          </reference>
        </references>
      </pivotArea>
    </format>
    <format dxfId="128">
      <pivotArea dataOnly="0" labelOnly="1" outline="0" fieldPosition="0">
        <references count="5">
          <reference field="0" count="1" selected="0">
            <x v="1"/>
          </reference>
          <reference field="1" count="1" selected="0">
            <x v="12"/>
          </reference>
          <reference field="2" count="1" selected="0">
            <x v="8"/>
          </reference>
          <reference field="3" count="1" selected="0">
            <x v="13"/>
          </reference>
          <reference field="4" count="1">
            <x v="7"/>
          </reference>
        </references>
      </pivotArea>
    </format>
    <format dxfId="127">
      <pivotArea dataOnly="0" labelOnly="1" outline="0" fieldPosition="0">
        <references count="5">
          <reference field="0" count="1" selected="0">
            <x v="2"/>
          </reference>
          <reference field="1" count="1" selected="0">
            <x v="13"/>
          </reference>
          <reference field="2" count="1" selected="0">
            <x v="23"/>
          </reference>
          <reference field="3" count="1" selected="0">
            <x v="1"/>
          </reference>
          <reference field="4" count="1">
            <x v="4"/>
          </reference>
        </references>
      </pivotArea>
    </format>
    <format dxfId="126">
      <pivotArea dataOnly="0" labelOnly="1" outline="0" fieldPosition="0">
        <references count="5">
          <reference field="0" count="1" selected="0">
            <x v="3"/>
          </reference>
          <reference field="1" count="1" selected="0">
            <x v="21"/>
          </reference>
          <reference field="2" count="1" selected="0">
            <x v="26"/>
          </reference>
          <reference field="3" count="1" selected="0">
            <x v="3"/>
          </reference>
          <reference field="4" count="1">
            <x v="0"/>
          </reference>
        </references>
      </pivotArea>
    </format>
    <format dxfId="125">
      <pivotArea dataOnly="0" labelOnly="1" outline="0" fieldPosition="0">
        <references count="5">
          <reference field="0" count="1" selected="0">
            <x v="22"/>
          </reference>
          <reference field="1" count="1" selected="0">
            <x v="22"/>
          </reference>
          <reference field="2" count="1" selected="0">
            <x v="16"/>
          </reference>
          <reference field="3" count="1" selected="0">
            <x v="8"/>
          </reference>
          <reference field="4" count="1">
            <x v="6"/>
          </reference>
        </references>
      </pivotArea>
    </format>
    <format dxfId="124">
      <pivotArea dataOnly="0" labelOnly="1" outline="0" fieldPosition="0">
        <references count="5">
          <reference field="0" count="1" selected="0">
            <x v="23"/>
          </reference>
          <reference field="1" count="1" selected="0">
            <x v="22"/>
          </reference>
          <reference field="2" count="1" selected="0">
            <x v="10"/>
          </reference>
          <reference field="3" count="1" selected="0">
            <x v="8"/>
          </reference>
          <reference field="4" count="1">
            <x v="0"/>
          </reference>
        </references>
      </pivotArea>
    </format>
    <format dxfId="123">
      <pivotArea dataOnly="0" labelOnly="1" outline="0" fieldPosition="0">
        <references count="5">
          <reference field="0" count="1" selected="0">
            <x v="24"/>
          </reference>
          <reference field="1" count="1" selected="0">
            <x v="23"/>
          </reference>
          <reference field="2" count="1" selected="0">
            <x v="28"/>
          </reference>
          <reference field="3" count="1" selected="0">
            <x v="7"/>
          </reference>
          <reference field="4" count="1">
            <x v="5"/>
          </reference>
        </references>
      </pivotArea>
    </format>
    <format dxfId="122">
      <pivotArea dataOnly="0" labelOnly="1" outline="0" fieldPosition="0">
        <references count="5">
          <reference field="0" count="1" selected="0">
            <x v="25"/>
          </reference>
          <reference field="1" count="1" selected="0">
            <x v="23"/>
          </reference>
          <reference field="2" count="1" selected="0">
            <x v="10"/>
          </reference>
          <reference field="3" count="1" selected="0">
            <x v="8"/>
          </reference>
          <reference field="4" count="1">
            <x v="0"/>
          </reference>
        </references>
      </pivotArea>
    </format>
    <format dxfId="121">
      <pivotArea dataOnly="0" labelOnly="1" outline="0" fieldPosition="0">
        <references count="5">
          <reference field="0" count="1" selected="0">
            <x v="35"/>
          </reference>
          <reference field="1" count="1" selected="0">
            <x v="27"/>
          </reference>
          <reference field="2" count="1" selected="0">
            <x v="14"/>
          </reference>
          <reference field="3" count="1" selected="0">
            <x v="6"/>
          </reference>
          <reference field="4" count="1">
            <x v="2"/>
          </reference>
        </references>
      </pivotArea>
    </format>
    <format dxfId="120">
      <pivotArea dataOnly="0" labelOnly="1" outline="0" fieldPosition="0">
        <references count="5">
          <reference field="0" count="1" selected="0">
            <x v="36"/>
          </reference>
          <reference field="1" count="1" selected="0">
            <x v="28"/>
          </reference>
          <reference field="2" count="1" selected="0">
            <x v="18"/>
          </reference>
          <reference field="3" count="1" selected="0">
            <x v="8"/>
          </reference>
          <reference field="4" count="1">
            <x v="0"/>
          </reference>
        </references>
      </pivotArea>
    </format>
    <format dxfId="119">
      <pivotArea dataOnly="0" labelOnly="1" outline="0" fieldPosition="0">
        <references count="5">
          <reference field="0" count="1" selected="0">
            <x v="41"/>
          </reference>
          <reference field="1" count="1" selected="0">
            <x v="0"/>
          </reference>
          <reference field="2" count="1" selected="0">
            <x v="0"/>
          </reference>
          <reference field="3" count="1" selected="0">
            <x v="0"/>
          </reference>
          <reference field="4" count="1">
            <x v="3"/>
          </reference>
        </references>
      </pivotArea>
    </format>
    <format dxfId="118">
      <pivotArea dataOnly="0" labelOnly="1" outline="0" fieldPosition="0">
        <references count="5">
          <reference field="0" count="1" selected="0">
            <x v="41"/>
          </reference>
          <reference field="1" count="1" selected="0">
            <x v="32"/>
          </reference>
          <reference field="2" count="1" selected="0">
            <x v="34"/>
          </reference>
          <reference field="3" count="1" selected="0">
            <x v="14"/>
          </reference>
          <reference field="4" count="1">
            <x v="8"/>
          </reference>
        </references>
      </pivotArea>
    </format>
    <format dxfId="117">
      <pivotArea dataOnly="0" labelOnly="1" outline="0" fieldPosition="0">
        <references count="6">
          <reference field="0" count="1" selected="0">
            <x v="0"/>
          </reference>
          <reference field="1" count="1" selected="0">
            <x v="11"/>
          </reference>
          <reference field="2" count="1" selected="0">
            <x v="1"/>
          </reference>
          <reference field="3" count="1" selected="0">
            <x v="5"/>
          </reference>
          <reference field="4" count="1" selected="0">
            <x v="1"/>
          </reference>
          <reference field="5" count="1">
            <x v="4"/>
          </reference>
        </references>
      </pivotArea>
    </format>
    <format dxfId="116">
      <pivotArea dataOnly="0" labelOnly="1" outline="0" fieldPosition="0">
        <references count="6">
          <reference field="0" count="1" selected="0">
            <x v="1"/>
          </reference>
          <reference field="1" count="1" selected="0">
            <x v="12"/>
          </reference>
          <reference field="2" count="1" selected="0">
            <x v="8"/>
          </reference>
          <reference field="3" count="1" selected="0">
            <x v="13"/>
          </reference>
          <reference field="4" count="1" selected="0">
            <x v="7"/>
          </reference>
          <reference field="5" count="1">
            <x v="3"/>
          </reference>
        </references>
      </pivotArea>
    </format>
    <format dxfId="115">
      <pivotArea dataOnly="0" labelOnly="1" outline="0" fieldPosition="0">
        <references count="6">
          <reference field="0" count="1" selected="0">
            <x v="2"/>
          </reference>
          <reference field="1" count="1" selected="0">
            <x v="13"/>
          </reference>
          <reference field="2" count="1" selected="0">
            <x v="23"/>
          </reference>
          <reference field="3" count="1" selected="0">
            <x v="1"/>
          </reference>
          <reference field="4" count="1" selected="0">
            <x v="4"/>
          </reference>
          <reference field="5" count="1">
            <x v="14"/>
          </reference>
        </references>
      </pivotArea>
    </format>
    <format dxfId="114">
      <pivotArea dataOnly="0" labelOnly="1" outline="0" fieldPosition="0">
        <references count="6">
          <reference field="0" count="1" selected="0">
            <x v="3"/>
          </reference>
          <reference field="1" count="1" selected="0">
            <x v="21"/>
          </reference>
          <reference field="2" count="1" selected="0">
            <x v="26"/>
          </reference>
          <reference field="3" count="1" selected="0">
            <x v="3"/>
          </reference>
          <reference field="4" count="1" selected="0">
            <x v="0"/>
          </reference>
          <reference field="5" count="1">
            <x v="18"/>
          </reference>
        </references>
      </pivotArea>
    </format>
    <format dxfId="113">
      <pivotArea dataOnly="0" labelOnly="1" outline="0" fieldPosition="0">
        <references count="6">
          <reference field="0" count="1" selected="0">
            <x v="4"/>
          </reference>
          <reference field="1" count="1" selected="0">
            <x v="1"/>
          </reference>
          <reference field="2" count="1" selected="0">
            <x v="15"/>
          </reference>
          <reference field="3" count="1" selected="0">
            <x v="8"/>
          </reference>
          <reference field="4" count="1" selected="0">
            <x v="0"/>
          </reference>
          <reference field="5" count="1">
            <x v="17"/>
          </reference>
        </references>
      </pivotArea>
    </format>
    <format dxfId="112">
      <pivotArea dataOnly="0" labelOnly="1" outline="0" fieldPosition="0">
        <references count="6">
          <reference field="0" count="1" selected="0">
            <x v="5"/>
          </reference>
          <reference field="1" count="1" selected="0">
            <x v="7"/>
          </reference>
          <reference field="2" count="1" selected="0">
            <x v="30"/>
          </reference>
          <reference field="3" count="1" selected="0">
            <x v="12"/>
          </reference>
          <reference field="4" count="1" selected="0">
            <x v="0"/>
          </reference>
          <reference field="5" count="1">
            <x v="22"/>
          </reference>
        </references>
      </pivotArea>
    </format>
    <format dxfId="111">
      <pivotArea dataOnly="0" labelOnly="1" outline="0" fieldPosition="0">
        <references count="6">
          <reference field="0" count="1" selected="0">
            <x v="6"/>
          </reference>
          <reference field="1" count="1" selected="0">
            <x v="6"/>
          </reference>
          <reference field="2" count="1" selected="0">
            <x v="3"/>
          </reference>
          <reference field="3" count="1" selected="0">
            <x v="1"/>
          </reference>
          <reference field="4" count="1" selected="0">
            <x v="0"/>
          </reference>
          <reference field="5" count="1">
            <x v="0"/>
          </reference>
        </references>
      </pivotArea>
    </format>
    <format dxfId="110">
      <pivotArea dataOnly="0" labelOnly="1" outline="0" fieldPosition="0">
        <references count="6">
          <reference field="0" count="1" selected="0">
            <x v="7"/>
          </reference>
          <reference field="1" count="1" selected="0">
            <x v="5"/>
          </reference>
          <reference field="2" count="1" selected="0">
            <x v="12"/>
          </reference>
          <reference field="3" count="1" selected="0">
            <x v="8"/>
          </reference>
          <reference field="4" count="1" selected="0">
            <x v="0"/>
          </reference>
          <reference field="5" count="1">
            <x v="20"/>
          </reference>
        </references>
      </pivotArea>
    </format>
    <format dxfId="109">
      <pivotArea dataOnly="0" labelOnly="1" outline="0" fieldPosition="0">
        <references count="6">
          <reference field="0" count="1" selected="0">
            <x v="8"/>
          </reference>
          <reference field="1" count="1" selected="0">
            <x v="8"/>
          </reference>
          <reference field="2" count="1" selected="0">
            <x v="5"/>
          </reference>
          <reference field="3" count="1" selected="0">
            <x v="3"/>
          </reference>
          <reference field="4" count="1" selected="0">
            <x v="0"/>
          </reference>
          <reference field="5" count="1">
            <x v="0"/>
          </reference>
        </references>
      </pivotArea>
    </format>
    <format dxfId="108">
      <pivotArea dataOnly="0" labelOnly="1" outline="0" fieldPosition="0">
        <references count="6">
          <reference field="0" count="1" selected="0">
            <x v="9"/>
          </reference>
          <reference field="1" count="1" selected="0">
            <x v="9"/>
          </reference>
          <reference field="2" count="1" selected="0">
            <x v="6"/>
          </reference>
          <reference field="3" count="1" selected="0">
            <x v="11"/>
          </reference>
          <reference field="4" count="1" selected="0">
            <x v="0"/>
          </reference>
          <reference field="5" count="1">
            <x v="17"/>
          </reference>
        </references>
      </pivotArea>
    </format>
    <format dxfId="107">
      <pivotArea dataOnly="0" labelOnly="1" outline="0" fieldPosition="0">
        <references count="6">
          <reference field="0" count="1" selected="0">
            <x v="10"/>
          </reference>
          <reference field="1" count="1" selected="0">
            <x v="10"/>
          </reference>
          <reference field="2" count="1" selected="0">
            <x v="29"/>
          </reference>
          <reference field="3" count="1" selected="0">
            <x v="4"/>
          </reference>
          <reference field="4" count="1" selected="0">
            <x v="0"/>
          </reference>
          <reference field="5" count="1">
            <x v="21"/>
          </reference>
        </references>
      </pivotArea>
    </format>
    <format dxfId="106">
      <pivotArea dataOnly="0" labelOnly="1" outline="0" fieldPosition="0">
        <references count="6">
          <reference field="0" count="1" selected="0">
            <x v="11"/>
          </reference>
          <reference field="1" count="1" selected="0">
            <x v="3"/>
          </reference>
          <reference field="2" count="1" selected="0">
            <x v="2"/>
          </reference>
          <reference field="3" count="1" selected="0">
            <x v="8"/>
          </reference>
          <reference field="4" count="1" selected="0">
            <x v="0"/>
          </reference>
          <reference field="5" count="1">
            <x v="12"/>
          </reference>
        </references>
      </pivotArea>
    </format>
    <format dxfId="105">
      <pivotArea dataOnly="0" labelOnly="1" outline="0" fieldPosition="0">
        <references count="6">
          <reference field="0" count="1" selected="0">
            <x v="12"/>
          </reference>
          <reference field="1" count="1" selected="0">
            <x v="31"/>
          </reference>
          <reference field="2" count="1" selected="0">
            <x v="15"/>
          </reference>
          <reference field="3" count="1" selected="0">
            <x v="12"/>
          </reference>
          <reference field="4" count="1" selected="0">
            <x v="0"/>
          </reference>
          <reference field="5" count="1">
            <x v="0"/>
          </reference>
        </references>
      </pivotArea>
    </format>
    <format dxfId="104">
      <pivotArea dataOnly="0" labelOnly="1" outline="0" fieldPosition="0">
        <references count="6">
          <reference field="0" count="1" selected="0">
            <x v="14"/>
          </reference>
          <reference field="1" count="1" selected="0">
            <x v="14"/>
          </reference>
          <reference field="2" count="1" selected="0">
            <x v="27"/>
          </reference>
          <reference field="3" count="1" selected="0">
            <x v="9"/>
          </reference>
          <reference field="4" count="1" selected="0">
            <x v="0"/>
          </reference>
          <reference field="5" count="1">
            <x v="11"/>
          </reference>
        </references>
      </pivotArea>
    </format>
    <format dxfId="103">
      <pivotArea dataOnly="0" labelOnly="1" outline="0" fieldPosition="0">
        <references count="6">
          <reference field="0" count="1" selected="0">
            <x v="15"/>
          </reference>
          <reference field="1" count="1" selected="0">
            <x v="15"/>
          </reference>
          <reference field="2" count="1" selected="0">
            <x v="20"/>
          </reference>
          <reference field="3" count="1" selected="0">
            <x v="5"/>
          </reference>
          <reference field="4" count="1" selected="0">
            <x v="0"/>
          </reference>
          <reference field="5" count="1">
            <x v="8"/>
          </reference>
        </references>
      </pivotArea>
    </format>
    <format dxfId="102">
      <pivotArea dataOnly="0" labelOnly="1" outline="0" fieldPosition="0">
        <references count="6">
          <reference field="0" count="1" selected="0">
            <x v="16"/>
          </reference>
          <reference field="1" count="1" selected="0">
            <x v="16"/>
          </reference>
          <reference field="2" count="1" selected="0">
            <x v="21"/>
          </reference>
          <reference field="3" count="1" selected="0">
            <x v="8"/>
          </reference>
          <reference field="4" count="1" selected="0">
            <x v="0"/>
          </reference>
          <reference field="5" count="1">
            <x v="26"/>
          </reference>
        </references>
      </pivotArea>
    </format>
    <format dxfId="101">
      <pivotArea dataOnly="0" labelOnly="1" outline="0" fieldPosition="0">
        <references count="6">
          <reference field="0" count="1" selected="0">
            <x v="17"/>
          </reference>
          <reference field="1" count="1" selected="0">
            <x v="17"/>
          </reference>
          <reference field="2" count="1" selected="0">
            <x v="11"/>
          </reference>
          <reference field="3" count="1" selected="0">
            <x v="8"/>
          </reference>
          <reference field="4" count="1" selected="0">
            <x v="0"/>
          </reference>
          <reference field="5" count="1">
            <x v="10"/>
          </reference>
        </references>
      </pivotArea>
    </format>
    <format dxfId="100">
      <pivotArea dataOnly="0" labelOnly="1" outline="0" fieldPosition="0">
        <references count="6">
          <reference field="0" count="1" selected="0">
            <x v="18"/>
          </reference>
          <reference field="1" count="1" selected="0">
            <x v="18"/>
          </reference>
          <reference field="2" count="1" selected="0">
            <x v="21"/>
          </reference>
          <reference field="3" count="1" selected="0">
            <x v="8"/>
          </reference>
          <reference field="4" count="1" selected="0">
            <x v="0"/>
          </reference>
          <reference field="5" count="1">
            <x v="26"/>
          </reference>
        </references>
      </pivotArea>
    </format>
    <format dxfId="99">
      <pivotArea dataOnly="0" labelOnly="1" outline="0" fieldPosition="0">
        <references count="6">
          <reference field="0" count="1" selected="0">
            <x v="19"/>
          </reference>
          <reference field="1" count="1" selected="0">
            <x v="19"/>
          </reference>
          <reference field="2" count="1" selected="0">
            <x v="22"/>
          </reference>
          <reference field="3" count="1" selected="0">
            <x v="8"/>
          </reference>
          <reference field="4" count="1" selected="0">
            <x v="0"/>
          </reference>
          <reference field="5" count="1">
            <x v="20"/>
          </reference>
        </references>
      </pivotArea>
    </format>
    <format dxfId="98">
      <pivotArea dataOnly="0" labelOnly="1" outline="0" fieldPosition="0">
        <references count="6">
          <reference field="0" count="1" selected="0">
            <x v="20"/>
          </reference>
          <reference field="1" count="1" selected="0">
            <x v="20"/>
          </reference>
          <reference field="2" count="1" selected="0">
            <x v="18"/>
          </reference>
          <reference field="3" count="1" selected="0">
            <x v="8"/>
          </reference>
          <reference field="4" count="1" selected="0">
            <x v="0"/>
          </reference>
          <reference field="5" count="1">
            <x v="29"/>
          </reference>
        </references>
      </pivotArea>
    </format>
    <format dxfId="97">
      <pivotArea dataOnly="0" labelOnly="1" outline="0" fieldPosition="0">
        <references count="6">
          <reference field="0" count="1" selected="0">
            <x v="21"/>
          </reference>
          <reference field="1" count="1" selected="0">
            <x v="21"/>
          </reference>
          <reference field="2" count="1" selected="0">
            <x v="24"/>
          </reference>
          <reference field="3" count="1" selected="0">
            <x v="1"/>
          </reference>
          <reference field="4" count="1" selected="0">
            <x v="0"/>
          </reference>
          <reference field="5" count="1">
            <x v="0"/>
          </reference>
        </references>
      </pivotArea>
    </format>
    <format dxfId="96">
      <pivotArea dataOnly="0" labelOnly="1" outline="0" fieldPosition="0">
        <references count="6">
          <reference field="0" count="1" selected="0">
            <x v="22"/>
          </reference>
          <reference field="1" count="1" selected="0">
            <x v="22"/>
          </reference>
          <reference field="2" count="1" selected="0">
            <x v="16"/>
          </reference>
          <reference field="3" count="1" selected="0">
            <x v="8"/>
          </reference>
          <reference field="4" count="1" selected="0">
            <x v="6"/>
          </reference>
          <reference field="5" count="1">
            <x v="26"/>
          </reference>
        </references>
      </pivotArea>
    </format>
    <format dxfId="95">
      <pivotArea dataOnly="0" labelOnly="1" outline="0" fieldPosition="0">
        <references count="6">
          <reference field="0" count="1" selected="0">
            <x v="24"/>
          </reference>
          <reference field="1" count="1" selected="0">
            <x v="23"/>
          </reference>
          <reference field="2" count="1" selected="0">
            <x v="28"/>
          </reference>
          <reference field="3" count="1" selected="0">
            <x v="7"/>
          </reference>
          <reference field="4" count="1" selected="0">
            <x v="5"/>
          </reference>
          <reference field="5" count="1">
            <x v="19"/>
          </reference>
        </references>
      </pivotArea>
    </format>
    <format dxfId="94">
      <pivotArea dataOnly="0" labelOnly="1" outline="0" fieldPosition="0">
        <references count="6">
          <reference field="0" count="1" selected="0">
            <x v="25"/>
          </reference>
          <reference field="1" count="1" selected="0">
            <x v="23"/>
          </reference>
          <reference field="2" count="1" selected="0">
            <x v="10"/>
          </reference>
          <reference field="3" count="1" selected="0">
            <x v="8"/>
          </reference>
          <reference field="4" count="1" selected="0">
            <x v="0"/>
          </reference>
          <reference field="5" count="1">
            <x v="26"/>
          </reference>
        </references>
      </pivotArea>
    </format>
    <format dxfId="93">
      <pivotArea dataOnly="0" labelOnly="1" outline="0" fieldPosition="0">
        <references count="6">
          <reference field="0" count="1" selected="0">
            <x v="26"/>
          </reference>
          <reference field="1" count="1" selected="0">
            <x v="23"/>
          </reference>
          <reference field="2" count="1" selected="0">
            <x v="12"/>
          </reference>
          <reference field="3" count="1" selected="0">
            <x v="8"/>
          </reference>
          <reference field="4" count="1" selected="0">
            <x v="0"/>
          </reference>
          <reference field="5" count="1">
            <x v="9"/>
          </reference>
        </references>
      </pivotArea>
    </format>
    <format dxfId="92">
      <pivotArea dataOnly="0" labelOnly="1" outline="0" fieldPosition="0">
        <references count="6">
          <reference field="0" count="1" selected="0">
            <x v="27"/>
          </reference>
          <reference field="1" count="1" selected="0">
            <x v="20"/>
          </reference>
          <reference field="2" count="1" selected="0">
            <x v="7"/>
          </reference>
          <reference field="3" count="1" selected="0">
            <x v="8"/>
          </reference>
          <reference field="4" count="1" selected="0">
            <x v="0"/>
          </reference>
          <reference field="5" count="1">
            <x v="15"/>
          </reference>
        </references>
      </pivotArea>
    </format>
    <format dxfId="91">
      <pivotArea dataOnly="0" labelOnly="1" outline="0" fieldPosition="0">
        <references count="6">
          <reference field="0" count="1" selected="0">
            <x v="28"/>
          </reference>
          <reference field="1" count="1" selected="0">
            <x v="2"/>
          </reference>
          <reference field="2" count="1" selected="0">
            <x v="4"/>
          </reference>
          <reference field="3" count="1" selected="0">
            <x v="8"/>
          </reference>
          <reference field="4" count="1" selected="0">
            <x v="0"/>
          </reference>
          <reference field="5" count="1">
            <x v="6"/>
          </reference>
        </references>
      </pivotArea>
    </format>
    <format dxfId="90">
      <pivotArea dataOnly="0" labelOnly="1" outline="0" fieldPosition="0">
        <references count="6">
          <reference field="0" count="1" selected="0">
            <x v="29"/>
          </reference>
          <reference field="1" count="1" selected="0">
            <x v="24"/>
          </reference>
          <reference field="2" count="1" selected="0">
            <x v="9"/>
          </reference>
          <reference field="3" count="1" selected="0">
            <x v="8"/>
          </reference>
          <reference field="4" count="1" selected="0">
            <x v="0"/>
          </reference>
          <reference field="5" count="1">
            <x v="2"/>
          </reference>
        </references>
      </pivotArea>
    </format>
    <format dxfId="89">
      <pivotArea dataOnly="0" labelOnly="1" outline="0" fieldPosition="0">
        <references count="6">
          <reference field="0" count="1" selected="0">
            <x v="30"/>
          </reference>
          <reference field="1" count="1" selected="0">
            <x v="25"/>
          </reference>
          <reference field="2" count="1" selected="0">
            <x v="13"/>
          </reference>
          <reference field="3" count="1" selected="0">
            <x v="10"/>
          </reference>
          <reference field="4" count="1" selected="0">
            <x v="0"/>
          </reference>
          <reference field="5" count="1">
            <x v="25"/>
          </reference>
        </references>
      </pivotArea>
    </format>
    <format dxfId="88">
      <pivotArea dataOnly="0" labelOnly="1" outline="0" fieldPosition="0">
        <references count="6">
          <reference field="0" count="1" selected="0">
            <x v="31"/>
          </reference>
          <reference field="1" count="1" selected="0">
            <x v="25"/>
          </reference>
          <reference field="2" count="1" selected="0">
            <x v="18"/>
          </reference>
          <reference field="3" count="1" selected="0">
            <x v="8"/>
          </reference>
          <reference field="4" count="1" selected="0">
            <x v="0"/>
          </reference>
          <reference field="5" count="1">
            <x v="0"/>
          </reference>
        </references>
      </pivotArea>
    </format>
    <format dxfId="87">
      <pivotArea dataOnly="0" labelOnly="1" outline="0" fieldPosition="0">
        <references count="6">
          <reference field="0" count="1" selected="0">
            <x v="32"/>
          </reference>
          <reference field="1" count="1" selected="0">
            <x v="26"/>
          </reference>
          <reference field="2" count="1" selected="0">
            <x v="18"/>
          </reference>
          <reference field="3" count="1" selected="0">
            <x v="8"/>
          </reference>
          <reference field="4" count="1" selected="0">
            <x v="0"/>
          </reference>
          <reference field="5" count="1">
            <x v="28"/>
          </reference>
        </references>
      </pivotArea>
    </format>
    <format dxfId="86">
      <pivotArea dataOnly="0" labelOnly="1" outline="0" fieldPosition="0">
        <references count="6">
          <reference field="0" count="1" selected="0">
            <x v="33"/>
          </reference>
          <reference field="1" count="1" selected="0">
            <x v="26"/>
          </reference>
          <reference field="2" count="1" selected="0">
            <x v="19"/>
          </reference>
          <reference field="3" count="1" selected="0">
            <x v="12"/>
          </reference>
          <reference field="4" count="1" selected="0">
            <x v="0"/>
          </reference>
          <reference field="5" count="1">
            <x v="7"/>
          </reference>
        </references>
      </pivotArea>
    </format>
    <format dxfId="85">
      <pivotArea dataOnly="0" labelOnly="1" outline="0" fieldPosition="0">
        <references count="6">
          <reference field="0" count="1" selected="0">
            <x v="34"/>
          </reference>
          <reference field="1" count="1" selected="0">
            <x v="26"/>
          </reference>
          <reference field="2" count="1" selected="0">
            <x v="31"/>
          </reference>
          <reference field="3" count="1" selected="0">
            <x v="11"/>
          </reference>
          <reference field="4" count="1" selected="0">
            <x v="0"/>
          </reference>
          <reference field="5" count="1">
            <x v="6"/>
          </reference>
        </references>
      </pivotArea>
    </format>
    <format dxfId="84">
      <pivotArea dataOnly="0" labelOnly="1" outline="0" fieldPosition="0">
        <references count="6">
          <reference field="0" count="1" selected="0">
            <x v="35"/>
          </reference>
          <reference field="1" count="1" selected="0">
            <x v="27"/>
          </reference>
          <reference field="2" count="1" selected="0">
            <x v="14"/>
          </reference>
          <reference field="3" count="1" selected="0">
            <x v="6"/>
          </reference>
          <reference field="4" count="1" selected="0">
            <x v="2"/>
          </reference>
          <reference field="5" count="1">
            <x v="16"/>
          </reference>
        </references>
      </pivotArea>
    </format>
    <format dxfId="83">
      <pivotArea dataOnly="0" labelOnly="1" outline="0" fieldPosition="0">
        <references count="6">
          <reference field="0" count="1" selected="0">
            <x v="36"/>
          </reference>
          <reference field="1" count="1" selected="0">
            <x v="28"/>
          </reference>
          <reference field="2" count="1" selected="0">
            <x v="18"/>
          </reference>
          <reference field="3" count="1" selected="0">
            <x v="8"/>
          </reference>
          <reference field="4" count="1" selected="0">
            <x v="0"/>
          </reference>
          <reference field="5" count="1">
            <x v="24"/>
          </reference>
        </references>
      </pivotArea>
    </format>
    <format dxfId="82">
      <pivotArea dataOnly="0" labelOnly="1" outline="0" fieldPosition="0">
        <references count="6">
          <reference field="0" count="1" selected="0">
            <x v="37"/>
          </reference>
          <reference field="1" count="1" selected="0">
            <x v="29"/>
          </reference>
          <reference field="2" count="1" selected="0">
            <x v="33"/>
          </reference>
          <reference field="3" count="1" selected="0">
            <x v="8"/>
          </reference>
          <reference field="4" count="1" selected="0">
            <x v="0"/>
          </reference>
          <reference field="5" count="1">
            <x v="13"/>
          </reference>
        </references>
      </pivotArea>
    </format>
    <format dxfId="81">
      <pivotArea dataOnly="0" labelOnly="1" outline="0" fieldPosition="0">
        <references count="6">
          <reference field="0" count="1" selected="0">
            <x v="38"/>
          </reference>
          <reference field="1" count="1" selected="0">
            <x v="30"/>
          </reference>
          <reference field="2" count="1" selected="0">
            <x v="18"/>
          </reference>
          <reference field="3" count="1" selected="0">
            <x v="8"/>
          </reference>
          <reference field="4" count="1" selected="0">
            <x v="0"/>
          </reference>
          <reference field="5" count="1">
            <x v="27"/>
          </reference>
        </references>
      </pivotArea>
    </format>
    <format dxfId="80">
      <pivotArea dataOnly="0" labelOnly="1" outline="0" fieldPosition="0">
        <references count="6">
          <reference field="0" count="1" selected="0">
            <x v="39"/>
          </reference>
          <reference field="1" count="1" selected="0">
            <x v="30"/>
          </reference>
          <reference field="2" count="1" selected="0">
            <x v="32"/>
          </reference>
          <reference field="3" count="1" selected="0">
            <x v="8"/>
          </reference>
          <reference field="4" count="1" selected="0">
            <x v="0"/>
          </reference>
          <reference field="5" count="1">
            <x v="5"/>
          </reference>
        </references>
      </pivotArea>
    </format>
    <format dxfId="79">
      <pivotArea dataOnly="0" labelOnly="1" outline="0" fieldPosition="0">
        <references count="6">
          <reference field="0" count="1" selected="0">
            <x v="40"/>
          </reference>
          <reference field="1" count="1" selected="0">
            <x v="30"/>
          </reference>
          <reference field="2" count="1" selected="0">
            <x v="17"/>
          </reference>
          <reference field="3" count="1" selected="0">
            <x v="8"/>
          </reference>
          <reference field="4" count="1" selected="0">
            <x v="0"/>
          </reference>
          <reference field="5" count="1">
            <x v="23"/>
          </reference>
        </references>
      </pivotArea>
    </format>
    <format dxfId="78">
      <pivotArea dataOnly="0" labelOnly="1" outline="0" fieldPosition="0">
        <references count="6">
          <reference field="0" count="1" selected="0">
            <x v="41"/>
          </reference>
          <reference field="1" count="1" selected="0">
            <x v="0"/>
          </reference>
          <reference field="2" count="1" selected="0">
            <x v="0"/>
          </reference>
          <reference field="3" count="1" selected="0">
            <x v="0"/>
          </reference>
          <reference field="4" count="1" selected="0">
            <x v="3"/>
          </reference>
          <reference field="5" count="1">
            <x v="1"/>
          </reference>
        </references>
      </pivotArea>
    </format>
    <format dxfId="77">
      <pivotArea dataOnly="0" labelOnly="1" outline="0" fieldPosition="0">
        <references count="6">
          <reference field="0" count="1" selected="0">
            <x v="41"/>
          </reference>
          <reference field="1" count="1" selected="0">
            <x v="32"/>
          </reference>
          <reference field="2" count="1" selected="0">
            <x v="34"/>
          </reference>
          <reference field="3" count="1" selected="0">
            <x v="14"/>
          </reference>
          <reference field="4" count="1" selected="0">
            <x v="8"/>
          </reference>
          <reference field="5" count="1">
            <x v="30"/>
          </reference>
        </references>
      </pivotArea>
    </format>
    <format dxfId="76">
      <pivotArea dataOnly="0" labelOnly="1" outline="0" fieldPosition="0">
        <references count="7">
          <reference field="0" count="1" selected="0">
            <x v="0"/>
          </reference>
          <reference field="1" count="1" selected="0">
            <x v="11"/>
          </reference>
          <reference field="2" count="1" selected="0">
            <x v="1"/>
          </reference>
          <reference field="3" count="1" selected="0">
            <x v="5"/>
          </reference>
          <reference field="4" count="1" selected="0">
            <x v="1"/>
          </reference>
          <reference field="5" count="1" selected="0">
            <x v="4"/>
          </reference>
          <reference field="6" count="1">
            <x v="1"/>
          </reference>
        </references>
      </pivotArea>
    </format>
    <format dxfId="75">
      <pivotArea dataOnly="0" labelOnly="1" outline="0" fieldPosition="0">
        <references count="7">
          <reference field="0" count="1" selected="0">
            <x v="1"/>
          </reference>
          <reference field="1" count="1" selected="0">
            <x v="12"/>
          </reference>
          <reference field="2" count="1" selected="0">
            <x v="8"/>
          </reference>
          <reference field="3" count="1" selected="0">
            <x v="13"/>
          </reference>
          <reference field="4" count="1" selected="0">
            <x v="7"/>
          </reference>
          <reference field="5" count="1" selected="0">
            <x v="3"/>
          </reference>
          <reference field="6" count="1">
            <x v="13"/>
          </reference>
        </references>
      </pivotArea>
    </format>
    <format dxfId="74">
      <pivotArea dataOnly="0" labelOnly="1" outline="0" fieldPosition="0">
        <references count="7">
          <reference field="0" count="1" selected="0">
            <x v="2"/>
          </reference>
          <reference field="1" count="1" selected="0">
            <x v="13"/>
          </reference>
          <reference field="2" count="1" selected="0">
            <x v="23"/>
          </reference>
          <reference field="3" count="1" selected="0">
            <x v="1"/>
          </reference>
          <reference field="4" count="1" selected="0">
            <x v="4"/>
          </reference>
          <reference field="5" count="1" selected="0">
            <x v="14"/>
          </reference>
          <reference field="6" count="1">
            <x v="12"/>
          </reference>
        </references>
      </pivotArea>
    </format>
    <format dxfId="73">
      <pivotArea dataOnly="0" labelOnly="1" outline="0" fieldPosition="0">
        <references count="7">
          <reference field="0" count="1" selected="0">
            <x v="3"/>
          </reference>
          <reference field="1" count="1" selected="0">
            <x v="21"/>
          </reference>
          <reference field="2" count="1" selected="0">
            <x v="26"/>
          </reference>
          <reference field="3" count="1" selected="0">
            <x v="3"/>
          </reference>
          <reference field="4" count="1" selected="0">
            <x v="0"/>
          </reference>
          <reference field="5" count="1" selected="0">
            <x v="18"/>
          </reference>
          <reference field="6" count="1">
            <x v="14"/>
          </reference>
        </references>
      </pivotArea>
    </format>
    <format dxfId="72">
      <pivotArea dataOnly="0" labelOnly="1" outline="0" fieldPosition="0">
        <references count="7">
          <reference field="0" count="1" selected="0">
            <x v="4"/>
          </reference>
          <reference field="1" count="1" selected="0">
            <x v="1"/>
          </reference>
          <reference field="2" count="1" selected="0">
            <x v="15"/>
          </reference>
          <reference field="3" count="1" selected="0">
            <x v="8"/>
          </reference>
          <reference field="4" count="1" selected="0">
            <x v="0"/>
          </reference>
          <reference field="5" count="1" selected="0">
            <x v="17"/>
          </reference>
          <reference field="6" count="1">
            <x v="2"/>
          </reference>
        </references>
      </pivotArea>
    </format>
    <format dxfId="71">
      <pivotArea dataOnly="0" labelOnly="1" outline="0" fieldPosition="0">
        <references count="7">
          <reference field="0" count="1" selected="0">
            <x v="5"/>
          </reference>
          <reference field="1" count="1" selected="0">
            <x v="7"/>
          </reference>
          <reference field="2" count="1" selected="0">
            <x v="30"/>
          </reference>
          <reference field="3" count="1" selected="0">
            <x v="12"/>
          </reference>
          <reference field="4" count="1" selected="0">
            <x v="0"/>
          </reference>
          <reference field="5" count="1" selected="0">
            <x v="22"/>
          </reference>
          <reference field="6" count="1">
            <x v="8"/>
          </reference>
        </references>
      </pivotArea>
    </format>
    <format dxfId="70">
      <pivotArea dataOnly="0" labelOnly="1" outline="0" fieldPosition="0">
        <references count="7">
          <reference field="0" count="1" selected="0">
            <x v="6"/>
          </reference>
          <reference field="1" count="1" selected="0">
            <x v="6"/>
          </reference>
          <reference field="2" count="1" selected="0">
            <x v="3"/>
          </reference>
          <reference field="3" count="1" selected="0">
            <x v="1"/>
          </reference>
          <reference field="4" count="1" selected="0">
            <x v="0"/>
          </reference>
          <reference field="5" count="1" selected="0">
            <x v="0"/>
          </reference>
          <reference field="6" count="1">
            <x v="7"/>
          </reference>
        </references>
      </pivotArea>
    </format>
    <format dxfId="69">
      <pivotArea dataOnly="0" labelOnly="1" outline="0" fieldPosition="0">
        <references count="7">
          <reference field="0" count="1" selected="0">
            <x v="7"/>
          </reference>
          <reference field="1" count="1" selected="0">
            <x v="5"/>
          </reference>
          <reference field="2" count="1" selected="0">
            <x v="12"/>
          </reference>
          <reference field="3" count="1" selected="0">
            <x v="8"/>
          </reference>
          <reference field="4" count="1" selected="0">
            <x v="0"/>
          </reference>
          <reference field="5" count="1" selected="0">
            <x v="20"/>
          </reference>
          <reference field="6" count="1">
            <x v="9"/>
          </reference>
        </references>
      </pivotArea>
    </format>
    <format dxfId="68">
      <pivotArea dataOnly="0" labelOnly="1" outline="0" fieldPosition="0">
        <references count="7">
          <reference field="0" count="1" selected="0">
            <x v="8"/>
          </reference>
          <reference field="1" count="1" selected="0">
            <x v="8"/>
          </reference>
          <reference field="2" count="1" selected="0">
            <x v="5"/>
          </reference>
          <reference field="3" count="1" selected="0">
            <x v="3"/>
          </reference>
          <reference field="4" count="1" selected="0">
            <x v="0"/>
          </reference>
          <reference field="5" count="1" selected="0">
            <x v="0"/>
          </reference>
          <reference field="6" count="1">
            <x v="10"/>
          </reference>
        </references>
      </pivotArea>
    </format>
    <format dxfId="67">
      <pivotArea dataOnly="0" labelOnly="1" outline="0" fieldPosition="0">
        <references count="7">
          <reference field="0" count="1" selected="0">
            <x v="9"/>
          </reference>
          <reference field="1" count="1" selected="0">
            <x v="9"/>
          </reference>
          <reference field="2" count="1" selected="0">
            <x v="6"/>
          </reference>
          <reference field="3" count="1" selected="0">
            <x v="11"/>
          </reference>
          <reference field="4" count="1" selected="0">
            <x v="0"/>
          </reference>
          <reference field="5" count="1" selected="0">
            <x v="17"/>
          </reference>
          <reference field="6" count="1">
            <x v="11"/>
          </reference>
        </references>
      </pivotArea>
    </format>
    <format dxfId="66">
      <pivotArea dataOnly="0" labelOnly="1" outline="0" fieldPosition="0">
        <references count="7">
          <reference field="0" count="1" selected="0">
            <x v="10"/>
          </reference>
          <reference field="1" count="1" selected="0">
            <x v="10"/>
          </reference>
          <reference field="2" count="1" selected="0">
            <x v="29"/>
          </reference>
          <reference field="3" count="1" selected="0">
            <x v="4"/>
          </reference>
          <reference field="4" count="1" selected="0">
            <x v="0"/>
          </reference>
          <reference field="5" count="1" selected="0">
            <x v="21"/>
          </reference>
          <reference field="6" count="1">
            <x v="12"/>
          </reference>
        </references>
      </pivotArea>
    </format>
    <format dxfId="65">
      <pivotArea dataOnly="0" labelOnly="1" outline="0" fieldPosition="0">
        <references count="7">
          <reference field="0" count="1" selected="0">
            <x v="11"/>
          </reference>
          <reference field="1" count="1" selected="0">
            <x v="3"/>
          </reference>
          <reference field="2" count="1" selected="0">
            <x v="2"/>
          </reference>
          <reference field="3" count="1" selected="0">
            <x v="8"/>
          </reference>
          <reference field="4" count="1" selected="0">
            <x v="0"/>
          </reference>
          <reference field="5" count="1" selected="0">
            <x v="12"/>
          </reference>
          <reference field="6" count="1">
            <x v="5"/>
          </reference>
        </references>
      </pivotArea>
    </format>
    <format dxfId="64">
      <pivotArea dataOnly="0" labelOnly="1" outline="0" fieldPosition="0">
        <references count="7">
          <reference field="0" count="1" selected="0">
            <x v="12"/>
          </reference>
          <reference field="1" count="1" selected="0">
            <x v="31"/>
          </reference>
          <reference field="2" count="1" selected="0">
            <x v="15"/>
          </reference>
          <reference field="3" count="1" selected="0">
            <x v="12"/>
          </reference>
          <reference field="4" count="1" selected="0">
            <x v="0"/>
          </reference>
          <reference field="5" count="1" selected="0">
            <x v="0"/>
          </reference>
          <reference field="6" count="1">
            <x v="4"/>
          </reference>
        </references>
      </pivotArea>
    </format>
    <format dxfId="63">
      <pivotArea dataOnly="0" labelOnly="1" outline="0" fieldPosition="0">
        <references count="7">
          <reference field="0" count="1" selected="0">
            <x v="13"/>
          </reference>
          <reference field="1" count="1" selected="0">
            <x v="4"/>
          </reference>
          <reference field="2" count="1" selected="0">
            <x v="25"/>
          </reference>
          <reference field="3" count="1" selected="0">
            <x v="2"/>
          </reference>
          <reference field="4" count="1" selected="0">
            <x v="0"/>
          </reference>
          <reference field="5" count="1" selected="0">
            <x v="0"/>
          </reference>
          <reference field="6" count="1">
            <x v="6"/>
          </reference>
        </references>
      </pivotArea>
    </format>
    <format dxfId="62">
      <pivotArea dataOnly="0" labelOnly="1" outline="0" fieldPosition="0">
        <references count="7">
          <reference field="0" count="1" selected="0">
            <x v="14"/>
          </reference>
          <reference field="1" count="1" selected="0">
            <x v="14"/>
          </reference>
          <reference field="2" count="1" selected="0">
            <x v="27"/>
          </reference>
          <reference field="3" count="1" selected="0">
            <x v="9"/>
          </reference>
          <reference field="4" count="1" selected="0">
            <x v="0"/>
          </reference>
          <reference field="5" count="1" selected="0">
            <x v="11"/>
          </reference>
          <reference field="6" count="1">
            <x v="17"/>
          </reference>
        </references>
      </pivotArea>
    </format>
    <format dxfId="61">
      <pivotArea dataOnly="0" labelOnly="1" outline="0" fieldPosition="0">
        <references count="7">
          <reference field="0" count="1" selected="0">
            <x v="15"/>
          </reference>
          <reference field="1" count="1" selected="0">
            <x v="15"/>
          </reference>
          <reference field="2" count="1" selected="0">
            <x v="20"/>
          </reference>
          <reference field="3" count="1" selected="0">
            <x v="5"/>
          </reference>
          <reference field="4" count="1" selected="0">
            <x v="0"/>
          </reference>
          <reference field="5" count="1" selected="0">
            <x v="8"/>
          </reference>
          <reference field="6" count="1">
            <x v="21"/>
          </reference>
        </references>
      </pivotArea>
    </format>
    <format dxfId="60">
      <pivotArea dataOnly="0" labelOnly="1" outline="0" fieldPosition="0">
        <references count="7">
          <reference field="0" count="1" selected="0">
            <x v="16"/>
          </reference>
          <reference field="1" count="1" selected="0">
            <x v="16"/>
          </reference>
          <reference field="2" count="1" selected="0">
            <x v="21"/>
          </reference>
          <reference field="3" count="1" selected="0">
            <x v="8"/>
          </reference>
          <reference field="4" count="1" selected="0">
            <x v="0"/>
          </reference>
          <reference field="5" count="1" selected="0">
            <x v="26"/>
          </reference>
          <reference field="6" count="1">
            <x v="23"/>
          </reference>
        </references>
      </pivotArea>
    </format>
    <format dxfId="59">
      <pivotArea dataOnly="0" labelOnly="1" outline="0" fieldPosition="0">
        <references count="7">
          <reference field="0" count="1" selected="0">
            <x v="17"/>
          </reference>
          <reference field="1" count="1" selected="0">
            <x v="17"/>
          </reference>
          <reference field="2" count="1" selected="0">
            <x v="11"/>
          </reference>
          <reference field="3" count="1" selected="0">
            <x v="8"/>
          </reference>
          <reference field="4" count="1" selected="0">
            <x v="0"/>
          </reference>
          <reference field="5" count="1" selected="0">
            <x v="10"/>
          </reference>
          <reference field="6" count="1">
            <x v="18"/>
          </reference>
        </references>
      </pivotArea>
    </format>
    <format dxfId="58">
      <pivotArea dataOnly="0" labelOnly="1" outline="0" fieldPosition="0">
        <references count="7">
          <reference field="0" count="1" selected="0">
            <x v="18"/>
          </reference>
          <reference field="1" count="1" selected="0">
            <x v="18"/>
          </reference>
          <reference field="2" count="1" selected="0">
            <x v="21"/>
          </reference>
          <reference field="3" count="1" selected="0">
            <x v="8"/>
          </reference>
          <reference field="4" count="1" selected="0">
            <x v="0"/>
          </reference>
          <reference field="5" count="1" selected="0">
            <x v="26"/>
          </reference>
          <reference field="6" count="1">
            <x v="19"/>
          </reference>
        </references>
      </pivotArea>
    </format>
    <format dxfId="57">
      <pivotArea dataOnly="0" labelOnly="1" outline="0" fieldPosition="0">
        <references count="7">
          <reference field="0" count="1" selected="0">
            <x v="19"/>
          </reference>
          <reference field="1" count="1" selected="0">
            <x v="19"/>
          </reference>
          <reference field="2" count="1" selected="0">
            <x v="22"/>
          </reference>
          <reference field="3" count="1" selected="0">
            <x v="8"/>
          </reference>
          <reference field="4" count="1" selected="0">
            <x v="0"/>
          </reference>
          <reference field="5" count="1" selected="0">
            <x v="20"/>
          </reference>
          <reference field="6" count="1">
            <x v="20"/>
          </reference>
        </references>
      </pivotArea>
    </format>
    <format dxfId="56">
      <pivotArea dataOnly="0" labelOnly="1" outline="0" fieldPosition="0">
        <references count="7">
          <reference field="0" count="1" selected="0">
            <x v="20"/>
          </reference>
          <reference field="1" count="1" selected="0">
            <x v="20"/>
          </reference>
          <reference field="2" count="1" selected="0">
            <x v="18"/>
          </reference>
          <reference field="3" count="1" selected="0">
            <x v="8"/>
          </reference>
          <reference field="4" count="1" selected="0">
            <x v="0"/>
          </reference>
          <reference field="5" count="1" selected="0">
            <x v="29"/>
          </reference>
          <reference field="6" count="1">
            <x v="16"/>
          </reference>
        </references>
      </pivotArea>
    </format>
    <format dxfId="55">
      <pivotArea dataOnly="0" labelOnly="1" outline="0" fieldPosition="0">
        <references count="7">
          <reference field="0" count="1" selected="0">
            <x v="21"/>
          </reference>
          <reference field="1" count="1" selected="0">
            <x v="21"/>
          </reference>
          <reference field="2" count="1" selected="0">
            <x v="24"/>
          </reference>
          <reference field="3" count="1" selected="0">
            <x v="1"/>
          </reference>
          <reference field="4" count="1" selected="0">
            <x v="0"/>
          </reference>
          <reference field="5" count="1" selected="0">
            <x v="0"/>
          </reference>
          <reference field="6" count="1">
            <x v="18"/>
          </reference>
        </references>
      </pivotArea>
    </format>
    <format dxfId="54">
      <pivotArea dataOnly="0" labelOnly="1" outline="0" fieldPosition="0">
        <references count="7">
          <reference field="0" count="1" selected="0">
            <x v="22"/>
          </reference>
          <reference field="1" count="1" selected="0">
            <x v="22"/>
          </reference>
          <reference field="2" count="1" selected="0">
            <x v="16"/>
          </reference>
          <reference field="3" count="1" selected="0">
            <x v="8"/>
          </reference>
          <reference field="4" count="1" selected="0">
            <x v="6"/>
          </reference>
          <reference field="5" count="1" selected="0">
            <x v="26"/>
          </reference>
          <reference field="6" count="1">
            <x v="18"/>
          </reference>
        </references>
      </pivotArea>
    </format>
    <format dxfId="53">
      <pivotArea dataOnly="0" labelOnly="1" outline="0" fieldPosition="0">
        <references count="7">
          <reference field="0" count="1" selected="0">
            <x v="23"/>
          </reference>
          <reference field="1" count="1" selected="0">
            <x v="22"/>
          </reference>
          <reference field="2" count="1" selected="0">
            <x v="10"/>
          </reference>
          <reference field="3" count="1" selected="0">
            <x v="8"/>
          </reference>
          <reference field="4" count="1" selected="0">
            <x v="0"/>
          </reference>
          <reference field="5" count="1" selected="0">
            <x v="26"/>
          </reference>
          <reference field="6" count="1">
            <x v="18"/>
          </reference>
        </references>
      </pivotArea>
    </format>
    <format dxfId="52">
      <pivotArea dataOnly="0" labelOnly="1" outline="0" fieldPosition="0">
        <references count="7">
          <reference field="0" count="1" selected="0">
            <x v="24"/>
          </reference>
          <reference field="1" count="1" selected="0">
            <x v="23"/>
          </reference>
          <reference field="2" count="1" selected="0">
            <x v="28"/>
          </reference>
          <reference field="3" count="1" selected="0">
            <x v="7"/>
          </reference>
          <reference field="4" count="1" selected="0">
            <x v="5"/>
          </reference>
          <reference field="5" count="1" selected="0">
            <x v="19"/>
          </reference>
          <reference field="6" count="1">
            <x v="18"/>
          </reference>
        </references>
      </pivotArea>
    </format>
    <format dxfId="51">
      <pivotArea dataOnly="0" labelOnly="1" outline="0" fieldPosition="0">
        <references count="7">
          <reference field="0" count="1" selected="0">
            <x v="25"/>
          </reference>
          <reference field="1" count="1" selected="0">
            <x v="23"/>
          </reference>
          <reference field="2" count="1" selected="0">
            <x v="10"/>
          </reference>
          <reference field="3" count="1" selected="0">
            <x v="8"/>
          </reference>
          <reference field="4" count="1" selected="0">
            <x v="0"/>
          </reference>
          <reference field="5" count="1" selected="0">
            <x v="26"/>
          </reference>
          <reference field="6" count="1">
            <x v="18"/>
          </reference>
        </references>
      </pivotArea>
    </format>
    <format dxfId="50">
      <pivotArea dataOnly="0" labelOnly="1" outline="0" fieldPosition="0">
        <references count="7">
          <reference field="0" count="1" selected="0">
            <x v="26"/>
          </reference>
          <reference field="1" count="1" selected="0">
            <x v="23"/>
          </reference>
          <reference field="2" count="1" selected="0">
            <x v="12"/>
          </reference>
          <reference field="3" count="1" selected="0">
            <x v="8"/>
          </reference>
          <reference field="4" count="1" selected="0">
            <x v="0"/>
          </reference>
          <reference field="5" count="1" selected="0">
            <x v="9"/>
          </reference>
          <reference field="6" count="1">
            <x v="18"/>
          </reference>
        </references>
      </pivotArea>
    </format>
    <format dxfId="49">
      <pivotArea dataOnly="0" labelOnly="1" outline="0" fieldPosition="0">
        <references count="7">
          <reference field="0" count="1" selected="0">
            <x v="27"/>
          </reference>
          <reference field="1" count="1" selected="0">
            <x v="20"/>
          </reference>
          <reference field="2" count="1" selected="0">
            <x v="7"/>
          </reference>
          <reference field="3" count="1" selected="0">
            <x v="8"/>
          </reference>
          <reference field="4" count="1" selected="0">
            <x v="0"/>
          </reference>
          <reference field="5" count="1" selected="0">
            <x v="15"/>
          </reference>
          <reference field="6" count="1">
            <x v="15"/>
          </reference>
        </references>
      </pivotArea>
    </format>
    <format dxfId="48">
      <pivotArea dataOnly="0" labelOnly="1" outline="0" fieldPosition="0">
        <references count="7">
          <reference field="0" count="1" selected="0">
            <x v="28"/>
          </reference>
          <reference field="1" count="1" selected="0">
            <x v="2"/>
          </reference>
          <reference field="2" count="1" selected="0">
            <x v="4"/>
          </reference>
          <reference field="3" count="1" selected="0">
            <x v="8"/>
          </reference>
          <reference field="4" count="1" selected="0">
            <x v="0"/>
          </reference>
          <reference field="5" count="1" selected="0">
            <x v="6"/>
          </reference>
          <reference field="6" count="1">
            <x v="3"/>
          </reference>
        </references>
      </pivotArea>
    </format>
    <format dxfId="47">
      <pivotArea dataOnly="0" labelOnly="1" outline="0" fieldPosition="0">
        <references count="7">
          <reference field="0" count="1" selected="0">
            <x v="29"/>
          </reference>
          <reference field="1" count="1" selected="0">
            <x v="24"/>
          </reference>
          <reference field="2" count="1" selected="0">
            <x v="9"/>
          </reference>
          <reference field="3" count="1" selected="0">
            <x v="8"/>
          </reference>
          <reference field="4" count="1" selected="0">
            <x v="0"/>
          </reference>
          <reference field="5" count="1" selected="0">
            <x v="2"/>
          </reference>
          <reference field="6" count="1">
            <x v="19"/>
          </reference>
        </references>
      </pivotArea>
    </format>
    <format dxfId="46">
      <pivotArea dataOnly="0" labelOnly="1" outline="0" fieldPosition="0">
        <references count="7">
          <reference field="0" count="1" selected="0">
            <x v="30"/>
          </reference>
          <reference field="1" count="1" selected="0">
            <x v="25"/>
          </reference>
          <reference field="2" count="1" selected="0">
            <x v="13"/>
          </reference>
          <reference field="3" count="1" selected="0">
            <x v="10"/>
          </reference>
          <reference field="4" count="1" selected="0">
            <x v="0"/>
          </reference>
          <reference field="5" count="1" selected="0">
            <x v="25"/>
          </reference>
          <reference field="6" count="1">
            <x v="24"/>
          </reference>
        </references>
      </pivotArea>
    </format>
    <format dxfId="45">
      <pivotArea dataOnly="0" labelOnly="1" outline="0" fieldPosition="0">
        <references count="7">
          <reference field="0" count="1" selected="0">
            <x v="31"/>
          </reference>
          <reference field="1" count="1" selected="0">
            <x v="25"/>
          </reference>
          <reference field="2" count="1" selected="0">
            <x v="18"/>
          </reference>
          <reference field="3" count="1" selected="0">
            <x v="8"/>
          </reference>
          <reference field="4" count="1" selected="0">
            <x v="0"/>
          </reference>
          <reference field="5" count="1" selected="0">
            <x v="0"/>
          </reference>
          <reference field="6" count="1">
            <x v="19"/>
          </reference>
        </references>
      </pivotArea>
    </format>
    <format dxfId="44">
      <pivotArea dataOnly="0" labelOnly="1" outline="0" fieldPosition="0">
        <references count="7">
          <reference field="0" count="1" selected="0">
            <x v="32"/>
          </reference>
          <reference field="1" count="1" selected="0">
            <x v="26"/>
          </reference>
          <reference field="2" count="1" selected="0">
            <x v="18"/>
          </reference>
          <reference field="3" count="1" selected="0">
            <x v="8"/>
          </reference>
          <reference field="4" count="1" selected="0">
            <x v="0"/>
          </reference>
          <reference field="5" count="1" selected="0">
            <x v="28"/>
          </reference>
          <reference field="6" count="1">
            <x v="22"/>
          </reference>
        </references>
      </pivotArea>
    </format>
    <format dxfId="43">
      <pivotArea dataOnly="0" labelOnly="1" outline="0" fieldPosition="0">
        <references count="7">
          <reference field="0" count="1" selected="0">
            <x v="33"/>
          </reference>
          <reference field="1" count="1" selected="0">
            <x v="26"/>
          </reference>
          <reference field="2" count="1" selected="0">
            <x v="19"/>
          </reference>
          <reference field="3" count="1" selected="0">
            <x v="12"/>
          </reference>
          <reference field="4" count="1" selected="0">
            <x v="0"/>
          </reference>
          <reference field="5" count="1" selected="0">
            <x v="7"/>
          </reference>
          <reference field="6" count="1">
            <x v="22"/>
          </reference>
        </references>
      </pivotArea>
    </format>
    <format dxfId="42">
      <pivotArea dataOnly="0" labelOnly="1" outline="0" fieldPosition="0">
        <references count="7">
          <reference field="0" count="1" selected="0">
            <x v="34"/>
          </reference>
          <reference field="1" count="1" selected="0">
            <x v="26"/>
          </reference>
          <reference field="2" count="1" selected="0">
            <x v="31"/>
          </reference>
          <reference field="3" count="1" selected="0">
            <x v="11"/>
          </reference>
          <reference field="4" count="1" selected="0">
            <x v="0"/>
          </reference>
          <reference field="5" count="1" selected="0">
            <x v="6"/>
          </reference>
          <reference field="6" count="1">
            <x v="22"/>
          </reference>
        </references>
      </pivotArea>
    </format>
    <format dxfId="41">
      <pivotArea dataOnly="0" labelOnly="1" outline="0" fieldPosition="0">
        <references count="7">
          <reference field="0" count="1" selected="0">
            <x v="35"/>
          </reference>
          <reference field="1" count="1" selected="0">
            <x v="27"/>
          </reference>
          <reference field="2" count="1" selected="0">
            <x v="14"/>
          </reference>
          <reference field="3" count="1" selected="0">
            <x v="6"/>
          </reference>
          <reference field="4" count="1" selected="0">
            <x v="2"/>
          </reference>
          <reference field="5" count="1" selected="0">
            <x v="16"/>
          </reference>
          <reference field="6" count="1">
            <x v="21"/>
          </reference>
        </references>
      </pivotArea>
    </format>
    <format dxfId="40">
      <pivotArea dataOnly="0" labelOnly="1" outline="0" fieldPosition="0">
        <references count="7">
          <reference field="0" count="1" selected="0">
            <x v="36"/>
          </reference>
          <reference field="1" count="1" selected="0">
            <x v="28"/>
          </reference>
          <reference field="2" count="1" selected="0">
            <x v="18"/>
          </reference>
          <reference field="3" count="1" selected="0">
            <x v="8"/>
          </reference>
          <reference field="4" count="1" selected="0">
            <x v="0"/>
          </reference>
          <reference field="5" count="1" selected="0">
            <x v="24"/>
          </reference>
          <reference field="6" count="1">
            <x v="22"/>
          </reference>
        </references>
      </pivotArea>
    </format>
    <format dxfId="39">
      <pivotArea dataOnly="0" labelOnly="1" outline="0" fieldPosition="0">
        <references count="7">
          <reference field="0" count="1" selected="0">
            <x v="37"/>
          </reference>
          <reference field="1" count="1" selected="0">
            <x v="29"/>
          </reference>
          <reference field="2" count="1" selected="0">
            <x v="33"/>
          </reference>
          <reference field="3" count="1" selected="0">
            <x v="8"/>
          </reference>
          <reference field="4" count="1" selected="0">
            <x v="0"/>
          </reference>
          <reference field="5" count="1" selected="0">
            <x v="13"/>
          </reference>
          <reference field="6" count="1">
            <x v="22"/>
          </reference>
        </references>
      </pivotArea>
    </format>
    <format dxfId="38">
      <pivotArea dataOnly="0" labelOnly="1" outline="0" fieldPosition="0">
        <references count="7">
          <reference field="0" count="1" selected="0">
            <x v="38"/>
          </reference>
          <reference field="1" count="1" selected="0">
            <x v="30"/>
          </reference>
          <reference field="2" count="1" selected="0">
            <x v="18"/>
          </reference>
          <reference field="3" count="1" selected="0">
            <x v="8"/>
          </reference>
          <reference field="4" count="1" selected="0">
            <x v="0"/>
          </reference>
          <reference field="5" count="1" selected="0">
            <x v="27"/>
          </reference>
          <reference field="6" count="1">
            <x v="25"/>
          </reference>
        </references>
      </pivotArea>
    </format>
    <format dxfId="37">
      <pivotArea dataOnly="0" labelOnly="1" outline="0" fieldPosition="0">
        <references count="7">
          <reference field="0" count="1" selected="0">
            <x v="39"/>
          </reference>
          <reference field="1" count="1" selected="0">
            <x v="30"/>
          </reference>
          <reference field="2" count="1" selected="0">
            <x v="32"/>
          </reference>
          <reference field="3" count="1" selected="0">
            <x v="8"/>
          </reference>
          <reference field="4" count="1" selected="0">
            <x v="0"/>
          </reference>
          <reference field="5" count="1" selected="0">
            <x v="5"/>
          </reference>
          <reference field="6" count="1">
            <x v="25"/>
          </reference>
        </references>
      </pivotArea>
    </format>
    <format dxfId="36">
      <pivotArea dataOnly="0" labelOnly="1" outline="0" fieldPosition="0">
        <references count="7">
          <reference field="0" count="1" selected="0">
            <x v="40"/>
          </reference>
          <reference field="1" count="1" selected="0">
            <x v="30"/>
          </reference>
          <reference field="2" count="1" selected="0">
            <x v="17"/>
          </reference>
          <reference field="3" count="1" selected="0">
            <x v="8"/>
          </reference>
          <reference field="4" count="1" selected="0">
            <x v="0"/>
          </reference>
          <reference field="5" count="1" selected="0">
            <x v="23"/>
          </reference>
          <reference field="6" count="1">
            <x v="25"/>
          </reference>
        </references>
      </pivotArea>
    </format>
    <format dxfId="35">
      <pivotArea dataOnly="0" labelOnly="1" outline="0" fieldPosition="0">
        <references count="7">
          <reference field="0" count="1" selected="0">
            <x v="41"/>
          </reference>
          <reference field="1" count="1" selected="0">
            <x v="0"/>
          </reference>
          <reference field="2" count="1" selected="0">
            <x v="0"/>
          </reference>
          <reference field="3" count="1" selected="0">
            <x v="0"/>
          </reference>
          <reference field="4" count="1" selected="0">
            <x v="3"/>
          </reference>
          <reference field="5" count="1" selected="0">
            <x v="1"/>
          </reference>
          <reference field="6" count="1">
            <x v="0"/>
          </reference>
        </references>
      </pivotArea>
    </format>
    <format dxfId="34">
      <pivotArea dataOnly="0" labelOnly="1" outline="0" fieldPosition="0">
        <references count="7">
          <reference field="0" count="1" selected="0">
            <x v="41"/>
          </reference>
          <reference field="1" count="1" selected="0">
            <x v="32"/>
          </reference>
          <reference field="2" count="1" selected="0">
            <x v="34"/>
          </reference>
          <reference field="3" count="1" selected="0">
            <x v="14"/>
          </reference>
          <reference field="4" count="1" selected="0">
            <x v="8"/>
          </reference>
          <reference field="5" count="1" selected="0">
            <x v="30"/>
          </reference>
          <reference field="6" count="1">
            <x v="26"/>
          </reference>
        </references>
      </pivotArea>
    </format>
    <format dxfId="33">
      <pivotArea dataOnly="0" labelOnly="1" outline="0" axis="axisValues" fieldPosition="0"/>
    </format>
    <format dxfId="32">
      <pivotArea field="0" type="button" dataOnly="0" labelOnly="1" outline="0" axis="axisRow" fieldPosition="0"/>
    </format>
    <format dxfId="31">
      <pivotArea dataOnly="0" labelOnly="1" outline="0" fieldPosition="0">
        <references count="1">
          <reference field="0" count="0"/>
        </references>
      </pivotArea>
    </format>
    <format dxfId="30">
      <pivotArea dataOnly="0" labelOnly="1" grandRow="1" outline="0" fieldPosition="0"/>
    </format>
    <format dxfId="29">
      <pivotArea field="0" type="button" dataOnly="0" labelOnly="1" outline="0" axis="axisRow" fieldPosition="0"/>
    </format>
    <format dxfId="28">
      <pivotArea dataOnly="0" labelOnly="1" outline="0" fieldPosition="0">
        <references count="1">
          <reference field="0" count="0"/>
        </references>
      </pivotArea>
    </format>
    <format dxfId="27">
      <pivotArea dataOnly="0" labelOnly="1" grandRow="1" outline="0" fieldPosition="0"/>
    </format>
    <format dxfId="26">
      <pivotArea field="0" type="button" dataOnly="0" labelOnly="1" outline="0" axis="axisRow" fieldPosition="0"/>
    </format>
    <format dxfId="25">
      <pivotArea field="1" type="button" dataOnly="0" labelOnly="1" outline="0" axis="axisRow" fieldPosition="1"/>
    </format>
    <format dxfId="24">
      <pivotArea field="2" type="button" dataOnly="0" labelOnly="1" outline="0" axis="axisRow" fieldPosition="2"/>
    </format>
    <format dxfId="23">
      <pivotArea field="3" type="button" dataOnly="0" labelOnly="1" outline="0" axis="axisRow" fieldPosition="3"/>
    </format>
    <format dxfId="22">
      <pivotArea field="4" type="button" dataOnly="0" labelOnly="1" outline="0" axis="axisRow" fieldPosition="4"/>
    </format>
    <format dxfId="21">
      <pivotArea field="5" type="button" dataOnly="0" labelOnly="1" outline="0" axis="axisRow" fieldPosition="5"/>
    </format>
    <format dxfId="20">
      <pivotArea field="6" type="button" dataOnly="0" labelOnly="1" outline="0" axis="axisRow" fieldPosition="6"/>
    </format>
    <format dxfId="19">
      <pivotArea dataOnly="0" labelOnly="1" outline="0" axis="axisValues" fieldPosition="0"/>
    </format>
    <format dxfId="18">
      <pivotArea dataOnly="0" labelOnly="1" outline="0" axis="axisValues" fieldPosition="0"/>
    </format>
    <format dxfId="17">
      <pivotArea field="0" type="button" dataOnly="0" labelOnly="1" outline="0" axis="axisRow" fieldPosition="0"/>
    </format>
    <format dxfId="16">
      <pivotArea field="1" type="button" dataOnly="0" labelOnly="1" outline="0" axis="axisRow" fieldPosition="1"/>
    </format>
    <format dxfId="15">
      <pivotArea field="2" type="button" dataOnly="0" labelOnly="1" outline="0" axis="axisRow" fieldPosition="2"/>
    </format>
    <format dxfId="14">
      <pivotArea field="3" type="button" dataOnly="0" labelOnly="1" outline="0" axis="axisRow" fieldPosition="3"/>
    </format>
    <format dxfId="13">
      <pivotArea field="4" type="button" dataOnly="0" labelOnly="1" outline="0" axis="axisRow" fieldPosition="4"/>
    </format>
    <format dxfId="12">
      <pivotArea field="5" type="button" dataOnly="0" labelOnly="1" outline="0" axis="axisRow" fieldPosition="5"/>
    </format>
    <format dxfId="11">
      <pivotArea field="6" type="button" dataOnly="0" labelOnly="1" outline="0" axis="axisRow" fieldPosition="6"/>
    </format>
    <format dxfId="10">
      <pivotArea dataOnly="0" labelOnly="1" outline="0" axis="axisValues" fieldPosition="0"/>
    </format>
    <format dxfId="9">
      <pivotArea dataOnly="0" labelOnly="1" outline="0" axis="axisValues" fieldPosition="0"/>
    </format>
    <format dxfId="8">
      <pivotArea outline="0" collapsedLevelsAreSubtotals="1" fieldPosition="0"/>
    </format>
    <format dxfId="7">
      <pivotArea dataOnly="0" labelOnly="1" outline="0" axis="axisValues" fieldPosition="0"/>
    </format>
    <format dxfId="6">
      <pivotArea dataOnly="0" labelOnly="1" outline="0" axis="axisValues" fieldPosition="0"/>
    </format>
    <format dxfId="5">
      <pivotArea outline="0" collapsedLevelsAreSubtotals="1" fieldPosition="0"/>
    </format>
    <format dxfId="4">
      <pivotArea dataOnly="0" labelOnly="1" outline="0" axis="axisValues" fieldPosition="0"/>
    </format>
    <format dxfId="3">
      <pivotArea dataOnly="0" labelOnly="1" outline="0" axis="axisValues" fieldPosition="0"/>
    </format>
    <format dxfId="2">
      <pivotArea field="5" type="button" dataOnly="0" labelOnly="1" outline="0" axis="axisRow" fieldPosition="5"/>
    </format>
    <format dxfId="1">
      <pivotArea field="5" type="button" dataOnly="0" labelOnly="1" outline="0" axis="axisRow" fieldPosition="5"/>
    </format>
    <format dxfId="0">
      <pivotArea field="4" type="button" dataOnly="0" labelOnly="1" outline="0" axis="axisRow" fieldPosition="4"/>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ၾကြးက်န္" sourceName=" ေၾကြးက်န္ ">
  <pivotTables>
    <pivotTable tabId="52" name="PivotTable1"/>
  </pivotTables>
  <data>
    <tabular pivotCacheId="1">
      <items count="26">
        <i x="0"/>
        <i x="4" s="1"/>
        <i x="6" s="1"/>
        <i x="18" s="1"/>
        <i x="7" s="1"/>
        <i x="20" s="1"/>
        <i x="5" s="1"/>
        <i x="19" s="1"/>
        <i x="12" s="1"/>
        <i x="9" s="1"/>
        <i x="15" s="1"/>
        <i x="10" s="1"/>
        <i x="23" s="1"/>
        <i x="8" s="1"/>
        <i x="11" s="1"/>
        <i x="16" s="1"/>
        <i x="13" s="1"/>
        <i x="14" s="1"/>
        <i x="2" s="1"/>
        <i x="21" s="1"/>
        <i x="17" s="1"/>
        <i x="22" s="1"/>
        <i x="3" s="1"/>
        <i x="1" s="1"/>
        <i x="24"/>
        <i x="2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 ေၾကြးက်န္ " cache="Slicer_ေၾကြးက်န္" caption=" ေၾကြးက်န္ " startItem="19"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2"/>
  <sheetViews>
    <sheetView topLeftCell="B1" workbookViewId="0">
      <selection activeCell="D2" sqref="D2"/>
    </sheetView>
  </sheetViews>
  <sheetFormatPr defaultColWidth="8.7109375" defaultRowHeight="21.75"/>
  <cols>
    <col min="1" max="2" width="8.7109375" style="45"/>
    <col min="3" max="3" width="21.85546875" style="53" customWidth="1"/>
    <col min="4" max="4" width="25.42578125" style="54" customWidth="1"/>
    <col min="5" max="8" width="8.7109375" style="45"/>
    <col min="9" max="9" width="19.140625" style="45" bestFit="1" customWidth="1"/>
    <col min="10" max="10" width="14.140625" style="45" bestFit="1" customWidth="1"/>
    <col min="11" max="11" width="17.85546875" style="45" customWidth="1"/>
    <col min="12" max="16384" width="8.7109375" style="45"/>
  </cols>
  <sheetData>
    <row r="1" spans="1:11" ht="23.25" thickBot="1">
      <c r="C1" s="44" t="s">
        <v>38</v>
      </c>
      <c r="D1" s="72">
        <v>67</v>
      </c>
    </row>
    <row r="2" spans="1:11" ht="23.25" hidden="1" thickBot="1">
      <c r="C2" s="44"/>
      <c r="D2" s="65">
        <v>44176</v>
      </c>
    </row>
    <row r="3" spans="1:11" ht="33.75" thickBot="1">
      <c r="A3" s="45" t="b">
        <f>Dashboard!D1=IF(B3="","",ROW(1:1))</f>
        <v>0</v>
      </c>
      <c r="C3" s="44" t="s">
        <v>11</v>
      </c>
      <c r="D3" s="65"/>
      <c r="F3" s="136" t="s">
        <v>36</v>
      </c>
      <c r="G3" s="137"/>
      <c r="H3" s="137"/>
      <c r="I3" s="137"/>
      <c r="J3" s="137"/>
      <c r="K3" s="138"/>
    </row>
    <row r="4" spans="1:11" ht="22.5">
      <c r="C4" s="46" t="s">
        <v>12</v>
      </c>
      <c r="D4" s="69"/>
    </row>
    <row r="5" spans="1:11" ht="22.5">
      <c r="C5" s="46" t="s">
        <v>13</v>
      </c>
      <c r="D5" s="69"/>
    </row>
    <row r="6" spans="1:11" ht="22.5">
      <c r="C6" s="47" t="s">
        <v>5</v>
      </c>
      <c r="D6" s="69"/>
    </row>
    <row r="7" spans="1:11" ht="22.5">
      <c r="C7" s="47" t="s">
        <v>14</v>
      </c>
      <c r="D7" s="69"/>
    </row>
    <row r="8" spans="1:11" ht="22.5">
      <c r="C8" s="48" t="s">
        <v>25</v>
      </c>
      <c r="D8" s="69"/>
    </row>
    <row r="9" spans="1:11" ht="22.5">
      <c r="C9" s="48" t="s">
        <v>26</v>
      </c>
      <c r="D9" s="70"/>
      <c r="I9" s="61" t="s">
        <v>35</v>
      </c>
      <c r="J9" s="62">
        <f>SUM(' Data Save '!U2:U1048576)</f>
        <v>2710450</v>
      </c>
    </row>
    <row r="10" spans="1:11" ht="22.5">
      <c r="C10" s="49" t="s">
        <v>17</v>
      </c>
      <c r="D10" s="69"/>
    </row>
    <row r="11" spans="1:11" ht="22.5">
      <c r="C11" s="50" t="s">
        <v>0</v>
      </c>
      <c r="D11" s="69"/>
    </row>
    <row r="12" spans="1:11" ht="22.5">
      <c r="C12" s="51" t="s">
        <v>18</v>
      </c>
      <c r="D12" s="15"/>
    </row>
    <row r="13" spans="1:11" ht="21.95" customHeight="1">
      <c r="C13" s="51" t="s">
        <v>19</v>
      </c>
      <c r="D13" s="10">
        <f>D11*D12</f>
        <v>0</v>
      </c>
    </row>
    <row r="14" spans="1:11" ht="22.5">
      <c r="C14" s="51" t="s">
        <v>30</v>
      </c>
      <c r="D14" s="10"/>
    </row>
    <row r="15" spans="1:11" ht="22.5">
      <c r="C15" s="51" t="s">
        <v>20</v>
      </c>
      <c r="D15" s="10"/>
    </row>
    <row r="16" spans="1:11" ht="22.5">
      <c r="C16" s="51" t="s">
        <v>33</v>
      </c>
      <c r="D16" s="10">
        <f>D13+D14-D15</f>
        <v>0</v>
      </c>
    </row>
    <row r="17" spans="3:10" ht="22.5" hidden="1">
      <c r="C17" s="51"/>
      <c r="D17" s="65">
        <v>44286</v>
      </c>
    </row>
    <row r="18" spans="3:10" ht="22.5">
      <c r="C18" s="52" t="s">
        <v>83</v>
      </c>
      <c r="D18" s="65"/>
    </row>
    <row r="19" spans="3:10">
      <c r="D19" s="75"/>
    </row>
    <row r="20" spans="3:10">
      <c r="D20" s="75"/>
    </row>
    <row r="21" spans="3:10">
      <c r="D21" s="75"/>
    </row>
    <row r="22" spans="3:10">
      <c r="J22" s="54"/>
    </row>
  </sheetData>
  <mergeCells count="1">
    <mergeCell ref="F3:K3"/>
  </mergeCells>
  <dataValidations count="2">
    <dataValidation type="list" errorStyle="warning" allowBlank="1" showInputMessage="1" showErrorMessage="1" sqref="D5">
      <formula1>"ဝါးေသာက္,မဝန္း,ထန္းမနိုင္"</formula1>
    </dataValidation>
    <dataValidation type="list" errorStyle="warning" allowBlank="1" showInputMessage="1" showErrorMessage="1" sqref="D10">
      <formula1>"Tri Spare,Engine spare,ေရေမာ္တာ,ေရျမွုပ္ပန္႔"</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Data_Save">
                <anchor moveWithCells="1" sizeWithCells="1">
                  <from>
                    <xdr:col>5</xdr:col>
                    <xdr:colOff>190500</xdr:colOff>
                    <xdr:row>7</xdr:row>
                    <xdr:rowOff>190500</xdr:rowOff>
                  </from>
                  <to>
                    <xdr:col>7</xdr:col>
                    <xdr:colOff>95250</xdr:colOff>
                    <xdr:row>9</xdr:row>
                    <xdr:rowOff>28575</xdr:rowOff>
                  </to>
                </anchor>
              </controlPr>
            </control>
          </mc:Choice>
        </mc:AlternateContent>
        <mc:AlternateContent xmlns:mc="http://schemas.openxmlformats.org/markup-compatibility/2006">
          <mc:Choice Requires="x14">
            <control shapeId="14340" r:id="rId5" name="Button 4">
              <controlPr defaultSize="0" print="0" autoFill="0" autoPict="0" macro="[0]!_xludf.Clear">
                <anchor moveWithCells="1" sizeWithCells="1">
                  <from>
                    <xdr:col>5</xdr:col>
                    <xdr:colOff>200025</xdr:colOff>
                    <xdr:row>11</xdr:row>
                    <xdr:rowOff>142875</xdr:rowOff>
                  </from>
                  <to>
                    <xdr:col>7</xdr:col>
                    <xdr:colOff>104775</xdr:colOff>
                    <xdr:row>12</xdr:row>
                    <xdr:rowOff>257175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I73"/>
  <sheetViews>
    <sheetView tabSelected="1" zoomScale="90" zoomScaleNormal="90" workbookViewId="0">
      <pane xSplit="5" ySplit="1" topLeftCell="K2" activePane="bottomRight" state="frozen"/>
      <selection pane="topRight" activeCell="F1" sqref="F1"/>
      <selection pane="bottomLeft" activeCell="A2" sqref="A2"/>
      <selection pane="bottomRight" activeCell="A2" sqref="A2"/>
    </sheetView>
  </sheetViews>
  <sheetFormatPr defaultColWidth="8.7109375" defaultRowHeight="21.75"/>
  <cols>
    <col min="1" max="1" width="17.28515625" style="90" bestFit="1" customWidth="1"/>
    <col min="2" max="2" width="18.5703125" style="3" customWidth="1"/>
    <col min="3" max="3" width="15.28515625" style="66" bestFit="1" customWidth="1"/>
    <col min="4" max="4" width="18.28515625" style="3" bestFit="1" customWidth="1"/>
    <col min="5" max="5" width="15.7109375" style="3" bestFit="1" customWidth="1"/>
    <col min="6" max="6" width="15.42578125" style="3" customWidth="1"/>
    <col min="7" max="7" width="14.85546875" style="3" customWidth="1"/>
    <col min="8" max="8" width="15.85546875" style="3" customWidth="1"/>
    <col min="9" max="9" width="21.7109375" style="25" customWidth="1"/>
    <col min="10" max="10" width="20.7109375" style="3" customWidth="1"/>
    <col min="11" max="11" width="8.140625" style="3" customWidth="1"/>
    <col min="12" max="13" width="11.5703125" style="4" customWidth="1"/>
    <col min="14" max="14" width="15.5703125" style="4" customWidth="1"/>
    <col min="15" max="15" width="12.85546875" style="4" customWidth="1"/>
    <col min="16" max="16" width="18.5703125" style="4" customWidth="1"/>
    <col min="17" max="17" width="18.5703125" style="4" hidden="1" customWidth="1"/>
    <col min="18" max="18" width="15.5703125" style="14" customWidth="1"/>
    <col min="19" max="19" width="12.5703125" style="4" customWidth="1"/>
    <col min="20" max="20" width="12.42578125" style="4" customWidth="1"/>
    <col min="21" max="21" width="13.5703125" style="4" customWidth="1"/>
    <col min="22" max="16384" width="8.7109375" style="3"/>
  </cols>
  <sheetData>
    <row r="1" spans="1:35" ht="45">
      <c r="A1" s="104" t="s">
        <v>38</v>
      </c>
      <c r="B1" s="76"/>
      <c r="C1" s="76" t="s">
        <v>11</v>
      </c>
      <c r="D1" s="77" t="s">
        <v>12</v>
      </c>
      <c r="E1" s="77" t="s">
        <v>13</v>
      </c>
      <c r="F1" s="78" t="s">
        <v>5</v>
      </c>
      <c r="G1" s="78" t="s">
        <v>14</v>
      </c>
      <c r="H1" s="78" t="s">
        <v>25</v>
      </c>
      <c r="I1" s="78" t="s">
        <v>26</v>
      </c>
      <c r="J1" s="77" t="s">
        <v>17</v>
      </c>
      <c r="K1" s="79" t="s">
        <v>0</v>
      </c>
      <c r="L1" s="80" t="s">
        <v>69</v>
      </c>
      <c r="M1" s="80" t="s">
        <v>70</v>
      </c>
      <c r="N1" s="80" t="s">
        <v>71</v>
      </c>
      <c r="O1" s="80" t="s">
        <v>72</v>
      </c>
      <c r="P1" s="80" t="s">
        <v>73</v>
      </c>
      <c r="Q1" s="80"/>
      <c r="R1" s="81" t="s">
        <v>21</v>
      </c>
      <c r="S1" s="80" t="s">
        <v>74</v>
      </c>
      <c r="T1" s="80" t="s">
        <v>75</v>
      </c>
      <c r="U1" s="80" t="s">
        <v>76</v>
      </c>
    </row>
    <row r="2" spans="1:35" s="109" customFormat="1">
      <c r="A2" s="72">
        <v>13</v>
      </c>
      <c r="B2" s="65">
        <v>44176</v>
      </c>
      <c r="C2" s="65">
        <v>44169</v>
      </c>
      <c r="D2" s="69" t="s">
        <v>106</v>
      </c>
      <c r="E2" s="69"/>
      <c r="F2" s="69"/>
      <c r="G2" s="69"/>
      <c r="H2" s="69"/>
      <c r="I2" s="70"/>
      <c r="J2" s="69" t="s">
        <v>107</v>
      </c>
      <c r="K2" s="69">
        <v>1</v>
      </c>
      <c r="L2" s="15">
        <v>48200</v>
      </c>
      <c r="M2" s="10">
        <f t="shared" ref="M2:M24" si="0">K2*L2</f>
        <v>48200</v>
      </c>
      <c r="N2" s="10"/>
      <c r="O2" s="10"/>
      <c r="P2" s="10">
        <f t="shared" ref="P2:P23" si="1">M2+N2-O2</f>
        <v>48200</v>
      </c>
      <c r="Q2" s="65">
        <v>44286</v>
      </c>
      <c r="R2" s="65">
        <v>44195</v>
      </c>
      <c r="S2" s="67"/>
      <c r="T2" s="67"/>
      <c r="U2" s="119">
        <f t="shared" ref="U2:U23" si="2">P2-S2</f>
        <v>48200</v>
      </c>
      <c r="V2" s="107"/>
      <c r="W2" s="107"/>
      <c r="X2" s="107"/>
      <c r="Y2" s="107"/>
      <c r="Z2" s="107"/>
      <c r="AA2" s="107"/>
      <c r="AB2" s="107"/>
      <c r="AC2" s="107"/>
      <c r="AD2" s="107"/>
      <c r="AE2" s="107"/>
      <c r="AF2" s="107"/>
      <c r="AG2" s="107"/>
      <c r="AH2" s="107"/>
      <c r="AI2" s="107"/>
    </row>
    <row r="3" spans="1:35" s="109" customFormat="1">
      <c r="A3" s="72">
        <v>7</v>
      </c>
      <c r="B3" s="65">
        <v>44176</v>
      </c>
      <c r="C3" s="65">
        <v>44171</v>
      </c>
      <c r="D3" s="69" t="s">
        <v>48</v>
      </c>
      <c r="E3" s="69"/>
      <c r="F3" s="69"/>
      <c r="G3" s="69"/>
      <c r="H3" s="69"/>
      <c r="I3" s="70"/>
      <c r="J3" s="69"/>
      <c r="K3" s="69">
        <v>1</v>
      </c>
      <c r="L3" s="15">
        <v>33500</v>
      </c>
      <c r="M3" s="10">
        <f t="shared" si="0"/>
        <v>33500</v>
      </c>
      <c r="N3" s="10"/>
      <c r="O3" s="10"/>
      <c r="P3" s="10">
        <f t="shared" si="1"/>
        <v>33500</v>
      </c>
      <c r="Q3" s="65">
        <v>44286</v>
      </c>
      <c r="R3" s="65">
        <v>44202</v>
      </c>
      <c r="S3" s="67"/>
      <c r="T3" s="67"/>
      <c r="U3" s="119">
        <f t="shared" si="2"/>
        <v>33500</v>
      </c>
    </row>
    <row r="4" spans="1:35" s="109" customFormat="1">
      <c r="A4" s="72">
        <v>6</v>
      </c>
      <c r="B4" s="65">
        <v>44176</v>
      </c>
      <c r="C4" s="65">
        <v>44176</v>
      </c>
      <c r="D4" s="69" t="s">
        <v>34</v>
      </c>
      <c r="E4" s="69" t="s">
        <v>39</v>
      </c>
      <c r="F4" s="69"/>
      <c r="G4" s="69"/>
      <c r="H4" s="69"/>
      <c r="I4" s="70"/>
      <c r="J4" s="69" t="s">
        <v>47</v>
      </c>
      <c r="K4" s="69">
        <v>1</v>
      </c>
      <c r="L4" s="15">
        <v>7000</v>
      </c>
      <c r="M4" s="10">
        <f t="shared" si="0"/>
        <v>7000</v>
      </c>
      <c r="N4" s="10"/>
      <c r="O4" s="10"/>
      <c r="P4" s="10">
        <f t="shared" si="1"/>
        <v>7000</v>
      </c>
      <c r="Q4" s="65">
        <v>44286</v>
      </c>
      <c r="R4" s="65">
        <v>44207</v>
      </c>
      <c r="S4" s="67"/>
      <c r="T4" s="67"/>
      <c r="U4" s="119">
        <f t="shared" si="2"/>
        <v>7000</v>
      </c>
    </row>
    <row r="5" spans="1:35" s="109" customFormat="1">
      <c r="A5" s="72">
        <v>8</v>
      </c>
      <c r="B5" s="65">
        <v>44176</v>
      </c>
      <c r="C5" s="65">
        <v>44180</v>
      </c>
      <c r="D5" s="69" t="s">
        <v>102</v>
      </c>
      <c r="E5" s="69" t="s">
        <v>49</v>
      </c>
      <c r="F5" s="69"/>
      <c r="G5" s="69"/>
      <c r="H5" s="69"/>
      <c r="I5" s="70"/>
      <c r="J5" s="69"/>
      <c r="K5" s="69">
        <v>1</v>
      </c>
      <c r="L5" s="15">
        <v>19500</v>
      </c>
      <c r="M5" s="10">
        <f t="shared" si="0"/>
        <v>19500</v>
      </c>
      <c r="N5" s="10"/>
      <c r="O5" s="10"/>
      <c r="P5" s="10">
        <f t="shared" si="1"/>
        <v>19500</v>
      </c>
      <c r="Q5" s="65">
        <v>44286</v>
      </c>
      <c r="R5" s="65">
        <v>44211</v>
      </c>
      <c r="S5" s="67"/>
      <c r="T5" s="67"/>
      <c r="U5" s="119">
        <f t="shared" si="2"/>
        <v>19500</v>
      </c>
    </row>
    <row r="6" spans="1:35" s="109" customFormat="1">
      <c r="A6" s="72">
        <v>3</v>
      </c>
      <c r="B6" s="65">
        <v>44272</v>
      </c>
      <c r="C6" s="65">
        <v>44201</v>
      </c>
      <c r="D6" s="69" t="s">
        <v>100</v>
      </c>
      <c r="E6" s="69" t="s">
        <v>27</v>
      </c>
      <c r="F6" s="69"/>
      <c r="G6" s="69"/>
      <c r="H6" s="69"/>
      <c r="I6" s="70"/>
      <c r="J6" s="69"/>
      <c r="K6" s="69">
        <v>1</v>
      </c>
      <c r="L6" s="15">
        <v>4000</v>
      </c>
      <c r="M6" s="10">
        <f t="shared" si="0"/>
        <v>4000</v>
      </c>
      <c r="N6" s="10"/>
      <c r="O6" s="10"/>
      <c r="P6" s="10">
        <f t="shared" si="1"/>
        <v>4000</v>
      </c>
      <c r="Q6" s="65">
        <v>44286</v>
      </c>
      <c r="R6" s="65">
        <v>44232</v>
      </c>
      <c r="S6" s="67"/>
      <c r="T6" s="67"/>
      <c r="U6" s="119">
        <f t="shared" si="2"/>
        <v>4000</v>
      </c>
    </row>
    <row r="7" spans="1:35" s="109" customFormat="1">
      <c r="A7" s="72">
        <v>5</v>
      </c>
      <c r="B7" s="65">
        <v>44227</v>
      </c>
      <c r="C7" s="65">
        <v>44227</v>
      </c>
      <c r="D7" s="69" t="s">
        <v>46</v>
      </c>
      <c r="E7" s="69" t="s">
        <v>61</v>
      </c>
      <c r="F7" s="69"/>
      <c r="G7" s="69"/>
      <c r="H7" s="69"/>
      <c r="I7" s="70"/>
      <c r="J7" s="69" t="s">
        <v>101</v>
      </c>
      <c r="K7" s="69">
        <v>1</v>
      </c>
      <c r="L7" s="15">
        <v>5000</v>
      </c>
      <c r="M7" s="10">
        <f t="shared" si="0"/>
        <v>5000</v>
      </c>
      <c r="N7" s="10"/>
      <c r="O7" s="10"/>
      <c r="P7" s="10">
        <f t="shared" si="1"/>
        <v>5000</v>
      </c>
      <c r="Q7" s="65">
        <v>44286</v>
      </c>
      <c r="R7" s="65">
        <v>44255</v>
      </c>
      <c r="S7" s="67"/>
      <c r="T7" s="67"/>
      <c r="U7" s="119">
        <f t="shared" si="2"/>
        <v>5000</v>
      </c>
    </row>
    <row r="8" spans="1:35" s="109" customFormat="1">
      <c r="A8" s="72">
        <v>9</v>
      </c>
      <c r="B8" s="65">
        <v>44176</v>
      </c>
      <c r="C8" s="65">
        <v>44242</v>
      </c>
      <c r="D8" s="69" t="s">
        <v>50</v>
      </c>
      <c r="E8" s="69" t="s">
        <v>51</v>
      </c>
      <c r="F8" s="69"/>
      <c r="G8" s="69"/>
      <c r="H8" s="69"/>
      <c r="I8" s="70"/>
      <c r="J8" s="69" t="s">
        <v>52</v>
      </c>
      <c r="K8" s="69">
        <v>1</v>
      </c>
      <c r="L8" s="15">
        <v>22000</v>
      </c>
      <c r="M8" s="10">
        <f t="shared" si="0"/>
        <v>22000</v>
      </c>
      <c r="N8" s="10"/>
      <c r="O8" s="10"/>
      <c r="P8" s="10">
        <f t="shared" si="1"/>
        <v>22000</v>
      </c>
      <c r="Q8" s="65">
        <v>44286</v>
      </c>
      <c r="R8" s="65">
        <v>44280</v>
      </c>
      <c r="S8" s="105"/>
      <c r="T8" s="105"/>
      <c r="U8" s="119">
        <f t="shared" si="2"/>
        <v>22000</v>
      </c>
      <c r="V8" s="107"/>
      <c r="W8" s="107"/>
      <c r="X8" s="107"/>
      <c r="Y8" s="107"/>
      <c r="Z8" s="108"/>
      <c r="AA8" s="107"/>
      <c r="AB8" s="107"/>
      <c r="AC8" s="67"/>
      <c r="AD8" s="106"/>
      <c r="AE8" s="106"/>
      <c r="AF8" s="106"/>
      <c r="AG8" s="106"/>
      <c r="AH8" s="105"/>
      <c r="AI8" s="105"/>
    </row>
    <row r="9" spans="1:35" s="109" customFormat="1">
      <c r="A9" s="72">
        <v>10</v>
      </c>
      <c r="B9" s="65">
        <v>44176</v>
      </c>
      <c r="C9" s="65">
        <v>44257</v>
      </c>
      <c r="D9" s="69" t="s">
        <v>103</v>
      </c>
      <c r="E9" s="69" t="s">
        <v>23</v>
      </c>
      <c r="F9" s="69"/>
      <c r="G9" s="69"/>
      <c r="H9" s="69"/>
      <c r="I9" s="70"/>
      <c r="J9" s="69" t="s">
        <v>65</v>
      </c>
      <c r="K9" s="69">
        <v>1</v>
      </c>
      <c r="L9" s="15">
        <v>35000</v>
      </c>
      <c r="M9" s="10">
        <f t="shared" si="0"/>
        <v>35000</v>
      </c>
      <c r="N9" s="10"/>
      <c r="O9" s="10"/>
      <c r="P9" s="10">
        <f t="shared" si="1"/>
        <v>35000</v>
      </c>
      <c r="Q9" s="65">
        <v>44286</v>
      </c>
      <c r="R9" s="65">
        <v>44288</v>
      </c>
      <c r="S9" s="67"/>
      <c r="T9" s="67"/>
      <c r="U9" s="119">
        <f t="shared" si="2"/>
        <v>35000</v>
      </c>
    </row>
    <row r="10" spans="1:35" s="127" customFormat="1">
      <c r="A10" s="120">
        <v>11</v>
      </c>
      <c r="B10" s="121">
        <v>44176</v>
      </c>
      <c r="C10" s="121">
        <v>44264</v>
      </c>
      <c r="D10" s="122" t="s">
        <v>104</v>
      </c>
      <c r="E10" s="122" t="s">
        <v>39</v>
      </c>
      <c r="F10" s="122"/>
      <c r="G10" s="122"/>
      <c r="H10" s="122"/>
      <c r="I10" s="123"/>
      <c r="J10" s="122" t="s">
        <v>44</v>
      </c>
      <c r="K10" s="122">
        <v>1</v>
      </c>
      <c r="L10" s="124">
        <v>17500</v>
      </c>
      <c r="M10" s="125">
        <f t="shared" si="0"/>
        <v>17500</v>
      </c>
      <c r="N10" s="125"/>
      <c r="O10" s="125"/>
      <c r="P10" s="125">
        <f t="shared" si="1"/>
        <v>17500</v>
      </c>
      <c r="Q10" s="121">
        <v>44286</v>
      </c>
      <c r="R10" s="121">
        <v>44286</v>
      </c>
      <c r="S10" s="124">
        <v>10000</v>
      </c>
      <c r="T10" s="124"/>
      <c r="U10" s="126">
        <f t="shared" si="2"/>
        <v>7500</v>
      </c>
    </row>
    <row r="11" spans="1:35" s="109" customFormat="1">
      <c r="A11" s="72">
        <v>2</v>
      </c>
      <c r="B11" s="65">
        <v>44272</v>
      </c>
      <c r="C11" s="65">
        <v>44272</v>
      </c>
      <c r="D11" s="69" t="s">
        <v>28</v>
      </c>
      <c r="E11" s="69" t="s">
        <v>29</v>
      </c>
      <c r="F11" s="69"/>
      <c r="G11" s="69"/>
      <c r="H11" s="69"/>
      <c r="I11" s="70"/>
      <c r="J11" s="69" t="s">
        <v>58</v>
      </c>
      <c r="K11" s="69">
        <v>1</v>
      </c>
      <c r="L11" s="15">
        <v>83500</v>
      </c>
      <c r="M11" s="10">
        <f t="shared" si="0"/>
        <v>83500</v>
      </c>
      <c r="N11" s="10"/>
      <c r="O11" s="10"/>
      <c r="P11" s="10">
        <f t="shared" si="1"/>
        <v>83500</v>
      </c>
      <c r="Q11" s="65">
        <v>44286</v>
      </c>
      <c r="R11" s="65">
        <v>44275</v>
      </c>
      <c r="S11" s="67"/>
      <c r="T11" s="67"/>
      <c r="U11" s="119">
        <f t="shared" si="2"/>
        <v>83500</v>
      </c>
    </row>
    <row r="12" spans="1:35" s="109" customFormat="1">
      <c r="A12" s="72">
        <v>12</v>
      </c>
      <c r="B12" s="65">
        <v>44176</v>
      </c>
      <c r="C12" s="65">
        <v>44276</v>
      </c>
      <c r="D12" s="69" t="s">
        <v>43</v>
      </c>
      <c r="E12" s="69" t="s">
        <v>39</v>
      </c>
      <c r="F12" s="69"/>
      <c r="G12" s="69"/>
      <c r="H12" s="69"/>
      <c r="I12" s="70"/>
      <c r="J12" s="69" t="s">
        <v>105</v>
      </c>
      <c r="K12" s="69">
        <v>1</v>
      </c>
      <c r="L12" s="15">
        <v>20000</v>
      </c>
      <c r="M12" s="10">
        <f t="shared" si="0"/>
        <v>20000</v>
      </c>
      <c r="N12" s="10"/>
      <c r="O12" s="10"/>
      <c r="P12" s="10">
        <f t="shared" si="1"/>
        <v>20000</v>
      </c>
      <c r="Q12" s="65">
        <v>44286</v>
      </c>
      <c r="R12" s="65">
        <v>44284</v>
      </c>
      <c r="S12" s="67"/>
      <c r="T12" s="67"/>
      <c r="U12" s="119">
        <f t="shared" si="2"/>
        <v>20000</v>
      </c>
    </row>
    <row r="13" spans="1:35" s="109" customFormat="1">
      <c r="A13" s="72">
        <v>14</v>
      </c>
      <c r="B13" s="65">
        <v>44176</v>
      </c>
      <c r="C13" s="65">
        <v>44284</v>
      </c>
      <c r="D13" s="69" t="s">
        <v>108</v>
      </c>
      <c r="E13" s="69" t="s">
        <v>109</v>
      </c>
      <c r="F13" s="69"/>
      <c r="G13" s="69"/>
      <c r="H13" s="69"/>
      <c r="I13" s="70"/>
      <c r="J13" s="69" t="s">
        <v>86</v>
      </c>
      <c r="K13" s="69">
        <v>1</v>
      </c>
      <c r="L13" s="15">
        <v>93000</v>
      </c>
      <c r="M13" s="10">
        <f t="shared" si="0"/>
        <v>93000</v>
      </c>
      <c r="N13" s="10"/>
      <c r="O13" s="10"/>
      <c r="P13" s="10">
        <f t="shared" si="1"/>
        <v>93000</v>
      </c>
      <c r="Q13" s="65">
        <v>44286</v>
      </c>
      <c r="R13" s="65">
        <v>44315</v>
      </c>
      <c r="S13" s="67"/>
      <c r="T13" s="67"/>
      <c r="U13" s="119">
        <f t="shared" si="2"/>
        <v>93000</v>
      </c>
    </row>
    <row r="14" spans="1:35" s="109" customFormat="1">
      <c r="A14" s="72">
        <v>15</v>
      </c>
      <c r="B14" s="65">
        <v>44176</v>
      </c>
      <c r="C14" s="65">
        <v>44284</v>
      </c>
      <c r="D14" s="69" t="s">
        <v>54</v>
      </c>
      <c r="E14" s="69" t="s">
        <v>39</v>
      </c>
      <c r="F14" s="69"/>
      <c r="G14" s="69"/>
      <c r="H14" s="69"/>
      <c r="I14" s="70"/>
      <c r="J14" s="69"/>
      <c r="K14" s="69">
        <v>1</v>
      </c>
      <c r="L14" s="15">
        <v>5200</v>
      </c>
      <c r="M14" s="10">
        <f t="shared" si="0"/>
        <v>5200</v>
      </c>
      <c r="N14" s="10"/>
      <c r="O14" s="10"/>
      <c r="P14" s="10">
        <f t="shared" si="1"/>
        <v>5200</v>
      </c>
      <c r="Q14" s="65">
        <v>44286</v>
      </c>
      <c r="R14" s="65">
        <v>44285</v>
      </c>
      <c r="S14" s="67"/>
      <c r="T14" s="67"/>
      <c r="U14" s="119">
        <f t="shared" si="2"/>
        <v>5200</v>
      </c>
    </row>
    <row r="15" spans="1:35" s="109" customFormat="1">
      <c r="A15" s="72">
        <v>16</v>
      </c>
      <c r="B15" s="65">
        <v>44176</v>
      </c>
      <c r="C15" s="65">
        <v>44285</v>
      </c>
      <c r="D15" s="69" t="s">
        <v>54</v>
      </c>
      <c r="E15" s="69" t="s">
        <v>39</v>
      </c>
      <c r="F15" s="69"/>
      <c r="G15" s="69"/>
      <c r="H15" s="69"/>
      <c r="I15" s="70"/>
      <c r="J15" s="69" t="s">
        <v>87</v>
      </c>
      <c r="K15" s="69">
        <v>1</v>
      </c>
      <c r="L15" s="15">
        <v>15000</v>
      </c>
      <c r="M15" s="10">
        <f t="shared" si="0"/>
        <v>15000</v>
      </c>
      <c r="N15" s="10"/>
      <c r="O15" s="10"/>
      <c r="P15" s="10">
        <f t="shared" si="1"/>
        <v>15000</v>
      </c>
      <c r="Q15" s="65">
        <v>44286</v>
      </c>
      <c r="R15" s="65">
        <v>44301</v>
      </c>
      <c r="S15" s="67"/>
      <c r="T15" s="67"/>
      <c r="U15" s="119">
        <f t="shared" si="2"/>
        <v>15000</v>
      </c>
    </row>
    <row r="16" spans="1:35" s="109" customFormat="1">
      <c r="A16" s="72">
        <v>17</v>
      </c>
      <c r="B16" s="65">
        <v>44176</v>
      </c>
      <c r="C16" s="65">
        <v>44285</v>
      </c>
      <c r="D16" s="69" t="s">
        <v>90</v>
      </c>
      <c r="E16" s="69" t="s">
        <v>45</v>
      </c>
      <c r="F16" s="69"/>
      <c r="G16" s="69"/>
      <c r="H16" s="69"/>
      <c r="I16" s="70"/>
      <c r="J16" s="69" t="s">
        <v>110</v>
      </c>
      <c r="K16" s="69">
        <v>1</v>
      </c>
      <c r="L16" s="15">
        <v>7000</v>
      </c>
      <c r="M16" s="10">
        <f t="shared" si="0"/>
        <v>7000</v>
      </c>
      <c r="N16" s="10"/>
      <c r="O16" s="10"/>
      <c r="P16" s="10">
        <f t="shared" si="1"/>
        <v>7000</v>
      </c>
      <c r="Q16" s="65">
        <v>44286</v>
      </c>
      <c r="R16" s="65">
        <v>44301</v>
      </c>
      <c r="S16" s="67"/>
      <c r="T16" s="67"/>
      <c r="U16" s="119">
        <f t="shared" si="2"/>
        <v>7000</v>
      </c>
    </row>
    <row r="17" spans="1:21" s="109" customFormat="1">
      <c r="A17" s="72">
        <v>18</v>
      </c>
      <c r="B17" s="65">
        <v>44176</v>
      </c>
      <c r="C17" s="65">
        <v>44288</v>
      </c>
      <c r="D17" s="69" t="s">
        <v>54</v>
      </c>
      <c r="E17" s="69" t="s">
        <v>39</v>
      </c>
      <c r="F17" s="69"/>
      <c r="G17" s="69"/>
      <c r="H17" s="69"/>
      <c r="I17" s="70"/>
      <c r="J17" s="69" t="s">
        <v>111</v>
      </c>
      <c r="K17" s="69">
        <v>1</v>
      </c>
      <c r="L17" s="15">
        <v>89000</v>
      </c>
      <c r="M17" s="10">
        <f t="shared" si="0"/>
        <v>89000</v>
      </c>
      <c r="N17" s="10"/>
      <c r="O17" s="10"/>
      <c r="P17" s="10">
        <f t="shared" si="1"/>
        <v>89000</v>
      </c>
      <c r="Q17" s="65">
        <v>44286</v>
      </c>
      <c r="R17" s="65">
        <v>44301</v>
      </c>
      <c r="S17" s="67"/>
      <c r="T17" s="67"/>
      <c r="U17" s="119">
        <f t="shared" si="2"/>
        <v>89000</v>
      </c>
    </row>
    <row r="18" spans="1:21" s="109" customFormat="1">
      <c r="A18" s="72">
        <v>19</v>
      </c>
      <c r="B18" s="65">
        <v>44176</v>
      </c>
      <c r="C18" s="65">
        <v>44291</v>
      </c>
      <c r="D18" s="69" t="s">
        <v>54</v>
      </c>
      <c r="E18" s="69" t="s">
        <v>39</v>
      </c>
      <c r="F18" s="69"/>
      <c r="G18" s="69"/>
      <c r="H18" s="69"/>
      <c r="I18" s="70"/>
      <c r="J18" s="69" t="s">
        <v>92</v>
      </c>
      <c r="K18" s="69">
        <v>1</v>
      </c>
      <c r="L18" s="15">
        <v>101700</v>
      </c>
      <c r="M18" s="10">
        <f t="shared" si="0"/>
        <v>101700</v>
      </c>
      <c r="N18" s="10"/>
      <c r="O18" s="10"/>
      <c r="P18" s="10">
        <f t="shared" si="1"/>
        <v>101700</v>
      </c>
      <c r="Q18" s="65">
        <v>44286</v>
      </c>
      <c r="R18" s="65">
        <v>44316</v>
      </c>
      <c r="S18" s="67"/>
      <c r="T18" s="67"/>
      <c r="U18" s="119">
        <f t="shared" si="2"/>
        <v>101700</v>
      </c>
    </row>
    <row r="19" spans="1:21" s="109" customFormat="1">
      <c r="A19" s="72">
        <v>20</v>
      </c>
      <c r="B19" s="65">
        <v>44176</v>
      </c>
      <c r="C19" s="65">
        <v>44302</v>
      </c>
      <c r="D19" s="69" t="s">
        <v>93</v>
      </c>
      <c r="E19" s="69" t="s">
        <v>39</v>
      </c>
      <c r="F19" s="69"/>
      <c r="G19" s="69"/>
      <c r="H19" s="69"/>
      <c r="I19" s="70"/>
      <c r="J19" s="69" t="s">
        <v>112</v>
      </c>
      <c r="K19" s="69">
        <v>1</v>
      </c>
      <c r="L19" s="15">
        <v>47000</v>
      </c>
      <c r="M19" s="10">
        <f t="shared" si="0"/>
        <v>47000</v>
      </c>
      <c r="N19" s="10"/>
      <c r="O19" s="10"/>
      <c r="P19" s="10">
        <f t="shared" si="1"/>
        <v>47000</v>
      </c>
      <c r="Q19" s="65">
        <v>44286</v>
      </c>
      <c r="R19" s="65">
        <v>44316</v>
      </c>
      <c r="S19" s="67"/>
      <c r="T19" s="67"/>
      <c r="U19" s="119">
        <f t="shared" si="2"/>
        <v>47000</v>
      </c>
    </row>
    <row r="20" spans="1:21" s="109" customFormat="1">
      <c r="A20" s="72">
        <v>22</v>
      </c>
      <c r="B20" s="65">
        <v>44176</v>
      </c>
      <c r="C20" s="65">
        <v>44309</v>
      </c>
      <c r="D20" s="69" t="s">
        <v>54</v>
      </c>
      <c r="E20" s="69" t="s">
        <v>39</v>
      </c>
      <c r="F20" s="69"/>
      <c r="G20" s="69"/>
      <c r="H20" s="69"/>
      <c r="I20" s="70"/>
      <c r="J20" s="69" t="s">
        <v>113</v>
      </c>
      <c r="K20" s="69">
        <v>1</v>
      </c>
      <c r="L20" s="15">
        <v>9500</v>
      </c>
      <c r="M20" s="10">
        <f t="shared" si="0"/>
        <v>9500</v>
      </c>
      <c r="N20" s="10"/>
      <c r="O20" s="10"/>
      <c r="P20" s="10">
        <f t="shared" si="1"/>
        <v>9500</v>
      </c>
      <c r="Q20" s="65">
        <v>44286</v>
      </c>
      <c r="R20" s="65">
        <v>44316</v>
      </c>
      <c r="S20" s="67"/>
      <c r="T20" s="67"/>
      <c r="U20" s="119">
        <f t="shared" si="2"/>
        <v>9500</v>
      </c>
    </row>
    <row r="21" spans="1:21" s="109" customFormat="1">
      <c r="A21" s="72">
        <v>26</v>
      </c>
      <c r="B21" s="65">
        <v>44176</v>
      </c>
      <c r="C21" s="65">
        <v>44314</v>
      </c>
      <c r="D21" s="69" t="s">
        <v>116</v>
      </c>
      <c r="E21" s="69" t="s">
        <v>116</v>
      </c>
      <c r="F21" s="69"/>
      <c r="G21" s="69"/>
      <c r="H21" s="69"/>
      <c r="I21" s="70"/>
      <c r="J21" s="69" t="s">
        <v>99</v>
      </c>
      <c r="K21" s="69">
        <v>1</v>
      </c>
      <c r="L21" s="15">
        <v>3000</v>
      </c>
      <c r="M21" s="10">
        <f t="shared" si="0"/>
        <v>3000</v>
      </c>
      <c r="N21" s="10"/>
      <c r="O21" s="10"/>
      <c r="P21" s="10">
        <f t="shared" si="1"/>
        <v>3000</v>
      </c>
      <c r="Q21" s="65">
        <v>44286</v>
      </c>
      <c r="R21" s="65">
        <v>44346</v>
      </c>
      <c r="S21" s="67"/>
      <c r="T21" s="67"/>
      <c r="U21" s="119">
        <f t="shared" si="2"/>
        <v>3000</v>
      </c>
    </row>
    <row r="22" spans="1:21" s="109" customFormat="1">
      <c r="A22" s="72">
        <v>25</v>
      </c>
      <c r="B22" s="65">
        <v>44176</v>
      </c>
      <c r="C22" s="65">
        <v>44315</v>
      </c>
      <c r="D22" s="69" t="s">
        <v>56</v>
      </c>
      <c r="E22" s="69" t="s">
        <v>114</v>
      </c>
      <c r="F22" s="69"/>
      <c r="G22" s="69"/>
      <c r="H22" s="69"/>
      <c r="I22" s="70"/>
      <c r="J22" s="69" t="s">
        <v>115</v>
      </c>
      <c r="K22" s="69">
        <v>1</v>
      </c>
      <c r="L22" s="15">
        <v>325000</v>
      </c>
      <c r="M22" s="10">
        <f t="shared" si="0"/>
        <v>325000</v>
      </c>
      <c r="N22" s="10"/>
      <c r="O22" s="10"/>
      <c r="P22" s="10">
        <f t="shared" si="1"/>
        <v>325000</v>
      </c>
      <c r="Q22" s="65">
        <v>44286</v>
      </c>
      <c r="R22" s="65">
        <v>44345</v>
      </c>
      <c r="S22" s="67"/>
      <c r="T22" s="67"/>
      <c r="U22" s="119">
        <f t="shared" si="2"/>
        <v>325000</v>
      </c>
    </row>
    <row r="23" spans="1:21" s="109" customFormat="1">
      <c r="A23" s="72">
        <v>27</v>
      </c>
      <c r="B23" s="65">
        <v>44176</v>
      </c>
      <c r="C23" s="65">
        <v>44316</v>
      </c>
      <c r="D23" s="69" t="s">
        <v>117</v>
      </c>
      <c r="E23" s="69" t="s">
        <v>45</v>
      </c>
      <c r="F23" s="69"/>
      <c r="G23" s="69"/>
      <c r="H23" s="69"/>
      <c r="I23" s="70"/>
      <c r="J23" s="69" t="s">
        <v>99</v>
      </c>
      <c r="K23" s="69">
        <v>1</v>
      </c>
      <c r="L23" s="15">
        <v>103500</v>
      </c>
      <c r="M23" s="10">
        <f t="shared" si="0"/>
        <v>103500</v>
      </c>
      <c r="N23" s="10"/>
      <c r="O23" s="10"/>
      <c r="P23" s="10">
        <f t="shared" si="1"/>
        <v>103500</v>
      </c>
      <c r="Q23" s="65">
        <v>44286</v>
      </c>
      <c r="R23" s="65">
        <v>44346</v>
      </c>
      <c r="S23" s="67"/>
      <c r="T23" s="67"/>
      <c r="U23" s="119">
        <f t="shared" si="2"/>
        <v>103500</v>
      </c>
    </row>
    <row r="24" spans="1:21" s="127" customFormat="1">
      <c r="A24" s="120">
        <v>33</v>
      </c>
      <c r="B24" s="121">
        <v>44176</v>
      </c>
      <c r="C24" s="121">
        <v>44319</v>
      </c>
      <c r="D24" s="122" t="s">
        <v>120</v>
      </c>
      <c r="E24" s="122" t="s">
        <v>121</v>
      </c>
      <c r="F24" s="122"/>
      <c r="G24" s="122"/>
      <c r="H24" s="122"/>
      <c r="I24" s="123"/>
      <c r="J24" s="122" t="s">
        <v>122</v>
      </c>
      <c r="K24" s="122">
        <v>1</v>
      </c>
      <c r="L24" s="124">
        <v>2164000</v>
      </c>
      <c r="M24" s="125">
        <f t="shared" si="0"/>
        <v>2164000</v>
      </c>
      <c r="N24" s="125"/>
      <c r="O24" s="125"/>
      <c r="P24" s="125">
        <v>2164000</v>
      </c>
      <c r="Q24" s="121">
        <v>44286</v>
      </c>
      <c r="R24" s="121">
        <v>44347</v>
      </c>
      <c r="S24" s="124">
        <v>2160000</v>
      </c>
      <c r="T24" s="124"/>
      <c r="U24" s="126">
        <f t="shared" ref="U24:U40" si="3">P24-S24</f>
        <v>4000</v>
      </c>
    </row>
    <row r="25" spans="1:21" s="109" customFormat="1">
      <c r="A25" s="72">
        <v>40</v>
      </c>
      <c r="B25" s="65">
        <v>44176</v>
      </c>
      <c r="C25" s="65">
        <v>44323</v>
      </c>
      <c r="D25" s="69" t="s">
        <v>123</v>
      </c>
      <c r="E25" s="69" t="s">
        <v>124</v>
      </c>
      <c r="F25" s="69"/>
      <c r="G25" s="69"/>
      <c r="H25" s="69"/>
      <c r="I25" s="70"/>
      <c r="J25" s="69" t="s">
        <v>99</v>
      </c>
      <c r="K25" s="69">
        <v>1</v>
      </c>
      <c r="L25" s="15">
        <v>1090000</v>
      </c>
      <c r="M25" s="10">
        <f t="shared" ref="M25:M39" si="4">K25*L25</f>
        <v>1090000</v>
      </c>
      <c r="N25" s="10"/>
      <c r="O25" s="10"/>
      <c r="P25" s="10">
        <v>1090000</v>
      </c>
      <c r="Q25" s="65">
        <v>44286</v>
      </c>
      <c r="R25" s="65">
        <v>44347</v>
      </c>
      <c r="S25" s="67"/>
      <c r="T25" s="67"/>
      <c r="U25" s="119">
        <f t="shared" si="3"/>
        <v>1090000</v>
      </c>
    </row>
    <row r="26" spans="1:21" s="109" customFormat="1">
      <c r="A26" s="72">
        <v>41</v>
      </c>
      <c r="B26" s="65">
        <v>44176</v>
      </c>
      <c r="C26" s="65">
        <v>44323</v>
      </c>
      <c r="D26" s="69" t="s">
        <v>126</v>
      </c>
      <c r="E26" s="69" t="s">
        <v>127</v>
      </c>
      <c r="F26" s="69"/>
      <c r="G26" s="69"/>
      <c r="H26" s="69"/>
      <c r="I26" s="70"/>
      <c r="J26" s="69" t="s">
        <v>112</v>
      </c>
      <c r="K26" s="69">
        <v>1</v>
      </c>
      <c r="L26" s="15">
        <v>33500</v>
      </c>
      <c r="M26" s="10">
        <f t="shared" si="4"/>
        <v>33500</v>
      </c>
      <c r="N26" s="10"/>
      <c r="O26" s="10"/>
      <c r="P26" s="10">
        <v>33500</v>
      </c>
      <c r="Q26" s="65">
        <v>44286</v>
      </c>
      <c r="R26" s="65">
        <v>44347</v>
      </c>
      <c r="S26" s="67"/>
      <c r="T26" s="67"/>
      <c r="U26" s="119">
        <f t="shared" si="3"/>
        <v>33500</v>
      </c>
    </row>
    <row r="27" spans="1:21" s="109" customFormat="1">
      <c r="A27" s="72">
        <v>42</v>
      </c>
      <c r="B27" s="105">
        <v>44176</v>
      </c>
      <c r="C27" s="105">
        <v>44324</v>
      </c>
      <c r="D27" s="69" t="s">
        <v>54</v>
      </c>
      <c r="E27" s="69" t="s">
        <v>39</v>
      </c>
      <c r="F27" s="69"/>
      <c r="G27" s="69"/>
      <c r="H27" s="69"/>
      <c r="I27" s="70"/>
      <c r="J27" s="69"/>
      <c r="K27" s="69"/>
      <c r="L27" s="15"/>
      <c r="M27" s="10"/>
      <c r="N27" s="10"/>
      <c r="O27" s="10"/>
      <c r="P27" s="10">
        <v>99500</v>
      </c>
      <c r="Q27" s="65"/>
      <c r="R27" s="65">
        <v>44347</v>
      </c>
      <c r="S27" s="67"/>
      <c r="T27" s="67"/>
      <c r="U27" s="119">
        <f t="shared" si="3"/>
        <v>99500</v>
      </c>
    </row>
    <row r="28" spans="1:21" s="109" customFormat="1">
      <c r="A28" s="72">
        <v>46</v>
      </c>
      <c r="B28" s="65">
        <v>44176</v>
      </c>
      <c r="C28" s="65">
        <v>44324</v>
      </c>
      <c r="D28" s="69" t="s">
        <v>54</v>
      </c>
      <c r="E28" s="69" t="s">
        <v>39</v>
      </c>
      <c r="F28" s="69"/>
      <c r="G28" s="69"/>
      <c r="H28" s="69"/>
      <c r="I28" s="70"/>
      <c r="J28" s="69" t="s">
        <v>112</v>
      </c>
      <c r="K28" s="69">
        <v>1</v>
      </c>
      <c r="L28" s="15">
        <v>99500</v>
      </c>
      <c r="M28" s="10">
        <f t="shared" si="4"/>
        <v>99500</v>
      </c>
      <c r="N28" s="10"/>
      <c r="O28" s="10"/>
      <c r="P28" s="10">
        <v>3300</v>
      </c>
      <c r="Q28" s="65">
        <v>44286</v>
      </c>
      <c r="R28" s="65">
        <v>44347</v>
      </c>
      <c r="S28" s="67"/>
      <c r="T28" s="67"/>
      <c r="U28" s="119">
        <f t="shared" si="3"/>
        <v>3300</v>
      </c>
    </row>
    <row r="29" spans="1:21" s="109" customFormat="1">
      <c r="A29" s="72">
        <v>47</v>
      </c>
      <c r="B29" s="65">
        <v>44176</v>
      </c>
      <c r="C29" s="65">
        <v>44327</v>
      </c>
      <c r="D29" s="69" t="s">
        <v>55</v>
      </c>
      <c r="E29" s="69" t="s">
        <v>39</v>
      </c>
      <c r="F29" s="69"/>
      <c r="G29" s="69"/>
      <c r="H29" s="69"/>
      <c r="I29" s="70"/>
      <c r="J29" s="69" t="s">
        <v>99</v>
      </c>
      <c r="K29" s="69">
        <v>1</v>
      </c>
      <c r="L29" s="15">
        <v>2000</v>
      </c>
      <c r="M29" s="10">
        <f t="shared" si="4"/>
        <v>2000</v>
      </c>
      <c r="N29" s="10"/>
      <c r="O29" s="10"/>
      <c r="P29" s="10">
        <v>2000</v>
      </c>
      <c r="Q29" s="65">
        <v>44286</v>
      </c>
      <c r="R29" s="65">
        <v>44347</v>
      </c>
      <c r="S29" s="67"/>
      <c r="T29" s="67"/>
      <c r="U29" s="119">
        <f t="shared" si="3"/>
        <v>2000</v>
      </c>
    </row>
    <row r="30" spans="1:21" s="109" customFormat="1">
      <c r="A30" s="72">
        <v>48</v>
      </c>
      <c r="B30" s="65">
        <v>44176</v>
      </c>
      <c r="C30" s="65">
        <v>44327</v>
      </c>
      <c r="D30" s="69" t="s">
        <v>125</v>
      </c>
      <c r="E30" s="69" t="s">
        <v>23</v>
      </c>
      <c r="F30" s="69"/>
      <c r="G30" s="69"/>
      <c r="H30" s="69"/>
      <c r="I30" s="70"/>
      <c r="J30" s="69" t="s">
        <v>112</v>
      </c>
      <c r="K30" s="69">
        <v>1</v>
      </c>
      <c r="L30" s="15">
        <v>11500</v>
      </c>
      <c r="M30" s="10">
        <f t="shared" si="4"/>
        <v>11500</v>
      </c>
      <c r="N30" s="10"/>
      <c r="O30" s="10"/>
      <c r="P30" s="10">
        <v>11500</v>
      </c>
      <c r="Q30" s="65">
        <v>44286</v>
      </c>
      <c r="R30" s="65">
        <v>44347</v>
      </c>
      <c r="S30" s="67"/>
      <c r="T30" s="67"/>
      <c r="U30" s="119">
        <f t="shared" si="3"/>
        <v>11500</v>
      </c>
    </row>
    <row r="31" spans="1:21" s="109" customFormat="1">
      <c r="A31" s="72">
        <v>49</v>
      </c>
      <c r="B31" s="65">
        <v>44176</v>
      </c>
      <c r="C31" s="65">
        <v>44329</v>
      </c>
      <c r="D31" s="69" t="s">
        <v>55</v>
      </c>
      <c r="E31" s="69" t="s">
        <v>39</v>
      </c>
      <c r="F31" s="69"/>
      <c r="G31" s="69"/>
      <c r="H31" s="69"/>
      <c r="I31" s="70"/>
      <c r="J31" s="69" t="s">
        <v>99</v>
      </c>
      <c r="K31" s="69">
        <v>1</v>
      </c>
      <c r="L31" s="15">
        <v>800</v>
      </c>
      <c r="M31" s="10">
        <f t="shared" si="4"/>
        <v>800</v>
      </c>
      <c r="N31" s="10"/>
      <c r="O31" s="10"/>
      <c r="P31" s="10">
        <v>800</v>
      </c>
      <c r="Q31" s="65">
        <v>44286</v>
      </c>
      <c r="R31" s="65">
        <v>44347</v>
      </c>
      <c r="S31" s="67"/>
      <c r="T31" s="67"/>
      <c r="U31" s="119">
        <f t="shared" si="3"/>
        <v>800</v>
      </c>
    </row>
    <row r="32" spans="1:21" s="109" customFormat="1">
      <c r="A32" s="72">
        <v>50</v>
      </c>
      <c r="B32" s="65">
        <v>44176</v>
      </c>
      <c r="C32" s="65">
        <v>44330</v>
      </c>
      <c r="D32" s="69" t="s">
        <v>117</v>
      </c>
      <c r="E32" s="69" t="s">
        <v>45</v>
      </c>
      <c r="F32" s="69"/>
      <c r="G32" s="69"/>
      <c r="H32" s="69"/>
      <c r="I32" s="70"/>
      <c r="J32" s="69" t="s">
        <v>99</v>
      </c>
      <c r="K32" s="69">
        <v>1</v>
      </c>
      <c r="L32" s="15">
        <v>35600</v>
      </c>
      <c r="M32" s="10">
        <f t="shared" si="4"/>
        <v>35600</v>
      </c>
      <c r="N32" s="10"/>
      <c r="O32" s="10"/>
      <c r="P32" s="10">
        <v>35600</v>
      </c>
      <c r="Q32" s="65">
        <v>44286</v>
      </c>
      <c r="R32" s="65">
        <v>44347</v>
      </c>
      <c r="S32" s="67"/>
      <c r="T32" s="67"/>
      <c r="U32" s="119">
        <f t="shared" si="3"/>
        <v>35600</v>
      </c>
    </row>
    <row r="33" spans="1:21" s="109" customFormat="1">
      <c r="A33" s="72">
        <v>51</v>
      </c>
      <c r="B33" s="65">
        <v>44176</v>
      </c>
      <c r="C33" s="65">
        <v>44330</v>
      </c>
      <c r="D33" s="69" t="s">
        <v>118</v>
      </c>
      <c r="E33" s="69" t="s">
        <v>119</v>
      </c>
      <c r="F33" s="69"/>
      <c r="G33" s="69"/>
      <c r="H33" s="69"/>
      <c r="I33" s="70"/>
      <c r="J33" s="69" t="s">
        <v>112</v>
      </c>
      <c r="K33" s="69">
        <v>1</v>
      </c>
      <c r="L33" s="15">
        <v>19900</v>
      </c>
      <c r="M33" s="10">
        <f t="shared" si="4"/>
        <v>19900</v>
      </c>
      <c r="N33" s="10"/>
      <c r="O33" s="10"/>
      <c r="P33" s="10">
        <v>19900</v>
      </c>
      <c r="Q33" s="65">
        <v>44286</v>
      </c>
      <c r="R33" s="65">
        <v>44347</v>
      </c>
      <c r="S33" s="67"/>
      <c r="T33" s="67"/>
      <c r="U33" s="119">
        <f t="shared" si="3"/>
        <v>19900</v>
      </c>
    </row>
    <row r="34" spans="1:21" s="109" customFormat="1">
      <c r="A34" s="72">
        <v>53</v>
      </c>
      <c r="B34" s="65">
        <v>44176</v>
      </c>
      <c r="C34" s="65">
        <v>44330</v>
      </c>
      <c r="D34" s="69" t="s">
        <v>128</v>
      </c>
      <c r="E34" s="69" t="s">
        <v>39</v>
      </c>
      <c r="F34" s="69"/>
      <c r="G34" s="69"/>
      <c r="H34" s="69"/>
      <c r="I34" s="70"/>
      <c r="J34" s="69" t="s">
        <v>53</v>
      </c>
      <c r="K34" s="69">
        <v>1</v>
      </c>
      <c r="L34" s="15">
        <v>5000</v>
      </c>
      <c r="M34" s="10">
        <f t="shared" si="4"/>
        <v>5000</v>
      </c>
      <c r="N34" s="10"/>
      <c r="O34" s="10"/>
      <c r="P34" s="10">
        <v>5000</v>
      </c>
      <c r="Q34" s="65">
        <v>44286</v>
      </c>
      <c r="R34" s="65">
        <v>44347</v>
      </c>
      <c r="S34" s="67"/>
      <c r="T34" s="67"/>
      <c r="U34" s="119">
        <f t="shared" si="3"/>
        <v>5000</v>
      </c>
    </row>
    <row r="35" spans="1:21" s="109" customFormat="1">
      <c r="A35" s="72">
        <v>54</v>
      </c>
      <c r="B35" s="65">
        <v>44176</v>
      </c>
      <c r="C35" s="65">
        <v>44333</v>
      </c>
      <c r="D35" s="69" t="s">
        <v>129</v>
      </c>
      <c r="E35" s="69" t="s">
        <v>39</v>
      </c>
      <c r="F35" s="69"/>
      <c r="G35" s="69"/>
      <c r="H35" s="69"/>
      <c r="I35" s="70"/>
      <c r="J35" s="69" t="s">
        <v>112</v>
      </c>
      <c r="K35" s="69">
        <v>1</v>
      </c>
      <c r="L35" s="15">
        <v>50200</v>
      </c>
      <c r="M35" s="10">
        <f t="shared" si="4"/>
        <v>50200</v>
      </c>
      <c r="N35" s="10"/>
      <c r="O35" s="10"/>
      <c r="P35" s="10">
        <v>50200</v>
      </c>
      <c r="Q35" s="65">
        <v>44286</v>
      </c>
      <c r="R35" s="65">
        <v>44347</v>
      </c>
      <c r="S35" s="67"/>
      <c r="T35" s="67"/>
      <c r="U35" s="119">
        <f t="shared" si="3"/>
        <v>50200</v>
      </c>
    </row>
    <row r="36" spans="1:21" s="109" customFormat="1">
      <c r="A36" s="72">
        <v>55</v>
      </c>
      <c r="B36" s="65">
        <v>44176</v>
      </c>
      <c r="C36" s="65">
        <v>44336</v>
      </c>
      <c r="D36" s="69" t="s">
        <v>130</v>
      </c>
      <c r="E36" s="69" t="s">
        <v>39</v>
      </c>
      <c r="F36" s="69"/>
      <c r="G36" s="69"/>
      <c r="H36" s="69"/>
      <c r="I36" s="70"/>
      <c r="J36" s="69" t="s">
        <v>112</v>
      </c>
      <c r="K36" s="69">
        <v>1</v>
      </c>
      <c r="L36" s="15">
        <v>230000</v>
      </c>
      <c r="M36" s="10">
        <f t="shared" si="4"/>
        <v>230000</v>
      </c>
      <c r="N36" s="10"/>
      <c r="O36" s="10"/>
      <c r="P36" s="10">
        <v>230000</v>
      </c>
      <c r="Q36" s="65">
        <v>44286</v>
      </c>
      <c r="R36" s="65">
        <v>44347</v>
      </c>
      <c r="S36" s="67"/>
      <c r="T36" s="67"/>
      <c r="U36" s="119">
        <f t="shared" si="3"/>
        <v>230000</v>
      </c>
    </row>
    <row r="37" spans="1:21" s="109" customFormat="1">
      <c r="A37" s="72">
        <v>56</v>
      </c>
      <c r="B37" s="65">
        <v>44176</v>
      </c>
      <c r="C37" s="65">
        <v>44336</v>
      </c>
      <c r="D37" s="69" t="s">
        <v>131</v>
      </c>
      <c r="E37" s="69" t="s">
        <v>39</v>
      </c>
      <c r="F37" s="69"/>
      <c r="G37" s="69"/>
      <c r="H37" s="69"/>
      <c r="I37" s="70"/>
      <c r="J37" s="69" t="s">
        <v>99</v>
      </c>
      <c r="K37" s="69">
        <v>1</v>
      </c>
      <c r="L37" s="15">
        <v>1000</v>
      </c>
      <c r="M37" s="10">
        <f t="shared" si="4"/>
        <v>1000</v>
      </c>
      <c r="N37" s="10"/>
      <c r="O37" s="10"/>
      <c r="P37" s="10">
        <v>1000</v>
      </c>
      <c r="Q37" s="65">
        <v>44286</v>
      </c>
      <c r="R37" s="65">
        <v>44347</v>
      </c>
      <c r="S37" s="67"/>
      <c r="T37" s="67"/>
      <c r="U37" s="119">
        <f t="shared" si="3"/>
        <v>1000</v>
      </c>
    </row>
    <row r="38" spans="1:21" s="109" customFormat="1">
      <c r="A38" s="72">
        <v>58</v>
      </c>
      <c r="B38" s="65">
        <v>44176</v>
      </c>
      <c r="C38" s="65">
        <v>44338</v>
      </c>
      <c r="D38" s="69" t="s">
        <v>132</v>
      </c>
      <c r="E38" s="69"/>
      <c r="F38" s="69"/>
      <c r="G38" s="69"/>
      <c r="H38" s="69"/>
      <c r="I38" s="70"/>
      <c r="J38" s="69" t="s">
        <v>133</v>
      </c>
      <c r="K38" s="69">
        <v>1</v>
      </c>
      <c r="L38" s="15">
        <v>500</v>
      </c>
      <c r="M38" s="10">
        <f t="shared" si="4"/>
        <v>500</v>
      </c>
      <c r="N38" s="10"/>
      <c r="O38" s="10"/>
      <c r="P38" s="10">
        <v>500</v>
      </c>
      <c r="Q38" s="65">
        <v>44286</v>
      </c>
      <c r="R38" s="65">
        <v>44347</v>
      </c>
      <c r="S38" s="67"/>
      <c r="T38" s="67"/>
      <c r="U38" s="119">
        <f t="shared" si="3"/>
        <v>500</v>
      </c>
    </row>
    <row r="39" spans="1:21" s="109" customFormat="1">
      <c r="A39" s="72">
        <v>60</v>
      </c>
      <c r="B39" s="65">
        <v>44176</v>
      </c>
      <c r="C39" s="65">
        <v>44338</v>
      </c>
      <c r="D39" s="69" t="s">
        <v>134</v>
      </c>
      <c r="E39" s="69" t="s">
        <v>39</v>
      </c>
      <c r="F39" s="69"/>
      <c r="G39" s="69"/>
      <c r="H39" s="69"/>
      <c r="I39" s="70"/>
      <c r="J39" s="69" t="s">
        <v>99</v>
      </c>
      <c r="K39" s="69">
        <v>1</v>
      </c>
      <c r="L39" s="15">
        <v>2500</v>
      </c>
      <c r="M39" s="10">
        <f t="shared" si="4"/>
        <v>2500</v>
      </c>
      <c r="N39" s="10"/>
      <c r="O39" s="10"/>
      <c r="P39" s="10">
        <v>2500</v>
      </c>
      <c r="Q39" s="65">
        <v>44286</v>
      </c>
      <c r="R39" s="65">
        <v>44347</v>
      </c>
      <c r="S39" s="67"/>
      <c r="T39" s="67"/>
      <c r="U39" s="119">
        <f t="shared" si="3"/>
        <v>2500</v>
      </c>
    </row>
    <row r="40" spans="1:21" s="109" customFormat="1">
      <c r="A40" s="72">
        <v>64</v>
      </c>
      <c r="B40" s="65">
        <v>44176</v>
      </c>
      <c r="C40" s="65">
        <v>44344</v>
      </c>
      <c r="D40" s="69" t="s">
        <v>129</v>
      </c>
      <c r="E40" s="69" t="s">
        <v>39</v>
      </c>
      <c r="F40" s="69"/>
      <c r="G40" s="69"/>
      <c r="H40" s="69"/>
      <c r="I40" s="70"/>
      <c r="J40" s="69" t="s">
        <v>112</v>
      </c>
      <c r="K40" s="69">
        <v>1</v>
      </c>
      <c r="L40" s="15">
        <v>16000</v>
      </c>
      <c r="M40" s="10">
        <f>K40*L40</f>
        <v>16000</v>
      </c>
      <c r="N40" s="10"/>
      <c r="O40" s="10"/>
      <c r="P40" s="10">
        <v>16000</v>
      </c>
      <c r="Q40" s="65">
        <v>44286</v>
      </c>
      <c r="R40" s="65">
        <v>44347</v>
      </c>
      <c r="S40" s="67"/>
      <c r="T40" s="67"/>
      <c r="U40" s="119">
        <f t="shared" si="3"/>
        <v>16000</v>
      </c>
    </row>
    <row r="41" spans="1:21" s="109" customFormat="1">
      <c r="A41" s="72">
        <v>65</v>
      </c>
      <c r="B41" s="65">
        <v>44176</v>
      </c>
      <c r="C41" s="65">
        <v>44344</v>
      </c>
      <c r="D41" s="69" t="s">
        <v>136</v>
      </c>
      <c r="E41" s="69" t="s">
        <v>45</v>
      </c>
      <c r="F41" s="69"/>
      <c r="G41" s="69"/>
      <c r="H41" s="69"/>
      <c r="I41" s="70"/>
      <c r="J41" s="69" t="s">
        <v>112</v>
      </c>
      <c r="K41" s="69">
        <v>1</v>
      </c>
      <c r="L41" s="15">
        <v>20000</v>
      </c>
      <c r="M41" s="10">
        <f>K41*L41</f>
        <v>20000</v>
      </c>
      <c r="N41" s="10"/>
      <c r="O41" s="10"/>
      <c r="P41" s="10">
        <v>20000</v>
      </c>
      <c r="Q41" s="65">
        <v>44286</v>
      </c>
      <c r="R41" s="65">
        <v>44347</v>
      </c>
      <c r="S41" s="67"/>
      <c r="T41" s="67"/>
      <c r="U41" s="119">
        <f t="shared" ref="U41:U66" si="5">P41-S41</f>
        <v>20000</v>
      </c>
    </row>
    <row r="42" spans="1:21" s="135" customFormat="1">
      <c r="A42" s="128">
        <v>66</v>
      </c>
      <c r="B42" s="129">
        <v>44176</v>
      </c>
      <c r="C42" s="129">
        <v>44346</v>
      </c>
      <c r="D42" s="130" t="s">
        <v>135</v>
      </c>
      <c r="E42" s="130"/>
      <c r="F42" s="130"/>
      <c r="G42" s="130"/>
      <c r="H42" s="130"/>
      <c r="I42" s="131"/>
      <c r="J42" s="130" t="s">
        <v>99</v>
      </c>
      <c r="K42" s="130">
        <v>1</v>
      </c>
      <c r="L42" s="132">
        <v>1050</v>
      </c>
      <c r="M42" s="133">
        <f>K42*L42</f>
        <v>1050</v>
      </c>
      <c r="N42" s="133"/>
      <c r="O42" s="133"/>
      <c r="P42" s="133">
        <v>1050</v>
      </c>
      <c r="Q42" s="129">
        <v>44286</v>
      </c>
      <c r="R42" s="129">
        <v>44347</v>
      </c>
      <c r="S42" s="132"/>
      <c r="T42" s="132"/>
      <c r="U42" s="134">
        <f t="shared" si="5"/>
        <v>1050</v>
      </c>
    </row>
    <row r="43" spans="1:21" s="109" customFormat="1">
      <c r="A43" s="73"/>
      <c r="B43" s="73"/>
      <c r="C43" s="110"/>
      <c r="D43" s="111"/>
      <c r="E43" s="111"/>
      <c r="F43" s="111"/>
      <c r="G43" s="111"/>
      <c r="H43" s="111"/>
      <c r="I43" s="112"/>
      <c r="J43" s="111"/>
      <c r="K43" s="111"/>
      <c r="L43" s="74"/>
      <c r="M43" s="74"/>
      <c r="N43" s="74"/>
      <c r="O43" s="74"/>
      <c r="P43" s="74"/>
      <c r="Q43" s="74"/>
      <c r="R43" s="113"/>
      <c r="S43" s="74"/>
      <c r="T43" s="74"/>
      <c r="U43" s="119">
        <f t="shared" si="5"/>
        <v>0</v>
      </c>
    </row>
    <row r="44" spans="1:21" s="109" customFormat="1">
      <c r="A44" s="73"/>
      <c r="B44" s="73"/>
      <c r="C44" s="110"/>
      <c r="D44" s="111"/>
      <c r="E44" s="111"/>
      <c r="F44" s="111"/>
      <c r="G44" s="111"/>
      <c r="H44" s="111"/>
      <c r="I44" s="112"/>
      <c r="J44" s="111"/>
      <c r="K44" s="111"/>
      <c r="L44" s="74"/>
      <c r="M44" s="74"/>
      <c r="N44" s="74"/>
      <c r="O44" s="74"/>
      <c r="P44" s="74"/>
      <c r="Q44" s="74"/>
      <c r="R44" s="113"/>
      <c r="S44" s="74"/>
      <c r="T44" s="74"/>
      <c r="U44" s="119">
        <f t="shared" si="5"/>
        <v>0</v>
      </c>
    </row>
    <row r="45" spans="1:21" s="109" customFormat="1">
      <c r="A45" s="114"/>
      <c r="C45" s="115"/>
      <c r="I45" s="116"/>
      <c r="L45" s="117"/>
      <c r="M45" s="117"/>
      <c r="N45" s="117"/>
      <c r="O45" s="117"/>
      <c r="P45" s="117"/>
      <c r="Q45" s="117"/>
      <c r="R45" s="118"/>
      <c r="S45" s="117"/>
      <c r="T45" s="117"/>
      <c r="U45" s="119">
        <f t="shared" si="5"/>
        <v>0</v>
      </c>
    </row>
    <row r="46" spans="1:21" s="109" customFormat="1">
      <c r="A46" s="114"/>
      <c r="C46" s="115"/>
      <c r="I46" s="116"/>
      <c r="L46" s="117"/>
      <c r="M46" s="117"/>
      <c r="N46" s="117"/>
      <c r="O46" s="117"/>
      <c r="P46" s="117"/>
      <c r="Q46" s="117"/>
      <c r="R46" s="118"/>
      <c r="S46" s="117"/>
      <c r="T46" s="117"/>
      <c r="U46" s="119">
        <f t="shared" si="5"/>
        <v>0</v>
      </c>
    </row>
    <row r="47" spans="1:21" s="109" customFormat="1">
      <c r="A47" s="114"/>
      <c r="C47" s="115"/>
      <c r="I47" s="116"/>
      <c r="L47" s="117"/>
      <c r="M47" s="117"/>
      <c r="N47" s="117"/>
      <c r="O47" s="117"/>
      <c r="P47" s="117"/>
      <c r="Q47" s="117"/>
      <c r="R47" s="118"/>
      <c r="S47" s="117"/>
      <c r="T47" s="117"/>
      <c r="U47" s="119">
        <f t="shared" si="5"/>
        <v>0</v>
      </c>
    </row>
    <row r="48" spans="1:21" s="109" customFormat="1">
      <c r="A48" s="114"/>
      <c r="C48" s="115"/>
      <c r="I48" s="116"/>
      <c r="L48" s="117"/>
      <c r="M48" s="117"/>
      <c r="N48" s="117"/>
      <c r="O48" s="117"/>
      <c r="P48" s="117"/>
      <c r="Q48" s="117"/>
      <c r="R48" s="118"/>
      <c r="S48" s="117"/>
      <c r="T48" s="117"/>
      <c r="U48" s="119">
        <f t="shared" si="5"/>
        <v>0</v>
      </c>
    </row>
    <row r="49" spans="1:35" s="109" customFormat="1">
      <c r="A49" s="114"/>
      <c r="C49" s="115"/>
      <c r="I49" s="116"/>
      <c r="L49" s="117"/>
      <c r="M49" s="117"/>
      <c r="N49" s="117"/>
      <c r="O49" s="117"/>
      <c r="P49" s="117"/>
      <c r="Q49" s="117"/>
      <c r="R49" s="118"/>
      <c r="S49" s="117"/>
      <c r="T49" s="117"/>
      <c r="U49" s="119">
        <f t="shared" si="5"/>
        <v>0</v>
      </c>
    </row>
    <row r="50" spans="1:35" s="109" customFormat="1">
      <c r="A50" s="114"/>
      <c r="C50" s="115"/>
      <c r="I50" s="116"/>
      <c r="L50" s="117"/>
      <c r="M50" s="117"/>
      <c r="N50" s="117"/>
      <c r="O50" s="117"/>
      <c r="P50" s="117"/>
      <c r="Q50" s="117"/>
      <c r="R50" s="118"/>
      <c r="S50" s="117"/>
      <c r="T50" s="117"/>
      <c r="U50" s="119">
        <f t="shared" si="5"/>
        <v>0</v>
      </c>
    </row>
    <row r="51" spans="1:35" s="109" customFormat="1">
      <c r="A51" s="114"/>
      <c r="C51" s="115"/>
      <c r="I51" s="116"/>
      <c r="L51" s="117"/>
      <c r="M51" s="117"/>
      <c r="N51" s="117"/>
      <c r="O51" s="117"/>
      <c r="P51" s="117"/>
      <c r="Q51" s="117"/>
      <c r="R51" s="118"/>
      <c r="S51" s="117"/>
      <c r="T51" s="117"/>
      <c r="U51" s="119">
        <f t="shared" si="5"/>
        <v>0</v>
      </c>
    </row>
    <row r="52" spans="1:35" s="109" customFormat="1">
      <c r="A52" s="114"/>
      <c r="C52" s="115"/>
      <c r="I52" s="116"/>
      <c r="L52" s="117"/>
      <c r="M52" s="117"/>
      <c r="N52" s="117"/>
      <c r="O52" s="117"/>
      <c r="P52" s="117"/>
      <c r="Q52" s="117"/>
      <c r="R52" s="118"/>
      <c r="S52" s="117"/>
      <c r="T52" s="117"/>
      <c r="U52" s="119">
        <f t="shared" si="5"/>
        <v>0</v>
      </c>
    </row>
    <row r="53" spans="1:35" s="109" customFormat="1">
      <c r="A53" s="114"/>
      <c r="C53" s="115"/>
      <c r="I53" s="116"/>
      <c r="L53" s="117"/>
      <c r="M53" s="117"/>
      <c r="N53" s="117"/>
      <c r="O53" s="117"/>
      <c r="P53" s="117"/>
      <c r="Q53" s="117"/>
      <c r="R53" s="118"/>
      <c r="S53" s="117"/>
      <c r="T53" s="117"/>
      <c r="U53" s="119">
        <f t="shared" si="5"/>
        <v>0</v>
      </c>
    </row>
    <row r="54" spans="1:35" s="109" customFormat="1">
      <c r="A54" s="114"/>
      <c r="C54" s="115"/>
      <c r="I54" s="116"/>
      <c r="L54" s="117"/>
      <c r="M54" s="117"/>
      <c r="N54" s="117"/>
      <c r="O54" s="117"/>
      <c r="P54" s="117"/>
      <c r="Q54" s="117"/>
      <c r="R54" s="118"/>
      <c r="S54" s="117"/>
      <c r="T54" s="117"/>
      <c r="U54" s="119">
        <f t="shared" si="5"/>
        <v>0</v>
      </c>
    </row>
    <row r="55" spans="1:35" s="109" customFormat="1">
      <c r="A55" s="114"/>
      <c r="C55" s="115"/>
      <c r="I55" s="116"/>
      <c r="L55" s="117"/>
      <c r="M55" s="117"/>
      <c r="N55" s="117"/>
      <c r="O55" s="117"/>
      <c r="P55" s="117"/>
      <c r="Q55" s="117"/>
      <c r="R55" s="118"/>
      <c r="S55" s="117"/>
      <c r="T55" s="117"/>
      <c r="U55" s="119">
        <f t="shared" si="5"/>
        <v>0</v>
      </c>
    </row>
    <row r="56" spans="1:35" s="109" customFormat="1">
      <c r="A56" s="114"/>
      <c r="C56" s="115"/>
      <c r="I56" s="116"/>
      <c r="L56" s="117"/>
      <c r="M56" s="117"/>
      <c r="N56" s="117"/>
      <c r="O56" s="117"/>
      <c r="P56" s="117"/>
      <c r="Q56" s="117"/>
      <c r="R56" s="118"/>
      <c r="S56" s="117"/>
      <c r="T56" s="117"/>
      <c r="U56" s="119">
        <f t="shared" si="5"/>
        <v>0</v>
      </c>
    </row>
    <row r="57" spans="1:35" s="109" customFormat="1">
      <c r="A57" s="114"/>
      <c r="C57" s="115"/>
      <c r="I57" s="116"/>
      <c r="L57" s="117"/>
      <c r="M57" s="117"/>
      <c r="N57" s="117"/>
      <c r="O57" s="117"/>
      <c r="P57" s="117"/>
      <c r="Q57" s="117"/>
      <c r="R57" s="118"/>
      <c r="S57" s="117"/>
      <c r="T57" s="117"/>
      <c r="U57" s="119">
        <f t="shared" si="5"/>
        <v>0</v>
      </c>
    </row>
    <row r="58" spans="1:35" s="109" customFormat="1">
      <c r="A58" s="114"/>
      <c r="C58" s="115"/>
      <c r="I58" s="116"/>
      <c r="L58" s="117"/>
      <c r="M58" s="117"/>
      <c r="N58" s="117"/>
      <c r="O58" s="117"/>
      <c r="P58" s="117"/>
      <c r="Q58" s="117"/>
      <c r="R58" s="118"/>
      <c r="S58" s="117"/>
      <c r="T58" s="117"/>
      <c r="U58" s="119">
        <f t="shared" si="5"/>
        <v>0</v>
      </c>
    </row>
    <row r="59" spans="1:35" s="109" customFormat="1">
      <c r="A59" s="114"/>
      <c r="C59" s="115"/>
      <c r="I59" s="116"/>
      <c r="L59" s="117"/>
      <c r="M59" s="117"/>
      <c r="N59" s="117"/>
      <c r="O59" s="117"/>
      <c r="P59" s="117"/>
      <c r="Q59" s="117"/>
      <c r="R59" s="118"/>
      <c r="S59" s="117"/>
      <c r="T59" s="117"/>
      <c r="U59" s="119">
        <f t="shared" si="5"/>
        <v>0</v>
      </c>
    </row>
    <row r="60" spans="1:35" s="109" customFormat="1">
      <c r="A60" s="114"/>
      <c r="C60" s="115"/>
      <c r="I60" s="116"/>
      <c r="L60" s="117"/>
      <c r="M60" s="117"/>
      <c r="N60" s="117"/>
      <c r="O60" s="117"/>
      <c r="P60" s="117"/>
      <c r="Q60" s="117"/>
      <c r="R60" s="118"/>
      <c r="S60" s="117"/>
      <c r="T60" s="117"/>
      <c r="U60" s="119">
        <f t="shared" si="5"/>
        <v>0</v>
      </c>
    </row>
    <row r="61" spans="1:35" s="109" customFormat="1">
      <c r="A61" s="114"/>
      <c r="C61" s="115"/>
      <c r="I61" s="116"/>
      <c r="L61" s="117"/>
      <c r="M61" s="117"/>
      <c r="N61" s="117"/>
      <c r="O61" s="117"/>
      <c r="P61" s="117"/>
      <c r="Q61" s="117"/>
      <c r="R61" s="118"/>
      <c r="S61" s="117"/>
      <c r="T61" s="117"/>
      <c r="U61" s="119">
        <f t="shared" si="5"/>
        <v>0</v>
      </c>
    </row>
    <row r="62" spans="1:35" s="109" customFormat="1">
      <c r="A62" s="114"/>
      <c r="C62" s="115"/>
      <c r="I62" s="116"/>
      <c r="L62" s="117"/>
      <c r="M62" s="117"/>
      <c r="N62" s="117"/>
      <c r="O62" s="117"/>
      <c r="P62" s="117"/>
      <c r="Q62" s="117"/>
      <c r="R62" s="72"/>
      <c r="S62" s="105"/>
      <c r="T62" s="105"/>
      <c r="U62" s="119">
        <f t="shared" si="5"/>
        <v>0</v>
      </c>
      <c r="V62" s="107"/>
      <c r="W62" s="107"/>
      <c r="X62" s="107"/>
      <c r="Y62" s="107"/>
      <c r="Z62" s="108"/>
      <c r="AA62" s="107"/>
      <c r="AB62" s="107"/>
      <c r="AC62" s="67"/>
      <c r="AD62" s="106"/>
      <c r="AE62" s="106"/>
      <c r="AF62" s="106"/>
      <c r="AG62" s="106"/>
      <c r="AH62" s="105"/>
      <c r="AI62" s="105"/>
    </row>
    <row r="63" spans="1:35" s="109" customFormat="1">
      <c r="A63" s="114"/>
      <c r="C63" s="115"/>
      <c r="I63" s="116"/>
      <c r="L63" s="117"/>
      <c r="M63" s="117"/>
      <c r="N63" s="117"/>
      <c r="O63" s="117"/>
      <c r="P63" s="117"/>
      <c r="Q63" s="117"/>
      <c r="R63" s="118"/>
      <c r="S63" s="117"/>
      <c r="T63" s="117"/>
      <c r="U63" s="119">
        <f t="shared" si="5"/>
        <v>0</v>
      </c>
    </row>
    <row r="64" spans="1:35" s="109" customFormat="1">
      <c r="A64" s="114"/>
      <c r="C64" s="115"/>
      <c r="I64" s="116"/>
      <c r="L64" s="117"/>
      <c r="M64" s="117"/>
      <c r="N64" s="117"/>
      <c r="O64" s="117"/>
      <c r="P64" s="117"/>
      <c r="Q64" s="117"/>
      <c r="R64" s="118"/>
      <c r="S64" s="117"/>
      <c r="T64" s="117"/>
      <c r="U64" s="119">
        <f t="shared" si="5"/>
        <v>0</v>
      </c>
    </row>
    <row r="65" spans="1:21" s="109" customFormat="1">
      <c r="A65" s="114"/>
      <c r="C65" s="115"/>
      <c r="I65" s="116"/>
      <c r="L65" s="117"/>
      <c r="M65" s="117"/>
      <c r="N65" s="117"/>
      <c r="O65" s="117"/>
      <c r="P65" s="117"/>
      <c r="Q65" s="117"/>
      <c r="R65" s="118"/>
      <c r="S65" s="117"/>
      <c r="T65" s="117"/>
      <c r="U65" s="119">
        <f t="shared" si="5"/>
        <v>0</v>
      </c>
    </row>
    <row r="66" spans="1:21">
      <c r="U66" s="119">
        <f t="shared" si="5"/>
        <v>0</v>
      </c>
    </row>
    <row r="73" spans="1:21">
      <c r="B73" s="65"/>
      <c r="C73" s="65"/>
      <c r="D73" s="69"/>
      <c r="E73" s="69"/>
      <c r="F73" s="69"/>
      <c r="G73" s="69"/>
      <c r="H73" s="69"/>
      <c r="I73" s="70"/>
      <c r="J73" s="69"/>
      <c r="K73" s="69"/>
      <c r="L73" s="15"/>
      <c r="M73" s="10"/>
      <c r="N73" s="10"/>
      <c r="O73" s="10"/>
      <c r="P73" s="10"/>
      <c r="Q73" s="65"/>
      <c r="R73" s="65"/>
    </row>
  </sheetData>
  <autoFilter ref="A1:AI66">
    <sortState ref="A2:AI66">
      <sortCondition ref="C1"/>
    </sortState>
  </autoFilter>
  <dataValidations count="2">
    <dataValidation type="list" errorStyle="warning" allowBlank="1" showInputMessage="1" showErrorMessage="1" sqref="AA62 J73 AA8 AA2 J2:J42">
      <formula1>"Tri Spare,Engine spare,ေရေမာ္တာ,ေရျမွုပ္ပန္႔"</formula1>
    </dataValidation>
    <dataValidation type="list" errorStyle="warning" allowBlank="1" showInputMessage="1" showErrorMessage="1" sqref="V62 E73 V8 V2 E2:E42">
      <formula1>"ဝါးေသာက္,မဝန္း,ထန္းမနိုင္"</formula1>
    </dataValidation>
  </dataValidations>
  <pageMargins left="0.24" right="0.16" top="0.75" bottom="0.75" header="0.3" footer="0.3"/>
  <pageSetup paperSize="5" scale="60" orientation="landscape"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5"/>
  <sheetViews>
    <sheetView topLeftCell="A23" workbookViewId="0">
      <selection activeCell="E9" sqref="E9"/>
    </sheetView>
  </sheetViews>
  <sheetFormatPr defaultColWidth="17.42578125" defaultRowHeight="21.75"/>
  <cols>
    <col min="1" max="2" width="17.42578125" style="43"/>
    <col min="3" max="4" width="17.42578125" style="3"/>
    <col min="5" max="5" width="21.85546875" style="3" customWidth="1"/>
    <col min="6" max="6" width="45.7109375" style="95" bestFit="1" customWidth="1"/>
    <col min="7" max="7" width="17.42578125" style="14"/>
    <col min="8" max="8" width="17.42578125" style="4"/>
    <col min="9" max="16384" width="17.42578125" style="3"/>
  </cols>
  <sheetData>
    <row r="1" spans="1:8" ht="45">
      <c r="A1" s="76" t="s">
        <v>38</v>
      </c>
      <c r="B1" s="76" t="s">
        <v>11</v>
      </c>
      <c r="C1" s="76" t="s">
        <v>12</v>
      </c>
      <c r="D1" s="77" t="s">
        <v>13</v>
      </c>
      <c r="E1" s="77" t="s">
        <v>5</v>
      </c>
      <c r="F1" s="94" t="s">
        <v>17</v>
      </c>
      <c r="G1" s="81" t="s">
        <v>21</v>
      </c>
      <c r="H1" s="80" t="s">
        <v>76</v>
      </c>
    </row>
    <row r="2" spans="1:8">
      <c r="A2" s="90">
        <v>1</v>
      </c>
      <c r="B2" s="91" t="e">
        <f>VLOOKUP(A2,' Data Save '!$A:$U,3,0)</f>
        <v>#N/A</v>
      </c>
      <c r="C2" s="91" t="e">
        <f>VLOOKUP(A2,' Data Save '!$A:$U,4,0)</f>
        <v>#N/A</v>
      </c>
      <c r="D2" s="91" t="e">
        <f>VLOOKUP(Vlookup!A2,' Data Save '!$A:$U,5,0)</f>
        <v>#N/A</v>
      </c>
      <c r="E2" s="93" t="str">
        <f>IFERROR(VLOOKUP(Vlookup!A2,' Data Save '!$A:$U,6,0),"-")</f>
        <v>-</v>
      </c>
      <c r="F2" s="92" t="e">
        <f>VLOOKUP(Vlookup!A2,' Data Save '!$A:$U,10,0)</f>
        <v>#N/A</v>
      </c>
      <c r="G2" s="91" t="e">
        <f>VLOOKUP(Vlookup!A2,' Data Save '!$A:$U,18,0)</f>
        <v>#N/A</v>
      </c>
      <c r="H2" s="96" t="e">
        <f>VLOOKUP(Vlookup!A2,' Data Save '!$A:$U,21,0)</f>
        <v>#N/A</v>
      </c>
    </row>
    <row r="3" spans="1:8">
      <c r="A3" s="90">
        <v>2</v>
      </c>
      <c r="B3" s="91">
        <f>VLOOKUP(A3,' Data Save '!$A:$U,3,0)</f>
        <v>44272</v>
      </c>
      <c r="C3" s="91" t="str">
        <f>VLOOKUP(A3,' Data Save '!$A:$U,4,0)</f>
        <v>ဦးၾကည္လြင္</v>
      </c>
      <c r="D3" s="91" t="str">
        <f>VLOOKUP(Vlookup!A3,' Data Save '!$A:$U,5,0)</f>
        <v>ဆည္ေျမာင္း</v>
      </c>
      <c r="E3" s="93">
        <f>IFERROR(VLOOKUP(Vlookup!A3,' Data Save '!$A:$U,6,0),"-")</f>
        <v>0</v>
      </c>
      <c r="F3" s="92" t="str">
        <f>VLOOKUP(Vlookup!A3,' Data Save '!$A:$U,10,0)</f>
        <v>ဝရိန္ပံုး+ေဂါက္+ႀကိဳး</v>
      </c>
      <c r="G3" s="91">
        <f>VLOOKUP(Vlookup!A3,' Data Save '!$A:$U,18,0)</f>
        <v>44275</v>
      </c>
      <c r="H3" s="96">
        <f>VLOOKUP(Vlookup!A3,' Data Save '!$A:$U,21,0)</f>
        <v>83500</v>
      </c>
    </row>
    <row r="4" spans="1:8">
      <c r="A4" s="90">
        <v>3</v>
      </c>
      <c r="B4" s="91">
        <f>VLOOKUP(A4,' Data Save '!$A:$U,3,0)</f>
        <v>44201</v>
      </c>
      <c r="C4" s="91" t="str">
        <f>VLOOKUP(A4,' Data Save '!$A:$U,4,0)</f>
        <v>ကိုဆန္းလြင္ေက်ာ္</v>
      </c>
      <c r="D4" s="91" t="str">
        <f>VLOOKUP(Vlookup!A4,' Data Save '!$A:$U,5,0)</f>
        <v>က်ံဳဒရယ္</v>
      </c>
      <c r="E4" s="93">
        <f>IFERROR(VLOOKUP(Vlookup!A4,' Data Save '!$A:$U,6,0),"-")</f>
        <v>0</v>
      </c>
      <c r="F4" s="92">
        <f>VLOOKUP(Vlookup!A4,' Data Save '!$A:$U,10,0)</f>
        <v>0</v>
      </c>
      <c r="G4" s="91">
        <f>VLOOKUP(Vlookup!A4,' Data Save '!$A:$U,18,0)</f>
        <v>44232</v>
      </c>
      <c r="H4" s="96">
        <f>VLOOKUP(Vlookup!A4,' Data Save '!$A:$U,21,0)</f>
        <v>4000</v>
      </c>
    </row>
    <row r="5" spans="1:8">
      <c r="A5" s="90">
        <v>4</v>
      </c>
      <c r="B5" s="91" t="e">
        <f>VLOOKUP(A5,' Data Save '!$A:$U,3,0)</f>
        <v>#N/A</v>
      </c>
      <c r="C5" s="91" t="e">
        <f>VLOOKUP(A5,' Data Save '!$A:$U,4,0)</f>
        <v>#N/A</v>
      </c>
      <c r="D5" s="91" t="e">
        <f>VLOOKUP(Vlookup!A5,' Data Save '!$A:$U,5,0)</f>
        <v>#N/A</v>
      </c>
      <c r="E5" s="93" t="str">
        <f>IFERROR(VLOOKUP(Vlookup!A5,' Data Save '!$A:$U,6,0),"-")</f>
        <v>-</v>
      </c>
      <c r="F5" s="92" t="e">
        <f>VLOOKUP(Vlookup!A5,' Data Save '!$A:$U,10,0)</f>
        <v>#N/A</v>
      </c>
      <c r="G5" s="91" t="e">
        <f>VLOOKUP(Vlookup!A5,' Data Save '!$A:$U,18,0)</f>
        <v>#N/A</v>
      </c>
      <c r="H5" s="96" t="e">
        <f>VLOOKUP(Vlookup!A5,' Data Save '!$A:$U,21,0)</f>
        <v>#N/A</v>
      </c>
    </row>
    <row r="6" spans="1:8">
      <c r="A6" s="90">
        <v>5</v>
      </c>
      <c r="B6" s="91">
        <f>VLOOKUP(A6,' Data Save '!$A:$U,3,0)</f>
        <v>44227</v>
      </c>
      <c r="C6" s="91" t="str">
        <f>VLOOKUP(A6,' Data Save '!$A:$U,4,0)</f>
        <v>ဦးသိန္းစိန္</v>
      </c>
      <c r="D6" s="91" t="str">
        <f>VLOOKUP(Vlookup!A6,' Data Save '!$A:$U,5,0)</f>
        <v>ထန္းတပင္</v>
      </c>
      <c r="E6" s="93">
        <f>IFERROR(VLOOKUP(Vlookup!A6,' Data Save '!$A:$U,6,0),"-")</f>
        <v>0</v>
      </c>
      <c r="F6" s="92" t="str">
        <f>VLOOKUP(Vlookup!A6,' Data Save '!$A:$U,10,0)</f>
        <v>ေျမဆီေၾကြးဆပ္က်န္ေငြ</v>
      </c>
      <c r="G6" s="91">
        <f>VLOOKUP(Vlookup!A6,' Data Save '!$A:$U,18,0)</f>
        <v>44255</v>
      </c>
      <c r="H6" s="96">
        <f>VLOOKUP(Vlookup!A6,' Data Save '!$A:$U,21,0)</f>
        <v>5000</v>
      </c>
    </row>
    <row r="7" spans="1:8">
      <c r="A7" s="90">
        <v>6</v>
      </c>
      <c r="B7" s="91">
        <f>VLOOKUP(A7,' Data Save '!$A:$U,3,0)</f>
        <v>44176</v>
      </c>
      <c r="C7" s="91" t="str">
        <f>VLOOKUP(A7,' Data Save '!$A:$U,4,0)</f>
        <v>ကိုစည္သူ</v>
      </c>
      <c r="D7" s="91" t="str">
        <f>VLOOKUP(Vlookup!A7,' Data Save '!$A:$U,5,0)</f>
        <v>ဝါးေသာက္</v>
      </c>
      <c r="E7" s="93">
        <f>IFERROR(VLOOKUP(Vlookup!A7,' Data Save '!$A:$U,6,0),"-")</f>
        <v>0</v>
      </c>
      <c r="F7" s="92" t="str">
        <f>VLOOKUP(Vlookup!A7,' Data Save '!$A:$U,10,0)</f>
        <v>ဘက္မွန္</v>
      </c>
      <c r="G7" s="91">
        <f>VLOOKUP(Vlookup!A7,' Data Save '!$A:$U,18,0)</f>
        <v>44207</v>
      </c>
      <c r="H7" s="96">
        <f>VLOOKUP(Vlookup!A7,' Data Save '!$A:$U,21,0)</f>
        <v>7000</v>
      </c>
    </row>
    <row r="8" spans="1:8">
      <c r="A8" s="90">
        <v>7</v>
      </c>
      <c r="B8" s="91">
        <f>VLOOKUP(A8,' Data Save '!$A:$U,3,0)</f>
        <v>44171</v>
      </c>
      <c r="C8" s="91" t="str">
        <f>VLOOKUP(A8,' Data Save '!$A:$U,4,0)</f>
        <v>ကိုေအာင္ေအာင္</v>
      </c>
      <c r="D8" s="91">
        <f>VLOOKUP(Vlookup!A8,' Data Save '!$A:$U,5,0)</f>
        <v>0</v>
      </c>
      <c r="E8" s="93">
        <f>IFERROR(VLOOKUP(Vlookup!A8,' Data Save '!$A:$U,6,0),"-")</f>
        <v>0</v>
      </c>
      <c r="F8" s="92">
        <f>VLOOKUP(Vlookup!A8,' Data Save '!$A:$U,10,0)</f>
        <v>0</v>
      </c>
      <c r="G8" s="91">
        <f>VLOOKUP(Vlookup!A8,' Data Save '!$A:$U,18,0)</f>
        <v>44202</v>
      </c>
      <c r="H8" s="96">
        <f>VLOOKUP(Vlookup!A8,' Data Save '!$A:$U,21,0)</f>
        <v>33500</v>
      </c>
    </row>
    <row r="9" spans="1:8">
      <c r="A9" s="90">
        <v>8</v>
      </c>
      <c r="B9" s="91">
        <f>VLOOKUP(A9,' Data Save '!$A:$U,3,0)</f>
        <v>44180</v>
      </c>
      <c r="C9" s="91" t="str">
        <f>VLOOKUP(A9,' Data Save '!$A:$U,4,0)</f>
        <v>ကိုဖိုးသဲ</v>
      </c>
      <c r="D9" s="91" t="str">
        <f>VLOOKUP(Vlookup!A9,' Data Save '!$A:$U,5,0)</f>
        <v>က်ဴေတာေခ်ာင္</v>
      </c>
      <c r="E9" s="93">
        <f>IFERROR(VLOOKUP(Vlookup!A9,' Data Save '!$A:$U,6,0),"-")</f>
        <v>0</v>
      </c>
      <c r="F9" s="92">
        <f>VLOOKUP(Vlookup!A9,' Data Save '!$A:$U,10,0)</f>
        <v>0</v>
      </c>
      <c r="G9" s="91">
        <f>VLOOKUP(Vlookup!A9,' Data Save '!$A:$U,18,0)</f>
        <v>44211</v>
      </c>
      <c r="H9" s="96">
        <f>VLOOKUP(Vlookup!A9,' Data Save '!$A:$U,21,0)</f>
        <v>19500</v>
      </c>
    </row>
    <row r="10" spans="1:8">
      <c r="A10" s="90">
        <v>9</v>
      </c>
      <c r="B10" s="91">
        <f>VLOOKUP(A10,' Data Save '!$A:$U,3,0)</f>
        <v>44242</v>
      </c>
      <c r="C10" s="91" t="str">
        <f>VLOOKUP(A10,' Data Save '!$A:$U,4,0)</f>
        <v>ဦးဝင္းေဇာ္</v>
      </c>
      <c r="D10" s="91" t="str">
        <f>VLOOKUP(Vlookup!A10,' Data Save '!$A:$U,5,0)</f>
        <v>သခြတ္ပင္</v>
      </c>
      <c r="E10" s="93">
        <f>IFERROR(VLOOKUP(Vlookup!A10,' Data Save '!$A:$U,6,0),"-")</f>
        <v>0</v>
      </c>
      <c r="F10" s="92" t="str">
        <f>VLOOKUP(Vlookup!A10,' Data Save '!$A:$U,10,0)</f>
        <v>ပိုက္စိမ္းေခြ</v>
      </c>
      <c r="G10" s="91">
        <f>VLOOKUP(Vlookup!A10,' Data Save '!$A:$U,18,0)</f>
        <v>44280</v>
      </c>
      <c r="H10" s="96">
        <f>VLOOKUP(Vlookup!A10,' Data Save '!$A:$U,21,0)</f>
        <v>22000</v>
      </c>
    </row>
    <row r="11" spans="1:8">
      <c r="A11" s="90">
        <v>10</v>
      </c>
      <c r="B11" s="91">
        <f>VLOOKUP(A11,' Data Save '!$A:$U,3,0)</f>
        <v>44257</v>
      </c>
      <c r="C11" s="91" t="str">
        <f>VLOOKUP(A11,' Data Save '!$A:$U,4,0)</f>
        <v xml:space="preserve">ဦးခိုင္ႀကီး </v>
      </c>
      <c r="D11" s="91" t="str">
        <f>VLOOKUP(Vlookup!A11,' Data Save '!$A:$U,5,0)</f>
        <v>ထန္းမနိုင္</v>
      </c>
      <c r="E11" s="93">
        <f>IFERROR(VLOOKUP(Vlookup!A11,' Data Save '!$A:$U,6,0),"-")</f>
        <v>0</v>
      </c>
      <c r="F11" s="92" t="str">
        <f>VLOOKUP(Vlookup!A11,' Data Save '!$A:$U,10,0)</f>
        <v>ဆီတင္ပန္႔</v>
      </c>
      <c r="G11" s="91">
        <f>VLOOKUP(Vlookup!A11,' Data Save '!$A:$U,18,0)</f>
        <v>44288</v>
      </c>
      <c r="H11" s="96">
        <f>VLOOKUP(Vlookup!A11,' Data Save '!$A:$U,21,0)</f>
        <v>35000</v>
      </c>
    </row>
    <row r="12" spans="1:8">
      <c r="A12" s="90">
        <v>11</v>
      </c>
      <c r="B12" s="91">
        <f>VLOOKUP(A12,' Data Save '!$A:$U,3,0)</f>
        <v>44264</v>
      </c>
      <c r="C12" s="91" t="str">
        <f>VLOOKUP(A12,' Data Save '!$A:$U,4,0)</f>
        <v>ခ်စ္ဖိန္႕</v>
      </c>
      <c r="D12" s="91" t="str">
        <f>VLOOKUP(Vlookup!A12,' Data Save '!$A:$U,5,0)</f>
        <v>ဝါးေသာက္</v>
      </c>
      <c r="E12" s="93">
        <f>IFERROR(VLOOKUP(Vlookup!A12,' Data Save '!$A:$U,6,0),"-")</f>
        <v>0</v>
      </c>
      <c r="F12" s="92" t="str">
        <f>VLOOKUP(Vlookup!A12,' Data Save '!$A:$U,10,0)</f>
        <v>ေက်ာက္စက္</v>
      </c>
      <c r="G12" s="91">
        <f>VLOOKUP(Vlookup!A12,' Data Save '!$A:$U,18,0)</f>
        <v>44286</v>
      </c>
      <c r="H12" s="96">
        <f>VLOOKUP(Vlookup!A12,' Data Save '!$A:$U,21,0)</f>
        <v>7500</v>
      </c>
    </row>
    <row r="13" spans="1:8">
      <c r="A13" s="90">
        <v>12</v>
      </c>
      <c r="B13" s="91">
        <f>VLOOKUP(A13,' Data Save '!$A:$U,3,0)</f>
        <v>44276</v>
      </c>
      <c r="C13" s="91" t="str">
        <f>VLOOKUP(A13,' Data Save '!$A:$U,4,0)</f>
        <v>ကိုေဝယံ</v>
      </c>
      <c r="D13" s="91" t="str">
        <f>VLOOKUP(Vlookup!A13,' Data Save '!$A:$U,5,0)</f>
        <v>ဝါးေသာက္</v>
      </c>
      <c r="E13" s="93">
        <f>IFERROR(VLOOKUP(Vlookup!A13,' Data Save '!$A:$U,6,0),"-")</f>
        <v>0</v>
      </c>
      <c r="F13" s="92" t="str">
        <f>VLOOKUP(Vlookup!A13,' Data Save '!$A:$U,10,0)</f>
        <v>ႀကိဳးစက္အစံု</v>
      </c>
      <c r="G13" s="91">
        <f>VLOOKUP(Vlookup!A13,' Data Save '!$A:$U,18,0)</f>
        <v>44284</v>
      </c>
      <c r="H13" s="96">
        <f>VLOOKUP(Vlookup!A13,' Data Save '!$A:$U,21,0)</f>
        <v>20000</v>
      </c>
    </row>
    <row r="14" spans="1:8">
      <c r="A14" s="90">
        <v>13</v>
      </c>
      <c r="B14" s="91">
        <f>VLOOKUP(A14,' Data Save '!$A:$U,3,0)</f>
        <v>44169</v>
      </c>
      <c r="C14" s="91" t="str">
        <f>VLOOKUP(A14,' Data Save '!$A:$U,4,0)</f>
        <v>ကိုမ်ိဳးသန္႔</v>
      </c>
      <c r="D14" s="91">
        <f>VLOOKUP(Vlookup!A14,' Data Save '!$A:$U,5,0)</f>
        <v>0</v>
      </c>
      <c r="E14" s="93">
        <f>IFERROR(VLOOKUP(Vlookup!A14,' Data Save '!$A:$U,6,0),"-")</f>
        <v>0</v>
      </c>
      <c r="F14" s="92" t="str">
        <f>VLOOKUP(Vlookup!A14,' Data Save '!$A:$U,10,0)</f>
        <v>sp ေၾကြးက်န္</v>
      </c>
      <c r="G14" s="91">
        <f>VLOOKUP(Vlookup!A14,' Data Save '!$A:$U,18,0)</f>
        <v>44195</v>
      </c>
      <c r="H14" s="96">
        <f>VLOOKUP(Vlookup!A14,' Data Save '!$A:$U,21,0)</f>
        <v>48200</v>
      </c>
    </row>
    <row r="15" spans="1:8">
      <c r="A15" s="90">
        <v>14</v>
      </c>
      <c r="B15" s="91">
        <f>VLOOKUP(A15,' Data Save '!$A:$U,3,0)</f>
        <v>44284</v>
      </c>
      <c r="C15" s="91" t="str">
        <f>VLOOKUP(A15,' Data Save '!$A:$U,4,0)</f>
        <v>ကိုေအာင္ကိုဆန္း</v>
      </c>
      <c r="D15" s="91" t="str">
        <f>VLOOKUP(Vlookup!A15,' Data Save '!$A:$U,5,0)</f>
        <v>သမၻာန္ေခ်ာင္း</v>
      </c>
      <c r="E15" s="93">
        <f>IFERROR(VLOOKUP(Vlookup!A15,' Data Save '!$A:$U,6,0),"-")</f>
        <v>0</v>
      </c>
      <c r="F15" s="92" t="str">
        <f>VLOOKUP(Vlookup!A15,' Data Save '!$A:$U,10,0)</f>
        <v>ေရေဆးပန္႔+ေရပံုး</v>
      </c>
      <c r="G15" s="91">
        <f>VLOOKUP(Vlookup!A15,' Data Save '!$A:$U,18,0)</f>
        <v>44315</v>
      </c>
      <c r="H15" s="96">
        <f>VLOOKUP(Vlookup!A15,' Data Save '!$A:$U,21,0)</f>
        <v>93000</v>
      </c>
    </row>
    <row r="16" spans="1:8">
      <c r="A16" s="90">
        <v>15</v>
      </c>
      <c r="B16" s="91">
        <f>VLOOKUP(A16,' Data Save '!$A:$U,3,0)</f>
        <v>44284</v>
      </c>
      <c r="C16" s="91" t="str">
        <f>VLOOKUP(A16,' Data Save '!$A:$U,4,0)</f>
        <v>မိဘေမတၱာ</v>
      </c>
      <c r="D16" s="91" t="str">
        <f>VLOOKUP(Vlookup!A16,' Data Save '!$A:$U,5,0)</f>
        <v>ဝါးေသာက္</v>
      </c>
      <c r="E16" s="93">
        <f>IFERROR(VLOOKUP(Vlookup!A16,' Data Save '!$A:$U,6,0),"-")</f>
        <v>0</v>
      </c>
      <c r="F16" s="92">
        <f>VLOOKUP(Vlookup!A16,' Data Save '!$A:$U,10,0)</f>
        <v>0</v>
      </c>
      <c r="G16" s="91">
        <f>VLOOKUP(Vlookup!A16,' Data Save '!$A:$U,18,0)</f>
        <v>44285</v>
      </c>
      <c r="H16" s="96">
        <f>VLOOKUP(Vlookup!A16,' Data Save '!$A:$U,21,0)</f>
        <v>5200</v>
      </c>
    </row>
    <row r="17" spans="1:8">
      <c r="A17" s="90">
        <v>16</v>
      </c>
      <c r="B17" s="91">
        <f>VLOOKUP(A17,' Data Save '!$A:$U,3,0)</f>
        <v>44285</v>
      </c>
      <c r="C17" s="91" t="str">
        <f>VLOOKUP(A17,' Data Save '!$A:$U,4,0)</f>
        <v>မိဘေမတၱာ</v>
      </c>
      <c r="D17" s="91" t="str">
        <f>VLOOKUP(Vlookup!A17,' Data Save '!$A:$U,5,0)</f>
        <v>ဝါးေသာက္</v>
      </c>
      <c r="E17" s="93">
        <f>IFERROR(VLOOKUP(Vlookup!A17,' Data Save '!$A:$U,6,0),"-")</f>
        <v>0</v>
      </c>
      <c r="F17" s="92" t="str">
        <f>VLOOKUP(Vlookup!A17,' Data Save '!$A:$U,10,0)</f>
        <v>ေလဂိတ္</v>
      </c>
      <c r="G17" s="91">
        <f>VLOOKUP(Vlookup!A17,' Data Save '!$A:$U,18,0)</f>
        <v>44301</v>
      </c>
      <c r="H17" s="96">
        <f>VLOOKUP(Vlookup!A17,' Data Save '!$A:$U,21,0)</f>
        <v>15000</v>
      </c>
    </row>
    <row r="18" spans="1:8">
      <c r="A18" s="90">
        <v>17</v>
      </c>
      <c r="B18" s="91">
        <f>VLOOKUP(A18,' Data Save '!$A:$U,3,0)</f>
        <v>44285</v>
      </c>
      <c r="C18" s="91" t="str">
        <f>VLOOKUP(A18,' Data Save '!$A:$U,4,0)</f>
        <v>ဦးေဇာ္ေထြး</v>
      </c>
      <c r="D18" s="91" t="str">
        <f>VLOOKUP(Vlookup!A18,' Data Save '!$A:$U,5,0)</f>
        <v>သဲကုန္းတန္း</v>
      </c>
      <c r="E18" s="93">
        <f>IFERROR(VLOOKUP(Vlookup!A18,' Data Save '!$A:$U,6,0),"-")</f>
        <v>0</v>
      </c>
      <c r="F18" s="92" t="str">
        <f>VLOOKUP(Vlookup!A18,' Data Save '!$A:$U,10,0)</f>
        <v>SP ေႀကြးက်န္</v>
      </c>
      <c r="G18" s="91">
        <f>VLOOKUP(Vlookup!A18,' Data Save '!$A:$U,18,0)</f>
        <v>44301</v>
      </c>
      <c r="H18" s="96">
        <f>VLOOKUP(Vlookup!A18,' Data Save '!$A:$U,21,0)</f>
        <v>7000</v>
      </c>
    </row>
    <row r="19" spans="1:8">
      <c r="A19" s="90">
        <v>18</v>
      </c>
      <c r="B19" s="91">
        <f>VLOOKUP(A19,' Data Save '!$A:$U,3,0)</f>
        <v>44288</v>
      </c>
      <c r="C19" s="91" t="str">
        <f>VLOOKUP(A19,' Data Save '!$A:$U,4,0)</f>
        <v>မိဘေမတၱာ</v>
      </c>
      <c r="D19" s="91" t="str">
        <f>VLOOKUP(Vlookup!A19,' Data Save '!$A:$U,5,0)</f>
        <v>ဝါးေသာက္</v>
      </c>
      <c r="E19" s="93">
        <f>IFERROR(VLOOKUP(Vlookup!A19,' Data Save '!$A:$U,6,0),"-")</f>
        <v>0</v>
      </c>
      <c r="F19" s="92" t="str">
        <f>VLOOKUP(Vlookup!A19,' Data Save '!$A:$U,10,0)</f>
        <v>ေရေဆးစက္အစံု</v>
      </c>
      <c r="G19" s="91">
        <f>VLOOKUP(Vlookup!A19,' Data Save '!$A:$U,18,0)</f>
        <v>44301</v>
      </c>
      <c r="H19" s="96">
        <f>VLOOKUP(Vlookup!A19,' Data Save '!$A:$U,21,0)</f>
        <v>89000</v>
      </c>
    </row>
    <row r="20" spans="1:8">
      <c r="A20" s="90">
        <v>19</v>
      </c>
      <c r="B20" s="91">
        <f>VLOOKUP(A20,' Data Save '!$A:$U,3,0)</f>
        <v>44291</v>
      </c>
      <c r="C20" s="91" t="str">
        <f>VLOOKUP(A20,' Data Save '!$A:$U,4,0)</f>
        <v>မိဘေမတၱာ</v>
      </c>
      <c r="D20" s="91" t="str">
        <f>VLOOKUP(Vlookup!A20,' Data Save '!$A:$U,5,0)</f>
        <v>ဝါးေသာက္</v>
      </c>
      <c r="E20" s="93">
        <f>IFERROR(VLOOKUP(Vlookup!A20,' Data Save '!$A:$U,6,0),"-")</f>
        <v>0</v>
      </c>
      <c r="F20" s="92" t="str">
        <f>VLOOKUP(Vlookup!A20,' Data Save '!$A:$U,10,0)</f>
        <v>ေလဂန္း</v>
      </c>
      <c r="G20" s="91">
        <f>VLOOKUP(Vlookup!A20,' Data Save '!$A:$U,18,0)</f>
        <v>44316</v>
      </c>
      <c r="H20" s="96">
        <f>VLOOKUP(Vlookup!A20,' Data Save '!$A:$U,21,0)</f>
        <v>101700</v>
      </c>
    </row>
    <row r="21" spans="1:8">
      <c r="A21" s="90">
        <v>20</v>
      </c>
      <c r="B21" s="91">
        <f>VLOOKUP(A21,' Data Save '!$A:$U,3,0)</f>
        <v>44302</v>
      </c>
      <c r="C21" s="91" t="str">
        <f>VLOOKUP(A21,' Data Save '!$A:$U,4,0)</f>
        <v>ေအာင္ခန္႔ျဖဴ</v>
      </c>
      <c r="D21" s="91" t="str">
        <f>VLOOKUP(Vlookup!A21,' Data Save '!$A:$U,5,0)</f>
        <v>ဝါးေသာက္</v>
      </c>
      <c r="E21" s="93">
        <f>IFERROR(VLOOKUP(Vlookup!A21,' Data Save '!$A:$U,6,0),"-")</f>
        <v>0</v>
      </c>
      <c r="F21" s="92" t="str">
        <f>VLOOKUP(Vlookup!A21,' Data Save '!$A:$U,10,0)</f>
        <v>Tri Spare</v>
      </c>
      <c r="G21" s="91">
        <f>VLOOKUP(Vlookup!A21,' Data Save '!$A:$U,18,0)</f>
        <v>44316</v>
      </c>
      <c r="H21" s="96">
        <f>VLOOKUP(Vlookup!A21,' Data Save '!$A:$U,21,0)</f>
        <v>47000</v>
      </c>
    </row>
    <row r="22" spans="1:8">
      <c r="A22" s="90">
        <v>21</v>
      </c>
      <c r="B22" s="91" t="e">
        <f>VLOOKUP(A22,' Data Save '!$A:$U,3,0)</f>
        <v>#N/A</v>
      </c>
      <c r="C22" s="91" t="e">
        <f>VLOOKUP(A22,' Data Save '!$A:$U,4,0)</f>
        <v>#N/A</v>
      </c>
      <c r="D22" s="91" t="e">
        <f>VLOOKUP(Vlookup!A22,' Data Save '!$A:$U,5,0)</f>
        <v>#N/A</v>
      </c>
      <c r="E22" s="93" t="str">
        <f>IFERROR(VLOOKUP(Vlookup!A22,' Data Save '!$A:$U,6,0),"-")</f>
        <v>-</v>
      </c>
      <c r="F22" s="92" t="e">
        <f>VLOOKUP(Vlookup!A22,' Data Save '!$A:$U,10,0)</f>
        <v>#N/A</v>
      </c>
      <c r="G22" s="91" t="e">
        <f>VLOOKUP(Vlookup!A22,' Data Save '!$A:$U,18,0)</f>
        <v>#N/A</v>
      </c>
      <c r="H22" s="96" t="e">
        <f>VLOOKUP(Vlookup!A22,' Data Save '!$A:$U,21,0)</f>
        <v>#N/A</v>
      </c>
    </row>
    <row r="23" spans="1:8">
      <c r="A23" s="90">
        <v>22</v>
      </c>
      <c r="B23" s="91">
        <f>VLOOKUP(A23,' Data Save '!$A:$U,3,0)</f>
        <v>44309</v>
      </c>
      <c r="C23" s="91" t="str">
        <f>VLOOKUP(A23,' Data Save '!$A:$U,4,0)</f>
        <v>မိဘေမတၱာ</v>
      </c>
      <c r="D23" s="91" t="str">
        <f>VLOOKUP(Vlookup!A23,' Data Save '!$A:$U,5,0)</f>
        <v>ဝါးေသာက္</v>
      </c>
      <c r="E23" s="93">
        <f>IFERROR(VLOOKUP(Vlookup!A23,' Data Save '!$A:$U,6,0),"-")</f>
        <v>0</v>
      </c>
      <c r="F23" s="92" t="str">
        <f>VLOOKUP(Vlookup!A23,' Data Save '!$A:$U,10,0)</f>
        <v>Spare</v>
      </c>
      <c r="G23" s="91">
        <f>VLOOKUP(Vlookup!A23,' Data Save '!$A:$U,18,0)</f>
        <v>44316</v>
      </c>
      <c r="H23" s="96">
        <f>VLOOKUP(Vlookup!A23,' Data Save '!$A:$U,21,0)</f>
        <v>9500</v>
      </c>
    </row>
    <row r="24" spans="1:8">
      <c r="A24" s="90">
        <v>23</v>
      </c>
      <c r="B24" s="91" t="e">
        <f>VLOOKUP(A24,' Data Save '!$A:$U,3,0)</f>
        <v>#N/A</v>
      </c>
      <c r="C24" s="91" t="e">
        <f>VLOOKUP(A24,' Data Save '!$A:$U,4,0)</f>
        <v>#N/A</v>
      </c>
      <c r="D24" s="91" t="e">
        <f>VLOOKUP(Vlookup!A24,' Data Save '!$A:$U,5,0)</f>
        <v>#N/A</v>
      </c>
      <c r="E24" s="93" t="str">
        <f>IFERROR(VLOOKUP(Vlookup!A24,' Data Save '!$A:$U,6,0),"-")</f>
        <v>-</v>
      </c>
      <c r="F24" s="92" t="e">
        <f>VLOOKUP(Vlookup!A24,' Data Save '!$A:$U,10,0)</f>
        <v>#N/A</v>
      </c>
      <c r="G24" s="91" t="e">
        <f>VLOOKUP(Vlookup!A24,' Data Save '!$A:$U,18,0)</f>
        <v>#N/A</v>
      </c>
      <c r="H24" s="96" t="e">
        <f>VLOOKUP(Vlookup!A24,' Data Save '!$A:$U,21,0)</f>
        <v>#N/A</v>
      </c>
    </row>
    <row r="25" spans="1:8">
      <c r="A25" s="90">
        <v>24</v>
      </c>
      <c r="B25" s="91" t="e">
        <f>VLOOKUP(A25,' Data Save '!$A:$U,3,0)</f>
        <v>#N/A</v>
      </c>
      <c r="C25" s="91" t="e">
        <f>VLOOKUP(A25,' Data Save '!$A:$U,4,0)</f>
        <v>#N/A</v>
      </c>
      <c r="D25" s="91" t="e">
        <f>VLOOKUP(Vlookup!A25,' Data Save '!$A:$U,5,0)</f>
        <v>#N/A</v>
      </c>
      <c r="E25" s="93" t="str">
        <f>IFERROR(VLOOKUP(Vlookup!A25,' Data Save '!$A:$U,6,0),"-")</f>
        <v>-</v>
      </c>
      <c r="F25" s="92" t="e">
        <f>VLOOKUP(Vlookup!A25,' Data Save '!$A:$U,10,0)</f>
        <v>#N/A</v>
      </c>
      <c r="G25" s="91" t="e">
        <f>VLOOKUP(Vlookup!A25,' Data Save '!$A:$U,18,0)</f>
        <v>#N/A</v>
      </c>
      <c r="H25" s="96" t="e">
        <f>VLOOKUP(Vlookup!A25,' Data Save '!$A:$U,21,0)</f>
        <v>#N/A</v>
      </c>
    </row>
    <row r="26" spans="1:8">
      <c r="A26" s="90">
        <v>25</v>
      </c>
      <c r="B26" s="91">
        <f>VLOOKUP(A26,' Data Save '!$A:$U,3,0)</f>
        <v>44315</v>
      </c>
      <c r="C26" s="91" t="str">
        <f>VLOOKUP(A26,' Data Save '!$A:$U,4,0)</f>
        <v>ဦးသန္းဦး</v>
      </c>
      <c r="D26" s="91" t="str">
        <f>VLOOKUP(Vlookup!A26,' Data Save '!$A:$U,5,0)</f>
        <v>လက္ခုတ္ကုုန္း</v>
      </c>
      <c r="E26" s="93">
        <f>IFERROR(VLOOKUP(Vlookup!A26,' Data Save '!$A:$U,6,0),"-")</f>
        <v>0</v>
      </c>
      <c r="F26" s="92" t="str">
        <f>VLOOKUP(Vlookup!A26,' Data Save '!$A:$U,10,0)</f>
        <v>Engine + တစ္ဘီးထြန္</v>
      </c>
      <c r="G26" s="91">
        <f>VLOOKUP(Vlookup!A26,' Data Save '!$A:$U,18,0)</f>
        <v>44345</v>
      </c>
      <c r="H26" s="96">
        <f>VLOOKUP(Vlookup!A26,' Data Save '!$A:$U,21,0)</f>
        <v>325000</v>
      </c>
    </row>
    <row r="27" spans="1:8">
      <c r="A27" s="90">
        <v>26</v>
      </c>
      <c r="B27" s="91">
        <f>VLOOKUP(A27,' Data Save '!$A:$U,3,0)</f>
        <v>44314</v>
      </c>
      <c r="C27" s="91" t="str">
        <f>VLOOKUP(A27,' Data Save '!$A:$U,4,0)</f>
        <v>ေတာ္လန္း</v>
      </c>
      <c r="D27" s="91" t="str">
        <f>VLOOKUP(Vlookup!A27,' Data Save '!$A:$U,5,0)</f>
        <v>ေတာ္လန္း</v>
      </c>
      <c r="E27" s="93">
        <f>IFERROR(VLOOKUP(Vlookup!A27,' Data Save '!$A:$U,6,0),"-")</f>
        <v>0</v>
      </c>
      <c r="F27" s="92" t="str">
        <f>VLOOKUP(Vlookup!A27,' Data Save '!$A:$U,10,0)</f>
        <v>Engine spare</v>
      </c>
      <c r="G27" s="91">
        <f>VLOOKUP(Vlookup!A27,' Data Save '!$A:$U,18,0)</f>
        <v>44346</v>
      </c>
      <c r="H27" s="96">
        <f>VLOOKUP(Vlookup!A27,' Data Save '!$A:$U,21,0)</f>
        <v>3000</v>
      </c>
    </row>
    <row r="28" spans="1:8">
      <c r="A28" s="90">
        <v>27</v>
      </c>
      <c r="B28" s="91">
        <f>VLOOKUP(A28,' Data Save '!$A:$U,3,0)</f>
        <v>44316</v>
      </c>
      <c r="C28" s="91" t="str">
        <f>VLOOKUP(A28,' Data Save '!$A:$U,4,0)</f>
        <v>ဦးသန္းနိုင္</v>
      </c>
      <c r="D28" s="91" t="str">
        <f>VLOOKUP(Vlookup!A28,' Data Save '!$A:$U,5,0)</f>
        <v>သဲကုန္းတန္း</v>
      </c>
      <c r="E28" s="93">
        <f>IFERROR(VLOOKUP(Vlookup!A28,' Data Save '!$A:$U,6,0),"-")</f>
        <v>0</v>
      </c>
      <c r="F28" s="92" t="str">
        <f>VLOOKUP(Vlookup!A28,' Data Save '!$A:$U,10,0)</f>
        <v>Engine spare</v>
      </c>
      <c r="G28" s="91">
        <f>VLOOKUP(Vlookup!A28,' Data Save '!$A:$U,18,0)</f>
        <v>44346</v>
      </c>
      <c r="H28" s="96">
        <f>VLOOKUP(Vlookup!A28,' Data Save '!$A:$U,21,0)</f>
        <v>103500</v>
      </c>
    </row>
    <row r="29" spans="1:8">
      <c r="A29" s="90">
        <v>28</v>
      </c>
      <c r="B29" s="91" t="e">
        <f>VLOOKUP(A29,' Data Save '!$A:$U,3,0)</f>
        <v>#N/A</v>
      </c>
      <c r="C29" s="91" t="e">
        <f>VLOOKUP(A29,' Data Save '!$A:$U,4,0)</f>
        <v>#N/A</v>
      </c>
      <c r="D29" s="91" t="e">
        <f>VLOOKUP(Vlookup!A29,' Data Save '!$A:$U,5,0)</f>
        <v>#N/A</v>
      </c>
      <c r="E29" s="93" t="str">
        <f>IFERROR(VLOOKUP(Vlookup!A29,' Data Save '!$A:$U,6,0),"-")</f>
        <v>-</v>
      </c>
      <c r="F29" s="92" t="e">
        <f>VLOOKUP(Vlookup!A29,' Data Save '!$A:$U,10,0)</f>
        <v>#N/A</v>
      </c>
      <c r="G29" s="91" t="e">
        <f>VLOOKUP(Vlookup!A29,' Data Save '!$A:$U,18,0)</f>
        <v>#N/A</v>
      </c>
      <c r="H29" s="96" t="e">
        <f>VLOOKUP(Vlookup!A29,' Data Save '!$A:$U,21,0)</f>
        <v>#N/A</v>
      </c>
    </row>
    <row r="30" spans="1:8">
      <c r="A30" s="90">
        <v>29</v>
      </c>
      <c r="B30" s="91" t="e">
        <f>VLOOKUP(A30,' Data Save '!$A:$U,3,0)</f>
        <v>#N/A</v>
      </c>
      <c r="C30" s="91" t="e">
        <f>VLOOKUP(A30,' Data Save '!$A:$U,4,0)</f>
        <v>#N/A</v>
      </c>
      <c r="D30" s="91" t="e">
        <f>VLOOKUP(Vlookup!A30,' Data Save '!$A:$U,5,0)</f>
        <v>#N/A</v>
      </c>
      <c r="E30" s="93" t="str">
        <f>IFERROR(VLOOKUP(Vlookup!A30,' Data Save '!$A:$U,6,0),"-")</f>
        <v>-</v>
      </c>
      <c r="F30" s="92" t="e">
        <f>VLOOKUP(Vlookup!A30,' Data Save '!$A:$U,10,0)</f>
        <v>#N/A</v>
      </c>
      <c r="G30" s="91" t="e">
        <f>VLOOKUP(Vlookup!A30,' Data Save '!$A:$U,18,0)</f>
        <v>#N/A</v>
      </c>
      <c r="H30" s="96" t="e">
        <f>VLOOKUP(Vlookup!A30,' Data Save '!$A:$U,21,0)</f>
        <v>#N/A</v>
      </c>
    </row>
    <row r="31" spans="1:8">
      <c r="A31" s="90">
        <v>30</v>
      </c>
      <c r="B31" s="91" t="e">
        <f>VLOOKUP(A31,' Data Save '!$A:$U,3,0)</f>
        <v>#N/A</v>
      </c>
      <c r="C31" s="91" t="e">
        <f>VLOOKUP(A31,' Data Save '!$A:$U,4,0)</f>
        <v>#N/A</v>
      </c>
      <c r="D31" s="91" t="e">
        <f>VLOOKUP(Vlookup!A31,' Data Save '!$A:$U,5,0)</f>
        <v>#N/A</v>
      </c>
      <c r="E31" s="93" t="str">
        <f>IFERROR(VLOOKUP(Vlookup!A31,' Data Save '!$A:$U,6,0),"-")</f>
        <v>-</v>
      </c>
      <c r="F31" s="92" t="e">
        <f>VLOOKUP(Vlookup!A31,' Data Save '!$A:$U,10,0)</f>
        <v>#N/A</v>
      </c>
      <c r="G31" s="91" t="e">
        <f>VLOOKUP(Vlookup!A31,' Data Save '!$A:$U,18,0)</f>
        <v>#N/A</v>
      </c>
      <c r="H31" s="96" t="e">
        <f>VLOOKUP(Vlookup!A31,' Data Save '!$A:$U,21,0)</f>
        <v>#N/A</v>
      </c>
    </row>
    <row r="32" spans="1:8">
      <c r="A32" s="90">
        <v>31</v>
      </c>
      <c r="B32" s="91" t="e">
        <f>VLOOKUP(A32,' Data Save '!$A:$U,3,0)</f>
        <v>#N/A</v>
      </c>
      <c r="C32" s="91" t="e">
        <f>VLOOKUP(A32,' Data Save '!$A:$U,4,0)</f>
        <v>#N/A</v>
      </c>
      <c r="D32" s="91" t="e">
        <f>VLOOKUP(Vlookup!A32,' Data Save '!$A:$U,5,0)</f>
        <v>#N/A</v>
      </c>
      <c r="E32" s="93" t="str">
        <f>IFERROR(VLOOKUP(Vlookup!A32,' Data Save '!$A:$U,6,0),"-")</f>
        <v>-</v>
      </c>
      <c r="F32" s="92" t="e">
        <f>VLOOKUP(Vlookup!A32,' Data Save '!$A:$U,10,0)</f>
        <v>#N/A</v>
      </c>
      <c r="G32" s="91" t="e">
        <f>VLOOKUP(Vlookup!A32,' Data Save '!$A:$U,18,0)</f>
        <v>#N/A</v>
      </c>
      <c r="H32" s="96" t="e">
        <f>VLOOKUP(Vlookup!A32,' Data Save '!$A:$U,21,0)</f>
        <v>#N/A</v>
      </c>
    </row>
    <row r="33" spans="1:8">
      <c r="A33" s="90">
        <v>32</v>
      </c>
      <c r="B33" s="91" t="e">
        <f>VLOOKUP(A33,' Data Save '!$A:$U,3,0)</f>
        <v>#N/A</v>
      </c>
      <c r="C33" s="91" t="e">
        <f>VLOOKUP(A33,' Data Save '!$A:$U,4,0)</f>
        <v>#N/A</v>
      </c>
      <c r="D33" s="91" t="e">
        <f>VLOOKUP(Vlookup!A33,' Data Save '!$A:$U,5,0)</f>
        <v>#N/A</v>
      </c>
      <c r="E33" s="93" t="str">
        <f>IFERROR(VLOOKUP(Vlookup!A33,' Data Save '!$A:$U,6,0),"-")</f>
        <v>-</v>
      </c>
      <c r="F33" s="92" t="e">
        <f>VLOOKUP(Vlookup!A33,' Data Save '!$A:$U,10,0)</f>
        <v>#N/A</v>
      </c>
      <c r="G33" s="91" t="e">
        <f>VLOOKUP(Vlookup!A33,' Data Save '!$A:$U,18,0)</f>
        <v>#N/A</v>
      </c>
      <c r="H33" s="96" t="e">
        <f>VLOOKUP(Vlookup!A33,' Data Save '!$A:$U,21,0)</f>
        <v>#N/A</v>
      </c>
    </row>
    <row r="34" spans="1:8">
      <c r="A34" s="90">
        <v>33</v>
      </c>
      <c r="B34" s="91">
        <f>VLOOKUP(A34,' Data Save '!$A:$U,3,0)</f>
        <v>44319</v>
      </c>
      <c r="C34" s="91" t="str">
        <f>VLOOKUP(A34,' Data Save '!$A:$U,4,0)</f>
        <v>ဦးဝင္းကို</v>
      </c>
      <c r="D34" s="91" t="str">
        <f>VLOOKUP(Vlookup!A34,' Data Save '!$A:$U,5,0)</f>
        <v>ၿမကၽြန္းသာ</v>
      </c>
      <c r="E34" s="93">
        <f>IFERROR(VLOOKUP(Vlookup!A34,' Data Save '!$A:$U,6,0),"-")</f>
        <v>0</v>
      </c>
      <c r="F34" s="92" t="str">
        <f>VLOOKUP(Vlookup!A34,' Data Save '!$A:$U,10,0)</f>
        <v>တစ္ဘီးထြန္</v>
      </c>
      <c r="G34" s="91">
        <f>VLOOKUP(Vlookup!A34,' Data Save '!$A:$U,18,0)</f>
        <v>44347</v>
      </c>
      <c r="H34" s="96">
        <f>VLOOKUP(Vlookup!A34,' Data Save '!$A:$U,21,0)</f>
        <v>4000</v>
      </c>
    </row>
    <row r="35" spans="1:8">
      <c r="A35" s="90">
        <v>34</v>
      </c>
      <c r="B35" s="91" t="e">
        <f>VLOOKUP(A35,' Data Save '!$A:$U,3,0)</f>
        <v>#N/A</v>
      </c>
      <c r="C35" s="91" t="e">
        <f>VLOOKUP(A35,' Data Save '!$A:$U,4,0)</f>
        <v>#N/A</v>
      </c>
      <c r="D35" s="91" t="e">
        <f>VLOOKUP(Vlookup!A35,' Data Save '!$A:$U,5,0)</f>
        <v>#N/A</v>
      </c>
      <c r="E35" s="93" t="str">
        <f>IFERROR(VLOOKUP(Vlookup!A35,' Data Save '!$A:$U,6,0),"-")</f>
        <v>-</v>
      </c>
      <c r="F35" s="92" t="e">
        <f>VLOOKUP(Vlookup!A35,' Data Save '!$A:$U,10,0)</f>
        <v>#N/A</v>
      </c>
      <c r="G35" s="91" t="e">
        <f>VLOOKUP(Vlookup!A35,' Data Save '!$A:$U,18,0)</f>
        <v>#N/A</v>
      </c>
      <c r="H35" s="96" t="e">
        <f>VLOOKUP(Vlookup!A35,' Data Save '!$A:$U,21,0)</f>
        <v>#N/A</v>
      </c>
    </row>
    <row r="36" spans="1:8">
      <c r="A36" s="90">
        <v>35</v>
      </c>
      <c r="B36" s="91" t="e">
        <f>VLOOKUP(A36,' Data Save '!$A:$U,3,0)</f>
        <v>#N/A</v>
      </c>
      <c r="C36" s="91" t="e">
        <f>VLOOKUP(A36,' Data Save '!$A:$U,4,0)</f>
        <v>#N/A</v>
      </c>
      <c r="D36" s="91" t="e">
        <f>VLOOKUP(Vlookup!A36,' Data Save '!$A:$U,5,0)</f>
        <v>#N/A</v>
      </c>
      <c r="E36" s="93" t="str">
        <f>IFERROR(VLOOKUP(Vlookup!A36,' Data Save '!$A:$U,6,0),"-")</f>
        <v>-</v>
      </c>
      <c r="F36" s="92" t="e">
        <f>VLOOKUP(Vlookup!A36,' Data Save '!$A:$U,10,0)</f>
        <v>#N/A</v>
      </c>
      <c r="G36" s="91" t="e">
        <f>VLOOKUP(Vlookup!A36,' Data Save '!$A:$U,18,0)</f>
        <v>#N/A</v>
      </c>
      <c r="H36" s="96" t="e">
        <f>VLOOKUP(Vlookup!A36,' Data Save '!$A:$U,21,0)</f>
        <v>#N/A</v>
      </c>
    </row>
    <row r="37" spans="1:8">
      <c r="A37" s="90">
        <v>36</v>
      </c>
      <c r="B37" s="91" t="e">
        <f>VLOOKUP(A37,' Data Save '!$A:$U,3,0)</f>
        <v>#N/A</v>
      </c>
      <c r="C37" s="91" t="e">
        <f>VLOOKUP(A37,' Data Save '!$A:$U,4,0)</f>
        <v>#N/A</v>
      </c>
      <c r="D37" s="91" t="e">
        <f>VLOOKUP(Vlookup!A37,' Data Save '!$A:$U,5,0)</f>
        <v>#N/A</v>
      </c>
      <c r="E37" s="93" t="str">
        <f>IFERROR(VLOOKUP(Vlookup!A37,' Data Save '!$A:$U,6,0),"-")</f>
        <v>-</v>
      </c>
      <c r="F37" s="92" t="e">
        <f>VLOOKUP(Vlookup!A37,' Data Save '!$A:$U,10,0)</f>
        <v>#N/A</v>
      </c>
      <c r="G37" s="91" t="e">
        <f>VLOOKUP(Vlookup!A37,' Data Save '!$A:$U,18,0)</f>
        <v>#N/A</v>
      </c>
      <c r="H37" s="96" t="e">
        <f>VLOOKUP(Vlookup!A37,' Data Save '!$A:$U,21,0)</f>
        <v>#N/A</v>
      </c>
    </row>
    <row r="38" spans="1:8">
      <c r="A38" s="90">
        <v>37</v>
      </c>
      <c r="B38" s="91" t="e">
        <f>VLOOKUP(A38,' Data Save '!$A:$U,3,0)</f>
        <v>#N/A</v>
      </c>
      <c r="C38" s="91" t="e">
        <f>VLOOKUP(A38,' Data Save '!$A:$U,4,0)</f>
        <v>#N/A</v>
      </c>
      <c r="D38" s="91" t="e">
        <f>VLOOKUP(Vlookup!A38,' Data Save '!$A:$U,5,0)</f>
        <v>#N/A</v>
      </c>
      <c r="E38" s="93" t="str">
        <f>IFERROR(VLOOKUP(Vlookup!A38,' Data Save '!$A:$U,6,0),"-")</f>
        <v>-</v>
      </c>
      <c r="F38" s="92" t="e">
        <f>VLOOKUP(Vlookup!A38,' Data Save '!$A:$U,10,0)</f>
        <v>#N/A</v>
      </c>
      <c r="G38" s="91" t="e">
        <f>VLOOKUP(Vlookup!A38,' Data Save '!$A:$U,18,0)</f>
        <v>#N/A</v>
      </c>
      <c r="H38" s="96" t="e">
        <f>VLOOKUP(Vlookup!A38,' Data Save '!$A:$U,21,0)</f>
        <v>#N/A</v>
      </c>
    </row>
    <row r="39" spans="1:8">
      <c r="A39" s="90">
        <v>38</v>
      </c>
      <c r="B39" s="91" t="e">
        <f>VLOOKUP(A39,' Data Save '!$A:$U,3,0)</f>
        <v>#N/A</v>
      </c>
      <c r="C39" s="91" t="e">
        <f>VLOOKUP(A39,' Data Save '!$A:$U,4,0)</f>
        <v>#N/A</v>
      </c>
      <c r="D39" s="91" t="e">
        <f>VLOOKUP(Vlookup!A39,' Data Save '!$A:$U,5,0)</f>
        <v>#N/A</v>
      </c>
      <c r="E39" s="93" t="str">
        <f>IFERROR(VLOOKUP(Vlookup!A39,' Data Save '!$A:$U,6,0),"-")</f>
        <v>-</v>
      </c>
      <c r="F39" s="92" t="e">
        <f>VLOOKUP(Vlookup!A39,' Data Save '!$A:$U,10,0)</f>
        <v>#N/A</v>
      </c>
      <c r="G39" s="91" t="e">
        <f>VLOOKUP(Vlookup!A39,' Data Save '!$A:$U,18,0)</f>
        <v>#N/A</v>
      </c>
      <c r="H39" s="96" t="e">
        <f>VLOOKUP(Vlookup!A39,' Data Save '!$A:$U,21,0)</f>
        <v>#N/A</v>
      </c>
    </row>
    <row r="40" spans="1:8">
      <c r="A40" s="90">
        <v>39</v>
      </c>
      <c r="B40" s="91" t="e">
        <f>VLOOKUP(A40,' Data Save '!$A:$U,3,0)</f>
        <v>#N/A</v>
      </c>
      <c r="C40" s="91" t="e">
        <f>VLOOKUP(A40,' Data Save '!$A:$U,4,0)</f>
        <v>#N/A</v>
      </c>
      <c r="D40" s="91" t="e">
        <f>VLOOKUP(Vlookup!A40,' Data Save '!$A:$U,5,0)</f>
        <v>#N/A</v>
      </c>
      <c r="E40" s="93" t="str">
        <f>IFERROR(VLOOKUP(Vlookup!A40,' Data Save '!$A:$U,6,0),"-")</f>
        <v>-</v>
      </c>
      <c r="F40" s="92" t="e">
        <f>VLOOKUP(Vlookup!A40,' Data Save '!$A:$U,10,0)</f>
        <v>#N/A</v>
      </c>
      <c r="G40" s="91" t="e">
        <f>VLOOKUP(Vlookup!A40,' Data Save '!$A:$U,18,0)</f>
        <v>#N/A</v>
      </c>
      <c r="H40" s="96" t="e">
        <f>VLOOKUP(Vlookup!A40,' Data Save '!$A:$U,21,0)</f>
        <v>#N/A</v>
      </c>
    </row>
    <row r="41" spans="1:8">
      <c r="A41" s="90">
        <v>40</v>
      </c>
      <c r="B41" s="91">
        <f>VLOOKUP(A41,' Data Save '!$A:$U,3,0)</f>
        <v>44323</v>
      </c>
      <c r="C41" s="91" t="str">
        <f>VLOOKUP(A41,' Data Save '!$A:$U,4,0)</f>
        <v>ဦးေဌးေအာင္</v>
      </c>
      <c r="D41" s="91" t="str">
        <f>VLOOKUP(Vlookup!A41,' Data Save '!$A:$U,5,0)</f>
        <v>ဓါတ္ေတာ္</v>
      </c>
      <c r="E41" s="93">
        <f>IFERROR(VLOOKUP(Vlookup!A41,' Data Save '!$A:$U,6,0),"-")</f>
        <v>0</v>
      </c>
      <c r="F41" s="92" t="str">
        <f>VLOOKUP(Vlookup!A41,' Data Save '!$A:$U,10,0)</f>
        <v>Engine spare</v>
      </c>
      <c r="G41" s="91">
        <f>VLOOKUP(Vlookup!A41,' Data Save '!$A:$U,18,0)</f>
        <v>44347</v>
      </c>
      <c r="H41" s="96">
        <f>VLOOKUP(Vlookup!A41,' Data Save '!$A:$U,21,0)</f>
        <v>1090000</v>
      </c>
    </row>
    <row r="42" spans="1:8">
      <c r="A42" s="90">
        <v>41</v>
      </c>
      <c r="B42" s="91">
        <f>IFERROR(VLOOKUP(A42,' Data Save '!$A:$U,3,0),"-")</f>
        <v>44323</v>
      </c>
      <c r="C42" s="91" t="str">
        <f>IFERROR(VLOOKUP(A42,' Data Save '!$A:$U,4,0),"-")</f>
        <v>ဦးစန္းသူ</v>
      </c>
      <c r="D42" s="91" t="str">
        <f>IFERROR(VLOOKUP(Vlookup!A42,' Data Save '!$A:$U,5,0),"-")</f>
        <v>ဒလ</v>
      </c>
      <c r="E42" s="93">
        <f>IFERROR(VLOOKUP(Vlookup!A42,' Data Save '!$A:$U,6,0),"-")</f>
        <v>0</v>
      </c>
      <c r="F42" s="92" t="str">
        <f>VLOOKUP(Vlookup!A42,' Data Save '!$A:$U,10,0)</f>
        <v>Tri Spare</v>
      </c>
      <c r="G42" s="91">
        <f>IFERROR(VLOOKUP(Vlookup!A42,' Data Save '!$A:$U,18,0),"-")</f>
        <v>44347</v>
      </c>
      <c r="H42" s="96">
        <f>IFERROR(VLOOKUP(Vlookup!A42,' Data Save '!$A:$U,21,0),"-")</f>
        <v>33500</v>
      </c>
    </row>
    <row r="43" spans="1:8">
      <c r="A43" s="90">
        <v>42</v>
      </c>
      <c r="B43" s="91">
        <f>IFERROR(VLOOKUP(A43,' Data Save '!$A:$U,3,0),"-")</f>
        <v>44324</v>
      </c>
      <c r="C43" s="91" t="str">
        <f>IFERROR(VLOOKUP(A43,' Data Save '!$A:$U,4,0),"-")</f>
        <v>မိဘေမတၱာ</v>
      </c>
      <c r="D43" s="91" t="str">
        <f>IFERROR(VLOOKUP(Vlookup!A43,' Data Save '!$A:$U,5,0),"-")</f>
        <v>ဝါးေသာက္</v>
      </c>
      <c r="E43" s="93">
        <f>IFERROR(VLOOKUP(Vlookup!A43,' Data Save '!$A:$U,6,0),"-")</f>
        <v>0</v>
      </c>
      <c r="F43" s="93">
        <f>IFERROR(VLOOKUP(A43,' Data Save '!$A:$U,10,0),"-")</f>
        <v>0</v>
      </c>
      <c r="G43" s="91">
        <f>IFERROR(VLOOKUP(Vlookup!A43,' Data Save '!$A:$U,18,0),"-")</f>
        <v>44347</v>
      </c>
      <c r="H43" s="96">
        <f>IFERROR(VLOOKUP(Vlookup!A43,' Data Save '!$A:$U,21,0),"-")</f>
        <v>99500</v>
      </c>
    </row>
    <row r="44" spans="1:8">
      <c r="A44" s="90">
        <v>43</v>
      </c>
      <c r="B44" s="91" t="str">
        <f>IFERROR(VLOOKUP(A44,' Data Save '!$A:$U,3,0),"-")</f>
        <v>-</v>
      </c>
      <c r="C44" s="91" t="str">
        <f>IFERROR(VLOOKUP(A44,' Data Save '!$A:$U,4,0),"-")</f>
        <v>-</v>
      </c>
      <c r="D44" s="91" t="str">
        <f>IFERROR(VLOOKUP(Vlookup!A44,' Data Save '!$A:$U,5,0),"-")</f>
        <v>-</v>
      </c>
      <c r="E44" s="93" t="str">
        <f>IFERROR(VLOOKUP(Vlookup!A44,' Data Save '!$A:$U,6,0),"-")</f>
        <v>-</v>
      </c>
      <c r="F44" s="93" t="str">
        <f>IFERROR(VLOOKUP(A44,' Data Save '!$A:$U,10,0),"-")</f>
        <v>-</v>
      </c>
      <c r="G44" s="91" t="str">
        <f>IFERROR(VLOOKUP(Vlookup!A44,' Data Save '!$A:$U,18,0),"-")</f>
        <v>-</v>
      </c>
      <c r="H44" s="96" t="str">
        <f>IFERROR(VLOOKUP(Vlookup!A44,' Data Save '!$A:$U,21,0),"-")</f>
        <v>-</v>
      </c>
    </row>
    <row r="45" spans="1:8">
      <c r="A45" s="90">
        <v>44</v>
      </c>
      <c r="B45" s="91" t="str">
        <f>IFERROR(VLOOKUP(A45,' Data Save '!$A:$U,3,0),"-")</f>
        <v>-</v>
      </c>
      <c r="C45" s="91" t="str">
        <f>IFERROR(VLOOKUP(A45,' Data Save '!$A:$U,4,0),"-")</f>
        <v>-</v>
      </c>
      <c r="D45" s="91" t="str">
        <f>IFERROR(VLOOKUP(Vlookup!A45,' Data Save '!$A:$U,5,0),"-")</f>
        <v>-</v>
      </c>
      <c r="E45" s="93" t="str">
        <f>IFERROR(VLOOKUP(Vlookup!A45,' Data Save '!$A:$U,6,0),"-")</f>
        <v>-</v>
      </c>
      <c r="F45" s="93" t="str">
        <f>IFERROR(VLOOKUP(A45,' Data Save '!$A:$U,10,0),"-")</f>
        <v>-</v>
      </c>
      <c r="G45" s="91" t="str">
        <f>IFERROR(VLOOKUP(Vlookup!A45,' Data Save '!$A:$U,18,0),"-")</f>
        <v>-</v>
      </c>
      <c r="H45" s="96" t="str">
        <f>IFERROR(VLOOKUP(Vlookup!A45,' Data Save '!$A:$U,21,0),"-")</f>
        <v>-</v>
      </c>
    </row>
    <row r="46" spans="1:8">
      <c r="A46" s="90">
        <v>45</v>
      </c>
      <c r="B46" s="91" t="str">
        <f>IFERROR(VLOOKUP(A46,' Data Save '!$A:$U,3,0),"-")</f>
        <v>-</v>
      </c>
      <c r="C46" s="91" t="str">
        <f>IFERROR(VLOOKUP(A46,' Data Save '!$A:$U,4,0),"-")</f>
        <v>-</v>
      </c>
      <c r="D46" s="91" t="str">
        <f>IFERROR(VLOOKUP(Vlookup!A46,' Data Save '!$A:$U,5,0),"-")</f>
        <v>-</v>
      </c>
      <c r="E46" s="93" t="str">
        <f>IFERROR(VLOOKUP(Vlookup!A46,' Data Save '!$A:$U,6,0),"-")</f>
        <v>-</v>
      </c>
      <c r="F46" s="93" t="str">
        <f>IFERROR(VLOOKUP(A46,' Data Save '!$A:$U,10,0),"-")</f>
        <v>-</v>
      </c>
      <c r="G46" s="91" t="str">
        <f>IFERROR(VLOOKUP(Vlookup!A46,' Data Save '!$A:$U,18,0),"-")</f>
        <v>-</v>
      </c>
      <c r="H46" s="96" t="str">
        <f>IFERROR(VLOOKUP(Vlookup!A46,' Data Save '!$A:$U,21,0),"-")</f>
        <v>-</v>
      </c>
    </row>
    <row r="47" spans="1:8">
      <c r="A47" s="90">
        <v>46</v>
      </c>
      <c r="B47" s="91">
        <f>IFERROR(VLOOKUP(A47,' Data Save '!$A:$U,3,0),"-")</f>
        <v>44324</v>
      </c>
      <c r="C47" s="91" t="str">
        <f>IFERROR(VLOOKUP(A47,' Data Save '!$A:$U,4,0),"-")</f>
        <v>မိဘေမတၱာ</v>
      </c>
      <c r="D47" s="91" t="str">
        <f>IFERROR(VLOOKUP(Vlookup!A47,' Data Save '!$A:$U,5,0),"-")</f>
        <v>ဝါးေသာက္</v>
      </c>
      <c r="E47" s="93">
        <f>IFERROR(VLOOKUP(Vlookup!A47,' Data Save '!$A:$U,6,0),"-")</f>
        <v>0</v>
      </c>
      <c r="F47" s="93" t="str">
        <f>IFERROR(VLOOKUP(A47,' Data Save '!$A:$U,10,0),"-")</f>
        <v>Tri Spare</v>
      </c>
      <c r="G47" s="91">
        <f>IFERROR(VLOOKUP(Vlookup!A47,' Data Save '!$A:$U,18,0),"-")</f>
        <v>44347</v>
      </c>
      <c r="H47" s="96">
        <f>IFERROR(VLOOKUP(Vlookup!A47,' Data Save '!$A:$U,21,0),"-")</f>
        <v>3300</v>
      </c>
    </row>
    <row r="48" spans="1:8">
      <c r="A48" s="90">
        <v>47</v>
      </c>
      <c r="B48" s="91">
        <f>IFERROR(VLOOKUP(A48,' Data Save '!$A:$U,3,0),"-")</f>
        <v>44327</v>
      </c>
      <c r="C48" s="91" t="str">
        <f>IFERROR(VLOOKUP(A48,' Data Save '!$A:$U,4,0),"-")</f>
        <v>ကိုေထြး</v>
      </c>
      <c r="D48" s="91" t="str">
        <f>IFERROR(VLOOKUP(Vlookup!A48,' Data Save '!$A:$U,5,0),"-")</f>
        <v>ဝါးေသာက္</v>
      </c>
      <c r="E48" s="93">
        <f>IFERROR(VLOOKUP(Vlookup!A48,' Data Save '!$A:$U,6,0),"-")</f>
        <v>0</v>
      </c>
      <c r="F48" s="93" t="str">
        <f>IFERROR(VLOOKUP(A48,' Data Save '!$A:$U,10,0),"-")</f>
        <v>Engine spare</v>
      </c>
      <c r="G48" s="91">
        <f>IFERROR(VLOOKUP(Vlookup!A48,' Data Save '!$A:$U,18,0),"-")</f>
        <v>44347</v>
      </c>
      <c r="H48" s="96">
        <f>IFERROR(VLOOKUP(Vlookup!A48,' Data Save '!$A:$U,21,0),"-")</f>
        <v>2000</v>
      </c>
    </row>
    <row r="49" spans="1:8">
      <c r="A49" s="90">
        <v>48</v>
      </c>
      <c r="B49" s="91">
        <f>IFERROR(VLOOKUP(A49,' Data Save '!$A:$U,3,0),"-")</f>
        <v>44327</v>
      </c>
      <c r="C49" s="91" t="str">
        <f>IFERROR(VLOOKUP(A49,' Data Save '!$A:$U,4,0),"-")</f>
        <v>ကိုဟန္ေက်ာ္စိုး</v>
      </c>
      <c r="D49" s="91" t="str">
        <f>IFERROR(VLOOKUP(Vlookup!A49,' Data Save '!$A:$U,5,0),"-")</f>
        <v>ထန္းမနိုင္</v>
      </c>
      <c r="E49" s="93">
        <f>IFERROR(VLOOKUP(Vlookup!A49,' Data Save '!$A:$U,6,0),"-")</f>
        <v>0</v>
      </c>
      <c r="F49" s="93" t="str">
        <f>IFERROR(VLOOKUP(A49,' Data Save '!$A:$U,10,0),"-")</f>
        <v>Tri Spare</v>
      </c>
      <c r="G49" s="91">
        <f>IFERROR(VLOOKUP(Vlookup!A49,' Data Save '!$A:$U,18,0),"-")</f>
        <v>44347</v>
      </c>
      <c r="H49" s="96">
        <f>IFERROR(VLOOKUP(Vlookup!A49,' Data Save '!$A:$U,21,0),"-")</f>
        <v>11500</v>
      </c>
    </row>
    <row r="50" spans="1:8">
      <c r="A50" s="90">
        <v>49</v>
      </c>
      <c r="B50" s="91">
        <f>IFERROR(VLOOKUP(A50,' Data Save '!$A:$U,3,0),"-")</f>
        <v>44329</v>
      </c>
      <c r="C50" s="91" t="str">
        <f>IFERROR(VLOOKUP(A50,' Data Save '!$A:$U,4,0),"-")</f>
        <v>ကိုေထြး</v>
      </c>
      <c r="D50" s="91" t="str">
        <f>IFERROR(VLOOKUP(Vlookup!A50,' Data Save '!$A:$U,5,0),"-")</f>
        <v>ဝါးေသာက္</v>
      </c>
      <c r="E50" s="93">
        <f>IFERROR(VLOOKUP(Vlookup!A50,' Data Save '!$A:$U,6,0),"-")</f>
        <v>0</v>
      </c>
      <c r="F50" s="93" t="str">
        <f>IFERROR(VLOOKUP(A50,' Data Save '!$A:$U,10,0),"-")</f>
        <v>Engine spare</v>
      </c>
      <c r="G50" s="91">
        <f>IFERROR(VLOOKUP(Vlookup!A50,' Data Save '!$A:$U,18,0),"-")</f>
        <v>44347</v>
      </c>
      <c r="H50" s="96">
        <f>IFERROR(VLOOKUP(Vlookup!A50,' Data Save '!$A:$U,21,0),"-")</f>
        <v>800</v>
      </c>
    </row>
    <row r="51" spans="1:8">
      <c r="A51" s="90">
        <v>50</v>
      </c>
      <c r="B51" s="91">
        <f>IFERROR(VLOOKUP(A51,' Data Save '!$A:$U,3,0),"-")</f>
        <v>44330</v>
      </c>
      <c r="C51" s="91" t="str">
        <f>IFERROR(VLOOKUP(A51,' Data Save '!$A:$U,4,0),"-")</f>
        <v>ဦးသန္းနိုင္</v>
      </c>
      <c r="D51" s="91" t="str">
        <f>IFERROR(VLOOKUP(Vlookup!A51,' Data Save '!$A:$U,5,0),"-")</f>
        <v>သဲကုန္းတန္း</v>
      </c>
      <c r="E51" s="93">
        <f>IFERROR(VLOOKUP(Vlookup!A51,' Data Save '!$A:$U,6,0),"-")</f>
        <v>0</v>
      </c>
      <c r="F51" s="93" t="str">
        <f>IFERROR(VLOOKUP(A51,' Data Save '!$A:$U,10,0),"-")</f>
        <v>Engine spare</v>
      </c>
      <c r="G51" s="91">
        <f>IFERROR(VLOOKUP(Vlookup!A51,' Data Save '!$A:$U,18,0),"-")</f>
        <v>44347</v>
      </c>
      <c r="H51" s="96">
        <f>IFERROR(VLOOKUP(Vlookup!A51,' Data Save '!$A:$U,21,0),"-")</f>
        <v>35600</v>
      </c>
    </row>
    <row r="52" spans="1:8">
      <c r="A52" s="90">
        <v>51</v>
      </c>
      <c r="B52" s="91">
        <f>IFERROR(VLOOKUP(A52,' Data Save '!$A:$U,3,0),"-")</f>
        <v>44330</v>
      </c>
      <c r="C52" s="91" t="str">
        <f>IFERROR(VLOOKUP(A52,' Data Save '!$A:$U,4,0),"-")</f>
        <v>ဦးနိုင္ဝင္း</v>
      </c>
      <c r="D52" s="91" t="str">
        <f>IFERROR(VLOOKUP(Vlookup!A52,' Data Save '!$A:$U,5,0),"-")</f>
        <v>ေကာ့မွဴး</v>
      </c>
      <c r="E52" s="93">
        <f>IFERROR(VLOOKUP(Vlookup!A52,' Data Save '!$A:$U,6,0),"-")</f>
        <v>0</v>
      </c>
      <c r="F52" s="93" t="str">
        <f>IFERROR(VLOOKUP(A52,' Data Save '!$A:$U,10,0),"-")</f>
        <v>Tri Spare</v>
      </c>
      <c r="G52" s="91">
        <f>IFERROR(VLOOKUP(Vlookup!A52,' Data Save '!$A:$U,18,0),"-")</f>
        <v>44347</v>
      </c>
      <c r="H52" s="96">
        <f>IFERROR(VLOOKUP(Vlookup!A52,' Data Save '!$A:$U,21,0),"-")</f>
        <v>19900</v>
      </c>
    </row>
    <row r="53" spans="1:8">
      <c r="A53" s="90">
        <v>52</v>
      </c>
      <c r="B53" s="91" t="str">
        <f>IFERROR(VLOOKUP(A53,' Data Save '!$A:$U,3,0),"-")</f>
        <v>-</v>
      </c>
      <c r="C53" s="91" t="str">
        <f>IFERROR(VLOOKUP(A53,' Data Save '!$A:$U,4,0),"-")</f>
        <v>-</v>
      </c>
      <c r="D53" s="91" t="str">
        <f>IFERROR(VLOOKUP(Vlookup!A53,' Data Save '!$A:$U,5,0),"-")</f>
        <v>-</v>
      </c>
      <c r="E53" s="93" t="str">
        <f>IFERROR(VLOOKUP(Vlookup!A53,' Data Save '!$A:$U,6,0),"-")</f>
        <v>-</v>
      </c>
      <c r="F53" s="93" t="str">
        <f>IFERROR(VLOOKUP(A53,' Data Save '!$A:$U,10,0),"-")</f>
        <v>-</v>
      </c>
      <c r="G53" s="91" t="str">
        <f>IFERROR(VLOOKUP(Vlookup!A53,' Data Save '!$A:$U,18,0),"-")</f>
        <v>-</v>
      </c>
      <c r="H53" s="96" t="str">
        <f>IFERROR(VLOOKUP(Vlookup!A53,' Data Save '!$A:$U,21,0),"-")</f>
        <v>-</v>
      </c>
    </row>
    <row r="54" spans="1:8">
      <c r="A54" s="90">
        <v>53</v>
      </c>
      <c r="B54" s="91">
        <f>IFERROR(VLOOKUP(A54,' Data Save '!$A:$U,3,0),"-")</f>
        <v>44330</v>
      </c>
      <c r="C54" s="91" t="str">
        <f>IFERROR(VLOOKUP(A54,' Data Save '!$A:$U,4,0),"-")</f>
        <v>ေမာ္ေမာ္</v>
      </c>
      <c r="D54" s="91" t="str">
        <f>IFERROR(VLOOKUP(Vlookup!A54,' Data Save '!$A:$U,5,0),"-")</f>
        <v>ဝါးေသာက္</v>
      </c>
      <c r="E54" s="93">
        <f>IFERROR(VLOOKUP(Vlookup!A54,' Data Save '!$A:$U,6,0),"-")</f>
        <v>0</v>
      </c>
      <c r="F54" s="93" t="str">
        <f>IFERROR(VLOOKUP(A54,' Data Save '!$A:$U,10,0),"-")</f>
        <v>ေရေမာ္တာ</v>
      </c>
      <c r="G54" s="91">
        <f>IFERROR(VLOOKUP(Vlookup!A54,' Data Save '!$A:$U,18,0),"-")</f>
        <v>44347</v>
      </c>
      <c r="H54" s="96">
        <f>IFERROR(VLOOKUP(Vlookup!A54,' Data Save '!$A:$U,21,0),"-")</f>
        <v>5000</v>
      </c>
    </row>
    <row r="55" spans="1:8">
      <c r="G55" s="91" t="str">
        <f>IFERROR(VLOOKUP(Vlookup!A55,' Data Save '!$A:$U,18,0),"-")</f>
        <v>-</v>
      </c>
    </row>
  </sheetData>
  <autoFilter ref="A1:H5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47"/>
  <sheetViews>
    <sheetView workbookViewId="0">
      <selection activeCell="E8" sqref="E8"/>
    </sheetView>
  </sheetViews>
  <sheetFormatPr defaultColWidth="8.7109375" defaultRowHeight="21.75"/>
  <cols>
    <col min="1" max="1" width="16.42578125" style="90" customWidth="1"/>
    <col min="2" max="2" width="11.140625" style="3" customWidth="1"/>
    <col min="3" max="3" width="17" style="3" bestFit="1" customWidth="1"/>
    <col min="4" max="4" width="15.140625" style="3" bestFit="1" customWidth="1"/>
    <col min="5" max="5" width="15.5703125" style="43" bestFit="1" customWidth="1"/>
    <col min="6" max="6" width="20.28515625" style="43" bestFit="1" customWidth="1"/>
    <col min="7" max="7" width="17.140625" style="3" bestFit="1" customWidth="1"/>
    <col min="8" max="8" width="20.140625" style="4" customWidth="1"/>
    <col min="9" max="16384" width="8.7109375" style="3"/>
  </cols>
  <sheetData>
    <row r="3" spans="1:8">
      <c r="A3" s="99" t="s">
        <v>38</v>
      </c>
      <c r="B3" s="98" t="s">
        <v>11</v>
      </c>
      <c r="C3" s="98" t="s">
        <v>12</v>
      </c>
      <c r="D3" s="98" t="s">
        <v>13</v>
      </c>
      <c r="E3" s="98" t="s">
        <v>5</v>
      </c>
      <c r="F3" s="98" t="s">
        <v>17</v>
      </c>
      <c r="G3" s="98" t="s">
        <v>21</v>
      </c>
      <c r="H3" s="103" t="s">
        <v>98</v>
      </c>
    </row>
    <row r="4" spans="1:8">
      <c r="A4" s="90">
        <v>2</v>
      </c>
      <c r="B4" s="97">
        <v>44242</v>
      </c>
      <c r="C4" s="3" t="s">
        <v>31</v>
      </c>
      <c r="D4" s="3" t="s">
        <v>24</v>
      </c>
      <c r="E4" s="3" t="s">
        <v>77</v>
      </c>
      <c r="F4" s="3" t="s">
        <v>32</v>
      </c>
      <c r="G4" s="97">
        <v>44270</v>
      </c>
      <c r="H4" s="102">
        <v>225000</v>
      </c>
    </row>
    <row r="5" spans="1:8">
      <c r="A5" s="90">
        <v>4</v>
      </c>
      <c r="B5" s="97">
        <v>44272</v>
      </c>
      <c r="C5" s="3" t="s">
        <v>28</v>
      </c>
      <c r="D5" s="3" t="s">
        <v>29</v>
      </c>
      <c r="E5" s="3">
        <v>0</v>
      </c>
      <c r="F5" s="3" t="s">
        <v>58</v>
      </c>
      <c r="G5" s="97">
        <v>44275</v>
      </c>
      <c r="H5" s="102">
        <v>83500</v>
      </c>
    </row>
    <row r="6" spans="1:8">
      <c r="A6" s="90">
        <v>6</v>
      </c>
      <c r="B6" s="97">
        <v>44203</v>
      </c>
      <c r="C6" s="3" t="s">
        <v>40</v>
      </c>
      <c r="D6" s="3" t="s">
        <v>41</v>
      </c>
      <c r="E6" s="3">
        <v>0</v>
      </c>
      <c r="F6" s="3" t="s">
        <v>59</v>
      </c>
      <c r="G6" s="97">
        <v>44234</v>
      </c>
      <c r="H6" s="102">
        <v>138000</v>
      </c>
    </row>
    <row r="7" spans="1:8">
      <c r="A7" s="90">
        <v>7</v>
      </c>
      <c r="B7" s="97">
        <v>44201</v>
      </c>
      <c r="C7" s="3" t="s">
        <v>42</v>
      </c>
      <c r="D7" s="3" t="s">
        <v>27</v>
      </c>
      <c r="E7" s="3">
        <v>0</v>
      </c>
      <c r="F7" s="3">
        <v>0</v>
      </c>
      <c r="G7" s="97">
        <v>44232</v>
      </c>
      <c r="H7" s="102">
        <v>4000</v>
      </c>
    </row>
    <row r="8" spans="1:8">
      <c r="A8" s="90">
        <v>9</v>
      </c>
      <c r="B8" s="97">
        <v>44211</v>
      </c>
      <c r="C8" s="3" t="s">
        <v>60</v>
      </c>
      <c r="D8" s="3" t="s">
        <v>29</v>
      </c>
      <c r="E8" s="3">
        <v>0</v>
      </c>
      <c r="F8" s="3">
        <v>0</v>
      </c>
      <c r="G8" s="97">
        <v>44242</v>
      </c>
      <c r="H8" s="102">
        <v>11000</v>
      </c>
    </row>
    <row r="9" spans="1:8">
      <c r="A9" s="90">
        <v>11</v>
      </c>
      <c r="B9" s="97">
        <v>44227</v>
      </c>
      <c r="C9" s="3" t="s">
        <v>46</v>
      </c>
      <c r="D9" s="3" t="s">
        <v>61</v>
      </c>
      <c r="E9" s="3">
        <v>0</v>
      </c>
      <c r="F9" s="3" t="s">
        <v>62</v>
      </c>
      <c r="G9" s="97">
        <v>44255</v>
      </c>
      <c r="H9" s="102">
        <v>5000</v>
      </c>
    </row>
    <row r="10" spans="1:8">
      <c r="A10" s="90">
        <v>12</v>
      </c>
      <c r="B10" s="97">
        <v>44176</v>
      </c>
      <c r="C10" s="3" t="s">
        <v>34</v>
      </c>
      <c r="D10" s="3" t="s">
        <v>39</v>
      </c>
      <c r="E10" s="3">
        <v>0</v>
      </c>
      <c r="F10" s="3" t="s">
        <v>47</v>
      </c>
      <c r="G10" s="97">
        <v>44207</v>
      </c>
      <c r="H10" s="102">
        <v>7000</v>
      </c>
    </row>
    <row r="11" spans="1:8">
      <c r="A11" s="90">
        <v>13</v>
      </c>
      <c r="B11" s="97">
        <v>44536</v>
      </c>
      <c r="C11" s="3" t="s">
        <v>48</v>
      </c>
      <c r="D11" s="3" t="s">
        <v>41</v>
      </c>
      <c r="E11" s="3">
        <v>0</v>
      </c>
      <c r="F11" s="3">
        <v>0</v>
      </c>
      <c r="G11" s="97">
        <v>44202</v>
      </c>
      <c r="H11" s="102">
        <v>33500</v>
      </c>
    </row>
    <row r="12" spans="1:8">
      <c r="A12" s="90">
        <v>14</v>
      </c>
      <c r="B12" s="97">
        <v>44180</v>
      </c>
      <c r="C12" s="3" t="s">
        <v>63</v>
      </c>
      <c r="D12" s="3" t="s">
        <v>49</v>
      </c>
      <c r="E12" s="3">
        <v>0</v>
      </c>
      <c r="F12" s="3">
        <v>0</v>
      </c>
      <c r="G12" s="97">
        <v>44211</v>
      </c>
      <c r="H12" s="102">
        <v>19500</v>
      </c>
    </row>
    <row r="13" spans="1:8">
      <c r="A13" s="90">
        <v>15</v>
      </c>
      <c r="B13" s="97">
        <v>44252</v>
      </c>
      <c r="C13" s="3" t="s">
        <v>50</v>
      </c>
      <c r="D13" s="3" t="s">
        <v>51</v>
      </c>
      <c r="E13" s="3">
        <v>0</v>
      </c>
      <c r="F13" s="3" t="s">
        <v>52</v>
      </c>
      <c r="G13" s="97">
        <v>44280</v>
      </c>
      <c r="H13" s="102">
        <v>22000</v>
      </c>
    </row>
    <row r="14" spans="1:8">
      <c r="A14" s="90">
        <v>16</v>
      </c>
      <c r="B14" s="97">
        <v>44257</v>
      </c>
      <c r="C14" s="3" t="s">
        <v>64</v>
      </c>
      <c r="D14" s="3" t="s">
        <v>23</v>
      </c>
      <c r="E14" s="3">
        <v>0</v>
      </c>
      <c r="F14" s="3" t="s">
        <v>65</v>
      </c>
      <c r="G14" s="97">
        <v>44288</v>
      </c>
      <c r="H14" s="102">
        <v>35000</v>
      </c>
    </row>
    <row r="15" spans="1:8">
      <c r="A15" s="90">
        <v>20</v>
      </c>
      <c r="B15" s="97">
        <v>44264</v>
      </c>
      <c r="C15" s="3" t="s">
        <v>66</v>
      </c>
      <c r="D15" s="3" t="s">
        <v>39</v>
      </c>
      <c r="E15" s="3">
        <v>0</v>
      </c>
      <c r="F15" s="3" t="s">
        <v>44</v>
      </c>
      <c r="G15" s="97">
        <v>44286</v>
      </c>
      <c r="H15" s="102">
        <v>17500</v>
      </c>
    </row>
    <row r="16" spans="1:8">
      <c r="A16" s="90">
        <v>25</v>
      </c>
      <c r="B16" s="97">
        <v>44276</v>
      </c>
      <c r="C16" s="3" t="s">
        <v>56</v>
      </c>
      <c r="D16" s="3" t="s">
        <v>67</v>
      </c>
      <c r="E16" s="3" t="s">
        <v>78</v>
      </c>
      <c r="F16" s="3" t="s">
        <v>57</v>
      </c>
      <c r="G16" s="97">
        <v>44284</v>
      </c>
      <c r="H16" s="102">
        <v>62000</v>
      </c>
    </row>
    <row r="17" spans="1:8">
      <c r="A17" s="90">
        <v>26</v>
      </c>
      <c r="B17" s="97">
        <v>44276</v>
      </c>
      <c r="C17" s="3" t="s">
        <v>55</v>
      </c>
      <c r="D17" s="3" t="s">
        <v>39</v>
      </c>
      <c r="E17" s="3">
        <v>0</v>
      </c>
      <c r="F17" s="3" t="s">
        <v>53</v>
      </c>
      <c r="G17" s="97">
        <v>44284</v>
      </c>
      <c r="H17" s="102">
        <v>63000</v>
      </c>
    </row>
    <row r="18" spans="1:8">
      <c r="A18" s="90">
        <v>27</v>
      </c>
      <c r="B18" s="97">
        <v>44276</v>
      </c>
      <c r="C18" s="3" t="s">
        <v>43</v>
      </c>
      <c r="D18" s="3" t="s">
        <v>39</v>
      </c>
      <c r="E18" s="3">
        <v>0</v>
      </c>
      <c r="F18" s="3" t="s">
        <v>68</v>
      </c>
      <c r="G18" s="97">
        <v>44284</v>
      </c>
      <c r="H18" s="102">
        <v>20000</v>
      </c>
    </row>
    <row r="19" spans="1:8">
      <c r="A19" s="90">
        <v>29</v>
      </c>
      <c r="B19" s="97">
        <v>44169</v>
      </c>
      <c r="C19" s="3" t="s">
        <v>79</v>
      </c>
      <c r="D19" s="3" t="s">
        <v>39</v>
      </c>
      <c r="E19" s="3">
        <v>0</v>
      </c>
      <c r="F19" s="3" t="s">
        <v>80</v>
      </c>
      <c r="G19" s="97">
        <v>44195</v>
      </c>
      <c r="H19" s="102">
        <v>48200</v>
      </c>
    </row>
    <row r="20" spans="1:8">
      <c r="A20" s="90">
        <v>31</v>
      </c>
      <c r="B20" s="97">
        <v>44284</v>
      </c>
      <c r="C20" s="3" t="s">
        <v>84</v>
      </c>
      <c r="D20" s="3" t="s">
        <v>85</v>
      </c>
      <c r="E20" s="3">
        <v>0</v>
      </c>
      <c r="F20" s="3" t="s">
        <v>86</v>
      </c>
      <c r="G20" s="97">
        <v>44315</v>
      </c>
      <c r="H20" s="102">
        <v>93000</v>
      </c>
    </row>
    <row r="21" spans="1:8">
      <c r="A21" s="90">
        <v>32</v>
      </c>
      <c r="B21" s="97">
        <v>44284</v>
      </c>
      <c r="C21" s="3" t="s">
        <v>54</v>
      </c>
      <c r="D21" s="3" t="s">
        <v>39</v>
      </c>
      <c r="E21" s="3">
        <v>0</v>
      </c>
      <c r="F21" s="3">
        <v>0</v>
      </c>
      <c r="G21" s="97">
        <v>44285</v>
      </c>
      <c r="H21" s="102">
        <v>5200</v>
      </c>
    </row>
    <row r="22" spans="1:8">
      <c r="A22" s="90">
        <v>33</v>
      </c>
      <c r="B22" s="97">
        <v>44285</v>
      </c>
      <c r="C22" s="3" t="s">
        <v>54</v>
      </c>
      <c r="D22" s="3" t="s">
        <v>39</v>
      </c>
      <c r="E22" s="3">
        <v>0</v>
      </c>
      <c r="F22" s="3" t="s">
        <v>87</v>
      </c>
      <c r="G22" s="97">
        <v>44301</v>
      </c>
      <c r="H22" s="102">
        <v>15000</v>
      </c>
    </row>
    <row r="23" spans="1:8">
      <c r="A23" s="90">
        <v>34</v>
      </c>
      <c r="B23" s="97">
        <v>44285</v>
      </c>
      <c r="C23" s="3" t="s">
        <v>88</v>
      </c>
      <c r="D23" s="3" t="s">
        <v>41</v>
      </c>
      <c r="E23" s="3">
        <v>0</v>
      </c>
      <c r="F23" s="3" t="s">
        <v>89</v>
      </c>
      <c r="G23" s="97">
        <v>44301</v>
      </c>
      <c r="H23" s="102">
        <v>10500</v>
      </c>
    </row>
    <row r="24" spans="1:8">
      <c r="A24" s="90">
        <v>35</v>
      </c>
      <c r="B24" s="97">
        <v>44285</v>
      </c>
      <c r="C24" s="3" t="s">
        <v>90</v>
      </c>
      <c r="D24" s="3" t="s">
        <v>45</v>
      </c>
      <c r="E24" s="3">
        <v>0</v>
      </c>
      <c r="F24" s="3" t="s">
        <v>80</v>
      </c>
      <c r="G24" s="97">
        <v>44301</v>
      </c>
      <c r="H24" s="102">
        <v>7000</v>
      </c>
    </row>
    <row r="25" spans="1:8">
      <c r="A25" s="90">
        <v>37</v>
      </c>
      <c r="B25" s="97">
        <v>44288</v>
      </c>
      <c r="C25" s="3" t="s">
        <v>54</v>
      </c>
      <c r="D25" s="3" t="s">
        <v>39</v>
      </c>
      <c r="E25" s="3">
        <v>0</v>
      </c>
      <c r="F25" s="3" t="s">
        <v>91</v>
      </c>
      <c r="G25" s="97">
        <v>44301</v>
      </c>
      <c r="H25" s="102">
        <v>89000</v>
      </c>
    </row>
    <row r="26" spans="1:8">
      <c r="A26" s="90">
        <v>39</v>
      </c>
      <c r="B26" s="97">
        <v>44291</v>
      </c>
      <c r="C26" s="3" t="s">
        <v>54</v>
      </c>
      <c r="D26" s="3" t="s">
        <v>39</v>
      </c>
      <c r="E26" s="3">
        <v>0</v>
      </c>
      <c r="F26" s="3" t="s">
        <v>92</v>
      </c>
      <c r="G26" s="97">
        <v>44316</v>
      </c>
      <c r="H26" s="102">
        <v>101700</v>
      </c>
    </row>
    <row r="27" spans="1:8">
      <c r="A27" s="90">
        <v>40</v>
      </c>
      <c r="B27" s="97">
        <v>44291</v>
      </c>
      <c r="C27" s="3" t="s">
        <v>93</v>
      </c>
      <c r="D27" s="3" t="s">
        <v>39</v>
      </c>
      <c r="E27" s="3">
        <v>0</v>
      </c>
      <c r="F27" s="3" t="s">
        <v>94</v>
      </c>
      <c r="G27" s="97">
        <v>44316</v>
      </c>
      <c r="H27" s="102">
        <v>15000</v>
      </c>
    </row>
    <row r="28" spans="1:8">
      <c r="A28" s="90">
        <v>41</v>
      </c>
      <c r="B28" s="97">
        <v>44291</v>
      </c>
      <c r="C28" s="3" t="s">
        <v>95</v>
      </c>
      <c r="D28" s="3" t="s">
        <v>39</v>
      </c>
      <c r="E28" s="3">
        <v>0</v>
      </c>
      <c r="F28" s="3" t="s">
        <v>96</v>
      </c>
      <c r="G28" s="97">
        <v>44316</v>
      </c>
      <c r="H28" s="102">
        <v>30000</v>
      </c>
    </row>
    <row r="29" spans="1:8">
      <c r="A29" s="90" t="s">
        <v>97</v>
      </c>
      <c r="B29" s="90"/>
      <c r="C29" s="90"/>
      <c r="D29" s="90"/>
      <c r="E29" s="90"/>
      <c r="F29" s="90"/>
      <c r="G29" s="90"/>
      <c r="H29" s="102">
        <v>1160600</v>
      </c>
    </row>
    <row r="30" spans="1:8">
      <c r="A30"/>
      <c r="B30"/>
      <c r="C30"/>
      <c r="D30"/>
      <c r="E30"/>
      <c r="F30"/>
      <c r="G30"/>
      <c r="H30"/>
    </row>
    <row r="31" spans="1:8">
      <c r="A31"/>
      <c r="B31"/>
      <c r="C31"/>
      <c r="D31"/>
      <c r="E31"/>
      <c r="F31"/>
      <c r="G31"/>
      <c r="H31"/>
    </row>
    <row r="32" spans="1:8">
      <c r="A32"/>
      <c r="B32"/>
      <c r="C32"/>
      <c r="D32"/>
      <c r="E32" s="101"/>
      <c r="F32" s="101"/>
      <c r="G32"/>
      <c r="H32" s="100"/>
    </row>
    <row r="33" spans="1:8">
      <c r="A33"/>
      <c r="B33"/>
      <c r="C33"/>
      <c r="D33"/>
      <c r="E33" s="101"/>
      <c r="F33" s="101"/>
      <c r="G33"/>
      <c r="H33" s="100"/>
    </row>
    <row r="34" spans="1:8">
      <c r="A34"/>
      <c r="B34"/>
      <c r="C34"/>
      <c r="D34"/>
      <c r="E34" s="101"/>
      <c r="F34" s="101"/>
      <c r="G34"/>
      <c r="H34" s="100"/>
    </row>
    <row r="35" spans="1:8">
      <c r="A35"/>
      <c r="B35"/>
      <c r="C35"/>
      <c r="D35"/>
      <c r="E35" s="101"/>
      <c r="F35" s="101"/>
      <c r="G35"/>
      <c r="H35" s="100"/>
    </row>
    <row r="36" spans="1:8">
      <c r="A36"/>
      <c r="B36"/>
      <c r="C36"/>
      <c r="D36"/>
      <c r="E36" s="101"/>
      <c r="F36" s="101"/>
      <c r="G36"/>
      <c r="H36" s="100"/>
    </row>
    <row r="37" spans="1:8">
      <c r="A37"/>
      <c r="B37"/>
      <c r="C37"/>
      <c r="D37"/>
      <c r="E37" s="101"/>
      <c r="F37" s="101"/>
      <c r="G37"/>
      <c r="H37" s="100"/>
    </row>
    <row r="38" spans="1:8">
      <c r="A38"/>
      <c r="B38"/>
      <c r="C38"/>
      <c r="D38"/>
      <c r="E38" s="101"/>
      <c r="F38" s="101"/>
      <c r="G38"/>
      <c r="H38" s="100"/>
    </row>
    <row r="39" spans="1:8">
      <c r="A39"/>
      <c r="B39"/>
      <c r="C39"/>
      <c r="D39"/>
      <c r="E39" s="101"/>
      <c r="F39" s="101"/>
      <c r="G39"/>
      <c r="H39" s="100"/>
    </row>
    <row r="40" spans="1:8">
      <c r="A40"/>
      <c r="B40"/>
      <c r="C40"/>
      <c r="D40"/>
      <c r="E40" s="101"/>
      <c r="F40" s="101"/>
      <c r="G40"/>
      <c r="H40" s="100"/>
    </row>
    <row r="41" spans="1:8">
      <c r="A41"/>
      <c r="B41"/>
      <c r="C41"/>
      <c r="D41"/>
      <c r="E41" s="101"/>
      <c r="F41" s="101"/>
      <c r="G41"/>
      <c r="H41" s="100"/>
    </row>
    <row r="42" spans="1:8">
      <c r="A42"/>
      <c r="B42"/>
      <c r="C42"/>
      <c r="D42"/>
      <c r="E42" s="101"/>
      <c r="F42" s="101"/>
      <c r="G42"/>
      <c r="H42" s="100"/>
    </row>
    <row r="43" spans="1:8">
      <c r="A43"/>
      <c r="B43"/>
      <c r="C43"/>
      <c r="D43"/>
      <c r="E43" s="101"/>
      <c r="F43" s="101"/>
      <c r="G43"/>
      <c r="H43" s="100"/>
    </row>
    <row r="44" spans="1:8">
      <c r="A44"/>
      <c r="B44"/>
      <c r="C44"/>
      <c r="D44"/>
      <c r="E44" s="101"/>
      <c r="F44" s="101"/>
      <c r="G44"/>
      <c r="H44" s="100"/>
    </row>
    <row r="45" spans="1:8">
      <c r="A45"/>
      <c r="B45"/>
      <c r="C45"/>
      <c r="D45"/>
      <c r="E45" s="101"/>
      <c r="F45" s="101"/>
      <c r="G45"/>
      <c r="H45" s="100"/>
    </row>
    <row r="46" spans="1:8">
      <c r="A46"/>
      <c r="B46"/>
      <c r="C46"/>
      <c r="D46"/>
      <c r="E46" s="101"/>
      <c r="F46" s="101"/>
      <c r="G46"/>
      <c r="H46" s="100"/>
    </row>
    <row r="47" spans="1:8">
      <c r="A47"/>
      <c r="B47"/>
      <c r="C47"/>
      <c r="D47"/>
      <c r="E47" s="101"/>
      <c r="F47" s="101"/>
      <c r="G47"/>
      <c r="H47" s="100"/>
    </row>
  </sheetData>
  <pageMargins left="0.7" right="0.7" top="0.75" bottom="0.75" header="0.3" footer="0.3"/>
  <pageSetup orientation="portrait" horizontalDpi="0" verticalDpi="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Z57"/>
  <sheetViews>
    <sheetView topLeftCell="A4" zoomScaleNormal="100" workbookViewId="0">
      <selection activeCell="G13" sqref="G13"/>
    </sheetView>
  </sheetViews>
  <sheetFormatPr defaultColWidth="9.140625" defaultRowHeight="21.75"/>
  <cols>
    <col min="1" max="1" width="11.7109375" style="26" customWidth="1"/>
    <col min="2" max="2" width="31.85546875" style="60" customWidth="1"/>
    <col min="3" max="3" width="9" style="26" customWidth="1"/>
    <col min="4" max="4" width="20.7109375" style="26" customWidth="1"/>
    <col min="5" max="5" width="24" style="26" bestFit="1" customWidth="1"/>
    <col min="6" max="7" width="9.140625" style="26"/>
    <col min="8" max="8" width="11.28515625" style="26" bestFit="1" customWidth="1"/>
    <col min="9" max="9" width="17.42578125" style="26" customWidth="1"/>
    <col min="10" max="10" width="14.140625" style="26" customWidth="1"/>
    <col min="11" max="11" width="9.42578125" style="26" bestFit="1" customWidth="1"/>
    <col min="12" max="12" width="10.5703125" style="26" bestFit="1" customWidth="1"/>
    <col min="13" max="14" width="9.140625" style="26"/>
    <col min="15" max="15" width="10.5703125" style="26" bestFit="1" customWidth="1"/>
    <col min="16" max="16" width="13.140625" style="26" bestFit="1" customWidth="1"/>
    <col min="17" max="17" width="12.140625" style="26" bestFit="1" customWidth="1"/>
    <col min="18" max="18" width="9.140625" style="26"/>
    <col min="19" max="19" width="11.85546875" style="28" bestFit="1" customWidth="1"/>
    <col min="20" max="22" width="9.140625" style="26"/>
    <col min="23" max="23" width="12" style="26" bestFit="1" customWidth="1"/>
    <col min="24" max="16384" width="9.140625" style="26"/>
  </cols>
  <sheetData>
    <row r="1" spans="1:26" s="3" customFormat="1">
      <c r="A1" s="84" t="s">
        <v>81</v>
      </c>
      <c r="B1" s="85" t="s">
        <v>82</v>
      </c>
      <c r="E1" s="5"/>
      <c r="F1" s="26"/>
      <c r="G1" s="26"/>
      <c r="H1" s="38"/>
      <c r="I1" s="38"/>
      <c r="J1" s="38"/>
      <c r="K1" s="38"/>
      <c r="L1" s="38"/>
      <c r="M1" s="38"/>
      <c r="N1" s="38"/>
      <c r="O1" s="38"/>
      <c r="P1" s="38"/>
      <c r="Q1" s="38"/>
      <c r="R1" s="38"/>
      <c r="S1" s="39"/>
      <c r="T1" s="38"/>
      <c r="U1" s="38"/>
      <c r="V1" s="38"/>
      <c r="W1" s="38"/>
      <c r="X1" s="38"/>
      <c r="Y1" s="38"/>
      <c r="Z1" s="38"/>
    </row>
    <row r="2" spans="1:26" s="3" customFormat="1">
      <c r="B2" s="43"/>
      <c r="E2" s="5"/>
      <c r="F2" s="26"/>
      <c r="G2" s="26"/>
      <c r="H2" s="38"/>
      <c r="I2" s="38"/>
      <c r="J2" s="38"/>
      <c r="K2" s="38"/>
      <c r="L2" s="38"/>
      <c r="M2" s="38"/>
      <c r="N2" s="38"/>
      <c r="O2" s="38"/>
      <c r="P2" s="38"/>
      <c r="Q2" s="38"/>
      <c r="R2" s="38"/>
      <c r="S2" s="39"/>
      <c r="T2" s="38"/>
      <c r="U2" s="38"/>
      <c r="V2" s="38"/>
      <c r="W2" s="38"/>
      <c r="X2" s="38"/>
      <c r="Y2" s="38"/>
      <c r="Z2" s="38"/>
    </row>
    <row r="3" spans="1:26" s="3" customFormat="1">
      <c r="B3" s="43"/>
      <c r="E3" s="5"/>
      <c r="F3" s="26"/>
      <c r="G3" s="26"/>
      <c r="H3" s="38"/>
      <c r="I3" s="38"/>
      <c r="J3" s="38"/>
      <c r="K3" s="38"/>
      <c r="L3" s="38"/>
      <c r="M3" s="38"/>
      <c r="N3" s="38"/>
      <c r="O3" s="38"/>
      <c r="P3" s="38"/>
      <c r="Q3" s="38"/>
      <c r="R3" s="38"/>
      <c r="S3" s="39"/>
      <c r="T3" s="38"/>
      <c r="U3" s="38"/>
      <c r="V3" s="38"/>
      <c r="W3" s="38"/>
      <c r="X3" s="38"/>
      <c r="Y3" s="38"/>
      <c r="Z3" s="38"/>
    </row>
    <row r="4" spans="1:26" s="3" customFormat="1">
      <c r="B4" s="43"/>
      <c r="E4" s="5"/>
      <c r="F4" s="26"/>
      <c r="G4" s="26"/>
      <c r="H4" s="38"/>
      <c r="I4" s="38"/>
      <c r="J4" s="38"/>
      <c r="K4" s="38"/>
      <c r="L4" s="38"/>
      <c r="M4" s="38"/>
      <c r="N4" s="38"/>
      <c r="O4" s="38"/>
      <c r="P4" s="38"/>
      <c r="Q4" s="38"/>
      <c r="R4" s="38"/>
      <c r="S4" s="39"/>
      <c r="T4" s="38"/>
      <c r="U4" s="38"/>
      <c r="V4" s="38"/>
      <c r="W4" s="38"/>
      <c r="X4" s="38"/>
      <c r="Y4" s="38"/>
      <c r="Z4" s="38"/>
    </row>
    <row r="5" spans="1:26" s="3" customFormat="1">
      <c r="B5" s="43"/>
      <c r="E5" s="5"/>
      <c r="F5" s="26"/>
      <c r="G5" s="26"/>
      <c r="H5" s="38"/>
      <c r="I5" s="38"/>
      <c r="J5" s="38"/>
      <c r="K5" s="38"/>
      <c r="L5" s="38"/>
      <c r="M5" s="38"/>
      <c r="N5" s="38"/>
      <c r="O5" s="38"/>
      <c r="P5" s="38"/>
      <c r="Q5" s="38"/>
      <c r="R5" s="38"/>
      <c r="S5" s="39"/>
      <c r="T5" s="38"/>
      <c r="U5" s="38"/>
      <c r="V5" s="38"/>
      <c r="W5" s="38"/>
      <c r="X5" s="38"/>
      <c r="Y5" s="38"/>
      <c r="Z5" s="38"/>
    </row>
    <row r="6" spans="1:26" s="3" customFormat="1">
      <c r="B6" s="43"/>
      <c r="E6" s="5"/>
      <c r="F6" s="26"/>
      <c r="G6" s="26"/>
      <c r="H6" s="38"/>
      <c r="I6" s="38"/>
      <c r="J6" s="38"/>
      <c r="K6" s="38"/>
      <c r="L6" s="38"/>
      <c r="M6" s="38"/>
      <c r="N6" s="38"/>
      <c r="O6" s="38"/>
      <c r="P6" s="38"/>
      <c r="Q6" s="38"/>
      <c r="R6" s="38"/>
      <c r="S6" s="39"/>
      <c r="T6" s="38"/>
      <c r="U6" s="38"/>
      <c r="V6" s="38"/>
      <c r="W6" s="38"/>
      <c r="X6" s="38"/>
      <c r="Y6" s="38"/>
      <c r="Z6" s="38"/>
    </row>
    <row r="7" spans="1:26" s="3" customFormat="1">
      <c r="B7" s="43"/>
      <c r="E7" s="5"/>
      <c r="F7" s="26"/>
      <c r="G7" s="26"/>
      <c r="H7" s="38"/>
      <c r="I7" s="38"/>
      <c r="J7" s="38"/>
      <c r="K7" s="38"/>
      <c r="L7" s="38"/>
      <c r="M7" s="38"/>
      <c r="N7" s="38"/>
      <c r="O7" s="38"/>
      <c r="P7" s="38"/>
      <c r="Q7" s="38"/>
      <c r="R7" s="38"/>
      <c r="S7" s="39"/>
      <c r="T7" s="38"/>
      <c r="U7" s="38"/>
      <c r="V7" s="38"/>
      <c r="W7" s="38"/>
      <c r="X7" s="38"/>
      <c r="Y7" s="38"/>
      <c r="Z7" s="38"/>
    </row>
    <row r="8" spans="1:26" s="3" customFormat="1">
      <c r="B8" s="43"/>
      <c r="E8" s="5"/>
      <c r="F8" s="26"/>
      <c r="G8" s="26"/>
      <c r="H8" s="38"/>
      <c r="I8" s="38"/>
      <c r="J8" s="38"/>
      <c r="K8" s="38"/>
      <c r="L8" s="38"/>
      <c r="M8" s="38"/>
      <c r="N8" s="38"/>
      <c r="O8" s="38"/>
      <c r="P8" s="38"/>
      <c r="Q8" s="38"/>
      <c r="R8" s="38"/>
      <c r="S8" s="39"/>
      <c r="T8" s="38"/>
      <c r="U8" s="38"/>
      <c r="V8" s="38"/>
      <c r="W8" s="38"/>
      <c r="X8" s="38"/>
      <c r="Y8" s="38"/>
      <c r="Z8" s="38"/>
    </row>
    <row r="9" spans="1:26" s="3" customFormat="1" ht="46.5" customHeight="1">
      <c r="A9" s="16"/>
      <c r="B9" s="16"/>
      <c r="C9" s="16"/>
      <c r="D9" s="16"/>
      <c r="E9" s="2"/>
      <c r="F9" s="26"/>
      <c r="G9" s="63"/>
      <c r="H9" s="64"/>
      <c r="I9" s="64"/>
      <c r="J9" s="64"/>
      <c r="K9" s="38"/>
      <c r="L9" s="38"/>
      <c r="M9" s="38"/>
      <c r="N9" s="38"/>
      <c r="O9" s="38"/>
      <c r="P9" s="38"/>
      <c r="Q9" s="38"/>
      <c r="R9" s="38"/>
      <c r="S9" s="39"/>
      <c r="T9" s="38"/>
      <c r="U9" s="38"/>
      <c r="V9" s="38"/>
      <c r="W9" s="38"/>
      <c r="X9" s="38"/>
      <c r="Y9" s="38"/>
      <c r="Z9" s="38"/>
    </row>
    <row r="10" spans="1:26" s="3" customFormat="1">
      <c r="A10" s="17" t="s">
        <v>16</v>
      </c>
      <c r="B10" s="40" t="str">
        <f>D32</f>
        <v>မိဘေမတၱာ</v>
      </c>
      <c r="C10" s="55"/>
      <c r="D10" s="9" t="s">
        <v>11</v>
      </c>
      <c r="E10" s="65">
        <f>C32</f>
        <v>44324</v>
      </c>
      <c r="F10" s="38"/>
      <c r="G10" s="38"/>
      <c r="H10" s="38"/>
      <c r="I10" s="39"/>
      <c r="J10" s="38"/>
      <c r="K10" s="38"/>
      <c r="L10" s="38"/>
      <c r="M10" s="38"/>
      <c r="N10" s="38"/>
      <c r="O10" s="38"/>
      <c r="P10" s="38"/>
      <c r="Q10" s="38"/>
      <c r="R10" s="38"/>
      <c r="S10" s="39"/>
      <c r="T10" s="38"/>
      <c r="U10" s="38"/>
      <c r="V10" s="38"/>
      <c r="W10" s="38"/>
      <c r="X10" s="38"/>
      <c r="Y10" s="38"/>
      <c r="Z10" s="38"/>
    </row>
    <row r="11" spans="1:26" s="3" customFormat="1">
      <c r="A11" s="16" t="s">
        <v>13</v>
      </c>
      <c r="B11" s="41" t="str">
        <f>E32</f>
        <v>ဝါးေသာက္</v>
      </c>
      <c r="C11" s="56"/>
      <c r="D11" s="9" t="s">
        <v>38</v>
      </c>
      <c r="E11" s="68">
        <v>46</v>
      </c>
      <c r="F11" s="38"/>
      <c r="G11" s="38"/>
      <c r="H11" s="38"/>
      <c r="I11" s="38"/>
      <c r="J11" s="38"/>
      <c r="K11" s="38"/>
      <c r="L11" s="38"/>
      <c r="M11" s="38"/>
      <c r="N11" s="38"/>
      <c r="O11" s="38"/>
      <c r="P11" s="38"/>
      <c r="Q11" s="38"/>
      <c r="R11" s="38"/>
      <c r="S11" s="39"/>
      <c r="T11" s="38"/>
      <c r="U11" s="38"/>
      <c r="V11" s="38"/>
      <c r="W11" s="38"/>
      <c r="X11" s="38"/>
      <c r="Y11" s="38"/>
      <c r="Z11" s="38"/>
    </row>
    <row r="12" spans="1:26" s="3" customFormat="1">
      <c r="A12" s="1" t="s">
        <v>5</v>
      </c>
      <c r="B12" s="42">
        <f>F32</f>
        <v>0</v>
      </c>
      <c r="C12" s="57"/>
      <c r="D12" s="1" t="s">
        <v>4</v>
      </c>
      <c r="E12" s="10">
        <f>H32</f>
        <v>0</v>
      </c>
      <c r="F12" s="38"/>
      <c r="G12" s="38"/>
      <c r="H12" s="38"/>
      <c r="I12" s="38"/>
      <c r="J12" s="38"/>
      <c r="K12" s="38"/>
      <c r="L12" s="38"/>
      <c r="M12" s="38"/>
      <c r="N12" s="38"/>
      <c r="O12" s="38"/>
      <c r="P12" s="38"/>
      <c r="Q12" s="38"/>
      <c r="R12" s="38"/>
      <c r="S12" s="39"/>
      <c r="T12" s="38"/>
      <c r="U12" s="38"/>
      <c r="V12" s="38"/>
      <c r="W12" s="38"/>
      <c r="X12" s="38"/>
      <c r="Y12" s="38"/>
      <c r="Z12" s="38"/>
    </row>
    <row r="13" spans="1:26" s="3" customFormat="1">
      <c r="A13" s="1" t="s">
        <v>14</v>
      </c>
      <c r="B13" s="41">
        <f>G32</f>
        <v>0</v>
      </c>
      <c r="C13" s="56"/>
      <c r="D13" s="1" t="s">
        <v>5</v>
      </c>
      <c r="E13" s="42">
        <f>I32</f>
        <v>0</v>
      </c>
      <c r="F13" s="38"/>
      <c r="G13" s="38"/>
      <c r="H13" s="38"/>
      <c r="I13" s="38"/>
      <c r="J13" s="38"/>
      <c r="K13" s="38"/>
      <c r="L13" s="38"/>
      <c r="M13" s="38"/>
      <c r="N13" s="38"/>
      <c r="O13" s="38"/>
      <c r="P13" s="38"/>
      <c r="Q13" s="38"/>
      <c r="R13" s="38"/>
      <c r="S13" s="39"/>
      <c r="T13" s="38"/>
      <c r="U13" s="38"/>
      <c r="V13" s="38"/>
      <c r="W13" s="38"/>
      <c r="X13" s="38"/>
      <c r="Y13" s="38"/>
      <c r="Z13" s="38"/>
    </row>
    <row r="14" spans="1:26" s="3" customFormat="1">
      <c r="A14" s="2"/>
      <c r="B14" s="18"/>
      <c r="C14" s="18"/>
      <c r="D14" s="2"/>
      <c r="E14" s="2"/>
      <c r="F14" s="38"/>
      <c r="G14" s="38"/>
      <c r="H14" s="38"/>
      <c r="I14" s="38"/>
      <c r="J14" s="38"/>
      <c r="K14" s="38"/>
      <c r="L14" s="38"/>
      <c r="M14" s="38"/>
      <c r="N14" s="38"/>
      <c r="O14" s="38"/>
      <c r="P14" s="38"/>
      <c r="Q14" s="38"/>
      <c r="R14" s="38"/>
      <c r="S14" s="39"/>
      <c r="T14" s="38"/>
      <c r="U14" s="38"/>
      <c r="V14" s="38"/>
      <c r="W14" s="38"/>
      <c r="X14" s="38"/>
      <c r="Y14" s="38"/>
      <c r="Z14" s="38"/>
    </row>
    <row r="15" spans="1:26" s="3" customFormat="1">
      <c r="A15" s="19" t="s">
        <v>37</v>
      </c>
      <c r="B15" s="19" t="s">
        <v>3</v>
      </c>
      <c r="C15" s="19" t="s">
        <v>0</v>
      </c>
      <c r="D15" s="20" t="s">
        <v>1</v>
      </c>
      <c r="E15" s="20" t="s">
        <v>2</v>
      </c>
      <c r="F15" s="38"/>
      <c r="G15" s="38"/>
      <c r="H15" s="38"/>
      <c r="I15" s="38"/>
      <c r="J15" s="38"/>
      <c r="K15" s="38"/>
      <c r="L15" s="38"/>
      <c r="M15" s="38"/>
      <c r="N15" s="38"/>
      <c r="O15" s="38"/>
      <c r="P15" s="38"/>
      <c r="Q15" s="38"/>
      <c r="R15" s="38"/>
      <c r="S15" s="39"/>
      <c r="T15" s="38"/>
      <c r="U15" s="38"/>
      <c r="V15" s="38"/>
      <c r="W15" s="38"/>
      <c r="X15" s="38"/>
      <c r="Y15" s="38"/>
      <c r="Z15" s="38"/>
    </row>
    <row r="16" spans="1:26" s="3" customFormat="1" ht="35.25" customHeight="1">
      <c r="A16" s="21">
        <f>IF(B16="","",ROW(1:1))</f>
        <v>1</v>
      </c>
      <c r="B16" s="58" t="str">
        <f>J32</f>
        <v>Tri Spare</v>
      </c>
      <c r="C16" s="21">
        <f>K32</f>
        <v>1</v>
      </c>
      <c r="D16" s="11">
        <f>L32</f>
        <v>99500</v>
      </c>
      <c r="E16" s="6">
        <f>C16*D16</f>
        <v>99500</v>
      </c>
      <c r="F16" s="38"/>
      <c r="G16" s="38"/>
      <c r="H16" s="38"/>
      <c r="I16" s="38"/>
      <c r="J16" s="38"/>
      <c r="K16" s="38"/>
      <c r="L16" s="38"/>
      <c r="M16" s="38"/>
      <c r="N16" s="38"/>
      <c r="O16" s="38"/>
      <c r="P16" s="38"/>
      <c r="Q16" s="38"/>
      <c r="R16" s="38"/>
      <c r="S16" s="39"/>
      <c r="T16" s="38"/>
      <c r="U16" s="38"/>
      <c r="V16" s="38"/>
      <c r="W16" s="38"/>
      <c r="X16" s="38"/>
      <c r="Y16" s="38"/>
      <c r="Z16" s="38"/>
    </row>
    <row r="17" spans="1:26" s="3" customFormat="1">
      <c r="B17" s="43"/>
      <c r="D17" s="8" t="s">
        <v>22</v>
      </c>
      <c r="E17" s="71">
        <f>SUM(E16)</f>
        <v>99500</v>
      </c>
      <c r="F17" s="38"/>
      <c r="G17" s="38"/>
      <c r="H17" s="38"/>
      <c r="I17" s="38"/>
      <c r="J17" s="38"/>
      <c r="K17" s="38"/>
      <c r="L17" s="38"/>
      <c r="M17" s="38"/>
      <c r="N17" s="38"/>
      <c r="O17" s="38"/>
      <c r="P17" s="38"/>
      <c r="Q17" s="38"/>
      <c r="R17" s="38"/>
      <c r="S17" s="39"/>
      <c r="T17" s="38"/>
      <c r="U17" s="38"/>
      <c r="V17" s="38"/>
      <c r="W17" s="38"/>
      <c r="X17" s="38"/>
      <c r="Y17" s="38"/>
      <c r="Z17" s="38"/>
    </row>
    <row r="18" spans="1:26" s="3" customFormat="1">
      <c r="A18" s="139"/>
      <c r="B18" s="139"/>
      <c r="C18" s="5"/>
      <c r="D18" s="8" t="s">
        <v>30</v>
      </c>
      <c r="E18" s="7"/>
      <c r="F18" s="38"/>
      <c r="G18" s="38"/>
      <c r="H18" s="38"/>
      <c r="I18" s="38"/>
      <c r="J18" s="38"/>
      <c r="K18" s="38"/>
      <c r="L18" s="38"/>
      <c r="M18" s="38"/>
      <c r="N18" s="38"/>
      <c r="O18" s="38"/>
      <c r="P18" s="38"/>
      <c r="Q18" s="38"/>
      <c r="R18" s="38"/>
      <c r="S18" s="39"/>
      <c r="T18" s="38"/>
      <c r="U18" s="38"/>
      <c r="V18" s="38"/>
      <c r="W18" s="38"/>
      <c r="X18" s="38"/>
      <c r="Y18" s="38"/>
      <c r="Z18" s="38"/>
    </row>
    <row r="19" spans="1:26" s="3" customFormat="1">
      <c r="B19" s="43"/>
      <c r="D19" s="9" t="s">
        <v>20</v>
      </c>
      <c r="E19" s="15">
        <f>O32+Q32</f>
        <v>0</v>
      </c>
      <c r="F19" s="38"/>
      <c r="G19" s="38"/>
      <c r="H19" s="38"/>
      <c r="I19" s="38"/>
      <c r="J19" s="38"/>
      <c r="K19" s="38"/>
      <c r="L19" s="38"/>
      <c r="M19" s="38"/>
      <c r="N19" s="38"/>
      <c r="O19" s="38"/>
      <c r="P19" s="38"/>
      <c r="Q19" s="38"/>
      <c r="R19" s="38"/>
      <c r="S19" s="39"/>
      <c r="T19" s="38"/>
      <c r="U19" s="38"/>
      <c r="V19" s="38"/>
      <c r="W19" s="38"/>
      <c r="X19" s="38"/>
      <c r="Y19" s="38"/>
      <c r="Z19" s="38"/>
    </row>
    <row r="20" spans="1:26" s="3" customFormat="1">
      <c r="B20" s="83" t="str">
        <f>IF(A1="Purchase2","ပစၥည္းမယူရေသး","ကုန္ထုတ္ေပးၿပီး")</f>
        <v>ကုန္ထုတ္ေပးၿပီး</v>
      </c>
      <c r="D20" s="9" t="s">
        <v>6</v>
      </c>
      <c r="E20" s="7">
        <f>E17+E18-E19</f>
        <v>99500</v>
      </c>
      <c r="F20" s="38"/>
      <c r="G20" s="38"/>
      <c r="H20" s="38"/>
      <c r="I20" s="38"/>
      <c r="J20" s="38"/>
      <c r="K20" s="38"/>
      <c r="L20" s="38"/>
      <c r="M20" s="38"/>
      <c r="N20" s="38"/>
      <c r="O20" s="38"/>
      <c r="P20" s="38"/>
      <c r="Q20" s="39"/>
      <c r="R20" s="38"/>
      <c r="S20" s="38"/>
      <c r="T20" s="38"/>
      <c r="U20" s="38"/>
      <c r="V20" s="38"/>
      <c r="W20" s="38"/>
      <c r="X20" s="38"/>
      <c r="Y20" s="38"/>
      <c r="Z20" s="38"/>
    </row>
    <row r="21" spans="1:26" s="3" customFormat="1">
      <c r="B21" s="43"/>
      <c r="D21" s="12"/>
      <c r="E21" s="13"/>
      <c r="F21" s="38"/>
      <c r="G21" s="38"/>
      <c r="H21" s="38"/>
      <c r="I21" s="38"/>
      <c r="J21" s="38"/>
      <c r="K21" s="38"/>
      <c r="L21" s="38"/>
      <c r="M21" s="38"/>
      <c r="N21" s="38"/>
      <c r="O21" s="38"/>
      <c r="P21" s="39"/>
      <c r="Q21" s="38"/>
      <c r="R21" s="38"/>
      <c r="S21" s="38"/>
      <c r="T21" s="38"/>
      <c r="U21" s="38"/>
      <c r="V21" s="38"/>
      <c r="W21" s="38"/>
      <c r="X21" s="38"/>
      <c r="Y21" s="38"/>
      <c r="Z21" s="38"/>
    </row>
    <row r="22" spans="1:26" s="3" customFormat="1">
      <c r="A22" s="143">
        <f>IF(B1="Purchase",E20,"")</f>
        <v>99500</v>
      </c>
      <c r="B22" s="143"/>
      <c r="C22" s="142">
        <f>IF(B1="Purchase",P32,"")</f>
        <v>44347</v>
      </c>
      <c r="D22" s="142"/>
      <c r="E22" s="142"/>
      <c r="F22" s="38"/>
      <c r="G22" s="38"/>
      <c r="H22" s="38"/>
      <c r="I22" s="38"/>
      <c r="J22" s="38"/>
      <c r="K22" s="38"/>
      <c r="L22" s="38"/>
      <c r="M22" s="38"/>
      <c r="N22" s="38"/>
      <c r="O22" s="38"/>
      <c r="P22" s="39"/>
      <c r="Q22" s="38"/>
      <c r="R22" s="38"/>
      <c r="S22" s="38"/>
      <c r="T22" s="38"/>
      <c r="U22" s="38"/>
      <c r="V22" s="38"/>
      <c r="W22" s="38"/>
      <c r="X22" s="38"/>
      <c r="Y22" s="38"/>
      <c r="Z22" s="38"/>
    </row>
    <row r="23" spans="1:26" s="3" customFormat="1">
      <c r="A23" s="82"/>
      <c r="B23" s="82"/>
      <c r="C23" s="82"/>
      <c r="D23" s="82" t="str">
        <f>IF(B1="Purchase","ေၾကြးဆပ္ရက္လုံးဝမေက်ာ္ရ။","")</f>
        <v>ေၾကြးဆပ္ရက္လုံးဝမေက်ာ္ရ။</v>
      </c>
      <c r="E23" s="82"/>
      <c r="F23" s="38"/>
      <c r="G23" s="38"/>
      <c r="H23" s="38"/>
      <c r="I23" s="38"/>
      <c r="J23" s="38"/>
      <c r="K23" s="38"/>
      <c r="L23" s="38"/>
      <c r="M23" s="38"/>
      <c r="N23" s="38"/>
      <c r="O23" s="38"/>
      <c r="P23" s="39"/>
      <c r="Q23" s="38"/>
      <c r="R23" s="38"/>
      <c r="S23" s="38"/>
      <c r="T23" s="38"/>
      <c r="U23" s="38"/>
      <c r="V23" s="38"/>
      <c r="W23" s="38"/>
      <c r="X23" s="38"/>
      <c r="Y23" s="38"/>
      <c r="Z23" s="38"/>
    </row>
    <row r="24" spans="1:26" s="3" customFormat="1">
      <c r="A24" s="140"/>
      <c r="B24" s="140"/>
      <c r="C24" s="140"/>
      <c r="E24" s="82"/>
      <c r="F24" s="38"/>
      <c r="G24" s="38"/>
      <c r="H24" s="38"/>
      <c r="I24" s="38"/>
      <c r="J24" s="38"/>
      <c r="K24" s="38"/>
      <c r="L24" s="38"/>
      <c r="M24" s="38"/>
      <c r="N24" s="38"/>
      <c r="O24" s="38"/>
      <c r="P24" s="39"/>
      <c r="Q24" s="38"/>
      <c r="R24" s="38"/>
      <c r="S24" s="38"/>
      <c r="T24" s="38"/>
      <c r="U24" s="38"/>
      <c r="V24" s="38"/>
      <c r="W24" s="38"/>
      <c r="X24" s="38"/>
      <c r="Y24" s="38"/>
      <c r="Z24" s="38"/>
    </row>
    <row r="25" spans="1:26" s="3" customFormat="1">
      <c r="F25" s="38"/>
      <c r="G25" s="38"/>
      <c r="H25" s="38"/>
      <c r="I25" s="38"/>
      <c r="J25" s="38"/>
      <c r="K25" s="38"/>
      <c r="L25" s="38"/>
      <c r="M25" s="38"/>
      <c r="N25" s="38"/>
      <c r="O25" s="38"/>
      <c r="P25" s="38"/>
      <c r="Q25" s="38"/>
      <c r="R25" s="38"/>
      <c r="S25" s="39"/>
      <c r="T25" s="38"/>
      <c r="U25" s="38"/>
      <c r="V25" s="38"/>
      <c r="W25" s="38"/>
      <c r="X25" s="38"/>
      <c r="Y25" s="38"/>
      <c r="Z25" s="38"/>
    </row>
    <row r="26" spans="1:26" s="3" customFormat="1">
      <c r="F26" s="38"/>
      <c r="G26" s="38"/>
      <c r="H26" s="38"/>
      <c r="I26" s="38"/>
      <c r="J26" s="38"/>
      <c r="K26" s="38"/>
      <c r="L26" s="38"/>
      <c r="M26" s="38"/>
      <c r="N26" s="38"/>
      <c r="O26" s="38"/>
      <c r="P26" s="38"/>
      <c r="Q26" s="38"/>
      <c r="R26" s="38"/>
      <c r="S26" s="39"/>
      <c r="T26" s="38"/>
      <c r="U26" s="38"/>
      <c r="V26" s="38"/>
      <c r="W26" s="38"/>
      <c r="X26" s="38"/>
      <c r="Y26" s="38"/>
      <c r="Z26" s="38"/>
    </row>
    <row r="27" spans="1:26" s="3" customFormat="1">
      <c r="B27" s="59"/>
      <c r="C27" s="13"/>
      <c r="D27" s="13"/>
      <c r="E27" s="23"/>
      <c r="F27" s="38"/>
      <c r="G27" s="38"/>
      <c r="H27" s="38"/>
      <c r="I27" s="38"/>
      <c r="J27" s="38"/>
      <c r="K27" s="38"/>
      <c r="L27" s="38"/>
      <c r="M27" s="38"/>
      <c r="N27" s="38"/>
      <c r="O27" s="38"/>
      <c r="P27" s="38"/>
      <c r="Q27" s="38"/>
      <c r="R27" s="38"/>
      <c r="S27" s="39"/>
      <c r="T27" s="38"/>
      <c r="U27" s="38"/>
      <c r="V27" s="38"/>
      <c r="W27" s="38"/>
      <c r="X27" s="38"/>
      <c r="Y27" s="38"/>
      <c r="Z27" s="38"/>
    </row>
    <row r="28" spans="1:26" s="3" customFormat="1">
      <c r="A28" s="141" t="s">
        <v>9</v>
      </c>
      <c r="B28" s="141"/>
      <c r="C28" s="141"/>
      <c r="D28" s="22" t="s">
        <v>7</v>
      </c>
      <c r="E28" s="22"/>
      <c r="F28" s="38"/>
      <c r="G28" s="38"/>
      <c r="H28" s="38"/>
      <c r="I28" s="38"/>
      <c r="J28" s="38"/>
      <c r="K28" s="38"/>
      <c r="L28" s="38"/>
      <c r="M28" s="38"/>
      <c r="N28" s="38"/>
      <c r="O28" s="38"/>
      <c r="P28" s="38"/>
      <c r="Q28" s="38"/>
      <c r="R28" s="38"/>
      <c r="S28" s="39"/>
      <c r="T28" s="38"/>
      <c r="U28" s="38"/>
      <c r="V28" s="38"/>
      <c r="W28" s="38"/>
      <c r="X28" s="38"/>
      <c r="Y28" s="38"/>
      <c r="Z28" s="38"/>
    </row>
    <row r="29" spans="1:26" s="3" customFormat="1">
      <c r="A29" s="141" t="s">
        <v>10</v>
      </c>
      <c r="B29" s="141"/>
      <c r="C29" s="141"/>
      <c r="D29" s="22" t="s">
        <v>8</v>
      </c>
      <c r="E29" s="22"/>
      <c r="F29" s="38"/>
      <c r="G29" s="38"/>
      <c r="H29" s="38"/>
      <c r="I29" s="38"/>
      <c r="J29" s="38"/>
      <c r="K29" s="38"/>
      <c r="L29" s="38"/>
      <c r="M29" s="38"/>
      <c r="N29" s="38"/>
      <c r="O29" s="38"/>
      <c r="P29" s="38"/>
      <c r="Q29" s="38"/>
      <c r="R29" s="38"/>
      <c r="S29" s="39"/>
      <c r="T29" s="38"/>
      <c r="U29" s="38"/>
      <c r="V29" s="38"/>
      <c r="W29" s="38"/>
      <c r="X29" s="38"/>
      <c r="Y29" s="38"/>
      <c r="Z29" s="38"/>
    </row>
    <row r="30" spans="1:26" s="3" customFormat="1" ht="36" customHeight="1">
      <c r="F30" s="38"/>
      <c r="G30" s="38"/>
      <c r="H30" s="38"/>
      <c r="I30" s="38"/>
      <c r="J30" s="38"/>
      <c r="K30" s="38"/>
      <c r="L30" s="38"/>
      <c r="M30" s="38"/>
      <c r="N30" s="38"/>
      <c r="O30" s="38"/>
      <c r="P30" s="38"/>
      <c r="Q30" s="38"/>
      <c r="R30" s="38"/>
      <c r="S30" s="39"/>
      <c r="T30" s="38"/>
      <c r="U30" s="38"/>
      <c r="V30" s="38"/>
      <c r="W30" s="38"/>
      <c r="X30" s="38"/>
      <c r="Y30" s="38"/>
      <c r="Z30" s="38"/>
    </row>
    <row r="31" spans="1:26" s="38" customFormat="1" ht="39.950000000000003" customHeight="1">
      <c r="A31" s="3"/>
      <c r="B31" s="24"/>
      <c r="C31" s="24" t="s">
        <v>15</v>
      </c>
      <c r="D31" s="24"/>
      <c r="E31" s="24"/>
      <c r="S31" s="39"/>
    </row>
    <row r="32" spans="1:26" s="89" customFormat="1" ht="36" customHeight="1">
      <c r="A32" s="86">
        <v>8</v>
      </c>
      <c r="B32" s="87">
        <f>VLOOKUP(E11,' Data Save '!$A:$R,2,0)</f>
        <v>44176</v>
      </c>
      <c r="C32" s="88">
        <f>VLOOKUP(E11,' Data Save '!$A:$R,3,0)</f>
        <v>44324</v>
      </c>
      <c r="D32" s="88" t="str">
        <f>VLOOKUP(E11,' Data Save '!$A:$R,4,0)</f>
        <v>မိဘေမတၱာ</v>
      </c>
      <c r="E32" s="88" t="str">
        <f>VLOOKUP(E11,' Data Save '!$A:$R,5,0)</f>
        <v>ဝါးေသာက္</v>
      </c>
      <c r="F32" s="88">
        <f>VLOOKUP(E11,' Data Save '!$A:$R,6,0)</f>
        <v>0</v>
      </c>
      <c r="G32" s="88">
        <f>VLOOKUP(E11,' Data Save '!$A:$R,7,0)</f>
        <v>0</v>
      </c>
      <c r="H32" s="88">
        <f>VLOOKUP(E11,' Data Save '!$A:$R,8,0)</f>
        <v>0</v>
      </c>
      <c r="I32" s="88">
        <f>VLOOKUP(E11,' Data Save '!$A:$R,9,0)</f>
        <v>0</v>
      </c>
      <c r="J32" s="88" t="str">
        <f>VLOOKUP(E11,' Data Save '!$A:$R,10,0)</f>
        <v>Tri Spare</v>
      </c>
      <c r="K32" s="88">
        <f>VLOOKUP(E11,' Data Save '!$A:$R,11,0)</f>
        <v>1</v>
      </c>
      <c r="L32" s="88">
        <f>VLOOKUP(E11,' Data Save '!$A:$R,12,0)</f>
        <v>99500</v>
      </c>
      <c r="M32" s="88">
        <f>VLOOKUP(E11,' Data Save '!$A:$R,13,0)</f>
        <v>99500</v>
      </c>
      <c r="N32" s="88">
        <f>VLOOKUP(E11,' Data Save '!$A:$R,14,0)</f>
        <v>0</v>
      </c>
      <c r="O32" s="88">
        <f>VLOOKUP(E11,' Data Save '!$A:$R,15,0)</f>
        <v>0</v>
      </c>
      <c r="P32" s="87">
        <f>VLOOKUP($E$11,' Data Save '!$A:$R,18,0)</f>
        <v>44347</v>
      </c>
      <c r="Q32" s="88">
        <f>VLOOKUP($E$11,' Data Save '!$A:$S,19,0)</f>
        <v>0</v>
      </c>
      <c r="X32" s="88"/>
      <c r="Y32" s="88"/>
      <c r="Z32" s="88"/>
    </row>
    <row r="33" spans="1:17" ht="36" customHeight="1">
      <c r="B33" s="27"/>
      <c r="C33" s="27"/>
      <c r="D33" s="27"/>
      <c r="E33" s="27"/>
    </row>
    <row r="34" spans="1:17" ht="36" customHeight="1">
      <c r="B34" s="27"/>
      <c r="C34" s="27"/>
      <c r="D34" s="27"/>
      <c r="E34" s="27"/>
    </row>
    <row r="35" spans="1:17" ht="36" customHeight="1">
      <c r="B35" s="27"/>
      <c r="C35" s="27"/>
      <c r="D35" s="27"/>
      <c r="E35" s="27"/>
    </row>
    <row r="36" spans="1:17" ht="36" customHeight="1">
      <c r="B36" s="27"/>
      <c r="C36" s="27"/>
      <c r="D36" s="27"/>
      <c r="E36" s="27"/>
    </row>
    <row r="37" spans="1:17" ht="36" customHeight="1">
      <c r="B37" s="27"/>
      <c r="C37" s="27"/>
      <c r="D37" s="27"/>
      <c r="E37" s="27"/>
    </row>
    <row r="38" spans="1:17" ht="36" customHeight="1">
      <c r="B38" s="27"/>
      <c r="C38" s="27"/>
      <c r="D38" s="27"/>
      <c r="E38" s="27"/>
    </row>
    <row r="39" spans="1:17" ht="36" customHeight="1">
      <c r="B39" s="27"/>
      <c r="C39" s="27"/>
      <c r="D39" s="27"/>
      <c r="E39" s="27"/>
    </row>
    <row r="40" spans="1:17" ht="36" customHeight="1">
      <c r="B40" s="27"/>
      <c r="C40" s="27"/>
      <c r="D40" s="27"/>
      <c r="E40" s="27"/>
    </row>
    <row r="41" spans="1:17" ht="36" customHeight="1">
      <c r="B41" s="27"/>
      <c r="C41" s="27"/>
      <c r="D41" s="27"/>
      <c r="E41" s="27"/>
    </row>
    <row r="42" spans="1:17" ht="36" customHeight="1">
      <c r="B42" s="27"/>
      <c r="C42" s="27"/>
      <c r="D42" s="27"/>
      <c r="E42" s="27"/>
    </row>
    <row r="43" spans="1:17" ht="36" customHeight="1">
      <c r="B43" s="27"/>
      <c r="C43" s="27"/>
      <c r="D43" s="27"/>
      <c r="E43" s="27"/>
    </row>
    <row r="44" spans="1:17">
      <c r="B44" s="27"/>
      <c r="C44" s="27"/>
      <c r="D44" s="27"/>
      <c r="E44" s="27"/>
    </row>
    <row r="45" spans="1:17">
      <c r="D45" s="29"/>
      <c r="E45" s="30"/>
      <c r="F45" s="31"/>
      <c r="G45" s="31"/>
      <c r="H45" s="32"/>
      <c r="I45" s="32"/>
      <c r="J45" s="32"/>
      <c r="K45" s="32"/>
      <c r="L45" s="33"/>
      <c r="M45" s="34"/>
      <c r="N45" s="34"/>
      <c r="O45" s="34"/>
      <c r="P45" s="34"/>
      <c r="Q45" s="35"/>
    </row>
    <row r="46" spans="1:17">
      <c r="A46" s="36"/>
      <c r="B46" s="31"/>
      <c r="C46" s="31"/>
      <c r="D46" s="37"/>
      <c r="E46" s="31"/>
    </row>
    <row r="56" spans="1:17">
      <c r="F56" s="31"/>
      <c r="G56" s="31"/>
      <c r="H56" s="31"/>
      <c r="I56" s="31"/>
      <c r="J56" s="31"/>
      <c r="K56" s="31"/>
      <c r="L56" s="31"/>
      <c r="M56" s="31"/>
      <c r="N56" s="31"/>
      <c r="O56" s="31"/>
      <c r="P56" s="31"/>
      <c r="Q56" s="36"/>
    </row>
    <row r="57" spans="1:17">
      <c r="A57" s="36"/>
      <c r="B57" s="31"/>
      <c r="C57" s="31"/>
      <c r="D57" s="37"/>
      <c r="E57" s="31"/>
    </row>
  </sheetData>
  <mergeCells count="6">
    <mergeCell ref="A18:B18"/>
    <mergeCell ref="A24:C24"/>
    <mergeCell ref="A28:C28"/>
    <mergeCell ref="A29:C29"/>
    <mergeCell ref="C22:E22"/>
    <mergeCell ref="A22:B22"/>
  </mergeCells>
  <pageMargins left="0.44" right="0.2" top="0.75" bottom="0.75" header="0.3" footer="0.3"/>
  <pageSetup paperSize="11" scale="65" orientation="portrait" verticalDpi="0" r:id="rId1"/>
  <ignoredErrors>
    <ignoredError sqref="F32:N32" evalError="1"/>
    <ignoredError sqref="E10"/>
  </ignoredErrors>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 Data Save '!$A:$A</xm:f>
          </x14:formula1>
          <xm:sqref>E11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Dashboard</vt:lpstr>
      <vt:lpstr> Data Save </vt:lpstr>
      <vt:lpstr>Vlookup</vt:lpstr>
      <vt:lpstr>Pivot Table</vt:lpstr>
      <vt:lpstr>Print</vt:lpstr>
      <vt:lpstr>' Data Save '!Print_Area</vt:lpstr>
      <vt:lpstr>Print!Print_Area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ACER</dc:creator>
  <cp:lastModifiedBy>User</cp:lastModifiedBy>
  <cp:lastPrinted>2021-04-03T06:58:46Z</cp:lastPrinted>
  <dcterms:created xsi:type="dcterms:W3CDTF">2020-05-10T22:03:17Z</dcterms:created>
  <dcterms:modified xsi:type="dcterms:W3CDTF">2021-10-21T22:07:20Z</dcterms:modified>
</cp:coreProperties>
</file>