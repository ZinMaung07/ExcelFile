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-120" yWindow="-120" windowWidth="20730" windowHeight="11160" activeTab="1"/>
  </bookViews>
  <sheets>
    <sheet name="Dashboard" sheetId="46" r:id="rId1"/>
    <sheet name=" Data Save " sheetId="48" r:id="rId2"/>
    <sheet name="Print" sheetId="50" r:id="rId3"/>
  </sheets>
  <definedNames>
    <definedName name="_xlnm._FilterDatabase" localSheetId="1" hidden="1">' Data Save '!$A$1:$AI$57</definedName>
    <definedName name="_xlnm.Print_Area" localSheetId="1">' Data Save '!$B$1:$U$55</definedName>
    <definedName name="_xlnm.Print_Area" localSheetId="2">Print!$A$1:$E$31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5" i="48" l="1"/>
  <c r="P55" i="48" s="1"/>
  <c r="U58" i="48" l="1"/>
  <c r="U59" i="48"/>
  <c r="U60" i="48"/>
  <c r="U55" i="48"/>
  <c r="U56" i="48"/>
  <c r="U57" i="48"/>
  <c r="M54" i="48"/>
  <c r="P54" i="48" s="1"/>
  <c r="U54" i="48" s="1"/>
  <c r="M53" i="48"/>
  <c r="P53" i="48" s="1"/>
  <c r="U53" i="48" s="1"/>
  <c r="M52" i="48" l="1"/>
  <c r="P52" i="48" s="1"/>
  <c r="M51" i="48"/>
  <c r="P51" i="48" s="1"/>
  <c r="M50" i="48" l="1"/>
  <c r="P50" i="48" s="1"/>
  <c r="M49" i="48" l="1"/>
  <c r="P49" i="48" s="1"/>
  <c r="U49" i="48" l="1"/>
  <c r="U50" i="48"/>
  <c r="U51" i="48"/>
  <c r="U52" i="48"/>
  <c r="M48" i="48" l="1"/>
  <c r="P48" i="48" s="1"/>
  <c r="M47" i="48" l="1"/>
  <c r="P47" i="48" s="1"/>
  <c r="M46" i="48" l="1"/>
  <c r="P46" i="48" s="1"/>
  <c r="M45" i="48" l="1"/>
  <c r="P45" i="48" s="1"/>
  <c r="U46" i="48" l="1"/>
  <c r="U47" i="48"/>
  <c r="U48" i="48"/>
  <c r="M44" i="48"/>
  <c r="P44" i="48" s="1"/>
  <c r="M6" i="48" l="1"/>
  <c r="P6" i="48" s="1"/>
  <c r="U6" i="48" l="1"/>
  <c r="U44" i="48"/>
  <c r="U45" i="48"/>
  <c r="M43" i="48"/>
  <c r="P43" i="48" s="1"/>
  <c r="U43" i="48" s="1"/>
  <c r="M42" i="48"/>
  <c r="P42" i="48" s="1"/>
  <c r="M41" i="48"/>
  <c r="P41" i="48" s="1"/>
  <c r="M40" i="48" l="1"/>
  <c r="P40" i="48" s="1"/>
  <c r="M39" i="48" l="1"/>
  <c r="P39" i="48" s="1"/>
  <c r="M38" i="48" l="1"/>
  <c r="P38" i="48" s="1"/>
  <c r="M37" i="48" l="1"/>
  <c r="P37" i="48" s="1"/>
  <c r="M36" i="48" l="1"/>
  <c r="P36" i="48" s="1"/>
  <c r="M35" i="48"/>
  <c r="P35" i="48" s="1"/>
  <c r="M34" i="48" l="1"/>
  <c r="P34" i="48" s="1"/>
  <c r="U7" i="48" l="1"/>
  <c r="M33" i="48" l="1"/>
  <c r="U33" i="48" s="1"/>
  <c r="M32" i="48"/>
  <c r="U32" i="48" s="1"/>
  <c r="M31" i="48"/>
  <c r="U31" i="48" s="1"/>
  <c r="M30" i="48"/>
  <c r="U30" i="48" s="1"/>
  <c r="M29" i="48"/>
  <c r="U29" i="48" s="1"/>
  <c r="M28" i="48"/>
  <c r="U28" i="48" s="1"/>
  <c r="M27" i="48"/>
  <c r="U27" i="48" s="1"/>
  <c r="M26" i="48"/>
  <c r="M25" i="48"/>
  <c r="U25" i="48" s="1"/>
  <c r="M24" i="48"/>
  <c r="U24" i="48" s="1"/>
  <c r="M5" i="48"/>
  <c r="U5" i="48" s="1"/>
  <c r="M23" i="48"/>
  <c r="P23" i="48" s="1"/>
  <c r="U23" i="48" s="1"/>
  <c r="M21" i="48"/>
  <c r="P21" i="48" s="1"/>
  <c r="U21" i="48" s="1"/>
  <c r="M22" i="48"/>
  <c r="P22" i="48" s="1"/>
  <c r="U22" i="48" s="1"/>
  <c r="M20" i="48"/>
  <c r="P20" i="48" s="1"/>
  <c r="U20" i="48" s="1"/>
  <c r="M19" i="48"/>
  <c r="P19" i="48" s="1"/>
  <c r="U19" i="48" s="1"/>
  <c r="M4" i="48"/>
  <c r="P4" i="48" s="1"/>
  <c r="U4" i="48" s="1"/>
  <c r="M18" i="48"/>
  <c r="P18" i="48" s="1"/>
  <c r="U18" i="48" s="1"/>
  <c r="M17" i="48"/>
  <c r="P17" i="48" s="1"/>
  <c r="U17" i="48" s="1"/>
  <c r="M16" i="48"/>
  <c r="P16" i="48" s="1"/>
  <c r="U16" i="48" s="1"/>
  <c r="M15" i="48"/>
  <c r="P15" i="48" s="1"/>
  <c r="U15" i="48" s="1"/>
  <c r="M2" i="48"/>
  <c r="P2" i="48" s="1"/>
  <c r="U2" i="48" s="1"/>
  <c r="M14" i="48"/>
  <c r="P14" i="48" s="1"/>
  <c r="U14" i="48" s="1"/>
  <c r="M13" i="48"/>
  <c r="P13" i="48" s="1"/>
  <c r="U13" i="48" s="1"/>
  <c r="M10" i="48"/>
  <c r="P10" i="48" s="1"/>
  <c r="U10" i="48" s="1"/>
  <c r="M8" i="48"/>
  <c r="P8" i="48" s="1"/>
  <c r="U8" i="48" s="1"/>
  <c r="M9" i="48"/>
  <c r="P9" i="48" s="1"/>
  <c r="U9" i="48" s="1"/>
  <c r="M12" i="48"/>
  <c r="P12" i="48" s="1"/>
  <c r="U12" i="48" s="1"/>
  <c r="M11" i="48"/>
  <c r="P11" i="48" s="1"/>
  <c r="U11" i="48" s="1"/>
  <c r="M3" i="48"/>
  <c r="P3" i="48" s="1"/>
  <c r="U3" i="48" s="1"/>
  <c r="U26" i="48"/>
  <c r="U34" i="48"/>
  <c r="U35" i="48"/>
  <c r="U36" i="48"/>
  <c r="U37" i="48"/>
  <c r="U38" i="48"/>
  <c r="U39" i="48"/>
  <c r="U40" i="48"/>
  <c r="U41" i="48"/>
  <c r="U42" i="48"/>
  <c r="J9" i="46" l="1"/>
  <c r="Q32" i="50" l="1"/>
  <c r="P32" i="50"/>
  <c r="D23" i="50" l="1"/>
  <c r="B20" i="50" l="1"/>
  <c r="D13" i="46" l="1"/>
  <c r="D16" i="46" s="1"/>
  <c r="O32" i="50" l="1"/>
  <c r="E19" i="50" s="1"/>
  <c r="H32" i="50"/>
  <c r="E12" i="50" s="1"/>
  <c r="C22" i="50"/>
  <c r="G32" i="50"/>
  <c r="N32" i="50"/>
  <c r="F32" i="50"/>
  <c r="B12" i="50" s="1"/>
  <c r="M32" i="50"/>
  <c r="E32" i="50"/>
  <c r="B11" i="50" s="1"/>
  <c r="K32" i="50"/>
  <c r="C16" i="50" s="1"/>
  <c r="B32" i="50"/>
  <c r="L32" i="50"/>
  <c r="D16" i="50" s="1"/>
  <c r="D32" i="50"/>
  <c r="B10" i="50" s="1"/>
  <c r="C32" i="50"/>
  <c r="E10" i="50" s="1"/>
  <c r="I32" i="50"/>
  <c r="E13" i="50" s="1"/>
  <c r="J32" i="50"/>
  <c r="B16" i="50" s="1"/>
  <c r="A3" i="46"/>
  <c r="E16" i="50" l="1"/>
  <c r="E17" i="50" s="1"/>
  <c r="E20" i="50" s="1"/>
  <c r="A22" i="50" s="1"/>
  <c r="B13" i="50"/>
  <c r="A16" i="50"/>
</calcChain>
</file>

<file path=xl/comments1.xml><?xml version="1.0" encoding="utf-8"?>
<comments xmlns="http://schemas.openxmlformats.org/spreadsheetml/2006/main">
  <authors>
    <author>acer</author>
  </authors>
  <commentList>
    <comment ref="S4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30/6/2021 =50,000</t>
        </r>
      </text>
    </comment>
  </commentList>
</comments>
</file>

<file path=xl/sharedStrings.xml><?xml version="1.0" encoding="utf-8"?>
<sst xmlns="http://schemas.openxmlformats.org/spreadsheetml/2006/main" count="218" uniqueCount="133">
  <si>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</si>
  <si>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</si>
  <si>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</si>
  <si>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</si>
  <si>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</si>
  <si>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</si>
  <si>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</si>
  <si>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</si>
  <si>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</si>
  <si>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</si>
  <si>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</si>
  <si>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</si>
  <si>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</si>
  <si>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</si>
  <si>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</si>
  <si>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</si>
  <si>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</si>
  <si>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</si>
  <si>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</si>
  <si>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</si>
  <si>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</si>
  <si>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</si>
  <si>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</si>
  <si>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ထန္းမနိုင္</t>
  </si>
  <si>
    <t>ကိုယ္စားလွယ္</t>
  </si>
  <si>
    <t>ကိုယ္စားလွယ္ဖုန္း</t>
  </si>
  <si>
    <t>က်ံဳဒရယ္</t>
  </si>
  <si>
    <t>ဦးၾကည္လြင္</t>
  </si>
  <si>
    <t>ဆည္ေျမာင္း</t>
  </si>
  <si>
    <t>အတိုးသင့္ေငြ</t>
  </si>
  <si>
    <t>က်န္ေငြစုစုေပါင္း</t>
  </si>
  <si>
    <t>ကိုစည္သူ</t>
  </si>
  <si>
    <t>ေၾကြးက်န္စုစုေပါင္း</t>
  </si>
  <si>
    <t>စက္ပစၥည္း ေၾကြးက်န္အေရာင္း</t>
  </si>
  <si>
    <t>S.No</t>
  </si>
  <si>
    <t>ေဘာက္ခ်ာနံပါတ္</t>
  </si>
  <si>
    <t>ဝါးေသာက္</t>
  </si>
  <si>
    <t>ကိုေဝယံ</t>
  </si>
  <si>
    <t>ေက်ာက္စက္</t>
  </si>
  <si>
    <t>သဲကုန္းတန္း</t>
  </si>
  <si>
    <t>ဦးသိန္းစိန္</t>
  </si>
  <si>
    <t>ဘက္မွန္</t>
  </si>
  <si>
    <t>ကိုေအာင္ေအာင္</t>
  </si>
  <si>
    <t>က်ဴေတာေခ်ာင္</t>
  </si>
  <si>
    <t>ဦးဝင္းေဇာ္</t>
  </si>
  <si>
    <t>သခြတ္ပင္</t>
  </si>
  <si>
    <t>ပိုက္စိမ္းေခြ</t>
  </si>
  <si>
    <t>မိဘေမတၱာ</t>
  </si>
  <si>
    <t>ကိုေထြး</t>
  </si>
  <si>
    <t>ဦးသန္းဦး</t>
  </si>
  <si>
    <t>ဝရိန္ပံုး+ေဂါက္+ႀကိဳး</t>
  </si>
  <si>
    <t>ထန္းတပင္</t>
  </si>
  <si>
    <t>ဆီတင္ပန္႔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</si>
  <si>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</si>
  <si>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</si>
  <si>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</si>
  <si>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</si>
  <si>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</si>
  <si>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</si>
  <si>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</si>
  <si>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</si>
  <si>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ေၾကြးဆပ္ေန႔စြဲ</t>
  </si>
  <si>
    <t>ေရေဆးပန္႔+ေရပံုး</t>
  </si>
  <si>
    <t>ေလဂိတ္</t>
  </si>
  <si>
    <t>ေလဂန္း</t>
  </si>
  <si>
    <t>Engine spare</t>
  </si>
  <si>
    <t>ကိုဆန္းလြင္ေက်ာ္</t>
  </si>
  <si>
    <t>ေျမဆီေၾကြးဆပ္က်န္ေငြ</t>
  </si>
  <si>
    <t>ကိုဖိုးသဲ</t>
  </si>
  <si>
    <t xml:space="preserve">ဦးခိုင္ႀကီး </t>
  </si>
  <si>
    <t>ခ်စ္ဖိန္႕</t>
  </si>
  <si>
    <t>ႀကိဳးစက္အစံု</t>
  </si>
  <si>
    <t>ကိုေအာင္ကိုဆန္း</t>
  </si>
  <si>
    <t>သမၻာန္ေခ်ာင္း</t>
  </si>
  <si>
    <t>ေရေဆးစက္အစံု</t>
  </si>
  <si>
    <t>Tri Spare</t>
  </si>
  <si>
    <t>Spare</t>
  </si>
  <si>
    <t>လက္ခုတ္ကုုန္း</t>
  </si>
  <si>
    <t>Engine + တစ္ဘီးထြန္</t>
  </si>
  <si>
    <t>ေတာ္လန္း</t>
  </si>
  <si>
    <t>ဦးသန္းနိုင္</t>
  </si>
  <si>
    <t>ဦးနိုင္ဝင္း</t>
  </si>
  <si>
    <t>ေကာ့မွဴး</t>
  </si>
  <si>
    <t>ဦးဝင္းကို</t>
  </si>
  <si>
    <t>ၿမကၽြန္းသာ</t>
  </si>
  <si>
    <t>တစ္ဘီးထြန္</t>
  </si>
  <si>
    <t>ကိုဟန္ေက်ာ္စိုး</t>
  </si>
  <si>
    <t>ကိုသန္းေဇာ္</t>
  </si>
  <si>
    <t>ကိုေဇာ္မ်ိဳး</t>
  </si>
  <si>
    <t>ခ်ိန္းေစာသမား</t>
  </si>
  <si>
    <t>ခ်ိန္းေစာ</t>
  </si>
  <si>
    <t>ဦးမိုးနိူင္</t>
  </si>
  <si>
    <t>ဦးစိုးသန္း</t>
  </si>
  <si>
    <t>ကိုးေထာင္</t>
  </si>
  <si>
    <t>ဦးၿမင့္စိုး</t>
  </si>
  <si>
    <t>သေၿပကုန္း</t>
  </si>
  <si>
    <t>ေဒၚသြယ္</t>
  </si>
  <si>
    <t>ေတာ္ခလူး</t>
  </si>
  <si>
    <t>အင္ဂ်င္ဝိုင္</t>
  </si>
  <si>
    <t>ဦးနိူင္ဝင္း</t>
  </si>
  <si>
    <t>အဖိုးၾကီး</t>
  </si>
  <si>
    <t xml:space="preserve">Engine </t>
  </si>
  <si>
    <t>ဦးသန္းထြန္း</t>
  </si>
  <si>
    <t>ရခိုင္ေခ်ာင္</t>
  </si>
  <si>
    <t>one wheel &amp; spare</t>
  </si>
  <si>
    <t>09-770007921</t>
  </si>
  <si>
    <t>Engine</t>
  </si>
  <si>
    <t>ကိုေထြး+ကိုသူ</t>
  </si>
  <si>
    <t>ကိုဝင္းမင္းေက်ာ္</t>
  </si>
  <si>
    <t>ေညာင္ပင္သာ</t>
  </si>
  <si>
    <t>ဦးဝင္းစံ</t>
  </si>
  <si>
    <t>ခရိုကၡနိ</t>
  </si>
  <si>
    <t>ေဒၚေအးဝင္း</t>
  </si>
  <si>
    <t>ဆီအိုး</t>
  </si>
  <si>
    <t>ဦးလွေအး</t>
  </si>
  <si>
    <t>ကမာပါတ္</t>
  </si>
  <si>
    <t>ဦးဝင္းထြန္း</t>
  </si>
  <si>
    <t>ေမွာ္ဘီ</t>
  </si>
  <si>
    <t>09-795897201</t>
  </si>
  <si>
    <t>Q185 Engine</t>
  </si>
  <si>
    <t>ကိုေက်ာ္မင္းထြန္း</t>
  </si>
  <si>
    <t>ကိုဝၾကီး</t>
  </si>
  <si>
    <t>ဆည္ေၿမာင္း</t>
  </si>
  <si>
    <t>Sales</t>
  </si>
  <si>
    <t>ဆရာမေဒၚသီတာလႈိင္</t>
  </si>
  <si>
    <t>ျမက္ရိတ္စက္</t>
  </si>
  <si>
    <t>မမိလဲ့</t>
  </si>
  <si>
    <t>Purchase2</t>
  </si>
  <si>
    <t>ဦးေက်ာ္ဝဏၰ</t>
  </si>
  <si>
    <t>spare ေၾကြးက်န္</t>
  </si>
  <si>
    <t>တန္တရာ</t>
  </si>
  <si>
    <t>ကိုေဇယ်ာစိုး</t>
  </si>
  <si>
    <t>မီးစက္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</si>
</sst>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1" tint="5.0965910824915313E-2"/>
        </stop>
        <stop position="1">
          <color theme="1" tint="0.25098422193060094"/>
        </stop>
      </gradientFill>
    </fill>
    <fill>
      <patternFill patternType="solid">
        <fgColor theme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1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5" fontId="1" fillId="0" borderId="0" xfId="0" applyNumberFormat="1" applyFont="1"/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168" fontId="1" fillId="0" borderId="0" xfId="0" applyNumberFormat="1" applyFont="1"/>
    <xf numFmtId="0" fontId="1" fillId="4" borderId="0" xfId="0" applyFont="1" applyFill="1" applyBorder="1"/>
    <xf numFmtId="0" fontId="2" fillId="4" borderId="0" xfId="0" applyFont="1" applyFill="1" applyBorder="1" applyAlignment="1">
      <alignment horizontal="center" vertical="center"/>
    </xf>
    <xf numFmtId="14" fontId="1" fillId="4" borderId="0" xfId="0" applyNumberFormat="1" applyFont="1" applyFill="1" applyBorder="1"/>
    <xf numFmtId="164" fontId="1" fillId="4" borderId="0" xfId="1" applyNumberFormat="1" applyFont="1" applyFill="1" applyBorder="1"/>
    <xf numFmtId="164" fontId="1" fillId="4" borderId="0" xfId="1" applyNumberFormat="1" applyFont="1" applyFill="1" applyBorder="1" applyAlignment="1">
      <alignment horizontal="right"/>
    </xf>
    <xf numFmtId="164" fontId="1" fillId="4" borderId="3" xfId="1" applyNumberFormat="1" applyFont="1" applyFill="1" applyBorder="1" applyAlignment="1">
      <alignment horizontal="center"/>
    </xf>
    <xf numFmtId="164" fontId="1" fillId="4" borderId="1" xfId="1" applyNumberFormat="1" applyFont="1" applyFill="1" applyBorder="1"/>
    <xf numFmtId="164" fontId="1" fillId="4" borderId="1" xfId="0" applyNumberFormat="1" applyFont="1" applyFill="1" applyBorder="1"/>
    <xf numFmtId="164" fontId="1" fillId="4" borderId="1" xfId="1" applyNumberFormat="1" applyFont="1" applyFill="1" applyBorder="1" applyAlignment="1">
      <alignment horizontal="center"/>
    </xf>
    <xf numFmtId="165" fontId="1" fillId="4" borderId="1" xfId="1" applyNumberFormat="1" applyFont="1" applyFill="1" applyBorder="1" applyAlignment="1">
      <alignment horizontal="center"/>
    </xf>
    <xf numFmtId="165" fontId="1" fillId="4" borderId="3" xfId="1" applyNumberFormat="1" applyFont="1" applyFill="1" applyBorder="1" applyAlignment="1">
      <alignment horizontal="center"/>
    </xf>
    <xf numFmtId="168" fontId="1" fillId="4" borderId="3" xfId="1" applyNumberFormat="1" applyFont="1" applyFill="1" applyBorder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5" fontId="4" fillId="5" borderId="4" xfId="0" applyNumberFormat="1" applyFont="1" applyFill="1" applyBorder="1" applyAlignment="1">
      <alignment horizontal="right" vertical="center" wrapText="1"/>
    </xf>
    <xf numFmtId="0" fontId="1" fillId="5" borderId="0" xfId="0" applyFont="1" applyFill="1"/>
    <xf numFmtId="0" fontId="4" fillId="5" borderId="4" xfId="0" applyFont="1" applyFill="1" applyBorder="1" applyAlignment="1">
      <alignment horizontal="right" vertical="center"/>
    </xf>
    <xf numFmtId="168" fontId="4" fillId="5" borderId="4" xfId="0" applyNumberFormat="1" applyFont="1" applyFill="1" applyBorder="1" applyAlignment="1">
      <alignment horizontal="right" vertical="center"/>
    </xf>
    <xf numFmtId="168" fontId="4" fillId="5" borderId="5" xfId="0" applyNumberFormat="1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 wrapText="1"/>
    </xf>
    <xf numFmtId="164" fontId="4" fillId="5" borderId="5" xfId="1" applyNumberFormat="1" applyFont="1" applyFill="1" applyBorder="1" applyAlignment="1">
      <alignment horizontal="right" vertical="center" wrapText="1"/>
    </xf>
    <xf numFmtId="165" fontId="4" fillId="5" borderId="5" xfId="0" applyNumberFormat="1" applyFont="1" applyFill="1" applyBorder="1" applyAlignment="1">
      <alignment horizontal="right" vertical="center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6" borderId="0" xfId="0" applyFont="1" applyFill="1"/>
    <xf numFmtId="164" fontId="2" fillId="6" borderId="0" xfId="1" applyNumberFormat="1" applyFont="1" applyFill="1"/>
    <xf numFmtId="0" fontId="5" fillId="8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9" fontId="2" fillId="0" borderId="1" xfId="1" applyNumberFormat="1" applyFont="1" applyBorder="1" applyAlignment="1">
      <alignment horizontal="center"/>
    </xf>
    <xf numFmtId="0" fontId="1" fillId="0" borderId="1" xfId="0" applyFont="1" applyBorder="1"/>
    <xf numFmtId="168" fontId="1" fillId="0" borderId="1" xfId="0" applyNumberFormat="1" applyFont="1" applyBorder="1"/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67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1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9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/>
    <xf numFmtId="0" fontId="1" fillId="4" borderId="1" xfId="0" applyFont="1" applyFill="1" applyBorder="1"/>
    <xf numFmtId="0" fontId="1" fillId="4" borderId="9" xfId="0" applyFont="1" applyFill="1" applyBorder="1"/>
    <xf numFmtId="169" fontId="1" fillId="0" borderId="0" xfId="0" applyNumberFormat="1" applyFont="1" applyAlignment="1">
      <alignment horizontal="center"/>
    </xf>
    <xf numFmtId="169" fontId="4" fillId="3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164" fontId="1" fillId="2" borderId="1" xfId="0" applyNumberFormat="1" applyFont="1" applyFill="1" applyBorder="1"/>
    <xf numFmtId="169" fontId="1" fillId="9" borderId="1" xfId="1" applyNumberFormat="1" applyFont="1" applyFill="1" applyBorder="1" applyAlignment="1">
      <alignment horizontal="center"/>
    </xf>
    <xf numFmtId="167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/>
    <xf numFmtId="168" fontId="1" fillId="9" borderId="1" xfId="0" applyNumberFormat="1" applyFont="1" applyFill="1" applyBorder="1"/>
    <xf numFmtId="164" fontId="1" fillId="9" borderId="1" xfId="1" applyNumberFormat="1" applyFont="1" applyFill="1" applyBorder="1"/>
    <xf numFmtId="164" fontId="1" fillId="9" borderId="1" xfId="1" applyNumberFormat="1" applyFont="1" applyFill="1" applyBorder="1" applyAlignment="1">
      <alignment horizontal="center"/>
    </xf>
    <xf numFmtId="164" fontId="1" fillId="9" borderId="1" xfId="0" applyNumberFormat="1" applyFont="1" applyFill="1" applyBorder="1"/>
    <xf numFmtId="0" fontId="1" fillId="9" borderId="0" xfId="0" applyFont="1" applyFill="1"/>
    <xf numFmtId="167" fontId="1" fillId="10" borderId="1" xfId="0" applyNumberFormat="1" applyFont="1" applyFill="1" applyBorder="1" applyAlignment="1">
      <alignment horizontal="center"/>
    </xf>
    <xf numFmtId="169" fontId="1" fillId="11" borderId="1" xfId="1" applyNumberFormat="1" applyFont="1" applyFill="1" applyBorder="1" applyAlignment="1">
      <alignment horizontal="center"/>
    </xf>
    <xf numFmtId="167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/>
    <xf numFmtId="168" fontId="1" fillId="11" borderId="1" xfId="0" applyNumberFormat="1" applyFont="1" applyFill="1" applyBorder="1"/>
    <xf numFmtId="164" fontId="1" fillId="11" borderId="1" xfId="1" applyNumberFormat="1" applyFont="1" applyFill="1" applyBorder="1"/>
    <xf numFmtId="164" fontId="1" fillId="11" borderId="1" xfId="1" applyNumberFormat="1" applyFont="1" applyFill="1" applyBorder="1" applyAlignment="1">
      <alignment horizontal="center"/>
    </xf>
    <xf numFmtId="164" fontId="1" fillId="11" borderId="1" xfId="0" applyNumberFormat="1" applyFont="1" applyFill="1" applyBorder="1"/>
    <xf numFmtId="0" fontId="1" fillId="11" borderId="0" xfId="0" applyFont="1" applyFill="1"/>
    <xf numFmtId="169" fontId="1" fillId="10" borderId="1" xfId="1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64" fontId="1" fillId="10" borderId="1" xfId="0" applyNumberFormat="1" applyFont="1" applyFill="1" applyBorder="1"/>
    <xf numFmtId="0" fontId="1" fillId="10" borderId="0" xfId="0" applyFont="1" applyFill="1"/>
    <xf numFmtId="0" fontId="1" fillId="2" borderId="0" xfId="0" applyFont="1" applyFill="1" applyBorder="1"/>
    <xf numFmtId="168" fontId="1" fillId="2" borderId="0" xfId="0" applyNumberFormat="1" applyFont="1" applyFill="1" applyBorder="1"/>
    <xf numFmtId="164" fontId="1" fillId="2" borderId="0" xfId="1" applyNumberFormat="1" applyFont="1" applyFill="1" applyBorder="1"/>
    <xf numFmtId="164" fontId="1" fillId="2" borderId="0" xfId="1" applyNumberFormat="1" applyFont="1" applyFill="1" applyBorder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8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7</xdr:row>
          <xdr:rowOff>190500</xdr:rowOff>
        </xdr:from>
        <xdr:to>
          <xdr:col>7</xdr:col>
          <xdr:colOff>95250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11</xdr:row>
          <xdr:rowOff>142875</xdr:rowOff>
        </xdr:from>
        <xdr:to>
          <xdr:col>7</xdr:col>
          <xdr:colOff>104775</xdr:colOff>
          <xdr:row>12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8</xdr:col>
      <xdr:colOff>184150</xdr:colOff>
      <xdr:row>22</xdr:row>
      <xdr:rowOff>31750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91425" y="6188075"/>
          <a:ext cx="1050925" cy="40640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581025</xdr:colOff>
      <xdr:row>20</xdr:row>
      <xdr:rowOff>225425</xdr:rowOff>
    </xdr:from>
    <xdr:to>
      <xdr:col>8</xdr:col>
      <xdr:colOff>130302</xdr:colOff>
      <xdr:row>21</xdr:row>
      <xdr:rowOff>250952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8286750" y="6235700"/>
          <a:ext cx="301752" cy="301752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476251</xdr:colOff>
      <xdr:row>18</xdr:row>
      <xdr:rowOff>177800</xdr:rowOff>
    </xdr:from>
    <xdr:to>
      <xdr:col>8</xdr:col>
      <xdr:colOff>171450</xdr:colOff>
      <xdr:row>20</xdr:row>
      <xdr:rowOff>19050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572376" y="5635625"/>
          <a:ext cx="1057274" cy="39370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539749</xdr:colOff>
      <xdr:row>18</xdr:row>
      <xdr:rowOff>215900</xdr:rowOff>
    </xdr:from>
    <xdr:to>
      <xdr:col>7</xdr:col>
      <xdr:colOff>231901</xdr:colOff>
      <xdr:row>19</xdr:row>
      <xdr:rowOff>241427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635874" y="5673725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"/>
  <sheetViews>
    <sheetView topLeftCell="B1" workbookViewId="0">
      <selection activeCell="D2" sqref="D2"/>
    </sheetView>
  </sheetViews>
  <sheetFormatPr defaultColWidth="8.7109375" defaultRowHeight="21.75"/>
  <cols>
    <col min="1" max="2" width="8.7109375" style="45"/>
    <col min="3" max="3" width="21.85546875" style="53" customWidth="1"/>
    <col min="4" max="4" width="25.42578125" style="54" customWidth="1"/>
    <col min="5" max="8" width="8.7109375" style="45"/>
    <col min="9" max="9" width="19.140625" style="45" bestFit="1" customWidth="1"/>
    <col min="10" max="10" width="14.140625" style="45" bestFit="1" customWidth="1"/>
    <col min="11" max="11" width="17.85546875" style="45" customWidth="1"/>
    <col min="12" max="16384" width="8.7109375" style="45"/>
  </cols>
  <sheetData>
    <row r="1" spans="1:11" ht="23.25" thickBot="1">
      <c r="C1" s="44" t="s">
        <v>35</v>
      </c>
      <c r="D1" s="72">
        <v>115</v>
      </c>
    </row>
    <row r="2" spans="1:11" ht="23.25" hidden="1" thickBot="1">
      <c r="C2" s="44"/>
      <c r="D2" s="65">
        <v>44373</v>
      </c>
    </row>
    <row r="3" spans="1:11" ht="33.75" thickBot="1">
      <c r="A3" s="45" t="b">
        <f>Dashboard!D1=IF(B3="","",ROW(1:1))</f>
        <v>0</v>
      </c>
      <c r="C3" s="44" t="s">
        <v>11</v>
      </c>
      <c r="D3" s="65"/>
      <c r="F3" s="123" t="s">
        <v>33</v>
      </c>
      <c r="G3" s="124"/>
      <c r="H3" s="124"/>
      <c r="I3" s="124"/>
      <c r="J3" s="124"/>
      <c r="K3" s="125"/>
    </row>
    <row r="4" spans="1:11" ht="22.5">
      <c r="C4" s="46" t="s">
        <v>12</v>
      </c>
      <c r="D4" s="65"/>
    </row>
    <row r="5" spans="1:11" ht="22.5">
      <c r="C5" s="46" t="s">
        <v>13</v>
      </c>
      <c r="D5" s="69"/>
    </row>
    <row r="6" spans="1:11" ht="22.5">
      <c r="C6" s="47" t="s">
        <v>5</v>
      </c>
      <c r="D6" s="69"/>
    </row>
    <row r="7" spans="1:11" ht="22.5">
      <c r="C7" s="47" t="s">
        <v>14</v>
      </c>
      <c r="D7" s="69"/>
    </row>
    <row r="8" spans="1:11" ht="22.5">
      <c r="C8" s="48" t="s">
        <v>24</v>
      </c>
      <c r="D8" s="69"/>
    </row>
    <row r="9" spans="1:11" ht="22.5">
      <c r="C9" s="48" t="s">
        <v>25</v>
      </c>
      <c r="D9" s="70"/>
      <c r="I9" s="61" t="s">
        <v>32</v>
      </c>
      <c r="J9" s="62">
        <f>SUM(' Data Save '!U2:U1048576)</f>
        <v>1933150</v>
      </c>
    </row>
    <row r="10" spans="1:11" ht="22.5">
      <c r="C10" s="49" t="s">
        <v>17</v>
      </c>
      <c r="D10" s="69"/>
    </row>
    <row r="11" spans="1:11" ht="22.5">
      <c r="C11" s="50" t="s">
        <v>0</v>
      </c>
      <c r="D11" s="69"/>
    </row>
    <row r="12" spans="1:11" ht="22.5">
      <c r="C12" s="51" t="s">
        <v>18</v>
      </c>
      <c r="D12" s="15"/>
    </row>
    <row r="13" spans="1:11" ht="21.95" customHeight="1">
      <c r="C13" s="51" t="s">
        <v>19</v>
      </c>
      <c r="D13" s="10">
        <f>D11*D12</f>
        <v>0</v>
      </c>
    </row>
    <row r="14" spans="1:11" ht="22.5">
      <c r="C14" s="51" t="s">
        <v>29</v>
      </c>
      <c r="D14" s="10"/>
    </row>
    <row r="15" spans="1:11" ht="22.5">
      <c r="C15" s="51" t="s">
        <v>20</v>
      </c>
      <c r="D15" s="10"/>
    </row>
    <row r="16" spans="1:11" ht="22.5">
      <c r="C16" s="51" t="s">
        <v>30</v>
      </c>
      <c r="D16" s="10">
        <f>D13+D14-D15</f>
        <v>0</v>
      </c>
    </row>
    <row r="17" spans="3:10" ht="22.5" hidden="1">
      <c r="C17" s="51"/>
      <c r="D17" s="65">
        <v>44286</v>
      </c>
    </row>
    <row r="18" spans="3:10" ht="22.5">
      <c r="C18" s="52" t="s">
        <v>61</v>
      </c>
      <c r="D18" s="65"/>
    </row>
    <row r="19" spans="3:10">
      <c r="D19" s="73"/>
    </row>
    <row r="20" spans="3:10">
      <c r="D20" s="73"/>
    </row>
    <row r="21" spans="3:10">
      <c r="D21" s="73"/>
    </row>
    <row r="22" spans="3:10">
      <c r="J22" s="54"/>
    </row>
  </sheetData>
  <mergeCells count="1">
    <mergeCell ref="F3:K3"/>
  </mergeCells>
  <dataValidations count="2">
    <dataValidation type="list" errorStyle="warning" allowBlank="1" showInputMessage="1" showErrorMessage="1" sqref="D5">
      <formula1>"ဝါးေသာက္,မဝန္း,ထန္းမနိုင္"</formula1>
    </dataValidation>
    <dataValidation type="list" errorStyle="warning" allowBlank="1" showInputMessage="1" showErrorMessage="1" sqref="D10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190500</xdr:colOff>
                    <xdr:row>7</xdr:row>
                    <xdr:rowOff>190500</xdr:rowOff>
                  </from>
                  <to>
                    <xdr:col>7</xdr:col>
                    <xdr:colOff>95250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11</xdr:row>
                    <xdr:rowOff>142875</xdr:rowOff>
                  </from>
                  <to>
                    <xdr:col>7</xdr:col>
                    <xdr:colOff>104775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I60"/>
  <sheetViews>
    <sheetView tabSelected="1" topLeftCell="C1" zoomScaleNormal="100" zoomScaleSheetLayoutView="100" workbookViewId="0">
      <pane xSplit="3" topLeftCell="F1" activePane="topRight" state="frozen"/>
      <selection activeCell="C1" sqref="C1"/>
      <selection pane="topRight" activeCell="D51" sqref="D51"/>
    </sheetView>
  </sheetViews>
  <sheetFormatPr defaultColWidth="8.7109375" defaultRowHeight="21.75"/>
  <cols>
    <col min="1" max="1" width="17.28515625" style="88" bestFit="1" customWidth="1"/>
    <col min="2" max="2" width="18.5703125" style="3" hidden="1" customWidth="1"/>
    <col min="3" max="3" width="15.28515625" style="66" bestFit="1" customWidth="1"/>
    <col min="4" max="4" width="34" style="3" customWidth="1"/>
    <col min="5" max="5" width="16.85546875" style="3" customWidth="1"/>
    <col min="6" max="6" width="15.42578125" style="3" customWidth="1"/>
    <col min="7" max="7" width="14.85546875" style="3" customWidth="1"/>
    <col min="8" max="8" width="15.85546875" style="3" customWidth="1"/>
    <col min="9" max="9" width="25.85546875" style="25" bestFit="1" customWidth="1"/>
    <col min="10" max="10" width="20.7109375" style="3" customWidth="1"/>
    <col min="11" max="11" width="8.140625" style="3" customWidth="1"/>
    <col min="12" max="12" width="13.42578125" style="4" customWidth="1"/>
    <col min="13" max="14" width="15.5703125" style="4" customWidth="1"/>
    <col min="15" max="15" width="12.85546875" style="4" customWidth="1"/>
    <col min="16" max="16" width="18.5703125" style="4" customWidth="1"/>
    <col min="17" max="17" width="18.5703125" style="4" hidden="1" customWidth="1"/>
    <col min="18" max="18" width="24.140625" style="14" customWidth="1"/>
    <col min="19" max="19" width="31" style="4" customWidth="1"/>
    <col min="20" max="20" width="12.42578125" style="4" customWidth="1"/>
    <col min="21" max="21" width="45.85546875" style="4" customWidth="1"/>
    <col min="22" max="16384" width="8.7109375" style="3"/>
  </cols>
  <sheetData>
    <row r="1" spans="1:35" ht="45">
      <c r="A1" s="89" t="s">
        <v>35</v>
      </c>
      <c r="B1" s="74"/>
      <c r="C1" s="74" t="s">
        <v>11</v>
      </c>
      <c r="D1" s="75" t="s">
        <v>12</v>
      </c>
      <c r="E1" s="75" t="s">
        <v>13</v>
      </c>
      <c r="F1" s="76" t="s">
        <v>5</v>
      </c>
      <c r="G1" s="76" t="s">
        <v>14</v>
      </c>
      <c r="H1" s="76" t="s">
        <v>24</v>
      </c>
      <c r="I1" s="76" t="s">
        <v>25</v>
      </c>
      <c r="J1" s="75" t="s">
        <v>17</v>
      </c>
      <c r="K1" s="77" t="s">
        <v>0</v>
      </c>
      <c r="L1" s="78" t="s">
        <v>53</v>
      </c>
      <c r="M1" s="78" t="s">
        <v>54</v>
      </c>
      <c r="N1" s="78" t="s">
        <v>55</v>
      </c>
      <c r="O1" s="78" t="s">
        <v>56</v>
      </c>
      <c r="P1" s="78" t="s">
        <v>57</v>
      </c>
      <c r="Q1" s="78"/>
      <c r="R1" s="79" t="s">
        <v>21</v>
      </c>
      <c r="S1" s="78" t="s">
        <v>58</v>
      </c>
      <c r="T1" s="78" t="s">
        <v>59</v>
      </c>
      <c r="U1" s="78" t="s">
        <v>60</v>
      </c>
    </row>
    <row r="2" spans="1:35" s="92" customFormat="1">
      <c r="A2" s="94">
        <v>11</v>
      </c>
      <c r="B2" s="95">
        <v>44176</v>
      </c>
      <c r="C2" s="95">
        <v>44264</v>
      </c>
      <c r="D2" s="96" t="s">
        <v>70</v>
      </c>
      <c r="E2" s="96" t="s">
        <v>36</v>
      </c>
      <c r="F2" s="96"/>
      <c r="G2" s="96"/>
      <c r="H2" s="96"/>
      <c r="I2" s="97"/>
      <c r="J2" s="96" t="s">
        <v>38</v>
      </c>
      <c r="K2" s="96">
        <v>1</v>
      </c>
      <c r="L2" s="98">
        <v>17500</v>
      </c>
      <c r="M2" s="99">
        <f>K2*L2</f>
        <v>17500</v>
      </c>
      <c r="N2" s="99"/>
      <c r="O2" s="99"/>
      <c r="P2" s="99">
        <f>M2+N2-O2</f>
        <v>17500</v>
      </c>
      <c r="Q2" s="95">
        <v>44286</v>
      </c>
      <c r="R2" s="95">
        <v>44286</v>
      </c>
      <c r="S2" s="98">
        <v>10000</v>
      </c>
      <c r="T2" s="98"/>
      <c r="U2" s="100">
        <f t="shared" ref="U2:U33" si="0">P2-S2</f>
        <v>7500</v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</row>
    <row r="3" spans="1:35" s="92" customFormat="1">
      <c r="A3" s="94">
        <v>2</v>
      </c>
      <c r="B3" s="95">
        <v>44272</v>
      </c>
      <c r="C3" s="95">
        <v>44272</v>
      </c>
      <c r="D3" s="96" t="s">
        <v>27</v>
      </c>
      <c r="E3" s="96" t="s">
        <v>28</v>
      </c>
      <c r="F3" s="96"/>
      <c r="G3" s="96"/>
      <c r="H3" s="96"/>
      <c r="I3" s="97"/>
      <c r="J3" s="96" t="s">
        <v>50</v>
      </c>
      <c r="K3" s="96">
        <v>1</v>
      </c>
      <c r="L3" s="98">
        <v>83500</v>
      </c>
      <c r="M3" s="99">
        <f>K3*L3</f>
        <v>83500</v>
      </c>
      <c r="N3" s="99"/>
      <c r="O3" s="99"/>
      <c r="P3" s="99">
        <f>M3+N3-O3</f>
        <v>83500</v>
      </c>
      <c r="Q3" s="95">
        <v>44286</v>
      </c>
      <c r="R3" s="95">
        <v>44275</v>
      </c>
      <c r="S3" s="98">
        <v>70000</v>
      </c>
      <c r="T3" s="98"/>
      <c r="U3" s="100">
        <f t="shared" si="0"/>
        <v>13500</v>
      </c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</row>
    <row r="4" spans="1:35" s="92" customFormat="1">
      <c r="A4" s="94">
        <v>18</v>
      </c>
      <c r="B4" s="65">
        <v>44176</v>
      </c>
      <c r="C4" s="95">
        <v>44288</v>
      </c>
      <c r="D4" s="96" t="s">
        <v>47</v>
      </c>
      <c r="E4" s="96" t="s">
        <v>36</v>
      </c>
      <c r="F4" s="96"/>
      <c r="G4" s="96"/>
      <c r="H4" s="96"/>
      <c r="I4" s="97"/>
      <c r="J4" s="96" t="s">
        <v>74</v>
      </c>
      <c r="K4" s="96">
        <v>1</v>
      </c>
      <c r="L4" s="98">
        <v>89000</v>
      </c>
      <c r="M4" s="99">
        <f>K4*L4</f>
        <v>89000</v>
      </c>
      <c r="N4" s="99"/>
      <c r="O4" s="99"/>
      <c r="P4" s="99">
        <f>M4+N4-O4</f>
        <v>89000</v>
      </c>
      <c r="Q4" s="65">
        <v>44286</v>
      </c>
      <c r="R4" s="95">
        <v>44301</v>
      </c>
      <c r="S4" s="98">
        <v>50000</v>
      </c>
      <c r="T4" s="98"/>
      <c r="U4" s="100">
        <f t="shared" si="0"/>
        <v>39000</v>
      </c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</row>
    <row r="5" spans="1:35" s="92" customFormat="1">
      <c r="A5" s="94">
        <v>33</v>
      </c>
      <c r="B5" s="95">
        <v>44176</v>
      </c>
      <c r="C5" s="95">
        <v>44319</v>
      </c>
      <c r="D5" s="96" t="s">
        <v>83</v>
      </c>
      <c r="E5" s="96" t="s">
        <v>84</v>
      </c>
      <c r="F5" s="96"/>
      <c r="G5" s="96"/>
      <c r="H5" s="96"/>
      <c r="I5" s="97"/>
      <c r="J5" s="96" t="s">
        <v>85</v>
      </c>
      <c r="K5" s="96">
        <v>1</v>
      </c>
      <c r="L5" s="98">
        <v>2164000</v>
      </c>
      <c r="M5" s="99">
        <f>K5*L5</f>
        <v>2164000</v>
      </c>
      <c r="N5" s="99"/>
      <c r="O5" s="99"/>
      <c r="P5" s="99">
        <v>2164000</v>
      </c>
      <c r="Q5" s="95">
        <v>44286</v>
      </c>
      <c r="R5" s="95">
        <v>44347</v>
      </c>
      <c r="S5" s="98">
        <v>2160000</v>
      </c>
      <c r="T5" s="98"/>
      <c r="U5" s="100">
        <f t="shared" si="0"/>
        <v>4000</v>
      </c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</row>
    <row r="6" spans="1:35" s="92" customFormat="1">
      <c r="A6" s="94">
        <v>94</v>
      </c>
      <c r="B6" s="65">
        <v>44176</v>
      </c>
      <c r="C6" s="95">
        <v>44377</v>
      </c>
      <c r="D6" s="95" t="s">
        <v>80</v>
      </c>
      <c r="E6" s="96" t="s">
        <v>39</v>
      </c>
      <c r="F6" s="96"/>
      <c r="G6" s="96"/>
      <c r="H6" s="96"/>
      <c r="I6" s="97"/>
      <c r="J6" s="96" t="s">
        <v>65</v>
      </c>
      <c r="K6" s="96">
        <v>1</v>
      </c>
      <c r="L6" s="98">
        <v>72000</v>
      </c>
      <c r="M6" s="99">
        <f>K6*L6</f>
        <v>72000</v>
      </c>
      <c r="N6" s="99"/>
      <c r="O6" s="99"/>
      <c r="P6" s="99">
        <f>M6+N6-O6</f>
        <v>72000</v>
      </c>
      <c r="Q6" s="65">
        <v>44286</v>
      </c>
      <c r="R6" s="95">
        <v>44377</v>
      </c>
      <c r="S6" s="99">
        <v>55200</v>
      </c>
      <c r="T6" s="95"/>
      <c r="U6" s="100">
        <f t="shared" si="0"/>
        <v>16800</v>
      </c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</row>
    <row r="7" spans="1:35" s="92" customFormat="1">
      <c r="A7" s="72">
        <v>42</v>
      </c>
      <c r="B7" s="90">
        <v>44176</v>
      </c>
      <c r="C7" s="90">
        <v>44324</v>
      </c>
      <c r="D7" s="69" t="s">
        <v>47</v>
      </c>
      <c r="E7" s="69" t="s">
        <v>36</v>
      </c>
      <c r="F7" s="69"/>
      <c r="G7" s="69"/>
      <c r="H7" s="69"/>
      <c r="I7" s="70"/>
      <c r="J7" s="69"/>
      <c r="K7" s="69"/>
      <c r="L7" s="15"/>
      <c r="M7" s="10"/>
      <c r="N7" s="10"/>
      <c r="O7" s="10"/>
      <c r="P7" s="10">
        <v>99500</v>
      </c>
      <c r="Q7" s="65"/>
      <c r="R7" s="65">
        <v>44347</v>
      </c>
      <c r="S7" s="67"/>
      <c r="T7" s="67"/>
      <c r="U7" s="93">
        <f t="shared" si="0"/>
        <v>99500</v>
      </c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s="92" customFormat="1">
      <c r="A8" s="72">
        <v>7</v>
      </c>
      <c r="B8" s="65">
        <v>44176</v>
      </c>
      <c r="C8" s="65">
        <v>44171</v>
      </c>
      <c r="D8" s="69" t="s">
        <v>42</v>
      </c>
      <c r="E8" s="69"/>
      <c r="F8" s="69"/>
      <c r="G8" s="69"/>
      <c r="H8" s="69"/>
      <c r="I8" s="70"/>
      <c r="J8" s="69"/>
      <c r="K8" s="69">
        <v>1</v>
      </c>
      <c r="L8" s="15">
        <v>33500</v>
      </c>
      <c r="M8" s="10">
        <f t="shared" ref="M8:M55" si="1">K8*L8</f>
        <v>33500</v>
      </c>
      <c r="N8" s="10"/>
      <c r="O8" s="10"/>
      <c r="P8" s="10">
        <f t="shared" ref="P8:P23" si="2">M8+N8-O8</f>
        <v>33500</v>
      </c>
      <c r="Q8" s="65">
        <v>44286</v>
      </c>
      <c r="R8" s="65">
        <v>44202</v>
      </c>
      <c r="S8" s="67"/>
      <c r="T8" s="67"/>
      <c r="U8" s="93">
        <f t="shared" si="0"/>
        <v>33500</v>
      </c>
    </row>
    <row r="9" spans="1:35" s="101" customFormat="1">
      <c r="A9" s="72">
        <v>6</v>
      </c>
      <c r="B9" s="65">
        <v>44176</v>
      </c>
      <c r="C9" s="65">
        <v>44176</v>
      </c>
      <c r="D9" s="69" t="s">
        <v>31</v>
      </c>
      <c r="E9" s="69" t="s">
        <v>36</v>
      </c>
      <c r="F9" s="69"/>
      <c r="G9" s="69"/>
      <c r="H9" s="69"/>
      <c r="I9" s="70"/>
      <c r="J9" s="69" t="s">
        <v>41</v>
      </c>
      <c r="K9" s="69">
        <v>1</v>
      </c>
      <c r="L9" s="15">
        <v>7000</v>
      </c>
      <c r="M9" s="10">
        <f t="shared" si="1"/>
        <v>7000</v>
      </c>
      <c r="N9" s="10"/>
      <c r="O9" s="10"/>
      <c r="P9" s="10">
        <f t="shared" si="2"/>
        <v>7000</v>
      </c>
      <c r="Q9" s="65">
        <v>44286</v>
      </c>
      <c r="R9" s="65">
        <v>44207</v>
      </c>
      <c r="S9" s="67"/>
      <c r="T9" s="67"/>
      <c r="U9" s="93">
        <f t="shared" si="0"/>
        <v>7000</v>
      </c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</row>
    <row r="10" spans="1:35" s="101" customFormat="1">
      <c r="A10" s="72">
        <v>8</v>
      </c>
      <c r="B10" s="65">
        <v>44176</v>
      </c>
      <c r="C10" s="65">
        <v>44180</v>
      </c>
      <c r="D10" s="69" t="s">
        <v>68</v>
      </c>
      <c r="E10" s="69" t="s">
        <v>43</v>
      </c>
      <c r="F10" s="69"/>
      <c r="G10" s="69"/>
      <c r="H10" s="69"/>
      <c r="I10" s="70"/>
      <c r="J10" s="69"/>
      <c r="K10" s="69">
        <v>1</v>
      </c>
      <c r="L10" s="15">
        <v>19500</v>
      </c>
      <c r="M10" s="10">
        <f t="shared" si="1"/>
        <v>19500</v>
      </c>
      <c r="N10" s="10"/>
      <c r="O10" s="10"/>
      <c r="P10" s="10">
        <f t="shared" si="2"/>
        <v>19500</v>
      </c>
      <c r="Q10" s="65">
        <v>44286</v>
      </c>
      <c r="R10" s="65">
        <v>44211</v>
      </c>
      <c r="S10" s="67"/>
      <c r="T10" s="67"/>
      <c r="U10" s="93">
        <f t="shared" si="0"/>
        <v>19500</v>
      </c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</row>
    <row r="11" spans="1:35" s="92" customFormat="1">
      <c r="A11" s="72">
        <v>3</v>
      </c>
      <c r="B11" s="65">
        <v>44272</v>
      </c>
      <c r="C11" s="65">
        <v>44201</v>
      </c>
      <c r="D11" s="69" t="s">
        <v>66</v>
      </c>
      <c r="E11" s="69" t="s">
        <v>26</v>
      </c>
      <c r="F11" s="69"/>
      <c r="G11" s="69"/>
      <c r="H11" s="69"/>
      <c r="I11" s="70"/>
      <c r="J11" s="69"/>
      <c r="K11" s="69">
        <v>1</v>
      </c>
      <c r="L11" s="15">
        <v>4000</v>
      </c>
      <c r="M11" s="10">
        <f t="shared" si="1"/>
        <v>4000</v>
      </c>
      <c r="N11" s="10"/>
      <c r="O11" s="10"/>
      <c r="P11" s="10">
        <f t="shared" si="2"/>
        <v>4000</v>
      </c>
      <c r="Q11" s="65">
        <v>44286</v>
      </c>
      <c r="R11" s="65">
        <v>44232</v>
      </c>
      <c r="S11" s="67"/>
      <c r="T11" s="67"/>
      <c r="U11" s="93">
        <f t="shared" si="0"/>
        <v>4000</v>
      </c>
    </row>
    <row r="12" spans="1:35" s="117" customFormat="1">
      <c r="A12" s="72">
        <v>5</v>
      </c>
      <c r="B12" s="65">
        <v>44227</v>
      </c>
      <c r="C12" s="65">
        <v>44227</v>
      </c>
      <c r="D12" s="69" t="s">
        <v>40</v>
      </c>
      <c r="E12" s="69" t="s">
        <v>51</v>
      </c>
      <c r="F12" s="69"/>
      <c r="G12" s="69"/>
      <c r="H12" s="69"/>
      <c r="I12" s="70"/>
      <c r="J12" s="69" t="s">
        <v>67</v>
      </c>
      <c r="K12" s="69">
        <v>1</v>
      </c>
      <c r="L12" s="15">
        <v>5000</v>
      </c>
      <c r="M12" s="10">
        <f t="shared" si="1"/>
        <v>5000</v>
      </c>
      <c r="N12" s="10"/>
      <c r="O12" s="10"/>
      <c r="P12" s="10">
        <f t="shared" si="2"/>
        <v>5000</v>
      </c>
      <c r="Q12" s="65">
        <v>44286</v>
      </c>
      <c r="R12" s="65">
        <v>44255</v>
      </c>
      <c r="S12" s="67"/>
      <c r="T12" s="67"/>
      <c r="U12" s="93">
        <f t="shared" si="0"/>
        <v>5000</v>
      </c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</row>
    <row r="13" spans="1:35" s="92" customFormat="1">
      <c r="A13" s="72">
        <v>9</v>
      </c>
      <c r="B13" s="65">
        <v>44176</v>
      </c>
      <c r="C13" s="65">
        <v>44242</v>
      </c>
      <c r="D13" s="69" t="s">
        <v>44</v>
      </c>
      <c r="E13" s="69" t="s">
        <v>45</v>
      </c>
      <c r="F13" s="69"/>
      <c r="G13" s="69"/>
      <c r="H13" s="69"/>
      <c r="I13" s="70"/>
      <c r="J13" s="69" t="s">
        <v>46</v>
      </c>
      <c r="K13" s="69">
        <v>1</v>
      </c>
      <c r="L13" s="15">
        <v>22000</v>
      </c>
      <c r="M13" s="10">
        <f t="shared" si="1"/>
        <v>22000</v>
      </c>
      <c r="N13" s="10"/>
      <c r="O13" s="10"/>
      <c r="P13" s="10">
        <f t="shared" si="2"/>
        <v>22000</v>
      </c>
      <c r="Q13" s="65">
        <v>44286</v>
      </c>
      <c r="R13" s="65">
        <v>44280</v>
      </c>
      <c r="S13" s="90"/>
      <c r="T13" s="90"/>
      <c r="U13" s="93">
        <f t="shared" si="0"/>
        <v>22000</v>
      </c>
      <c r="V13" s="118"/>
      <c r="W13" s="118"/>
      <c r="X13" s="118"/>
      <c r="Y13" s="118"/>
      <c r="Z13" s="119"/>
      <c r="AA13" s="118"/>
      <c r="AB13" s="118"/>
      <c r="AC13" s="120"/>
      <c r="AD13" s="121"/>
      <c r="AE13" s="121"/>
      <c r="AF13" s="121"/>
      <c r="AG13" s="121"/>
      <c r="AH13" s="122"/>
      <c r="AI13" s="122"/>
    </row>
    <row r="14" spans="1:35" s="92" customFormat="1">
      <c r="A14" s="72">
        <v>10</v>
      </c>
      <c r="B14" s="65">
        <v>44176</v>
      </c>
      <c r="C14" s="65">
        <v>44257</v>
      </c>
      <c r="D14" s="69" t="s">
        <v>69</v>
      </c>
      <c r="E14" s="69" t="s">
        <v>23</v>
      </c>
      <c r="F14" s="69"/>
      <c r="G14" s="69"/>
      <c r="H14" s="69"/>
      <c r="I14" s="70"/>
      <c r="J14" s="69" t="s">
        <v>52</v>
      </c>
      <c r="K14" s="69">
        <v>1</v>
      </c>
      <c r="L14" s="15">
        <v>35000</v>
      </c>
      <c r="M14" s="10">
        <f t="shared" si="1"/>
        <v>35000</v>
      </c>
      <c r="N14" s="10"/>
      <c r="O14" s="10"/>
      <c r="P14" s="10">
        <f t="shared" si="2"/>
        <v>35000</v>
      </c>
      <c r="Q14" s="65">
        <v>44286</v>
      </c>
      <c r="R14" s="65">
        <v>44288</v>
      </c>
      <c r="S14" s="67"/>
      <c r="T14" s="67"/>
      <c r="U14" s="93">
        <f t="shared" si="0"/>
        <v>35000</v>
      </c>
    </row>
    <row r="15" spans="1:35" s="101" customFormat="1">
      <c r="A15" s="72">
        <v>12</v>
      </c>
      <c r="B15" s="65">
        <v>44176</v>
      </c>
      <c r="C15" s="65">
        <v>44276</v>
      </c>
      <c r="D15" s="69" t="s">
        <v>37</v>
      </c>
      <c r="E15" s="69" t="s">
        <v>36</v>
      </c>
      <c r="F15" s="69"/>
      <c r="G15" s="69"/>
      <c r="H15" s="69"/>
      <c r="I15" s="70"/>
      <c r="J15" s="69" t="s">
        <v>71</v>
      </c>
      <c r="K15" s="69">
        <v>1</v>
      </c>
      <c r="L15" s="15">
        <v>20000</v>
      </c>
      <c r="M15" s="10">
        <f t="shared" si="1"/>
        <v>20000</v>
      </c>
      <c r="N15" s="10"/>
      <c r="O15" s="10"/>
      <c r="P15" s="10">
        <f t="shared" si="2"/>
        <v>20000</v>
      </c>
      <c r="Q15" s="65">
        <v>44286</v>
      </c>
      <c r="R15" s="65">
        <v>44284</v>
      </c>
      <c r="S15" s="67"/>
      <c r="T15" s="67"/>
      <c r="U15" s="93">
        <f t="shared" si="0"/>
        <v>20000</v>
      </c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</row>
    <row r="16" spans="1:35" s="92" customFormat="1">
      <c r="A16" s="111">
        <v>14</v>
      </c>
      <c r="B16" s="102">
        <v>44176</v>
      </c>
      <c r="C16" s="102">
        <v>44284</v>
      </c>
      <c r="D16" s="112" t="s">
        <v>72</v>
      </c>
      <c r="E16" s="112" t="s">
        <v>73</v>
      </c>
      <c r="F16" s="112"/>
      <c r="G16" s="112"/>
      <c r="H16" s="112"/>
      <c r="I16" s="113"/>
      <c r="J16" s="112" t="s">
        <v>62</v>
      </c>
      <c r="K16" s="112">
        <v>1</v>
      </c>
      <c r="L16" s="114">
        <v>93000</v>
      </c>
      <c r="M16" s="115">
        <f t="shared" si="1"/>
        <v>93000</v>
      </c>
      <c r="N16" s="115"/>
      <c r="O16" s="115"/>
      <c r="P16" s="115">
        <f t="shared" si="2"/>
        <v>93000</v>
      </c>
      <c r="Q16" s="102">
        <v>44286</v>
      </c>
      <c r="R16" s="102">
        <v>44315</v>
      </c>
      <c r="S16" s="114">
        <v>93000</v>
      </c>
      <c r="T16" s="114"/>
      <c r="U16" s="116">
        <f t="shared" si="0"/>
        <v>0</v>
      </c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</row>
    <row r="17" spans="1:35" s="92" customFormat="1">
      <c r="A17" s="72">
        <v>15</v>
      </c>
      <c r="B17" s="65">
        <v>44176</v>
      </c>
      <c r="C17" s="65">
        <v>44284</v>
      </c>
      <c r="D17" s="69" t="s">
        <v>47</v>
      </c>
      <c r="E17" s="69" t="s">
        <v>36</v>
      </c>
      <c r="F17" s="69"/>
      <c r="G17" s="69"/>
      <c r="H17" s="69"/>
      <c r="I17" s="70"/>
      <c r="J17" s="69"/>
      <c r="K17" s="69">
        <v>1</v>
      </c>
      <c r="L17" s="15">
        <v>5200</v>
      </c>
      <c r="M17" s="10">
        <f t="shared" si="1"/>
        <v>5200</v>
      </c>
      <c r="N17" s="10"/>
      <c r="O17" s="10"/>
      <c r="P17" s="10">
        <f t="shared" si="2"/>
        <v>5200</v>
      </c>
      <c r="Q17" s="65">
        <v>44286</v>
      </c>
      <c r="R17" s="65">
        <v>44285</v>
      </c>
      <c r="S17" s="67"/>
      <c r="T17" s="67"/>
      <c r="U17" s="93">
        <f t="shared" si="0"/>
        <v>5200</v>
      </c>
    </row>
    <row r="18" spans="1:35" s="92" customFormat="1">
      <c r="A18" s="72">
        <v>16</v>
      </c>
      <c r="B18" s="65">
        <v>44176</v>
      </c>
      <c r="C18" s="65">
        <v>44285</v>
      </c>
      <c r="D18" s="69" t="s">
        <v>47</v>
      </c>
      <c r="E18" s="69" t="s">
        <v>36</v>
      </c>
      <c r="F18" s="69"/>
      <c r="G18" s="69"/>
      <c r="H18" s="69"/>
      <c r="I18" s="70"/>
      <c r="J18" s="69" t="s">
        <v>63</v>
      </c>
      <c r="K18" s="69">
        <v>1</v>
      </c>
      <c r="L18" s="15">
        <v>15000</v>
      </c>
      <c r="M18" s="10">
        <f t="shared" si="1"/>
        <v>15000</v>
      </c>
      <c r="N18" s="10"/>
      <c r="O18" s="10"/>
      <c r="P18" s="10">
        <f t="shared" si="2"/>
        <v>15000</v>
      </c>
      <c r="Q18" s="65">
        <v>44286</v>
      </c>
      <c r="R18" s="65">
        <v>44301</v>
      </c>
      <c r="S18" s="67"/>
      <c r="T18" s="67"/>
      <c r="U18" s="93">
        <f t="shared" si="0"/>
        <v>15000</v>
      </c>
    </row>
    <row r="19" spans="1:35" s="92" customFormat="1">
      <c r="A19" s="72">
        <v>19</v>
      </c>
      <c r="B19" s="65">
        <v>44176</v>
      </c>
      <c r="C19" s="65">
        <v>44291</v>
      </c>
      <c r="D19" s="69" t="s">
        <v>47</v>
      </c>
      <c r="E19" s="69" t="s">
        <v>36</v>
      </c>
      <c r="F19" s="69"/>
      <c r="G19" s="69"/>
      <c r="H19" s="69"/>
      <c r="I19" s="70"/>
      <c r="J19" s="69" t="s">
        <v>64</v>
      </c>
      <c r="K19" s="69">
        <v>1</v>
      </c>
      <c r="L19" s="15">
        <v>101700</v>
      </c>
      <c r="M19" s="10">
        <f t="shared" si="1"/>
        <v>101700</v>
      </c>
      <c r="N19" s="10"/>
      <c r="O19" s="10"/>
      <c r="P19" s="10">
        <f t="shared" si="2"/>
        <v>101700</v>
      </c>
      <c r="Q19" s="65">
        <v>44286</v>
      </c>
      <c r="R19" s="65">
        <v>44316</v>
      </c>
      <c r="S19" s="67"/>
      <c r="T19" s="67"/>
      <c r="U19" s="93">
        <f t="shared" si="0"/>
        <v>101700</v>
      </c>
    </row>
    <row r="20" spans="1:35" s="117" customFormat="1">
      <c r="A20" s="72">
        <v>22</v>
      </c>
      <c r="B20" s="65">
        <v>44176</v>
      </c>
      <c r="C20" s="65">
        <v>44309</v>
      </c>
      <c r="D20" s="69" t="s">
        <v>47</v>
      </c>
      <c r="E20" s="69" t="s">
        <v>36</v>
      </c>
      <c r="F20" s="69"/>
      <c r="G20" s="69"/>
      <c r="H20" s="69"/>
      <c r="I20" s="70"/>
      <c r="J20" s="69" t="s">
        <v>76</v>
      </c>
      <c r="K20" s="69">
        <v>1</v>
      </c>
      <c r="L20" s="15">
        <v>9500</v>
      </c>
      <c r="M20" s="10">
        <f t="shared" si="1"/>
        <v>9500</v>
      </c>
      <c r="N20" s="10"/>
      <c r="O20" s="10"/>
      <c r="P20" s="10">
        <f t="shared" si="2"/>
        <v>9500</v>
      </c>
      <c r="Q20" s="65">
        <v>44286</v>
      </c>
      <c r="R20" s="65">
        <v>44316</v>
      </c>
      <c r="S20" s="67"/>
      <c r="T20" s="67"/>
      <c r="U20" s="93">
        <f t="shared" si="0"/>
        <v>9500</v>
      </c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</row>
    <row r="21" spans="1:35" s="101" customFormat="1">
      <c r="A21" s="72">
        <v>26</v>
      </c>
      <c r="B21" s="65">
        <v>44176</v>
      </c>
      <c r="C21" s="65">
        <v>44314</v>
      </c>
      <c r="D21" s="69" t="s">
        <v>79</v>
      </c>
      <c r="E21" s="69" t="s">
        <v>79</v>
      </c>
      <c r="F21" s="69"/>
      <c r="G21" s="69"/>
      <c r="H21" s="69"/>
      <c r="I21" s="70"/>
      <c r="J21" s="69" t="s">
        <v>65</v>
      </c>
      <c r="K21" s="69">
        <v>1</v>
      </c>
      <c r="L21" s="15">
        <v>3000</v>
      </c>
      <c r="M21" s="10">
        <f t="shared" si="1"/>
        <v>3000</v>
      </c>
      <c r="N21" s="10"/>
      <c r="O21" s="10"/>
      <c r="P21" s="10">
        <f t="shared" si="2"/>
        <v>3000</v>
      </c>
      <c r="Q21" s="65">
        <v>44286</v>
      </c>
      <c r="R21" s="65">
        <v>44346</v>
      </c>
      <c r="S21" s="67"/>
      <c r="T21" s="67"/>
      <c r="U21" s="93">
        <f t="shared" si="0"/>
        <v>3000</v>
      </c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</row>
    <row r="22" spans="1:35" s="92" customFormat="1">
      <c r="A22" s="72">
        <v>25</v>
      </c>
      <c r="B22" s="65">
        <v>44176</v>
      </c>
      <c r="C22" s="65">
        <v>44315</v>
      </c>
      <c r="D22" s="69" t="s">
        <v>49</v>
      </c>
      <c r="E22" s="69" t="s">
        <v>77</v>
      </c>
      <c r="F22" s="69"/>
      <c r="G22" s="69"/>
      <c r="H22" s="69"/>
      <c r="I22" s="70"/>
      <c r="J22" s="69" t="s">
        <v>78</v>
      </c>
      <c r="K22" s="69">
        <v>1</v>
      </c>
      <c r="L22" s="15">
        <v>325000</v>
      </c>
      <c r="M22" s="10">
        <f t="shared" si="1"/>
        <v>325000</v>
      </c>
      <c r="N22" s="10"/>
      <c r="O22" s="10"/>
      <c r="P22" s="10">
        <f t="shared" si="2"/>
        <v>325000</v>
      </c>
      <c r="Q22" s="65">
        <v>44286</v>
      </c>
      <c r="R22" s="65">
        <v>44345</v>
      </c>
      <c r="S22" s="67"/>
      <c r="T22" s="67"/>
      <c r="U22" s="93">
        <f t="shared" si="0"/>
        <v>325000</v>
      </c>
    </row>
    <row r="23" spans="1:35" s="92" customFormat="1">
      <c r="A23" s="111">
        <v>27</v>
      </c>
      <c r="B23" s="102">
        <v>44176</v>
      </c>
      <c r="C23" s="102">
        <v>44316</v>
      </c>
      <c r="D23" s="112" t="s">
        <v>80</v>
      </c>
      <c r="E23" s="112" t="s">
        <v>39</v>
      </c>
      <c r="F23" s="112"/>
      <c r="G23" s="112"/>
      <c r="H23" s="112"/>
      <c r="I23" s="113"/>
      <c r="J23" s="112" t="s">
        <v>65</v>
      </c>
      <c r="K23" s="112">
        <v>1</v>
      </c>
      <c r="L23" s="114">
        <v>103500</v>
      </c>
      <c r="M23" s="115">
        <f t="shared" si="1"/>
        <v>103500</v>
      </c>
      <c r="N23" s="115"/>
      <c r="O23" s="115"/>
      <c r="P23" s="115">
        <f t="shared" si="2"/>
        <v>103500</v>
      </c>
      <c r="Q23" s="102">
        <v>44286</v>
      </c>
      <c r="R23" s="102">
        <v>44346</v>
      </c>
      <c r="S23" s="114">
        <v>103500</v>
      </c>
      <c r="T23" s="114"/>
      <c r="U23" s="116">
        <f t="shared" si="0"/>
        <v>0</v>
      </c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</row>
    <row r="24" spans="1:35" s="92" customFormat="1">
      <c r="A24" s="72">
        <v>46</v>
      </c>
      <c r="B24" s="65">
        <v>44176</v>
      </c>
      <c r="C24" s="65">
        <v>44324</v>
      </c>
      <c r="D24" s="69" t="s">
        <v>47</v>
      </c>
      <c r="E24" s="69" t="s">
        <v>36</v>
      </c>
      <c r="F24" s="69"/>
      <c r="G24" s="69"/>
      <c r="H24" s="69"/>
      <c r="I24" s="70"/>
      <c r="J24" s="69" t="s">
        <v>75</v>
      </c>
      <c r="K24" s="69">
        <v>1</v>
      </c>
      <c r="L24" s="15">
        <v>99500</v>
      </c>
      <c r="M24" s="10">
        <f t="shared" si="1"/>
        <v>99500</v>
      </c>
      <c r="N24" s="10"/>
      <c r="O24" s="10"/>
      <c r="P24" s="10">
        <v>3300</v>
      </c>
      <c r="Q24" s="65">
        <v>44286</v>
      </c>
      <c r="R24" s="65">
        <v>44347</v>
      </c>
      <c r="S24" s="67"/>
      <c r="T24" s="67"/>
      <c r="U24" s="93">
        <f t="shared" si="0"/>
        <v>3300</v>
      </c>
    </row>
    <row r="25" spans="1:35" s="92" customFormat="1">
      <c r="A25" s="72">
        <v>47</v>
      </c>
      <c r="B25" s="65">
        <v>44176</v>
      </c>
      <c r="C25" s="65">
        <v>44327</v>
      </c>
      <c r="D25" s="69" t="s">
        <v>48</v>
      </c>
      <c r="E25" s="69" t="s">
        <v>36</v>
      </c>
      <c r="F25" s="69"/>
      <c r="G25" s="69"/>
      <c r="H25" s="69"/>
      <c r="I25" s="70"/>
      <c r="J25" s="69" t="s">
        <v>65</v>
      </c>
      <c r="K25" s="69">
        <v>1</v>
      </c>
      <c r="L25" s="15">
        <v>2000</v>
      </c>
      <c r="M25" s="10">
        <f t="shared" si="1"/>
        <v>2000</v>
      </c>
      <c r="N25" s="10"/>
      <c r="O25" s="10"/>
      <c r="P25" s="10">
        <v>2000</v>
      </c>
      <c r="Q25" s="65">
        <v>44286</v>
      </c>
      <c r="R25" s="65">
        <v>44347</v>
      </c>
      <c r="S25" s="67"/>
      <c r="T25" s="67"/>
      <c r="U25" s="93">
        <f t="shared" si="0"/>
        <v>2000</v>
      </c>
    </row>
    <row r="26" spans="1:35" s="92" customFormat="1">
      <c r="A26" s="72">
        <v>48</v>
      </c>
      <c r="B26" s="65">
        <v>44176</v>
      </c>
      <c r="C26" s="65">
        <v>44327</v>
      </c>
      <c r="D26" s="69" t="s">
        <v>86</v>
      </c>
      <c r="E26" s="69" t="s">
        <v>23</v>
      </c>
      <c r="F26" s="69"/>
      <c r="G26" s="69"/>
      <c r="H26" s="69"/>
      <c r="I26" s="70"/>
      <c r="J26" s="69" t="s">
        <v>75</v>
      </c>
      <c r="K26" s="69">
        <v>1</v>
      </c>
      <c r="L26" s="15">
        <v>11500</v>
      </c>
      <c r="M26" s="10">
        <f t="shared" si="1"/>
        <v>11500</v>
      </c>
      <c r="N26" s="10"/>
      <c r="O26" s="10"/>
      <c r="P26" s="10">
        <v>11500</v>
      </c>
      <c r="Q26" s="65">
        <v>44286</v>
      </c>
      <c r="R26" s="65">
        <v>44347</v>
      </c>
      <c r="S26" s="67"/>
      <c r="T26" s="67"/>
      <c r="U26" s="93">
        <f t="shared" si="0"/>
        <v>11500</v>
      </c>
    </row>
    <row r="27" spans="1:35" s="117" customFormat="1">
      <c r="A27" s="72">
        <v>49</v>
      </c>
      <c r="B27" s="65">
        <v>44176</v>
      </c>
      <c r="C27" s="65">
        <v>44329</v>
      </c>
      <c r="D27" s="69" t="s">
        <v>48</v>
      </c>
      <c r="E27" s="69" t="s">
        <v>36</v>
      </c>
      <c r="F27" s="69"/>
      <c r="G27" s="69"/>
      <c r="H27" s="69"/>
      <c r="I27" s="70"/>
      <c r="J27" s="69" t="s">
        <v>65</v>
      </c>
      <c r="K27" s="69">
        <v>1</v>
      </c>
      <c r="L27" s="15">
        <v>800</v>
      </c>
      <c r="M27" s="10">
        <f t="shared" si="1"/>
        <v>800</v>
      </c>
      <c r="N27" s="10"/>
      <c r="O27" s="10"/>
      <c r="P27" s="10">
        <v>800</v>
      </c>
      <c r="Q27" s="65">
        <v>44286</v>
      </c>
      <c r="R27" s="65">
        <v>44347</v>
      </c>
      <c r="S27" s="67"/>
      <c r="T27" s="67"/>
      <c r="U27" s="93">
        <f t="shared" si="0"/>
        <v>800</v>
      </c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</row>
    <row r="28" spans="1:35" s="92" customFormat="1">
      <c r="A28" s="111">
        <v>50</v>
      </c>
      <c r="B28" s="102">
        <v>44176</v>
      </c>
      <c r="C28" s="102">
        <v>44330</v>
      </c>
      <c r="D28" s="112" t="s">
        <v>80</v>
      </c>
      <c r="E28" s="112" t="s">
        <v>39</v>
      </c>
      <c r="F28" s="112"/>
      <c r="G28" s="112"/>
      <c r="H28" s="112"/>
      <c r="I28" s="113"/>
      <c r="J28" s="112" t="s">
        <v>65</v>
      </c>
      <c r="K28" s="112">
        <v>1</v>
      </c>
      <c r="L28" s="114">
        <v>35600</v>
      </c>
      <c r="M28" s="115">
        <f t="shared" si="1"/>
        <v>35600</v>
      </c>
      <c r="N28" s="115"/>
      <c r="O28" s="115"/>
      <c r="P28" s="115">
        <v>35600</v>
      </c>
      <c r="Q28" s="102">
        <v>44286</v>
      </c>
      <c r="R28" s="102">
        <v>44347</v>
      </c>
      <c r="S28" s="114">
        <v>35600</v>
      </c>
      <c r="T28" s="114"/>
      <c r="U28" s="116">
        <f t="shared" si="0"/>
        <v>0</v>
      </c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</row>
    <row r="29" spans="1:35" s="92" customFormat="1">
      <c r="A29" s="72">
        <v>51</v>
      </c>
      <c r="B29" s="65">
        <v>44176</v>
      </c>
      <c r="C29" s="65">
        <v>44330</v>
      </c>
      <c r="D29" s="69" t="s">
        <v>81</v>
      </c>
      <c r="E29" s="69" t="s">
        <v>82</v>
      </c>
      <c r="F29" s="69"/>
      <c r="G29" s="69"/>
      <c r="H29" s="69"/>
      <c r="I29" s="70"/>
      <c r="J29" s="69" t="s">
        <v>75</v>
      </c>
      <c r="K29" s="69">
        <v>1</v>
      </c>
      <c r="L29" s="15">
        <v>19900</v>
      </c>
      <c r="M29" s="10">
        <f t="shared" si="1"/>
        <v>19900</v>
      </c>
      <c r="N29" s="10"/>
      <c r="O29" s="10"/>
      <c r="P29" s="10">
        <v>19900</v>
      </c>
      <c r="Q29" s="65">
        <v>44286</v>
      </c>
      <c r="R29" s="65">
        <v>44347</v>
      </c>
      <c r="S29" s="67"/>
      <c r="T29" s="67"/>
      <c r="U29" s="93">
        <f t="shared" si="0"/>
        <v>19900</v>
      </c>
    </row>
    <row r="30" spans="1:35" s="92" customFormat="1">
      <c r="A30" s="72">
        <v>54</v>
      </c>
      <c r="B30" s="65">
        <v>44176</v>
      </c>
      <c r="C30" s="65">
        <v>44333</v>
      </c>
      <c r="D30" s="69" t="s">
        <v>87</v>
      </c>
      <c r="E30" s="69" t="s">
        <v>36</v>
      </c>
      <c r="F30" s="69"/>
      <c r="G30" s="69"/>
      <c r="H30" s="69"/>
      <c r="I30" s="70"/>
      <c r="J30" s="69" t="s">
        <v>75</v>
      </c>
      <c r="K30" s="69">
        <v>1</v>
      </c>
      <c r="L30" s="15">
        <v>50200</v>
      </c>
      <c r="M30" s="10">
        <f t="shared" si="1"/>
        <v>50200</v>
      </c>
      <c r="N30" s="10"/>
      <c r="O30" s="10"/>
      <c r="P30" s="10">
        <v>50200</v>
      </c>
      <c r="Q30" s="65">
        <v>44286</v>
      </c>
      <c r="R30" s="65">
        <v>44347</v>
      </c>
      <c r="S30" s="67"/>
      <c r="T30" s="67"/>
      <c r="U30" s="93">
        <f t="shared" si="0"/>
        <v>50200</v>
      </c>
    </row>
    <row r="31" spans="1:35" s="92" customFormat="1">
      <c r="A31" s="72">
        <v>56</v>
      </c>
      <c r="B31" s="65">
        <v>44176</v>
      </c>
      <c r="C31" s="65">
        <v>44336</v>
      </c>
      <c r="D31" s="69" t="s">
        <v>88</v>
      </c>
      <c r="E31" s="69" t="s">
        <v>36</v>
      </c>
      <c r="F31" s="69"/>
      <c r="G31" s="69"/>
      <c r="H31" s="69"/>
      <c r="I31" s="70"/>
      <c r="J31" s="69" t="s">
        <v>65</v>
      </c>
      <c r="K31" s="69">
        <v>1</v>
      </c>
      <c r="L31" s="15">
        <v>1000</v>
      </c>
      <c r="M31" s="10">
        <f t="shared" si="1"/>
        <v>1000</v>
      </c>
      <c r="N31" s="10"/>
      <c r="O31" s="10"/>
      <c r="P31" s="10">
        <v>1000</v>
      </c>
      <c r="Q31" s="65">
        <v>44286</v>
      </c>
      <c r="R31" s="65">
        <v>44347</v>
      </c>
      <c r="S31" s="67"/>
      <c r="T31" s="67"/>
      <c r="U31" s="93">
        <f t="shared" si="0"/>
        <v>1000</v>
      </c>
    </row>
    <row r="32" spans="1:35" s="92" customFormat="1">
      <c r="A32" s="72">
        <v>58</v>
      </c>
      <c r="B32" s="65">
        <v>44176</v>
      </c>
      <c r="C32" s="65">
        <v>44338</v>
      </c>
      <c r="D32" s="69" t="s">
        <v>89</v>
      </c>
      <c r="E32" s="69"/>
      <c r="F32" s="69"/>
      <c r="G32" s="69"/>
      <c r="H32" s="69"/>
      <c r="I32" s="70"/>
      <c r="J32" s="69" t="s">
        <v>90</v>
      </c>
      <c r="K32" s="69">
        <v>1</v>
      </c>
      <c r="L32" s="15">
        <v>500</v>
      </c>
      <c r="M32" s="10">
        <f t="shared" si="1"/>
        <v>500</v>
      </c>
      <c r="N32" s="10"/>
      <c r="O32" s="10"/>
      <c r="P32" s="10">
        <v>500</v>
      </c>
      <c r="Q32" s="65">
        <v>44286</v>
      </c>
      <c r="R32" s="65">
        <v>44347</v>
      </c>
      <c r="S32" s="67"/>
      <c r="T32" s="67"/>
      <c r="U32" s="93">
        <f t="shared" si="0"/>
        <v>500</v>
      </c>
    </row>
    <row r="33" spans="1:35" s="110" customFormat="1">
      <c r="A33" s="72">
        <v>60</v>
      </c>
      <c r="B33" s="65">
        <v>44176</v>
      </c>
      <c r="C33" s="65">
        <v>44338</v>
      </c>
      <c r="D33" s="69" t="s">
        <v>91</v>
      </c>
      <c r="E33" s="69" t="s">
        <v>36</v>
      </c>
      <c r="F33" s="69"/>
      <c r="G33" s="69"/>
      <c r="H33" s="69"/>
      <c r="I33" s="70"/>
      <c r="J33" s="69" t="s">
        <v>65</v>
      </c>
      <c r="K33" s="69">
        <v>1</v>
      </c>
      <c r="L33" s="15">
        <v>2500</v>
      </c>
      <c r="M33" s="10">
        <f t="shared" si="1"/>
        <v>2500</v>
      </c>
      <c r="N33" s="10"/>
      <c r="O33" s="10"/>
      <c r="P33" s="10">
        <v>2500</v>
      </c>
      <c r="Q33" s="65">
        <v>44286</v>
      </c>
      <c r="R33" s="65">
        <v>44347</v>
      </c>
      <c r="S33" s="67"/>
      <c r="T33" s="67"/>
      <c r="U33" s="93">
        <f t="shared" si="0"/>
        <v>2500</v>
      </c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</row>
    <row r="34" spans="1:35" s="92" customFormat="1">
      <c r="A34" s="103">
        <v>68</v>
      </c>
      <c r="B34" s="104">
        <v>44176</v>
      </c>
      <c r="C34" s="104">
        <v>44349</v>
      </c>
      <c r="D34" s="105" t="s">
        <v>92</v>
      </c>
      <c r="E34" s="105" t="s">
        <v>93</v>
      </c>
      <c r="F34" s="105"/>
      <c r="G34" s="105"/>
      <c r="H34" s="105"/>
      <c r="I34" s="106"/>
      <c r="J34" s="105" t="s">
        <v>65</v>
      </c>
      <c r="K34" s="105">
        <v>1</v>
      </c>
      <c r="L34" s="107">
        <v>14800</v>
      </c>
      <c r="M34" s="108">
        <f t="shared" si="1"/>
        <v>14800</v>
      </c>
      <c r="N34" s="108"/>
      <c r="O34" s="108"/>
      <c r="P34" s="108">
        <f t="shared" ref="P34:P55" si="3">M34+N34-O34</f>
        <v>14800</v>
      </c>
      <c r="Q34" s="104">
        <v>44286</v>
      </c>
      <c r="R34" s="104">
        <v>44377</v>
      </c>
      <c r="S34" s="107"/>
      <c r="T34" s="107"/>
      <c r="U34" s="109">
        <f t="shared" ref="U34:U57" si="4">P34-S34</f>
        <v>14800</v>
      </c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</row>
    <row r="35" spans="1:35" s="92" customFormat="1">
      <c r="A35" s="72">
        <v>76</v>
      </c>
      <c r="B35" s="65">
        <v>44176</v>
      </c>
      <c r="C35" s="65">
        <v>44356</v>
      </c>
      <c r="D35" s="65" t="s">
        <v>96</v>
      </c>
      <c r="E35" s="69" t="s">
        <v>97</v>
      </c>
      <c r="F35" s="69"/>
      <c r="G35" s="69"/>
      <c r="H35" s="69"/>
      <c r="I35" s="70"/>
      <c r="J35" s="69" t="s">
        <v>98</v>
      </c>
      <c r="K35" s="69">
        <v>1</v>
      </c>
      <c r="L35" s="15">
        <v>8000</v>
      </c>
      <c r="M35" s="10">
        <f t="shared" si="1"/>
        <v>8000</v>
      </c>
      <c r="N35" s="10"/>
      <c r="O35" s="10"/>
      <c r="P35" s="10">
        <f t="shared" si="3"/>
        <v>8000</v>
      </c>
      <c r="Q35" s="65">
        <v>44286</v>
      </c>
      <c r="R35" s="65">
        <v>44377</v>
      </c>
      <c r="S35" s="67"/>
      <c r="T35" s="67"/>
      <c r="U35" s="93">
        <f t="shared" si="4"/>
        <v>8000</v>
      </c>
    </row>
    <row r="36" spans="1:35" s="117" customFormat="1">
      <c r="A36" s="72">
        <v>78</v>
      </c>
      <c r="B36" s="65">
        <v>44176</v>
      </c>
      <c r="C36" s="65">
        <v>44356</v>
      </c>
      <c r="D36" s="65" t="s">
        <v>94</v>
      </c>
      <c r="E36" s="69" t="s">
        <v>95</v>
      </c>
      <c r="F36" s="69"/>
      <c r="G36" s="69"/>
      <c r="H36" s="69"/>
      <c r="I36" s="70"/>
      <c r="J36" s="69" t="s">
        <v>76</v>
      </c>
      <c r="K36" s="69">
        <v>1</v>
      </c>
      <c r="L36" s="15">
        <v>1500</v>
      </c>
      <c r="M36" s="10">
        <f t="shared" si="1"/>
        <v>1500</v>
      </c>
      <c r="N36" s="10"/>
      <c r="O36" s="10"/>
      <c r="P36" s="10">
        <f t="shared" si="3"/>
        <v>1500</v>
      </c>
      <c r="Q36" s="65">
        <v>44286</v>
      </c>
      <c r="R36" s="65">
        <v>44377</v>
      </c>
      <c r="S36" s="67"/>
      <c r="T36" s="67"/>
      <c r="U36" s="93">
        <f t="shared" si="4"/>
        <v>1500</v>
      </c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</row>
    <row r="37" spans="1:35" s="92" customFormat="1">
      <c r="A37" s="111">
        <v>82</v>
      </c>
      <c r="B37" s="65">
        <v>44176</v>
      </c>
      <c r="C37" s="102">
        <v>44359</v>
      </c>
      <c r="D37" s="102" t="s">
        <v>80</v>
      </c>
      <c r="E37" s="112" t="s">
        <v>39</v>
      </c>
      <c r="F37" s="112"/>
      <c r="G37" s="112"/>
      <c r="H37" s="112"/>
      <c r="I37" s="113"/>
      <c r="J37" s="112" t="s">
        <v>65</v>
      </c>
      <c r="K37" s="112">
        <v>1</v>
      </c>
      <c r="L37" s="114">
        <v>92500</v>
      </c>
      <c r="M37" s="115">
        <f t="shared" si="1"/>
        <v>92500</v>
      </c>
      <c r="N37" s="115"/>
      <c r="O37" s="115"/>
      <c r="P37" s="115">
        <f t="shared" si="3"/>
        <v>92500</v>
      </c>
      <c r="Q37" s="65">
        <v>44286</v>
      </c>
      <c r="R37" s="102">
        <v>44377</v>
      </c>
      <c r="S37" s="114">
        <v>92500</v>
      </c>
      <c r="T37" s="114"/>
      <c r="U37" s="116">
        <f t="shared" si="4"/>
        <v>0</v>
      </c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</row>
    <row r="38" spans="1:35" s="92" customFormat="1">
      <c r="A38" s="72">
        <v>84</v>
      </c>
      <c r="B38" s="65">
        <v>44176</v>
      </c>
      <c r="C38" s="65">
        <v>44360</v>
      </c>
      <c r="D38" s="65" t="s">
        <v>99</v>
      </c>
      <c r="E38" s="69" t="s">
        <v>82</v>
      </c>
      <c r="F38" s="69"/>
      <c r="G38" s="69"/>
      <c r="H38" s="69"/>
      <c r="I38" s="70"/>
      <c r="J38" s="69" t="s">
        <v>65</v>
      </c>
      <c r="K38" s="69">
        <v>1</v>
      </c>
      <c r="L38" s="15">
        <v>9500</v>
      </c>
      <c r="M38" s="10">
        <f t="shared" si="1"/>
        <v>9500</v>
      </c>
      <c r="N38" s="10"/>
      <c r="O38" s="10"/>
      <c r="P38" s="10">
        <f t="shared" si="3"/>
        <v>9500</v>
      </c>
      <c r="Q38" s="65">
        <v>44286</v>
      </c>
      <c r="R38" s="65">
        <v>44377</v>
      </c>
      <c r="S38" s="67"/>
      <c r="T38" s="67"/>
      <c r="U38" s="93">
        <f t="shared" si="4"/>
        <v>9500</v>
      </c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</row>
    <row r="39" spans="1:35" s="117" customFormat="1">
      <c r="A39" s="72">
        <v>87</v>
      </c>
      <c r="B39" s="65">
        <v>44176</v>
      </c>
      <c r="C39" s="65">
        <v>44362</v>
      </c>
      <c r="D39" s="65" t="s">
        <v>100</v>
      </c>
      <c r="E39" s="69" t="s">
        <v>36</v>
      </c>
      <c r="F39" s="69"/>
      <c r="G39" s="69"/>
      <c r="H39" s="69"/>
      <c r="I39" s="70"/>
      <c r="J39" s="69" t="s">
        <v>101</v>
      </c>
      <c r="K39" s="69">
        <v>1</v>
      </c>
      <c r="L39" s="15">
        <v>108000</v>
      </c>
      <c r="M39" s="10">
        <f t="shared" si="1"/>
        <v>108000</v>
      </c>
      <c r="N39" s="10"/>
      <c r="O39" s="10"/>
      <c r="P39" s="10">
        <f t="shared" si="3"/>
        <v>108000</v>
      </c>
      <c r="Q39" s="65">
        <v>44286</v>
      </c>
      <c r="R39" s="65">
        <v>44377</v>
      </c>
      <c r="S39" s="67"/>
      <c r="T39" s="90"/>
      <c r="U39" s="93">
        <f t="shared" si="4"/>
        <v>108000</v>
      </c>
      <c r="V39" s="118"/>
      <c r="W39" s="118"/>
      <c r="X39" s="118"/>
      <c r="Y39" s="118"/>
      <c r="Z39" s="119"/>
      <c r="AA39" s="118"/>
      <c r="AB39" s="118"/>
      <c r="AC39" s="120"/>
      <c r="AD39" s="121"/>
      <c r="AE39" s="121"/>
      <c r="AF39" s="121"/>
      <c r="AG39" s="121"/>
      <c r="AH39" s="122"/>
      <c r="AI39" s="122"/>
    </row>
    <row r="40" spans="1:35" s="92" customFormat="1">
      <c r="A40" s="111">
        <v>89</v>
      </c>
      <c r="B40" s="102">
        <v>44176</v>
      </c>
      <c r="C40" s="102">
        <v>44364</v>
      </c>
      <c r="D40" s="102" t="s">
        <v>102</v>
      </c>
      <c r="E40" s="112" t="s">
        <v>103</v>
      </c>
      <c r="F40" s="112" t="s">
        <v>105</v>
      </c>
      <c r="G40" s="112"/>
      <c r="H40" s="112"/>
      <c r="I40" s="113"/>
      <c r="J40" s="112" t="s">
        <v>104</v>
      </c>
      <c r="K40" s="112">
        <v>1</v>
      </c>
      <c r="L40" s="114">
        <v>533000</v>
      </c>
      <c r="M40" s="115">
        <f t="shared" si="1"/>
        <v>533000</v>
      </c>
      <c r="N40" s="115"/>
      <c r="O40" s="115">
        <v>433000</v>
      </c>
      <c r="P40" s="115">
        <f t="shared" si="3"/>
        <v>100000</v>
      </c>
      <c r="Q40" s="102">
        <v>44286</v>
      </c>
      <c r="R40" s="102">
        <v>44387</v>
      </c>
      <c r="S40" s="114">
        <v>100000</v>
      </c>
      <c r="T40" s="102"/>
      <c r="U40" s="116">
        <f t="shared" si="4"/>
        <v>0</v>
      </c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</row>
    <row r="41" spans="1:35">
      <c r="A41" s="72">
        <v>90</v>
      </c>
      <c r="B41" s="65">
        <v>44176</v>
      </c>
      <c r="C41" s="65">
        <v>44363</v>
      </c>
      <c r="D41" s="65" t="s">
        <v>100</v>
      </c>
      <c r="E41" s="69" t="s">
        <v>36</v>
      </c>
      <c r="F41" s="69"/>
      <c r="G41" s="69"/>
      <c r="H41" s="69"/>
      <c r="I41" s="70"/>
      <c r="J41" s="69" t="s">
        <v>106</v>
      </c>
      <c r="K41" s="69">
        <v>1</v>
      </c>
      <c r="L41" s="15">
        <v>103000</v>
      </c>
      <c r="M41" s="10">
        <f t="shared" si="1"/>
        <v>103000</v>
      </c>
      <c r="N41" s="10"/>
      <c r="O41" s="10"/>
      <c r="P41" s="10">
        <f t="shared" si="3"/>
        <v>103000</v>
      </c>
      <c r="Q41" s="65">
        <v>44286</v>
      </c>
      <c r="R41" s="65">
        <v>44377</v>
      </c>
      <c r="S41" s="67"/>
      <c r="T41" s="90"/>
      <c r="U41" s="93">
        <f t="shared" si="4"/>
        <v>103000</v>
      </c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</row>
    <row r="42" spans="1:35" s="117" customFormat="1">
      <c r="A42" s="72">
        <v>91</v>
      </c>
      <c r="B42" s="65">
        <v>44176</v>
      </c>
      <c r="C42" s="65">
        <v>44363</v>
      </c>
      <c r="D42" s="65" t="s">
        <v>107</v>
      </c>
      <c r="E42" s="69" t="s">
        <v>36</v>
      </c>
      <c r="F42" s="69"/>
      <c r="G42" s="69"/>
      <c r="H42" s="69"/>
      <c r="I42" s="70"/>
      <c r="J42" s="69" t="s">
        <v>65</v>
      </c>
      <c r="K42" s="69">
        <v>1</v>
      </c>
      <c r="L42" s="15">
        <v>4150</v>
      </c>
      <c r="M42" s="10">
        <f t="shared" si="1"/>
        <v>4150</v>
      </c>
      <c r="N42" s="10"/>
      <c r="O42" s="10"/>
      <c r="P42" s="10">
        <f t="shared" si="3"/>
        <v>4150</v>
      </c>
      <c r="Q42" s="65">
        <v>44286</v>
      </c>
      <c r="R42" s="65">
        <v>44377</v>
      </c>
      <c r="S42" s="67"/>
      <c r="T42" s="90"/>
      <c r="U42" s="93">
        <f t="shared" si="4"/>
        <v>4150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spans="1:35" s="101" customFormat="1">
      <c r="A43" s="111">
        <v>92</v>
      </c>
      <c r="B43" s="102">
        <v>44176</v>
      </c>
      <c r="C43" s="102">
        <v>44363</v>
      </c>
      <c r="D43" s="102" t="s">
        <v>108</v>
      </c>
      <c r="E43" s="112" t="s">
        <v>109</v>
      </c>
      <c r="F43" s="112"/>
      <c r="G43" s="112"/>
      <c r="H43" s="112"/>
      <c r="I43" s="113"/>
      <c r="J43" s="112" t="s">
        <v>65</v>
      </c>
      <c r="K43" s="112">
        <v>1</v>
      </c>
      <c r="L43" s="114">
        <v>15000</v>
      </c>
      <c r="M43" s="115">
        <f t="shared" si="1"/>
        <v>15000</v>
      </c>
      <c r="N43" s="115"/>
      <c r="O43" s="115"/>
      <c r="P43" s="115">
        <f t="shared" si="3"/>
        <v>15000</v>
      </c>
      <c r="Q43" s="102">
        <v>44286</v>
      </c>
      <c r="R43" s="102">
        <v>44377</v>
      </c>
      <c r="S43" s="114">
        <v>15000</v>
      </c>
      <c r="T43" s="102"/>
      <c r="U43" s="116">
        <f t="shared" si="4"/>
        <v>0</v>
      </c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</row>
    <row r="44" spans="1:35" s="117" customFormat="1">
      <c r="A44" s="111">
        <v>96</v>
      </c>
      <c r="B44" s="102">
        <v>44176</v>
      </c>
      <c r="C44" s="102">
        <v>44365</v>
      </c>
      <c r="D44" s="102" t="s">
        <v>110</v>
      </c>
      <c r="E44" s="112" t="s">
        <v>111</v>
      </c>
      <c r="F44" s="112"/>
      <c r="G44" s="112"/>
      <c r="H44" s="112"/>
      <c r="I44" s="113"/>
      <c r="J44" s="112" t="s">
        <v>65</v>
      </c>
      <c r="K44" s="112">
        <v>1</v>
      </c>
      <c r="L44" s="114">
        <v>6000</v>
      </c>
      <c r="M44" s="115">
        <f t="shared" si="1"/>
        <v>6000</v>
      </c>
      <c r="N44" s="115"/>
      <c r="O44" s="115"/>
      <c r="P44" s="115">
        <f t="shared" si="3"/>
        <v>6000</v>
      </c>
      <c r="Q44" s="102">
        <v>44286</v>
      </c>
      <c r="R44" s="102">
        <v>44377</v>
      </c>
      <c r="S44" s="115">
        <v>6000</v>
      </c>
      <c r="T44" s="102"/>
      <c r="U44" s="116">
        <f t="shared" si="4"/>
        <v>0</v>
      </c>
    </row>
    <row r="45" spans="1:35">
      <c r="A45" s="72">
        <v>97</v>
      </c>
      <c r="B45" s="65">
        <v>44176</v>
      </c>
      <c r="C45" s="65">
        <v>44366</v>
      </c>
      <c r="D45" s="65" t="s">
        <v>107</v>
      </c>
      <c r="E45" s="69" t="s">
        <v>36</v>
      </c>
      <c r="F45" s="69"/>
      <c r="G45" s="69"/>
      <c r="H45" s="69"/>
      <c r="I45" s="70"/>
      <c r="J45" s="69" t="s">
        <v>65</v>
      </c>
      <c r="K45" s="69">
        <v>1</v>
      </c>
      <c r="L45" s="15">
        <v>37400</v>
      </c>
      <c r="M45" s="10">
        <f t="shared" si="1"/>
        <v>37400</v>
      </c>
      <c r="N45" s="10"/>
      <c r="O45" s="10"/>
      <c r="P45" s="10">
        <f t="shared" si="3"/>
        <v>37400</v>
      </c>
      <c r="Q45" s="65">
        <v>44286</v>
      </c>
      <c r="R45" s="65">
        <v>44377</v>
      </c>
      <c r="S45" s="10"/>
      <c r="T45" s="90"/>
      <c r="U45" s="93">
        <f t="shared" si="4"/>
        <v>37400</v>
      </c>
    </row>
    <row r="46" spans="1:35" s="117" customFormat="1">
      <c r="A46" s="111">
        <v>100</v>
      </c>
      <c r="B46" s="102">
        <v>44176</v>
      </c>
      <c r="C46" s="102">
        <v>44370</v>
      </c>
      <c r="D46" s="102" t="s">
        <v>112</v>
      </c>
      <c r="E46" s="112" t="s">
        <v>36</v>
      </c>
      <c r="F46" s="112"/>
      <c r="G46" s="112"/>
      <c r="H46" s="112"/>
      <c r="I46" s="113"/>
      <c r="J46" s="112" t="s">
        <v>113</v>
      </c>
      <c r="K46" s="112">
        <v>1</v>
      </c>
      <c r="L46" s="114">
        <v>18000</v>
      </c>
      <c r="M46" s="115">
        <f t="shared" si="1"/>
        <v>18000</v>
      </c>
      <c r="N46" s="115"/>
      <c r="O46" s="115"/>
      <c r="P46" s="115">
        <f t="shared" si="3"/>
        <v>18000</v>
      </c>
      <c r="Q46" s="102">
        <v>44286</v>
      </c>
      <c r="R46" s="102">
        <v>44377</v>
      </c>
      <c r="S46" s="114">
        <v>18000</v>
      </c>
      <c r="T46" s="102"/>
      <c r="U46" s="116">
        <f t="shared" si="4"/>
        <v>0</v>
      </c>
    </row>
    <row r="47" spans="1:35">
      <c r="A47" s="72">
        <v>101</v>
      </c>
      <c r="B47" s="65">
        <v>44176</v>
      </c>
      <c r="C47" s="65">
        <v>44371</v>
      </c>
      <c r="D47" s="65" t="s">
        <v>114</v>
      </c>
      <c r="E47" s="69" t="s">
        <v>115</v>
      </c>
      <c r="F47" s="69"/>
      <c r="G47" s="69"/>
      <c r="H47" s="69"/>
      <c r="I47" s="70"/>
      <c r="J47" s="69" t="s">
        <v>65</v>
      </c>
      <c r="K47" s="69">
        <v>1</v>
      </c>
      <c r="L47" s="15">
        <v>3600</v>
      </c>
      <c r="M47" s="10">
        <f t="shared" si="1"/>
        <v>3600</v>
      </c>
      <c r="N47" s="10"/>
      <c r="O47" s="10"/>
      <c r="P47" s="10">
        <f t="shared" si="3"/>
        <v>3600</v>
      </c>
      <c r="Q47" s="65">
        <v>44286</v>
      </c>
      <c r="R47" s="65">
        <v>44377</v>
      </c>
      <c r="S47" s="67"/>
      <c r="T47" s="90"/>
      <c r="U47" s="93">
        <f t="shared" si="4"/>
        <v>3600</v>
      </c>
    </row>
    <row r="48" spans="1:35" s="117" customFormat="1">
      <c r="A48" s="111">
        <v>102</v>
      </c>
      <c r="B48" s="102">
        <v>44176</v>
      </c>
      <c r="C48" s="102">
        <v>44372</v>
      </c>
      <c r="D48" s="102" t="s">
        <v>116</v>
      </c>
      <c r="E48" s="112" t="s">
        <v>117</v>
      </c>
      <c r="F48" s="112" t="s">
        <v>118</v>
      </c>
      <c r="G48" s="112"/>
      <c r="H48" s="112"/>
      <c r="I48" s="113"/>
      <c r="J48" s="112" t="s">
        <v>119</v>
      </c>
      <c r="K48" s="112">
        <v>1</v>
      </c>
      <c r="L48" s="114">
        <v>410000</v>
      </c>
      <c r="M48" s="115">
        <f t="shared" si="1"/>
        <v>410000</v>
      </c>
      <c r="N48" s="115"/>
      <c r="O48" s="115"/>
      <c r="P48" s="115">
        <f t="shared" si="3"/>
        <v>410000</v>
      </c>
      <c r="Q48" s="102">
        <v>44286</v>
      </c>
      <c r="R48" s="102">
        <v>44377</v>
      </c>
      <c r="S48" s="114">
        <v>410000</v>
      </c>
      <c r="T48" s="102"/>
      <c r="U48" s="116">
        <f t="shared" si="4"/>
        <v>0</v>
      </c>
    </row>
    <row r="49" spans="1:21" s="117" customFormat="1">
      <c r="A49" s="111">
        <v>108</v>
      </c>
      <c r="B49" s="102">
        <v>44373</v>
      </c>
      <c r="C49" s="102">
        <v>44377</v>
      </c>
      <c r="D49" s="102" t="s">
        <v>120</v>
      </c>
      <c r="E49" s="112" t="s">
        <v>36</v>
      </c>
      <c r="F49" s="112"/>
      <c r="G49" s="112"/>
      <c r="H49" s="112"/>
      <c r="I49" s="113"/>
      <c r="J49" s="112" t="s">
        <v>65</v>
      </c>
      <c r="K49" s="112">
        <v>1</v>
      </c>
      <c r="L49" s="114">
        <v>40000</v>
      </c>
      <c r="M49" s="115">
        <f t="shared" si="1"/>
        <v>40000</v>
      </c>
      <c r="N49" s="115"/>
      <c r="O49" s="115"/>
      <c r="P49" s="115">
        <f t="shared" si="3"/>
        <v>40000</v>
      </c>
      <c r="Q49" s="102">
        <v>44286</v>
      </c>
      <c r="R49" s="102">
        <v>44407</v>
      </c>
      <c r="S49" s="114">
        <v>40000</v>
      </c>
      <c r="T49" s="102"/>
      <c r="U49" s="116">
        <f t="shared" si="4"/>
        <v>0</v>
      </c>
    </row>
    <row r="50" spans="1:21" s="117" customFormat="1">
      <c r="A50" s="111">
        <v>109</v>
      </c>
      <c r="B50" s="102">
        <v>44373</v>
      </c>
      <c r="C50" s="102">
        <v>44380</v>
      </c>
      <c r="D50" s="102" t="s">
        <v>121</v>
      </c>
      <c r="E50" s="112" t="s">
        <v>122</v>
      </c>
      <c r="F50" s="112"/>
      <c r="G50" s="112"/>
      <c r="H50" s="112"/>
      <c r="I50" s="113"/>
      <c r="J50" s="112" t="s">
        <v>65</v>
      </c>
      <c r="K50" s="112">
        <v>1</v>
      </c>
      <c r="L50" s="114">
        <v>45000</v>
      </c>
      <c r="M50" s="115">
        <f t="shared" si="1"/>
        <v>45000</v>
      </c>
      <c r="N50" s="115"/>
      <c r="O50" s="115"/>
      <c r="P50" s="115">
        <f t="shared" si="3"/>
        <v>45000</v>
      </c>
      <c r="Q50" s="102">
        <v>44286</v>
      </c>
      <c r="R50" s="102">
        <v>44408</v>
      </c>
      <c r="S50" s="114">
        <v>45000</v>
      </c>
      <c r="T50" s="102"/>
      <c r="U50" s="116">
        <f t="shared" si="4"/>
        <v>0</v>
      </c>
    </row>
    <row r="51" spans="1:21">
      <c r="A51" s="72">
        <v>110</v>
      </c>
      <c r="B51" s="65">
        <v>44373</v>
      </c>
      <c r="C51" s="65">
        <v>44383</v>
      </c>
      <c r="D51" s="65" t="s">
        <v>124</v>
      </c>
      <c r="E51" s="69" t="s">
        <v>36</v>
      </c>
      <c r="F51" s="69"/>
      <c r="G51" s="69"/>
      <c r="H51" s="69"/>
      <c r="I51" s="70"/>
      <c r="J51" s="69" t="s">
        <v>125</v>
      </c>
      <c r="K51" s="69">
        <v>1</v>
      </c>
      <c r="L51" s="15">
        <v>11500</v>
      </c>
      <c r="M51" s="10">
        <f t="shared" si="1"/>
        <v>11500</v>
      </c>
      <c r="N51" s="10"/>
      <c r="O51" s="10"/>
      <c r="P51" s="10">
        <f t="shared" si="3"/>
        <v>11500</v>
      </c>
      <c r="Q51" s="65">
        <v>44286</v>
      </c>
      <c r="R51" s="65">
        <v>44407</v>
      </c>
      <c r="S51" s="67"/>
      <c r="T51" s="90"/>
      <c r="U51" s="93">
        <f t="shared" si="4"/>
        <v>11500</v>
      </c>
    </row>
    <row r="52" spans="1:21">
      <c r="A52" s="72">
        <v>111</v>
      </c>
      <c r="B52" s="65">
        <v>44373</v>
      </c>
      <c r="C52" s="65">
        <v>44383</v>
      </c>
      <c r="D52" s="65" t="s">
        <v>126</v>
      </c>
      <c r="E52" s="69" t="s">
        <v>36</v>
      </c>
      <c r="F52" s="69"/>
      <c r="G52" s="69"/>
      <c r="H52" s="69"/>
      <c r="I52" s="70"/>
      <c r="J52" s="69" t="s">
        <v>75</v>
      </c>
      <c r="K52" s="69">
        <v>1</v>
      </c>
      <c r="L52" s="15">
        <v>14300</v>
      </c>
      <c r="M52" s="10">
        <f t="shared" si="1"/>
        <v>14300</v>
      </c>
      <c r="N52" s="10"/>
      <c r="O52" s="10"/>
      <c r="P52" s="10">
        <f t="shared" si="3"/>
        <v>14300</v>
      </c>
      <c r="Q52" s="65">
        <v>44286</v>
      </c>
      <c r="R52" s="65">
        <v>44407</v>
      </c>
      <c r="S52" s="67"/>
      <c r="T52" s="90"/>
      <c r="U52" s="93">
        <f t="shared" si="4"/>
        <v>14300</v>
      </c>
    </row>
    <row r="53" spans="1:21">
      <c r="A53" s="72">
        <v>112</v>
      </c>
      <c r="B53" s="65">
        <v>44373</v>
      </c>
      <c r="C53" s="65">
        <v>44394</v>
      </c>
      <c r="D53" s="65" t="s">
        <v>128</v>
      </c>
      <c r="E53" s="69" t="s">
        <v>36</v>
      </c>
      <c r="F53" s="69"/>
      <c r="G53" s="69"/>
      <c r="H53" s="69"/>
      <c r="I53" s="70"/>
      <c r="J53" s="69" t="s">
        <v>129</v>
      </c>
      <c r="K53" s="69">
        <v>1</v>
      </c>
      <c r="L53" s="15">
        <v>15000</v>
      </c>
      <c r="M53" s="10">
        <f t="shared" si="1"/>
        <v>15000</v>
      </c>
      <c r="N53" s="10"/>
      <c r="O53" s="10"/>
      <c r="P53" s="10">
        <f t="shared" si="3"/>
        <v>15000</v>
      </c>
      <c r="Q53" s="65">
        <v>44286</v>
      </c>
      <c r="R53" s="65">
        <v>44408</v>
      </c>
      <c r="S53" s="67"/>
      <c r="T53" s="90"/>
      <c r="U53" s="93">
        <f t="shared" si="4"/>
        <v>15000</v>
      </c>
    </row>
    <row r="54" spans="1:21">
      <c r="A54" s="72">
        <v>113</v>
      </c>
      <c r="B54" s="65">
        <v>44373</v>
      </c>
      <c r="C54" s="65">
        <v>44396</v>
      </c>
      <c r="D54" s="65" t="s">
        <v>44</v>
      </c>
      <c r="E54" s="69" t="s">
        <v>130</v>
      </c>
      <c r="F54" s="69"/>
      <c r="G54" s="69"/>
      <c r="H54" s="69"/>
      <c r="I54" s="70"/>
      <c r="J54" s="69" t="s">
        <v>129</v>
      </c>
      <c r="K54" s="69">
        <v>1</v>
      </c>
      <c r="L54" s="15">
        <v>10000</v>
      </c>
      <c r="M54" s="10">
        <f t="shared" si="1"/>
        <v>10000</v>
      </c>
      <c r="N54" s="10"/>
      <c r="O54" s="10"/>
      <c r="P54" s="10">
        <f t="shared" si="3"/>
        <v>10000</v>
      </c>
      <c r="Q54" s="65">
        <v>44286</v>
      </c>
      <c r="R54" s="65">
        <v>44408</v>
      </c>
      <c r="S54" s="67"/>
      <c r="T54" s="90"/>
      <c r="U54" s="93">
        <f t="shared" si="4"/>
        <v>10000</v>
      </c>
    </row>
    <row r="55" spans="1:21">
      <c r="A55" s="72">
        <v>114</v>
      </c>
      <c r="B55" s="65">
        <v>44373</v>
      </c>
      <c r="C55" s="65">
        <v>44401</v>
      </c>
      <c r="D55" s="65" t="s">
        <v>131</v>
      </c>
      <c r="E55" s="69" t="s">
        <v>36</v>
      </c>
      <c r="F55" s="69"/>
      <c r="G55" s="69"/>
      <c r="H55" s="69"/>
      <c r="I55" s="70"/>
      <c r="J55" s="69" t="s">
        <v>132</v>
      </c>
      <c r="K55" s="69">
        <v>1</v>
      </c>
      <c r="L55" s="15">
        <v>715000</v>
      </c>
      <c r="M55" s="10">
        <f t="shared" si="1"/>
        <v>715000</v>
      </c>
      <c r="N55" s="10"/>
      <c r="O55" s="10"/>
      <c r="P55" s="10">
        <f t="shared" si="3"/>
        <v>715000</v>
      </c>
      <c r="Q55" s="65">
        <v>44286</v>
      </c>
      <c r="R55" s="65">
        <v>44438</v>
      </c>
      <c r="S55" s="67"/>
      <c r="T55" s="90"/>
      <c r="U55" s="93">
        <f t="shared" si="4"/>
        <v>715000</v>
      </c>
    </row>
    <row r="56" spans="1:21">
      <c r="S56" s="67"/>
      <c r="T56" s="90"/>
      <c r="U56" s="93">
        <f t="shared" si="4"/>
        <v>0</v>
      </c>
    </row>
    <row r="57" spans="1:21">
      <c r="S57" s="67"/>
      <c r="T57" s="90"/>
      <c r="U57" s="93">
        <f t="shared" si="4"/>
        <v>0</v>
      </c>
    </row>
    <row r="58" spans="1:21">
      <c r="S58" s="67"/>
      <c r="T58" s="90"/>
      <c r="U58" s="93">
        <f t="shared" ref="U58:U60" si="5">P58-S58</f>
        <v>0</v>
      </c>
    </row>
    <row r="59" spans="1:21">
      <c r="S59" s="67"/>
      <c r="T59" s="90"/>
      <c r="U59" s="93">
        <f t="shared" si="5"/>
        <v>0</v>
      </c>
    </row>
    <row r="60" spans="1:21">
      <c r="S60" s="67"/>
      <c r="T60" s="90"/>
      <c r="U60" s="93">
        <f t="shared" si="5"/>
        <v>0</v>
      </c>
    </row>
  </sheetData>
  <autoFilter ref="A1:AI57">
    <sortState ref="A7:AI57">
      <sortCondition sortBy="cellColor" ref="D1:D57" dxfId="0"/>
    </sortState>
  </autoFilter>
  <dataValidations count="2">
    <dataValidation type="list" errorStyle="warning" allowBlank="1" showInputMessage="1" showErrorMessage="1" sqref="AA38 AA7 J2:J55">
      <formula1>"Tri Spare,Engine spare,ေရေမာ္တာ,ေရျမွုပ္ပန္႔"</formula1>
    </dataValidation>
    <dataValidation type="list" errorStyle="warning" allowBlank="1" showInputMessage="1" showErrorMessage="1" sqref="V38 V7 E2:E55">
      <formula1>"ဝါးေသာက္,မဝန္း,ထန္းမနိုင္"</formula1>
    </dataValidation>
  </dataValidations>
  <pageMargins left="0.24" right="0.16" top="0.47" bottom="0.2" header="0.2" footer="0.2"/>
  <pageSetup paperSize="9" scale="34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7"/>
  <sheetViews>
    <sheetView topLeftCell="A8" zoomScaleNormal="100" workbookViewId="0">
      <selection activeCell="E11" sqref="E11"/>
    </sheetView>
  </sheetViews>
  <sheetFormatPr defaultColWidth="9.140625" defaultRowHeight="21.75"/>
  <cols>
    <col min="1" max="1" width="11.7109375" style="26" customWidth="1"/>
    <col min="2" max="2" width="31.85546875" style="60" customWidth="1"/>
    <col min="3" max="3" width="9" style="26" customWidth="1"/>
    <col min="4" max="4" width="20.7109375" style="26" customWidth="1"/>
    <col min="5" max="5" width="24" style="26" bestFit="1" customWidth="1"/>
    <col min="6" max="7" width="9.140625" style="26"/>
    <col min="8" max="8" width="11.28515625" style="26" bestFit="1" customWidth="1"/>
    <col min="9" max="9" width="17.42578125" style="26" customWidth="1"/>
    <col min="10" max="10" width="14.140625" style="26" customWidth="1"/>
    <col min="11" max="11" width="9.42578125" style="26" bestFit="1" customWidth="1"/>
    <col min="12" max="12" width="10.5703125" style="26" bestFit="1" customWidth="1"/>
    <col min="13" max="14" width="9.140625" style="26"/>
    <col min="15" max="15" width="10.5703125" style="26" bestFit="1" customWidth="1"/>
    <col min="16" max="16" width="13.140625" style="26" bestFit="1" customWidth="1"/>
    <col min="17" max="17" width="12.140625" style="26" bestFit="1" customWidth="1"/>
    <col min="18" max="18" width="9.140625" style="26"/>
    <col min="19" max="19" width="11.85546875" style="28" bestFit="1" customWidth="1"/>
    <col min="20" max="22" width="9.140625" style="26"/>
    <col min="23" max="23" width="12" style="26" bestFit="1" customWidth="1"/>
    <col min="24" max="16384" width="9.140625" style="26"/>
  </cols>
  <sheetData>
    <row r="1" spans="1:26" s="3" customFormat="1">
      <c r="A1" s="82" t="s">
        <v>127</v>
      </c>
      <c r="B1" s="83" t="s">
        <v>123</v>
      </c>
      <c r="E1" s="5"/>
      <c r="F1" s="26"/>
      <c r="G1" s="26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9"/>
      <c r="T1" s="38"/>
      <c r="U1" s="38"/>
      <c r="V1" s="38"/>
      <c r="W1" s="38"/>
      <c r="X1" s="38"/>
      <c r="Y1" s="38"/>
      <c r="Z1" s="38"/>
    </row>
    <row r="2" spans="1:26" s="3" customFormat="1">
      <c r="B2" s="43"/>
      <c r="E2" s="5"/>
      <c r="F2" s="26"/>
      <c r="G2" s="26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9"/>
      <c r="T2" s="38"/>
      <c r="U2" s="38"/>
      <c r="V2" s="38"/>
      <c r="W2" s="38"/>
      <c r="X2" s="38"/>
      <c r="Y2" s="38"/>
      <c r="Z2" s="38"/>
    </row>
    <row r="3" spans="1:26" s="3" customFormat="1">
      <c r="B3" s="43"/>
      <c r="E3" s="5"/>
      <c r="F3" s="26"/>
      <c r="G3" s="2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9"/>
      <c r="T3" s="38"/>
      <c r="U3" s="38"/>
      <c r="V3" s="38"/>
      <c r="W3" s="38"/>
      <c r="X3" s="38"/>
      <c r="Y3" s="38"/>
      <c r="Z3" s="38"/>
    </row>
    <row r="4" spans="1:26" s="3" customFormat="1">
      <c r="B4" s="43"/>
      <c r="E4" s="5"/>
      <c r="F4" s="26"/>
      <c r="G4" s="26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</row>
    <row r="5" spans="1:26" s="3" customFormat="1">
      <c r="B5" s="43"/>
      <c r="E5" s="5"/>
      <c r="F5" s="26"/>
      <c r="G5" s="26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38"/>
      <c r="U5" s="38"/>
      <c r="V5" s="38"/>
      <c r="W5" s="38"/>
      <c r="X5" s="38"/>
      <c r="Y5" s="38"/>
      <c r="Z5" s="38"/>
    </row>
    <row r="6" spans="1:26" s="3" customFormat="1">
      <c r="B6" s="43"/>
      <c r="E6" s="5"/>
      <c r="F6" s="26"/>
      <c r="G6" s="26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9"/>
      <c r="T6" s="38"/>
      <c r="U6" s="38"/>
      <c r="V6" s="38"/>
      <c r="W6" s="38"/>
      <c r="X6" s="38"/>
      <c r="Y6" s="38"/>
      <c r="Z6" s="38"/>
    </row>
    <row r="7" spans="1:26" s="3" customFormat="1">
      <c r="B7" s="43"/>
      <c r="E7" s="5"/>
      <c r="F7" s="26"/>
      <c r="G7" s="26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9"/>
      <c r="T7" s="38"/>
      <c r="U7" s="38"/>
      <c r="V7" s="38"/>
      <c r="W7" s="38"/>
      <c r="X7" s="38"/>
      <c r="Y7" s="38"/>
      <c r="Z7" s="38"/>
    </row>
    <row r="8" spans="1:26" s="3" customFormat="1">
      <c r="B8" s="43"/>
      <c r="E8" s="5"/>
      <c r="F8" s="26"/>
      <c r="G8" s="26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9"/>
      <c r="T8" s="38"/>
      <c r="U8" s="38"/>
      <c r="V8" s="38"/>
      <c r="W8" s="38"/>
      <c r="X8" s="38"/>
      <c r="Y8" s="38"/>
      <c r="Z8" s="38"/>
    </row>
    <row r="9" spans="1:26" s="3" customFormat="1" ht="46.5" customHeight="1">
      <c r="A9" s="16"/>
      <c r="B9" s="16"/>
      <c r="C9" s="16"/>
      <c r="D9" s="16"/>
      <c r="E9" s="2"/>
      <c r="F9" s="26"/>
      <c r="G9" s="63"/>
      <c r="H9" s="64"/>
      <c r="I9" s="64"/>
      <c r="J9" s="64"/>
      <c r="K9" s="38"/>
      <c r="L9" s="38"/>
      <c r="M9" s="38"/>
      <c r="N9" s="38"/>
      <c r="O9" s="38"/>
      <c r="P9" s="38"/>
      <c r="Q9" s="38"/>
      <c r="R9" s="38"/>
      <c r="S9" s="39"/>
      <c r="T9" s="38"/>
      <c r="U9" s="38"/>
      <c r="V9" s="38"/>
      <c r="W9" s="38"/>
      <c r="X9" s="38"/>
      <c r="Y9" s="38"/>
      <c r="Z9" s="38"/>
    </row>
    <row r="10" spans="1:26" s="3" customFormat="1">
      <c r="A10" s="17" t="s">
        <v>16</v>
      </c>
      <c r="B10" s="40" t="str">
        <f>D32</f>
        <v>ဦးေက်ာ္ဝဏၰ</v>
      </c>
      <c r="C10" s="55"/>
      <c r="D10" s="9" t="s">
        <v>11</v>
      </c>
      <c r="E10" s="65">
        <f>C32</f>
        <v>44394</v>
      </c>
      <c r="F10" s="38"/>
      <c r="G10" s="38"/>
      <c r="H10" s="38"/>
      <c r="I10" s="39"/>
      <c r="J10" s="38"/>
      <c r="K10" s="38"/>
      <c r="L10" s="38"/>
      <c r="M10" s="38"/>
      <c r="N10" s="38"/>
      <c r="O10" s="38"/>
      <c r="P10" s="38"/>
      <c r="Q10" s="38"/>
      <c r="R10" s="38"/>
      <c r="S10" s="39"/>
      <c r="T10" s="38"/>
      <c r="U10" s="38"/>
      <c r="V10" s="38"/>
      <c r="W10" s="38"/>
      <c r="X10" s="38"/>
      <c r="Y10" s="38"/>
      <c r="Z10" s="38"/>
    </row>
    <row r="11" spans="1:26" s="3" customFormat="1">
      <c r="A11" s="16" t="s">
        <v>13</v>
      </c>
      <c r="B11" s="41" t="str">
        <f>E32</f>
        <v>ဝါးေသာက္</v>
      </c>
      <c r="C11" s="56"/>
      <c r="D11" s="9" t="s">
        <v>35</v>
      </c>
      <c r="E11" s="68">
        <v>112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9"/>
      <c r="T11" s="38"/>
      <c r="U11" s="38"/>
      <c r="V11" s="38"/>
      <c r="W11" s="38"/>
      <c r="X11" s="38"/>
      <c r="Y11" s="38"/>
      <c r="Z11" s="38"/>
    </row>
    <row r="12" spans="1:26" s="3" customFormat="1">
      <c r="A12" s="1" t="s">
        <v>5</v>
      </c>
      <c r="B12" s="42">
        <f>F32</f>
        <v>0</v>
      </c>
      <c r="C12" s="57"/>
      <c r="D12" s="1" t="s">
        <v>4</v>
      </c>
      <c r="E12" s="10">
        <f>H32</f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9"/>
      <c r="T12" s="38"/>
      <c r="U12" s="38"/>
      <c r="V12" s="38"/>
      <c r="W12" s="38"/>
      <c r="X12" s="38"/>
      <c r="Y12" s="38"/>
      <c r="Z12" s="38"/>
    </row>
    <row r="13" spans="1:26" s="3" customFormat="1">
      <c r="A13" s="1" t="s">
        <v>14</v>
      </c>
      <c r="B13" s="41">
        <f>G32</f>
        <v>0</v>
      </c>
      <c r="C13" s="56"/>
      <c r="D13" s="1" t="s">
        <v>5</v>
      </c>
      <c r="E13" s="42">
        <f>I32</f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</row>
    <row r="14" spans="1:26" s="3" customFormat="1">
      <c r="A14" s="2"/>
      <c r="B14" s="18"/>
      <c r="C14" s="18"/>
      <c r="D14" s="2"/>
      <c r="E14" s="2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9"/>
      <c r="T14" s="38"/>
      <c r="U14" s="38"/>
      <c r="V14" s="38"/>
      <c r="W14" s="38"/>
      <c r="X14" s="38"/>
      <c r="Y14" s="38"/>
      <c r="Z14" s="38"/>
    </row>
    <row r="15" spans="1:26" s="3" customFormat="1">
      <c r="A15" s="19" t="s">
        <v>34</v>
      </c>
      <c r="B15" s="19" t="s">
        <v>3</v>
      </c>
      <c r="C15" s="19" t="s">
        <v>0</v>
      </c>
      <c r="D15" s="20" t="s">
        <v>1</v>
      </c>
      <c r="E15" s="20" t="s">
        <v>2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9"/>
      <c r="T15" s="38"/>
      <c r="U15" s="38"/>
      <c r="V15" s="38"/>
      <c r="W15" s="38"/>
      <c r="X15" s="38"/>
      <c r="Y15" s="38"/>
      <c r="Z15" s="38"/>
    </row>
    <row r="16" spans="1:26" s="3" customFormat="1" ht="35.25" customHeight="1">
      <c r="A16" s="21">
        <f>IF(B16="","",ROW(1:1))</f>
        <v>1</v>
      </c>
      <c r="B16" s="58" t="str">
        <f>J32</f>
        <v>spare ေၾကြးက်န္</v>
      </c>
      <c r="C16" s="21">
        <f>K32</f>
        <v>1</v>
      </c>
      <c r="D16" s="11">
        <f>L32</f>
        <v>15000</v>
      </c>
      <c r="E16" s="6">
        <f>C16*D16</f>
        <v>15000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9"/>
      <c r="T16" s="38"/>
      <c r="U16" s="38"/>
      <c r="V16" s="38"/>
      <c r="W16" s="38"/>
      <c r="X16" s="38"/>
      <c r="Y16" s="38"/>
      <c r="Z16" s="38"/>
    </row>
    <row r="17" spans="1:26" s="3" customFormat="1">
      <c r="B17" s="43"/>
      <c r="D17" s="8" t="s">
        <v>22</v>
      </c>
      <c r="E17" s="71">
        <f>SUM(E16)</f>
        <v>15000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</row>
    <row r="18" spans="1:26" s="3" customFormat="1">
      <c r="A18" s="126"/>
      <c r="B18" s="126"/>
      <c r="C18" s="5"/>
      <c r="D18" s="8" t="s">
        <v>29</v>
      </c>
      <c r="E18" s="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9"/>
      <c r="T18" s="38"/>
      <c r="U18" s="38"/>
      <c r="V18" s="38"/>
      <c r="W18" s="38"/>
      <c r="X18" s="38"/>
      <c r="Y18" s="38"/>
      <c r="Z18" s="38"/>
    </row>
    <row r="19" spans="1:26" s="3" customFormat="1">
      <c r="B19" s="43"/>
      <c r="D19" s="9" t="s">
        <v>20</v>
      </c>
      <c r="E19" s="15">
        <f>O32+Q32</f>
        <v>0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9"/>
      <c r="T19" s="38"/>
      <c r="U19" s="38"/>
      <c r="V19" s="38"/>
      <c r="W19" s="38"/>
      <c r="X19" s="38"/>
      <c r="Y19" s="38"/>
      <c r="Z19" s="38"/>
    </row>
    <row r="20" spans="1:26" s="3" customFormat="1">
      <c r="B20" s="81" t="str">
        <f>IF(A1="Purchase2","ပစၥည္းမယူရေသး","ကုန္ထုတ္ေပးၿပီး")</f>
        <v>ပစၥည္းမယူရေသး</v>
      </c>
      <c r="D20" s="9" t="s">
        <v>6</v>
      </c>
      <c r="E20" s="7">
        <f>E17+E18-E19</f>
        <v>15000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9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3" customFormat="1">
      <c r="B21" s="43"/>
      <c r="D21" s="12"/>
      <c r="E21" s="13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3" customFormat="1">
      <c r="A22" s="130" t="str">
        <f>IF(B1="Purchase",E20,"")</f>
        <v/>
      </c>
      <c r="B22" s="130"/>
      <c r="C22" s="129" t="str">
        <f>IF(B1="Purchase",P32,"")</f>
        <v/>
      </c>
      <c r="D22" s="129"/>
      <c r="E22" s="129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3" customFormat="1">
      <c r="A23" s="80"/>
      <c r="B23" s="80"/>
      <c r="C23" s="80"/>
      <c r="D23" s="80" t="str">
        <f>IF(B1="Purchase","ေၾကြးဆပ္ရက္လုံးဝမေက်ာ္ရ။","")</f>
        <v/>
      </c>
      <c r="E23" s="80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3" customFormat="1">
      <c r="A24" s="127"/>
      <c r="B24" s="127"/>
      <c r="C24" s="127"/>
      <c r="E24" s="80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3" customFormat="1"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9"/>
      <c r="T25" s="38"/>
      <c r="U25" s="38"/>
      <c r="V25" s="38"/>
      <c r="W25" s="38"/>
      <c r="X25" s="38"/>
      <c r="Y25" s="38"/>
      <c r="Z25" s="38"/>
    </row>
    <row r="26" spans="1:26" s="3" customFormat="1"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9"/>
      <c r="T26" s="38"/>
      <c r="U26" s="38"/>
      <c r="V26" s="38"/>
      <c r="W26" s="38"/>
      <c r="X26" s="38"/>
      <c r="Y26" s="38"/>
      <c r="Z26" s="38"/>
    </row>
    <row r="27" spans="1:26" s="3" customFormat="1">
      <c r="B27" s="59"/>
      <c r="C27" s="13"/>
      <c r="D27" s="13"/>
      <c r="E27" s="23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9"/>
      <c r="T27" s="38"/>
      <c r="U27" s="38"/>
      <c r="V27" s="38"/>
      <c r="W27" s="38"/>
      <c r="X27" s="38"/>
      <c r="Y27" s="38"/>
      <c r="Z27" s="38"/>
    </row>
    <row r="28" spans="1:26" s="3" customFormat="1">
      <c r="A28" s="128" t="s">
        <v>9</v>
      </c>
      <c r="B28" s="128"/>
      <c r="C28" s="128"/>
      <c r="D28" s="22" t="s">
        <v>7</v>
      </c>
      <c r="E28" s="22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9"/>
      <c r="T28" s="38"/>
      <c r="U28" s="38"/>
      <c r="V28" s="38"/>
      <c r="W28" s="38"/>
      <c r="X28" s="38"/>
      <c r="Y28" s="38"/>
      <c r="Z28" s="38"/>
    </row>
    <row r="29" spans="1:26" s="3" customFormat="1">
      <c r="A29" s="128" t="s">
        <v>10</v>
      </c>
      <c r="B29" s="128"/>
      <c r="C29" s="128"/>
      <c r="D29" s="22" t="s">
        <v>8</v>
      </c>
      <c r="E29" s="22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9"/>
      <c r="T29" s="38"/>
      <c r="U29" s="38"/>
      <c r="V29" s="38"/>
      <c r="W29" s="38"/>
      <c r="X29" s="38"/>
      <c r="Y29" s="38"/>
      <c r="Z29" s="38"/>
    </row>
    <row r="30" spans="1:26" s="3" customFormat="1" ht="36" customHeight="1"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9"/>
      <c r="T30" s="38"/>
      <c r="U30" s="38"/>
      <c r="V30" s="38"/>
      <c r="W30" s="38"/>
      <c r="X30" s="38"/>
      <c r="Y30" s="38"/>
      <c r="Z30" s="38"/>
    </row>
    <row r="31" spans="1:26" s="38" customFormat="1" ht="39.950000000000003" customHeight="1">
      <c r="A31" s="3"/>
      <c r="B31" s="24"/>
      <c r="C31" s="24" t="s">
        <v>15</v>
      </c>
      <c r="D31" s="24"/>
      <c r="E31" s="24"/>
      <c r="S31" s="39"/>
    </row>
    <row r="32" spans="1:26" s="87" customFormat="1" ht="36" customHeight="1">
      <c r="A32" s="84">
        <v>8</v>
      </c>
      <c r="B32" s="85">
        <f>VLOOKUP(E11,' Data Save '!$A:$R,2,0)</f>
        <v>44373</v>
      </c>
      <c r="C32" s="86">
        <f>VLOOKUP(E11,' Data Save '!$A:$R,3,0)</f>
        <v>44394</v>
      </c>
      <c r="D32" s="86" t="str">
        <f>VLOOKUP(E11,' Data Save '!$A:$R,4,0)</f>
        <v>ဦးေက်ာ္ဝဏၰ</v>
      </c>
      <c r="E32" s="86" t="str">
        <f>VLOOKUP(E11,' Data Save '!$A:$R,5,0)</f>
        <v>ဝါးေသာက္</v>
      </c>
      <c r="F32" s="86">
        <f>VLOOKUP(E11,' Data Save '!$A:$R,6,0)</f>
        <v>0</v>
      </c>
      <c r="G32" s="86">
        <f>VLOOKUP(E11,' Data Save '!$A:$R,7,0)</f>
        <v>0</v>
      </c>
      <c r="H32" s="86">
        <f>VLOOKUP(E11,' Data Save '!$A:$R,8,0)</f>
        <v>0</v>
      </c>
      <c r="I32" s="86">
        <f>VLOOKUP(E11,' Data Save '!$A:$R,9,0)</f>
        <v>0</v>
      </c>
      <c r="J32" s="86" t="str">
        <f>VLOOKUP(E11,' Data Save '!$A:$R,10,0)</f>
        <v>spare ေၾကြးက်န္</v>
      </c>
      <c r="K32" s="86">
        <f>VLOOKUP(E11,' Data Save '!$A:$R,11,0)</f>
        <v>1</v>
      </c>
      <c r="L32" s="86">
        <f>VLOOKUP(E11,' Data Save '!$A:$R,12,0)</f>
        <v>15000</v>
      </c>
      <c r="M32" s="86">
        <f>VLOOKUP(E11,' Data Save '!$A:$R,13,0)</f>
        <v>15000</v>
      </c>
      <c r="N32" s="86">
        <f>VLOOKUP(E11,' Data Save '!$A:$R,14,0)</f>
        <v>0</v>
      </c>
      <c r="O32" s="86">
        <f>VLOOKUP(E11,' Data Save '!$A:$R,15,0)</f>
        <v>0</v>
      </c>
      <c r="P32" s="85">
        <f>VLOOKUP($E$11,' Data Save '!$A:$R,18,0)</f>
        <v>44408</v>
      </c>
      <c r="Q32" s="86">
        <f>VLOOKUP($E$11,' Data Save '!$A:$S,19,0)</f>
        <v>0</v>
      </c>
      <c r="X32" s="86"/>
      <c r="Y32" s="86"/>
      <c r="Z32" s="86"/>
    </row>
    <row r="33" spans="1:17" ht="36" customHeight="1">
      <c r="B33" s="27"/>
      <c r="C33" s="27"/>
      <c r="D33" s="27"/>
      <c r="E33" s="27"/>
    </row>
    <row r="34" spans="1:17" ht="36" customHeight="1">
      <c r="B34" s="27"/>
      <c r="C34" s="27"/>
      <c r="D34" s="27"/>
      <c r="E34" s="27"/>
    </row>
    <row r="35" spans="1:17" ht="36" customHeight="1">
      <c r="B35" s="27"/>
      <c r="C35" s="27"/>
      <c r="D35" s="27"/>
      <c r="E35" s="27"/>
    </row>
    <row r="36" spans="1:17" ht="36" customHeight="1">
      <c r="B36" s="27"/>
      <c r="C36" s="27"/>
      <c r="D36" s="27"/>
      <c r="E36" s="27"/>
    </row>
    <row r="37" spans="1:17" ht="36" customHeight="1">
      <c r="B37" s="27"/>
      <c r="C37" s="27"/>
      <c r="D37" s="27"/>
      <c r="E37" s="27"/>
    </row>
    <row r="38" spans="1:17" ht="36" customHeight="1">
      <c r="B38" s="27"/>
      <c r="C38" s="27"/>
      <c r="D38" s="27"/>
      <c r="E38" s="27"/>
    </row>
    <row r="39" spans="1:17" ht="36" customHeight="1">
      <c r="B39" s="27"/>
      <c r="C39" s="27"/>
      <c r="D39" s="27"/>
      <c r="E39" s="27"/>
    </row>
    <row r="40" spans="1:17" ht="36" customHeight="1">
      <c r="B40" s="27"/>
      <c r="C40" s="27"/>
      <c r="D40" s="27"/>
      <c r="E40" s="27"/>
    </row>
    <row r="41" spans="1:17" ht="36" customHeight="1">
      <c r="B41" s="27"/>
      <c r="C41" s="27"/>
      <c r="D41" s="27"/>
      <c r="E41" s="27"/>
    </row>
    <row r="42" spans="1:17" ht="36" customHeight="1">
      <c r="B42" s="27"/>
      <c r="C42" s="27"/>
      <c r="D42" s="27"/>
      <c r="E42" s="27"/>
    </row>
    <row r="43" spans="1:17" ht="36" customHeight="1">
      <c r="B43" s="27"/>
      <c r="C43" s="27"/>
      <c r="D43" s="27"/>
      <c r="E43" s="27"/>
    </row>
    <row r="44" spans="1:17">
      <c r="B44" s="27"/>
      <c r="C44" s="27"/>
      <c r="D44" s="27"/>
      <c r="E44" s="27"/>
    </row>
    <row r="45" spans="1:17">
      <c r="D45" s="29"/>
      <c r="E45" s="30"/>
      <c r="F45" s="31"/>
      <c r="G45" s="31"/>
      <c r="H45" s="32"/>
      <c r="I45" s="32"/>
      <c r="J45" s="32"/>
      <c r="K45" s="32"/>
      <c r="L45" s="33"/>
      <c r="M45" s="34"/>
      <c r="N45" s="34"/>
      <c r="O45" s="34"/>
      <c r="P45" s="34"/>
      <c r="Q45" s="35"/>
    </row>
    <row r="46" spans="1:17">
      <c r="A46" s="36"/>
      <c r="B46" s="31"/>
      <c r="C46" s="31"/>
      <c r="D46" s="37"/>
      <c r="E46" s="31"/>
    </row>
    <row r="56" spans="1:17"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6"/>
    </row>
    <row r="57" spans="1:17">
      <c r="A57" s="36"/>
      <c r="B57" s="31"/>
      <c r="C57" s="31"/>
      <c r="D57" s="37"/>
      <c r="E57" s="31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ignoredErrors>
    <ignoredError sqref="F32:N32" evalError="1"/>
    <ignoredError sqref="E10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 Data Save </vt:lpstr>
      <vt:lpstr>Print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2021-08-14T06:48:38Z</cp:lastPrinted>
  <dcterms:created xsi:type="dcterms:W3CDTF">2020-05-10T22:03:17Z</dcterms:created>
  <dcterms:modified xsi:type="dcterms:W3CDTF">2021-08-14T02:01:50Z</dcterms:modified>
</cp:coreProperties>
</file>