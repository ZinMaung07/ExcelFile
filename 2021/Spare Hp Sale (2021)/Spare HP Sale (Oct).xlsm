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Tricycle Sale Hp &amp; Cash2021\"/>
    </mc:Choice>
  </mc:AlternateContent>
  <bookViews>
    <workbookView xWindow="-105" yWindow="-105" windowWidth="23250" windowHeight="12570" activeTab="1"/>
  </bookViews>
  <sheets>
    <sheet name="Dashboard" sheetId="46" r:id="rId1"/>
    <sheet name=" Data Save " sheetId="48" r:id="rId2"/>
    <sheet name="Print" sheetId="50" r:id="rId3"/>
  </sheets>
  <externalReferences>
    <externalReference r:id="rId4"/>
  </externalReferences>
  <definedNames>
    <definedName name="_xlnm._FilterDatabase" localSheetId="1" hidden="1">' Data Save '!$A$1:$R$8</definedName>
    <definedName name="_xlnm.Print_Area" localSheetId="1">' Data Save '!$A$1:$T$1</definedName>
    <definedName name="_xlnm.Print_Area" localSheetId="2">Print!$A$1:$E$31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8" i="46" l="1"/>
  <c r="E19" i="50"/>
  <c r="C16" i="50"/>
  <c r="D16" i="50"/>
  <c r="B16" i="50"/>
  <c r="P33" i="50"/>
  <c r="Q33" i="50"/>
  <c r="R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C33" i="50"/>
  <c r="B33" i="50"/>
  <c r="L50" i="48"/>
  <c r="O50" i="48" s="1"/>
  <c r="T50" i="48" s="1"/>
  <c r="L49" i="48"/>
  <c r="O49" i="48" s="1"/>
  <c r="T49" i="48" s="1"/>
  <c r="L48" i="48"/>
  <c r="O48" i="48" s="1"/>
  <c r="T48" i="48" s="1"/>
  <c r="L47" i="48"/>
  <c r="O47" i="48" s="1"/>
  <c r="T47" i="48" s="1"/>
  <c r="L46" i="48"/>
  <c r="O46" i="48" s="1"/>
  <c r="T46" i="48" s="1"/>
  <c r="L45" i="48"/>
  <c r="O45" i="48" s="1"/>
  <c r="T45" i="48" s="1"/>
  <c r="L44" i="48"/>
  <c r="O44" i="48" s="1"/>
  <c r="T44" i="48" s="1"/>
  <c r="L43" i="48"/>
  <c r="O43" i="48" s="1"/>
  <c r="T43" i="48" s="1"/>
  <c r="L42" i="48"/>
  <c r="O42" i="48" s="1"/>
  <c r="T42" i="48" s="1"/>
  <c r="L41" i="48"/>
  <c r="O41" i="48" s="1"/>
  <c r="T41" i="48" s="1"/>
  <c r="L40" i="48"/>
  <c r="O40" i="48" s="1"/>
  <c r="T40" i="48" s="1"/>
  <c r="L39" i="48"/>
  <c r="O39" i="48" s="1"/>
  <c r="T39" i="48" s="1"/>
  <c r="L38" i="48"/>
  <c r="O38" i="48" s="1"/>
  <c r="T38" i="48" s="1"/>
  <c r="L37" i="48"/>
  <c r="O37" i="48" s="1"/>
  <c r="T37" i="48" s="1"/>
  <c r="L36" i="48"/>
  <c r="O36" i="48" s="1"/>
  <c r="T36" i="48" s="1"/>
  <c r="L35" i="48"/>
  <c r="O35" i="48" s="1"/>
  <c r="T35" i="48" s="1"/>
  <c r="L34" i="48"/>
  <c r="O34" i="48" s="1"/>
  <c r="T34" i="48" s="1"/>
  <c r="L33" i="48"/>
  <c r="O33" i="48" s="1"/>
  <c r="T33" i="48" s="1"/>
  <c r="L32" i="48"/>
  <c r="O32" i="48" s="1"/>
  <c r="T32" i="48" s="1"/>
  <c r="L31" i="48"/>
  <c r="O31" i="48" s="1"/>
  <c r="T31" i="48" s="1"/>
  <c r="L30" i="48"/>
  <c r="O30" i="48" s="1"/>
  <c r="T30" i="48" s="1"/>
  <c r="L29" i="48"/>
  <c r="O29" i="48" s="1"/>
  <c r="T29" i="48" s="1"/>
  <c r="L28" i="48"/>
  <c r="O28" i="48" s="1"/>
  <c r="T28" i="48" s="1"/>
  <c r="L27" i="48"/>
  <c r="O27" i="48" s="1"/>
  <c r="T27" i="48" s="1"/>
  <c r="L26" i="48"/>
  <c r="O26" i="48" s="1"/>
  <c r="T26" i="48" s="1"/>
  <c r="L25" i="48"/>
  <c r="O25" i="48" s="1"/>
  <c r="T25" i="48" s="1"/>
  <c r="L24" i="48"/>
  <c r="O24" i="48" s="1"/>
  <c r="T24" i="48" s="1"/>
  <c r="T23" i="48"/>
  <c r="L23" i="48"/>
  <c r="T22" i="48"/>
  <c r="L22" i="48"/>
  <c r="T21" i="48"/>
  <c r="L21" i="48"/>
  <c r="T20" i="48"/>
  <c r="L20" i="48"/>
  <c r="T19" i="48"/>
  <c r="L19" i="48"/>
  <c r="T18" i="48"/>
  <c r="L18" i="48"/>
  <c r="T17" i="48"/>
  <c r="L17" i="48"/>
  <c r="T16" i="48"/>
  <c r="L16" i="48"/>
  <c r="T15" i="48"/>
  <c r="L15" i="48"/>
  <c r="T14" i="48"/>
  <c r="L14" i="48"/>
  <c r="L13" i="48"/>
  <c r="O13" i="48" s="1"/>
  <c r="T13" i="48" s="1"/>
  <c r="L12" i="48"/>
  <c r="O12" i="48" s="1"/>
  <c r="T12" i="48" s="1"/>
  <c r="L11" i="48"/>
  <c r="O11" i="48" s="1"/>
  <c r="T11" i="48" s="1"/>
  <c r="L10" i="48"/>
  <c r="O10" i="48" s="1"/>
  <c r="T10" i="48" s="1"/>
  <c r="L9" i="48"/>
  <c r="O9" i="48" s="1"/>
  <c r="T9" i="48" s="1"/>
  <c r="L8" i="48"/>
  <c r="O8" i="48" s="1"/>
  <c r="T8" i="48" s="1"/>
  <c r="L7" i="48"/>
  <c r="O7" i="48" s="1"/>
  <c r="T7" i="48" s="1"/>
  <c r="L6" i="48"/>
  <c r="O6" i="48" s="1"/>
  <c r="T6" i="48" s="1"/>
  <c r="L5" i="48"/>
  <c r="O5" i="48" s="1"/>
  <c r="T5" i="48" s="1"/>
  <c r="L4" i="48"/>
  <c r="O4" i="48" s="1"/>
  <c r="T4" i="48" s="1"/>
  <c r="L3" i="48"/>
  <c r="O3" i="48" s="1"/>
  <c r="L2" i="48"/>
  <c r="O2" i="48" s="1"/>
  <c r="T2" i="48" s="1"/>
  <c r="A1" i="46" l="1"/>
  <c r="R19" i="46" l="1"/>
  <c r="D11" i="46" l="1"/>
  <c r="D14" i="46" s="1"/>
  <c r="C22" i="50" l="1"/>
  <c r="E16" i="50" l="1"/>
  <c r="D23" i="50" l="1"/>
  <c r="B20" i="50" l="1"/>
  <c r="E12" i="50" l="1"/>
  <c r="B12" i="50"/>
  <c r="B11" i="50"/>
  <c r="B10" i="50"/>
  <c r="E10" i="50"/>
  <c r="E13" i="50"/>
  <c r="E17" i="50" l="1"/>
  <c r="B13" i="50"/>
  <c r="A16" i="50"/>
  <c r="E20" i="50" l="1"/>
  <c r="A22" i="50" s="1"/>
</calcChain>
</file>

<file path=xl/comments1.xml><?xml version="1.0" encoding="utf-8"?>
<comments xmlns="http://schemas.openxmlformats.org/spreadsheetml/2006/main">
  <authors>
    <author>acer</author>
  </authors>
  <commentList>
    <comment ref="R15" authorId="0" shapeId="0">
      <text>
        <r>
          <rPr>
            <b/>
            <sz val="9"/>
            <color indexed="81"/>
            <rFont val="Tahoma"/>
            <family val="2"/>
          </rPr>
          <t>acer:</t>
        </r>
        <r>
          <rPr>
            <sz val="9"/>
            <color indexed="81"/>
            <rFont val="Tahoma"/>
            <family val="2"/>
          </rPr>
          <t xml:space="preserve">
11/9/2021 =23000</t>
        </r>
      </text>
    </comment>
  </commentList>
</comments>
</file>

<file path=xl/sharedStrings.xml><?xml version="1.0" encoding="utf-8"?>
<sst xmlns="http://schemas.openxmlformats.org/spreadsheetml/2006/main" count="213" uniqueCount="118">
  <si>
    <t>Qty</t>
  </si>
  <si>
    <t>Price</t>
  </si>
  <si>
    <t>Amount</t>
  </si>
  <si>
    <t>Particular</t>
  </si>
  <si>
    <t>အာမခံကိုယ္စားလွယ္</t>
  </si>
  <si>
    <t>ဖုန္းနံပါတ္</t>
  </si>
  <si>
    <t>က်န္ေငြ</t>
  </si>
  <si>
    <t>ဝယ္သူလက္မွတ္ _ _ _ _ _ _ _​ _ _ _</t>
  </si>
  <si>
    <t xml:space="preserve">ဝယ္သူအမည္    _ _ _ _ _ _ _ _ _ _ </t>
  </si>
  <si>
    <t>ေရာင္းသူလက္မွတ္ _ _ _ _ _ _ _​ _ _ _</t>
  </si>
  <si>
    <t xml:space="preserve">ေရာင္းသူ အမည္    _ _ _ _ _ _ _ _ _ _ </t>
  </si>
  <si>
    <t>ေန႔စြဲ</t>
  </si>
  <si>
    <t>ဝယ္သူအမည္</t>
  </si>
  <si>
    <t>ေနရပ္</t>
  </si>
  <si>
    <t>အဘအမည္</t>
  </si>
  <si>
    <t>ဝယ္ယူအားေပးမႈအတြက္အထူးေက်းဇူးတင္ရွိပါသည္။</t>
  </si>
  <si>
    <t>အမည္</t>
  </si>
  <si>
    <t>စက္ပစၥည္းအမည္</t>
  </si>
  <si>
    <t>ႏႈန္း</t>
  </si>
  <si>
    <t>သင့္ေငြ</t>
  </si>
  <si>
    <t>ေပးေငြ</t>
  </si>
  <si>
    <t>ေၾကြးဆပ္ရက္</t>
  </si>
  <si>
    <t xml:space="preserve">စုစုေပါင္း </t>
  </si>
  <si>
    <t>ထန္းမနိုင္</t>
  </si>
  <si>
    <t>ကိုယ္စားလွယ္</t>
  </si>
  <si>
    <t>ကိုယ္စားလွယ္ဖုန္း</t>
  </si>
  <si>
    <t>က်ံဳဒရယ္</t>
  </si>
  <si>
    <t>အတိုးသင့္ေငြ</t>
  </si>
  <si>
    <t>က်န္ေငြစုစုေပါင္း</t>
  </si>
  <si>
    <t>ကိုစည္သူ</t>
  </si>
  <si>
    <t>ေၾကြးက်န္စုစုေပါင္း</t>
  </si>
  <si>
    <t>စက္ပစၥည္း ေၾကြးက်န္အေရာင္း</t>
  </si>
  <si>
    <t>S.No</t>
  </si>
  <si>
    <t>ေဘာက္ခ်ာနံပါတ္</t>
  </si>
  <si>
    <t>ဝါးေသာက္</t>
  </si>
  <si>
    <t>ကိုေဝယံ</t>
  </si>
  <si>
    <t>ေက်ာက္စက္</t>
  </si>
  <si>
    <t>ဦးသိန္းစိန္</t>
  </si>
  <si>
    <t>ဘက္မွန္</t>
  </si>
  <si>
    <t>ကိုေအာင္ေအာင္</t>
  </si>
  <si>
    <t>က်ဴေတာေခ်ာင္</t>
  </si>
  <si>
    <t>ဦးဝင္းေဇာ္</t>
  </si>
  <si>
    <t>သခြတ္ပင္</t>
  </si>
  <si>
    <t>ပိုက္စိမ္းေခြ</t>
  </si>
  <si>
    <t>မိဘေမတၱာ</t>
  </si>
  <si>
    <t>ကိုေထြး</t>
  </si>
  <si>
    <t>ထန္းတပင္</t>
  </si>
  <si>
    <t>ဆီတင္ပန္႔</t>
  </si>
  <si>
    <t xml:space="preserve"> ႏႈန္း </t>
  </si>
  <si>
    <t xml:space="preserve"> သင့္ေငြ </t>
  </si>
  <si>
    <t xml:space="preserve"> အတိုးသင့္ေငြ </t>
  </si>
  <si>
    <t xml:space="preserve"> ေပးေငြ </t>
  </si>
  <si>
    <t xml:space="preserve"> က်န္ေငြစုစုေပါင္း </t>
  </si>
  <si>
    <t xml:space="preserve"> ေၾကြးဆပ္ </t>
  </si>
  <si>
    <t xml:space="preserve"> ေန႔စြဲ2 </t>
  </si>
  <si>
    <t xml:space="preserve"> ေၾကြးက်န္ </t>
  </si>
  <si>
    <t>ေၾကြးဆပ္ေန႔စြဲ</t>
  </si>
  <si>
    <t>ေလဂန္း</t>
  </si>
  <si>
    <t>Engine spare</t>
  </si>
  <si>
    <t>ကိုဆန္းလြင္ေက်ာ္</t>
  </si>
  <si>
    <t>ေျမဆီေၾကြးဆပ္က်န္ေငြ</t>
  </si>
  <si>
    <t>ကိုဖိုးသဲ</t>
  </si>
  <si>
    <t xml:space="preserve">ဦးခိုင္ႀကီး </t>
  </si>
  <si>
    <t>ခ်စ္ဖိန္႕</t>
  </si>
  <si>
    <t>ႀကိဳးစက္အစံု</t>
  </si>
  <si>
    <t>Tri Spare</t>
  </si>
  <si>
    <t>Spare</t>
  </si>
  <si>
    <t>ေတာ္လန္း</t>
  </si>
  <si>
    <t>ဦးနိုင္ဝင္း</t>
  </si>
  <si>
    <t>ေကာ့မွဴး</t>
  </si>
  <si>
    <t>ဦးဝင္းကို</t>
  </si>
  <si>
    <t>ၿမကၽြန္းသာ</t>
  </si>
  <si>
    <t>တစ္ဘီးထြန္</t>
  </si>
  <si>
    <t>ကိုဟန္ေက်ာ္စိုး</t>
  </si>
  <si>
    <t>ကိုသန္းေဇာ္</t>
  </si>
  <si>
    <t>ကိုေဇာ္မ်ိဳး</t>
  </si>
  <si>
    <t>ခ်ိန္းေစာသမား</t>
  </si>
  <si>
    <t>ခ်ိန္းေစာ</t>
  </si>
  <si>
    <t>ဦးမိုးနိူင္</t>
  </si>
  <si>
    <t>ဦးစိုးသန္း</t>
  </si>
  <si>
    <t>ကိုးေထာင္</t>
  </si>
  <si>
    <t>ဦးၿမင့္စိုး</t>
  </si>
  <si>
    <t>သေၿပကုန္း</t>
  </si>
  <si>
    <t>ဦးနိူင္ဝင္း</t>
  </si>
  <si>
    <t>ကိုေထြး+ကိုသူ</t>
  </si>
  <si>
    <t>ဦးလွေအး</t>
  </si>
  <si>
    <t>ကမာပါတ္</t>
  </si>
  <si>
    <t>မမိလဲ့</t>
  </si>
  <si>
    <t>spare ေၾကြးက်န္</t>
  </si>
  <si>
    <t>တန္တရာ</t>
  </si>
  <si>
    <t>ဦးကြီး</t>
  </si>
  <si>
    <t>မလြင္လြင္သန္း</t>
  </si>
  <si>
    <t>ေရေမာ္တာ</t>
  </si>
  <si>
    <t>ဦးကိုၾကီး</t>
  </si>
  <si>
    <t>ၾကခက္ကုန္း</t>
  </si>
  <si>
    <t>09-799402817</t>
  </si>
  <si>
    <t>အာမို</t>
  </si>
  <si>
    <t>ကိုစန္းသူ</t>
  </si>
  <si>
    <t>ဒလ</t>
  </si>
  <si>
    <t>ေဒၚသြယ္</t>
  </si>
  <si>
    <t>ေတာ္ခလူး</t>
  </si>
  <si>
    <t>KAWA 71/2Engine</t>
  </si>
  <si>
    <t>Sales2</t>
  </si>
  <si>
    <t>Purchase</t>
  </si>
  <si>
    <t>ျမက္ရိတ္စက္</t>
  </si>
  <si>
    <t>အဖိုးၾကီး</t>
  </si>
  <si>
    <t>Ko Tun Lin Aung</t>
  </si>
  <si>
    <t>ကိုၾကီး</t>
  </si>
  <si>
    <t>ဦးၾကည္လြင္</t>
  </si>
  <si>
    <t>ဆည္ေျမာင္း</t>
  </si>
  <si>
    <t>ဝဒိန္၊ေဂါက္၊ႀကိဳး</t>
  </si>
  <si>
    <t>ဦးဝၾကီး</t>
  </si>
  <si>
    <t>ကိုဝၾကီး</t>
  </si>
  <si>
    <t>ကိုခ်စ္ဖိန္႔</t>
  </si>
  <si>
    <t>ကိုဝၾကိး</t>
  </si>
  <si>
    <t>မိဘေမတၱာ(ေပ်ာ္ဘြယ္ၾကီး)</t>
  </si>
  <si>
    <t>09-893474230</t>
  </si>
  <si>
    <t>မိဘေမတၱာ(ေပ်ာ္ဘြယ္ၿကီး)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</si>
</sst>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43" formatCode="_(* #,##0.00_);_(* \(#,##0.00\);_(* &quot;-&quot;??_);_(@_)"/>
    <numFmt numFmtId="164" formatCode="_(* #,##0_);_(* \(#,##0\);_(* &quot;-&quot;??_);_(@_)"/>
    <numFmt numFmtId="165" formatCode="dd/mmm/yyyy"/>
    <numFmt numFmtId="166" formatCode="\(dd\-mm\-yyyy\)"/>
    <numFmt numFmtId="167" formatCode="dd\-mmm\-yyyy"/>
    <numFmt numFmtId="168" formatCode="0\9\-000000000"/>
    <numFmt numFmtId="169" formatCode="00000"/>
    <numFmt numFmtId="170" formatCode="\(\ dd\-mmm\-yyyy\ \)&quot;ေန႔တြင္ေပးဆပ္ရမည္။&quot;"/>
    <numFmt numFmtId="171" formatCode="&quot;က်န္ေငြ&quot;\ \(\ 0,000\ \)\ &quot;က်ပ္တိတိအား&quot;"/>
  </numFmts>
  <fonts count="17">
    <font>
      <sz val="11"/>
      <color theme="1"/>
      <name val="Calibri"/>
      <family val="2"/>
      <charset val="1"/>
      <scheme val="minor"/>
    </font>
    <font>
      <sz val="11"/>
      <color theme="1"/>
      <name val="Zawgyi-One"/>
      <family val="2"/>
    </font>
    <font>
      <b/>
      <sz val="11"/>
      <color theme="1"/>
      <name val="Zawgyi-One"/>
      <family val="2"/>
    </font>
    <font>
      <sz val="11"/>
      <color theme="1"/>
      <name val="Calibri"/>
      <family val="2"/>
      <charset val="1"/>
      <scheme val="minor"/>
    </font>
    <font>
      <b/>
      <sz val="12"/>
      <color theme="0"/>
      <name val="Zawgyi-One"/>
      <family val="2"/>
    </font>
    <font>
      <b/>
      <sz val="18"/>
      <color theme="0"/>
      <name val="Zawgyi-One"/>
      <family val="2"/>
    </font>
    <font>
      <sz val="11"/>
      <color theme="0"/>
      <name val="Win PhaAn"/>
    </font>
    <font>
      <b/>
      <sz val="16"/>
      <color rgb="FF000000"/>
      <name val="Calibri"/>
      <family val="2"/>
    </font>
    <font>
      <b/>
      <i/>
      <sz val="11"/>
      <color theme="1"/>
      <name val="Zawgyi-One"/>
      <family val="2"/>
    </font>
    <font>
      <b/>
      <i/>
      <u/>
      <sz val="11"/>
      <color theme="1"/>
      <name val="Zawgyi-One"/>
      <family val="2"/>
    </font>
    <font>
      <sz val="11"/>
      <color theme="0"/>
      <name val="Zawgyi-One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name val="Zawgyi-One"/>
      <family val="2"/>
    </font>
    <font>
      <sz val="11"/>
      <name val="Zawgyi-One"/>
      <family val="2"/>
    </font>
    <font>
      <b/>
      <sz val="24"/>
      <color theme="0"/>
      <name val="Zawgyi-One"/>
      <family val="2"/>
    </font>
    <font>
      <sz val="11"/>
      <color rgb="FF00B050"/>
      <name val="Zawgyi-One"/>
      <family val="2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theme="1"/>
        <bgColor auto="1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medium">
        <color theme="0"/>
      </right>
      <top style="medium">
        <color theme="0"/>
      </top>
      <bottom/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/>
      <right/>
      <top style="thick">
        <color theme="0"/>
      </top>
      <bottom/>
      <diagonal/>
    </border>
  </borders>
  <cellStyleXfs count="2">
    <xf numFmtId="0" fontId="0" fillId="0" borderId="0"/>
    <xf numFmtId="43" fontId="3" fillId="0" borderId="0" applyFont="0" applyFill="0" applyBorder="0" applyAlignment="0" applyProtection="0"/>
  </cellStyleXfs>
  <cellXfs count="170">
    <xf numFmtId="0" fontId="0" fillId="0" borderId="0" xfId="0"/>
    <xf numFmtId="0" fontId="2" fillId="0" borderId="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1" fillId="0" borderId="0" xfId="0" applyFont="1"/>
    <xf numFmtId="164" fontId="1" fillId="0" borderId="0" xfId="1" applyNumberFormat="1" applyFont="1"/>
    <xf numFmtId="0" fontId="1" fillId="0" borderId="0" xfId="0" applyFont="1" applyBorder="1"/>
    <xf numFmtId="164" fontId="1" fillId="0" borderId="1" xfId="1" applyNumberFormat="1" applyFont="1" applyBorder="1" applyAlignment="1">
      <alignment horizontal="right" vertical="center"/>
    </xf>
    <xf numFmtId="164" fontId="2" fillId="0" borderId="1" xfId="1" applyNumberFormat="1" applyFont="1" applyBorder="1" applyAlignment="1">
      <alignment horizontal="right"/>
    </xf>
    <xf numFmtId="164" fontId="2" fillId="0" borderId="2" xfId="1" applyNumberFormat="1" applyFont="1" applyBorder="1" applyAlignment="1">
      <alignment horizontal="center"/>
    </xf>
    <xf numFmtId="164" fontId="2" fillId="0" borderId="1" xfId="1" applyNumberFormat="1" applyFont="1" applyBorder="1" applyAlignment="1">
      <alignment horizontal="center"/>
    </xf>
    <xf numFmtId="164" fontId="1" fillId="0" borderId="1" xfId="1" applyNumberFormat="1" applyFont="1" applyBorder="1" applyAlignment="1">
      <alignment horizontal="center"/>
    </xf>
    <xf numFmtId="3" fontId="1" fillId="0" borderId="0" xfId="0" applyNumberFormat="1" applyFont="1" applyAlignment="1">
      <alignment horizontal="center" vertical="center" wrapText="1"/>
    </xf>
    <xf numFmtId="164" fontId="2" fillId="0" borderId="0" xfId="1" applyNumberFormat="1" applyFont="1" applyBorder="1" applyAlignment="1">
      <alignment horizontal="center"/>
    </xf>
    <xf numFmtId="164" fontId="2" fillId="0" borderId="0" xfId="1" applyNumberFormat="1" applyFont="1" applyBorder="1" applyAlignment="1">
      <alignment horizontal="right"/>
    </xf>
    <xf numFmtId="165" fontId="1" fillId="0" borderId="0" xfId="0" applyNumberFormat="1" applyFont="1"/>
    <xf numFmtId="164" fontId="1" fillId="0" borderId="1" xfId="1" applyNumberFormat="1" applyFont="1" applyBorder="1"/>
    <xf numFmtId="0" fontId="2" fillId="0" borderId="0" xfId="0" applyFont="1" applyAlignment="1">
      <alignment horizontal="center"/>
    </xf>
    <xf numFmtId="0" fontId="2" fillId="0" borderId="4" xfId="0" applyFont="1" applyBorder="1" applyAlignment="1">
      <alignment horizontal="center" vertical="top"/>
    </xf>
    <xf numFmtId="0" fontId="1" fillId="0" borderId="0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/>
    <xf numFmtId="164" fontId="2" fillId="0" borderId="0" xfId="1" applyNumberFormat="1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168" fontId="1" fillId="0" borderId="0" xfId="0" applyNumberFormat="1" applyFont="1"/>
    <xf numFmtId="0" fontId="1" fillId="4" borderId="0" xfId="0" applyFont="1" applyFill="1" applyBorder="1"/>
    <xf numFmtId="0" fontId="2" fillId="4" borderId="0" xfId="0" applyFont="1" applyFill="1" applyBorder="1" applyAlignment="1">
      <alignment horizontal="center" vertical="center"/>
    </xf>
    <xf numFmtId="14" fontId="1" fillId="4" borderId="0" xfId="0" applyNumberFormat="1" applyFont="1" applyFill="1" applyBorder="1"/>
    <xf numFmtId="164" fontId="1" fillId="4" borderId="0" xfId="1" applyNumberFormat="1" applyFont="1" applyFill="1" applyBorder="1"/>
    <xf numFmtId="164" fontId="1" fillId="4" borderId="0" xfId="1" applyNumberFormat="1" applyFont="1" applyFill="1" applyBorder="1" applyAlignment="1">
      <alignment horizontal="right"/>
    </xf>
    <xf numFmtId="164" fontId="1" fillId="4" borderId="3" xfId="1" applyNumberFormat="1" applyFont="1" applyFill="1" applyBorder="1" applyAlignment="1">
      <alignment horizontal="center"/>
    </xf>
    <xf numFmtId="164" fontId="1" fillId="4" borderId="1" xfId="1" applyNumberFormat="1" applyFont="1" applyFill="1" applyBorder="1"/>
    <xf numFmtId="164" fontId="1" fillId="4" borderId="1" xfId="0" applyNumberFormat="1" applyFont="1" applyFill="1" applyBorder="1"/>
    <xf numFmtId="164" fontId="1" fillId="4" borderId="1" xfId="1" applyNumberFormat="1" applyFont="1" applyFill="1" applyBorder="1" applyAlignment="1">
      <alignment horizontal="center"/>
    </xf>
    <xf numFmtId="165" fontId="1" fillId="4" borderId="1" xfId="1" applyNumberFormat="1" applyFont="1" applyFill="1" applyBorder="1" applyAlignment="1">
      <alignment horizontal="center"/>
    </xf>
    <xf numFmtId="165" fontId="1" fillId="4" borderId="3" xfId="1" applyNumberFormat="1" applyFont="1" applyFill="1" applyBorder="1" applyAlignment="1">
      <alignment horizontal="center"/>
    </xf>
    <xf numFmtId="168" fontId="1" fillId="4" borderId="3" xfId="1" applyNumberFormat="1" applyFont="1" applyFill="1" applyBorder="1" applyAlignment="1">
      <alignment horizontal="center"/>
    </xf>
    <xf numFmtId="0" fontId="1" fillId="4" borderId="0" xfId="0" applyFont="1" applyFill="1"/>
    <xf numFmtId="14" fontId="1" fillId="4" borderId="0" xfId="0" applyNumberFormat="1" applyFont="1" applyFill="1"/>
    <xf numFmtId="167" fontId="1" fillId="0" borderId="1" xfId="0" applyNumberFormat="1" applyFont="1" applyBorder="1" applyAlignment="1">
      <alignment horizontal="center" vertical="top"/>
    </xf>
    <xf numFmtId="0" fontId="1" fillId="0" borderId="1" xfId="0" applyFont="1" applyBorder="1" applyAlignment="1">
      <alignment horizontal="center"/>
    </xf>
    <xf numFmtId="168" fontId="1" fillId="0" borderId="1" xfId="0" applyNumberFormat="1" applyFont="1" applyBorder="1" applyAlignment="1">
      <alignment horizontal="center"/>
    </xf>
    <xf numFmtId="0" fontId="1" fillId="0" borderId="0" xfId="0" applyFont="1" applyAlignment="1">
      <alignment horizontal="center"/>
    </xf>
    <xf numFmtId="165" fontId="4" fillId="5" borderId="4" xfId="0" applyNumberFormat="1" applyFont="1" applyFill="1" applyBorder="1" applyAlignment="1">
      <alignment horizontal="right" vertical="center" wrapText="1"/>
    </xf>
    <xf numFmtId="0" fontId="1" fillId="5" borderId="0" xfId="0" applyFont="1" applyFill="1"/>
    <xf numFmtId="0" fontId="4" fillId="5" borderId="4" xfId="0" applyFont="1" applyFill="1" applyBorder="1" applyAlignment="1">
      <alignment horizontal="right" vertical="center"/>
    </xf>
    <xf numFmtId="168" fontId="4" fillId="5" borderId="4" xfId="0" applyNumberFormat="1" applyFont="1" applyFill="1" applyBorder="1" applyAlignment="1">
      <alignment horizontal="right" vertical="center"/>
    </xf>
    <xf numFmtId="168" fontId="4" fillId="5" borderId="5" xfId="0" applyNumberFormat="1" applyFont="1" applyFill="1" applyBorder="1" applyAlignment="1">
      <alignment horizontal="right" vertical="center"/>
    </xf>
    <xf numFmtId="0" fontId="4" fillId="5" borderId="5" xfId="0" applyFont="1" applyFill="1" applyBorder="1" applyAlignment="1">
      <alignment horizontal="right" vertical="center"/>
    </xf>
    <xf numFmtId="0" fontId="4" fillId="5" borderId="5" xfId="0" applyFont="1" applyFill="1" applyBorder="1" applyAlignment="1">
      <alignment horizontal="right" vertical="center" wrapText="1"/>
    </xf>
    <xf numFmtId="164" fontId="4" fillId="5" borderId="5" xfId="1" applyNumberFormat="1" applyFont="1" applyFill="1" applyBorder="1" applyAlignment="1">
      <alignment horizontal="right" vertical="center" wrapText="1"/>
    </xf>
    <xf numFmtId="165" fontId="4" fillId="5" borderId="5" xfId="0" applyNumberFormat="1" applyFont="1" applyFill="1" applyBorder="1" applyAlignment="1">
      <alignment horizontal="right" vertical="center" wrapText="1"/>
    </xf>
    <xf numFmtId="0" fontId="1" fillId="5" borderId="0" xfId="0" applyFont="1" applyFill="1" applyAlignment="1">
      <alignment horizontal="right"/>
    </xf>
    <xf numFmtId="0" fontId="1" fillId="5" borderId="0" xfId="0" applyFont="1" applyFill="1" applyAlignment="1">
      <alignment horizontal="center"/>
    </xf>
    <xf numFmtId="0" fontId="1" fillId="0" borderId="0" xfId="0" applyFont="1" applyBorder="1" applyAlignment="1">
      <alignment vertical="top"/>
    </xf>
    <xf numFmtId="0" fontId="1" fillId="0" borderId="0" xfId="0" applyFont="1" applyBorder="1" applyAlignment="1"/>
    <xf numFmtId="168" fontId="1" fillId="0" borderId="0" xfId="0" applyNumberFormat="1" applyFont="1" applyBorder="1" applyAlignment="1"/>
    <xf numFmtId="0" fontId="1" fillId="0" borderId="1" xfId="0" applyFont="1" applyBorder="1" applyAlignment="1">
      <alignment horizontal="center" vertical="center" wrapText="1"/>
    </xf>
    <xf numFmtId="166" fontId="2" fillId="0" borderId="0" xfId="0" applyNumberFormat="1" applyFont="1" applyBorder="1" applyAlignment="1">
      <alignment horizontal="center"/>
    </xf>
    <xf numFmtId="0" fontId="1" fillId="4" borderId="0" xfId="0" applyFont="1" applyFill="1" applyBorder="1" applyAlignment="1">
      <alignment horizontal="center"/>
    </xf>
    <xf numFmtId="0" fontId="2" fillId="6" borderId="0" xfId="0" applyFont="1" applyFill="1"/>
    <xf numFmtId="164" fontId="2" fillId="6" borderId="0" xfId="1" applyNumberFormat="1" applyFont="1" applyFill="1"/>
    <xf numFmtId="0" fontId="5" fillId="7" borderId="0" xfId="0" applyFont="1" applyFill="1" applyBorder="1" applyAlignment="1">
      <alignment vertical="center"/>
    </xf>
    <xf numFmtId="0" fontId="6" fillId="7" borderId="0" xfId="0" applyFont="1" applyFill="1" applyBorder="1" applyAlignment="1">
      <alignment vertical="center"/>
    </xf>
    <xf numFmtId="167" fontId="1" fillId="0" borderId="1" xfId="0" applyNumberFormat="1" applyFont="1" applyBorder="1" applyAlignment="1">
      <alignment horizontal="center"/>
    </xf>
    <xf numFmtId="167" fontId="1" fillId="0" borderId="0" xfId="0" applyNumberFormat="1" applyFont="1" applyAlignment="1">
      <alignment horizontal="center"/>
    </xf>
    <xf numFmtId="164" fontId="1" fillId="2" borderId="1" xfId="1" applyNumberFormat="1" applyFont="1" applyFill="1" applyBorder="1"/>
    <xf numFmtId="169" fontId="2" fillId="0" borderId="1" xfId="1" applyNumberFormat="1" applyFont="1" applyBorder="1" applyAlignment="1">
      <alignment horizontal="center"/>
    </xf>
    <xf numFmtId="0" fontId="1" fillId="0" borderId="1" xfId="0" applyFont="1" applyBorder="1"/>
    <xf numFmtId="168" fontId="1" fillId="0" borderId="1" xfId="0" applyNumberFormat="1" applyFont="1" applyBorder="1"/>
    <xf numFmtId="164" fontId="1" fillId="0" borderId="1" xfId="1" applyNumberFormat="1" applyFont="1" applyBorder="1" applyAlignment="1">
      <alignment horizontal="right"/>
    </xf>
    <xf numFmtId="169" fontId="1" fillId="2" borderId="1" xfId="1" applyNumberFormat="1" applyFont="1" applyFill="1" applyBorder="1" applyAlignment="1">
      <alignment horizontal="center"/>
    </xf>
    <xf numFmtId="167" fontId="4" fillId="3" borderId="1" xfId="0" applyNumberFormat="1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168" fontId="4" fillId="3" borderId="1" xfId="0" applyNumberFormat="1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 wrapText="1"/>
    </xf>
    <xf numFmtId="164" fontId="4" fillId="3" borderId="1" xfId="1" applyNumberFormat="1" applyFont="1" applyFill="1" applyBorder="1" applyAlignment="1">
      <alignment horizontal="center" vertical="center" wrapText="1"/>
    </xf>
    <xf numFmtId="165" fontId="4" fillId="3" borderId="1" xfId="0" applyNumberFormat="1" applyFont="1" applyFill="1" applyBorder="1" applyAlignment="1">
      <alignment horizontal="center" vertical="center" wrapText="1"/>
    </xf>
    <xf numFmtId="0" fontId="8" fillId="0" borderId="0" xfId="0" applyFont="1"/>
    <xf numFmtId="0" fontId="9" fillId="0" borderId="0" xfId="0" applyFont="1" applyAlignment="1">
      <alignment horizontal="center"/>
    </xf>
    <xf numFmtId="0" fontId="10" fillId="0" borderId="0" xfId="0" applyFont="1"/>
    <xf numFmtId="0" fontId="10" fillId="0" borderId="0" xfId="0" applyFont="1" applyAlignment="1">
      <alignment horizontal="center"/>
    </xf>
    <xf numFmtId="169" fontId="1" fillId="0" borderId="0" xfId="0" applyNumberFormat="1" applyFont="1" applyAlignment="1">
      <alignment horizontal="center"/>
    </xf>
    <xf numFmtId="169" fontId="4" fillId="3" borderId="1" xfId="0" applyNumberFormat="1" applyFont="1" applyFill="1" applyBorder="1" applyAlignment="1">
      <alignment horizontal="center" vertical="center" wrapText="1"/>
    </xf>
    <xf numFmtId="167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/>
    <xf numFmtId="0" fontId="1" fillId="2" borderId="0" xfId="0" applyFont="1" applyFill="1"/>
    <xf numFmtId="164" fontId="1" fillId="2" borderId="1" xfId="0" applyNumberFormat="1" applyFont="1" applyFill="1" applyBorder="1"/>
    <xf numFmtId="169" fontId="1" fillId="8" borderId="1" xfId="1" applyNumberFormat="1" applyFont="1" applyFill="1" applyBorder="1" applyAlignment="1">
      <alignment horizontal="center"/>
    </xf>
    <xf numFmtId="167" fontId="1" fillId="8" borderId="1" xfId="0" applyNumberFormat="1" applyFont="1" applyFill="1" applyBorder="1" applyAlignment="1">
      <alignment horizontal="center"/>
    </xf>
    <xf numFmtId="0" fontId="1" fillId="8" borderId="1" xfId="0" applyFont="1" applyFill="1" applyBorder="1"/>
    <xf numFmtId="168" fontId="1" fillId="8" borderId="1" xfId="0" applyNumberFormat="1" applyFont="1" applyFill="1" applyBorder="1"/>
    <xf numFmtId="164" fontId="1" fillId="8" borderId="1" xfId="1" applyNumberFormat="1" applyFont="1" applyFill="1" applyBorder="1"/>
    <xf numFmtId="164" fontId="1" fillId="8" borderId="1" xfId="1" applyNumberFormat="1" applyFont="1" applyFill="1" applyBorder="1" applyAlignment="1">
      <alignment horizontal="center"/>
    </xf>
    <xf numFmtId="164" fontId="1" fillId="8" borderId="1" xfId="0" applyNumberFormat="1" applyFont="1" applyFill="1" applyBorder="1"/>
    <xf numFmtId="0" fontId="1" fillId="8" borderId="0" xfId="0" applyFont="1" applyFill="1"/>
    <xf numFmtId="0" fontId="1" fillId="9" borderId="0" xfId="0" applyFont="1" applyFill="1"/>
    <xf numFmtId="169" fontId="1" fillId="10" borderId="1" xfId="1" applyNumberFormat="1" applyFont="1" applyFill="1" applyBorder="1" applyAlignment="1">
      <alignment horizontal="center"/>
    </xf>
    <xf numFmtId="167" fontId="1" fillId="10" borderId="1" xfId="0" applyNumberFormat="1" applyFont="1" applyFill="1" applyBorder="1" applyAlignment="1">
      <alignment horizontal="center"/>
    </xf>
    <xf numFmtId="0" fontId="1" fillId="10" borderId="1" xfId="0" applyFont="1" applyFill="1" applyBorder="1"/>
    <xf numFmtId="168" fontId="1" fillId="10" borderId="1" xfId="0" applyNumberFormat="1" applyFont="1" applyFill="1" applyBorder="1"/>
    <xf numFmtId="164" fontId="1" fillId="10" borderId="1" xfId="1" applyNumberFormat="1" applyFont="1" applyFill="1" applyBorder="1"/>
    <xf numFmtId="164" fontId="1" fillId="10" borderId="1" xfId="1" applyNumberFormat="1" applyFont="1" applyFill="1" applyBorder="1" applyAlignment="1">
      <alignment horizontal="center"/>
    </xf>
    <xf numFmtId="164" fontId="1" fillId="10" borderId="1" xfId="0" applyNumberFormat="1" applyFont="1" applyFill="1" applyBorder="1"/>
    <xf numFmtId="168" fontId="1" fillId="2" borderId="1" xfId="0" applyNumberFormat="1" applyFont="1" applyFill="1" applyBorder="1"/>
    <xf numFmtId="164" fontId="1" fillId="2" borderId="1" xfId="1" applyNumberFormat="1" applyFont="1" applyFill="1" applyBorder="1" applyAlignment="1">
      <alignment horizontal="center"/>
    </xf>
    <xf numFmtId="169" fontId="1" fillId="9" borderId="1" xfId="1" applyNumberFormat="1" applyFont="1" applyFill="1" applyBorder="1" applyAlignment="1">
      <alignment horizontal="center"/>
    </xf>
    <xf numFmtId="167" fontId="1" fillId="9" borderId="1" xfId="0" applyNumberFormat="1" applyFont="1" applyFill="1" applyBorder="1" applyAlignment="1">
      <alignment horizontal="center"/>
    </xf>
    <xf numFmtId="0" fontId="1" fillId="9" borderId="1" xfId="0" applyFont="1" applyFill="1" applyBorder="1"/>
    <xf numFmtId="168" fontId="1" fillId="9" borderId="1" xfId="0" applyNumberFormat="1" applyFont="1" applyFill="1" applyBorder="1"/>
    <xf numFmtId="164" fontId="1" fillId="9" borderId="1" xfId="1" applyNumberFormat="1" applyFont="1" applyFill="1" applyBorder="1"/>
    <xf numFmtId="164" fontId="1" fillId="9" borderId="1" xfId="1" applyNumberFormat="1" applyFont="1" applyFill="1" applyBorder="1" applyAlignment="1">
      <alignment horizontal="center"/>
    </xf>
    <xf numFmtId="164" fontId="1" fillId="9" borderId="1" xfId="0" applyNumberFormat="1" applyFont="1" applyFill="1" applyBorder="1"/>
    <xf numFmtId="15" fontId="4" fillId="3" borderId="1" xfId="1" applyNumberFormat="1" applyFont="1" applyFill="1" applyBorder="1" applyAlignment="1">
      <alignment horizontal="center" vertical="center" wrapText="1"/>
    </xf>
    <xf numFmtId="15" fontId="1" fillId="8" borderId="1" xfId="1" applyNumberFormat="1" applyFont="1" applyFill="1" applyBorder="1"/>
    <xf numFmtId="15" fontId="1" fillId="10" borderId="1" xfId="1" applyNumberFormat="1" applyFont="1" applyFill="1" applyBorder="1"/>
    <xf numFmtId="15" fontId="1" fillId="2" borderId="1" xfId="1" applyNumberFormat="1" applyFont="1" applyFill="1" applyBorder="1"/>
    <xf numFmtId="15" fontId="1" fillId="2" borderId="1" xfId="0" applyNumberFormat="1" applyFont="1" applyFill="1" applyBorder="1" applyAlignment="1">
      <alignment horizontal="center"/>
    </xf>
    <xf numFmtId="15" fontId="1" fillId="9" borderId="1" xfId="0" applyNumberFormat="1" applyFont="1" applyFill="1" applyBorder="1" applyAlignment="1">
      <alignment horizontal="center"/>
    </xf>
    <xf numFmtId="15" fontId="1" fillId="0" borderId="0" xfId="1" applyNumberFormat="1" applyFont="1"/>
    <xf numFmtId="15" fontId="1" fillId="9" borderId="1" xfId="1" applyNumberFormat="1" applyFont="1" applyFill="1" applyBorder="1"/>
    <xf numFmtId="0" fontId="16" fillId="5" borderId="0" xfId="0" applyFont="1" applyFill="1"/>
    <xf numFmtId="169" fontId="1" fillId="2" borderId="4" xfId="1" applyNumberFormat="1" applyFont="1" applyFill="1" applyBorder="1" applyAlignment="1">
      <alignment horizontal="center"/>
    </xf>
    <xf numFmtId="167" fontId="1" fillId="0" borderId="4" xfId="0" applyNumberFormat="1" applyFont="1" applyBorder="1" applyAlignment="1">
      <alignment horizontal="center"/>
    </xf>
    <xf numFmtId="0" fontId="1" fillId="2" borderId="0" xfId="0" applyFont="1" applyFill="1" applyAlignment="1">
      <alignment horizontal="right"/>
    </xf>
    <xf numFmtId="0" fontId="1" fillId="2" borderId="0" xfId="0" applyFont="1" applyFill="1" applyAlignment="1">
      <alignment horizontal="center"/>
    </xf>
    <xf numFmtId="167" fontId="1" fillId="2" borderId="4" xfId="0" applyNumberFormat="1" applyFont="1" applyFill="1" applyBorder="1" applyAlignment="1">
      <alignment horizontal="center"/>
    </xf>
    <xf numFmtId="169" fontId="1" fillId="9" borderId="4" xfId="1" applyNumberFormat="1" applyFont="1" applyFill="1" applyBorder="1" applyAlignment="1">
      <alignment horizontal="center"/>
    </xf>
    <xf numFmtId="167" fontId="1" fillId="9" borderId="4" xfId="0" applyNumberFormat="1" applyFont="1" applyFill="1" applyBorder="1" applyAlignment="1">
      <alignment horizontal="center"/>
    </xf>
    <xf numFmtId="165" fontId="1" fillId="2" borderId="4" xfId="1" applyNumberFormat="1" applyFont="1" applyFill="1" applyBorder="1" applyAlignment="1">
      <alignment horizontal="center"/>
    </xf>
    <xf numFmtId="165" fontId="1" fillId="9" borderId="4" xfId="1" applyNumberFormat="1" applyFont="1" applyFill="1" applyBorder="1" applyAlignment="1">
      <alignment horizontal="center"/>
    </xf>
    <xf numFmtId="169" fontId="1" fillId="8" borderId="4" xfId="1" applyNumberFormat="1" applyFont="1" applyFill="1" applyBorder="1" applyAlignment="1">
      <alignment horizontal="center"/>
    </xf>
    <xf numFmtId="165" fontId="1" fillId="8" borderId="4" xfId="1" applyNumberFormat="1" applyFont="1" applyFill="1" applyBorder="1" applyAlignment="1">
      <alignment horizontal="center"/>
    </xf>
    <xf numFmtId="167" fontId="1" fillId="8" borderId="4" xfId="0" applyNumberFormat="1" applyFont="1" applyFill="1" applyBorder="1" applyAlignment="1">
      <alignment horizontal="center"/>
    </xf>
    <xf numFmtId="15" fontId="1" fillId="8" borderId="1" xfId="0" applyNumberFormat="1" applyFont="1" applyFill="1" applyBorder="1" applyAlignment="1">
      <alignment horizontal="center"/>
    </xf>
    <xf numFmtId="169" fontId="1" fillId="2" borderId="1" xfId="0" applyNumberFormat="1" applyFont="1" applyFill="1" applyBorder="1" applyAlignment="1">
      <alignment horizontal="center"/>
    </xf>
    <xf numFmtId="165" fontId="1" fillId="2" borderId="1" xfId="0" applyNumberFormat="1" applyFont="1" applyFill="1" applyBorder="1"/>
    <xf numFmtId="0" fontId="15" fillId="7" borderId="8" xfId="0" applyFont="1" applyFill="1" applyBorder="1" applyAlignment="1">
      <alignment horizontal="center" vertical="center"/>
    </xf>
    <xf numFmtId="0" fontId="15" fillId="7" borderId="9" xfId="0" applyFont="1" applyFill="1" applyBorder="1" applyAlignment="1">
      <alignment horizontal="center" vertical="center"/>
    </xf>
    <xf numFmtId="0" fontId="15" fillId="7" borderId="10" xfId="0" applyFont="1" applyFill="1" applyBorder="1" applyAlignment="1">
      <alignment horizontal="center" vertical="center"/>
    </xf>
    <xf numFmtId="0" fontId="15" fillId="7" borderId="11" xfId="0" applyFont="1" applyFill="1" applyBorder="1" applyAlignment="1">
      <alignment horizontal="center" vertical="center"/>
    </xf>
    <xf numFmtId="0" fontId="15" fillId="7" borderId="0" xfId="0" applyFont="1" applyFill="1" applyBorder="1" applyAlignment="1">
      <alignment horizontal="center" vertical="center"/>
    </xf>
    <xf numFmtId="0" fontId="15" fillId="7" borderId="12" xfId="0" applyFont="1" applyFill="1" applyBorder="1" applyAlignment="1">
      <alignment horizontal="center" vertical="center"/>
    </xf>
    <xf numFmtId="0" fontId="1" fillId="5" borderId="0" xfId="0" applyFont="1" applyFill="1" applyAlignment="1">
      <alignment horizontal="center"/>
    </xf>
    <xf numFmtId="14" fontId="1" fillId="5" borderId="13" xfId="0" applyNumberFormat="1" applyFont="1" applyFill="1" applyBorder="1" applyAlignment="1">
      <alignment horizontal="center"/>
    </xf>
    <xf numFmtId="0" fontId="1" fillId="5" borderId="13" xfId="0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1" fillId="5" borderId="7" xfId="0" applyFont="1" applyFill="1" applyBorder="1" applyAlignment="1">
      <alignment horizontal="center"/>
    </xf>
    <xf numFmtId="0" fontId="1" fillId="0" borderId="0" xfId="0" applyFont="1" applyAlignment="1"/>
    <xf numFmtId="0" fontId="8" fillId="0" borderId="0" xfId="0" applyNumberFormat="1" applyFont="1" applyAlignment="1">
      <alignment horizontal="left"/>
    </xf>
    <xf numFmtId="0" fontId="2" fillId="0" borderId="0" xfId="0" applyFont="1" applyAlignment="1">
      <alignment horizontal="left"/>
    </xf>
    <xf numFmtId="170" fontId="8" fillId="0" borderId="0" xfId="0" applyNumberFormat="1" applyFont="1" applyAlignment="1">
      <alignment horizontal="left"/>
    </xf>
    <xf numFmtId="171" fontId="8" fillId="0" borderId="0" xfId="0" applyNumberFormat="1" applyFont="1" applyAlignment="1">
      <alignment horizontal="right"/>
    </xf>
    <xf numFmtId="169" fontId="13" fillId="4" borderId="1" xfId="0" applyNumberFormat="1" applyFont="1" applyFill="1" applyBorder="1" applyAlignment="1">
      <alignment horizontal="center" vertical="center" wrapText="1"/>
    </xf>
    <xf numFmtId="167" fontId="13" fillId="4" borderId="1" xfId="0" applyNumberFormat="1" applyFont="1" applyFill="1" applyBorder="1" applyAlignment="1">
      <alignment horizontal="center" vertical="center" wrapText="1"/>
    </xf>
    <xf numFmtId="0" fontId="13" fillId="4" borderId="1" xfId="0" applyFont="1" applyFill="1" applyBorder="1" applyAlignment="1">
      <alignment horizontal="center" vertical="center"/>
    </xf>
    <xf numFmtId="168" fontId="13" fillId="4" borderId="1" xfId="0" applyNumberFormat="1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 wrapText="1"/>
    </xf>
    <xf numFmtId="164" fontId="13" fillId="4" borderId="1" xfId="1" applyNumberFormat="1" applyFont="1" applyFill="1" applyBorder="1" applyAlignment="1">
      <alignment horizontal="center" vertical="center" wrapText="1"/>
    </xf>
    <xf numFmtId="165" fontId="13" fillId="4" borderId="1" xfId="0" applyNumberFormat="1" applyFont="1" applyFill="1" applyBorder="1" applyAlignment="1">
      <alignment horizontal="center" vertical="center" wrapText="1"/>
    </xf>
    <xf numFmtId="15" fontId="13" fillId="4" borderId="1" xfId="1" applyNumberFormat="1" applyFont="1" applyFill="1" applyBorder="1" applyAlignment="1">
      <alignment horizontal="center" vertical="center" wrapText="1"/>
    </xf>
    <xf numFmtId="14" fontId="14" fillId="4" borderId="0" xfId="0" applyNumberFormat="1" applyFont="1" applyFill="1"/>
    <xf numFmtId="0" fontId="14" fillId="4" borderId="0" xfId="0" applyFont="1" applyFill="1"/>
    <xf numFmtId="169" fontId="1" fillId="4" borderId="1" xfId="0" applyNumberFormat="1" applyFont="1" applyFill="1" applyBorder="1" applyAlignment="1">
      <alignment horizontal="center" vertical="center"/>
    </xf>
    <xf numFmtId="165" fontId="1" fillId="4" borderId="1" xfId="0" applyNumberFormat="1" applyFont="1" applyFill="1" applyBorder="1"/>
    <xf numFmtId="0" fontId="1" fillId="4" borderId="1" xfId="0" applyFont="1" applyFill="1" applyBorder="1"/>
    <xf numFmtId="14" fontId="1" fillId="4" borderId="1" xfId="0" applyNumberFormat="1" applyFont="1" applyFill="1" applyBorder="1"/>
    <xf numFmtId="2" fontId="1" fillId="4" borderId="1" xfId="0" applyNumberFormat="1" applyFont="1" applyFill="1" applyBorder="1"/>
    <xf numFmtId="0" fontId="1" fillId="4" borderId="6" xfId="0" applyFont="1" applyFill="1" applyBorder="1"/>
  </cellXfs>
  <cellStyles count="2">
    <cellStyle name="Comma" xfId="1" builtinId="3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6</xdr:row>
          <xdr:rowOff>190500</xdr:rowOff>
        </xdr:from>
        <xdr:to>
          <xdr:col>7</xdr:col>
          <xdr:colOff>95250</xdr:colOff>
          <xdr:row>8</xdr:row>
          <xdr:rowOff>28575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Data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200025</xdr:colOff>
          <xdr:row>10</xdr:row>
          <xdr:rowOff>142875</xdr:rowOff>
        </xdr:from>
        <xdr:to>
          <xdr:col>7</xdr:col>
          <xdr:colOff>104775</xdr:colOff>
          <xdr:row>11</xdr:row>
          <xdr:rowOff>257175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xmlns="" id="{00000000-0008-0000-00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19050</xdr:colOff>
      <xdr:row>0</xdr:row>
      <xdr:rowOff>276225</xdr:rowOff>
    </xdr:from>
    <xdr:to>
      <xdr:col>4</xdr:col>
      <xdr:colOff>323850</xdr:colOff>
      <xdr:row>2</xdr:row>
      <xdr:rowOff>0</xdr:rowOff>
    </xdr:to>
    <xdr:sp macro="[1]!dp_core.gridDP_Click" textlink="">
      <xdr:nvSpPr>
        <xdr:cNvPr id="6" name="Rectangle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4333875" y="276225"/>
          <a:ext cx="304800" cy="295275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4</xdr:col>
      <xdr:colOff>304800</xdr:colOff>
      <xdr:row>15</xdr:row>
      <xdr:rowOff>9525</xdr:rowOff>
    </xdr:to>
    <xdr:sp macro="[1]!dp_core.gridDP_Click" textlink="">
      <xdr:nvSpPr>
        <xdr:cNvPr id="11" name="Rectangle 10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4314825" y="4010025"/>
          <a:ext cx="304800" cy="295275"/>
        </a:xfrm>
        <a:prstGeom prst="rect">
          <a:avLst/>
        </a:prstGeom>
        <a:blipFill dpi="0" rotWithShape="1">
          <a:blip xmlns:r="http://schemas.openxmlformats.org/officeDocument/2006/relationships" r:embed="rId1"/>
          <a:srcRect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184669</xdr:colOff>
          <xdr:row>15</xdr:row>
          <xdr:rowOff>233263</xdr:rowOff>
        </xdr:from>
        <xdr:to>
          <xdr:col>15</xdr:col>
          <xdr:colOff>657907</xdr:colOff>
          <xdr:row>98</xdr:row>
          <xdr:rowOff>168507</xdr:rowOff>
        </xdr:to>
        <xdr:pic>
          <xdr:nvPicPr>
            <xdr:cNvPr id="7" name="Picture 6"/>
            <xdr:cNvPicPr>
              <a:picLocks noChangeAspect="1" noChangeArrowheads="1"/>
              <a:extLst>
                <a:ext uri="{84589F7E-364E-4C9E-8A38-B11213B215E9}">
                  <a14:cameraTool cellRange="' Data Save '!$A$1:$T$132" spid="_x0000_s14345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84669" y="4470916"/>
              <a:ext cx="12573876" cy="22523101"/>
            </a:xfrm>
            <a:prstGeom prst="rect">
              <a:avLst/>
            </a:prstGeom>
            <a:ln>
              <a:noFill/>
            </a:ln>
            <a:effectLst>
              <a:outerShdw blurRad="292100" dist="139700" dir="2700000" algn="tl" rotWithShape="0">
                <a:srgbClr val="333333">
                  <a:alpha val="65000"/>
                </a:srgbClr>
              </a:outerShdw>
            </a:effectLst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266966</xdr:colOff>
      <xdr:row>30</xdr:row>
      <xdr:rowOff>50322</xdr:rowOff>
    </xdr:from>
    <xdr:to>
      <xdr:col>1</xdr:col>
      <xdr:colOff>633867</xdr:colOff>
      <xdr:row>30</xdr:row>
      <xdr:rowOff>381000</xdr:rowOff>
    </xdr:to>
    <xdr:sp macro="" textlink="">
      <xdr:nvSpPr>
        <xdr:cNvPr id="4" name="Explosion: 8 Points 8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1067066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66941</xdr:colOff>
      <xdr:row>30</xdr:row>
      <xdr:rowOff>50322</xdr:rowOff>
    </xdr:from>
    <xdr:to>
      <xdr:col>4</xdr:col>
      <xdr:colOff>433842</xdr:colOff>
      <xdr:row>30</xdr:row>
      <xdr:rowOff>381000</xdr:rowOff>
    </xdr:to>
    <xdr:sp macro="" textlink="">
      <xdr:nvSpPr>
        <xdr:cNvPr id="5" name="Explosion: 8 Points 8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5546991" y="8508522"/>
          <a:ext cx="366901" cy="330678"/>
        </a:xfrm>
        <a:prstGeom prst="irregularSeal1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200025</xdr:colOff>
      <xdr:row>14</xdr:row>
      <xdr:rowOff>136525</xdr:rowOff>
    </xdr:from>
    <xdr:to>
      <xdr:col>8</xdr:col>
      <xdr:colOff>320675</xdr:colOff>
      <xdr:row>15</xdr:row>
      <xdr:rowOff>311150</xdr:rowOff>
    </xdr:to>
    <xdr:sp macro="[0]!PrintPreview" textlink="">
      <xdr:nvSpPr>
        <xdr:cNvPr id="2" name="Rounded Rectangle 1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SpPr/>
      </xdr:nvSpPr>
      <xdr:spPr>
        <a:xfrm>
          <a:off x="7635875" y="4111625"/>
          <a:ext cx="1549400" cy="434975"/>
        </a:xfrm>
        <a:prstGeom prst="roundRect">
          <a:avLst>
            <a:gd name="adj" fmla="val 48485"/>
          </a:avLst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 cap="none" spc="50">
              <a:ln w="0">
                <a:solidFill>
                  <a:schemeClr val="bg1"/>
                </a:solidFill>
              </a:ln>
              <a:solidFill>
                <a:schemeClr val="bg1">
                  <a:lumMod val="95000"/>
                </a:schemeClr>
              </a:solidFill>
              <a:effectLst>
                <a:innerShdw blurRad="63500" dist="50800" dir="13500000">
                  <a:srgbClr val="000000">
                    <a:alpha val="50000"/>
                  </a:srgbClr>
                </a:innerShdw>
              </a:effectLst>
              <a:latin typeface="Arial Black" panose="020B0A04020102020204" pitchFamily="34" charset="0"/>
            </a:rPr>
            <a:t>PrentPreview</a:t>
          </a:r>
          <a:endParaRPr lang="en-US" sz="1100" b="1" cap="none" spc="50">
            <a:ln w="0">
              <a:solidFill>
                <a:schemeClr val="bg1"/>
              </a:solidFill>
            </a:ln>
            <a:solidFill>
              <a:schemeClr val="bg1">
                <a:lumMod val="95000"/>
              </a:schemeClr>
            </a:solidFill>
            <a:effectLst>
              <a:innerShdw blurRad="63500" dist="50800" dir="13500000">
                <a:srgbClr val="000000">
                  <a:alpha val="50000"/>
                </a:srgbClr>
              </a:innerShdw>
            </a:effectLst>
            <a:latin typeface="Arial Black" panose="020B0A04020102020204" pitchFamily="34" charset="0"/>
          </a:endParaRPr>
        </a:p>
      </xdr:txBody>
    </xdr:sp>
    <xdr:clientData/>
  </xdr:twoCellAnchor>
  <xdr:twoCellAnchor>
    <xdr:from>
      <xdr:col>6</xdr:col>
      <xdr:colOff>495300</xdr:colOff>
      <xdr:row>20</xdr:row>
      <xdr:rowOff>177800</xdr:rowOff>
    </xdr:from>
    <xdr:to>
      <xdr:col>8</xdr:col>
      <xdr:colOff>184150</xdr:colOff>
      <xdr:row>22</xdr:row>
      <xdr:rowOff>31750</xdr:rowOff>
    </xdr:to>
    <xdr:sp macro="[0]!Moven" textlink="">
      <xdr:nvSpPr>
        <xdr:cNvPr id="6" name="Rounded Rectangle 5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7591425" y="6188075"/>
          <a:ext cx="1050925" cy="406400"/>
        </a:xfrm>
        <a:prstGeom prst="roundRect">
          <a:avLst>
            <a:gd name="adj" fmla="val 50000"/>
          </a:avLst>
        </a:prstGeom>
        <a:solidFill>
          <a:srgbClr val="FFFF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555625</xdr:colOff>
      <xdr:row>20</xdr:row>
      <xdr:rowOff>225425</xdr:rowOff>
    </xdr:from>
    <xdr:to>
      <xdr:col>7</xdr:col>
      <xdr:colOff>247777</xdr:colOff>
      <xdr:row>21</xdr:row>
      <xdr:rowOff>250952</xdr:rowOff>
    </xdr:to>
    <xdr:sp macro="[0]!Moven" textlink="">
      <xdr:nvSpPr>
        <xdr:cNvPr id="7" name="MoveBtn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>
        <a:xfrm>
          <a:off x="7651750" y="6235700"/>
          <a:ext cx="301752" cy="301752"/>
        </a:xfrm>
        <a:prstGeom prst="ellipse">
          <a:avLst/>
        </a:prstGeom>
        <a:solidFill>
          <a:srgbClr val="00B0F0"/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476251</xdr:colOff>
      <xdr:row>18</xdr:row>
      <xdr:rowOff>177800</xdr:rowOff>
    </xdr:from>
    <xdr:to>
      <xdr:col>8</xdr:col>
      <xdr:colOff>171450</xdr:colOff>
      <xdr:row>20</xdr:row>
      <xdr:rowOff>19050</xdr:rowOff>
    </xdr:to>
    <xdr:sp macro="[0]!Moven2" textlink="">
      <xdr:nvSpPr>
        <xdr:cNvPr id="8" name="Rounded Rectangle 7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>
        <a:xfrm>
          <a:off x="7572376" y="5635625"/>
          <a:ext cx="1057274" cy="393700"/>
        </a:xfrm>
        <a:prstGeom prst="roundRect">
          <a:avLst>
            <a:gd name="adj" fmla="val 50000"/>
          </a:avLst>
        </a:prstGeom>
        <a:solidFill>
          <a:schemeClr val="accent5">
            <a:lumMod val="60000"/>
            <a:lumOff val="40000"/>
          </a:schemeClr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relaxedInset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565149</xdr:colOff>
      <xdr:row>18</xdr:row>
      <xdr:rowOff>215900</xdr:rowOff>
    </xdr:from>
    <xdr:to>
      <xdr:col>8</xdr:col>
      <xdr:colOff>114426</xdr:colOff>
      <xdr:row>19</xdr:row>
      <xdr:rowOff>241427</xdr:rowOff>
    </xdr:to>
    <xdr:sp macro="[0]!Moven2" textlink="">
      <xdr:nvSpPr>
        <xdr:cNvPr id="9" name="MoveBtn2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>
        <a:xfrm>
          <a:off x="8270874" y="5673725"/>
          <a:ext cx="301752" cy="301752"/>
        </a:xfrm>
        <a:prstGeom prst="ellipse">
          <a:avLst/>
        </a:prstGeom>
        <a:solidFill>
          <a:schemeClr val="accent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133350</xdr:colOff>
      <xdr:row>18</xdr:row>
      <xdr:rowOff>228600</xdr:rowOff>
    </xdr:from>
    <xdr:to>
      <xdr:col>6</xdr:col>
      <xdr:colOff>450850</xdr:colOff>
      <xdr:row>19</xdr:row>
      <xdr:rowOff>254000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 txBox="1"/>
      </xdr:nvSpPr>
      <xdr:spPr>
        <a:xfrm>
          <a:off x="6927850" y="54292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ပစၥည္းမယူရေသး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184150</xdr:colOff>
      <xdr:row>18</xdr:row>
      <xdr:rowOff>209550</xdr:rowOff>
    </xdr:from>
    <xdr:to>
      <xdr:col>8</xdr:col>
      <xdr:colOff>1041400</xdr:colOff>
      <xdr:row>19</xdr:row>
      <xdr:rowOff>234950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 txBox="1"/>
      </xdr:nvSpPr>
      <xdr:spPr>
        <a:xfrm>
          <a:off x="9048750" y="5410200"/>
          <a:ext cx="8572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ကုန္ထုတ္ေပးၿပီး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5</xdr:col>
      <xdr:colOff>133350</xdr:colOff>
      <xdr:row>20</xdr:row>
      <xdr:rowOff>203200</xdr:rowOff>
    </xdr:from>
    <xdr:to>
      <xdr:col>6</xdr:col>
      <xdr:colOff>450850</xdr:colOff>
      <xdr:row>21</xdr:row>
      <xdr:rowOff>228600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 txBox="1"/>
      </xdr:nvSpPr>
      <xdr:spPr>
        <a:xfrm>
          <a:off x="6927850" y="5924550"/>
          <a:ext cx="95885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8</xdr:col>
      <xdr:colOff>203200</xdr:colOff>
      <xdr:row>20</xdr:row>
      <xdr:rowOff>209550</xdr:rowOff>
    </xdr:from>
    <xdr:to>
      <xdr:col>8</xdr:col>
      <xdr:colOff>1054100</xdr:colOff>
      <xdr:row>21</xdr:row>
      <xdr:rowOff>234950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SpPr txBox="1"/>
      </xdr:nvSpPr>
      <xdr:spPr>
        <a:xfrm>
          <a:off x="9067800" y="5930900"/>
          <a:ext cx="850900" cy="285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800" b="1">
              <a:latin typeface="Zawgyi-One" panose="020B0604030504040204" pitchFamily="34" charset="0"/>
              <a:cs typeface="Zawgyi-One" panose="020B0604030504040204" pitchFamily="34" charset="0"/>
            </a:rPr>
            <a:t>ေၾကြးက်န္မရွိ</a:t>
          </a:r>
          <a:endParaRPr lang="en-US" sz="1000" b="1">
            <a:latin typeface="Zawgyi-One" panose="020B0604030504040204" pitchFamily="34" charset="0"/>
            <a:cs typeface="Zawgyi-One" panose="020B0604030504040204" pitchFamily="34" charset="0"/>
          </a:endParaRPr>
        </a:p>
      </xdr:txBody>
    </xdr:sp>
    <xdr:clientData/>
  </xdr:twoCellAnchor>
  <xdr:twoCellAnchor>
    <xdr:from>
      <xdr:col>1</xdr:col>
      <xdr:colOff>276225</xdr:colOff>
      <xdr:row>18</xdr:row>
      <xdr:rowOff>200025</xdr:rowOff>
    </xdr:from>
    <xdr:to>
      <xdr:col>1</xdr:col>
      <xdr:colOff>1844675</xdr:colOff>
      <xdr:row>20</xdr:row>
      <xdr:rowOff>79375</xdr:rowOff>
    </xdr:to>
    <xdr:sp macro="" textlink="">
      <xdr:nvSpPr>
        <xdr:cNvPr id="25" name="Oval 24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SpPr/>
      </xdr:nvSpPr>
      <xdr:spPr>
        <a:xfrm>
          <a:off x="1057275" y="5657850"/>
          <a:ext cx="1568450" cy="431800"/>
        </a:xfrm>
        <a:prstGeom prst="ellipse">
          <a:avLst/>
        </a:prstGeom>
        <a:noFill/>
        <a:ln w="9525" cap="flat" cmpd="sng" algn="ctr">
          <a:solidFill>
            <a:schemeClr val="accent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acer\AppData\Roaming\Microsoft\AddIns\samradapps_datepicke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p_core.gridDP_Click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63"/>
  <sheetViews>
    <sheetView zoomScale="98" zoomScaleNormal="98" workbookViewId="0">
      <selection activeCell="E1" sqref="E1:Q3"/>
    </sheetView>
  </sheetViews>
  <sheetFormatPr defaultColWidth="8.7109375" defaultRowHeight="21.75"/>
  <cols>
    <col min="1" max="2" width="8.7109375" style="45"/>
    <col min="3" max="3" width="21.85546875" style="53" customWidth="1"/>
    <col min="4" max="4" width="25.42578125" style="54" customWidth="1"/>
    <col min="5" max="8" width="8.7109375" style="45"/>
    <col min="9" max="9" width="19.140625" style="45" bestFit="1" customWidth="1"/>
    <col min="10" max="10" width="14.140625" style="45" bestFit="1" customWidth="1"/>
    <col min="11" max="11" width="17.85546875" style="45" customWidth="1"/>
    <col min="12" max="14" width="8.7109375" style="45"/>
    <col min="15" max="15" width="4.42578125" style="45" customWidth="1"/>
    <col min="16" max="16" width="12.85546875" style="45" customWidth="1"/>
    <col min="17" max="16384" width="8.7109375" style="45"/>
  </cols>
  <sheetData>
    <row r="1" spans="1:17" ht="22.5" customHeight="1">
      <c r="A1" s="144" t="b">
        <f>Dashboard!D1=IF(B2="","",ROW(1:1))</f>
        <v>0</v>
      </c>
      <c r="B1" s="144"/>
      <c r="C1" s="44" t="s">
        <v>33</v>
      </c>
      <c r="D1" s="123">
        <v>130</v>
      </c>
      <c r="E1" s="138" t="s">
        <v>31</v>
      </c>
      <c r="F1" s="139"/>
      <c r="G1" s="139"/>
      <c r="H1" s="139"/>
      <c r="I1" s="139"/>
      <c r="J1" s="139"/>
      <c r="K1" s="139"/>
      <c r="L1" s="139"/>
      <c r="M1" s="139"/>
      <c r="N1" s="139"/>
      <c r="O1" s="139"/>
      <c r="P1" s="139"/>
      <c r="Q1" s="140"/>
    </row>
    <row r="2" spans="1:17" ht="22.5" customHeight="1">
      <c r="A2" s="144"/>
      <c r="B2" s="144"/>
      <c r="C2" s="44" t="s">
        <v>11</v>
      </c>
      <c r="D2" s="124"/>
      <c r="E2" s="141"/>
      <c r="F2" s="142"/>
      <c r="G2" s="142"/>
      <c r="H2" s="142"/>
      <c r="I2" s="142"/>
      <c r="J2" s="142"/>
      <c r="K2" s="142"/>
      <c r="L2" s="142"/>
      <c r="M2" s="142"/>
      <c r="N2" s="142"/>
      <c r="O2" s="142"/>
      <c r="P2" s="142"/>
      <c r="Q2" s="143"/>
    </row>
    <row r="3" spans="1:17" ht="23.25" thickBot="1">
      <c r="A3" s="144"/>
      <c r="B3" s="144"/>
      <c r="C3" s="46" t="s">
        <v>12</v>
      </c>
      <c r="D3" s="124"/>
      <c r="E3" s="141"/>
      <c r="F3" s="142"/>
      <c r="G3" s="142"/>
      <c r="H3" s="142"/>
      <c r="I3" s="142"/>
      <c r="J3" s="142"/>
      <c r="K3" s="142"/>
      <c r="L3" s="142"/>
      <c r="M3" s="142"/>
      <c r="N3" s="142"/>
      <c r="O3" s="142"/>
      <c r="P3" s="142"/>
      <c r="Q3" s="143"/>
    </row>
    <row r="4" spans="1:17" ht="23.25" thickTop="1">
      <c r="A4" s="144"/>
      <c r="B4" s="144"/>
      <c r="C4" s="46" t="s">
        <v>13</v>
      </c>
      <c r="D4" s="69"/>
      <c r="E4" s="145"/>
      <c r="F4" s="146"/>
      <c r="G4" s="146"/>
      <c r="H4" s="146"/>
      <c r="I4" s="146"/>
      <c r="J4" s="146"/>
      <c r="K4" s="146"/>
      <c r="L4" s="146"/>
      <c r="M4" s="146"/>
      <c r="N4" s="146"/>
      <c r="O4" s="146"/>
      <c r="P4" s="146"/>
      <c r="Q4" s="146"/>
    </row>
    <row r="5" spans="1:17" ht="22.5">
      <c r="A5" s="144"/>
      <c r="B5" s="144"/>
      <c r="C5" s="47" t="s">
        <v>5</v>
      </c>
      <c r="D5" s="69"/>
      <c r="E5" s="147"/>
      <c r="F5" s="147"/>
      <c r="G5" s="147"/>
      <c r="H5" s="147"/>
      <c r="I5" s="147"/>
      <c r="J5" s="147"/>
      <c r="K5" s="147"/>
      <c r="L5" s="147"/>
      <c r="M5" s="147"/>
      <c r="N5" s="147"/>
      <c r="O5" s="147"/>
      <c r="P5" s="147"/>
      <c r="Q5" s="147"/>
    </row>
    <row r="6" spans="1:17" ht="22.5">
      <c r="A6" s="144"/>
      <c r="B6" s="144"/>
      <c r="C6" s="48" t="s">
        <v>24</v>
      </c>
      <c r="D6" s="69"/>
      <c r="E6" s="147"/>
      <c r="F6" s="147"/>
      <c r="G6" s="147"/>
      <c r="H6" s="147"/>
      <c r="I6" s="147"/>
      <c r="J6" s="147"/>
      <c r="K6" s="147"/>
      <c r="L6" s="147"/>
      <c r="M6" s="147"/>
      <c r="N6" s="147"/>
      <c r="O6" s="147"/>
      <c r="P6" s="147"/>
      <c r="Q6" s="147"/>
    </row>
    <row r="7" spans="1:17" ht="22.5">
      <c r="A7" s="144"/>
      <c r="B7" s="144"/>
      <c r="C7" s="48" t="s">
        <v>25</v>
      </c>
      <c r="D7" s="70"/>
      <c r="E7" s="147"/>
      <c r="F7" s="147"/>
      <c r="G7" s="147"/>
      <c r="H7" s="147"/>
      <c r="I7" s="147"/>
      <c r="J7" s="147"/>
      <c r="K7" s="147"/>
      <c r="L7" s="147"/>
      <c r="M7" s="147"/>
      <c r="N7" s="147"/>
      <c r="O7" s="147"/>
      <c r="P7" s="147"/>
      <c r="Q7" s="147"/>
    </row>
    <row r="8" spans="1:17" ht="22.5">
      <c r="A8" s="144"/>
      <c r="B8" s="144"/>
      <c r="C8" s="49" t="s">
        <v>17</v>
      </c>
      <c r="D8" s="69"/>
      <c r="E8" s="147"/>
      <c r="F8" s="147"/>
      <c r="G8" s="147"/>
      <c r="H8" s="147"/>
      <c r="I8" s="61" t="s">
        <v>30</v>
      </c>
      <c r="J8" s="62">
        <f>SUM(' Data Save '!T:T)</f>
        <v>604550</v>
      </c>
      <c r="K8" s="144"/>
      <c r="L8" s="144"/>
      <c r="M8" s="144"/>
      <c r="N8" s="144"/>
      <c r="O8" s="144"/>
      <c r="P8" s="144"/>
      <c r="Q8" s="144"/>
    </row>
    <row r="9" spans="1:17" ht="22.5">
      <c r="A9" s="144"/>
      <c r="B9" s="144"/>
      <c r="C9" s="50" t="s">
        <v>0</v>
      </c>
      <c r="D9" s="69"/>
      <c r="E9" s="147"/>
      <c r="F9" s="147"/>
      <c r="G9" s="147"/>
      <c r="H9" s="147"/>
      <c r="I9" s="144"/>
      <c r="J9" s="144"/>
      <c r="K9" s="144"/>
      <c r="L9" s="144"/>
      <c r="M9" s="144"/>
      <c r="N9" s="144"/>
      <c r="O9" s="144"/>
      <c r="P9" s="144"/>
      <c r="Q9" s="144"/>
    </row>
    <row r="10" spans="1:17" ht="22.5">
      <c r="A10" s="144"/>
      <c r="B10" s="144"/>
      <c r="C10" s="51" t="s">
        <v>18</v>
      </c>
      <c r="D10" s="15"/>
      <c r="E10" s="147"/>
      <c r="F10" s="147"/>
      <c r="G10" s="147"/>
      <c r="H10" s="147"/>
      <c r="I10" s="144"/>
      <c r="J10" s="144"/>
      <c r="K10" s="144"/>
      <c r="L10" s="144"/>
      <c r="M10" s="144"/>
      <c r="N10" s="144"/>
      <c r="O10" s="144"/>
      <c r="P10" s="144"/>
      <c r="Q10" s="144"/>
    </row>
    <row r="11" spans="1:17" ht="22.5">
      <c r="A11" s="144"/>
      <c r="B11" s="144"/>
      <c r="C11" s="51" t="s">
        <v>19</v>
      </c>
      <c r="D11" s="10">
        <f>D9*D10</f>
        <v>0</v>
      </c>
      <c r="E11" s="147"/>
      <c r="F11" s="147"/>
      <c r="G11" s="147"/>
      <c r="H11" s="147"/>
      <c r="I11" s="144"/>
      <c r="J11" s="144"/>
      <c r="K11" s="144"/>
      <c r="L11" s="144"/>
      <c r="M11" s="144"/>
      <c r="N11" s="144"/>
      <c r="O11" s="144"/>
      <c r="P11" s="144"/>
      <c r="Q11" s="144"/>
    </row>
    <row r="12" spans="1:17" ht="21.95" customHeight="1">
      <c r="A12" s="144"/>
      <c r="B12" s="144"/>
      <c r="C12" s="51" t="s">
        <v>27</v>
      </c>
      <c r="D12" s="10"/>
      <c r="E12" s="147"/>
      <c r="F12" s="147"/>
      <c r="G12" s="147"/>
      <c r="H12" s="147"/>
      <c r="I12" s="144"/>
      <c r="J12" s="144"/>
      <c r="K12" s="144"/>
      <c r="L12" s="144"/>
      <c r="M12" s="144"/>
      <c r="N12" s="144"/>
      <c r="O12" s="144"/>
      <c r="P12" s="144"/>
      <c r="Q12" s="144"/>
    </row>
    <row r="13" spans="1:17" ht="22.5">
      <c r="A13" s="144"/>
      <c r="B13" s="144"/>
      <c r="C13" s="51" t="s">
        <v>20</v>
      </c>
      <c r="D13" s="10"/>
      <c r="E13" s="147"/>
      <c r="F13" s="147"/>
      <c r="G13" s="147"/>
      <c r="H13" s="147"/>
      <c r="I13" s="144"/>
      <c r="J13" s="144"/>
      <c r="K13" s="144"/>
      <c r="L13" s="144"/>
      <c r="M13" s="144"/>
      <c r="N13" s="144"/>
      <c r="O13" s="144"/>
      <c r="P13" s="144"/>
      <c r="Q13" s="144"/>
    </row>
    <row r="14" spans="1:17" ht="22.5">
      <c r="A14" s="144"/>
      <c r="B14" s="144"/>
      <c r="C14" s="51" t="s">
        <v>28</v>
      </c>
      <c r="D14" s="10">
        <f>D11-D13</f>
        <v>0</v>
      </c>
      <c r="E14" s="147"/>
      <c r="F14" s="147"/>
      <c r="G14" s="147"/>
      <c r="H14" s="147"/>
      <c r="I14" s="144"/>
      <c r="J14" s="144"/>
      <c r="K14" s="144"/>
      <c r="L14" s="144"/>
      <c r="M14" s="144"/>
      <c r="N14" s="144"/>
      <c r="O14" s="144"/>
      <c r="P14" s="144"/>
      <c r="Q14" s="144"/>
    </row>
    <row r="15" spans="1:17" ht="22.5">
      <c r="A15" s="144"/>
      <c r="B15" s="144"/>
      <c r="C15" s="52" t="s">
        <v>56</v>
      </c>
      <c r="D15" s="65"/>
      <c r="E15" s="147"/>
      <c r="F15" s="147"/>
      <c r="G15" s="147"/>
      <c r="H15" s="147"/>
      <c r="I15" s="144"/>
      <c r="J15" s="144"/>
      <c r="K15" s="144"/>
      <c r="L15" s="144"/>
      <c r="M15" s="144"/>
      <c r="N15" s="144"/>
      <c r="O15" s="144"/>
      <c r="P15" s="144"/>
      <c r="Q15" s="144"/>
    </row>
    <row r="16" spans="1:17">
      <c r="A16" s="144"/>
      <c r="B16" s="144"/>
      <c r="C16" s="148"/>
      <c r="D16" s="148"/>
      <c r="E16" s="147"/>
      <c r="F16" s="147"/>
      <c r="G16" s="147"/>
      <c r="H16" s="147"/>
      <c r="I16" s="144"/>
      <c r="J16" s="144"/>
      <c r="K16" s="144"/>
      <c r="L16" s="144"/>
      <c r="M16" s="144"/>
      <c r="N16" s="144"/>
      <c r="O16" s="144"/>
      <c r="P16" s="144"/>
      <c r="Q16" s="144"/>
    </row>
    <row r="17" spans="1:18">
      <c r="A17" s="144"/>
      <c r="B17" s="144"/>
      <c r="C17" s="144"/>
      <c r="D17" s="144"/>
      <c r="E17" s="147"/>
      <c r="F17" s="147"/>
      <c r="G17" s="147"/>
      <c r="H17" s="147"/>
      <c r="I17" s="144"/>
      <c r="J17" s="144"/>
      <c r="K17" s="144"/>
      <c r="L17" s="144"/>
      <c r="M17" s="144"/>
      <c r="N17" s="144"/>
      <c r="O17" s="144"/>
      <c r="P17" s="144"/>
      <c r="Q17" s="144"/>
    </row>
    <row r="18" spans="1:18">
      <c r="A18" s="144"/>
      <c r="B18" s="144"/>
      <c r="C18" s="144"/>
      <c r="D18" s="144"/>
      <c r="E18" s="147"/>
      <c r="F18" s="147"/>
      <c r="G18" s="147"/>
      <c r="H18" s="147"/>
      <c r="I18" s="144"/>
      <c r="J18" s="144"/>
      <c r="K18" s="144"/>
      <c r="L18" s="144"/>
      <c r="M18" s="144"/>
      <c r="N18" s="144"/>
      <c r="O18" s="144"/>
      <c r="P18" s="144"/>
      <c r="Q18" s="144"/>
    </row>
    <row r="19" spans="1:18" s="122" customFormat="1">
      <c r="A19" s="144"/>
      <c r="B19" s="144"/>
      <c r="C19" s="144"/>
      <c r="D19" s="144"/>
      <c r="E19" s="147"/>
      <c r="F19" s="147"/>
      <c r="G19" s="147"/>
      <c r="H19" s="147"/>
      <c r="I19" s="144"/>
      <c r="J19" s="144"/>
      <c r="K19" s="144"/>
      <c r="L19" s="144"/>
      <c r="M19" s="144"/>
      <c r="N19" s="144"/>
      <c r="O19" s="144"/>
      <c r="P19" s="144"/>
      <c r="Q19" s="144"/>
      <c r="R19" s="45">
        <f>COUNTA(D15)</f>
        <v>0</v>
      </c>
    </row>
    <row r="20" spans="1:18">
      <c r="A20" s="87"/>
      <c r="B20" s="87"/>
      <c r="C20" s="125"/>
      <c r="D20" s="126"/>
      <c r="E20" s="87"/>
      <c r="F20" s="87"/>
      <c r="G20" s="87"/>
      <c r="H20" s="87"/>
      <c r="I20" s="87"/>
      <c r="J20" s="126"/>
      <c r="K20" s="87"/>
      <c r="L20" s="87"/>
      <c r="M20" s="87"/>
      <c r="N20" s="87"/>
    </row>
    <row r="21" spans="1:18">
      <c r="A21" s="87"/>
      <c r="B21" s="87"/>
      <c r="C21" s="125"/>
      <c r="D21" s="126"/>
      <c r="E21" s="87"/>
      <c r="F21" s="87"/>
      <c r="G21" s="87"/>
      <c r="H21" s="87"/>
      <c r="I21" s="87"/>
      <c r="J21" s="87"/>
      <c r="K21" s="87"/>
      <c r="L21" s="87"/>
      <c r="M21" s="87"/>
      <c r="N21" s="87"/>
    </row>
    <row r="22" spans="1:18">
      <c r="A22" s="87"/>
      <c r="B22" s="87"/>
      <c r="C22" s="125"/>
      <c r="D22" s="126"/>
      <c r="E22" s="87"/>
      <c r="F22" s="87"/>
      <c r="G22" s="87"/>
      <c r="H22" s="87"/>
      <c r="I22" s="87"/>
      <c r="J22" s="87"/>
      <c r="K22" s="87"/>
      <c r="L22" s="87"/>
      <c r="M22" s="87"/>
      <c r="N22" s="87"/>
    </row>
    <row r="23" spans="1:18">
      <c r="A23" s="87"/>
      <c r="B23" s="87"/>
      <c r="C23" s="125"/>
      <c r="D23" s="126"/>
      <c r="E23" s="87"/>
      <c r="F23" s="87"/>
      <c r="G23" s="87"/>
      <c r="H23" s="87"/>
      <c r="I23" s="87"/>
      <c r="J23" s="87"/>
      <c r="K23" s="87"/>
      <c r="L23" s="87"/>
      <c r="M23" s="87"/>
      <c r="N23" s="87"/>
    </row>
    <row r="24" spans="1:18">
      <c r="A24" s="87"/>
      <c r="B24" s="87"/>
      <c r="C24" s="125"/>
      <c r="D24" s="126"/>
      <c r="E24" s="87"/>
      <c r="F24" s="87"/>
      <c r="G24" s="87"/>
      <c r="H24" s="87"/>
      <c r="I24" s="87"/>
      <c r="J24" s="87"/>
      <c r="K24" s="87"/>
      <c r="L24" s="87"/>
      <c r="M24" s="87"/>
      <c r="N24" s="87"/>
    </row>
    <row r="25" spans="1:18">
      <c r="A25" s="87"/>
      <c r="B25" s="87"/>
      <c r="C25" s="125"/>
      <c r="D25" s="126"/>
      <c r="E25" s="87"/>
      <c r="F25" s="87"/>
      <c r="G25" s="87"/>
      <c r="H25" s="87"/>
      <c r="I25" s="87"/>
      <c r="J25" s="87"/>
      <c r="K25" s="87"/>
      <c r="L25" s="87"/>
      <c r="M25" s="87"/>
      <c r="N25" s="87"/>
    </row>
    <row r="26" spans="1:18">
      <c r="A26" s="87"/>
      <c r="B26" s="87"/>
      <c r="C26" s="125"/>
      <c r="D26" s="126"/>
      <c r="E26" s="87"/>
      <c r="F26" s="87"/>
      <c r="G26" s="87"/>
      <c r="H26" s="87"/>
      <c r="I26" s="87"/>
      <c r="J26" s="87"/>
      <c r="K26" s="87"/>
      <c r="L26" s="87"/>
      <c r="M26" s="87"/>
      <c r="N26" s="87"/>
    </row>
    <row r="27" spans="1:18">
      <c r="A27" s="87"/>
      <c r="B27" s="87"/>
      <c r="C27" s="125"/>
      <c r="D27" s="126"/>
      <c r="E27" s="87"/>
      <c r="F27" s="87"/>
      <c r="G27" s="87"/>
      <c r="H27" s="87"/>
      <c r="I27" s="87"/>
      <c r="J27" s="87"/>
      <c r="K27" s="87"/>
      <c r="L27" s="87"/>
      <c r="M27" s="87"/>
      <c r="N27" s="87"/>
    </row>
    <row r="28" spans="1:18">
      <c r="A28" s="87"/>
      <c r="B28" s="87"/>
      <c r="C28" s="125"/>
      <c r="D28" s="126"/>
      <c r="E28" s="87"/>
      <c r="F28" s="87"/>
      <c r="G28" s="87"/>
      <c r="H28" s="87"/>
      <c r="I28" s="87"/>
      <c r="J28" s="87"/>
      <c r="K28" s="87"/>
      <c r="L28" s="87"/>
      <c r="M28" s="87"/>
      <c r="N28" s="87"/>
    </row>
    <row r="29" spans="1:18">
      <c r="A29" s="87"/>
      <c r="B29" s="87"/>
      <c r="C29" s="125"/>
      <c r="D29" s="126"/>
      <c r="E29" s="87"/>
      <c r="F29" s="87"/>
      <c r="G29" s="87"/>
      <c r="H29" s="87"/>
      <c r="I29" s="87"/>
      <c r="J29" s="87"/>
      <c r="K29" s="87"/>
      <c r="L29" s="87"/>
      <c r="M29" s="87"/>
      <c r="N29" s="87"/>
    </row>
    <row r="30" spans="1:18">
      <c r="A30" s="87"/>
      <c r="B30" s="87"/>
      <c r="C30" s="125"/>
      <c r="D30" s="126"/>
      <c r="E30" s="87"/>
      <c r="F30" s="87"/>
      <c r="G30" s="87"/>
      <c r="H30" s="87"/>
      <c r="I30" s="87"/>
      <c r="J30" s="87"/>
      <c r="K30" s="87"/>
      <c r="L30" s="87"/>
      <c r="M30" s="87"/>
      <c r="N30" s="87"/>
    </row>
    <row r="31" spans="1:18">
      <c r="A31" s="87"/>
      <c r="B31" s="87"/>
      <c r="C31" s="125"/>
      <c r="D31" s="126"/>
      <c r="E31" s="87"/>
      <c r="F31" s="87"/>
      <c r="G31" s="87"/>
      <c r="H31" s="87"/>
      <c r="I31" s="87"/>
      <c r="J31" s="87"/>
      <c r="K31" s="87"/>
      <c r="L31" s="87"/>
      <c r="M31" s="87"/>
      <c r="N31" s="87"/>
    </row>
    <row r="32" spans="1:18">
      <c r="A32" s="87"/>
      <c r="B32" s="87"/>
      <c r="C32" s="125"/>
      <c r="D32" s="126"/>
      <c r="E32" s="87"/>
      <c r="F32" s="87"/>
      <c r="G32" s="87"/>
      <c r="H32" s="87"/>
      <c r="I32" s="87"/>
      <c r="J32" s="87"/>
      <c r="K32" s="87"/>
      <c r="L32" s="87"/>
      <c r="M32" s="87"/>
      <c r="N32" s="87"/>
    </row>
    <row r="33" spans="1:14">
      <c r="A33" s="87"/>
      <c r="B33" s="87"/>
      <c r="C33" s="125"/>
      <c r="D33" s="126"/>
      <c r="E33" s="87"/>
      <c r="F33" s="87"/>
      <c r="G33" s="87"/>
      <c r="H33" s="87"/>
      <c r="I33" s="87"/>
      <c r="J33" s="87"/>
      <c r="K33" s="87"/>
      <c r="L33" s="87"/>
      <c r="M33" s="87"/>
      <c r="N33" s="87"/>
    </row>
    <row r="34" spans="1:14">
      <c r="A34" s="87"/>
      <c r="B34" s="87"/>
      <c r="C34" s="125"/>
      <c r="D34" s="126"/>
      <c r="E34" s="87"/>
      <c r="F34" s="87"/>
      <c r="G34" s="87"/>
      <c r="H34" s="87"/>
      <c r="I34" s="87"/>
      <c r="J34" s="87"/>
      <c r="K34" s="87"/>
      <c r="L34" s="87"/>
      <c r="M34" s="87"/>
      <c r="N34" s="87"/>
    </row>
    <row r="35" spans="1:14">
      <c r="A35" s="87"/>
      <c r="B35" s="87"/>
      <c r="C35" s="125"/>
      <c r="D35" s="126"/>
      <c r="E35" s="87"/>
      <c r="F35" s="87"/>
      <c r="G35" s="87"/>
      <c r="H35" s="87"/>
      <c r="I35" s="87"/>
      <c r="J35" s="87"/>
      <c r="K35" s="87"/>
      <c r="L35" s="87"/>
      <c r="M35" s="87"/>
      <c r="N35" s="87"/>
    </row>
    <row r="36" spans="1:14">
      <c r="A36" s="87"/>
      <c r="B36" s="87"/>
      <c r="C36" s="125"/>
      <c r="D36" s="126"/>
      <c r="E36" s="87"/>
      <c r="F36" s="87"/>
      <c r="G36" s="87"/>
      <c r="H36" s="87"/>
      <c r="I36" s="87"/>
      <c r="J36" s="87"/>
      <c r="K36" s="87"/>
      <c r="L36" s="87"/>
      <c r="M36" s="87"/>
      <c r="N36" s="87"/>
    </row>
    <row r="37" spans="1:14">
      <c r="A37" s="87"/>
      <c r="B37" s="87"/>
      <c r="C37" s="125"/>
      <c r="D37" s="126"/>
      <c r="E37" s="87"/>
      <c r="F37" s="87"/>
      <c r="G37" s="87"/>
      <c r="H37" s="87"/>
      <c r="I37" s="87"/>
      <c r="J37" s="87"/>
      <c r="K37" s="87"/>
      <c r="L37" s="87"/>
      <c r="M37" s="87"/>
      <c r="N37" s="87"/>
    </row>
    <row r="38" spans="1:14">
      <c r="A38" s="87"/>
      <c r="B38" s="87"/>
      <c r="C38" s="125"/>
      <c r="D38" s="126"/>
      <c r="E38" s="87"/>
      <c r="F38" s="87"/>
      <c r="G38" s="87"/>
      <c r="H38" s="87"/>
      <c r="I38" s="87"/>
      <c r="J38" s="87"/>
      <c r="K38" s="87"/>
      <c r="L38" s="87"/>
      <c r="M38" s="87"/>
      <c r="N38" s="87"/>
    </row>
    <row r="39" spans="1:14">
      <c r="A39" s="87"/>
      <c r="B39" s="87"/>
      <c r="C39" s="125"/>
      <c r="D39" s="126"/>
      <c r="E39" s="87"/>
      <c r="F39" s="87"/>
      <c r="G39" s="87"/>
      <c r="H39" s="87"/>
      <c r="I39" s="87"/>
      <c r="J39" s="87"/>
      <c r="K39" s="87"/>
      <c r="L39" s="87"/>
      <c r="M39" s="87"/>
      <c r="N39" s="87"/>
    </row>
    <row r="40" spans="1:14">
      <c r="A40" s="87"/>
      <c r="B40" s="87"/>
      <c r="C40" s="125"/>
      <c r="D40" s="126"/>
      <c r="E40" s="87"/>
      <c r="F40" s="87"/>
      <c r="G40" s="87"/>
      <c r="H40" s="87"/>
      <c r="I40" s="87"/>
      <c r="J40" s="87"/>
      <c r="K40" s="87"/>
      <c r="L40" s="87"/>
      <c r="M40" s="87"/>
      <c r="N40" s="87"/>
    </row>
    <row r="41" spans="1:14">
      <c r="A41" s="87"/>
      <c r="B41" s="87"/>
      <c r="C41" s="125"/>
      <c r="D41" s="126"/>
      <c r="E41" s="87"/>
      <c r="F41" s="87"/>
      <c r="G41" s="87"/>
      <c r="H41" s="87"/>
      <c r="I41" s="87"/>
      <c r="J41" s="87"/>
      <c r="K41" s="87"/>
      <c r="L41" s="87"/>
      <c r="M41" s="87"/>
      <c r="N41" s="87"/>
    </row>
    <row r="42" spans="1:14">
      <c r="A42" s="87"/>
      <c r="B42" s="87"/>
      <c r="C42" s="125"/>
      <c r="D42" s="126"/>
      <c r="E42" s="87"/>
      <c r="F42" s="87"/>
      <c r="G42" s="87"/>
      <c r="H42" s="87"/>
      <c r="I42" s="87"/>
      <c r="J42" s="87"/>
      <c r="K42" s="87"/>
      <c r="L42" s="87"/>
      <c r="M42" s="87"/>
      <c r="N42" s="87"/>
    </row>
    <row r="43" spans="1:14">
      <c r="A43" s="87"/>
      <c r="B43" s="87"/>
      <c r="C43" s="125"/>
      <c r="D43" s="126"/>
      <c r="E43" s="87"/>
      <c r="F43" s="87"/>
      <c r="G43" s="87"/>
      <c r="H43" s="87"/>
      <c r="I43" s="87"/>
      <c r="J43" s="87"/>
      <c r="K43" s="87"/>
      <c r="L43" s="87"/>
      <c r="M43" s="87"/>
      <c r="N43" s="87"/>
    </row>
    <row r="44" spans="1:14">
      <c r="A44" s="87"/>
      <c r="B44" s="87"/>
      <c r="C44" s="125"/>
      <c r="D44" s="126"/>
      <c r="E44" s="87"/>
      <c r="F44" s="87"/>
      <c r="G44" s="87"/>
      <c r="H44" s="87"/>
      <c r="I44" s="87"/>
      <c r="J44" s="87"/>
      <c r="K44" s="87"/>
      <c r="L44" s="87"/>
      <c r="M44" s="87"/>
      <c r="N44" s="87"/>
    </row>
    <row r="45" spans="1:14">
      <c r="A45" s="87"/>
      <c r="B45" s="87"/>
      <c r="C45" s="125"/>
      <c r="D45" s="126"/>
      <c r="E45" s="87"/>
      <c r="F45" s="87"/>
      <c r="G45" s="87"/>
      <c r="H45" s="87"/>
      <c r="I45" s="87"/>
      <c r="J45" s="87"/>
      <c r="K45" s="87"/>
      <c r="L45" s="87"/>
      <c r="M45" s="87"/>
      <c r="N45" s="87"/>
    </row>
    <row r="46" spans="1:14">
      <c r="A46" s="87"/>
      <c r="B46" s="87"/>
      <c r="C46" s="125"/>
      <c r="D46" s="126"/>
      <c r="E46" s="87"/>
      <c r="F46" s="87"/>
      <c r="G46" s="87"/>
      <c r="H46" s="87"/>
      <c r="I46" s="87"/>
      <c r="J46" s="87"/>
      <c r="K46" s="87"/>
      <c r="L46" s="87"/>
      <c r="M46" s="87"/>
      <c r="N46" s="87"/>
    </row>
    <row r="47" spans="1:14">
      <c r="A47" s="87"/>
      <c r="B47" s="87"/>
      <c r="C47" s="125"/>
      <c r="D47" s="126"/>
      <c r="E47" s="87"/>
      <c r="F47" s="87"/>
      <c r="G47" s="87"/>
      <c r="H47" s="87"/>
      <c r="I47" s="87"/>
      <c r="J47" s="87"/>
      <c r="K47" s="87"/>
      <c r="L47" s="87"/>
      <c r="M47" s="87"/>
      <c r="N47" s="87"/>
    </row>
    <row r="48" spans="1:14">
      <c r="A48" s="87"/>
      <c r="B48" s="87"/>
      <c r="C48" s="125"/>
      <c r="D48" s="126"/>
      <c r="E48" s="87"/>
      <c r="F48" s="87"/>
      <c r="G48" s="87"/>
      <c r="H48" s="87"/>
      <c r="I48" s="87"/>
      <c r="J48" s="87"/>
      <c r="K48" s="87"/>
      <c r="L48" s="87"/>
      <c r="M48" s="87"/>
      <c r="N48" s="87"/>
    </row>
    <row r="49" spans="1:14">
      <c r="A49" s="87"/>
      <c r="B49" s="87"/>
      <c r="C49" s="125"/>
      <c r="D49" s="126"/>
      <c r="E49" s="87"/>
      <c r="F49" s="87"/>
      <c r="G49" s="87"/>
      <c r="H49" s="87"/>
      <c r="I49" s="87"/>
      <c r="J49" s="87"/>
      <c r="K49" s="87"/>
      <c r="L49" s="87"/>
      <c r="M49" s="87"/>
      <c r="N49" s="87"/>
    </row>
    <row r="50" spans="1:14">
      <c r="A50" s="87"/>
      <c r="B50" s="87"/>
      <c r="C50" s="125"/>
      <c r="D50" s="126"/>
      <c r="E50" s="87"/>
      <c r="F50" s="87"/>
      <c r="G50" s="87"/>
      <c r="H50" s="87"/>
      <c r="I50" s="87"/>
      <c r="J50" s="87"/>
      <c r="K50" s="87"/>
      <c r="L50" s="87"/>
      <c r="M50" s="87"/>
      <c r="N50" s="87"/>
    </row>
    <row r="51" spans="1:14">
      <c r="A51" s="87"/>
      <c r="B51" s="87"/>
      <c r="C51" s="125"/>
      <c r="D51" s="126"/>
      <c r="E51" s="87"/>
      <c r="F51" s="87"/>
      <c r="G51" s="87"/>
      <c r="H51" s="87"/>
      <c r="I51" s="87"/>
      <c r="J51" s="87"/>
      <c r="K51" s="87"/>
      <c r="L51" s="87"/>
      <c r="M51" s="87"/>
      <c r="N51" s="87"/>
    </row>
    <row r="52" spans="1:14">
      <c r="A52" s="87"/>
      <c r="B52" s="87"/>
      <c r="C52" s="125"/>
      <c r="D52" s="126"/>
      <c r="E52" s="87"/>
      <c r="F52" s="87"/>
      <c r="G52" s="87"/>
      <c r="H52" s="87"/>
      <c r="I52" s="87"/>
      <c r="J52" s="87"/>
      <c r="K52" s="87"/>
      <c r="L52" s="87"/>
      <c r="M52" s="87"/>
      <c r="N52" s="87"/>
    </row>
    <row r="53" spans="1:14">
      <c r="A53" s="87"/>
      <c r="B53" s="87"/>
      <c r="C53" s="125"/>
      <c r="D53" s="126"/>
      <c r="E53" s="87"/>
      <c r="F53" s="87"/>
      <c r="G53" s="87"/>
      <c r="H53" s="87"/>
      <c r="I53" s="87"/>
      <c r="J53" s="87"/>
      <c r="K53" s="87"/>
      <c r="L53" s="87"/>
      <c r="M53" s="87"/>
      <c r="N53" s="87"/>
    </row>
    <row r="54" spans="1:14">
      <c r="A54" s="87"/>
      <c r="B54" s="87"/>
      <c r="C54" s="125"/>
      <c r="D54" s="126"/>
      <c r="E54" s="87"/>
      <c r="F54" s="87"/>
      <c r="G54" s="87"/>
      <c r="H54" s="87"/>
      <c r="I54" s="87"/>
      <c r="J54" s="87"/>
      <c r="K54" s="87"/>
      <c r="L54" s="87"/>
      <c r="M54" s="87"/>
      <c r="N54" s="87"/>
    </row>
    <row r="55" spans="1:14">
      <c r="A55" s="87"/>
      <c r="B55" s="87"/>
      <c r="C55" s="125"/>
      <c r="D55" s="126"/>
      <c r="E55" s="87"/>
      <c r="F55" s="87"/>
      <c r="G55" s="87"/>
      <c r="H55" s="87"/>
      <c r="I55" s="87"/>
      <c r="J55" s="87"/>
      <c r="K55" s="87"/>
      <c r="L55" s="87"/>
      <c r="M55" s="87"/>
      <c r="N55" s="87"/>
    </row>
    <row r="56" spans="1:14">
      <c r="A56" s="87"/>
      <c r="B56" s="87"/>
      <c r="C56" s="125"/>
      <c r="D56" s="126"/>
      <c r="E56" s="87"/>
      <c r="F56" s="87"/>
      <c r="G56" s="87"/>
      <c r="H56" s="87"/>
      <c r="I56" s="87"/>
      <c r="J56" s="87"/>
      <c r="K56" s="87"/>
      <c r="L56" s="87"/>
      <c r="M56" s="87"/>
      <c r="N56" s="87"/>
    </row>
    <row r="57" spans="1:14">
      <c r="A57" s="87"/>
      <c r="B57" s="87"/>
      <c r="C57" s="125"/>
      <c r="D57" s="126"/>
      <c r="E57" s="87"/>
      <c r="F57" s="87"/>
      <c r="G57" s="87"/>
      <c r="H57" s="87"/>
      <c r="I57" s="87"/>
      <c r="J57" s="87"/>
      <c r="K57" s="87"/>
      <c r="L57" s="87"/>
      <c r="M57" s="87"/>
      <c r="N57" s="87"/>
    </row>
    <row r="58" spans="1:14">
      <c r="A58" s="87"/>
      <c r="B58" s="87"/>
      <c r="C58" s="125"/>
      <c r="D58" s="126"/>
      <c r="E58" s="87"/>
      <c r="F58" s="87"/>
      <c r="G58" s="87"/>
      <c r="H58" s="87"/>
      <c r="I58" s="87"/>
      <c r="J58" s="87"/>
      <c r="K58" s="87"/>
      <c r="L58" s="87"/>
      <c r="M58" s="87"/>
      <c r="N58" s="87"/>
    </row>
    <row r="59" spans="1:14">
      <c r="A59" s="87"/>
      <c r="B59" s="87"/>
      <c r="C59" s="125"/>
      <c r="D59" s="126"/>
      <c r="E59" s="87"/>
      <c r="F59" s="87"/>
      <c r="G59" s="87"/>
      <c r="H59" s="87"/>
      <c r="I59" s="87"/>
      <c r="J59" s="87"/>
      <c r="K59" s="87"/>
      <c r="L59" s="87"/>
      <c r="M59" s="87"/>
      <c r="N59" s="87"/>
    </row>
    <row r="60" spans="1:14">
      <c r="A60" s="87"/>
      <c r="B60" s="87"/>
      <c r="C60" s="125"/>
      <c r="D60" s="126"/>
      <c r="E60" s="87"/>
      <c r="F60" s="87"/>
      <c r="G60" s="87"/>
      <c r="H60" s="87"/>
      <c r="I60" s="87"/>
      <c r="J60" s="87"/>
      <c r="K60" s="87"/>
      <c r="L60" s="87"/>
      <c r="M60" s="87"/>
      <c r="N60" s="87"/>
    </row>
    <row r="61" spans="1:14">
      <c r="A61" s="87"/>
      <c r="B61" s="87"/>
      <c r="C61" s="125"/>
      <c r="D61" s="126"/>
      <c r="E61" s="87"/>
      <c r="F61" s="87"/>
      <c r="G61" s="87"/>
      <c r="H61" s="87"/>
      <c r="I61" s="87"/>
      <c r="J61" s="87"/>
      <c r="K61" s="87"/>
      <c r="L61" s="87"/>
      <c r="M61" s="87"/>
      <c r="N61" s="87"/>
    </row>
    <row r="62" spans="1:14">
      <c r="A62" s="87"/>
      <c r="B62" s="87"/>
      <c r="C62" s="125"/>
      <c r="D62" s="126"/>
      <c r="E62" s="87"/>
      <c r="F62" s="87"/>
      <c r="G62" s="87"/>
      <c r="H62" s="87"/>
      <c r="I62" s="87"/>
      <c r="J62" s="87"/>
      <c r="K62" s="87"/>
      <c r="L62" s="87"/>
      <c r="M62" s="87"/>
      <c r="N62" s="87"/>
    </row>
    <row r="63" spans="1:14">
      <c r="A63" s="87"/>
      <c r="B63" s="87"/>
      <c r="C63" s="125"/>
      <c r="D63" s="126"/>
      <c r="E63" s="87"/>
      <c r="F63" s="87"/>
      <c r="G63" s="87"/>
      <c r="H63" s="87"/>
      <c r="I63" s="87"/>
      <c r="J63" s="87"/>
      <c r="K63" s="87"/>
      <c r="L63" s="87"/>
      <c r="M63" s="87"/>
      <c r="N63" s="87"/>
    </row>
  </sheetData>
  <mergeCells count="7">
    <mergeCell ref="E1:Q3"/>
    <mergeCell ref="A1:B19"/>
    <mergeCell ref="E4:H19"/>
    <mergeCell ref="I4:Q7"/>
    <mergeCell ref="I9:J19"/>
    <mergeCell ref="K8:Q19"/>
    <mergeCell ref="C16:D19"/>
  </mergeCells>
  <conditionalFormatting sqref="A1:B19">
    <cfRule type="expression" dxfId="6" priority="8">
      <formula>COUNTA(D15)=1</formula>
    </cfRule>
  </conditionalFormatting>
  <conditionalFormatting sqref="E4:H19">
    <cfRule type="expression" dxfId="5" priority="7">
      <formula>COUNTA(D15)=1</formula>
    </cfRule>
  </conditionalFormatting>
  <conditionalFormatting sqref="I4:Q7">
    <cfRule type="expression" dxfId="4" priority="6">
      <formula>COUNTA(D15)=1</formula>
    </cfRule>
  </conditionalFormatting>
  <conditionalFormatting sqref="I9:J19">
    <cfRule type="expression" dxfId="3" priority="4">
      <formula>COUNTA(D15)=1</formula>
    </cfRule>
    <cfRule type="expression" priority="5">
      <formula>COUNTA(D15)=1</formula>
    </cfRule>
  </conditionalFormatting>
  <conditionalFormatting sqref="K8:Q19">
    <cfRule type="expression" dxfId="2" priority="3">
      <formula>COUNTA(D15)=1</formula>
    </cfRule>
  </conditionalFormatting>
  <conditionalFormatting sqref="C16:D19">
    <cfRule type="expression" dxfId="1" priority="2">
      <formula>COUNTA(D15)=1</formula>
    </cfRule>
  </conditionalFormatting>
  <conditionalFormatting sqref="E1:Q3">
    <cfRule type="expression" dxfId="0" priority="1">
      <formula>COUNTA(D15)=1</formula>
    </cfRule>
  </conditionalFormatting>
  <dataValidations count="2">
    <dataValidation type="list" errorStyle="warning" allowBlank="1" showInputMessage="1" showErrorMessage="1" sqref="D4">
      <formula1>"ဝါးေသာက္,မဝန္း,ထန္းမနိုင္"</formula1>
    </dataValidation>
    <dataValidation type="list" errorStyle="warning" allowBlank="1" showInputMessage="1" showErrorMessage="1" sqref="D8">
      <formula1>"Tri Spare,Engine spare,ေရေမာ္တာ,ေရျမွုပ္ပန္႔"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Data_Save">
                <anchor moveWithCells="1" sizeWithCells="1">
                  <from>
                    <xdr:col>5</xdr:col>
                    <xdr:colOff>190500</xdr:colOff>
                    <xdr:row>6</xdr:row>
                    <xdr:rowOff>190500</xdr:rowOff>
                  </from>
                  <to>
                    <xdr:col>7</xdr:col>
                    <xdr:colOff>95250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_xludf.Clear">
                <anchor moveWithCells="1" sizeWithCells="1">
                  <from>
                    <xdr:col>5</xdr:col>
                    <xdr:colOff>200025</xdr:colOff>
                    <xdr:row>10</xdr:row>
                    <xdr:rowOff>142875</xdr:rowOff>
                  </from>
                  <to>
                    <xdr:col>7</xdr:col>
                    <xdr:colOff>104775</xdr:colOff>
                    <xdr:row>11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T52"/>
  <sheetViews>
    <sheetView tabSelected="1" topLeftCell="A39" zoomScale="96" zoomScaleNormal="96" zoomScaleSheetLayoutView="59" workbookViewId="0">
      <selection activeCell="G53" sqref="G53"/>
    </sheetView>
  </sheetViews>
  <sheetFormatPr defaultColWidth="8.7109375" defaultRowHeight="21.75"/>
  <cols>
    <col min="1" max="1" width="17.28515625" style="83" bestFit="1" customWidth="1"/>
    <col min="2" max="2" width="17.28515625" style="83" hidden="1" customWidth="1"/>
    <col min="3" max="3" width="15.28515625" style="66" bestFit="1" customWidth="1"/>
    <col min="4" max="4" width="34" style="3" customWidth="1"/>
    <col min="5" max="5" width="16.85546875" style="3" customWidth="1"/>
    <col min="6" max="6" width="23.5703125" style="3" customWidth="1"/>
    <col min="7" max="7" width="18" style="3" customWidth="1"/>
    <col min="8" max="8" width="17.140625" style="25" customWidth="1"/>
    <col min="9" max="9" width="20.7109375" style="3" customWidth="1"/>
    <col min="10" max="10" width="8.140625" style="3" customWidth="1"/>
    <col min="11" max="11" width="13.42578125" style="4" customWidth="1"/>
    <col min="12" max="12" width="15.5703125" style="4" customWidth="1"/>
    <col min="13" max="13" width="13.7109375" style="4" customWidth="1"/>
    <col min="14" max="14" width="17.7109375" style="4" customWidth="1"/>
    <col min="15" max="15" width="18.5703125" style="4" customWidth="1"/>
    <col min="16" max="16" width="24.140625" style="14" hidden="1" customWidth="1"/>
    <col min="17" max="17" width="15.85546875" style="4" customWidth="1"/>
    <col min="18" max="18" width="12.5703125" style="120" customWidth="1"/>
    <col min="19" max="19" width="18.28515625" style="4" customWidth="1"/>
    <col min="20" max="20" width="10.7109375" style="3" bestFit="1" customWidth="1"/>
    <col min="21" max="16384" width="8.7109375" style="3"/>
  </cols>
  <sheetData>
    <row r="1" spans="1:20" ht="45" customHeight="1">
      <c r="A1" s="84" t="s">
        <v>33</v>
      </c>
      <c r="B1" s="84"/>
      <c r="C1" s="73" t="s">
        <v>11</v>
      </c>
      <c r="D1" s="74" t="s">
        <v>12</v>
      </c>
      <c r="E1" s="74" t="s">
        <v>13</v>
      </c>
      <c r="F1" s="75" t="s">
        <v>5</v>
      </c>
      <c r="G1" s="75" t="s">
        <v>24</v>
      </c>
      <c r="H1" s="75" t="s">
        <v>25</v>
      </c>
      <c r="I1" s="74" t="s">
        <v>17</v>
      </c>
      <c r="J1" s="76" t="s">
        <v>0</v>
      </c>
      <c r="K1" s="77" t="s">
        <v>48</v>
      </c>
      <c r="L1" s="77" t="s">
        <v>49</v>
      </c>
      <c r="M1" s="77" t="s">
        <v>50</v>
      </c>
      <c r="N1" s="77" t="s">
        <v>51</v>
      </c>
      <c r="O1" s="77" t="s">
        <v>52</v>
      </c>
      <c r="Q1" s="78" t="s">
        <v>21</v>
      </c>
      <c r="R1" s="77" t="s">
        <v>53</v>
      </c>
      <c r="S1" s="114" t="s">
        <v>54</v>
      </c>
      <c r="T1" s="77" t="s">
        <v>55</v>
      </c>
    </row>
    <row r="2" spans="1:20" s="87" customFormat="1">
      <c r="A2" s="72">
        <v>2</v>
      </c>
      <c r="B2" s="72"/>
      <c r="C2" s="85">
        <v>43907</v>
      </c>
      <c r="D2" s="86" t="s">
        <v>108</v>
      </c>
      <c r="E2" s="86" t="s">
        <v>109</v>
      </c>
      <c r="F2" s="86"/>
      <c r="G2" s="86"/>
      <c r="H2" s="105"/>
      <c r="I2" s="86" t="s">
        <v>110</v>
      </c>
      <c r="J2" s="86">
        <v>1</v>
      </c>
      <c r="K2" s="67">
        <v>83500</v>
      </c>
      <c r="L2" s="106">
        <f t="shared" ref="L2:L50" si="0">J2*K2</f>
        <v>83500</v>
      </c>
      <c r="M2" s="106"/>
      <c r="N2" s="106">
        <v>70000</v>
      </c>
      <c r="O2" s="106">
        <f>L2+M2-N2</f>
        <v>13500</v>
      </c>
      <c r="P2" s="106"/>
      <c r="Q2" s="85">
        <v>44232</v>
      </c>
      <c r="R2" s="67"/>
      <c r="S2" s="117"/>
      <c r="T2" s="88">
        <f>O2-R2</f>
        <v>13500</v>
      </c>
    </row>
    <row r="3" spans="1:20" s="87" customFormat="1" ht="24" customHeight="1">
      <c r="A3" s="72">
        <v>3</v>
      </c>
      <c r="B3" s="72"/>
      <c r="C3" s="85">
        <v>44201</v>
      </c>
      <c r="D3" s="86" t="s">
        <v>59</v>
      </c>
      <c r="E3" s="86" t="s">
        <v>26</v>
      </c>
      <c r="F3" s="86"/>
      <c r="G3" s="86"/>
      <c r="H3" s="105"/>
      <c r="I3" s="86"/>
      <c r="J3" s="86">
        <v>1</v>
      </c>
      <c r="K3" s="67">
        <v>4000</v>
      </c>
      <c r="L3" s="106">
        <f t="shared" si="0"/>
        <v>4000</v>
      </c>
      <c r="M3" s="106"/>
      <c r="N3" s="106"/>
      <c r="O3" s="106">
        <f t="shared" ref="O3:O8" si="1">L3+M3-N3</f>
        <v>4000</v>
      </c>
      <c r="P3" s="106"/>
      <c r="Q3" s="85">
        <v>44232</v>
      </c>
      <c r="R3" s="67"/>
      <c r="S3" s="117"/>
      <c r="T3" s="88">
        <v>4000</v>
      </c>
    </row>
    <row r="4" spans="1:20" s="87" customFormat="1" ht="27.75" customHeight="1">
      <c r="A4" s="72">
        <v>5</v>
      </c>
      <c r="B4" s="72"/>
      <c r="C4" s="85">
        <v>44227</v>
      </c>
      <c r="D4" s="86" t="s">
        <v>37</v>
      </c>
      <c r="E4" s="86" t="s">
        <v>46</v>
      </c>
      <c r="F4" s="86"/>
      <c r="G4" s="86"/>
      <c r="H4" s="105"/>
      <c r="I4" s="86" t="s">
        <v>60</v>
      </c>
      <c r="J4" s="86">
        <v>1</v>
      </c>
      <c r="K4" s="67">
        <v>5000</v>
      </c>
      <c r="L4" s="106">
        <f t="shared" si="0"/>
        <v>5000</v>
      </c>
      <c r="M4" s="106"/>
      <c r="N4" s="106"/>
      <c r="O4" s="106">
        <f>L4+M4-N4</f>
        <v>5000</v>
      </c>
      <c r="P4" s="106"/>
      <c r="Q4" s="85">
        <v>44255</v>
      </c>
      <c r="R4" s="67"/>
      <c r="S4" s="117"/>
      <c r="T4" s="88">
        <f>O4-R4</f>
        <v>5000</v>
      </c>
    </row>
    <row r="5" spans="1:20" s="87" customFormat="1">
      <c r="A5" s="72">
        <v>6</v>
      </c>
      <c r="B5" s="72"/>
      <c r="C5" s="85">
        <v>44176</v>
      </c>
      <c r="D5" s="86" t="s">
        <v>29</v>
      </c>
      <c r="E5" s="86" t="s">
        <v>34</v>
      </c>
      <c r="F5" s="86"/>
      <c r="G5" s="86"/>
      <c r="H5" s="105"/>
      <c r="I5" s="86" t="s">
        <v>38</v>
      </c>
      <c r="J5" s="86">
        <v>1</v>
      </c>
      <c r="K5" s="67">
        <v>7000</v>
      </c>
      <c r="L5" s="106">
        <f t="shared" si="0"/>
        <v>7000</v>
      </c>
      <c r="M5" s="106"/>
      <c r="N5" s="106"/>
      <c r="O5" s="106">
        <f t="shared" si="1"/>
        <v>7000</v>
      </c>
      <c r="P5" s="106"/>
      <c r="Q5" s="85">
        <v>44207</v>
      </c>
      <c r="R5" s="67"/>
      <c r="S5" s="117"/>
      <c r="T5" s="88">
        <f t="shared" ref="T5:T50" si="2">O5-R5</f>
        <v>7000</v>
      </c>
    </row>
    <row r="6" spans="1:20" s="87" customFormat="1" ht="26.25" customHeight="1">
      <c r="A6" s="72">
        <v>7</v>
      </c>
      <c r="B6" s="72"/>
      <c r="C6" s="85">
        <v>44171</v>
      </c>
      <c r="D6" s="86" t="s">
        <v>39</v>
      </c>
      <c r="E6" s="86"/>
      <c r="F6" s="86"/>
      <c r="G6" s="86"/>
      <c r="H6" s="105"/>
      <c r="I6" s="86"/>
      <c r="J6" s="86">
        <v>1</v>
      </c>
      <c r="K6" s="67">
        <v>33500</v>
      </c>
      <c r="L6" s="106">
        <f t="shared" si="0"/>
        <v>33500</v>
      </c>
      <c r="M6" s="106"/>
      <c r="N6" s="106"/>
      <c r="O6" s="106">
        <f t="shared" si="1"/>
        <v>33500</v>
      </c>
      <c r="P6" s="106"/>
      <c r="Q6" s="85">
        <v>44202</v>
      </c>
      <c r="R6" s="67"/>
      <c r="S6" s="117"/>
      <c r="T6" s="88">
        <f t="shared" si="2"/>
        <v>33500</v>
      </c>
    </row>
    <row r="7" spans="1:20" s="87" customFormat="1">
      <c r="A7" s="72">
        <v>8</v>
      </c>
      <c r="B7" s="72"/>
      <c r="C7" s="85">
        <v>44180</v>
      </c>
      <c r="D7" s="86" t="s">
        <v>61</v>
      </c>
      <c r="E7" s="86" t="s">
        <v>40</v>
      </c>
      <c r="F7" s="86"/>
      <c r="G7" s="86"/>
      <c r="H7" s="105"/>
      <c r="I7" s="86"/>
      <c r="J7" s="86">
        <v>1</v>
      </c>
      <c r="K7" s="67">
        <v>19500</v>
      </c>
      <c r="L7" s="106">
        <f t="shared" si="0"/>
        <v>19500</v>
      </c>
      <c r="M7" s="106"/>
      <c r="N7" s="106"/>
      <c r="O7" s="106">
        <f t="shared" si="1"/>
        <v>19500</v>
      </c>
      <c r="P7" s="106"/>
      <c r="Q7" s="85">
        <v>44211</v>
      </c>
      <c r="R7" s="67"/>
      <c r="S7" s="117"/>
      <c r="T7" s="88">
        <f t="shared" si="2"/>
        <v>19500</v>
      </c>
    </row>
    <row r="8" spans="1:20" s="87" customFormat="1" ht="24.75" customHeight="1">
      <c r="A8" s="72">
        <v>9</v>
      </c>
      <c r="B8" s="72"/>
      <c r="C8" s="85">
        <v>44242</v>
      </c>
      <c r="D8" s="86" t="s">
        <v>41</v>
      </c>
      <c r="E8" s="86" t="s">
        <v>42</v>
      </c>
      <c r="F8" s="86"/>
      <c r="G8" s="86"/>
      <c r="H8" s="105"/>
      <c r="I8" s="86" t="s">
        <v>43</v>
      </c>
      <c r="J8" s="86">
        <v>1</v>
      </c>
      <c r="K8" s="67">
        <v>22000</v>
      </c>
      <c r="L8" s="106">
        <f t="shared" si="0"/>
        <v>22000</v>
      </c>
      <c r="M8" s="106"/>
      <c r="N8" s="106"/>
      <c r="O8" s="106">
        <f t="shared" si="1"/>
        <v>22000</v>
      </c>
      <c r="P8" s="106"/>
      <c r="Q8" s="85">
        <v>44280</v>
      </c>
      <c r="R8" s="85"/>
      <c r="S8" s="118"/>
      <c r="T8" s="88">
        <f t="shared" si="2"/>
        <v>22000</v>
      </c>
    </row>
    <row r="9" spans="1:20" s="87" customFormat="1" ht="26.25" customHeight="1">
      <c r="A9" s="107">
        <v>10</v>
      </c>
      <c r="B9" s="107"/>
      <c r="C9" s="108">
        <v>44257</v>
      </c>
      <c r="D9" s="109" t="s">
        <v>62</v>
      </c>
      <c r="E9" s="109" t="s">
        <v>23</v>
      </c>
      <c r="F9" s="109"/>
      <c r="G9" s="109"/>
      <c r="H9" s="110"/>
      <c r="I9" s="109" t="s">
        <v>47</v>
      </c>
      <c r="J9" s="109">
        <v>1</v>
      </c>
      <c r="K9" s="111">
        <v>35000</v>
      </c>
      <c r="L9" s="112">
        <f t="shared" si="0"/>
        <v>35000</v>
      </c>
      <c r="M9" s="112"/>
      <c r="N9" s="112"/>
      <c r="O9" s="112">
        <f>L9+M9-N9</f>
        <v>35000</v>
      </c>
      <c r="P9" s="112"/>
      <c r="Q9" s="108">
        <v>44288</v>
      </c>
      <c r="R9" s="111">
        <v>35000</v>
      </c>
      <c r="S9" s="121"/>
      <c r="T9" s="113">
        <f t="shared" si="2"/>
        <v>0</v>
      </c>
    </row>
    <row r="10" spans="1:20" s="96" customFormat="1" ht="27.75" customHeight="1">
      <c r="A10" s="89">
        <v>11</v>
      </c>
      <c r="B10" s="89"/>
      <c r="C10" s="90">
        <v>44264</v>
      </c>
      <c r="D10" s="91" t="s">
        <v>63</v>
      </c>
      <c r="E10" s="91" t="s">
        <v>34</v>
      </c>
      <c r="F10" s="91"/>
      <c r="G10" s="91"/>
      <c r="H10" s="92"/>
      <c r="I10" s="91" t="s">
        <v>36</v>
      </c>
      <c r="J10" s="91">
        <v>1</v>
      </c>
      <c r="K10" s="93">
        <v>17500</v>
      </c>
      <c r="L10" s="94">
        <f t="shared" si="0"/>
        <v>17500</v>
      </c>
      <c r="M10" s="94"/>
      <c r="N10" s="94"/>
      <c r="O10" s="94">
        <f>L10+M10-N10</f>
        <v>17500</v>
      </c>
      <c r="P10" s="94"/>
      <c r="Q10" s="90">
        <v>44286</v>
      </c>
      <c r="R10" s="93">
        <v>10000</v>
      </c>
      <c r="S10" s="91"/>
      <c r="T10" s="95">
        <f t="shared" si="2"/>
        <v>7500</v>
      </c>
    </row>
    <row r="11" spans="1:20" s="87" customFormat="1" ht="30.75" customHeight="1">
      <c r="A11" s="89">
        <v>12</v>
      </c>
      <c r="B11" s="89"/>
      <c r="C11" s="90">
        <v>44276</v>
      </c>
      <c r="D11" s="91" t="s">
        <v>35</v>
      </c>
      <c r="E11" s="91" t="s">
        <v>34</v>
      </c>
      <c r="F11" s="91"/>
      <c r="G11" s="91"/>
      <c r="H11" s="92"/>
      <c r="I11" s="91" t="s">
        <v>64</v>
      </c>
      <c r="J11" s="91">
        <v>1</v>
      </c>
      <c r="K11" s="93">
        <v>20000</v>
      </c>
      <c r="L11" s="94">
        <f t="shared" si="0"/>
        <v>20000</v>
      </c>
      <c r="M11" s="94"/>
      <c r="N11" s="94"/>
      <c r="O11" s="94">
        <f>L11+M11-N11</f>
        <v>20000</v>
      </c>
      <c r="P11" s="94"/>
      <c r="Q11" s="90">
        <v>44284</v>
      </c>
      <c r="R11" s="93">
        <v>10000</v>
      </c>
      <c r="S11" s="115">
        <v>44475</v>
      </c>
      <c r="T11" s="95">
        <f t="shared" si="2"/>
        <v>10000</v>
      </c>
    </row>
    <row r="12" spans="1:20" s="87" customFormat="1" ht="24" customHeight="1">
      <c r="A12" s="72">
        <v>19</v>
      </c>
      <c r="B12" s="72"/>
      <c r="C12" s="85">
        <v>44291</v>
      </c>
      <c r="D12" s="86" t="s">
        <v>44</v>
      </c>
      <c r="E12" s="86" t="s">
        <v>34</v>
      </c>
      <c r="F12" s="86"/>
      <c r="G12" s="86"/>
      <c r="H12" s="105"/>
      <c r="I12" s="86" t="s">
        <v>57</v>
      </c>
      <c r="J12" s="86">
        <v>1</v>
      </c>
      <c r="K12" s="67">
        <v>101700</v>
      </c>
      <c r="L12" s="106">
        <f t="shared" si="0"/>
        <v>101700</v>
      </c>
      <c r="M12" s="106"/>
      <c r="N12" s="106"/>
      <c r="O12" s="106">
        <f>L12+M12-N12</f>
        <v>101700</v>
      </c>
      <c r="P12" s="106"/>
      <c r="Q12" s="85">
        <v>44316</v>
      </c>
      <c r="R12" s="67"/>
      <c r="S12" s="117"/>
      <c r="T12" s="88">
        <f t="shared" si="2"/>
        <v>101700</v>
      </c>
    </row>
    <row r="13" spans="1:20" s="87" customFormat="1">
      <c r="A13" s="72">
        <v>26</v>
      </c>
      <c r="B13" s="72"/>
      <c r="C13" s="85">
        <v>44314</v>
      </c>
      <c r="D13" s="86" t="s">
        <v>67</v>
      </c>
      <c r="E13" s="86" t="s">
        <v>67</v>
      </c>
      <c r="F13" s="86"/>
      <c r="G13" s="86"/>
      <c r="H13" s="105"/>
      <c r="I13" s="86" t="s">
        <v>58</v>
      </c>
      <c r="J13" s="86">
        <v>1</v>
      </c>
      <c r="K13" s="67">
        <v>3000</v>
      </c>
      <c r="L13" s="106">
        <f t="shared" si="0"/>
        <v>3000</v>
      </c>
      <c r="M13" s="106"/>
      <c r="N13" s="106"/>
      <c r="O13" s="106">
        <f>L13+M13-N13</f>
        <v>3000</v>
      </c>
      <c r="P13" s="106"/>
      <c r="Q13" s="85">
        <v>44346</v>
      </c>
      <c r="R13" s="67"/>
      <c r="S13" s="117"/>
      <c r="T13" s="88">
        <f t="shared" si="2"/>
        <v>3000</v>
      </c>
    </row>
    <row r="14" spans="1:20" s="87" customFormat="1">
      <c r="A14" s="89">
        <v>33</v>
      </c>
      <c r="B14" s="89"/>
      <c r="C14" s="90">
        <v>44319</v>
      </c>
      <c r="D14" s="91" t="s">
        <v>70</v>
      </c>
      <c r="E14" s="91" t="s">
        <v>71</v>
      </c>
      <c r="F14" s="91"/>
      <c r="G14" s="91"/>
      <c r="H14" s="92"/>
      <c r="I14" s="91" t="s">
        <v>72</v>
      </c>
      <c r="J14" s="91">
        <v>1</v>
      </c>
      <c r="K14" s="93">
        <v>2164000</v>
      </c>
      <c r="L14" s="94">
        <f t="shared" si="0"/>
        <v>2164000</v>
      </c>
      <c r="M14" s="94"/>
      <c r="N14" s="94"/>
      <c r="O14" s="94">
        <v>2164000</v>
      </c>
      <c r="P14" s="94"/>
      <c r="Q14" s="90">
        <v>44347</v>
      </c>
      <c r="R14" s="93">
        <v>2160000</v>
      </c>
      <c r="S14" s="115"/>
      <c r="T14" s="95">
        <f t="shared" si="2"/>
        <v>4000</v>
      </c>
    </row>
    <row r="15" spans="1:20" s="96" customFormat="1" ht="24" customHeight="1">
      <c r="A15" s="98">
        <v>42</v>
      </c>
      <c r="B15" s="98"/>
      <c r="C15" s="99">
        <v>44324</v>
      </c>
      <c r="D15" s="100" t="s">
        <v>44</v>
      </c>
      <c r="E15" s="100" t="s">
        <v>34</v>
      </c>
      <c r="F15" s="100"/>
      <c r="G15" s="100"/>
      <c r="H15" s="101"/>
      <c r="I15" s="100"/>
      <c r="J15" s="100">
        <v>1</v>
      </c>
      <c r="K15" s="102">
        <v>99500</v>
      </c>
      <c r="L15" s="103">
        <f t="shared" si="0"/>
        <v>99500</v>
      </c>
      <c r="M15" s="103"/>
      <c r="N15" s="94"/>
      <c r="O15" s="103">
        <v>99500</v>
      </c>
      <c r="P15" s="103"/>
      <c r="Q15" s="99">
        <v>44347</v>
      </c>
      <c r="R15" s="102">
        <v>23000</v>
      </c>
      <c r="S15" s="116"/>
      <c r="T15" s="104">
        <f t="shared" si="2"/>
        <v>76500</v>
      </c>
    </row>
    <row r="16" spans="1:20" s="87" customFormat="1">
      <c r="A16" s="72">
        <v>47</v>
      </c>
      <c r="B16" s="72"/>
      <c r="C16" s="85">
        <v>44327</v>
      </c>
      <c r="D16" s="86" t="s">
        <v>45</v>
      </c>
      <c r="E16" s="86" t="s">
        <v>34</v>
      </c>
      <c r="F16" s="86"/>
      <c r="G16" s="86"/>
      <c r="H16" s="105"/>
      <c r="I16" s="86" t="s">
        <v>58</v>
      </c>
      <c r="J16" s="86">
        <v>1</v>
      </c>
      <c r="K16" s="67">
        <v>2000</v>
      </c>
      <c r="L16" s="106">
        <f t="shared" si="0"/>
        <v>2000</v>
      </c>
      <c r="M16" s="106"/>
      <c r="N16" s="106"/>
      <c r="O16" s="106">
        <v>2000</v>
      </c>
      <c r="P16" s="106"/>
      <c r="Q16" s="85">
        <v>44347</v>
      </c>
      <c r="R16" s="67"/>
      <c r="S16" s="117"/>
      <c r="T16" s="88">
        <f t="shared" si="2"/>
        <v>2000</v>
      </c>
    </row>
    <row r="17" spans="1:20" s="87" customFormat="1" ht="21" customHeight="1">
      <c r="A17" s="72">
        <v>48</v>
      </c>
      <c r="B17" s="72"/>
      <c r="C17" s="85">
        <v>44327</v>
      </c>
      <c r="D17" s="86" t="s">
        <v>73</v>
      </c>
      <c r="E17" s="86" t="s">
        <v>23</v>
      </c>
      <c r="F17" s="86"/>
      <c r="G17" s="86"/>
      <c r="H17" s="105"/>
      <c r="I17" s="86" t="s">
        <v>65</v>
      </c>
      <c r="J17" s="86">
        <v>1</v>
      </c>
      <c r="K17" s="67">
        <v>11500</v>
      </c>
      <c r="L17" s="106">
        <f t="shared" si="0"/>
        <v>11500</v>
      </c>
      <c r="M17" s="106"/>
      <c r="N17" s="106"/>
      <c r="O17" s="106">
        <v>11500</v>
      </c>
      <c r="P17" s="106"/>
      <c r="Q17" s="85">
        <v>44347</v>
      </c>
      <c r="R17" s="67"/>
      <c r="S17" s="117"/>
      <c r="T17" s="88">
        <f t="shared" si="2"/>
        <v>11500</v>
      </c>
    </row>
    <row r="18" spans="1:20" s="87" customFormat="1">
      <c r="A18" s="72">
        <v>49</v>
      </c>
      <c r="B18" s="72"/>
      <c r="C18" s="85">
        <v>44329</v>
      </c>
      <c r="D18" s="86" t="s">
        <v>45</v>
      </c>
      <c r="E18" s="86" t="s">
        <v>34</v>
      </c>
      <c r="F18" s="86"/>
      <c r="G18" s="86"/>
      <c r="H18" s="105"/>
      <c r="I18" s="86" t="s">
        <v>58</v>
      </c>
      <c r="J18" s="86">
        <v>1</v>
      </c>
      <c r="K18" s="67">
        <v>800</v>
      </c>
      <c r="L18" s="106">
        <f t="shared" si="0"/>
        <v>800</v>
      </c>
      <c r="M18" s="106"/>
      <c r="N18" s="106"/>
      <c r="O18" s="106">
        <v>800</v>
      </c>
      <c r="P18" s="106"/>
      <c r="Q18" s="85">
        <v>44347</v>
      </c>
      <c r="R18" s="67"/>
      <c r="S18" s="117"/>
      <c r="T18" s="88">
        <f t="shared" si="2"/>
        <v>800</v>
      </c>
    </row>
    <row r="19" spans="1:20" s="87" customFormat="1" ht="20.25" customHeight="1">
      <c r="A19" s="72">
        <v>51</v>
      </c>
      <c r="B19" s="72"/>
      <c r="C19" s="85">
        <v>44330</v>
      </c>
      <c r="D19" s="86" t="s">
        <v>68</v>
      </c>
      <c r="E19" s="86" t="s">
        <v>69</v>
      </c>
      <c r="F19" s="86"/>
      <c r="G19" s="86"/>
      <c r="H19" s="105"/>
      <c r="I19" s="86" t="s">
        <v>65</v>
      </c>
      <c r="J19" s="86">
        <v>1</v>
      </c>
      <c r="K19" s="67">
        <v>19900</v>
      </c>
      <c r="L19" s="106">
        <f t="shared" si="0"/>
        <v>19900</v>
      </c>
      <c r="M19" s="106"/>
      <c r="N19" s="106"/>
      <c r="O19" s="106">
        <v>19900</v>
      </c>
      <c r="P19" s="106"/>
      <c r="Q19" s="85">
        <v>44347</v>
      </c>
      <c r="R19" s="67"/>
      <c r="S19" s="117"/>
      <c r="T19" s="88">
        <f t="shared" si="2"/>
        <v>19900</v>
      </c>
    </row>
    <row r="20" spans="1:20" s="87" customFormat="1">
      <c r="A20" s="72">
        <v>54</v>
      </c>
      <c r="B20" s="72"/>
      <c r="C20" s="85">
        <v>44333</v>
      </c>
      <c r="D20" s="86" t="s">
        <v>74</v>
      </c>
      <c r="E20" s="86" t="s">
        <v>34</v>
      </c>
      <c r="F20" s="86"/>
      <c r="G20" s="86"/>
      <c r="H20" s="105"/>
      <c r="I20" s="86" t="s">
        <v>65</v>
      </c>
      <c r="J20" s="86">
        <v>1</v>
      </c>
      <c r="K20" s="67">
        <v>50200</v>
      </c>
      <c r="L20" s="106">
        <f t="shared" si="0"/>
        <v>50200</v>
      </c>
      <c r="M20" s="106"/>
      <c r="N20" s="106"/>
      <c r="O20" s="106">
        <v>50200</v>
      </c>
      <c r="P20" s="106"/>
      <c r="Q20" s="85">
        <v>44347</v>
      </c>
      <c r="R20" s="67"/>
      <c r="S20" s="117"/>
      <c r="T20" s="88">
        <f t="shared" si="2"/>
        <v>50200</v>
      </c>
    </row>
    <row r="21" spans="1:20" s="87" customFormat="1">
      <c r="A21" s="72">
        <v>56</v>
      </c>
      <c r="B21" s="72"/>
      <c r="C21" s="85">
        <v>44336</v>
      </c>
      <c r="D21" s="86" t="s">
        <v>75</v>
      </c>
      <c r="E21" s="86" t="s">
        <v>34</v>
      </c>
      <c r="F21" s="86"/>
      <c r="G21" s="86"/>
      <c r="H21" s="105"/>
      <c r="I21" s="86" t="s">
        <v>58</v>
      </c>
      <c r="J21" s="86">
        <v>1</v>
      </c>
      <c r="K21" s="67">
        <v>1000</v>
      </c>
      <c r="L21" s="106">
        <f t="shared" si="0"/>
        <v>1000</v>
      </c>
      <c r="M21" s="106"/>
      <c r="N21" s="106"/>
      <c r="O21" s="106">
        <v>1000</v>
      </c>
      <c r="P21" s="106"/>
      <c r="Q21" s="85">
        <v>44347</v>
      </c>
      <c r="R21" s="67"/>
      <c r="S21" s="117"/>
      <c r="T21" s="88">
        <f t="shared" si="2"/>
        <v>1000</v>
      </c>
    </row>
    <row r="22" spans="1:20" s="87" customFormat="1" ht="24" customHeight="1">
      <c r="A22" s="72">
        <v>58</v>
      </c>
      <c r="B22" s="72"/>
      <c r="C22" s="85">
        <v>44338</v>
      </c>
      <c r="D22" s="86" t="s">
        <v>76</v>
      </c>
      <c r="E22" s="86"/>
      <c r="F22" s="86"/>
      <c r="G22" s="86"/>
      <c r="H22" s="105"/>
      <c r="I22" s="86" t="s">
        <v>77</v>
      </c>
      <c r="J22" s="86">
        <v>1</v>
      </c>
      <c r="K22" s="67">
        <v>500</v>
      </c>
      <c r="L22" s="106">
        <f t="shared" si="0"/>
        <v>500</v>
      </c>
      <c r="M22" s="106"/>
      <c r="N22" s="106"/>
      <c r="O22" s="106">
        <v>500</v>
      </c>
      <c r="P22" s="106"/>
      <c r="Q22" s="85">
        <v>44347</v>
      </c>
      <c r="R22" s="67"/>
      <c r="S22" s="117"/>
      <c r="T22" s="88">
        <f t="shared" si="2"/>
        <v>500</v>
      </c>
    </row>
    <row r="23" spans="1:20" s="87" customFormat="1">
      <c r="A23" s="72">
        <v>60</v>
      </c>
      <c r="B23" s="72"/>
      <c r="C23" s="85">
        <v>44338</v>
      </c>
      <c r="D23" s="86" t="s">
        <v>78</v>
      </c>
      <c r="E23" s="86" t="s">
        <v>34</v>
      </c>
      <c r="F23" s="86"/>
      <c r="G23" s="86"/>
      <c r="H23" s="105"/>
      <c r="I23" s="86" t="s">
        <v>58</v>
      </c>
      <c r="J23" s="86">
        <v>1</v>
      </c>
      <c r="K23" s="67">
        <v>2500</v>
      </c>
      <c r="L23" s="106">
        <f t="shared" si="0"/>
        <v>2500</v>
      </c>
      <c r="M23" s="106"/>
      <c r="N23" s="106"/>
      <c r="O23" s="106">
        <v>2500</v>
      </c>
      <c r="P23" s="106"/>
      <c r="Q23" s="85">
        <v>44347</v>
      </c>
      <c r="R23" s="67"/>
      <c r="S23" s="117"/>
      <c r="T23" s="88">
        <f t="shared" si="2"/>
        <v>2500</v>
      </c>
    </row>
    <row r="24" spans="1:20" s="87" customFormat="1" ht="19.5" customHeight="1">
      <c r="A24" s="72">
        <v>68</v>
      </c>
      <c r="B24" s="72"/>
      <c r="C24" s="85">
        <v>44349</v>
      </c>
      <c r="D24" s="86" t="s">
        <v>79</v>
      </c>
      <c r="E24" s="86" t="s">
        <v>80</v>
      </c>
      <c r="F24" s="86"/>
      <c r="G24" s="86"/>
      <c r="H24" s="105"/>
      <c r="I24" s="86" t="s">
        <v>58</v>
      </c>
      <c r="J24" s="86">
        <v>1</v>
      </c>
      <c r="K24" s="67">
        <v>14800</v>
      </c>
      <c r="L24" s="106">
        <f t="shared" si="0"/>
        <v>14800</v>
      </c>
      <c r="M24" s="106"/>
      <c r="N24" s="106"/>
      <c r="O24" s="106">
        <f t="shared" ref="O24:O38" si="3">L24+M24-N24</f>
        <v>14800</v>
      </c>
      <c r="P24" s="106"/>
      <c r="Q24" s="85">
        <v>44377</v>
      </c>
      <c r="R24" s="67"/>
      <c r="S24" s="117"/>
      <c r="T24" s="88">
        <f t="shared" si="2"/>
        <v>14800</v>
      </c>
    </row>
    <row r="25" spans="1:20" s="87" customFormat="1" ht="24" customHeight="1">
      <c r="A25" s="72">
        <v>78</v>
      </c>
      <c r="B25" s="72"/>
      <c r="C25" s="85">
        <v>44356</v>
      </c>
      <c r="D25" s="85" t="s">
        <v>81</v>
      </c>
      <c r="E25" s="86" t="s">
        <v>82</v>
      </c>
      <c r="F25" s="86"/>
      <c r="G25" s="86"/>
      <c r="H25" s="105"/>
      <c r="I25" s="86" t="s">
        <v>66</v>
      </c>
      <c r="J25" s="86">
        <v>1</v>
      </c>
      <c r="K25" s="67">
        <v>1500</v>
      </c>
      <c r="L25" s="106">
        <f t="shared" si="0"/>
        <v>1500</v>
      </c>
      <c r="M25" s="106"/>
      <c r="N25" s="106"/>
      <c r="O25" s="106">
        <f t="shared" si="3"/>
        <v>1500</v>
      </c>
      <c r="P25" s="106"/>
      <c r="Q25" s="85">
        <v>44377</v>
      </c>
      <c r="R25" s="67"/>
      <c r="S25" s="117"/>
      <c r="T25" s="88">
        <f t="shared" si="2"/>
        <v>1500</v>
      </c>
    </row>
    <row r="26" spans="1:20" s="87" customFormat="1" ht="19.5" customHeight="1">
      <c r="A26" s="72">
        <v>84</v>
      </c>
      <c r="B26" s="72"/>
      <c r="C26" s="85">
        <v>44360</v>
      </c>
      <c r="D26" s="85" t="s">
        <v>83</v>
      </c>
      <c r="E26" s="86" t="s">
        <v>69</v>
      </c>
      <c r="F26" s="86"/>
      <c r="G26" s="86"/>
      <c r="H26" s="105"/>
      <c r="I26" s="86" t="s">
        <v>58</v>
      </c>
      <c r="J26" s="86">
        <v>1</v>
      </c>
      <c r="K26" s="67">
        <v>9500</v>
      </c>
      <c r="L26" s="106">
        <f t="shared" si="0"/>
        <v>9500</v>
      </c>
      <c r="M26" s="106"/>
      <c r="N26" s="106"/>
      <c r="O26" s="106">
        <f t="shared" si="3"/>
        <v>9500</v>
      </c>
      <c r="P26" s="106"/>
      <c r="Q26" s="85">
        <v>44377</v>
      </c>
      <c r="R26" s="67"/>
      <c r="S26" s="117"/>
      <c r="T26" s="88">
        <f t="shared" si="2"/>
        <v>9500</v>
      </c>
    </row>
    <row r="27" spans="1:20" s="87" customFormat="1">
      <c r="A27" s="72">
        <v>91</v>
      </c>
      <c r="B27" s="72"/>
      <c r="C27" s="85">
        <v>44363</v>
      </c>
      <c r="D27" s="85" t="s">
        <v>84</v>
      </c>
      <c r="E27" s="86" t="s">
        <v>34</v>
      </c>
      <c r="F27" s="86"/>
      <c r="G27" s="86"/>
      <c r="H27" s="105"/>
      <c r="I27" s="86" t="s">
        <v>58</v>
      </c>
      <c r="J27" s="86">
        <v>1</v>
      </c>
      <c r="K27" s="67">
        <v>4150</v>
      </c>
      <c r="L27" s="106">
        <f t="shared" si="0"/>
        <v>4150</v>
      </c>
      <c r="M27" s="106"/>
      <c r="N27" s="106"/>
      <c r="O27" s="106">
        <f t="shared" si="3"/>
        <v>4150</v>
      </c>
      <c r="P27" s="106"/>
      <c r="Q27" s="85">
        <v>44377</v>
      </c>
      <c r="R27" s="67"/>
      <c r="S27" s="118"/>
      <c r="T27" s="88">
        <f t="shared" si="2"/>
        <v>4150</v>
      </c>
    </row>
    <row r="28" spans="1:20" s="87" customFormat="1">
      <c r="A28" s="72">
        <v>97</v>
      </c>
      <c r="B28" s="72"/>
      <c r="C28" s="85">
        <v>44366</v>
      </c>
      <c r="D28" s="85" t="s">
        <v>84</v>
      </c>
      <c r="E28" s="86" t="s">
        <v>34</v>
      </c>
      <c r="F28" s="86"/>
      <c r="G28" s="86"/>
      <c r="H28" s="105"/>
      <c r="I28" s="86" t="s">
        <v>58</v>
      </c>
      <c r="J28" s="86">
        <v>1</v>
      </c>
      <c r="K28" s="67">
        <v>37400</v>
      </c>
      <c r="L28" s="106">
        <f t="shared" si="0"/>
        <v>37400</v>
      </c>
      <c r="M28" s="106"/>
      <c r="N28" s="106"/>
      <c r="O28" s="106">
        <f t="shared" si="3"/>
        <v>37400</v>
      </c>
      <c r="P28" s="106"/>
      <c r="Q28" s="85">
        <v>44377</v>
      </c>
      <c r="R28" s="106"/>
      <c r="S28" s="118"/>
      <c r="T28" s="88">
        <f t="shared" si="2"/>
        <v>37400</v>
      </c>
    </row>
    <row r="29" spans="1:20" s="87" customFormat="1" ht="27" customHeight="1">
      <c r="A29" s="72">
        <v>101</v>
      </c>
      <c r="B29" s="72"/>
      <c r="C29" s="85">
        <v>44371</v>
      </c>
      <c r="D29" s="85" t="s">
        <v>85</v>
      </c>
      <c r="E29" s="86" t="s">
        <v>86</v>
      </c>
      <c r="F29" s="86"/>
      <c r="G29" s="86"/>
      <c r="H29" s="105"/>
      <c r="I29" s="86" t="s">
        <v>58</v>
      </c>
      <c r="J29" s="86">
        <v>1</v>
      </c>
      <c r="K29" s="67">
        <v>3600</v>
      </c>
      <c r="L29" s="106">
        <f t="shared" si="0"/>
        <v>3600</v>
      </c>
      <c r="M29" s="106"/>
      <c r="N29" s="106"/>
      <c r="O29" s="106">
        <f t="shared" si="3"/>
        <v>3600</v>
      </c>
      <c r="P29" s="106"/>
      <c r="Q29" s="85">
        <v>44377</v>
      </c>
      <c r="R29" s="67"/>
      <c r="S29" s="118"/>
      <c r="T29" s="88">
        <f t="shared" si="2"/>
        <v>3600</v>
      </c>
    </row>
    <row r="30" spans="1:20" s="87" customFormat="1">
      <c r="A30" s="72">
        <v>111</v>
      </c>
      <c r="B30" s="72"/>
      <c r="C30" s="85">
        <v>44383</v>
      </c>
      <c r="D30" s="85" t="s">
        <v>87</v>
      </c>
      <c r="E30" s="86" t="s">
        <v>34</v>
      </c>
      <c r="F30" s="86"/>
      <c r="G30" s="86"/>
      <c r="H30" s="105"/>
      <c r="I30" s="86" t="s">
        <v>65</v>
      </c>
      <c r="J30" s="86">
        <v>1</v>
      </c>
      <c r="K30" s="67">
        <v>14300</v>
      </c>
      <c r="L30" s="106">
        <f t="shared" si="0"/>
        <v>14300</v>
      </c>
      <c r="M30" s="106"/>
      <c r="N30" s="106"/>
      <c r="O30" s="106">
        <f t="shared" si="3"/>
        <v>14300</v>
      </c>
      <c r="P30" s="106"/>
      <c r="Q30" s="85">
        <v>44407</v>
      </c>
      <c r="R30" s="67"/>
      <c r="S30" s="118"/>
      <c r="T30" s="88">
        <f t="shared" si="2"/>
        <v>14300</v>
      </c>
    </row>
    <row r="31" spans="1:20" s="97" customFormat="1" ht="20.25" customHeight="1">
      <c r="A31" s="107">
        <v>113</v>
      </c>
      <c r="B31" s="107"/>
      <c r="C31" s="108">
        <v>44396</v>
      </c>
      <c r="D31" s="108" t="s">
        <v>41</v>
      </c>
      <c r="E31" s="109" t="s">
        <v>89</v>
      </c>
      <c r="F31" s="109"/>
      <c r="G31" s="109"/>
      <c r="H31" s="110"/>
      <c r="I31" s="109" t="s">
        <v>88</v>
      </c>
      <c r="J31" s="109">
        <v>1</v>
      </c>
      <c r="K31" s="111">
        <v>10000</v>
      </c>
      <c r="L31" s="112">
        <f t="shared" si="0"/>
        <v>10000</v>
      </c>
      <c r="M31" s="112"/>
      <c r="N31" s="112"/>
      <c r="O31" s="112">
        <f t="shared" si="3"/>
        <v>10000</v>
      </c>
      <c r="P31" s="112"/>
      <c r="Q31" s="108">
        <v>44408</v>
      </c>
      <c r="R31" s="111">
        <v>10000</v>
      </c>
      <c r="S31" s="119">
        <v>44471</v>
      </c>
      <c r="T31" s="113">
        <f t="shared" si="2"/>
        <v>0</v>
      </c>
    </row>
    <row r="32" spans="1:20" s="87" customFormat="1" ht="22.5" customHeight="1">
      <c r="A32" s="72">
        <v>115</v>
      </c>
      <c r="B32" s="72"/>
      <c r="C32" s="85">
        <v>44427</v>
      </c>
      <c r="D32" s="85" t="s">
        <v>90</v>
      </c>
      <c r="E32" s="86" t="s">
        <v>46</v>
      </c>
      <c r="F32" s="86"/>
      <c r="G32" s="86"/>
      <c r="H32" s="105"/>
      <c r="I32" s="86"/>
      <c r="J32" s="86">
        <v>1</v>
      </c>
      <c r="K32" s="67">
        <v>20000</v>
      </c>
      <c r="L32" s="106">
        <f t="shared" si="0"/>
        <v>20000</v>
      </c>
      <c r="M32" s="106"/>
      <c r="N32" s="106"/>
      <c r="O32" s="106">
        <f t="shared" si="3"/>
        <v>20000</v>
      </c>
      <c r="P32" s="106"/>
      <c r="Q32" s="85">
        <v>44439</v>
      </c>
      <c r="R32" s="67"/>
      <c r="S32" s="118"/>
      <c r="T32" s="88">
        <f t="shared" si="2"/>
        <v>20000</v>
      </c>
    </row>
    <row r="33" spans="1:20" s="87" customFormat="1" ht="23.25" customHeight="1">
      <c r="A33" s="72">
        <v>116</v>
      </c>
      <c r="B33" s="72"/>
      <c r="C33" s="85">
        <v>44428</v>
      </c>
      <c r="D33" s="85" t="s">
        <v>91</v>
      </c>
      <c r="E33" s="86" t="s">
        <v>34</v>
      </c>
      <c r="F33" s="86"/>
      <c r="G33" s="86"/>
      <c r="H33" s="105"/>
      <c r="I33" s="86" t="s">
        <v>92</v>
      </c>
      <c r="J33" s="86">
        <v>1</v>
      </c>
      <c r="K33" s="67">
        <v>35000</v>
      </c>
      <c r="L33" s="106">
        <f t="shared" si="0"/>
        <v>35000</v>
      </c>
      <c r="M33" s="106"/>
      <c r="N33" s="106"/>
      <c r="O33" s="106">
        <f t="shared" si="3"/>
        <v>35000</v>
      </c>
      <c r="P33" s="106"/>
      <c r="Q33" s="85">
        <v>44439</v>
      </c>
      <c r="R33" s="67"/>
      <c r="S33" s="118"/>
      <c r="T33" s="88">
        <f t="shared" si="2"/>
        <v>35000</v>
      </c>
    </row>
    <row r="34" spans="1:20" s="97" customFormat="1" ht="25.5" customHeight="1">
      <c r="A34" s="107">
        <v>117</v>
      </c>
      <c r="B34" s="107"/>
      <c r="C34" s="108">
        <v>44448</v>
      </c>
      <c r="D34" s="108" t="s">
        <v>93</v>
      </c>
      <c r="E34" s="109" t="s">
        <v>94</v>
      </c>
      <c r="F34" s="109" t="s">
        <v>95</v>
      </c>
      <c r="G34" s="109"/>
      <c r="H34" s="110"/>
      <c r="I34" s="109" t="s">
        <v>96</v>
      </c>
      <c r="J34" s="109">
        <v>60</v>
      </c>
      <c r="K34" s="111">
        <v>61500</v>
      </c>
      <c r="L34" s="112">
        <f t="shared" si="0"/>
        <v>3690000</v>
      </c>
      <c r="M34" s="112"/>
      <c r="N34" s="112">
        <v>3690000</v>
      </c>
      <c r="O34" s="112">
        <f t="shared" si="3"/>
        <v>0</v>
      </c>
      <c r="P34" s="112"/>
      <c r="Q34" s="108"/>
      <c r="R34" s="111"/>
      <c r="S34" s="119"/>
      <c r="T34" s="113">
        <f t="shared" si="2"/>
        <v>0</v>
      </c>
    </row>
    <row r="35" spans="1:20" s="87" customFormat="1" ht="19.5" customHeight="1">
      <c r="A35" s="72">
        <v>118</v>
      </c>
      <c r="B35" s="72"/>
      <c r="C35" s="85">
        <v>44458</v>
      </c>
      <c r="D35" s="85" t="s">
        <v>97</v>
      </c>
      <c r="E35" s="86" t="s">
        <v>98</v>
      </c>
      <c r="F35" s="86"/>
      <c r="G35" s="86"/>
      <c r="H35" s="105"/>
      <c r="I35" s="86" t="s">
        <v>65</v>
      </c>
      <c r="J35" s="86">
        <v>1</v>
      </c>
      <c r="K35" s="67">
        <v>42000</v>
      </c>
      <c r="L35" s="106">
        <f t="shared" si="0"/>
        <v>42000</v>
      </c>
      <c r="M35" s="106"/>
      <c r="N35" s="106"/>
      <c r="O35" s="106">
        <f t="shared" si="3"/>
        <v>42000</v>
      </c>
      <c r="P35" s="106"/>
      <c r="Q35" s="85">
        <v>44458</v>
      </c>
      <c r="R35" s="67"/>
      <c r="S35" s="118"/>
      <c r="T35" s="88">
        <f t="shared" si="2"/>
        <v>42000</v>
      </c>
    </row>
    <row r="36" spans="1:20" s="97" customFormat="1">
      <c r="A36" s="107">
        <v>119</v>
      </c>
      <c r="B36" s="107"/>
      <c r="C36" s="108">
        <v>44462</v>
      </c>
      <c r="D36" s="108" t="s">
        <v>99</v>
      </c>
      <c r="E36" s="109" t="s">
        <v>100</v>
      </c>
      <c r="F36" s="109"/>
      <c r="G36" s="109"/>
      <c r="H36" s="110"/>
      <c r="I36" s="109" t="s">
        <v>101</v>
      </c>
      <c r="J36" s="109">
        <v>2</v>
      </c>
      <c r="K36" s="111">
        <v>170000</v>
      </c>
      <c r="L36" s="112">
        <f t="shared" si="0"/>
        <v>340000</v>
      </c>
      <c r="M36" s="112"/>
      <c r="N36" s="112"/>
      <c r="O36" s="112">
        <f t="shared" si="3"/>
        <v>340000</v>
      </c>
      <c r="P36" s="112"/>
      <c r="Q36" s="108">
        <v>44479</v>
      </c>
      <c r="R36" s="111">
        <v>340000</v>
      </c>
      <c r="S36" s="119"/>
      <c r="T36" s="113">
        <f t="shared" si="2"/>
        <v>0</v>
      </c>
    </row>
    <row r="37" spans="1:20" s="97" customFormat="1">
      <c r="A37" s="107">
        <v>120</v>
      </c>
      <c r="B37" s="107"/>
      <c r="C37" s="108">
        <v>44471</v>
      </c>
      <c r="D37" s="108" t="s">
        <v>106</v>
      </c>
      <c r="E37" s="109" t="s">
        <v>34</v>
      </c>
      <c r="F37" s="109"/>
      <c r="G37" s="109"/>
      <c r="H37" s="110"/>
      <c r="I37" s="109" t="s">
        <v>104</v>
      </c>
      <c r="J37" s="109">
        <v>1</v>
      </c>
      <c r="K37" s="111">
        <v>100000</v>
      </c>
      <c r="L37" s="112">
        <f t="shared" si="0"/>
        <v>100000</v>
      </c>
      <c r="M37" s="112"/>
      <c r="N37" s="112"/>
      <c r="O37" s="112">
        <f t="shared" si="3"/>
        <v>100000</v>
      </c>
      <c r="P37" s="112"/>
      <c r="Q37" s="108">
        <v>44500</v>
      </c>
      <c r="R37" s="111">
        <v>100000</v>
      </c>
      <c r="S37" s="119"/>
      <c r="T37" s="113">
        <f t="shared" si="2"/>
        <v>0</v>
      </c>
    </row>
    <row r="38" spans="1:20" s="97" customFormat="1">
      <c r="A38" s="107">
        <v>121</v>
      </c>
      <c r="B38" s="107"/>
      <c r="C38" s="108">
        <v>44472</v>
      </c>
      <c r="D38" s="108" t="s">
        <v>105</v>
      </c>
      <c r="E38" s="109" t="s">
        <v>34</v>
      </c>
      <c r="F38" s="109"/>
      <c r="G38" s="109"/>
      <c r="H38" s="110"/>
      <c r="I38" s="109" t="s">
        <v>58</v>
      </c>
      <c r="J38" s="109">
        <v>1</v>
      </c>
      <c r="K38" s="111">
        <v>5400</v>
      </c>
      <c r="L38" s="112">
        <f t="shared" si="0"/>
        <v>5400</v>
      </c>
      <c r="M38" s="112"/>
      <c r="N38" s="112"/>
      <c r="O38" s="112">
        <f t="shared" si="3"/>
        <v>5400</v>
      </c>
      <c r="P38" s="112"/>
      <c r="Q38" s="108">
        <v>44500</v>
      </c>
      <c r="R38" s="111">
        <v>5400</v>
      </c>
      <c r="S38" s="119">
        <v>44473</v>
      </c>
      <c r="T38" s="113">
        <f t="shared" si="2"/>
        <v>0</v>
      </c>
    </row>
    <row r="39" spans="1:20" s="97" customFormat="1">
      <c r="A39" s="107">
        <v>122</v>
      </c>
      <c r="B39" s="107"/>
      <c r="C39" s="108">
        <v>44490</v>
      </c>
      <c r="D39" s="108" t="s">
        <v>107</v>
      </c>
      <c r="E39" s="109" t="s">
        <v>34</v>
      </c>
      <c r="F39" s="109"/>
      <c r="G39" s="109"/>
      <c r="H39" s="110"/>
      <c r="I39" s="109" t="s">
        <v>65</v>
      </c>
      <c r="J39" s="109">
        <v>1</v>
      </c>
      <c r="K39" s="111">
        <v>23000</v>
      </c>
      <c r="L39" s="112">
        <f t="shared" si="0"/>
        <v>23000</v>
      </c>
      <c r="M39" s="112"/>
      <c r="N39" s="112"/>
      <c r="O39" s="112">
        <f>L39+M39-N39</f>
        <v>23000</v>
      </c>
      <c r="P39" s="112"/>
      <c r="Q39" s="108">
        <v>44500</v>
      </c>
      <c r="R39" s="112">
        <v>23000</v>
      </c>
      <c r="S39" s="112"/>
      <c r="T39" s="113">
        <f t="shared" si="2"/>
        <v>0</v>
      </c>
    </row>
    <row r="40" spans="1:20" s="97" customFormat="1">
      <c r="A40" s="107">
        <v>126</v>
      </c>
      <c r="B40" s="72"/>
      <c r="C40" s="108">
        <v>44492</v>
      </c>
      <c r="D40" s="108" t="s">
        <v>111</v>
      </c>
      <c r="E40" s="109" t="s">
        <v>109</v>
      </c>
      <c r="F40" s="109"/>
      <c r="G40" s="109"/>
      <c r="H40" s="110"/>
      <c r="I40" s="109" t="s">
        <v>65</v>
      </c>
      <c r="J40" s="109">
        <v>1</v>
      </c>
      <c r="K40" s="111">
        <v>48000</v>
      </c>
      <c r="L40" s="112">
        <f t="shared" si="0"/>
        <v>48000</v>
      </c>
      <c r="M40" s="112"/>
      <c r="N40" s="112"/>
      <c r="O40" s="112">
        <f t="shared" ref="O40:O45" si="4">L40-N40</f>
        <v>48000</v>
      </c>
      <c r="P40" s="106"/>
      <c r="Q40" s="108">
        <v>44500</v>
      </c>
      <c r="R40" s="112">
        <v>48000</v>
      </c>
      <c r="S40" s="119"/>
      <c r="T40" s="113">
        <f t="shared" si="2"/>
        <v>0</v>
      </c>
    </row>
    <row r="41" spans="1:20" s="97" customFormat="1">
      <c r="A41" s="107">
        <v>127</v>
      </c>
      <c r="B41" s="72"/>
      <c r="C41" s="108">
        <v>44492</v>
      </c>
      <c r="D41" s="108" t="s">
        <v>112</v>
      </c>
      <c r="E41" s="109" t="s">
        <v>109</v>
      </c>
      <c r="F41" s="109"/>
      <c r="G41" s="109"/>
      <c r="H41" s="110"/>
      <c r="I41" s="109" t="s">
        <v>65</v>
      </c>
      <c r="J41" s="109">
        <v>1</v>
      </c>
      <c r="K41" s="111">
        <v>3500</v>
      </c>
      <c r="L41" s="112">
        <f t="shared" si="0"/>
        <v>3500</v>
      </c>
      <c r="M41" s="112"/>
      <c r="N41" s="112"/>
      <c r="O41" s="112">
        <f t="shared" si="4"/>
        <v>3500</v>
      </c>
      <c r="P41" s="106"/>
      <c r="Q41" s="108">
        <v>44500</v>
      </c>
      <c r="R41" s="111">
        <v>3500</v>
      </c>
      <c r="S41" s="119"/>
      <c r="T41" s="113">
        <f t="shared" si="2"/>
        <v>0</v>
      </c>
    </row>
    <row r="42" spans="1:20" s="87" customFormat="1">
      <c r="A42" s="123">
        <v>128</v>
      </c>
      <c r="B42" s="123"/>
      <c r="C42" s="127">
        <v>44494</v>
      </c>
      <c r="D42" s="127" t="s">
        <v>113</v>
      </c>
      <c r="E42" s="86" t="s">
        <v>34</v>
      </c>
      <c r="F42" s="86"/>
      <c r="G42" s="86"/>
      <c r="H42" s="105"/>
      <c r="I42" s="86" t="s">
        <v>65</v>
      </c>
      <c r="J42" s="86">
        <v>1</v>
      </c>
      <c r="K42" s="67">
        <v>7500</v>
      </c>
      <c r="L42" s="106">
        <f t="shared" si="0"/>
        <v>7500</v>
      </c>
      <c r="M42" s="106"/>
      <c r="N42" s="106"/>
      <c r="O42" s="106">
        <f t="shared" si="4"/>
        <v>7500</v>
      </c>
      <c r="P42" s="106"/>
      <c r="Q42" s="85">
        <v>44500</v>
      </c>
      <c r="R42" s="67"/>
      <c r="S42" s="118"/>
      <c r="T42" s="88">
        <f t="shared" si="2"/>
        <v>7500</v>
      </c>
    </row>
    <row r="43" spans="1:20" s="97" customFormat="1">
      <c r="A43" s="128">
        <v>129</v>
      </c>
      <c r="B43" s="123"/>
      <c r="C43" s="129">
        <v>44494</v>
      </c>
      <c r="D43" s="129" t="s">
        <v>114</v>
      </c>
      <c r="E43" s="109" t="s">
        <v>109</v>
      </c>
      <c r="F43" s="109"/>
      <c r="G43" s="109"/>
      <c r="H43" s="110"/>
      <c r="I43" s="109" t="s">
        <v>65</v>
      </c>
      <c r="J43" s="109">
        <v>1</v>
      </c>
      <c r="K43" s="111">
        <v>75000</v>
      </c>
      <c r="L43" s="112">
        <f t="shared" si="0"/>
        <v>75000</v>
      </c>
      <c r="M43" s="112"/>
      <c r="N43" s="112"/>
      <c r="O43" s="112">
        <f t="shared" si="4"/>
        <v>75000</v>
      </c>
      <c r="P43" s="106"/>
      <c r="Q43" s="108">
        <v>44500</v>
      </c>
      <c r="R43" s="111">
        <v>75000</v>
      </c>
      <c r="S43" s="119"/>
      <c r="T43" s="113">
        <f t="shared" si="2"/>
        <v>0</v>
      </c>
    </row>
    <row r="44" spans="1:20" s="97" customFormat="1">
      <c r="A44" s="128">
        <v>132</v>
      </c>
      <c r="B44" s="130">
        <v>44497</v>
      </c>
      <c r="C44" s="129">
        <v>44496</v>
      </c>
      <c r="D44" s="129" t="s">
        <v>111</v>
      </c>
      <c r="E44" s="109" t="s">
        <v>109</v>
      </c>
      <c r="F44" s="109"/>
      <c r="G44" s="109"/>
      <c r="H44" s="110"/>
      <c r="I44" s="109" t="s">
        <v>65</v>
      </c>
      <c r="J44" s="109">
        <v>1</v>
      </c>
      <c r="K44" s="111">
        <v>2000</v>
      </c>
      <c r="L44" s="112">
        <f>J44*K44</f>
        <v>2000</v>
      </c>
      <c r="M44" s="112"/>
      <c r="N44" s="112"/>
      <c r="O44" s="112">
        <f t="shared" si="4"/>
        <v>2000</v>
      </c>
      <c r="P44" s="130">
        <v>44497</v>
      </c>
      <c r="Q44" s="108">
        <v>44500</v>
      </c>
      <c r="R44" s="111">
        <v>2000</v>
      </c>
      <c r="S44" s="119"/>
      <c r="T44" s="113">
        <f t="shared" si="2"/>
        <v>0</v>
      </c>
    </row>
    <row r="45" spans="1:20" s="97" customFormat="1">
      <c r="A45" s="128">
        <v>133</v>
      </c>
      <c r="B45" s="131">
        <v>44496</v>
      </c>
      <c r="C45" s="129">
        <v>44496</v>
      </c>
      <c r="D45" s="129" t="s">
        <v>115</v>
      </c>
      <c r="E45" s="109" t="s">
        <v>34</v>
      </c>
      <c r="F45" s="109"/>
      <c r="G45" s="109"/>
      <c r="H45" s="110"/>
      <c r="I45" s="109" t="s">
        <v>65</v>
      </c>
      <c r="J45" s="109">
        <v>1</v>
      </c>
      <c r="K45" s="111">
        <v>14000</v>
      </c>
      <c r="L45" s="112">
        <f>J45*K45</f>
        <v>14000</v>
      </c>
      <c r="M45" s="112"/>
      <c r="N45" s="112"/>
      <c r="O45" s="112">
        <f t="shared" si="4"/>
        <v>14000</v>
      </c>
      <c r="P45" s="131">
        <v>44497</v>
      </c>
      <c r="Q45" s="108">
        <v>44500</v>
      </c>
      <c r="R45" s="111">
        <v>14000</v>
      </c>
      <c r="S45" s="119"/>
      <c r="T45" s="113">
        <f t="shared" si="2"/>
        <v>0</v>
      </c>
    </row>
    <row r="46" spans="1:20" s="96" customFormat="1">
      <c r="A46" s="132">
        <v>134</v>
      </c>
      <c r="B46" s="133">
        <v>44496</v>
      </c>
      <c r="C46" s="134">
        <v>44497</v>
      </c>
      <c r="D46" s="134" t="s">
        <v>115</v>
      </c>
      <c r="E46" s="91" t="s">
        <v>34</v>
      </c>
      <c r="F46" s="91" t="s">
        <v>116</v>
      </c>
      <c r="G46" s="91"/>
      <c r="H46" s="92"/>
      <c r="I46" s="91" t="s">
        <v>65</v>
      </c>
      <c r="J46" s="91">
        <v>1</v>
      </c>
      <c r="K46" s="93">
        <v>82700</v>
      </c>
      <c r="L46" s="94">
        <f>J46*K46</f>
        <v>82700</v>
      </c>
      <c r="M46" s="94"/>
      <c r="N46" s="94"/>
      <c r="O46" s="94">
        <f>L46-N46</f>
        <v>82700</v>
      </c>
      <c r="P46" s="133">
        <v>44497</v>
      </c>
      <c r="Q46" s="90">
        <v>44500</v>
      </c>
      <c r="R46" s="93">
        <v>66000</v>
      </c>
      <c r="S46" s="135"/>
      <c r="T46" s="95">
        <f t="shared" si="2"/>
        <v>16700</v>
      </c>
    </row>
    <row r="47" spans="1:20" s="87" customFormat="1">
      <c r="A47" s="123">
        <v>135</v>
      </c>
      <c r="B47" s="130">
        <v>44496</v>
      </c>
      <c r="C47" s="127">
        <v>44498</v>
      </c>
      <c r="D47" s="127" t="s">
        <v>117</v>
      </c>
      <c r="E47" s="86" t="s">
        <v>34</v>
      </c>
      <c r="F47" s="86"/>
      <c r="G47" s="86"/>
      <c r="H47" s="105"/>
      <c r="I47" s="86" t="s">
        <v>65</v>
      </c>
      <c r="J47" s="86">
        <v>1</v>
      </c>
      <c r="K47" s="67">
        <v>2500</v>
      </c>
      <c r="L47" s="106">
        <f>J47*K47</f>
        <v>2500</v>
      </c>
      <c r="M47" s="106"/>
      <c r="N47" s="106"/>
      <c r="O47" s="106">
        <f>L47-N47</f>
        <v>2500</v>
      </c>
      <c r="P47" s="130">
        <v>44497</v>
      </c>
      <c r="Q47" s="85">
        <v>44500</v>
      </c>
      <c r="R47" s="67"/>
      <c r="S47" s="118"/>
      <c r="T47" s="88">
        <f t="shared" si="2"/>
        <v>2500</v>
      </c>
    </row>
    <row r="48" spans="1:20" s="97" customFormat="1">
      <c r="A48" s="128">
        <v>136</v>
      </c>
      <c r="B48" s="130">
        <v>44498</v>
      </c>
      <c r="C48" s="129">
        <v>44498</v>
      </c>
      <c r="D48" s="129" t="s">
        <v>112</v>
      </c>
      <c r="E48" s="109" t="s">
        <v>109</v>
      </c>
      <c r="F48" s="109"/>
      <c r="G48" s="109"/>
      <c r="H48" s="110"/>
      <c r="I48" s="109" t="s">
        <v>65</v>
      </c>
      <c r="J48" s="109">
        <v>1</v>
      </c>
      <c r="K48" s="111">
        <v>8800</v>
      </c>
      <c r="L48" s="112">
        <f>J48*K48</f>
        <v>8800</v>
      </c>
      <c r="M48" s="112"/>
      <c r="N48" s="112"/>
      <c r="O48" s="112">
        <f>L48-N48</f>
        <v>8800</v>
      </c>
      <c r="P48" s="130">
        <v>44497</v>
      </c>
      <c r="Q48" s="108">
        <v>44500</v>
      </c>
      <c r="R48" s="111">
        <v>8800</v>
      </c>
      <c r="S48" s="119"/>
      <c r="T48" s="113">
        <f t="shared" si="2"/>
        <v>0</v>
      </c>
    </row>
    <row r="49" spans="1:20" s="87" customFormat="1">
      <c r="A49" s="136"/>
      <c r="B49" s="136"/>
      <c r="C49" s="85"/>
      <c r="D49" s="86"/>
      <c r="E49" s="86"/>
      <c r="F49" s="86"/>
      <c r="G49" s="86"/>
      <c r="H49" s="105"/>
      <c r="I49" s="86"/>
      <c r="J49" s="86"/>
      <c r="K49" s="67"/>
      <c r="L49" s="106">
        <f t="shared" si="0"/>
        <v>0</v>
      </c>
      <c r="M49" s="67"/>
      <c r="N49" s="67"/>
      <c r="O49" s="106">
        <f t="shared" ref="O49:O50" si="5">L49-N49</f>
        <v>0</v>
      </c>
      <c r="P49" s="106"/>
      <c r="Q49" s="137"/>
      <c r="R49" s="67"/>
      <c r="S49" s="118"/>
      <c r="T49" s="88">
        <f t="shared" si="2"/>
        <v>0</v>
      </c>
    </row>
    <row r="50" spans="1:20" s="87" customFormat="1">
      <c r="A50" s="136"/>
      <c r="B50" s="136"/>
      <c r="C50" s="85"/>
      <c r="D50" s="86"/>
      <c r="E50" s="86"/>
      <c r="F50" s="86"/>
      <c r="G50" s="86"/>
      <c r="H50" s="105"/>
      <c r="I50" s="86"/>
      <c r="J50" s="86"/>
      <c r="K50" s="67"/>
      <c r="L50" s="106">
        <f t="shared" si="0"/>
        <v>0</v>
      </c>
      <c r="M50" s="67"/>
      <c r="N50" s="67"/>
      <c r="O50" s="106">
        <f t="shared" si="5"/>
        <v>0</v>
      </c>
      <c r="P50" s="106"/>
      <c r="Q50" s="137"/>
      <c r="R50" s="67"/>
      <c r="S50" s="118"/>
      <c r="T50" s="88">
        <f t="shared" si="2"/>
        <v>0</v>
      </c>
    </row>
    <row r="51" spans="1:20">
      <c r="B51" s="66"/>
      <c r="C51" s="3"/>
      <c r="G51" s="25"/>
      <c r="H51" s="3"/>
      <c r="J51" s="4"/>
      <c r="O51" s="14"/>
      <c r="P51" s="4"/>
      <c r="Q51" s="120"/>
      <c r="R51" s="4"/>
      <c r="S51" s="3"/>
    </row>
    <row r="52" spans="1:20">
      <c r="B52" s="66"/>
      <c r="C52" s="3"/>
      <c r="G52" s="25"/>
      <c r="H52" s="3"/>
      <c r="J52" s="4"/>
      <c r="O52" s="14"/>
      <c r="P52" s="4"/>
      <c r="Q52" s="120"/>
      <c r="R52" s="4"/>
      <c r="S52" s="3"/>
    </row>
  </sheetData>
  <autoFilter ref="A1:S8">
    <sortState ref="A2:V13">
      <sortCondition ref="A1:A13"/>
    </sortState>
  </autoFilter>
  <dataValidations count="2">
    <dataValidation type="list" errorStyle="warning" allowBlank="1" showInputMessage="1" showErrorMessage="1" sqref="I2:I48">
      <formula1>"Tri Spare,Engine spare,ေရေမာ္တာ,ေရျမွုပ္ပန္႔"</formula1>
    </dataValidation>
    <dataValidation type="list" errorStyle="warning" allowBlank="1" showInputMessage="1" showErrorMessage="1" sqref="E2:E48">
      <formula1>"ဝါးေသာက္,မဝန္း,ထန္းမနိုင္"</formula1>
    </dataValidation>
  </dataValidations>
  <pageMargins left="0.34" right="0.16" top="0.24" bottom="0.2" header="0.28999999999999998" footer="0.2"/>
  <pageSetup paperSize="9" scale="37" orientation="landscape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58"/>
  <sheetViews>
    <sheetView topLeftCell="A22" zoomScaleNormal="100" workbookViewId="0">
      <selection activeCell="J31" sqref="J31"/>
    </sheetView>
  </sheetViews>
  <sheetFormatPr defaultColWidth="9.140625" defaultRowHeight="21.75"/>
  <cols>
    <col min="1" max="1" width="11.7109375" style="26" customWidth="1"/>
    <col min="2" max="2" width="31.85546875" style="60" customWidth="1"/>
    <col min="3" max="3" width="9" style="26" customWidth="1"/>
    <col min="4" max="4" width="20.7109375" style="26" customWidth="1"/>
    <col min="5" max="5" width="24" style="26" bestFit="1" customWidth="1"/>
    <col min="6" max="7" width="9.140625" style="26"/>
    <col min="8" max="8" width="11.28515625" style="26" bestFit="1" customWidth="1"/>
    <col min="9" max="9" width="17.42578125" style="26" customWidth="1"/>
    <col min="10" max="10" width="14.140625" style="26" customWidth="1"/>
    <col min="11" max="11" width="9.42578125" style="26" bestFit="1" customWidth="1"/>
    <col min="12" max="12" width="10.5703125" style="26" bestFit="1" customWidth="1"/>
    <col min="13" max="14" width="9.140625" style="26"/>
    <col min="15" max="15" width="11.85546875" style="26" bestFit="1" customWidth="1"/>
    <col min="16" max="16" width="13.140625" style="26" bestFit="1" customWidth="1"/>
    <col min="17" max="17" width="12.140625" style="26" bestFit="1" customWidth="1"/>
    <col min="18" max="18" width="12.85546875" style="26" bestFit="1" customWidth="1"/>
    <col min="19" max="19" width="11.85546875" style="28" bestFit="1" customWidth="1"/>
    <col min="20" max="22" width="9.140625" style="26"/>
    <col min="23" max="23" width="12" style="26" bestFit="1" customWidth="1"/>
    <col min="24" max="16384" width="9.140625" style="26"/>
  </cols>
  <sheetData>
    <row r="1" spans="1:26" s="3" customFormat="1">
      <c r="A1" s="81" t="s">
        <v>102</v>
      </c>
      <c r="B1" s="82" t="s">
        <v>103</v>
      </c>
      <c r="E1" s="5"/>
      <c r="F1" s="26"/>
      <c r="G1" s="26"/>
      <c r="H1" s="38"/>
      <c r="I1" s="38"/>
      <c r="J1" s="38"/>
      <c r="K1" s="38"/>
      <c r="L1" s="38"/>
      <c r="M1" s="38"/>
      <c r="N1" s="38"/>
      <c r="O1" s="38"/>
      <c r="P1" s="38"/>
      <c r="Q1" s="38"/>
      <c r="R1" s="38"/>
      <c r="S1" s="39"/>
      <c r="T1" s="38"/>
      <c r="U1" s="38"/>
      <c r="V1" s="38"/>
      <c r="W1" s="38"/>
      <c r="X1" s="38"/>
      <c r="Y1" s="38"/>
      <c r="Z1" s="38"/>
    </row>
    <row r="2" spans="1:26" s="3" customFormat="1">
      <c r="B2" s="43"/>
      <c r="E2" s="5"/>
      <c r="F2" s="26"/>
      <c r="G2" s="26"/>
      <c r="H2" s="38"/>
      <c r="I2" s="38"/>
      <c r="J2" s="38"/>
      <c r="K2" s="38"/>
      <c r="L2" s="38"/>
      <c r="M2" s="38"/>
      <c r="N2" s="38"/>
      <c r="O2" s="38"/>
      <c r="P2" s="38"/>
      <c r="Q2" s="38"/>
      <c r="R2" s="38"/>
      <c r="S2" s="39"/>
      <c r="T2" s="38"/>
      <c r="U2" s="38"/>
      <c r="V2" s="38"/>
      <c r="W2" s="38"/>
      <c r="X2" s="38"/>
      <c r="Y2" s="38"/>
      <c r="Z2" s="38"/>
    </row>
    <row r="3" spans="1:26" s="3" customFormat="1">
      <c r="B3" s="43"/>
      <c r="E3" s="5"/>
      <c r="F3" s="26"/>
      <c r="G3" s="26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9"/>
      <c r="T3" s="38"/>
      <c r="U3" s="38"/>
      <c r="V3" s="38"/>
      <c r="W3" s="38"/>
      <c r="X3" s="38"/>
      <c r="Y3" s="38"/>
      <c r="Z3" s="38"/>
    </row>
    <row r="4" spans="1:26" s="3" customFormat="1">
      <c r="B4" s="43"/>
      <c r="E4" s="5"/>
      <c r="F4" s="26"/>
      <c r="G4" s="26"/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9"/>
      <c r="T4" s="38"/>
      <c r="U4" s="38"/>
      <c r="V4" s="38"/>
      <c r="W4" s="38"/>
      <c r="X4" s="38"/>
      <c r="Y4" s="38"/>
      <c r="Z4" s="38"/>
    </row>
    <row r="5" spans="1:26" s="3" customFormat="1">
      <c r="B5" s="43"/>
      <c r="E5" s="5"/>
      <c r="F5" s="26"/>
      <c r="G5" s="26"/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9"/>
      <c r="T5" s="38"/>
      <c r="U5" s="38"/>
      <c r="V5" s="38"/>
      <c r="W5" s="38"/>
      <c r="X5" s="38"/>
      <c r="Y5" s="38"/>
      <c r="Z5" s="38"/>
    </row>
    <row r="6" spans="1:26" s="3" customFormat="1">
      <c r="B6" s="43"/>
      <c r="E6" s="5"/>
      <c r="F6" s="26"/>
      <c r="G6" s="26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9"/>
      <c r="T6" s="38"/>
      <c r="U6" s="38"/>
      <c r="V6" s="38"/>
      <c r="W6" s="38"/>
      <c r="X6" s="38"/>
      <c r="Y6" s="38"/>
      <c r="Z6" s="38"/>
    </row>
    <row r="7" spans="1:26" s="3" customFormat="1">
      <c r="B7" s="43"/>
      <c r="E7" s="5"/>
      <c r="F7" s="26"/>
      <c r="G7" s="26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9"/>
      <c r="T7" s="38"/>
      <c r="U7" s="38"/>
      <c r="V7" s="38"/>
      <c r="W7" s="38"/>
      <c r="X7" s="38"/>
      <c r="Y7" s="38"/>
      <c r="Z7" s="38"/>
    </row>
    <row r="8" spans="1:26" s="3" customFormat="1">
      <c r="B8" s="43"/>
      <c r="E8" s="5"/>
      <c r="F8" s="26"/>
      <c r="G8" s="26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9"/>
      <c r="T8" s="38"/>
      <c r="U8" s="38"/>
      <c r="V8" s="38"/>
      <c r="W8" s="38"/>
      <c r="X8" s="38"/>
      <c r="Y8" s="38"/>
      <c r="Z8" s="38"/>
    </row>
    <row r="9" spans="1:26" s="3" customFormat="1" ht="46.5" customHeight="1">
      <c r="A9" s="16"/>
      <c r="B9" s="16"/>
      <c r="C9" s="16"/>
      <c r="D9" s="16"/>
      <c r="E9" s="2"/>
      <c r="F9" s="26"/>
      <c r="G9" s="63"/>
      <c r="H9" s="64"/>
      <c r="I9" s="64"/>
      <c r="J9" s="64"/>
      <c r="K9" s="38"/>
      <c r="L9" s="38"/>
      <c r="M9" s="38"/>
      <c r="N9" s="38"/>
      <c r="O9" s="38"/>
      <c r="P9" s="38"/>
      <c r="Q9" s="38"/>
      <c r="R9" s="38"/>
      <c r="S9" s="39"/>
      <c r="T9" s="38"/>
      <c r="U9" s="38"/>
      <c r="V9" s="38"/>
      <c r="W9" s="38"/>
      <c r="X9" s="38"/>
      <c r="Y9" s="38"/>
      <c r="Z9" s="38"/>
    </row>
    <row r="10" spans="1:26" s="3" customFormat="1">
      <c r="A10" s="17" t="s">
        <v>16</v>
      </c>
      <c r="B10" s="40" t="str">
        <f>D33</f>
        <v>ဝါးေသာက္</v>
      </c>
      <c r="C10" s="55"/>
      <c r="D10" s="9" t="s">
        <v>11</v>
      </c>
      <c r="E10" s="65" t="str">
        <f>C33</f>
        <v>ကိုသန္းေဇာ္</v>
      </c>
      <c r="F10" s="38"/>
      <c r="G10" s="38"/>
      <c r="H10" s="38"/>
      <c r="I10" s="39"/>
      <c r="J10" s="38"/>
      <c r="K10" s="38"/>
      <c r="L10" s="38"/>
      <c r="M10" s="38"/>
      <c r="N10" s="38"/>
      <c r="O10" s="38"/>
      <c r="P10" s="38"/>
      <c r="Q10" s="38"/>
      <c r="R10" s="38"/>
      <c r="S10" s="39"/>
      <c r="T10" s="38"/>
      <c r="U10" s="38"/>
      <c r="V10" s="38"/>
      <c r="W10" s="38"/>
      <c r="X10" s="38"/>
      <c r="Y10" s="38"/>
      <c r="Z10" s="38"/>
    </row>
    <row r="11" spans="1:26" s="3" customFormat="1">
      <c r="A11" s="16" t="s">
        <v>13</v>
      </c>
      <c r="B11" s="41">
        <f>E33</f>
        <v>0</v>
      </c>
      <c r="C11" s="56"/>
      <c r="D11" s="9" t="s">
        <v>33</v>
      </c>
      <c r="E11" s="68">
        <v>54</v>
      </c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9"/>
      <c r="T11" s="38"/>
      <c r="U11" s="38"/>
      <c r="V11" s="38"/>
      <c r="W11" s="38"/>
      <c r="X11" s="38"/>
      <c r="Y11" s="38"/>
      <c r="Z11" s="38"/>
    </row>
    <row r="12" spans="1:26" s="3" customFormat="1">
      <c r="A12" s="1" t="s">
        <v>5</v>
      </c>
      <c r="B12" s="42">
        <f>F33</f>
        <v>0</v>
      </c>
      <c r="C12" s="57"/>
      <c r="D12" s="1" t="s">
        <v>4</v>
      </c>
      <c r="E12" s="10" t="str">
        <f>H33</f>
        <v>Tri Spare</v>
      </c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9"/>
      <c r="T12" s="38"/>
      <c r="U12" s="38"/>
      <c r="V12" s="38"/>
      <c r="W12" s="38"/>
      <c r="X12" s="38"/>
      <c r="Y12" s="38"/>
      <c r="Z12" s="38"/>
    </row>
    <row r="13" spans="1:26" s="3" customFormat="1">
      <c r="A13" s="1" t="s">
        <v>14</v>
      </c>
      <c r="B13" s="41">
        <f>G33</f>
        <v>0</v>
      </c>
      <c r="C13" s="56"/>
      <c r="D13" s="1" t="s">
        <v>5</v>
      </c>
      <c r="E13" s="42">
        <f>I33</f>
        <v>1</v>
      </c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9"/>
      <c r="T13" s="38"/>
      <c r="U13" s="38"/>
      <c r="V13" s="38"/>
      <c r="W13" s="38"/>
      <c r="X13" s="38"/>
      <c r="Y13" s="38"/>
      <c r="Z13" s="38"/>
    </row>
    <row r="14" spans="1:26" s="3" customFormat="1">
      <c r="A14" s="2"/>
      <c r="B14" s="18"/>
      <c r="C14" s="18"/>
      <c r="D14" s="2"/>
      <c r="E14" s="2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9"/>
      <c r="T14" s="38"/>
      <c r="U14" s="38"/>
      <c r="V14" s="38"/>
      <c r="W14" s="38"/>
      <c r="X14" s="38"/>
      <c r="Y14" s="38"/>
      <c r="Z14" s="38"/>
    </row>
    <row r="15" spans="1:26" s="3" customFormat="1">
      <c r="A15" s="19" t="s">
        <v>32</v>
      </c>
      <c r="B15" s="19" t="s">
        <v>3</v>
      </c>
      <c r="C15" s="19" t="s">
        <v>0</v>
      </c>
      <c r="D15" s="20" t="s">
        <v>1</v>
      </c>
      <c r="E15" s="20" t="s">
        <v>2</v>
      </c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9"/>
      <c r="T15" s="38"/>
      <c r="U15" s="38"/>
      <c r="V15" s="38"/>
      <c r="W15" s="38"/>
      <c r="X15" s="38"/>
      <c r="Y15" s="38"/>
      <c r="Z15" s="38"/>
    </row>
    <row r="16" spans="1:26" s="3" customFormat="1" ht="35.25" customHeight="1">
      <c r="A16" s="21">
        <f>IF(B16="","",ROW(1:1))</f>
        <v>1</v>
      </c>
      <c r="B16" s="58" t="str">
        <f>H33</f>
        <v>Tri Spare</v>
      </c>
      <c r="C16" s="21">
        <f>I33</f>
        <v>1</v>
      </c>
      <c r="D16" s="11">
        <f>J33</f>
        <v>50200</v>
      </c>
      <c r="E16" s="6">
        <f>C16*D16</f>
        <v>50200</v>
      </c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9"/>
      <c r="T16" s="38"/>
      <c r="U16" s="38"/>
      <c r="V16" s="38"/>
      <c r="W16" s="38"/>
      <c r="X16" s="38"/>
      <c r="Y16" s="38"/>
      <c r="Z16" s="38"/>
    </row>
    <row r="17" spans="1:26" s="3" customFormat="1">
      <c r="B17" s="43"/>
      <c r="D17" s="8" t="s">
        <v>22</v>
      </c>
      <c r="E17" s="71">
        <f>SUM(E16)</f>
        <v>50200</v>
      </c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9"/>
      <c r="T17" s="38"/>
      <c r="U17" s="38"/>
      <c r="V17" s="38"/>
      <c r="W17" s="38"/>
      <c r="X17" s="38"/>
      <c r="Y17" s="38"/>
      <c r="Z17" s="38"/>
    </row>
    <row r="18" spans="1:26" s="3" customFormat="1">
      <c r="A18" s="149"/>
      <c r="B18" s="149"/>
      <c r="C18" s="5"/>
      <c r="D18" s="8" t="s">
        <v>27</v>
      </c>
      <c r="E18" s="7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9"/>
      <c r="T18" s="38"/>
      <c r="U18" s="38"/>
      <c r="V18" s="38"/>
      <c r="W18" s="38"/>
      <c r="X18" s="38"/>
      <c r="Y18" s="38"/>
      <c r="Z18" s="38"/>
    </row>
    <row r="19" spans="1:26" s="3" customFormat="1">
      <c r="B19" s="43"/>
      <c r="D19" s="9" t="s">
        <v>20</v>
      </c>
      <c r="E19" s="15">
        <f>M33+P33</f>
        <v>0</v>
      </c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9"/>
      <c r="T19" s="38"/>
      <c r="U19" s="38"/>
      <c r="V19" s="38"/>
      <c r="W19" s="38"/>
      <c r="X19" s="38"/>
      <c r="Y19" s="38"/>
      <c r="Z19" s="38"/>
    </row>
    <row r="20" spans="1:26" s="3" customFormat="1">
      <c r="B20" s="80" t="str">
        <f>IF(A1="Purchase2","ပစၥည္းမယူရေသး","ကုန္ထုတ္ေပးၿပီး")</f>
        <v>ကုန္ထုတ္ေပးၿပီး</v>
      </c>
      <c r="D20" s="9" t="s">
        <v>6</v>
      </c>
      <c r="E20" s="7">
        <f>E17+E18-E19</f>
        <v>50200</v>
      </c>
      <c r="F20" s="38"/>
      <c r="G20" s="38"/>
      <c r="H20" s="38"/>
      <c r="I20" s="38"/>
      <c r="J20" s="38"/>
      <c r="K20" s="38"/>
      <c r="L20" s="38"/>
      <c r="M20" s="38"/>
      <c r="N20" s="38"/>
      <c r="O20" s="38"/>
      <c r="P20" s="38"/>
      <c r="Q20" s="39"/>
      <c r="R20" s="38"/>
      <c r="S20" s="38"/>
      <c r="T20" s="38"/>
      <c r="U20" s="38"/>
      <c r="V20" s="38"/>
      <c r="W20" s="38"/>
      <c r="X20" s="38"/>
      <c r="Y20" s="38"/>
      <c r="Z20" s="38"/>
    </row>
    <row r="21" spans="1:26" s="3" customFormat="1">
      <c r="B21" s="43"/>
      <c r="D21" s="12"/>
      <c r="E21" s="13"/>
      <c r="F21" s="38"/>
      <c r="G21" s="38"/>
      <c r="H21" s="38"/>
      <c r="I21" s="38"/>
      <c r="J21" s="38"/>
      <c r="K21" s="38"/>
      <c r="L21" s="38"/>
      <c r="M21" s="38"/>
      <c r="N21" s="38"/>
      <c r="O21" s="38"/>
      <c r="P21" s="39"/>
      <c r="Q21" s="38"/>
      <c r="R21" s="38"/>
      <c r="S21" s="38"/>
      <c r="T21" s="38"/>
      <c r="U21" s="38"/>
      <c r="V21" s="38"/>
      <c r="W21" s="38"/>
      <c r="X21" s="38"/>
      <c r="Y21" s="38"/>
      <c r="Z21" s="38"/>
    </row>
    <row r="22" spans="1:26" s="3" customFormat="1">
      <c r="A22" s="153">
        <f>IF(B1="Purchase",E20,"")</f>
        <v>50200</v>
      </c>
      <c r="B22" s="153"/>
      <c r="C22" s="152">
        <f>IF(B1="Purchase",O33,"")</f>
        <v>44347</v>
      </c>
      <c r="D22" s="152"/>
      <c r="E22" s="152"/>
      <c r="F22" s="38"/>
      <c r="G22" s="38"/>
      <c r="H22" s="38"/>
      <c r="I22" s="38"/>
      <c r="J22" s="38"/>
      <c r="K22" s="38"/>
      <c r="L22" s="38"/>
      <c r="M22" s="38"/>
      <c r="N22" s="38"/>
      <c r="O22" s="38"/>
      <c r="P22" s="39"/>
      <c r="Q22" s="38"/>
      <c r="R22" s="38"/>
      <c r="S22" s="38"/>
      <c r="T22" s="38"/>
      <c r="U22" s="38"/>
      <c r="V22" s="38"/>
      <c r="W22" s="38"/>
      <c r="X22" s="38"/>
      <c r="Y22" s="38"/>
      <c r="Z22" s="38"/>
    </row>
    <row r="23" spans="1:26" s="3" customFormat="1">
      <c r="A23" s="79"/>
      <c r="B23" s="79"/>
      <c r="C23" s="79"/>
      <c r="D23" s="79" t="str">
        <f>IF(B1="Purchase","ေၾကြးဆပ္ရက္လုံးဝမေက်ာ္ရ။","")</f>
        <v>ေၾကြးဆပ္ရက္လုံးဝမေက်ာ္ရ။</v>
      </c>
      <c r="E23" s="79"/>
      <c r="F23" s="38"/>
      <c r="G23" s="38"/>
      <c r="H23" s="38"/>
      <c r="I23" s="38"/>
      <c r="J23" s="38"/>
      <c r="K23" s="38"/>
      <c r="L23" s="38"/>
      <c r="M23" s="38"/>
      <c r="N23" s="38"/>
      <c r="O23" s="38"/>
      <c r="P23" s="39"/>
      <c r="Q23" s="38"/>
      <c r="R23" s="38"/>
      <c r="S23" s="38"/>
      <c r="T23" s="38"/>
      <c r="U23" s="38"/>
      <c r="V23" s="38"/>
      <c r="W23" s="38"/>
      <c r="X23" s="38"/>
      <c r="Y23" s="38"/>
      <c r="Z23" s="38"/>
    </row>
    <row r="24" spans="1:26" s="3" customFormat="1">
      <c r="A24" s="150"/>
      <c r="B24" s="150"/>
      <c r="C24" s="150"/>
      <c r="E24" s="79"/>
      <c r="F24" s="38"/>
      <c r="G24" s="38"/>
      <c r="H24" s="38"/>
      <c r="I24" s="38"/>
      <c r="J24" s="38"/>
      <c r="K24" s="38"/>
      <c r="L24" s="38"/>
      <c r="M24" s="38"/>
      <c r="N24" s="38"/>
      <c r="O24" s="38"/>
      <c r="P24" s="39"/>
      <c r="Q24" s="38"/>
      <c r="R24" s="38"/>
      <c r="S24" s="38"/>
      <c r="T24" s="38"/>
      <c r="U24" s="38"/>
      <c r="V24" s="38"/>
      <c r="W24" s="38"/>
      <c r="X24" s="38"/>
      <c r="Y24" s="38"/>
      <c r="Z24" s="38"/>
    </row>
    <row r="25" spans="1:26" s="3" customFormat="1"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9"/>
      <c r="T25" s="38"/>
      <c r="U25" s="38"/>
      <c r="V25" s="38"/>
      <c r="W25" s="38"/>
      <c r="X25" s="38"/>
      <c r="Y25" s="38"/>
      <c r="Z25" s="38"/>
    </row>
    <row r="26" spans="1:26" s="3" customFormat="1">
      <c r="F26" s="38"/>
      <c r="G26" s="38"/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9"/>
      <c r="T26" s="38"/>
      <c r="U26" s="38"/>
      <c r="V26" s="38"/>
      <c r="W26" s="38"/>
      <c r="X26" s="38"/>
      <c r="Y26" s="38"/>
      <c r="Z26" s="38"/>
    </row>
    <row r="27" spans="1:26" s="3" customFormat="1">
      <c r="B27" s="59"/>
      <c r="C27" s="13"/>
      <c r="D27" s="13"/>
      <c r="E27" s="23"/>
      <c r="F27" s="38"/>
      <c r="G27" s="38"/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9"/>
      <c r="T27" s="38"/>
      <c r="U27" s="38"/>
      <c r="V27" s="38"/>
      <c r="W27" s="38"/>
      <c r="X27" s="38"/>
      <c r="Y27" s="38"/>
      <c r="Z27" s="38"/>
    </row>
    <row r="28" spans="1:26" s="3" customFormat="1">
      <c r="A28" s="151" t="s">
        <v>9</v>
      </c>
      <c r="B28" s="151"/>
      <c r="C28" s="151"/>
      <c r="D28" s="22" t="s">
        <v>7</v>
      </c>
      <c r="E28" s="22"/>
      <c r="F28" s="38"/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9"/>
      <c r="T28" s="38"/>
      <c r="U28" s="38"/>
      <c r="V28" s="38"/>
      <c r="W28" s="38"/>
      <c r="X28" s="38"/>
      <c r="Y28" s="38"/>
      <c r="Z28" s="38"/>
    </row>
    <row r="29" spans="1:26" s="3" customFormat="1">
      <c r="A29" s="151" t="s">
        <v>10</v>
      </c>
      <c r="B29" s="151"/>
      <c r="C29" s="151"/>
      <c r="D29" s="22" t="s">
        <v>8</v>
      </c>
      <c r="E29" s="22"/>
      <c r="F29" s="38"/>
      <c r="G29" s="38"/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9"/>
      <c r="T29" s="38"/>
      <c r="U29" s="38"/>
      <c r="V29" s="38"/>
      <c r="W29" s="38"/>
      <c r="X29" s="38"/>
      <c r="Y29" s="38"/>
      <c r="Z29" s="38"/>
    </row>
    <row r="30" spans="1:26" s="3" customFormat="1" ht="36" customHeight="1">
      <c r="F30" s="38"/>
      <c r="G30" s="38"/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9"/>
      <c r="T30" s="38"/>
      <c r="U30" s="38"/>
      <c r="V30" s="38"/>
      <c r="W30" s="38"/>
      <c r="X30" s="38"/>
      <c r="Y30" s="38"/>
      <c r="Z30" s="38"/>
    </row>
    <row r="31" spans="1:26" s="38" customFormat="1" ht="39.950000000000003" customHeight="1">
      <c r="A31" s="3"/>
      <c r="B31" s="24"/>
      <c r="C31" s="24" t="s">
        <v>15</v>
      </c>
      <c r="D31" s="24"/>
      <c r="E31" s="24"/>
      <c r="S31" s="39"/>
    </row>
    <row r="32" spans="1:26" s="163" customFormat="1" ht="39.950000000000003" customHeight="1">
      <c r="A32" s="154" t="s">
        <v>33</v>
      </c>
      <c r="B32" s="155" t="s">
        <v>11</v>
      </c>
      <c r="C32" s="156" t="s">
        <v>12</v>
      </c>
      <c r="D32" s="156" t="s">
        <v>13</v>
      </c>
      <c r="E32" s="157" t="s">
        <v>5</v>
      </c>
      <c r="F32" s="157" t="s">
        <v>24</v>
      </c>
      <c r="G32" s="157" t="s">
        <v>25</v>
      </c>
      <c r="H32" s="156" t="s">
        <v>17</v>
      </c>
      <c r="I32" s="158" t="s">
        <v>0</v>
      </c>
      <c r="J32" s="159" t="s">
        <v>48</v>
      </c>
      <c r="K32" s="159" t="s">
        <v>49</v>
      </c>
      <c r="L32" s="159" t="s">
        <v>50</v>
      </c>
      <c r="M32" s="159" t="s">
        <v>51</v>
      </c>
      <c r="N32" s="159" t="s">
        <v>52</v>
      </c>
      <c r="O32" s="160" t="s">
        <v>21</v>
      </c>
      <c r="P32" s="159" t="s">
        <v>53</v>
      </c>
      <c r="Q32" s="161" t="s">
        <v>54</v>
      </c>
      <c r="R32" s="159" t="s">
        <v>55</v>
      </c>
      <c r="S32" s="162"/>
    </row>
    <row r="33" spans="1:26" s="169" customFormat="1" ht="36" customHeight="1">
      <c r="A33" s="164">
        <v>8</v>
      </c>
      <c r="B33" s="165">
        <f>VLOOKUP(E11,' Data Save '!$A:$P,3,0)</f>
        <v>44333</v>
      </c>
      <c r="C33" s="166" t="str">
        <f>VLOOKUP(E11,' Data Save '!$A:$P,4,0)</f>
        <v>ကိုသန္းေဇာ္</v>
      </c>
      <c r="D33" s="166" t="str">
        <f>VLOOKUP(E11,' Data Save '!$A:$P,5,0)</f>
        <v>ဝါးေသာက္</v>
      </c>
      <c r="E33" s="166">
        <f>VLOOKUP(E11,' Data Save '!$A:$P,6,0)</f>
        <v>0</v>
      </c>
      <c r="F33" s="166">
        <f>VLOOKUP(E11,' Data Save '!$A:$P,7,0)</f>
        <v>0</v>
      </c>
      <c r="G33" s="166">
        <f>VLOOKUP(E11,' Data Save '!$A:$P,8,0)</f>
        <v>0</v>
      </c>
      <c r="H33" s="166" t="str">
        <f>VLOOKUP(E11,' Data Save '!$A:$P,9,0)</f>
        <v>Tri Spare</v>
      </c>
      <c r="I33" s="166">
        <f>VLOOKUP(E11,' Data Save '!$A:$P,10,0)</f>
        <v>1</v>
      </c>
      <c r="J33" s="166">
        <f>VLOOKUP(E11,' Data Save '!$A:$P,11,0)</f>
        <v>50200</v>
      </c>
      <c r="K33" s="166">
        <f>VLOOKUP(E11,' Data Save '!$A:$P,12,0)</f>
        <v>50200</v>
      </c>
      <c r="L33" s="166">
        <f>VLOOKUP(E11,' Data Save '!$A:$P,13,0)</f>
        <v>0</v>
      </c>
      <c r="M33" s="166">
        <f>VLOOKUP(E11,' Data Save '!$A:$P,14,0)</f>
        <v>0</v>
      </c>
      <c r="N33" s="166">
        <f>VLOOKUP(E11,' Data Save '!$A:$P,15,0)</f>
        <v>50200</v>
      </c>
      <c r="O33" s="167">
        <f>VLOOKUP(E11,' Data Save '!$A:$S,17,0)</f>
        <v>44347</v>
      </c>
      <c r="P33" s="168">
        <f>VLOOKUP($E$11,' Data Save '!$A:$T,18,0)</f>
        <v>0</v>
      </c>
      <c r="Q33" s="167">
        <f>VLOOKUP($E$11,' Data Save '!$A:$T,19,0)</f>
        <v>0</v>
      </c>
      <c r="R33" s="166">
        <f>VLOOKUP($E$11,' Data Save '!$A:$T,20,0)</f>
        <v>50200</v>
      </c>
      <c r="X33" s="166"/>
      <c r="Y33" s="166"/>
      <c r="Z33" s="166"/>
    </row>
    <row r="34" spans="1:26" ht="36" customHeight="1">
      <c r="B34" s="27"/>
      <c r="C34" s="27"/>
      <c r="D34" s="27"/>
      <c r="E34" s="27"/>
    </row>
    <row r="35" spans="1:26" ht="36" customHeight="1">
      <c r="B35" s="27"/>
      <c r="C35" s="27"/>
      <c r="D35" s="27"/>
      <c r="E35" s="27"/>
    </row>
    <row r="36" spans="1:26" ht="36" customHeight="1">
      <c r="B36" s="27"/>
      <c r="C36" s="27"/>
      <c r="D36" s="27"/>
      <c r="E36" s="27"/>
    </row>
    <row r="37" spans="1:26" ht="36" customHeight="1">
      <c r="B37" s="27"/>
      <c r="C37" s="27"/>
      <c r="D37" s="27"/>
      <c r="E37" s="27"/>
    </row>
    <row r="38" spans="1:26" ht="36" customHeight="1">
      <c r="B38" s="27"/>
      <c r="C38" s="27"/>
      <c r="D38" s="27"/>
      <c r="E38" s="27"/>
    </row>
    <row r="39" spans="1:26" ht="36" customHeight="1">
      <c r="B39" s="27"/>
      <c r="C39" s="27"/>
      <c r="D39" s="27"/>
      <c r="E39" s="27"/>
    </row>
    <row r="40" spans="1:26" ht="36" customHeight="1">
      <c r="B40" s="27"/>
      <c r="C40" s="27"/>
      <c r="D40" s="27"/>
      <c r="E40" s="27"/>
    </row>
    <row r="41" spans="1:26" ht="36" customHeight="1">
      <c r="B41" s="27"/>
      <c r="C41" s="27"/>
      <c r="D41" s="27"/>
      <c r="E41" s="27"/>
    </row>
    <row r="42" spans="1:26" ht="36" customHeight="1">
      <c r="B42" s="27"/>
      <c r="C42" s="27"/>
      <c r="D42" s="27"/>
      <c r="E42" s="27"/>
    </row>
    <row r="43" spans="1:26" ht="36" customHeight="1">
      <c r="B43" s="27"/>
      <c r="C43" s="27"/>
      <c r="D43" s="27"/>
      <c r="E43" s="27"/>
    </row>
    <row r="44" spans="1:26" ht="36" customHeight="1">
      <c r="B44" s="27"/>
      <c r="C44" s="27"/>
      <c r="D44" s="27"/>
      <c r="E44" s="27"/>
    </row>
    <row r="45" spans="1:26">
      <c r="B45" s="27"/>
      <c r="C45" s="27"/>
      <c r="D45" s="27"/>
      <c r="E45" s="27"/>
    </row>
    <row r="46" spans="1:26">
      <c r="D46" s="29"/>
      <c r="E46" s="30"/>
      <c r="F46" s="31"/>
      <c r="G46" s="31"/>
      <c r="H46" s="32"/>
      <c r="I46" s="32"/>
      <c r="J46" s="32"/>
      <c r="K46" s="32"/>
      <c r="L46" s="33"/>
      <c r="M46" s="34"/>
      <c r="N46" s="34"/>
      <c r="O46" s="34"/>
      <c r="P46" s="34"/>
      <c r="Q46" s="35"/>
    </row>
    <row r="47" spans="1:26">
      <c r="A47" s="36"/>
      <c r="B47" s="31"/>
      <c r="C47" s="31"/>
      <c r="D47" s="37"/>
      <c r="E47" s="31"/>
    </row>
    <row r="57" spans="1:17">
      <c r="F57" s="31"/>
      <c r="G57" s="31"/>
      <c r="H57" s="31"/>
      <c r="I57" s="31"/>
      <c r="J57" s="31"/>
      <c r="K57" s="31"/>
      <c r="L57" s="31"/>
      <c r="M57" s="31"/>
      <c r="N57" s="31"/>
      <c r="O57" s="31"/>
      <c r="P57" s="31"/>
      <c r="Q57" s="36"/>
    </row>
    <row r="58" spans="1:17">
      <c r="A58" s="36"/>
      <c r="B58" s="31"/>
      <c r="C58" s="31"/>
      <c r="D58" s="37"/>
      <c r="E58" s="31"/>
    </row>
  </sheetData>
  <mergeCells count="6">
    <mergeCell ref="A18:B18"/>
    <mergeCell ref="A24:C24"/>
    <mergeCell ref="A28:C28"/>
    <mergeCell ref="A29:C29"/>
    <mergeCell ref="C22:E22"/>
    <mergeCell ref="A22:B22"/>
  </mergeCells>
  <pageMargins left="0.44" right="0.2" top="0.75" bottom="0.75" header="0.3" footer="0.3"/>
  <pageSetup paperSize="11" scale="65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 Data Save '!$A:$A</xm:f>
          </x14:formula1>
          <xm:sqref>E11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Dashboard</vt:lpstr>
      <vt:lpstr> Data Save </vt:lpstr>
      <vt:lpstr>Print</vt:lpstr>
      <vt:lpstr>' Data Save '!Print_Area</vt:lpstr>
      <vt:lpstr>Print!Print_Area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ACER</dc:creator>
  <cp:lastModifiedBy>acer</cp:lastModifiedBy>
  <cp:lastPrinted>2021-10-23T00:11:30Z</cp:lastPrinted>
  <dcterms:created xsi:type="dcterms:W3CDTF">2020-05-10T22:03:17Z</dcterms:created>
  <dcterms:modified xsi:type="dcterms:W3CDTF">2021-11-01T07:54:42Z</dcterms:modified>
</cp:coreProperties>
</file>