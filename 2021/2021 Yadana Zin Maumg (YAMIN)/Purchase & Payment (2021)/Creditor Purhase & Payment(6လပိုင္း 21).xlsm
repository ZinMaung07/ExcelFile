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2.xml" ContentType="application/vnd.openxmlformats-officedocument.spreadsheetml.table+xml"/>
  <Override PartName="/xl/queryTables/queryTable1.xml" ContentType="application/vnd.openxmlformats-officedocument.spreadsheetml.query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2021\2021 Yadana Zin Maumg (YAMIN)\Purchase &amp; Payment (2021)\"/>
    </mc:Choice>
  </mc:AlternateContent>
  <bookViews>
    <workbookView xWindow="-120" yWindow="-120" windowWidth="20730" windowHeight="11160" firstSheet="21" activeTab="24"/>
  </bookViews>
  <sheets>
    <sheet name="Supplier (COA)" sheetId="21" r:id="rId1"/>
    <sheet name="Armax Engine Oil" sheetId="1" r:id="rId2"/>
    <sheet name="Aspire Aim Machinery" sheetId="3" r:id="rId3"/>
    <sheet name="Aung Myit Tar" sheetId="4" r:id="rId4"/>
    <sheet name="GBS Co, LTD Tricycle" sheetId="6" r:id="rId5"/>
    <sheet name="Delita International Limited" sheetId="5" r:id="rId6"/>
    <sheet name="GBS Co, LTD Engine" sheetId="22" r:id="rId7"/>
    <sheet name="GBS Spare" sheetId="7" r:id="rId8"/>
    <sheet name="Ko Win Hlaing" sheetId="8" r:id="rId9"/>
    <sheet name="Kyinn Loon Myanmar" sheetId="9" r:id="rId10"/>
    <sheet name="Ma Au Bin" sheetId="10" r:id="rId11"/>
    <sheet name="Mann Ayawadi" sheetId="11" r:id="rId12"/>
    <sheet name="MDL Tricycle Spare" sheetId="12" r:id="rId13"/>
    <sheet name="Moe Thauk Ayar" sheetId="13" r:id="rId14"/>
    <sheet name="Sein Wut Hmon Co, LTD" sheetId="14" r:id="rId15"/>
    <sheet name="Shwe Than Lwin" sheetId="15" r:id="rId16"/>
    <sheet name="Shwe Yar Su" sheetId="16" r:id="rId17"/>
    <sheet name="Super" sheetId="17" r:id="rId18"/>
    <sheet name="Tat Shwe La Win " sheetId="18" r:id="rId19"/>
    <sheet name="UMG Co,LTD" sheetId="19" r:id="rId20"/>
    <sheet name="Zan (or) Mg Mg Soe" sheetId="20" r:id="rId21"/>
    <sheet name="Total Balance" sheetId="53" r:id="rId22"/>
    <sheet name="Pivot Table" sheetId="63" r:id="rId23"/>
    <sheet name="Data Combine" sheetId="62" r:id="rId24"/>
    <sheet name="Sheet2" sheetId="58" r:id="rId25"/>
  </sheets>
  <definedNames>
    <definedName name="ExternalData_1" localSheetId="23" hidden="1">'Data Combine'!$A$1:$J$203</definedName>
    <definedName name="_xlnm.Print_Area" localSheetId="21">'Total Balance'!$A$1:$F$23</definedName>
  </definedNames>
  <calcPr calcId="162913"/>
  <pivotCaches>
    <pivotCache cacheId="0" r:id="rId2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53" l="1"/>
  <c r="D3" i="53"/>
  <c r="E3" i="53"/>
  <c r="F3" i="53"/>
  <c r="C4" i="53"/>
  <c r="D4" i="53"/>
  <c r="E4" i="53"/>
  <c r="F4" i="53"/>
  <c r="C5" i="53"/>
  <c r="D5" i="53"/>
  <c r="E5" i="53"/>
  <c r="F5" i="53"/>
  <c r="C6" i="53"/>
  <c r="D6" i="53"/>
  <c r="E6" i="53"/>
  <c r="F6" i="53"/>
  <c r="C7" i="53"/>
  <c r="D7" i="53"/>
  <c r="E7" i="53"/>
  <c r="F7" i="53"/>
  <c r="C8" i="53"/>
  <c r="D8" i="53"/>
  <c r="E8" i="53"/>
  <c r="F8" i="53"/>
  <c r="C9" i="53"/>
  <c r="D9" i="53"/>
  <c r="E9" i="53"/>
  <c r="F9" i="53"/>
  <c r="C10" i="53"/>
  <c r="D10" i="53"/>
  <c r="E10" i="53"/>
  <c r="F10" i="53"/>
  <c r="C11" i="53"/>
  <c r="D11" i="53"/>
  <c r="E11" i="53"/>
  <c r="F11" i="53"/>
  <c r="C12" i="53"/>
  <c r="D12" i="53"/>
  <c r="E12" i="53"/>
  <c r="F12" i="53"/>
  <c r="C13" i="53"/>
  <c r="D13" i="53"/>
  <c r="E13" i="53"/>
  <c r="F13" i="53"/>
  <c r="C14" i="53"/>
  <c r="D14" i="53"/>
  <c r="E14" i="53"/>
  <c r="F14" i="53"/>
  <c r="C15" i="53"/>
  <c r="D15" i="53"/>
  <c r="E15" i="53"/>
  <c r="F15" i="53"/>
  <c r="C16" i="53"/>
  <c r="D16" i="53"/>
  <c r="E16" i="53"/>
  <c r="F16" i="53"/>
  <c r="C17" i="53"/>
  <c r="D17" i="53"/>
  <c r="E17" i="53"/>
  <c r="F17" i="53"/>
  <c r="C18" i="53"/>
  <c r="D18" i="53"/>
  <c r="E18" i="53"/>
  <c r="F18" i="53"/>
  <c r="C19" i="53"/>
  <c r="D19" i="53"/>
  <c r="E19" i="53"/>
  <c r="F19" i="53"/>
  <c r="C20" i="53"/>
  <c r="D20" i="53"/>
  <c r="E20" i="53"/>
  <c r="F20" i="53"/>
  <c r="C21" i="53"/>
  <c r="D21" i="53"/>
  <c r="E21" i="53"/>
  <c r="F21" i="53"/>
  <c r="D2" i="53"/>
  <c r="E2" i="53"/>
  <c r="F2" i="53"/>
  <c r="C2" i="53"/>
  <c r="J4" i="20" l="1"/>
  <c r="J5" i="20"/>
  <c r="J6" i="20" s="1"/>
  <c r="J7" i="20" s="1"/>
  <c r="J8" i="20" s="1"/>
  <c r="J9" i="20" s="1"/>
  <c r="J10" i="20" s="1"/>
  <c r="J11" i="20" s="1"/>
  <c r="J3" i="20"/>
  <c r="J2" i="20"/>
  <c r="J2" i="19"/>
  <c r="J2" i="18"/>
  <c r="J2" i="17"/>
  <c r="J2" i="16"/>
  <c r="J4" i="15"/>
  <c r="J5" i="15"/>
  <c r="J6" i="15" s="1"/>
  <c r="J7" i="15" s="1"/>
  <c r="J8" i="15" s="1"/>
  <c r="J9" i="15" s="1"/>
  <c r="J10" i="15" s="1"/>
  <c r="J11" i="15" s="1"/>
  <c r="J12" i="15" s="1"/>
  <c r="J3" i="15"/>
  <c r="J2" i="15"/>
  <c r="J4" i="14"/>
  <c r="J3" i="14"/>
  <c r="J2" i="14"/>
  <c r="J4" i="13"/>
  <c r="J5" i="13"/>
  <c r="J6" i="13" s="1"/>
  <c r="J7" i="13" s="1"/>
  <c r="J3" i="13"/>
  <c r="J2" i="13"/>
  <c r="J2" i="12"/>
  <c r="J2" i="11"/>
  <c r="J2" i="10"/>
  <c r="J2" i="9"/>
  <c r="J4" i="8"/>
  <c r="J5" i="8"/>
  <c r="J6" i="8" s="1"/>
  <c r="J7" i="8" s="1"/>
  <c r="J8" i="8" s="1"/>
  <c r="J3" i="8"/>
  <c r="J2" i="8"/>
  <c r="J4" i="22"/>
  <c r="J5" i="22"/>
  <c r="J3" i="22"/>
  <c r="J2" i="22"/>
  <c r="J4" i="5"/>
  <c r="J3" i="5"/>
  <c r="J2" i="5"/>
  <c r="J2" i="6"/>
  <c r="J4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" i="4"/>
  <c r="J2" i="4"/>
  <c r="J4" i="3"/>
  <c r="J5" i="3"/>
  <c r="J6" i="3" s="1"/>
  <c r="J7" i="3" s="1"/>
  <c r="J8" i="3" s="1"/>
  <c r="J9" i="3" s="1"/>
  <c r="J3" i="3"/>
  <c r="J2" i="3"/>
  <c r="J2" i="1"/>
  <c r="I35" i="4" l="1"/>
  <c r="I34" i="4"/>
  <c r="I11" i="20" l="1"/>
  <c r="I33" i="4"/>
  <c r="I7" i="13"/>
  <c r="I12" i="15"/>
  <c r="I11" i="15"/>
  <c r="I10" i="20" l="1"/>
  <c r="I10" i="15"/>
  <c r="I9" i="15"/>
  <c r="I9" i="20" l="1"/>
  <c r="I8" i="20"/>
  <c r="I32" i="4"/>
  <c r="I31" i="4"/>
  <c r="I30" i="4"/>
  <c r="I29" i="4"/>
  <c r="I28" i="4"/>
  <c r="I27" i="4"/>
  <c r="I26" i="4"/>
  <c r="I25" i="4"/>
  <c r="I9" i="3"/>
  <c r="I8" i="3"/>
  <c r="I24" i="4" l="1"/>
  <c r="I8" i="8"/>
  <c r="I8" i="15"/>
  <c r="I7" i="15"/>
  <c r="I6" i="13"/>
  <c r="I5" i="13"/>
  <c r="I7" i="3"/>
  <c r="I6" i="3"/>
  <c r="I5" i="3"/>
  <c r="I7" i="8"/>
  <c r="I4" i="14"/>
  <c r="I23" i="4"/>
  <c r="I22" i="4"/>
  <c r="I21" i="4" l="1"/>
  <c r="I6" i="15" l="1"/>
  <c r="I7" i="20"/>
  <c r="I20" i="4"/>
  <c r="I19" i="4"/>
  <c r="I18" i="4"/>
  <c r="I6" i="8"/>
  <c r="I4" i="5"/>
  <c r="I4" i="3" l="1"/>
  <c r="I6" i="20"/>
  <c r="I5" i="8"/>
  <c r="I17" i="4"/>
  <c r="I16" i="4"/>
  <c r="I15" i="4"/>
  <c r="I5" i="20"/>
  <c r="I4" i="20"/>
  <c r="I14" i="4"/>
  <c r="I13" i="4"/>
  <c r="I4" i="7"/>
  <c r="I5" i="22" l="1"/>
  <c r="I4" i="22"/>
  <c r="I12" i="4"/>
  <c r="I11" i="4"/>
  <c r="I5" i="15"/>
  <c r="I10" i="4"/>
  <c r="I9" i="4"/>
  <c r="I8" i="4"/>
  <c r="I7" i="4"/>
  <c r="I6" i="4"/>
  <c r="I5" i="4"/>
  <c r="I4" i="4"/>
  <c r="I4" i="15"/>
  <c r="I4" i="8"/>
  <c r="I4" i="13"/>
  <c r="I2" i="16" l="1"/>
  <c r="I2" i="17"/>
  <c r="I2" i="18"/>
  <c r="I3" i="20"/>
  <c r="I3" i="14"/>
  <c r="I3" i="13"/>
  <c r="I3" i="7" l="1"/>
  <c r="E23" i="53" l="1"/>
  <c r="C23" i="53"/>
  <c r="D23" i="53"/>
  <c r="F23" i="53" l="1"/>
  <c r="I2" i="20"/>
  <c r="I2" i="19"/>
  <c r="I3" i="15"/>
  <c r="I2" i="15"/>
  <c r="I2" i="14"/>
  <c r="I2" i="13"/>
  <c r="I2" i="12"/>
  <c r="I2" i="11"/>
  <c r="I2" i="10"/>
  <c r="I2" i="9"/>
  <c r="I3" i="8"/>
  <c r="I2" i="8"/>
  <c r="I2" i="7"/>
  <c r="J2" i="7" s="1"/>
  <c r="J3" i="7" s="1"/>
  <c r="J4" i="7" s="1"/>
  <c r="I3" i="22"/>
  <c r="I2" i="22"/>
  <c r="I2" i="6"/>
  <c r="I3" i="5"/>
  <c r="I2" i="5"/>
  <c r="I3" i="4"/>
  <c r="I2" i="4"/>
  <c r="I3" i="3"/>
  <c r="I2" i="3"/>
  <c r="I2" i="1"/>
</calcChain>
</file>

<file path=xl/comments1.xml><?xml version="1.0" encoding="utf-8"?>
<comments xmlns="http://schemas.openxmlformats.org/spreadsheetml/2006/main">
  <authors>
    <author>User</author>
  </authors>
  <commentList>
    <comment ref="G14" authorId="0" shape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60 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Query1" description="Connection to the 'Query1' query in the workbook." type="5" refreshedVersion="6" background="1" saveData="1">
    <dbPr connection="provider=Microsoft.Mashup.OleDb.1;data source=$EmbeddedMashup(693a9990-7f94-48b3-8936-a6c5b061edc5)$;location=Query1;extended properties=" command="SELECT * FROM [Query1]"/>
  </connection>
</connections>
</file>

<file path=xl/sharedStrings.xml><?xml version="1.0" encoding="utf-8"?>
<sst xmlns="http://schemas.openxmlformats.org/spreadsheetml/2006/main" count="1167" uniqueCount="244">
  <si>
    <t>No</t>
  </si>
  <si>
    <t>Date</t>
  </si>
  <si>
    <t>Supplier Code</t>
  </si>
  <si>
    <t>Supplier Name</t>
  </si>
  <si>
    <t>Item Name</t>
  </si>
  <si>
    <t>Opening</t>
  </si>
  <si>
    <t>Purchase</t>
  </si>
  <si>
    <t>Payment</t>
  </si>
  <si>
    <t>Balance</t>
  </si>
  <si>
    <t>Armax Engine Oil</t>
  </si>
  <si>
    <t>Sub Account Name</t>
  </si>
  <si>
    <t>Pay202</t>
  </si>
  <si>
    <t>Arr Thit</t>
  </si>
  <si>
    <t>Current Assets</t>
  </si>
  <si>
    <t>Pay203</t>
  </si>
  <si>
    <t>Aspire Aim Machinery</t>
  </si>
  <si>
    <t>Non-Current Assets</t>
  </si>
  <si>
    <t>Pay204</t>
  </si>
  <si>
    <t>Aung Myit Tar</t>
  </si>
  <si>
    <t>Current Liabilities</t>
  </si>
  <si>
    <t>Pay205</t>
  </si>
  <si>
    <t>Delta International Limited</t>
  </si>
  <si>
    <t>Non-Current Liabilities</t>
  </si>
  <si>
    <t>Pay206</t>
  </si>
  <si>
    <t>Shereholder's and equity</t>
  </si>
  <si>
    <t>Pay207</t>
  </si>
  <si>
    <t>GBS Fertilizer</t>
  </si>
  <si>
    <t>Sales</t>
  </si>
  <si>
    <t>Pay208</t>
  </si>
  <si>
    <t>GBS Spare</t>
  </si>
  <si>
    <t>Cost of good sold</t>
  </si>
  <si>
    <t>Pay209</t>
  </si>
  <si>
    <t>Hope Flowers Fertilizer</t>
  </si>
  <si>
    <t>Other Income</t>
  </si>
  <si>
    <t>Pay210</t>
  </si>
  <si>
    <t>Hur Hong Co.Ltd</t>
  </si>
  <si>
    <t>Other Expenses</t>
  </si>
  <si>
    <t>Pay211</t>
  </si>
  <si>
    <t xml:space="preserve">Ko Win Hlaing </t>
  </si>
  <si>
    <t>Pay212</t>
  </si>
  <si>
    <t>Kyaw Ball</t>
  </si>
  <si>
    <t>Pay213</t>
  </si>
  <si>
    <t>Ma Au Bin</t>
  </si>
  <si>
    <t>Pay214</t>
  </si>
  <si>
    <t>MDL Tricycle Spare</t>
  </si>
  <si>
    <t>Pay215</t>
  </si>
  <si>
    <t>Sein Wut Hmon Co.Ltd</t>
  </si>
  <si>
    <t>Pay216</t>
  </si>
  <si>
    <t>Shwe Than Lwin</t>
  </si>
  <si>
    <t>Pay217</t>
  </si>
  <si>
    <t>Shwe Yar Su</t>
  </si>
  <si>
    <t>Pay218</t>
  </si>
  <si>
    <t>Tat Shwe La Win</t>
  </si>
  <si>
    <t>Pay219</t>
  </si>
  <si>
    <t>UMG Co,Ltd</t>
  </si>
  <si>
    <t>Pay220</t>
  </si>
  <si>
    <t>Zan (or) Mg Mg Soe</t>
  </si>
  <si>
    <t>Pay221</t>
  </si>
  <si>
    <t>Kyinn Loon Myanmar</t>
  </si>
  <si>
    <t>Pay222</t>
  </si>
  <si>
    <t>Moe thauk Ayar</t>
  </si>
  <si>
    <t>Pay223</t>
  </si>
  <si>
    <t>Pay224</t>
  </si>
  <si>
    <t>Mann Ayarwadi</t>
  </si>
  <si>
    <t>Pay225</t>
  </si>
  <si>
    <t>Super</t>
  </si>
  <si>
    <t>Pay226</t>
  </si>
  <si>
    <t xml:space="preserve">Ko Hla Ngwe </t>
  </si>
  <si>
    <t>GBS Co.Ltd Tricycle</t>
  </si>
  <si>
    <t>GBS Co.Ltd  Engine</t>
  </si>
  <si>
    <t>A/C Tipe</t>
  </si>
  <si>
    <t>½</t>
  </si>
  <si>
    <t>Pay228</t>
  </si>
  <si>
    <t>Vr.No</t>
  </si>
  <si>
    <t>Delita International Limied</t>
  </si>
  <si>
    <t>GBS Co, LTD Tricycle</t>
  </si>
  <si>
    <t>GBS Co, LTD Engine</t>
  </si>
  <si>
    <t>Ko Win Hlaing</t>
  </si>
  <si>
    <t>Mann Ayawadi</t>
  </si>
  <si>
    <t>Moe Thauk Ayar</t>
  </si>
  <si>
    <t>Sein Wut Hmon Co, LTD</t>
  </si>
  <si>
    <t xml:space="preserve">Tat Shwe La Win </t>
  </si>
  <si>
    <t>UMG Co,LTD</t>
  </si>
  <si>
    <t>Grand Total</t>
  </si>
  <si>
    <t>Total</t>
  </si>
  <si>
    <t>ေငြလႊဲ - Mobile</t>
  </si>
  <si>
    <t>ေငြလႊဲ - YGN</t>
  </si>
  <si>
    <t>ပစၥည္းၿပန္ပို႕</t>
  </si>
  <si>
    <t>ဘားစက္စံု</t>
  </si>
  <si>
    <t>R175 ပလန္ခ်ာ</t>
  </si>
  <si>
    <t>စလစ္+(စီးကြင္းပါ)(က်ယ္)R-175JN</t>
  </si>
  <si>
    <t>Content.Date</t>
  </si>
  <si>
    <t>Content.Vr.No</t>
  </si>
  <si>
    <t>Content.A/C Tipe</t>
  </si>
  <si>
    <t>Content.Supplier Name</t>
  </si>
  <si>
    <t>Content.Item Name</t>
  </si>
  <si>
    <t>Content.Opening</t>
  </si>
  <si>
    <t>Content.Purchase</t>
  </si>
  <si>
    <t>Content.Payment</t>
  </si>
  <si>
    <t>Content.Balance</t>
  </si>
  <si>
    <t>Name</t>
  </si>
  <si>
    <t>GBS_TRI</t>
  </si>
  <si>
    <t>GBS_ENG</t>
  </si>
  <si>
    <t>ဘားစပရိန္</t>
  </si>
  <si>
    <t>အဲယားဗူး (ေဂါက္ပါ)R175/180(JN)</t>
  </si>
  <si>
    <t>ေငြလႊဲ - ဆိုင္</t>
  </si>
  <si>
    <t>ေငြလႊဲ - သံုးဘီး</t>
  </si>
  <si>
    <t>22ေကာ္နတင္းနတ္</t>
  </si>
  <si>
    <t>MI×7.5HP</t>
  </si>
  <si>
    <t>ပလပ္ D8T/A</t>
  </si>
  <si>
    <t>Power One 7.5HP Gasoline Engine</t>
  </si>
  <si>
    <t>တစ္ဘီးထြန္ ေလွ်ာဗန္း</t>
  </si>
  <si>
    <t>S-1110 ပလန္ခ်ာအံု</t>
  </si>
  <si>
    <t>12" 2ရြက္</t>
  </si>
  <si>
    <t>တစ္ဘီးထြန္ 14စြယ္ရွပ္</t>
  </si>
  <si>
    <t>R-175 တိုက္ပစ္အမ္း</t>
  </si>
  <si>
    <t>ေငြလႊဲ - ပစၥည္းၿပန္ပို႔</t>
  </si>
  <si>
    <t>Diesel Engine</t>
  </si>
  <si>
    <t>12" R CRT</t>
  </si>
  <si>
    <t>S-1110 ေနာ္ဇယ္</t>
  </si>
  <si>
    <t>DF PG.48 NO.23 ပင္နယံတိုက္</t>
  </si>
  <si>
    <t>R- 180 ပစၥတင္</t>
  </si>
  <si>
    <t>8W50 ပူလီပန္႔</t>
  </si>
  <si>
    <t>12T ဘက္အံုပင္နယံ ကလစ္လိုင္းပါ</t>
  </si>
  <si>
    <t>KW220 Carburetor ကာပရိုက္တာ</t>
  </si>
  <si>
    <t>တတ္ေဈးအတြက္(ေငြလႊဲ - YGN)</t>
  </si>
  <si>
    <t>R-175 ေအေဇာဗူး (31.5.2021)</t>
  </si>
  <si>
    <t>13"R CRT (31.5.2021)</t>
  </si>
  <si>
    <t>4T</t>
  </si>
  <si>
    <t>KAWA 75HP</t>
  </si>
  <si>
    <t>G×35 ဘေလာက္</t>
  </si>
  <si>
    <t>R-180A ကရိုင္း (JW)</t>
  </si>
  <si>
    <t>R-180ထပ္ရိန္း</t>
  </si>
  <si>
    <t>ဘေလာက္(SET) DC250-70 သံ A</t>
  </si>
  <si>
    <t>YAMA Fst 30 ကားေဆးပန္႔</t>
  </si>
  <si>
    <t>မိဘေမတၱာ6.5hp 10' အထိုင္</t>
  </si>
  <si>
    <t>R-175 ေနာ္ဇယ္အံုၾကီး</t>
  </si>
  <si>
    <t>တစ္ဘီးထြန္း ပင္နံယံ69 စြယ္</t>
  </si>
  <si>
    <t>12ရစ္ပလပ္</t>
  </si>
  <si>
    <t>20w50 SG/CD</t>
  </si>
  <si>
    <t>API SN-700 ML(10W30) KAWA</t>
  </si>
  <si>
    <t>RM220အင္ဂ်င္ ROMAN ITALY</t>
  </si>
  <si>
    <t>KAWA220 KAWA Marine Engine</t>
  </si>
  <si>
    <t>KAWA220 Air cleaner အဲယားဗူး KAWA</t>
  </si>
  <si>
    <t>14.5.2021</t>
  </si>
  <si>
    <t>154 ကိြဳင္</t>
  </si>
  <si>
    <t>R-180A ဟက္ (JW)</t>
  </si>
  <si>
    <t>R-175 ဘဲဒင္</t>
  </si>
  <si>
    <t>R-175 ဟန္ဒယ္ရွပ္ (JW)</t>
  </si>
  <si>
    <t>6.5 ကာ/တာ</t>
  </si>
  <si>
    <t>S-1110 ေအေဇာဗူး (ရိုးရိုး) (ဘူးပါ) (JW)</t>
  </si>
  <si>
    <t>ဘက္ရွပ္တန္း(6P) 23T/54cm စိပ္ (6009)T</t>
  </si>
  <si>
    <t>ကာပရိုက္တာ 1ပင္ (150)A</t>
  </si>
  <si>
    <t>4" LiLi ပန္႕</t>
  </si>
  <si>
    <t>GP 6.5Hp Honda Engine</t>
  </si>
  <si>
    <t>ေရလည္ေရတိုင္ကီ(အလြတ္)A</t>
  </si>
  <si>
    <t>suloo ေၾကြစီး</t>
  </si>
  <si>
    <t>6.5ဆြဲအံု</t>
  </si>
  <si>
    <t>S-195 ပလန္ခ်ာအံု(JW)</t>
  </si>
  <si>
    <t>R-175 ဖလွိင္းဝွီး</t>
  </si>
  <si>
    <t>D ဘ.ထ 110ရွည္ 125</t>
  </si>
  <si>
    <t>ေအာက္ေမာင္းရွပ္ပါ</t>
  </si>
  <si>
    <t>Total Balance</t>
  </si>
  <si>
    <t>Content.Total Balance</t>
  </si>
  <si>
    <t>12ရစ္ပလပ္ NGK</t>
  </si>
  <si>
    <t>13ကာ/တာ(HD-B)</t>
  </si>
  <si>
    <t>2"ေနာ္ဇယ္တိုင္</t>
  </si>
  <si>
    <t>22Uဘေလာက္</t>
  </si>
  <si>
    <t>270စက္ပရင္အမာ</t>
  </si>
  <si>
    <t>3×62 ဆစ္ခ်ိန္း</t>
  </si>
  <si>
    <t>51×3က်ဥ္းB</t>
  </si>
  <si>
    <t>6 1/2 2ရြက္အထိုင္ ရွပ္တန္းလြတ္ရွည္</t>
  </si>
  <si>
    <t>6.5ေကာ္နတင္း STD</t>
  </si>
  <si>
    <t>LS.30ပန္႔ဘားစက္ပရင္</t>
  </si>
  <si>
    <t>R-175 ကင့္ပင္နယံ(အၾကီး)</t>
  </si>
  <si>
    <t>R-175 ကင့္မရွပ္ (ေငြၿပန္အမ္း)</t>
  </si>
  <si>
    <t>R-175 ထပ္ရိန္း 4R Ni-2 CYPR</t>
  </si>
  <si>
    <t>R-175 ဒီဘား (JW)</t>
  </si>
  <si>
    <t>R-175 ပလန္ခ်ာအံုအတြင္း Kitset</t>
  </si>
  <si>
    <t>R-175 ဘဲဒင္STD</t>
  </si>
  <si>
    <t>R-175 ေရေကာ္ဖံုး(ေကာ္)</t>
  </si>
  <si>
    <t>R-180 ကင့္မရွပ္ (2ဆင့္)(JW)</t>
  </si>
  <si>
    <t>R-180 ထပ္ရိန္း 4R Ni-2 CYPR</t>
  </si>
  <si>
    <t>R-180 ပါကင္စံု</t>
  </si>
  <si>
    <t>R-180 အင္ဂ်င္ဝိုင္စစ္ရွည္</t>
  </si>
  <si>
    <t>R-180A ကရိုင္း</t>
  </si>
  <si>
    <t>R-180A စလစ္ (JW)</t>
  </si>
  <si>
    <t>R-180A ပင္စတင္</t>
  </si>
  <si>
    <t>S-195ဒီဇယ္ဖစ္တာစစ္</t>
  </si>
  <si>
    <t>တစ္ဘီးထြန္ 14စြယ္ရွပ္ (ကီးတို)(JW)</t>
  </si>
  <si>
    <t xml:space="preserve">တစ္ဘီးထြန္ ေပါင္ရွပ္ </t>
  </si>
  <si>
    <t>တစ္ဘီးထြန္ ေပါင္ရွပ္ (TOYO)</t>
  </si>
  <si>
    <t>တစ္ဘီးထြန္ ေရကာပံုး(5)ခု</t>
  </si>
  <si>
    <t>တစ္ဘီးထြန္ေဘာပိတ္ အေပါက္ပါ</t>
  </si>
  <si>
    <t>ေငြလႊဲ - YGN (ပစၥည္းေငြၿပန္အမ္း)</t>
  </si>
  <si>
    <t>4T (1.5L)</t>
  </si>
  <si>
    <t xml:space="preserve"> DIESEL ENGINE R-180A</t>
  </si>
  <si>
    <t>ONE WHEEL Trator</t>
  </si>
  <si>
    <t>Q185 DIESEL ENGINE</t>
  </si>
  <si>
    <t>Q185 DIESEL ENGINE,ONE WHEEL</t>
  </si>
  <si>
    <t>(3)ဦးေငြက် +342000</t>
  </si>
  <si>
    <t>Dong Ben 150CC Frame-0189,0204</t>
  </si>
  <si>
    <t>Dong Ben 300CC Frame-1627,1649,1651</t>
  </si>
  <si>
    <t>ကိုေအာင္ကိုဆန္း ရက္ေက်ာ္ေၾကး ၿပန္ထည့္</t>
  </si>
  <si>
    <t>ကိုေအာင္ကိုဆန္း ေငြက်</t>
  </si>
  <si>
    <t>မေဒၚလာေငြက်</t>
  </si>
  <si>
    <t>သံုးဘီး(5)စီးေစ်းတတ္ေငြ</t>
  </si>
  <si>
    <t>သံုးဘီးဆိုင္ကယ္ဖိုးသြင္းေငြ</t>
  </si>
  <si>
    <t>30Aပစၥည္းစံု</t>
  </si>
  <si>
    <t>4"LiLi အင္ပါယ္လာ</t>
  </si>
  <si>
    <t>5မူးေရၿမဳပ္ပန္႕(AC)</t>
  </si>
  <si>
    <t>KAWA 75ရိန္း</t>
  </si>
  <si>
    <t>OMEGA</t>
  </si>
  <si>
    <t>ေငြလႊဲ - ေငြၿခားနားခ်က္</t>
  </si>
  <si>
    <t>14ေဂြ</t>
  </si>
  <si>
    <t>Toyo ေလ်ာဗန္း</t>
  </si>
  <si>
    <t>56 3Rအမ္းခံုစံု</t>
  </si>
  <si>
    <t>ဘီး110ေလ်ာဗန္း</t>
  </si>
  <si>
    <t>22CC ေရတိုင္ကီ</t>
  </si>
  <si>
    <t>400.8နားရြက္ၿပား</t>
  </si>
  <si>
    <t>400×8 တာယာ+ကၽြတ္</t>
  </si>
  <si>
    <t>DF 24သေရၿပား</t>
  </si>
  <si>
    <t>DF လီဘာၾကိဳး သံ</t>
  </si>
  <si>
    <t>TOYOတစ္ဘီးထြန္</t>
  </si>
  <si>
    <t>NASA</t>
  </si>
  <si>
    <t>ေငြလႊဲ - ပစၥည္းၿပန္ေပး</t>
  </si>
  <si>
    <t>NT70  DIESEL ENGINE</t>
  </si>
  <si>
    <t>PRATO Auto AWP 370W Pump</t>
  </si>
  <si>
    <t>TB-40ပန္႕ေခါင္းဝိုင္း</t>
  </si>
  <si>
    <t>20×55(4P) ဂ်ိဳင္းဂြတြဲ</t>
  </si>
  <si>
    <t>22×55 ခေရာေဘာA</t>
  </si>
  <si>
    <t>ကလပ္ကိုင္းအထိုင္ပါ</t>
  </si>
  <si>
    <t>ကလပ္အထိုင္ပီနယံ ရပစ္ထူ(200-6ခ်ပ္) (အၿပင္ထို) A</t>
  </si>
  <si>
    <t>ကေရာင္းဝိုင္1L ZF/A</t>
  </si>
  <si>
    <t>စတပ္ ေဘာထိုင္ နတ္ပါ(20လံု)A</t>
  </si>
  <si>
    <t>ပစၥတင္(CB-250)(std)BA</t>
  </si>
  <si>
    <t>ဘီးနတ္</t>
  </si>
  <si>
    <t>ဘေလာက္(SET)DC 250-70သံ A</t>
  </si>
  <si>
    <t>ေရလည္ေရတိုင္ကီ(အလြတ္)(ေရ Heatပါ)A</t>
  </si>
  <si>
    <t>ေသာ့အဖံုးေကာ္ၿပား</t>
  </si>
  <si>
    <t xml:space="preserve"> Content.Opening</t>
  </si>
  <si>
    <t xml:space="preserve"> Content.Purchase</t>
  </si>
  <si>
    <t xml:space="preserve"> Content.Payment</t>
  </si>
  <si>
    <t xml:space="preserve"> Content.Balance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</si>
</sst>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_(* #,##0_);_(* \(#,##0\);_(* &quot;-&quot;??_);_(@_)"/>
    <numFmt numFmtId="165" formatCode="\V\-00000"/>
    <numFmt numFmtId="166" formatCode="dd/mmmm/yyyy"/>
    <numFmt numFmtId="167" formatCode="\V\-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Zawgyi-One"/>
      <family val="2"/>
    </font>
    <font>
      <sz val="11"/>
      <color theme="1"/>
      <name val="Calibri"/>
      <family val="2"/>
      <scheme val="minor"/>
    </font>
    <font>
      <sz val="11"/>
      <color theme="1"/>
      <name val="Zawgyi-One"/>
      <family val="2"/>
    </font>
    <font>
      <b/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8"/>
      <name val="Calibri"/>
      <family val="2"/>
      <scheme val="minor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1"/>
      <name val="Zawgyi-One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18">
    <xf numFmtId="0" fontId="0" fillId="0" borderId="0" xfId="0"/>
    <xf numFmtId="0" fontId="3" fillId="0" borderId="0" xfId="0" applyFont="1"/>
    <xf numFmtId="0" fontId="4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3" borderId="1" xfId="0" applyFont="1" applyFill="1" applyBorder="1"/>
    <xf numFmtId="0" fontId="0" fillId="0" borderId="1" xfId="0" applyBorder="1" applyAlignment="1">
      <alignment horizontal="center"/>
    </xf>
    <xf numFmtId="0" fontId="3" fillId="0" borderId="1" xfId="0" applyFont="1" applyBorder="1"/>
    <xf numFmtId="0" fontId="3" fillId="0" borderId="0" xfId="0" applyFont="1" applyAlignment="1">
      <alignment horizontal="center"/>
    </xf>
    <xf numFmtId="164" fontId="3" fillId="0" borderId="0" xfId="1" applyNumberFormat="1" applyFont="1" applyAlignment="1">
      <alignment horizontal="center"/>
    </xf>
    <xf numFmtId="164" fontId="3" fillId="0" borderId="0" xfId="1" applyNumberFormat="1" applyFont="1" applyAlignment="1"/>
    <xf numFmtId="0" fontId="3" fillId="2" borderId="1" xfId="0" applyFont="1" applyFill="1" applyBorder="1"/>
    <xf numFmtId="165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166" fontId="3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4" fontId="5" fillId="0" borderId="0" xfId="0" applyNumberFormat="1" applyFont="1"/>
    <xf numFmtId="165" fontId="5" fillId="0" borderId="0" xfId="0" applyNumberFormat="1" applyFont="1" applyAlignment="1">
      <alignment horizontal="center"/>
    </xf>
    <xf numFmtId="164" fontId="5" fillId="0" borderId="0" xfId="1" applyNumberFormat="1" applyFont="1" applyAlignment="1"/>
    <xf numFmtId="166" fontId="5" fillId="0" borderId="0" xfId="0" applyNumberFormat="1" applyFont="1" applyAlignment="1">
      <alignment horizontal="center"/>
    </xf>
    <xf numFmtId="164" fontId="5" fillId="0" borderId="0" xfId="1" applyNumberFormat="1" applyFont="1" applyAlignment="1">
      <alignment horizontal="center"/>
    </xf>
    <xf numFmtId="164" fontId="3" fillId="3" borderId="1" xfId="1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0" fontId="3" fillId="3" borderId="2" xfId="0" applyFont="1" applyFill="1" applyBorder="1"/>
    <xf numFmtId="0" fontId="3" fillId="3" borderId="3" xfId="0" applyNumberFormat="1" applyFont="1" applyFill="1" applyBorder="1"/>
    <xf numFmtId="164" fontId="4" fillId="0" borderId="4" xfId="1" applyNumberFormat="1" applyFont="1" applyBorder="1" applyAlignment="1">
      <alignment horizontal="center"/>
    </xf>
    <xf numFmtId="0" fontId="4" fillId="0" borderId="0" xfId="0" applyFont="1"/>
    <xf numFmtId="0" fontId="3" fillId="0" borderId="0" xfId="0" applyNumberFormat="1" applyFont="1"/>
    <xf numFmtId="0" fontId="6" fillId="0" borderId="0" xfId="0" applyFont="1" applyAlignment="1">
      <alignment horizontal="center"/>
    </xf>
    <xf numFmtId="166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6" fillId="0" borderId="0" xfId="0" applyNumberFormat="1" applyFont="1"/>
    <xf numFmtId="164" fontId="6" fillId="0" borderId="0" xfId="1" applyNumberFormat="1" applyFont="1" applyAlignment="1">
      <alignment horizontal="center"/>
    </xf>
    <xf numFmtId="164" fontId="6" fillId="0" borderId="0" xfId="1" applyNumberFormat="1" applyFont="1" applyAlignment="1"/>
    <xf numFmtId="166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/>
    </xf>
    <xf numFmtId="0" fontId="7" fillId="0" borderId="0" xfId="0" applyNumberFormat="1" applyFont="1"/>
    <xf numFmtId="0" fontId="7" fillId="0" borderId="0" xfId="0" applyFont="1" applyAlignment="1">
      <alignment horizontal="center"/>
    </xf>
    <xf numFmtId="164" fontId="7" fillId="0" borderId="0" xfId="1" applyNumberFormat="1" applyFont="1" applyAlignment="1">
      <alignment horizontal="center"/>
    </xf>
    <xf numFmtId="164" fontId="7" fillId="0" borderId="0" xfId="1" applyNumberFormat="1" applyFont="1" applyAlignment="1"/>
    <xf numFmtId="165" fontId="8" fillId="0" borderId="0" xfId="0" applyNumberFormat="1" applyFont="1" applyAlignment="1">
      <alignment horizontal="center"/>
    </xf>
    <xf numFmtId="164" fontId="8" fillId="0" borderId="0" xfId="1" applyNumberFormat="1" applyFont="1" applyAlignment="1">
      <alignment horizontal="center"/>
    </xf>
    <xf numFmtId="164" fontId="8" fillId="0" borderId="0" xfId="1" applyNumberFormat="1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167" fontId="5" fillId="0" borderId="0" xfId="0" applyNumberFormat="1" applyFont="1"/>
    <xf numFmtId="12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0" fontId="1" fillId="0" borderId="0" xfId="0" applyNumberFormat="1" applyFont="1"/>
    <xf numFmtId="164" fontId="1" fillId="0" borderId="0" xfId="1" applyNumberFormat="1" applyFont="1" applyAlignment="1">
      <alignment horizontal="center"/>
    </xf>
    <xf numFmtId="164" fontId="1" fillId="0" borderId="0" xfId="1" applyNumberFormat="1" applyFont="1" applyAlignment="1"/>
    <xf numFmtId="0" fontId="9" fillId="0" borderId="0" xfId="0" applyNumberFormat="1" applyFont="1"/>
    <xf numFmtId="164" fontId="9" fillId="0" borderId="0" xfId="1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165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64" fontId="9" fillId="0" borderId="0" xfId="1" applyNumberFormat="1" applyFont="1" applyAlignment="1"/>
    <xf numFmtId="165" fontId="5" fillId="0" borderId="0" xfId="0" applyNumberFormat="1" applyFont="1"/>
    <xf numFmtId="166" fontId="10" fillId="0" borderId="0" xfId="0" applyNumberFormat="1" applyFont="1" applyAlignment="1">
      <alignment horizontal="center"/>
    </xf>
    <xf numFmtId="165" fontId="10" fillId="0" borderId="0" xfId="0" applyNumberFormat="1" applyFont="1" applyAlignment="1">
      <alignment horizontal="center"/>
    </xf>
    <xf numFmtId="0" fontId="10" fillId="0" borderId="0" xfId="0" applyNumberFormat="1" applyFont="1"/>
    <xf numFmtId="0" fontId="10" fillId="0" borderId="0" xfId="0" applyFont="1" applyAlignment="1">
      <alignment horizontal="center"/>
    </xf>
    <xf numFmtId="164" fontId="10" fillId="0" borderId="0" xfId="1" applyNumberFormat="1" applyFont="1" applyAlignment="1">
      <alignment horizontal="center"/>
    </xf>
    <xf numFmtId="164" fontId="10" fillId="0" borderId="0" xfId="1" applyNumberFormat="1" applyFont="1" applyAlignment="1"/>
    <xf numFmtId="12" fontId="10" fillId="0" borderId="0" xfId="0" applyNumberFormat="1" applyFont="1" applyAlignment="1">
      <alignment horizontal="center"/>
    </xf>
    <xf numFmtId="165" fontId="1" fillId="0" borderId="0" xfId="0" applyNumberFormat="1" applyFont="1"/>
    <xf numFmtId="167" fontId="3" fillId="0" borderId="0" xfId="0" applyNumberFormat="1" applyFont="1" applyAlignment="1">
      <alignment horizontal="center"/>
    </xf>
    <xf numFmtId="167" fontId="5" fillId="0" borderId="0" xfId="0" applyNumberFormat="1" applyFont="1" applyAlignment="1">
      <alignment horizontal="center"/>
    </xf>
    <xf numFmtId="167" fontId="10" fillId="0" borderId="0" xfId="0" applyNumberFormat="1" applyFont="1" applyAlignment="1">
      <alignment horizontal="center"/>
    </xf>
    <xf numFmtId="167" fontId="1" fillId="0" borderId="0" xfId="0" applyNumberFormat="1" applyFont="1"/>
    <xf numFmtId="167" fontId="3" fillId="0" borderId="0" xfId="0" applyNumberFormat="1" applyFont="1"/>
    <xf numFmtId="167" fontId="1" fillId="0" borderId="0" xfId="0" applyNumberFormat="1" applyFont="1" applyAlignment="1">
      <alignment horizontal="center"/>
    </xf>
    <xf numFmtId="165" fontId="10" fillId="0" borderId="0" xfId="0" applyNumberFormat="1" applyFont="1"/>
    <xf numFmtId="165" fontId="3" fillId="0" borderId="0" xfId="0" applyNumberFormat="1" applyFont="1"/>
    <xf numFmtId="15" fontId="3" fillId="0" borderId="0" xfId="0" applyNumberFormat="1" applyFont="1" applyAlignment="1">
      <alignment horizontal="center"/>
    </xf>
    <xf numFmtId="15" fontId="5" fillId="0" borderId="0" xfId="0" applyNumberFormat="1" applyFont="1" applyAlignment="1">
      <alignment horizontal="center"/>
    </xf>
    <xf numFmtId="15" fontId="10" fillId="0" borderId="0" xfId="0" applyNumberFormat="1" applyFont="1" applyAlignment="1">
      <alignment horizontal="center"/>
    </xf>
    <xf numFmtId="15" fontId="1" fillId="0" borderId="0" xfId="0" applyNumberFormat="1" applyFont="1" applyAlignment="1">
      <alignment horizontal="center"/>
    </xf>
    <xf numFmtId="165" fontId="9" fillId="0" borderId="0" xfId="0" applyNumberFormat="1" applyFont="1"/>
    <xf numFmtId="14" fontId="10" fillId="0" borderId="0" xfId="0" applyNumberFormat="1" applyFont="1"/>
    <xf numFmtId="15" fontId="10" fillId="0" borderId="0" xfId="0" applyNumberFormat="1" applyFont="1" applyAlignment="1">
      <alignment horizontal="center"/>
    </xf>
    <xf numFmtId="166" fontId="1" fillId="0" borderId="0" xfId="0" applyNumberFormat="1" applyFont="1"/>
    <xf numFmtId="166" fontId="0" fillId="0" borderId="0" xfId="0" applyNumberFormat="1"/>
    <xf numFmtId="38" fontId="1" fillId="0" borderId="0" xfId="0" applyNumberFormat="1" applyFont="1"/>
    <xf numFmtId="38" fontId="0" fillId="0" borderId="0" xfId="0" applyNumberFormat="1"/>
    <xf numFmtId="164" fontId="12" fillId="0" borderId="0" xfId="1" applyNumberFormat="1" applyFont="1" applyAlignment="1">
      <alignment horizontal="center"/>
    </xf>
    <xf numFmtId="15" fontId="12" fillId="0" borderId="0" xfId="0" applyNumberFormat="1" applyFont="1" applyAlignment="1">
      <alignment horizontal="center"/>
    </xf>
    <xf numFmtId="165" fontId="12" fillId="0" borderId="0" xfId="0" applyNumberFormat="1" applyFont="1"/>
    <xf numFmtId="165" fontId="12" fillId="0" borderId="0" xfId="0" applyNumberFormat="1" applyFont="1" applyAlignment="1">
      <alignment horizontal="center"/>
    </xf>
    <xf numFmtId="0" fontId="12" fillId="0" borderId="0" xfId="0" applyNumberFormat="1" applyFont="1"/>
    <xf numFmtId="0" fontId="12" fillId="0" borderId="0" xfId="0" applyFont="1" applyAlignment="1">
      <alignment horizontal="center"/>
    </xf>
    <xf numFmtId="164" fontId="12" fillId="0" borderId="0" xfId="1" applyNumberFormat="1" applyFont="1" applyAlignment="1"/>
    <xf numFmtId="166" fontId="13" fillId="0" borderId="0" xfId="0" applyNumberFormat="1" applyFont="1" applyAlignment="1">
      <alignment horizontal="center"/>
    </xf>
    <xf numFmtId="167" fontId="13" fillId="0" borderId="0" xfId="0" applyNumberFormat="1" applyFont="1" applyAlignment="1">
      <alignment horizontal="center"/>
    </xf>
    <xf numFmtId="165" fontId="13" fillId="0" borderId="0" xfId="0" applyNumberFormat="1" applyFont="1" applyAlignment="1">
      <alignment horizontal="center"/>
    </xf>
    <xf numFmtId="0" fontId="13" fillId="0" borderId="0" xfId="0" applyNumberFormat="1" applyFont="1"/>
    <xf numFmtId="0" fontId="13" fillId="0" borderId="0" xfId="0" applyFont="1" applyAlignment="1">
      <alignment horizontal="center"/>
    </xf>
    <xf numFmtId="164" fontId="13" fillId="0" borderId="0" xfId="1" applyNumberFormat="1" applyFont="1" applyAlignment="1">
      <alignment horizontal="center"/>
    </xf>
    <xf numFmtId="164" fontId="13" fillId="0" borderId="0" xfId="1" applyNumberFormat="1" applyFont="1" applyAlignment="1"/>
    <xf numFmtId="166" fontId="14" fillId="0" borderId="0" xfId="0" applyNumberFormat="1" applyFont="1" applyAlignment="1">
      <alignment horizontal="center"/>
    </xf>
    <xf numFmtId="165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4" fontId="14" fillId="0" borderId="0" xfId="1" applyNumberFormat="1" applyFont="1" applyAlignment="1">
      <alignment horizontal="center"/>
    </xf>
    <xf numFmtId="164" fontId="14" fillId="0" borderId="0" xfId="1" applyNumberFormat="1" applyFont="1" applyAlignment="1"/>
    <xf numFmtId="0" fontId="14" fillId="0" borderId="0" xfId="0" applyNumberFormat="1" applyFont="1"/>
    <xf numFmtId="12" fontId="14" fillId="0" borderId="0" xfId="0" applyNumberFormat="1" applyFont="1" applyAlignment="1">
      <alignment horizontal="center"/>
    </xf>
    <xf numFmtId="167" fontId="14" fillId="0" borderId="0" xfId="0" applyNumberFormat="1" applyFont="1" applyAlignment="1">
      <alignment horizontal="center"/>
    </xf>
    <xf numFmtId="165" fontId="14" fillId="0" borderId="0" xfId="0" applyNumberFormat="1" applyFont="1"/>
    <xf numFmtId="164" fontId="17" fillId="0" borderId="0" xfId="1" applyNumberFormat="1" applyFont="1" applyAlignment="1">
      <alignment horizontal="center"/>
    </xf>
    <xf numFmtId="166" fontId="17" fillId="0" borderId="0" xfId="0" applyNumberFormat="1" applyFont="1" applyAlignment="1">
      <alignment horizontal="center"/>
    </xf>
    <xf numFmtId="165" fontId="17" fillId="0" borderId="0" xfId="0" applyNumberFormat="1" applyFont="1" applyAlignment="1">
      <alignment horizontal="center"/>
    </xf>
    <xf numFmtId="0" fontId="17" fillId="0" borderId="0" xfId="0" applyNumberFormat="1" applyFont="1"/>
    <xf numFmtId="0" fontId="17" fillId="0" borderId="0" xfId="0" applyFont="1" applyAlignment="1">
      <alignment horizontal="center"/>
    </xf>
    <xf numFmtId="164" fontId="17" fillId="0" borderId="0" xfId="1" applyNumberFormat="1" applyFont="1" applyAlignment="1"/>
    <xf numFmtId="15" fontId="1" fillId="0" borderId="0" xfId="0" applyNumberFormat="1" applyFont="1"/>
    <xf numFmtId="164" fontId="1" fillId="0" borderId="0" xfId="1" applyNumberFormat="1" applyFont="1"/>
    <xf numFmtId="0" fontId="1" fillId="0" borderId="0" xfId="0" pivotButton="1" applyFont="1"/>
  </cellXfs>
  <cellStyles count="2">
    <cellStyle name="Comma" xfId="1" builtinId="3"/>
    <cellStyle name="Normal" xfId="0" builtinId="0"/>
  </cellStyles>
  <dxfs count="304"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6" formatCode="#,##0_);[Red]\(#,##0\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8" formatCode="d\-mmm\-yy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9" formatCode="_(* #,##0.0_);_(* \(#,##0.0\);_(* &quot;-&quot;??_);_(@_)"/>
    </dxf>
    <dxf>
      <numFmt numFmtId="169" formatCode="_(* #,##0.0_);_(* \(#,##0.0\);_(* &quot;-&quot;??_);_(@_)"/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\V\-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8" formatCode="d\-mmm\-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cer" refreshedDate="44354.458151620369" createdVersion="6" refreshedVersion="7" minRefreshableVersion="3" recordCount="156">
  <cacheSource type="worksheet">
    <worksheetSource name="Data_Combine"/>
  </cacheSource>
  <cacheFields count="10">
    <cacheField name="Content.Date" numFmtId="0">
      <sharedItems containsSemiMixedTypes="0" containsDate="1" containsString="0" containsMixedTypes="1" minDate="1900-01-06T15:50:04" maxDate="2021-05-08T00:00:00" count="62">
        <n v="44317"/>
        <n v="44343"/>
        <n v="44316"/>
        <n v="44319"/>
        <n v="44321"/>
        <n v="44326"/>
        <n v="44327"/>
        <n v="44328"/>
        <n v="44329"/>
        <n v="44330"/>
        <n v="44334"/>
        <n v="44335"/>
        <n v="44336"/>
        <n v="44337"/>
        <n v="44340"/>
        <n v="44342"/>
        <n v="44344"/>
        <n v="44345"/>
        <n v="44320"/>
        <n v="44338"/>
        <n v="44375"/>
        <n v="44323"/>
        <n v="44333"/>
        <n v="44331"/>
        <n v="44324"/>
        <n v="44314"/>
        <n v="44295" u="1"/>
        <d v="2021-04-07T00:00:00" u="1"/>
        <d v="2021-05-05T00:00:00" u="1"/>
        <d v="2021-04-19T00:00:00" u="1"/>
        <d v="2021-04-05T00:00:00" u="1"/>
        <d v="2021-04-24T00:00:00" u="1"/>
        <d v="2021-05-03T00:00:00" u="1"/>
        <d v="2021-04-10T00:00:00" u="1"/>
        <n v="44289" u="1"/>
        <n v="44309" u="1"/>
        <d v="2021-04-03T00:00:00" u="1"/>
        <d v="2021-05-08T00:00:00" u="1"/>
        <n v="44298" u="1"/>
        <d v="2021-05-01T00:00:00" u="1"/>
        <n v="44287" u="1"/>
        <n v="44307" u="1"/>
        <n v="44256" u="1"/>
        <d v="2021-04-08T00:00:00" u="1"/>
        <d v="2021-04-01T00:00:00" u="1"/>
        <n v="44305" u="1"/>
        <d v="2021-04-20T00:00:00" u="1"/>
        <d v="2021-04-06T00:00:00" u="1"/>
        <n v="44292" u="1"/>
        <d v="2021-05-04T00:00:00" u="1"/>
        <d v="2021-04-30T00:00:00" u="1"/>
        <d v="2021-04-23T00:00:00" u="1"/>
        <n v="44299" u="1"/>
        <n v="44288" u="1"/>
        <n v="44308" u="1"/>
        <d v="2021-04-09T00:00:00" u="1"/>
        <d v="2021-03-23T00:00:00" u="1"/>
        <d v="2021-04-28T00:00:00" u="1"/>
        <n v="44297" u="1"/>
        <d v="2021-04-02T00:00:00" u="1"/>
        <d v="2021-05-07T00:00:00" u="1"/>
        <d v="2021-04-21T00:00:00" u="1"/>
      </sharedItems>
    </cacheField>
    <cacheField name="Content.Vr.No" numFmtId="165">
      <sharedItems containsString="0" containsBlank="1" containsNumber="1" containsInteger="1" minValue="13" maxValue="470211"/>
    </cacheField>
    <cacheField name="Content.A/C Tipe" numFmtId="0">
      <sharedItems count="3">
        <s v="Opening"/>
        <s v="Payment"/>
        <s v="Purchase"/>
      </sharedItems>
    </cacheField>
    <cacheField name="Content.Supplier Name" numFmtId="0">
      <sharedItems count="25">
        <s v="Armax Engine Oil"/>
        <s v="Aspire Aim Machinery"/>
        <s v="Aung Myit Tar"/>
        <s v="GBS Co, LTD Tricycle"/>
        <s v="Delita International Limied"/>
        <s v="GBS Co, LTD Engine"/>
        <s v="GBS Spare"/>
        <s v="Ko Win Hlaing"/>
        <s v="Kyinn Loon Myanmar"/>
        <s v="Ma Au Bin"/>
        <s v="Mann Ayawadi"/>
        <s v="MDL Tricycle Spare"/>
        <s v="Moe Thauk Ayar"/>
        <s v="Sein Wut Hmon Co, LTD"/>
        <s v="Shwe Than Lwin"/>
        <s v="Shwe Yar Su"/>
        <s v="Super"/>
        <s v="Tat Shwe La Win "/>
        <s v="UMG Co,LTD"/>
        <s v="Zan (or) Mg Mg Soe"/>
        <s v="ဦးဝင္းသူ                  Cash  (ေငြလႊဲ - ဆိုင္)" u="1"/>
        <s v="ဦးေက်ာ္ဇင္ဦး             Cash  (ေငြလႊဲ - ဆိုင္)" u="1"/>
        <s v="ဦးဆန္းသူသံုးဘီး         Cash  (ေငြလႊဲ - ဆိုင္)" u="1"/>
        <s v="ကိုမ်ိဳးျမင့္စိုးသံုးဘီး        Cash  (ေငြလႊဲ - ဆိုင္)" u="1"/>
        <s v="ကိုလႈိင္မင္းထြန္းသံုးဘီး   Cash  (ေငြလႊဲ - ဆိုင္)" u="1"/>
      </sharedItems>
    </cacheField>
    <cacheField name="Content.Item Name" numFmtId="0">
      <sharedItems containsBlank="1" count="151">
        <s v="Opening"/>
        <s v="ေငြလႊဲ - YGN"/>
        <s v="R-180A ကရိုင္း"/>
        <s v="270စက္ပရင္အမာ"/>
        <s v="R-180 အင္ဂ်င္ဝိုင္စစ္ရွည္"/>
        <s v="R-180 ပါကင္စံု"/>
        <s v="R-175 ကင့္ပင္နယံ(အၾကီး)"/>
        <s v="13ကာ/တာ(HD-B)"/>
        <s v="22Uဘေလာက္"/>
        <s v="R-180A စလစ္ (JW)"/>
        <s v="S-195ဒီဇယ္ဖစ္တာစစ္"/>
        <s v="R-175 ဒီဘား (JW)"/>
        <s v="တစ္ဘီးထြန္ ေပါင္ရွပ္ (TOYO)"/>
        <s v="တစ္ဘီးထြန္ ေပါင္ရွပ္ "/>
        <s v="တစ္ဘီးထြန္ 14စြယ္ရွပ္ (ကီးတို)(JW)"/>
        <s v="51×3က်ဥ္းB"/>
        <s v="6 1/2 2ရြက္အထိုင္ ရွပ္တန္းလြတ္ရွည္"/>
        <s v="R-180 ကင့္မရွပ္ (2ဆင့္)(JW)"/>
        <s v="R-175 ေရေကာ္ဖံုး(ေကာ္)"/>
        <s v="R-175 ကင့္မရွပ္ (ေငြၿပန္အမ္း)"/>
        <s v="6.5ေကာ္နတင္း STD"/>
        <s v="တစ္ဘီးထြန္ေဘာပိတ္ အေပါက္ပါ"/>
        <s v="12ရစ္ပလပ္ NGK"/>
        <s v="R-175 ပလန္ခ်ာအံုအတြင္း Kitset"/>
        <s v="3×62 ဆစ္ခ်ိန္း"/>
        <s v="R-180 ထပ္ရိန္း 4R Ni-2 CYPR"/>
        <s v="R-175 ထပ္ရိန္း 4R Ni-2 CYPR"/>
        <s v="ေငြလႊဲ - YGN (ပစၥည္းေငြၿပန္အမ္း)"/>
        <s v="R-175 ဘဲဒင္STD"/>
        <s v="LS.30ပန္႔ဘားစက္ပရင္"/>
        <s v="R-180A ပင္စတင္"/>
        <s v="တစ္ဘီးထြန္ ေရကာပံုး(5)ခု"/>
        <s v="2&quot;ေနာ္ဇယ္တိုင္"/>
        <s v="Dong Ben 300CC Frame-1627,1649,1651"/>
        <s v="Dong Ben 150CC Frame-0189,0204"/>
        <s v="သံုးဘီးဆိုင္ကယ္ဖိုးသြင္းေငြ"/>
        <s v="မေဒၚလာေငြက်"/>
        <s v="ကိုေအာင္ကိုဆန္း ေငြက်"/>
        <s v="(3)ဦးေငြက် +342000"/>
        <s v="သံုးဘီး(5)စီးေစ်းတတ္ေငြ"/>
        <s v="ကိုေအာင္ကိုဆန္း ရက္ေက်ာ္ေၾကး ၿပန္ထည့္"/>
        <s v="4T (1.5L)"/>
        <s v="Q185 DIESEL ENGINE"/>
        <s v="ONE WHEEL Trator"/>
        <s v=" DIESEL ENGINE R-180A"/>
        <s v="Q185 DIESEL ENGINE,ONE WHEEL"/>
        <s v="ေငြလႊဲ - Mobile"/>
        <s v="ဘားစက္စံု"/>
        <s v="ပစၥည္းၿပန္ပို႕"/>
        <s v="R175 ပလန္ခ်ာ"/>
        <s v="စလစ္+(စီးကြင္းပါ)(က်ယ္)R-175JN"/>
        <s v="ဘားစပရိန္"/>
        <s v="အဲယားဗူး (ေဂါက္ပါ)R175/180(JN)"/>
        <s v="ေငြလႊဲ - ဆိုင္"/>
        <s v="ေငြလႊဲ - သံုးဘီး"/>
        <s v="4&quot;LiLi အင္ပါယ္လာ"/>
        <s v="OMEGA"/>
        <s v="KAWA 75ရိန္း"/>
        <s v="30Aပစၥည္းစံု"/>
        <s v="5မူးေရၿမဳပ္ပန္႕(AC)"/>
        <s v="ေငြလႊဲ - ေငြၿခားနားခ်က္"/>
        <s v="Toyo ေလ်ာဗန္း"/>
        <s v="14ေဂြ"/>
        <s v="ဘီး110ေလ်ာဗန္း"/>
        <s v="56 3Rအမ္းခံုစံု"/>
        <s v="22CC ေရတိုင္ကီ"/>
        <s v="TOYOတစ္ဘီးထြန္"/>
        <s v="400.8နားရြက္ၿပား"/>
        <s v="DF လီဘာၾကိဳး သံ"/>
        <s v="DF 24သေရၿပား"/>
        <s v="400×8 တာယာ+ကၽြတ္"/>
        <s v="ေငြလႊဲ - ပစၥည္းၿပန္ေပး"/>
        <s v="NASA"/>
        <s v="NT70  DIESEL ENGINE"/>
        <s v="PRATO Auto AWP 370W Pump"/>
        <s v="TB-40ပန္႕ေခါင္းဝိုင္း"/>
        <s v="22×55 ခေရာေဘာA"/>
        <s v="20×55(4P) ဂ်ိဳင္းဂြတြဲ"/>
        <s v="ကလပ္ကိုင္းအထိုင္ပါ"/>
        <s v="ေသာ့အဖံုးေကာ္ၿပား"/>
        <s v="ဘီးနတ္"/>
        <s v="ေရလည္ေရတိုင္ကီ(အလြတ္)(ေရ Heatပါ)A"/>
        <s v="စတပ္ ေဘာထိုင္ နတ္ပါ(20လံု)A"/>
        <s v="ကေရာင္းဝိုင္1L ZF/A"/>
        <s v="ပစၥတင္(CB-250)(std)BA"/>
        <s v="ကလပ္အထိုင္ပီနယံ ရပစ္ထူ(200-6ခ်ပ္) (အၿပင္ထို) A"/>
        <s v="ဘေလာက္(SET)DC 250-70သံ A"/>
        <s v="DFလက္ေမာင္းကိုင္း" u="1"/>
        <m u="1"/>
        <s v="ေရၾကည္ေရျမွဳပ္ေမာ္တာ" u="1"/>
        <s v="ဆြဲအံုစံု(နီ)(GX160)1ဖာ-20" u="1"/>
        <s v="ဆီဘရိတ္ရွဴးျခမ္းႀကီး" u="1"/>
        <s v="သံုျပားရွည္" u="1"/>
        <s v="တစ္ဘီးထြန္ 110" u="1"/>
        <s v="ဦးဝင္းသူ                  Cash  (ေငြလႊဲ - ဆိုင္)" u="1"/>
        <s v="ေငြလႊဲ- Mobile" u="1"/>
        <s v="SU50" u="1"/>
        <s v="6 1/2 2ရြက္ (B)" u="1"/>
        <s v="ဦးေက်ာ္ဇင္ဦး             Cash  (ေငြလႊဲ - ဆိုင္)" u="1"/>
        <s v="DFေပါင္အံု" u="1"/>
        <s v="ေရာင္စံုပါး" u="1"/>
        <s v="22ေကာင္ကြန္နတင္း" u="1"/>
        <s v="LB မို္င္းလစ္ခြက္ (လြတ္) (ရႊင္လန္း)" u="1"/>
        <s v="28-42ဂီယာေပါက္" u="1"/>
        <s v="မီးစက္နွစ္လံုးေငြၿပန္ပို႔" u="1"/>
        <s v="SU80" u="1"/>
        <s v="တစ္ဘီးထြန္14သြားရွပ္/ရွည္ (110) (JW)" u="1"/>
        <s v="ABK 6.5HP အထိုင္" u="1"/>
        <s v="ပလန္ခ်ာ" u="1"/>
        <s v="ဘေလာက္(SET)(300)" u="1"/>
        <s v="TOYOေလ်ာဗန္း" u="1"/>
        <s v="အဲယားစစ္175/180" u="1"/>
        <s v="ဦးဆန္းသူသံုးဘီး         Cash  (ေငြလႊဲ - ဆိုင္)" u="1"/>
        <s v="1&quot;လက္မၾကိဳးပိုက္(100)'အထူ" u="1"/>
        <s v="S-195 ပလန္ခ်ာအံုဆြဲနတ္(JW)" u="1"/>
        <s v="တစ္ဘီးထြန္ေပါင္ရွပ္" u="1"/>
        <s v="S-195 ေနာ္ဇယ္ပင္ၾကီး" u="1"/>
        <s v="ကိုမ်ိဳးျမင့္စိုးသံုးဘီး        Cash  (ေငြလႊဲ - ဆိုင္)" u="1"/>
        <s v="မာစတာပန္႔" u="1"/>
        <s v="စလစ္စံု" u="1"/>
        <s v="FULL SET" u="1"/>
        <s v="DAYUAN JET-550" u="1"/>
        <s v="(ေငြလႊဲ - ဆိုင္)" u="1"/>
        <s v="ပလန္ခ်ာ175/180" u="1"/>
        <s v="ဒိုင္အုပ္ၾကီး (6ဆ) T/A" u="1"/>
        <s v="630DD" u="1"/>
        <s v="B50/20" u="1"/>
        <s v="180 ကင့္ကာဘာ" u="1"/>
        <s v="Dayuan DKM60-2B 370W 220V Water Pump" u="1"/>
        <s v="DC Blower" u="1"/>
        <s v="ယူဘိုး(ေဒါင့္အေသး)220" u="1"/>
        <s v="25ကစ္စက္" u="1"/>
        <s v="11Tဘက္အံုပင္နယံကလိုင္းပါ" u="1"/>
        <s v="4&quot;သတၱဳ" u="1"/>
        <s v="NT70 DIESEL ENGINE" u="1"/>
        <s v="တစ္ဘီးထြန္5သံျပား" u="1"/>
        <s v="ဂီယာေဘာက္" u="1"/>
        <s v="4T" u="1"/>
        <s v="အဲယားဗူး" u="1"/>
        <s v="ဂတ္စကတ္က်ယ္" u="1"/>
        <s v="R-175 ဒီဘားဝါရွာ(JW)" u="1"/>
        <s v="ကိုလႈိင္မင္းထြန္းသံုးဘီး   Cash  (ေငြလႊဲ - ဆိုင္)" u="1"/>
        <s v="စလစ္ကစ္ဆက္(က်ယ္) (ခြက္)" u="1"/>
        <s v="ပစၥတင္" u="1"/>
        <s v="13ေကာင္ဆြဲၾကိဳးအၿဖဴ" u="1"/>
        <s v="R175ကြန္နတင္း" u="1"/>
        <s v="Rado22D မီးစက္(2000)" u="1"/>
        <s v="R180A စလစ္(JW)" u="1"/>
        <s v="6 1/2ကိြဳင္" u="1"/>
        <s v="999  90 ံC" u="1"/>
        <s v="ထြန္ခ်ိန္းအံု" u="1"/>
      </sharedItems>
    </cacheField>
    <cacheField name="Content.Opening" numFmtId="0">
      <sharedItems containsString="0" containsBlank="1" containsNumber="1" minValue="0" maxValue="38780000" count="32">
        <n v="630620"/>
        <m/>
        <n v="0"/>
        <n v="1496359"/>
        <n v="18952000"/>
        <n v="851960"/>
        <n v="3917000"/>
        <n v="4027640"/>
        <n v="1696980"/>
        <n v="738150"/>
        <n v="2208992"/>
        <n v="2778210"/>
        <n v="2754773"/>
        <n v="5502500"/>
        <n v="117000.01"/>
        <n v="1145500"/>
        <n v="143000"/>
        <n v="1528630"/>
        <n v="132500" u="1"/>
        <n v="2250335" u="1"/>
        <n v="2250700" u="1"/>
        <n v="1441917" u="1"/>
        <n v="829260" u="1"/>
        <n v="2184122" u="1"/>
        <n v="32492000" u="1"/>
        <n v="10325000" u="1"/>
        <n v="38780000" u="1"/>
        <n v="4080935" u="1"/>
        <n v="35000" u="1"/>
        <n v="689657" u="1"/>
        <n v="1809460" u="1"/>
        <n v="5934500" u="1"/>
      </sharedItems>
    </cacheField>
    <cacheField name="Content.Purchase" numFmtId="0">
      <sharedItems containsString="0" containsBlank="1" containsNumber="1" containsInteger="1" minValue="7600" maxValue="9270000"/>
    </cacheField>
    <cacheField name="Content.Payment" numFmtId="0">
      <sharedItems containsString="0" containsBlank="1" containsNumber="1" containsInteger="1" minValue="30000" maxValue="8866000"/>
    </cacheField>
    <cacheField name="Content.Balance" numFmtId="0">
      <sharedItems containsSemiMixedTypes="0" containsString="0" containsNumber="1" minValue="-8866000" maxValue="18952000"/>
    </cacheField>
    <cacheField name="Name" numFmtId="0">
      <sharedItems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6">
  <r>
    <x v="0"/>
    <m/>
    <x v="0"/>
    <x v="0"/>
    <x v="0"/>
    <x v="0"/>
    <m/>
    <m/>
    <n v="630620"/>
    <s v="Armax"/>
  </r>
  <r>
    <x v="1"/>
    <n v="269"/>
    <x v="1"/>
    <x v="0"/>
    <x v="1"/>
    <x v="1"/>
    <m/>
    <n v="44000"/>
    <n v="-44000"/>
    <s v="Armax"/>
  </r>
  <r>
    <x v="0"/>
    <m/>
    <x v="0"/>
    <x v="1"/>
    <x v="0"/>
    <x v="2"/>
    <m/>
    <m/>
    <n v="0"/>
    <s v="AAM"/>
  </r>
  <r>
    <x v="2"/>
    <n v="48451"/>
    <x v="2"/>
    <x v="2"/>
    <x v="2"/>
    <x v="1"/>
    <n v="180249"/>
    <m/>
    <n v="180249"/>
    <s v="AMT"/>
  </r>
  <r>
    <x v="0"/>
    <m/>
    <x v="0"/>
    <x v="2"/>
    <x v="0"/>
    <x v="3"/>
    <m/>
    <m/>
    <n v="1496359"/>
    <s v="AMT"/>
  </r>
  <r>
    <x v="3"/>
    <n v="2288"/>
    <x v="1"/>
    <x v="2"/>
    <x v="1"/>
    <x v="1"/>
    <m/>
    <n v="1496359"/>
    <n v="-1496359"/>
    <s v="AMT"/>
  </r>
  <r>
    <x v="3"/>
    <n v="21158"/>
    <x v="2"/>
    <x v="2"/>
    <x v="3"/>
    <x v="1"/>
    <n v="19600"/>
    <m/>
    <n v="19600"/>
    <s v="AMT"/>
  </r>
  <r>
    <x v="3"/>
    <n v="48486"/>
    <x v="2"/>
    <x v="2"/>
    <x v="4"/>
    <x v="1"/>
    <n v="236124"/>
    <m/>
    <n v="236124"/>
    <s v="AMT"/>
  </r>
  <r>
    <x v="4"/>
    <n v="48527"/>
    <x v="2"/>
    <x v="2"/>
    <x v="5"/>
    <x v="1"/>
    <n v="134604"/>
    <m/>
    <n v="134604"/>
    <s v="AMT"/>
  </r>
  <r>
    <x v="5"/>
    <n v="48640"/>
    <x v="2"/>
    <x v="2"/>
    <x v="6"/>
    <x v="1"/>
    <n v="374375"/>
    <m/>
    <n v="374375"/>
    <s v="AMT"/>
  </r>
  <r>
    <x v="6"/>
    <n v="21209"/>
    <x v="2"/>
    <x v="2"/>
    <x v="7"/>
    <x v="1"/>
    <n v="49000"/>
    <m/>
    <n v="49000"/>
    <s v="AMT"/>
  </r>
  <r>
    <x v="6"/>
    <n v="21337"/>
    <x v="2"/>
    <x v="2"/>
    <x v="8"/>
    <x v="1"/>
    <n v="107000"/>
    <m/>
    <n v="107000"/>
    <s v="AMT"/>
  </r>
  <r>
    <x v="7"/>
    <n v="48702"/>
    <x v="2"/>
    <x v="2"/>
    <x v="9"/>
    <x v="1"/>
    <n v="709987"/>
    <m/>
    <n v="709987"/>
    <s v="AMT"/>
  </r>
  <r>
    <x v="8"/>
    <n v="2332"/>
    <x v="1"/>
    <x v="2"/>
    <x v="1"/>
    <x v="1"/>
    <m/>
    <n v="1000000"/>
    <n v="-1000000"/>
    <s v="AMT"/>
  </r>
  <r>
    <x v="8"/>
    <n v="48751"/>
    <x v="2"/>
    <x v="2"/>
    <x v="10"/>
    <x v="1"/>
    <n v="80830"/>
    <m/>
    <n v="80830"/>
    <s v="AMT"/>
  </r>
  <r>
    <x v="8"/>
    <n v="48740"/>
    <x v="2"/>
    <x v="2"/>
    <x v="11"/>
    <x v="1"/>
    <n v="87670"/>
    <m/>
    <n v="87670"/>
    <s v="AMT"/>
  </r>
  <r>
    <x v="9"/>
    <n v="48773"/>
    <x v="2"/>
    <x v="2"/>
    <x v="12"/>
    <x v="1"/>
    <n v="120465"/>
    <m/>
    <n v="120465"/>
    <s v="AMT"/>
  </r>
  <r>
    <x v="9"/>
    <n v="48762"/>
    <x v="2"/>
    <x v="2"/>
    <x v="13"/>
    <x v="1"/>
    <n v="520465"/>
    <m/>
    <n v="520465"/>
    <s v="AMT"/>
  </r>
  <r>
    <x v="10"/>
    <n v="48821"/>
    <x v="2"/>
    <x v="2"/>
    <x v="14"/>
    <x v="1"/>
    <n v="54540"/>
    <m/>
    <n v="54540"/>
    <s v="AMT"/>
  </r>
  <r>
    <x v="11"/>
    <n v="21238"/>
    <x v="2"/>
    <x v="2"/>
    <x v="15"/>
    <x v="1"/>
    <n v="22900"/>
    <m/>
    <n v="22900"/>
    <s v="AMT"/>
  </r>
  <r>
    <x v="11"/>
    <n v="21240"/>
    <x v="2"/>
    <x v="2"/>
    <x v="16"/>
    <x v="1"/>
    <n v="45000"/>
    <m/>
    <n v="45000"/>
    <s v="AMT"/>
  </r>
  <r>
    <x v="11"/>
    <n v="48883"/>
    <x v="2"/>
    <x v="2"/>
    <x v="17"/>
    <x v="1"/>
    <n v="53040"/>
    <m/>
    <n v="53040"/>
    <s v="AMT"/>
  </r>
  <r>
    <x v="11"/>
    <n v="48876"/>
    <x v="2"/>
    <x v="2"/>
    <x v="18"/>
    <x v="1"/>
    <n v="219280"/>
    <m/>
    <n v="219280"/>
    <s v="AMT"/>
  </r>
  <r>
    <x v="11"/>
    <m/>
    <x v="1"/>
    <x v="2"/>
    <x v="19"/>
    <x v="1"/>
    <m/>
    <n v="47760"/>
    <n v="-47760"/>
    <s v="AMT"/>
  </r>
  <r>
    <x v="11"/>
    <n v="2349"/>
    <x v="1"/>
    <x v="2"/>
    <x v="1"/>
    <x v="1"/>
    <m/>
    <n v="1000000"/>
    <n v="-1000000"/>
    <s v="AMT"/>
  </r>
  <r>
    <x v="12"/>
    <n v="21241"/>
    <x v="2"/>
    <x v="2"/>
    <x v="20"/>
    <x v="1"/>
    <n v="55500"/>
    <m/>
    <n v="55500"/>
    <s v="AMT"/>
  </r>
  <r>
    <x v="12"/>
    <n v="48907"/>
    <x v="2"/>
    <x v="2"/>
    <x v="21"/>
    <x v="1"/>
    <n v="183710"/>
    <m/>
    <n v="183710"/>
    <s v="AMT"/>
  </r>
  <r>
    <x v="13"/>
    <n v="48938"/>
    <x v="2"/>
    <x v="2"/>
    <x v="4"/>
    <x v="1"/>
    <n v="18164"/>
    <m/>
    <n v="18164"/>
    <s v="AMT"/>
  </r>
  <r>
    <x v="14"/>
    <n v="2369"/>
    <x v="1"/>
    <x v="2"/>
    <x v="1"/>
    <x v="1"/>
    <m/>
    <n v="1000000"/>
    <n v="-1000000"/>
    <s v="AMT"/>
  </r>
  <r>
    <x v="14"/>
    <n v="48977"/>
    <x v="2"/>
    <x v="2"/>
    <x v="11"/>
    <x v="1"/>
    <n v="1094002"/>
    <m/>
    <n v="1094002"/>
    <s v="AMT"/>
  </r>
  <r>
    <x v="14"/>
    <n v="21249"/>
    <x v="2"/>
    <x v="2"/>
    <x v="22"/>
    <x v="1"/>
    <n v="40250"/>
    <m/>
    <n v="40250"/>
    <s v="AMT"/>
  </r>
  <r>
    <x v="15"/>
    <n v="48998"/>
    <x v="2"/>
    <x v="2"/>
    <x v="23"/>
    <x v="1"/>
    <n v="155080"/>
    <m/>
    <n v="155080"/>
    <s v="AMT"/>
  </r>
  <r>
    <x v="1"/>
    <n v="21258"/>
    <x v="2"/>
    <x v="2"/>
    <x v="24"/>
    <x v="1"/>
    <n v="35000"/>
    <m/>
    <n v="35000"/>
    <s v="AMT"/>
  </r>
  <r>
    <x v="1"/>
    <n v="49032"/>
    <x v="2"/>
    <x v="2"/>
    <x v="25"/>
    <x v="1"/>
    <n v="182355"/>
    <m/>
    <n v="182355"/>
    <s v="AMT"/>
  </r>
  <r>
    <x v="16"/>
    <n v="49064"/>
    <x v="2"/>
    <x v="2"/>
    <x v="26"/>
    <x v="1"/>
    <n v="149184"/>
    <m/>
    <n v="149184"/>
    <s v="AMT"/>
  </r>
  <r>
    <x v="17"/>
    <m/>
    <x v="1"/>
    <x v="2"/>
    <x v="27"/>
    <x v="1"/>
    <m/>
    <n v="41000"/>
    <n v="-41000"/>
    <s v="AMT"/>
  </r>
  <r>
    <x v="17"/>
    <n v="2392"/>
    <x v="1"/>
    <x v="2"/>
    <x v="1"/>
    <x v="1"/>
    <m/>
    <n v="1500000"/>
    <n v="-1500000"/>
    <s v="AMT"/>
  </r>
  <r>
    <x v="17"/>
    <n v="49111"/>
    <x v="2"/>
    <x v="2"/>
    <x v="28"/>
    <x v="1"/>
    <n v="64845"/>
    <m/>
    <n v="64845"/>
    <s v="AMT"/>
  </r>
  <r>
    <x v="17"/>
    <n v="21275"/>
    <x v="2"/>
    <x v="2"/>
    <x v="29"/>
    <x v="1"/>
    <n v="18000"/>
    <m/>
    <n v="18000"/>
    <s v="AMT"/>
  </r>
  <r>
    <x v="17"/>
    <n v="49090"/>
    <x v="2"/>
    <x v="2"/>
    <x v="30"/>
    <x v="1"/>
    <n v="585745"/>
    <m/>
    <n v="585745"/>
    <s v="AMT"/>
  </r>
  <r>
    <x v="12"/>
    <n v="48907"/>
    <x v="2"/>
    <x v="2"/>
    <x v="31"/>
    <x v="1"/>
    <n v="105000"/>
    <m/>
    <n v="105000"/>
    <s v="AMT"/>
  </r>
  <r>
    <x v="12"/>
    <n v="48907"/>
    <x v="2"/>
    <x v="2"/>
    <x v="32"/>
    <x v="1"/>
    <n v="8000"/>
    <m/>
    <n v="8000"/>
    <s v="AMT"/>
  </r>
  <r>
    <x v="12"/>
    <n v="48907"/>
    <x v="2"/>
    <x v="2"/>
    <x v="32"/>
    <x v="1"/>
    <n v="7600"/>
    <m/>
    <n v="7600"/>
    <s v="AMT"/>
  </r>
  <r>
    <x v="0"/>
    <m/>
    <x v="0"/>
    <x v="3"/>
    <x v="0"/>
    <x v="4"/>
    <m/>
    <m/>
    <n v="18952000"/>
    <s v="GBS_TRI"/>
  </r>
  <r>
    <x v="18"/>
    <n v="811"/>
    <x v="2"/>
    <x v="3"/>
    <x v="33"/>
    <x v="1"/>
    <n v="9270000"/>
    <m/>
    <n v="9270000"/>
    <s v="GBS_TRI"/>
  </r>
  <r>
    <x v="18"/>
    <n v="29027"/>
    <x v="2"/>
    <x v="3"/>
    <x v="34"/>
    <x v="1"/>
    <n v="4300000"/>
    <m/>
    <n v="4300000"/>
    <s v="GBS_TRI"/>
  </r>
  <r>
    <x v="11"/>
    <n v="12933"/>
    <x v="1"/>
    <x v="3"/>
    <x v="35"/>
    <x v="1"/>
    <m/>
    <n v="2320000"/>
    <n v="-2320000"/>
    <s v="GBS_TRI"/>
  </r>
  <r>
    <x v="11"/>
    <n v="12933"/>
    <x v="1"/>
    <x v="3"/>
    <x v="35"/>
    <x v="1"/>
    <m/>
    <n v="2150000"/>
    <n v="-2150000"/>
    <s v="GBS_TRI"/>
  </r>
  <r>
    <x v="5"/>
    <m/>
    <x v="1"/>
    <x v="3"/>
    <x v="36"/>
    <x v="1"/>
    <m/>
    <n v="2380000"/>
    <n v="-2380000"/>
    <s v="GBS_TRI"/>
  </r>
  <r>
    <x v="8"/>
    <m/>
    <x v="1"/>
    <x v="3"/>
    <x v="37"/>
    <x v="1"/>
    <m/>
    <n v="3090000"/>
    <n v="-3090000"/>
    <s v="GBS_TRI"/>
  </r>
  <r>
    <x v="8"/>
    <m/>
    <x v="1"/>
    <x v="3"/>
    <x v="38"/>
    <x v="1"/>
    <m/>
    <n v="8866000"/>
    <n v="-8866000"/>
    <s v="GBS_TRI"/>
  </r>
  <r>
    <x v="15"/>
    <m/>
    <x v="2"/>
    <x v="3"/>
    <x v="39"/>
    <x v="1"/>
    <n v="3000000"/>
    <m/>
    <n v="3000000"/>
    <s v="GBS_TRI"/>
  </r>
  <r>
    <x v="7"/>
    <m/>
    <x v="2"/>
    <x v="3"/>
    <x v="40"/>
    <x v="1"/>
    <n v="24000"/>
    <m/>
    <n v="24000"/>
    <s v="GBS_TRI"/>
  </r>
  <r>
    <x v="0"/>
    <m/>
    <x v="0"/>
    <x v="4"/>
    <x v="0"/>
    <x v="5"/>
    <m/>
    <m/>
    <n v="851960"/>
    <s v="DTL"/>
  </r>
  <r>
    <x v="8"/>
    <n v="40129"/>
    <x v="1"/>
    <x v="4"/>
    <x v="1"/>
    <x v="1"/>
    <m/>
    <n v="852000"/>
    <n v="-852000"/>
    <s v="DTL"/>
  </r>
  <r>
    <x v="8"/>
    <n v="45296"/>
    <x v="2"/>
    <x v="4"/>
    <x v="41"/>
    <x v="1"/>
    <n v="980400"/>
    <m/>
    <n v="980400"/>
    <s v="DTL"/>
  </r>
  <r>
    <x v="0"/>
    <m/>
    <x v="0"/>
    <x v="5"/>
    <x v="0"/>
    <x v="6"/>
    <m/>
    <m/>
    <n v="3917000"/>
    <s v="GBS_ENG"/>
  </r>
  <r>
    <x v="3"/>
    <n v="12785"/>
    <x v="1"/>
    <x v="5"/>
    <x v="1"/>
    <x v="1"/>
    <m/>
    <n v="906000"/>
    <n v="-906000"/>
    <s v="GBS_ENG"/>
  </r>
  <r>
    <x v="3"/>
    <n v="1457"/>
    <x v="2"/>
    <x v="5"/>
    <x v="42"/>
    <x v="1"/>
    <n v="2488000"/>
    <m/>
    <n v="2488000"/>
    <s v="GBS_ENG"/>
  </r>
  <r>
    <x v="18"/>
    <n v="1457"/>
    <x v="2"/>
    <x v="5"/>
    <x v="42"/>
    <x v="1"/>
    <n v="2177000"/>
    <m/>
    <n v="2177000"/>
    <s v="GBS_ENG"/>
  </r>
  <r>
    <x v="18"/>
    <n v="1483"/>
    <x v="2"/>
    <x v="5"/>
    <x v="43"/>
    <x v="1"/>
    <n v="3700000"/>
    <m/>
    <n v="3700000"/>
    <s v="GBS_ENG"/>
  </r>
  <r>
    <x v="5"/>
    <n v="12842"/>
    <x v="1"/>
    <x v="5"/>
    <x v="1"/>
    <x v="1"/>
    <m/>
    <n v="2000000"/>
    <n v="-2000000"/>
    <s v="GBS_ENG"/>
  </r>
  <r>
    <x v="5"/>
    <m/>
    <x v="1"/>
    <x v="5"/>
    <x v="1"/>
    <x v="1"/>
    <m/>
    <n v="600000"/>
    <n v="-600000"/>
    <s v="GBS_ENG"/>
  </r>
  <r>
    <x v="6"/>
    <n v="2899"/>
    <x v="1"/>
    <x v="5"/>
    <x v="44"/>
    <x v="1"/>
    <n v="570000"/>
    <m/>
    <n v="570000"/>
    <s v="GBS_ENG"/>
  </r>
  <r>
    <x v="9"/>
    <n v="2199"/>
    <x v="1"/>
    <x v="5"/>
    <x v="1"/>
    <x v="1"/>
    <m/>
    <n v="8596000"/>
    <n v="-8596000"/>
    <s v="GBS_ENG"/>
  </r>
  <r>
    <x v="16"/>
    <n v="3043"/>
    <x v="2"/>
    <x v="5"/>
    <x v="45"/>
    <x v="1"/>
    <n v="746000"/>
    <m/>
    <n v="746000"/>
    <s v="GBS_ENG"/>
  </r>
  <r>
    <x v="16"/>
    <n v="13006"/>
    <x v="1"/>
    <x v="5"/>
    <x v="1"/>
    <x v="1"/>
    <m/>
    <n v="2966000"/>
    <n v="-2966000"/>
    <s v="GBS_ENG"/>
  </r>
  <r>
    <x v="1"/>
    <n v="3029"/>
    <x v="2"/>
    <x v="5"/>
    <x v="42"/>
    <x v="1"/>
    <n v="1119000"/>
    <m/>
    <n v="1119000"/>
    <s v="GBS_ENG"/>
  </r>
  <r>
    <x v="1"/>
    <n v="12994"/>
    <x v="1"/>
    <x v="5"/>
    <x v="1"/>
    <x v="1"/>
    <m/>
    <n v="1119000"/>
    <n v="-1119000"/>
    <s v="GBS_ENG"/>
  </r>
  <r>
    <x v="19"/>
    <n v="2997"/>
    <x v="2"/>
    <x v="5"/>
    <x v="45"/>
    <x v="1"/>
    <n v="3197000"/>
    <m/>
    <n v="3197000"/>
    <s v="GBS_ENG"/>
  </r>
  <r>
    <x v="19"/>
    <n v="12960"/>
    <x v="1"/>
    <x v="5"/>
    <x v="1"/>
    <x v="1"/>
    <m/>
    <n v="3197000"/>
    <n v="-3197000"/>
    <s v="GBS_ENG"/>
  </r>
  <r>
    <x v="10"/>
    <n v="2959"/>
    <x v="2"/>
    <x v="5"/>
    <x v="42"/>
    <x v="1"/>
    <n v="1119000"/>
    <m/>
    <n v="1119000"/>
    <s v="GBS_ENG"/>
  </r>
  <r>
    <x v="10"/>
    <n v="12910"/>
    <x v="1"/>
    <x v="5"/>
    <x v="1"/>
    <x v="1"/>
    <m/>
    <n v="1119000"/>
    <n v="-1119000"/>
    <s v="GBS_ENG"/>
  </r>
  <r>
    <x v="20"/>
    <n v="3043"/>
    <x v="2"/>
    <x v="5"/>
    <x v="43"/>
    <x v="1"/>
    <n v="2220000"/>
    <m/>
    <n v="2220000"/>
    <s v="GBS_ENG"/>
  </r>
  <r>
    <x v="0"/>
    <m/>
    <x v="0"/>
    <x v="6"/>
    <x v="0"/>
    <x v="7"/>
    <m/>
    <m/>
    <n v="4027640"/>
    <s v="GBS_SP"/>
  </r>
  <r>
    <x v="3"/>
    <m/>
    <x v="1"/>
    <x v="6"/>
    <x v="46"/>
    <x v="1"/>
    <m/>
    <n v="1000090"/>
    <n v="-1000090"/>
    <s v="GBS_SP"/>
  </r>
  <r>
    <x v="3"/>
    <m/>
    <x v="2"/>
    <x v="6"/>
    <x v="47"/>
    <x v="1"/>
    <n v="1209500"/>
    <m/>
    <n v="1209500"/>
    <s v="GBS_SP"/>
  </r>
  <r>
    <x v="4"/>
    <m/>
    <x v="1"/>
    <x v="6"/>
    <x v="48"/>
    <x v="1"/>
    <m/>
    <n v="71100"/>
    <n v="-71100"/>
    <s v="GBS_SP"/>
  </r>
  <r>
    <x v="4"/>
    <n v="1347"/>
    <x v="2"/>
    <x v="6"/>
    <x v="49"/>
    <x v="1"/>
    <n v="238000"/>
    <m/>
    <n v="238000"/>
    <s v="GBS_SP"/>
  </r>
  <r>
    <x v="21"/>
    <n v="14725"/>
    <x v="2"/>
    <x v="6"/>
    <x v="50"/>
    <x v="1"/>
    <n v="184000"/>
    <m/>
    <n v="184000"/>
    <s v="GBS_SP"/>
  </r>
  <r>
    <x v="21"/>
    <m/>
    <x v="1"/>
    <x v="6"/>
    <x v="1"/>
    <x v="1"/>
    <m/>
    <n v="200000"/>
    <n v="-200000"/>
    <s v="GBS_SP"/>
  </r>
  <r>
    <x v="5"/>
    <m/>
    <x v="2"/>
    <x v="6"/>
    <x v="51"/>
    <x v="1"/>
    <n v="439100"/>
    <m/>
    <n v="439100"/>
    <s v="GBS_SP"/>
  </r>
  <r>
    <x v="6"/>
    <m/>
    <x v="1"/>
    <x v="6"/>
    <x v="1"/>
    <x v="1"/>
    <m/>
    <n v="550000"/>
    <n v="-550000"/>
    <s v="GBS_SP"/>
  </r>
  <r>
    <x v="8"/>
    <m/>
    <x v="1"/>
    <x v="6"/>
    <x v="1"/>
    <x v="1"/>
    <m/>
    <n v="400000"/>
    <n v="-400000"/>
    <s v="GBS_SP"/>
  </r>
  <r>
    <x v="8"/>
    <n v="5620"/>
    <x v="2"/>
    <x v="6"/>
    <x v="52"/>
    <x v="1"/>
    <n v="355800"/>
    <m/>
    <n v="355800"/>
    <s v="GBS_SP"/>
  </r>
  <r>
    <x v="22"/>
    <m/>
    <x v="1"/>
    <x v="6"/>
    <x v="53"/>
    <x v="1"/>
    <m/>
    <n v="2000000"/>
    <n v="-2000000"/>
    <s v="GBS_SP"/>
  </r>
  <r>
    <x v="6"/>
    <m/>
    <x v="1"/>
    <x v="6"/>
    <x v="54"/>
    <x v="1"/>
    <m/>
    <n v="120000"/>
    <n v="-120000"/>
    <s v="GBS_SP"/>
  </r>
  <r>
    <x v="8"/>
    <m/>
    <x v="1"/>
    <x v="6"/>
    <x v="54"/>
    <x v="1"/>
    <m/>
    <n v="114000"/>
    <n v="-114000"/>
    <s v="GBS_SP"/>
  </r>
  <r>
    <x v="23"/>
    <m/>
    <x v="1"/>
    <x v="6"/>
    <x v="54"/>
    <x v="1"/>
    <m/>
    <n v="250000"/>
    <n v="-250000"/>
    <s v="GBS_SP"/>
  </r>
  <r>
    <x v="17"/>
    <m/>
    <x v="1"/>
    <x v="6"/>
    <x v="1"/>
    <x v="1"/>
    <m/>
    <n v="611500"/>
    <n v="-611500"/>
    <s v="GBS_SP"/>
  </r>
  <r>
    <x v="0"/>
    <m/>
    <x v="0"/>
    <x v="7"/>
    <x v="0"/>
    <x v="8"/>
    <m/>
    <m/>
    <n v="1696980"/>
    <s v="KWH"/>
  </r>
  <r>
    <x v="3"/>
    <n v="7296"/>
    <x v="2"/>
    <x v="7"/>
    <x v="55"/>
    <x v="1"/>
    <n v="213150"/>
    <m/>
    <n v="213150"/>
    <s v="KWH"/>
  </r>
  <r>
    <x v="6"/>
    <n v="7297"/>
    <x v="2"/>
    <x v="7"/>
    <x v="56"/>
    <x v="1"/>
    <n v="270500"/>
    <m/>
    <n v="270500"/>
    <s v="KWH"/>
  </r>
  <r>
    <x v="17"/>
    <n v="220"/>
    <x v="1"/>
    <x v="7"/>
    <x v="1"/>
    <x v="1"/>
    <m/>
    <n v="1000000"/>
    <n v="-1000000"/>
    <s v="KWH"/>
  </r>
  <r>
    <x v="17"/>
    <n v="2801"/>
    <x v="2"/>
    <x v="7"/>
    <x v="57"/>
    <x v="1"/>
    <n v="23500"/>
    <m/>
    <n v="23500"/>
    <s v="KWH"/>
  </r>
  <r>
    <x v="14"/>
    <n v="7300"/>
    <x v="2"/>
    <x v="7"/>
    <x v="58"/>
    <x v="1"/>
    <n v="131500"/>
    <m/>
    <n v="131500"/>
    <s v="KWH"/>
  </r>
  <r>
    <x v="19"/>
    <n v="7299"/>
    <x v="2"/>
    <x v="7"/>
    <x v="59"/>
    <x v="1"/>
    <n v="270000"/>
    <m/>
    <n v="270000"/>
    <s v="KWH"/>
  </r>
  <r>
    <x v="0"/>
    <m/>
    <x v="0"/>
    <x v="8"/>
    <x v="0"/>
    <x v="9"/>
    <m/>
    <m/>
    <n v="738150"/>
    <s v="KYINNLOON"/>
  </r>
  <r>
    <x v="24"/>
    <m/>
    <x v="1"/>
    <x v="8"/>
    <x v="60"/>
    <x v="1"/>
    <m/>
    <n v="44250"/>
    <n v="-44250"/>
    <s v="KYINNLOON"/>
  </r>
  <r>
    <x v="8"/>
    <n v="194"/>
    <x v="1"/>
    <x v="8"/>
    <x v="1"/>
    <x v="1"/>
    <m/>
    <n v="693900"/>
    <n v="-693900"/>
    <s v="KYINNLOON"/>
  </r>
  <r>
    <x v="0"/>
    <m/>
    <x v="0"/>
    <x v="9"/>
    <x v="0"/>
    <x v="2"/>
    <m/>
    <m/>
    <n v="0"/>
    <s v="MOB"/>
  </r>
  <r>
    <x v="24"/>
    <n v="9132"/>
    <x v="2"/>
    <x v="9"/>
    <x v="61"/>
    <x v="1"/>
    <n v="200000"/>
    <m/>
    <n v="200000"/>
    <s v="MOB"/>
  </r>
  <r>
    <x v="8"/>
    <n v="9417"/>
    <x v="1"/>
    <x v="9"/>
    <x v="1"/>
    <x v="1"/>
    <m/>
    <n v="200000"/>
    <n v="-200000"/>
    <s v="MOB"/>
  </r>
  <r>
    <x v="11"/>
    <n v="9143"/>
    <x v="2"/>
    <x v="9"/>
    <x v="62"/>
    <x v="1"/>
    <n v="267000"/>
    <m/>
    <n v="267000"/>
    <s v="MOB"/>
  </r>
  <r>
    <x v="14"/>
    <n v="9425"/>
    <x v="1"/>
    <x v="9"/>
    <x v="1"/>
    <x v="1"/>
    <m/>
    <n v="267000"/>
    <n v="-267000"/>
    <s v="MOB"/>
  </r>
  <r>
    <x v="0"/>
    <m/>
    <x v="0"/>
    <x v="10"/>
    <x v="0"/>
    <x v="2"/>
    <m/>
    <m/>
    <n v="0"/>
    <s v="MAYWD"/>
  </r>
  <r>
    <x v="5"/>
    <n v="13401"/>
    <x v="2"/>
    <x v="10"/>
    <x v="63"/>
    <x v="1"/>
    <n v="535550"/>
    <m/>
    <n v="535550"/>
    <s v="MAYWD"/>
  </r>
  <r>
    <x v="6"/>
    <m/>
    <x v="1"/>
    <x v="10"/>
    <x v="1"/>
    <x v="1"/>
    <m/>
    <n v="500000"/>
    <n v="-500000"/>
    <s v="MAYWD"/>
  </r>
  <r>
    <x v="6"/>
    <n v="13402"/>
    <x v="2"/>
    <x v="10"/>
    <x v="64"/>
    <x v="1"/>
    <n v="78500"/>
    <m/>
    <n v="78500"/>
    <s v="MAYWD"/>
  </r>
  <r>
    <x v="8"/>
    <m/>
    <x v="1"/>
    <x v="10"/>
    <x v="1"/>
    <x v="1"/>
    <m/>
    <n v="114050"/>
    <n v="-114050"/>
    <s v="MAYWD"/>
  </r>
  <r>
    <x v="0"/>
    <m/>
    <x v="0"/>
    <x v="11"/>
    <x v="0"/>
    <x v="10"/>
    <m/>
    <m/>
    <n v="2208992"/>
    <s v="MDYSP"/>
  </r>
  <r>
    <x v="25"/>
    <n v="5811"/>
    <x v="2"/>
    <x v="12"/>
    <x v="65"/>
    <x v="1"/>
    <n v="221200"/>
    <m/>
    <n v="221200"/>
    <s v="MTAY"/>
  </r>
  <r>
    <x v="0"/>
    <m/>
    <x v="0"/>
    <x v="12"/>
    <x v="0"/>
    <x v="11"/>
    <m/>
    <m/>
    <n v="2778210"/>
    <s v="MTAY"/>
  </r>
  <r>
    <x v="3"/>
    <n v="5812"/>
    <x v="2"/>
    <x v="12"/>
    <x v="66"/>
    <x v="1"/>
    <n v="1812000"/>
    <m/>
    <n v="1812000"/>
    <s v="MTAY"/>
  </r>
  <r>
    <x v="4"/>
    <m/>
    <x v="1"/>
    <x v="12"/>
    <x v="1"/>
    <x v="1"/>
    <m/>
    <n v="1500000"/>
    <n v="-1500000"/>
    <s v="MTAY"/>
  </r>
  <r>
    <x v="8"/>
    <n v="13"/>
    <x v="1"/>
    <x v="12"/>
    <x v="1"/>
    <x v="1"/>
    <m/>
    <n v="1000000"/>
    <n v="-1000000"/>
    <s v="MTAY"/>
  </r>
  <r>
    <x v="11"/>
    <n v="5813"/>
    <x v="2"/>
    <x v="12"/>
    <x v="67"/>
    <x v="1"/>
    <n v="2178500"/>
    <m/>
    <n v="2178500"/>
    <s v="MTAY"/>
  </r>
  <r>
    <x v="11"/>
    <m/>
    <x v="1"/>
    <x v="12"/>
    <x v="1"/>
    <x v="1"/>
    <m/>
    <n v="1500000"/>
    <n v="-1500000"/>
    <s v="MTAY"/>
  </r>
  <r>
    <x v="17"/>
    <m/>
    <x v="1"/>
    <x v="12"/>
    <x v="1"/>
    <x v="1"/>
    <m/>
    <n v="1500000"/>
    <n v="-1500000"/>
    <s v="MTAY"/>
  </r>
  <r>
    <x v="17"/>
    <n v="5816"/>
    <x v="2"/>
    <x v="12"/>
    <x v="68"/>
    <x v="1"/>
    <n v="76600"/>
    <m/>
    <n v="76600"/>
    <s v="MTAY"/>
  </r>
  <r>
    <x v="15"/>
    <n v="5815"/>
    <x v="2"/>
    <x v="12"/>
    <x v="69"/>
    <x v="1"/>
    <n v="180000"/>
    <m/>
    <n v="180000"/>
    <s v="MTAY"/>
  </r>
  <r>
    <x v="19"/>
    <n v="5814"/>
    <x v="2"/>
    <x v="12"/>
    <x v="70"/>
    <x v="1"/>
    <n v="33000"/>
    <m/>
    <n v="33000"/>
    <s v="MTAY"/>
  </r>
  <r>
    <x v="0"/>
    <m/>
    <x v="0"/>
    <x v="13"/>
    <x v="0"/>
    <x v="12"/>
    <m/>
    <m/>
    <n v="2754773"/>
    <s v="NASA"/>
  </r>
  <r>
    <x v="8"/>
    <n v="4370"/>
    <x v="1"/>
    <x v="13"/>
    <x v="1"/>
    <x v="1"/>
    <m/>
    <n v="1000000"/>
    <n v="-1000000"/>
    <s v="NASA"/>
  </r>
  <r>
    <x v="9"/>
    <m/>
    <x v="1"/>
    <x v="13"/>
    <x v="71"/>
    <x v="1"/>
    <m/>
    <n v="147923"/>
    <n v="-147923"/>
    <s v="NASA"/>
  </r>
  <r>
    <x v="9"/>
    <n v="4374"/>
    <x v="1"/>
    <x v="13"/>
    <x v="1"/>
    <x v="1"/>
    <m/>
    <n v="1606850"/>
    <n v="-1606850"/>
    <s v="NASA"/>
  </r>
  <r>
    <x v="9"/>
    <n v="511"/>
    <x v="2"/>
    <x v="13"/>
    <x v="72"/>
    <x v="1"/>
    <n v="999000"/>
    <m/>
    <n v="999000"/>
    <s v="NASA"/>
  </r>
  <r>
    <x v="0"/>
    <m/>
    <x v="0"/>
    <x v="14"/>
    <x v="0"/>
    <x v="13"/>
    <m/>
    <m/>
    <n v="5502500"/>
    <s v="STL"/>
  </r>
  <r>
    <x v="3"/>
    <n v="706"/>
    <x v="2"/>
    <x v="14"/>
    <x v="73"/>
    <x v="1"/>
    <n v="840000"/>
    <m/>
    <n v="840000"/>
    <s v="STL"/>
  </r>
  <r>
    <x v="4"/>
    <n v="43340"/>
    <x v="2"/>
    <x v="14"/>
    <x v="74"/>
    <x v="1"/>
    <n v="145000"/>
    <m/>
    <n v="145000"/>
    <s v="STL"/>
  </r>
  <r>
    <x v="21"/>
    <n v="43273"/>
    <x v="2"/>
    <x v="14"/>
    <x v="75"/>
    <x v="1"/>
    <n v="87000"/>
    <m/>
    <n v="87000"/>
    <s v="STL"/>
  </r>
  <r>
    <x v="21"/>
    <n v="727"/>
    <x v="1"/>
    <x v="14"/>
    <x v="1"/>
    <x v="1"/>
    <m/>
    <n v="3000000"/>
    <n v="-3000000"/>
    <s v="STL"/>
  </r>
  <r>
    <x v="17"/>
    <n v="1057"/>
    <x v="1"/>
    <x v="14"/>
    <x v="1"/>
    <x v="1"/>
    <m/>
    <n v="1500000"/>
    <n v="-1500000"/>
    <s v="STL"/>
  </r>
  <r>
    <x v="17"/>
    <n v="43937"/>
    <x v="2"/>
    <x v="14"/>
    <x v="74"/>
    <x v="1"/>
    <n v="140000"/>
    <m/>
    <n v="140000"/>
    <s v="STL"/>
  </r>
  <r>
    <x v="0"/>
    <m/>
    <x v="0"/>
    <x v="15"/>
    <x v="0"/>
    <x v="14"/>
    <m/>
    <m/>
    <n v="117000.01"/>
    <s v="SYS"/>
  </r>
  <r>
    <x v="3"/>
    <n v="3053"/>
    <x v="1"/>
    <x v="15"/>
    <x v="1"/>
    <x v="1"/>
    <m/>
    <n v="117000"/>
    <n v="-117000"/>
    <s v="SYS"/>
  </r>
  <r>
    <x v="0"/>
    <m/>
    <x v="0"/>
    <x v="16"/>
    <x v="0"/>
    <x v="1"/>
    <m/>
    <m/>
    <n v="0"/>
    <s v="SUPER"/>
  </r>
  <r>
    <x v="0"/>
    <m/>
    <x v="0"/>
    <x v="17"/>
    <x v="0"/>
    <x v="15"/>
    <m/>
    <m/>
    <n v="1145500"/>
    <s v="TSLW"/>
  </r>
  <r>
    <x v="14"/>
    <m/>
    <x v="1"/>
    <x v="17"/>
    <x v="1"/>
    <x v="1"/>
    <m/>
    <n v="1145500"/>
    <n v="-1145500"/>
    <s v="TSLW"/>
  </r>
  <r>
    <x v="0"/>
    <m/>
    <x v="0"/>
    <x v="18"/>
    <x v="0"/>
    <x v="16"/>
    <m/>
    <m/>
    <n v="143000"/>
    <s v="UMG"/>
  </r>
  <r>
    <x v="0"/>
    <m/>
    <x v="0"/>
    <x v="19"/>
    <x v="0"/>
    <x v="17"/>
    <m/>
    <m/>
    <n v="1528630"/>
    <s v="ZAN"/>
  </r>
  <r>
    <x v="3"/>
    <n v="156211"/>
    <x v="1"/>
    <x v="19"/>
    <x v="1"/>
    <x v="1"/>
    <m/>
    <n v="1000000"/>
    <n v="-1000000"/>
    <s v="ZAN"/>
  </r>
  <r>
    <x v="3"/>
    <n v="369211"/>
    <x v="2"/>
    <x v="19"/>
    <x v="76"/>
    <x v="1"/>
    <n v="561858"/>
    <m/>
    <n v="561858"/>
    <s v="ZAN"/>
  </r>
  <r>
    <x v="4"/>
    <m/>
    <x v="1"/>
    <x v="19"/>
    <x v="48"/>
    <x v="1"/>
    <m/>
    <n v="30000"/>
    <n v="-30000"/>
    <s v="ZAN"/>
  </r>
  <r>
    <x v="4"/>
    <n v="380211"/>
    <x v="2"/>
    <x v="19"/>
    <x v="77"/>
    <x v="1"/>
    <n v="94106"/>
    <m/>
    <n v="94106"/>
    <s v="ZAN"/>
  </r>
  <r>
    <x v="21"/>
    <n v="388211"/>
    <x v="2"/>
    <x v="19"/>
    <x v="78"/>
    <x v="1"/>
    <n v="127240"/>
    <m/>
    <n v="127240"/>
    <s v="ZAN"/>
  </r>
  <r>
    <x v="6"/>
    <n v="404211"/>
    <x v="2"/>
    <x v="19"/>
    <x v="79"/>
    <x v="1"/>
    <n v="279952"/>
    <m/>
    <n v="279952"/>
    <s v="ZAN"/>
  </r>
  <r>
    <x v="8"/>
    <n v="173211"/>
    <x v="1"/>
    <x v="19"/>
    <x v="1"/>
    <x v="1"/>
    <m/>
    <n v="1000000"/>
    <n v="-1000000"/>
    <s v="ZAN"/>
  </r>
  <r>
    <x v="8"/>
    <n v="413211"/>
    <x v="2"/>
    <x v="19"/>
    <x v="80"/>
    <x v="1"/>
    <n v="76570"/>
    <m/>
    <n v="76570"/>
    <s v="ZAN"/>
  </r>
  <r>
    <x v="9"/>
    <n v="422211"/>
    <x v="2"/>
    <x v="19"/>
    <x v="81"/>
    <x v="1"/>
    <n v="92801"/>
    <m/>
    <n v="92801"/>
    <s v="ZAN"/>
  </r>
  <r>
    <x v="22"/>
    <n v="431211"/>
    <x v="2"/>
    <x v="19"/>
    <x v="82"/>
    <x v="1"/>
    <n v="123795"/>
    <m/>
    <n v="123795"/>
    <s v="ZAN"/>
  </r>
  <r>
    <x v="11"/>
    <n v="435211"/>
    <x v="2"/>
    <x v="19"/>
    <x v="83"/>
    <x v="1"/>
    <n v="424487"/>
    <m/>
    <n v="424487"/>
    <s v="ZAN"/>
  </r>
  <r>
    <x v="9"/>
    <n v="423211"/>
    <x v="2"/>
    <x v="19"/>
    <x v="84"/>
    <x v="1"/>
    <n v="59670"/>
    <m/>
    <n v="59670"/>
    <s v="ZAN"/>
  </r>
  <r>
    <x v="14"/>
    <n v="192211"/>
    <x v="1"/>
    <x v="19"/>
    <x v="1"/>
    <x v="1"/>
    <m/>
    <n v="1000000"/>
    <n v="-1000000"/>
    <s v="ZAN"/>
  </r>
  <r>
    <x v="16"/>
    <n v="470211"/>
    <x v="2"/>
    <x v="19"/>
    <x v="85"/>
    <x v="1"/>
    <n v="196884"/>
    <m/>
    <n v="196884"/>
    <s v="ZAN"/>
  </r>
  <r>
    <x v="14"/>
    <n v="462211"/>
    <x v="2"/>
    <x v="19"/>
    <x v="86"/>
    <x v="1"/>
    <n v="155728"/>
    <m/>
    <n v="155728"/>
    <s v="Z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1:F123" firstHeaderRow="0" firstDataRow="1" firstDataCol="2"/>
  <pivotFields count="1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x="0"/>
        <item x="1"/>
        <item x="2"/>
        <item x="4"/>
        <item x="5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m="1" x="23"/>
        <item m="1" x="24"/>
        <item m="1" x="22"/>
        <item m="1" x="20"/>
        <item m="1"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1">
        <item x="44"/>
        <item x="38"/>
        <item m="1" x="122"/>
        <item m="1" x="113"/>
        <item m="1" x="132"/>
        <item x="22"/>
        <item x="7"/>
        <item m="1" x="144"/>
        <item x="62"/>
        <item m="1" x="127"/>
        <item x="32"/>
        <item x="77"/>
        <item x="76"/>
        <item x="65"/>
        <item x="8"/>
        <item m="1" x="101"/>
        <item m="1" x="131"/>
        <item x="3"/>
        <item m="1" x="103"/>
        <item x="24"/>
        <item x="58"/>
        <item x="55"/>
        <item m="1" x="133"/>
        <item x="67"/>
        <item x="70"/>
        <item m="1" x="137"/>
        <item x="41"/>
        <item x="15"/>
        <item x="64"/>
        <item x="59"/>
        <item m="1" x="97"/>
        <item x="16"/>
        <item m="1" x="148"/>
        <item x="20"/>
        <item m="1" x="125"/>
        <item m="1" x="149"/>
        <item m="1" x="107"/>
        <item m="1" x="126"/>
        <item m="1" x="128"/>
        <item m="1" x="121"/>
        <item m="1" x="129"/>
        <item x="69"/>
        <item x="68"/>
        <item m="1" x="87"/>
        <item m="1" x="99"/>
        <item x="34"/>
        <item x="33"/>
        <item m="1" x="120"/>
        <item x="57"/>
        <item m="1" x="102"/>
        <item x="29"/>
        <item x="72"/>
        <item x="73"/>
        <item m="1" x="134"/>
        <item x="56"/>
        <item x="43"/>
        <item x="0"/>
        <item x="74"/>
        <item x="42"/>
        <item x="45"/>
        <item x="6"/>
        <item x="19"/>
        <item x="26"/>
        <item x="11"/>
        <item m="1" x="140"/>
        <item x="49"/>
        <item x="23"/>
        <item x="28"/>
        <item x="18"/>
        <item m="1" x="145"/>
        <item x="17"/>
        <item x="25"/>
        <item x="5"/>
        <item x="4"/>
        <item x="2"/>
        <item x="9"/>
        <item m="1" x="147"/>
        <item x="30"/>
        <item m="1" x="146"/>
        <item m="1" x="114"/>
        <item m="1" x="116"/>
        <item x="10"/>
        <item m="1" x="96"/>
        <item m="1" x="105"/>
        <item x="75"/>
        <item x="61"/>
        <item x="66"/>
        <item m="1" x="110"/>
        <item x="78"/>
        <item x="85"/>
        <item m="1" x="117"/>
        <item m="1" x="141"/>
        <item x="40"/>
        <item x="37"/>
        <item x="83"/>
        <item m="1" x="139"/>
        <item m="1" x="136"/>
        <item x="82"/>
        <item x="50"/>
        <item m="1" x="142"/>
        <item m="1" x="119"/>
        <item m="1" x="90"/>
        <item m="1" x="91"/>
        <item m="1" x="93"/>
        <item x="14"/>
        <item x="13"/>
        <item x="12"/>
        <item x="31"/>
        <item m="1" x="106"/>
        <item m="1" x="135"/>
        <item m="1" x="115"/>
        <item x="21"/>
        <item m="1" x="150"/>
        <item m="1" x="124"/>
        <item x="48"/>
        <item m="1" x="143"/>
        <item x="84"/>
        <item m="1" x="108"/>
        <item m="1" x="123"/>
        <item x="47"/>
        <item x="51"/>
        <item x="63"/>
        <item x="80"/>
        <item m="1" x="109"/>
        <item x="86"/>
        <item m="1" x="118"/>
        <item m="1" x="104"/>
        <item x="36"/>
        <item m="1" x="130"/>
        <item x="39"/>
        <item x="35"/>
        <item m="1" x="92"/>
        <item m="1" x="111"/>
        <item m="1" x="138"/>
        <item x="52"/>
        <item m="1" x="112"/>
        <item m="1" x="94"/>
        <item m="1" x="98"/>
        <item x="46"/>
        <item x="1"/>
        <item x="27"/>
        <item x="53"/>
        <item x="71"/>
        <item x="54"/>
        <item x="60"/>
        <item m="1" x="95"/>
        <item m="1" x="89"/>
        <item x="81"/>
        <item m="1" x="100"/>
        <item x="79"/>
        <item m="1" x="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4"/>
  </rowFields>
  <rowItems count="122">
    <i>
      <x/>
      <x v="56"/>
    </i>
    <i r="1">
      <x v="139"/>
    </i>
    <i>
      <x v="1"/>
      <x v="56"/>
    </i>
    <i>
      <x v="2"/>
      <x v="5"/>
    </i>
    <i r="1">
      <x v="6"/>
    </i>
    <i r="1">
      <x v="10"/>
    </i>
    <i r="1">
      <x v="14"/>
    </i>
    <i r="1">
      <x v="17"/>
    </i>
    <i r="1">
      <x v="19"/>
    </i>
    <i r="1">
      <x v="27"/>
    </i>
    <i r="1">
      <x v="31"/>
    </i>
    <i r="1">
      <x v="33"/>
    </i>
    <i r="1">
      <x v="50"/>
    </i>
    <i r="1">
      <x v="56"/>
    </i>
    <i r="1">
      <x v="60"/>
    </i>
    <i r="1">
      <x v="61"/>
    </i>
    <i r="1">
      <x v="62"/>
    </i>
    <i r="1">
      <x v="63"/>
    </i>
    <i r="1">
      <x v="66"/>
    </i>
    <i r="1">
      <x v="67"/>
    </i>
    <i r="1">
      <x v="68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7"/>
    </i>
    <i r="1">
      <x v="81"/>
    </i>
    <i r="1">
      <x v="104"/>
    </i>
    <i r="1">
      <x v="105"/>
    </i>
    <i r="1">
      <x v="106"/>
    </i>
    <i r="1">
      <x v="107"/>
    </i>
    <i r="1">
      <x v="111"/>
    </i>
    <i r="1">
      <x v="139"/>
    </i>
    <i r="1">
      <x v="140"/>
    </i>
    <i>
      <x v="3"/>
      <x v="26"/>
    </i>
    <i r="1">
      <x v="56"/>
    </i>
    <i r="1">
      <x v="139"/>
    </i>
    <i>
      <x v="4"/>
      <x/>
    </i>
    <i r="1">
      <x v="55"/>
    </i>
    <i r="1">
      <x v="56"/>
    </i>
    <i r="1">
      <x v="58"/>
    </i>
    <i r="1">
      <x v="59"/>
    </i>
    <i r="1">
      <x v="139"/>
    </i>
    <i>
      <x v="5"/>
      <x v="1"/>
    </i>
    <i r="1">
      <x v="45"/>
    </i>
    <i r="1">
      <x v="46"/>
    </i>
    <i r="1">
      <x v="56"/>
    </i>
    <i r="1">
      <x v="92"/>
    </i>
    <i r="1">
      <x v="93"/>
    </i>
    <i r="1">
      <x v="127"/>
    </i>
    <i r="1">
      <x v="129"/>
    </i>
    <i r="1">
      <x v="130"/>
    </i>
    <i>
      <x v="6"/>
      <x v="56"/>
    </i>
    <i r="1">
      <x v="65"/>
    </i>
    <i r="1">
      <x v="98"/>
    </i>
    <i r="1">
      <x v="114"/>
    </i>
    <i r="1">
      <x v="119"/>
    </i>
    <i r="1">
      <x v="120"/>
    </i>
    <i r="1">
      <x v="134"/>
    </i>
    <i r="1">
      <x v="138"/>
    </i>
    <i r="1">
      <x v="139"/>
    </i>
    <i r="1">
      <x v="141"/>
    </i>
    <i r="1">
      <x v="143"/>
    </i>
    <i>
      <x v="7"/>
      <x v="20"/>
    </i>
    <i r="1">
      <x v="21"/>
    </i>
    <i r="1">
      <x v="29"/>
    </i>
    <i r="1">
      <x v="48"/>
    </i>
    <i r="1">
      <x v="54"/>
    </i>
    <i r="1">
      <x v="56"/>
    </i>
    <i r="1">
      <x v="139"/>
    </i>
    <i>
      <x v="8"/>
      <x v="56"/>
    </i>
    <i r="1">
      <x v="139"/>
    </i>
    <i r="1">
      <x v="144"/>
    </i>
    <i>
      <x v="9"/>
      <x v="8"/>
    </i>
    <i r="1">
      <x v="56"/>
    </i>
    <i r="1">
      <x v="85"/>
    </i>
    <i r="1">
      <x v="139"/>
    </i>
    <i>
      <x v="10"/>
      <x v="28"/>
    </i>
    <i r="1">
      <x v="56"/>
    </i>
    <i r="1">
      <x v="121"/>
    </i>
    <i r="1">
      <x v="139"/>
    </i>
    <i>
      <x v="11"/>
      <x v="56"/>
    </i>
    <i>
      <x v="12"/>
      <x v="13"/>
    </i>
    <i r="1">
      <x v="23"/>
    </i>
    <i r="1">
      <x v="24"/>
    </i>
    <i r="1">
      <x v="41"/>
    </i>
    <i r="1">
      <x v="42"/>
    </i>
    <i r="1">
      <x v="56"/>
    </i>
    <i r="1">
      <x v="86"/>
    </i>
    <i r="1">
      <x v="139"/>
    </i>
    <i>
      <x v="13"/>
      <x v="51"/>
    </i>
    <i r="1">
      <x v="56"/>
    </i>
    <i r="1">
      <x v="139"/>
    </i>
    <i r="1">
      <x v="142"/>
    </i>
    <i>
      <x v="14"/>
      <x v="52"/>
    </i>
    <i r="1">
      <x v="56"/>
    </i>
    <i r="1">
      <x v="57"/>
    </i>
    <i r="1">
      <x v="84"/>
    </i>
    <i r="1">
      <x v="139"/>
    </i>
    <i>
      <x v="15"/>
      <x v="56"/>
    </i>
    <i r="1">
      <x v="139"/>
    </i>
    <i>
      <x v="16"/>
      <x v="56"/>
    </i>
    <i>
      <x v="17"/>
      <x v="56"/>
    </i>
    <i r="1">
      <x v="139"/>
    </i>
    <i>
      <x v="18"/>
      <x v="56"/>
    </i>
    <i>
      <x v="19"/>
      <x v="11"/>
    </i>
    <i r="1">
      <x v="12"/>
    </i>
    <i r="1">
      <x v="56"/>
    </i>
    <i r="1">
      <x v="88"/>
    </i>
    <i r="1">
      <x v="89"/>
    </i>
    <i r="1">
      <x v="94"/>
    </i>
    <i r="1">
      <x v="97"/>
    </i>
    <i r="1">
      <x v="114"/>
    </i>
    <i r="1">
      <x v="116"/>
    </i>
    <i r="1">
      <x v="122"/>
    </i>
    <i r="1">
      <x v="124"/>
    </i>
    <i r="1">
      <x v="139"/>
    </i>
    <i r="1">
      <x v="147"/>
    </i>
    <i r="1">
      <x v="14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 Content.Opening" fld="5" baseField="4" baseItem="56"/>
    <dataField name=" Content.Payment" fld="7" baseField="4" baseItem="56"/>
    <dataField name=" Content.Purchase" fld="6" baseField="4" baseItem="56"/>
    <dataField name=" Content.Balance" fld="8" baseField="4" baseItem="56"/>
  </dataFields>
  <formats count="31"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3" type="button" dataOnly="0" labelOnly="1" outline="0" axis="axisRow" fieldPosition="0"/>
    </format>
    <format dxfId="51">
      <pivotArea field="4" type="button" dataOnly="0" labelOnly="1" outline="0" axis="axisRow" fieldPosition="1"/>
    </format>
    <format dxfId="50">
      <pivotArea dataOnly="0" labelOnly="1" outline="0" fieldPosition="0">
        <references count="1">
          <reference field="3" count="0"/>
        </references>
      </pivotArea>
    </format>
    <format dxfId="49">
      <pivotArea dataOnly="0" labelOnly="1" grandRow="1" outline="0" fieldPosition="0"/>
    </format>
    <format dxfId="48">
      <pivotArea dataOnly="0" labelOnly="1" outline="0" fieldPosition="0">
        <references count="2">
          <reference field="3" count="1" selected="0">
            <x v="0"/>
          </reference>
          <reference field="4" count="2">
            <x v="56"/>
            <x v="139"/>
          </reference>
        </references>
      </pivotArea>
    </format>
    <format dxfId="47">
      <pivotArea dataOnly="0" labelOnly="1" outline="0" fieldPosition="0">
        <references count="2">
          <reference field="3" count="1" selected="0">
            <x v="1"/>
          </reference>
          <reference field="4" count="1">
            <x v="56"/>
          </reference>
        </references>
      </pivotArea>
    </format>
    <format dxfId="46">
      <pivotArea dataOnly="0" labelOnly="1" outline="0" fieldPosition="0">
        <references count="2">
          <reference field="3" count="1" selected="0">
            <x v="2"/>
          </reference>
          <reference field="4" count="33">
            <x v="5"/>
            <x v="6"/>
            <x v="10"/>
            <x v="14"/>
            <x v="17"/>
            <x v="19"/>
            <x v="27"/>
            <x v="31"/>
            <x v="33"/>
            <x v="50"/>
            <x v="56"/>
            <x v="60"/>
            <x v="61"/>
            <x v="62"/>
            <x v="63"/>
            <x v="66"/>
            <x v="67"/>
            <x v="68"/>
            <x v="70"/>
            <x v="71"/>
            <x v="72"/>
            <x v="73"/>
            <x v="74"/>
            <x v="75"/>
            <x v="77"/>
            <x v="81"/>
            <x v="104"/>
            <x v="105"/>
            <x v="106"/>
            <x v="107"/>
            <x v="111"/>
            <x v="139"/>
            <x v="140"/>
          </reference>
        </references>
      </pivotArea>
    </format>
    <format dxfId="45">
      <pivotArea dataOnly="0" labelOnly="1" outline="0" fieldPosition="0">
        <references count="2">
          <reference field="3" count="1" selected="0">
            <x v="3"/>
          </reference>
          <reference field="4" count="3">
            <x v="26"/>
            <x v="56"/>
            <x v="139"/>
          </reference>
        </references>
      </pivotArea>
    </format>
    <format dxfId="44">
      <pivotArea dataOnly="0" labelOnly="1" outline="0" fieldPosition="0">
        <references count="2">
          <reference field="3" count="1" selected="0">
            <x v="4"/>
          </reference>
          <reference field="4" count="6">
            <x v="0"/>
            <x v="55"/>
            <x v="56"/>
            <x v="58"/>
            <x v="59"/>
            <x v="139"/>
          </reference>
        </references>
      </pivotArea>
    </format>
    <format dxfId="43">
      <pivotArea dataOnly="0" labelOnly="1" outline="0" fieldPosition="0">
        <references count="2">
          <reference field="3" count="1" selected="0">
            <x v="5"/>
          </reference>
          <reference field="4" count="9">
            <x v="1"/>
            <x v="45"/>
            <x v="46"/>
            <x v="56"/>
            <x v="92"/>
            <x v="93"/>
            <x v="127"/>
            <x v="129"/>
            <x v="130"/>
          </reference>
        </references>
      </pivotArea>
    </format>
    <format dxfId="42">
      <pivotArea dataOnly="0" labelOnly="1" outline="0" fieldPosition="0">
        <references count="2">
          <reference field="3" count="1" selected="0">
            <x v="6"/>
          </reference>
          <reference field="4" count="11">
            <x v="56"/>
            <x v="65"/>
            <x v="98"/>
            <x v="114"/>
            <x v="119"/>
            <x v="120"/>
            <x v="134"/>
            <x v="138"/>
            <x v="139"/>
            <x v="141"/>
            <x v="143"/>
          </reference>
        </references>
      </pivotArea>
    </format>
    <format dxfId="41">
      <pivotArea dataOnly="0" labelOnly="1" outline="0" fieldPosition="0">
        <references count="2">
          <reference field="3" count="1" selected="0">
            <x v="7"/>
          </reference>
          <reference field="4" count="7">
            <x v="20"/>
            <x v="21"/>
            <x v="29"/>
            <x v="48"/>
            <x v="54"/>
            <x v="56"/>
            <x v="139"/>
          </reference>
        </references>
      </pivotArea>
    </format>
    <format dxfId="40">
      <pivotArea dataOnly="0" labelOnly="1" outline="0" fieldPosition="0">
        <references count="2">
          <reference field="3" count="1" selected="0">
            <x v="8"/>
          </reference>
          <reference field="4" count="3">
            <x v="56"/>
            <x v="139"/>
            <x v="144"/>
          </reference>
        </references>
      </pivotArea>
    </format>
    <format dxfId="39">
      <pivotArea dataOnly="0" labelOnly="1" outline="0" fieldPosition="0">
        <references count="2">
          <reference field="3" count="1" selected="0">
            <x v="9"/>
          </reference>
          <reference field="4" count="4">
            <x v="8"/>
            <x v="56"/>
            <x v="85"/>
            <x v="139"/>
          </reference>
        </references>
      </pivotArea>
    </format>
    <format dxfId="38">
      <pivotArea dataOnly="0" labelOnly="1" outline="0" fieldPosition="0">
        <references count="2">
          <reference field="3" count="1" selected="0">
            <x v="10"/>
          </reference>
          <reference field="4" count="4">
            <x v="28"/>
            <x v="56"/>
            <x v="121"/>
            <x v="139"/>
          </reference>
        </references>
      </pivotArea>
    </format>
    <format dxfId="37">
      <pivotArea dataOnly="0" labelOnly="1" outline="0" fieldPosition="0">
        <references count="2">
          <reference field="3" count="1" selected="0">
            <x v="11"/>
          </reference>
          <reference field="4" count="1">
            <x v="56"/>
          </reference>
        </references>
      </pivotArea>
    </format>
    <format dxfId="36">
      <pivotArea dataOnly="0" labelOnly="1" outline="0" fieldPosition="0">
        <references count="2">
          <reference field="3" count="1" selected="0">
            <x v="12"/>
          </reference>
          <reference field="4" count="8">
            <x v="13"/>
            <x v="23"/>
            <x v="24"/>
            <x v="41"/>
            <x v="42"/>
            <x v="56"/>
            <x v="86"/>
            <x v="139"/>
          </reference>
        </references>
      </pivotArea>
    </format>
    <format dxfId="35">
      <pivotArea dataOnly="0" labelOnly="1" outline="0" fieldPosition="0">
        <references count="2">
          <reference field="3" count="1" selected="0">
            <x v="13"/>
          </reference>
          <reference field="4" count="4">
            <x v="51"/>
            <x v="56"/>
            <x v="139"/>
            <x v="142"/>
          </reference>
        </references>
      </pivotArea>
    </format>
    <format dxfId="34">
      <pivotArea dataOnly="0" labelOnly="1" outline="0" fieldPosition="0">
        <references count="2">
          <reference field="3" count="1" selected="0">
            <x v="14"/>
          </reference>
          <reference field="4" count="5">
            <x v="52"/>
            <x v="56"/>
            <x v="57"/>
            <x v="84"/>
            <x v="139"/>
          </reference>
        </references>
      </pivotArea>
    </format>
    <format dxfId="33">
      <pivotArea dataOnly="0" labelOnly="1" outline="0" fieldPosition="0">
        <references count="2">
          <reference field="3" count="1" selected="0">
            <x v="15"/>
          </reference>
          <reference field="4" count="2">
            <x v="56"/>
            <x v="139"/>
          </reference>
        </references>
      </pivotArea>
    </format>
    <format dxfId="32">
      <pivotArea dataOnly="0" labelOnly="1" outline="0" fieldPosition="0">
        <references count="2">
          <reference field="3" count="1" selected="0">
            <x v="16"/>
          </reference>
          <reference field="4" count="1">
            <x v="56"/>
          </reference>
        </references>
      </pivotArea>
    </format>
    <format dxfId="31">
      <pivotArea dataOnly="0" labelOnly="1" outline="0" fieldPosition="0">
        <references count="2">
          <reference field="3" count="1" selected="0">
            <x v="17"/>
          </reference>
          <reference field="4" count="2">
            <x v="56"/>
            <x v="139"/>
          </reference>
        </references>
      </pivotArea>
    </format>
    <format dxfId="30">
      <pivotArea dataOnly="0" labelOnly="1" outline="0" fieldPosition="0">
        <references count="2">
          <reference field="3" count="1" selected="0">
            <x v="18"/>
          </reference>
          <reference field="4" count="1">
            <x v="56"/>
          </reference>
        </references>
      </pivotArea>
    </format>
    <format dxfId="29">
      <pivotArea dataOnly="0" labelOnly="1" outline="0" fieldPosition="0">
        <references count="2">
          <reference field="3" count="1" selected="0">
            <x v="19"/>
          </reference>
          <reference field="4" count="14">
            <x v="11"/>
            <x v="12"/>
            <x v="56"/>
            <x v="88"/>
            <x v="89"/>
            <x v="94"/>
            <x v="97"/>
            <x v="114"/>
            <x v="116"/>
            <x v="122"/>
            <x v="124"/>
            <x v="139"/>
            <x v="147"/>
            <x v="149"/>
          </reference>
        </references>
      </pivotArea>
    </format>
    <format dxfId="2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7">
      <pivotArea outline="0" collapsedLevelsAreSubtotals="1" fieldPosition="0"/>
    </format>
    <format dxfId="2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5">
      <pivotArea outline="0" collapsedLevelsAreSubtotals="1" fieldPosition="0"/>
    </format>
    <format dxfId="2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Content.Date" tableColumnId="21"/>
      <queryTableField id="2" name="Content.Vr.No" tableColumnId="22"/>
      <queryTableField id="3" name="Content.A/C Tipe" tableColumnId="23"/>
      <queryTableField id="4" name="Content.Supplier Name" tableColumnId="24"/>
      <queryTableField id="5" name="Content.Item Name" tableColumnId="25"/>
      <queryTableField id="6" name="Content.Opening" tableColumnId="26"/>
      <queryTableField id="7" name="Content.Purchase" tableColumnId="27"/>
      <queryTableField id="8" name="Content.Payment" tableColumnId="28"/>
      <queryTableField id="9" name="Content.Balance" tableColumnId="29"/>
      <queryTableField id="10" name="Content.Total Balance" tableColumnId="30"/>
    </queryTableFields>
  </queryTableRefresh>
</queryTable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Armax" displayName="Armax" ref="A1:J2" totalsRowShown="0" headerRowDxfId="303" dataDxfId="302">
  <autoFilter ref="A1:J2"/>
  <tableColumns count="10">
    <tableColumn id="1" name="Date" dataDxfId="301"/>
    <tableColumn id="2" name="Vr.No" dataDxfId="300"/>
    <tableColumn id="3" name="A/C Tipe" dataDxfId="299"/>
    <tableColumn id="4" name="Supplier Name" dataDxfId="298"/>
    <tableColumn id="5" name="Item Name" dataDxfId="297"/>
    <tableColumn id="6" name="Opening" dataDxfId="296" dataCellStyle="Comma"/>
    <tableColumn id="7" name="Purchase" dataDxfId="295" dataCellStyle="Comma"/>
    <tableColumn id="8" name="Payment" dataDxfId="294" dataCellStyle="Comma"/>
    <tableColumn id="9" name="Balance" dataDxfId="293" dataCellStyle="Comma">
      <calculatedColumnFormula>Armax[[#This Row],[Opening]]+Armax[[#This Row],[Purchase]]-Armax[[#This Row],[Payment]]</calculatedColumnFormula>
    </tableColumn>
    <tableColumn id="10" name="Total Balance" dataDxfId="292">
      <calculatedColumnFormula>Armax[Balance]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2" name="AAM" displayName="AAM" ref="A1:J9" totalsRowShown="0" headerRowDxfId="291" dataDxfId="290">
  <autoFilter ref="A1:J9"/>
  <tableColumns count="10">
    <tableColumn id="1" name="Date" dataDxfId="289"/>
    <tableColumn id="2" name="Vr.No" dataDxfId="288"/>
    <tableColumn id="3" name="A/C Tipe" dataDxfId="287"/>
    <tableColumn id="4" name="Supplier Name" dataDxfId="286"/>
    <tableColumn id="5" name="Item Name" dataDxfId="285"/>
    <tableColumn id="6" name="Opening" dataDxfId="284" dataCellStyle="Comma"/>
    <tableColumn id="7" name="Purchase" dataDxfId="283" dataCellStyle="Comma"/>
    <tableColumn id="8" name="Payment" dataDxfId="282" dataCellStyle="Comma"/>
    <tableColumn id="9" name="Balance" dataDxfId="281" dataCellStyle="Comma">
      <calculatedColumnFormula>AAM[[#This Row],[Opening]]+AAM[[#This Row],[Purchase]]-AAM[[#This Row],[Payment]]</calculatedColumnFormula>
    </tableColumn>
    <tableColumn id="10" name="Total Balance" dataDxfId="280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id="3" name="AMT" displayName="AMT" ref="A1:J35" totalsRowShown="0" headerRowDxfId="279" dataDxfId="278">
  <autoFilter ref="A1:J35"/>
  <sortState ref="A2:I38">
    <sortCondition ref="A1:A38"/>
  </sortState>
  <tableColumns count="10">
    <tableColumn id="1" name="Date" dataDxfId="277"/>
    <tableColumn id="2" name="Vr.No" dataDxfId="276"/>
    <tableColumn id="3" name="A/C Tipe" dataDxfId="275"/>
    <tableColumn id="4" name="Supplier Name" dataDxfId="274"/>
    <tableColumn id="5" name="Item Name" dataDxfId="273"/>
    <tableColumn id="6" name="Opening" dataDxfId="272" dataCellStyle="Comma"/>
    <tableColumn id="7" name="Purchase" dataDxfId="271" dataCellStyle="Comma"/>
    <tableColumn id="8" name="Payment" dataDxfId="270" dataCellStyle="Comma"/>
    <tableColumn id="9" name="Balance" dataDxfId="269" dataCellStyle="Comma">
      <calculatedColumnFormula>AMT[[#This Row],[Opening]]+AMT[[#This Row],[Purchase]]-AMT[[#This Row],[Payment]]</calculatedColumnFormula>
    </tableColumn>
    <tableColumn id="10" name="Total Balance" dataDxfId="268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id="5" name="GBS_TRI" displayName="GBS_TRI" ref="A1:J2" totalsRowShown="0" headerRowDxfId="267" dataDxfId="266">
  <autoFilter ref="A1:J2"/>
  <tableColumns count="10">
    <tableColumn id="1" name="Date" dataDxfId="265"/>
    <tableColumn id="2" name="Vr.No" dataDxfId="264"/>
    <tableColumn id="3" name="A/C Tipe" dataDxfId="263"/>
    <tableColumn id="4" name="Supplier Name" dataDxfId="262"/>
    <tableColumn id="5" name="Item Name" dataDxfId="261"/>
    <tableColumn id="6" name="Opening" dataDxfId="260" dataCellStyle="Comma"/>
    <tableColumn id="7" name="Purchase" dataDxfId="259" dataCellStyle="Comma"/>
    <tableColumn id="8" name="Payment" dataDxfId="258" dataCellStyle="Comma"/>
    <tableColumn id="9" name="Balance" dataDxfId="257" dataCellStyle="Comma">
      <calculatedColumnFormula>GBS_TRI[[#This Row],[Opening]]+GBS_TRI[[#This Row],[Purchase]]-GBS_TRI[[#This Row],[Payment]]</calculatedColumnFormula>
    </tableColumn>
    <tableColumn id="10" name="Total Balance" dataDxfId="256">
      <calculatedColumnFormula>GBS_TRI[Balance]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id="4" name="DTL" displayName="DTL" ref="A1:J4" totalsRowShown="0" headerRowDxfId="255" dataDxfId="254">
  <autoFilter ref="A1:J4"/>
  <tableColumns count="10">
    <tableColumn id="1" name="Date" dataDxfId="253"/>
    <tableColumn id="2" name="Vr.No" dataDxfId="252"/>
    <tableColumn id="3" name="A/C Tipe" dataDxfId="251"/>
    <tableColumn id="4" name="Supplier Name" dataDxfId="250"/>
    <tableColumn id="5" name="Item Name" dataDxfId="249"/>
    <tableColumn id="6" name="Opening" dataDxfId="248" dataCellStyle="Comma"/>
    <tableColumn id="7" name="Purchase" dataDxfId="247" dataCellStyle="Comma"/>
    <tableColumn id="8" name="Payment" dataDxfId="246" dataCellStyle="Comma"/>
    <tableColumn id="9" name="Balance" dataDxfId="245" dataCellStyle="Comma">
      <calculatedColumnFormula>DTL[[#This Row],[Opening]]+DTL[[#This Row],[Purchase]]-DTL[[#This Row],[Payment]]</calculatedColumnFormula>
    </tableColumn>
    <tableColumn id="10" name="Total Balance" dataDxfId="244"/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id="6" name="GBS_ENG" displayName="GBS_ENG" ref="A1:J5" totalsRowShown="0" headerRowDxfId="243" dataDxfId="242">
  <autoFilter ref="A1:J5"/>
  <sortState ref="A2:I9">
    <sortCondition ref="A1:A9"/>
  </sortState>
  <tableColumns count="10">
    <tableColumn id="1" name="Date" dataDxfId="241"/>
    <tableColumn id="2" name="Vr.No" dataDxfId="240"/>
    <tableColumn id="3" name="A/C Tipe" dataDxfId="239"/>
    <tableColumn id="4" name="Supplier Name" dataDxfId="238"/>
    <tableColumn id="5" name="Item Name" dataDxfId="237"/>
    <tableColumn id="6" name="Opening" dataDxfId="236" dataCellStyle="Comma"/>
    <tableColumn id="7" name="Purchase" dataDxfId="235" dataCellStyle="Comma"/>
    <tableColumn id="8" name="Payment" dataDxfId="234" dataCellStyle="Comma"/>
    <tableColumn id="9" name="Balance" dataDxfId="233" dataCellStyle="Comma">
      <calculatedColumnFormula>GBS_ENG[[#This Row],[Opening]]+GBS_ENG[[#This Row],[Purchase]]-GBS_ENG[[#This Row],[Payment]]</calculatedColumnFormula>
    </tableColumn>
    <tableColumn id="10" name="Total Balance" dataDxfId="232"/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id="8" name="GBS_SP" displayName="GBS_SP" ref="A1:J4" totalsRowShown="0" headerRowDxfId="231" dataDxfId="230">
  <autoFilter ref="A1:J4"/>
  <sortState ref="A2:I14">
    <sortCondition ref="A1:A14"/>
  </sortState>
  <tableColumns count="10">
    <tableColumn id="1" name="Date" dataDxfId="229"/>
    <tableColumn id="2" name="Vr.No" dataDxfId="228"/>
    <tableColumn id="3" name="A/C Tipe" dataDxfId="227"/>
    <tableColumn id="4" name="Supplier Name" dataDxfId="226"/>
    <tableColumn id="5" name="Item Name" dataDxfId="225"/>
    <tableColumn id="6" name="Opening" dataDxfId="224" dataCellStyle="Comma"/>
    <tableColumn id="7" name="Purchase" dataDxfId="223" dataCellStyle="Comma"/>
    <tableColumn id="8" name="Payment" dataDxfId="222" dataCellStyle="Comma"/>
    <tableColumn id="9" name="Balance" dataDxfId="221" dataCellStyle="Comma">
      <calculatedColumnFormula>GBS_SP[[#This Row],[Opening]]+GBS_SP[[#This Row],[Purchase]]-GBS_SP[[#This Row],[Payment]]</calculatedColumnFormula>
    </tableColumn>
    <tableColumn id="10" name="Total Balance" dataDxfId="220" dataCellStyle="Comma"/>
  </tableColumns>
  <tableStyleInfo name="TableStyleMedium8" showFirstColumn="0" showLastColumn="0" showRowStripes="1" showColumnStripes="0"/>
</table>
</file>

<file path=xl/tables/table8.xml><?xml version="1.0" encoding="utf-8"?>
<table xmlns="http://schemas.openxmlformats.org/spreadsheetml/2006/main" id="9" name="KWH" displayName="KWH" ref="A1:J8" totalsRowShown="0" headerRowDxfId="219" dataDxfId="218">
  <autoFilter ref="A1:J8"/>
  <tableColumns count="10">
    <tableColumn id="1" name="Date" dataDxfId="217"/>
    <tableColumn id="2" name="Vr.No" dataDxfId="216"/>
    <tableColumn id="3" name="A/C Tipe" dataDxfId="215"/>
    <tableColumn id="4" name="Supplier Name" dataDxfId="214"/>
    <tableColumn id="5" name="Item Name" dataDxfId="213"/>
    <tableColumn id="6" name="Opening" dataDxfId="212" dataCellStyle="Comma"/>
    <tableColumn id="7" name="Purchase" dataDxfId="211" dataCellStyle="Comma"/>
    <tableColumn id="8" name="Payment" dataDxfId="210" dataCellStyle="Comma"/>
    <tableColumn id="9" name="Balance" dataDxfId="209" dataCellStyle="Comma">
      <calculatedColumnFormula>KWH[[#This Row],[Opening]]+KWH[[#This Row],[Purchase]]-KWH[[#This Row],[Payment]]</calculatedColumnFormula>
    </tableColumn>
    <tableColumn id="10" name="Total Balance" dataDxfId="208"/>
  </tableColumns>
  <tableStyleInfo name="TableStyleMedium8" showFirstColumn="0" showLastColumn="0" showRowStripes="1" showColumnStripes="0"/>
</table>
</file>

<file path=xl/tables/table9.xml><?xml version="1.0" encoding="utf-8"?>
<table xmlns="http://schemas.openxmlformats.org/spreadsheetml/2006/main" id="10" name="KYINNLOON" displayName="KYINNLOON" ref="A1:J2" totalsRowShown="0" headerRowDxfId="207" dataDxfId="206">
  <autoFilter ref="A1:J2"/>
  <tableColumns count="10">
    <tableColumn id="1" name="Date" dataDxfId="205"/>
    <tableColumn id="2" name="Vr.No" dataDxfId="204"/>
    <tableColumn id="3" name="A/C Tipe" dataDxfId="203"/>
    <tableColumn id="4" name="Supplier Name" dataDxfId="202"/>
    <tableColumn id="5" name="Item Name" dataDxfId="201"/>
    <tableColumn id="6" name="Opening" dataDxfId="200" dataCellStyle="Comma"/>
    <tableColumn id="7" name="Purchase" dataDxfId="199" dataCellStyle="Comma"/>
    <tableColumn id="8" name="Payment" dataDxfId="198" dataCellStyle="Comma"/>
    <tableColumn id="9" name="Balance" dataDxfId="197" dataCellStyle="Comma">
      <calculatedColumnFormula>KYINNLOON[[#This Row],[Opening]]+KYINNLOON[[#This Row],[Purchase]]-KYINNLOON[[#This Row],[Payment]]</calculatedColumnFormula>
    </tableColumn>
    <tableColumn id="10" name="Total Balance" dataDxfId="196">
      <calculatedColumnFormula>KYINNLOON[Balance]</calculatedColumnFormula>
    </tableColumn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id="11" name="MOB" displayName="MOB" ref="A1:J2" totalsRowShown="0" headerRowDxfId="195" dataDxfId="194">
  <autoFilter ref="A1:J2"/>
  <tableColumns count="10">
    <tableColumn id="1" name="Date" dataDxfId="193"/>
    <tableColumn id="2" name="Vr.No" dataDxfId="192"/>
    <tableColumn id="3" name="A/C Tipe" dataDxfId="191"/>
    <tableColumn id="4" name="Supplier Name" dataDxfId="190"/>
    <tableColumn id="5" name="Item Name" dataDxfId="189"/>
    <tableColumn id="6" name="Opening" dataDxfId="188" dataCellStyle="Comma"/>
    <tableColumn id="7" name="Purchase" dataDxfId="187" dataCellStyle="Comma"/>
    <tableColumn id="8" name="Payment" dataDxfId="186" dataCellStyle="Comma"/>
    <tableColumn id="9" name="Balance" dataDxfId="185" dataCellStyle="Comma">
      <calculatedColumnFormula>MOB[[#This Row],[Opening]]+MOB[[#This Row],[Purchase]]-MOB[[#This Row],[Payment]]</calculatedColumnFormula>
    </tableColumn>
    <tableColumn id="10" name="Total Balance" dataDxfId="184">
      <calculatedColumnFormula>MOB[Balance]</calculatedColumnFormula>
    </tableColumn>
  </tableColumns>
  <tableStyleInfo name="TableStyleMedium8" showFirstColumn="0" showLastColumn="0" showRowStripes="1" showColumnStripes="0"/>
</table>
</file>

<file path=xl/tables/table11.xml><?xml version="1.0" encoding="utf-8"?>
<table xmlns="http://schemas.openxmlformats.org/spreadsheetml/2006/main" id="12" name="MAYWD" displayName="MAYWD" ref="A1:J2" totalsRowShown="0" headerRowDxfId="183" dataDxfId="182">
  <autoFilter ref="A1:J2"/>
  <sortState ref="A2:I7">
    <sortCondition ref="A1:A7"/>
  </sortState>
  <tableColumns count="10">
    <tableColumn id="1" name="Date" dataDxfId="181"/>
    <tableColumn id="2" name="Vr.No" dataDxfId="180"/>
    <tableColumn id="3" name="A/C Tipe" dataDxfId="179"/>
    <tableColumn id="4" name="Supplier Name" dataDxfId="178"/>
    <tableColumn id="5" name="Item Name" dataDxfId="177"/>
    <tableColumn id="6" name="Opening" dataDxfId="176" dataCellStyle="Comma"/>
    <tableColumn id="7" name="Purchase" dataDxfId="175" dataCellStyle="Comma"/>
    <tableColumn id="8" name="Payment" dataDxfId="174" dataCellStyle="Comma"/>
    <tableColumn id="9" name="Balance" dataDxfId="173" dataCellStyle="Comma">
      <calculatedColumnFormula>MAYWD[[#This Row],[Opening]]+MAYWD[[#This Row],[Purchase]]-MAYWD[[#This Row],[Payment]]</calculatedColumnFormula>
    </tableColumn>
    <tableColumn id="10" name="Total Balance" dataDxfId="172">
      <calculatedColumnFormula>MAYWD[Balance]</calculatedColumnFormula>
    </tableColumn>
  </tableColumns>
  <tableStyleInfo name="TableStyleMedium8" showFirstColumn="0" showLastColumn="0" showRowStripes="1" showColumnStripes="0"/>
</table>
</file>

<file path=xl/tables/table12.xml><?xml version="1.0" encoding="utf-8"?>
<table xmlns="http://schemas.openxmlformats.org/spreadsheetml/2006/main" id="13" name="MDYSP" displayName="MDYSP" ref="A1:J2" totalsRowShown="0" headerRowDxfId="171" dataDxfId="170">
  <autoFilter ref="A1:J2"/>
  <tableColumns count="10">
    <tableColumn id="1" name="Date" dataDxfId="169"/>
    <tableColumn id="2" name="Vr.No" dataDxfId="168"/>
    <tableColumn id="3" name="A/C Tipe" dataDxfId="167"/>
    <tableColumn id="4" name="Supplier Name" dataDxfId="166"/>
    <tableColumn id="5" name="Item Name" dataDxfId="165"/>
    <tableColumn id="6" name="Opening" dataDxfId="164" dataCellStyle="Comma"/>
    <tableColumn id="7" name="Purchase" dataDxfId="163" dataCellStyle="Comma"/>
    <tableColumn id="8" name="Payment" dataDxfId="162" dataCellStyle="Comma"/>
    <tableColumn id="9" name="Balance" dataDxfId="161" dataCellStyle="Comma">
      <calculatedColumnFormula>MDYSP[[#This Row],[Opening]]+MDYSP[[#This Row],[Purchase]]-MDYSP[[#This Row],[Payment]]</calculatedColumnFormula>
    </tableColumn>
    <tableColumn id="10" name="Total Balance" dataDxfId="160">
      <calculatedColumnFormula>MDYSP[Balance]</calculatedColumnFormula>
    </tableColumn>
  </tableColumns>
  <tableStyleInfo name="TableStyleMedium8" showFirstColumn="0" showLastColumn="0" showRowStripes="1" showColumnStripes="0"/>
</table>
</file>

<file path=xl/tables/table13.xml><?xml version="1.0" encoding="utf-8"?>
<table xmlns="http://schemas.openxmlformats.org/spreadsheetml/2006/main" id="14" name="MTAY" displayName="MTAY" ref="A1:J7" totalsRowShown="0" headerRowDxfId="159" dataDxfId="158">
  <autoFilter ref="A1:J7"/>
  <sortState ref="A2:I9">
    <sortCondition ref="A1:A9"/>
  </sortState>
  <tableColumns count="10">
    <tableColumn id="1" name="Date" dataDxfId="157"/>
    <tableColumn id="2" name="Vr.No" dataDxfId="156"/>
    <tableColumn id="3" name="A/C Tipe" dataDxfId="155"/>
    <tableColumn id="4" name="Supplier Name" dataDxfId="154"/>
    <tableColumn id="5" name="Item Name" dataDxfId="153"/>
    <tableColumn id="6" name="Opening" dataDxfId="152" dataCellStyle="Comma"/>
    <tableColumn id="7" name="Purchase" dataDxfId="151" dataCellStyle="Comma"/>
    <tableColumn id="8" name="Payment" dataDxfId="150" dataCellStyle="Comma"/>
    <tableColumn id="9" name="Balance" dataDxfId="149" dataCellStyle="Comma">
      <calculatedColumnFormula>MTAY[[#This Row],[Opening]]+MTAY[[#This Row],[Purchase]]-MTAY[[#This Row],[Payment]]</calculatedColumnFormula>
    </tableColumn>
    <tableColumn id="10" name="Total Balance" dataDxfId="148"/>
  </tableColumns>
  <tableStyleInfo name="TableStyleMedium8" showFirstColumn="0" showLastColumn="0" showRowStripes="1" showColumnStripes="0"/>
</table>
</file>

<file path=xl/tables/table14.xml><?xml version="1.0" encoding="utf-8"?>
<table xmlns="http://schemas.openxmlformats.org/spreadsheetml/2006/main" id="15" name="NASA" displayName="NASA" ref="A1:J4" totalsRowShown="0" headerRowDxfId="147" dataDxfId="146">
  <autoFilter ref="A1:J4"/>
  <sortState ref="A2:I5">
    <sortCondition ref="A1:A5"/>
  </sortState>
  <tableColumns count="10">
    <tableColumn id="1" name="Date" dataDxfId="145"/>
    <tableColumn id="2" name="Vr.No" dataDxfId="144"/>
    <tableColumn id="3" name="A/C Tipe" dataDxfId="143"/>
    <tableColumn id="4" name="Supplier Name" dataDxfId="142"/>
    <tableColumn id="5" name="Item Name" dataDxfId="141"/>
    <tableColumn id="6" name="Opening" dataDxfId="140" dataCellStyle="Comma"/>
    <tableColumn id="7" name="Purchase" dataDxfId="139" dataCellStyle="Comma"/>
    <tableColumn id="8" name="Payment" dataDxfId="138" dataCellStyle="Comma"/>
    <tableColumn id="9" name="Balance" dataDxfId="137" dataCellStyle="Comma">
      <calculatedColumnFormula>NASA[[#This Row],[Opening]]+NASA[[#This Row],[Purchase]]-NASA[[#This Row],[Payment]]</calculatedColumnFormula>
    </tableColumn>
    <tableColumn id="10" name="Total Balance" dataDxfId="136"/>
  </tableColumns>
  <tableStyleInfo name="TableStyleMedium8" showFirstColumn="0" showLastColumn="0" showRowStripes="1" showColumnStripes="0"/>
</table>
</file>

<file path=xl/tables/table15.xml><?xml version="1.0" encoding="utf-8"?>
<table xmlns="http://schemas.openxmlformats.org/spreadsheetml/2006/main" id="16" name="STL" displayName="STL" ref="A1:J12" totalsRowShown="0" headerRowDxfId="135" dataDxfId="134">
  <autoFilter ref="A1:J12"/>
  <sortState ref="A2:I10">
    <sortCondition ref="A1:A10"/>
  </sortState>
  <tableColumns count="10">
    <tableColumn id="1" name="Date" dataDxfId="133"/>
    <tableColumn id="2" name="Vr.No" dataDxfId="132"/>
    <tableColumn id="3" name="A/C Tipe" dataDxfId="131"/>
    <tableColumn id="4" name="Supplier Name" dataDxfId="130"/>
    <tableColumn id="5" name="Item Name" dataDxfId="129"/>
    <tableColumn id="6" name="Opening" dataDxfId="128" dataCellStyle="Comma"/>
    <tableColumn id="7" name="Purchase" dataDxfId="127" dataCellStyle="Comma"/>
    <tableColumn id="8" name="Payment" dataDxfId="126" dataCellStyle="Comma"/>
    <tableColumn id="9" name="Balance" dataDxfId="125" dataCellStyle="Comma">
      <calculatedColumnFormula>STL[[#This Row],[Opening]]+STL[[#This Row],[Purchase]]-STL[[#This Row],[Payment]]</calculatedColumnFormula>
    </tableColumn>
    <tableColumn id="10" name="Total Balance" dataDxfId="124"/>
  </tableColumns>
  <tableStyleInfo name="TableStyleMedium8" showFirstColumn="0" showLastColumn="0" showRowStripes="1" showColumnStripes="0"/>
</table>
</file>

<file path=xl/tables/table16.xml><?xml version="1.0" encoding="utf-8"?>
<table xmlns="http://schemas.openxmlformats.org/spreadsheetml/2006/main" id="17" name="SYS" displayName="SYS" ref="A1:J2" totalsRowShown="0" headerRowDxfId="123" dataDxfId="122">
  <autoFilter ref="A1:J2"/>
  <tableColumns count="10">
    <tableColumn id="1" name="Date" dataDxfId="121"/>
    <tableColumn id="2" name="Vr.No" dataDxfId="120"/>
    <tableColumn id="3" name="A/C Tipe" dataDxfId="119"/>
    <tableColumn id="4" name="Supplier Name" dataDxfId="118"/>
    <tableColumn id="5" name="Item Name" dataDxfId="117"/>
    <tableColumn id="6" name="Opening" dataDxfId="116" dataCellStyle="Comma"/>
    <tableColumn id="7" name="Purchase" dataDxfId="115" dataCellStyle="Comma"/>
    <tableColumn id="8" name="Payment" dataDxfId="114" dataCellStyle="Comma"/>
    <tableColumn id="9" name="Balance" dataDxfId="113" dataCellStyle="Comma">
      <calculatedColumnFormula>SYS[[#This Row],[Opening]]+SYS[[#This Row],[Purchase]]-SYS[[#This Row],[Payment]]</calculatedColumnFormula>
    </tableColumn>
    <tableColumn id="10" name="Total Balance" dataDxfId="112">
      <calculatedColumnFormula>SYS[Balance]</calculatedColumnFormula>
    </tableColumn>
  </tableColumns>
  <tableStyleInfo name="TableStyleMedium8" showFirstColumn="0" showLastColumn="0" showRowStripes="1" showColumnStripes="0"/>
</table>
</file>

<file path=xl/tables/table17.xml><?xml version="1.0" encoding="utf-8"?>
<table xmlns="http://schemas.openxmlformats.org/spreadsheetml/2006/main" id="18" name="SUPER" displayName="SUPER" ref="A1:J2" totalsRowShown="0" headerRowDxfId="111" dataDxfId="110">
  <autoFilter ref="A1:J2"/>
  <tableColumns count="10">
    <tableColumn id="1" name="Date" dataDxfId="109"/>
    <tableColumn id="2" name="Vr.No" dataDxfId="108"/>
    <tableColumn id="3" name="A/C Tipe" dataDxfId="107"/>
    <tableColumn id="4" name="Supplier Name" dataDxfId="106"/>
    <tableColumn id="5" name="Item Name" dataDxfId="105"/>
    <tableColumn id="6" name="Opening" dataDxfId="104" dataCellStyle="Comma"/>
    <tableColumn id="7" name="Purchase" dataDxfId="103" dataCellStyle="Comma"/>
    <tableColumn id="8" name="Payment" dataDxfId="102" dataCellStyle="Comma"/>
    <tableColumn id="9" name="Balance" dataDxfId="101" dataCellStyle="Comma">
      <calculatedColumnFormula>SUPER[[#This Row],[Opening]]+SUPER[[#This Row],[Purchase]]-SUPER[[#This Row],[Payment]]</calculatedColumnFormula>
    </tableColumn>
    <tableColumn id="10" name="Total Balance" dataDxfId="100">
      <calculatedColumnFormula>SUPER[Balance]</calculatedColumnFormula>
    </tableColumn>
  </tableColumns>
  <tableStyleInfo name="TableStyleMedium8" showFirstColumn="0" showLastColumn="0" showRowStripes="1" showColumnStripes="0"/>
</table>
</file>

<file path=xl/tables/table18.xml><?xml version="1.0" encoding="utf-8"?>
<table xmlns="http://schemas.openxmlformats.org/spreadsheetml/2006/main" id="19" name="TSLW" displayName="TSLW" ref="A1:J2" totalsRowShown="0" headerRowDxfId="99" dataDxfId="98">
  <autoFilter ref="A1:J2"/>
  <tableColumns count="10">
    <tableColumn id="1" name="Date" dataDxfId="97"/>
    <tableColumn id="2" name="Vr.No" dataDxfId="96"/>
    <tableColumn id="3" name="A/C Tipe" dataDxfId="95"/>
    <tableColumn id="4" name="Supplier Name" dataDxfId="94"/>
    <tableColumn id="5" name="Item Name" dataDxfId="93"/>
    <tableColumn id="6" name="Opening" dataDxfId="92" dataCellStyle="Comma"/>
    <tableColumn id="7" name="Purchase" dataDxfId="91" dataCellStyle="Comma"/>
    <tableColumn id="8" name="Payment" dataDxfId="90" dataCellStyle="Comma"/>
    <tableColumn id="9" name="Balance" dataDxfId="89" dataCellStyle="Comma">
      <calculatedColumnFormula>TSLW[[#This Row],[Opening]]+TSLW[[#This Row],[Purchase]]-TSLW[[#This Row],[Payment]]</calculatedColumnFormula>
    </tableColumn>
    <tableColumn id="10" name="Total Balance" dataDxfId="88">
      <calculatedColumnFormula>TSLW[Balance]</calculatedColumnFormula>
    </tableColumn>
  </tableColumns>
  <tableStyleInfo name="TableStyleMedium8" showFirstColumn="0" showLastColumn="0" showRowStripes="1" showColumnStripes="0"/>
</table>
</file>

<file path=xl/tables/table19.xml><?xml version="1.0" encoding="utf-8"?>
<table xmlns="http://schemas.openxmlformats.org/spreadsheetml/2006/main" id="20" name="UMG" displayName="UMG" ref="A1:J2" totalsRowShown="0" headerRowDxfId="87" dataDxfId="86">
  <autoFilter ref="A1:J2"/>
  <tableColumns count="10">
    <tableColumn id="1" name="Date" dataDxfId="85"/>
    <tableColumn id="2" name="Vr.No" dataDxfId="84"/>
    <tableColumn id="3" name="A/C Tipe" dataDxfId="83"/>
    <tableColumn id="4" name="Supplier Name" dataDxfId="82"/>
    <tableColumn id="5" name="Item Name" dataDxfId="81"/>
    <tableColumn id="6" name="Opening" dataDxfId="80" dataCellStyle="Comma"/>
    <tableColumn id="7" name="Purchase" dataDxfId="79" dataCellStyle="Comma"/>
    <tableColumn id="8" name="Payment" dataDxfId="78" dataCellStyle="Comma"/>
    <tableColumn id="9" name="Balance" dataDxfId="77" dataCellStyle="Comma">
      <calculatedColumnFormula>UMG[[#This Row],[Opening]]+UMG[[#This Row],[Purchase]]-UMG[[#This Row],[Payment]]</calculatedColumnFormula>
    </tableColumn>
    <tableColumn id="10" name="Total Balance" dataDxfId="76">
      <calculatedColumnFormula>UMG[Balance]</calculatedColumnFormula>
    </tableColumn>
  </tableColumns>
  <tableStyleInfo name="TableStyleMedium8" showFirstColumn="0" showLastColumn="0" showRowStripes="1" showColumnStripes="0"/>
</table>
</file>

<file path=xl/tables/table20.xml><?xml version="1.0" encoding="utf-8"?>
<table xmlns="http://schemas.openxmlformats.org/spreadsheetml/2006/main" id="21" name="ZAN" displayName="ZAN" ref="A1:J11" totalsRowShown="0" headerRowDxfId="75" dataDxfId="74">
  <autoFilter ref="A1:J11"/>
  <sortState ref="A2:I6">
    <sortCondition ref="A1:A6"/>
  </sortState>
  <tableColumns count="10">
    <tableColumn id="1" name="Date" dataDxfId="73"/>
    <tableColumn id="2" name="Vr.No" dataDxfId="72"/>
    <tableColumn id="3" name="A/C Tipe" dataDxfId="71"/>
    <tableColumn id="4" name="Supplier Name" dataDxfId="70"/>
    <tableColumn id="5" name="Item Name" dataDxfId="69"/>
    <tableColumn id="6" name="Opening" dataDxfId="68" dataCellStyle="Comma"/>
    <tableColumn id="7" name="Purchase" dataDxfId="67" dataCellStyle="Comma"/>
    <tableColumn id="8" name="Payment" dataDxfId="66" dataCellStyle="Comma"/>
    <tableColumn id="9" name="Balance" dataDxfId="65" dataCellStyle="Comma">
      <calculatedColumnFormula>ZAN[[#This Row],[Opening]]+ZAN[[#This Row],[Purchase]]-ZAN[[#This Row],[Payment]]</calculatedColumnFormula>
    </tableColumn>
    <tableColumn id="10" name="Total Balance" dataDxfId="64"/>
  </tableColumns>
  <tableStyleInfo name="TableStyleMedium8" showFirstColumn="0" showLastColumn="0" showRowStripes="1" showColumnStripes="0"/>
</table>
</file>

<file path=xl/tables/table21.xml><?xml version="1.0" encoding="utf-8"?>
<table xmlns="http://schemas.openxmlformats.org/spreadsheetml/2006/main" id="24" name="ZAN_25" displayName="ZAN_25" ref="A1:F21" totalsRowShown="0" headerRowDxfId="63" dataDxfId="62" tableBorderDxfId="61">
  <tableColumns count="6">
    <tableColumn id="10" name="No" dataDxfId="60"/>
    <tableColumn id="4" name="Supplier Name" dataDxfId="59"/>
    <tableColumn id="6" name="Opening" dataDxfId="58" dataCellStyle="Comma">
      <calculatedColumnFormula>SUMIF('Data Combine'!$D:$D,$B2,'Data Combine'!F:F)</calculatedColumnFormula>
    </tableColumn>
    <tableColumn id="7" name="Purchase" dataDxfId="57" dataCellStyle="Comma">
      <calculatedColumnFormula>SUMIF('Data Combine'!$D:$D,$B2,'Data Combine'!G:G)</calculatedColumnFormula>
    </tableColumn>
    <tableColumn id="8" name="Payment" dataDxfId="56" dataCellStyle="Comma">
      <calculatedColumnFormula>SUMIF('Data Combine'!$D:$D,$B2,'Data Combine'!H:H)</calculatedColumnFormula>
    </tableColumn>
    <tableColumn id="9" name="Balance" dataDxfId="55" dataCellStyle="Comma">
      <calculatedColumnFormula>SUMIF('Data Combine'!$D:$D,$B2,'Data Combine'!I:I)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id="7" name="Data_Combine" displayName="Data_Combine" ref="A1:J203" tableType="queryTable" totalsRowShown="0" headerRowDxfId="23" dataDxfId="22">
  <autoFilter ref="A1:J203"/>
  <tableColumns count="10">
    <tableColumn id="21" uniqueName="21" name="Content.Date" queryTableFieldId="1" dataDxfId="21"/>
    <tableColumn id="22" uniqueName="22" name="Content.Vr.No" queryTableFieldId="2" dataDxfId="20"/>
    <tableColumn id="23" uniqueName="23" name="Content.A/C Tipe" queryTableFieldId="3" dataDxfId="19"/>
    <tableColumn id="24" uniqueName="24" name="Content.Supplier Name" queryTableFieldId="4" dataDxfId="18"/>
    <tableColumn id="25" uniqueName="25" name="Content.Item Name" queryTableFieldId="5" dataDxfId="17"/>
    <tableColumn id="26" uniqueName="26" name="Content.Opening" queryTableFieldId="6" dataDxfId="16" dataCellStyle="Comma"/>
    <tableColumn id="27" uniqueName="27" name="Content.Purchase" queryTableFieldId="7" dataDxfId="15" dataCellStyle="Comma"/>
    <tableColumn id="28" uniqueName="28" name="Content.Payment" queryTableFieldId="8" dataDxfId="14" dataCellStyle="Comma"/>
    <tableColumn id="29" uniqueName="29" name="Content.Balance" queryTableFieldId="9" dataDxfId="13" dataCellStyle="Comma"/>
    <tableColumn id="30" uniqueName="30" name="Content.Total Balance" queryTableFieldId="10" dataDxfId="12" dataCellStyle="Comma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id="22" name="Query1_2" displayName="Query1_2" ref="A1:J3" totalsRowShown="0" headerRowDxfId="11" dataDxfId="10">
  <autoFilter ref="A1:J3"/>
  <sortState ref="A2:J3">
    <sortCondition ref="A1:A3"/>
  </sortState>
  <tableColumns count="10">
    <tableColumn id="11" name="Content.Date" dataDxfId="9"/>
    <tableColumn id="2" name="Content.Vr.No" dataDxfId="8"/>
    <tableColumn id="3" name="Content.A/C Tipe" dataDxfId="7"/>
    <tableColumn id="4" name="Content.Supplier Name" dataDxfId="6"/>
    <tableColumn id="5" name="Content.Item Name" dataDxfId="5"/>
    <tableColumn id="6" name="Content.Opening" dataDxfId="4"/>
    <tableColumn id="7" name="Content.Purchase" dataDxfId="3"/>
    <tableColumn id="8" name="Content.Payment" dataDxfId="2"/>
    <tableColumn id="9" name="Content.Balance" dataDxfId="1"/>
    <tableColumn id="10" name="Name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28"/>
  <sheetViews>
    <sheetView topLeftCell="A22" workbookViewId="0">
      <selection activeCell="B29" sqref="B29"/>
    </sheetView>
  </sheetViews>
  <sheetFormatPr defaultColWidth="9.28515625" defaultRowHeight="21.75" x14ac:dyDescent="0.55000000000000004"/>
  <cols>
    <col min="1" max="1" width="9.28515625" style="1"/>
    <col min="2" max="2" width="15.5703125" style="7" bestFit="1" customWidth="1"/>
    <col min="3" max="3" width="26.28515625" style="1" customWidth="1"/>
    <col min="4" max="5" width="9.28515625" style="1"/>
    <col min="6" max="6" width="23.5703125" style="1" bestFit="1" customWidth="1"/>
    <col min="7" max="16384" width="9.28515625" style="1"/>
  </cols>
  <sheetData>
    <row r="2" spans="2:8" x14ac:dyDescent="0.55000000000000004">
      <c r="B2" s="2" t="s">
        <v>2</v>
      </c>
      <c r="C2" s="2" t="s">
        <v>3</v>
      </c>
      <c r="F2" s="2" t="s">
        <v>10</v>
      </c>
      <c r="H2" s="10" t="s">
        <v>70</v>
      </c>
    </row>
    <row r="3" spans="2:8" x14ac:dyDescent="0.55000000000000004">
      <c r="B3" s="3" t="s">
        <v>11</v>
      </c>
      <c r="C3" s="4" t="s">
        <v>12</v>
      </c>
      <c r="F3" s="5" t="s">
        <v>13</v>
      </c>
      <c r="H3" s="6" t="s">
        <v>5</v>
      </c>
    </row>
    <row r="4" spans="2:8" x14ac:dyDescent="0.55000000000000004">
      <c r="B4" s="3" t="s">
        <v>14</v>
      </c>
      <c r="C4" s="4" t="s">
        <v>15</v>
      </c>
      <c r="F4" s="5" t="s">
        <v>16</v>
      </c>
      <c r="H4" s="6" t="s">
        <v>6</v>
      </c>
    </row>
    <row r="5" spans="2:8" x14ac:dyDescent="0.55000000000000004">
      <c r="B5" s="3" t="s">
        <v>17</v>
      </c>
      <c r="C5" s="4" t="s">
        <v>18</v>
      </c>
      <c r="F5" s="5" t="s">
        <v>19</v>
      </c>
      <c r="H5" s="6" t="s">
        <v>7</v>
      </c>
    </row>
    <row r="6" spans="2:8" x14ac:dyDescent="0.55000000000000004">
      <c r="B6" s="3" t="s">
        <v>20</v>
      </c>
      <c r="C6" s="4" t="s">
        <v>21</v>
      </c>
      <c r="F6" s="5" t="s">
        <v>22</v>
      </c>
    </row>
    <row r="7" spans="2:8" x14ac:dyDescent="0.55000000000000004">
      <c r="B7" s="3" t="s">
        <v>23</v>
      </c>
      <c r="C7" s="4" t="s">
        <v>68</v>
      </c>
      <c r="F7" s="5" t="s">
        <v>24</v>
      </c>
    </row>
    <row r="8" spans="2:8" x14ac:dyDescent="0.55000000000000004">
      <c r="B8" s="3" t="s">
        <v>25</v>
      </c>
      <c r="C8" s="4" t="s">
        <v>26</v>
      </c>
      <c r="F8" s="5" t="s">
        <v>27</v>
      </c>
    </row>
    <row r="9" spans="2:8" x14ac:dyDescent="0.55000000000000004">
      <c r="B9" s="3" t="s">
        <v>28</v>
      </c>
      <c r="C9" s="4" t="s">
        <v>29</v>
      </c>
      <c r="F9" s="5" t="s">
        <v>30</v>
      </c>
    </row>
    <row r="10" spans="2:8" x14ac:dyDescent="0.55000000000000004">
      <c r="B10" s="3" t="s">
        <v>31</v>
      </c>
      <c r="C10" s="4" t="s">
        <v>32</v>
      </c>
      <c r="F10" s="5" t="s">
        <v>33</v>
      </c>
    </row>
    <row r="11" spans="2:8" x14ac:dyDescent="0.55000000000000004">
      <c r="B11" s="3" t="s">
        <v>34</v>
      </c>
      <c r="C11" s="4" t="s">
        <v>35</v>
      </c>
      <c r="F11" s="5" t="s">
        <v>36</v>
      </c>
    </row>
    <row r="12" spans="2:8" x14ac:dyDescent="0.55000000000000004">
      <c r="B12" s="3" t="s">
        <v>37</v>
      </c>
      <c r="C12" s="4" t="s">
        <v>38</v>
      </c>
    </row>
    <row r="13" spans="2:8" x14ac:dyDescent="0.55000000000000004">
      <c r="B13" s="3" t="s">
        <v>39</v>
      </c>
      <c r="C13" s="4" t="s">
        <v>40</v>
      </c>
    </row>
    <row r="14" spans="2:8" x14ac:dyDescent="0.55000000000000004">
      <c r="B14" s="3" t="s">
        <v>41</v>
      </c>
      <c r="C14" s="4" t="s">
        <v>42</v>
      </c>
    </row>
    <row r="15" spans="2:8" x14ac:dyDescent="0.55000000000000004">
      <c r="B15" s="3" t="s">
        <v>43</v>
      </c>
      <c r="C15" s="4" t="s">
        <v>44</v>
      </c>
    </row>
    <row r="16" spans="2:8" x14ac:dyDescent="0.55000000000000004">
      <c r="B16" s="3" t="s">
        <v>45</v>
      </c>
      <c r="C16" s="4" t="s">
        <v>46</v>
      </c>
    </row>
    <row r="17" spans="2:3" x14ac:dyDescent="0.55000000000000004">
      <c r="B17" s="3" t="s">
        <v>47</v>
      </c>
      <c r="C17" s="4" t="s">
        <v>48</v>
      </c>
    </row>
    <row r="18" spans="2:3" x14ac:dyDescent="0.55000000000000004">
      <c r="B18" s="3" t="s">
        <v>49</v>
      </c>
      <c r="C18" s="4" t="s">
        <v>50</v>
      </c>
    </row>
    <row r="19" spans="2:3" x14ac:dyDescent="0.55000000000000004">
      <c r="B19" s="3" t="s">
        <v>51</v>
      </c>
      <c r="C19" s="4" t="s">
        <v>52</v>
      </c>
    </row>
    <row r="20" spans="2:3" x14ac:dyDescent="0.55000000000000004">
      <c r="B20" s="3" t="s">
        <v>53</v>
      </c>
      <c r="C20" s="4" t="s">
        <v>54</v>
      </c>
    </row>
    <row r="21" spans="2:3" x14ac:dyDescent="0.55000000000000004">
      <c r="B21" s="3" t="s">
        <v>55</v>
      </c>
      <c r="C21" s="4" t="s">
        <v>56</v>
      </c>
    </row>
    <row r="22" spans="2:3" x14ac:dyDescent="0.55000000000000004">
      <c r="B22" s="3" t="s">
        <v>57</v>
      </c>
      <c r="C22" s="6" t="s">
        <v>58</v>
      </c>
    </row>
    <row r="23" spans="2:3" x14ac:dyDescent="0.55000000000000004">
      <c r="B23" s="3" t="s">
        <v>59</v>
      </c>
      <c r="C23" s="6" t="s">
        <v>60</v>
      </c>
    </row>
    <row r="24" spans="2:3" x14ac:dyDescent="0.55000000000000004">
      <c r="B24" s="3" t="s">
        <v>61</v>
      </c>
      <c r="C24" s="6" t="s">
        <v>9</v>
      </c>
    </row>
    <row r="25" spans="2:3" x14ac:dyDescent="0.55000000000000004">
      <c r="B25" s="3" t="s">
        <v>62</v>
      </c>
      <c r="C25" s="6" t="s">
        <v>63</v>
      </c>
    </row>
    <row r="26" spans="2:3" x14ac:dyDescent="0.55000000000000004">
      <c r="B26" s="3" t="s">
        <v>64</v>
      </c>
      <c r="C26" s="6" t="s">
        <v>65</v>
      </c>
    </row>
    <row r="27" spans="2:3" x14ac:dyDescent="0.55000000000000004">
      <c r="B27" s="3" t="s">
        <v>66</v>
      </c>
      <c r="C27" s="6" t="s">
        <v>67</v>
      </c>
    </row>
    <row r="28" spans="2:3" x14ac:dyDescent="0.55000000000000004">
      <c r="B28" s="3" t="s">
        <v>72</v>
      </c>
      <c r="C28" s="4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2"/>
  <sheetViews>
    <sheetView zoomScale="90" zoomScaleNormal="90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74" customWidth="1"/>
    <col min="3" max="3" width="12.28515625" style="1" customWidth="1"/>
    <col min="4" max="4" width="16.85546875" style="1" customWidth="1"/>
    <col min="5" max="5" width="21.140625" style="7" customWidth="1"/>
    <col min="6" max="6" width="17.5703125" style="8" bestFit="1" customWidth="1"/>
    <col min="7" max="7" width="18.42578125" style="8" customWidth="1"/>
    <col min="8" max="8" width="19.42578125" style="9" customWidth="1"/>
    <col min="9" max="9" width="12" style="9" bestFit="1" customWidth="1"/>
    <col min="10" max="10" width="19.140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9" t="s">
        <v>162</v>
      </c>
      <c r="K1" s="8"/>
    </row>
    <row r="2" spans="1:11" x14ac:dyDescent="0.55000000000000004">
      <c r="A2" s="18">
        <v>44348</v>
      </c>
      <c r="B2" s="58"/>
      <c r="C2" s="16" t="s">
        <v>5</v>
      </c>
      <c r="D2" s="1" t="s">
        <v>9</v>
      </c>
      <c r="E2" s="7" t="s">
        <v>5</v>
      </c>
      <c r="F2" s="19">
        <v>586620</v>
      </c>
      <c r="G2" s="19"/>
      <c r="H2" s="17"/>
      <c r="I2" s="17">
        <f>Armax[[#This Row],[Opening]]+Armax[[#This Row],[Purchase]]-Armax[[#This Row],[Payment]]</f>
        <v>586620</v>
      </c>
      <c r="J2" s="109">
        <f>Armax[Balance]</f>
        <v>586620</v>
      </c>
    </row>
    <row r="3" spans="1:11" x14ac:dyDescent="0.55000000000000004">
      <c r="A3" s="18"/>
      <c r="B3" s="58"/>
      <c r="C3" s="16"/>
      <c r="E3" s="46"/>
      <c r="F3" s="19"/>
      <c r="G3" s="19"/>
      <c r="H3" s="17"/>
      <c r="I3" s="17"/>
    </row>
    <row r="4" spans="1:11" x14ac:dyDescent="0.55000000000000004">
      <c r="A4" s="59"/>
      <c r="B4" s="73"/>
      <c r="C4" s="60"/>
      <c r="D4" s="61"/>
      <c r="E4" s="65"/>
      <c r="F4" s="63"/>
      <c r="G4" s="63"/>
      <c r="H4" s="64"/>
      <c r="I4" s="64"/>
    </row>
    <row r="5" spans="1:11" x14ac:dyDescent="0.55000000000000004">
      <c r="A5" s="18"/>
      <c r="B5" s="58"/>
      <c r="C5" s="16"/>
      <c r="E5" s="14"/>
      <c r="F5" s="19"/>
      <c r="G5" s="19"/>
      <c r="H5" s="17"/>
      <c r="I5" s="17"/>
    </row>
    <row r="6" spans="1:11" x14ac:dyDescent="0.55000000000000004">
      <c r="A6" s="18"/>
      <c r="B6" s="58"/>
      <c r="C6" s="16"/>
      <c r="E6" s="14"/>
      <c r="F6" s="19"/>
      <c r="G6" s="19"/>
      <c r="H6" s="17"/>
      <c r="I6" s="17"/>
    </row>
    <row r="7" spans="1:11" x14ac:dyDescent="0.55000000000000004">
      <c r="A7" s="18"/>
      <c r="B7" s="58"/>
      <c r="C7" s="16"/>
      <c r="E7" s="14"/>
      <c r="F7" s="19"/>
      <c r="G7" s="19"/>
      <c r="H7" s="17"/>
      <c r="I7" s="17"/>
    </row>
    <row r="8" spans="1:11" x14ac:dyDescent="0.55000000000000004">
      <c r="A8" s="18"/>
      <c r="B8" s="58"/>
      <c r="C8" s="16"/>
      <c r="E8" s="14"/>
      <c r="F8" s="19"/>
      <c r="G8" s="19"/>
      <c r="H8" s="17"/>
      <c r="I8" s="17"/>
    </row>
    <row r="9" spans="1:11" x14ac:dyDescent="0.55000000000000004">
      <c r="A9" s="18"/>
      <c r="B9" s="58"/>
      <c r="C9" s="16"/>
      <c r="E9" s="14"/>
      <c r="F9" s="19"/>
      <c r="G9" s="19"/>
      <c r="H9" s="17"/>
      <c r="I9" s="17"/>
    </row>
    <row r="10" spans="1:11" x14ac:dyDescent="0.55000000000000004">
      <c r="A10" s="18"/>
      <c r="B10" s="58"/>
      <c r="C10" s="16"/>
      <c r="E10" s="14"/>
      <c r="F10" s="19"/>
      <c r="G10" s="19"/>
      <c r="H10" s="17"/>
      <c r="I10" s="17"/>
    </row>
    <row r="11" spans="1:11" x14ac:dyDescent="0.55000000000000004">
      <c r="C11" s="11"/>
    </row>
    <row r="12" spans="1:11" x14ac:dyDescent="0.55000000000000004">
      <c r="C12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28515625" style="1" customWidth="1"/>
    <col min="4" max="4" width="21.140625" style="1" bestFit="1" customWidth="1"/>
    <col min="5" max="5" width="38.28515625" style="7" customWidth="1"/>
    <col min="6" max="6" width="14.140625" style="8" customWidth="1"/>
    <col min="7" max="7" width="18.42578125" style="8" customWidth="1"/>
    <col min="8" max="8" width="16.5703125" style="9" customWidth="1"/>
    <col min="9" max="9" width="16.28515625" style="9" customWidth="1"/>
    <col min="10" max="10" width="15.42578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9" t="s">
        <v>162</v>
      </c>
      <c r="K1" s="8"/>
    </row>
    <row r="2" spans="1:11" x14ac:dyDescent="0.55000000000000004">
      <c r="A2" s="18">
        <v>44348</v>
      </c>
      <c r="B2" s="16"/>
      <c r="C2" s="16" t="s">
        <v>5</v>
      </c>
      <c r="D2" s="1" t="s">
        <v>15</v>
      </c>
      <c r="E2" s="7" t="s">
        <v>5</v>
      </c>
      <c r="F2" s="19">
        <v>0</v>
      </c>
      <c r="G2" s="19"/>
      <c r="H2" s="17"/>
      <c r="I2" s="17">
        <f>AAM[[#This Row],[Opening]]+AAM[[#This Row],[Purchase]]-AAM[[#This Row],[Payment]]</f>
        <v>0</v>
      </c>
      <c r="J2" s="109">
        <f>AAM[[#This Row],[Balance]]</f>
        <v>0</v>
      </c>
    </row>
    <row r="3" spans="1:11" x14ac:dyDescent="0.55000000000000004">
      <c r="A3" s="18">
        <v>44351</v>
      </c>
      <c r="B3" s="16">
        <v>60081</v>
      </c>
      <c r="C3" s="16" t="s">
        <v>6</v>
      </c>
      <c r="D3" s="1" t="s">
        <v>15</v>
      </c>
      <c r="E3" s="44" t="s">
        <v>124</v>
      </c>
      <c r="F3" s="19"/>
      <c r="G3" s="19">
        <v>224450</v>
      </c>
      <c r="H3" s="17"/>
      <c r="I3" s="17">
        <f>AAM[[#This Row],[Opening]]+AAM[[#This Row],[Purchase]]-AAM[[#This Row],[Payment]]</f>
        <v>224450</v>
      </c>
      <c r="J3" s="109">
        <f>J2+AAM[[#This Row],[Purchase]]-AAM[[#This Row],[Payment]]</f>
        <v>224450</v>
      </c>
    </row>
    <row r="4" spans="1:11" x14ac:dyDescent="0.55000000000000004">
      <c r="A4" s="100">
        <v>44363</v>
      </c>
      <c r="B4" s="101">
        <v>60236</v>
      </c>
      <c r="C4" s="101" t="s">
        <v>6</v>
      </c>
      <c r="D4" s="1" t="s">
        <v>15</v>
      </c>
      <c r="E4" s="102" t="s">
        <v>140</v>
      </c>
      <c r="F4" s="103"/>
      <c r="G4" s="103">
        <v>120000</v>
      </c>
      <c r="H4" s="104"/>
      <c r="I4" s="104">
        <f>AAM[[#This Row],[Opening]]+AAM[[#This Row],[Purchase]]-AAM[[#This Row],[Payment]]</f>
        <v>120000</v>
      </c>
      <c r="J4" s="109">
        <f>J3+AAM[[#This Row],[Purchase]]-AAM[[#This Row],[Payment]]</f>
        <v>344450</v>
      </c>
    </row>
    <row r="5" spans="1:11" x14ac:dyDescent="0.55000000000000004">
      <c r="A5" s="100">
        <v>44363</v>
      </c>
      <c r="B5" s="101">
        <v>60238</v>
      </c>
      <c r="C5" s="101" t="s">
        <v>6</v>
      </c>
      <c r="D5" s="1" t="s">
        <v>15</v>
      </c>
      <c r="E5" s="102" t="s">
        <v>141</v>
      </c>
      <c r="F5" s="103"/>
      <c r="G5" s="103">
        <v>200000</v>
      </c>
      <c r="H5" s="104"/>
      <c r="I5" s="104">
        <f>AAM[[#This Row],[Opening]]+AAM[[#This Row],[Purchase]]-AAM[[#This Row],[Payment]]</f>
        <v>200000</v>
      </c>
      <c r="J5" s="109">
        <f>J4+AAM[[#This Row],[Purchase]]-AAM[[#This Row],[Payment]]</f>
        <v>544450</v>
      </c>
    </row>
    <row r="6" spans="1:11" x14ac:dyDescent="0.55000000000000004">
      <c r="A6" s="100">
        <v>44363</v>
      </c>
      <c r="B6" s="101">
        <v>60239</v>
      </c>
      <c r="C6" s="101" t="s">
        <v>6</v>
      </c>
      <c r="D6" s="1" t="s">
        <v>15</v>
      </c>
      <c r="E6" s="102" t="s">
        <v>142</v>
      </c>
      <c r="F6" s="103"/>
      <c r="G6" s="103">
        <v>150000</v>
      </c>
      <c r="H6" s="104"/>
      <c r="I6" s="104">
        <f>AAM[[#This Row],[Opening]]+AAM[[#This Row],[Purchase]]-AAM[[#This Row],[Payment]]</f>
        <v>150000</v>
      </c>
      <c r="J6" s="109">
        <f>J5+AAM[[#This Row],[Purchase]]-AAM[[#This Row],[Payment]]</f>
        <v>694450</v>
      </c>
    </row>
    <row r="7" spans="1:11" x14ac:dyDescent="0.55000000000000004">
      <c r="A7" s="100">
        <v>44361</v>
      </c>
      <c r="B7" s="101">
        <v>60334</v>
      </c>
      <c r="C7" s="101" t="s">
        <v>6</v>
      </c>
      <c r="D7" s="1" t="s">
        <v>15</v>
      </c>
      <c r="E7" s="102" t="s">
        <v>143</v>
      </c>
      <c r="F7" s="103"/>
      <c r="G7" s="103">
        <v>26550</v>
      </c>
      <c r="H7" s="104"/>
      <c r="I7" s="104">
        <f>AAM[[#This Row],[Opening]]+AAM[[#This Row],[Purchase]]-AAM[[#This Row],[Payment]]</f>
        <v>26550</v>
      </c>
      <c r="J7" s="109">
        <f>J6+AAM[[#This Row],[Purchase]]-AAM[[#This Row],[Payment]]</f>
        <v>721000</v>
      </c>
    </row>
    <row r="8" spans="1:11" x14ac:dyDescent="0.55000000000000004">
      <c r="A8" s="100">
        <v>44368</v>
      </c>
      <c r="B8" s="101">
        <v>9155</v>
      </c>
      <c r="C8" s="101" t="s">
        <v>7</v>
      </c>
      <c r="D8" s="1" t="s">
        <v>15</v>
      </c>
      <c r="E8" s="106" t="s">
        <v>86</v>
      </c>
      <c r="F8" s="103"/>
      <c r="G8" s="103"/>
      <c r="H8" s="104">
        <v>700000</v>
      </c>
      <c r="I8" s="104">
        <f>AAM[[#This Row],[Opening]]+AAM[[#This Row],[Purchase]]-AAM[[#This Row],[Payment]]</f>
        <v>-700000</v>
      </c>
      <c r="J8" s="109">
        <f>J7+AAM[[#This Row],[Purchase]]-AAM[[#This Row],[Payment]]</f>
        <v>21000</v>
      </c>
    </row>
    <row r="9" spans="1:11" x14ac:dyDescent="0.55000000000000004">
      <c r="A9" s="100">
        <v>44368</v>
      </c>
      <c r="B9" s="101">
        <v>60060</v>
      </c>
      <c r="C9" s="101" t="s">
        <v>6</v>
      </c>
      <c r="D9" s="1" t="s">
        <v>15</v>
      </c>
      <c r="E9" s="102" t="s">
        <v>141</v>
      </c>
      <c r="F9" s="103"/>
      <c r="G9" s="103">
        <v>285000</v>
      </c>
      <c r="H9" s="104"/>
      <c r="I9" s="104">
        <f>AAM[[#This Row],[Opening]]+AAM[[#This Row],[Purchase]]-AAM[[#This Row],[Payment]]</f>
        <v>285000</v>
      </c>
      <c r="J9" s="109">
        <f>J8+AAM[[#This Row],[Purchase]]-AAM[[#This Row],[Payment]]</f>
        <v>306000</v>
      </c>
    </row>
    <row r="10" spans="1:11" x14ac:dyDescent="0.55000000000000004">
      <c r="A10" s="100"/>
      <c r="B10" s="101"/>
      <c r="C10" s="101"/>
      <c r="D10" s="105"/>
      <c r="E10" s="102"/>
      <c r="F10" s="103"/>
      <c r="G10" s="103"/>
      <c r="H10" s="104"/>
      <c r="I10" s="104"/>
    </row>
    <row r="11" spans="1:11" x14ac:dyDescent="0.55000000000000004">
      <c r="A11" s="18"/>
      <c r="B11" s="16"/>
      <c r="C11" s="16"/>
      <c r="F11" s="19"/>
      <c r="G11" s="19"/>
      <c r="H11" s="17"/>
      <c r="I11" s="17"/>
    </row>
    <row r="12" spans="1:11" x14ac:dyDescent="0.55000000000000004">
      <c r="A12" s="18"/>
      <c r="B12" s="16"/>
      <c r="C12" s="16"/>
      <c r="F12" s="19"/>
      <c r="G12" s="19"/>
      <c r="H12" s="17"/>
      <c r="I12" s="17"/>
    </row>
    <row r="13" spans="1:11" x14ac:dyDescent="0.55000000000000004">
      <c r="A13" s="18"/>
      <c r="B13" s="16"/>
      <c r="C13" s="16"/>
      <c r="E13" s="14"/>
      <c r="F13" s="19"/>
      <c r="G13" s="19"/>
      <c r="H13" s="17"/>
      <c r="I13" s="17"/>
    </row>
    <row r="14" spans="1:11" x14ac:dyDescent="0.55000000000000004">
      <c r="A14" s="18"/>
      <c r="B14" s="16"/>
      <c r="C14" s="16"/>
      <c r="E14" s="14"/>
      <c r="F14" s="19"/>
      <c r="G14" s="19"/>
      <c r="H14" s="17"/>
      <c r="I14" s="17"/>
    </row>
    <row r="15" spans="1:11" x14ac:dyDescent="0.55000000000000004">
      <c r="A15" s="18"/>
      <c r="B15" s="16"/>
      <c r="C15" s="16"/>
      <c r="E15" s="14"/>
      <c r="F15" s="19"/>
      <c r="G15" s="19"/>
      <c r="H15" s="17"/>
      <c r="I15" s="17"/>
    </row>
    <row r="16" spans="1:11" x14ac:dyDescent="0.55000000000000004">
      <c r="A16" s="18"/>
      <c r="B16" s="16"/>
      <c r="C16" s="16"/>
      <c r="E16" s="14"/>
      <c r="F16" s="19"/>
      <c r="G16" s="19"/>
      <c r="H16" s="17"/>
      <c r="I16" s="17"/>
    </row>
    <row r="17" spans="3:3" x14ac:dyDescent="0.55000000000000004">
      <c r="C17" s="11"/>
    </row>
    <row r="18" spans="3:3" x14ac:dyDescent="0.55000000000000004">
      <c r="C18" s="11"/>
    </row>
  </sheetData>
  <pageMargins left="0.7" right="0.7" top="0.75" bottom="0.75" header="0.3" footer="0.3"/>
  <pageSetup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79"/>
  <sheetViews>
    <sheetView zoomScale="90" zoomScaleNormal="90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3.7109375" style="1" customWidth="1"/>
    <col min="4" max="4" width="16.28515625" style="1" customWidth="1"/>
    <col min="5" max="5" width="41" style="7" customWidth="1"/>
    <col min="6" max="6" width="17.5703125" style="8" bestFit="1" customWidth="1"/>
    <col min="7" max="7" width="18.42578125" style="8" customWidth="1"/>
    <col min="8" max="8" width="16.140625" style="9" customWidth="1"/>
    <col min="9" max="9" width="17.5703125" style="9" customWidth="1"/>
    <col min="10" max="10" width="17.140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9" t="s">
        <v>162</v>
      </c>
      <c r="K1" s="8"/>
    </row>
    <row r="2" spans="1:11" x14ac:dyDescent="0.55000000000000004">
      <c r="A2" s="18">
        <v>44348</v>
      </c>
      <c r="B2" s="16"/>
      <c r="C2" s="16" t="s">
        <v>5</v>
      </c>
      <c r="D2" s="1" t="s">
        <v>18</v>
      </c>
      <c r="E2" s="7" t="s">
        <v>5</v>
      </c>
      <c r="F2" s="19">
        <v>1128804</v>
      </c>
      <c r="G2" s="19"/>
      <c r="H2" s="17"/>
      <c r="I2" s="17">
        <f>AMT[[#This Row],[Opening]]+AMT[[#This Row],[Purchase]]-AMT[[#This Row],[Payment]]</f>
        <v>1128804</v>
      </c>
      <c r="J2" s="109">
        <f>AMT[[#This Row],[Balance]]</f>
        <v>1128804</v>
      </c>
    </row>
    <row r="3" spans="1:11" x14ac:dyDescent="0.55000000000000004">
      <c r="A3" s="18">
        <v>44351</v>
      </c>
      <c r="B3" s="16">
        <v>49257</v>
      </c>
      <c r="C3" s="16" t="s">
        <v>6</v>
      </c>
      <c r="D3" s="1" t="s">
        <v>18</v>
      </c>
      <c r="E3" s="46" t="s">
        <v>111</v>
      </c>
      <c r="F3" s="19"/>
      <c r="G3" s="19">
        <v>178550</v>
      </c>
      <c r="H3" s="17"/>
      <c r="I3" s="17">
        <f>AMT[[#This Row],[Opening]]+AMT[[#This Row],[Purchase]]-AMT[[#This Row],[Payment]]</f>
        <v>178550</v>
      </c>
      <c r="J3" s="109">
        <f>J2+AMT[[#This Row],[Purchase]]-AMT[[#This Row],[Payment]]</f>
        <v>1307354</v>
      </c>
      <c r="K3" s="9" t="s">
        <v>71</v>
      </c>
    </row>
    <row r="4" spans="1:11" x14ac:dyDescent="0.55000000000000004">
      <c r="A4" s="100">
        <v>44350</v>
      </c>
      <c r="B4" s="101">
        <v>49213</v>
      </c>
      <c r="C4" s="101" t="s">
        <v>6</v>
      </c>
      <c r="D4" s="1" t="s">
        <v>18</v>
      </c>
      <c r="E4" s="106" t="s">
        <v>112</v>
      </c>
      <c r="F4" s="103"/>
      <c r="G4" s="103">
        <v>330165</v>
      </c>
      <c r="H4" s="104"/>
      <c r="I4" s="104">
        <f>AMT[[#This Row],[Opening]]+AMT[[#This Row],[Purchase]]-AMT[[#This Row],[Payment]]</f>
        <v>330165</v>
      </c>
      <c r="J4" s="109">
        <f>J3+AMT[[#This Row],[Purchase]]-AMT[[#This Row],[Payment]]</f>
        <v>1637519</v>
      </c>
    </row>
    <row r="5" spans="1:11" x14ac:dyDescent="0.55000000000000004">
      <c r="A5" s="100">
        <v>44349</v>
      </c>
      <c r="B5" s="101">
        <v>21295</v>
      </c>
      <c r="C5" s="101" t="s">
        <v>6</v>
      </c>
      <c r="D5" s="1" t="s">
        <v>18</v>
      </c>
      <c r="E5" s="106" t="s">
        <v>113</v>
      </c>
      <c r="F5" s="103"/>
      <c r="G5" s="103">
        <v>31750</v>
      </c>
      <c r="H5" s="104"/>
      <c r="I5" s="104">
        <f>AMT[[#This Row],[Opening]]+AMT[[#This Row],[Purchase]]-AMT[[#This Row],[Payment]]</f>
        <v>31750</v>
      </c>
      <c r="J5" s="109">
        <f>J4+AMT[[#This Row],[Purchase]]-AMT[[#This Row],[Payment]]</f>
        <v>1669269</v>
      </c>
    </row>
    <row r="6" spans="1:11" x14ac:dyDescent="0.55000000000000004">
      <c r="A6" s="100">
        <v>44349</v>
      </c>
      <c r="B6" s="101">
        <v>49188</v>
      </c>
      <c r="C6" s="101" t="s">
        <v>6</v>
      </c>
      <c r="D6" s="1" t="s">
        <v>18</v>
      </c>
      <c r="E6" s="106" t="s">
        <v>114</v>
      </c>
      <c r="F6" s="103"/>
      <c r="G6" s="103">
        <v>206472</v>
      </c>
      <c r="H6" s="104"/>
      <c r="I6" s="104">
        <f>AMT[[#This Row],[Opening]]+AMT[[#This Row],[Purchase]]-AMT[[#This Row],[Payment]]</f>
        <v>206472</v>
      </c>
      <c r="J6" s="109">
        <f>J5+AMT[[#This Row],[Purchase]]-AMT[[#This Row],[Payment]]</f>
        <v>1875741</v>
      </c>
    </row>
    <row r="7" spans="1:11" x14ac:dyDescent="0.55000000000000004">
      <c r="A7" s="100">
        <v>44349</v>
      </c>
      <c r="B7" s="101">
        <v>49161</v>
      </c>
      <c r="C7" s="101" t="s">
        <v>6</v>
      </c>
      <c r="D7" s="1" t="s">
        <v>18</v>
      </c>
      <c r="E7" s="106" t="s">
        <v>115</v>
      </c>
      <c r="F7" s="103"/>
      <c r="G7" s="103">
        <v>121930</v>
      </c>
      <c r="H7" s="104"/>
      <c r="I7" s="104">
        <f>AMT[[#This Row],[Opening]]+AMT[[#This Row],[Purchase]]-AMT[[#This Row],[Payment]]</f>
        <v>121930</v>
      </c>
      <c r="J7" s="109">
        <f>J6+AMT[[#This Row],[Purchase]]-AMT[[#This Row],[Payment]]</f>
        <v>1997671</v>
      </c>
    </row>
    <row r="8" spans="1:11" x14ac:dyDescent="0.55000000000000004">
      <c r="A8" s="100">
        <v>44349</v>
      </c>
      <c r="B8" s="101">
        <v>49121</v>
      </c>
      <c r="C8" s="101" t="s">
        <v>6</v>
      </c>
      <c r="D8" s="1" t="s">
        <v>18</v>
      </c>
      <c r="E8" s="106" t="s">
        <v>126</v>
      </c>
      <c r="F8" s="103"/>
      <c r="G8" s="103">
        <v>260092</v>
      </c>
      <c r="H8" s="104"/>
      <c r="I8" s="104">
        <f>AMT[[#This Row],[Opening]]+AMT[[#This Row],[Purchase]]-AMT[[#This Row],[Payment]]</f>
        <v>260092</v>
      </c>
      <c r="J8" s="109">
        <f>J7+AMT[[#This Row],[Purchase]]-AMT[[#This Row],[Payment]]</f>
        <v>2257763</v>
      </c>
    </row>
    <row r="9" spans="1:11" x14ac:dyDescent="0.55000000000000004">
      <c r="A9" s="100">
        <v>44349</v>
      </c>
      <c r="B9" s="101">
        <v>21280</v>
      </c>
      <c r="C9" s="101" t="s">
        <v>6</v>
      </c>
      <c r="D9" s="1" t="s">
        <v>18</v>
      </c>
      <c r="E9" s="106" t="s">
        <v>127</v>
      </c>
      <c r="F9" s="103"/>
      <c r="G9" s="103">
        <v>57500</v>
      </c>
      <c r="H9" s="104"/>
      <c r="I9" s="104">
        <f>AMT[[#This Row],[Opening]]+AMT[[#This Row],[Purchase]]-AMT[[#This Row],[Payment]]</f>
        <v>57500</v>
      </c>
      <c r="J9" s="109">
        <f>J8+AMT[[#This Row],[Purchase]]-AMT[[#This Row],[Payment]]</f>
        <v>2315263</v>
      </c>
    </row>
    <row r="10" spans="1:11" x14ac:dyDescent="0.55000000000000004">
      <c r="A10" s="100">
        <v>44353</v>
      </c>
      <c r="B10" s="101"/>
      <c r="C10" s="101" t="s">
        <v>7</v>
      </c>
      <c r="D10" s="1" t="s">
        <v>18</v>
      </c>
      <c r="E10" s="106" t="s">
        <v>116</v>
      </c>
      <c r="F10" s="103"/>
      <c r="G10" s="103"/>
      <c r="H10" s="104">
        <v>36102</v>
      </c>
      <c r="I10" s="104">
        <f>AMT[[#This Row],[Opening]]+AMT[[#This Row],[Purchase]]-AMT[[#This Row],[Payment]]</f>
        <v>-36102</v>
      </c>
      <c r="J10" s="109">
        <f>J9+AMT[[#This Row],[Purchase]]-AMT[[#This Row],[Payment]]</f>
        <v>2279161</v>
      </c>
    </row>
    <row r="11" spans="1:11" x14ac:dyDescent="0.55000000000000004">
      <c r="A11" s="100">
        <v>44351</v>
      </c>
      <c r="B11" s="101">
        <v>2411</v>
      </c>
      <c r="C11" s="101" t="s">
        <v>7</v>
      </c>
      <c r="D11" s="1" t="s">
        <v>18</v>
      </c>
      <c r="E11" s="106" t="s">
        <v>86</v>
      </c>
      <c r="F11" s="103"/>
      <c r="G11" s="103"/>
      <c r="H11" s="104">
        <v>1000000</v>
      </c>
      <c r="I11" s="104">
        <f>AMT[[#This Row],[Opening]]+AMT[[#This Row],[Purchase]]-AMT[[#This Row],[Payment]]</f>
        <v>-1000000</v>
      </c>
      <c r="J11" s="109">
        <f>J10+AMT[[#This Row],[Purchase]]-AMT[[#This Row],[Payment]]</f>
        <v>1279161</v>
      </c>
    </row>
    <row r="12" spans="1:11" x14ac:dyDescent="0.55000000000000004">
      <c r="A12" s="100">
        <v>44355</v>
      </c>
      <c r="B12" s="101">
        <v>2426</v>
      </c>
      <c r="C12" s="101" t="s">
        <v>7</v>
      </c>
      <c r="D12" s="1" t="s">
        <v>18</v>
      </c>
      <c r="E12" s="106" t="s">
        <v>86</v>
      </c>
      <c r="F12" s="103"/>
      <c r="G12" s="103"/>
      <c r="H12" s="104">
        <v>1000000</v>
      </c>
      <c r="I12" s="104">
        <f>AMT[[#This Row],[Opening]]+AMT[[#This Row],[Purchase]]-AMT[[#This Row],[Payment]]</f>
        <v>-1000000</v>
      </c>
      <c r="J12" s="109">
        <f>J11+AMT[[#This Row],[Purchase]]-AMT[[#This Row],[Payment]]</f>
        <v>279161</v>
      </c>
    </row>
    <row r="13" spans="1:11" x14ac:dyDescent="0.55000000000000004">
      <c r="A13" s="100">
        <v>44355</v>
      </c>
      <c r="B13" s="101">
        <v>21509</v>
      </c>
      <c r="C13" s="101" t="s">
        <v>6</v>
      </c>
      <c r="D13" s="1" t="s">
        <v>18</v>
      </c>
      <c r="E13" s="106" t="s">
        <v>118</v>
      </c>
      <c r="F13" s="103"/>
      <c r="G13" s="103">
        <v>105200</v>
      </c>
      <c r="H13" s="104"/>
      <c r="I13" s="104">
        <f>AMT[[#This Row],[Opening]]+AMT[[#This Row],[Purchase]]-AMT[[#This Row],[Payment]]</f>
        <v>105200</v>
      </c>
      <c r="J13" s="109">
        <f>J12+AMT[[#This Row],[Purchase]]-AMT[[#This Row],[Payment]]</f>
        <v>384361</v>
      </c>
    </row>
    <row r="14" spans="1:11" x14ac:dyDescent="0.55000000000000004">
      <c r="A14" s="100">
        <v>44355</v>
      </c>
      <c r="B14" s="101">
        <v>49346</v>
      </c>
      <c r="C14" s="101" t="s">
        <v>6</v>
      </c>
      <c r="D14" s="1" t="s">
        <v>18</v>
      </c>
      <c r="E14" s="106" t="s">
        <v>119</v>
      </c>
      <c r="F14" s="103"/>
      <c r="G14" s="103">
        <v>116788</v>
      </c>
      <c r="H14" s="104"/>
      <c r="I14" s="104">
        <f>AMT[[#This Row],[Opening]]+AMT[[#This Row],[Purchase]]-AMT[[#This Row],[Payment]]</f>
        <v>116788</v>
      </c>
      <c r="J14" s="109">
        <f>J13+AMT[[#This Row],[Purchase]]-AMT[[#This Row],[Payment]]</f>
        <v>501149</v>
      </c>
    </row>
    <row r="15" spans="1:11" x14ac:dyDescent="0.55000000000000004">
      <c r="A15" s="100">
        <v>44354</v>
      </c>
      <c r="B15" s="101">
        <v>49338</v>
      </c>
      <c r="C15" s="101" t="s">
        <v>6</v>
      </c>
      <c r="D15" s="1" t="s">
        <v>18</v>
      </c>
      <c r="E15" s="106" t="s">
        <v>120</v>
      </c>
      <c r="F15" s="103"/>
      <c r="G15" s="103">
        <v>48500</v>
      </c>
      <c r="H15" s="104"/>
      <c r="I15" s="104">
        <f>AMT[[#This Row],[Opening]]+AMT[[#This Row],[Purchase]]-AMT[[#This Row],[Payment]]</f>
        <v>48500</v>
      </c>
      <c r="J15" s="109">
        <f>J14+AMT[[#This Row],[Purchase]]-AMT[[#This Row],[Payment]]</f>
        <v>549649</v>
      </c>
    </row>
    <row r="16" spans="1:11" x14ac:dyDescent="0.55000000000000004">
      <c r="A16" s="100">
        <v>44352</v>
      </c>
      <c r="B16" s="101">
        <v>49286</v>
      </c>
      <c r="C16" s="101" t="s">
        <v>6</v>
      </c>
      <c r="D16" s="1" t="s">
        <v>18</v>
      </c>
      <c r="E16" s="106" t="s">
        <v>121</v>
      </c>
      <c r="F16" s="103"/>
      <c r="G16" s="103">
        <v>192985</v>
      </c>
      <c r="H16" s="104"/>
      <c r="I16" s="104">
        <f>AMT[[#This Row],[Opening]]+AMT[[#This Row],[Purchase]]-AMT[[#This Row],[Payment]]</f>
        <v>192985</v>
      </c>
      <c r="J16" s="109">
        <f>J15+AMT[[#This Row],[Purchase]]-AMT[[#This Row],[Payment]]</f>
        <v>742634</v>
      </c>
    </row>
    <row r="17" spans="1:10" x14ac:dyDescent="0.55000000000000004">
      <c r="A17" s="100">
        <v>44361</v>
      </c>
      <c r="B17" s="101">
        <v>21527</v>
      </c>
      <c r="C17" s="101" t="s">
        <v>6</v>
      </c>
      <c r="D17" s="1" t="s">
        <v>18</v>
      </c>
      <c r="E17" s="106" t="s">
        <v>130</v>
      </c>
      <c r="F17" s="103"/>
      <c r="G17" s="103">
        <v>81500</v>
      </c>
      <c r="H17" s="104"/>
      <c r="I17" s="104">
        <f>AMT[[#This Row],[Opening]]+AMT[[#This Row],[Purchase]]-AMT[[#This Row],[Payment]]</f>
        <v>81500</v>
      </c>
      <c r="J17" s="109">
        <f>J16+AMT[[#This Row],[Purchase]]-AMT[[#This Row],[Payment]]</f>
        <v>824134</v>
      </c>
    </row>
    <row r="18" spans="1:10" x14ac:dyDescent="0.55000000000000004">
      <c r="A18" s="100">
        <v>44358</v>
      </c>
      <c r="B18" s="101">
        <v>49454</v>
      </c>
      <c r="C18" s="101" t="s">
        <v>6</v>
      </c>
      <c r="D18" s="1" t="s">
        <v>18</v>
      </c>
      <c r="E18" s="106" t="s">
        <v>131</v>
      </c>
      <c r="F18" s="103"/>
      <c r="G18" s="103">
        <v>49695</v>
      </c>
      <c r="H18" s="104"/>
      <c r="I18" s="104">
        <f>AMT[[#This Row],[Opening]]+AMT[[#This Row],[Purchase]]-AMT[[#This Row],[Payment]]</f>
        <v>49695</v>
      </c>
      <c r="J18" s="109">
        <f>J17+AMT[[#This Row],[Purchase]]-AMT[[#This Row],[Payment]]</f>
        <v>873829</v>
      </c>
    </row>
    <row r="19" spans="1:10" x14ac:dyDescent="0.55000000000000004">
      <c r="A19" s="100">
        <v>44356</v>
      </c>
      <c r="B19" s="101">
        <v>49396</v>
      </c>
      <c r="C19" s="101" t="s">
        <v>6</v>
      </c>
      <c r="D19" s="1" t="s">
        <v>18</v>
      </c>
      <c r="E19" s="106" t="s">
        <v>132</v>
      </c>
      <c r="F19" s="103"/>
      <c r="G19" s="103">
        <v>126075</v>
      </c>
      <c r="H19" s="104"/>
      <c r="I19" s="104">
        <f>AMT[[#This Row],[Opening]]+AMT[[#This Row],[Purchase]]-AMT[[#This Row],[Payment]]</f>
        <v>126075</v>
      </c>
      <c r="J19" s="109">
        <f>J18+AMT[[#This Row],[Purchase]]-AMT[[#This Row],[Payment]]</f>
        <v>999904</v>
      </c>
    </row>
    <row r="20" spans="1:10" x14ac:dyDescent="0.55000000000000004">
      <c r="A20" s="100">
        <v>44361</v>
      </c>
      <c r="B20" s="101">
        <v>49496</v>
      </c>
      <c r="C20" s="101" t="s">
        <v>6</v>
      </c>
      <c r="D20" s="1" t="s">
        <v>18</v>
      </c>
      <c r="E20" s="106" t="s">
        <v>136</v>
      </c>
      <c r="F20" s="103"/>
      <c r="G20" s="103">
        <v>542469</v>
      </c>
      <c r="H20" s="104"/>
      <c r="I20" s="104">
        <f>AMT[[#This Row],[Opening]]+AMT[[#This Row],[Purchase]]-AMT[[#This Row],[Payment]]</f>
        <v>542469</v>
      </c>
      <c r="J20" s="109">
        <f>J19+AMT[[#This Row],[Purchase]]-AMT[[#This Row],[Payment]]</f>
        <v>1542373</v>
      </c>
    </row>
    <row r="21" spans="1:10" x14ac:dyDescent="0.55000000000000004">
      <c r="A21" s="100">
        <v>44363</v>
      </c>
      <c r="B21" s="101">
        <v>49554</v>
      </c>
      <c r="C21" s="101" t="s">
        <v>6</v>
      </c>
      <c r="D21" s="1" t="s">
        <v>18</v>
      </c>
      <c r="E21" s="106" t="s">
        <v>137</v>
      </c>
      <c r="F21" s="103"/>
      <c r="G21" s="103">
        <v>449320</v>
      </c>
      <c r="H21" s="104"/>
      <c r="I21" s="104">
        <f>AMT[[#This Row],[Opening]]+AMT[[#This Row],[Purchase]]-AMT[[#This Row],[Payment]]</f>
        <v>449320</v>
      </c>
      <c r="J21" s="109">
        <f>J20+AMT[[#This Row],[Purchase]]-AMT[[#This Row],[Payment]]</f>
        <v>1991693</v>
      </c>
    </row>
    <row r="22" spans="1:10" x14ac:dyDescent="0.55000000000000004">
      <c r="A22" s="100">
        <v>44363</v>
      </c>
      <c r="B22" s="101">
        <v>21535</v>
      </c>
      <c r="C22" s="101" t="s">
        <v>6</v>
      </c>
      <c r="D22" s="1" t="s">
        <v>18</v>
      </c>
      <c r="E22" s="106" t="s">
        <v>138</v>
      </c>
      <c r="F22" s="103"/>
      <c r="G22" s="103">
        <v>33000</v>
      </c>
      <c r="H22" s="104"/>
      <c r="I22" s="104">
        <f>AMT[[#This Row],[Opening]]+AMT[[#This Row],[Purchase]]-AMT[[#This Row],[Payment]]</f>
        <v>33000</v>
      </c>
      <c r="J22" s="109">
        <f>J21+AMT[[#This Row],[Purchase]]-AMT[[#This Row],[Payment]]</f>
        <v>2024693</v>
      </c>
    </row>
    <row r="23" spans="1:10" x14ac:dyDescent="0.55000000000000004">
      <c r="A23" s="100">
        <v>44363</v>
      </c>
      <c r="B23" s="101">
        <v>2457</v>
      </c>
      <c r="C23" s="101" t="s">
        <v>7</v>
      </c>
      <c r="D23" s="1" t="s">
        <v>18</v>
      </c>
      <c r="E23" s="106" t="s">
        <v>86</v>
      </c>
      <c r="F23" s="103"/>
      <c r="G23" s="103"/>
      <c r="H23" s="104">
        <v>1000000</v>
      </c>
      <c r="I23" s="104">
        <f>AMT[[#This Row],[Opening]]+AMT[[#This Row],[Purchase]]-AMT[[#This Row],[Payment]]</f>
        <v>-1000000</v>
      </c>
      <c r="J23" s="109">
        <f>J22+AMT[[#This Row],[Purchase]]-AMT[[#This Row],[Payment]]</f>
        <v>1024693</v>
      </c>
    </row>
    <row r="24" spans="1:10" x14ac:dyDescent="0.55000000000000004">
      <c r="A24" s="100">
        <v>44368</v>
      </c>
      <c r="B24" s="101">
        <v>2480</v>
      </c>
      <c r="C24" s="101" t="s">
        <v>7</v>
      </c>
      <c r="D24" s="1" t="s">
        <v>18</v>
      </c>
      <c r="E24" s="106" t="s">
        <v>86</v>
      </c>
      <c r="F24" s="103"/>
      <c r="G24" s="103"/>
      <c r="H24" s="104">
        <v>1000000</v>
      </c>
      <c r="I24" s="104">
        <f>AMT[[#This Row],[Opening]]+AMT[[#This Row],[Purchase]]-AMT[[#This Row],[Payment]]</f>
        <v>-1000000</v>
      </c>
      <c r="J24" s="109">
        <f>J23+AMT[[#This Row],[Purchase]]-AMT[[#This Row],[Payment]]</f>
        <v>24693</v>
      </c>
    </row>
    <row r="25" spans="1:10" x14ac:dyDescent="0.55000000000000004">
      <c r="A25" s="100">
        <v>44368</v>
      </c>
      <c r="B25" s="101">
        <v>21560</v>
      </c>
      <c r="C25" s="101" t="s">
        <v>6</v>
      </c>
      <c r="D25" s="1" t="s">
        <v>18</v>
      </c>
      <c r="E25" s="106" t="s">
        <v>145</v>
      </c>
      <c r="F25" s="103"/>
      <c r="G25" s="103">
        <v>18075</v>
      </c>
      <c r="H25" s="104"/>
      <c r="I25" s="104">
        <f>AMT[[#This Row],[Opening]]+AMT[[#This Row],[Purchase]]-AMT[[#This Row],[Payment]]</f>
        <v>18075</v>
      </c>
      <c r="J25" s="109">
        <f>J24+AMT[[#This Row],[Purchase]]-AMT[[#This Row],[Payment]]</f>
        <v>42768</v>
      </c>
    </row>
    <row r="26" spans="1:10" x14ac:dyDescent="0.55000000000000004">
      <c r="A26" s="100">
        <v>44368</v>
      </c>
      <c r="B26" s="101">
        <v>49695</v>
      </c>
      <c r="C26" s="101" t="s">
        <v>6</v>
      </c>
      <c r="D26" s="1" t="s">
        <v>18</v>
      </c>
      <c r="E26" s="106" t="s">
        <v>146</v>
      </c>
      <c r="F26" s="103"/>
      <c r="G26" s="103">
        <v>658029</v>
      </c>
      <c r="H26" s="104"/>
      <c r="I26" s="104">
        <f>AMT[[#This Row],[Opening]]+AMT[[#This Row],[Purchase]]-AMT[[#This Row],[Payment]]</f>
        <v>658029</v>
      </c>
      <c r="J26" s="109">
        <f>J25+AMT[[#This Row],[Purchase]]-AMT[[#This Row],[Payment]]</f>
        <v>700797</v>
      </c>
    </row>
    <row r="27" spans="1:10" x14ac:dyDescent="0.55000000000000004">
      <c r="A27" s="100">
        <v>44366</v>
      </c>
      <c r="B27" s="101">
        <v>49670</v>
      </c>
      <c r="C27" s="101" t="s">
        <v>6</v>
      </c>
      <c r="D27" s="1" t="s">
        <v>18</v>
      </c>
      <c r="E27" s="106" t="s">
        <v>131</v>
      </c>
      <c r="F27" s="103"/>
      <c r="G27" s="103">
        <v>108895</v>
      </c>
      <c r="H27" s="104"/>
      <c r="I27" s="104">
        <f>AMT[[#This Row],[Opening]]+AMT[[#This Row],[Purchase]]-AMT[[#This Row],[Payment]]</f>
        <v>108895</v>
      </c>
      <c r="J27" s="109">
        <f>J26+AMT[[#This Row],[Purchase]]-AMT[[#This Row],[Payment]]</f>
        <v>809692</v>
      </c>
    </row>
    <row r="28" spans="1:10" x14ac:dyDescent="0.55000000000000004">
      <c r="A28" s="100">
        <v>44366</v>
      </c>
      <c r="B28" s="101">
        <v>49653</v>
      </c>
      <c r="C28" s="101" t="s">
        <v>6</v>
      </c>
      <c r="D28" s="1" t="s">
        <v>18</v>
      </c>
      <c r="E28" s="106" t="s">
        <v>147</v>
      </c>
      <c r="F28" s="103"/>
      <c r="G28" s="103">
        <v>97495</v>
      </c>
      <c r="H28" s="104"/>
      <c r="I28" s="104">
        <f>AMT[[#This Row],[Opening]]+AMT[[#This Row],[Purchase]]-AMT[[#This Row],[Payment]]</f>
        <v>97495</v>
      </c>
      <c r="J28" s="109">
        <f>J27+AMT[[#This Row],[Purchase]]-AMT[[#This Row],[Payment]]</f>
        <v>907187</v>
      </c>
    </row>
    <row r="29" spans="1:10" x14ac:dyDescent="0.55000000000000004">
      <c r="A29" s="100">
        <v>44366</v>
      </c>
      <c r="B29" s="101">
        <v>49647</v>
      </c>
      <c r="C29" s="101" t="s">
        <v>6</v>
      </c>
      <c r="D29" s="1" t="s">
        <v>18</v>
      </c>
      <c r="E29" s="106" t="s">
        <v>148</v>
      </c>
      <c r="F29" s="103"/>
      <c r="G29" s="103">
        <v>23055</v>
      </c>
      <c r="H29" s="104"/>
      <c r="I29" s="104">
        <f>AMT[[#This Row],[Opening]]+AMT[[#This Row],[Purchase]]-AMT[[#This Row],[Payment]]</f>
        <v>23055</v>
      </c>
      <c r="J29" s="109">
        <f>J28+AMT[[#This Row],[Purchase]]-AMT[[#This Row],[Payment]]</f>
        <v>930242</v>
      </c>
    </row>
    <row r="30" spans="1:10" x14ac:dyDescent="0.55000000000000004">
      <c r="A30" s="100">
        <v>44365</v>
      </c>
      <c r="B30" s="101">
        <v>21551</v>
      </c>
      <c r="C30" s="101" t="s">
        <v>6</v>
      </c>
      <c r="D30" s="1" t="s">
        <v>18</v>
      </c>
      <c r="E30" s="106" t="s">
        <v>149</v>
      </c>
      <c r="F30" s="103"/>
      <c r="G30" s="103">
        <v>47000</v>
      </c>
      <c r="H30" s="104"/>
      <c r="I30" s="104">
        <f>AMT[[#This Row],[Opening]]+AMT[[#This Row],[Purchase]]-AMT[[#This Row],[Payment]]</f>
        <v>47000</v>
      </c>
      <c r="J30" s="109">
        <f>J29+AMT[[#This Row],[Purchase]]-AMT[[#This Row],[Payment]]</f>
        <v>977242</v>
      </c>
    </row>
    <row r="31" spans="1:10" x14ac:dyDescent="0.55000000000000004">
      <c r="A31" s="100">
        <v>44365</v>
      </c>
      <c r="B31" s="101">
        <v>49612</v>
      </c>
      <c r="C31" s="101" t="s">
        <v>6</v>
      </c>
      <c r="D31" s="1" t="s">
        <v>18</v>
      </c>
      <c r="E31" s="106" t="s">
        <v>150</v>
      </c>
      <c r="F31" s="103"/>
      <c r="G31" s="103">
        <v>172062</v>
      </c>
      <c r="H31" s="104"/>
      <c r="I31" s="104">
        <f>AMT[[#This Row],[Opening]]+AMT[[#This Row],[Purchase]]-AMT[[#This Row],[Payment]]</f>
        <v>172062</v>
      </c>
      <c r="J31" s="109">
        <f>J30+AMT[[#This Row],[Purchase]]-AMT[[#This Row],[Payment]]</f>
        <v>1149304</v>
      </c>
    </row>
    <row r="32" spans="1:10" x14ac:dyDescent="0.55000000000000004">
      <c r="A32" s="100">
        <v>44375</v>
      </c>
      <c r="B32" s="101">
        <v>2495</v>
      </c>
      <c r="C32" s="101" t="s">
        <v>7</v>
      </c>
      <c r="D32" s="1" t="s">
        <v>18</v>
      </c>
      <c r="E32" s="106" t="s">
        <v>86</v>
      </c>
      <c r="F32" s="103"/>
      <c r="G32" s="103"/>
      <c r="H32" s="104">
        <v>500000</v>
      </c>
      <c r="I32" s="104">
        <f>AMT[[#This Row],[Opening]]+AMT[[#This Row],[Purchase]]-AMT[[#This Row],[Payment]]</f>
        <v>-500000</v>
      </c>
      <c r="J32" s="109">
        <f>J31+AMT[[#This Row],[Purchase]]-AMT[[#This Row],[Payment]]</f>
        <v>649304</v>
      </c>
    </row>
    <row r="33" spans="1:10" x14ac:dyDescent="0.55000000000000004">
      <c r="A33" s="100">
        <v>44375</v>
      </c>
      <c r="B33" s="101">
        <v>21585</v>
      </c>
      <c r="C33" s="101" t="s">
        <v>6</v>
      </c>
      <c r="D33" s="1" t="s">
        <v>18</v>
      </c>
      <c r="E33" s="106" t="s">
        <v>157</v>
      </c>
      <c r="F33" s="103"/>
      <c r="G33" s="103">
        <v>49000</v>
      </c>
      <c r="H33" s="104"/>
      <c r="I33" s="104">
        <f>AMT[[#This Row],[Opening]]+AMT[[#This Row],[Purchase]]-AMT[[#This Row],[Payment]]</f>
        <v>49000</v>
      </c>
      <c r="J33" s="109">
        <f>J32+AMT[[#This Row],[Purchase]]-AMT[[#This Row],[Payment]]</f>
        <v>698304</v>
      </c>
    </row>
    <row r="34" spans="1:10" x14ac:dyDescent="0.55000000000000004">
      <c r="A34" s="100">
        <v>44375</v>
      </c>
      <c r="B34" s="101">
        <v>49824</v>
      </c>
      <c r="C34" s="101" t="s">
        <v>6</v>
      </c>
      <c r="D34" s="1" t="s">
        <v>18</v>
      </c>
      <c r="E34" s="106" t="s">
        <v>158</v>
      </c>
      <c r="F34" s="103"/>
      <c r="G34" s="103">
        <v>98843</v>
      </c>
      <c r="H34" s="104"/>
      <c r="I34" s="104">
        <f>AMT[[#This Row],[Opening]]+AMT[[#This Row],[Purchase]]-AMT[[#This Row],[Payment]]</f>
        <v>98843</v>
      </c>
      <c r="J34" s="109">
        <f>J33+AMT[[#This Row],[Purchase]]-AMT[[#This Row],[Payment]]</f>
        <v>797147</v>
      </c>
    </row>
    <row r="35" spans="1:10" x14ac:dyDescent="0.55000000000000004">
      <c r="A35" s="100">
        <v>44372</v>
      </c>
      <c r="B35" s="101">
        <v>49798</v>
      </c>
      <c r="C35" s="101" t="s">
        <v>6</v>
      </c>
      <c r="D35" s="1" t="s">
        <v>18</v>
      </c>
      <c r="E35" s="106" t="s">
        <v>159</v>
      </c>
      <c r="F35" s="103"/>
      <c r="G35" s="103">
        <v>73436</v>
      </c>
      <c r="H35" s="104"/>
      <c r="I35" s="104">
        <f>AMT[[#This Row],[Opening]]+AMT[[#This Row],[Purchase]]-AMT[[#This Row],[Payment]]</f>
        <v>73436</v>
      </c>
      <c r="J35" s="109">
        <f>J34+AMT[[#This Row],[Purchase]]-AMT[[#This Row],[Payment]]</f>
        <v>870583</v>
      </c>
    </row>
    <row r="36" spans="1:10" x14ac:dyDescent="0.55000000000000004">
      <c r="A36" s="100"/>
      <c r="B36" s="101"/>
      <c r="C36" s="101"/>
      <c r="D36" s="105"/>
      <c r="E36" s="106"/>
      <c r="F36" s="103"/>
      <c r="G36" s="103"/>
      <c r="H36" s="104"/>
      <c r="I36" s="104"/>
    </row>
    <row r="37" spans="1:10" x14ac:dyDescent="0.55000000000000004">
      <c r="A37" s="59"/>
      <c r="B37" s="60"/>
      <c r="C37" s="60"/>
      <c r="E37" s="65"/>
      <c r="F37" s="63"/>
      <c r="G37" s="63"/>
      <c r="H37" s="64"/>
      <c r="I37" s="64"/>
    </row>
    <row r="38" spans="1:10" x14ac:dyDescent="0.55000000000000004">
      <c r="A38" s="59"/>
      <c r="B38" s="60"/>
      <c r="C38" s="60"/>
      <c r="E38" s="65"/>
      <c r="F38" s="63"/>
      <c r="G38" s="63"/>
      <c r="H38" s="64"/>
      <c r="I38" s="64"/>
    </row>
    <row r="39" spans="1:10" x14ac:dyDescent="0.55000000000000004">
      <c r="A39" s="59"/>
      <c r="B39" s="60"/>
      <c r="C39" s="60"/>
      <c r="E39" s="65"/>
      <c r="F39" s="63"/>
      <c r="G39" s="63"/>
      <c r="H39" s="64"/>
      <c r="I39" s="64"/>
    </row>
    <row r="40" spans="1:10" x14ac:dyDescent="0.55000000000000004">
      <c r="A40" s="59"/>
      <c r="B40" s="60"/>
      <c r="C40" s="60"/>
      <c r="E40" s="65"/>
      <c r="F40" s="63"/>
      <c r="G40" s="63"/>
      <c r="H40" s="64"/>
      <c r="I40" s="64"/>
    </row>
    <row r="41" spans="1:10" x14ac:dyDescent="0.55000000000000004">
      <c r="A41" s="59"/>
      <c r="B41" s="60"/>
      <c r="C41" s="60"/>
      <c r="E41" s="65"/>
      <c r="F41" s="63"/>
      <c r="G41" s="63"/>
      <c r="H41" s="64"/>
      <c r="I41" s="64"/>
    </row>
    <row r="42" spans="1:10" x14ac:dyDescent="0.55000000000000004">
      <c r="A42" s="59"/>
      <c r="B42" s="60"/>
      <c r="C42" s="60"/>
      <c r="E42" s="65"/>
      <c r="F42" s="63"/>
      <c r="G42" s="63"/>
      <c r="H42" s="64"/>
      <c r="I42" s="64"/>
    </row>
    <row r="43" spans="1:10" x14ac:dyDescent="0.55000000000000004">
      <c r="A43" s="59"/>
      <c r="B43" s="60"/>
      <c r="C43" s="60"/>
      <c r="E43" s="65"/>
      <c r="F43" s="63"/>
      <c r="G43" s="63"/>
      <c r="H43" s="64"/>
      <c r="I43" s="64"/>
    </row>
    <row r="44" spans="1:10" x14ac:dyDescent="0.55000000000000004">
      <c r="A44" s="59"/>
      <c r="B44" s="60"/>
      <c r="C44" s="60"/>
      <c r="E44" s="46"/>
      <c r="F44" s="63"/>
      <c r="G44" s="63"/>
      <c r="H44" s="64"/>
      <c r="I44" s="64"/>
    </row>
    <row r="45" spans="1:10" x14ac:dyDescent="0.55000000000000004">
      <c r="A45" s="59"/>
      <c r="B45" s="60"/>
      <c r="C45" s="60"/>
      <c r="E45" s="65"/>
      <c r="F45" s="63"/>
      <c r="G45" s="63"/>
      <c r="H45" s="64"/>
      <c r="I45" s="64"/>
    </row>
    <row r="46" spans="1:10" x14ac:dyDescent="0.55000000000000004">
      <c r="A46" s="59"/>
      <c r="B46" s="60"/>
      <c r="C46" s="60"/>
      <c r="E46" s="65"/>
      <c r="F46" s="63"/>
      <c r="G46" s="63"/>
      <c r="H46" s="64"/>
      <c r="I46" s="64"/>
    </row>
    <row r="47" spans="1:10" x14ac:dyDescent="0.55000000000000004">
      <c r="A47" s="59"/>
      <c r="B47" s="60"/>
      <c r="C47" s="60"/>
      <c r="E47" s="65"/>
      <c r="F47" s="63"/>
      <c r="G47" s="63"/>
      <c r="H47" s="64"/>
      <c r="I47" s="64"/>
    </row>
    <row r="48" spans="1:10" x14ac:dyDescent="0.55000000000000004">
      <c r="A48" s="59"/>
      <c r="B48" s="60"/>
      <c r="C48" s="60"/>
      <c r="E48" s="65"/>
      <c r="F48" s="63"/>
      <c r="G48" s="63"/>
      <c r="H48" s="64"/>
      <c r="I48" s="64"/>
    </row>
    <row r="49" spans="1:9" x14ac:dyDescent="0.55000000000000004">
      <c r="A49" s="59"/>
      <c r="B49" s="60"/>
      <c r="C49" s="60"/>
      <c r="E49" s="65"/>
      <c r="F49" s="63"/>
      <c r="G49" s="63"/>
      <c r="H49" s="64"/>
      <c r="I49" s="64"/>
    </row>
    <row r="50" spans="1:9" x14ac:dyDescent="0.55000000000000004">
      <c r="A50" s="59"/>
      <c r="B50" s="60"/>
      <c r="C50" s="60"/>
      <c r="E50" s="65"/>
      <c r="F50" s="63"/>
      <c r="G50" s="63"/>
      <c r="H50" s="64"/>
      <c r="I50" s="64"/>
    </row>
    <row r="51" spans="1:9" x14ac:dyDescent="0.55000000000000004">
      <c r="A51" s="59"/>
      <c r="B51" s="60"/>
      <c r="C51" s="60"/>
      <c r="E51" s="65"/>
      <c r="F51" s="63"/>
      <c r="G51" s="63"/>
      <c r="H51" s="64"/>
      <c r="I51" s="64"/>
    </row>
    <row r="52" spans="1:9" x14ac:dyDescent="0.55000000000000004">
      <c r="A52" s="59"/>
      <c r="B52" s="60"/>
      <c r="C52" s="60"/>
      <c r="E52" s="65"/>
      <c r="F52" s="63"/>
      <c r="G52" s="63"/>
      <c r="H52" s="64"/>
      <c r="I52" s="64"/>
    </row>
    <row r="53" spans="1:9" x14ac:dyDescent="0.55000000000000004">
      <c r="A53" s="59"/>
      <c r="B53" s="60"/>
      <c r="C53" s="60"/>
      <c r="E53" s="65"/>
      <c r="F53" s="63"/>
      <c r="G53" s="63"/>
      <c r="H53" s="64"/>
      <c r="I53" s="64"/>
    </row>
    <row r="54" spans="1:9" x14ac:dyDescent="0.55000000000000004">
      <c r="A54" s="59"/>
      <c r="B54" s="60"/>
      <c r="C54" s="60"/>
      <c r="E54" s="65"/>
      <c r="F54" s="63"/>
      <c r="G54" s="63"/>
      <c r="H54" s="63"/>
      <c r="I54" s="64"/>
    </row>
    <row r="55" spans="1:9" x14ac:dyDescent="0.55000000000000004">
      <c r="A55" s="59"/>
      <c r="B55" s="60"/>
      <c r="C55" s="60"/>
      <c r="E55" s="46"/>
      <c r="F55" s="63"/>
      <c r="G55" s="63"/>
      <c r="H55" s="64"/>
      <c r="I55" s="64"/>
    </row>
    <row r="56" spans="1:9" x14ac:dyDescent="0.55000000000000004">
      <c r="A56" s="59"/>
      <c r="B56" s="60"/>
      <c r="C56" s="60"/>
      <c r="E56" s="62"/>
      <c r="F56" s="63"/>
      <c r="G56" s="63"/>
      <c r="H56" s="64"/>
      <c r="I56" s="64"/>
    </row>
    <row r="57" spans="1:9" x14ac:dyDescent="0.55000000000000004">
      <c r="A57" s="59"/>
      <c r="B57" s="60"/>
      <c r="C57" s="60"/>
      <c r="E57" s="62"/>
      <c r="F57" s="63"/>
      <c r="G57" s="63"/>
      <c r="H57" s="64"/>
      <c r="I57" s="64"/>
    </row>
    <row r="58" spans="1:9" x14ac:dyDescent="0.55000000000000004">
      <c r="A58" s="59"/>
      <c r="B58" s="60"/>
      <c r="C58" s="60"/>
      <c r="E58" s="62"/>
      <c r="F58" s="63"/>
      <c r="G58" s="63"/>
      <c r="H58" s="64"/>
      <c r="I58" s="64"/>
    </row>
    <row r="59" spans="1:9" x14ac:dyDescent="0.55000000000000004">
      <c r="A59" s="59"/>
      <c r="B59" s="60"/>
      <c r="C59" s="60"/>
      <c r="E59" s="46"/>
      <c r="F59" s="63"/>
      <c r="G59" s="63"/>
      <c r="H59" s="64"/>
      <c r="I59" s="64"/>
    </row>
    <row r="60" spans="1:9" x14ac:dyDescent="0.55000000000000004">
      <c r="A60" s="59"/>
      <c r="B60" s="60"/>
      <c r="C60" s="60"/>
      <c r="E60" s="62"/>
      <c r="F60" s="63"/>
      <c r="G60" s="63"/>
      <c r="H60" s="64"/>
      <c r="I60" s="64"/>
    </row>
    <row r="61" spans="1:9" x14ac:dyDescent="0.55000000000000004">
      <c r="A61" s="59"/>
      <c r="B61" s="60"/>
      <c r="C61" s="60"/>
      <c r="E61" s="62"/>
      <c r="F61" s="63"/>
      <c r="G61" s="63"/>
      <c r="H61" s="64"/>
      <c r="I61" s="64"/>
    </row>
    <row r="62" spans="1:9" x14ac:dyDescent="0.55000000000000004">
      <c r="A62" s="59"/>
      <c r="B62" s="60"/>
      <c r="C62" s="60"/>
      <c r="E62" s="62"/>
      <c r="F62" s="63"/>
      <c r="G62" s="63"/>
      <c r="H62" s="64"/>
      <c r="I62" s="64"/>
    </row>
    <row r="63" spans="1:9" x14ac:dyDescent="0.55000000000000004">
      <c r="A63" s="59"/>
      <c r="B63" s="60"/>
      <c r="C63" s="60"/>
      <c r="E63" s="62"/>
      <c r="F63" s="63"/>
      <c r="G63" s="63"/>
      <c r="H63" s="64"/>
      <c r="I63" s="64"/>
    </row>
    <row r="64" spans="1:9" x14ac:dyDescent="0.55000000000000004">
      <c r="A64" s="59"/>
      <c r="B64" s="60"/>
      <c r="C64" s="60"/>
      <c r="E64" s="62"/>
      <c r="F64" s="63"/>
      <c r="G64" s="63"/>
      <c r="H64" s="64"/>
      <c r="I64" s="64"/>
    </row>
    <row r="65" spans="1:9" x14ac:dyDescent="0.55000000000000004">
      <c r="A65" s="59"/>
      <c r="B65" s="60"/>
      <c r="C65" s="60"/>
      <c r="E65" s="62"/>
      <c r="F65" s="63"/>
      <c r="G65" s="63"/>
      <c r="H65" s="64"/>
      <c r="I65" s="64"/>
    </row>
    <row r="66" spans="1:9" x14ac:dyDescent="0.55000000000000004">
      <c r="A66" s="59"/>
      <c r="B66" s="60"/>
      <c r="C66" s="60"/>
      <c r="E66" s="46"/>
      <c r="F66" s="63"/>
      <c r="G66" s="63"/>
      <c r="H66" s="64"/>
      <c r="I66" s="64"/>
    </row>
    <row r="67" spans="1:9" x14ac:dyDescent="0.55000000000000004">
      <c r="A67" s="59"/>
      <c r="B67" s="60"/>
      <c r="C67" s="60"/>
      <c r="E67" s="46"/>
      <c r="F67" s="63"/>
      <c r="G67" s="63"/>
      <c r="H67" s="64"/>
      <c r="I67" s="64"/>
    </row>
    <row r="68" spans="1:9" x14ac:dyDescent="0.55000000000000004">
      <c r="A68" s="59"/>
      <c r="B68" s="60"/>
      <c r="C68" s="60"/>
      <c r="E68" s="65"/>
      <c r="F68" s="63"/>
      <c r="G68" s="63"/>
      <c r="H68" s="64"/>
      <c r="I68" s="64"/>
    </row>
    <row r="69" spans="1:9" x14ac:dyDescent="0.55000000000000004">
      <c r="A69" s="59"/>
      <c r="B69" s="60"/>
      <c r="C69" s="60"/>
      <c r="E69" s="62"/>
      <c r="F69" s="63"/>
      <c r="G69" s="63"/>
      <c r="H69" s="64"/>
      <c r="I69" s="64"/>
    </row>
    <row r="70" spans="1:9" x14ac:dyDescent="0.55000000000000004">
      <c r="A70" s="59"/>
      <c r="B70" s="60"/>
      <c r="C70" s="60"/>
      <c r="E70" s="62"/>
      <c r="F70" s="63"/>
      <c r="G70" s="63"/>
      <c r="H70" s="64"/>
      <c r="I70" s="64"/>
    </row>
    <row r="71" spans="1:9" x14ac:dyDescent="0.55000000000000004">
      <c r="A71" s="59"/>
      <c r="B71" s="60"/>
      <c r="C71" s="60"/>
      <c r="E71" s="62"/>
      <c r="F71" s="63"/>
      <c r="G71" s="63"/>
      <c r="H71" s="64"/>
      <c r="I71" s="64"/>
    </row>
    <row r="72" spans="1:9" x14ac:dyDescent="0.55000000000000004">
      <c r="A72" s="59"/>
      <c r="B72" s="60"/>
      <c r="C72" s="60"/>
      <c r="E72" s="62"/>
      <c r="F72" s="63"/>
      <c r="G72" s="63"/>
      <c r="H72" s="64"/>
      <c r="I72" s="64"/>
    </row>
    <row r="73" spans="1:9" x14ac:dyDescent="0.55000000000000004">
      <c r="A73" s="59"/>
      <c r="B73" s="60"/>
      <c r="C73" s="60"/>
      <c r="E73" s="62"/>
      <c r="F73" s="63"/>
      <c r="G73" s="63"/>
      <c r="H73" s="64"/>
      <c r="I73" s="64"/>
    </row>
    <row r="74" spans="1:9" x14ac:dyDescent="0.55000000000000004">
      <c r="A74" s="59"/>
      <c r="B74" s="60"/>
      <c r="C74" s="60"/>
      <c r="D74" s="61"/>
      <c r="E74" s="62"/>
      <c r="F74" s="63"/>
      <c r="G74" s="63"/>
      <c r="H74" s="64"/>
      <c r="I74" s="64"/>
    </row>
    <row r="75" spans="1:9" x14ac:dyDescent="0.55000000000000004">
      <c r="A75" s="54"/>
      <c r="B75" s="55"/>
      <c r="C75" s="55"/>
      <c r="D75" s="52"/>
      <c r="E75" s="56"/>
      <c r="F75" s="53"/>
      <c r="G75" s="53"/>
      <c r="H75" s="57"/>
      <c r="I75" s="57"/>
    </row>
    <row r="76" spans="1:9" x14ac:dyDescent="0.55000000000000004">
      <c r="A76" s="18"/>
      <c r="B76" s="16"/>
      <c r="C76" s="16"/>
      <c r="E76" s="14"/>
      <c r="F76" s="19"/>
      <c r="G76" s="19"/>
      <c r="H76" s="17"/>
      <c r="I76" s="17"/>
    </row>
    <row r="77" spans="1:9" x14ac:dyDescent="0.55000000000000004">
      <c r="A77" s="18"/>
      <c r="B77" s="16"/>
      <c r="C77" s="16"/>
      <c r="E77" s="14"/>
      <c r="F77" s="19"/>
      <c r="G77" s="19"/>
      <c r="H77" s="17"/>
      <c r="I77" s="17"/>
    </row>
    <row r="78" spans="1:9" x14ac:dyDescent="0.55000000000000004">
      <c r="C78" s="11"/>
    </row>
    <row r="79" spans="1:9" x14ac:dyDescent="0.55000000000000004">
      <c r="C79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C2:C79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2"/>
  <sheetViews>
    <sheetView zoomScale="90" zoomScaleNormal="90" workbookViewId="0">
      <selection activeCell="J1" sqref="J1"/>
    </sheetView>
  </sheetViews>
  <sheetFormatPr defaultColWidth="8.7109375" defaultRowHeight="21.75" x14ac:dyDescent="0.55000000000000004"/>
  <cols>
    <col min="1" max="1" width="14.7109375" style="75" customWidth="1"/>
    <col min="2" max="2" width="11.42578125" style="74" customWidth="1"/>
    <col min="3" max="3" width="13.5703125" style="1" customWidth="1"/>
    <col min="4" max="4" width="21.42578125" style="1" customWidth="1"/>
    <col min="5" max="5" width="52.42578125" style="7" customWidth="1"/>
    <col min="6" max="6" width="15.7109375" style="8" customWidth="1"/>
    <col min="7" max="7" width="15.5703125" style="8" customWidth="1"/>
    <col min="8" max="8" width="18.140625" style="9" customWidth="1"/>
    <col min="9" max="9" width="14.7109375" style="9" bestFit="1" customWidth="1"/>
    <col min="10" max="10" width="19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75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9" t="s">
        <v>162</v>
      </c>
      <c r="K1" s="8"/>
    </row>
    <row r="2" spans="1:11" x14ac:dyDescent="0.55000000000000004">
      <c r="A2" s="76">
        <v>44348</v>
      </c>
      <c r="B2" s="58"/>
      <c r="C2" s="16" t="s">
        <v>5</v>
      </c>
      <c r="D2" s="1" t="s">
        <v>75</v>
      </c>
      <c r="E2" s="7" t="s">
        <v>5</v>
      </c>
      <c r="F2" s="19">
        <v>16740000</v>
      </c>
      <c r="G2" s="19"/>
      <c r="H2" s="17"/>
      <c r="I2" s="17">
        <f>GBS_TRI[[#This Row],[Opening]]+GBS_TRI[[#This Row],[Purchase]]-GBS_TRI[[#This Row],[Payment]]</f>
        <v>16740000</v>
      </c>
      <c r="J2" s="109">
        <f>GBS_TRI[Balance]</f>
        <v>16740000</v>
      </c>
    </row>
    <row r="3" spans="1:11" x14ac:dyDescent="0.55000000000000004">
      <c r="A3" s="77"/>
      <c r="B3" s="73"/>
      <c r="C3" s="60"/>
      <c r="E3" s="62"/>
      <c r="F3" s="63"/>
      <c r="G3" s="63"/>
      <c r="H3" s="64"/>
      <c r="I3" s="64"/>
    </row>
    <row r="4" spans="1:11" x14ac:dyDescent="0.55000000000000004">
      <c r="A4" s="77"/>
      <c r="B4" s="73"/>
      <c r="C4" s="60"/>
      <c r="E4" s="44"/>
      <c r="F4" s="63"/>
      <c r="G4" s="63"/>
      <c r="H4" s="64"/>
      <c r="I4" s="64"/>
    </row>
    <row r="5" spans="1:11" x14ac:dyDescent="0.55000000000000004">
      <c r="A5" s="76"/>
      <c r="B5" s="66"/>
      <c r="C5" s="48"/>
      <c r="E5" s="44"/>
      <c r="F5" s="50"/>
      <c r="G5" s="50"/>
      <c r="H5" s="51"/>
      <c r="I5" s="51"/>
    </row>
    <row r="6" spans="1:11" x14ac:dyDescent="0.55000000000000004">
      <c r="A6" s="76"/>
      <c r="B6" s="66"/>
      <c r="C6" s="48"/>
      <c r="E6" s="44"/>
      <c r="F6" s="50"/>
      <c r="G6" s="50"/>
      <c r="H6" s="51"/>
      <c r="I6" s="51"/>
    </row>
    <row r="7" spans="1:11" x14ac:dyDescent="0.55000000000000004">
      <c r="A7" s="81"/>
      <c r="B7" s="73"/>
      <c r="C7" s="60"/>
      <c r="E7" s="44"/>
      <c r="F7" s="63"/>
      <c r="G7" s="63"/>
      <c r="H7" s="64"/>
      <c r="I7" s="64"/>
    </row>
    <row r="8" spans="1:11" x14ac:dyDescent="0.55000000000000004">
      <c r="A8" s="87"/>
      <c r="B8" s="88"/>
      <c r="C8" s="89"/>
      <c r="E8" s="91"/>
      <c r="F8" s="86"/>
      <c r="G8" s="86"/>
      <c r="H8" s="92"/>
      <c r="I8" s="92"/>
    </row>
    <row r="9" spans="1:11" x14ac:dyDescent="0.55000000000000004">
      <c r="A9" s="87"/>
      <c r="B9" s="88"/>
      <c r="C9" s="89"/>
      <c r="E9" s="91"/>
      <c r="F9" s="86"/>
      <c r="G9" s="86"/>
      <c r="H9" s="92"/>
      <c r="I9" s="92"/>
    </row>
    <row r="10" spans="1:11" x14ac:dyDescent="0.55000000000000004">
      <c r="A10" s="87"/>
      <c r="B10" s="88"/>
      <c r="C10" s="89"/>
      <c r="E10" s="91"/>
      <c r="F10" s="86"/>
      <c r="G10" s="86"/>
      <c r="H10" s="92"/>
      <c r="I10" s="92"/>
    </row>
    <row r="11" spans="1:11" x14ac:dyDescent="0.55000000000000004">
      <c r="A11" s="87"/>
      <c r="B11" s="88"/>
      <c r="C11" s="89"/>
      <c r="E11" s="91"/>
      <c r="F11" s="86"/>
      <c r="G11" s="86"/>
      <c r="H11" s="92"/>
      <c r="I11" s="92"/>
    </row>
    <row r="12" spans="1:11" x14ac:dyDescent="0.55000000000000004">
      <c r="A12" s="87"/>
      <c r="B12" s="88"/>
      <c r="C12" s="89"/>
      <c r="D12" s="90"/>
      <c r="E12" s="91"/>
      <c r="F12" s="86"/>
      <c r="G12" s="86"/>
      <c r="H12" s="92"/>
      <c r="I12" s="92"/>
    </row>
    <row r="13" spans="1:11" x14ac:dyDescent="0.55000000000000004">
      <c r="A13" s="76"/>
      <c r="B13" s="58"/>
      <c r="C13" s="16"/>
      <c r="E13" s="43"/>
      <c r="F13" s="19"/>
      <c r="G13" s="19"/>
      <c r="H13" s="17"/>
      <c r="I13" s="17"/>
    </row>
    <row r="14" spans="1:11" x14ac:dyDescent="0.55000000000000004">
      <c r="A14" s="76"/>
      <c r="B14" s="58"/>
      <c r="C14" s="16"/>
      <c r="E14" s="43"/>
      <c r="F14" s="19"/>
      <c r="G14" s="19"/>
      <c r="H14" s="17"/>
      <c r="I14" s="17"/>
    </row>
    <row r="15" spans="1:11" x14ac:dyDescent="0.55000000000000004">
      <c r="A15" s="76"/>
      <c r="C15" s="16"/>
      <c r="E15" s="43"/>
      <c r="F15" s="19"/>
      <c r="G15" s="19"/>
      <c r="H15" s="17"/>
      <c r="I15" s="17"/>
    </row>
    <row r="16" spans="1:11" x14ac:dyDescent="0.55000000000000004">
      <c r="A16" s="76"/>
      <c r="B16" s="58"/>
      <c r="C16" s="16"/>
      <c r="E16" s="43"/>
      <c r="F16" s="19"/>
      <c r="G16" s="19"/>
      <c r="H16" s="17"/>
      <c r="I16" s="17"/>
    </row>
    <row r="17" spans="1:9" x14ac:dyDescent="0.55000000000000004">
      <c r="A17" s="76"/>
      <c r="B17" s="58"/>
      <c r="C17" s="16"/>
      <c r="E17" s="43"/>
      <c r="F17" s="19"/>
      <c r="G17" s="19"/>
      <c r="H17" s="17"/>
      <c r="I17" s="17"/>
    </row>
    <row r="18" spans="1:9" x14ac:dyDescent="0.55000000000000004">
      <c r="A18" s="76"/>
      <c r="B18" s="58"/>
      <c r="C18" s="16"/>
      <c r="E18" s="44"/>
      <c r="F18" s="19"/>
      <c r="G18" s="19"/>
      <c r="H18" s="17"/>
      <c r="I18" s="17"/>
    </row>
    <row r="19" spans="1:9" x14ac:dyDescent="0.55000000000000004">
      <c r="A19" s="78"/>
      <c r="B19" s="66"/>
      <c r="C19" s="48"/>
      <c r="D19" s="49"/>
      <c r="E19" s="44"/>
      <c r="F19" s="50"/>
      <c r="G19" s="50"/>
      <c r="H19" s="51"/>
      <c r="I19" s="51"/>
    </row>
    <row r="20" spans="1:9" x14ac:dyDescent="0.55000000000000004">
      <c r="A20" s="76"/>
      <c r="B20" s="58"/>
      <c r="C20" s="16"/>
      <c r="E20" s="14"/>
      <c r="F20" s="19"/>
      <c r="G20" s="19"/>
      <c r="H20" s="17"/>
      <c r="I20" s="17"/>
    </row>
    <row r="21" spans="1:9" x14ac:dyDescent="0.55000000000000004">
      <c r="C21" s="11"/>
    </row>
    <row r="22" spans="1:9" x14ac:dyDescent="0.55000000000000004">
      <c r="C22" s="11"/>
    </row>
  </sheetData>
  <phoneticPr fontId="11" type="noConversion"/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9"/>
  <sheetViews>
    <sheetView zoomScale="90" zoomScaleNormal="90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7109375" style="74" customWidth="1"/>
    <col min="3" max="3" width="13" style="1" customWidth="1"/>
    <col min="4" max="4" width="26.140625" style="1" customWidth="1"/>
    <col min="5" max="5" width="31" style="7" customWidth="1"/>
    <col min="6" max="6" width="17.5703125" style="8" bestFit="1" customWidth="1"/>
    <col min="7" max="7" width="18.42578125" style="8" customWidth="1"/>
    <col min="8" max="8" width="17.28515625" style="9" customWidth="1"/>
    <col min="9" max="9" width="13.85546875" style="9" customWidth="1"/>
    <col min="10" max="10" width="20.140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9" t="s">
        <v>162</v>
      </c>
      <c r="K1" s="8"/>
    </row>
    <row r="2" spans="1:11" x14ac:dyDescent="0.55000000000000004">
      <c r="A2" s="18">
        <v>44348</v>
      </c>
      <c r="B2" s="58"/>
      <c r="C2" s="16" t="s">
        <v>5</v>
      </c>
      <c r="D2" s="1" t="s">
        <v>74</v>
      </c>
      <c r="E2" s="14" t="s">
        <v>5</v>
      </c>
      <c r="F2" s="19">
        <v>980360</v>
      </c>
      <c r="G2" s="19"/>
      <c r="H2" s="17"/>
      <c r="I2" s="17">
        <f>DTL[[#This Row],[Opening]]+DTL[[#This Row],[Purchase]]-DTL[[#This Row],[Payment]]</f>
        <v>980360</v>
      </c>
      <c r="J2" s="109">
        <f>DTL[[#This Row],[Balance]]</f>
        <v>980360</v>
      </c>
    </row>
    <row r="3" spans="1:11" x14ac:dyDescent="0.55000000000000004">
      <c r="A3" s="18">
        <v>44357</v>
      </c>
      <c r="B3" s="58">
        <v>41605</v>
      </c>
      <c r="C3" s="16" t="s">
        <v>7</v>
      </c>
      <c r="D3" s="1" t="s">
        <v>74</v>
      </c>
      <c r="E3" s="106" t="s">
        <v>86</v>
      </c>
      <c r="F3" s="19"/>
      <c r="G3" s="19"/>
      <c r="H3" s="17">
        <v>100000</v>
      </c>
      <c r="I3" s="17">
        <f>DTL[[#This Row],[Opening]]+DTL[[#This Row],[Purchase]]-DTL[[#This Row],[Payment]]</f>
        <v>-100000</v>
      </c>
      <c r="J3" s="109">
        <f>J2+DTL[[#This Row],[Purchase]]-DTL[[#This Row],[Payment]]</f>
        <v>880360</v>
      </c>
    </row>
    <row r="4" spans="1:11" x14ac:dyDescent="0.55000000000000004">
      <c r="A4" s="100">
        <v>44357</v>
      </c>
      <c r="B4" s="108">
        <v>47167</v>
      </c>
      <c r="C4" s="101" t="s">
        <v>6</v>
      </c>
      <c r="D4" s="1" t="s">
        <v>74</v>
      </c>
      <c r="E4" s="106" t="s">
        <v>128</v>
      </c>
      <c r="F4" s="103"/>
      <c r="G4" s="103">
        <v>210600</v>
      </c>
      <c r="H4" s="104"/>
      <c r="I4" s="104">
        <f>DTL[[#This Row],[Opening]]+DTL[[#This Row],[Purchase]]-DTL[[#This Row],[Payment]]</f>
        <v>210600</v>
      </c>
      <c r="J4" s="109">
        <f>J3+DTL[[#This Row],[Purchase]]-DTL[[#This Row],[Payment]]</f>
        <v>1090960</v>
      </c>
    </row>
    <row r="5" spans="1:11" x14ac:dyDescent="0.55000000000000004">
      <c r="A5" s="100"/>
      <c r="B5" s="108"/>
      <c r="C5" s="101"/>
      <c r="D5" s="105"/>
      <c r="E5" s="106"/>
      <c r="F5" s="103"/>
      <c r="G5" s="103"/>
      <c r="H5" s="104"/>
      <c r="I5" s="104"/>
    </row>
    <row r="6" spans="1:11" x14ac:dyDescent="0.55000000000000004">
      <c r="A6" s="100"/>
      <c r="B6" s="108"/>
      <c r="C6" s="101"/>
      <c r="D6" s="105"/>
      <c r="E6" s="106"/>
      <c r="F6" s="103"/>
      <c r="G6" s="103"/>
      <c r="H6" s="104"/>
      <c r="I6" s="104"/>
    </row>
    <row r="7" spans="1:11" x14ac:dyDescent="0.55000000000000004">
      <c r="A7" s="100"/>
      <c r="B7" s="108"/>
      <c r="C7" s="101"/>
      <c r="D7" s="105"/>
      <c r="E7" s="106"/>
      <c r="F7" s="103"/>
      <c r="G7" s="103"/>
      <c r="H7" s="104"/>
      <c r="I7" s="104"/>
    </row>
    <row r="8" spans="1:11" x14ac:dyDescent="0.55000000000000004">
      <c r="A8" s="59"/>
      <c r="B8" s="73"/>
      <c r="C8" s="60"/>
      <c r="E8" s="46"/>
      <c r="F8" s="63"/>
      <c r="G8" s="64"/>
      <c r="H8" s="64"/>
      <c r="I8" s="64"/>
    </row>
    <row r="9" spans="1:11" x14ac:dyDescent="0.55000000000000004">
      <c r="A9" s="47"/>
      <c r="B9" s="66"/>
      <c r="C9" s="48"/>
      <c r="D9" s="49"/>
      <c r="E9" s="46"/>
      <c r="F9" s="50"/>
      <c r="G9" s="50"/>
      <c r="H9" s="51"/>
      <c r="I9" s="51"/>
    </row>
    <row r="10" spans="1:11" x14ac:dyDescent="0.55000000000000004">
      <c r="A10" s="18"/>
      <c r="B10" s="58"/>
      <c r="C10" s="16"/>
      <c r="E10" s="44"/>
      <c r="F10" s="19"/>
      <c r="G10" s="17"/>
      <c r="H10" s="17"/>
      <c r="I10" s="17"/>
    </row>
    <row r="11" spans="1:11" x14ac:dyDescent="0.55000000000000004">
      <c r="A11" s="18"/>
      <c r="B11" s="58"/>
      <c r="C11" s="16"/>
      <c r="E11" s="44"/>
      <c r="F11" s="19"/>
      <c r="G11" s="19"/>
      <c r="H11" s="17"/>
      <c r="I11" s="17"/>
    </row>
    <row r="12" spans="1:11" x14ac:dyDescent="0.55000000000000004">
      <c r="A12" s="54"/>
      <c r="B12" s="58"/>
      <c r="C12" s="55"/>
      <c r="E12" s="56"/>
      <c r="F12" s="53"/>
      <c r="G12" s="53"/>
      <c r="H12" s="57"/>
      <c r="I12" s="57"/>
    </row>
    <row r="13" spans="1:11" x14ac:dyDescent="0.55000000000000004">
      <c r="A13" s="54"/>
      <c r="B13" s="79"/>
      <c r="C13" s="55"/>
      <c r="D13" s="52"/>
      <c r="E13" s="56"/>
      <c r="F13" s="53"/>
      <c r="G13" s="53"/>
      <c r="H13" s="57"/>
      <c r="I13" s="57"/>
    </row>
    <row r="14" spans="1:11" x14ac:dyDescent="0.55000000000000004">
      <c r="A14" s="18"/>
      <c r="B14" s="58"/>
      <c r="C14" s="16"/>
      <c r="E14" s="14"/>
      <c r="F14" s="19"/>
      <c r="G14" s="19"/>
      <c r="H14" s="17"/>
      <c r="I14" s="17"/>
    </row>
    <row r="15" spans="1:11" x14ac:dyDescent="0.55000000000000004">
      <c r="A15" s="18"/>
      <c r="B15" s="58"/>
      <c r="C15" s="16"/>
      <c r="E15" s="14"/>
      <c r="F15" s="19"/>
      <c r="G15" s="19"/>
      <c r="H15" s="17"/>
      <c r="I15" s="17"/>
    </row>
    <row r="16" spans="1:11" x14ac:dyDescent="0.55000000000000004">
      <c r="A16" s="18"/>
      <c r="B16" s="58"/>
      <c r="C16" s="16"/>
      <c r="E16" s="14"/>
      <c r="F16" s="19"/>
      <c r="G16" s="19"/>
      <c r="H16" s="17"/>
      <c r="I16" s="17"/>
    </row>
    <row r="17" spans="1:9" x14ac:dyDescent="0.55000000000000004">
      <c r="A17" s="18"/>
      <c r="B17" s="58"/>
      <c r="C17" s="16"/>
      <c r="E17" s="14"/>
      <c r="F17" s="19"/>
      <c r="G17" s="19"/>
      <c r="H17" s="17"/>
      <c r="I17" s="17"/>
    </row>
    <row r="18" spans="1:9" x14ac:dyDescent="0.55000000000000004">
      <c r="C18" s="11"/>
    </row>
    <row r="19" spans="1:9" x14ac:dyDescent="0.55000000000000004">
      <c r="C19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2"/>
  <sheetViews>
    <sheetView zoomScale="90" zoomScaleNormal="90" workbookViewId="0">
      <selection activeCell="J2" sqref="J2:J5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71" customWidth="1"/>
    <col min="3" max="3" width="15.140625" style="1" customWidth="1"/>
    <col min="4" max="4" width="24.42578125" style="1" bestFit="1" customWidth="1"/>
    <col min="5" max="5" width="34.140625" style="7" customWidth="1"/>
    <col min="6" max="6" width="17.5703125" style="8" bestFit="1" customWidth="1"/>
    <col min="7" max="7" width="18.42578125" style="8" customWidth="1"/>
    <col min="8" max="8" width="19" style="9" customWidth="1"/>
    <col min="9" max="9" width="16.42578125" style="9" customWidth="1"/>
    <col min="10" max="10" width="19.42578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6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9" t="s">
        <v>162</v>
      </c>
      <c r="K1" s="8"/>
    </row>
    <row r="2" spans="1:11" x14ac:dyDescent="0.55000000000000004">
      <c r="A2" s="18">
        <v>44348</v>
      </c>
      <c r="B2" s="45"/>
      <c r="C2" s="16" t="s">
        <v>5</v>
      </c>
      <c r="D2" s="1" t="s">
        <v>76</v>
      </c>
      <c r="E2" s="7" t="s">
        <v>5</v>
      </c>
      <c r="F2" s="19">
        <v>750000</v>
      </c>
      <c r="G2" s="19"/>
      <c r="H2" s="17"/>
      <c r="I2" s="17">
        <f>GBS_ENG[[#This Row],[Opening]]+GBS_ENG[[#This Row],[Purchase]]-GBS_ENG[[#This Row],[Payment]]</f>
        <v>750000</v>
      </c>
      <c r="J2" s="109">
        <f>GBS_ENG[[#This Row],[Balance]]</f>
        <v>750000</v>
      </c>
    </row>
    <row r="3" spans="1:11" x14ac:dyDescent="0.55000000000000004">
      <c r="A3" s="18">
        <v>44349</v>
      </c>
      <c r="B3" s="68"/>
      <c r="C3" s="16" t="s">
        <v>6</v>
      </c>
      <c r="D3" s="1" t="s">
        <v>76</v>
      </c>
      <c r="E3" s="44" t="s">
        <v>125</v>
      </c>
      <c r="F3" s="19"/>
      <c r="G3" s="19">
        <v>233000</v>
      </c>
      <c r="H3" s="17"/>
      <c r="I3" s="17">
        <f>GBS_ENG[[#This Row],[Opening]]+GBS_ENG[[#This Row],[Purchase]]-GBS_ENG[[#This Row],[Payment]]</f>
        <v>233000</v>
      </c>
      <c r="J3" s="109">
        <f>J2+GBS_ENG[[#This Row],[Purchase]]-GBS_ENG[[#This Row],[Payment]]</f>
        <v>983000</v>
      </c>
    </row>
    <row r="4" spans="1:11" x14ac:dyDescent="0.55000000000000004">
      <c r="A4" s="100">
        <v>44351</v>
      </c>
      <c r="B4" s="107">
        <v>13090</v>
      </c>
      <c r="C4" s="101" t="s">
        <v>7</v>
      </c>
      <c r="D4" s="1" t="s">
        <v>76</v>
      </c>
      <c r="E4" s="44" t="s">
        <v>86</v>
      </c>
      <c r="F4" s="103"/>
      <c r="G4" s="103"/>
      <c r="H4" s="104">
        <v>390000</v>
      </c>
      <c r="I4" s="104">
        <f>GBS_ENG[[#This Row],[Opening]]+GBS_ENG[[#This Row],[Purchase]]-GBS_ENG[[#This Row],[Payment]]</f>
        <v>-390000</v>
      </c>
      <c r="J4" s="109">
        <f>J3+GBS_ENG[[#This Row],[Purchase]]-GBS_ENG[[#This Row],[Payment]]</f>
        <v>593000</v>
      </c>
    </row>
    <row r="5" spans="1:11" x14ac:dyDescent="0.55000000000000004">
      <c r="A5" s="100">
        <v>44351</v>
      </c>
      <c r="B5" s="107">
        <v>1656</v>
      </c>
      <c r="C5" s="101" t="s">
        <v>6</v>
      </c>
      <c r="D5" s="1" t="s">
        <v>76</v>
      </c>
      <c r="E5" s="102" t="s">
        <v>117</v>
      </c>
      <c r="F5" s="103"/>
      <c r="G5" s="103">
        <v>390000</v>
      </c>
      <c r="H5" s="104"/>
      <c r="I5" s="104">
        <f>GBS_ENG[[#This Row],[Opening]]+GBS_ENG[[#This Row],[Purchase]]-GBS_ENG[[#This Row],[Payment]]</f>
        <v>390000</v>
      </c>
      <c r="J5" s="109">
        <f>J4+GBS_ENG[[#This Row],[Purchase]]-GBS_ENG[[#This Row],[Payment]]</f>
        <v>983000</v>
      </c>
    </row>
    <row r="6" spans="1:11" x14ac:dyDescent="0.55000000000000004">
      <c r="A6" s="100"/>
      <c r="B6" s="107"/>
      <c r="C6" s="101"/>
      <c r="D6" s="105"/>
      <c r="E6" s="102"/>
      <c r="F6" s="103"/>
      <c r="G6" s="103"/>
      <c r="H6" s="104"/>
      <c r="I6" s="104"/>
    </row>
    <row r="7" spans="1:11" x14ac:dyDescent="0.55000000000000004">
      <c r="A7" s="59"/>
      <c r="B7" s="69"/>
      <c r="C7" s="60"/>
      <c r="E7" s="62"/>
      <c r="F7" s="63"/>
      <c r="G7" s="63"/>
      <c r="H7" s="64"/>
      <c r="I7" s="64"/>
    </row>
    <row r="8" spans="1:11" x14ac:dyDescent="0.55000000000000004">
      <c r="A8" s="59"/>
      <c r="B8" s="69"/>
      <c r="C8" s="60"/>
      <c r="E8" s="62"/>
      <c r="F8" s="63"/>
      <c r="G8" s="63"/>
      <c r="H8" s="64"/>
      <c r="I8" s="64"/>
    </row>
    <row r="9" spans="1:11" x14ac:dyDescent="0.55000000000000004">
      <c r="A9" s="59"/>
      <c r="B9" s="69"/>
      <c r="C9" s="60"/>
      <c r="E9" s="62"/>
      <c r="F9" s="63"/>
      <c r="G9" s="63"/>
      <c r="H9" s="64"/>
      <c r="I9" s="64"/>
    </row>
    <row r="10" spans="1:11" x14ac:dyDescent="0.55000000000000004">
      <c r="A10" s="59"/>
      <c r="B10" s="69"/>
      <c r="C10" s="60"/>
      <c r="E10" s="62"/>
      <c r="F10" s="63"/>
      <c r="G10" s="63"/>
      <c r="H10" s="64"/>
      <c r="I10" s="64"/>
    </row>
    <row r="11" spans="1:11" x14ac:dyDescent="0.55000000000000004">
      <c r="A11" s="59"/>
      <c r="B11" s="69"/>
      <c r="C11" s="60"/>
      <c r="E11" s="44"/>
      <c r="F11" s="63"/>
      <c r="G11" s="63"/>
      <c r="H11" s="64"/>
      <c r="I11" s="64"/>
    </row>
    <row r="12" spans="1:11" x14ac:dyDescent="0.55000000000000004">
      <c r="A12" s="47"/>
      <c r="B12" s="72"/>
      <c r="C12" s="60"/>
      <c r="E12" s="62"/>
      <c r="F12" s="50"/>
      <c r="G12" s="50"/>
      <c r="H12" s="51"/>
      <c r="I12" s="51"/>
    </row>
    <row r="13" spans="1:11" x14ac:dyDescent="0.55000000000000004">
      <c r="A13" s="59"/>
      <c r="B13" s="69"/>
      <c r="C13" s="60"/>
      <c r="E13" s="44"/>
      <c r="F13" s="63"/>
      <c r="G13" s="63"/>
      <c r="H13" s="64"/>
      <c r="I13" s="64"/>
    </row>
    <row r="14" spans="1:11" x14ac:dyDescent="0.55000000000000004">
      <c r="A14" s="59"/>
      <c r="B14" s="69"/>
      <c r="C14" s="60"/>
      <c r="E14" s="62"/>
      <c r="F14" s="63"/>
      <c r="G14" s="63"/>
      <c r="H14" s="64"/>
      <c r="I14" s="64"/>
    </row>
    <row r="15" spans="1:11" x14ac:dyDescent="0.55000000000000004">
      <c r="A15" s="59"/>
      <c r="B15" s="69"/>
      <c r="C15" s="60"/>
      <c r="E15" s="44"/>
      <c r="F15" s="63"/>
      <c r="G15" s="63"/>
      <c r="H15" s="64"/>
      <c r="I15" s="64"/>
    </row>
    <row r="16" spans="1:11" x14ac:dyDescent="0.55000000000000004">
      <c r="A16" s="59"/>
      <c r="B16" s="69"/>
      <c r="C16" s="60"/>
      <c r="E16" s="62"/>
      <c r="F16" s="63"/>
      <c r="G16" s="63"/>
      <c r="H16" s="64"/>
      <c r="I16" s="64"/>
    </row>
    <row r="17" spans="1:9" x14ac:dyDescent="0.55000000000000004">
      <c r="A17" s="59"/>
      <c r="B17" s="69"/>
      <c r="C17" s="60"/>
      <c r="E17" s="44"/>
      <c r="F17" s="63"/>
      <c r="G17" s="63"/>
      <c r="H17" s="64"/>
      <c r="I17" s="64"/>
    </row>
    <row r="18" spans="1:9" x14ac:dyDescent="0.55000000000000004">
      <c r="A18" s="59"/>
      <c r="B18" s="69"/>
      <c r="C18" s="60"/>
      <c r="E18" s="62"/>
      <c r="F18" s="63"/>
      <c r="G18" s="63"/>
      <c r="H18" s="64"/>
      <c r="I18" s="64"/>
    </row>
    <row r="19" spans="1:9" x14ac:dyDescent="0.55000000000000004">
      <c r="A19" s="59"/>
      <c r="B19" s="69"/>
      <c r="C19" s="60"/>
      <c r="E19" s="44"/>
      <c r="F19" s="63"/>
      <c r="G19" s="63"/>
      <c r="H19" s="64"/>
      <c r="I19" s="64"/>
    </row>
    <row r="20" spans="1:9" x14ac:dyDescent="0.55000000000000004">
      <c r="A20" s="59"/>
      <c r="B20" s="69"/>
      <c r="C20" s="60"/>
      <c r="E20" s="62"/>
      <c r="F20" s="63"/>
      <c r="G20" s="63"/>
      <c r="H20" s="64"/>
      <c r="I20" s="64"/>
    </row>
    <row r="21" spans="1:9" x14ac:dyDescent="0.55000000000000004">
      <c r="A21" s="59"/>
      <c r="B21" s="69"/>
      <c r="C21" s="60"/>
      <c r="E21" s="44"/>
      <c r="F21" s="63"/>
      <c r="G21" s="63"/>
      <c r="H21" s="64"/>
      <c r="I21" s="64"/>
    </row>
    <row r="22" spans="1:9" x14ac:dyDescent="0.55000000000000004">
      <c r="A22" s="59"/>
      <c r="B22" s="69"/>
      <c r="C22" s="60"/>
      <c r="E22" s="62"/>
      <c r="F22" s="63"/>
      <c r="G22" s="63"/>
      <c r="H22" s="64"/>
      <c r="I22" s="64"/>
    </row>
    <row r="23" spans="1:9" x14ac:dyDescent="0.55000000000000004">
      <c r="A23" s="93"/>
      <c r="B23" s="94"/>
      <c r="C23" s="95"/>
      <c r="D23" s="96"/>
      <c r="E23" s="97"/>
      <c r="F23" s="98"/>
      <c r="G23" s="98"/>
      <c r="H23" s="99"/>
      <c r="I23" s="99"/>
    </row>
    <row r="24" spans="1:9" x14ac:dyDescent="0.55000000000000004">
      <c r="A24" s="47"/>
      <c r="B24" s="70"/>
      <c r="C24" s="48"/>
      <c r="D24" s="49"/>
      <c r="E24" s="44"/>
      <c r="F24" s="50"/>
      <c r="G24" s="50"/>
      <c r="H24" s="51"/>
      <c r="I24" s="51"/>
    </row>
    <row r="25" spans="1:9" x14ac:dyDescent="0.55000000000000004">
      <c r="A25" s="18"/>
      <c r="B25" s="45"/>
      <c r="C25" s="16"/>
      <c r="E25" s="14"/>
      <c r="F25" s="19"/>
      <c r="G25" s="19"/>
      <c r="H25" s="17"/>
      <c r="I25" s="17"/>
    </row>
    <row r="26" spans="1:9" x14ac:dyDescent="0.55000000000000004">
      <c r="A26" s="18"/>
      <c r="B26" s="45"/>
      <c r="C26" s="16"/>
      <c r="E26" s="14"/>
      <c r="F26" s="19"/>
      <c r="G26" s="19"/>
      <c r="H26" s="17"/>
      <c r="I26" s="17"/>
    </row>
    <row r="27" spans="1:9" x14ac:dyDescent="0.55000000000000004">
      <c r="A27" s="18"/>
      <c r="B27" s="45"/>
      <c r="C27" s="16"/>
      <c r="E27" s="14"/>
      <c r="F27" s="19"/>
      <c r="G27" s="19"/>
      <c r="H27" s="17"/>
      <c r="I27" s="17"/>
    </row>
    <row r="28" spans="1:9" x14ac:dyDescent="0.55000000000000004">
      <c r="A28" s="18"/>
      <c r="B28" s="45"/>
      <c r="C28" s="16"/>
      <c r="E28" s="14"/>
      <c r="F28" s="19"/>
      <c r="G28" s="19"/>
      <c r="H28" s="17"/>
      <c r="I28" s="17"/>
    </row>
    <row r="29" spans="1:9" x14ac:dyDescent="0.55000000000000004">
      <c r="A29" s="18"/>
      <c r="B29" s="45"/>
      <c r="C29" s="16"/>
      <c r="E29" s="14"/>
      <c r="F29" s="19"/>
      <c r="G29" s="19"/>
      <c r="H29" s="17"/>
      <c r="I29" s="17"/>
    </row>
    <row r="30" spans="1:9" x14ac:dyDescent="0.55000000000000004">
      <c r="A30" s="18"/>
      <c r="B30" s="45"/>
      <c r="C30" s="16"/>
      <c r="E30" s="14"/>
      <c r="F30" s="19"/>
      <c r="G30" s="19"/>
      <c r="H30" s="17"/>
      <c r="I30" s="17"/>
    </row>
    <row r="31" spans="1:9" x14ac:dyDescent="0.55000000000000004">
      <c r="C31" s="11"/>
    </row>
    <row r="32" spans="1:9" x14ac:dyDescent="0.55000000000000004">
      <c r="C32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C2:C36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41"/>
  <sheetViews>
    <sheetView zoomScale="90" zoomScaleNormal="90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5.5703125" style="1" customWidth="1"/>
    <col min="4" max="4" width="24.42578125" style="1" bestFit="1" customWidth="1"/>
    <col min="5" max="5" width="36.140625" style="7" customWidth="1"/>
    <col min="6" max="6" width="13.42578125" style="8" customWidth="1"/>
    <col min="7" max="7" width="15" style="8" customWidth="1"/>
    <col min="8" max="8" width="15.42578125" style="9" customWidth="1"/>
    <col min="9" max="9" width="14.7109375" style="9" bestFit="1" customWidth="1"/>
    <col min="10" max="10" width="20.140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9" t="s">
        <v>162</v>
      </c>
      <c r="K1" s="8"/>
    </row>
    <row r="2" spans="1:11" x14ac:dyDescent="0.55000000000000004">
      <c r="A2" s="18">
        <v>44348</v>
      </c>
      <c r="B2" s="16"/>
      <c r="C2" s="16" t="s">
        <v>5</v>
      </c>
      <c r="D2" s="1" t="s">
        <v>29</v>
      </c>
      <c r="E2" s="7" t="s">
        <v>5</v>
      </c>
      <c r="F2" s="19">
        <v>1137350</v>
      </c>
      <c r="G2" s="19"/>
      <c r="H2" s="17"/>
      <c r="I2" s="17">
        <f>GBS_SP[[#This Row],[Opening]]+GBS_SP[[#This Row],[Purchase]]-GBS_SP[[#This Row],[Payment]]</f>
        <v>1137350</v>
      </c>
      <c r="J2" s="109">
        <f>GBS_SP[[#This Row],[Balance]]</f>
        <v>1137350</v>
      </c>
    </row>
    <row r="3" spans="1:11" x14ac:dyDescent="0.55000000000000004">
      <c r="A3" s="18">
        <v>44356</v>
      </c>
      <c r="B3" s="16">
        <v>2125</v>
      </c>
      <c r="C3" s="16" t="s">
        <v>7</v>
      </c>
      <c r="D3" s="1" t="s">
        <v>29</v>
      </c>
      <c r="E3" s="44" t="s">
        <v>86</v>
      </c>
      <c r="F3" s="19"/>
      <c r="G3" s="19"/>
      <c r="H3" s="17">
        <v>500000</v>
      </c>
      <c r="I3" s="17">
        <f>GBS_SP[[#This Row],[Opening]]+GBS_SP[[#This Row],[Purchase]]-GBS_SP[[#This Row],[Payment]]</f>
        <v>-500000</v>
      </c>
      <c r="J3" s="109">
        <f>J2+GBS_SP[[#This Row],[Purchase]]-GBS_SP[[#This Row],[Payment]]</f>
        <v>637350</v>
      </c>
    </row>
    <row r="4" spans="1:11" x14ac:dyDescent="0.55000000000000004">
      <c r="A4" s="100">
        <v>44368</v>
      </c>
      <c r="B4" s="101">
        <v>2922</v>
      </c>
      <c r="C4" s="101" t="s">
        <v>7</v>
      </c>
      <c r="D4" s="1" t="s">
        <v>29</v>
      </c>
      <c r="E4" s="44" t="s">
        <v>86</v>
      </c>
      <c r="F4" s="103"/>
      <c r="G4" s="103"/>
      <c r="H4" s="104">
        <v>637350</v>
      </c>
      <c r="I4" s="104">
        <f>GBS_SP[[#This Row],[Opening]]+GBS_SP[[#This Row],[Purchase]]-GBS_SP[[#This Row],[Payment]]</f>
        <v>-637350</v>
      </c>
      <c r="J4" s="109">
        <f>J3+GBS_SP[[#This Row],[Purchase]]-GBS_SP[[#This Row],[Payment]]</f>
        <v>0</v>
      </c>
    </row>
    <row r="5" spans="1:11" x14ac:dyDescent="0.55000000000000004">
      <c r="A5" s="110"/>
      <c r="B5" s="111"/>
      <c r="C5" s="111"/>
      <c r="D5" s="112"/>
      <c r="E5" s="113"/>
      <c r="F5" s="109"/>
      <c r="G5" s="109"/>
      <c r="H5" s="114"/>
      <c r="I5" s="114"/>
      <c r="J5" s="109"/>
    </row>
    <row r="6" spans="1:11" x14ac:dyDescent="0.55000000000000004">
      <c r="A6" s="100"/>
      <c r="B6" s="101"/>
      <c r="C6" s="101"/>
      <c r="D6" s="105"/>
      <c r="E6" s="102"/>
      <c r="F6" s="103"/>
      <c r="G6" s="103"/>
      <c r="H6" s="104"/>
      <c r="I6" s="104"/>
    </row>
    <row r="7" spans="1:11" x14ac:dyDescent="0.55000000000000004">
      <c r="A7" s="100"/>
      <c r="B7" s="101"/>
      <c r="C7" s="101"/>
      <c r="D7" s="105"/>
      <c r="E7" s="102"/>
      <c r="F7" s="103"/>
      <c r="G7" s="103"/>
      <c r="H7" s="104"/>
      <c r="I7" s="104"/>
    </row>
    <row r="8" spans="1:11" x14ac:dyDescent="0.55000000000000004">
      <c r="A8" s="59"/>
      <c r="B8" s="60"/>
      <c r="C8" s="60"/>
      <c r="E8" s="62"/>
      <c r="F8" s="63"/>
      <c r="G8" s="63"/>
      <c r="H8" s="64"/>
      <c r="I8" s="64"/>
    </row>
    <row r="9" spans="1:11" x14ac:dyDescent="0.55000000000000004">
      <c r="A9" s="59"/>
      <c r="B9" s="60"/>
      <c r="C9" s="60"/>
      <c r="E9" s="62"/>
      <c r="F9" s="63"/>
      <c r="G9" s="63"/>
      <c r="H9" s="64"/>
      <c r="I9" s="64"/>
    </row>
    <row r="10" spans="1:11" x14ac:dyDescent="0.55000000000000004">
      <c r="A10" s="59"/>
      <c r="B10" s="60"/>
      <c r="C10" s="60"/>
      <c r="E10" s="62"/>
      <c r="F10" s="63"/>
      <c r="G10" s="63"/>
      <c r="H10" s="64"/>
      <c r="I10" s="64"/>
    </row>
    <row r="11" spans="1:11" x14ac:dyDescent="0.55000000000000004">
      <c r="A11" s="59"/>
      <c r="B11" s="60"/>
      <c r="C11" s="60"/>
      <c r="E11" s="62"/>
      <c r="F11" s="63"/>
      <c r="G11" s="63"/>
      <c r="H11" s="64"/>
      <c r="I11" s="64"/>
    </row>
    <row r="12" spans="1:11" x14ac:dyDescent="0.55000000000000004">
      <c r="A12" s="59"/>
      <c r="B12" s="60"/>
      <c r="C12" s="60"/>
      <c r="E12" s="44"/>
      <c r="F12" s="63"/>
      <c r="G12" s="63"/>
      <c r="H12" s="64"/>
      <c r="I12" s="64"/>
    </row>
    <row r="13" spans="1:11" x14ac:dyDescent="0.55000000000000004">
      <c r="A13" s="47"/>
      <c r="B13" s="48"/>
      <c r="C13" s="48"/>
      <c r="E13" s="44"/>
      <c r="F13" s="50"/>
      <c r="G13" s="50"/>
      <c r="H13" s="51"/>
      <c r="I13" s="51"/>
    </row>
    <row r="14" spans="1:11" x14ac:dyDescent="0.55000000000000004">
      <c r="A14" s="59"/>
      <c r="B14" s="60"/>
      <c r="C14" s="60"/>
      <c r="E14" s="44"/>
      <c r="F14" s="63"/>
      <c r="G14" s="63"/>
      <c r="H14" s="64"/>
      <c r="I14" s="64"/>
    </row>
    <row r="15" spans="1:11" x14ac:dyDescent="0.55000000000000004">
      <c r="A15" s="59"/>
      <c r="B15" s="60"/>
      <c r="C15" s="60"/>
      <c r="E15" s="44"/>
      <c r="F15" s="63"/>
      <c r="G15" s="63"/>
      <c r="H15" s="64"/>
      <c r="I15" s="64"/>
    </row>
    <row r="16" spans="1:11" x14ac:dyDescent="0.55000000000000004">
      <c r="A16" s="59"/>
      <c r="B16" s="60"/>
      <c r="C16" s="60"/>
      <c r="E16" s="62"/>
      <c r="F16" s="63"/>
      <c r="G16" s="63"/>
      <c r="H16" s="64"/>
      <c r="I16" s="64"/>
    </row>
    <row r="17" spans="1:9" x14ac:dyDescent="0.55000000000000004">
      <c r="A17" s="59"/>
      <c r="B17" s="60"/>
      <c r="C17" s="60"/>
      <c r="E17" s="44"/>
      <c r="F17" s="63"/>
      <c r="G17" s="63"/>
      <c r="H17" s="64"/>
      <c r="I17" s="64"/>
    </row>
    <row r="18" spans="1:9" x14ac:dyDescent="0.55000000000000004">
      <c r="A18" s="59"/>
      <c r="B18" s="60"/>
      <c r="C18" s="60"/>
      <c r="E18" s="44"/>
      <c r="F18" s="63"/>
      <c r="G18" s="63"/>
      <c r="H18" s="64"/>
      <c r="I18" s="64"/>
    </row>
    <row r="19" spans="1:9" x14ac:dyDescent="0.55000000000000004">
      <c r="A19" s="59"/>
      <c r="B19" s="60"/>
      <c r="C19" s="60"/>
      <c r="E19" s="44"/>
      <c r="F19" s="63"/>
      <c r="G19" s="63"/>
      <c r="H19" s="64"/>
      <c r="I19" s="64"/>
    </row>
    <row r="20" spans="1:9" x14ac:dyDescent="0.55000000000000004">
      <c r="A20" s="59"/>
      <c r="B20" s="60"/>
      <c r="C20" s="60"/>
      <c r="E20" s="62"/>
      <c r="F20" s="63"/>
      <c r="G20" s="63"/>
      <c r="H20" s="64"/>
      <c r="I20" s="64"/>
    </row>
    <row r="21" spans="1:9" x14ac:dyDescent="0.55000000000000004">
      <c r="A21" s="59"/>
      <c r="B21" s="60"/>
      <c r="C21" s="60"/>
      <c r="E21" s="44"/>
      <c r="F21" s="63"/>
      <c r="G21" s="63"/>
      <c r="H21" s="64"/>
      <c r="I21" s="64"/>
    </row>
    <row r="22" spans="1:9" x14ac:dyDescent="0.55000000000000004">
      <c r="A22" s="59"/>
      <c r="B22" s="60"/>
      <c r="C22" s="60"/>
      <c r="D22" s="61"/>
      <c r="E22" s="62"/>
      <c r="F22" s="63"/>
      <c r="G22" s="63"/>
      <c r="H22" s="64"/>
      <c r="I22" s="64"/>
    </row>
    <row r="23" spans="1:9" x14ac:dyDescent="0.55000000000000004">
      <c r="A23" s="59"/>
      <c r="B23" s="60"/>
      <c r="C23" s="60"/>
      <c r="D23" s="61"/>
      <c r="E23" s="62"/>
      <c r="F23" s="63"/>
      <c r="G23" s="63"/>
      <c r="H23" s="64"/>
      <c r="I23" s="64"/>
    </row>
    <row r="24" spans="1:9" x14ac:dyDescent="0.55000000000000004">
      <c r="A24" s="59"/>
      <c r="B24" s="60"/>
      <c r="C24" s="60"/>
      <c r="D24" s="61"/>
      <c r="E24" s="62"/>
      <c r="F24" s="63"/>
      <c r="G24" s="63"/>
      <c r="H24" s="64"/>
      <c r="I24" s="64"/>
    </row>
    <row r="25" spans="1:9" x14ac:dyDescent="0.55000000000000004">
      <c r="A25" s="18"/>
      <c r="B25" s="16"/>
      <c r="C25" s="16"/>
      <c r="E25" s="44"/>
      <c r="F25" s="19"/>
      <c r="G25" s="19"/>
      <c r="H25" s="17"/>
      <c r="I25" s="17"/>
    </row>
    <row r="26" spans="1:9" x14ac:dyDescent="0.55000000000000004">
      <c r="A26" s="18"/>
      <c r="B26" s="16"/>
      <c r="C26" s="16"/>
      <c r="E26" s="44"/>
      <c r="F26" s="19"/>
      <c r="G26" s="19"/>
      <c r="H26" s="17"/>
      <c r="I26" s="17"/>
    </row>
    <row r="27" spans="1:9" x14ac:dyDescent="0.55000000000000004">
      <c r="A27" s="18"/>
      <c r="B27" s="16"/>
      <c r="C27" s="16"/>
      <c r="E27" s="44"/>
      <c r="F27" s="19"/>
      <c r="G27" s="19"/>
      <c r="H27" s="17"/>
      <c r="I27" s="17"/>
    </row>
    <row r="28" spans="1:9" x14ac:dyDescent="0.55000000000000004">
      <c r="A28" s="18"/>
      <c r="B28" s="16"/>
      <c r="C28" s="16"/>
      <c r="E28" s="44"/>
      <c r="F28" s="19"/>
      <c r="G28" s="19"/>
      <c r="H28" s="17"/>
      <c r="I28" s="17"/>
    </row>
    <row r="29" spans="1:9" x14ac:dyDescent="0.55000000000000004">
      <c r="A29" s="18"/>
      <c r="B29" s="16"/>
      <c r="C29" s="16"/>
      <c r="E29" s="44"/>
      <c r="F29" s="19"/>
      <c r="G29" s="19"/>
      <c r="H29" s="17"/>
      <c r="I29" s="17"/>
    </row>
    <row r="30" spans="1:9" x14ac:dyDescent="0.55000000000000004">
      <c r="A30" s="18"/>
      <c r="B30" s="16"/>
      <c r="C30" s="16"/>
      <c r="E30" s="44"/>
      <c r="F30" s="19"/>
      <c r="G30" s="19"/>
      <c r="H30" s="17"/>
      <c r="I30" s="17"/>
    </row>
    <row r="31" spans="1:9" x14ac:dyDescent="0.55000000000000004">
      <c r="A31" s="18"/>
      <c r="B31" s="16"/>
      <c r="C31" s="16"/>
      <c r="E31" s="44"/>
      <c r="F31" s="19"/>
      <c r="G31" s="19"/>
      <c r="H31" s="17"/>
      <c r="I31" s="17"/>
    </row>
    <row r="32" spans="1:9" x14ac:dyDescent="0.55000000000000004">
      <c r="A32" s="18"/>
      <c r="B32" s="16"/>
      <c r="C32" s="16"/>
      <c r="E32" s="44"/>
      <c r="F32" s="19"/>
      <c r="G32" s="19"/>
      <c r="H32" s="17"/>
      <c r="I32" s="17"/>
    </row>
    <row r="33" spans="1:9" x14ac:dyDescent="0.55000000000000004">
      <c r="A33" s="18"/>
      <c r="B33" s="16"/>
      <c r="C33" s="16"/>
      <c r="E33" s="44"/>
      <c r="F33" s="19"/>
      <c r="G33" s="19"/>
      <c r="H33" s="17"/>
      <c r="I33" s="17"/>
    </row>
    <row r="34" spans="1:9" x14ac:dyDescent="0.55000000000000004">
      <c r="A34" s="54"/>
      <c r="B34" s="55"/>
      <c r="C34" s="55"/>
      <c r="E34" s="56"/>
      <c r="F34" s="53"/>
      <c r="G34" s="53"/>
      <c r="H34" s="57"/>
      <c r="I34" s="57"/>
    </row>
    <row r="35" spans="1:9" x14ac:dyDescent="0.55000000000000004">
      <c r="A35" s="54"/>
      <c r="B35" s="55"/>
      <c r="C35" s="55"/>
      <c r="E35" s="56"/>
      <c r="F35" s="53"/>
      <c r="G35" s="53"/>
      <c r="H35" s="57"/>
      <c r="I35" s="57"/>
    </row>
    <row r="36" spans="1:9" x14ac:dyDescent="0.55000000000000004">
      <c r="A36" s="54"/>
      <c r="B36" s="55"/>
      <c r="C36" s="55"/>
      <c r="E36" s="56"/>
      <c r="F36" s="53"/>
      <c r="G36" s="53"/>
      <c r="H36" s="57"/>
      <c r="I36" s="57"/>
    </row>
    <row r="37" spans="1:9" x14ac:dyDescent="0.55000000000000004">
      <c r="A37" s="54"/>
      <c r="B37" s="55"/>
      <c r="C37" s="55"/>
      <c r="E37" s="44"/>
      <c r="F37" s="53"/>
      <c r="G37" s="53"/>
      <c r="H37" s="57"/>
      <c r="I37" s="57"/>
    </row>
    <row r="38" spans="1:9" x14ac:dyDescent="0.55000000000000004">
      <c r="A38" s="47"/>
      <c r="B38" s="48"/>
      <c r="C38" s="48"/>
      <c r="E38" s="44"/>
      <c r="F38" s="50"/>
      <c r="G38" s="50"/>
      <c r="H38" s="51"/>
      <c r="I38" s="51"/>
    </row>
    <row r="39" spans="1:9" x14ac:dyDescent="0.55000000000000004">
      <c r="A39" s="47"/>
      <c r="B39" s="48"/>
      <c r="C39" s="48"/>
      <c r="D39" s="49"/>
      <c r="E39" s="44"/>
      <c r="F39" s="50"/>
      <c r="G39" s="50"/>
      <c r="H39" s="51"/>
      <c r="I39" s="51"/>
    </row>
    <row r="40" spans="1:9" x14ac:dyDescent="0.55000000000000004">
      <c r="C40" s="11"/>
    </row>
    <row r="41" spans="1:9" x14ac:dyDescent="0.55000000000000004">
      <c r="C41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1"/>
  <sheetViews>
    <sheetView zoomScaleNormal="100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3.42578125" style="1" customWidth="1"/>
    <col min="4" max="4" width="24.42578125" style="1" bestFit="1" customWidth="1"/>
    <col min="5" max="5" width="31.85546875" style="7" customWidth="1"/>
    <col min="6" max="6" width="12.7109375" style="8" customWidth="1"/>
    <col min="7" max="7" width="15.140625" style="8" customWidth="1"/>
    <col min="8" max="8" width="15.140625" style="9" customWidth="1"/>
    <col min="9" max="9" width="14.7109375" style="9" bestFit="1" customWidth="1"/>
    <col min="10" max="10" width="17.71093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9" t="s">
        <v>162</v>
      </c>
      <c r="K1" s="8"/>
    </row>
    <row r="2" spans="1:11" x14ac:dyDescent="0.55000000000000004">
      <c r="A2" s="18">
        <v>44348</v>
      </c>
      <c r="B2" s="16"/>
      <c r="C2" s="16" t="s">
        <v>5</v>
      </c>
      <c r="D2" s="1" t="s">
        <v>77</v>
      </c>
      <c r="E2" s="7" t="s">
        <v>5</v>
      </c>
      <c r="F2" s="19">
        <v>1605630</v>
      </c>
      <c r="G2" s="19"/>
      <c r="H2" s="17"/>
      <c r="I2" s="17">
        <f>KWH[[#This Row],[Opening]]+KWH[[#This Row],[Purchase]]-KWH[[#This Row],[Payment]]</f>
        <v>1605630</v>
      </c>
      <c r="J2" s="109">
        <f>KWH[[#This Row],[Balance]]</f>
        <v>1605630</v>
      </c>
    </row>
    <row r="3" spans="1:11" x14ac:dyDescent="0.55000000000000004">
      <c r="A3" s="18">
        <v>44351</v>
      </c>
      <c r="B3" s="16">
        <v>2802</v>
      </c>
      <c r="C3" s="16" t="s">
        <v>6</v>
      </c>
      <c r="D3" s="1" t="s">
        <v>77</v>
      </c>
      <c r="E3" s="43" t="s">
        <v>108</v>
      </c>
      <c r="F3" s="19"/>
      <c r="G3" s="19">
        <v>184000</v>
      </c>
      <c r="H3" s="17"/>
      <c r="I3" s="17">
        <f>KWH[[#This Row],[Opening]]+KWH[[#This Row],[Purchase]]-KWH[[#This Row],[Payment]]</f>
        <v>184000</v>
      </c>
      <c r="J3" s="109">
        <f>J2+KWH[[#This Row],[Purchase]]-KWH[[#This Row],[Payment]]</f>
        <v>1789630</v>
      </c>
    </row>
    <row r="4" spans="1:11" x14ac:dyDescent="0.55000000000000004">
      <c r="A4" s="100">
        <v>44355</v>
      </c>
      <c r="B4" s="101">
        <v>2803</v>
      </c>
      <c r="C4" s="101" t="s">
        <v>6</v>
      </c>
      <c r="D4" s="1" t="s">
        <v>77</v>
      </c>
      <c r="E4" s="102" t="s">
        <v>122</v>
      </c>
      <c r="F4" s="103"/>
      <c r="G4" s="103">
        <v>118750</v>
      </c>
      <c r="H4" s="104"/>
      <c r="I4" s="104">
        <f>KWH[[#This Row],[Opening]]+KWH[[#This Row],[Purchase]]-KWH[[#This Row],[Payment]]</f>
        <v>118750</v>
      </c>
      <c r="J4" s="109">
        <f>J3+KWH[[#This Row],[Purchase]]-KWH[[#This Row],[Payment]]</f>
        <v>1908380</v>
      </c>
    </row>
    <row r="5" spans="1:11" x14ac:dyDescent="0.55000000000000004">
      <c r="A5" s="100">
        <v>44361</v>
      </c>
      <c r="B5" s="101">
        <v>2805</v>
      </c>
      <c r="C5" s="101" t="s">
        <v>6</v>
      </c>
      <c r="D5" s="1" t="s">
        <v>77</v>
      </c>
      <c r="E5" s="102" t="s">
        <v>129</v>
      </c>
      <c r="F5" s="103"/>
      <c r="G5" s="103">
        <v>286000</v>
      </c>
      <c r="H5" s="104"/>
      <c r="I5" s="104">
        <f>KWH[[#This Row],[Opening]]+KWH[[#This Row],[Purchase]]-KWH[[#This Row],[Payment]]</f>
        <v>286000</v>
      </c>
      <c r="J5" s="109">
        <f>J4+KWH[[#This Row],[Purchase]]-KWH[[#This Row],[Payment]]</f>
        <v>2194380</v>
      </c>
    </row>
    <row r="6" spans="1:11" x14ac:dyDescent="0.55000000000000004">
      <c r="A6" s="100">
        <v>44363</v>
      </c>
      <c r="B6" s="101">
        <v>2806</v>
      </c>
      <c r="C6" s="101" t="s">
        <v>6</v>
      </c>
      <c r="D6" s="1" t="s">
        <v>77</v>
      </c>
      <c r="E6" s="102" t="s">
        <v>129</v>
      </c>
      <c r="F6" s="103"/>
      <c r="G6" s="103">
        <v>286000</v>
      </c>
      <c r="H6" s="104"/>
      <c r="I6" s="104">
        <f>KWH[[#This Row],[Opening]]+KWH[[#This Row],[Purchase]]-KWH[[#This Row],[Payment]]</f>
        <v>286000</v>
      </c>
      <c r="J6" s="109">
        <f>J5+KWH[[#This Row],[Purchase]]-KWH[[#This Row],[Payment]]</f>
        <v>2480380</v>
      </c>
    </row>
    <row r="7" spans="1:11" x14ac:dyDescent="0.55000000000000004">
      <c r="A7" s="100">
        <v>44363</v>
      </c>
      <c r="B7" s="101">
        <v>248</v>
      </c>
      <c r="C7" s="101" t="s">
        <v>7</v>
      </c>
      <c r="D7" s="1" t="s">
        <v>77</v>
      </c>
      <c r="E7" s="106" t="s">
        <v>86</v>
      </c>
      <c r="F7" s="103"/>
      <c r="G7" s="103"/>
      <c r="H7" s="104">
        <v>1000000</v>
      </c>
      <c r="I7" s="104">
        <f>KWH[[#This Row],[Opening]]+KWH[[#This Row],[Purchase]]-KWH[[#This Row],[Payment]]</f>
        <v>-1000000</v>
      </c>
      <c r="J7" s="109">
        <f>J6+KWH[[#This Row],[Purchase]]-KWH[[#This Row],[Payment]]</f>
        <v>1480380</v>
      </c>
    </row>
    <row r="8" spans="1:11" x14ac:dyDescent="0.55000000000000004">
      <c r="A8" s="100">
        <v>44375</v>
      </c>
      <c r="B8" s="101">
        <v>2808</v>
      </c>
      <c r="C8" s="101" t="s">
        <v>6</v>
      </c>
      <c r="D8" s="1" t="s">
        <v>77</v>
      </c>
      <c r="E8" s="106" t="s">
        <v>156</v>
      </c>
      <c r="F8" s="103"/>
      <c r="G8" s="103">
        <v>177100</v>
      </c>
      <c r="H8" s="104"/>
      <c r="I8" s="104">
        <f>KWH[[#This Row],[Opening]]+KWH[[#This Row],[Purchase]]-KWH[[#This Row],[Payment]]</f>
        <v>177100</v>
      </c>
      <c r="J8" s="109">
        <f>J7+KWH[[#This Row],[Purchase]]-KWH[[#This Row],[Payment]]</f>
        <v>1657480</v>
      </c>
    </row>
    <row r="9" spans="1:11" x14ac:dyDescent="0.55000000000000004">
      <c r="A9" s="100"/>
      <c r="B9" s="101"/>
      <c r="C9" s="101"/>
      <c r="D9" s="105"/>
      <c r="E9" s="106"/>
      <c r="F9" s="103"/>
      <c r="G9" s="103"/>
      <c r="H9" s="104"/>
      <c r="I9" s="104"/>
    </row>
    <row r="10" spans="1:11" x14ac:dyDescent="0.55000000000000004">
      <c r="A10" s="59"/>
      <c r="B10" s="60"/>
      <c r="C10" s="16"/>
      <c r="E10" s="62"/>
      <c r="F10" s="63"/>
      <c r="G10" s="63"/>
      <c r="H10" s="64"/>
      <c r="I10" s="64"/>
    </row>
    <row r="11" spans="1:11" x14ac:dyDescent="0.55000000000000004">
      <c r="A11" s="59"/>
      <c r="B11" s="60"/>
      <c r="C11" s="60"/>
      <c r="E11" s="44"/>
      <c r="F11" s="63"/>
      <c r="G11" s="86"/>
      <c r="H11" s="63"/>
      <c r="I11" s="64"/>
    </row>
    <row r="12" spans="1:11" x14ac:dyDescent="0.55000000000000004">
      <c r="A12" s="59"/>
      <c r="B12" s="60"/>
      <c r="C12" s="60"/>
      <c r="E12" s="62"/>
      <c r="F12" s="63"/>
      <c r="G12" s="63"/>
      <c r="H12" s="64"/>
      <c r="I12" s="64"/>
    </row>
    <row r="13" spans="1:11" x14ac:dyDescent="0.55000000000000004">
      <c r="A13" s="59"/>
      <c r="B13" s="60"/>
      <c r="C13" s="60"/>
      <c r="E13" s="62"/>
      <c r="F13" s="63"/>
      <c r="G13" s="63"/>
      <c r="H13" s="64"/>
      <c r="I13" s="64"/>
    </row>
    <row r="14" spans="1:11" x14ac:dyDescent="0.55000000000000004">
      <c r="A14" s="59"/>
      <c r="B14" s="60"/>
      <c r="C14" s="60"/>
      <c r="E14" s="62"/>
      <c r="F14" s="63"/>
      <c r="G14" s="63"/>
      <c r="H14" s="64"/>
      <c r="I14" s="64"/>
    </row>
    <row r="15" spans="1:11" x14ac:dyDescent="0.55000000000000004">
      <c r="A15" s="59"/>
      <c r="B15" s="60"/>
      <c r="C15" s="60"/>
      <c r="D15" s="61"/>
      <c r="E15" s="62"/>
      <c r="F15" s="63"/>
      <c r="G15" s="63"/>
      <c r="H15" s="64"/>
      <c r="I15" s="64"/>
    </row>
    <row r="16" spans="1:11" x14ac:dyDescent="0.55000000000000004">
      <c r="A16" s="18"/>
      <c r="B16" s="16"/>
      <c r="C16" s="16"/>
      <c r="E16" s="44"/>
      <c r="F16" s="19"/>
      <c r="G16" s="19"/>
      <c r="H16" s="17"/>
      <c r="I16" s="17"/>
    </row>
    <row r="17" spans="1:9" x14ac:dyDescent="0.55000000000000004">
      <c r="A17" s="18"/>
      <c r="B17" s="16"/>
      <c r="C17" s="16"/>
      <c r="E17" s="44"/>
      <c r="F17" s="19"/>
      <c r="G17" s="19"/>
      <c r="H17" s="17"/>
      <c r="I17" s="17"/>
    </row>
    <row r="18" spans="1:9" x14ac:dyDescent="0.55000000000000004">
      <c r="A18" s="18"/>
      <c r="B18" s="16"/>
      <c r="C18" s="16"/>
      <c r="E18" s="44"/>
      <c r="F18" s="19"/>
      <c r="G18" s="19"/>
      <c r="H18" s="17"/>
      <c r="I18" s="17"/>
    </row>
    <row r="19" spans="1:9" x14ac:dyDescent="0.55000000000000004">
      <c r="A19" s="54"/>
      <c r="B19" s="55"/>
      <c r="C19" s="55"/>
      <c r="E19" s="44"/>
      <c r="F19" s="53"/>
      <c r="G19" s="53"/>
      <c r="H19" s="57"/>
      <c r="I19" s="57"/>
    </row>
    <row r="20" spans="1:9" x14ac:dyDescent="0.55000000000000004">
      <c r="A20" s="47"/>
      <c r="B20" s="48"/>
      <c r="C20" s="48"/>
      <c r="D20" s="49"/>
      <c r="E20" s="44"/>
      <c r="F20" s="50"/>
      <c r="G20" s="50"/>
      <c r="H20" s="51"/>
      <c r="I20" s="51"/>
    </row>
    <row r="21" spans="1:9" x14ac:dyDescent="0.55000000000000004">
      <c r="A21" s="18"/>
      <c r="B21" s="16"/>
      <c r="C21" s="16"/>
      <c r="F21" s="19"/>
      <c r="G21" s="19"/>
      <c r="H21" s="17"/>
      <c r="I21" s="17"/>
    </row>
    <row r="22" spans="1:9" x14ac:dyDescent="0.55000000000000004">
      <c r="A22" s="18"/>
      <c r="B22" s="16"/>
      <c r="C22" s="16"/>
      <c r="F22" s="19"/>
      <c r="G22" s="19"/>
      <c r="H22" s="17"/>
      <c r="I22" s="17"/>
    </row>
    <row r="23" spans="1:9" x14ac:dyDescent="0.55000000000000004">
      <c r="C23" s="11"/>
    </row>
    <row r="24" spans="1:9" x14ac:dyDescent="0.55000000000000004">
      <c r="C24" s="11"/>
    </row>
    <row r="25" spans="1:9" x14ac:dyDescent="0.55000000000000004">
      <c r="A25" s="29"/>
      <c r="B25" s="30"/>
      <c r="C25" s="30"/>
      <c r="F25" s="32"/>
      <c r="G25" s="32"/>
      <c r="H25" s="33"/>
      <c r="I25" s="33"/>
    </row>
    <row r="26" spans="1:9" x14ac:dyDescent="0.55000000000000004">
      <c r="A26" s="29"/>
      <c r="B26" s="30"/>
      <c r="C26" s="30"/>
      <c r="F26" s="32"/>
      <c r="G26" s="32"/>
      <c r="H26" s="33"/>
      <c r="I26" s="33"/>
    </row>
    <row r="27" spans="1:9" x14ac:dyDescent="0.55000000000000004">
      <c r="A27" s="29"/>
      <c r="B27" s="30"/>
      <c r="C27" s="30"/>
      <c r="D27" s="31"/>
      <c r="E27" s="28"/>
      <c r="F27" s="32"/>
      <c r="G27" s="32"/>
      <c r="H27" s="33"/>
      <c r="I27" s="33"/>
    </row>
    <row r="28" spans="1:9" x14ac:dyDescent="0.55000000000000004">
      <c r="A28" s="29"/>
      <c r="B28" s="30"/>
      <c r="C28" s="30"/>
      <c r="D28" s="31"/>
      <c r="E28" s="28"/>
      <c r="F28" s="32"/>
      <c r="G28" s="32"/>
      <c r="H28" s="33"/>
      <c r="I28" s="33"/>
    </row>
    <row r="29" spans="1:9" x14ac:dyDescent="0.55000000000000004">
      <c r="A29" s="29"/>
      <c r="B29" s="30"/>
      <c r="C29" s="30"/>
      <c r="D29" s="31"/>
      <c r="E29" s="28"/>
      <c r="F29" s="32"/>
      <c r="G29" s="32"/>
      <c r="H29" s="33"/>
      <c r="I29" s="33"/>
    </row>
    <row r="30" spans="1:9" x14ac:dyDescent="0.55000000000000004">
      <c r="A30" s="29"/>
      <c r="B30" s="30"/>
      <c r="C30" s="30"/>
      <c r="D30" s="31"/>
      <c r="E30" s="28"/>
      <c r="F30" s="32"/>
      <c r="G30" s="32"/>
      <c r="H30" s="33"/>
      <c r="I30" s="33"/>
    </row>
    <row r="31" spans="1:9" x14ac:dyDescent="0.55000000000000004">
      <c r="A31" s="29"/>
      <c r="B31" s="30"/>
      <c r="C31" s="30"/>
      <c r="D31" s="31"/>
      <c r="E31" s="28"/>
      <c r="F31" s="32"/>
      <c r="G31" s="32"/>
      <c r="H31" s="33"/>
      <c r="I31" s="3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C2:C36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16"/>
  <sheetViews>
    <sheetView zoomScale="90" zoomScaleNormal="90" workbookViewId="0">
      <selection activeCell="J1" sqref="J1"/>
    </sheetView>
  </sheetViews>
  <sheetFormatPr defaultColWidth="8.7109375" defaultRowHeight="21.75" x14ac:dyDescent="0.55000000000000004"/>
  <cols>
    <col min="1" max="1" width="15.42578125" style="13" bestFit="1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36.140625" style="7" customWidth="1"/>
    <col min="6" max="6" width="16.28515625" style="8" customWidth="1"/>
    <col min="7" max="7" width="14.85546875" style="8" customWidth="1"/>
    <col min="8" max="8" width="16.85546875" style="9" customWidth="1"/>
    <col min="9" max="9" width="14.7109375" style="9" bestFit="1" customWidth="1"/>
    <col min="10" max="10" width="19.28515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9" t="s">
        <v>162</v>
      </c>
      <c r="K1" s="8"/>
    </row>
    <row r="2" spans="1:11" x14ac:dyDescent="0.55000000000000004">
      <c r="A2" s="18">
        <v>44348</v>
      </c>
      <c r="B2" s="16"/>
      <c r="C2" s="16" t="s">
        <v>5</v>
      </c>
      <c r="D2" s="1" t="s">
        <v>58</v>
      </c>
      <c r="E2" s="7" t="s">
        <v>5</v>
      </c>
      <c r="F2" s="50"/>
      <c r="G2" s="19"/>
      <c r="H2" s="17"/>
      <c r="I2" s="17">
        <f>KYINNLOON[[#This Row],[Opening]]+KYINNLOON[[#This Row],[Purchase]]-KYINNLOON[[#This Row],[Payment]]</f>
        <v>0</v>
      </c>
      <c r="J2" s="109">
        <f>KYINNLOON[Balance]</f>
        <v>0</v>
      </c>
    </row>
    <row r="3" spans="1:11" x14ac:dyDescent="0.55000000000000004">
      <c r="A3" s="18"/>
      <c r="B3" s="16"/>
      <c r="C3" s="16"/>
      <c r="E3" s="44"/>
      <c r="F3" s="19"/>
      <c r="G3" s="19"/>
      <c r="H3" s="17"/>
      <c r="I3" s="17"/>
    </row>
    <row r="4" spans="1:11" x14ac:dyDescent="0.55000000000000004">
      <c r="A4" s="47"/>
      <c r="B4" s="48"/>
      <c r="C4" s="48"/>
      <c r="E4" s="62"/>
      <c r="F4" s="50"/>
      <c r="G4" s="50"/>
      <c r="H4" s="51"/>
      <c r="I4" s="51"/>
    </row>
    <row r="5" spans="1:11" x14ac:dyDescent="0.55000000000000004">
      <c r="A5" s="59"/>
      <c r="B5" s="60"/>
      <c r="C5" s="60"/>
      <c r="D5" s="61"/>
      <c r="E5" s="62"/>
      <c r="F5" s="63"/>
      <c r="G5" s="63"/>
      <c r="H5" s="64"/>
      <c r="I5" s="64"/>
    </row>
    <row r="6" spans="1:11" x14ac:dyDescent="0.55000000000000004">
      <c r="A6" s="18"/>
      <c r="B6" s="16"/>
      <c r="C6" s="16"/>
      <c r="E6" s="44"/>
      <c r="F6" s="19"/>
      <c r="G6" s="19"/>
      <c r="H6" s="17"/>
      <c r="I6" s="17"/>
    </row>
    <row r="7" spans="1:11" x14ac:dyDescent="0.55000000000000004">
      <c r="A7" s="18"/>
      <c r="B7" s="16"/>
      <c r="C7" s="16"/>
      <c r="E7" s="44"/>
      <c r="F7" s="19"/>
      <c r="G7" s="19"/>
      <c r="H7" s="17"/>
      <c r="I7" s="17"/>
    </row>
    <row r="8" spans="1:11" x14ac:dyDescent="0.55000000000000004">
      <c r="A8" s="18"/>
      <c r="B8" s="16"/>
      <c r="C8" s="16"/>
      <c r="E8" s="44"/>
      <c r="F8" s="19"/>
      <c r="G8" s="19"/>
      <c r="H8" s="17"/>
      <c r="I8" s="17"/>
    </row>
    <row r="9" spans="1:11" x14ac:dyDescent="0.55000000000000004">
      <c r="A9" s="54"/>
      <c r="B9" s="55"/>
      <c r="C9" s="55"/>
      <c r="D9" s="52"/>
      <c r="E9" s="56"/>
      <c r="F9" s="53"/>
      <c r="G9" s="53"/>
      <c r="H9" s="57"/>
      <c r="I9" s="57"/>
    </row>
    <row r="10" spans="1:11" x14ac:dyDescent="0.55000000000000004">
      <c r="A10" s="18"/>
      <c r="B10" s="16"/>
      <c r="C10" s="16"/>
      <c r="E10" s="14"/>
      <c r="F10" s="19"/>
      <c r="G10" s="19"/>
      <c r="H10" s="17"/>
      <c r="I10" s="17"/>
    </row>
    <row r="11" spans="1:11" x14ac:dyDescent="0.55000000000000004">
      <c r="A11" s="18"/>
      <c r="B11" s="16"/>
      <c r="C11" s="16"/>
      <c r="E11" s="14"/>
      <c r="F11" s="19"/>
      <c r="G11" s="19"/>
      <c r="H11" s="17"/>
      <c r="I11" s="17"/>
    </row>
    <row r="12" spans="1:11" x14ac:dyDescent="0.55000000000000004">
      <c r="A12" s="18"/>
      <c r="B12" s="16"/>
      <c r="C12" s="16"/>
      <c r="E12" s="14"/>
      <c r="F12" s="19"/>
      <c r="G12" s="19"/>
      <c r="H12" s="17"/>
      <c r="I12" s="17"/>
    </row>
    <row r="13" spans="1:11" x14ac:dyDescent="0.55000000000000004">
      <c r="A13" s="18"/>
      <c r="B13" s="16"/>
      <c r="C13" s="16"/>
      <c r="E13" s="14"/>
      <c r="F13" s="19"/>
      <c r="G13" s="19"/>
      <c r="H13" s="17"/>
      <c r="I13" s="17"/>
    </row>
    <row r="14" spans="1:11" x14ac:dyDescent="0.55000000000000004">
      <c r="A14" s="54"/>
      <c r="B14" s="55"/>
      <c r="C14" s="55"/>
      <c r="D14" s="52"/>
      <c r="E14" s="56"/>
      <c r="F14" s="53"/>
      <c r="G14" s="53"/>
      <c r="H14" s="57"/>
      <c r="I14" s="17"/>
    </row>
    <row r="15" spans="1:11" x14ac:dyDescent="0.55000000000000004">
      <c r="C15" s="11"/>
    </row>
    <row r="16" spans="1:11" x14ac:dyDescent="0.55000000000000004">
      <c r="C16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6"/>
  <sheetViews>
    <sheetView zoomScale="90" zoomScaleNormal="90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28515625" style="1" customWidth="1"/>
    <col min="4" max="4" width="18.140625" style="1" customWidth="1"/>
    <col min="5" max="5" width="31.42578125" style="7" customWidth="1"/>
    <col min="6" max="6" width="17.5703125" style="8" bestFit="1" customWidth="1"/>
    <col min="7" max="7" width="18.42578125" style="8" customWidth="1"/>
    <col min="8" max="8" width="17" style="9" customWidth="1"/>
    <col min="9" max="9" width="18" style="9" customWidth="1"/>
    <col min="10" max="10" width="20.28515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9" t="s">
        <v>162</v>
      </c>
      <c r="K1" s="8"/>
    </row>
    <row r="2" spans="1:11" x14ac:dyDescent="0.55000000000000004">
      <c r="A2" s="18">
        <v>44348</v>
      </c>
      <c r="B2" s="16"/>
      <c r="C2" s="16" t="s">
        <v>5</v>
      </c>
      <c r="D2" s="1" t="s">
        <v>42</v>
      </c>
      <c r="E2" s="7" t="s">
        <v>5</v>
      </c>
      <c r="F2" s="19">
        <v>0</v>
      </c>
      <c r="G2" s="19"/>
      <c r="H2" s="17"/>
      <c r="I2" s="17">
        <f>MOB[[#This Row],[Opening]]+MOB[[#This Row],[Purchase]]-MOB[[#This Row],[Payment]]</f>
        <v>0</v>
      </c>
      <c r="J2" s="109">
        <f>MOB[Balance]</f>
        <v>0</v>
      </c>
    </row>
    <row r="3" spans="1:11" x14ac:dyDescent="0.55000000000000004">
      <c r="A3" s="18"/>
      <c r="B3" s="16"/>
      <c r="C3" s="16"/>
      <c r="E3" s="44"/>
      <c r="F3" s="19"/>
      <c r="G3" s="19"/>
      <c r="H3" s="17"/>
      <c r="I3" s="17"/>
    </row>
    <row r="4" spans="1:11" x14ac:dyDescent="0.55000000000000004">
      <c r="A4" s="59"/>
      <c r="B4" s="60"/>
      <c r="C4" s="60"/>
      <c r="E4" s="62"/>
      <c r="F4" s="63"/>
      <c r="G4" s="63"/>
      <c r="H4" s="64"/>
      <c r="I4" s="64"/>
    </row>
    <row r="5" spans="1:11" x14ac:dyDescent="0.55000000000000004">
      <c r="A5" s="59"/>
      <c r="B5" s="60"/>
      <c r="C5" s="60"/>
      <c r="E5" s="62"/>
      <c r="F5" s="63"/>
      <c r="G5" s="63"/>
      <c r="H5" s="64"/>
      <c r="I5" s="64"/>
    </row>
    <row r="6" spans="1:11" x14ac:dyDescent="0.55000000000000004">
      <c r="A6" s="59"/>
      <c r="B6" s="60"/>
      <c r="C6" s="60"/>
      <c r="E6" s="62"/>
      <c r="F6" s="63"/>
      <c r="G6" s="63"/>
      <c r="H6" s="64"/>
      <c r="I6" s="64"/>
    </row>
    <row r="7" spans="1:11" x14ac:dyDescent="0.55000000000000004">
      <c r="A7" s="59"/>
      <c r="B7" s="60"/>
      <c r="C7" s="60"/>
      <c r="D7" s="61"/>
      <c r="E7" s="62"/>
      <c r="F7" s="63"/>
      <c r="G7" s="63"/>
      <c r="H7" s="64"/>
      <c r="I7" s="64"/>
    </row>
    <row r="8" spans="1:11" x14ac:dyDescent="0.55000000000000004">
      <c r="A8" s="18"/>
      <c r="B8" s="16"/>
      <c r="C8" s="16"/>
      <c r="E8" s="44"/>
      <c r="F8" s="19"/>
      <c r="G8" s="19"/>
      <c r="H8" s="17"/>
      <c r="I8" s="17"/>
    </row>
    <row r="9" spans="1:11" x14ac:dyDescent="0.55000000000000004">
      <c r="A9" s="18"/>
      <c r="B9" s="16"/>
      <c r="C9" s="16"/>
      <c r="E9" s="44"/>
      <c r="F9" s="19"/>
      <c r="G9" s="19"/>
      <c r="H9" s="17"/>
      <c r="I9" s="17"/>
    </row>
    <row r="10" spans="1:11" x14ac:dyDescent="0.55000000000000004">
      <c r="A10" s="47"/>
      <c r="B10" s="48"/>
      <c r="C10" s="48"/>
      <c r="D10" s="49"/>
      <c r="E10" s="44"/>
      <c r="F10" s="50"/>
      <c r="G10" s="50"/>
      <c r="H10" s="51"/>
      <c r="I10" s="51"/>
    </row>
    <row r="11" spans="1:11" x14ac:dyDescent="0.55000000000000004">
      <c r="A11" s="18"/>
      <c r="B11" s="16"/>
      <c r="C11" s="16"/>
      <c r="E11" s="14"/>
      <c r="F11" s="19"/>
      <c r="G11" s="19"/>
      <c r="H11" s="17"/>
      <c r="I11" s="17"/>
    </row>
    <row r="12" spans="1:11" x14ac:dyDescent="0.55000000000000004">
      <c r="A12" s="18"/>
      <c r="B12" s="16"/>
      <c r="C12" s="16"/>
      <c r="E12" s="14"/>
      <c r="F12" s="19"/>
      <c r="G12" s="19"/>
      <c r="H12" s="17"/>
      <c r="I12" s="17"/>
    </row>
    <row r="13" spans="1:11" x14ac:dyDescent="0.55000000000000004">
      <c r="A13" s="18"/>
      <c r="B13" s="16"/>
      <c r="C13" s="16"/>
      <c r="E13" s="14"/>
      <c r="F13" s="19"/>
      <c r="G13" s="19"/>
      <c r="H13" s="17"/>
      <c r="I13" s="17"/>
    </row>
    <row r="14" spans="1:11" x14ac:dyDescent="0.55000000000000004">
      <c r="A14" s="18"/>
      <c r="B14" s="16"/>
      <c r="C14" s="16"/>
      <c r="E14" s="14"/>
      <c r="F14" s="19"/>
      <c r="G14" s="19"/>
      <c r="H14" s="17"/>
      <c r="I14" s="17"/>
    </row>
    <row r="15" spans="1:11" x14ac:dyDescent="0.55000000000000004">
      <c r="C15" s="11"/>
    </row>
    <row r="16" spans="1:11" x14ac:dyDescent="0.55000000000000004">
      <c r="C16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22"/>
  <sheetViews>
    <sheetView zoomScale="90" zoomScaleNormal="90" workbookViewId="0">
      <selection activeCell="J1" sqref="J1"/>
    </sheetView>
  </sheetViews>
  <sheetFormatPr defaultColWidth="8.7109375" defaultRowHeight="21.75" x14ac:dyDescent="0.55000000000000004"/>
  <cols>
    <col min="1" max="1" width="17.5703125" style="13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38.28515625" style="7" customWidth="1"/>
    <col min="6" max="6" width="15.28515625" style="8" customWidth="1"/>
    <col min="7" max="7" width="18.42578125" style="8" customWidth="1"/>
    <col min="8" max="8" width="17.42578125" style="9" customWidth="1"/>
    <col min="9" max="9" width="14.7109375" style="9" bestFit="1" customWidth="1"/>
    <col min="10" max="10" width="18.140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9" t="s">
        <v>162</v>
      </c>
      <c r="K1" s="8"/>
    </row>
    <row r="2" spans="1:11" x14ac:dyDescent="0.55000000000000004">
      <c r="A2" s="18">
        <v>44317</v>
      </c>
      <c r="B2" s="16"/>
      <c r="C2" s="16" t="s">
        <v>5</v>
      </c>
      <c r="D2" s="1" t="s">
        <v>78</v>
      </c>
      <c r="E2" s="7" t="s">
        <v>5</v>
      </c>
      <c r="F2" s="19">
        <v>0</v>
      </c>
      <c r="G2" s="19"/>
      <c r="H2" s="17"/>
      <c r="I2" s="17">
        <f>MAYWD[[#This Row],[Opening]]+MAYWD[[#This Row],[Purchase]]-MAYWD[[#This Row],[Payment]]</f>
        <v>0</v>
      </c>
      <c r="J2" s="109">
        <f>MAYWD[Balance]</f>
        <v>0</v>
      </c>
    </row>
    <row r="3" spans="1:11" x14ac:dyDescent="0.55000000000000004">
      <c r="A3" s="100"/>
      <c r="B3" s="101"/>
      <c r="C3" s="101"/>
      <c r="E3" s="102"/>
      <c r="F3" s="103"/>
      <c r="G3" s="103"/>
      <c r="H3" s="104"/>
      <c r="I3" s="104"/>
    </row>
    <row r="4" spans="1:11" x14ac:dyDescent="0.55000000000000004">
      <c r="A4" s="59"/>
      <c r="B4" s="60"/>
      <c r="C4" s="60"/>
      <c r="E4" s="62"/>
      <c r="F4" s="63"/>
      <c r="G4" s="63"/>
      <c r="H4" s="64"/>
      <c r="I4" s="64"/>
    </row>
    <row r="5" spans="1:11" x14ac:dyDescent="0.55000000000000004">
      <c r="A5" s="18"/>
      <c r="B5" s="16"/>
      <c r="C5" s="16"/>
      <c r="E5" s="44"/>
      <c r="F5" s="19"/>
      <c r="G5" s="19"/>
      <c r="H5" s="17"/>
      <c r="I5" s="17"/>
    </row>
    <row r="6" spans="1:11" x14ac:dyDescent="0.55000000000000004">
      <c r="A6" s="47"/>
      <c r="B6" s="48"/>
      <c r="C6" s="48"/>
      <c r="E6" s="44"/>
      <c r="F6" s="50"/>
      <c r="G6" s="50"/>
      <c r="H6" s="51"/>
      <c r="I6" s="51"/>
    </row>
    <row r="7" spans="1:11" x14ac:dyDescent="0.55000000000000004">
      <c r="A7" s="59"/>
      <c r="B7" s="60"/>
      <c r="C7" s="60"/>
      <c r="E7" s="44"/>
      <c r="F7" s="63"/>
      <c r="G7" s="63"/>
      <c r="H7" s="64"/>
      <c r="I7" s="64"/>
    </row>
    <row r="8" spans="1:11" x14ac:dyDescent="0.55000000000000004">
      <c r="A8" s="59"/>
      <c r="B8" s="60"/>
      <c r="C8" s="60"/>
      <c r="E8" s="62"/>
      <c r="F8" s="63"/>
      <c r="G8" s="63"/>
      <c r="H8" s="64"/>
      <c r="I8" s="64"/>
    </row>
    <row r="9" spans="1:11" x14ac:dyDescent="0.55000000000000004">
      <c r="A9" s="59"/>
      <c r="B9" s="60"/>
      <c r="C9" s="60"/>
      <c r="D9" s="61"/>
      <c r="E9" s="62"/>
      <c r="F9" s="63"/>
      <c r="G9" s="63"/>
      <c r="H9" s="64"/>
      <c r="I9" s="64"/>
    </row>
    <row r="10" spans="1:11" x14ac:dyDescent="0.55000000000000004">
      <c r="A10" s="59"/>
      <c r="B10" s="60"/>
      <c r="C10" s="60"/>
      <c r="D10" s="61"/>
      <c r="E10" s="62"/>
      <c r="F10" s="63"/>
      <c r="G10" s="63"/>
      <c r="H10" s="64"/>
      <c r="I10" s="64"/>
    </row>
    <row r="11" spans="1:11" x14ac:dyDescent="0.55000000000000004">
      <c r="A11" s="18"/>
      <c r="B11" s="16"/>
      <c r="C11" s="16"/>
      <c r="E11" s="44"/>
      <c r="F11" s="19"/>
      <c r="G11" s="19"/>
      <c r="H11" s="17"/>
      <c r="I11" s="17"/>
    </row>
    <row r="12" spans="1:11" x14ac:dyDescent="0.55000000000000004">
      <c r="A12" s="18"/>
      <c r="B12" s="16"/>
      <c r="C12" s="16"/>
      <c r="E12" s="44"/>
      <c r="F12" s="19"/>
      <c r="G12" s="19"/>
      <c r="H12" s="17"/>
      <c r="I12" s="17"/>
    </row>
    <row r="13" spans="1:11" x14ac:dyDescent="0.55000000000000004">
      <c r="A13" s="18"/>
      <c r="B13" s="16"/>
      <c r="C13" s="16"/>
      <c r="F13" s="19"/>
      <c r="G13" s="19"/>
      <c r="H13" s="17"/>
      <c r="I13" s="17"/>
    </row>
    <row r="14" spans="1:11" x14ac:dyDescent="0.55000000000000004">
      <c r="A14" s="18"/>
      <c r="B14" s="16"/>
      <c r="C14" s="16"/>
      <c r="E14" s="44"/>
      <c r="F14" s="19"/>
      <c r="G14" s="19"/>
      <c r="H14" s="17"/>
      <c r="I14" s="17"/>
    </row>
    <row r="15" spans="1:11" x14ac:dyDescent="0.55000000000000004">
      <c r="A15" s="54"/>
      <c r="B15" s="55"/>
      <c r="C15" s="55"/>
      <c r="E15" s="56"/>
      <c r="F15" s="53"/>
      <c r="G15" s="53"/>
      <c r="H15" s="57"/>
      <c r="I15" s="57"/>
    </row>
    <row r="16" spans="1:11" x14ac:dyDescent="0.55000000000000004">
      <c r="A16" s="54"/>
      <c r="B16" s="55"/>
      <c r="C16" s="55"/>
      <c r="E16" s="56"/>
      <c r="F16" s="53"/>
      <c r="G16" s="53"/>
      <c r="H16" s="57"/>
      <c r="I16" s="57"/>
    </row>
    <row r="17" spans="1:9" x14ac:dyDescent="0.55000000000000004">
      <c r="A17" s="54"/>
      <c r="B17" s="55"/>
      <c r="C17" s="55"/>
      <c r="F17" s="53"/>
      <c r="G17" s="53"/>
      <c r="H17" s="57"/>
      <c r="I17" s="57"/>
    </row>
    <row r="18" spans="1:9" x14ac:dyDescent="0.55000000000000004">
      <c r="A18" s="54"/>
      <c r="B18" s="55"/>
      <c r="C18" s="55"/>
      <c r="D18" s="52"/>
      <c r="E18" s="56"/>
      <c r="F18" s="53"/>
      <c r="G18" s="53"/>
      <c r="H18" s="57"/>
      <c r="I18" s="57"/>
    </row>
    <row r="19" spans="1:9" x14ac:dyDescent="0.55000000000000004">
      <c r="A19" s="18"/>
      <c r="B19" s="16"/>
      <c r="C19" s="16"/>
      <c r="E19" s="14"/>
      <c r="F19" s="19"/>
      <c r="G19" s="19"/>
      <c r="H19" s="17"/>
      <c r="I19" s="17"/>
    </row>
    <row r="20" spans="1:9" x14ac:dyDescent="0.55000000000000004">
      <c r="A20" s="18"/>
      <c r="B20" s="16"/>
      <c r="C20" s="16"/>
      <c r="E20" s="14"/>
      <c r="F20" s="19"/>
      <c r="G20" s="19"/>
      <c r="H20" s="17"/>
      <c r="I20" s="17"/>
    </row>
    <row r="21" spans="1:9" x14ac:dyDescent="0.55000000000000004">
      <c r="C21" s="11"/>
    </row>
    <row r="22" spans="1:9" x14ac:dyDescent="0.55000000000000004">
      <c r="C22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3" width="12.28515625" style="1" customWidth="1"/>
    <col min="4" max="4" width="24.42578125" style="1" bestFit="1" customWidth="1"/>
    <col min="5" max="5" width="23.28515625" style="7" customWidth="1"/>
    <col min="6" max="6" width="17.5703125" style="8" bestFit="1" customWidth="1"/>
    <col min="7" max="7" width="18.42578125" style="8" customWidth="1"/>
    <col min="8" max="8" width="15.28515625" style="9" customWidth="1"/>
    <col min="9" max="9" width="17.140625" style="9" customWidth="1"/>
    <col min="10" max="10" width="19.855468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9" t="s">
        <v>162</v>
      </c>
      <c r="K1" s="8"/>
    </row>
    <row r="2" spans="1:11" x14ac:dyDescent="0.55000000000000004">
      <c r="A2" s="18">
        <v>44348</v>
      </c>
      <c r="B2" s="15"/>
      <c r="C2" s="16" t="s">
        <v>5</v>
      </c>
      <c r="D2" s="1" t="s">
        <v>44</v>
      </c>
      <c r="E2" s="7" t="s">
        <v>5</v>
      </c>
      <c r="F2" s="19">
        <v>2208992</v>
      </c>
      <c r="G2" s="19"/>
      <c r="H2" s="17"/>
      <c r="I2" s="17">
        <f>MDYSP[[#This Row],[Opening]]+MDYSP[[#This Row],[Purchase]]-MDYSP[[#This Row],[Payment]]</f>
        <v>2208992</v>
      </c>
      <c r="J2" s="109">
        <f>MDYSP[Balance]</f>
        <v>2208992</v>
      </c>
    </row>
    <row r="3" spans="1:11" x14ac:dyDescent="0.55000000000000004">
      <c r="A3" s="59"/>
      <c r="B3" s="80"/>
      <c r="C3" s="60"/>
      <c r="D3" s="61"/>
      <c r="E3" s="62"/>
      <c r="F3" s="63"/>
      <c r="G3" s="63"/>
      <c r="H3" s="64"/>
      <c r="I3" s="64"/>
    </row>
    <row r="4" spans="1:11" x14ac:dyDescent="0.55000000000000004">
      <c r="A4" s="18"/>
      <c r="B4" s="15"/>
      <c r="C4" s="16"/>
      <c r="E4" s="14"/>
      <c r="F4" s="19"/>
      <c r="G4" s="19"/>
      <c r="H4" s="17"/>
      <c r="I4" s="17"/>
    </row>
    <row r="5" spans="1:11" x14ac:dyDescent="0.55000000000000004">
      <c r="A5" s="18"/>
      <c r="B5" s="15"/>
      <c r="C5" s="16"/>
      <c r="E5" s="14"/>
      <c r="F5" s="19"/>
      <c r="G5" s="19"/>
      <c r="H5" s="17"/>
      <c r="I5" s="17"/>
    </row>
    <row r="6" spans="1:11" x14ac:dyDescent="0.55000000000000004">
      <c r="A6" s="18"/>
      <c r="B6" s="15"/>
      <c r="C6" s="16"/>
      <c r="E6" s="14"/>
      <c r="F6" s="19"/>
      <c r="G6" s="19"/>
      <c r="H6" s="17"/>
      <c r="I6" s="17"/>
    </row>
    <row r="7" spans="1:11" x14ac:dyDescent="0.55000000000000004">
      <c r="A7" s="18"/>
      <c r="B7" s="15"/>
      <c r="C7" s="16"/>
      <c r="E7" s="14"/>
      <c r="F7" s="19"/>
      <c r="G7" s="19"/>
      <c r="H7" s="17"/>
      <c r="I7" s="17"/>
    </row>
    <row r="8" spans="1:11" x14ac:dyDescent="0.55000000000000004">
      <c r="A8" s="18"/>
      <c r="B8" s="15"/>
      <c r="C8" s="16"/>
      <c r="E8" s="14"/>
      <c r="F8" s="19"/>
      <c r="G8" s="19"/>
      <c r="H8" s="17"/>
      <c r="I8" s="17"/>
    </row>
    <row r="9" spans="1:11" x14ac:dyDescent="0.55000000000000004">
      <c r="A9" s="18"/>
      <c r="B9" s="15"/>
      <c r="C9" s="16"/>
      <c r="E9" s="14"/>
      <c r="F9" s="19"/>
      <c r="G9" s="19"/>
      <c r="H9" s="17"/>
      <c r="I9" s="17"/>
    </row>
    <row r="10" spans="1:11" x14ac:dyDescent="0.55000000000000004">
      <c r="C10" s="11"/>
    </row>
    <row r="11" spans="1:11" x14ac:dyDescent="0.55000000000000004">
      <c r="C11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C2:C23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31"/>
  <sheetViews>
    <sheetView zoomScale="90" zoomScaleNormal="90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3.42578125" style="1" customWidth="1"/>
    <col min="4" max="4" width="18.28515625" style="1" customWidth="1"/>
    <col min="5" max="5" width="35.5703125" style="7" customWidth="1"/>
    <col min="6" max="6" width="17.5703125" style="8" bestFit="1" customWidth="1"/>
    <col min="7" max="7" width="18.42578125" style="8" customWidth="1"/>
    <col min="8" max="8" width="15.85546875" style="9" customWidth="1"/>
    <col min="9" max="9" width="14.7109375" style="9" bestFit="1" customWidth="1"/>
    <col min="10" max="10" width="15.71093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9" t="s">
        <v>162</v>
      </c>
      <c r="K1" s="8"/>
    </row>
    <row r="2" spans="1:11" x14ac:dyDescent="0.55000000000000004">
      <c r="A2" s="18">
        <v>44348</v>
      </c>
      <c r="B2" s="16"/>
      <c r="C2" s="16" t="s">
        <v>5</v>
      </c>
      <c r="D2" s="1" t="s">
        <v>79</v>
      </c>
      <c r="E2" s="7" t="s">
        <v>5</v>
      </c>
      <c r="F2" s="19">
        <v>1779510</v>
      </c>
      <c r="G2" s="19"/>
      <c r="H2" s="17"/>
      <c r="I2" s="17">
        <f>MTAY[[#This Row],[Opening]]+MTAY[[#This Row],[Purchase]]-MTAY[[#This Row],[Payment]]</f>
        <v>1779510</v>
      </c>
      <c r="J2" s="109">
        <f>MTAY[[#This Row],[Balance]]</f>
        <v>1779510</v>
      </c>
    </row>
    <row r="3" spans="1:11" x14ac:dyDescent="0.55000000000000004">
      <c r="A3" s="59">
        <v>44351</v>
      </c>
      <c r="B3" s="60">
        <v>5817</v>
      </c>
      <c r="C3" s="60" t="s">
        <v>6</v>
      </c>
      <c r="D3" s="1" t="s">
        <v>79</v>
      </c>
      <c r="E3" s="44" t="s">
        <v>107</v>
      </c>
      <c r="F3" s="63"/>
      <c r="G3" s="63">
        <v>22500</v>
      </c>
      <c r="H3" s="64"/>
      <c r="I3" s="64">
        <f>MTAY[[#This Row],[Opening]]+MTAY[[#This Row],[Purchase]]-MTAY[[#This Row],[Payment]]</f>
        <v>22500</v>
      </c>
      <c r="J3" s="109">
        <f>J2+MTAY[[#This Row],[Purchase]]-MTAY[[#This Row],[Payment]]</f>
        <v>1802010</v>
      </c>
    </row>
    <row r="4" spans="1:11" x14ac:dyDescent="0.55000000000000004">
      <c r="A4" s="100">
        <v>44361</v>
      </c>
      <c r="B4" s="101">
        <v>1162</v>
      </c>
      <c r="C4" s="101" t="s">
        <v>7</v>
      </c>
      <c r="D4" s="1" t="s">
        <v>79</v>
      </c>
      <c r="E4" s="106" t="s">
        <v>86</v>
      </c>
      <c r="F4" s="103"/>
      <c r="G4" s="103"/>
      <c r="H4" s="103">
        <v>500000</v>
      </c>
      <c r="I4" s="104">
        <f>MTAY[[#This Row],[Opening]]+MTAY[[#This Row],[Purchase]]-MTAY[[#This Row],[Payment]]</f>
        <v>-500000</v>
      </c>
      <c r="J4" s="109">
        <f>J3+MTAY[[#This Row],[Purchase]]-MTAY[[#This Row],[Payment]]</f>
        <v>1302010</v>
      </c>
    </row>
    <row r="5" spans="1:11" x14ac:dyDescent="0.55000000000000004">
      <c r="A5" s="100">
        <v>44363</v>
      </c>
      <c r="B5" s="101">
        <v>1167</v>
      </c>
      <c r="C5" s="101" t="s">
        <v>7</v>
      </c>
      <c r="D5" s="1" t="s">
        <v>79</v>
      </c>
      <c r="E5" s="106" t="s">
        <v>86</v>
      </c>
      <c r="F5" s="103"/>
      <c r="G5" s="103"/>
      <c r="H5" s="103">
        <v>500000</v>
      </c>
      <c r="I5" s="104">
        <f>MTAY[[#This Row],[Opening]]+MTAY[[#This Row],[Purchase]]-MTAY[[#This Row],[Payment]]</f>
        <v>-500000</v>
      </c>
      <c r="J5" s="109">
        <f>J4+MTAY[[#This Row],[Purchase]]-MTAY[[#This Row],[Payment]]</f>
        <v>802010</v>
      </c>
    </row>
    <row r="6" spans="1:11" x14ac:dyDescent="0.55000000000000004">
      <c r="A6" s="100">
        <v>44375</v>
      </c>
      <c r="B6" s="101"/>
      <c r="C6" s="101" t="s">
        <v>7</v>
      </c>
      <c r="D6" s="1" t="s">
        <v>79</v>
      </c>
      <c r="E6" s="106" t="s">
        <v>86</v>
      </c>
      <c r="F6" s="103"/>
      <c r="G6" s="103"/>
      <c r="H6" s="104">
        <v>100000</v>
      </c>
      <c r="I6" s="104">
        <f>MTAY[[#This Row],[Opening]]+MTAY[[#This Row],[Purchase]]-MTAY[[#This Row],[Payment]]</f>
        <v>-100000</v>
      </c>
      <c r="J6" s="109">
        <f>J5+MTAY[[#This Row],[Purchase]]-MTAY[[#This Row],[Payment]]</f>
        <v>702010</v>
      </c>
    </row>
    <row r="7" spans="1:11" x14ac:dyDescent="0.55000000000000004">
      <c r="A7" s="100">
        <v>44359</v>
      </c>
      <c r="B7" s="101">
        <v>5818</v>
      </c>
      <c r="C7" s="101" t="s">
        <v>6</v>
      </c>
      <c r="D7" s="1" t="s">
        <v>79</v>
      </c>
      <c r="E7" s="106" t="s">
        <v>160</v>
      </c>
      <c r="F7" s="103"/>
      <c r="G7" s="103">
        <v>135000</v>
      </c>
      <c r="H7" s="104"/>
      <c r="I7" s="104">
        <f>MTAY[[#This Row],[Opening]]+MTAY[[#This Row],[Purchase]]-MTAY[[#This Row],[Payment]]</f>
        <v>135000</v>
      </c>
      <c r="J7" s="109">
        <f>J6+MTAY[[#This Row],[Purchase]]-MTAY[[#This Row],[Payment]]</f>
        <v>837010</v>
      </c>
    </row>
    <row r="8" spans="1:11" x14ac:dyDescent="0.55000000000000004">
      <c r="A8" s="100"/>
      <c r="B8" s="101"/>
      <c r="C8" s="101"/>
      <c r="E8" s="106"/>
      <c r="F8" s="103"/>
      <c r="G8" s="103"/>
      <c r="H8" s="104"/>
      <c r="I8" s="104"/>
    </row>
    <row r="9" spans="1:11" x14ac:dyDescent="0.55000000000000004">
      <c r="A9" s="100"/>
      <c r="B9" s="101"/>
      <c r="C9" s="101"/>
      <c r="D9" s="105"/>
      <c r="E9" s="106"/>
      <c r="F9" s="103"/>
      <c r="G9" s="103"/>
      <c r="H9" s="104"/>
      <c r="I9" s="104"/>
    </row>
    <row r="10" spans="1:11" x14ac:dyDescent="0.55000000000000004">
      <c r="A10" s="18"/>
      <c r="B10" s="16"/>
      <c r="C10" s="16"/>
      <c r="E10" s="44"/>
      <c r="F10" s="19"/>
      <c r="G10" s="19"/>
      <c r="H10" s="17"/>
      <c r="I10" s="17"/>
    </row>
    <row r="11" spans="1:11" x14ac:dyDescent="0.55000000000000004">
      <c r="A11" s="59"/>
      <c r="B11" s="60"/>
      <c r="C11" s="16"/>
      <c r="E11" s="44"/>
      <c r="F11" s="63"/>
      <c r="G11" s="63"/>
      <c r="H11" s="64"/>
      <c r="I11" s="64"/>
    </row>
    <row r="12" spans="1:11" x14ac:dyDescent="0.55000000000000004">
      <c r="A12" s="59"/>
      <c r="B12" s="60"/>
      <c r="C12" s="60"/>
      <c r="E12" s="62"/>
      <c r="F12" s="63"/>
      <c r="G12" s="63"/>
      <c r="H12" s="64"/>
      <c r="I12" s="64"/>
    </row>
    <row r="13" spans="1:11" x14ac:dyDescent="0.55000000000000004">
      <c r="A13" s="59"/>
      <c r="B13" s="60"/>
      <c r="C13" s="60"/>
      <c r="E13" s="44"/>
      <c r="F13" s="63"/>
      <c r="G13" s="63"/>
      <c r="H13" s="64"/>
      <c r="I13" s="64"/>
    </row>
    <row r="14" spans="1:11" x14ac:dyDescent="0.55000000000000004">
      <c r="A14" s="59"/>
      <c r="B14" s="60"/>
      <c r="C14" s="60"/>
      <c r="E14" s="44"/>
      <c r="F14" s="63"/>
      <c r="G14" s="63"/>
      <c r="H14" s="64"/>
      <c r="I14" s="64"/>
    </row>
    <row r="15" spans="1:11" x14ac:dyDescent="0.55000000000000004">
      <c r="A15" s="59"/>
      <c r="B15" s="60"/>
      <c r="C15" s="60"/>
      <c r="E15" s="62"/>
      <c r="F15" s="63"/>
      <c r="G15" s="63"/>
      <c r="H15" s="64"/>
      <c r="I15" s="64"/>
    </row>
    <row r="16" spans="1:11" x14ac:dyDescent="0.55000000000000004">
      <c r="A16" s="59"/>
      <c r="B16" s="60"/>
      <c r="C16" s="60"/>
      <c r="E16" s="44"/>
      <c r="F16" s="63"/>
      <c r="G16" s="63"/>
      <c r="H16" s="64"/>
      <c r="I16" s="64"/>
    </row>
    <row r="17" spans="1:9" x14ac:dyDescent="0.55000000000000004">
      <c r="A17" s="59"/>
      <c r="B17" s="60"/>
      <c r="C17" s="60"/>
      <c r="E17" s="62"/>
      <c r="F17" s="63"/>
      <c r="G17" s="63"/>
      <c r="H17" s="64"/>
      <c r="I17" s="64"/>
    </row>
    <row r="18" spans="1:9" x14ac:dyDescent="0.55000000000000004">
      <c r="A18" s="59"/>
      <c r="B18" s="60"/>
      <c r="C18" s="60"/>
      <c r="D18" s="61"/>
      <c r="E18" s="62"/>
      <c r="F18" s="63"/>
      <c r="G18" s="63"/>
      <c r="H18" s="64"/>
      <c r="I18" s="64"/>
    </row>
    <row r="19" spans="1:9" x14ac:dyDescent="0.55000000000000004">
      <c r="A19" s="59"/>
      <c r="B19" s="60"/>
      <c r="C19" s="60"/>
      <c r="D19" s="61"/>
      <c r="E19" s="62"/>
      <c r="F19" s="63"/>
      <c r="G19" s="63"/>
      <c r="H19" s="64"/>
      <c r="I19" s="64"/>
    </row>
    <row r="20" spans="1:9" x14ac:dyDescent="0.55000000000000004">
      <c r="A20" s="18"/>
      <c r="B20" s="16"/>
      <c r="C20" s="16"/>
      <c r="E20" s="44"/>
      <c r="F20" s="19"/>
      <c r="G20" s="19"/>
      <c r="H20" s="17"/>
      <c r="I20" s="17"/>
    </row>
    <row r="21" spans="1:9" x14ac:dyDescent="0.55000000000000004">
      <c r="A21" s="54"/>
      <c r="B21" s="55"/>
      <c r="C21" s="55"/>
      <c r="E21" s="56"/>
      <c r="F21" s="53"/>
      <c r="G21" s="53"/>
      <c r="H21" s="57"/>
      <c r="I21" s="57"/>
    </row>
    <row r="22" spans="1:9" x14ac:dyDescent="0.55000000000000004">
      <c r="A22" s="54"/>
      <c r="B22" s="55"/>
      <c r="C22" s="55"/>
      <c r="E22" s="44"/>
      <c r="F22" s="53"/>
      <c r="G22" s="53"/>
      <c r="H22" s="57"/>
      <c r="I22" s="57"/>
    </row>
    <row r="23" spans="1:9" x14ac:dyDescent="0.55000000000000004">
      <c r="A23" s="54"/>
      <c r="B23" s="55"/>
      <c r="C23" s="55"/>
      <c r="E23" s="56"/>
      <c r="F23" s="53"/>
      <c r="G23" s="53"/>
      <c r="H23" s="57"/>
      <c r="I23" s="57"/>
    </row>
    <row r="24" spans="1:9" x14ac:dyDescent="0.55000000000000004">
      <c r="A24" s="54"/>
      <c r="B24" s="55"/>
      <c r="C24" s="55"/>
      <c r="E24" s="56"/>
      <c r="F24" s="53"/>
      <c r="G24" s="53"/>
      <c r="H24" s="57"/>
      <c r="I24" s="57"/>
    </row>
    <row r="25" spans="1:9" x14ac:dyDescent="0.55000000000000004">
      <c r="A25" s="54"/>
      <c r="B25" s="55"/>
      <c r="C25" s="55"/>
      <c r="D25" s="52"/>
      <c r="E25" s="56"/>
      <c r="F25" s="53"/>
      <c r="G25" s="53"/>
      <c r="H25" s="57"/>
      <c r="I25" s="57"/>
    </row>
    <row r="26" spans="1:9" x14ac:dyDescent="0.55000000000000004">
      <c r="A26" s="18"/>
      <c r="B26" s="16"/>
      <c r="C26" s="16"/>
      <c r="F26" s="19"/>
      <c r="G26" s="19"/>
      <c r="H26" s="17"/>
      <c r="I26" s="17"/>
    </row>
    <row r="27" spans="1:9" x14ac:dyDescent="0.55000000000000004">
      <c r="A27" s="18"/>
      <c r="B27" s="16"/>
      <c r="C27" s="16"/>
      <c r="F27" s="19"/>
      <c r="G27" s="19"/>
      <c r="H27" s="17"/>
      <c r="I27" s="17"/>
    </row>
    <row r="28" spans="1:9" x14ac:dyDescent="0.55000000000000004">
      <c r="A28" s="18"/>
      <c r="B28" s="16"/>
      <c r="C28" s="16"/>
      <c r="E28" s="14"/>
      <c r="F28" s="19"/>
      <c r="G28" s="19"/>
      <c r="H28" s="17"/>
      <c r="I28" s="17"/>
    </row>
    <row r="29" spans="1:9" x14ac:dyDescent="0.55000000000000004">
      <c r="A29" s="18"/>
      <c r="B29" s="16"/>
      <c r="C29" s="16"/>
      <c r="E29" s="14"/>
      <c r="F29" s="19"/>
      <c r="G29" s="19"/>
      <c r="H29" s="17"/>
      <c r="I29" s="17"/>
    </row>
    <row r="30" spans="1:9" x14ac:dyDescent="0.55000000000000004">
      <c r="C30" s="11"/>
    </row>
    <row r="31" spans="1:9" x14ac:dyDescent="0.55000000000000004">
      <c r="C31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C2:C35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17"/>
  <sheetViews>
    <sheetView zoomScale="90" zoomScaleNormal="90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74" customWidth="1"/>
    <col min="3" max="3" width="12.28515625" style="1" customWidth="1"/>
    <col min="4" max="4" width="24.42578125" style="1" bestFit="1" customWidth="1"/>
    <col min="5" max="5" width="35.140625" style="7" customWidth="1"/>
    <col min="6" max="6" width="17.5703125" style="8" bestFit="1" customWidth="1"/>
    <col min="7" max="7" width="18.42578125" style="8" customWidth="1"/>
    <col min="8" max="8" width="15.140625" style="9" customWidth="1"/>
    <col min="9" max="9" width="14.7109375" style="9" bestFit="1" customWidth="1"/>
    <col min="10" max="10" width="16.28515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9" t="s">
        <v>162</v>
      </c>
      <c r="K1" s="8"/>
    </row>
    <row r="2" spans="1:11" x14ac:dyDescent="0.55000000000000004">
      <c r="A2" s="18">
        <v>44348</v>
      </c>
      <c r="B2" s="58"/>
      <c r="C2" s="16" t="s">
        <v>5</v>
      </c>
      <c r="D2" s="1" t="s">
        <v>80</v>
      </c>
      <c r="E2" s="7" t="s">
        <v>5</v>
      </c>
      <c r="F2" s="19">
        <v>999000</v>
      </c>
      <c r="G2" s="19"/>
      <c r="H2" s="17"/>
      <c r="I2" s="17">
        <f>NASA[[#This Row],[Opening]]+NASA[[#This Row],[Purchase]]-NASA[[#This Row],[Payment]]</f>
        <v>999000</v>
      </c>
      <c r="J2" s="109">
        <f>NASA[[#This Row],[Balance]]</f>
        <v>999000</v>
      </c>
    </row>
    <row r="3" spans="1:11" x14ac:dyDescent="0.55000000000000004">
      <c r="A3" s="47">
        <v>44364</v>
      </c>
      <c r="B3" s="66">
        <v>531</v>
      </c>
      <c r="C3" s="60" t="s">
        <v>6</v>
      </c>
      <c r="D3" s="1" t="s">
        <v>80</v>
      </c>
      <c r="E3" s="44" t="s">
        <v>139</v>
      </c>
      <c r="F3" s="50"/>
      <c r="G3" s="50">
        <v>188580</v>
      </c>
      <c r="H3" s="51"/>
      <c r="I3" s="51">
        <f>NASA[[#This Row],[Opening]]+NASA[[#This Row],[Purchase]]-NASA[[#This Row],[Payment]]</f>
        <v>188580</v>
      </c>
      <c r="J3" s="109">
        <f>J2+NASA[[#This Row],[Purchase]]-NASA[[#This Row],[Payment]]</f>
        <v>1187580</v>
      </c>
    </row>
    <row r="4" spans="1:11" x14ac:dyDescent="0.55000000000000004">
      <c r="A4" s="100">
        <v>44364</v>
      </c>
      <c r="B4" s="108">
        <v>10763</v>
      </c>
      <c r="C4" s="101" t="s">
        <v>7</v>
      </c>
      <c r="D4" s="1" t="s">
        <v>80</v>
      </c>
      <c r="E4" s="102" t="s">
        <v>144</v>
      </c>
      <c r="F4" s="103"/>
      <c r="G4" s="103"/>
      <c r="H4" s="103">
        <v>999000</v>
      </c>
      <c r="I4" s="104">
        <f>NASA[[#This Row],[Opening]]+NASA[[#This Row],[Purchase]]-NASA[[#This Row],[Payment]]</f>
        <v>-999000</v>
      </c>
      <c r="J4" s="109">
        <f>J3+NASA[[#This Row],[Purchase]]-NASA[[#This Row],[Payment]]</f>
        <v>188580</v>
      </c>
    </row>
    <row r="5" spans="1:11" x14ac:dyDescent="0.55000000000000004">
      <c r="A5" s="100"/>
      <c r="B5" s="108"/>
      <c r="C5" s="101"/>
      <c r="D5" s="105"/>
      <c r="E5" s="102"/>
      <c r="F5" s="103"/>
      <c r="G5" s="103"/>
      <c r="H5" s="104"/>
      <c r="I5" s="104"/>
    </row>
    <row r="6" spans="1:11" x14ac:dyDescent="0.55000000000000004">
      <c r="A6" s="18"/>
      <c r="B6" s="58"/>
      <c r="C6" s="16"/>
      <c r="E6" s="44"/>
      <c r="F6" s="19"/>
      <c r="G6" s="19"/>
      <c r="H6" s="17"/>
      <c r="I6" s="17"/>
    </row>
    <row r="7" spans="1:11" x14ac:dyDescent="0.55000000000000004">
      <c r="A7" s="59"/>
      <c r="B7" s="73"/>
      <c r="C7" s="60"/>
      <c r="E7" s="44"/>
      <c r="F7" s="63"/>
      <c r="G7" s="63"/>
      <c r="H7" s="64"/>
      <c r="I7" s="64"/>
    </row>
    <row r="8" spans="1:11" x14ac:dyDescent="0.55000000000000004">
      <c r="A8" s="47"/>
      <c r="B8" s="66"/>
      <c r="C8" s="48"/>
      <c r="E8" s="44"/>
      <c r="F8" s="50"/>
      <c r="G8" s="51"/>
      <c r="H8" s="51"/>
      <c r="I8" s="51"/>
    </row>
    <row r="9" spans="1:11" x14ac:dyDescent="0.55000000000000004">
      <c r="A9" s="47"/>
      <c r="B9" s="66"/>
      <c r="C9" s="48"/>
      <c r="D9" s="49"/>
      <c r="E9" s="44"/>
      <c r="F9" s="50"/>
      <c r="G9" s="50"/>
      <c r="H9" s="51"/>
      <c r="I9" s="51"/>
    </row>
    <row r="10" spans="1:11" x14ac:dyDescent="0.55000000000000004">
      <c r="A10" s="18"/>
      <c r="B10" s="58"/>
      <c r="C10" s="16"/>
      <c r="E10" s="14"/>
      <c r="F10" s="19"/>
      <c r="G10" s="19"/>
      <c r="H10" s="17"/>
      <c r="I10" s="17"/>
    </row>
    <row r="11" spans="1:11" x14ac:dyDescent="0.55000000000000004">
      <c r="A11" s="18"/>
      <c r="B11" s="58"/>
      <c r="C11" s="16"/>
      <c r="E11" s="14"/>
      <c r="F11" s="19"/>
      <c r="G11" s="19"/>
      <c r="H11" s="17"/>
      <c r="I11" s="17"/>
    </row>
    <row r="12" spans="1:11" x14ac:dyDescent="0.55000000000000004">
      <c r="A12" s="18"/>
      <c r="B12" s="58"/>
      <c r="C12" s="16"/>
      <c r="E12" s="14"/>
      <c r="F12" s="19"/>
      <c r="G12" s="19"/>
      <c r="H12" s="17"/>
      <c r="I12" s="17"/>
    </row>
    <row r="13" spans="1:11" x14ac:dyDescent="0.55000000000000004">
      <c r="A13" s="18"/>
      <c r="B13" s="58"/>
      <c r="C13" s="16"/>
      <c r="E13" s="14"/>
      <c r="F13" s="19"/>
      <c r="G13" s="19"/>
      <c r="H13" s="17"/>
      <c r="I13" s="17"/>
    </row>
    <row r="14" spans="1:11" x14ac:dyDescent="0.55000000000000004">
      <c r="A14" s="18"/>
      <c r="B14" s="58"/>
      <c r="C14" s="16"/>
      <c r="E14" s="14"/>
      <c r="F14" s="19"/>
      <c r="G14" s="19"/>
      <c r="H14" s="17"/>
      <c r="I14" s="17"/>
    </row>
    <row r="15" spans="1:11" x14ac:dyDescent="0.55000000000000004">
      <c r="A15" s="18"/>
      <c r="B15" s="58"/>
      <c r="C15" s="16"/>
      <c r="E15" s="14"/>
      <c r="F15" s="19"/>
      <c r="G15" s="19"/>
      <c r="H15" s="17"/>
      <c r="I15" s="17"/>
    </row>
    <row r="16" spans="1:11" x14ac:dyDescent="0.55000000000000004">
      <c r="C16" s="11"/>
    </row>
    <row r="17" spans="3:3" x14ac:dyDescent="0.55000000000000004">
      <c r="C17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43"/>
  <sheetViews>
    <sheetView zoomScale="90" zoomScaleNormal="90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33.5703125" style="7" customWidth="1"/>
    <col min="6" max="6" width="17.5703125" style="8" bestFit="1" customWidth="1"/>
    <col min="7" max="7" width="18.42578125" style="8" customWidth="1"/>
    <col min="8" max="8" width="16.85546875" style="9" customWidth="1"/>
    <col min="9" max="9" width="14.7109375" style="9" bestFit="1" customWidth="1"/>
    <col min="10" max="10" width="20.140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9" t="s">
        <v>162</v>
      </c>
      <c r="K1" s="8"/>
    </row>
    <row r="2" spans="1:11" x14ac:dyDescent="0.55000000000000004">
      <c r="A2" s="18">
        <v>44348</v>
      </c>
      <c r="B2" s="16"/>
      <c r="C2" s="16" t="s">
        <v>5</v>
      </c>
      <c r="D2" s="1" t="s">
        <v>48</v>
      </c>
      <c r="E2" s="7" t="s">
        <v>5</v>
      </c>
      <c r="F2" s="19">
        <v>2214500</v>
      </c>
      <c r="G2" s="19"/>
      <c r="H2" s="17"/>
      <c r="I2" s="17">
        <f>STL[[#This Row],[Opening]]+STL[[#This Row],[Purchase]]-STL[[#This Row],[Payment]]</f>
        <v>2214500</v>
      </c>
      <c r="J2" s="109">
        <f>STL[[#This Row],[Balance]]</f>
        <v>2214500</v>
      </c>
    </row>
    <row r="3" spans="1:11" x14ac:dyDescent="0.55000000000000004">
      <c r="A3" s="18">
        <v>44351</v>
      </c>
      <c r="B3" s="16">
        <v>1386</v>
      </c>
      <c r="C3" s="16" t="s">
        <v>6</v>
      </c>
      <c r="D3" s="1" t="s">
        <v>48</v>
      </c>
      <c r="E3" s="44" t="s">
        <v>110</v>
      </c>
      <c r="F3" s="19"/>
      <c r="G3" s="19">
        <v>180000</v>
      </c>
      <c r="H3" s="17"/>
      <c r="I3" s="17">
        <f>STL[[#This Row],[Opening]]+STL[[#This Row],[Purchase]]-STL[[#This Row],[Payment]]</f>
        <v>180000</v>
      </c>
      <c r="J3" s="109">
        <f>J2+STL[[#This Row],[Purchase]]-STL[[#This Row],[Payment]]</f>
        <v>2394500</v>
      </c>
    </row>
    <row r="4" spans="1:11" x14ac:dyDescent="0.55000000000000004">
      <c r="A4" s="100">
        <v>44351</v>
      </c>
      <c r="B4" s="101">
        <v>1099</v>
      </c>
      <c r="C4" s="101" t="s">
        <v>7</v>
      </c>
      <c r="D4" s="1" t="s">
        <v>48</v>
      </c>
      <c r="E4" s="102" t="s">
        <v>86</v>
      </c>
      <c r="F4" s="103"/>
      <c r="G4" s="103"/>
      <c r="H4" s="104">
        <v>1000000</v>
      </c>
      <c r="I4" s="104">
        <f>STL[[#This Row],[Opening]]+STL[[#This Row],[Purchase]]-STL[[#This Row],[Payment]]</f>
        <v>-1000000</v>
      </c>
      <c r="J4" s="109">
        <f>J3+STL[[#This Row],[Purchase]]-STL[[#This Row],[Payment]]</f>
        <v>1394500</v>
      </c>
    </row>
    <row r="5" spans="1:11" x14ac:dyDescent="0.55000000000000004">
      <c r="A5" s="100">
        <v>44361</v>
      </c>
      <c r="B5" s="101">
        <v>60083</v>
      </c>
      <c r="C5" s="101" t="s">
        <v>6</v>
      </c>
      <c r="D5" s="1" t="s">
        <v>48</v>
      </c>
      <c r="E5" s="102" t="s">
        <v>134</v>
      </c>
      <c r="F5" s="103"/>
      <c r="G5" s="103">
        <v>98000</v>
      </c>
      <c r="H5" s="104"/>
      <c r="I5" s="104">
        <f>STL[[#This Row],[Opening]]+STL[[#This Row],[Purchase]]-STL[[#This Row],[Payment]]</f>
        <v>98000</v>
      </c>
      <c r="J5" s="109">
        <f>J4+STL[[#This Row],[Purchase]]-STL[[#This Row],[Payment]]</f>
        <v>1492500</v>
      </c>
    </row>
    <row r="6" spans="1:11" x14ac:dyDescent="0.55000000000000004">
      <c r="A6" s="100">
        <v>44355</v>
      </c>
      <c r="B6" s="101">
        <v>60048</v>
      </c>
      <c r="C6" s="101" t="s">
        <v>6</v>
      </c>
      <c r="D6" s="1" t="s">
        <v>48</v>
      </c>
      <c r="E6" s="102" t="s">
        <v>135</v>
      </c>
      <c r="F6" s="103"/>
      <c r="G6" s="103">
        <v>90000</v>
      </c>
      <c r="H6" s="104"/>
      <c r="I6" s="104">
        <f>STL[[#This Row],[Opening]]+STL[[#This Row],[Purchase]]-STL[[#This Row],[Payment]]</f>
        <v>90000</v>
      </c>
      <c r="J6" s="109">
        <f>J5+STL[[#This Row],[Purchase]]-STL[[#This Row],[Payment]]</f>
        <v>1582500</v>
      </c>
    </row>
    <row r="7" spans="1:11" x14ac:dyDescent="0.55000000000000004">
      <c r="A7" s="100">
        <v>44361</v>
      </c>
      <c r="B7" s="101">
        <v>1142</v>
      </c>
      <c r="C7" s="101" t="s">
        <v>7</v>
      </c>
      <c r="D7" s="1" t="s">
        <v>48</v>
      </c>
      <c r="E7" s="102" t="s">
        <v>86</v>
      </c>
      <c r="F7" s="103"/>
      <c r="G7" s="103"/>
      <c r="H7" s="104">
        <v>1300000</v>
      </c>
      <c r="I7" s="104">
        <f>STL[[#This Row],[Opening]]+STL[[#This Row],[Purchase]]-STL[[#This Row],[Payment]]</f>
        <v>-1300000</v>
      </c>
      <c r="J7" s="109">
        <f>J6+STL[[#This Row],[Purchase]]-STL[[#This Row],[Payment]]</f>
        <v>282500</v>
      </c>
    </row>
    <row r="8" spans="1:11" x14ac:dyDescent="0.55000000000000004">
      <c r="A8" s="100">
        <v>44372</v>
      </c>
      <c r="B8" s="101">
        <v>60131</v>
      </c>
      <c r="C8" s="101" t="s">
        <v>6</v>
      </c>
      <c r="D8" s="1" t="s">
        <v>48</v>
      </c>
      <c r="E8" s="102" t="s">
        <v>153</v>
      </c>
      <c r="F8" s="103"/>
      <c r="G8" s="103">
        <v>240000</v>
      </c>
      <c r="H8" s="104"/>
      <c r="I8" s="104">
        <f>STL[[#This Row],[Opening]]+STL[[#This Row],[Purchase]]-STL[[#This Row],[Payment]]</f>
        <v>240000</v>
      </c>
      <c r="J8" s="109">
        <f>J7+STL[[#This Row],[Purchase]]-STL[[#This Row],[Payment]]</f>
        <v>522500</v>
      </c>
    </row>
    <row r="9" spans="1:11" x14ac:dyDescent="0.55000000000000004">
      <c r="A9" s="100">
        <v>44372</v>
      </c>
      <c r="B9" s="101">
        <v>60069</v>
      </c>
      <c r="C9" s="101" t="s">
        <v>6</v>
      </c>
      <c r="D9" s="43" t="s">
        <v>48</v>
      </c>
      <c r="E9" s="102" t="s">
        <v>154</v>
      </c>
      <c r="F9" s="103"/>
      <c r="G9" s="103">
        <v>198000</v>
      </c>
      <c r="H9" s="104"/>
      <c r="I9" s="104">
        <f>STL[[#This Row],[Opening]]+STL[[#This Row],[Purchase]]-STL[[#This Row],[Payment]]</f>
        <v>198000</v>
      </c>
      <c r="J9" s="109">
        <f>J8+STL[[#This Row],[Purchase]]-STL[[#This Row],[Payment]]</f>
        <v>720500</v>
      </c>
    </row>
    <row r="10" spans="1:11" x14ac:dyDescent="0.55000000000000004">
      <c r="A10" s="100">
        <v>44374</v>
      </c>
      <c r="B10" s="101">
        <v>60136</v>
      </c>
      <c r="C10" s="101" t="s">
        <v>6</v>
      </c>
      <c r="D10" s="43" t="s">
        <v>48</v>
      </c>
      <c r="E10" s="102" t="s">
        <v>153</v>
      </c>
      <c r="F10" s="103"/>
      <c r="G10" s="103">
        <v>796500</v>
      </c>
      <c r="H10" s="104"/>
      <c r="I10" s="104">
        <f>STL[[#This Row],[Opening]]+STL[[#This Row],[Purchase]]-STL[[#This Row],[Payment]]</f>
        <v>796500</v>
      </c>
      <c r="J10" s="109">
        <f>J9+STL[[#This Row],[Purchase]]-STL[[#This Row],[Payment]]</f>
        <v>1517000</v>
      </c>
    </row>
    <row r="11" spans="1:11" x14ac:dyDescent="0.55000000000000004">
      <c r="A11" s="100">
        <v>44372</v>
      </c>
      <c r="B11" s="101">
        <v>60133</v>
      </c>
      <c r="C11" s="101" t="s">
        <v>6</v>
      </c>
      <c r="D11" s="43" t="s">
        <v>48</v>
      </c>
      <c r="E11" s="102" t="s">
        <v>154</v>
      </c>
      <c r="F11" s="103"/>
      <c r="G11" s="103">
        <v>198000</v>
      </c>
      <c r="H11" s="104"/>
      <c r="I11" s="104">
        <f>STL[[#This Row],[Opening]]+STL[[#This Row],[Purchase]]-STL[[#This Row],[Payment]]</f>
        <v>198000</v>
      </c>
      <c r="J11" s="109">
        <f>J10+STL[[#This Row],[Purchase]]-STL[[#This Row],[Payment]]</f>
        <v>1715000</v>
      </c>
    </row>
    <row r="12" spans="1:11" x14ac:dyDescent="0.55000000000000004">
      <c r="A12" s="100">
        <v>44375</v>
      </c>
      <c r="B12" s="101">
        <v>1202</v>
      </c>
      <c r="C12" s="101" t="s">
        <v>7</v>
      </c>
      <c r="D12" s="43" t="s">
        <v>48</v>
      </c>
      <c r="E12" s="102" t="s">
        <v>86</v>
      </c>
      <c r="F12" s="103"/>
      <c r="G12" s="103"/>
      <c r="H12" s="104">
        <v>500000</v>
      </c>
      <c r="I12" s="104">
        <f>STL[[#This Row],[Opening]]+STL[[#This Row],[Purchase]]-STL[[#This Row],[Payment]]</f>
        <v>-500000</v>
      </c>
      <c r="J12" s="109">
        <f>J11+STL[[#This Row],[Purchase]]-STL[[#This Row],[Payment]]</f>
        <v>1215000</v>
      </c>
    </row>
    <row r="13" spans="1:11" x14ac:dyDescent="0.55000000000000004">
      <c r="A13" s="100"/>
      <c r="B13" s="101"/>
      <c r="C13" s="101"/>
      <c r="D13" s="105"/>
      <c r="E13" s="102"/>
      <c r="F13" s="103"/>
      <c r="G13" s="103"/>
      <c r="H13" s="104"/>
      <c r="I13" s="104"/>
    </row>
    <row r="14" spans="1:11" x14ac:dyDescent="0.55000000000000004">
      <c r="A14" s="59"/>
      <c r="B14" s="60"/>
      <c r="C14" s="60"/>
      <c r="E14" s="62"/>
      <c r="F14" s="63"/>
      <c r="G14" s="63"/>
      <c r="H14" s="64"/>
      <c r="I14" s="64"/>
      <c r="K14" s="1"/>
    </row>
    <row r="15" spans="1:11" x14ac:dyDescent="0.55000000000000004">
      <c r="A15" s="59"/>
      <c r="B15" s="60"/>
      <c r="C15" s="60"/>
      <c r="E15" s="62"/>
      <c r="F15" s="63"/>
      <c r="G15" s="63"/>
      <c r="H15" s="64"/>
      <c r="I15" s="64"/>
      <c r="K15" s="1"/>
    </row>
    <row r="16" spans="1:11" x14ac:dyDescent="0.55000000000000004">
      <c r="A16" s="59"/>
      <c r="B16" s="60"/>
      <c r="C16" s="60"/>
      <c r="E16" s="44"/>
      <c r="F16" s="63"/>
      <c r="G16" s="63"/>
      <c r="H16" s="64"/>
      <c r="I16" s="64"/>
      <c r="K16" s="1"/>
    </row>
    <row r="17" spans="1:11" x14ac:dyDescent="0.55000000000000004">
      <c r="A17" s="47"/>
      <c r="B17" s="48"/>
      <c r="C17" s="48"/>
      <c r="E17" s="44"/>
      <c r="F17" s="50"/>
      <c r="G17" s="50"/>
      <c r="H17" s="51"/>
      <c r="I17" s="51"/>
      <c r="K17" s="1"/>
    </row>
    <row r="18" spans="1:11" x14ac:dyDescent="0.55000000000000004">
      <c r="A18" s="59"/>
      <c r="B18" s="60"/>
      <c r="C18" s="60"/>
      <c r="E18" s="62"/>
      <c r="F18" s="63"/>
      <c r="G18" s="63"/>
      <c r="H18" s="64"/>
      <c r="I18" s="64"/>
      <c r="K18" s="1"/>
    </row>
    <row r="19" spans="1:11" x14ac:dyDescent="0.55000000000000004">
      <c r="A19" s="59"/>
      <c r="B19" s="60"/>
      <c r="C19" s="60"/>
      <c r="D19" s="61"/>
      <c r="E19" s="62"/>
      <c r="F19" s="63"/>
      <c r="G19" s="63"/>
      <c r="H19" s="64"/>
      <c r="I19" s="64"/>
      <c r="K19" s="1"/>
    </row>
    <row r="20" spans="1:11" x14ac:dyDescent="0.55000000000000004">
      <c r="A20" s="18"/>
      <c r="B20" s="16"/>
      <c r="C20" s="16"/>
      <c r="E20" s="44"/>
      <c r="F20" s="19"/>
      <c r="G20" s="19"/>
      <c r="H20" s="17"/>
      <c r="I20" s="17"/>
      <c r="K20" s="1"/>
    </row>
    <row r="21" spans="1:11" x14ac:dyDescent="0.55000000000000004">
      <c r="A21" s="54"/>
      <c r="B21" s="55"/>
      <c r="C21" s="55"/>
      <c r="E21" s="44"/>
      <c r="F21" s="53"/>
      <c r="G21" s="53"/>
      <c r="H21" s="57"/>
      <c r="I21" s="57"/>
      <c r="K21" s="1"/>
    </row>
    <row r="22" spans="1:11" x14ac:dyDescent="0.55000000000000004">
      <c r="A22" s="18"/>
      <c r="B22" s="16"/>
      <c r="C22" s="16"/>
      <c r="E22" s="44"/>
      <c r="F22" s="19"/>
      <c r="G22" s="19"/>
      <c r="H22" s="17"/>
      <c r="I22" s="17"/>
      <c r="K22" s="1"/>
    </row>
    <row r="23" spans="1:11" x14ac:dyDescent="0.55000000000000004">
      <c r="A23" s="18"/>
      <c r="B23" s="16"/>
      <c r="C23" s="16"/>
      <c r="E23" s="44"/>
      <c r="F23" s="19"/>
      <c r="G23" s="19"/>
      <c r="H23" s="17"/>
      <c r="I23" s="17"/>
      <c r="K23" s="1"/>
    </row>
    <row r="24" spans="1:11" x14ac:dyDescent="0.55000000000000004">
      <c r="A24" s="54"/>
      <c r="B24" s="55"/>
      <c r="C24" s="55"/>
      <c r="E24" s="44"/>
      <c r="F24" s="53"/>
      <c r="G24" s="53"/>
      <c r="H24" s="57"/>
      <c r="I24" s="57"/>
    </row>
    <row r="25" spans="1:11" x14ac:dyDescent="0.55000000000000004">
      <c r="A25" s="54"/>
      <c r="B25" s="55"/>
      <c r="C25" s="55"/>
      <c r="E25" s="56"/>
      <c r="F25" s="53"/>
      <c r="G25" s="53"/>
      <c r="H25" s="57"/>
      <c r="I25" s="57"/>
    </row>
    <row r="26" spans="1:11" x14ac:dyDescent="0.55000000000000004">
      <c r="A26" s="54"/>
      <c r="B26" s="55"/>
      <c r="C26" s="55"/>
      <c r="E26" s="44"/>
      <c r="F26" s="53"/>
      <c r="G26" s="53"/>
      <c r="H26" s="57"/>
      <c r="I26" s="57"/>
    </row>
    <row r="27" spans="1:11" x14ac:dyDescent="0.55000000000000004">
      <c r="A27" s="54"/>
      <c r="B27" s="55"/>
      <c r="C27" s="55"/>
      <c r="E27" s="44"/>
      <c r="F27" s="53"/>
      <c r="G27" s="53"/>
      <c r="H27" s="57"/>
      <c r="I27" s="57"/>
    </row>
    <row r="28" spans="1:11" x14ac:dyDescent="0.55000000000000004">
      <c r="A28" s="47"/>
      <c r="B28" s="48"/>
      <c r="C28" s="48"/>
      <c r="D28" s="49"/>
      <c r="E28" s="44"/>
      <c r="F28" s="50"/>
      <c r="G28" s="50"/>
      <c r="H28" s="51"/>
      <c r="I28" s="51"/>
    </row>
    <row r="29" spans="1:11" x14ac:dyDescent="0.55000000000000004">
      <c r="A29" s="18"/>
      <c r="B29" s="16"/>
      <c r="C29" s="16"/>
      <c r="F29" s="19"/>
      <c r="G29" s="19"/>
      <c r="H29" s="17"/>
      <c r="I29" s="17"/>
    </row>
    <row r="30" spans="1:11" x14ac:dyDescent="0.55000000000000004">
      <c r="A30" s="18"/>
      <c r="B30" s="16"/>
      <c r="C30" s="16"/>
      <c r="F30" s="19"/>
      <c r="G30" s="19"/>
      <c r="H30" s="17"/>
      <c r="I30" s="17"/>
    </row>
    <row r="31" spans="1:11" x14ac:dyDescent="0.55000000000000004">
      <c r="A31" s="18"/>
      <c r="B31" s="16"/>
      <c r="C31" s="16"/>
      <c r="F31" s="19"/>
      <c r="G31" s="19"/>
      <c r="H31" s="17"/>
      <c r="I31" s="17"/>
    </row>
    <row r="32" spans="1:11" x14ac:dyDescent="0.55000000000000004">
      <c r="C32" s="16"/>
    </row>
    <row r="33" spans="2:9" x14ac:dyDescent="0.55000000000000004">
      <c r="C33" s="11"/>
    </row>
    <row r="34" spans="2:9" x14ac:dyDescent="0.55000000000000004">
      <c r="C34" s="11"/>
    </row>
    <row r="35" spans="2:9" x14ac:dyDescent="0.55000000000000004">
      <c r="C35" s="11"/>
    </row>
    <row r="36" spans="2:9" x14ac:dyDescent="0.55000000000000004">
      <c r="B36" s="40"/>
      <c r="C36" s="40"/>
      <c r="F36" s="41"/>
      <c r="G36" s="41"/>
      <c r="H36" s="42"/>
      <c r="I36" s="42"/>
    </row>
    <row r="37" spans="2:9" x14ac:dyDescent="0.55000000000000004">
      <c r="C37" s="11"/>
      <c r="D37" s="27"/>
    </row>
    <row r="38" spans="2:9" x14ac:dyDescent="0.55000000000000004">
      <c r="C38" s="11"/>
      <c r="D38" s="27"/>
    </row>
    <row r="39" spans="2:9" x14ac:dyDescent="0.55000000000000004">
      <c r="C39" s="11"/>
      <c r="D39" s="27"/>
    </row>
    <row r="40" spans="2:9" x14ac:dyDescent="0.55000000000000004">
      <c r="C40" s="11"/>
      <c r="D40" s="27"/>
    </row>
    <row r="41" spans="2:9" x14ac:dyDescent="0.55000000000000004">
      <c r="C41" s="11"/>
      <c r="D41" s="27"/>
    </row>
    <row r="42" spans="2:9" x14ac:dyDescent="0.55000000000000004">
      <c r="C42" s="11"/>
      <c r="D42" s="27"/>
    </row>
    <row r="43" spans="2:9" x14ac:dyDescent="0.55000000000000004">
      <c r="C43" s="11"/>
      <c r="D43" s="27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C2:C38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2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32.7109375" style="7" customWidth="1"/>
    <col min="6" max="6" width="17.5703125" style="8" bestFit="1" customWidth="1"/>
    <col min="7" max="7" width="18.42578125" style="8" customWidth="1"/>
    <col min="8" max="8" width="15.42578125" style="9" customWidth="1"/>
    <col min="9" max="9" width="14.7109375" style="9" bestFit="1" customWidth="1"/>
    <col min="10" max="10" width="14.71093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9" t="s">
        <v>162</v>
      </c>
      <c r="K1" s="8"/>
    </row>
    <row r="2" spans="1:11" x14ac:dyDescent="0.55000000000000004">
      <c r="A2" s="18">
        <v>44348</v>
      </c>
      <c r="B2" s="16"/>
      <c r="C2" s="16" t="s">
        <v>5</v>
      </c>
      <c r="D2" s="1" t="s">
        <v>50</v>
      </c>
      <c r="E2" s="7" t="s">
        <v>5</v>
      </c>
      <c r="F2" s="19">
        <v>9.9999999947613105E-3</v>
      </c>
      <c r="G2" s="19"/>
      <c r="H2" s="17"/>
      <c r="I2" s="17">
        <f>SYS[[#This Row],[Opening]]+SYS[[#This Row],[Purchase]]-SYS[[#This Row],[Payment]]</f>
        <v>9.9999999947613105E-3</v>
      </c>
      <c r="J2" s="109">
        <f>SYS[Balance]</f>
        <v>9.9999999947613105E-3</v>
      </c>
    </row>
    <row r="3" spans="1:11" x14ac:dyDescent="0.55000000000000004">
      <c r="A3" s="18"/>
      <c r="B3" s="16"/>
      <c r="C3" s="16"/>
      <c r="E3" s="44"/>
      <c r="F3" s="19"/>
      <c r="G3" s="19"/>
      <c r="H3" s="17"/>
      <c r="I3" s="17"/>
    </row>
    <row r="4" spans="1:11" x14ac:dyDescent="0.55000000000000004">
      <c r="A4" s="59"/>
      <c r="B4" s="60"/>
      <c r="C4" s="60"/>
      <c r="D4" s="61"/>
      <c r="E4" s="62"/>
      <c r="F4" s="63"/>
      <c r="G4" s="63"/>
      <c r="H4" s="64"/>
      <c r="I4" s="64"/>
    </row>
    <row r="5" spans="1:11" x14ac:dyDescent="0.55000000000000004">
      <c r="A5" s="18"/>
      <c r="B5" s="16"/>
      <c r="C5" s="16"/>
      <c r="F5" s="19"/>
      <c r="G5" s="19"/>
      <c r="H5" s="17"/>
      <c r="I5" s="17"/>
    </row>
    <row r="6" spans="1:11" x14ac:dyDescent="0.55000000000000004">
      <c r="A6" s="18"/>
      <c r="B6" s="16"/>
      <c r="C6" s="16"/>
      <c r="F6" s="19"/>
      <c r="G6" s="19"/>
      <c r="H6" s="17"/>
      <c r="I6" s="17"/>
    </row>
    <row r="7" spans="1:11" x14ac:dyDescent="0.55000000000000004">
      <c r="A7" s="18"/>
      <c r="B7" s="16"/>
      <c r="C7" s="16"/>
      <c r="E7" s="14"/>
      <c r="F7" s="19"/>
      <c r="G7" s="19"/>
      <c r="H7" s="17"/>
      <c r="I7" s="17"/>
    </row>
    <row r="8" spans="1:11" x14ac:dyDescent="0.55000000000000004">
      <c r="A8" s="18"/>
      <c r="B8" s="16"/>
      <c r="C8" s="16"/>
      <c r="E8" s="14"/>
      <c r="F8" s="19"/>
      <c r="G8" s="19"/>
      <c r="H8" s="17"/>
      <c r="I8" s="17"/>
    </row>
    <row r="9" spans="1:11" x14ac:dyDescent="0.55000000000000004">
      <c r="A9" s="18"/>
      <c r="B9" s="16"/>
      <c r="C9" s="16"/>
      <c r="E9" s="14"/>
      <c r="F9" s="19"/>
      <c r="G9" s="19"/>
      <c r="H9" s="17"/>
      <c r="I9" s="17"/>
    </row>
    <row r="10" spans="1:11" x14ac:dyDescent="0.55000000000000004">
      <c r="A10" s="18"/>
      <c r="B10" s="16"/>
      <c r="C10" s="16"/>
      <c r="E10" s="14"/>
      <c r="F10" s="19"/>
      <c r="G10" s="19"/>
      <c r="H10" s="17"/>
      <c r="I10" s="17"/>
    </row>
    <row r="11" spans="1:11" x14ac:dyDescent="0.55000000000000004">
      <c r="C11" s="11"/>
    </row>
    <row r="12" spans="1:11" x14ac:dyDescent="0.55000000000000004">
      <c r="C12" s="11"/>
    </row>
  </sheetData>
  <pageMargins left="0.7" right="0.7" top="0.75" bottom="0.75" header="0.3" footer="0.3"/>
  <pageSetup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6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5703125" style="1" customWidth="1"/>
    <col min="4" max="4" width="19.140625" style="1" customWidth="1"/>
    <col min="5" max="5" width="30.140625" style="7" customWidth="1"/>
    <col min="6" max="6" width="13" style="19" customWidth="1"/>
    <col min="7" max="7" width="18.42578125" style="8" customWidth="1"/>
    <col min="8" max="8" width="17.42578125" style="9" customWidth="1"/>
    <col min="9" max="9" width="15.85546875" style="9" customWidth="1"/>
    <col min="10" max="10" width="16.5703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19" t="s">
        <v>5</v>
      </c>
      <c r="G1" s="8" t="s">
        <v>6</v>
      </c>
      <c r="H1" s="8" t="s">
        <v>7</v>
      </c>
      <c r="I1" s="8" t="s">
        <v>8</v>
      </c>
      <c r="J1" s="109" t="s">
        <v>162</v>
      </c>
      <c r="K1" s="8"/>
    </row>
    <row r="2" spans="1:11" x14ac:dyDescent="0.55000000000000004">
      <c r="A2" s="18">
        <v>44348</v>
      </c>
      <c r="B2" s="16"/>
      <c r="C2" s="16" t="s">
        <v>5</v>
      </c>
      <c r="D2" s="1" t="s">
        <v>65</v>
      </c>
      <c r="E2" s="7" t="s">
        <v>5</v>
      </c>
      <c r="F2" s="19">
        <v>0</v>
      </c>
      <c r="G2" s="19"/>
      <c r="H2" s="17"/>
      <c r="I2" s="17">
        <f>SUPER[[#This Row],[Opening]]+SUPER[[#This Row],[Purchase]]-SUPER[[#This Row],[Payment]]</f>
        <v>0</v>
      </c>
      <c r="J2" s="109">
        <f>SUPER[Balance]</f>
        <v>0</v>
      </c>
    </row>
    <row r="3" spans="1:11" x14ac:dyDescent="0.55000000000000004">
      <c r="A3" s="59"/>
      <c r="B3" s="60"/>
      <c r="C3" s="60"/>
      <c r="D3" s="61"/>
      <c r="E3" s="62"/>
      <c r="G3" s="63"/>
      <c r="H3" s="64"/>
      <c r="I3" s="64"/>
    </row>
    <row r="4" spans="1:11" x14ac:dyDescent="0.55000000000000004">
      <c r="A4" s="18"/>
      <c r="B4" s="16"/>
      <c r="C4" s="16"/>
      <c r="E4" s="44"/>
      <c r="G4" s="19"/>
      <c r="H4" s="17"/>
      <c r="I4" s="17"/>
    </row>
    <row r="5" spans="1:11" x14ac:dyDescent="0.55000000000000004">
      <c r="A5" s="18"/>
      <c r="B5" s="16"/>
      <c r="C5" s="16"/>
      <c r="E5" s="44"/>
      <c r="G5" s="19"/>
      <c r="H5" s="17"/>
      <c r="I5" s="17"/>
    </row>
    <row r="6" spans="1:11" x14ac:dyDescent="0.55000000000000004">
      <c r="A6" s="18"/>
      <c r="B6" s="16"/>
      <c r="C6" s="16"/>
      <c r="E6" s="44"/>
      <c r="G6" s="19"/>
      <c r="H6" s="17"/>
      <c r="I6" s="17"/>
    </row>
    <row r="7" spans="1:11" x14ac:dyDescent="0.55000000000000004">
      <c r="A7" s="54"/>
      <c r="B7" s="16"/>
      <c r="C7" s="55"/>
      <c r="E7" s="56"/>
      <c r="G7" s="53"/>
      <c r="H7" s="57"/>
      <c r="I7" s="57"/>
    </row>
    <row r="8" spans="1:11" x14ac:dyDescent="0.55000000000000004">
      <c r="A8" s="54"/>
      <c r="B8" s="55"/>
      <c r="C8" s="55"/>
      <c r="E8" s="44"/>
      <c r="G8" s="53"/>
      <c r="H8" s="57"/>
      <c r="I8" s="57"/>
    </row>
    <row r="9" spans="1:11" x14ac:dyDescent="0.55000000000000004">
      <c r="A9" s="54"/>
      <c r="B9" s="55"/>
      <c r="C9" s="55"/>
      <c r="E9" s="56"/>
      <c r="G9" s="53"/>
      <c r="H9" s="57"/>
      <c r="I9" s="57"/>
    </row>
    <row r="10" spans="1:11" x14ac:dyDescent="0.55000000000000004">
      <c r="A10" s="54"/>
      <c r="B10" s="55"/>
      <c r="C10" s="55"/>
      <c r="D10" s="52"/>
      <c r="E10" s="56"/>
      <c r="G10" s="53"/>
      <c r="H10" s="57"/>
      <c r="I10" s="57"/>
    </row>
    <row r="11" spans="1:11" x14ac:dyDescent="0.55000000000000004">
      <c r="A11" s="18"/>
      <c r="B11" s="16"/>
      <c r="C11" s="16"/>
      <c r="E11" s="14"/>
      <c r="G11" s="19"/>
      <c r="H11" s="17"/>
      <c r="I11" s="17"/>
    </row>
    <row r="12" spans="1:11" x14ac:dyDescent="0.55000000000000004">
      <c r="A12" s="18"/>
      <c r="B12" s="16"/>
      <c r="C12" s="16"/>
      <c r="E12" s="14"/>
      <c r="G12" s="19"/>
      <c r="H12" s="17"/>
      <c r="I12" s="17"/>
    </row>
    <row r="13" spans="1:11" x14ac:dyDescent="0.55000000000000004">
      <c r="A13" s="18"/>
      <c r="B13" s="16"/>
      <c r="C13" s="16"/>
      <c r="E13" s="14"/>
      <c r="G13" s="19"/>
      <c r="H13" s="17"/>
      <c r="I13" s="17"/>
    </row>
    <row r="14" spans="1:11" x14ac:dyDescent="0.55000000000000004">
      <c r="A14" s="18"/>
      <c r="B14" s="16"/>
      <c r="C14" s="16"/>
      <c r="E14" s="14"/>
      <c r="G14" s="19"/>
      <c r="H14" s="17"/>
      <c r="I14" s="17"/>
    </row>
    <row r="15" spans="1:11" x14ac:dyDescent="0.55000000000000004">
      <c r="C15" s="11"/>
    </row>
    <row r="16" spans="1:11" x14ac:dyDescent="0.55000000000000004">
      <c r="C16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11"/>
  <sheetViews>
    <sheetView zoomScale="86" zoomScaleNormal="86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3" width="12.28515625" style="1" customWidth="1"/>
    <col min="4" max="4" width="24.42578125" style="1" bestFit="1" customWidth="1"/>
    <col min="5" max="5" width="15.85546875" style="7" customWidth="1"/>
    <col min="6" max="6" width="17.5703125" style="8" bestFit="1" customWidth="1"/>
    <col min="7" max="7" width="18.42578125" style="8" customWidth="1"/>
    <col min="8" max="8" width="16.42578125" style="9" customWidth="1"/>
    <col min="9" max="9" width="14.7109375" style="9" bestFit="1" customWidth="1"/>
    <col min="10" max="10" width="22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9" t="s">
        <v>162</v>
      </c>
      <c r="K1" s="8"/>
    </row>
    <row r="2" spans="1:11" x14ac:dyDescent="0.55000000000000004">
      <c r="A2" s="18">
        <v>44348</v>
      </c>
      <c r="B2" s="15"/>
      <c r="C2" s="16" t="s">
        <v>5</v>
      </c>
      <c r="D2" s="1" t="s">
        <v>81</v>
      </c>
      <c r="E2" s="7" t="s">
        <v>5</v>
      </c>
      <c r="F2" s="19">
        <v>0</v>
      </c>
      <c r="G2" s="19"/>
      <c r="H2" s="17"/>
      <c r="I2" s="17">
        <f>TSLW[[#This Row],[Opening]]+TSLW[[#This Row],[Purchase]]-TSLW[[#This Row],[Payment]]</f>
        <v>0</v>
      </c>
      <c r="J2" s="109">
        <f>TSLW[Balance]</f>
        <v>0</v>
      </c>
    </row>
    <row r="3" spans="1:11" x14ac:dyDescent="0.55000000000000004">
      <c r="A3" s="18"/>
      <c r="B3" s="15"/>
      <c r="C3" s="16"/>
      <c r="E3" s="44"/>
      <c r="F3" s="19"/>
      <c r="G3" s="19"/>
      <c r="H3" s="17"/>
      <c r="I3" s="17"/>
    </row>
    <row r="4" spans="1:11" x14ac:dyDescent="0.55000000000000004">
      <c r="A4" s="18"/>
      <c r="B4" s="15"/>
      <c r="C4" s="16"/>
      <c r="E4" s="14"/>
      <c r="F4" s="19"/>
      <c r="G4" s="19"/>
      <c r="H4" s="17"/>
      <c r="I4" s="17"/>
    </row>
    <row r="5" spans="1:11" x14ac:dyDescent="0.55000000000000004">
      <c r="A5" s="18"/>
      <c r="B5" s="15"/>
      <c r="C5" s="16"/>
      <c r="E5" s="14"/>
      <c r="F5" s="19"/>
      <c r="G5" s="19"/>
      <c r="H5" s="17"/>
      <c r="I5" s="17"/>
    </row>
    <row r="6" spans="1:11" x14ac:dyDescent="0.55000000000000004">
      <c r="A6" s="18"/>
      <c r="B6" s="15"/>
      <c r="C6" s="16"/>
      <c r="E6" s="14"/>
      <c r="F6" s="19"/>
      <c r="G6" s="19"/>
      <c r="H6" s="17"/>
      <c r="I6" s="17"/>
    </row>
    <row r="7" spans="1:11" x14ac:dyDescent="0.55000000000000004">
      <c r="A7" s="18"/>
      <c r="B7" s="15"/>
      <c r="C7" s="16"/>
      <c r="E7" s="14"/>
      <c r="F7" s="19"/>
      <c r="G7" s="19"/>
      <c r="H7" s="17"/>
      <c r="I7" s="17"/>
    </row>
    <row r="8" spans="1:11" x14ac:dyDescent="0.55000000000000004">
      <c r="A8" s="18"/>
      <c r="B8" s="15"/>
      <c r="C8" s="16"/>
      <c r="E8" s="14"/>
      <c r="F8" s="19"/>
      <c r="G8" s="19"/>
      <c r="H8" s="17"/>
      <c r="I8" s="17"/>
    </row>
    <row r="9" spans="1:11" x14ac:dyDescent="0.55000000000000004">
      <c r="A9" s="18"/>
      <c r="B9" s="15"/>
      <c r="C9" s="16"/>
      <c r="E9" s="14"/>
      <c r="F9" s="19"/>
      <c r="G9" s="19"/>
      <c r="H9" s="17"/>
      <c r="I9" s="17"/>
    </row>
    <row r="10" spans="1:11" x14ac:dyDescent="0.55000000000000004">
      <c r="C10" s="11"/>
    </row>
    <row r="11" spans="1:11" x14ac:dyDescent="0.55000000000000004">
      <c r="C11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3" width="12.28515625" style="1" customWidth="1"/>
    <col min="4" max="4" width="24.42578125" style="1" bestFit="1" customWidth="1"/>
    <col min="5" max="5" width="14.42578125" style="7" customWidth="1"/>
    <col min="6" max="6" width="17.5703125" style="8" bestFit="1" customWidth="1"/>
    <col min="7" max="7" width="18.42578125" style="8" customWidth="1"/>
    <col min="8" max="8" width="12.5703125" style="9" customWidth="1"/>
    <col min="9" max="9" width="14.7109375" style="9" bestFit="1" customWidth="1"/>
    <col min="10" max="10" width="18.5703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9" t="s">
        <v>162</v>
      </c>
      <c r="K1" s="8"/>
    </row>
    <row r="2" spans="1:11" x14ac:dyDescent="0.55000000000000004">
      <c r="A2" s="18">
        <v>44348</v>
      </c>
      <c r="B2" s="15"/>
      <c r="C2" s="16" t="s">
        <v>5</v>
      </c>
      <c r="D2" s="1" t="s">
        <v>82</v>
      </c>
      <c r="E2" s="7" t="s">
        <v>5</v>
      </c>
      <c r="F2" s="19">
        <v>143000</v>
      </c>
      <c r="G2" s="19"/>
      <c r="H2" s="17"/>
      <c r="I2" s="17">
        <f>UMG[[#This Row],[Opening]]+UMG[[#This Row],[Purchase]]-UMG[[#This Row],[Payment]]</f>
        <v>143000</v>
      </c>
      <c r="J2" s="109">
        <f>UMG[Balance]</f>
        <v>143000</v>
      </c>
    </row>
    <row r="3" spans="1:11" x14ac:dyDescent="0.55000000000000004">
      <c r="A3" s="18"/>
      <c r="B3" s="15"/>
      <c r="C3" s="16"/>
      <c r="E3" s="14"/>
      <c r="F3" s="19"/>
      <c r="G3" s="19"/>
      <c r="H3" s="17"/>
      <c r="I3" s="17"/>
    </row>
    <row r="4" spans="1:11" x14ac:dyDescent="0.55000000000000004">
      <c r="A4" s="18"/>
      <c r="B4" s="15"/>
      <c r="C4" s="16"/>
      <c r="E4" s="14"/>
      <c r="F4" s="19"/>
      <c r="G4" s="19"/>
      <c r="H4" s="17"/>
      <c r="I4" s="17"/>
    </row>
    <row r="5" spans="1:11" x14ac:dyDescent="0.55000000000000004">
      <c r="A5" s="18"/>
      <c r="B5" s="15"/>
      <c r="C5" s="16"/>
      <c r="E5" s="14"/>
      <c r="F5" s="19"/>
      <c r="G5" s="19"/>
      <c r="H5" s="17"/>
      <c r="I5" s="17"/>
    </row>
    <row r="6" spans="1:11" x14ac:dyDescent="0.55000000000000004">
      <c r="A6" s="18"/>
      <c r="B6" s="15"/>
      <c r="C6" s="16"/>
      <c r="E6" s="14"/>
      <c r="F6" s="19"/>
      <c r="G6" s="19"/>
      <c r="H6" s="17"/>
      <c r="I6" s="17"/>
    </row>
    <row r="7" spans="1:11" x14ac:dyDescent="0.55000000000000004">
      <c r="A7" s="18"/>
      <c r="B7" s="15"/>
      <c r="C7" s="16"/>
      <c r="E7" s="14"/>
      <c r="F7" s="19"/>
      <c r="G7" s="19"/>
      <c r="H7" s="17"/>
      <c r="I7" s="17"/>
    </row>
    <row r="8" spans="1:11" x14ac:dyDescent="0.55000000000000004">
      <c r="A8" s="18"/>
      <c r="B8" s="15"/>
      <c r="C8" s="16"/>
      <c r="E8" s="14"/>
      <c r="F8" s="19"/>
      <c r="G8" s="19"/>
      <c r="H8" s="17"/>
      <c r="I8" s="17"/>
    </row>
    <row r="9" spans="1:11" x14ac:dyDescent="0.55000000000000004">
      <c r="A9" s="18"/>
      <c r="B9" s="15"/>
      <c r="C9" s="16"/>
      <c r="E9" s="14"/>
      <c r="F9" s="19"/>
      <c r="G9" s="19"/>
      <c r="H9" s="17"/>
      <c r="I9" s="17"/>
    </row>
    <row r="10" spans="1:11" x14ac:dyDescent="0.55000000000000004">
      <c r="C10" s="11"/>
    </row>
    <row r="11" spans="1:11" x14ac:dyDescent="0.55000000000000004">
      <c r="C11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49"/>
  <sheetViews>
    <sheetView topLeftCell="B1" zoomScale="90" zoomScaleNormal="90" workbookViewId="0">
      <selection activeCell="J3" sqref="J3:J11"/>
    </sheetView>
  </sheetViews>
  <sheetFormatPr defaultColWidth="8.7109375" defaultRowHeight="21.75" x14ac:dyDescent="0.55000000000000004"/>
  <cols>
    <col min="1" max="1" width="14.7109375" style="13" customWidth="1"/>
    <col min="2" max="2" width="14.28515625" style="11" customWidth="1"/>
    <col min="3" max="3" width="14.28515625" style="1" customWidth="1"/>
    <col min="4" max="4" width="24.42578125" style="1" bestFit="1" customWidth="1"/>
    <col min="5" max="5" width="60.28515625" style="7" customWidth="1"/>
    <col min="6" max="6" width="14.5703125" style="8" customWidth="1"/>
    <col min="7" max="7" width="18.42578125" style="8" customWidth="1"/>
    <col min="8" max="8" width="15.85546875" style="9" customWidth="1"/>
    <col min="9" max="9" width="16.5703125" style="9" customWidth="1"/>
    <col min="10" max="10" width="17.28515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9" t="s">
        <v>162</v>
      </c>
      <c r="K1" s="8"/>
    </row>
    <row r="2" spans="1:11" x14ac:dyDescent="0.55000000000000004">
      <c r="A2" s="18">
        <v>44348</v>
      </c>
      <c r="B2" s="16"/>
      <c r="C2" s="16" t="s">
        <v>5</v>
      </c>
      <c r="D2" s="1" t="s">
        <v>56</v>
      </c>
      <c r="E2" s="7" t="s">
        <v>5</v>
      </c>
      <c r="F2" s="19">
        <v>691721</v>
      </c>
      <c r="G2" s="19"/>
      <c r="H2" s="17"/>
      <c r="I2" s="17">
        <f>ZAN[[#This Row],[Opening]]+ZAN[[#This Row],[Purchase]]-ZAN[[#This Row],[Payment]]</f>
        <v>691721</v>
      </c>
      <c r="J2" s="109">
        <f>ZAN[[#This Row],[Balance]]</f>
        <v>691721</v>
      </c>
    </row>
    <row r="3" spans="1:11" x14ac:dyDescent="0.55000000000000004">
      <c r="A3" s="18">
        <v>44349</v>
      </c>
      <c r="B3" s="16">
        <v>122978</v>
      </c>
      <c r="C3" s="16" t="s">
        <v>6</v>
      </c>
      <c r="D3" s="1" t="s">
        <v>56</v>
      </c>
      <c r="E3" s="44" t="s">
        <v>109</v>
      </c>
      <c r="F3" s="19"/>
      <c r="G3" s="19">
        <v>122978</v>
      </c>
      <c r="H3" s="17"/>
      <c r="I3" s="17">
        <f>ZAN[[#This Row],[Opening]]+ZAN[[#This Row],[Purchase]]-ZAN[[#This Row],[Payment]]</f>
        <v>122978</v>
      </c>
      <c r="J3" s="109">
        <f>J2+ZAN[[#This Row],[Purchase]]-ZAN[[#This Row],[Payment]]</f>
        <v>814699</v>
      </c>
    </row>
    <row r="4" spans="1:11" x14ac:dyDescent="0.55000000000000004">
      <c r="A4" s="100">
        <v>44355</v>
      </c>
      <c r="B4" s="101">
        <v>210211</v>
      </c>
      <c r="C4" s="101" t="s">
        <v>7</v>
      </c>
      <c r="D4" s="1" t="s">
        <v>56</v>
      </c>
      <c r="E4" s="102" t="s">
        <v>86</v>
      </c>
      <c r="F4" s="103"/>
      <c r="G4" s="103"/>
      <c r="H4" s="104">
        <v>800000</v>
      </c>
      <c r="I4" s="104">
        <f>ZAN[[#This Row],[Opening]]+ZAN[[#This Row],[Purchase]]-ZAN[[#This Row],[Payment]]</f>
        <v>-800000</v>
      </c>
      <c r="J4" s="109">
        <f>J3+ZAN[[#This Row],[Purchase]]-ZAN[[#This Row],[Payment]]</f>
        <v>14699</v>
      </c>
    </row>
    <row r="5" spans="1:11" x14ac:dyDescent="0.55000000000000004">
      <c r="A5" s="100">
        <v>44355</v>
      </c>
      <c r="B5" s="101">
        <v>516211</v>
      </c>
      <c r="C5" s="101" t="s">
        <v>6</v>
      </c>
      <c r="D5" s="1" t="s">
        <v>56</v>
      </c>
      <c r="E5" s="102" t="s">
        <v>123</v>
      </c>
      <c r="F5" s="103"/>
      <c r="G5" s="103">
        <v>41580</v>
      </c>
      <c r="H5" s="104"/>
      <c r="I5" s="104">
        <f>ZAN[[#This Row],[Opening]]+ZAN[[#This Row],[Purchase]]-ZAN[[#This Row],[Payment]]</f>
        <v>41580</v>
      </c>
      <c r="J5" s="109">
        <f>J4+ZAN[[#This Row],[Purchase]]-ZAN[[#This Row],[Payment]]</f>
        <v>56279</v>
      </c>
    </row>
    <row r="6" spans="1:11" x14ac:dyDescent="0.55000000000000004">
      <c r="A6" s="100">
        <v>44356</v>
      </c>
      <c r="B6" s="101">
        <v>520211</v>
      </c>
      <c r="C6" s="101" t="s">
        <v>6</v>
      </c>
      <c r="D6" s="1" t="s">
        <v>56</v>
      </c>
      <c r="E6" s="102" t="s">
        <v>133</v>
      </c>
      <c r="F6" s="103"/>
      <c r="G6" s="103">
        <v>102203</v>
      </c>
      <c r="H6" s="104"/>
      <c r="I6" s="104">
        <f>ZAN[[#This Row],[Opening]]+ZAN[[#This Row],[Purchase]]-ZAN[[#This Row],[Payment]]</f>
        <v>102203</v>
      </c>
      <c r="J6" s="109">
        <f>J5+ZAN[[#This Row],[Purchase]]-ZAN[[#This Row],[Payment]]</f>
        <v>158482</v>
      </c>
    </row>
    <row r="7" spans="1:11" x14ac:dyDescent="0.55000000000000004">
      <c r="A7" s="100">
        <v>44368</v>
      </c>
      <c r="B7" s="101">
        <v>242211</v>
      </c>
      <c r="C7" s="101" t="s">
        <v>6</v>
      </c>
      <c r="D7" s="1" t="s">
        <v>56</v>
      </c>
      <c r="E7" s="102" t="s">
        <v>151</v>
      </c>
      <c r="F7" s="103"/>
      <c r="G7" s="103">
        <v>326041</v>
      </c>
      <c r="H7" s="104"/>
      <c r="I7" s="104">
        <f>ZAN[[#This Row],[Opening]]+ZAN[[#This Row],[Purchase]]-ZAN[[#This Row],[Payment]]</f>
        <v>326041</v>
      </c>
      <c r="J7" s="109">
        <f>J6+ZAN[[#This Row],[Purchase]]-ZAN[[#This Row],[Payment]]</f>
        <v>484523</v>
      </c>
    </row>
    <row r="8" spans="1:11" x14ac:dyDescent="0.55000000000000004">
      <c r="A8" s="100">
        <v>44364</v>
      </c>
      <c r="B8" s="101">
        <v>535211</v>
      </c>
      <c r="C8" s="101" t="s">
        <v>6</v>
      </c>
      <c r="D8" s="1" t="s">
        <v>56</v>
      </c>
      <c r="E8" s="102" t="s">
        <v>152</v>
      </c>
      <c r="F8" s="103"/>
      <c r="G8" s="103">
        <v>355080</v>
      </c>
      <c r="H8" s="104"/>
      <c r="I8" s="104">
        <f>ZAN[[#This Row],[Opening]]+ZAN[[#This Row],[Purchase]]-ZAN[[#This Row],[Payment]]</f>
        <v>355080</v>
      </c>
      <c r="J8" s="109">
        <f>J7+ZAN[[#This Row],[Purchase]]-ZAN[[#This Row],[Payment]]</f>
        <v>839603</v>
      </c>
    </row>
    <row r="9" spans="1:11" x14ac:dyDescent="0.55000000000000004">
      <c r="A9" s="100">
        <v>44372</v>
      </c>
      <c r="B9" s="101">
        <v>548211</v>
      </c>
      <c r="C9" s="101" t="s">
        <v>6</v>
      </c>
      <c r="D9" s="1" t="s">
        <v>56</v>
      </c>
      <c r="E9" s="102" t="s">
        <v>155</v>
      </c>
      <c r="F9" s="103"/>
      <c r="G9" s="103">
        <v>195895</v>
      </c>
      <c r="H9" s="104"/>
      <c r="I9" s="104">
        <f>ZAN[[#This Row],[Opening]]+ZAN[[#This Row],[Purchase]]-ZAN[[#This Row],[Payment]]</f>
        <v>195895</v>
      </c>
      <c r="J9" s="109">
        <f>J8+ZAN[[#This Row],[Purchase]]-ZAN[[#This Row],[Payment]]</f>
        <v>1035498</v>
      </c>
    </row>
    <row r="10" spans="1:11" x14ac:dyDescent="0.55000000000000004">
      <c r="A10" s="100">
        <v>44375</v>
      </c>
      <c r="B10" s="101">
        <v>226211</v>
      </c>
      <c r="C10" s="101" t="s">
        <v>7</v>
      </c>
      <c r="D10" s="1" t="s">
        <v>56</v>
      </c>
      <c r="E10" s="102" t="s">
        <v>86</v>
      </c>
      <c r="F10" s="103"/>
      <c r="G10" s="103"/>
      <c r="H10" s="104">
        <v>1000000</v>
      </c>
      <c r="I10" s="104">
        <f>ZAN[[#This Row],[Opening]]+ZAN[[#This Row],[Purchase]]-ZAN[[#This Row],[Payment]]</f>
        <v>-1000000</v>
      </c>
      <c r="J10" s="109">
        <f>J9+ZAN[[#This Row],[Purchase]]-ZAN[[#This Row],[Payment]]</f>
        <v>35498</v>
      </c>
    </row>
    <row r="11" spans="1:11" x14ac:dyDescent="0.55000000000000004">
      <c r="A11" s="100">
        <v>44375</v>
      </c>
      <c r="B11" s="101">
        <v>552211</v>
      </c>
      <c r="C11" s="101" t="s">
        <v>6</v>
      </c>
      <c r="D11" s="1" t="s">
        <v>56</v>
      </c>
      <c r="E11" s="102" t="s">
        <v>161</v>
      </c>
      <c r="F11" s="103"/>
      <c r="G11" s="103">
        <v>205709</v>
      </c>
      <c r="H11" s="104"/>
      <c r="I11" s="104">
        <f>ZAN[[#This Row],[Opening]]+ZAN[[#This Row],[Purchase]]-ZAN[[#This Row],[Payment]]</f>
        <v>205709</v>
      </c>
      <c r="J11" s="109">
        <f>J10+ZAN[[#This Row],[Purchase]]-ZAN[[#This Row],[Payment]]</f>
        <v>241207</v>
      </c>
    </row>
    <row r="12" spans="1:11" x14ac:dyDescent="0.55000000000000004">
      <c r="A12" s="100"/>
      <c r="B12" s="101"/>
      <c r="C12" s="101"/>
      <c r="E12" s="102"/>
      <c r="F12" s="103"/>
      <c r="G12" s="103"/>
      <c r="H12" s="104"/>
      <c r="I12" s="104"/>
    </row>
    <row r="13" spans="1:11" x14ac:dyDescent="0.55000000000000004">
      <c r="A13" s="100"/>
      <c r="B13" s="101"/>
      <c r="C13" s="101"/>
      <c r="D13" s="105"/>
      <c r="E13" s="102"/>
      <c r="F13" s="103"/>
      <c r="G13" s="103"/>
      <c r="H13" s="104"/>
      <c r="I13" s="104"/>
    </row>
    <row r="14" spans="1:11" x14ac:dyDescent="0.55000000000000004">
      <c r="A14" s="100"/>
      <c r="B14" s="101"/>
      <c r="C14" s="101"/>
      <c r="D14" s="105"/>
      <c r="E14" s="102"/>
      <c r="F14" s="103"/>
      <c r="G14" s="103"/>
      <c r="H14" s="104"/>
      <c r="I14" s="104"/>
    </row>
    <row r="15" spans="1:11" x14ac:dyDescent="0.55000000000000004">
      <c r="A15" s="59"/>
      <c r="B15" s="60"/>
      <c r="C15" s="60"/>
      <c r="E15" s="62"/>
      <c r="F15" s="63"/>
      <c r="G15" s="63"/>
      <c r="H15" s="64"/>
      <c r="I15" s="17"/>
    </row>
    <row r="16" spans="1:11" x14ac:dyDescent="0.55000000000000004">
      <c r="A16" s="59"/>
      <c r="B16" s="60"/>
      <c r="C16" s="60"/>
      <c r="E16" s="62"/>
      <c r="F16" s="63"/>
      <c r="G16" s="63"/>
      <c r="H16" s="64"/>
      <c r="I16" s="17"/>
    </row>
    <row r="17" spans="1:9" x14ac:dyDescent="0.55000000000000004">
      <c r="A17" s="59"/>
      <c r="B17" s="60"/>
      <c r="C17" s="60"/>
      <c r="E17" s="62"/>
      <c r="F17" s="63"/>
      <c r="G17" s="63"/>
      <c r="H17" s="64"/>
      <c r="I17" s="17"/>
    </row>
    <row r="18" spans="1:9" x14ac:dyDescent="0.55000000000000004">
      <c r="A18" s="59"/>
      <c r="B18" s="60"/>
      <c r="C18" s="60"/>
      <c r="E18" s="62"/>
      <c r="F18" s="63"/>
      <c r="G18" s="63"/>
      <c r="H18" s="64"/>
      <c r="I18" s="17"/>
    </row>
    <row r="19" spans="1:9" x14ac:dyDescent="0.55000000000000004">
      <c r="A19" s="59"/>
      <c r="B19" s="60"/>
      <c r="C19" s="60"/>
      <c r="E19" s="62"/>
      <c r="F19" s="63"/>
      <c r="G19" s="63"/>
      <c r="H19" s="64"/>
      <c r="I19" s="17"/>
    </row>
    <row r="20" spans="1:9" x14ac:dyDescent="0.55000000000000004">
      <c r="A20" s="59"/>
      <c r="B20" s="60"/>
      <c r="C20" s="60"/>
      <c r="E20" s="44"/>
      <c r="F20" s="63"/>
      <c r="G20" s="63"/>
      <c r="H20" s="64"/>
      <c r="I20" s="17"/>
    </row>
    <row r="21" spans="1:9" x14ac:dyDescent="0.55000000000000004">
      <c r="A21" s="59"/>
      <c r="B21" s="60"/>
      <c r="C21" s="60"/>
      <c r="E21" s="62"/>
      <c r="F21" s="63"/>
      <c r="G21" s="63"/>
      <c r="H21" s="64"/>
      <c r="I21" s="17"/>
    </row>
    <row r="22" spans="1:9" x14ac:dyDescent="0.55000000000000004">
      <c r="A22" s="59"/>
      <c r="B22" s="60"/>
      <c r="C22" s="60"/>
      <c r="E22" s="62"/>
      <c r="F22" s="63"/>
      <c r="G22" s="63"/>
      <c r="H22" s="64"/>
      <c r="I22" s="64"/>
    </row>
    <row r="23" spans="1:9" x14ac:dyDescent="0.55000000000000004">
      <c r="A23" s="59"/>
      <c r="B23" s="60"/>
      <c r="C23" s="60"/>
      <c r="E23" s="62"/>
      <c r="F23" s="63"/>
      <c r="G23" s="63"/>
      <c r="H23" s="64"/>
      <c r="I23" s="64"/>
    </row>
    <row r="24" spans="1:9" x14ac:dyDescent="0.55000000000000004">
      <c r="A24" s="59"/>
      <c r="B24" s="60"/>
      <c r="C24" s="60"/>
      <c r="E24" s="62"/>
      <c r="F24" s="63"/>
      <c r="G24" s="63"/>
      <c r="H24" s="64"/>
      <c r="I24" s="64"/>
    </row>
    <row r="25" spans="1:9" x14ac:dyDescent="0.55000000000000004">
      <c r="A25" s="59"/>
      <c r="B25" s="60"/>
      <c r="C25" s="60"/>
      <c r="E25" s="62"/>
      <c r="F25" s="63"/>
      <c r="G25" s="63"/>
      <c r="H25" s="64"/>
      <c r="I25" s="64"/>
    </row>
    <row r="26" spans="1:9" x14ac:dyDescent="0.55000000000000004">
      <c r="A26" s="59"/>
      <c r="B26" s="60"/>
      <c r="C26" s="60"/>
      <c r="E26" s="44"/>
      <c r="F26" s="63"/>
      <c r="G26" s="63"/>
      <c r="H26" s="64"/>
      <c r="I26" s="64"/>
    </row>
    <row r="27" spans="1:9" x14ac:dyDescent="0.55000000000000004">
      <c r="A27" s="47"/>
      <c r="B27" s="48"/>
      <c r="C27" s="48"/>
      <c r="E27" s="44"/>
      <c r="F27" s="50"/>
      <c r="G27" s="50"/>
      <c r="H27" s="51"/>
      <c r="I27" s="51"/>
    </row>
    <row r="28" spans="1:9" x14ac:dyDescent="0.55000000000000004">
      <c r="A28" s="59"/>
      <c r="B28" s="60"/>
      <c r="C28" s="60"/>
      <c r="E28" s="62"/>
      <c r="F28" s="63"/>
      <c r="G28" s="63"/>
      <c r="H28" s="64"/>
      <c r="I28" s="64"/>
    </row>
    <row r="29" spans="1:9" x14ac:dyDescent="0.55000000000000004">
      <c r="A29" s="59"/>
      <c r="B29" s="60"/>
      <c r="C29" s="60"/>
      <c r="D29" s="61"/>
      <c r="E29" s="62"/>
      <c r="F29" s="63"/>
      <c r="G29" s="63"/>
      <c r="H29" s="64"/>
      <c r="I29" s="64"/>
    </row>
    <row r="30" spans="1:9" x14ac:dyDescent="0.55000000000000004">
      <c r="A30" s="18"/>
      <c r="B30" s="16"/>
      <c r="C30" s="16"/>
      <c r="E30" s="44"/>
      <c r="F30" s="19"/>
      <c r="G30" s="19"/>
      <c r="H30" s="17"/>
      <c r="I30" s="17"/>
    </row>
    <row r="31" spans="1:9" x14ac:dyDescent="0.55000000000000004">
      <c r="A31" s="18"/>
      <c r="B31" s="16"/>
      <c r="C31" s="16"/>
      <c r="E31" s="44"/>
      <c r="F31" s="19"/>
      <c r="G31" s="19"/>
      <c r="H31" s="17"/>
      <c r="I31" s="17"/>
    </row>
    <row r="32" spans="1:9" x14ac:dyDescent="0.55000000000000004">
      <c r="A32" s="47"/>
      <c r="B32" s="48"/>
      <c r="C32" s="48"/>
      <c r="E32" s="44"/>
      <c r="F32" s="50"/>
      <c r="G32" s="50"/>
      <c r="H32" s="51"/>
      <c r="I32" s="51"/>
    </row>
    <row r="33" spans="1:9" x14ac:dyDescent="0.55000000000000004">
      <c r="A33" s="47"/>
      <c r="B33" s="48"/>
      <c r="C33" s="48"/>
      <c r="E33" s="44"/>
      <c r="F33" s="50"/>
      <c r="G33" s="50"/>
      <c r="H33" s="51"/>
      <c r="I33" s="51"/>
    </row>
    <row r="34" spans="1:9" x14ac:dyDescent="0.55000000000000004">
      <c r="A34" s="47"/>
      <c r="B34" s="48"/>
      <c r="C34" s="48"/>
      <c r="E34" s="44"/>
      <c r="F34" s="50"/>
      <c r="G34" s="50"/>
      <c r="H34" s="51"/>
      <c r="I34" s="51"/>
    </row>
    <row r="35" spans="1:9" x14ac:dyDescent="0.55000000000000004">
      <c r="A35" s="47"/>
      <c r="B35" s="48"/>
      <c r="C35" s="48"/>
      <c r="E35" s="44"/>
      <c r="F35" s="50"/>
      <c r="G35" s="50"/>
      <c r="H35" s="51"/>
      <c r="I35" s="51"/>
    </row>
    <row r="36" spans="1:9" x14ac:dyDescent="0.55000000000000004">
      <c r="A36" s="47"/>
      <c r="B36" s="48"/>
      <c r="C36" s="48"/>
      <c r="E36" s="44"/>
      <c r="F36" s="50"/>
      <c r="G36" s="50"/>
      <c r="H36" s="51"/>
      <c r="I36" s="51"/>
    </row>
    <row r="37" spans="1:9" x14ac:dyDescent="0.55000000000000004">
      <c r="A37" s="54"/>
      <c r="B37" s="55"/>
      <c r="C37" s="48"/>
      <c r="E37" s="56"/>
      <c r="F37" s="53"/>
      <c r="G37" s="53"/>
      <c r="H37" s="57"/>
      <c r="I37" s="57"/>
    </row>
    <row r="38" spans="1:9" x14ac:dyDescent="0.55000000000000004">
      <c r="A38" s="54"/>
      <c r="B38" s="55"/>
      <c r="C38" s="55"/>
      <c r="E38" s="56"/>
      <c r="F38" s="53"/>
      <c r="G38" s="53"/>
      <c r="H38" s="57"/>
      <c r="I38" s="57"/>
    </row>
    <row r="39" spans="1:9" x14ac:dyDescent="0.55000000000000004">
      <c r="A39" s="54"/>
      <c r="B39" s="55"/>
      <c r="C39" s="55"/>
      <c r="E39" s="56"/>
      <c r="F39" s="53"/>
      <c r="G39" s="53"/>
      <c r="H39" s="57"/>
      <c r="I39" s="57"/>
    </row>
    <row r="40" spans="1:9" x14ac:dyDescent="0.55000000000000004">
      <c r="A40" s="54"/>
      <c r="B40" s="55"/>
      <c r="C40" s="55"/>
      <c r="E40" s="56"/>
      <c r="F40" s="53"/>
      <c r="G40" s="53"/>
      <c r="H40" s="57"/>
      <c r="I40" s="57"/>
    </row>
    <row r="41" spans="1:9" x14ac:dyDescent="0.55000000000000004">
      <c r="A41" s="54"/>
      <c r="B41" s="55"/>
      <c r="C41" s="55"/>
      <c r="D41" s="43"/>
      <c r="E41" s="44"/>
      <c r="F41" s="53"/>
      <c r="G41" s="53"/>
      <c r="H41" s="57"/>
      <c r="I41" s="57"/>
    </row>
    <row r="42" spans="1:9" x14ac:dyDescent="0.55000000000000004">
      <c r="A42" s="47"/>
      <c r="B42" s="48"/>
      <c r="C42" s="48"/>
      <c r="D42" s="43"/>
      <c r="E42" s="44"/>
      <c r="F42" s="50"/>
      <c r="G42" s="50"/>
      <c r="H42" s="51"/>
      <c r="I42" s="51"/>
    </row>
    <row r="43" spans="1:9" x14ac:dyDescent="0.55000000000000004">
      <c r="A43" s="47"/>
      <c r="B43" s="48"/>
      <c r="C43" s="48"/>
      <c r="D43" s="49"/>
      <c r="E43" s="44"/>
      <c r="F43" s="50"/>
      <c r="G43" s="50"/>
      <c r="H43" s="51"/>
      <c r="I43" s="51"/>
    </row>
    <row r="44" spans="1:9" x14ac:dyDescent="0.55000000000000004">
      <c r="A44" s="47"/>
      <c r="B44" s="48"/>
      <c r="C44" s="48"/>
      <c r="D44" s="49"/>
      <c r="E44" s="44"/>
      <c r="F44" s="50"/>
      <c r="G44" s="50"/>
      <c r="H44" s="51"/>
      <c r="I44" s="51"/>
    </row>
    <row r="45" spans="1:9" x14ac:dyDescent="0.55000000000000004">
      <c r="A45" s="34"/>
      <c r="B45" s="35"/>
      <c r="C45" s="35"/>
      <c r="D45" s="36"/>
      <c r="E45" s="37"/>
      <c r="F45" s="38"/>
      <c r="G45" s="38"/>
      <c r="H45" s="39"/>
      <c r="I45" s="39"/>
    </row>
    <row r="46" spans="1:9" x14ac:dyDescent="0.55000000000000004">
      <c r="A46" s="34"/>
      <c r="B46" s="35"/>
      <c r="C46" s="35"/>
      <c r="D46" s="36"/>
      <c r="E46" s="37"/>
      <c r="F46" s="38"/>
      <c r="G46" s="38"/>
      <c r="H46" s="39"/>
      <c r="I46" s="39"/>
    </row>
    <row r="47" spans="1:9" x14ac:dyDescent="0.55000000000000004">
      <c r="A47" s="34"/>
      <c r="B47" s="35"/>
      <c r="C47" s="35"/>
      <c r="D47" s="36"/>
      <c r="E47" s="37"/>
      <c r="F47" s="38"/>
      <c r="G47" s="38"/>
      <c r="H47" s="39"/>
      <c r="I47" s="39"/>
    </row>
    <row r="48" spans="1:9" x14ac:dyDescent="0.55000000000000004">
      <c r="A48" s="34"/>
      <c r="B48" s="35"/>
      <c r="C48" s="35"/>
      <c r="D48" s="36"/>
      <c r="E48" s="37"/>
      <c r="F48" s="38"/>
      <c r="G48" s="38"/>
      <c r="H48" s="39"/>
      <c r="I48" s="39"/>
    </row>
    <row r="49" spans="1:9" x14ac:dyDescent="0.55000000000000004">
      <c r="A49" s="34"/>
      <c r="B49" s="35"/>
      <c r="C49" s="35"/>
      <c r="D49" s="36"/>
      <c r="E49" s="37"/>
      <c r="F49" s="38"/>
      <c r="G49" s="38"/>
      <c r="H49" s="39"/>
      <c r="I49" s="3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2060"/>
  </sheetPr>
  <dimension ref="A1:K27"/>
  <sheetViews>
    <sheetView topLeftCell="A17" zoomScaleNormal="100" workbookViewId="0">
      <selection activeCell="C3" sqref="C3"/>
    </sheetView>
  </sheetViews>
  <sheetFormatPr defaultColWidth="8.7109375" defaultRowHeight="21.75" x14ac:dyDescent="0.55000000000000004"/>
  <cols>
    <col min="1" max="1" width="3.5703125" style="1" bestFit="1" customWidth="1"/>
    <col min="2" max="2" width="26.140625" style="1" customWidth="1"/>
    <col min="3" max="3" width="16.42578125" style="8" customWidth="1"/>
    <col min="4" max="5" width="18.42578125" style="8" customWidth="1"/>
    <col min="6" max="6" width="17.42578125" style="8" customWidth="1"/>
    <col min="7" max="7" width="11.85546875" style="9" bestFit="1" customWidth="1"/>
    <col min="8" max="8" width="10.85546875" style="9" bestFit="1" customWidth="1"/>
    <col min="9" max="10" width="8.7109375" style="1"/>
    <col min="11" max="11" width="24.42578125" style="1" bestFit="1" customWidth="1"/>
    <col min="12" max="16384" width="8.7109375" style="1"/>
  </cols>
  <sheetData>
    <row r="1" spans="1:11" s="7" customFormat="1" x14ac:dyDescent="0.55000000000000004">
      <c r="A1" s="21" t="s">
        <v>0</v>
      </c>
      <c r="B1" s="21" t="s">
        <v>3</v>
      </c>
      <c r="C1" s="22" t="s">
        <v>5</v>
      </c>
      <c r="D1" s="22" t="s">
        <v>6</v>
      </c>
      <c r="E1" s="22" t="s">
        <v>7</v>
      </c>
      <c r="F1" s="22" t="s">
        <v>8</v>
      </c>
      <c r="G1" s="8"/>
      <c r="H1" s="8"/>
      <c r="K1" s="12"/>
    </row>
    <row r="2" spans="1:11" x14ac:dyDescent="0.55000000000000004">
      <c r="A2" s="23">
        <v>1</v>
      </c>
      <c r="B2" s="23" t="s">
        <v>9</v>
      </c>
      <c r="C2" s="20">
        <f>SUMIF('Data Combine'!$D:$D,$B2,'Data Combine'!F:F)</f>
        <v>586620</v>
      </c>
      <c r="D2" s="20">
        <f>SUMIF('Data Combine'!$D:$D,$B2,'Data Combine'!G:G)</f>
        <v>0</v>
      </c>
      <c r="E2" s="20">
        <f>SUMIF('Data Combine'!$D:$D,$B2,'Data Combine'!H:H)</f>
        <v>0</v>
      </c>
      <c r="F2" s="20">
        <f>SUMIF('Data Combine'!$D:$D,$B2,'Data Combine'!I:I)</f>
        <v>586620</v>
      </c>
      <c r="K2" s="12"/>
    </row>
    <row r="3" spans="1:11" x14ac:dyDescent="0.55000000000000004">
      <c r="A3" s="23">
        <v>2</v>
      </c>
      <c r="B3" s="24" t="s">
        <v>15</v>
      </c>
      <c r="C3" s="20">
        <f>SUMIF('Data Combine'!$D:$D,$B3,'Data Combine'!F:F)</f>
        <v>0</v>
      </c>
      <c r="D3" s="20">
        <f>SUMIF('Data Combine'!$D:$D,$B3,'Data Combine'!G:G)</f>
        <v>1006000</v>
      </c>
      <c r="E3" s="20">
        <f>SUMIF('Data Combine'!$D:$D,$B3,'Data Combine'!H:H)</f>
        <v>700000</v>
      </c>
      <c r="F3" s="20">
        <f>SUMIF('Data Combine'!$D:$D,$B3,'Data Combine'!I:I)</f>
        <v>306000</v>
      </c>
      <c r="G3" s="1"/>
      <c r="H3" s="1"/>
      <c r="K3" s="12"/>
    </row>
    <row r="4" spans="1:11" x14ac:dyDescent="0.55000000000000004">
      <c r="A4" s="23">
        <v>3</v>
      </c>
      <c r="B4" s="24" t="s">
        <v>18</v>
      </c>
      <c r="C4" s="20">
        <f>SUMIF('Data Combine'!$D:$D,$B4,'Data Combine'!F:F)</f>
        <v>1128804</v>
      </c>
      <c r="D4" s="20">
        <f>SUMIF('Data Combine'!$D:$D,$B4,'Data Combine'!G:G)</f>
        <v>4277881</v>
      </c>
      <c r="E4" s="20">
        <f>SUMIF('Data Combine'!$D:$D,$B4,'Data Combine'!H:H)</f>
        <v>4536102</v>
      </c>
      <c r="F4" s="20">
        <f>SUMIF('Data Combine'!$D:$D,$B4,'Data Combine'!I:I)</f>
        <v>870583</v>
      </c>
      <c r="G4" s="1"/>
      <c r="H4" s="1"/>
      <c r="K4" s="12"/>
    </row>
    <row r="5" spans="1:11" x14ac:dyDescent="0.55000000000000004">
      <c r="A5" s="23">
        <v>4</v>
      </c>
      <c r="B5" s="24" t="s">
        <v>74</v>
      </c>
      <c r="C5" s="20">
        <f>SUMIF('Data Combine'!$D:$D,$B5,'Data Combine'!F:F)</f>
        <v>980360</v>
      </c>
      <c r="D5" s="20">
        <f>SUMIF('Data Combine'!$D:$D,$B5,'Data Combine'!G:G)</f>
        <v>210600</v>
      </c>
      <c r="E5" s="20">
        <f>SUMIF('Data Combine'!$D:$D,$B5,'Data Combine'!H:H)</f>
        <v>100000</v>
      </c>
      <c r="F5" s="20">
        <f>SUMIF('Data Combine'!$D:$D,$B5,'Data Combine'!I:I)</f>
        <v>1090960</v>
      </c>
      <c r="G5" s="1"/>
      <c r="H5" s="1"/>
      <c r="K5" s="12"/>
    </row>
    <row r="6" spans="1:11" x14ac:dyDescent="0.55000000000000004">
      <c r="A6" s="23">
        <v>5</v>
      </c>
      <c r="B6" s="24" t="s">
        <v>76</v>
      </c>
      <c r="C6" s="20">
        <f>SUMIF('Data Combine'!$D:$D,$B6,'Data Combine'!F:F)</f>
        <v>750000</v>
      </c>
      <c r="D6" s="20">
        <f>SUMIF('Data Combine'!$D:$D,$B6,'Data Combine'!G:G)</f>
        <v>623000</v>
      </c>
      <c r="E6" s="20">
        <f>SUMIF('Data Combine'!$D:$D,$B6,'Data Combine'!H:H)</f>
        <v>390000</v>
      </c>
      <c r="F6" s="20">
        <f>SUMIF('Data Combine'!$D:$D,$B6,'Data Combine'!I:I)</f>
        <v>983000</v>
      </c>
      <c r="G6" s="1"/>
      <c r="H6" s="1"/>
      <c r="K6" s="12"/>
    </row>
    <row r="7" spans="1:11" x14ac:dyDescent="0.55000000000000004">
      <c r="A7" s="23">
        <v>6</v>
      </c>
      <c r="B7" s="24" t="s">
        <v>75</v>
      </c>
      <c r="C7" s="20">
        <f>SUMIF('Data Combine'!$D:$D,$B7,'Data Combine'!F:F)</f>
        <v>16740000</v>
      </c>
      <c r="D7" s="20">
        <f>SUMIF('Data Combine'!$D:$D,$B7,'Data Combine'!G:G)</f>
        <v>0</v>
      </c>
      <c r="E7" s="20">
        <f>SUMIF('Data Combine'!$D:$D,$B7,'Data Combine'!H:H)</f>
        <v>0</v>
      </c>
      <c r="F7" s="20">
        <f>SUMIF('Data Combine'!$D:$D,$B7,'Data Combine'!I:I)</f>
        <v>16740000</v>
      </c>
      <c r="G7" s="1"/>
      <c r="H7" s="1"/>
      <c r="K7" s="12"/>
    </row>
    <row r="8" spans="1:11" x14ac:dyDescent="0.55000000000000004">
      <c r="A8" s="23">
        <v>7</v>
      </c>
      <c r="B8" s="24" t="s">
        <v>29</v>
      </c>
      <c r="C8" s="20">
        <f>SUMIF('Data Combine'!$D:$D,$B8,'Data Combine'!F:F)</f>
        <v>1137350</v>
      </c>
      <c r="D8" s="20">
        <f>SUMIF('Data Combine'!$D:$D,$B8,'Data Combine'!G:G)</f>
        <v>0</v>
      </c>
      <c r="E8" s="20">
        <f>SUMIF('Data Combine'!$D:$D,$B8,'Data Combine'!H:H)</f>
        <v>1137350</v>
      </c>
      <c r="F8" s="20">
        <f>SUMIF('Data Combine'!$D:$D,$B8,'Data Combine'!I:I)</f>
        <v>0</v>
      </c>
      <c r="G8" s="1"/>
      <c r="H8" s="1"/>
      <c r="K8" s="12"/>
    </row>
    <row r="9" spans="1:11" x14ac:dyDescent="0.55000000000000004">
      <c r="A9" s="23">
        <v>8</v>
      </c>
      <c r="B9" s="24" t="s">
        <v>77</v>
      </c>
      <c r="C9" s="20">
        <f>SUMIF('Data Combine'!$D:$D,$B9,'Data Combine'!F:F)</f>
        <v>1605630</v>
      </c>
      <c r="D9" s="20">
        <f>SUMIF('Data Combine'!$D:$D,$B9,'Data Combine'!G:G)</f>
        <v>1051850</v>
      </c>
      <c r="E9" s="20">
        <f>SUMIF('Data Combine'!$D:$D,$B9,'Data Combine'!H:H)</f>
        <v>1000000</v>
      </c>
      <c r="F9" s="20">
        <f>SUMIF('Data Combine'!$D:$D,$B9,'Data Combine'!I:I)</f>
        <v>1657480</v>
      </c>
      <c r="G9" s="1"/>
      <c r="H9" s="1"/>
      <c r="K9" s="12"/>
    </row>
    <row r="10" spans="1:11" x14ac:dyDescent="0.55000000000000004">
      <c r="A10" s="23">
        <v>9</v>
      </c>
      <c r="B10" s="24" t="s">
        <v>58</v>
      </c>
      <c r="C10" s="20">
        <f>SUMIF('Data Combine'!$D:$D,$B10,'Data Combine'!F:F)</f>
        <v>0</v>
      </c>
      <c r="D10" s="20">
        <f>SUMIF('Data Combine'!$D:$D,$B10,'Data Combine'!G:G)</f>
        <v>0</v>
      </c>
      <c r="E10" s="20">
        <f>SUMIF('Data Combine'!$D:$D,$B10,'Data Combine'!H:H)</f>
        <v>0</v>
      </c>
      <c r="F10" s="20">
        <f>SUMIF('Data Combine'!$D:$D,$B10,'Data Combine'!I:I)</f>
        <v>0</v>
      </c>
      <c r="G10" s="1"/>
      <c r="H10" s="1"/>
      <c r="K10" s="12"/>
    </row>
    <row r="11" spans="1:11" x14ac:dyDescent="0.55000000000000004">
      <c r="A11" s="23">
        <v>10</v>
      </c>
      <c r="B11" s="24" t="s">
        <v>42</v>
      </c>
      <c r="C11" s="20">
        <f>SUMIF('Data Combine'!$D:$D,$B11,'Data Combine'!F:F)</f>
        <v>0</v>
      </c>
      <c r="D11" s="20">
        <f>SUMIF('Data Combine'!$D:$D,$B11,'Data Combine'!G:G)</f>
        <v>0</v>
      </c>
      <c r="E11" s="20">
        <f>SUMIF('Data Combine'!$D:$D,$B11,'Data Combine'!H:H)</f>
        <v>0</v>
      </c>
      <c r="F11" s="20">
        <f>SUMIF('Data Combine'!$D:$D,$B11,'Data Combine'!I:I)</f>
        <v>0</v>
      </c>
      <c r="G11" s="1"/>
      <c r="H11" s="1"/>
      <c r="K11" s="12"/>
    </row>
    <row r="12" spans="1:11" x14ac:dyDescent="0.55000000000000004">
      <c r="A12" s="23">
        <v>11</v>
      </c>
      <c r="B12" s="24" t="s">
        <v>78</v>
      </c>
      <c r="C12" s="20">
        <f>SUMIF('Data Combine'!$D:$D,$B12,'Data Combine'!F:F)</f>
        <v>0</v>
      </c>
      <c r="D12" s="20">
        <f>SUMIF('Data Combine'!$D:$D,$B12,'Data Combine'!G:G)</f>
        <v>0</v>
      </c>
      <c r="E12" s="20">
        <f>SUMIF('Data Combine'!$D:$D,$B12,'Data Combine'!H:H)</f>
        <v>0</v>
      </c>
      <c r="F12" s="20">
        <f>SUMIF('Data Combine'!$D:$D,$B12,'Data Combine'!I:I)</f>
        <v>0</v>
      </c>
      <c r="K12" s="12"/>
    </row>
    <row r="13" spans="1:11" x14ac:dyDescent="0.55000000000000004">
      <c r="A13" s="23">
        <v>12</v>
      </c>
      <c r="B13" s="24" t="s">
        <v>44</v>
      </c>
      <c r="C13" s="20">
        <f>SUMIF('Data Combine'!$D:$D,$B13,'Data Combine'!F:F)</f>
        <v>2208992</v>
      </c>
      <c r="D13" s="20">
        <f>SUMIF('Data Combine'!$D:$D,$B13,'Data Combine'!G:G)</f>
        <v>0</v>
      </c>
      <c r="E13" s="20">
        <f>SUMIF('Data Combine'!$D:$D,$B13,'Data Combine'!H:H)</f>
        <v>0</v>
      </c>
      <c r="F13" s="20">
        <f>SUMIF('Data Combine'!$D:$D,$B13,'Data Combine'!I:I)</f>
        <v>2208992</v>
      </c>
      <c r="K13" s="12"/>
    </row>
    <row r="14" spans="1:11" x14ac:dyDescent="0.55000000000000004">
      <c r="A14" s="23">
        <v>13</v>
      </c>
      <c r="B14" s="24" t="s">
        <v>79</v>
      </c>
      <c r="C14" s="20">
        <f>SUMIF('Data Combine'!$D:$D,$B14,'Data Combine'!F:F)</f>
        <v>1779510</v>
      </c>
      <c r="D14" s="20">
        <f>SUMIF('Data Combine'!$D:$D,$B14,'Data Combine'!G:G)</f>
        <v>157500</v>
      </c>
      <c r="E14" s="20">
        <f>SUMIF('Data Combine'!$D:$D,$B14,'Data Combine'!H:H)</f>
        <v>1100000</v>
      </c>
      <c r="F14" s="20">
        <f>SUMIF('Data Combine'!$D:$D,$B14,'Data Combine'!I:I)</f>
        <v>837010</v>
      </c>
      <c r="K14" s="12"/>
    </row>
    <row r="15" spans="1:11" x14ac:dyDescent="0.55000000000000004">
      <c r="A15" s="23">
        <v>14</v>
      </c>
      <c r="B15" s="24" t="s">
        <v>80</v>
      </c>
      <c r="C15" s="20">
        <f>SUMIF('Data Combine'!$D:$D,$B15,'Data Combine'!F:F)</f>
        <v>999000</v>
      </c>
      <c r="D15" s="20">
        <f>SUMIF('Data Combine'!$D:$D,$B15,'Data Combine'!G:G)</f>
        <v>188580</v>
      </c>
      <c r="E15" s="20">
        <f>SUMIF('Data Combine'!$D:$D,$B15,'Data Combine'!H:H)</f>
        <v>999000</v>
      </c>
      <c r="F15" s="20">
        <f>SUMIF('Data Combine'!$D:$D,$B15,'Data Combine'!I:I)</f>
        <v>188580</v>
      </c>
      <c r="K15" s="12"/>
    </row>
    <row r="16" spans="1:11" x14ac:dyDescent="0.55000000000000004">
      <c r="A16" s="23">
        <v>15</v>
      </c>
      <c r="B16" s="24" t="s">
        <v>48</v>
      </c>
      <c r="C16" s="20">
        <f>SUMIF('Data Combine'!$D:$D,$B16,'Data Combine'!F:F)</f>
        <v>2214500</v>
      </c>
      <c r="D16" s="20">
        <f>SUMIF('Data Combine'!$D:$D,$B16,'Data Combine'!G:G)</f>
        <v>1800500</v>
      </c>
      <c r="E16" s="20">
        <f>SUMIF('Data Combine'!$D:$D,$B16,'Data Combine'!H:H)</f>
        <v>2800000</v>
      </c>
      <c r="F16" s="20">
        <f>SUMIF('Data Combine'!$D:$D,$B16,'Data Combine'!I:I)</f>
        <v>1215000</v>
      </c>
      <c r="K16" s="12"/>
    </row>
    <row r="17" spans="1:11" x14ac:dyDescent="0.55000000000000004">
      <c r="A17" s="23">
        <v>16</v>
      </c>
      <c r="B17" s="24" t="s">
        <v>50</v>
      </c>
      <c r="C17" s="20">
        <f>SUMIF('Data Combine'!$D:$D,$B17,'Data Combine'!F:F)</f>
        <v>9.9999999947613105E-3</v>
      </c>
      <c r="D17" s="20">
        <f>SUMIF('Data Combine'!$D:$D,$B17,'Data Combine'!G:G)</f>
        <v>0</v>
      </c>
      <c r="E17" s="20">
        <f>SUMIF('Data Combine'!$D:$D,$B17,'Data Combine'!H:H)</f>
        <v>0</v>
      </c>
      <c r="F17" s="20">
        <f>SUMIF('Data Combine'!$D:$D,$B17,'Data Combine'!I:I)</f>
        <v>9.9999999947613105E-3</v>
      </c>
      <c r="K17" s="12"/>
    </row>
    <row r="18" spans="1:11" x14ac:dyDescent="0.55000000000000004">
      <c r="A18" s="23">
        <v>17</v>
      </c>
      <c r="B18" s="24" t="s">
        <v>65</v>
      </c>
      <c r="C18" s="20">
        <f>SUMIF('Data Combine'!$D:$D,$B18,'Data Combine'!F:F)</f>
        <v>0</v>
      </c>
      <c r="D18" s="20">
        <f>SUMIF('Data Combine'!$D:$D,$B18,'Data Combine'!G:G)</f>
        <v>0</v>
      </c>
      <c r="E18" s="20">
        <f>SUMIF('Data Combine'!$D:$D,$B18,'Data Combine'!H:H)</f>
        <v>0</v>
      </c>
      <c r="F18" s="20">
        <f>SUMIF('Data Combine'!$D:$D,$B18,'Data Combine'!I:I)</f>
        <v>0</v>
      </c>
      <c r="K18" s="12"/>
    </row>
    <row r="19" spans="1:11" x14ac:dyDescent="0.55000000000000004">
      <c r="A19" s="23">
        <v>18</v>
      </c>
      <c r="B19" s="24" t="s">
        <v>81</v>
      </c>
      <c r="C19" s="20">
        <f>SUMIF('Data Combine'!$D:$D,$B19,'Data Combine'!F:F)</f>
        <v>0</v>
      </c>
      <c r="D19" s="20">
        <f>SUMIF('Data Combine'!$D:$D,$B19,'Data Combine'!G:G)</f>
        <v>0</v>
      </c>
      <c r="E19" s="20">
        <f>SUMIF('Data Combine'!$D:$D,$B19,'Data Combine'!H:H)</f>
        <v>0</v>
      </c>
      <c r="F19" s="20">
        <f>SUMIF('Data Combine'!$D:$D,$B19,'Data Combine'!I:I)</f>
        <v>0</v>
      </c>
      <c r="K19" s="12"/>
    </row>
    <row r="20" spans="1:11" x14ac:dyDescent="0.55000000000000004">
      <c r="A20" s="23">
        <v>19</v>
      </c>
      <c r="B20" s="24" t="s">
        <v>82</v>
      </c>
      <c r="C20" s="20">
        <f>SUMIF('Data Combine'!$D:$D,$B20,'Data Combine'!F:F)</f>
        <v>143000</v>
      </c>
      <c r="D20" s="20">
        <f>SUMIF('Data Combine'!$D:$D,$B20,'Data Combine'!G:G)</f>
        <v>0</v>
      </c>
      <c r="E20" s="20">
        <f>SUMIF('Data Combine'!$D:$D,$B20,'Data Combine'!H:H)</f>
        <v>0</v>
      </c>
      <c r="F20" s="20">
        <f>SUMIF('Data Combine'!$D:$D,$B20,'Data Combine'!I:I)</f>
        <v>143000</v>
      </c>
      <c r="K20" s="12"/>
    </row>
    <row r="21" spans="1:11" x14ac:dyDescent="0.55000000000000004">
      <c r="A21" s="23">
        <v>20</v>
      </c>
      <c r="B21" s="24" t="s">
        <v>56</v>
      </c>
      <c r="C21" s="20">
        <f>SUMIF('Data Combine'!$D:$D,$B21,'Data Combine'!F:F)</f>
        <v>691721</v>
      </c>
      <c r="D21" s="20">
        <f>SUMIF('Data Combine'!$D:$D,$B21,'Data Combine'!G:G)</f>
        <v>1349486</v>
      </c>
      <c r="E21" s="20">
        <f>SUMIF('Data Combine'!$D:$D,$B21,'Data Combine'!H:H)</f>
        <v>1800000</v>
      </c>
      <c r="F21" s="20">
        <f>SUMIF('Data Combine'!$D:$D,$B21,'Data Combine'!I:I)</f>
        <v>241207</v>
      </c>
      <c r="K21"/>
    </row>
    <row r="22" spans="1:11" x14ac:dyDescent="0.55000000000000004">
      <c r="K22"/>
    </row>
    <row r="23" spans="1:11" ht="22.5" thickBot="1" x14ac:dyDescent="0.6">
      <c r="B23" s="26" t="s">
        <v>84</v>
      </c>
      <c r="C23" s="25">
        <f>SUM(C2:C22)</f>
        <v>30965487.010000002</v>
      </c>
      <c r="D23" s="25">
        <f>SUM(D2:D22)</f>
        <v>10665397</v>
      </c>
      <c r="E23" s="25">
        <f>SUM(E2:E22)</f>
        <v>14562452</v>
      </c>
      <c r="F23" s="25">
        <f>SUM(ZAN_25[Balance])</f>
        <v>27068432.010000002</v>
      </c>
      <c r="K23"/>
    </row>
    <row r="24" spans="1:11" ht="22.5" thickTop="1" x14ac:dyDescent="0.55000000000000004">
      <c r="K24"/>
    </row>
    <row r="25" spans="1:11" x14ac:dyDescent="0.55000000000000004">
      <c r="K25"/>
    </row>
    <row r="26" spans="1:11" x14ac:dyDescent="0.55000000000000004">
      <c r="K26"/>
    </row>
    <row r="27" spans="1:11" x14ac:dyDescent="0.55000000000000004">
      <c r="K27"/>
    </row>
  </sheetData>
  <pageMargins left="0.2" right="0.2" top="0.75" bottom="0.75" header="0.3" footer="0.3"/>
  <pageSetup paperSize="11" scale="70" orientation="portrait" verticalDpi="0" r:id="rId1"/>
  <ignoredErrors>
    <ignoredError sqref="D2:F2" calculatedColumn="1"/>
  </ignoredErrors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F123"/>
  <sheetViews>
    <sheetView workbookViewId="0">
      <selection activeCell="C13" sqref="C13"/>
    </sheetView>
  </sheetViews>
  <sheetFormatPr defaultColWidth="22.85546875" defaultRowHeight="21.75" x14ac:dyDescent="0.55000000000000004"/>
  <cols>
    <col min="1" max="1" width="34.5703125" style="43" customWidth="1"/>
    <col min="2" max="2" width="36" style="43" customWidth="1"/>
    <col min="3" max="6" width="22.85546875" style="116"/>
    <col min="7" max="16384" width="22.85546875" style="43"/>
  </cols>
  <sheetData>
    <row r="1" spans="1:6" x14ac:dyDescent="0.55000000000000004">
      <c r="A1" s="117" t="s">
        <v>94</v>
      </c>
      <c r="B1" s="117" t="s">
        <v>95</v>
      </c>
      <c r="C1" s="116" t="s">
        <v>240</v>
      </c>
      <c r="D1" s="116" t="s">
        <v>242</v>
      </c>
      <c r="E1" s="116" t="s">
        <v>241</v>
      </c>
      <c r="F1" s="116" t="s">
        <v>243</v>
      </c>
    </row>
    <row r="2" spans="1:6" x14ac:dyDescent="0.55000000000000004">
      <c r="A2" s="43" t="s">
        <v>9</v>
      </c>
      <c r="B2" s="43" t="s">
        <v>5</v>
      </c>
      <c r="C2" s="116">
        <v>630620</v>
      </c>
      <c r="F2" s="116">
        <v>630620</v>
      </c>
    </row>
    <row r="3" spans="1:6" x14ac:dyDescent="0.55000000000000004">
      <c r="A3" s="43" t="s">
        <v>9</v>
      </c>
      <c r="B3" s="43" t="s">
        <v>86</v>
      </c>
      <c r="D3" s="116">
        <v>44000</v>
      </c>
      <c r="F3" s="116">
        <v>-44000</v>
      </c>
    </row>
    <row r="4" spans="1:6" x14ac:dyDescent="0.55000000000000004">
      <c r="A4" s="43" t="s">
        <v>15</v>
      </c>
      <c r="B4" s="43" t="s">
        <v>5</v>
      </c>
      <c r="C4" s="116">
        <v>0</v>
      </c>
      <c r="F4" s="116">
        <v>0</v>
      </c>
    </row>
    <row r="5" spans="1:6" x14ac:dyDescent="0.55000000000000004">
      <c r="A5" s="43" t="s">
        <v>18</v>
      </c>
      <c r="B5" s="43" t="s">
        <v>164</v>
      </c>
      <c r="E5" s="116">
        <v>40250</v>
      </c>
      <c r="F5" s="116">
        <v>40250</v>
      </c>
    </row>
    <row r="6" spans="1:6" x14ac:dyDescent="0.55000000000000004">
      <c r="A6" s="43" t="s">
        <v>18</v>
      </c>
      <c r="B6" s="43" t="s">
        <v>165</v>
      </c>
      <c r="E6" s="116">
        <v>49000</v>
      </c>
      <c r="F6" s="116">
        <v>49000</v>
      </c>
    </row>
    <row r="7" spans="1:6" x14ac:dyDescent="0.55000000000000004">
      <c r="A7" s="43" t="s">
        <v>18</v>
      </c>
      <c r="B7" s="43" t="s">
        <v>166</v>
      </c>
      <c r="E7" s="116">
        <v>15600</v>
      </c>
      <c r="F7" s="116">
        <v>15600</v>
      </c>
    </row>
    <row r="8" spans="1:6" x14ac:dyDescent="0.55000000000000004">
      <c r="A8" s="43" t="s">
        <v>18</v>
      </c>
      <c r="B8" s="43" t="s">
        <v>167</v>
      </c>
      <c r="E8" s="116">
        <v>107000</v>
      </c>
      <c r="F8" s="116">
        <v>107000</v>
      </c>
    </row>
    <row r="9" spans="1:6" x14ac:dyDescent="0.55000000000000004">
      <c r="A9" s="43" t="s">
        <v>18</v>
      </c>
      <c r="B9" s="43" t="s">
        <v>168</v>
      </c>
      <c r="E9" s="116">
        <v>19600</v>
      </c>
      <c r="F9" s="116">
        <v>19600</v>
      </c>
    </row>
    <row r="10" spans="1:6" x14ac:dyDescent="0.55000000000000004">
      <c r="A10" s="43" t="s">
        <v>18</v>
      </c>
      <c r="B10" s="43" t="s">
        <v>169</v>
      </c>
      <c r="E10" s="116">
        <v>35000</v>
      </c>
      <c r="F10" s="116">
        <v>35000</v>
      </c>
    </row>
    <row r="11" spans="1:6" x14ac:dyDescent="0.55000000000000004">
      <c r="A11" s="43" t="s">
        <v>18</v>
      </c>
      <c r="B11" s="43" t="s">
        <v>170</v>
      </c>
      <c r="E11" s="116">
        <v>22900</v>
      </c>
      <c r="F11" s="116">
        <v>22900</v>
      </c>
    </row>
    <row r="12" spans="1:6" x14ac:dyDescent="0.55000000000000004">
      <c r="A12" s="43" t="s">
        <v>18</v>
      </c>
      <c r="B12" s="43" t="s">
        <v>171</v>
      </c>
      <c r="E12" s="116">
        <v>45000</v>
      </c>
      <c r="F12" s="116">
        <v>45000</v>
      </c>
    </row>
    <row r="13" spans="1:6" x14ac:dyDescent="0.55000000000000004">
      <c r="A13" s="43" t="s">
        <v>18</v>
      </c>
      <c r="B13" s="43" t="s">
        <v>172</v>
      </c>
      <c r="E13" s="116">
        <v>55500</v>
      </c>
      <c r="F13" s="116">
        <v>55500</v>
      </c>
    </row>
    <row r="14" spans="1:6" x14ac:dyDescent="0.55000000000000004">
      <c r="A14" s="43" t="s">
        <v>18</v>
      </c>
      <c r="B14" s="43" t="s">
        <v>173</v>
      </c>
      <c r="E14" s="116">
        <v>18000</v>
      </c>
      <c r="F14" s="116">
        <v>18000</v>
      </c>
    </row>
    <row r="15" spans="1:6" x14ac:dyDescent="0.55000000000000004">
      <c r="A15" s="43" t="s">
        <v>18</v>
      </c>
      <c r="B15" s="43" t="s">
        <v>5</v>
      </c>
      <c r="C15" s="116">
        <v>1496359</v>
      </c>
      <c r="F15" s="116">
        <v>1496359</v>
      </c>
    </row>
    <row r="16" spans="1:6" x14ac:dyDescent="0.55000000000000004">
      <c r="A16" s="43" t="s">
        <v>18</v>
      </c>
      <c r="B16" s="43" t="s">
        <v>174</v>
      </c>
      <c r="E16" s="116">
        <v>374375</v>
      </c>
      <c r="F16" s="116">
        <v>374375</v>
      </c>
    </row>
    <row r="17" spans="1:6" x14ac:dyDescent="0.55000000000000004">
      <c r="A17" s="43" t="s">
        <v>18</v>
      </c>
      <c r="B17" s="43" t="s">
        <v>175</v>
      </c>
      <c r="D17" s="116">
        <v>47760</v>
      </c>
      <c r="F17" s="116">
        <v>-47760</v>
      </c>
    </row>
    <row r="18" spans="1:6" x14ac:dyDescent="0.55000000000000004">
      <c r="A18" s="43" t="s">
        <v>18</v>
      </c>
      <c r="B18" s="43" t="s">
        <v>176</v>
      </c>
      <c r="E18" s="116">
        <v>149184</v>
      </c>
      <c r="F18" s="116">
        <v>149184</v>
      </c>
    </row>
    <row r="19" spans="1:6" x14ac:dyDescent="0.55000000000000004">
      <c r="A19" s="43" t="s">
        <v>18</v>
      </c>
      <c r="B19" s="43" t="s">
        <v>177</v>
      </c>
      <c r="E19" s="116">
        <v>1181672</v>
      </c>
      <c r="F19" s="116">
        <v>1181672</v>
      </c>
    </row>
    <row r="20" spans="1:6" x14ac:dyDescent="0.55000000000000004">
      <c r="A20" s="43" t="s">
        <v>18</v>
      </c>
      <c r="B20" s="43" t="s">
        <v>178</v>
      </c>
      <c r="E20" s="116">
        <v>155080</v>
      </c>
      <c r="F20" s="116">
        <v>155080</v>
      </c>
    </row>
    <row r="21" spans="1:6" x14ac:dyDescent="0.55000000000000004">
      <c r="A21" s="43" t="s">
        <v>18</v>
      </c>
      <c r="B21" s="43" t="s">
        <v>179</v>
      </c>
      <c r="E21" s="116">
        <v>64845</v>
      </c>
      <c r="F21" s="116">
        <v>64845</v>
      </c>
    </row>
    <row r="22" spans="1:6" x14ac:dyDescent="0.55000000000000004">
      <c r="A22" s="43" t="s">
        <v>18</v>
      </c>
      <c r="B22" s="43" t="s">
        <v>180</v>
      </c>
      <c r="E22" s="116">
        <v>219280</v>
      </c>
      <c r="F22" s="116">
        <v>219280</v>
      </c>
    </row>
    <row r="23" spans="1:6" x14ac:dyDescent="0.55000000000000004">
      <c r="A23" s="43" t="s">
        <v>18</v>
      </c>
      <c r="B23" s="43" t="s">
        <v>181</v>
      </c>
      <c r="E23" s="116">
        <v>53040</v>
      </c>
      <c r="F23" s="116">
        <v>53040</v>
      </c>
    </row>
    <row r="24" spans="1:6" x14ac:dyDescent="0.55000000000000004">
      <c r="A24" s="43" t="s">
        <v>18</v>
      </c>
      <c r="B24" s="43" t="s">
        <v>182</v>
      </c>
      <c r="E24" s="116">
        <v>182355</v>
      </c>
      <c r="F24" s="116">
        <v>182355</v>
      </c>
    </row>
    <row r="25" spans="1:6" x14ac:dyDescent="0.55000000000000004">
      <c r="A25" s="43" t="s">
        <v>18</v>
      </c>
      <c r="B25" s="43" t="s">
        <v>183</v>
      </c>
      <c r="E25" s="116">
        <v>134604</v>
      </c>
      <c r="F25" s="116">
        <v>134604</v>
      </c>
    </row>
    <row r="26" spans="1:6" x14ac:dyDescent="0.55000000000000004">
      <c r="A26" s="43" t="s">
        <v>18</v>
      </c>
      <c r="B26" s="43" t="s">
        <v>184</v>
      </c>
      <c r="E26" s="116">
        <v>254288</v>
      </c>
      <c r="F26" s="116">
        <v>254288</v>
      </c>
    </row>
    <row r="27" spans="1:6" x14ac:dyDescent="0.55000000000000004">
      <c r="A27" s="43" t="s">
        <v>18</v>
      </c>
      <c r="B27" s="43" t="s">
        <v>185</v>
      </c>
      <c r="E27" s="116">
        <v>180249</v>
      </c>
      <c r="F27" s="116">
        <v>180249</v>
      </c>
    </row>
    <row r="28" spans="1:6" x14ac:dyDescent="0.55000000000000004">
      <c r="A28" s="43" t="s">
        <v>18</v>
      </c>
      <c r="B28" s="43" t="s">
        <v>186</v>
      </c>
      <c r="E28" s="116">
        <v>709987</v>
      </c>
      <c r="F28" s="116">
        <v>709987</v>
      </c>
    </row>
    <row r="29" spans="1:6" x14ac:dyDescent="0.55000000000000004">
      <c r="A29" s="43" t="s">
        <v>18</v>
      </c>
      <c r="B29" s="43" t="s">
        <v>187</v>
      </c>
      <c r="E29" s="116">
        <v>585745</v>
      </c>
      <c r="F29" s="116">
        <v>585745</v>
      </c>
    </row>
    <row r="30" spans="1:6" x14ac:dyDescent="0.55000000000000004">
      <c r="A30" s="43" t="s">
        <v>18</v>
      </c>
      <c r="B30" s="43" t="s">
        <v>188</v>
      </c>
      <c r="E30" s="116">
        <v>80830</v>
      </c>
      <c r="F30" s="116">
        <v>80830</v>
      </c>
    </row>
    <row r="31" spans="1:6" x14ac:dyDescent="0.55000000000000004">
      <c r="A31" s="43" t="s">
        <v>18</v>
      </c>
      <c r="B31" s="43" t="s">
        <v>189</v>
      </c>
      <c r="E31" s="116">
        <v>54540</v>
      </c>
      <c r="F31" s="116">
        <v>54540</v>
      </c>
    </row>
    <row r="32" spans="1:6" x14ac:dyDescent="0.55000000000000004">
      <c r="A32" s="43" t="s">
        <v>18</v>
      </c>
      <c r="B32" s="43" t="s">
        <v>190</v>
      </c>
      <c r="E32" s="116">
        <v>520465</v>
      </c>
      <c r="F32" s="116">
        <v>520465</v>
      </c>
    </row>
    <row r="33" spans="1:6" x14ac:dyDescent="0.55000000000000004">
      <c r="A33" s="43" t="s">
        <v>18</v>
      </c>
      <c r="B33" s="43" t="s">
        <v>191</v>
      </c>
      <c r="E33" s="116">
        <v>120465</v>
      </c>
      <c r="F33" s="116">
        <v>120465</v>
      </c>
    </row>
    <row r="34" spans="1:6" x14ac:dyDescent="0.55000000000000004">
      <c r="A34" s="43" t="s">
        <v>18</v>
      </c>
      <c r="B34" s="43" t="s">
        <v>192</v>
      </c>
      <c r="E34" s="116">
        <v>105000</v>
      </c>
      <c r="F34" s="116">
        <v>105000</v>
      </c>
    </row>
    <row r="35" spans="1:6" x14ac:dyDescent="0.55000000000000004">
      <c r="A35" s="43" t="s">
        <v>18</v>
      </c>
      <c r="B35" s="43" t="s">
        <v>193</v>
      </c>
      <c r="E35" s="116">
        <v>183710</v>
      </c>
      <c r="F35" s="116">
        <v>183710</v>
      </c>
    </row>
    <row r="36" spans="1:6" x14ac:dyDescent="0.55000000000000004">
      <c r="A36" s="43" t="s">
        <v>18</v>
      </c>
      <c r="B36" s="43" t="s">
        <v>86</v>
      </c>
      <c r="D36" s="116">
        <v>5996359</v>
      </c>
      <c r="F36" s="116">
        <v>-5996359</v>
      </c>
    </row>
    <row r="37" spans="1:6" x14ac:dyDescent="0.55000000000000004">
      <c r="A37" s="43" t="s">
        <v>18</v>
      </c>
      <c r="B37" s="43" t="s">
        <v>194</v>
      </c>
      <c r="D37" s="116">
        <v>41000</v>
      </c>
      <c r="F37" s="116">
        <v>-41000</v>
      </c>
    </row>
    <row r="38" spans="1:6" x14ac:dyDescent="0.55000000000000004">
      <c r="A38" s="43" t="s">
        <v>74</v>
      </c>
      <c r="B38" s="43" t="s">
        <v>195</v>
      </c>
      <c r="E38" s="116">
        <v>980400</v>
      </c>
      <c r="F38" s="116">
        <v>980400</v>
      </c>
    </row>
    <row r="39" spans="1:6" x14ac:dyDescent="0.55000000000000004">
      <c r="A39" s="43" t="s">
        <v>74</v>
      </c>
      <c r="B39" s="43" t="s">
        <v>5</v>
      </c>
      <c r="C39" s="116">
        <v>851960</v>
      </c>
      <c r="F39" s="116">
        <v>851960</v>
      </c>
    </row>
    <row r="40" spans="1:6" x14ac:dyDescent="0.55000000000000004">
      <c r="A40" s="43" t="s">
        <v>74</v>
      </c>
      <c r="B40" s="43" t="s">
        <v>86</v>
      </c>
      <c r="D40" s="116">
        <v>852000</v>
      </c>
      <c r="F40" s="116">
        <v>-852000</v>
      </c>
    </row>
    <row r="41" spans="1:6" x14ac:dyDescent="0.55000000000000004">
      <c r="A41" s="43" t="s">
        <v>76</v>
      </c>
      <c r="B41" s="43" t="s">
        <v>196</v>
      </c>
      <c r="E41" s="116">
        <v>570000</v>
      </c>
      <c r="F41" s="116">
        <v>570000</v>
      </c>
    </row>
    <row r="42" spans="1:6" x14ac:dyDescent="0.55000000000000004">
      <c r="A42" s="43" t="s">
        <v>76</v>
      </c>
      <c r="B42" s="43" t="s">
        <v>197</v>
      </c>
      <c r="E42" s="116">
        <v>5920000</v>
      </c>
      <c r="F42" s="116">
        <v>5920000</v>
      </c>
    </row>
    <row r="43" spans="1:6" x14ac:dyDescent="0.55000000000000004">
      <c r="A43" s="43" t="s">
        <v>76</v>
      </c>
      <c r="B43" s="43" t="s">
        <v>5</v>
      </c>
      <c r="C43" s="116">
        <v>3917000</v>
      </c>
      <c r="F43" s="116">
        <v>3917000</v>
      </c>
    </row>
    <row r="44" spans="1:6" x14ac:dyDescent="0.55000000000000004">
      <c r="A44" s="43" t="s">
        <v>76</v>
      </c>
      <c r="B44" s="43" t="s">
        <v>198</v>
      </c>
      <c r="E44" s="116">
        <v>6903000</v>
      </c>
      <c r="F44" s="116">
        <v>6903000</v>
      </c>
    </row>
    <row r="45" spans="1:6" x14ac:dyDescent="0.55000000000000004">
      <c r="A45" s="43" t="s">
        <v>76</v>
      </c>
      <c r="B45" s="43" t="s">
        <v>199</v>
      </c>
      <c r="E45" s="116">
        <v>3943000</v>
      </c>
      <c r="F45" s="116">
        <v>3943000</v>
      </c>
    </row>
    <row r="46" spans="1:6" x14ac:dyDescent="0.55000000000000004">
      <c r="A46" s="43" t="s">
        <v>76</v>
      </c>
      <c r="B46" s="43" t="s">
        <v>86</v>
      </c>
      <c r="D46" s="116">
        <v>20503000</v>
      </c>
      <c r="F46" s="116">
        <v>-20503000</v>
      </c>
    </row>
    <row r="47" spans="1:6" x14ac:dyDescent="0.55000000000000004">
      <c r="A47" s="43" t="s">
        <v>75</v>
      </c>
      <c r="B47" s="43" t="s">
        <v>200</v>
      </c>
      <c r="D47" s="116">
        <v>8866000</v>
      </c>
      <c r="F47" s="116">
        <v>-8866000</v>
      </c>
    </row>
    <row r="48" spans="1:6" x14ac:dyDescent="0.55000000000000004">
      <c r="A48" s="43" t="s">
        <v>75</v>
      </c>
      <c r="B48" s="43" t="s">
        <v>201</v>
      </c>
      <c r="E48" s="116">
        <v>4300000</v>
      </c>
      <c r="F48" s="116">
        <v>4300000</v>
      </c>
    </row>
    <row r="49" spans="1:6" x14ac:dyDescent="0.55000000000000004">
      <c r="A49" s="43" t="s">
        <v>75</v>
      </c>
      <c r="B49" s="43" t="s">
        <v>202</v>
      </c>
      <c r="E49" s="116">
        <v>9270000</v>
      </c>
      <c r="F49" s="116">
        <v>9270000</v>
      </c>
    </row>
    <row r="50" spans="1:6" x14ac:dyDescent="0.55000000000000004">
      <c r="A50" s="43" t="s">
        <v>75</v>
      </c>
      <c r="B50" s="43" t="s">
        <v>5</v>
      </c>
      <c r="C50" s="116">
        <v>18952000</v>
      </c>
      <c r="F50" s="116">
        <v>18952000</v>
      </c>
    </row>
    <row r="51" spans="1:6" x14ac:dyDescent="0.55000000000000004">
      <c r="A51" s="43" t="s">
        <v>75</v>
      </c>
      <c r="B51" s="43" t="s">
        <v>203</v>
      </c>
      <c r="E51" s="116">
        <v>24000</v>
      </c>
      <c r="F51" s="116">
        <v>24000</v>
      </c>
    </row>
    <row r="52" spans="1:6" x14ac:dyDescent="0.55000000000000004">
      <c r="A52" s="43" t="s">
        <v>75</v>
      </c>
      <c r="B52" s="43" t="s">
        <v>204</v>
      </c>
      <c r="D52" s="116">
        <v>3090000</v>
      </c>
      <c r="F52" s="116">
        <v>-3090000</v>
      </c>
    </row>
    <row r="53" spans="1:6" x14ac:dyDescent="0.55000000000000004">
      <c r="A53" s="43" t="s">
        <v>75</v>
      </c>
      <c r="B53" s="43" t="s">
        <v>205</v>
      </c>
      <c r="D53" s="116">
        <v>2380000</v>
      </c>
      <c r="F53" s="116">
        <v>-2380000</v>
      </c>
    </row>
    <row r="54" spans="1:6" x14ac:dyDescent="0.55000000000000004">
      <c r="A54" s="43" t="s">
        <v>75</v>
      </c>
      <c r="B54" s="43" t="s">
        <v>206</v>
      </c>
      <c r="E54" s="116">
        <v>3000000</v>
      </c>
      <c r="F54" s="116">
        <v>3000000</v>
      </c>
    </row>
    <row r="55" spans="1:6" x14ac:dyDescent="0.55000000000000004">
      <c r="A55" s="43" t="s">
        <v>75</v>
      </c>
      <c r="B55" s="43" t="s">
        <v>207</v>
      </c>
      <c r="D55" s="116">
        <v>4470000</v>
      </c>
      <c r="F55" s="116">
        <v>-4470000</v>
      </c>
    </row>
    <row r="56" spans="1:6" x14ac:dyDescent="0.55000000000000004">
      <c r="A56" s="43" t="s">
        <v>29</v>
      </c>
      <c r="B56" s="43" t="s">
        <v>5</v>
      </c>
      <c r="C56" s="116">
        <v>4027640</v>
      </c>
      <c r="F56" s="116">
        <v>4027640</v>
      </c>
    </row>
    <row r="57" spans="1:6" x14ac:dyDescent="0.55000000000000004">
      <c r="A57" s="43" t="s">
        <v>29</v>
      </c>
      <c r="B57" s="43" t="s">
        <v>89</v>
      </c>
      <c r="E57" s="116">
        <v>238000</v>
      </c>
      <c r="F57" s="116">
        <v>238000</v>
      </c>
    </row>
    <row r="58" spans="1:6" x14ac:dyDescent="0.55000000000000004">
      <c r="A58" s="43" t="s">
        <v>29</v>
      </c>
      <c r="B58" s="43" t="s">
        <v>90</v>
      </c>
      <c r="E58" s="116">
        <v>184000</v>
      </c>
      <c r="F58" s="116">
        <v>184000</v>
      </c>
    </row>
    <row r="59" spans="1:6" x14ac:dyDescent="0.55000000000000004">
      <c r="A59" s="43" t="s">
        <v>29</v>
      </c>
      <c r="B59" s="43" t="s">
        <v>87</v>
      </c>
      <c r="D59" s="116">
        <v>71100</v>
      </c>
      <c r="F59" s="116">
        <v>-71100</v>
      </c>
    </row>
    <row r="60" spans="1:6" x14ac:dyDescent="0.55000000000000004">
      <c r="A60" s="43" t="s">
        <v>29</v>
      </c>
      <c r="B60" s="43" t="s">
        <v>88</v>
      </c>
      <c r="E60" s="116">
        <v>1209500</v>
      </c>
      <c r="F60" s="116">
        <v>1209500</v>
      </c>
    </row>
    <row r="61" spans="1:6" x14ac:dyDescent="0.55000000000000004">
      <c r="A61" s="43" t="s">
        <v>29</v>
      </c>
      <c r="B61" s="43" t="s">
        <v>103</v>
      </c>
      <c r="E61" s="116">
        <v>439100</v>
      </c>
      <c r="F61" s="116">
        <v>439100</v>
      </c>
    </row>
    <row r="62" spans="1:6" x14ac:dyDescent="0.55000000000000004">
      <c r="A62" s="43" t="s">
        <v>29</v>
      </c>
      <c r="B62" s="43" t="s">
        <v>104</v>
      </c>
      <c r="E62" s="116">
        <v>355800</v>
      </c>
      <c r="F62" s="116">
        <v>355800</v>
      </c>
    </row>
    <row r="63" spans="1:6" x14ac:dyDescent="0.55000000000000004">
      <c r="A63" s="43" t="s">
        <v>29</v>
      </c>
      <c r="B63" s="43" t="s">
        <v>85</v>
      </c>
      <c r="D63" s="116">
        <v>1000090</v>
      </c>
      <c r="F63" s="116">
        <v>-1000090</v>
      </c>
    </row>
    <row r="64" spans="1:6" x14ac:dyDescent="0.55000000000000004">
      <c r="A64" s="43" t="s">
        <v>29</v>
      </c>
      <c r="B64" s="43" t="s">
        <v>86</v>
      </c>
      <c r="D64" s="116">
        <v>1761500</v>
      </c>
      <c r="F64" s="116">
        <v>-1761500</v>
      </c>
    </row>
    <row r="65" spans="1:6" x14ac:dyDescent="0.55000000000000004">
      <c r="A65" s="43" t="s">
        <v>29</v>
      </c>
      <c r="B65" s="43" t="s">
        <v>105</v>
      </c>
      <c r="D65" s="116">
        <v>2000000</v>
      </c>
      <c r="F65" s="116">
        <v>-2000000</v>
      </c>
    </row>
    <row r="66" spans="1:6" x14ac:dyDescent="0.55000000000000004">
      <c r="A66" s="43" t="s">
        <v>29</v>
      </c>
      <c r="B66" s="43" t="s">
        <v>106</v>
      </c>
      <c r="D66" s="116">
        <v>484000</v>
      </c>
      <c r="F66" s="116">
        <v>-484000</v>
      </c>
    </row>
    <row r="67" spans="1:6" x14ac:dyDescent="0.55000000000000004">
      <c r="A67" s="43" t="s">
        <v>77</v>
      </c>
      <c r="B67" s="43" t="s">
        <v>208</v>
      </c>
      <c r="E67" s="116">
        <v>131500</v>
      </c>
      <c r="F67" s="116">
        <v>131500</v>
      </c>
    </row>
    <row r="68" spans="1:6" x14ac:dyDescent="0.55000000000000004">
      <c r="A68" s="43" t="s">
        <v>77</v>
      </c>
      <c r="B68" s="43" t="s">
        <v>209</v>
      </c>
      <c r="E68" s="116">
        <v>213150</v>
      </c>
      <c r="F68" s="116">
        <v>213150</v>
      </c>
    </row>
    <row r="69" spans="1:6" x14ac:dyDescent="0.55000000000000004">
      <c r="A69" s="43" t="s">
        <v>77</v>
      </c>
      <c r="B69" s="43" t="s">
        <v>210</v>
      </c>
      <c r="E69" s="116">
        <v>270000</v>
      </c>
      <c r="F69" s="116">
        <v>270000</v>
      </c>
    </row>
    <row r="70" spans="1:6" x14ac:dyDescent="0.55000000000000004">
      <c r="A70" s="43" t="s">
        <v>77</v>
      </c>
      <c r="B70" s="43" t="s">
        <v>211</v>
      </c>
      <c r="E70" s="116">
        <v>23500</v>
      </c>
      <c r="F70" s="116">
        <v>23500</v>
      </c>
    </row>
    <row r="71" spans="1:6" x14ac:dyDescent="0.55000000000000004">
      <c r="A71" s="43" t="s">
        <v>77</v>
      </c>
      <c r="B71" s="43" t="s">
        <v>212</v>
      </c>
      <c r="E71" s="116">
        <v>270500</v>
      </c>
      <c r="F71" s="116">
        <v>270500</v>
      </c>
    </row>
    <row r="72" spans="1:6" x14ac:dyDescent="0.55000000000000004">
      <c r="A72" s="43" t="s">
        <v>77</v>
      </c>
      <c r="B72" s="43" t="s">
        <v>5</v>
      </c>
      <c r="C72" s="116">
        <v>1696980</v>
      </c>
      <c r="F72" s="116">
        <v>1696980</v>
      </c>
    </row>
    <row r="73" spans="1:6" x14ac:dyDescent="0.55000000000000004">
      <c r="A73" s="43" t="s">
        <v>77</v>
      </c>
      <c r="B73" s="43" t="s">
        <v>86</v>
      </c>
      <c r="D73" s="116">
        <v>1000000</v>
      </c>
      <c r="F73" s="116">
        <v>-1000000</v>
      </c>
    </row>
    <row r="74" spans="1:6" x14ac:dyDescent="0.55000000000000004">
      <c r="A74" s="43" t="s">
        <v>58</v>
      </c>
      <c r="B74" s="43" t="s">
        <v>5</v>
      </c>
      <c r="C74" s="116">
        <v>738150</v>
      </c>
      <c r="F74" s="116">
        <v>738150</v>
      </c>
    </row>
    <row r="75" spans="1:6" x14ac:dyDescent="0.55000000000000004">
      <c r="A75" s="43" t="s">
        <v>58</v>
      </c>
      <c r="B75" s="43" t="s">
        <v>86</v>
      </c>
      <c r="D75" s="116">
        <v>693900</v>
      </c>
      <c r="F75" s="116">
        <v>-693900</v>
      </c>
    </row>
    <row r="76" spans="1:6" x14ac:dyDescent="0.55000000000000004">
      <c r="A76" s="43" t="s">
        <v>58</v>
      </c>
      <c r="B76" s="43" t="s">
        <v>213</v>
      </c>
      <c r="D76" s="116">
        <v>44250</v>
      </c>
      <c r="F76" s="116">
        <v>-44250</v>
      </c>
    </row>
    <row r="77" spans="1:6" x14ac:dyDescent="0.55000000000000004">
      <c r="A77" s="43" t="s">
        <v>42</v>
      </c>
      <c r="B77" s="43" t="s">
        <v>214</v>
      </c>
      <c r="E77" s="116">
        <v>267000</v>
      </c>
      <c r="F77" s="116">
        <v>267000</v>
      </c>
    </row>
    <row r="78" spans="1:6" x14ac:dyDescent="0.55000000000000004">
      <c r="A78" s="43" t="s">
        <v>42</v>
      </c>
      <c r="B78" s="43" t="s">
        <v>5</v>
      </c>
      <c r="C78" s="116">
        <v>0</v>
      </c>
      <c r="F78" s="116">
        <v>0</v>
      </c>
    </row>
    <row r="79" spans="1:6" x14ac:dyDescent="0.55000000000000004">
      <c r="A79" s="43" t="s">
        <v>42</v>
      </c>
      <c r="B79" s="43" t="s">
        <v>215</v>
      </c>
      <c r="E79" s="116">
        <v>200000</v>
      </c>
      <c r="F79" s="116">
        <v>200000</v>
      </c>
    </row>
    <row r="80" spans="1:6" x14ac:dyDescent="0.55000000000000004">
      <c r="A80" s="43" t="s">
        <v>42</v>
      </c>
      <c r="B80" s="43" t="s">
        <v>86</v>
      </c>
      <c r="D80" s="116">
        <v>467000</v>
      </c>
      <c r="F80" s="116">
        <v>-467000</v>
      </c>
    </row>
    <row r="81" spans="1:6" x14ac:dyDescent="0.55000000000000004">
      <c r="A81" s="43" t="s">
        <v>78</v>
      </c>
      <c r="B81" s="43" t="s">
        <v>216</v>
      </c>
      <c r="E81" s="116">
        <v>78500</v>
      </c>
      <c r="F81" s="116">
        <v>78500</v>
      </c>
    </row>
    <row r="82" spans="1:6" x14ac:dyDescent="0.55000000000000004">
      <c r="A82" s="43" t="s">
        <v>78</v>
      </c>
      <c r="B82" s="43" t="s">
        <v>5</v>
      </c>
      <c r="C82" s="116">
        <v>0</v>
      </c>
      <c r="F82" s="116">
        <v>0</v>
      </c>
    </row>
    <row r="83" spans="1:6" x14ac:dyDescent="0.55000000000000004">
      <c r="A83" s="43" t="s">
        <v>78</v>
      </c>
      <c r="B83" s="43" t="s">
        <v>217</v>
      </c>
      <c r="E83" s="116">
        <v>535550</v>
      </c>
      <c r="F83" s="116">
        <v>535550</v>
      </c>
    </row>
    <row r="84" spans="1:6" x14ac:dyDescent="0.55000000000000004">
      <c r="A84" s="43" t="s">
        <v>78</v>
      </c>
      <c r="B84" s="43" t="s">
        <v>86</v>
      </c>
      <c r="D84" s="116">
        <v>614050</v>
      </c>
      <c r="F84" s="116">
        <v>-614050</v>
      </c>
    </row>
    <row r="85" spans="1:6" x14ac:dyDescent="0.55000000000000004">
      <c r="A85" s="43" t="s">
        <v>44</v>
      </c>
      <c r="B85" s="43" t="s">
        <v>5</v>
      </c>
      <c r="C85" s="116">
        <v>2208992</v>
      </c>
      <c r="F85" s="116">
        <v>2208992</v>
      </c>
    </row>
    <row r="86" spans="1:6" x14ac:dyDescent="0.55000000000000004">
      <c r="A86" s="43" t="s">
        <v>79</v>
      </c>
      <c r="B86" s="43" t="s">
        <v>218</v>
      </c>
      <c r="E86" s="116">
        <v>221200</v>
      </c>
      <c r="F86" s="116">
        <v>221200</v>
      </c>
    </row>
    <row r="87" spans="1:6" x14ac:dyDescent="0.55000000000000004">
      <c r="A87" s="43" t="s">
        <v>79</v>
      </c>
      <c r="B87" s="43" t="s">
        <v>219</v>
      </c>
      <c r="E87" s="116">
        <v>2178500</v>
      </c>
      <c r="F87" s="116">
        <v>2178500</v>
      </c>
    </row>
    <row r="88" spans="1:6" x14ac:dyDescent="0.55000000000000004">
      <c r="A88" s="43" t="s">
        <v>79</v>
      </c>
      <c r="B88" s="43" t="s">
        <v>220</v>
      </c>
      <c r="E88" s="116">
        <v>33000</v>
      </c>
      <c r="F88" s="116">
        <v>33000</v>
      </c>
    </row>
    <row r="89" spans="1:6" x14ac:dyDescent="0.55000000000000004">
      <c r="A89" s="43" t="s">
        <v>79</v>
      </c>
      <c r="B89" s="43" t="s">
        <v>221</v>
      </c>
      <c r="E89" s="116">
        <v>180000</v>
      </c>
      <c r="F89" s="116">
        <v>180000</v>
      </c>
    </row>
    <row r="90" spans="1:6" x14ac:dyDescent="0.55000000000000004">
      <c r="A90" s="43" t="s">
        <v>79</v>
      </c>
      <c r="B90" s="43" t="s">
        <v>222</v>
      </c>
      <c r="E90" s="116">
        <v>76600</v>
      </c>
      <c r="F90" s="116">
        <v>76600</v>
      </c>
    </row>
    <row r="91" spans="1:6" x14ac:dyDescent="0.55000000000000004">
      <c r="A91" s="43" t="s">
        <v>79</v>
      </c>
      <c r="B91" s="43" t="s">
        <v>5</v>
      </c>
      <c r="C91" s="116">
        <v>2778210</v>
      </c>
      <c r="F91" s="116">
        <v>2778210</v>
      </c>
    </row>
    <row r="92" spans="1:6" x14ac:dyDescent="0.55000000000000004">
      <c r="A92" s="43" t="s">
        <v>79</v>
      </c>
      <c r="B92" s="43" t="s">
        <v>223</v>
      </c>
      <c r="E92" s="116">
        <v>1812000</v>
      </c>
      <c r="F92" s="116">
        <v>1812000</v>
      </c>
    </row>
    <row r="93" spans="1:6" x14ac:dyDescent="0.55000000000000004">
      <c r="A93" s="43" t="s">
        <v>79</v>
      </c>
      <c r="B93" s="43" t="s">
        <v>86</v>
      </c>
      <c r="D93" s="116">
        <v>5500000</v>
      </c>
      <c r="F93" s="116">
        <v>-5500000</v>
      </c>
    </row>
    <row r="94" spans="1:6" x14ac:dyDescent="0.55000000000000004">
      <c r="A94" s="43" t="s">
        <v>80</v>
      </c>
      <c r="B94" s="43" t="s">
        <v>224</v>
      </c>
      <c r="E94" s="116">
        <v>999000</v>
      </c>
      <c r="F94" s="116">
        <v>999000</v>
      </c>
    </row>
    <row r="95" spans="1:6" x14ac:dyDescent="0.55000000000000004">
      <c r="A95" s="43" t="s">
        <v>80</v>
      </c>
      <c r="B95" s="43" t="s">
        <v>5</v>
      </c>
      <c r="C95" s="116">
        <v>2754773</v>
      </c>
      <c r="F95" s="116">
        <v>2754773</v>
      </c>
    </row>
    <row r="96" spans="1:6" x14ac:dyDescent="0.55000000000000004">
      <c r="A96" s="43" t="s">
        <v>80</v>
      </c>
      <c r="B96" s="43" t="s">
        <v>86</v>
      </c>
      <c r="D96" s="116">
        <v>2606850</v>
      </c>
      <c r="F96" s="116">
        <v>-2606850</v>
      </c>
    </row>
    <row r="97" spans="1:6" x14ac:dyDescent="0.55000000000000004">
      <c r="A97" s="43" t="s">
        <v>80</v>
      </c>
      <c r="B97" s="43" t="s">
        <v>225</v>
      </c>
      <c r="D97" s="116">
        <v>147923</v>
      </c>
      <c r="F97" s="116">
        <v>-147923</v>
      </c>
    </row>
    <row r="98" spans="1:6" x14ac:dyDescent="0.55000000000000004">
      <c r="A98" s="43" t="s">
        <v>48</v>
      </c>
      <c r="B98" s="43" t="s">
        <v>226</v>
      </c>
      <c r="E98" s="116">
        <v>840000</v>
      </c>
      <c r="F98" s="116">
        <v>840000</v>
      </c>
    </row>
    <row r="99" spans="1:6" x14ac:dyDescent="0.55000000000000004">
      <c r="A99" s="43" t="s">
        <v>48</v>
      </c>
      <c r="B99" s="43" t="s">
        <v>5</v>
      </c>
      <c r="C99" s="116">
        <v>5502500</v>
      </c>
      <c r="F99" s="116">
        <v>5502500</v>
      </c>
    </row>
    <row r="100" spans="1:6" x14ac:dyDescent="0.55000000000000004">
      <c r="A100" s="43" t="s">
        <v>48</v>
      </c>
      <c r="B100" s="43" t="s">
        <v>227</v>
      </c>
      <c r="E100" s="116">
        <v>285000</v>
      </c>
      <c r="F100" s="116">
        <v>285000</v>
      </c>
    </row>
    <row r="101" spans="1:6" x14ac:dyDescent="0.55000000000000004">
      <c r="A101" s="43" t="s">
        <v>48</v>
      </c>
      <c r="B101" s="43" t="s">
        <v>228</v>
      </c>
      <c r="E101" s="116">
        <v>87000</v>
      </c>
      <c r="F101" s="116">
        <v>87000</v>
      </c>
    </row>
    <row r="102" spans="1:6" x14ac:dyDescent="0.55000000000000004">
      <c r="A102" s="43" t="s">
        <v>48</v>
      </c>
      <c r="B102" s="43" t="s">
        <v>86</v>
      </c>
      <c r="D102" s="116">
        <v>4500000</v>
      </c>
      <c r="F102" s="116">
        <v>-4500000</v>
      </c>
    </row>
    <row r="103" spans="1:6" x14ac:dyDescent="0.55000000000000004">
      <c r="A103" s="43" t="s">
        <v>50</v>
      </c>
      <c r="B103" s="43" t="s">
        <v>5</v>
      </c>
      <c r="C103" s="116">
        <v>117000.01</v>
      </c>
      <c r="F103" s="116">
        <v>117000.01</v>
      </c>
    </row>
    <row r="104" spans="1:6" x14ac:dyDescent="0.55000000000000004">
      <c r="A104" s="43" t="s">
        <v>50</v>
      </c>
      <c r="B104" s="43" t="s">
        <v>86</v>
      </c>
      <c r="D104" s="116">
        <v>117000</v>
      </c>
      <c r="F104" s="116">
        <v>-117000</v>
      </c>
    </row>
    <row r="105" spans="1:6" x14ac:dyDescent="0.55000000000000004">
      <c r="A105" s="43" t="s">
        <v>65</v>
      </c>
      <c r="B105" s="43" t="s">
        <v>5</v>
      </c>
      <c r="F105" s="116">
        <v>0</v>
      </c>
    </row>
    <row r="106" spans="1:6" x14ac:dyDescent="0.55000000000000004">
      <c r="A106" s="43" t="s">
        <v>81</v>
      </c>
      <c r="B106" s="43" t="s">
        <v>5</v>
      </c>
      <c r="C106" s="116">
        <v>1145500</v>
      </c>
      <c r="F106" s="116">
        <v>1145500</v>
      </c>
    </row>
    <row r="107" spans="1:6" x14ac:dyDescent="0.55000000000000004">
      <c r="A107" s="43" t="s">
        <v>81</v>
      </c>
      <c r="B107" s="43" t="s">
        <v>86</v>
      </c>
      <c r="D107" s="116">
        <v>1145500</v>
      </c>
      <c r="F107" s="116">
        <v>-1145500</v>
      </c>
    </row>
    <row r="108" spans="1:6" x14ac:dyDescent="0.55000000000000004">
      <c r="A108" s="43" t="s">
        <v>82</v>
      </c>
      <c r="B108" s="43" t="s">
        <v>5</v>
      </c>
      <c r="C108" s="116">
        <v>143000</v>
      </c>
      <c r="F108" s="116">
        <v>143000</v>
      </c>
    </row>
    <row r="109" spans="1:6" x14ac:dyDescent="0.55000000000000004">
      <c r="A109" s="43" t="s">
        <v>56</v>
      </c>
      <c r="B109" s="43" t="s">
        <v>229</v>
      </c>
      <c r="E109" s="116">
        <v>94106</v>
      </c>
      <c r="F109" s="116">
        <v>94106</v>
      </c>
    </row>
    <row r="110" spans="1:6" x14ac:dyDescent="0.55000000000000004">
      <c r="A110" s="43" t="s">
        <v>56</v>
      </c>
      <c r="B110" s="43" t="s">
        <v>230</v>
      </c>
      <c r="E110" s="116">
        <v>561858</v>
      </c>
      <c r="F110" s="116">
        <v>561858</v>
      </c>
    </row>
    <row r="111" spans="1:6" x14ac:dyDescent="0.55000000000000004">
      <c r="A111" s="43" t="s">
        <v>56</v>
      </c>
      <c r="B111" s="43" t="s">
        <v>5</v>
      </c>
      <c r="C111" s="116">
        <v>1528630</v>
      </c>
      <c r="F111" s="116">
        <v>1528630</v>
      </c>
    </row>
    <row r="112" spans="1:6" x14ac:dyDescent="0.55000000000000004">
      <c r="A112" s="43" t="s">
        <v>56</v>
      </c>
      <c r="B112" s="43" t="s">
        <v>231</v>
      </c>
      <c r="E112" s="116">
        <v>127240</v>
      </c>
      <c r="F112" s="116">
        <v>127240</v>
      </c>
    </row>
    <row r="113" spans="1:6" x14ac:dyDescent="0.55000000000000004">
      <c r="A113" s="43" t="s">
        <v>56</v>
      </c>
      <c r="B113" s="43" t="s">
        <v>232</v>
      </c>
      <c r="E113" s="116">
        <v>196884</v>
      </c>
      <c r="F113" s="116">
        <v>196884</v>
      </c>
    </row>
    <row r="114" spans="1:6" x14ac:dyDescent="0.55000000000000004">
      <c r="A114" s="43" t="s">
        <v>56</v>
      </c>
      <c r="B114" s="43" t="s">
        <v>233</v>
      </c>
      <c r="E114" s="116">
        <v>424487</v>
      </c>
      <c r="F114" s="116">
        <v>424487</v>
      </c>
    </row>
    <row r="115" spans="1:6" x14ac:dyDescent="0.55000000000000004">
      <c r="A115" s="43" t="s">
        <v>56</v>
      </c>
      <c r="B115" s="43" t="s">
        <v>234</v>
      </c>
      <c r="E115" s="116">
        <v>123795</v>
      </c>
      <c r="F115" s="116">
        <v>123795</v>
      </c>
    </row>
    <row r="116" spans="1:6" x14ac:dyDescent="0.55000000000000004">
      <c r="A116" s="43" t="s">
        <v>56</v>
      </c>
      <c r="B116" s="43" t="s">
        <v>87</v>
      </c>
      <c r="D116" s="116">
        <v>30000</v>
      </c>
      <c r="F116" s="116">
        <v>-30000</v>
      </c>
    </row>
    <row r="117" spans="1:6" x14ac:dyDescent="0.55000000000000004">
      <c r="A117" s="43" t="s">
        <v>56</v>
      </c>
      <c r="B117" s="43" t="s">
        <v>235</v>
      </c>
      <c r="E117" s="116">
        <v>59670</v>
      </c>
      <c r="F117" s="116">
        <v>59670</v>
      </c>
    </row>
    <row r="118" spans="1:6" x14ac:dyDescent="0.55000000000000004">
      <c r="A118" s="43" t="s">
        <v>56</v>
      </c>
      <c r="B118" s="43" t="s">
        <v>236</v>
      </c>
      <c r="E118" s="116">
        <v>76570</v>
      </c>
      <c r="F118" s="116">
        <v>76570</v>
      </c>
    </row>
    <row r="119" spans="1:6" x14ac:dyDescent="0.55000000000000004">
      <c r="A119" s="43" t="s">
        <v>56</v>
      </c>
      <c r="B119" s="43" t="s">
        <v>237</v>
      </c>
      <c r="E119" s="116">
        <v>155728</v>
      </c>
      <c r="F119" s="116">
        <v>155728</v>
      </c>
    </row>
    <row r="120" spans="1:6" x14ac:dyDescent="0.55000000000000004">
      <c r="A120" s="43" t="s">
        <v>56</v>
      </c>
      <c r="B120" s="43" t="s">
        <v>86</v>
      </c>
      <c r="D120" s="116">
        <v>3000000</v>
      </c>
      <c r="F120" s="116">
        <v>-3000000</v>
      </c>
    </row>
    <row r="121" spans="1:6" x14ac:dyDescent="0.55000000000000004">
      <c r="A121" s="43" t="s">
        <v>56</v>
      </c>
      <c r="B121" s="43" t="s">
        <v>238</v>
      </c>
      <c r="E121" s="116">
        <v>92801</v>
      </c>
      <c r="F121" s="116">
        <v>92801</v>
      </c>
    </row>
    <row r="122" spans="1:6" x14ac:dyDescent="0.55000000000000004">
      <c r="A122" s="43" t="s">
        <v>56</v>
      </c>
      <c r="B122" s="43" t="s">
        <v>239</v>
      </c>
      <c r="E122" s="116">
        <v>279952</v>
      </c>
      <c r="F122" s="116">
        <v>279952</v>
      </c>
    </row>
    <row r="123" spans="1:6" x14ac:dyDescent="0.55000000000000004">
      <c r="A123" s="43" t="s">
        <v>83</v>
      </c>
      <c r="C123" s="116">
        <v>48489314.009999998</v>
      </c>
      <c r="D123" s="116">
        <v>71473282</v>
      </c>
      <c r="E123" s="116">
        <v>53949455</v>
      </c>
      <c r="F123" s="116">
        <v>30965487.010000005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J203"/>
  <sheetViews>
    <sheetView topLeftCell="A2" workbookViewId="0">
      <selection activeCell="C3" sqref="C3"/>
    </sheetView>
  </sheetViews>
  <sheetFormatPr defaultRowHeight="21.75" x14ac:dyDescent="0.55000000000000004"/>
  <cols>
    <col min="1" max="1" width="15.140625" style="115" bestFit="1" customWidth="1"/>
    <col min="2" max="2" width="16.28515625" style="43" bestFit="1" customWidth="1"/>
    <col min="3" max="3" width="18.7109375" style="43" bestFit="1" customWidth="1"/>
    <col min="4" max="4" width="25.140625" style="43" bestFit="1" customWidth="1"/>
    <col min="5" max="5" width="35" style="43" bestFit="1" customWidth="1"/>
    <col min="6" max="6" width="18.7109375" style="116" bestFit="1" customWidth="1"/>
    <col min="7" max="7" width="19.140625" style="116" bestFit="1" customWidth="1"/>
    <col min="8" max="8" width="19" style="116" bestFit="1" customWidth="1"/>
    <col min="9" max="9" width="18" style="116" bestFit="1" customWidth="1"/>
    <col min="10" max="10" width="23" style="116" bestFit="1" customWidth="1"/>
    <col min="11" max="16384" width="9.140625" style="43"/>
  </cols>
  <sheetData>
    <row r="1" spans="1:10" x14ac:dyDescent="0.55000000000000004">
      <c r="A1" s="115" t="s">
        <v>91</v>
      </c>
      <c r="B1" s="49" t="s">
        <v>92</v>
      </c>
      <c r="C1" s="49" t="s">
        <v>93</v>
      </c>
      <c r="D1" s="49" t="s">
        <v>94</v>
      </c>
      <c r="E1" s="49" t="s">
        <v>95</v>
      </c>
      <c r="F1" s="116" t="s">
        <v>96</v>
      </c>
      <c r="G1" s="116" t="s">
        <v>97</v>
      </c>
      <c r="H1" s="116" t="s">
        <v>98</v>
      </c>
      <c r="I1" s="116" t="s">
        <v>99</v>
      </c>
      <c r="J1" s="116" t="s">
        <v>163</v>
      </c>
    </row>
    <row r="2" spans="1:10" x14ac:dyDescent="0.55000000000000004">
      <c r="A2" s="115">
        <v>44348</v>
      </c>
      <c r="B2" s="49"/>
      <c r="C2" s="49" t="s">
        <v>5</v>
      </c>
      <c r="D2" s="49" t="s">
        <v>9</v>
      </c>
      <c r="E2" s="49" t="s">
        <v>5</v>
      </c>
      <c r="F2" s="116">
        <v>586620</v>
      </c>
      <c r="I2" s="116">
        <v>586620</v>
      </c>
      <c r="J2" s="116">
        <v>586620</v>
      </c>
    </row>
    <row r="3" spans="1:10" x14ac:dyDescent="0.55000000000000004">
      <c r="A3" s="115">
        <v>44348</v>
      </c>
      <c r="B3" s="49"/>
      <c r="C3" s="49" t="s">
        <v>5</v>
      </c>
      <c r="D3" s="49" t="s">
        <v>15</v>
      </c>
      <c r="E3" s="49" t="s">
        <v>5</v>
      </c>
      <c r="F3" s="116">
        <v>0</v>
      </c>
      <c r="I3" s="116">
        <v>0</v>
      </c>
      <c r="J3" s="116">
        <v>0</v>
      </c>
    </row>
    <row r="4" spans="1:10" x14ac:dyDescent="0.55000000000000004">
      <c r="A4" s="115">
        <v>44351</v>
      </c>
      <c r="B4" s="49">
        <v>60081</v>
      </c>
      <c r="C4" s="49" t="s">
        <v>6</v>
      </c>
      <c r="D4" s="49" t="s">
        <v>15</v>
      </c>
      <c r="E4" s="49" t="s">
        <v>124</v>
      </c>
      <c r="G4" s="116">
        <v>224450</v>
      </c>
      <c r="I4" s="116">
        <v>224450</v>
      </c>
      <c r="J4" s="116">
        <v>224450</v>
      </c>
    </row>
    <row r="5" spans="1:10" x14ac:dyDescent="0.55000000000000004">
      <c r="A5" s="115">
        <v>44363</v>
      </c>
      <c r="B5" s="49">
        <v>60236</v>
      </c>
      <c r="C5" s="49" t="s">
        <v>6</v>
      </c>
      <c r="D5" s="49" t="s">
        <v>15</v>
      </c>
      <c r="E5" s="49" t="s">
        <v>140</v>
      </c>
      <c r="G5" s="116">
        <v>120000</v>
      </c>
      <c r="I5" s="116">
        <v>120000</v>
      </c>
      <c r="J5" s="116">
        <v>344450</v>
      </c>
    </row>
    <row r="6" spans="1:10" x14ac:dyDescent="0.55000000000000004">
      <c r="A6" s="115">
        <v>44363</v>
      </c>
      <c r="B6" s="49">
        <v>60238</v>
      </c>
      <c r="C6" s="49" t="s">
        <v>6</v>
      </c>
      <c r="D6" s="49" t="s">
        <v>15</v>
      </c>
      <c r="E6" s="49" t="s">
        <v>141</v>
      </c>
      <c r="G6" s="116">
        <v>200000</v>
      </c>
      <c r="I6" s="116">
        <v>200000</v>
      </c>
      <c r="J6" s="116">
        <v>544450</v>
      </c>
    </row>
    <row r="7" spans="1:10" x14ac:dyDescent="0.55000000000000004">
      <c r="A7" s="115">
        <v>44363</v>
      </c>
      <c r="B7" s="49">
        <v>60239</v>
      </c>
      <c r="C7" s="49" t="s">
        <v>6</v>
      </c>
      <c r="D7" s="49" t="s">
        <v>15</v>
      </c>
      <c r="E7" s="49" t="s">
        <v>142</v>
      </c>
      <c r="G7" s="116">
        <v>150000</v>
      </c>
      <c r="I7" s="116">
        <v>150000</v>
      </c>
      <c r="J7" s="116">
        <v>694450</v>
      </c>
    </row>
    <row r="8" spans="1:10" x14ac:dyDescent="0.55000000000000004">
      <c r="A8" s="115">
        <v>44361</v>
      </c>
      <c r="B8" s="49">
        <v>60334</v>
      </c>
      <c r="C8" s="49" t="s">
        <v>6</v>
      </c>
      <c r="D8" s="49" t="s">
        <v>15</v>
      </c>
      <c r="E8" s="49" t="s">
        <v>143</v>
      </c>
      <c r="G8" s="116">
        <v>26550</v>
      </c>
      <c r="I8" s="116">
        <v>26550</v>
      </c>
      <c r="J8" s="116">
        <v>721000</v>
      </c>
    </row>
    <row r="9" spans="1:10" x14ac:dyDescent="0.55000000000000004">
      <c r="A9" s="115">
        <v>44368</v>
      </c>
      <c r="B9" s="49">
        <v>9155</v>
      </c>
      <c r="C9" s="49" t="s">
        <v>7</v>
      </c>
      <c r="D9" s="49" t="s">
        <v>15</v>
      </c>
      <c r="E9" s="49" t="s">
        <v>86</v>
      </c>
      <c r="H9" s="116">
        <v>700000</v>
      </c>
      <c r="I9" s="116">
        <v>-700000</v>
      </c>
      <c r="J9" s="116">
        <v>21000</v>
      </c>
    </row>
    <row r="10" spans="1:10" x14ac:dyDescent="0.55000000000000004">
      <c r="A10" s="115">
        <v>44368</v>
      </c>
      <c r="B10" s="49">
        <v>60060</v>
      </c>
      <c r="C10" s="49" t="s">
        <v>6</v>
      </c>
      <c r="D10" s="49" t="s">
        <v>15</v>
      </c>
      <c r="E10" s="49" t="s">
        <v>141</v>
      </c>
      <c r="G10" s="116">
        <v>285000</v>
      </c>
      <c r="I10" s="116">
        <v>285000</v>
      </c>
      <c r="J10" s="116">
        <v>306000</v>
      </c>
    </row>
    <row r="11" spans="1:10" x14ac:dyDescent="0.55000000000000004">
      <c r="A11" s="115">
        <v>44348</v>
      </c>
      <c r="B11" s="49"/>
      <c r="C11" s="49" t="s">
        <v>5</v>
      </c>
      <c r="D11" s="49" t="s">
        <v>18</v>
      </c>
      <c r="E11" s="49" t="s">
        <v>5</v>
      </c>
      <c r="F11" s="116">
        <v>1128804</v>
      </c>
      <c r="I11" s="116">
        <v>1128804</v>
      </c>
      <c r="J11" s="116">
        <v>1128804</v>
      </c>
    </row>
    <row r="12" spans="1:10" x14ac:dyDescent="0.55000000000000004">
      <c r="A12" s="115">
        <v>44351</v>
      </c>
      <c r="B12" s="49">
        <v>49257</v>
      </c>
      <c r="C12" s="49" t="s">
        <v>6</v>
      </c>
      <c r="D12" s="49" t="s">
        <v>18</v>
      </c>
      <c r="E12" s="49" t="s">
        <v>111</v>
      </c>
      <c r="G12" s="116">
        <v>178550</v>
      </c>
      <c r="I12" s="116">
        <v>178550</v>
      </c>
      <c r="J12" s="116">
        <v>1307354</v>
      </c>
    </row>
    <row r="13" spans="1:10" x14ac:dyDescent="0.55000000000000004">
      <c r="A13" s="115">
        <v>44350</v>
      </c>
      <c r="B13" s="49">
        <v>49213</v>
      </c>
      <c r="C13" s="49" t="s">
        <v>6</v>
      </c>
      <c r="D13" s="49" t="s">
        <v>18</v>
      </c>
      <c r="E13" s="49" t="s">
        <v>112</v>
      </c>
      <c r="G13" s="116">
        <v>330165</v>
      </c>
      <c r="I13" s="116">
        <v>330165</v>
      </c>
      <c r="J13" s="116">
        <v>1637519</v>
      </c>
    </row>
    <row r="14" spans="1:10" x14ac:dyDescent="0.55000000000000004">
      <c r="A14" s="115">
        <v>44349</v>
      </c>
      <c r="B14" s="49">
        <v>21295</v>
      </c>
      <c r="C14" s="49" t="s">
        <v>6</v>
      </c>
      <c r="D14" s="49" t="s">
        <v>18</v>
      </c>
      <c r="E14" s="49" t="s">
        <v>113</v>
      </c>
      <c r="G14" s="116">
        <v>31750</v>
      </c>
      <c r="I14" s="116">
        <v>31750</v>
      </c>
      <c r="J14" s="116">
        <v>1669269</v>
      </c>
    </row>
    <row r="15" spans="1:10" x14ac:dyDescent="0.55000000000000004">
      <c r="A15" s="115">
        <v>44349</v>
      </c>
      <c r="B15" s="49">
        <v>49188</v>
      </c>
      <c r="C15" s="49" t="s">
        <v>6</v>
      </c>
      <c r="D15" s="49" t="s">
        <v>18</v>
      </c>
      <c r="E15" s="49" t="s">
        <v>114</v>
      </c>
      <c r="G15" s="116">
        <v>206472</v>
      </c>
      <c r="I15" s="116">
        <v>206472</v>
      </c>
      <c r="J15" s="116">
        <v>1875741</v>
      </c>
    </row>
    <row r="16" spans="1:10" x14ac:dyDescent="0.55000000000000004">
      <c r="A16" s="115">
        <v>44349</v>
      </c>
      <c r="B16" s="49">
        <v>49161</v>
      </c>
      <c r="C16" s="49" t="s">
        <v>6</v>
      </c>
      <c r="D16" s="49" t="s">
        <v>18</v>
      </c>
      <c r="E16" s="49" t="s">
        <v>115</v>
      </c>
      <c r="G16" s="116">
        <v>121930</v>
      </c>
      <c r="I16" s="116">
        <v>121930</v>
      </c>
      <c r="J16" s="116">
        <v>1997671</v>
      </c>
    </row>
    <row r="17" spans="1:10" x14ac:dyDescent="0.55000000000000004">
      <c r="A17" s="115">
        <v>44349</v>
      </c>
      <c r="B17" s="49">
        <v>49121</v>
      </c>
      <c r="C17" s="49" t="s">
        <v>6</v>
      </c>
      <c r="D17" s="49" t="s">
        <v>18</v>
      </c>
      <c r="E17" s="49" t="s">
        <v>126</v>
      </c>
      <c r="G17" s="116">
        <v>260092</v>
      </c>
      <c r="I17" s="116">
        <v>260092</v>
      </c>
      <c r="J17" s="116">
        <v>2257763</v>
      </c>
    </row>
    <row r="18" spans="1:10" x14ac:dyDescent="0.55000000000000004">
      <c r="A18" s="115">
        <v>44349</v>
      </c>
      <c r="B18" s="49">
        <v>21280</v>
      </c>
      <c r="C18" s="49" t="s">
        <v>6</v>
      </c>
      <c r="D18" s="49" t="s">
        <v>18</v>
      </c>
      <c r="E18" s="49" t="s">
        <v>127</v>
      </c>
      <c r="G18" s="116">
        <v>57500</v>
      </c>
      <c r="I18" s="116">
        <v>57500</v>
      </c>
      <c r="J18" s="116">
        <v>2315263</v>
      </c>
    </row>
    <row r="19" spans="1:10" x14ac:dyDescent="0.55000000000000004">
      <c r="A19" s="115">
        <v>44353</v>
      </c>
      <c r="B19" s="49"/>
      <c r="C19" s="49" t="s">
        <v>7</v>
      </c>
      <c r="D19" s="49" t="s">
        <v>18</v>
      </c>
      <c r="E19" s="49" t="s">
        <v>116</v>
      </c>
      <c r="H19" s="116">
        <v>36102</v>
      </c>
      <c r="I19" s="116">
        <v>-36102</v>
      </c>
      <c r="J19" s="116">
        <v>2279161</v>
      </c>
    </row>
    <row r="20" spans="1:10" x14ac:dyDescent="0.55000000000000004">
      <c r="A20" s="115">
        <v>44351</v>
      </c>
      <c r="B20" s="49">
        <v>2411</v>
      </c>
      <c r="C20" s="49" t="s">
        <v>7</v>
      </c>
      <c r="D20" s="49" t="s">
        <v>18</v>
      </c>
      <c r="E20" s="49" t="s">
        <v>86</v>
      </c>
      <c r="H20" s="116">
        <v>1000000</v>
      </c>
      <c r="I20" s="116">
        <v>-1000000</v>
      </c>
      <c r="J20" s="116">
        <v>1279161</v>
      </c>
    </row>
    <row r="21" spans="1:10" x14ac:dyDescent="0.55000000000000004">
      <c r="A21" s="115">
        <v>44355</v>
      </c>
      <c r="B21" s="49">
        <v>2426</v>
      </c>
      <c r="C21" s="49" t="s">
        <v>7</v>
      </c>
      <c r="D21" s="49" t="s">
        <v>18</v>
      </c>
      <c r="E21" s="49" t="s">
        <v>86</v>
      </c>
      <c r="H21" s="116">
        <v>1000000</v>
      </c>
      <c r="I21" s="116">
        <v>-1000000</v>
      </c>
      <c r="J21" s="116">
        <v>279161</v>
      </c>
    </row>
    <row r="22" spans="1:10" x14ac:dyDescent="0.55000000000000004">
      <c r="A22" s="115">
        <v>44355</v>
      </c>
      <c r="B22" s="49">
        <v>21509</v>
      </c>
      <c r="C22" s="49" t="s">
        <v>6</v>
      </c>
      <c r="D22" s="49" t="s">
        <v>18</v>
      </c>
      <c r="E22" s="49" t="s">
        <v>118</v>
      </c>
      <c r="G22" s="116">
        <v>105200</v>
      </c>
      <c r="I22" s="116">
        <v>105200</v>
      </c>
      <c r="J22" s="116">
        <v>384361</v>
      </c>
    </row>
    <row r="23" spans="1:10" x14ac:dyDescent="0.55000000000000004">
      <c r="A23" s="115">
        <v>44355</v>
      </c>
      <c r="B23" s="49">
        <v>49346</v>
      </c>
      <c r="C23" s="49" t="s">
        <v>6</v>
      </c>
      <c r="D23" s="49" t="s">
        <v>18</v>
      </c>
      <c r="E23" s="49" t="s">
        <v>119</v>
      </c>
      <c r="G23" s="116">
        <v>116788</v>
      </c>
      <c r="I23" s="116">
        <v>116788</v>
      </c>
      <c r="J23" s="116">
        <v>501149</v>
      </c>
    </row>
    <row r="24" spans="1:10" x14ac:dyDescent="0.55000000000000004">
      <c r="A24" s="115">
        <v>44354</v>
      </c>
      <c r="B24" s="49">
        <v>49338</v>
      </c>
      <c r="C24" s="49" t="s">
        <v>6</v>
      </c>
      <c r="D24" s="49" t="s">
        <v>18</v>
      </c>
      <c r="E24" s="49" t="s">
        <v>120</v>
      </c>
      <c r="G24" s="116">
        <v>48500</v>
      </c>
      <c r="I24" s="116">
        <v>48500</v>
      </c>
      <c r="J24" s="116">
        <v>549649</v>
      </c>
    </row>
    <row r="25" spans="1:10" x14ac:dyDescent="0.55000000000000004">
      <c r="A25" s="115">
        <v>44352</v>
      </c>
      <c r="B25" s="49">
        <v>49286</v>
      </c>
      <c r="C25" s="49" t="s">
        <v>6</v>
      </c>
      <c r="D25" s="49" t="s">
        <v>18</v>
      </c>
      <c r="E25" s="49" t="s">
        <v>121</v>
      </c>
      <c r="G25" s="116">
        <v>192985</v>
      </c>
      <c r="I25" s="116">
        <v>192985</v>
      </c>
      <c r="J25" s="116">
        <v>742634</v>
      </c>
    </row>
    <row r="26" spans="1:10" x14ac:dyDescent="0.55000000000000004">
      <c r="A26" s="115">
        <v>44361</v>
      </c>
      <c r="B26" s="49">
        <v>21527</v>
      </c>
      <c r="C26" s="49" t="s">
        <v>6</v>
      </c>
      <c r="D26" s="49" t="s">
        <v>18</v>
      </c>
      <c r="E26" s="49" t="s">
        <v>130</v>
      </c>
      <c r="G26" s="116">
        <v>81500</v>
      </c>
      <c r="I26" s="116">
        <v>81500</v>
      </c>
      <c r="J26" s="116">
        <v>824134</v>
      </c>
    </row>
    <row r="27" spans="1:10" x14ac:dyDescent="0.55000000000000004">
      <c r="A27" s="115">
        <v>44358</v>
      </c>
      <c r="B27" s="49">
        <v>49454</v>
      </c>
      <c r="C27" s="49" t="s">
        <v>6</v>
      </c>
      <c r="D27" s="49" t="s">
        <v>18</v>
      </c>
      <c r="E27" s="49" t="s">
        <v>131</v>
      </c>
      <c r="G27" s="116">
        <v>49695</v>
      </c>
      <c r="I27" s="116">
        <v>49695</v>
      </c>
      <c r="J27" s="116">
        <v>873829</v>
      </c>
    </row>
    <row r="28" spans="1:10" x14ac:dyDescent="0.55000000000000004">
      <c r="A28" s="115">
        <v>44356</v>
      </c>
      <c r="B28" s="49">
        <v>49396</v>
      </c>
      <c r="C28" s="49" t="s">
        <v>6</v>
      </c>
      <c r="D28" s="49" t="s">
        <v>18</v>
      </c>
      <c r="E28" s="49" t="s">
        <v>132</v>
      </c>
      <c r="G28" s="116">
        <v>126075</v>
      </c>
      <c r="I28" s="116">
        <v>126075</v>
      </c>
      <c r="J28" s="116">
        <v>999904</v>
      </c>
    </row>
    <row r="29" spans="1:10" x14ac:dyDescent="0.55000000000000004">
      <c r="A29" s="115">
        <v>44361</v>
      </c>
      <c r="B29" s="49">
        <v>49496</v>
      </c>
      <c r="C29" s="49" t="s">
        <v>6</v>
      </c>
      <c r="D29" s="49" t="s">
        <v>18</v>
      </c>
      <c r="E29" s="49" t="s">
        <v>136</v>
      </c>
      <c r="G29" s="116">
        <v>542469</v>
      </c>
      <c r="I29" s="116">
        <v>542469</v>
      </c>
      <c r="J29" s="116">
        <v>1542373</v>
      </c>
    </row>
    <row r="30" spans="1:10" x14ac:dyDescent="0.55000000000000004">
      <c r="A30" s="115">
        <v>44363</v>
      </c>
      <c r="B30" s="49">
        <v>49554</v>
      </c>
      <c r="C30" s="49" t="s">
        <v>6</v>
      </c>
      <c r="D30" s="49" t="s">
        <v>18</v>
      </c>
      <c r="E30" s="49" t="s">
        <v>137</v>
      </c>
      <c r="G30" s="116">
        <v>449320</v>
      </c>
      <c r="I30" s="116">
        <v>449320</v>
      </c>
      <c r="J30" s="116">
        <v>1991693</v>
      </c>
    </row>
    <row r="31" spans="1:10" x14ac:dyDescent="0.55000000000000004">
      <c r="A31" s="115">
        <v>44363</v>
      </c>
      <c r="B31" s="49">
        <v>21535</v>
      </c>
      <c r="C31" s="49" t="s">
        <v>6</v>
      </c>
      <c r="D31" s="49" t="s">
        <v>18</v>
      </c>
      <c r="E31" s="49" t="s">
        <v>138</v>
      </c>
      <c r="G31" s="116">
        <v>33000</v>
      </c>
      <c r="I31" s="116">
        <v>33000</v>
      </c>
      <c r="J31" s="116">
        <v>2024693</v>
      </c>
    </row>
    <row r="32" spans="1:10" x14ac:dyDescent="0.55000000000000004">
      <c r="A32" s="115">
        <v>44363</v>
      </c>
      <c r="B32" s="49">
        <v>2457</v>
      </c>
      <c r="C32" s="49" t="s">
        <v>7</v>
      </c>
      <c r="D32" s="49" t="s">
        <v>18</v>
      </c>
      <c r="E32" s="49" t="s">
        <v>86</v>
      </c>
      <c r="H32" s="116">
        <v>1000000</v>
      </c>
      <c r="I32" s="116">
        <v>-1000000</v>
      </c>
      <c r="J32" s="116">
        <v>1024693</v>
      </c>
    </row>
    <row r="33" spans="1:10" x14ac:dyDescent="0.55000000000000004">
      <c r="A33" s="115">
        <v>44368</v>
      </c>
      <c r="B33" s="49">
        <v>2480</v>
      </c>
      <c r="C33" s="49" t="s">
        <v>7</v>
      </c>
      <c r="D33" s="49" t="s">
        <v>18</v>
      </c>
      <c r="E33" s="49" t="s">
        <v>86</v>
      </c>
      <c r="H33" s="116">
        <v>1000000</v>
      </c>
      <c r="I33" s="116">
        <v>-1000000</v>
      </c>
      <c r="J33" s="116">
        <v>24693</v>
      </c>
    </row>
    <row r="34" spans="1:10" x14ac:dyDescent="0.55000000000000004">
      <c r="A34" s="115">
        <v>44368</v>
      </c>
      <c r="B34" s="49">
        <v>21560</v>
      </c>
      <c r="C34" s="49" t="s">
        <v>6</v>
      </c>
      <c r="D34" s="49" t="s">
        <v>18</v>
      </c>
      <c r="E34" s="49" t="s">
        <v>145</v>
      </c>
      <c r="G34" s="116">
        <v>18075</v>
      </c>
      <c r="I34" s="116">
        <v>18075</v>
      </c>
      <c r="J34" s="116">
        <v>42768</v>
      </c>
    </row>
    <row r="35" spans="1:10" x14ac:dyDescent="0.55000000000000004">
      <c r="A35" s="115">
        <v>44368</v>
      </c>
      <c r="B35" s="49">
        <v>49695</v>
      </c>
      <c r="C35" s="49" t="s">
        <v>6</v>
      </c>
      <c r="D35" s="49" t="s">
        <v>18</v>
      </c>
      <c r="E35" s="49" t="s">
        <v>146</v>
      </c>
      <c r="G35" s="116">
        <v>658029</v>
      </c>
      <c r="I35" s="116">
        <v>658029</v>
      </c>
      <c r="J35" s="116">
        <v>700797</v>
      </c>
    </row>
    <row r="36" spans="1:10" x14ac:dyDescent="0.55000000000000004">
      <c r="A36" s="115">
        <v>44366</v>
      </c>
      <c r="B36" s="49">
        <v>49670</v>
      </c>
      <c r="C36" s="49" t="s">
        <v>6</v>
      </c>
      <c r="D36" s="49" t="s">
        <v>18</v>
      </c>
      <c r="E36" s="49" t="s">
        <v>131</v>
      </c>
      <c r="G36" s="116">
        <v>108895</v>
      </c>
      <c r="I36" s="116">
        <v>108895</v>
      </c>
      <c r="J36" s="116">
        <v>809692</v>
      </c>
    </row>
    <row r="37" spans="1:10" x14ac:dyDescent="0.55000000000000004">
      <c r="A37" s="115">
        <v>44366</v>
      </c>
      <c r="B37" s="49">
        <v>49653</v>
      </c>
      <c r="C37" s="49" t="s">
        <v>6</v>
      </c>
      <c r="D37" s="49" t="s">
        <v>18</v>
      </c>
      <c r="E37" s="49" t="s">
        <v>147</v>
      </c>
      <c r="G37" s="116">
        <v>97495</v>
      </c>
      <c r="I37" s="116">
        <v>97495</v>
      </c>
      <c r="J37" s="116">
        <v>907187</v>
      </c>
    </row>
    <row r="38" spans="1:10" x14ac:dyDescent="0.55000000000000004">
      <c r="A38" s="115">
        <v>44366</v>
      </c>
      <c r="B38" s="49">
        <v>49647</v>
      </c>
      <c r="C38" s="49" t="s">
        <v>6</v>
      </c>
      <c r="D38" s="49" t="s">
        <v>18</v>
      </c>
      <c r="E38" s="49" t="s">
        <v>148</v>
      </c>
      <c r="G38" s="116">
        <v>23055</v>
      </c>
      <c r="I38" s="116">
        <v>23055</v>
      </c>
      <c r="J38" s="116">
        <v>930242</v>
      </c>
    </row>
    <row r="39" spans="1:10" x14ac:dyDescent="0.55000000000000004">
      <c r="A39" s="115">
        <v>44365</v>
      </c>
      <c r="B39" s="49">
        <v>21551</v>
      </c>
      <c r="C39" s="49" t="s">
        <v>6</v>
      </c>
      <c r="D39" s="49" t="s">
        <v>18</v>
      </c>
      <c r="E39" s="49" t="s">
        <v>149</v>
      </c>
      <c r="G39" s="116">
        <v>47000</v>
      </c>
      <c r="I39" s="116">
        <v>47000</v>
      </c>
      <c r="J39" s="116">
        <v>977242</v>
      </c>
    </row>
    <row r="40" spans="1:10" x14ac:dyDescent="0.55000000000000004">
      <c r="A40" s="115">
        <v>44365</v>
      </c>
      <c r="B40" s="49">
        <v>49612</v>
      </c>
      <c r="C40" s="49" t="s">
        <v>6</v>
      </c>
      <c r="D40" s="49" t="s">
        <v>18</v>
      </c>
      <c r="E40" s="49" t="s">
        <v>150</v>
      </c>
      <c r="G40" s="116">
        <v>172062</v>
      </c>
      <c r="I40" s="116">
        <v>172062</v>
      </c>
      <c r="J40" s="116">
        <v>1149304</v>
      </c>
    </row>
    <row r="41" spans="1:10" x14ac:dyDescent="0.55000000000000004">
      <c r="A41" s="115">
        <v>44375</v>
      </c>
      <c r="B41" s="49">
        <v>2495</v>
      </c>
      <c r="C41" s="49" t="s">
        <v>7</v>
      </c>
      <c r="D41" s="49" t="s">
        <v>18</v>
      </c>
      <c r="E41" s="49" t="s">
        <v>86</v>
      </c>
      <c r="H41" s="116">
        <v>500000</v>
      </c>
      <c r="I41" s="116">
        <v>-500000</v>
      </c>
      <c r="J41" s="116">
        <v>649304</v>
      </c>
    </row>
    <row r="42" spans="1:10" x14ac:dyDescent="0.55000000000000004">
      <c r="A42" s="115">
        <v>44375</v>
      </c>
      <c r="B42" s="49">
        <v>21585</v>
      </c>
      <c r="C42" s="49" t="s">
        <v>6</v>
      </c>
      <c r="D42" s="49" t="s">
        <v>18</v>
      </c>
      <c r="E42" s="49" t="s">
        <v>157</v>
      </c>
      <c r="G42" s="116">
        <v>49000</v>
      </c>
      <c r="I42" s="116">
        <v>49000</v>
      </c>
      <c r="J42" s="116">
        <v>698304</v>
      </c>
    </row>
    <row r="43" spans="1:10" x14ac:dyDescent="0.55000000000000004">
      <c r="A43" s="115">
        <v>44375</v>
      </c>
      <c r="B43" s="49">
        <v>49824</v>
      </c>
      <c r="C43" s="49" t="s">
        <v>6</v>
      </c>
      <c r="D43" s="49" t="s">
        <v>18</v>
      </c>
      <c r="E43" s="49" t="s">
        <v>158</v>
      </c>
      <c r="G43" s="116">
        <v>98843</v>
      </c>
      <c r="I43" s="116">
        <v>98843</v>
      </c>
      <c r="J43" s="116">
        <v>797147</v>
      </c>
    </row>
    <row r="44" spans="1:10" x14ac:dyDescent="0.55000000000000004">
      <c r="A44" s="115">
        <v>44372</v>
      </c>
      <c r="B44" s="49">
        <v>49798</v>
      </c>
      <c r="C44" s="49" t="s">
        <v>6</v>
      </c>
      <c r="D44" s="49" t="s">
        <v>18</v>
      </c>
      <c r="E44" s="49" t="s">
        <v>159</v>
      </c>
      <c r="G44" s="116">
        <v>73436</v>
      </c>
      <c r="I44" s="116">
        <v>73436</v>
      </c>
      <c r="J44" s="116">
        <v>870583</v>
      </c>
    </row>
    <row r="45" spans="1:10" x14ac:dyDescent="0.55000000000000004">
      <c r="A45" s="115">
        <v>44348</v>
      </c>
      <c r="B45" s="49"/>
      <c r="C45" s="49" t="s">
        <v>5</v>
      </c>
      <c r="D45" s="49" t="s">
        <v>75</v>
      </c>
      <c r="E45" s="49" t="s">
        <v>5</v>
      </c>
      <c r="F45" s="116">
        <v>16740000</v>
      </c>
      <c r="I45" s="116">
        <v>16740000</v>
      </c>
      <c r="J45" s="116">
        <v>16740000</v>
      </c>
    </row>
    <row r="46" spans="1:10" x14ac:dyDescent="0.55000000000000004">
      <c r="A46" s="115">
        <v>44348</v>
      </c>
      <c r="B46" s="49"/>
      <c r="C46" s="49" t="s">
        <v>5</v>
      </c>
      <c r="D46" s="49" t="s">
        <v>74</v>
      </c>
      <c r="E46" s="49" t="s">
        <v>5</v>
      </c>
      <c r="F46" s="116">
        <v>980360</v>
      </c>
      <c r="I46" s="116">
        <v>980360</v>
      </c>
      <c r="J46" s="116">
        <v>980360</v>
      </c>
    </row>
    <row r="47" spans="1:10" x14ac:dyDescent="0.55000000000000004">
      <c r="A47" s="115">
        <v>44357</v>
      </c>
      <c r="B47" s="49">
        <v>41605</v>
      </c>
      <c r="C47" s="49" t="s">
        <v>7</v>
      </c>
      <c r="D47" s="49" t="s">
        <v>74</v>
      </c>
      <c r="E47" s="49" t="s">
        <v>86</v>
      </c>
      <c r="H47" s="116">
        <v>100000</v>
      </c>
      <c r="I47" s="116">
        <v>-100000</v>
      </c>
      <c r="J47" s="116">
        <v>880360</v>
      </c>
    </row>
    <row r="48" spans="1:10" x14ac:dyDescent="0.55000000000000004">
      <c r="A48" s="115">
        <v>44357</v>
      </c>
      <c r="B48" s="49">
        <v>47167</v>
      </c>
      <c r="C48" s="49" t="s">
        <v>6</v>
      </c>
      <c r="D48" s="49" t="s">
        <v>74</v>
      </c>
      <c r="E48" s="49" t="s">
        <v>128</v>
      </c>
      <c r="G48" s="116">
        <v>210600</v>
      </c>
      <c r="I48" s="116">
        <v>210600</v>
      </c>
      <c r="J48" s="116">
        <v>1090960</v>
      </c>
    </row>
    <row r="49" spans="1:10" x14ac:dyDescent="0.55000000000000004">
      <c r="A49" s="115">
        <v>44348</v>
      </c>
      <c r="B49" s="49"/>
      <c r="C49" s="49" t="s">
        <v>5</v>
      </c>
      <c r="D49" s="49" t="s">
        <v>76</v>
      </c>
      <c r="E49" s="49" t="s">
        <v>5</v>
      </c>
      <c r="F49" s="116">
        <v>750000</v>
      </c>
      <c r="I49" s="116">
        <v>750000</v>
      </c>
      <c r="J49" s="116">
        <v>750000</v>
      </c>
    </row>
    <row r="50" spans="1:10" x14ac:dyDescent="0.55000000000000004">
      <c r="A50" s="115">
        <v>44349</v>
      </c>
      <c r="B50" s="49"/>
      <c r="C50" s="49" t="s">
        <v>6</v>
      </c>
      <c r="D50" s="49" t="s">
        <v>76</v>
      </c>
      <c r="E50" s="49" t="s">
        <v>125</v>
      </c>
      <c r="G50" s="116">
        <v>233000</v>
      </c>
      <c r="I50" s="116">
        <v>233000</v>
      </c>
      <c r="J50" s="116">
        <v>983000</v>
      </c>
    </row>
    <row r="51" spans="1:10" x14ac:dyDescent="0.55000000000000004">
      <c r="A51" s="115">
        <v>44351</v>
      </c>
      <c r="B51" s="49">
        <v>13090</v>
      </c>
      <c r="C51" s="49" t="s">
        <v>7</v>
      </c>
      <c r="D51" s="49" t="s">
        <v>76</v>
      </c>
      <c r="E51" s="49" t="s">
        <v>86</v>
      </c>
      <c r="H51" s="116">
        <v>390000</v>
      </c>
      <c r="I51" s="116">
        <v>-390000</v>
      </c>
      <c r="J51" s="116">
        <v>593000</v>
      </c>
    </row>
    <row r="52" spans="1:10" x14ac:dyDescent="0.55000000000000004">
      <c r="A52" s="115">
        <v>44351</v>
      </c>
      <c r="B52" s="49">
        <v>1656</v>
      </c>
      <c r="C52" s="49" t="s">
        <v>6</v>
      </c>
      <c r="D52" s="49" t="s">
        <v>76</v>
      </c>
      <c r="E52" s="49" t="s">
        <v>117</v>
      </c>
      <c r="G52" s="116">
        <v>390000</v>
      </c>
      <c r="I52" s="116">
        <v>390000</v>
      </c>
      <c r="J52" s="116">
        <v>983000</v>
      </c>
    </row>
    <row r="53" spans="1:10" x14ac:dyDescent="0.55000000000000004">
      <c r="A53" s="115">
        <v>44348</v>
      </c>
      <c r="B53" s="49"/>
      <c r="C53" s="49" t="s">
        <v>5</v>
      </c>
      <c r="D53" s="49" t="s">
        <v>29</v>
      </c>
      <c r="E53" s="49" t="s">
        <v>5</v>
      </c>
      <c r="F53" s="116">
        <v>1137350</v>
      </c>
      <c r="I53" s="116">
        <v>1137350</v>
      </c>
      <c r="J53" s="116">
        <v>1137350</v>
      </c>
    </row>
    <row r="54" spans="1:10" x14ac:dyDescent="0.55000000000000004">
      <c r="A54" s="115">
        <v>44356</v>
      </c>
      <c r="B54" s="49">
        <v>2125</v>
      </c>
      <c r="C54" s="49" t="s">
        <v>7</v>
      </c>
      <c r="D54" s="49" t="s">
        <v>29</v>
      </c>
      <c r="E54" s="49" t="s">
        <v>86</v>
      </c>
      <c r="H54" s="116">
        <v>500000</v>
      </c>
      <c r="I54" s="116">
        <v>-500000</v>
      </c>
      <c r="J54" s="116">
        <v>637350</v>
      </c>
    </row>
    <row r="55" spans="1:10" x14ac:dyDescent="0.55000000000000004">
      <c r="A55" s="115">
        <v>44368</v>
      </c>
      <c r="B55" s="49">
        <v>2922</v>
      </c>
      <c r="C55" s="49" t="s">
        <v>7</v>
      </c>
      <c r="D55" s="49" t="s">
        <v>29</v>
      </c>
      <c r="E55" s="49" t="s">
        <v>86</v>
      </c>
      <c r="H55" s="116">
        <v>637350</v>
      </c>
      <c r="I55" s="116">
        <v>-637350</v>
      </c>
      <c r="J55" s="116">
        <v>0</v>
      </c>
    </row>
    <row r="56" spans="1:10" x14ac:dyDescent="0.55000000000000004">
      <c r="A56" s="115">
        <v>44348</v>
      </c>
      <c r="B56" s="49"/>
      <c r="C56" s="49" t="s">
        <v>5</v>
      </c>
      <c r="D56" s="49" t="s">
        <v>77</v>
      </c>
      <c r="E56" s="49" t="s">
        <v>5</v>
      </c>
      <c r="F56" s="116">
        <v>1605630</v>
      </c>
      <c r="I56" s="116">
        <v>1605630</v>
      </c>
      <c r="J56" s="116">
        <v>1605630</v>
      </c>
    </row>
    <row r="57" spans="1:10" x14ac:dyDescent="0.55000000000000004">
      <c r="A57" s="115">
        <v>44351</v>
      </c>
      <c r="B57" s="49">
        <v>2802</v>
      </c>
      <c r="C57" s="49" t="s">
        <v>6</v>
      </c>
      <c r="D57" s="49" t="s">
        <v>77</v>
      </c>
      <c r="E57" s="49" t="s">
        <v>108</v>
      </c>
      <c r="G57" s="116">
        <v>184000</v>
      </c>
      <c r="I57" s="116">
        <v>184000</v>
      </c>
      <c r="J57" s="116">
        <v>1789630</v>
      </c>
    </row>
    <row r="58" spans="1:10" x14ac:dyDescent="0.55000000000000004">
      <c r="A58" s="115">
        <v>44355</v>
      </c>
      <c r="B58" s="49">
        <v>2803</v>
      </c>
      <c r="C58" s="49" t="s">
        <v>6</v>
      </c>
      <c r="D58" s="49" t="s">
        <v>77</v>
      </c>
      <c r="E58" s="49" t="s">
        <v>122</v>
      </c>
      <c r="G58" s="116">
        <v>118750</v>
      </c>
      <c r="I58" s="116">
        <v>118750</v>
      </c>
      <c r="J58" s="116">
        <v>1908380</v>
      </c>
    </row>
    <row r="59" spans="1:10" x14ac:dyDescent="0.55000000000000004">
      <c r="A59" s="115">
        <v>44361</v>
      </c>
      <c r="B59" s="49">
        <v>2805</v>
      </c>
      <c r="C59" s="49" t="s">
        <v>6</v>
      </c>
      <c r="D59" s="49" t="s">
        <v>77</v>
      </c>
      <c r="E59" s="49" t="s">
        <v>129</v>
      </c>
      <c r="G59" s="116">
        <v>286000</v>
      </c>
      <c r="I59" s="116">
        <v>286000</v>
      </c>
      <c r="J59" s="116">
        <v>2194380</v>
      </c>
    </row>
    <row r="60" spans="1:10" x14ac:dyDescent="0.55000000000000004">
      <c r="A60" s="115">
        <v>44363</v>
      </c>
      <c r="B60" s="49">
        <v>2806</v>
      </c>
      <c r="C60" s="49" t="s">
        <v>6</v>
      </c>
      <c r="D60" s="49" t="s">
        <v>77</v>
      </c>
      <c r="E60" s="49" t="s">
        <v>129</v>
      </c>
      <c r="G60" s="116">
        <v>286000</v>
      </c>
      <c r="I60" s="116">
        <v>286000</v>
      </c>
      <c r="J60" s="116">
        <v>2480380</v>
      </c>
    </row>
    <row r="61" spans="1:10" x14ac:dyDescent="0.55000000000000004">
      <c r="A61" s="115">
        <v>44363</v>
      </c>
      <c r="B61" s="49">
        <v>248</v>
      </c>
      <c r="C61" s="49" t="s">
        <v>7</v>
      </c>
      <c r="D61" s="49" t="s">
        <v>77</v>
      </c>
      <c r="E61" s="49" t="s">
        <v>86</v>
      </c>
      <c r="H61" s="116">
        <v>1000000</v>
      </c>
      <c r="I61" s="116">
        <v>-1000000</v>
      </c>
      <c r="J61" s="116">
        <v>1480380</v>
      </c>
    </row>
    <row r="62" spans="1:10" x14ac:dyDescent="0.55000000000000004">
      <c r="A62" s="115">
        <v>44375</v>
      </c>
      <c r="B62" s="49">
        <v>2808</v>
      </c>
      <c r="C62" s="49" t="s">
        <v>6</v>
      </c>
      <c r="D62" s="49" t="s">
        <v>77</v>
      </c>
      <c r="E62" s="49" t="s">
        <v>156</v>
      </c>
      <c r="G62" s="116">
        <v>177100</v>
      </c>
      <c r="I62" s="116">
        <v>177100</v>
      </c>
      <c r="J62" s="116">
        <v>1657480</v>
      </c>
    </row>
    <row r="63" spans="1:10" x14ac:dyDescent="0.55000000000000004">
      <c r="A63" s="115">
        <v>44348</v>
      </c>
      <c r="B63" s="49"/>
      <c r="C63" s="49" t="s">
        <v>5</v>
      </c>
      <c r="D63" s="49" t="s">
        <v>58</v>
      </c>
      <c r="E63" s="49" t="s">
        <v>5</v>
      </c>
      <c r="I63" s="116">
        <v>0</v>
      </c>
      <c r="J63" s="116">
        <v>0</v>
      </c>
    </row>
    <row r="64" spans="1:10" x14ac:dyDescent="0.55000000000000004">
      <c r="A64" s="115">
        <v>44348</v>
      </c>
      <c r="B64" s="49"/>
      <c r="C64" s="49" t="s">
        <v>5</v>
      </c>
      <c r="D64" s="49" t="s">
        <v>42</v>
      </c>
      <c r="E64" s="49" t="s">
        <v>5</v>
      </c>
      <c r="F64" s="116">
        <v>0</v>
      </c>
      <c r="I64" s="116">
        <v>0</v>
      </c>
      <c r="J64" s="116">
        <v>0</v>
      </c>
    </row>
    <row r="65" spans="1:10" x14ac:dyDescent="0.55000000000000004">
      <c r="A65" s="115">
        <v>44317</v>
      </c>
      <c r="B65" s="49"/>
      <c r="C65" s="49" t="s">
        <v>5</v>
      </c>
      <c r="D65" s="49" t="s">
        <v>78</v>
      </c>
      <c r="E65" s="49" t="s">
        <v>5</v>
      </c>
      <c r="F65" s="116">
        <v>0</v>
      </c>
      <c r="I65" s="116">
        <v>0</v>
      </c>
      <c r="J65" s="116">
        <v>0</v>
      </c>
    </row>
    <row r="66" spans="1:10" x14ac:dyDescent="0.55000000000000004">
      <c r="A66" s="115">
        <v>44348</v>
      </c>
      <c r="B66" s="49"/>
      <c r="C66" s="49" t="s">
        <v>5</v>
      </c>
      <c r="D66" s="49" t="s">
        <v>44</v>
      </c>
      <c r="E66" s="49" t="s">
        <v>5</v>
      </c>
      <c r="F66" s="116">
        <v>2208992</v>
      </c>
      <c r="I66" s="116">
        <v>2208992</v>
      </c>
      <c r="J66" s="116">
        <v>2208992</v>
      </c>
    </row>
    <row r="67" spans="1:10" x14ac:dyDescent="0.55000000000000004">
      <c r="A67" s="115">
        <v>44348</v>
      </c>
      <c r="B67" s="49"/>
      <c r="C67" s="49" t="s">
        <v>5</v>
      </c>
      <c r="D67" s="49" t="s">
        <v>79</v>
      </c>
      <c r="E67" s="49" t="s">
        <v>5</v>
      </c>
      <c r="F67" s="116">
        <v>1779510</v>
      </c>
      <c r="I67" s="116">
        <v>1779510</v>
      </c>
      <c r="J67" s="116">
        <v>1779510</v>
      </c>
    </row>
    <row r="68" spans="1:10" x14ac:dyDescent="0.55000000000000004">
      <c r="A68" s="115">
        <v>44351</v>
      </c>
      <c r="B68" s="49">
        <v>5817</v>
      </c>
      <c r="C68" s="49" t="s">
        <v>6</v>
      </c>
      <c r="D68" s="49" t="s">
        <v>79</v>
      </c>
      <c r="E68" s="49" t="s">
        <v>107</v>
      </c>
      <c r="G68" s="116">
        <v>22500</v>
      </c>
      <c r="I68" s="116">
        <v>22500</v>
      </c>
      <c r="J68" s="116">
        <v>1802010</v>
      </c>
    </row>
    <row r="69" spans="1:10" x14ac:dyDescent="0.55000000000000004">
      <c r="A69" s="115">
        <v>44361</v>
      </c>
      <c r="B69" s="49">
        <v>1162</v>
      </c>
      <c r="C69" s="49" t="s">
        <v>7</v>
      </c>
      <c r="D69" s="49" t="s">
        <v>79</v>
      </c>
      <c r="E69" s="49" t="s">
        <v>86</v>
      </c>
      <c r="H69" s="116">
        <v>500000</v>
      </c>
      <c r="I69" s="116">
        <v>-500000</v>
      </c>
      <c r="J69" s="116">
        <v>1302010</v>
      </c>
    </row>
    <row r="70" spans="1:10" x14ac:dyDescent="0.55000000000000004">
      <c r="A70" s="115">
        <v>44363</v>
      </c>
      <c r="B70" s="49">
        <v>1167</v>
      </c>
      <c r="C70" s="49" t="s">
        <v>7</v>
      </c>
      <c r="D70" s="49" t="s">
        <v>79</v>
      </c>
      <c r="E70" s="49" t="s">
        <v>86</v>
      </c>
      <c r="H70" s="116">
        <v>500000</v>
      </c>
      <c r="I70" s="116">
        <v>-500000</v>
      </c>
      <c r="J70" s="116">
        <v>802010</v>
      </c>
    </row>
    <row r="71" spans="1:10" x14ac:dyDescent="0.55000000000000004">
      <c r="A71" s="115">
        <v>44375</v>
      </c>
      <c r="B71" s="49"/>
      <c r="C71" s="49" t="s">
        <v>7</v>
      </c>
      <c r="D71" s="49" t="s">
        <v>79</v>
      </c>
      <c r="E71" s="49" t="s">
        <v>86</v>
      </c>
      <c r="H71" s="116">
        <v>100000</v>
      </c>
      <c r="I71" s="116">
        <v>-100000</v>
      </c>
      <c r="J71" s="116">
        <v>702010</v>
      </c>
    </row>
    <row r="72" spans="1:10" x14ac:dyDescent="0.55000000000000004">
      <c r="A72" s="115">
        <v>44359</v>
      </c>
      <c r="B72" s="49">
        <v>5818</v>
      </c>
      <c r="C72" s="49" t="s">
        <v>6</v>
      </c>
      <c r="D72" s="49" t="s">
        <v>79</v>
      </c>
      <c r="E72" s="49" t="s">
        <v>160</v>
      </c>
      <c r="G72" s="116">
        <v>135000</v>
      </c>
      <c r="I72" s="116">
        <v>135000</v>
      </c>
      <c r="J72" s="116">
        <v>837010</v>
      </c>
    </row>
    <row r="73" spans="1:10" x14ac:dyDescent="0.55000000000000004">
      <c r="A73" s="115">
        <v>44348</v>
      </c>
      <c r="B73" s="49"/>
      <c r="C73" s="49" t="s">
        <v>5</v>
      </c>
      <c r="D73" s="49" t="s">
        <v>80</v>
      </c>
      <c r="E73" s="49" t="s">
        <v>5</v>
      </c>
      <c r="F73" s="116">
        <v>999000</v>
      </c>
      <c r="I73" s="116">
        <v>999000</v>
      </c>
      <c r="J73" s="116">
        <v>999000</v>
      </c>
    </row>
    <row r="74" spans="1:10" x14ac:dyDescent="0.55000000000000004">
      <c r="A74" s="115">
        <v>44364</v>
      </c>
      <c r="B74" s="49">
        <v>531</v>
      </c>
      <c r="C74" s="49" t="s">
        <v>6</v>
      </c>
      <c r="D74" s="49" t="s">
        <v>80</v>
      </c>
      <c r="E74" s="49" t="s">
        <v>139</v>
      </c>
      <c r="G74" s="116">
        <v>188580</v>
      </c>
      <c r="I74" s="116">
        <v>188580</v>
      </c>
      <c r="J74" s="116">
        <v>1187580</v>
      </c>
    </row>
    <row r="75" spans="1:10" x14ac:dyDescent="0.55000000000000004">
      <c r="A75" s="115">
        <v>44364</v>
      </c>
      <c r="B75" s="49">
        <v>10763</v>
      </c>
      <c r="C75" s="49" t="s">
        <v>7</v>
      </c>
      <c r="D75" s="49" t="s">
        <v>80</v>
      </c>
      <c r="E75" s="49" t="s">
        <v>144</v>
      </c>
      <c r="H75" s="116">
        <v>999000</v>
      </c>
      <c r="I75" s="116">
        <v>-999000</v>
      </c>
      <c r="J75" s="116">
        <v>188580</v>
      </c>
    </row>
    <row r="76" spans="1:10" x14ac:dyDescent="0.55000000000000004">
      <c r="A76" s="115">
        <v>44348</v>
      </c>
      <c r="B76" s="49"/>
      <c r="C76" s="49" t="s">
        <v>5</v>
      </c>
      <c r="D76" s="49" t="s">
        <v>48</v>
      </c>
      <c r="E76" s="49" t="s">
        <v>5</v>
      </c>
      <c r="F76" s="116">
        <v>2214500</v>
      </c>
      <c r="I76" s="116">
        <v>2214500</v>
      </c>
      <c r="J76" s="116">
        <v>2214500</v>
      </c>
    </row>
    <row r="77" spans="1:10" x14ac:dyDescent="0.55000000000000004">
      <c r="A77" s="115">
        <v>44351</v>
      </c>
      <c r="B77" s="49">
        <v>1386</v>
      </c>
      <c r="C77" s="49" t="s">
        <v>6</v>
      </c>
      <c r="D77" s="49" t="s">
        <v>48</v>
      </c>
      <c r="E77" s="49" t="s">
        <v>110</v>
      </c>
      <c r="G77" s="116">
        <v>180000</v>
      </c>
      <c r="I77" s="116">
        <v>180000</v>
      </c>
      <c r="J77" s="116">
        <v>2394500</v>
      </c>
    </row>
    <row r="78" spans="1:10" x14ac:dyDescent="0.55000000000000004">
      <c r="A78" s="115">
        <v>44351</v>
      </c>
      <c r="B78" s="49">
        <v>1099</v>
      </c>
      <c r="C78" s="49" t="s">
        <v>7</v>
      </c>
      <c r="D78" s="49" t="s">
        <v>48</v>
      </c>
      <c r="E78" s="49" t="s">
        <v>86</v>
      </c>
      <c r="H78" s="116">
        <v>1000000</v>
      </c>
      <c r="I78" s="116">
        <v>-1000000</v>
      </c>
      <c r="J78" s="116">
        <v>1394500</v>
      </c>
    </row>
    <row r="79" spans="1:10" x14ac:dyDescent="0.55000000000000004">
      <c r="A79" s="115">
        <v>44361</v>
      </c>
      <c r="B79" s="49">
        <v>60083</v>
      </c>
      <c r="C79" s="49" t="s">
        <v>6</v>
      </c>
      <c r="D79" s="49" t="s">
        <v>48</v>
      </c>
      <c r="E79" s="49" t="s">
        <v>134</v>
      </c>
      <c r="G79" s="116">
        <v>98000</v>
      </c>
      <c r="I79" s="116">
        <v>98000</v>
      </c>
      <c r="J79" s="116">
        <v>1492500</v>
      </c>
    </row>
    <row r="80" spans="1:10" x14ac:dyDescent="0.55000000000000004">
      <c r="A80" s="115">
        <v>44355</v>
      </c>
      <c r="B80" s="49">
        <v>60048</v>
      </c>
      <c r="C80" s="49" t="s">
        <v>6</v>
      </c>
      <c r="D80" s="49" t="s">
        <v>48</v>
      </c>
      <c r="E80" s="49" t="s">
        <v>135</v>
      </c>
      <c r="G80" s="116">
        <v>90000</v>
      </c>
      <c r="I80" s="116">
        <v>90000</v>
      </c>
      <c r="J80" s="116">
        <v>1582500</v>
      </c>
    </row>
    <row r="81" spans="1:10" x14ac:dyDescent="0.55000000000000004">
      <c r="A81" s="115">
        <v>44361</v>
      </c>
      <c r="B81" s="49">
        <v>1142</v>
      </c>
      <c r="C81" s="49" t="s">
        <v>7</v>
      </c>
      <c r="D81" s="49" t="s">
        <v>48</v>
      </c>
      <c r="E81" s="49" t="s">
        <v>86</v>
      </c>
      <c r="H81" s="116">
        <v>1300000</v>
      </c>
      <c r="I81" s="116">
        <v>-1300000</v>
      </c>
      <c r="J81" s="116">
        <v>282500</v>
      </c>
    </row>
    <row r="82" spans="1:10" x14ac:dyDescent="0.55000000000000004">
      <c r="A82" s="115">
        <v>44372</v>
      </c>
      <c r="B82" s="49">
        <v>60131</v>
      </c>
      <c r="C82" s="49" t="s">
        <v>6</v>
      </c>
      <c r="D82" s="49" t="s">
        <v>48</v>
      </c>
      <c r="E82" s="49" t="s">
        <v>153</v>
      </c>
      <c r="G82" s="116">
        <v>240000</v>
      </c>
      <c r="I82" s="116">
        <v>240000</v>
      </c>
      <c r="J82" s="116">
        <v>522500</v>
      </c>
    </row>
    <row r="83" spans="1:10" x14ac:dyDescent="0.55000000000000004">
      <c r="A83" s="115">
        <v>44372</v>
      </c>
      <c r="B83" s="49">
        <v>60069</v>
      </c>
      <c r="C83" s="49" t="s">
        <v>6</v>
      </c>
      <c r="D83" s="49" t="s">
        <v>48</v>
      </c>
      <c r="E83" s="49" t="s">
        <v>154</v>
      </c>
      <c r="G83" s="116">
        <v>198000</v>
      </c>
      <c r="I83" s="116">
        <v>198000</v>
      </c>
      <c r="J83" s="116">
        <v>720500</v>
      </c>
    </row>
    <row r="84" spans="1:10" x14ac:dyDescent="0.55000000000000004">
      <c r="A84" s="115">
        <v>44374</v>
      </c>
      <c r="B84" s="49">
        <v>60136</v>
      </c>
      <c r="C84" s="49" t="s">
        <v>6</v>
      </c>
      <c r="D84" s="49" t="s">
        <v>48</v>
      </c>
      <c r="E84" s="49" t="s">
        <v>153</v>
      </c>
      <c r="G84" s="116">
        <v>796500</v>
      </c>
      <c r="I84" s="116">
        <v>796500</v>
      </c>
      <c r="J84" s="116">
        <v>1517000</v>
      </c>
    </row>
    <row r="85" spans="1:10" x14ac:dyDescent="0.55000000000000004">
      <c r="A85" s="115">
        <v>44372</v>
      </c>
      <c r="B85" s="49">
        <v>60133</v>
      </c>
      <c r="C85" s="49" t="s">
        <v>6</v>
      </c>
      <c r="D85" s="49" t="s">
        <v>48</v>
      </c>
      <c r="E85" s="49" t="s">
        <v>154</v>
      </c>
      <c r="G85" s="116">
        <v>198000</v>
      </c>
      <c r="I85" s="116">
        <v>198000</v>
      </c>
      <c r="J85" s="116">
        <v>1715000</v>
      </c>
    </row>
    <row r="86" spans="1:10" x14ac:dyDescent="0.55000000000000004">
      <c r="A86" s="115">
        <v>44375</v>
      </c>
      <c r="B86" s="49">
        <v>1202</v>
      </c>
      <c r="C86" s="49" t="s">
        <v>7</v>
      </c>
      <c r="D86" s="49" t="s">
        <v>48</v>
      </c>
      <c r="E86" s="49" t="s">
        <v>86</v>
      </c>
      <c r="H86" s="116">
        <v>500000</v>
      </c>
      <c r="I86" s="116">
        <v>-500000</v>
      </c>
      <c r="J86" s="116">
        <v>1215000</v>
      </c>
    </row>
    <row r="87" spans="1:10" x14ac:dyDescent="0.55000000000000004">
      <c r="A87" s="115">
        <v>44348</v>
      </c>
      <c r="B87" s="49"/>
      <c r="C87" s="49" t="s">
        <v>5</v>
      </c>
      <c r="D87" s="49" t="s">
        <v>50</v>
      </c>
      <c r="E87" s="49" t="s">
        <v>5</v>
      </c>
      <c r="F87" s="116">
        <v>9.9999999947613105E-3</v>
      </c>
      <c r="I87" s="116">
        <v>9.9999999947613105E-3</v>
      </c>
      <c r="J87" s="116">
        <v>9.9999999947613105E-3</v>
      </c>
    </row>
    <row r="88" spans="1:10" x14ac:dyDescent="0.55000000000000004">
      <c r="A88" s="115">
        <v>44348</v>
      </c>
      <c r="B88" s="49"/>
      <c r="C88" s="49" t="s">
        <v>5</v>
      </c>
      <c r="D88" s="49" t="s">
        <v>65</v>
      </c>
      <c r="E88" s="49" t="s">
        <v>5</v>
      </c>
      <c r="F88" s="116">
        <v>0</v>
      </c>
      <c r="I88" s="116">
        <v>0</v>
      </c>
      <c r="J88" s="116">
        <v>0</v>
      </c>
    </row>
    <row r="89" spans="1:10" x14ac:dyDescent="0.55000000000000004">
      <c r="A89" s="115">
        <v>44348</v>
      </c>
      <c r="B89" s="49"/>
      <c r="C89" s="49" t="s">
        <v>5</v>
      </c>
      <c r="D89" s="49" t="s">
        <v>81</v>
      </c>
      <c r="E89" s="49" t="s">
        <v>5</v>
      </c>
      <c r="F89" s="116">
        <v>0</v>
      </c>
      <c r="I89" s="116">
        <v>0</v>
      </c>
      <c r="J89" s="116">
        <v>0</v>
      </c>
    </row>
    <row r="90" spans="1:10" x14ac:dyDescent="0.55000000000000004">
      <c r="A90" s="115">
        <v>44348</v>
      </c>
      <c r="B90" s="49"/>
      <c r="C90" s="49" t="s">
        <v>5</v>
      </c>
      <c r="D90" s="49" t="s">
        <v>82</v>
      </c>
      <c r="E90" s="49" t="s">
        <v>5</v>
      </c>
      <c r="F90" s="116">
        <v>143000</v>
      </c>
      <c r="I90" s="116">
        <v>143000</v>
      </c>
      <c r="J90" s="116">
        <v>143000</v>
      </c>
    </row>
    <row r="91" spans="1:10" x14ac:dyDescent="0.55000000000000004">
      <c r="A91" s="115">
        <v>44348</v>
      </c>
      <c r="B91" s="49"/>
      <c r="C91" s="49" t="s">
        <v>5</v>
      </c>
      <c r="D91" s="49" t="s">
        <v>56</v>
      </c>
      <c r="E91" s="49" t="s">
        <v>5</v>
      </c>
      <c r="F91" s="116">
        <v>691721</v>
      </c>
      <c r="I91" s="116">
        <v>691721</v>
      </c>
      <c r="J91" s="116">
        <v>691721</v>
      </c>
    </row>
    <row r="92" spans="1:10" x14ac:dyDescent="0.55000000000000004">
      <c r="A92" s="115">
        <v>44349</v>
      </c>
      <c r="B92" s="49">
        <v>122978</v>
      </c>
      <c r="C92" s="49" t="s">
        <v>6</v>
      </c>
      <c r="D92" s="49" t="s">
        <v>56</v>
      </c>
      <c r="E92" s="49" t="s">
        <v>109</v>
      </c>
      <c r="G92" s="116">
        <v>122978</v>
      </c>
      <c r="I92" s="116">
        <v>122978</v>
      </c>
      <c r="J92" s="116">
        <v>814699</v>
      </c>
    </row>
    <row r="93" spans="1:10" x14ac:dyDescent="0.55000000000000004">
      <c r="A93" s="115">
        <v>44355</v>
      </c>
      <c r="B93" s="49">
        <v>210211</v>
      </c>
      <c r="C93" s="49" t="s">
        <v>7</v>
      </c>
      <c r="D93" s="49" t="s">
        <v>56</v>
      </c>
      <c r="E93" s="49" t="s">
        <v>86</v>
      </c>
      <c r="H93" s="116">
        <v>800000</v>
      </c>
      <c r="I93" s="116">
        <v>-800000</v>
      </c>
      <c r="J93" s="116">
        <v>14699</v>
      </c>
    </row>
    <row r="94" spans="1:10" x14ac:dyDescent="0.55000000000000004">
      <c r="A94" s="115">
        <v>44355</v>
      </c>
      <c r="B94" s="49">
        <v>516211</v>
      </c>
      <c r="C94" s="49" t="s">
        <v>6</v>
      </c>
      <c r="D94" s="49" t="s">
        <v>56</v>
      </c>
      <c r="E94" s="49" t="s">
        <v>123</v>
      </c>
      <c r="G94" s="116">
        <v>41580</v>
      </c>
      <c r="I94" s="116">
        <v>41580</v>
      </c>
      <c r="J94" s="116">
        <v>56279</v>
      </c>
    </row>
    <row r="95" spans="1:10" x14ac:dyDescent="0.55000000000000004">
      <c r="A95" s="115">
        <v>44356</v>
      </c>
      <c r="B95" s="49">
        <v>520211</v>
      </c>
      <c r="C95" s="49" t="s">
        <v>6</v>
      </c>
      <c r="D95" s="49" t="s">
        <v>56</v>
      </c>
      <c r="E95" s="49" t="s">
        <v>133</v>
      </c>
      <c r="G95" s="116">
        <v>102203</v>
      </c>
      <c r="I95" s="116">
        <v>102203</v>
      </c>
      <c r="J95" s="116">
        <v>158482</v>
      </c>
    </row>
    <row r="96" spans="1:10" x14ac:dyDescent="0.55000000000000004">
      <c r="A96" s="115">
        <v>44368</v>
      </c>
      <c r="B96" s="49">
        <v>242211</v>
      </c>
      <c r="C96" s="49" t="s">
        <v>6</v>
      </c>
      <c r="D96" s="49" t="s">
        <v>56</v>
      </c>
      <c r="E96" s="49" t="s">
        <v>151</v>
      </c>
      <c r="G96" s="116">
        <v>326041</v>
      </c>
      <c r="I96" s="116">
        <v>326041</v>
      </c>
      <c r="J96" s="116">
        <v>484523</v>
      </c>
    </row>
    <row r="97" spans="1:10" x14ac:dyDescent="0.55000000000000004">
      <c r="A97" s="115">
        <v>44364</v>
      </c>
      <c r="B97" s="49">
        <v>535211</v>
      </c>
      <c r="C97" s="49" t="s">
        <v>6</v>
      </c>
      <c r="D97" s="49" t="s">
        <v>56</v>
      </c>
      <c r="E97" s="49" t="s">
        <v>152</v>
      </c>
      <c r="G97" s="116">
        <v>355080</v>
      </c>
      <c r="I97" s="116">
        <v>355080</v>
      </c>
      <c r="J97" s="116">
        <v>839603</v>
      </c>
    </row>
    <row r="98" spans="1:10" x14ac:dyDescent="0.55000000000000004">
      <c r="A98" s="115">
        <v>44372</v>
      </c>
      <c r="B98" s="49">
        <v>548211</v>
      </c>
      <c r="C98" s="49" t="s">
        <v>6</v>
      </c>
      <c r="D98" s="49" t="s">
        <v>56</v>
      </c>
      <c r="E98" s="49" t="s">
        <v>155</v>
      </c>
      <c r="G98" s="116">
        <v>195895</v>
      </c>
      <c r="I98" s="116">
        <v>195895</v>
      </c>
      <c r="J98" s="116">
        <v>1035498</v>
      </c>
    </row>
    <row r="99" spans="1:10" x14ac:dyDescent="0.55000000000000004">
      <c r="A99" s="115">
        <v>44375</v>
      </c>
      <c r="B99" s="49">
        <v>226211</v>
      </c>
      <c r="C99" s="49" t="s">
        <v>7</v>
      </c>
      <c r="D99" s="49" t="s">
        <v>56</v>
      </c>
      <c r="E99" s="49" t="s">
        <v>86</v>
      </c>
      <c r="H99" s="116">
        <v>1000000</v>
      </c>
      <c r="I99" s="116">
        <v>-1000000</v>
      </c>
      <c r="J99" s="116">
        <v>35498</v>
      </c>
    </row>
    <row r="100" spans="1:10" x14ac:dyDescent="0.55000000000000004">
      <c r="A100" s="115">
        <v>44375</v>
      </c>
      <c r="B100" s="49">
        <v>552211</v>
      </c>
      <c r="C100" s="49" t="s">
        <v>6</v>
      </c>
      <c r="D100" s="49" t="s">
        <v>56</v>
      </c>
      <c r="E100" s="49" t="s">
        <v>161</v>
      </c>
      <c r="G100" s="116">
        <v>205709</v>
      </c>
      <c r="I100" s="116">
        <v>205709</v>
      </c>
      <c r="J100" s="116">
        <v>241207</v>
      </c>
    </row>
    <row r="101" spans="1:10" x14ac:dyDescent="0.55000000000000004">
      <c r="B101" s="49"/>
      <c r="C101" s="49"/>
      <c r="D101" s="49"/>
      <c r="E101" s="49"/>
    </row>
    <row r="102" spans="1:10" x14ac:dyDescent="0.55000000000000004">
      <c r="B102" s="49"/>
      <c r="C102" s="49"/>
      <c r="D102" s="49"/>
      <c r="E102" s="49"/>
    </row>
    <row r="103" spans="1:10" x14ac:dyDescent="0.55000000000000004">
      <c r="B103" s="49"/>
      <c r="C103" s="49"/>
      <c r="D103" s="49"/>
      <c r="E103" s="49"/>
    </row>
    <row r="104" spans="1:10" x14ac:dyDescent="0.55000000000000004">
      <c r="B104" s="49"/>
      <c r="C104" s="49"/>
      <c r="D104" s="49"/>
      <c r="E104" s="49"/>
    </row>
    <row r="105" spans="1:10" x14ac:dyDescent="0.55000000000000004">
      <c r="B105" s="49"/>
      <c r="C105" s="49"/>
      <c r="D105" s="49"/>
      <c r="E105" s="49"/>
    </row>
    <row r="106" spans="1:10" x14ac:dyDescent="0.55000000000000004">
      <c r="B106" s="49"/>
      <c r="C106" s="49"/>
      <c r="D106" s="49"/>
      <c r="E106" s="49"/>
    </row>
    <row r="107" spans="1:10" x14ac:dyDescent="0.55000000000000004">
      <c r="B107" s="49"/>
      <c r="C107" s="49"/>
      <c r="D107" s="49"/>
      <c r="E107" s="49"/>
    </row>
    <row r="108" spans="1:10" x14ac:dyDescent="0.55000000000000004">
      <c r="B108" s="49"/>
      <c r="C108" s="49"/>
      <c r="D108" s="49"/>
      <c r="E108" s="49"/>
    </row>
    <row r="109" spans="1:10" x14ac:dyDescent="0.55000000000000004">
      <c r="B109" s="49"/>
      <c r="C109" s="49"/>
      <c r="D109" s="49"/>
      <c r="E109" s="49"/>
    </row>
    <row r="110" spans="1:10" x14ac:dyDescent="0.55000000000000004">
      <c r="B110" s="49"/>
      <c r="C110" s="49"/>
      <c r="D110" s="49"/>
      <c r="E110" s="49"/>
    </row>
    <row r="111" spans="1:10" x14ac:dyDescent="0.55000000000000004">
      <c r="B111" s="49"/>
      <c r="C111" s="49"/>
      <c r="D111" s="49"/>
      <c r="E111" s="49"/>
    </row>
    <row r="112" spans="1:10" x14ac:dyDescent="0.55000000000000004">
      <c r="B112" s="49"/>
      <c r="C112" s="49"/>
      <c r="D112" s="49"/>
      <c r="E112" s="49"/>
    </row>
    <row r="113" spans="2:5" x14ac:dyDescent="0.55000000000000004">
      <c r="B113" s="49"/>
      <c r="C113" s="49"/>
      <c r="D113" s="49"/>
      <c r="E113" s="49"/>
    </row>
    <row r="114" spans="2:5" x14ac:dyDescent="0.55000000000000004">
      <c r="B114" s="49"/>
      <c r="C114" s="49"/>
      <c r="D114" s="49"/>
      <c r="E114" s="49"/>
    </row>
    <row r="115" spans="2:5" x14ac:dyDescent="0.55000000000000004">
      <c r="B115" s="49"/>
      <c r="C115" s="49"/>
      <c r="D115" s="49"/>
      <c r="E115" s="49"/>
    </row>
    <row r="116" spans="2:5" x14ac:dyDescent="0.55000000000000004">
      <c r="B116" s="49"/>
      <c r="C116" s="49"/>
      <c r="D116" s="49"/>
      <c r="E116" s="49"/>
    </row>
    <row r="117" spans="2:5" x14ac:dyDescent="0.55000000000000004">
      <c r="B117" s="49"/>
      <c r="C117" s="49"/>
      <c r="D117" s="49"/>
      <c r="E117" s="49"/>
    </row>
    <row r="118" spans="2:5" x14ac:dyDescent="0.55000000000000004">
      <c r="B118" s="49"/>
      <c r="C118" s="49"/>
      <c r="D118" s="49"/>
      <c r="E118" s="49"/>
    </row>
    <row r="119" spans="2:5" x14ac:dyDescent="0.55000000000000004">
      <c r="B119" s="49"/>
      <c r="C119" s="49"/>
      <c r="D119" s="49"/>
      <c r="E119" s="49"/>
    </row>
    <row r="120" spans="2:5" x14ac:dyDescent="0.55000000000000004">
      <c r="B120" s="49"/>
      <c r="C120" s="49"/>
      <c r="D120" s="49"/>
      <c r="E120" s="49"/>
    </row>
    <row r="121" spans="2:5" x14ac:dyDescent="0.55000000000000004">
      <c r="B121" s="49"/>
      <c r="C121" s="49"/>
      <c r="D121" s="49"/>
      <c r="E121" s="49"/>
    </row>
    <row r="122" spans="2:5" x14ac:dyDescent="0.55000000000000004">
      <c r="B122" s="49"/>
      <c r="C122" s="49"/>
      <c r="D122" s="49"/>
      <c r="E122" s="49"/>
    </row>
    <row r="123" spans="2:5" x14ac:dyDescent="0.55000000000000004">
      <c r="B123" s="49"/>
      <c r="C123" s="49"/>
      <c r="D123" s="49"/>
      <c r="E123" s="49"/>
    </row>
    <row r="124" spans="2:5" x14ac:dyDescent="0.55000000000000004">
      <c r="B124" s="49"/>
      <c r="C124" s="49"/>
      <c r="D124" s="49"/>
      <c r="E124" s="49"/>
    </row>
    <row r="125" spans="2:5" x14ac:dyDescent="0.55000000000000004">
      <c r="B125" s="49"/>
      <c r="C125" s="49"/>
      <c r="D125" s="49"/>
      <c r="E125" s="49"/>
    </row>
    <row r="126" spans="2:5" x14ac:dyDescent="0.55000000000000004">
      <c r="B126" s="49"/>
      <c r="C126" s="49"/>
      <c r="D126" s="49"/>
      <c r="E126" s="49"/>
    </row>
    <row r="127" spans="2:5" x14ac:dyDescent="0.55000000000000004">
      <c r="B127" s="49"/>
      <c r="C127" s="49"/>
      <c r="D127" s="49"/>
      <c r="E127" s="49"/>
    </row>
    <row r="128" spans="2:5" x14ac:dyDescent="0.55000000000000004">
      <c r="B128" s="49"/>
      <c r="C128" s="49"/>
      <c r="D128" s="49"/>
      <c r="E128" s="49"/>
    </row>
    <row r="129" spans="2:5" x14ac:dyDescent="0.55000000000000004">
      <c r="B129" s="49"/>
      <c r="C129" s="49"/>
      <c r="D129" s="49"/>
      <c r="E129" s="49"/>
    </row>
    <row r="130" spans="2:5" x14ac:dyDescent="0.55000000000000004">
      <c r="B130" s="49"/>
      <c r="C130" s="49"/>
      <c r="D130" s="49"/>
      <c r="E130" s="49"/>
    </row>
    <row r="131" spans="2:5" x14ac:dyDescent="0.55000000000000004">
      <c r="B131" s="49"/>
      <c r="C131" s="49"/>
      <c r="D131" s="49"/>
      <c r="E131" s="49"/>
    </row>
    <row r="132" spans="2:5" x14ac:dyDescent="0.55000000000000004">
      <c r="B132" s="49"/>
      <c r="C132" s="49"/>
      <c r="D132" s="49"/>
      <c r="E132" s="49"/>
    </row>
    <row r="133" spans="2:5" x14ac:dyDescent="0.55000000000000004">
      <c r="B133" s="49"/>
      <c r="C133" s="49"/>
      <c r="D133" s="49"/>
      <c r="E133" s="49"/>
    </row>
    <row r="134" spans="2:5" x14ac:dyDescent="0.55000000000000004">
      <c r="B134" s="49"/>
      <c r="C134" s="49"/>
      <c r="D134" s="49"/>
      <c r="E134" s="49"/>
    </row>
    <row r="135" spans="2:5" x14ac:dyDescent="0.55000000000000004">
      <c r="B135" s="49"/>
      <c r="C135" s="49"/>
      <c r="D135" s="49"/>
      <c r="E135" s="49"/>
    </row>
    <row r="136" spans="2:5" x14ac:dyDescent="0.55000000000000004">
      <c r="B136" s="49"/>
      <c r="C136" s="49"/>
      <c r="D136" s="49"/>
      <c r="E136" s="49"/>
    </row>
    <row r="137" spans="2:5" x14ac:dyDescent="0.55000000000000004">
      <c r="B137" s="49"/>
      <c r="C137" s="49"/>
      <c r="D137" s="49"/>
      <c r="E137" s="49"/>
    </row>
    <row r="138" spans="2:5" x14ac:dyDescent="0.55000000000000004">
      <c r="B138" s="49"/>
      <c r="C138" s="49"/>
      <c r="D138" s="49"/>
      <c r="E138" s="49"/>
    </row>
    <row r="139" spans="2:5" x14ac:dyDescent="0.55000000000000004">
      <c r="B139" s="49"/>
      <c r="C139" s="49"/>
      <c r="D139" s="49"/>
      <c r="E139" s="49"/>
    </row>
    <row r="140" spans="2:5" x14ac:dyDescent="0.55000000000000004">
      <c r="B140" s="49"/>
      <c r="C140" s="49"/>
      <c r="D140" s="49"/>
      <c r="E140" s="49"/>
    </row>
    <row r="141" spans="2:5" x14ac:dyDescent="0.55000000000000004">
      <c r="B141" s="49"/>
      <c r="C141" s="49"/>
      <c r="D141" s="49"/>
      <c r="E141" s="49"/>
    </row>
    <row r="142" spans="2:5" x14ac:dyDescent="0.55000000000000004">
      <c r="B142" s="49"/>
      <c r="C142" s="49"/>
      <c r="D142" s="49"/>
      <c r="E142" s="49"/>
    </row>
    <row r="143" spans="2:5" x14ac:dyDescent="0.55000000000000004">
      <c r="B143" s="49"/>
      <c r="C143" s="49"/>
      <c r="D143" s="49"/>
      <c r="E143" s="49"/>
    </row>
    <row r="144" spans="2:5" x14ac:dyDescent="0.55000000000000004">
      <c r="B144" s="49"/>
      <c r="C144" s="49"/>
      <c r="D144" s="49"/>
      <c r="E144" s="49"/>
    </row>
    <row r="145" spans="2:5" x14ac:dyDescent="0.55000000000000004">
      <c r="B145" s="49"/>
      <c r="C145" s="49"/>
      <c r="D145" s="49"/>
      <c r="E145" s="49"/>
    </row>
    <row r="146" spans="2:5" x14ac:dyDescent="0.55000000000000004">
      <c r="B146" s="49"/>
      <c r="C146" s="49"/>
      <c r="D146" s="49"/>
      <c r="E146" s="49"/>
    </row>
    <row r="147" spans="2:5" x14ac:dyDescent="0.55000000000000004">
      <c r="B147" s="49"/>
      <c r="C147" s="49"/>
      <c r="D147" s="49"/>
      <c r="E147" s="49"/>
    </row>
    <row r="148" spans="2:5" x14ac:dyDescent="0.55000000000000004">
      <c r="B148" s="49"/>
      <c r="C148" s="49"/>
      <c r="D148" s="49"/>
      <c r="E148" s="49"/>
    </row>
    <row r="149" spans="2:5" x14ac:dyDescent="0.55000000000000004">
      <c r="B149" s="49"/>
      <c r="C149" s="49"/>
      <c r="D149" s="49"/>
      <c r="E149" s="49"/>
    </row>
    <row r="150" spans="2:5" x14ac:dyDescent="0.55000000000000004">
      <c r="B150" s="49"/>
      <c r="C150" s="49"/>
      <c r="D150" s="49"/>
      <c r="E150" s="49"/>
    </row>
    <row r="151" spans="2:5" x14ac:dyDescent="0.55000000000000004">
      <c r="B151" s="49"/>
      <c r="C151" s="49"/>
      <c r="D151" s="49"/>
      <c r="E151" s="49"/>
    </row>
    <row r="152" spans="2:5" x14ac:dyDescent="0.55000000000000004">
      <c r="B152" s="49"/>
      <c r="C152" s="49"/>
      <c r="D152" s="49"/>
      <c r="E152" s="49"/>
    </row>
    <row r="153" spans="2:5" x14ac:dyDescent="0.55000000000000004">
      <c r="B153" s="49"/>
      <c r="C153" s="49"/>
      <c r="D153" s="49"/>
      <c r="E153" s="49"/>
    </row>
    <row r="154" spans="2:5" x14ac:dyDescent="0.55000000000000004">
      <c r="B154" s="49"/>
      <c r="C154" s="49"/>
      <c r="D154" s="49"/>
      <c r="E154" s="49"/>
    </row>
    <row r="155" spans="2:5" x14ac:dyDescent="0.55000000000000004">
      <c r="B155" s="49"/>
      <c r="C155" s="49"/>
      <c r="D155" s="49"/>
      <c r="E155" s="49"/>
    </row>
    <row r="156" spans="2:5" x14ac:dyDescent="0.55000000000000004">
      <c r="B156" s="49"/>
      <c r="C156" s="49"/>
      <c r="D156" s="49"/>
      <c r="E156" s="49"/>
    </row>
    <row r="157" spans="2:5" x14ac:dyDescent="0.55000000000000004">
      <c r="B157" s="49"/>
      <c r="C157" s="49"/>
      <c r="D157" s="49"/>
      <c r="E157" s="49"/>
    </row>
    <row r="158" spans="2:5" x14ac:dyDescent="0.55000000000000004">
      <c r="B158" s="49"/>
      <c r="C158" s="49"/>
      <c r="D158" s="49"/>
      <c r="E158" s="49"/>
    </row>
    <row r="159" spans="2:5" x14ac:dyDescent="0.55000000000000004">
      <c r="B159" s="49"/>
      <c r="C159" s="49"/>
      <c r="D159" s="49"/>
      <c r="E159" s="49"/>
    </row>
    <row r="160" spans="2:5" x14ac:dyDescent="0.55000000000000004">
      <c r="B160" s="49"/>
      <c r="C160" s="49"/>
      <c r="D160" s="49"/>
      <c r="E160" s="49"/>
    </row>
    <row r="161" spans="2:5" x14ac:dyDescent="0.55000000000000004">
      <c r="B161" s="49"/>
      <c r="C161" s="49"/>
      <c r="D161" s="49"/>
      <c r="E161" s="49"/>
    </row>
    <row r="162" spans="2:5" x14ac:dyDescent="0.55000000000000004">
      <c r="B162" s="49"/>
      <c r="C162" s="49"/>
      <c r="D162" s="49"/>
      <c r="E162" s="49"/>
    </row>
    <row r="163" spans="2:5" x14ac:dyDescent="0.55000000000000004">
      <c r="B163" s="49"/>
      <c r="C163" s="49"/>
      <c r="D163" s="49"/>
      <c r="E163" s="49"/>
    </row>
    <row r="164" spans="2:5" x14ac:dyDescent="0.55000000000000004">
      <c r="B164" s="49"/>
      <c r="C164" s="49"/>
      <c r="D164" s="49"/>
      <c r="E164" s="49"/>
    </row>
    <row r="165" spans="2:5" x14ac:dyDescent="0.55000000000000004">
      <c r="B165" s="49"/>
      <c r="C165" s="49"/>
      <c r="D165" s="49"/>
      <c r="E165" s="49"/>
    </row>
    <row r="166" spans="2:5" x14ac:dyDescent="0.55000000000000004">
      <c r="B166" s="49"/>
      <c r="C166" s="49"/>
      <c r="D166" s="49"/>
      <c r="E166" s="49"/>
    </row>
    <row r="167" spans="2:5" x14ac:dyDescent="0.55000000000000004">
      <c r="B167" s="49"/>
      <c r="C167" s="49"/>
      <c r="D167" s="49"/>
      <c r="E167" s="49"/>
    </row>
    <row r="168" spans="2:5" x14ac:dyDescent="0.55000000000000004">
      <c r="B168" s="49"/>
      <c r="C168" s="49"/>
      <c r="D168" s="49"/>
      <c r="E168" s="49"/>
    </row>
    <row r="169" spans="2:5" x14ac:dyDescent="0.55000000000000004">
      <c r="B169" s="49"/>
      <c r="C169" s="49"/>
      <c r="D169" s="49"/>
      <c r="E169" s="49"/>
    </row>
    <row r="170" spans="2:5" x14ac:dyDescent="0.55000000000000004">
      <c r="B170" s="49"/>
      <c r="C170" s="49"/>
      <c r="D170" s="49"/>
      <c r="E170" s="49"/>
    </row>
    <row r="171" spans="2:5" x14ac:dyDescent="0.55000000000000004">
      <c r="B171" s="49"/>
      <c r="C171" s="49"/>
      <c r="D171" s="49"/>
      <c r="E171" s="49"/>
    </row>
    <row r="172" spans="2:5" x14ac:dyDescent="0.55000000000000004">
      <c r="B172" s="49"/>
      <c r="C172" s="49"/>
      <c r="D172" s="49"/>
      <c r="E172" s="49"/>
    </row>
    <row r="173" spans="2:5" x14ac:dyDescent="0.55000000000000004">
      <c r="B173" s="49"/>
      <c r="C173" s="49"/>
      <c r="D173" s="49"/>
      <c r="E173" s="49"/>
    </row>
    <row r="174" spans="2:5" x14ac:dyDescent="0.55000000000000004">
      <c r="B174" s="49"/>
      <c r="C174" s="49"/>
      <c r="D174" s="49"/>
      <c r="E174" s="49"/>
    </row>
    <row r="175" spans="2:5" x14ac:dyDescent="0.55000000000000004">
      <c r="B175" s="49"/>
      <c r="C175" s="49"/>
      <c r="D175" s="49"/>
      <c r="E175" s="49"/>
    </row>
    <row r="176" spans="2:5" x14ac:dyDescent="0.55000000000000004">
      <c r="B176" s="49"/>
      <c r="C176" s="49"/>
      <c r="D176" s="49"/>
      <c r="E176" s="49"/>
    </row>
    <row r="177" spans="2:5" x14ac:dyDescent="0.55000000000000004">
      <c r="B177" s="49"/>
      <c r="C177" s="49"/>
      <c r="D177" s="49"/>
      <c r="E177" s="49"/>
    </row>
    <row r="178" spans="2:5" x14ac:dyDescent="0.55000000000000004">
      <c r="B178" s="49"/>
      <c r="C178" s="49"/>
      <c r="D178" s="49"/>
      <c r="E178" s="49"/>
    </row>
    <row r="179" spans="2:5" x14ac:dyDescent="0.55000000000000004">
      <c r="B179" s="49"/>
      <c r="C179" s="49"/>
      <c r="D179" s="49"/>
      <c r="E179" s="49"/>
    </row>
    <row r="180" spans="2:5" x14ac:dyDescent="0.55000000000000004">
      <c r="B180" s="49"/>
      <c r="C180" s="49"/>
      <c r="D180" s="49"/>
      <c r="E180" s="49"/>
    </row>
    <row r="181" spans="2:5" x14ac:dyDescent="0.55000000000000004">
      <c r="B181" s="49"/>
      <c r="C181" s="49"/>
      <c r="D181" s="49"/>
      <c r="E181" s="49"/>
    </row>
    <row r="182" spans="2:5" x14ac:dyDescent="0.55000000000000004">
      <c r="B182" s="49"/>
      <c r="C182" s="49"/>
      <c r="D182" s="49"/>
      <c r="E182" s="49"/>
    </row>
    <row r="183" spans="2:5" x14ac:dyDescent="0.55000000000000004">
      <c r="B183" s="49"/>
      <c r="C183" s="49"/>
      <c r="D183" s="49"/>
      <c r="E183" s="49"/>
    </row>
    <row r="184" spans="2:5" x14ac:dyDescent="0.55000000000000004">
      <c r="B184" s="49"/>
      <c r="C184" s="49"/>
      <c r="D184" s="49"/>
      <c r="E184" s="49"/>
    </row>
    <row r="185" spans="2:5" x14ac:dyDescent="0.55000000000000004">
      <c r="B185" s="49"/>
      <c r="C185" s="49"/>
      <c r="D185" s="49"/>
      <c r="E185" s="49"/>
    </row>
    <row r="186" spans="2:5" x14ac:dyDescent="0.55000000000000004">
      <c r="B186" s="49"/>
      <c r="C186" s="49"/>
      <c r="D186" s="49"/>
      <c r="E186" s="49"/>
    </row>
    <row r="187" spans="2:5" x14ac:dyDescent="0.55000000000000004">
      <c r="B187" s="49"/>
      <c r="C187" s="49"/>
      <c r="D187" s="49"/>
      <c r="E187" s="49"/>
    </row>
    <row r="188" spans="2:5" x14ac:dyDescent="0.55000000000000004">
      <c r="B188" s="49"/>
      <c r="C188" s="49"/>
      <c r="D188" s="49"/>
      <c r="E188" s="49"/>
    </row>
    <row r="189" spans="2:5" x14ac:dyDescent="0.55000000000000004">
      <c r="B189" s="49"/>
      <c r="C189" s="49"/>
      <c r="D189" s="49"/>
      <c r="E189" s="49"/>
    </row>
    <row r="190" spans="2:5" x14ac:dyDescent="0.55000000000000004">
      <c r="B190" s="49"/>
      <c r="C190" s="49"/>
      <c r="D190" s="49"/>
      <c r="E190" s="49"/>
    </row>
    <row r="191" spans="2:5" x14ac:dyDescent="0.55000000000000004">
      <c r="B191" s="49"/>
      <c r="C191" s="49"/>
      <c r="D191" s="49"/>
      <c r="E191" s="49"/>
    </row>
    <row r="192" spans="2:5" x14ac:dyDescent="0.55000000000000004">
      <c r="B192" s="49"/>
      <c r="C192" s="49"/>
      <c r="D192" s="49"/>
      <c r="E192" s="49"/>
    </row>
    <row r="193" spans="2:5" x14ac:dyDescent="0.55000000000000004">
      <c r="B193" s="49"/>
      <c r="C193" s="49"/>
      <c r="D193" s="49"/>
      <c r="E193" s="49"/>
    </row>
    <row r="194" spans="2:5" x14ac:dyDescent="0.55000000000000004">
      <c r="B194" s="49"/>
      <c r="C194" s="49"/>
      <c r="D194" s="49"/>
      <c r="E194" s="49"/>
    </row>
    <row r="195" spans="2:5" x14ac:dyDescent="0.55000000000000004">
      <c r="B195" s="49"/>
      <c r="C195" s="49"/>
      <c r="D195" s="49"/>
      <c r="E195" s="49"/>
    </row>
    <row r="196" spans="2:5" x14ac:dyDescent="0.55000000000000004">
      <c r="B196" s="49"/>
      <c r="C196" s="49"/>
      <c r="D196" s="49"/>
      <c r="E196" s="49"/>
    </row>
    <row r="197" spans="2:5" x14ac:dyDescent="0.55000000000000004">
      <c r="B197" s="49"/>
      <c r="C197" s="49"/>
      <c r="D197" s="49"/>
      <c r="E197" s="49"/>
    </row>
    <row r="198" spans="2:5" x14ac:dyDescent="0.55000000000000004">
      <c r="B198" s="49"/>
      <c r="C198" s="49"/>
      <c r="D198" s="49"/>
      <c r="E198" s="49"/>
    </row>
    <row r="199" spans="2:5" x14ac:dyDescent="0.55000000000000004">
      <c r="B199" s="49"/>
      <c r="C199" s="49"/>
      <c r="D199" s="49"/>
      <c r="E199" s="49"/>
    </row>
    <row r="200" spans="2:5" x14ac:dyDescent="0.55000000000000004">
      <c r="B200" s="49"/>
      <c r="C200" s="49"/>
      <c r="D200" s="49"/>
      <c r="E200" s="49"/>
    </row>
    <row r="201" spans="2:5" x14ac:dyDescent="0.55000000000000004">
      <c r="B201" s="49"/>
      <c r="C201" s="49"/>
      <c r="D201" s="49"/>
      <c r="E201" s="49"/>
    </row>
    <row r="202" spans="2:5" x14ac:dyDescent="0.55000000000000004">
      <c r="B202" s="49"/>
      <c r="C202" s="49"/>
      <c r="D202" s="49"/>
      <c r="E202" s="49"/>
    </row>
    <row r="203" spans="2:5" x14ac:dyDescent="0.55000000000000004">
      <c r="B203" s="49"/>
      <c r="C203" s="49"/>
      <c r="D203" s="49"/>
      <c r="E203" s="49"/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J3"/>
  <sheetViews>
    <sheetView tabSelected="1" workbookViewId="0">
      <selection activeCell="E2" sqref="E2"/>
    </sheetView>
  </sheetViews>
  <sheetFormatPr defaultRowHeight="15" x14ac:dyDescent="0.25"/>
  <cols>
    <col min="1" max="1" width="17.85546875" style="83" bestFit="1" customWidth="1"/>
    <col min="2" max="2" width="18.85546875" bestFit="1" customWidth="1"/>
    <col min="3" max="3" width="22.28515625" bestFit="1" customWidth="1"/>
    <col min="4" max="4" width="28.42578125" bestFit="1" customWidth="1"/>
    <col min="5" max="5" width="25.28515625" bestFit="1" customWidth="1"/>
    <col min="6" max="6" width="21.5703125" bestFit="1" customWidth="1"/>
    <col min="7" max="7" width="22.5703125" bestFit="1" customWidth="1"/>
    <col min="8" max="8" width="22.28515625" bestFit="1" customWidth="1"/>
    <col min="9" max="9" width="21.140625" style="85" bestFit="1" customWidth="1"/>
    <col min="10" max="10" width="10" bestFit="1" customWidth="1"/>
  </cols>
  <sheetData>
    <row r="1" spans="1:10" ht="21.75" x14ac:dyDescent="0.55000000000000004">
      <c r="A1" s="82" t="s">
        <v>91</v>
      </c>
      <c r="B1" s="49" t="s">
        <v>92</v>
      </c>
      <c r="C1" s="49" t="s">
        <v>93</v>
      </c>
      <c r="D1" s="49" t="s">
        <v>94</v>
      </c>
      <c r="E1" s="49" t="s">
        <v>95</v>
      </c>
      <c r="F1" s="49" t="s">
        <v>96</v>
      </c>
      <c r="G1" s="49" t="s">
        <v>97</v>
      </c>
      <c r="H1" s="49" t="s">
        <v>98</v>
      </c>
      <c r="I1" s="84" t="s">
        <v>99</v>
      </c>
      <c r="J1" s="49" t="s">
        <v>100</v>
      </c>
    </row>
    <row r="2" spans="1:10" ht="21.75" x14ac:dyDescent="0.55000000000000004">
      <c r="A2" s="82">
        <v>44348</v>
      </c>
      <c r="B2" s="49"/>
      <c r="C2" s="49" t="s">
        <v>5</v>
      </c>
      <c r="D2" s="49" t="s">
        <v>75</v>
      </c>
      <c r="E2" s="49" t="s">
        <v>5</v>
      </c>
      <c r="F2" s="49">
        <v>16740000</v>
      </c>
      <c r="G2" s="49"/>
      <c r="H2" s="49"/>
      <c r="I2" s="84">
        <v>16740000</v>
      </c>
      <c r="J2" s="49" t="s">
        <v>101</v>
      </c>
    </row>
    <row r="3" spans="1:10" ht="21.75" x14ac:dyDescent="0.55000000000000004">
      <c r="A3" s="82">
        <v>44348</v>
      </c>
      <c r="B3" s="49"/>
      <c r="C3" s="49" t="s">
        <v>5</v>
      </c>
      <c r="D3" s="49" t="s">
        <v>76</v>
      </c>
      <c r="E3" s="49" t="s">
        <v>5</v>
      </c>
      <c r="F3" s="49">
        <v>750000</v>
      </c>
      <c r="G3" s="49"/>
      <c r="H3" s="49"/>
      <c r="I3" s="84">
        <v>750000</v>
      </c>
      <c r="J3" s="49" t="s">
        <v>102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AC16BF9-C016-4834-A52B-02BC2FE9A9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</vt:i4>
      </vt:variant>
    </vt:vector>
  </HeadingPairs>
  <TitlesOfParts>
    <vt:vector size="26" baseType="lpstr">
      <vt:lpstr>Supplier (COA)</vt:lpstr>
      <vt:lpstr>Armax Engine Oil</vt:lpstr>
      <vt:lpstr>Aspire Aim Machinery</vt:lpstr>
      <vt:lpstr>Aung Myit Tar</vt:lpstr>
      <vt:lpstr>GBS Co, LTD Tricycle</vt:lpstr>
      <vt:lpstr>Delita International Limited</vt:lpstr>
      <vt:lpstr>GBS Co, LTD Engine</vt:lpstr>
      <vt:lpstr>GBS Spare</vt:lpstr>
      <vt:lpstr>Ko Win Hlaing</vt:lpstr>
      <vt:lpstr>Kyinn Loon Myanmar</vt:lpstr>
      <vt:lpstr>Ma Au Bin</vt:lpstr>
      <vt:lpstr>Mann Ayawadi</vt:lpstr>
      <vt:lpstr>MDL Tricycle Spare</vt:lpstr>
      <vt:lpstr>Moe Thauk Ayar</vt:lpstr>
      <vt:lpstr>Sein Wut Hmon Co, LTD</vt:lpstr>
      <vt:lpstr>Shwe Than Lwin</vt:lpstr>
      <vt:lpstr>Shwe Yar Su</vt:lpstr>
      <vt:lpstr>Super</vt:lpstr>
      <vt:lpstr>Tat Shwe La Win </vt:lpstr>
      <vt:lpstr>UMG Co,LTD</vt:lpstr>
      <vt:lpstr>Zan (or) Mg Mg Soe</vt:lpstr>
      <vt:lpstr>Total Balance</vt:lpstr>
      <vt:lpstr>Pivot Table</vt:lpstr>
      <vt:lpstr>Data Combine</vt:lpstr>
      <vt:lpstr>Sheet2</vt:lpstr>
      <vt:lpstr>'Total Balance'!Print_Area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Windows User</cp:lastModifiedBy>
  <cp:lastPrinted>2021-03-13T22:35:13Z</cp:lastPrinted>
  <dcterms:created xsi:type="dcterms:W3CDTF">2021-03-05T16:53:14Z</dcterms:created>
  <dcterms:modified xsi:type="dcterms:W3CDTF">2022-02-07T19:42:58Z</dcterms:modified>
</cp:coreProperties>
</file>