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pivotTables/pivotTable1.xml" ContentType="application/vnd.openxmlformats-officedocument.spreadsheetml.pivot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adana Zin Maung Account(YAMIN)\Purchase &amp; Payment (2021)\"/>
    </mc:Choice>
  </mc:AlternateContent>
  <bookViews>
    <workbookView xWindow="-120" yWindow="-120" windowWidth="20730" windowHeight="11160" firstSheet="19" activeTab="23"/>
  </bookViews>
  <sheets>
    <sheet name="Supplier (COA)" sheetId="21" r:id="rId1"/>
    <sheet name="Armax Engine Oil" sheetId="1" r:id="rId2"/>
    <sheet name="Aspire Aim Machinery" sheetId="3" r:id="rId3"/>
    <sheet name="Aung Myit Tar" sheetId="4" r:id="rId4"/>
    <sheet name="Delita International Limited" sheetId="5" r:id="rId5"/>
    <sheet name="GBS Co, LTD Tricycle" sheetId="6" r:id="rId6"/>
    <sheet name="GBS Co, LTD Engine" sheetId="22" r:id="rId7"/>
    <sheet name="GBS Spare" sheetId="7" r:id="rId8"/>
    <sheet name="Ko Win Hlaing" sheetId="8" r:id="rId9"/>
    <sheet name="Kyinn Loon Myanmar" sheetId="9" r:id="rId10"/>
    <sheet name="Ma Au Bin" sheetId="10" r:id="rId11"/>
    <sheet name="Mann Ayawadi" sheetId="11" r:id="rId12"/>
    <sheet name="MDL Tricycle Spare" sheetId="12" r:id="rId13"/>
    <sheet name="Moe Thauk Ayar" sheetId="13" r:id="rId14"/>
    <sheet name="Sein Wut Hmon Co, LTD" sheetId="14" r:id="rId15"/>
    <sheet name="Shwe Than Lwin" sheetId="15" r:id="rId16"/>
    <sheet name="Shwe Yar Su" sheetId="16" r:id="rId17"/>
    <sheet name="Super" sheetId="17" r:id="rId18"/>
    <sheet name="Tat Shwe La Win " sheetId="18" r:id="rId19"/>
    <sheet name="UMG Co,LTD" sheetId="19" r:id="rId20"/>
    <sheet name="Zan (or) Mg Mg Soe" sheetId="20" r:id="rId21"/>
    <sheet name="Total Balance" sheetId="53" r:id="rId22"/>
    <sheet name="Pivot Table" sheetId="56" r:id="rId23"/>
    <sheet name="Data Combine" sheetId="55" r:id="rId24"/>
  </sheets>
  <externalReferences>
    <externalReference r:id="rId25"/>
  </externalReferences>
  <definedNames>
    <definedName name="ExternalData_1" localSheetId="23" hidden="1">'Data Combine'!$A$1:$J$206</definedName>
    <definedName name="_xlnm.Print_Area" localSheetId="21">'Total Balance'!$A$1:$F$23</definedName>
  </definedNames>
  <calcPr calcId="162913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53" l="1"/>
  <c r="J5" i="3" l="1"/>
  <c r="J7" i="4"/>
  <c r="J10" i="7"/>
  <c r="J12" i="8"/>
  <c r="J6" i="9"/>
  <c r="J5" i="10"/>
  <c r="J7" i="11"/>
  <c r="J7" i="13"/>
  <c r="J14" i="15"/>
  <c r="J5" i="16"/>
  <c r="J3" i="17"/>
  <c r="J2" i="17"/>
  <c r="J12" i="20"/>
  <c r="J3" i="20"/>
  <c r="J2" i="20"/>
  <c r="C3" i="53" l="1"/>
  <c r="D3" i="53"/>
  <c r="E3" i="53"/>
  <c r="F3" i="53"/>
  <c r="C4" i="53"/>
  <c r="D4" i="53"/>
  <c r="E4" i="53"/>
  <c r="F4" i="53"/>
  <c r="C5" i="53"/>
  <c r="D5" i="53"/>
  <c r="E5" i="53"/>
  <c r="F5" i="53"/>
  <c r="C6" i="53"/>
  <c r="D6" i="53"/>
  <c r="E6" i="53"/>
  <c r="F6" i="53"/>
  <c r="C7" i="53"/>
  <c r="D7" i="53"/>
  <c r="E7" i="53"/>
  <c r="F7" i="53"/>
  <c r="C8" i="53"/>
  <c r="D8" i="53"/>
  <c r="E8" i="53"/>
  <c r="F8" i="53"/>
  <c r="C9" i="53"/>
  <c r="D9" i="53"/>
  <c r="E9" i="53"/>
  <c r="F9" i="53"/>
  <c r="C10" i="53"/>
  <c r="D10" i="53"/>
  <c r="E10" i="53"/>
  <c r="F10" i="53"/>
  <c r="C11" i="53"/>
  <c r="D11" i="53"/>
  <c r="E11" i="53"/>
  <c r="F11" i="53"/>
  <c r="C12" i="53"/>
  <c r="D12" i="53"/>
  <c r="E12" i="53"/>
  <c r="F12" i="53"/>
  <c r="C13" i="53"/>
  <c r="D13" i="53"/>
  <c r="E13" i="53"/>
  <c r="F13" i="53"/>
  <c r="C14" i="53"/>
  <c r="D14" i="53"/>
  <c r="E14" i="53"/>
  <c r="F14" i="53"/>
  <c r="C15" i="53"/>
  <c r="D15" i="53"/>
  <c r="E15" i="53"/>
  <c r="F15" i="53"/>
  <c r="C16" i="53"/>
  <c r="D16" i="53"/>
  <c r="E16" i="53"/>
  <c r="F16" i="53"/>
  <c r="C17" i="53"/>
  <c r="D17" i="53"/>
  <c r="E17" i="53"/>
  <c r="F17" i="53"/>
  <c r="C18" i="53"/>
  <c r="D18" i="53"/>
  <c r="E18" i="53"/>
  <c r="F18" i="53"/>
  <c r="C19" i="53"/>
  <c r="D19" i="53"/>
  <c r="E19" i="53"/>
  <c r="F19" i="53"/>
  <c r="C20" i="53"/>
  <c r="D20" i="53"/>
  <c r="E20" i="53"/>
  <c r="F20" i="53"/>
  <c r="C21" i="53"/>
  <c r="D21" i="53"/>
  <c r="E21" i="53"/>
  <c r="F21" i="53"/>
  <c r="D2" i="53"/>
  <c r="E2" i="53"/>
  <c r="C2" i="53"/>
  <c r="J4" i="20" l="1"/>
  <c r="J5" i="20" s="1"/>
  <c r="J6" i="20" s="1"/>
  <c r="J7" i="20" s="1"/>
  <c r="J8" i="20" s="1"/>
  <c r="J9" i="20" s="1"/>
  <c r="J10" i="20" s="1"/>
  <c r="J11" i="20" s="1"/>
  <c r="J2" i="19"/>
  <c r="J2" i="18"/>
  <c r="J4" i="17"/>
  <c r="J5" i="17" s="1"/>
  <c r="J4" i="16"/>
  <c r="J3" i="16"/>
  <c r="J2" i="16"/>
  <c r="J4" i="15"/>
  <c r="J5" i="15"/>
  <c r="J6" i="15" s="1"/>
  <c r="J7" i="15" s="1"/>
  <c r="J8" i="15" s="1"/>
  <c r="J9" i="15" s="1"/>
  <c r="J10" i="15" s="1"/>
  <c r="J11" i="15" s="1"/>
  <c r="J12" i="15" s="1"/>
  <c r="J13" i="15" s="1"/>
  <c r="J3" i="15"/>
  <c r="J2" i="15"/>
  <c r="J2" i="14"/>
  <c r="J4" i="13"/>
  <c r="J5" i="13"/>
  <c r="J6" i="13" s="1"/>
  <c r="J3" i="13"/>
  <c r="J2" i="13"/>
  <c r="J2" i="12"/>
  <c r="J4" i="11"/>
  <c r="J5" i="11"/>
  <c r="J6" i="11" s="1"/>
  <c r="J3" i="11"/>
  <c r="J2" i="11"/>
  <c r="J4" i="10"/>
  <c r="J3" i="10"/>
  <c r="J2" i="10"/>
  <c r="J4" i="9"/>
  <c r="J5" i="9"/>
  <c r="J3" i="9"/>
  <c r="J2" i="9"/>
  <c r="J4" i="8"/>
  <c r="J5" i="8"/>
  <c r="J6" i="8" s="1"/>
  <c r="J7" i="8" s="1"/>
  <c r="J8" i="8" s="1"/>
  <c r="J9" i="8" s="1"/>
  <c r="J10" i="8" s="1"/>
  <c r="J11" i="8" s="1"/>
  <c r="J3" i="8"/>
  <c r="J2" i="8"/>
  <c r="J2" i="22"/>
  <c r="J2" i="6"/>
  <c r="I2" i="6"/>
  <c r="J2" i="5"/>
  <c r="J3" i="1"/>
  <c r="J2" i="1"/>
  <c r="J3" i="3" l="1"/>
  <c r="J2" i="3"/>
  <c r="J4" i="4"/>
  <c r="J5" i="4"/>
  <c r="J6" i="4" s="1"/>
  <c r="J3" i="4"/>
  <c r="J2" i="4"/>
  <c r="J4" i="3" l="1"/>
  <c r="I7" i="4" l="1"/>
  <c r="I6" i="4"/>
  <c r="I5" i="4"/>
  <c r="I4" i="4"/>
  <c r="I3" i="4"/>
  <c r="I2" i="4"/>
  <c r="I5" i="3"/>
  <c r="I4" i="3"/>
  <c r="I3" i="3"/>
  <c r="I2" i="3"/>
  <c r="I2" i="1"/>
  <c r="I14" i="15" l="1"/>
  <c r="I11" i="20" l="1"/>
  <c r="I12" i="20"/>
  <c r="I11" i="8"/>
  <c r="I12" i="8"/>
  <c r="I10" i="8" l="1"/>
  <c r="I10" i="15" l="1"/>
  <c r="I11" i="15"/>
  <c r="I12" i="15"/>
  <c r="I13" i="15"/>
  <c r="I4" i="13"/>
  <c r="I5" i="13"/>
  <c r="I6" i="13"/>
  <c r="I4" i="20" l="1"/>
  <c r="I3" i="7" l="1"/>
  <c r="I4" i="7"/>
  <c r="I5" i="8" l="1"/>
  <c r="I6" i="8"/>
  <c r="I7" i="8"/>
  <c r="I3" i="13" l="1"/>
  <c r="I9" i="8" l="1"/>
  <c r="I3" i="9" l="1"/>
  <c r="E23" i="53" l="1"/>
  <c r="C23" i="53"/>
  <c r="D23" i="53"/>
  <c r="F23" i="53" l="1"/>
  <c r="I10" i="20"/>
  <c r="I9" i="20"/>
  <c r="I8" i="20"/>
  <c r="I7" i="20"/>
  <c r="I6" i="20"/>
  <c r="I5" i="20"/>
  <c r="I3" i="20"/>
  <c r="I2" i="20"/>
  <c r="I2" i="19"/>
  <c r="I2" i="18"/>
  <c r="I5" i="17"/>
  <c r="I4" i="17"/>
  <c r="I3" i="17"/>
  <c r="I2" i="17"/>
  <c r="I5" i="16"/>
  <c r="I4" i="16"/>
  <c r="I3" i="16"/>
  <c r="I2" i="16"/>
  <c r="I9" i="15"/>
  <c r="I8" i="15"/>
  <c r="I7" i="15"/>
  <c r="I6" i="15"/>
  <c r="I5" i="15"/>
  <c r="I4" i="15"/>
  <c r="I3" i="15"/>
  <c r="I2" i="15"/>
  <c r="I2" i="14"/>
  <c r="I7" i="13"/>
  <c r="I2" i="13"/>
  <c r="I2" i="12"/>
  <c r="I7" i="11"/>
  <c r="I6" i="11"/>
  <c r="I5" i="11"/>
  <c r="I4" i="11"/>
  <c r="I3" i="11"/>
  <c r="I2" i="11"/>
  <c r="I5" i="10"/>
  <c r="I4" i="10"/>
  <c r="I3" i="10"/>
  <c r="I2" i="10"/>
  <c r="I6" i="9"/>
  <c r="I5" i="9"/>
  <c r="I4" i="9"/>
  <c r="I2" i="9"/>
  <c r="I8" i="8"/>
  <c r="I4" i="8"/>
  <c r="I3" i="8"/>
  <c r="I2" i="8"/>
  <c r="I10" i="7"/>
  <c r="I9" i="7"/>
  <c r="I8" i="7"/>
  <c r="I7" i="7"/>
  <c r="I6" i="7"/>
  <c r="I5" i="7"/>
  <c r="I2" i="7"/>
  <c r="J2" i="7" s="1"/>
  <c r="J3" i="7" s="1"/>
  <c r="J4" i="7" s="1"/>
  <c r="J5" i="7" s="1"/>
  <c r="J6" i="7" s="1"/>
  <c r="J7" i="7" s="1"/>
  <c r="J8" i="7" s="1"/>
  <c r="J9" i="7" s="1"/>
  <c r="I2" i="22"/>
  <c r="I2" i="5"/>
</calcChain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<sst xmlns="http://schemas.openxmlformats.org/spreadsheetml/2006/main" count="1026" uniqueCount="151">
  <si>
    <t>No</t>
  </si>
  <si>
    <t>Date</t>
  </si>
  <si>
    <t>Supplier Code</t>
  </si>
  <si>
    <t>Supplier Name</t>
  </si>
  <si>
    <t>Item Name</t>
  </si>
  <si>
    <t>Opening</t>
  </si>
  <si>
    <t>Purchase</t>
  </si>
  <si>
    <t>Payment</t>
  </si>
  <si>
    <t>Balance</t>
  </si>
  <si>
    <t>Armax Engine Oil</t>
  </si>
  <si>
    <t>Sub Account Name</t>
  </si>
  <si>
    <t>Pay202</t>
  </si>
  <si>
    <t>Arr Thit</t>
  </si>
  <si>
    <t>Current Assets</t>
  </si>
  <si>
    <t>Pay203</t>
  </si>
  <si>
    <t>Aspire Aim Machinery</t>
  </si>
  <si>
    <t>Non-Current Assets</t>
  </si>
  <si>
    <t>Pay204</t>
  </si>
  <si>
    <t>Aung Myit Tar</t>
  </si>
  <si>
    <t>Current Liabilities</t>
  </si>
  <si>
    <t>Pay205</t>
  </si>
  <si>
    <t>Delta International Limited</t>
  </si>
  <si>
    <t>Non-Current Liabilities</t>
  </si>
  <si>
    <t>Pay206</t>
  </si>
  <si>
    <t>Shereholder's and equity</t>
  </si>
  <si>
    <t>Pay207</t>
  </si>
  <si>
    <t>GBS Fertilizer</t>
  </si>
  <si>
    <t>Sales</t>
  </si>
  <si>
    <t>Pay208</t>
  </si>
  <si>
    <t>GBS Spare</t>
  </si>
  <si>
    <t>Cost of good sold</t>
  </si>
  <si>
    <t>Pay209</t>
  </si>
  <si>
    <t>Hope Flowers Fertilizer</t>
  </si>
  <si>
    <t>Other Income</t>
  </si>
  <si>
    <t>Pay210</t>
  </si>
  <si>
    <t>Hur Hong Co.Ltd</t>
  </si>
  <si>
    <t>Other Expenses</t>
  </si>
  <si>
    <t>Pay211</t>
  </si>
  <si>
    <t xml:space="preserve">Ko Win Hlaing </t>
  </si>
  <si>
    <t>Pay212</t>
  </si>
  <si>
    <t>Kyaw Ball</t>
  </si>
  <si>
    <t>Pay213</t>
  </si>
  <si>
    <t>Ma Au Bin</t>
  </si>
  <si>
    <t>Pay214</t>
  </si>
  <si>
    <t>MDL Tricycle Spare</t>
  </si>
  <si>
    <t>Pay215</t>
  </si>
  <si>
    <t>Sein Wut Hmon Co.Ltd</t>
  </si>
  <si>
    <t>Pay216</t>
  </si>
  <si>
    <t>Shwe Than Lwin</t>
  </si>
  <si>
    <t>Pay217</t>
  </si>
  <si>
    <t>Shwe Yar Su</t>
  </si>
  <si>
    <t>Pay218</t>
  </si>
  <si>
    <t>Tat Shwe La Win</t>
  </si>
  <si>
    <t>Pay219</t>
  </si>
  <si>
    <t>UMG Co,Ltd</t>
  </si>
  <si>
    <t>Pay220</t>
  </si>
  <si>
    <t>Zan (or) Mg Mg Soe</t>
  </si>
  <si>
    <t>Pay221</t>
  </si>
  <si>
    <t>Kyinn Loon Myanmar</t>
  </si>
  <si>
    <t>Pay222</t>
  </si>
  <si>
    <t>Moe thauk Ayar</t>
  </si>
  <si>
    <t>Pay223</t>
  </si>
  <si>
    <t>Pay224</t>
  </si>
  <si>
    <t>Mann Ayarwadi</t>
  </si>
  <si>
    <t>Pay225</t>
  </si>
  <si>
    <t>Super</t>
  </si>
  <si>
    <t>Pay226</t>
  </si>
  <si>
    <t xml:space="preserve">Ko Hla Ngwe </t>
  </si>
  <si>
    <t>GBS Co.Ltd Tricycle</t>
  </si>
  <si>
    <t>GBS Co.Ltd  Engine</t>
  </si>
  <si>
    <t>A/C Tipe</t>
  </si>
  <si>
    <t>AC ေရျမဳပ္</t>
  </si>
  <si>
    <t>ေငြလႊဲ - Mobile</t>
  </si>
  <si>
    <t>4×2 ပူလီ</t>
  </si>
  <si>
    <t>½</t>
  </si>
  <si>
    <t>6½ အိတ္ေဇာ</t>
  </si>
  <si>
    <t>Pay228</t>
  </si>
  <si>
    <t>Vr.No</t>
  </si>
  <si>
    <t>Delita International Limied</t>
  </si>
  <si>
    <t>GBS Co, LTD Tricycle</t>
  </si>
  <si>
    <t>GBS Co, LTD Engine</t>
  </si>
  <si>
    <t>Ko Win Hlaing</t>
  </si>
  <si>
    <t>Mann Ayawadi</t>
  </si>
  <si>
    <t>Moe Thauk Ayar</t>
  </si>
  <si>
    <t>Sein Wut Hmon Co, LTD</t>
  </si>
  <si>
    <t xml:space="preserve">Tat Shwe La Win </t>
  </si>
  <si>
    <t>UMG Co,LTD</t>
  </si>
  <si>
    <t>အိတ္ေဇာခါးဆက္နတ္</t>
  </si>
  <si>
    <t>AC ေရျမဳပ္အားမာန္</t>
  </si>
  <si>
    <t>175 ဟန္တယ္ေဂါက္</t>
  </si>
  <si>
    <t>Grand Total</t>
  </si>
  <si>
    <t>1.5HP ေမာ္တာ</t>
  </si>
  <si>
    <t>1HP ေရေမာ္တာ</t>
  </si>
  <si>
    <t>Total</t>
  </si>
  <si>
    <t>Content.Date</t>
  </si>
  <si>
    <t>Content.Vr.No</t>
  </si>
  <si>
    <t>Content.A/C Tipe</t>
  </si>
  <si>
    <t>Content.Supplier Name</t>
  </si>
  <si>
    <t>Content.Item Name</t>
  </si>
  <si>
    <t>Content.Opening</t>
  </si>
  <si>
    <t>Content.Purchase</t>
  </si>
  <si>
    <t>Content.Payment</t>
  </si>
  <si>
    <t>Content.Balance</t>
  </si>
  <si>
    <t>1.5 ေရေမာ္တာ</t>
  </si>
  <si>
    <t>R180 စလစ္ကစ္ Set</t>
  </si>
  <si>
    <t>ကာပရိုက္တာ (1) ပင္</t>
  </si>
  <si>
    <t>175 ပလန္ခ်ာ</t>
  </si>
  <si>
    <t>SU 50ကပ္ပန္႔</t>
  </si>
  <si>
    <t>12 ထုပ္ကိြဳင္</t>
  </si>
  <si>
    <t>NT70 Engine</t>
  </si>
  <si>
    <t>2"လည္ေခ်ာင္းပိုက္</t>
  </si>
  <si>
    <t>250W ေရျမဳပ္ပန္႔</t>
  </si>
  <si>
    <t>ေငြလႊဲ - YGN</t>
  </si>
  <si>
    <t>700X16ကၽြတ္ ေငြျပန္အမ္း</t>
  </si>
  <si>
    <t>Dis</t>
  </si>
  <si>
    <t>dis</t>
  </si>
  <si>
    <t>ပလန္ခ်ာဆြဲနတ္</t>
  </si>
  <si>
    <t>Jet Pamp</t>
  </si>
  <si>
    <t>ကြန္ပရက္ဆာ</t>
  </si>
  <si>
    <t>Peacock DCေမာ္တာ</t>
  </si>
  <si>
    <t>CDI</t>
  </si>
  <si>
    <t>Auto Pamp</t>
  </si>
  <si>
    <t>Omega</t>
  </si>
  <si>
    <t>14 ေဂြ</t>
  </si>
  <si>
    <t>1"ႀကိဳးစိမ္းပိုက္</t>
  </si>
  <si>
    <t>မာစတာပန္႔</t>
  </si>
  <si>
    <t>ဘီးနတ္</t>
  </si>
  <si>
    <t>လံုးျဖဴပန္႔</t>
  </si>
  <si>
    <t>SU 50 ေၾကြစီး</t>
  </si>
  <si>
    <t>ဆီဘရိတ္အိုးသံ</t>
  </si>
  <si>
    <t>600×16 တာယာ</t>
  </si>
  <si>
    <t>Full Set</t>
  </si>
  <si>
    <t>Daewoo</t>
  </si>
  <si>
    <t>110 တစ္ဘီးထြန္</t>
  </si>
  <si>
    <t>Omage</t>
  </si>
  <si>
    <t>ျဖတ္ဘား</t>
  </si>
  <si>
    <t>တစ္ဘီးထြန္ Toyo</t>
  </si>
  <si>
    <t>ေနာ္ဇယ္အံု</t>
  </si>
  <si>
    <t>အဲယားဗူး</t>
  </si>
  <si>
    <t>ဆီတိုင္ကီR180</t>
  </si>
  <si>
    <t>ဘက္မွန္</t>
  </si>
  <si>
    <t>ေငြလႊဲ- YGN</t>
  </si>
  <si>
    <t>ေငြလႊဲ-YGN</t>
  </si>
  <si>
    <t>ေငြလႊဲ - ဆိုင္</t>
  </si>
  <si>
    <t>Total Balance</t>
  </si>
  <si>
    <t>Content.Total Balance</t>
  </si>
  <si>
    <t>(blank)</t>
  </si>
  <si>
    <t xml:space="preserve"> Content.Opening</t>
  </si>
  <si>
    <t xml:space="preserve"> Content.Payment</t>
  </si>
  <si>
    <t xml:space="preserve"> Content.Purchase</t>
  </si>
  <si>
    <t xml:space="preserve"> Content.Balance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</si>
</sst>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\V\-00000"/>
    <numFmt numFmtId="166" formatCode="dd/mmmm/yyyy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164" fontId="2" fillId="0" borderId="0" xfId="1" applyNumberFormat="1" applyFont="1"/>
    <xf numFmtId="0" fontId="3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horizontal="center"/>
    </xf>
    <xf numFmtId="164" fontId="2" fillId="0" borderId="0" xfId="1" applyNumberFormat="1" applyFont="1" applyAlignment="1">
      <alignment horizontal="center"/>
    </xf>
    <xf numFmtId="164" fontId="2" fillId="0" borderId="0" xfId="1" applyNumberFormat="1" applyFont="1" applyAlignment="1"/>
    <xf numFmtId="0" fontId="2" fillId="2" borderId="1" xfId="0" applyFont="1" applyFill="1" applyBorder="1"/>
    <xf numFmtId="165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166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4" fontId="4" fillId="0" borderId="0" xfId="0" applyNumberFormat="1" applyFont="1"/>
    <xf numFmtId="165" fontId="4" fillId="0" borderId="0" xfId="0" applyNumberFormat="1" applyFont="1" applyAlignment="1">
      <alignment horizontal="center"/>
    </xf>
    <xf numFmtId="164" fontId="4" fillId="0" borderId="0" xfId="1" applyNumberFormat="1" applyFont="1" applyAlignment="1"/>
    <xf numFmtId="166" fontId="4" fillId="0" borderId="0" xfId="0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164" fontId="2" fillId="3" borderId="1" xfId="1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164" fontId="2" fillId="0" borderId="0" xfId="1" applyNumberFormat="1" applyFont="1" applyBorder="1" applyAlignment="1">
      <alignment horizontal="center"/>
    </xf>
    <xf numFmtId="0" fontId="2" fillId="3" borderId="2" xfId="0" applyFont="1" applyFill="1" applyBorder="1"/>
    <xf numFmtId="0" fontId="2" fillId="3" borderId="3" xfId="0" applyNumberFormat="1" applyFont="1" applyFill="1" applyBorder="1"/>
    <xf numFmtId="164" fontId="3" fillId="0" borderId="4" xfId="1" applyNumberFormat="1" applyFont="1" applyBorder="1" applyAlignment="1">
      <alignment horizontal="center"/>
    </xf>
    <xf numFmtId="0" fontId="3" fillId="0" borderId="0" xfId="0" applyFont="1"/>
    <xf numFmtId="0" fontId="2" fillId="0" borderId="0" xfId="0" applyNumberFormat="1" applyFont="1"/>
    <xf numFmtId="164" fontId="0" fillId="0" borderId="0" xfId="1" applyNumberFormat="1" applyFont="1"/>
    <xf numFmtId="0" fontId="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NumberFormat="1" applyFont="1"/>
    <xf numFmtId="164" fontId="5" fillId="0" borderId="0" xfId="1" applyNumberFormat="1" applyFont="1" applyAlignment="1">
      <alignment horizontal="center"/>
    </xf>
    <xf numFmtId="164" fontId="5" fillId="0" borderId="0" xfId="1" applyNumberFormat="1" applyFont="1" applyAlignment="1"/>
    <xf numFmtId="166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NumberFormat="1" applyFont="1"/>
    <xf numFmtId="0" fontId="6" fillId="0" borderId="0" xfId="0" applyFont="1" applyAlignment="1">
      <alignment horizontal="center"/>
    </xf>
    <xf numFmtId="164" fontId="6" fillId="0" borderId="0" xfId="1" applyNumberFormat="1" applyFont="1" applyAlignment="1">
      <alignment horizontal="center"/>
    </xf>
    <xf numFmtId="164" fontId="6" fillId="0" borderId="0" xfId="1" applyNumberFormat="1" applyFont="1" applyAlignment="1"/>
    <xf numFmtId="165" fontId="7" fillId="0" borderId="0" xfId="0" applyNumberFormat="1" applyFont="1" applyAlignment="1">
      <alignment horizontal="center"/>
    </xf>
    <xf numFmtId="164" fontId="7" fillId="0" borderId="0" xfId="1" applyNumberFormat="1" applyFont="1" applyAlignment="1">
      <alignment horizontal="center"/>
    </xf>
    <xf numFmtId="164" fontId="7" fillId="0" borderId="0" xfId="1" applyNumberFormat="1" applyFont="1" applyAlignment="1"/>
    <xf numFmtId="14" fontId="2" fillId="0" borderId="0" xfId="0" applyNumberFormat="1" applyFont="1"/>
    <xf numFmtId="164" fontId="8" fillId="0" borderId="0" xfId="1" applyNumberFormat="1" applyFont="1" applyAlignment="1">
      <alignment horizontal="center"/>
    </xf>
    <xf numFmtId="15" fontId="2" fillId="0" borderId="0" xfId="0" applyNumberFormat="1" applyFont="1"/>
    <xf numFmtId="15" fontId="0" fillId="0" borderId="0" xfId="0" applyNumberFormat="1"/>
    <xf numFmtId="0" fontId="2" fillId="0" borderId="0" xfId="0" pivotButton="1" applyFont="1"/>
    <xf numFmtId="164" fontId="2" fillId="0" borderId="0" xfId="0" applyNumberFormat="1" applyFont="1"/>
  </cellXfs>
  <cellStyles count="2">
    <cellStyle name="Comma" xfId="1" builtinId="3"/>
    <cellStyle name="Normal" xfId="0" builtinId="0"/>
  </cellStyles>
  <dxfs count="293"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\-mmm\-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8" formatCode="_(* #,##0.0_);_(* \(#,##0.0\);_(* &quot;-&quot;??_);_(@_)"/>
    </dxf>
    <dxf>
      <numFmt numFmtId="168" formatCode="_(* #,##0.0_);_(* \(#,##0.0\);_(* &quot;-&quot;??_);_(@_)"/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L\Documents\Creditor%20Purhase%20&amp;%20Payment(Apirl-202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pplier (COA)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458.627921296298" createdVersion="6" refreshedVersion="6" minRefreshableVersion="3" recordCount="113">
  <cacheSource type="worksheet">
    <worksheetSource name="Data_Combine"/>
  </cacheSource>
  <cacheFields count="10">
    <cacheField name="Content.Date" numFmtId="15">
      <sharedItems containsNonDate="0" containsDate="1" containsString="0" containsBlank="1" minDate="2021-03-01T00:00:00" maxDate="2021-04-02T00:00:00"/>
    </cacheField>
    <cacheField name="Content.Vr.No" numFmtId="0">
      <sharedItems containsString="0" containsBlank="1" containsNumber="1" containsInteger="1" minValue="40" maxValue="1203211"/>
    </cacheField>
    <cacheField name="Content.A/C Tipe" numFmtId="0">
      <sharedItems containsBlank="1"/>
    </cacheField>
    <cacheField name="Content.Supplier Name" numFmtId="0">
      <sharedItems containsBlank="1" count="21">
        <s v="Armax Engine Oil"/>
        <s v="Aspire Aim Machinery"/>
        <s v="Aung Myit Tar"/>
        <s v="Delita International Limied"/>
        <s v="GBS Co, LTD Tricycle"/>
        <s v="GBS Co, LTD Engine"/>
        <s v="GBS Spare"/>
        <s v="Ko Win Hlaing"/>
        <s v="Kyinn Loon Myanmar"/>
        <s v="Ma Au Bin"/>
        <s v="Mann Ayawadi"/>
        <s v="MDL Tricycle Spare"/>
        <s v="Moe Thauk Ayar"/>
        <s v="Sein Wut Hmon Co, LTD"/>
        <s v="Shwe Than Lwin"/>
        <s v="Shwe Yar Su"/>
        <s v="Super"/>
        <s v="Tat Shwe La Win "/>
        <s v="UMG Co,LTD"/>
        <s v="Zan (or) Mg Mg Soe"/>
        <m/>
      </sharedItems>
    </cacheField>
    <cacheField name="Content.Item Name" numFmtId="0">
      <sharedItems containsBlank="1" containsMixedTypes="1" containsNumber="1" containsInteger="1" minValue="6205" maxValue="6205" count="52">
        <s v="Opening"/>
        <s v="ေငြလႊဲ - ဆိုင္"/>
        <s v="250W ေရျမဳပ္ပန္႔"/>
        <s v="ေငြလႊဲ - Mobile"/>
        <s v="175 ဟန္တယ္ေဂါက္"/>
        <s v="6½ အိတ္ေဇာ"/>
        <s v="R180 စလစ္ကစ္ Set"/>
        <s v="ေငြလႊဲ- YGN"/>
        <s v="175 ပလန္ခ်ာ"/>
        <s v="SU 50ကပ္ပန္႔"/>
        <s v="2&quot;လည္ေခ်ာင္းပိုက္"/>
        <s v="ေနာ္ဇယ္အံု"/>
        <s v="အဲယားဗူး"/>
        <s v="ဆီတိုင္ကီR180"/>
        <s v="AC ေရျမဳပ္"/>
        <s v="4×2 ပူလီ"/>
        <s v="1.5 ေရေမာ္တာ"/>
        <s v="ေငြလႊဲ - YGN"/>
        <s v="Peacock DCေမာ္တာ"/>
        <s v="Omega"/>
        <s v="1&quot;ႀကိဳးစိမ္းပိုက္"/>
        <s v="SU 50 ေၾကြစီး"/>
        <s v="Omage"/>
        <s v="AC ေရျမဳပ္အားမာန္"/>
        <s v="Jet Pamp"/>
        <s v="ကြန္ပရက္ဆာ"/>
        <s v="700X16ကၽြတ္ ေငြျပန္အမ္း"/>
        <s v="14 ေဂြ"/>
        <s v="Dis"/>
        <s v="600×16 တာယာ"/>
        <s v="ဘက္မွန္"/>
        <s v="ပလန္ခ်ာဆြဲနတ္"/>
        <s v="တစ္ဘီးထြန္ Toyo"/>
        <s v="1.5HP ေမာ္တာ"/>
        <s v="1HP ေရေမာ္တာ"/>
        <s v="NT70 Engine"/>
        <s v="Auto Pamp"/>
        <s v="လံုးျဖဴပန္႔"/>
        <s v="Daewoo"/>
        <s v="110 တစ္ဘီးထြန္"/>
        <s v="ျဖတ္ဘား"/>
        <s v="ေငြလႊဲ-YGN"/>
        <n v="6205"/>
        <s v="အိတ္ေဇာခါးဆက္နတ္"/>
        <s v="12 ထုပ္ကိြဳင္"/>
        <s v="ကာပရိုက္တာ (1) ပင္"/>
        <s v="CDI"/>
        <s v="မာစတာပန္႔"/>
        <s v="ဘီးနတ္"/>
        <s v="ဆီဘရိတ္အိုးသံ"/>
        <s v="Full Set"/>
        <m/>
      </sharedItems>
    </cacheField>
    <cacheField name="Content.Opening" numFmtId="164">
      <sharedItems containsString="0" containsBlank="1" containsNumber="1" containsInteger="1" minValue="143000" maxValue="32492000"/>
    </cacheField>
    <cacheField name="Content.Purchase" numFmtId="164">
      <sharedItems containsString="0" containsBlank="1" containsNumber="1" containsInteger="1" minValue="9460" maxValue="3300000"/>
    </cacheField>
    <cacheField name="Content.Payment" numFmtId="164">
      <sharedItems containsString="0" containsBlank="1" containsNumber="1" containsInteger="1" minValue="30" maxValue="2000000"/>
    </cacheField>
    <cacheField name="Content.Balance" numFmtId="164">
      <sharedItems containsString="0" containsBlank="1" containsNumber="1" containsInteger="1" minValue="-2000000" maxValue="32492000"/>
    </cacheField>
    <cacheField name="Content.Total Balance" numFmtId="164">
      <sharedItems containsString="0" containsBlank="1" containsNumber="1" containsInteger="1" minValue="0" maxValue="3249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3">
  <r>
    <d v="2021-03-01T00:00:00"/>
    <m/>
    <s v="Opening"/>
    <x v="0"/>
    <x v="0"/>
    <n v="640740"/>
    <m/>
    <m/>
    <n v="640740"/>
    <n v="640740"/>
  </r>
  <r>
    <d v="2021-03-31T00:00:00"/>
    <m/>
    <s v="Payment"/>
    <x v="0"/>
    <x v="1"/>
    <m/>
    <m/>
    <n v="10120"/>
    <m/>
    <n v="0"/>
  </r>
  <r>
    <d v="2021-03-01T00:00:00"/>
    <m/>
    <s v="Opening"/>
    <x v="1"/>
    <x v="0"/>
    <n v="566210"/>
    <m/>
    <m/>
    <n v="566210"/>
    <n v="566210"/>
  </r>
  <r>
    <d v="2021-03-10T00:00:00"/>
    <n v="30040"/>
    <s v="Purchase"/>
    <x v="1"/>
    <x v="2"/>
    <m/>
    <n v="152000"/>
    <m/>
    <n v="152000"/>
    <n v="718210"/>
  </r>
  <r>
    <d v="2021-03-25T00:00:00"/>
    <n v="30114"/>
    <s v="Purchase"/>
    <x v="1"/>
    <x v="2"/>
    <m/>
    <n v="218000"/>
    <m/>
    <n v="218000"/>
    <n v="936210"/>
  </r>
  <r>
    <d v="2021-03-31T00:00:00"/>
    <m/>
    <s v="Payment"/>
    <x v="1"/>
    <x v="3"/>
    <m/>
    <m/>
    <n v="936210"/>
    <n v="-936210"/>
    <n v="0"/>
  </r>
  <r>
    <d v="2021-03-01T00:00:00"/>
    <m/>
    <s v="Opening"/>
    <x v="2"/>
    <x v="0"/>
    <n v="896951"/>
    <m/>
    <m/>
    <n v="896951"/>
    <n v="896951"/>
  </r>
  <r>
    <d v="2021-03-02T00:00:00"/>
    <n v="47835"/>
    <s v="Purchase"/>
    <x v="2"/>
    <x v="4"/>
    <m/>
    <n v="33940"/>
    <m/>
    <n v="33940"/>
    <n v="930891"/>
  </r>
  <r>
    <d v="2021-03-02T00:00:00"/>
    <n v="20836"/>
    <s v="Purchase"/>
    <x v="2"/>
    <x v="5"/>
    <m/>
    <n v="27400"/>
    <m/>
    <n v="27400"/>
    <n v="958291"/>
  </r>
  <r>
    <d v="2021-03-06T00:00:00"/>
    <n v="47889"/>
    <s v="Purchase"/>
    <x v="2"/>
    <x v="6"/>
    <m/>
    <n v="130834"/>
    <m/>
    <n v="130834"/>
    <n v="1089125"/>
  </r>
  <r>
    <d v="2021-03-30T00:00:00"/>
    <n v="48055"/>
    <s v="Purchase"/>
    <x v="2"/>
    <x v="6"/>
    <m/>
    <n v="100532"/>
    <m/>
    <n v="100532"/>
    <n v="1189657"/>
  </r>
  <r>
    <d v="2021-03-30T00:00:00"/>
    <n v="399"/>
    <s v="Payment"/>
    <x v="2"/>
    <x v="7"/>
    <m/>
    <m/>
    <n v="500000"/>
    <n v="-500000"/>
    <n v="689657"/>
  </r>
  <r>
    <d v="2021-04-01T00:00:00"/>
    <m/>
    <s v="Opening"/>
    <x v="3"/>
    <x v="0"/>
    <n v="829260"/>
    <m/>
    <m/>
    <n v="829260"/>
    <n v="829260"/>
  </r>
  <r>
    <d v="2021-03-01T00:00:00"/>
    <m/>
    <s v="Opening"/>
    <x v="4"/>
    <x v="0"/>
    <n v="32492000"/>
    <m/>
    <m/>
    <n v="32492000"/>
    <n v="32492000"/>
  </r>
  <r>
    <d v="2021-03-01T00:00:00"/>
    <m/>
    <s v="Opening"/>
    <x v="5"/>
    <x v="0"/>
    <n v="10325000"/>
    <m/>
    <m/>
    <n v="10325000"/>
    <n v="10325000"/>
  </r>
  <r>
    <d v="2021-03-01T00:00:00"/>
    <m/>
    <s v="Opening"/>
    <x v="6"/>
    <x v="0"/>
    <n v="3712325"/>
    <m/>
    <m/>
    <n v="3712325"/>
    <n v="3712325"/>
  </r>
  <r>
    <d v="2021-03-03T00:00:00"/>
    <n v="3716"/>
    <s v="Purchase"/>
    <x v="6"/>
    <x v="8"/>
    <m/>
    <n v="78750"/>
    <m/>
    <n v="78750"/>
    <n v="3791075"/>
  </r>
  <r>
    <d v="2021-03-03T00:00:00"/>
    <n v="3715"/>
    <s v="Purchase"/>
    <x v="6"/>
    <x v="9"/>
    <m/>
    <n v="72000"/>
    <m/>
    <n v="72000"/>
    <n v="3863075"/>
  </r>
  <r>
    <d v="2021-03-04T00:00:00"/>
    <m/>
    <s v="Payment"/>
    <x v="6"/>
    <x v="3"/>
    <m/>
    <m/>
    <n v="1000000"/>
    <n v="-1000000"/>
    <n v="2863075"/>
  </r>
  <r>
    <d v="2021-03-05T00:00:00"/>
    <n v="13153"/>
    <s v="Purchase"/>
    <x v="6"/>
    <x v="10"/>
    <m/>
    <n v="160000"/>
    <m/>
    <n v="160000"/>
    <n v="3023075"/>
  </r>
  <r>
    <d v="2021-03-18T00:00:00"/>
    <m/>
    <s v="Payment"/>
    <x v="6"/>
    <x v="3"/>
    <m/>
    <m/>
    <n v="1600000"/>
    <n v="-1600000"/>
    <n v="1423075"/>
  </r>
  <r>
    <d v="2021-03-30T00:00:00"/>
    <n v="13616"/>
    <s v="Purchase"/>
    <x v="6"/>
    <x v="11"/>
    <m/>
    <n v="587500"/>
    <m/>
    <n v="587500"/>
    <n v="2010575"/>
  </r>
  <r>
    <d v="2021-03-30T00:00:00"/>
    <n v="13626"/>
    <s v="Purchase"/>
    <x v="6"/>
    <x v="12"/>
    <m/>
    <n v="51600"/>
    <m/>
    <n v="51600"/>
    <n v="2062175"/>
  </r>
  <r>
    <d v="2021-03-23T00:00:00"/>
    <n v="13502"/>
    <s v="Purchase"/>
    <x v="6"/>
    <x v="13"/>
    <m/>
    <n v="188160"/>
    <m/>
    <n v="188160"/>
    <n v="2250335"/>
  </r>
  <r>
    <d v="2021-03-01T00:00:00"/>
    <m/>
    <s v="Opening"/>
    <x v="7"/>
    <x v="0"/>
    <n v="3450000"/>
    <m/>
    <m/>
    <n v="3450000"/>
    <n v="3450000"/>
  </r>
  <r>
    <d v="2021-03-02T00:00:00"/>
    <n v="7277"/>
    <s v="Purchase"/>
    <x v="7"/>
    <x v="14"/>
    <m/>
    <n v="293400"/>
    <m/>
    <n v="293400"/>
    <n v="3743400"/>
  </r>
  <r>
    <d v="2021-03-03T00:00:00"/>
    <n v="2728"/>
    <s v="Purchase"/>
    <x v="7"/>
    <x v="15"/>
    <m/>
    <n v="22500"/>
    <m/>
    <n v="22500"/>
    <n v="3765900"/>
  </r>
  <r>
    <d v="2021-03-06T00:00:00"/>
    <n v="7279"/>
    <s v="Purchase"/>
    <x v="7"/>
    <x v="16"/>
    <m/>
    <n v="236000"/>
    <m/>
    <n v="236000"/>
    <n v="4001900"/>
  </r>
  <r>
    <d v="2021-03-12T00:00:00"/>
    <n v="364"/>
    <s v="Payment"/>
    <x v="7"/>
    <x v="17"/>
    <m/>
    <m/>
    <n v="1500000"/>
    <n v="-1500000"/>
    <n v="2501900"/>
  </r>
  <r>
    <d v="2021-03-12T00:00:00"/>
    <n v="7281"/>
    <s v="Purchase"/>
    <x v="7"/>
    <x v="18"/>
    <m/>
    <n v="77000"/>
    <m/>
    <n v="77000"/>
    <n v="2578900"/>
  </r>
  <r>
    <d v="2021-03-13T00:00:00"/>
    <n v="7282"/>
    <s v="Purchase"/>
    <x v="7"/>
    <x v="19"/>
    <m/>
    <n v="65000"/>
    <m/>
    <n v="65000"/>
    <n v="2643900"/>
  </r>
  <r>
    <d v="2021-03-20T00:00:00"/>
    <n v="7283"/>
    <s v="Purchase"/>
    <x v="7"/>
    <x v="20"/>
    <m/>
    <n v="160500"/>
    <m/>
    <n v="160500"/>
    <n v="2804400"/>
  </r>
  <r>
    <d v="2021-03-24T00:00:00"/>
    <n v="7285"/>
    <s v="Purchase"/>
    <x v="7"/>
    <x v="21"/>
    <m/>
    <n v="94700"/>
    <m/>
    <n v="94700"/>
    <n v="2899100"/>
  </r>
  <r>
    <d v="2021-03-29T00:00:00"/>
    <n v="7287"/>
    <s v="Purchase"/>
    <x v="7"/>
    <x v="22"/>
    <m/>
    <n v="351600"/>
    <m/>
    <n v="351600"/>
    <n v="3250700"/>
  </r>
  <r>
    <d v="2021-03-30T00:00:00"/>
    <n v="380"/>
    <s v="Payment"/>
    <x v="7"/>
    <x v="17"/>
    <m/>
    <m/>
    <n v="1000000"/>
    <n v="-1000000"/>
    <n v="2250700"/>
  </r>
  <r>
    <d v="2021-03-01T00:00:00"/>
    <m/>
    <s v="Opening"/>
    <x v="8"/>
    <x v="0"/>
    <n v="2198426"/>
    <m/>
    <m/>
    <n v="2198426"/>
    <n v="2198426"/>
  </r>
  <r>
    <d v="2021-03-02T00:00:00"/>
    <m/>
    <s v="Purchase"/>
    <x v="8"/>
    <x v="23"/>
    <m/>
    <n v="353496"/>
    <m/>
    <n v="353496"/>
    <n v="2551922"/>
  </r>
  <r>
    <d v="2021-03-04T00:00:00"/>
    <m/>
    <s v="Payment"/>
    <x v="8"/>
    <x v="3"/>
    <m/>
    <m/>
    <n v="1000000"/>
    <n v="-1000000"/>
    <n v="1551922"/>
  </r>
  <r>
    <d v="2021-03-10T00:00:00"/>
    <n v="40"/>
    <s v="Purchase"/>
    <x v="8"/>
    <x v="24"/>
    <m/>
    <n v="356500"/>
    <m/>
    <n v="356500"/>
    <n v="1908422"/>
  </r>
  <r>
    <d v="2021-03-10T00:00:00"/>
    <n v="46"/>
    <s v="Purchase"/>
    <x v="8"/>
    <x v="25"/>
    <m/>
    <n v="275700"/>
    <m/>
    <n v="275700"/>
    <n v="2184122"/>
  </r>
  <r>
    <d v="2021-03-01T00:00:00"/>
    <m/>
    <s v="Opening"/>
    <x v="9"/>
    <x v="0"/>
    <n v="672600"/>
    <m/>
    <m/>
    <n v="672600"/>
    <n v="672600"/>
  </r>
  <r>
    <d v="2021-03-12T00:00:00"/>
    <n v="6389"/>
    <s v="Payment"/>
    <x v="9"/>
    <x v="17"/>
    <m/>
    <m/>
    <n v="655000"/>
    <n v="-655000"/>
    <n v="17600"/>
  </r>
  <r>
    <d v="2021-03-12T00:00:00"/>
    <m/>
    <s v="Payment"/>
    <x v="9"/>
    <x v="26"/>
    <m/>
    <m/>
    <n v="17600"/>
    <n v="-17600"/>
    <n v="0"/>
  </r>
  <r>
    <d v="2021-03-13T00:00:00"/>
    <n v="4290"/>
    <s v="Purchase"/>
    <x v="9"/>
    <x v="27"/>
    <m/>
    <n v="35000"/>
    <m/>
    <n v="35000"/>
    <n v="35000"/>
  </r>
  <r>
    <d v="2021-03-01T00:00:00"/>
    <m/>
    <s v="Opening"/>
    <x v="10"/>
    <x v="0"/>
    <n v="649730"/>
    <m/>
    <m/>
    <n v="649730"/>
    <n v="649730"/>
  </r>
  <r>
    <d v="2021-03-12T00:00:00"/>
    <n v="916"/>
    <s v="Payment"/>
    <x v="10"/>
    <x v="17"/>
    <m/>
    <m/>
    <n v="649700"/>
    <n v="-649700"/>
    <n v="30"/>
  </r>
  <r>
    <d v="2021-03-12T00:00:00"/>
    <m/>
    <s v="Payment"/>
    <x v="10"/>
    <x v="28"/>
    <m/>
    <m/>
    <n v="30"/>
    <n v="-30"/>
    <n v="0"/>
  </r>
  <r>
    <d v="2021-03-22T00:00:00"/>
    <n v="4105"/>
    <s v="Purchase"/>
    <x v="10"/>
    <x v="29"/>
    <m/>
    <n v="384200"/>
    <m/>
    <n v="384200"/>
    <n v="384200"/>
  </r>
  <r>
    <d v="2021-03-30T00:00:00"/>
    <n v="4112"/>
    <s v="Purchase"/>
    <x v="10"/>
    <x v="30"/>
    <m/>
    <n v="132500"/>
    <m/>
    <n v="132500"/>
    <n v="516700"/>
  </r>
  <r>
    <d v="2021-03-30T00:00:00"/>
    <n v="927"/>
    <s v="Payment"/>
    <x v="10"/>
    <x v="17"/>
    <m/>
    <m/>
    <n v="384200"/>
    <n v="-384200"/>
    <n v="132500"/>
  </r>
  <r>
    <d v="2021-03-01T00:00:00"/>
    <m/>
    <s v="Opening"/>
    <x v="11"/>
    <x v="0"/>
    <n v="2208992"/>
    <m/>
    <m/>
    <n v="2208992"/>
    <n v="2208992"/>
  </r>
  <r>
    <d v="2021-03-01T00:00:00"/>
    <m/>
    <s v="Opening"/>
    <x v="12"/>
    <x v="0"/>
    <n v="584250"/>
    <m/>
    <m/>
    <n v="584250"/>
    <n v="584250"/>
  </r>
  <r>
    <d v="2021-03-12T00:00:00"/>
    <n v="657"/>
    <s v="Payment"/>
    <x v="12"/>
    <x v="17"/>
    <m/>
    <m/>
    <n v="584000"/>
    <n v="-584000"/>
    <n v="250"/>
  </r>
  <r>
    <d v="2021-03-12T00:00:00"/>
    <m/>
    <s v="Payment"/>
    <x v="12"/>
    <x v="28"/>
    <m/>
    <m/>
    <n v="250"/>
    <n v="-250"/>
    <n v="0"/>
  </r>
  <r>
    <d v="2021-03-12T00:00:00"/>
    <n v="5806"/>
    <s v="Purchase"/>
    <x v="12"/>
    <x v="31"/>
    <m/>
    <n v="9460"/>
    <m/>
    <n v="9460"/>
    <n v="9460"/>
  </r>
  <r>
    <d v="2021-03-30T00:00:00"/>
    <n v="5807"/>
    <s v="Purchase"/>
    <x v="12"/>
    <x v="32"/>
    <m/>
    <n v="3300000"/>
    <m/>
    <n v="3300000"/>
    <n v="3309460"/>
  </r>
  <r>
    <d v="2021-03-30T00:00:00"/>
    <m/>
    <s v="Payment"/>
    <x v="12"/>
    <x v="7"/>
    <m/>
    <m/>
    <n v="1500000"/>
    <n v="-1500000"/>
    <n v="1809460"/>
  </r>
  <r>
    <d v="2021-03-01T00:00:00"/>
    <m/>
    <s v="Opening"/>
    <x v="13"/>
    <x v="0"/>
    <n v="2754773"/>
    <m/>
    <m/>
    <n v="2754773"/>
    <n v="2754773"/>
  </r>
  <r>
    <d v="2021-03-01T00:00:00"/>
    <m/>
    <s v="Opening"/>
    <x v="14"/>
    <x v="0"/>
    <n v="5856500"/>
    <m/>
    <m/>
    <n v="5856500"/>
    <n v="5856500"/>
  </r>
  <r>
    <d v="2021-03-02T00:00:00"/>
    <n v="43712"/>
    <s v="Purchase"/>
    <x v="14"/>
    <x v="14"/>
    <m/>
    <n v="96000"/>
    <m/>
    <n v="96000"/>
    <n v="5952500"/>
  </r>
  <r>
    <d v="2021-03-03T00:00:00"/>
    <n v="43743"/>
    <s v="Purchase"/>
    <x v="14"/>
    <x v="33"/>
    <m/>
    <n v="150000"/>
    <m/>
    <n v="150000"/>
    <n v="6102500"/>
  </r>
  <r>
    <d v="2021-03-03T00:00:00"/>
    <n v="43744"/>
    <s v="Purchase"/>
    <x v="14"/>
    <x v="34"/>
    <m/>
    <n v="75000"/>
    <m/>
    <n v="75000"/>
    <n v="6177500"/>
  </r>
  <r>
    <d v="2021-03-09T00:00:00"/>
    <n v="42445"/>
    <s v="Purchase"/>
    <x v="14"/>
    <x v="35"/>
    <m/>
    <n v="710000"/>
    <m/>
    <n v="710000"/>
    <n v="6887500"/>
  </r>
  <r>
    <d v="2021-03-12T00:00:00"/>
    <n v="291"/>
    <s v="Payment"/>
    <x v="14"/>
    <x v="17"/>
    <m/>
    <m/>
    <n v="1500000"/>
    <n v="-1500000"/>
    <n v="5387500"/>
  </r>
  <r>
    <d v="2021-03-12T00:00:00"/>
    <n v="4248"/>
    <s v="Purchase"/>
    <x v="14"/>
    <x v="36"/>
    <m/>
    <n v="144000"/>
    <m/>
    <n v="144000"/>
    <n v="5531500"/>
  </r>
  <r>
    <d v="2021-03-19T00:00:00"/>
    <n v="42618"/>
    <s v="Purchase"/>
    <x v="14"/>
    <x v="37"/>
    <m/>
    <n v="158000"/>
    <m/>
    <n v="158000"/>
    <n v="5689500"/>
  </r>
  <r>
    <d v="2021-03-14T00:00:00"/>
    <n v="43850"/>
    <s v="Purchase"/>
    <x v="14"/>
    <x v="35"/>
    <m/>
    <n v="710000"/>
    <m/>
    <n v="710000"/>
    <n v="6399500"/>
  </r>
  <r>
    <d v="2021-03-19T00:00:00"/>
    <n v="42523"/>
    <s v="Purchase"/>
    <x v="14"/>
    <x v="35"/>
    <m/>
    <n v="1065000"/>
    <m/>
    <n v="1065000"/>
    <n v="7464500"/>
  </r>
  <r>
    <d v="2021-03-29T00:00:00"/>
    <n v="42577"/>
    <s v="Purchase"/>
    <x v="14"/>
    <x v="38"/>
    <m/>
    <n v="75000"/>
    <m/>
    <n v="75000"/>
    <n v="7539500"/>
  </r>
  <r>
    <d v="2021-03-30T00:00:00"/>
    <n v="42585"/>
    <s v="Purchase"/>
    <x v="14"/>
    <x v="39"/>
    <m/>
    <n v="395000"/>
    <m/>
    <n v="395000"/>
    <n v="7934500"/>
  </r>
  <r>
    <d v="2021-03-30T00:00:00"/>
    <n v="1098"/>
    <s v="Payment"/>
    <x v="14"/>
    <x v="17"/>
    <m/>
    <m/>
    <n v="2000000"/>
    <n v="-2000000"/>
    <n v="5934500"/>
  </r>
  <r>
    <d v="2021-03-01T00:00:00"/>
    <m/>
    <s v="Opening"/>
    <x v="15"/>
    <x v="0"/>
    <n v="175000"/>
    <m/>
    <m/>
    <n v="175000"/>
    <n v="175000"/>
  </r>
  <r>
    <d v="2021-03-30T00:00:00"/>
    <n v="11801"/>
    <s v="Purchase"/>
    <x v="15"/>
    <x v="40"/>
    <m/>
    <n v="19500"/>
    <m/>
    <n v="19500"/>
    <n v="194500"/>
  </r>
  <r>
    <d v="2021-03-30T00:00:00"/>
    <n v="2938"/>
    <s v="Payment"/>
    <x v="15"/>
    <x v="41"/>
    <m/>
    <m/>
    <n v="180000"/>
    <n v="-180000"/>
    <n v="14500"/>
  </r>
  <r>
    <d v="2021-03-31T00:00:00"/>
    <m/>
    <s v="Payment"/>
    <x v="15"/>
    <x v="41"/>
    <m/>
    <m/>
    <n v="14500"/>
    <n v="-14500"/>
    <n v="0"/>
  </r>
  <r>
    <d v="2021-03-01T00:00:00"/>
    <m/>
    <s v="Opening"/>
    <x v="16"/>
    <x v="0"/>
    <n v="269200"/>
    <m/>
    <m/>
    <n v="269200"/>
    <n v="269200"/>
  </r>
  <r>
    <d v="2021-03-12T00:00:00"/>
    <m/>
    <s v="Payment"/>
    <x v="16"/>
    <x v="17"/>
    <m/>
    <m/>
    <n v="269200"/>
    <n v="-269200"/>
    <n v="0"/>
  </r>
  <r>
    <d v="2021-03-13T00:00:00"/>
    <n v="29851"/>
    <s v="Purchase"/>
    <x v="16"/>
    <x v="42"/>
    <m/>
    <n v="26500"/>
    <m/>
    <n v="26500"/>
    <n v="26500"/>
  </r>
  <r>
    <d v="2021-03-25T00:00:00"/>
    <m/>
    <s v="Payment"/>
    <x v="16"/>
    <x v="17"/>
    <m/>
    <m/>
    <n v="26500"/>
    <n v="-26500"/>
    <n v="0"/>
  </r>
  <r>
    <d v="2021-03-01T00:00:00"/>
    <m/>
    <s v="Opening"/>
    <x v="17"/>
    <x v="0"/>
    <n v="1145500"/>
    <m/>
    <m/>
    <n v="1145500"/>
    <n v="1145500"/>
  </r>
  <r>
    <d v="2021-03-01T00:00:00"/>
    <m/>
    <s v="Opening"/>
    <x v="18"/>
    <x v="0"/>
    <n v="143000"/>
    <m/>
    <m/>
    <n v="143000"/>
    <n v="143000"/>
  </r>
  <r>
    <d v="2021-03-01T00:00:00"/>
    <m/>
    <s v="Opening"/>
    <x v="19"/>
    <x v="0"/>
    <n v="728393"/>
    <m/>
    <m/>
    <n v="728393"/>
    <n v="728393"/>
  </r>
  <r>
    <d v="2021-03-02T00:00:00"/>
    <n v="79213"/>
    <s v="Purchase"/>
    <x v="19"/>
    <x v="43"/>
    <m/>
    <n v="31000"/>
    <m/>
    <n v="31000"/>
    <n v="759393"/>
  </r>
  <r>
    <d v="2021-03-03T00:00:00"/>
    <n v="1203211"/>
    <s v="Purchase"/>
    <x v="19"/>
    <x v="44"/>
    <m/>
    <n v="32226"/>
    <m/>
    <n v="32226"/>
    <n v="791619"/>
  </r>
  <r>
    <d v="2021-03-06T00:00:00"/>
    <n v="85213"/>
    <s v="Purchase"/>
    <x v="19"/>
    <x v="45"/>
    <m/>
    <n v="136801"/>
    <m/>
    <n v="136801"/>
    <n v="928420"/>
  </r>
  <r>
    <d v="2021-03-12T00:00:00"/>
    <m/>
    <s v="Payment"/>
    <x v="19"/>
    <x v="17"/>
    <m/>
    <m/>
    <n v="500000"/>
    <n v="-500000"/>
    <n v="428420"/>
  </r>
  <r>
    <d v="2021-03-11T00:00:00"/>
    <n v="94213"/>
    <s v="Purchase"/>
    <x v="19"/>
    <x v="46"/>
    <m/>
    <n v="186385"/>
    <m/>
    <n v="186385"/>
    <n v="614805"/>
  </r>
  <r>
    <d v="2021-03-20T00:00:00"/>
    <n v="232211"/>
    <s v="Purchase"/>
    <x v="19"/>
    <x v="47"/>
    <m/>
    <n v="47250"/>
    <m/>
    <n v="47250"/>
    <n v="662055"/>
  </r>
  <r>
    <d v="2021-03-20T00:00:00"/>
    <n v="231211"/>
    <s v="Purchase"/>
    <x v="19"/>
    <x v="48"/>
    <m/>
    <n v="317565"/>
    <m/>
    <n v="317565"/>
    <n v="979620"/>
  </r>
  <r>
    <d v="2021-03-25T00:00:00"/>
    <n v="236211"/>
    <s v="Purchase"/>
    <x v="19"/>
    <x v="49"/>
    <m/>
    <n v="568552"/>
    <m/>
    <n v="568552"/>
    <n v="1548172"/>
  </r>
  <r>
    <d v="2021-03-30T00:00:00"/>
    <n v="254211"/>
    <s v="Purchase"/>
    <x v="19"/>
    <x v="50"/>
    <m/>
    <n v="393745"/>
    <m/>
    <n v="393745"/>
    <n v="1941917"/>
  </r>
  <r>
    <d v="2021-03-30T00:00:00"/>
    <m/>
    <s v="Payment"/>
    <x v="19"/>
    <x v="17"/>
    <m/>
    <m/>
    <n v="500000"/>
    <n v="-500000"/>
    <n v="1441917"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  <r>
    <m/>
    <m/>
    <m/>
    <x v="20"/>
    <x v="51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:F84" firstHeaderRow="0" firstDataRow="1" firstDataCol="2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5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x="42"/>
        <item x="20"/>
        <item x="16"/>
        <item x="33"/>
        <item x="39"/>
        <item x="44"/>
        <item x="27"/>
        <item x="8"/>
        <item x="4"/>
        <item x="34"/>
        <item x="10"/>
        <item x="2"/>
        <item x="15"/>
        <item x="29"/>
        <item x="5"/>
        <item x="26"/>
        <item x="14"/>
        <item x="23"/>
        <item x="36"/>
        <item x="46"/>
        <item x="38"/>
        <item x="28"/>
        <item x="50"/>
        <item x="24"/>
        <item x="35"/>
        <item x="22"/>
        <item x="19"/>
        <item x="0"/>
        <item x="18"/>
        <item x="6"/>
        <item x="21"/>
        <item x="9"/>
        <item x="25"/>
        <item x="45"/>
        <item x="13"/>
        <item x="49"/>
        <item x="32"/>
        <item x="31"/>
        <item x="30"/>
        <item x="48"/>
        <item x="47"/>
        <item x="40"/>
        <item x="37"/>
        <item x="43"/>
        <item x="12"/>
        <item x="3"/>
        <item x="17"/>
        <item x="1"/>
        <item x="7"/>
        <item x="41"/>
        <item x="11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83">
    <i>
      <x/>
      <x v="27"/>
    </i>
    <i r="1">
      <x v="47"/>
    </i>
    <i>
      <x v="1"/>
      <x v="11"/>
    </i>
    <i r="1">
      <x v="27"/>
    </i>
    <i r="1">
      <x v="45"/>
    </i>
    <i>
      <x v="2"/>
      <x v="8"/>
    </i>
    <i r="1">
      <x v="14"/>
    </i>
    <i r="1">
      <x v="27"/>
    </i>
    <i r="1">
      <x v="29"/>
    </i>
    <i r="1">
      <x v="48"/>
    </i>
    <i>
      <x v="3"/>
      <x v="27"/>
    </i>
    <i>
      <x v="4"/>
      <x v="27"/>
    </i>
    <i>
      <x v="5"/>
      <x v="27"/>
    </i>
    <i>
      <x v="6"/>
      <x v="7"/>
    </i>
    <i r="1">
      <x v="10"/>
    </i>
    <i r="1">
      <x v="27"/>
    </i>
    <i r="1">
      <x v="31"/>
    </i>
    <i r="1">
      <x v="34"/>
    </i>
    <i r="1">
      <x v="44"/>
    </i>
    <i r="1">
      <x v="45"/>
    </i>
    <i r="1">
      <x v="50"/>
    </i>
    <i>
      <x v="7"/>
      <x v="1"/>
    </i>
    <i r="1">
      <x v="2"/>
    </i>
    <i r="1">
      <x v="12"/>
    </i>
    <i r="1">
      <x v="16"/>
    </i>
    <i r="1">
      <x v="25"/>
    </i>
    <i r="1">
      <x v="26"/>
    </i>
    <i r="1">
      <x v="27"/>
    </i>
    <i r="1">
      <x v="28"/>
    </i>
    <i r="1">
      <x v="30"/>
    </i>
    <i r="1">
      <x v="46"/>
    </i>
    <i>
      <x v="8"/>
      <x v="17"/>
    </i>
    <i r="1">
      <x v="23"/>
    </i>
    <i r="1">
      <x v="27"/>
    </i>
    <i r="1">
      <x v="32"/>
    </i>
    <i r="1">
      <x v="45"/>
    </i>
    <i>
      <x v="9"/>
      <x v="6"/>
    </i>
    <i r="1">
      <x v="15"/>
    </i>
    <i r="1">
      <x v="27"/>
    </i>
    <i r="1">
      <x v="46"/>
    </i>
    <i>
      <x v="10"/>
      <x v="13"/>
    </i>
    <i r="1">
      <x v="21"/>
    </i>
    <i r="1">
      <x v="27"/>
    </i>
    <i r="1">
      <x v="38"/>
    </i>
    <i r="1">
      <x v="46"/>
    </i>
    <i>
      <x v="11"/>
      <x v="27"/>
    </i>
    <i>
      <x v="12"/>
      <x v="21"/>
    </i>
    <i r="1">
      <x v="27"/>
    </i>
    <i r="1">
      <x v="36"/>
    </i>
    <i r="1">
      <x v="37"/>
    </i>
    <i r="1">
      <x v="46"/>
    </i>
    <i r="1">
      <x v="48"/>
    </i>
    <i>
      <x v="13"/>
      <x v="27"/>
    </i>
    <i>
      <x v="14"/>
      <x v="3"/>
    </i>
    <i r="1">
      <x v="4"/>
    </i>
    <i r="1">
      <x v="9"/>
    </i>
    <i r="1">
      <x v="16"/>
    </i>
    <i r="1">
      <x v="18"/>
    </i>
    <i r="1">
      <x v="20"/>
    </i>
    <i r="1">
      <x v="24"/>
    </i>
    <i r="1">
      <x v="27"/>
    </i>
    <i r="1">
      <x v="42"/>
    </i>
    <i r="1">
      <x v="46"/>
    </i>
    <i>
      <x v="15"/>
      <x v="27"/>
    </i>
    <i r="1">
      <x v="41"/>
    </i>
    <i r="1">
      <x v="49"/>
    </i>
    <i>
      <x v="16"/>
      <x/>
    </i>
    <i r="1">
      <x v="27"/>
    </i>
    <i r="1">
      <x v="46"/>
    </i>
    <i>
      <x v="17"/>
      <x v="27"/>
    </i>
    <i>
      <x v="18"/>
      <x v="27"/>
    </i>
    <i>
      <x v="19"/>
      <x v="5"/>
    </i>
    <i r="1">
      <x v="19"/>
    </i>
    <i r="1">
      <x v="22"/>
    </i>
    <i r="1">
      <x v="27"/>
    </i>
    <i r="1">
      <x v="33"/>
    </i>
    <i r="1">
      <x v="35"/>
    </i>
    <i r="1">
      <x v="39"/>
    </i>
    <i r="1">
      <x v="40"/>
    </i>
    <i r="1">
      <x v="43"/>
    </i>
    <i r="1">
      <x v="46"/>
    </i>
    <i>
      <x v="20"/>
      <x v="5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Content.Opening" fld="5" baseField="4" baseItem="27"/>
    <dataField name=" Content.Payment" fld="7" baseField="4" baseItem="27"/>
    <dataField name=" Content.Purchase" fld="6" baseField="4" baseItem="27"/>
    <dataField name=" Content.Balance" fld="8" baseField="4" baseItem="27"/>
  </dataFields>
  <formats count="32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3" type="button" dataOnly="0" labelOnly="1" outline="0" axis="axisRow" fieldPosition="0"/>
    </format>
    <format dxfId="40">
      <pivotArea field="4" type="button" dataOnly="0" labelOnly="1" outline="0" axis="axisRow" fieldPosition="1"/>
    </format>
    <format dxfId="39">
      <pivotArea dataOnly="0" labelOnly="1" outline="0" fieldPosition="0">
        <references count="1">
          <reference field="3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2">
          <reference field="3" count="1" selected="0">
            <x v="0"/>
          </reference>
          <reference field="4" count="2">
            <x v="27"/>
            <x v="47"/>
          </reference>
        </references>
      </pivotArea>
    </format>
    <format dxfId="36">
      <pivotArea dataOnly="0" labelOnly="1" outline="0" fieldPosition="0">
        <references count="2">
          <reference field="3" count="1" selected="0">
            <x v="1"/>
          </reference>
          <reference field="4" count="3">
            <x v="11"/>
            <x v="27"/>
            <x v="45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2"/>
          </reference>
          <reference field="4" count="5">
            <x v="8"/>
            <x v="14"/>
            <x v="27"/>
            <x v="29"/>
            <x v="48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3"/>
          </reference>
          <reference field="4" count="1">
            <x v="27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4"/>
          </reference>
          <reference field="4" count="1">
            <x v="27"/>
          </reference>
        </references>
      </pivotArea>
    </format>
    <format dxfId="32">
      <pivotArea dataOnly="0" labelOnly="1" outline="0" fieldPosition="0">
        <references count="2">
          <reference field="3" count="1" selected="0">
            <x v="5"/>
          </reference>
          <reference field="4" count="1">
            <x v="27"/>
          </reference>
        </references>
      </pivotArea>
    </format>
    <format dxfId="31">
      <pivotArea dataOnly="0" labelOnly="1" outline="0" fieldPosition="0">
        <references count="2">
          <reference field="3" count="1" selected="0">
            <x v="6"/>
          </reference>
          <reference field="4" count="8">
            <x v="7"/>
            <x v="10"/>
            <x v="27"/>
            <x v="31"/>
            <x v="34"/>
            <x v="44"/>
            <x v="45"/>
            <x v="50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7"/>
          </reference>
          <reference field="4" count="10">
            <x v="1"/>
            <x v="2"/>
            <x v="12"/>
            <x v="16"/>
            <x v="25"/>
            <x v="26"/>
            <x v="27"/>
            <x v="28"/>
            <x v="30"/>
            <x v="46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8"/>
          </reference>
          <reference field="4" count="5">
            <x v="17"/>
            <x v="23"/>
            <x v="27"/>
            <x v="32"/>
            <x v="45"/>
          </reference>
        </references>
      </pivotArea>
    </format>
    <format dxfId="28">
      <pivotArea dataOnly="0" labelOnly="1" outline="0" fieldPosition="0">
        <references count="2">
          <reference field="3" count="1" selected="0">
            <x v="9"/>
          </reference>
          <reference field="4" count="4">
            <x v="6"/>
            <x v="15"/>
            <x v="27"/>
            <x v="46"/>
          </reference>
        </references>
      </pivotArea>
    </format>
    <format dxfId="27">
      <pivotArea dataOnly="0" labelOnly="1" outline="0" fieldPosition="0">
        <references count="2">
          <reference field="3" count="1" selected="0">
            <x v="10"/>
          </reference>
          <reference field="4" count="5">
            <x v="13"/>
            <x v="21"/>
            <x v="27"/>
            <x v="38"/>
            <x v="46"/>
          </reference>
        </references>
      </pivotArea>
    </format>
    <format dxfId="26">
      <pivotArea dataOnly="0" labelOnly="1" outline="0" fieldPosition="0">
        <references count="2">
          <reference field="3" count="1" selected="0">
            <x v="11"/>
          </reference>
          <reference field="4" count="1">
            <x v="27"/>
          </reference>
        </references>
      </pivotArea>
    </format>
    <format dxfId="25">
      <pivotArea dataOnly="0" labelOnly="1" outline="0" fieldPosition="0">
        <references count="2">
          <reference field="3" count="1" selected="0">
            <x v="12"/>
          </reference>
          <reference field="4" count="6">
            <x v="21"/>
            <x v="27"/>
            <x v="36"/>
            <x v="37"/>
            <x v="46"/>
            <x v="48"/>
          </reference>
        </references>
      </pivotArea>
    </format>
    <format dxfId="24">
      <pivotArea dataOnly="0" labelOnly="1" outline="0" fieldPosition="0">
        <references count="2">
          <reference field="3" count="1" selected="0">
            <x v="13"/>
          </reference>
          <reference field="4" count="1">
            <x v="27"/>
          </reference>
        </references>
      </pivotArea>
    </format>
    <format dxfId="23">
      <pivotArea dataOnly="0" labelOnly="1" outline="0" fieldPosition="0">
        <references count="2">
          <reference field="3" count="1" selected="0">
            <x v="14"/>
          </reference>
          <reference field="4" count="10">
            <x v="3"/>
            <x v="4"/>
            <x v="9"/>
            <x v="16"/>
            <x v="18"/>
            <x v="20"/>
            <x v="24"/>
            <x v="27"/>
            <x v="42"/>
            <x v="46"/>
          </reference>
        </references>
      </pivotArea>
    </format>
    <format dxfId="22">
      <pivotArea dataOnly="0" labelOnly="1" outline="0" fieldPosition="0">
        <references count="2">
          <reference field="3" count="1" selected="0">
            <x v="15"/>
          </reference>
          <reference field="4" count="3">
            <x v="27"/>
            <x v="41"/>
            <x v="49"/>
          </reference>
        </references>
      </pivotArea>
    </format>
    <format dxfId="21">
      <pivotArea dataOnly="0" labelOnly="1" outline="0" fieldPosition="0">
        <references count="2">
          <reference field="3" count="1" selected="0">
            <x v="16"/>
          </reference>
          <reference field="4" count="3">
            <x v="0"/>
            <x v="27"/>
            <x v="46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7"/>
          </reference>
          <reference field="4" count="1">
            <x v="27"/>
          </reference>
        </references>
      </pivotArea>
    </format>
    <format dxfId="19">
      <pivotArea dataOnly="0" labelOnly="1" outline="0" fieldPosition="0">
        <references count="2">
          <reference field="3" count="1" selected="0">
            <x v="18"/>
          </reference>
          <reference field="4" count="1">
            <x v="27"/>
          </reference>
        </references>
      </pivotArea>
    </format>
    <format dxfId="18">
      <pivotArea dataOnly="0" labelOnly="1" outline="0" fieldPosition="0">
        <references count="2">
          <reference field="3" count="1" selected="0">
            <x v="19"/>
          </reference>
          <reference field="4" count="10">
            <x v="5"/>
            <x v="19"/>
            <x v="22"/>
            <x v="27"/>
            <x v="33"/>
            <x v="35"/>
            <x v="39"/>
            <x v="40"/>
            <x v="43"/>
            <x v="46"/>
          </reference>
        </references>
      </pivotArea>
    </format>
    <format dxfId="17">
      <pivotArea dataOnly="0" labelOnly="1" outline="0" fieldPosition="0">
        <references count="2">
          <reference field="3" count="1" selected="0">
            <x v="20"/>
          </reference>
          <reference field="4" count="1">
            <x v="51"/>
          </reference>
        </references>
      </pivotArea>
    </format>
    <format dxfId="1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">
      <pivotArea outline="0" collapsedLevelsAreSubtotals="1" fieldPosition="0"/>
    </format>
    <format dxfId="1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Content.Date" tableColumnId="1"/>
      <queryTableField id="2" name="Content.Vr.No" tableColumnId="2"/>
      <queryTableField id="3" name="Content.A/C Tipe" tableColumnId="3"/>
      <queryTableField id="4" name="Content.Supplier Name" tableColumnId="4"/>
      <queryTableField id="5" name="Content.Item Name" tableColumnId="5"/>
      <queryTableField id="6" name="Content.Opening" tableColumnId="6"/>
      <queryTableField id="7" name="Content.Purchase" tableColumnId="7"/>
      <queryTableField id="8" name="Content.Payment" tableColumnId="8"/>
      <queryTableField id="9" name="Content.Balance" tableColumnId="9"/>
      <queryTableField id="10" name="Content.Total Balance" tableColumnId="10"/>
    </queryTableFields>
  </queryTableRefresh>
</queryTable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Armax8" displayName="Armax8" ref="A1:J3" totalsRowShown="0" headerRowDxfId="292" dataDxfId="291">
  <autoFilter ref="A1:J3"/>
  <tableColumns count="10">
    <tableColumn id="1" name="Date" dataDxfId="290"/>
    <tableColumn id="2" name="Vr.No" dataDxfId="289"/>
    <tableColumn id="3" name="A/C Tipe" dataDxfId="288"/>
    <tableColumn id="4" name="Supplier Name" dataDxfId="287"/>
    <tableColumn id="5" name="Item Name" dataDxfId="286"/>
    <tableColumn id="6" name="Opening" dataDxfId="285" dataCellStyle="Comma"/>
    <tableColumn id="7" name="Purchase" dataDxfId="284" dataCellStyle="Comma"/>
    <tableColumn id="8" name="Payment" dataDxfId="283" dataCellStyle="Comma"/>
    <tableColumn id="9" name="Balance" dataDxfId="282" dataCellStyle="Comma">
      <calculatedColumnFormula>Armax8[[#This Row],[Opening]]+Armax8[[#This Row],[Purchase]]-Armax8[[#This Row],[Payment]]</calculatedColumnFormula>
    </tableColumn>
    <tableColumn id="10" name="Total Balance" dataDxfId="281">
      <calculatedColumnFormula>Armax8[[#This Row],[Balance]]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2" name="AAM_23" displayName="AAM_23" ref="A1:J5" totalsRowShown="0" headerRowDxfId="280" dataDxfId="279">
  <autoFilter ref="A1:J5"/>
  <tableColumns count="10">
    <tableColumn id="1" name="Date" dataDxfId="278"/>
    <tableColumn id="2" name="Vr.No" dataDxfId="277"/>
    <tableColumn id="3" name="A/C Tipe" dataDxfId="276"/>
    <tableColumn id="4" name="Supplier Name" dataDxfId="275"/>
    <tableColumn id="5" name="Item Name" dataDxfId="274"/>
    <tableColumn id="6" name="Opening" dataDxfId="273" dataCellStyle="Comma"/>
    <tableColumn id="7" name="Purchase" dataDxfId="272" dataCellStyle="Comma"/>
    <tableColumn id="8" name="Payment" dataDxfId="271" dataCellStyle="Comma"/>
    <tableColumn id="9" name="Balance" dataDxfId="270" dataCellStyle="Comma">
      <calculatedColumnFormula>AAM_23[[#This Row],[Opening]]+AAM_23[[#This Row],[Purchase]]-AAM_23[[#This Row],[Payment]]</calculatedColumnFormula>
    </tableColumn>
    <tableColumn id="10" name="Total Balance" dataDxfId="269">
      <calculatedColumnFormula>AAM_23[[#This Row],[Balance]]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25" name="AMT_26" displayName="AMT_26" ref="A1:J7" totalsRowShown="0" headerRowDxfId="268" dataDxfId="267">
  <autoFilter ref="A1:J7"/>
  <tableColumns count="10">
    <tableColumn id="1" name="Date" dataDxfId="266"/>
    <tableColumn id="2" name="Vr.No" dataDxfId="265"/>
    <tableColumn id="3" name="A/C Tipe" dataDxfId="264"/>
    <tableColumn id="4" name="Supplier Name" dataDxfId="263"/>
    <tableColumn id="5" name="Item Name" dataDxfId="262"/>
    <tableColumn id="6" name="Opening" dataDxfId="261" dataCellStyle="Comma"/>
    <tableColumn id="7" name="Purchase" dataDxfId="260" dataCellStyle="Comma"/>
    <tableColumn id="8" name="Payment" dataDxfId="259" dataCellStyle="Comma"/>
    <tableColumn id="9" name="Balance" dataDxfId="258" dataCellStyle="Comma">
      <calculatedColumnFormula>AMT_26[[#This Row],[Opening]]+AMT_26[[#This Row],[Purchase]]-AMT_26[[#This Row],[Payment]]</calculatedColumnFormula>
    </tableColumn>
    <tableColumn id="10" name="Total Balance" dataDxfId="257">
      <calculatedColumnFormula>AMT_26[[#This Row],[Balance]]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4" name="DTL" displayName="DTL" ref="A1:J2" totalsRowShown="0" headerRowDxfId="256" dataDxfId="255">
  <autoFilter ref="A1:J2"/>
  <tableColumns count="10">
    <tableColumn id="1" name="Date" dataDxfId="254"/>
    <tableColumn id="2" name="Vr.No" dataDxfId="253"/>
    <tableColumn id="3" name="A/C Tipe" dataDxfId="252"/>
    <tableColumn id="4" name="Supplier Name" dataDxfId="251"/>
    <tableColumn id="5" name="Item Name" dataDxfId="250"/>
    <tableColumn id="6" name="Opening" dataDxfId="249" dataCellStyle="Comma"/>
    <tableColumn id="7" name="Purchase" dataDxfId="248" dataCellStyle="Comma"/>
    <tableColumn id="8" name="Payment" dataDxfId="247" dataCellStyle="Comma"/>
    <tableColumn id="9" name="Balance" dataDxfId="246" dataCellStyle="Comma">
      <calculatedColumnFormula>DTL[[#This Row],[Opening]]+DTL[[#This Row],[Purchase]]-DTL[[#This Row],[Payment]]</calculatedColumnFormula>
    </tableColumn>
    <tableColumn id="10" name="Total Balance" dataDxfId="245">
      <calculatedColumnFormula>DTL[Balance]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5" name="GBS_TRI" displayName="GBS_TRI" ref="A1:J2" totalsRowShown="0" headerRowDxfId="244" dataDxfId="243">
  <autoFilter ref="A1:J2"/>
  <tableColumns count="10">
    <tableColumn id="1" name="Date" dataDxfId="242"/>
    <tableColumn id="2" name="Vr.No" dataDxfId="241"/>
    <tableColumn id="3" name="A/C Tipe" dataDxfId="240"/>
    <tableColumn id="4" name="Supplier Name" dataDxfId="239"/>
    <tableColumn id="5" name="Item Name" dataDxfId="238"/>
    <tableColumn id="6" name="Opening" dataDxfId="237" dataCellStyle="Comma"/>
    <tableColumn id="7" name="Purchase" dataDxfId="236" dataCellStyle="Comma"/>
    <tableColumn id="8" name="Payment" dataDxfId="235" dataCellStyle="Comma"/>
    <tableColumn id="9" name="Balance" dataDxfId="234" dataCellStyle="Comma">
      <calculatedColumnFormula>GBS_TRI[[#This Row],[Opening]]+GBS_TRI[[#This Row],[Purchase]]-GBS_TRI[[#This Row],[Payment]]</calculatedColumnFormula>
    </tableColumn>
    <tableColumn id="10" name="Total Balance" dataDxfId="233">
      <calculatedColumnFormula>GBS_TRI[Balance]</calculatedColumnFormula>
    </tableColumn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6" name="GBS_ENG" displayName="GBS_ENG" ref="A1:J2" totalsRowShown="0" headerRowDxfId="232" dataDxfId="231">
  <autoFilter ref="A1:J2"/>
  <tableColumns count="10">
    <tableColumn id="1" name="Date" dataDxfId="230"/>
    <tableColumn id="2" name="Vr.No" dataDxfId="229"/>
    <tableColumn id="3" name="A/C Tipe" dataDxfId="228"/>
    <tableColumn id="4" name="Supplier Name" dataDxfId="227"/>
    <tableColumn id="5" name="Item Name" dataDxfId="226"/>
    <tableColumn id="6" name="Opening" dataDxfId="225" dataCellStyle="Comma"/>
    <tableColumn id="7" name="Purchase" dataDxfId="224" dataCellStyle="Comma"/>
    <tableColumn id="8" name="Payment" dataDxfId="223" dataCellStyle="Comma"/>
    <tableColumn id="9" name="Balance" dataDxfId="222" dataCellStyle="Comma">
      <calculatedColumnFormula>GBS_ENG[[#This Row],[Opening]]+GBS_ENG[[#This Row],[Purchase]]-GBS_ENG[[#This Row],[Payment]]</calculatedColumnFormula>
    </tableColumn>
    <tableColumn id="10" name="Total Balance" dataDxfId="221">
      <calculatedColumnFormula>GBS_ENG[Balance]</calculatedColumnFormula>
    </tableColumn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8" name="GBS_SP" displayName="GBS_SP" ref="A1:J10" totalsRowShown="0" headerRowDxfId="220" dataDxfId="219">
  <autoFilter ref="A1:J10"/>
  <tableColumns count="10">
    <tableColumn id="1" name="Date" dataDxfId="218"/>
    <tableColumn id="2" name="Vr.No" dataDxfId="217"/>
    <tableColumn id="3" name="A/C Tipe" dataDxfId="216"/>
    <tableColumn id="4" name="Supplier Name" dataDxfId="215"/>
    <tableColumn id="5" name="Item Name" dataDxfId="214"/>
    <tableColumn id="6" name="Opening" dataDxfId="213" dataCellStyle="Comma"/>
    <tableColumn id="7" name="Purchase" dataDxfId="212" dataCellStyle="Comma"/>
    <tableColumn id="8" name="Payment" dataDxfId="211" dataCellStyle="Comma"/>
    <tableColumn id="9" name="Balance" dataDxfId="210" dataCellStyle="Comma">
      <calculatedColumnFormula>GBS_SP[[#This Row],[Opening]]+GBS_SP[[#This Row],[Purchase]]-GBS_SP[[#This Row],[Payment]]</calculatedColumnFormula>
    </tableColumn>
    <tableColumn id="10" name="Total Balance" dataDxfId="209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9" name="KWH" displayName="KWH" ref="A1:J12" totalsRowShown="0" headerRowDxfId="208" dataDxfId="207">
  <autoFilter ref="A1:J12"/>
  <tableColumns count="10">
    <tableColumn id="1" name="Date" dataDxfId="206"/>
    <tableColumn id="2" name="Vr.No" dataDxfId="205"/>
    <tableColumn id="3" name="A/C Tipe" dataDxfId="204"/>
    <tableColumn id="4" name="Supplier Name" dataDxfId="203"/>
    <tableColumn id="5" name="Item Name" dataDxfId="202"/>
    <tableColumn id="6" name="Opening" dataDxfId="201" dataCellStyle="Comma"/>
    <tableColumn id="7" name="Purchase" dataDxfId="200" dataCellStyle="Comma"/>
    <tableColumn id="8" name="Payment" dataDxfId="199" dataCellStyle="Comma"/>
    <tableColumn id="9" name="Balance" dataDxfId="198" dataCellStyle="Comma">
      <calculatedColumnFormula>KWH[[#This Row],[Opening]]+KWH[[#This Row],[Purchase]]-KWH[[#This Row],[Payment]]</calculatedColumnFormula>
    </tableColumn>
    <tableColumn id="10" name="Total Balance" dataDxfId="197">
      <calculatedColumnFormula>KWH[[#This Row],[Balance]]</calculatedColumnFormula>
    </tableColumn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id="10" name="KYINNLOON" displayName="KYINNLOON" ref="A1:J6" totalsRowShown="0" headerRowDxfId="196" dataDxfId="195">
  <autoFilter ref="A1:J6"/>
  <tableColumns count="10">
    <tableColumn id="1" name="Date" dataDxfId="194"/>
    <tableColumn id="2" name="Vr.No" dataDxfId="193"/>
    <tableColumn id="3" name="A/C Tipe" dataDxfId="192"/>
    <tableColumn id="4" name="Supplier Name" dataDxfId="191"/>
    <tableColumn id="5" name="Item Name" dataDxfId="190"/>
    <tableColumn id="6" name="Opening" dataDxfId="189" dataCellStyle="Comma"/>
    <tableColumn id="7" name="Purchase" dataDxfId="188" dataCellStyle="Comma"/>
    <tableColumn id="8" name="Payment" dataDxfId="187" dataCellStyle="Comma"/>
    <tableColumn id="9" name="Balance" dataDxfId="186" dataCellStyle="Comma">
      <calculatedColumnFormula>KYINNLOON[[#This Row],[Opening]]+KYINNLOON[[#This Row],[Purchase]]-KYINNLOON[[#This Row],[Payment]]</calculatedColumnFormula>
    </tableColumn>
    <tableColumn id="10" name="Total Balance" dataDxfId="185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1" name="MOB" displayName="MOB" ref="A1:J5" totalsRowShown="0" headerRowDxfId="184" dataDxfId="183">
  <autoFilter ref="A1:J5"/>
  <tableColumns count="10">
    <tableColumn id="1" name="Date" dataDxfId="182"/>
    <tableColumn id="2" name="Vr.No" dataDxfId="181"/>
    <tableColumn id="3" name="A/C Tipe" dataDxfId="180"/>
    <tableColumn id="4" name="Supplier Name" dataDxfId="179"/>
    <tableColumn id="5" name="Item Name" dataDxfId="178"/>
    <tableColumn id="6" name="Opening" dataDxfId="177" dataCellStyle="Comma"/>
    <tableColumn id="7" name="Purchase" dataDxfId="176" dataCellStyle="Comma"/>
    <tableColumn id="8" name="Payment" dataDxfId="175" dataCellStyle="Comma"/>
    <tableColumn id="9" name="Balance" dataDxfId="174" dataCellStyle="Comma">
      <calculatedColumnFormula>MOB[[#This Row],[Opening]]+MOB[[#This Row],[Purchase]]-MOB[[#This Row],[Payment]]</calculatedColumnFormula>
    </tableColumn>
    <tableColumn id="10" name="Total Balance" dataDxfId="173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2" name="MAYWD" displayName="MAYWD" ref="A1:J7" totalsRowShown="0" headerRowDxfId="172" dataDxfId="171">
  <autoFilter ref="A1:J7"/>
  <tableColumns count="10">
    <tableColumn id="1" name="Date" dataDxfId="170"/>
    <tableColumn id="2" name="Vr.No" dataDxfId="169"/>
    <tableColumn id="3" name="A/C Tipe" dataDxfId="168"/>
    <tableColumn id="4" name="Supplier Name" dataDxfId="167"/>
    <tableColumn id="5" name="Item Name" dataDxfId="166"/>
    <tableColumn id="6" name="Opening" dataDxfId="165" dataCellStyle="Comma"/>
    <tableColumn id="7" name="Purchase" dataDxfId="164" dataCellStyle="Comma"/>
    <tableColumn id="8" name="Payment" dataDxfId="163" dataCellStyle="Comma"/>
    <tableColumn id="9" name="Balance" dataDxfId="162" dataCellStyle="Comma">
      <calculatedColumnFormula>MAYWD[[#This Row],[Opening]]+MAYWD[[#This Row],[Purchase]]-MAYWD[[#This Row],[Payment]]</calculatedColumnFormula>
    </tableColumn>
    <tableColumn id="10" name="Total Balance" dataDxfId="161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id="13" name="MDYSP" displayName="MDYSP" ref="A1:J2" totalsRowShown="0" headerRowDxfId="160" dataDxfId="159">
  <autoFilter ref="A1:J2"/>
  <tableColumns count="10">
    <tableColumn id="1" name="Date" dataDxfId="158"/>
    <tableColumn id="2" name="Vr.No" dataDxfId="157"/>
    <tableColumn id="3" name="A/C Tipe" dataDxfId="156"/>
    <tableColumn id="4" name="Supplier Name" dataDxfId="155"/>
    <tableColumn id="5" name="Item Name" dataDxfId="154"/>
    <tableColumn id="6" name="Opening" dataDxfId="153" dataCellStyle="Comma"/>
    <tableColumn id="7" name="Purchase" dataDxfId="152" dataCellStyle="Comma"/>
    <tableColumn id="8" name="Payment" dataDxfId="151" dataCellStyle="Comma"/>
    <tableColumn id="9" name="Balance" dataDxfId="150" dataCellStyle="Comma">
      <calculatedColumnFormula>MDYSP[[#This Row],[Opening]]+MDYSP[[#This Row],[Purchase]]-MDYSP[[#This Row],[Payment]]</calculatedColumnFormula>
    </tableColumn>
    <tableColumn id="10" name="Total Balance" dataDxfId="149">
      <calculatedColumnFormula>MDYSP[Balance]</calculatedColumnFormula>
    </tableColumn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id="14" name="MTAY" displayName="MTAY" ref="A1:J7" totalsRowShown="0" headerRowDxfId="148" dataDxfId="147">
  <autoFilter ref="A1:J7"/>
  <tableColumns count="10">
    <tableColumn id="1" name="Date" dataDxfId="146"/>
    <tableColumn id="2" name="Vr.No" dataDxfId="145"/>
    <tableColumn id="3" name="A/C Tipe" dataDxfId="144"/>
    <tableColumn id="4" name="Supplier Name" dataDxfId="143"/>
    <tableColumn id="5" name="Item Name" dataDxfId="142"/>
    <tableColumn id="6" name="Opening" dataDxfId="141" dataCellStyle="Comma"/>
    <tableColumn id="7" name="Purchase" dataDxfId="140" dataCellStyle="Comma"/>
    <tableColumn id="8" name="Payment" dataDxfId="139" dataCellStyle="Comma"/>
    <tableColumn id="9" name="Balance" dataDxfId="138" dataCellStyle="Comma">
      <calculatedColumnFormula>MTAY[[#This Row],[Opening]]+MTAY[[#This Row],[Purchase]]-MTAY[[#This Row],[Payment]]</calculatedColumnFormula>
    </tableColumn>
    <tableColumn id="10" name="Total Balance" dataDxfId="137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id="15" name="NASA" displayName="NASA" ref="A1:J2" totalsRowShown="0" headerRowDxfId="136" dataDxfId="135">
  <autoFilter ref="A1:J2"/>
  <tableColumns count="10">
    <tableColumn id="1" name="Date" dataDxfId="134"/>
    <tableColumn id="2" name="Vr.No" dataDxfId="133"/>
    <tableColumn id="3" name="A/C Tipe" dataDxfId="132"/>
    <tableColumn id="4" name="Supplier Name" dataDxfId="131"/>
    <tableColumn id="5" name="Item Name" dataDxfId="130"/>
    <tableColumn id="6" name="Opening" dataDxfId="129" dataCellStyle="Comma"/>
    <tableColumn id="7" name="Purchase" dataDxfId="128" dataCellStyle="Comma"/>
    <tableColumn id="8" name="Payment" dataDxfId="127" dataCellStyle="Comma"/>
    <tableColumn id="9" name="Balance" dataDxfId="126" dataCellStyle="Comma">
      <calculatedColumnFormula>NASA[[#This Row],[Opening]]+NASA[[#This Row],[Purchase]]-NASA[[#This Row],[Payment]]</calculatedColumnFormula>
    </tableColumn>
    <tableColumn id="10" name="Total Balance" dataDxfId="125">
      <calculatedColumnFormula>NASA[Balance]</calculatedColumnFormula>
    </tableColumn>
  </tableColumns>
  <tableStyleInfo name="TableStyleMedium8" showFirstColumn="0" showLastColumn="0" showRowStripes="1" showColumnStripes="0"/>
</table>
</file>

<file path=xl/tables/table15.xml><?xml version="1.0" encoding="utf-8"?>
<table xmlns="http://schemas.openxmlformats.org/spreadsheetml/2006/main" id="16" name="STL" displayName="STL" ref="A1:J14" totalsRowShown="0" headerRowDxfId="124" dataDxfId="123">
  <autoFilter ref="A1:J14"/>
  <tableColumns count="10">
    <tableColumn id="1" name="Date" dataDxfId="122"/>
    <tableColumn id="2" name="Vr.No" dataDxfId="121"/>
    <tableColumn id="3" name="A/C Tipe" dataDxfId="120"/>
    <tableColumn id="4" name="Supplier Name" dataDxfId="119"/>
    <tableColumn id="5" name="Item Name" dataDxfId="118"/>
    <tableColumn id="6" name="Opening" dataDxfId="117" dataCellStyle="Comma"/>
    <tableColumn id="7" name="Purchase" dataDxfId="116" dataCellStyle="Comma"/>
    <tableColumn id="8" name="Payment" dataDxfId="115" dataCellStyle="Comma"/>
    <tableColumn id="9" name="Balance" dataDxfId="114" dataCellStyle="Comma">
      <calculatedColumnFormula>STL[[#This Row],[Opening]]+STL[[#This Row],[Purchase]]-STL[[#This Row],[Payment]]</calculatedColumnFormula>
    </tableColumn>
    <tableColumn id="10" name="Total Balance" dataDxfId="113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17" name="SYS" displayName="SYS" ref="A1:J5" totalsRowShown="0" headerRowDxfId="112" dataDxfId="111">
  <autoFilter ref="A1:J5"/>
  <tableColumns count="10">
    <tableColumn id="1" name="Date" dataDxfId="110"/>
    <tableColumn id="2" name="Vr.No" dataDxfId="109"/>
    <tableColumn id="3" name="A/C Tipe" dataDxfId="108"/>
    <tableColumn id="4" name="Supplier Name" dataDxfId="107"/>
    <tableColumn id="5" name="Item Name" dataDxfId="106"/>
    <tableColumn id="6" name="Opening" dataDxfId="105" dataCellStyle="Comma"/>
    <tableColumn id="7" name="Purchase" dataDxfId="104" dataCellStyle="Comma"/>
    <tableColumn id="8" name="Payment" dataDxfId="103" dataCellStyle="Comma"/>
    <tableColumn id="9" name="Balance" dataDxfId="102" dataCellStyle="Comma">
      <calculatedColumnFormula>SYS[[#This Row],[Opening]]+SYS[[#This Row],[Purchase]]-SYS[[#This Row],[Payment]]</calculatedColumnFormula>
    </tableColumn>
    <tableColumn id="10" name="Total Balance" dataDxfId="101"/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id="18" name="SUPER" displayName="SUPER" ref="A1:J5" totalsRowShown="0" headerRowDxfId="100" dataDxfId="99">
  <autoFilter ref="A1:J5"/>
  <tableColumns count="10">
    <tableColumn id="1" name="Date" dataDxfId="98"/>
    <tableColumn id="2" name="Vr.No" dataDxfId="97"/>
    <tableColumn id="3" name="A/C Tipe" dataDxfId="96"/>
    <tableColumn id="4" name="Supplier Name" dataDxfId="95"/>
    <tableColumn id="5" name="Item Name" dataDxfId="94"/>
    <tableColumn id="6" name="Opening" dataDxfId="93" dataCellStyle="Comma"/>
    <tableColumn id="7" name="Purchase" dataDxfId="92" dataCellStyle="Comma"/>
    <tableColumn id="8" name="Payment" dataDxfId="91" dataCellStyle="Comma"/>
    <tableColumn id="9" name="Balance" dataDxfId="90" dataCellStyle="Comma">
      <calculatedColumnFormula>SUPER[[#This Row],[Opening]]+SUPER[[#This Row],[Purchase]]-SUPER[[#This Row],[Payment]]</calculatedColumnFormula>
    </tableColumn>
    <tableColumn id="10" name="Total Balance" dataDxfId="89"/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19" name="TSLW" displayName="TSLW" ref="A1:J2" totalsRowShown="0" headerRowDxfId="88" dataDxfId="87">
  <autoFilter ref="A1:J2"/>
  <tableColumns count="10">
    <tableColumn id="1" name="Date" dataDxfId="86"/>
    <tableColumn id="2" name="Vr.No" dataDxfId="85"/>
    <tableColumn id="3" name="A/C Tipe" dataDxfId="84"/>
    <tableColumn id="4" name="Supplier Name" dataDxfId="83"/>
    <tableColumn id="5" name="Item Name" dataDxfId="82"/>
    <tableColumn id="6" name="Opening" dataDxfId="81" dataCellStyle="Comma"/>
    <tableColumn id="7" name="Purchase" dataDxfId="80" dataCellStyle="Comma"/>
    <tableColumn id="8" name="Payment" dataDxfId="79" dataCellStyle="Comma"/>
    <tableColumn id="9" name="Balance" dataDxfId="78" dataCellStyle="Comma">
      <calculatedColumnFormula>TSLW[[#This Row],[Opening]]+TSLW[[#This Row],[Purchase]]-TSLW[[#This Row],[Payment]]</calculatedColumnFormula>
    </tableColumn>
    <tableColumn id="10" name="Total Balance" dataDxfId="77">
      <calculatedColumnFormula>TSLW[Balance]</calculatedColumnFormula>
    </tableColumn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id="20" name="UMG" displayName="UMG" ref="A1:J2" totalsRowShown="0" headerRowDxfId="76" dataDxfId="75">
  <autoFilter ref="A1:J2"/>
  <tableColumns count="10">
    <tableColumn id="1" name="Date" dataDxfId="74"/>
    <tableColumn id="2" name="Vr.No" dataDxfId="73"/>
    <tableColumn id="3" name="A/C Tipe" dataDxfId="72"/>
    <tableColumn id="4" name="Supplier Name" dataDxfId="71"/>
    <tableColumn id="5" name="Item Name" dataDxfId="70"/>
    <tableColumn id="6" name="Opening" dataDxfId="69" dataCellStyle="Comma"/>
    <tableColumn id="7" name="Purchase" dataDxfId="68" dataCellStyle="Comma"/>
    <tableColumn id="8" name="Payment" dataDxfId="67" dataCellStyle="Comma"/>
    <tableColumn id="9" name="Balance" dataDxfId="66" dataCellStyle="Comma">
      <calculatedColumnFormula>UMG[[#This Row],[Opening]]+UMG[[#This Row],[Purchase]]-UMG[[#This Row],[Payment]]</calculatedColumnFormula>
    </tableColumn>
    <tableColumn id="10" name="Total Balance" dataDxfId="65" dataCellStyle="Comma">
      <calculatedColumnFormula>UMG[Balance]</calculatedColumnFormula>
    </tableColumn>
  </tableColumns>
  <tableStyleInfo name="TableStyleMedium8" showFirstColumn="0" showLastColumn="0" showRowStripes="1" showColumnStripes="0"/>
</table>
</file>

<file path=xl/tables/table20.xml><?xml version="1.0" encoding="utf-8"?>
<table xmlns="http://schemas.openxmlformats.org/spreadsheetml/2006/main" id="21" name="ZAN" displayName="ZAN" ref="A1:J12" totalsRowShown="0" headerRowDxfId="64" dataDxfId="63">
  <autoFilter ref="A1:J12"/>
  <tableColumns count="10">
    <tableColumn id="1" name="Date" dataDxfId="62"/>
    <tableColumn id="2" name="Vr.No" dataDxfId="61"/>
    <tableColumn id="3" name="A/C Tipe" dataDxfId="60"/>
    <tableColumn id="4" name="Supplier Name" dataDxfId="59"/>
    <tableColumn id="5" name="Item Name" dataDxfId="58"/>
    <tableColumn id="6" name="Opening" dataDxfId="57" dataCellStyle="Comma"/>
    <tableColumn id="7" name="Purchase" dataDxfId="56" dataCellStyle="Comma"/>
    <tableColumn id="8" name="Payment" dataDxfId="55" dataCellStyle="Comma"/>
    <tableColumn id="9" name="Balance" dataDxfId="54" dataCellStyle="Comma">
      <calculatedColumnFormula>ZAN[[#This Row],[Opening]]+ZAN[[#This Row],[Purchase]]-ZAN[[#This Row],[Payment]]</calculatedColumnFormula>
    </tableColumn>
    <tableColumn id="10" name="Total Balance" dataDxfId="53"/>
  </tableColumns>
  <tableStyleInfo name="TableStyleMedium8" showFirstColumn="0" showLastColumn="0" showRowStripes="1" showColumnStripes="0"/>
</table>
</file>

<file path=xl/tables/table21.xml><?xml version="1.0" encoding="utf-8"?>
<table xmlns="http://schemas.openxmlformats.org/spreadsheetml/2006/main" id="24" name="Real_balance" displayName="Real_balance" ref="A1:F21" totalsRowShown="0" headerRowDxfId="52" dataDxfId="51" tableBorderDxfId="50">
  <tableColumns count="6">
    <tableColumn id="10" name="No" dataDxfId="49"/>
    <tableColumn id="4" name="Supplier Name" dataDxfId="48"/>
    <tableColumn id="6" name="Opening" dataDxfId="47" dataCellStyle="Comma">
      <calculatedColumnFormula>SUMIF('Data Combine'!$D:$D,$B2,'Data Combine'!F:F)</calculatedColumnFormula>
    </tableColumn>
    <tableColumn id="7" name="Purchase" dataDxfId="46" dataCellStyle="Comma">
      <calculatedColumnFormula>SUMIF('Data Combine'!$D:$D,$B2,'Data Combine'!G:G)</calculatedColumnFormula>
    </tableColumn>
    <tableColumn id="8" name="Payment" dataDxfId="45" dataCellStyle="Comma">
      <calculatedColumnFormula>SUMIF('Data Combine'!$D:$D,$B2,'Data Combine'!H:H)</calculatedColumnFormula>
    </tableColumn>
    <tableColumn id="9" name="Balance" dataDxfId="44" dataCellStyle="Comma">
      <calculatedColumnFormula>SUMIF('Data Combine'!$D:$D,$B2,'Data Combine'!I:I)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id="1" name="Data_Combine" displayName="Data_Combine" ref="A1:J206" tableType="queryTable" totalsRowShown="0" headerRowDxfId="11" dataDxfId="10">
  <autoFilter ref="A1:J206"/>
  <tableColumns count="10">
    <tableColumn id="1" uniqueName="1" name="Content.Date" queryTableFieldId="1" dataDxfId="9"/>
    <tableColumn id="2" uniqueName="2" name="Content.Vr.No" queryTableFieldId="2" dataDxfId="8"/>
    <tableColumn id="3" uniqueName="3" name="Content.A/C Tipe" queryTableFieldId="3" dataDxfId="7"/>
    <tableColumn id="4" uniqueName="4" name="Content.Supplier Name" queryTableFieldId="4" dataDxfId="6"/>
    <tableColumn id="5" uniqueName="5" name="Content.Item Name" queryTableFieldId="5" dataDxfId="5"/>
    <tableColumn id="6" uniqueName="6" name="Content.Opening" queryTableFieldId="6" dataDxfId="4"/>
    <tableColumn id="7" uniqueName="7" name="Content.Purchase" queryTableFieldId="7" dataDxfId="3"/>
    <tableColumn id="8" uniqueName="8" name="Content.Payment" queryTableFieldId="8" dataDxfId="2"/>
    <tableColumn id="9" uniqueName="9" name="Content.Balance" queryTableFieldId="9" dataDxfId="1"/>
    <tableColumn id="10" uniqueName="10" name="Content.Total Balance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8"/>
  <sheetViews>
    <sheetView workbookViewId="0">
      <selection activeCell="C4" sqref="C4"/>
    </sheetView>
  </sheetViews>
  <sheetFormatPr defaultColWidth="9.28515625" defaultRowHeight="21.75" x14ac:dyDescent="0.55000000000000004"/>
  <cols>
    <col min="1" max="1" width="9.28515625" style="1"/>
    <col min="2" max="2" width="15.5703125" style="8" bestFit="1" customWidth="1"/>
    <col min="3" max="3" width="26.28515625" style="1" customWidth="1"/>
    <col min="4" max="5" width="9.28515625" style="1"/>
    <col min="6" max="6" width="23.5703125" style="1" bestFit="1" customWidth="1"/>
    <col min="7" max="16384" width="9.28515625" style="1"/>
  </cols>
  <sheetData>
    <row r="2" spans="2:8" x14ac:dyDescent="0.55000000000000004">
      <c r="B2" s="3" t="s">
        <v>2</v>
      </c>
      <c r="C2" s="3" t="s">
        <v>3</v>
      </c>
      <c r="F2" s="3" t="s">
        <v>10</v>
      </c>
      <c r="H2" s="11" t="s">
        <v>70</v>
      </c>
    </row>
    <row r="3" spans="2:8" x14ac:dyDescent="0.55000000000000004">
      <c r="B3" s="4" t="s">
        <v>11</v>
      </c>
      <c r="C3" s="5" t="s">
        <v>12</v>
      </c>
      <c r="F3" s="6" t="s">
        <v>13</v>
      </c>
      <c r="H3" s="7" t="s">
        <v>5</v>
      </c>
    </row>
    <row r="4" spans="2:8" x14ac:dyDescent="0.55000000000000004">
      <c r="B4" s="4" t="s">
        <v>14</v>
      </c>
      <c r="C4" s="5" t="s">
        <v>15</v>
      </c>
      <c r="F4" s="6" t="s">
        <v>16</v>
      </c>
      <c r="H4" s="7" t="s">
        <v>6</v>
      </c>
    </row>
    <row r="5" spans="2:8" x14ac:dyDescent="0.55000000000000004">
      <c r="B5" s="4" t="s">
        <v>17</v>
      </c>
      <c r="C5" s="5" t="s">
        <v>18</v>
      </c>
      <c r="F5" s="6" t="s">
        <v>19</v>
      </c>
      <c r="H5" s="7" t="s">
        <v>7</v>
      </c>
    </row>
    <row r="6" spans="2:8" x14ac:dyDescent="0.55000000000000004">
      <c r="B6" s="4" t="s">
        <v>20</v>
      </c>
      <c r="C6" s="5" t="s">
        <v>21</v>
      </c>
      <c r="F6" s="6" t="s">
        <v>22</v>
      </c>
    </row>
    <row r="7" spans="2:8" x14ac:dyDescent="0.55000000000000004">
      <c r="B7" s="4" t="s">
        <v>23</v>
      </c>
      <c r="C7" s="5" t="s">
        <v>68</v>
      </c>
      <c r="F7" s="6" t="s">
        <v>24</v>
      </c>
    </row>
    <row r="8" spans="2:8" x14ac:dyDescent="0.55000000000000004">
      <c r="B8" s="4" t="s">
        <v>25</v>
      </c>
      <c r="C8" s="5" t="s">
        <v>26</v>
      </c>
      <c r="F8" s="6" t="s">
        <v>27</v>
      </c>
    </row>
    <row r="9" spans="2:8" x14ac:dyDescent="0.55000000000000004">
      <c r="B9" s="4" t="s">
        <v>28</v>
      </c>
      <c r="C9" s="5" t="s">
        <v>29</v>
      </c>
      <c r="F9" s="6" t="s">
        <v>30</v>
      </c>
    </row>
    <row r="10" spans="2:8" x14ac:dyDescent="0.55000000000000004">
      <c r="B10" s="4" t="s">
        <v>31</v>
      </c>
      <c r="C10" s="5" t="s">
        <v>32</v>
      </c>
      <c r="F10" s="6" t="s">
        <v>33</v>
      </c>
    </row>
    <row r="11" spans="2:8" x14ac:dyDescent="0.55000000000000004">
      <c r="B11" s="4" t="s">
        <v>34</v>
      </c>
      <c r="C11" s="5" t="s">
        <v>35</v>
      </c>
      <c r="F11" s="6" t="s">
        <v>36</v>
      </c>
    </row>
    <row r="12" spans="2:8" x14ac:dyDescent="0.55000000000000004">
      <c r="B12" s="4" t="s">
        <v>37</v>
      </c>
      <c r="C12" s="5" t="s">
        <v>38</v>
      </c>
    </row>
    <row r="13" spans="2:8" x14ac:dyDescent="0.55000000000000004">
      <c r="B13" s="4" t="s">
        <v>39</v>
      </c>
      <c r="C13" s="5" t="s">
        <v>40</v>
      </c>
    </row>
    <row r="14" spans="2:8" x14ac:dyDescent="0.55000000000000004">
      <c r="B14" s="4" t="s">
        <v>41</v>
      </c>
      <c r="C14" s="5" t="s">
        <v>42</v>
      </c>
    </row>
    <row r="15" spans="2:8" x14ac:dyDescent="0.55000000000000004">
      <c r="B15" s="4" t="s">
        <v>43</v>
      </c>
      <c r="C15" s="5" t="s">
        <v>44</v>
      </c>
    </row>
    <row r="16" spans="2:8" x14ac:dyDescent="0.55000000000000004">
      <c r="B16" s="4" t="s">
        <v>45</v>
      </c>
      <c r="C16" s="5" t="s">
        <v>46</v>
      </c>
    </row>
    <row r="17" spans="2:3" x14ac:dyDescent="0.55000000000000004">
      <c r="B17" s="4" t="s">
        <v>47</v>
      </c>
      <c r="C17" s="5" t="s">
        <v>48</v>
      </c>
    </row>
    <row r="18" spans="2:3" x14ac:dyDescent="0.55000000000000004">
      <c r="B18" s="4" t="s">
        <v>49</v>
      </c>
      <c r="C18" s="5" t="s">
        <v>50</v>
      </c>
    </row>
    <row r="19" spans="2:3" x14ac:dyDescent="0.55000000000000004">
      <c r="B19" s="4" t="s">
        <v>51</v>
      </c>
      <c r="C19" s="5" t="s">
        <v>52</v>
      </c>
    </row>
    <row r="20" spans="2:3" x14ac:dyDescent="0.55000000000000004">
      <c r="B20" s="4" t="s">
        <v>53</v>
      </c>
      <c r="C20" s="5" t="s">
        <v>54</v>
      </c>
    </row>
    <row r="21" spans="2:3" x14ac:dyDescent="0.55000000000000004">
      <c r="B21" s="4" t="s">
        <v>55</v>
      </c>
      <c r="C21" s="5" t="s">
        <v>56</v>
      </c>
    </row>
    <row r="22" spans="2:3" x14ac:dyDescent="0.55000000000000004">
      <c r="B22" s="4" t="s">
        <v>57</v>
      </c>
      <c r="C22" s="7" t="s">
        <v>58</v>
      </c>
    </row>
    <row r="23" spans="2:3" x14ac:dyDescent="0.55000000000000004">
      <c r="B23" s="4" t="s">
        <v>59</v>
      </c>
      <c r="C23" s="7" t="s">
        <v>60</v>
      </c>
    </row>
    <row r="24" spans="2:3" x14ac:dyDescent="0.55000000000000004">
      <c r="B24" s="4" t="s">
        <v>61</v>
      </c>
      <c r="C24" s="7" t="s">
        <v>9</v>
      </c>
    </row>
    <row r="25" spans="2:3" x14ac:dyDescent="0.55000000000000004">
      <c r="B25" s="4" t="s">
        <v>62</v>
      </c>
      <c r="C25" s="7" t="s">
        <v>63</v>
      </c>
    </row>
    <row r="26" spans="2:3" x14ac:dyDescent="0.55000000000000004">
      <c r="B26" s="4" t="s">
        <v>64</v>
      </c>
      <c r="C26" s="7" t="s">
        <v>65</v>
      </c>
    </row>
    <row r="27" spans="2:3" x14ac:dyDescent="0.55000000000000004">
      <c r="B27" s="4" t="s">
        <v>66</v>
      </c>
      <c r="C27" s="7" t="s">
        <v>67</v>
      </c>
    </row>
    <row r="28" spans="2:3" x14ac:dyDescent="0.55000000000000004">
      <c r="B28" s="4" t="s">
        <v>76</v>
      </c>
      <c r="C28" s="5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topLeftCell="B1" workbookViewId="0">
      <selection activeCell="J2" sqref="J2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16.85546875" style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2" style="10" bestFit="1" customWidth="1"/>
    <col min="10" max="10" width="20.285156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144</v>
      </c>
      <c r="K1" s="9"/>
    </row>
    <row r="2" spans="1:11" x14ac:dyDescent="0.55000000000000004">
      <c r="A2" s="14">
        <v>44256</v>
      </c>
      <c r="B2" s="45"/>
      <c r="C2" s="12" t="s">
        <v>5</v>
      </c>
      <c r="D2" s="1" t="s">
        <v>9</v>
      </c>
      <c r="E2" s="8" t="s">
        <v>5</v>
      </c>
      <c r="F2" s="9">
        <v>640740</v>
      </c>
      <c r="I2" s="10">
        <f>Armax8[[#This Row],[Opening]]+Armax8[[#This Row],[Purchase]]-Armax8[[#This Row],[Payment]]</f>
        <v>640740</v>
      </c>
      <c r="J2" s="46">
        <f>Armax8[[#This Row],[Balance]]</f>
        <v>640740</v>
      </c>
    </row>
    <row r="3" spans="1:11" x14ac:dyDescent="0.55000000000000004">
      <c r="A3" s="14">
        <v>44286</v>
      </c>
      <c r="B3" s="45"/>
      <c r="C3" s="12" t="s">
        <v>7</v>
      </c>
      <c r="D3" s="1" t="s">
        <v>9</v>
      </c>
      <c r="E3" s="8" t="s">
        <v>143</v>
      </c>
      <c r="H3" s="10">
        <v>10120</v>
      </c>
      <c r="J3" s="46">
        <f>Armax8[[#This Row],[Balance]]</f>
        <v>0</v>
      </c>
    </row>
    <row r="4" spans="1:11" x14ac:dyDescent="0.55000000000000004">
      <c r="B4" s="45"/>
      <c r="C4" s="12"/>
      <c r="J4" s="46"/>
    </row>
    <row r="5" spans="1:11" x14ac:dyDescent="0.55000000000000004">
      <c r="B5" s="45"/>
      <c r="C5" s="12"/>
      <c r="J5" s="46"/>
    </row>
    <row r="6" spans="1:11" x14ac:dyDescent="0.55000000000000004">
      <c r="B6" s="45"/>
      <c r="C6" s="12"/>
      <c r="J6" s="46"/>
    </row>
    <row r="7" spans="1:11" x14ac:dyDescent="0.55000000000000004">
      <c r="B7" s="45"/>
      <c r="C7" s="12"/>
      <c r="J7" s="46"/>
    </row>
    <row r="8" spans="1:11" x14ac:dyDescent="0.55000000000000004">
      <c r="B8" s="45"/>
      <c r="C8" s="12"/>
      <c r="J8" s="46"/>
    </row>
    <row r="9" spans="1:11" x14ac:dyDescent="0.55000000000000004">
      <c r="B9" s="45"/>
      <c r="C9" s="12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'C:\Users\DELL\Documents\[Creditor Purhase &amp; Payment(Apirl-2021).xlsm]Supplier (COA)'!#REF!</xm:f>
          </x14:formula1>
          <xm:sqref>C2:C3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J3" sqref="J3:J5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1.140625" style="1" bestFit="1" customWidth="1"/>
    <col min="5" max="5" width="16.4257812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2" style="10" bestFit="1" customWidth="1"/>
    <col min="10" max="10" width="22.5703125" style="10" bestFit="1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144</v>
      </c>
      <c r="K1" s="9"/>
    </row>
    <row r="2" spans="1:11" x14ac:dyDescent="0.55000000000000004">
      <c r="A2" s="14">
        <v>44256</v>
      </c>
      <c r="C2" s="12" t="s">
        <v>5</v>
      </c>
      <c r="D2" s="1" t="s">
        <v>15</v>
      </c>
      <c r="E2" s="8" t="s">
        <v>5</v>
      </c>
      <c r="F2" s="9">
        <v>566210</v>
      </c>
      <c r="I2" s="10">
        <f>AAM_23[[#This Row],[Opening]]+AAM_23[[#This Row],[Purchase]]-AAM_23[[#This Row],[Payment]]</f>
        <v>566210</v>
      </c>
      <c r="J2" s="9">
        <f>AAM_23[[#This Row],[Balance]]</f>
        <v>566210</v>
      </c>
    </row>
    <row r="3" spans="1:11" x14ac:dyDescent="0.55000000000000004">
      <c r="A3" s="14">
        <v>44265</v>
      </c>
      <c r="B3" s="12">
        <v>30040</v>
      </c>
      <c r="C3" s="12" t="s">
        <v>6</v>
      </c>
      <c r="D3" s="1" t="s">
        <v>15</v>
      </c>
      <c r="E3" s="8" t="s">
        <v>111</v>
      </c>
      <c r="G3" s="9">
        <v>152000</v>
      </c>
      <c r="I3" s="10">
        <f>AAM_23[[#This Row],[Opening]]+AAM_23[[#This Row],[Purchase]]-AAM_23[[#This Row],[Payment]]</f>
        <v>152000</v>
      </c>
      <c r="J3" s="9">
        <f>J2+AAM_23[[#This Row],[Purchase]]-AAM_23[[#This Row],[Payment]]</f>
        <v>718210</v>
      </c>
    </row>
    <row r="4" spans="1:11" x14ac:dyDescent="0.55000000000000004">
      <c r="A4" s="14">
        <v>44280</v>
      </c>
      <c r="B4" s="12">
        <v>30114</v>
      </c>
      <c r="C4" s="12" t="s">
        <v>6</v>
      </c>
      <c r="D4" s="1" t="s">
        <v>15</v>
      </c>
      <c r="E4" s="8" t="s">
        <v>111</v>
      </c>
      <c r="G4" s="9">
        <v>218000</v>
      </c>
      <c r="I4" s="10">
        <f>AAM_23[[#This Row],[Opening]]+AAM_23[[#This Row],[Purchase]]-AAM_23[[#This Row],[Payment]]</f>
        <v>218000</v>
      </c>
      <c r="J4" s="9">
        <f>J3+AAM_23[[#This Row],[Purchase]]-AAM_23[[#This Row],[Payment]]</f>
        <v>936210</v>
      </c>
    </row>
    <row r="5" spans="1:11" x14ac:dyDescent="0.55000000000000004">
      <c r="A5" s="14">
        <v>44286</v>
      </c>
      <c r="C5" s="12" t="s">
        <v>7</v>
      </c>
      <c r="D5" s="1" t="s">
        <v>15</v>
      </c>
      <c r="E5" s="8" t="s">
        <v>72</v>
      </c>
      <c r="H5" s="10">
        <v>936210</v>
      </c>
      <c r="I5" s="10">
        <f>AAM_23[[#This Row],[Opening]]+AAM_23[[#This Row],[Purchase]]-AAM_23[[#This Row],[Payment]]</f>
        <v>-936210</v>
      </c>
      <c r="J5" s="9">
        <f>J4+AAM_23[[#This Row],[Purchase]]-AAM_23[[#This Row],[Payment]]</f>
        <v>0</v>
      </c>
    </row>
    <row r="6" spans="1:11" x14ac:dyDescent="0.55000000000000004">
      <c r="C6" s="12"/>
    </row>
    <row r="7" spans="1:11" x14ac:dyDescent="0.55000000000000004">
      <c r="C7" s="12"/>
    </row>
    <row r="8" spans="1:11" x14ac:dyDescent="0.55000000000000004">
      <c r="C8" s="12"/>
    </row>
    <row r="9" spans="1:11" x14ac:dyDescent="0.55000000000000004">
      <c r="C9" s="12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pageSetup orientation="portrait" horizontalDpi="0" verticalDpi="0" r:id="rId1"/>
  <ignoredErrors>
    <ignoredError sqref="J3:J5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'C:\Users\DELL\Documents\[Creditor Purhase &amp; Payment(Apirl-2021).xlsm]Supplier (COA)'!#REF!</xm:f>
          </x14:formula1>
          <xm:sqref>C2:C5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"/>
  <sheetViews>
    <sheetView workbookViewId="0">
      <selection activeCell="J8" sqref="J8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0" style="1" bestFit="1" customWidth="1"/>
    <col min="5" max="5" width="18.8554687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2" style="10" bestFit="1" customWidth="1"/>
    <col min="10" max="10" width="22.5703125" style="10" bestFit="1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144</v>
      </c>
      <c r="K1" s="9"/>
    </row>
    <row r="2" spans="1:11" x14ac:dyDescent="0.55000000000000004">
      <c r="A2" s="14">
        <v>44256</v>
      </c>
      <c r="C2" s="12" t="s">
        <v>5</v>
      </c>
      <c r="D2" s="1" t="s">
        <v>18</v>
      </c>
      <c r="E2" s="8" t="s">
        <v>5</v>
      </c>
      <c r="F2" s="9">
        <v>896951</v>
      </c>
      <c r="I2" s="10">
        <f>AMT_26[[#This Row],[Opening]]+AMT_26[[#This Row],[Purchase]]-AMT_26[[#This Row],[Payment]]</f>
        <v>896951</v>
      </c>
      <c r="J2" s="9">
        <f>AMT_26[[#This Row],[Balance]]</f>
        <v>896951</v>
      </c>
    </row>
    <row r="3" spans="1:11" x14ac:dyDescent="0.55000000000000004">
      <c r="A3" s="14">
        <v>44257</v>
      </c>
      <c r="B3" s="12">
        <v>47835</v>
      </c>
      <c r="C3" s="12" t="s">
        <v>6</v>
      </c>
      <c r="D3" s="1" t="s">
        <v>18</v>
      </c>
      <c r="E3" s="8" t="s">
        <v>89</v>
      </c>
      <c r="G3" s="9">
        <v>33940</v>
      </c>
      <c r="I3" s="10">
        <f>AMT_26[[#This Row],[Opening]]+AMT_26[[#This Row],[Purchase]]-AMT_26[[#This Row],[Payment]]</f>
        <v>33940</v>
      </c>
      <c r="J3" s="9">
        <f>J2+AMT_26[[#This Row],[Purchase]]-AMT_26[[#This Row],[Payment]]</f>
        <v>930891</v>
      </c>
    </row>
    <row r="4" spans="1:11" x14ac:dyDescent="0.55000000000000004">
      <c r="A4" s="14">
        <v>44257</v>
      </c>
      <c r="B4" s="12">
        <v>20836</v>
      </c>
      <c r="C4" s="12" t="s">
        <v>6</v>
      </c>
      <c r="D4" s="1" t="s">
        <v>18</v>
      </c>
      <c r="E4" s="8" t="s">
        <v>75</v>
      </c>
      <c r="G4" s="9">
        <v>27400</v>
      </c>
      <c r="I4" s="10">
        <f>AMT_26[[#This Row],[Opening]]+AMT_26[[#This Row],[Purchase]]-AMT_26[[#This Row],[Payment]]</f>
        <v>27400</v>
      </c>
      <c r="J4" s="9">
        <f>J3+AMT_26[[#This Row],[Purchase]]-AMT_26[[#This Row],[Payment]]</f>
        <v>958291</v>
      </c>
      <c r="K4" s="10" t="s">
        <v>74</v>
      </c>
    </row>
    <row r="5" spans="1:11" x14ac:dyDescent="0.55000000000000004">
      <c r="A5" s="14">
        <v>44261</v>
      </c>
      <c r="B5" s="12">
        <v>47889</v>
      </c>
      <c r="C5" s="12" t="s">
        <v>6</v>
      </c>
      <c r="D5" s="1" t="s">
        <v>18</v>
      </c>
      <c r="E5" s="8" t="s">
        <v>104</v>
      </c>
      <c r="G5" s="9">
        <v>130834</v>
      </c>
      <c r="I5" s="10">
        <f>AMT_26[[#This Row],[Opening]]+AMT_26[[#This Row],[Purchase]]-AMT_26[[#This Row],[Payment]]</f>
        <v>130834</v>
      </c>
      <c r="J5" s="9">
        <f>J4+AMT_26[[#This Row],[Purchase]]-AMT_26[[#This Row],[Payment]]</f>
        <v>1089125</v>
      </c>
    </row>
    <row r="6" spans="1:11" x14ac:dyDescent="0.55000000000000004">
      <c r="A6" s="14">
        <v>44285</v>
      </c>
      <c r="B6" s="12">
        <v>48055</v>
      </c>
      <c r="C6" s="12" t="s">
        <v>6</v>
      </c>
      <c r="D6" s="1" t="s">
        <v>18</v>
      </c>
      <c r="E6" s="8" t="s">
        <v>104</v>
      </c>
      <c r="G6" s="9">
        <v>100532</v>
      </c>
      <c r="I6" s="10">
        <f>AMT_26[[#This Row],[Opening]]+AMT_26[[#This Row],[Purchase]]-AMT_26[[#This Row],[Payment]]</f>
        <v>100532</v>
      </c>
      <c r="J6" s="9">
        <f>J5+AMT_26[[#This Row],[Purchase]]-AMT_26[[#This Row],[Payment]]</f>
        <v>1189657</v>
      </c>
    </row>
    <row r="7" spans="1:11" x14ac:dyDescent="0.55000000000000004">
      <c r="A7" s="14">
        <v>44285</v>
      </c>
      <c r="B7" s="12">
        <v>399</v>
      </c>
      <c r="C7" s="12" t="s">
        <v>7</v>
      </c>
      <c r="D7" s="1" t="s">
        <v>18</v>
      </c>
      <c r="E7" s="8" t="s">
        <v>141</v>
      </c>
      <c r="H7" s="10">
        <v>500000</v>
      </c>
      <c r="I7" s="10">
        <f>AMT_26[[#This Row],[Opening]]+AMT_26[[#This Row],[Purchase]]-AMT_26[[#This Row],[Payment]]</f>
        <v>-500000</v>
      </c>
      <c r="J7" s="9">
        <f>J6+AMT_26[[#This Row],[Purchase]]-AMT_26[[#This Row],[Payment]]</f>
        <v>689657</v>
      </c>
    </row>
    <row r="8" spans="1:11" x14ac:dyDescent="0.55000000000000004">
      <c r="C8" s="12"/>
    </row>
    <row r="9" spans="1:11" x14ac:dyDescent="0.55000000000000004">
      <c r="C9" s="12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ignoredErrors>
    <ignoredError sqref="J3:J6" calculatedColumn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'C:\Users\DELL\Documents\[Creditor Purhase &amp; Payment(Apirl-2021).xlsm]Supplier (COA)'!#REF!</xm:f>
          </x14:formula1>
          <xm:sqref>C2:C7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2" style="10" bestFit="1" customWidth="1"/>
    <col min="10" max="10" width="18.710937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144</v>
      </c>
      <c r="K1" s="9"/>
    </row>
    <row r="2" spans="1:11" x14ac:dyDescent="0.55000000000000004">
      <c r="A2" s="19">
        <v>44287</v>
      </c>
      <c r="B2" s="16"/>
      <c r="C2" s="17" t="s">
        <v>5</v>
      </c>
      <c r="D2" s="1" t="s">
        <v>78</v>
      </c>
      <c r="E2" s="15" t="s">
        <v>5</v>
      </c>
      <c r="F2" s="20">
        <v>829260</v>
      </c>
      <c r="G2" s="20"/>
      <c r="H2" s="18"/>
      <c r="I2" s="18">
        <f>DTL[[#This Row],[Opening]]+DTL[[#This Row],[Purchase]]-DTL[[#This Row],[Payment]]</f>
        <v>829260</v>
      </c>
      <c r="J2" s="46">
        <f>DTL[Balance]</f>
        <v>829260</v>
      </c>
    </row>
    <row r="3" spans="1:11" x14ac:dyDescent="0.55000000000000004">
      <c r="A3" s="19"/>
      <c r="B3" s="16"/>
      <c r="C3" s="17"/>
      <c r="E3" s="15"/>
      <c r="F3" s="20"/>
      <c r="G3" s="20"/>
      <c r="H3" s="18"/>
      <c r="I3" s="18"/>
    </row>
    <row r="4" spans="1:11" x14ac:dyDescent="0.55000000000000004">
      <c r="A4" s="19"/>
      <c r="B4" s="16"/>
      <c r="C4" s="17"/>
      <c r="E4" s="15"/>
      <c r="F4" s="20"/>
      <c r="G4" s="20"/>
      <c r="H4" s="18"/>
      <c r="I4" s="18"/>
    </row>
    <row r="5" spans="1:11" x14ac:dyDescent="0.55000000000000004">
      <c r="A5" s="19"/>
      <c r="B5" s="16"/>
      <c r="C5" s="17"/>
      <c r="E5" s="15"/>
      <c r="F5" s="20"/>
      <c r="G5" s="20"/>
      <c r="H5" s="18"/>
      <c r="I5" s="18"/>
    </row>
    <row r="6" spans="1:11" x14ac:dyDescent="0.55000000000000004">
      <c r="A6" s="19"/>
      <c r="B6" s="16"/>
      <c r="C6" s="17"/>
      <c r="E6" s="15"/>
      <c r="F6" s="20"/>
      <c r="G6" s="20"/>
      <c r="H6" s="18"/>
      <c r="I6" s="18"/>
    </row>
    <row r="7" spans="1:11" x14ac:dyDescent="0.55000000000000004">
      <c r="A7" s="19"/>
      <c r="B7" s="16"/>
      <c r="C7" s="17"/>
      <c r="E7" s="15"/>
      <c r="F7" s="20"/>
      <c r="G7" s="20"/>
      <c r="H7" s="18"/>
      <c r="I7" s="18"/>
    </row>
    <row r="8" spans="1:11" x14ac:dyDescent="0.55000000000000004">
      <c r="A8" s="19"/>
      <c r="B8" s="16"/>
      <c r="C8" s="17"/>
      <c r="E8" s="15"/>
      <c r="F8" s="20"/>
      <c r="G8" s="20"/>
      <c r="H8" s="18"/>
      <c r="I8" s="18"/>
    </row>
    <row r="9" spans="1:11" x14ac:dyDescent="0.55000000000000004">
      <c r="A9" s="19"/>
      <c r="B9" s="16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3.710937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6"/>
      <c r="C2" s="17" t="s">
        <v>5</v>
      </c>
      <c r="D2" s="1" t="s">
        <v>79</v>
      </c>
      <c r="E2" s="8" t="s">
        <v>5</v>
      </c>
      <c r="F2" s="20">
        <v>32492000</v>
      </c>
      <c r="G2" s="20"/>
      <c r="H2" s="18"/>
      <c r="I2" s="18">
        <f>GBS_TRI[[#This Row],[Opening]]+GBS_TRI[[#This Row],[Purchase]]-GBS_TRI[[#This Row],[Payment]]</f>
        <v>32492000</v>
      </c>
      <c r="J2" s="46">
        <f>GBS_TRI[Balance]</f>
        <v>32492000</v>
      </c>
    </row>
    <row r="3" spans="1:11" x14ac:dyDescent="0.55000000000000004">
      <c r="A3" s="19"/>
      <c r="B3" s="16"/>
      <c r="C3" s="17"/>
      <c r="E3" s="15"/>
      <c r="F3" s="20"/>
      <c r="G3" s="20"/>
      <c r="H3" s="18"/>
      <c r="I3" s="18"/>
    </row>
    <row r="4" spans="1:11" x14ac:dyDescent="0.55000000000000004">
      <c r="A4" s="19"/>
      <c r="B4" s="16"/>
      <c r="C4" s="17"/>
      <c r="E4" s="15"/>
      <c r="F4" s="20"/>
      <c r="G4" s="20"/>
      <c r="H4" s="18"/>
      <c r="I4" s="18"/>
    </row>
    <row r="5" spans="1:11" x14ac:dyDescent="0.55000000000000004">
      <c r="A5" s="19"/>
      <c r="B5" s="16"/>
      <c r="C5" s="17"/>
      <c r="E5" s="15"/>
      <c r="F5" s="20"/>
      <c r="G5" s="20"/>
      <c r="H5" s="18"/>
      <c r="I5" s="18"/>
    </row>
    <row r="6" spans="1:11" x14ac:dyDescent="0.55000000000000004">
      <c r="A6" s="19"/>
      <c r="B6" s="16"/>
      <c r="C6" s="17"/>
      <c r="E6" s="15"/>
      <c r="F6" s="20"/>
      <c r="G6" s="20"/>
      <c r="H6" s="18"/>
      <c r="I6" s="18"/>
    </row>
    <row r="7" spans="1:11" x14ac:dyDescent="0.55000000000000004">
      <c r="A7" s="19"/>
      <c r="B7" s="16"/>
      <c r="C7" s="17"/>
      <c r="E7" s="15"/>
      <c r="F7" s="20"/>
      <c r="G7" s="20"/>
      <c r="H7" s="18"/>
      <c r="I7" s="18"/>
    </row>
    <row r="8" spans="1:11" x14ac:dyDescent="0.55000000000000004">
      <c r="A8" s="19"/>
      <c r="B8" s="16"/>
      <c r="C8" s="17"/>
      <c r="E8" s="15"/>
      <c r="F8" s="20"/>
      <c r="G8" s="20"/>
      <c r="H8" s="18"/>
      <c r="I8" s="18"/>
    </row>
    <row r="9" spans="1:11" x14ac:dyDescent="0.55000000000000004">
      <c r="A9" s="19"/>
      <c r="B9" s="16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3.57031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6"/>
      <c r="C2" s="17" t="s">
        <v>5</v>
      </c>
      <c r="D2" s="1" t="s">
        <v>80</v>
      </c>
      <c r="E2" s="8" t="s">
        <v>5</v>
      </c>
      <c r="F2" s="20">
        <v>10325000</v>
      </c>
      <c r="G2" s="20"/>
      <c r="H2" s="18"/>
      <c r="I2" s="18">
        <f>GBS_ENG[[#This Row],[Opening]]+GBS_ENG[[#This Row],[Purchase]]-GBS_ENG[[#This Row],[Payment]]</f>
        <v>10325000</v>
      </c>
      <c r="J2" s="46">
        <f>GBS_ENG[Balance]</f>
        <v>10325000</v>
      </c>
    </row>
    <row r="3" spans="1:11" x14ac:dyDescent="0.55000000000000004">
      <c r="A3" s="19"/>
      <c r="B3" s="16"/>
      <c r="C3" s="17"/>
      <c r="E3" s="15"/>
      <c r="F3" s="20"/>
      <c r="G3" s="20"/>
      <c r="H3" s="18"/>
      <c r="I3" s="18"/>
    </row>
    <row r="4" spans="1:11" x14ac:dyDescent="0.55000000000000004">
      <c r="A4" s="19"/>
      <c r="B4" s="16"/>
      <c r="C4" s="17"/>
      <c r="E4" s="15"/>
      <c r="F4" s="20"/>
      <c r="G4" s="20"/>
      <c r="H4" s="18"/>
      <c r="I4" s="18"/>
    </row>
    <row r="5" spans="1:11" x14ac:dyDescent="0.55000000000000004">
      <c r="A5" s="19"/>
      <c r="B5" s="16"/>
      <c r="C5" s="17"/>
      <c r="E5" s="15"/>
      <c r="F5" s="20"/>
      <c r="G5" s="20"/>
      <c r="H5" s="18"/>
      <c r="I5" s="18"/>
    </row>
    <row r="6" spans="1:11" x14ac:dyDescent="0.55000000000000004">
      <c r="A6" s="19"/>
      <c r="B6" s="16"/>
      <c r="C6" s="17"/>
      <c r="E6" s="15"/>
      <c r="F6" s="20"/>
      <c r="G6" s="20"/>
      <c r="H6" s="18"/>
      <c r="I6" s="18"/>
    </row>
    <row r="7" spans="1:11" x14ac:dyDescent="0.55000000000000004">
      <c r="A7" s="19"/>
      <c r="B7" s="16"/>
      <c r="C7" s="17"/>
      <c r="E7" s="15"/>
      <c r="F7" s="20"/>
      <c r="G7" s="20"/>
      <c r="H7" s="18"/>
      <c r="I7" s="18"/>
    </row>
    <row r="8" spans="1:11" x14ac:dyDescent="0.55000000000000004">
      <c r="A8" s="19"/>
      <c r="B8" s="16"/>
      <c r="C8" s="17"/>
      <c r="E8" s="15"/>
      <c r="F8" s="20"/>
      <c r="G8" s="20"/>
      <c r="H8" s="18"/>
      <c r="I8" s="18"/>
    </row>
    <row r="9" spans="1:11" x14ac:dyDescent="0.55000000000000004">
      <c r="A9" s="19"/>
      <c r="B9" s="16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J11" sqref="J11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6.2851562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2.8554687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29</v>
      </c>
      <c r="E2" s="8" t="s">
        <v>5</v>
      </c>
      <c r="F2" s="20">
        <v>3712325</v>
      </c>
      <c r="G2" s="20"/>
      <c r="H2" s="18"/>
      <c r="I2" s="18">
        <f>GBS_SP[[#This Row],[Opening]]+GBS_SP[[#This Row],[Purchase]]-GBS_SP[[#This Row],[Payment]]</f>
        <v>3712325</v>
      </c>
      <c r="J2" s="46">
        <f>GBS_SP[[#This Row],[Balance]]</f>
        <v>3712325</v>
      </c>
    </row>
    <row r="3" spans="1:11" x14ac:dyDescent="0.55000000000000004">
      <c r="A3" s="19">
        <v>44258</v>
      </c>
      <c r="B3" s="17">
        <v>3716</v>
      </c>
      <c r="C3" s="17" t="s">
        <v>6</v>
      </c>
      <c r="D3" s="1" t="s">
        <v>29</v>
      </c>
      <c r="E3" s="8" t="s">
        <v>106</v>
      </c>
      <c r="F3" s="20"/>
      <c r="G3" s="20">
        <v>78750</v>
      </c>
      <c r="H3" s="18"/>
      <c r="I3" s="18">
        <f>GBS_SP[[#This Row],[Opening]]+GBS_SP[[#This Row],[Purchase]]-GBS_SP[[#This Row],[Payment]]</f>
        <v>78750</v>
      </c>
      <c r="J3" s="46">
        <f>J2+GBS_SP[[#This Row],[Purchase]]-GBS_SP[[#This Row],[Payment]]</f>
        <v>3791075</v>
      </c>
    </row>
    <row r="4" spans="1:11" x14ac:dyDescent="0.55000000000000004">
      <c r="A4" s="19">
        <v>44258</v>
      </c>
      <c r="B4" s="17">
        <v>3715</v>
      </c>
      <c r="C4" s="17" t="s">
        <v>6</v>
      </c>
      <c r="D4" s="1" t="s">
        <v>29</v>
      </c>
      <c r="E4" s="8" t="s">
        <v>107</v>
      </c>
      <c r="F4" s="20"/>
      <c r="G4" s="20">
        <v>72000</v>
      </c>
      <c r="H4" s="18"/>
      <c r="I4" s="18">
        <f>GBS_SP[[#This Row],[Opening]]+GBS_SP[[#This Row],[Purchase]]-GBS_SP[[#This Row],[Payment]]</f>
        <v>72000</v>
      </c>
      <c r="J4" s="46">
        <f>J3+GBS_SP[[#This Row],[Purchase]]-GBS_SP[[#This Row],[Payment]]</f>
        <v>3863075</v>
      </c>
    </row>
    <row r="5" spans="1:11" x14ac:dyDescent="0.55000000000000004">
      <c r="A5" s="19">
        <v>44259</v>
      </c>
      <c r="B5" s="17"/>
      <c r="C5" s="17" t="s">
        <v>7</v>
      </c>
      <c r="D5" s="1" t="s">
        <v>29</v>
      </c>
      <c r="E5" s="8" t="s">
        <v>72</v>
      </c>
      <c r="F5" s="20"/>
      <c r="G5" s="20"/>
      <c r="H5" s="18">
        <v>1000000</v>
      </c>
      <c r="I5" s="18">
        <f>GBS_SP[[#This Row],[Opening]]+GBS_SP[[#This Row],[Purchase]]-GBS_SP[[#This Row],[Payment]]</f>
        <v>-1000000</v>
      </c>
      <c r="J5" s="46">
        <f>J4+GBS_SP[[#This Row],[Purchase]]-GBS_SP[[#This Row],[Payment]]</f>
        <v>2863075</v>
      </c>
    </row>
    <row r="6" spans="1:11" x14ac:dyDescent="0.55000000000000004">
      <c r="A6" s="19">
        <v>44260</v>
      </c>
      <c r="B6" s="17">
        <v>13153</v>
      </c>
      <c r="C6" s="17" t="s">
        <v>6</v>
      </c>
      <c r="D6" s="1" t="s">
        <v>29</v>
      </c>
      <c r="E6" s="8" t="s">
        <v>110</v>
      </c>
      <c r="F6" s="20"/>
      <c r="G6" s="20">
        <v>160000</v>
      </c>
      <c r="H6" s="18"/>
      <c r="I6" s="18">
        <f>GBS_SP[[#This Row],[Opening]]+GBS_SP[[#This Row],[Purchase]]-GBS_SP[[#This Row],[Payment]]</f>
        <v>160000</v>
      </c>
      <c r="J6" s="46">
        <f>J5+GBS_SP[[#This Row],[Purchase]]-GBS_SP[[#This Row],[Payment]]</f>
        <v>3023075</v>
      </c>
    </row>
    <row r="7" spans="1:11" x14ac:dyDescent="0.55000000000000004">
      <c r="A7" s="19">
        <v>44273</v>
      </c>
      <c r="B7" s="17"/>
      <c r="C7" s="17" t="s">
        <v>7</v>
      </c>
      <c r="D7" s="1" t="s">
        <v>29</v>
      </c>
      <c r="E7" s="8" t="s">
        <v>72</v>
      </c>
      <c r="F7" s="20"/>
      <c r="G7" s="20"/>
      <c r="H7" s="18">
        <v>1600000</v>
      </c>
      <c r="I7" s="18">
        <f>GBS_SP[[#This Row],[Opening]]+GBS_SP[[#This Row],[Purchase]]-GBS_SP[[#This Row],[Payment]]</f>
        <v>-1600000</v>
      </c>
      <c r="J7" s="46">
        <f>J6+GBS_SP[[#This Row],[Purchase]]-GBS_SP[[#This Row],[Payment]]</f>
        <v>1423075</v>
      </c>
    </row>
    <row r="8" spans="1:11" x14ac:dyDescent="0.55000000000000004">
      <c r="A8" s="19">
        <v>44285</v>
      </c>
      <c r="B8" s="17">
        <v>13616</v>
      </c>
      <c r="C8" s="17" t="s">
        <v>6</v>
      </c>
      <c r="D8" s="1" t="s">
        <v>29</v>
      </c>
      <c r="E8" s="8" t="s">
        <v>137</v>
      </c>
      <c r="F8" s="20"/>
      <c r="G8" s="20">
        <v>587500</v>
      </c>
      <c r="H8" s="18"/>
      <c r="I8" s="18">
        <f>GBS_SP[[#This Row],[Opening]]+GBS_SP[[#This Row],[Purchase]]-GBS_SP[[#This Row],[Payment]]</f>
        <v>587500</v>
      </c>
      <c r="J8" s="46">
        <f>J7+GBS_SP[[#This Row],[Purchase]]-GBS_SP[[#This Row],[Payment]]</f>
        <v>2010575</v>
      </c>
    </row>
    <row r="9" spans="1:11" x14ac:dyDescent="0.55000000000000004">
      <c r="A9" s="19">
        <v>44285</v>
      </c>
      <c r="B9" s="17">
        <v>13626</v>
      </c>
      <c r="C9" s="17" t="s">
        <v>6</v>
      </c>
      <c r="D9" s="1" t="s">
        <v>29</v>
      </c>
      <c r="E9" s="8" t="s">
        <v>138</v>
      </c>
      <c r="F9" s="20"/>
      <c r="G9" s="20">
        <v>51600</v>
      </c>
      <c r="H9" s="18"/>
      <c r="I9" s="18">
        <f>GBS_SP[[#This Row],[Opening]]+GBS_SP[[#This Row],[Purchase]]-GBS_SP[[#This Row],[Payment]]</f>
        <v>51600</v>
      </c>
      <c r="J9" s="46">
        <f>J8+GBS_SP[[#This Row],[Purchase]]-GBS_SP[[#This Row],[Payment]]</f>
        <v>2062175</v>
      </c>
    </row>
    <row r="10" spans="1:11" x14ac:dyDescent="0.55000000000000004">
      <c r="A10" s="19">
        <v>44278</v>
      </c>
      <c r="B10" s="17">
        <v>13502</v>
      </c>
      <c r="C10" s="17" t="s">
        <v>6</v>
      </c>
      <c r="D10" s="1" t="s">
        <v>29</v>
      </c>
      <c r="E10" s="8" t="s">
        <v>139</v>
      </c>
      <c r="F10" s="20"/>
      <c r="G10" s="20">
        <v>188160</v>
      </c>
      <c r="H10" s="18"/>
      <c r="I10" s="18">
        <f>GBS_SP[[#This Row],[Opening]]+GBS_SP[[#This Row],[Purchase]]-GBS_SP[[#This Row],[Payment]]</f>
        <v>188160</v>
      </c>
      <c r="J10" s="46">
        <f>J9+GBS_SP[[#This Row],[Purchase]]-GBS_SP[[#This Row],[Payment]]</f>
        <v>2250335</v>
      </c>
    </row>
    <row r="11" spans="1:11" x14ac:dyDescent="0.55000000000000004">
      <c r="A11" s="19"/>
      <c r="B11" s="17"/>
      <c r="C11" s="17"/>
      <c r="E11" s="15"/>
      <c r="F11" s="20"/>
      <c r="G11" s="20"/>
      <c r="H11" s="18"/>
      <c r="I11" s="18"/>
      <c r="J11" s="46"/>
    </row>
    <row r="12" spans="1:11" x14ac:dyDescent="0.55000000000000004">
      <c r="C12" s="12"/>
    </row>
    <row r="13" spans="1:11" x14ac:dyDescent="0.55000000000000004">
      <c r="C13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7"/>
  <sheetViews>
    <sheetView workbookViewId="0">
      <selection activeCell="J13" sqref="J13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7.8554687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0.425781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81</v>
      </c>
      <c r="E2" s="8" t="s">
        <v>5</v>
      </c>
      <c r="F2" s="20">
        <v>3450000</v>
      </c>
      <c r="G2" s="20"/>
      <c r="H2" s="18"/>
      <c r="I2" s="18">
        <f>KWH[[#This Row],[Opening]]+KWH[[#This Row],[Purchase]]-KWH[[#This Row],[Payment]]</f>
        <v>3450000</v>
      </c>
      <c r="J2" s="46">
        <f>KWH[[#This Row],[Balance]]</f>
        <v>3450000</v>
      </c>
    </row>
    <row r="3" spans="1:11" x14ac:dyDescent="0.55000000000000004">
      <c r="A3" s="19">
        <v>44257</v>
      </c>
      <c r="B3" s="17">
        <v>7277</v>
      </c>
      <c r="C3" s="17" t="s">
        <v>6</v>
      </c>
      <c r="D3" s="1" t="s">
        <v>81</v>
      </c>
      <c r="E3" s="8" t="s">
        <v>71</v>
      </c>
      <c r="F3" s="20"/>
      <c r="G3" s="20">
        <v>293400</v>
      </c>
      <c r="H3" s="18"/>
      <c r="I3" s="18">
        <f>KWH[[#This Row],[Opening]]+KWH[[#This Row],[Purchase]]-KWH[[#This Row],[Payment]]</f>
        <v>293400</v>
      </c>
      <c r="J3" s="46">
        <f>J2+KWH[[#This Row],[Purchase]]-KWH[[#This Row],[Payment]]</f>
        <v>3743400</v>
      </c>
    </row>
    <row r="4" spans="1:11" x14ac:dyDescent="0.55000000000000004">
      <c r="A4" s="19">
        <v>44258</v>
      </c>
      <c r="B4" s="17">
        <v>2728</v>
      </c>
      <c r="C4" s="17" t="s">
        <v>6</v>
      </c>
      <c r="D4" s="1" t="s">
        <v>81</v>
      </c>
      <c r="E4" s="8" t="s">
        <v>73</v>
      </c>
      <c r="F4" s="20"/>
      <c r="G4" s="20">
        <v>22500</v>
      </c>
      <c r="H4" s="18"/>
      <c r="I4" s="18">
        <f>KWH[[#This Row],[Opening]]+KWH[[#This Row],[Purchase]]-KWH[[#This Row],[Payment]]</f>
        <v>22500</v>
      </c>
      <c r="J4" s="46">
        <f>J3+KWH[[#This Row],[Purchase]]-KWH[[#This Row],[Payment]]</f>
        <v>3765900</v>
      </c>
    </row>
    <row r="5" spans="1:11" x14ac:dyDescent="0.55000000000000004">
      <c r="A5" s="19">
        <v>44261</v>
      </c>
      <c r="B5" s="17">
        <v>7279</v>
      </c>
      <c r="C5" s="17" t="s">
        <v>6</v>
      </c>
      <c r="D5" s="1" t="s">
        <v>81</v>
      </c>
      <c r="E5" s="8" t="s">
        <v>103</v>
      </c>
      <c r="F5" s="20"/>
      <c r="G5" s="20">
        <v>236000</v>
      </c>
      <c r="H5" s="18"/>
      <c r="I5" s="18">
        <f>KWH[[#This Row],[Opening]]+KWH[[#This Row],[Purchase]]-KWH[[#This Row],[Payment]]</f>
        <v>236000</v>
      </c>
      <c r="J5" s="46">
        <f>J4+KWH[[#This Row],[Purchase]]-KWH[[#This Row],[Payment]]</f>
        <v>4001900</v>
      </c>
    </row>
    <row r="6" spans="1:11" x14ac:dyDescent="0.55000000000000004">
      <c r="A6" s="19">
        <v>44267</v>
      </c>
      <c r="B6" s="17">
        <v>364</v>
      </c>
      <c r="C6" s="17" t="s">
        <v>7</v>
      </c>
      <c r="D6" s="1" t="s">
        <v>81</v>
      </c>
      <c r="E6" s="8" t="s">
        <v>112</v>
      </c>
      <c r="F6" s="20"/>
      <c r="G6" s="20"/>
      <c r="H6" s="18">
        <v>1500000</v>
      </c>
      <c r="I6" s="18">
        <f>KWH[[#This Row],[Opening]]+KWH[[#This Row],[Purchase]]-KWH[[#This Row],[Payment]]</f>
        <v>-1500000</v>
      </c>
      <c r="J6" s="46">
        <f>J5+KWH[[#This Row],[Purchase]]-KWH[[#This Row],[Payment]]</f>
        <v>2501900</v>
      </c>
    </row>
    <row r="7" spans="1:11" x14ac:dyDescent="0.55000000000000004">
      <c r="A7" s="19">
        <v>44267</v>
      </c>
      <c r="B7" s="17">
        <v>7281</v>
      </c>
      <c r="C7" s="17" t="s">
        <v>6</v>
      </c>
      <c r="D7" s="1" t="s">
        <v>81</v>
      </c>
      <c r="E7" s="8" t="s">
        <v>119</v>
      </c>
      <c r="F7" s="20"/>
      <c r="G7" s="20">
        <v>77000</v>
      </c>
      <c r="H7" s="18"/>
      <c r="I7" s="18">
        <f>KWH[[#This Row],[Opening]]+KWH[[#This Row],[Purchase]]-KWH[[#This Row],[Payment]]</f>
        <v>77000</v>
      </c>
      <c r="J7" s="46">
        <f>J6+KWH[[#This Row],[Purchase]]-KWH[[#This Row],[Payment]]</f>
        <v>2578900</v>
      </c>
    </row>
    <row r="8" spans="1:11" x14ac:dyDescent="0.55000000000000004">
      <c r="A8" s="19">
        <v>44268</v>
      </c>
      <c r="B8" s="17">
        <v>7282</v>
      </c>
      <c r="C8" s="17" t="s">
        <v>6</v>
      </c>
      <c r="D8" s="1" t="s">
        <v>81</v>
      </c>
      <c r="E8" s="8" t="s">
        <v>122</v>
      </c>
      <c r="F8" s="20"/>
      <c r="G8" s="20">
        <v>65000</v>
      </c>
      <c r="H8" s="18"/>
      <c r="I8" s="18">
        <f>KWH[[#This Row],[Opening]]+KWH[[#This Row],[Purchase]]-KWH[[#This Row],[Payment]]</f>
        <v>65000</v>
      </c>
      <c r="J8" s="46">
        <f>J7+KWH[[#This Row],[Purchase]]-KWH[[#This Row],[Payment]]</f>
        <v>2643900</v>
      </c>
    </row>
    <row r="9" spans="1:11" x14ac:dyDescent="0.55000000000000004">
      <c r="A9" s="14">
        <v>44275</v>
      </c>
      <c r="B9" s="12">
        <v>7283</v>
      </c>
      <c r="C9" s="12" t="s">
        <v>6</v>
      </c>
      <c r="D9" s="1" t="s">
        <v>81</v>
      </c>
      <c r="E9" s="8" t="s">
        <v>124</v>
      </c>
      <c r="G9" s="9">
        <v>160500</v>
      </c>
      <c r="I9" s="10">
        <f>KWH[[#This Row],[Opening]]+KWH[[#This Row],[Purchase]]-KWH[[#This Row],[Payment]]</f>
        <v>160500</v>
      </c>
      <c r="J9" s="46">
        <f>J8+KWH[[#This Row],[Purchase]]-KWH[[#This Row],[Payment]]</f>
        <v>2804400</v>
      </c>
    </row>
    <row r="10" spans="1:11" x14ac:dyDescent="0.55000000000000004">
      <c r="A10" s="14">
        <v>44279</v>
      </c>
      <c r="B10" s="12">
        <v>7285</v>
      </c>
      <c r="C10" s="12" t="s">
        <v>6</v>
      </c>
      <c r="D10" s="1" t="s">
        <v>81</v>
      </c>
      <c r="E10" s="8" t="s">
        <v>128</v>
      </c>
      <c r="G10" s="9">
        <v>94700</v>
      </c>
      <c r="I10" s="10">
        <f>KWH[[#This Row],[Opening]]+KWH[[#This Row],[Purchase]]-KWH[[#This Row],[Payment]]</f>
        <v>94700</v>
      </c>
      <c r="J10" s="46">
        <f>J9+KWH[[#This Row],[Purchase]]-KWH[[#This Row],[Payment]]</f>
        <v>2899100</v>
      </c>
    </row>
    <row r="11" spans="1:11" x14ac:dyDescent="0.55000000000000004">
      <c r="A11" s="31">
        <v>44284</v>
      </c>
      <c r="B11" s="32">
        <v>7287</v>
      </c>
      <c r="C11" s="32" t="s">
        <v>6</v>
      </c>
      <c r="D11" s="1" t="s">
        <v>81</v>
      </c>
      <c r="E11" s="8" t="s">
        <v>134</v>
      </c>
      <c r="F11" s="34"/>
      <c r="G11" s="34">
        <v>351600</v>
      </c>
      <c r="H11" s="35"/>
      <c r="I11" s="35">
        <f>KWH[[#This Row],[Opening]]+KWH[[#This Row],[Purchase]]-KWH[[#This Row],[Payment]]</f>
        <v>351600</v>
      </c>
      <c r="J11" s="46">
        <f>J10+KWH[[#This Row],[Purchase]]-KWH[[#This Row],[Payment]]</f>
        <v>3250700</v>
      </c>
    </row>
    <row r="12" spans="1:11" x14ac:dyDescent="0.55000000000000004">
      <c r="A12" s="31">
        <v>44285</v>
      </c>
      <c r="B12" s="32">
        <v>380</v>
      </c>
      <c r="C12" s="32" t="s">
        <v>7</v>
      </c>
      <c r="D12" s="1" t="s">
        <v>81</v>
      </c>
      <c r="E12" s="8" t="s">
        <v>112</v>
      </c>
      <c r="F12" s="34"/>
      <c r="G12" s="34"/>
      <c r="H12" s="35">
        <v>1000000</v>
      </c>
      <c r="I12" s="35">
        <f>KWH[[#This Row],[Opening]]+KWH[[#This Row],[Purchase]]-KWH[[#This Row],[Payment]]</f>
        <v>-1000000</v>
      </c>
      <c r="J12" s="46">
        <f>J11+KWH[[#This Row],[Purchase]]-KWH[[#This Row],[Payment]]</f>
        <v>2250700</v>
      </c>
    </row>
    <row r="13" spans="1:11" x14ac:dyDescent="0.55000000000000004">
      <c r="A13" s="31"/>
      <c r="B13" s="32"/>
      <c r="C13" s="32"/>
      <c r="D13" s="33"/>
      <c r="E13" s="30"/>
      <c r="F13" s="34"/>
      <c r="G13" s="34"/>
      <c r="H13" s="35"/>
      <c r="I13" s="35"/>
    </row>
    <row r="14" spans="1:11" x14ac:dyDescent="0.55000000000000004">
      <c r="A14" s="31"/>
      <c r="B14" s="32"/>
      <c r="C14" s="32"/>
      <c r="D14" s="33"/>
      <c r="E14" s="30"/>
      <c r="F14" s="34"/>
      <c r="G14" s="34"/>
      <c r="H14" s="35"/>
      <c r="I14" s="35"/>
    </row>
    <row r="15" spans="1:11" x14ac:dyDescent="0.55000000000000004">
      <c r="A15" s="31"/>
      <c r="B15" s="32"/>
      <c r="C15" s="32"/>
      <c r="D15" s="33"/>
      <c r="E15" s="30"/>
      <c r="F15" s="34"/>
      <c r="G15" s="34"/>
      <c r="H15" s="35"/>
      <c r="I15" s="35"/>
    </row>
    <row r="16" spans="1:11" x14ac:dyDescent="0.55000000000000004">
      <c r="A16" s="31"/>
      <c r="B16" s="32"/>
      <c r="C16" s="32"/>
      <c r="D16" s="33"/>
      <c r="E16" s="30"/>
      <c r="F16" s="34"/>
      <c r="G16" s="34"/>
      <c r="H16" s="35"/>
      <c r="I16" s="35"/>
    </row>
    <row r="17" spans="1:9" x14ac:dyDescent="0.55000000000000004">
      <c r="A17" s="31"/>
      <c r="B17" s="32"/>
      <c r="C17" s="32"/>
      <c r="D17" s="33"/>
      <c r="E17" s="30"/>
      <c r="F17" s="34"/>
      <c r="G17" s="34"/>
      <c r="H17" s="35"/>
      <c r="I17" s="35"/>
    </row>
  </sheetData>
  <pageMargins left="0.7" right="0.7" top="0.75" bottom="0.75" header="0.3" footer="0.3"/>
  <ignoredErrors>
    <ignoredError sqref="J3:J11" calculatedColumn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2"/>
  <sheetViews>
    <sheetView workbookViewId="0">
      <selection activeCell="J7" sqref="J7"/>
    </sheetView>
  </sheetViews>
  <sheetFormatPr defaultColWidth="8.7109375" defaultRowHeight="21.75" x14ac:dyDescent="0.55000000000000004"/>
  <cols>
    <col min="1" max="1" width="15.42578125" style="14" bestFit="1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6.2851562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16.8554687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58</v>
      </c>
      <c r="E2" s="8" t="s">
        <v>5</v>
      </c>
      <c r="F2" s="20">
        <v>2198426</v>
      </c>
      <c r="G2" s="20"/>
      <c r="H2" s="18"/>
      <c r="I2" s="18">
        <f>KYINNLOON[[#This Row],[Opening]]+KYINNLOON[[#This Row],[Purchase]]-KYINNLOON[[#This Row],[Payment]]</f>
        <v>2198426</v>
      </c>
      <c r="J2" s="46">
        <f>KYINNLOON[[#This Row],[Balance]]</f>
        <v>2198426</v>
      </c>
    </row>
    <row r="3" spans="1:11" x14ac:dyDescent="0.55000000000000004">
      <c r="A3" s="19">
        <v>44257</v>
      </c>
      <c r="B3" s="17"/>
      <c r="C3" s="17" t="s">
        <v>6</v>
      </c>
      <c r="D3" s="1" t="s">
        <v>58</v>
      </c>
      <c r="E3" s="8" t="s">
        <v>88</v>
      </c>
      <c r="F3" s="20"/>
      <c r="G3" s="20">
        <v>353496</v>
      </c>
      <c r="H3" s="18"/>
      <c r="I3" s="18">
        <f>KYINNLOON[[#This Row],[Opening]]+KYINNLOON[[#This Row],[Purchase]]-KYINNLOON[[#This Row],[Payment]]</f>
        <v>353496</v>
      </c>
      <c r="J3" s="46">
        <f>J2+KYINNLOON[[#This Row],[Purchase]]-KYINNLOON[[#This Row],[Payment]]</f>
        <v>2551922</v>
      </c>
    </row>
    <row r="4" spans="1:11" x14ac:dyDescent="0.55000000000000004">
      <c r="A4" s="19">
        <v>44259</v>
      </c>
      <c r="B4" s="17"/>
      <c r="C4" s="17" t="s">
        <v>7</v>
      </c>
      <c r="D4" s="1" t="s">
        <v>58</v>
      </c>
      <c r="E4" s="8" t="s">
        <v>72</v>
      </c>
      <c r="F4" s="20"/>
      <c r="G4" s="20"/>
      <c r="H4" s="18">
        <v>1000000</v>
      </c>
      <c r="I4" s="18">
        <f>KYINNLOON[[#This Row],[Opening]]+KYINNLOON[[#This Row],[Purchase]]-KYINNLOON[[#This Row],[Payment]]</f>
        <v>-1000000</v>
      </c>
      <c r="J4" s="46">
        <f>J3+KYINNLOON[[#This Row],[Purchase]]-KYINNLOON[[#This Row],[Payment]]</f>
        <v>1551922</v>
      </c>
    </row>
    <row r="5" spans="1:11" x14ac:dyDescent="0.55000000000000004">
      <c r="A5" s="19">
        <v>44265</v>
      </c>
      <c r="B5" s="17">
        <v>40</v>
      </c>
      <c r="C5" s="17" t="s">
        <v>6</v>
      </c>
      <c r="D5" s="1" t="s">
        <v>58</v>
      </c>
      <c r="E5" s="8" t="s">
        <v>117</v>
      </c>
      <c r="F5" s="20"/>
      <c r="G5" s="20">
        <v>356500</v>
      </c>
      <c r="H5" s="18"/>
      <c r="I5" s="18">
        <f>KYINNLOON[[#This Row],[Opening]]+KYINNLOON[[#This Row],[Purchase]]-KYINNLOON[[#This Row],[Payment]]</f>
        <v>356500</v>
      </c>
      <c r="J5" s="46">
        <f>J4+KYINNLOON[[#This Row],[Purchase]]-KYINNLOON[[#This Row],[Payment]]</f>
        <v>1908422</v>
      </c>
    </row>
    <row r="6" spans="1:11" x14ac:dyDescent="0.55000000000000004">
      <c r="A6" s="19">
        <v>44265</v>
      </c>
      <c r="B6" s="17">
        <v>46</v>
      </c>
      <c r="C6" s="17" t="s">
        <v>6</v>
      </c>
      <c r="D6" s="1" t="s">
        <v>58</v>
      </c>
      <c r="E6" s="8" t="s">
        <v>118</v>
      </c>
      <c r="F6" s="20"/>
      <c r="G6" s="20">
        <v>275700</v>
      </c>
      <c r="H6" s="18"/>
      <c r="I6" s="18">
        <f>KYINNLOON[[#This Row],[Opening]]+KYINNLOON[[#This Row],[Purchase]]-KYINNLOON[[#This Row],[Payment]]</f>
        <v>275700</v>
      </c>
      <c r="J6" s="46">
        <f>J5+KYINNLOON[[#This Row],[Purchase]]-KYINNLOON[[#This Row],[Payment]]</f>
        <v>2184122</v>
      </c>
    </row>
    <row r="7" spans="1:11" x14ac:dyDescent="0.55000000000000004">
      <c r="A7" s="19"/>
      <c r="B7" s="17"/>
      <c r="C7" s="17"/>
      <c r="E7" s="15"/>
      <c r="F7" s="20"/>
      <c r="G7" s="20"/>
      <c r="H7" s="18"/>
      <c r="I7" s="18"/>
    </row>
    <row r="8" spans="1:11" x14ac:dyDescent="0.55000000000000004">
      <c r="A8" s="19"/>
      <c r="B8" s="17"/>
      <c r="C8" s="17"/>
      <c r="E8" s="15"/>
      <c r="F8" s="20"/>
      <c r="G8" s="20"/>
      <c r="H8" s="18"/>
      <c r="I8" s="18"/>
    </row>
    <row r="9" spans="1:11" x14ac:dyDescent="0.55000000000000004">
      <c r="A9" s="19"/>
      <c r="B9" s="17"/>
      <c r="C9" s="17"/>
      <c r="E9" s="15"/>
      <c r="F9" s="20"/>
      <c r="G9" s="20"/>
      <c r="H9" s="18"/>
      <c r="I9" s="18"/>
    </row>
    <row r="10" spans="1:11" x14ac:dyDescent="0.55000000000000004">
      <c r="A10" s="19"/>
      <c r="B10" s="17"/>
      <c r="C10" s="17"/>
      <c r="E10" s="15"/>
      <c r="F10" s="20"/>
      <c r="G10" s="20"/>
      <c r="H10" s="18"/>
      <c r="I10" s="18"/>
    </row>
    <row r="11" spans="1:11" x14ac:dyDescent="0.55000000000000004">
      <c r="C11" s="12"/>
    </row>
    <row r="12" spans="1:11" x14ac:dyDescent="0.55000000000000004">
      <c r="C12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1"/>
  <sheetViews>
    <sheetView workbookViewId="0">
      <selection activeCell="J6" sqref="J6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21.710937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16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42</v>
      </c>
      <c r="E2" s="8" t="s">
        <v>5</v>
      </c>
      <c r="F2" s="20">
        <v>672600</v>
      </c>
      <c r="G2" s="20"/>
      <c r="H2" s="18"/>
      <c r="I2" s="18">
        <f>MOB[[#This Row],[Opening]]+MOB[[#This Row],[Purchase]]-MOB[[#This Row],[Payment]]</f>
        <v>672600</v>
      </c>
      <c r="J2" s="46">
        <f>MOB[[#This Row],[Balance]]</f>
        <v>672600</v>
      </c>
    </row>
    <row r="3" spans="1:11" x14ac:dyDescent="0.55000000000000004">
      <c r="A3" s="19">
        <v>44267</v>
      </c>
      <c r="B3" s="17">
        <v>6389</v>
      </c>
      <c r="C3" s="17" t="s">
        <v>7</v>
      </c>
      <c r="D3" s="1" t="s">
        <v>42</v>
      </c>
      <c r="E3" s="8" t="s">
        <v>112</v>
      </c>
      <c r="F3" s="20"/>
      <c r="G3" s="20"/>
      <c r="H3" s="18">
        <v>655000</v>
      </c>
      <c r="I3" s="18">
        <f>MOB[[#This Row],[Opening]]+MOB[[#This Row],[Purchase]]-MOB[[#This Row],[Payment]]</f>
        <v>-655000</v>
      </c>
      <c r="J3" s="46">
        <f>J2+MOB[[#This Row],[Purchase]]-MOB[[#This Row],[Payment]]</f>
        <v>17600</v>
      </c>
    </row>
    <row r="4" spans="1:11" x14ac:dyDescent="0.55000000000000004">
      <c r="A4" s="19">
        <v>44267</v>
      </c>
      <c r="B4" s="17"/>
      <c r="C4" s="17" t="s">
        <v>7</v>
      </c>
      <c r="D4" s="1" t="s">
        <v>42</v>
      </c>
      <c r="E4" s="8" t="s">
        <v>113</v>
      </c>
      <c r="F4" s="20"/>
      <c r="G4" s="20"/>
      <c r="H4" s="18">
        <v>17600</v>
      </c>
      <c r="I4" s="18">
        <f>MOB[[#This Row],[Opening]]+MOB[[#This Row],[Purchase]]-MOB[[#This Row],[Payment]]</f>
        <v>-17600</v>
      </c>
      <c r="J4" s="46">
        <f>J3+MOB[[#This Row],[Purchase]]-MOB[[#This Row],[Payment]]</f>
        <v>0</v>
      </c>
    </row>
    <row r="5" spans="1:11" x14ac:dyDescent="0.55000000000000004">
      <c r="A5" s="19">
        <v>44268</v>
      </c>
      <c r="B5" s="17">
        <v>4290</v>
      </c>
      <c r="C5" s="17" t="s">
        <v>6</v>
      </c>
      <c r="D5" s="1" t="s">
        <v>42</v>
      </c>
      <c r="E5" s="8" t="s">
        <v>123</v>
      </c>
      <c r="F5" s="20"/>
      <c r="G5" s="20">
        <v>35000</v>
      </c>
      <c r="H5" s="18"/>
      <c r="I5" s="18">
        <f>MOB[[#This Row],[Opening]]+MOB[[#This Row],[Purchase]]-MOB[[#This Row],[Payment]]</f>
        <v>35000</v>
      </c>
      <c r="J5" s="46">
        <f>J4+MOB[[#This Row],[Purchase]]-MOB[[#This Row],[Payment]]</f>
        <v>35000</v>
      </c>
    </row>
    <row r="6" spans="1:11" x14ac:dyDescent="0.55000000000000004">
      <c r="A6" s="19"/>
      <c r="B6" s="17"/>
      <c r="C6" s="17"/>
      <c r="E6" s="15"/>
      <c r="F6" s="20"/>
      <c r="G6" s="20"/>
      <c r="H6" s="18"/>
      <c r="I6" s="18"/>
    </row>
    <row r="7" spans="1:11" x14ac:dyDescent="0.55000000000000004">
      <c r="A7" s="19"/>
      <c r="B7" s="17"/>
      <c r="C7" s="17"/>
      <c r="E7" s="15"/>
      <c r="F7" s="20"/>
      <c r="G7" s="20"/>
      <c r="H7" s="18"/>
      <c r="I7" s="18"/>
    </row>
    <row r="8" spans="1:11" x14ac:dyDescent="0.55000000000000004">
      <c r="A8" s="19"/>
      <c r="B8" s="17"/>
      <c r="C8" s="17"/>
      <c r="E8" s="15"/>
      <c r="F8" s="20"/>
      <c r="G8" s="20"/>
      <c r="H8" s="18"/>
      <c r="I8" s="18"/>
    </row>
    <row r="9" spans="1:11" x14ac:dyDescent="0.55000000000000004">
      <c r="A9" s="19"/>
      <c r="B9" s="17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1"/>
  <sheetViews>
    <sheetView workbookViewId="0">
      <selection activeCell="J8" sqref="J8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1.285156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82</v>
      </c>
      <c r="E2" s="8" t="s">
        <v>5</v>
      </c>
      <c r="F2" s="20">
        <v>649730</v>
      </c>
      <c r="G2" s="20"/>
      <c r="H2" s="18"/>
      <c r="I2" s="18">
        <f>MAYWD[[#This Row],[Opening]]+MAYWD[[#This Row],[Purchase]]-MAYWD[[#This Row],[Payment]]</f>
        <v>649730</v>
      </c>
      <c r="J2" s="46">
        <f>MAYWD[[#This Row],[Balance]]</f>
        <v>649730</v>
      </c>
    </row>
    <row r="3" spans="1:11" x14ac:dyDescent="0.55000000000000004">
      <c r="A3" s="19">
        <v>44267</v>
      </c>
      <c r="B3" s="17">
        <v>916</v>
      </c>
      <c r="C3" s="17" t="s">
        <v>7</v>
      </c>
      <c r="D3" s="1" t="s">
        <v>82</v>
      </c>
      <c r="E3" s="8" t="s">
        <v>112</v>
      </c>
      <c r="F3" s="20"/>
      <c r="G3" s="20"/>
      <c r="H3" s="18">
        <v>649700</v>
      </c>
      <c r="I3" s="18">
        <f>MAYWD[[#This Row],[Opening]]+MAYWD[[#This Row],[Purchase]]-MAYWD[[#This Row],[Payment]]</f>
        <v>-649700</v>
      </c>
      <c r="J3" s="46">
        <f>J2+MAYWD[[#This Row],[Purchase]]-MAYWD[[#This Row],[Payment]]</f>
        <v>30</v>
      </c>
    </row>
    <row r="4" spans="1:11" x14ac:dyDescent="0.55000000000000004">
      <c r="A4" s="19">
        <v>44267</v>
      </c>
      <c r="B4" s="17"/>
      <c r="C4" s="17" t="s">
        <v>7</v>
      </c>
      <c r="D4" s="1" t="s">
        <v>82</v>
      </c>
      <c r="E4" s="8" t="s">
        <v>114</v>
      </c>
      <c r="F4" s="20"/>
      <c r="G4" s="20"/>
      <c r="H4" s="18">
        <v>30</v>
      </c>
      <c r="I4" s="18">
        <f>MAYWD[[#This Row],[Opening]]+MAYWD[[#This Row],[Purchase]]-MAYWD[[#This Row],[Payment]]</f>
        <v>-30</v>
      </c>
      <c r="J4" s="46">
        <f>J3+MAYWD[[#This Row],[Purchase]]-MAYWD[[#This Row],[Payment]]</f>
        <v>0</v>
      </c>
    </row>
    <row r="5" spans="1:11" x14ac:dyDescent="0.55000000000000004">
      <c r="A5" s="19">
        <v>44277</v>
      </c>
      <c r="B5" s="17">
        <v>4105</v>
      </c>
      <c r="C5" s="17" t="s">
        <v>6</v>
      </c>
      <c r="D5" s="1" t="s">
        <v>82</v>
      </c>
      <c r="E5" s="8" t="s">
        <v>130</v>
      </c>
      <c r="F5" s="20"/>
      <c r="G5" s="20">
        <v>384200</v>
      </c>
      <c r="H5" s="18"/>
      <c r="I5" s="18">
        <f>MAYWD[[#This Row],[Opening]]+MAYWD[[#This Row],[Purchase]]-MAYWD[[#This Row],[Payment]]</f>
        <v>384200</v>
      </c>
      <c r="J5" s="46">
        <f>J4+MAYWD[[#This Row],[Purchase]]-MAYWD[[#This Row],[Payment]]</f>
        <v>384200</v>
      </c>
    </row>
    <row r="6" spans="1:11" x14ac:dyDescent="0.55000000000000004">
      <c r="A6" s="19">
        <v>44285</v>
      </c>
      <c r="B6" s="17">
        <v>4112</v>
      </c>
      <c r="C6" s="17" t="s">
        <v>6</v>
      </c>
      <c r="D6" s="1" t="s">
        <v>82</v>
      </c>
      <c r="E6" s="8" t="s">
        <v>140</v>
      </c>
      <c r="F6" s="20"/>
      <c r="G6" s="20">
        <v>132500</v>
      </c>
      <c r="H6" s="18"/>
      <c r="I6" s="18">
        <f>MAYWD[[#This Row],[Opening]]+MAYWD[[#This Row],[Purchase]]-MAYWD[[#This Row],[Payment]]</f>
        <v>132500</v>
      </c>
      <c r="J6" s="46">
        <f>J5+MAYWD[[#This Row],[Purchase]]-MAYWD[[#This Row],[Payment]]</f>
        <v>516700</v>
      </c>
    </row>
    <row r="7" spans="1:11" x14ac:dyDescent="0.55000000000000004">
      <c r="A7" s="19">
        <v>44285</v>
      </c>
      <c r="B7" s="17">
        <v>927</v>
      </c>
      <c r="C7" s="17" t="s">
        <v>7</v>
      </c>
      <c r="D7" s="1" t="s">
        <v>82</v>
      </c>
      <c r="E7" s="8" t="s">
        <v>112</v>
      </c>
      <c r="F7" s="20"/>
      <c r="G7" s="20"/>
      <c r="H7" s="18">
        <v>384200</v>
      </c>
      <c r="I7" s="18">
        <f>MAYWD[[#This Row],[Opening]]+MAYWD[[#This Row],[Purchase]]-MAYWD[[#This Row],[Payment]]</f>
        <v>-384200</v>
      </c>
      <c r="J7" s="46">
        <f>J6+MAYWD[[#This Row],[Purchase]]-MAYWD[[#This Row],[Payment]]</f>
        <v>132500</v>
      </c>
    </row>
    <row r="8" spans="1:11" x14ac:dyDescent="0.55000000000000004">
      <c r="A8" s="19"/>
      <c r="B8" s="17"/>
      <c r="C8" s="17"/>
      <c r="E8" s="15"/>
      <c r="F8" s="20"/>
      <c r="G8" s="20"/>
      <c r="H8" s="18"/>
      <c r="I8" s="18"/>
    </row>
    <row r="9" spans="1:11" x14ac:dyDescent="0.55000000000000004">
      <c r="A9" s="19"/>
      <c r="B9" s="17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5.57031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6"/>
      <c r="C2" s="17" t="s">
        <v>5</v>
      </c>
      <c r="D2" s="1" t="s">
        <v>44</v>
      </c>
      <c r="E2" s="8" t="s">
        <v>5</v>
      </c>
      <c r="F2" s="20">
        <v>2208992</v>
      </c>
      <c r="G2" s="20"/>
      <c r="H2" s="18"/>
      <c r="I2" s="18">
        <f>MDYSP[[#This Row],[Opening]]+MDYSP[[#This Row],[Purchase]]-MDYSP[[#This Row],[Payment]]</f>
        <v>2208992</v>
      </c>
      <c r="J2" s="46">
        <f>MDYSP[Balance]</f>
        <v>2208992</v>
      </c>
    </row>
    <row r="3" spans="1:11" x14ac:dyDescent="0.55000000000000004">
      <c r="A3" s="19"/>
      <c r="B3" s="16"/>
      <c r="C3" s="17"/>
      <c r="E3" s="15"/>
      <c r="F3" s="20"/>
      <c r="G3" s="20"/>
      <c r="H3" s="18"/>
      <c r="I3" s="18"/>
    </row>
    <row r="4" spans="1:11" x14ac:dyDescent="0.55000000000000004">
      <c r="A4" s="19"/>
      <c r="B4" s="16"/>
      <c r="C4" s="17"/>
      <c r="E4" s="15"/>
      <c r="F4" s="20"/>
      <c r="G4" s="20"/>
      <c r="H4" s="18"/>
      <c r="I4" s="18"/>
    </row>
    <row r="5" spans="1:11" x14ac:dyDescent="0.55000000000000004">
      <c r="A5" s="19"/>
      <c r="B5" s="16"/>
      <c r="C5" s="17"/>
      <c r="E5" s="15"/>
      <c r="F5" s="20"/>
      <c r="G5" s="20"/>
      <c r="H5" s="18"/>
      <c r="I5" s="18"/>
    </row>
    <row r="6" spans="1:11" x14ac:dyDescent="0.55000000000000004">
      <c r="A6" s="19"/>
      <c r="B6" s="16"/>
      <c r="C6" s="17"/>
      <c r="E6" s="15"/>
      <c r="F6" s="20"/>
      <c r="G6" s="20"/>
      <c r="H6" s="18"/>
      <c r="I6" s="18"/>
    </row>
    <row r="7" spans="1:11" x14ac:dyDescent="0.55000000000000004">
      <c r="A7" s="19"/>
      <c r="B7" s="16"/>
      <c r="C7" s="17"/>
      <c r="E7" s="15"/>
      <c r="F7" s="20"/>
      <c r="G7" s="20"/>
      <c r="H7" s="18"/>
      <c r="I7" s="18"/>
    </row>
    <row r="8" spans="1:11" x14ac:dyDescent="0.55000000000000004">
      <c r="A8" s="19"/>
      <c r="B8" s="16"/>
      <c r="C8" s="17"/>
      <c r="E8" s="15"/>
      <c r="F8" s="20"/>
      <c r="G8" s="20"/>
      <c r="H8" s="18"/>
      <c r="I8" s="18"/>
    </row>
    <row r="9" spans="1:11" x14ac:dyDescent="0.55000000000000004">
      <c r="A9" s="19"/>
      <c r="B9" s="16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1"/>
  <sheetViews>
    <sheetView workbookViewId="0">
      <selection activeCell="J8" sqref="J8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22.14062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0.285156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83</v>
      </c>
      <c r="E2" s="8" t="s">
        <v>5</v>
      </c>
      <c r="F2" s="20">
        <v>584250</v>
      </c>
      <c r="G2" s="20"/>
      <c r="H2" s="18"/>
      <c r="I2" s="18">
        <f>MTAY[[#This Row],[Opening]]+MTAY[[#This Row],[Purchase]]-MTAY[[#This Row],[Payment]]</f>
        <v>584250</v>
      </c>
      <c r="J2" s="46">
        <f>MTAY[[#This Row],[Balance]]</f>
        <v>584250</v>
      </c>
    </row>
    <row r="3" spans="1:11" x14ac:dyDescent="0.55000000000000004">
      <c r="A3" s="19">
        <v>44267</v>
      </c>
      <c r="B3" s="17">
        <v>657</v>
      </c>
      <c r="C3" s="17" t="s">
        <v>7</v>
      </c>
      <c r="D3" s="1" t="s">
        <v>83</v>
      </c>
      <c r="E3" s="8" t="s">
        <v>112</v>
      </c>
      <c r="F3" s="20"/>
      <c r="G3" s="20"/>
      <c r="H3" s="18">
        <v>584000</v>
      </c>
      <c r="I3" s="18">
        <f>MTAY[[#This Row],[Opening]]+MTAY[[#This Row],[Purchase]]-MTAY[[#This Row],[Payment]]</f>
        <v>-584000</v>
      </c>
      <c r="J3" s="46">
        <f>J2+MTAY[[#This Row],[Purchase]]-MTAY[[#This Row],[Payment]]</f>
        <v>250</v>
      </c>
    </row>
    <row r="4" spans="1:11" x14ac:dyDescent="0.55000000000000004">
      <c r="A4" s="19">
        <v>44267</v>
      </c>
      <c r="B4" s="17"/>
      <c r="C4" s="17" t="s">
        <v>7</v>
      </c>
      <c r="D4" s="1" t="s">
        <v>83</v>
      </c>
      <c r="E4" s="8" t="s">
        <v>115</v>
      </c>
      <c r="F4" s="20"/>
      <c r="G4" s="20"/>
      <c r="H4" s="18">
        <v>250</v>
      </c>
      <c r="I4" s="18">
        <f>MTAY[[#This Row],[Opening]]+MTAY[[#This Row],[Purchase]]-MTAY[[#This Row],[Payment]]</f>
        <v>-250</v>
      </c>
      <c r="J4" s="46">
        <f>J3+MTAY[[#This Row],[Purchase]]-MTAY[[#This Row],[Payment]]</f>
        <v>0</v>
      </c>
    </row>
    <row r="5" spans="1:11" x14ac:dyDescent="0.55000000000000004">
      <c r="A5" s="19">
        <v>44267</v>
      </c>
      <c r="B5" s="17">
        <v>5806</v>
      </c>
      <c r="C5" s="17" t="s">
        <v>6</v>
      </c>
      <c r="D5" s="1" t="s">
        <v>83</v>
      </c>
      <c r="E5" s="8" t="s">
        <v>116</v>
      </c>
      <c r="F5" s="20"/>
      <c r="G5" s="20">
        <v>9460</v>
      </c>
      <c r="H5" s="18"/>
      <c r="I5" s="18">
        <f>MTAY[[#This Row],[Opening]]+MTAY[[#This Row],[Purchase]]-MTAY[[#This Row],[Payment]]</f>
        <v>9460</v>
      </c>
      <c r="J5" s="46">
        <f>J4+MTAY[[#This Row],[Purchase]]-MTAY[[#This Row],[Payment]]</f>
        <v>9460</v>
      </c>
    </row>
    <row r="6" spans="1:11" x14ac:dyDescent="0.55000000000000004">
      <c r="A6" s="19">
        <v>44285</v>
      </c>
      <c r="B6" s="17">
        <v>5807</v>
      </c>
      <c r="C6" s="17" t="s">
        <v>6</v>
      </c>
      <c r="D6" s="1" t="s">
        <v>83</v>
      </c>
      <c r="E6" s="8" t="s">
        <v>136</v>
      </c>
      <c r="F6" s="20"/>
      <c r="G6" s="20">
        <v>3300000</v>
      </c>
      <c r="H6" s="18"/>
      <c r="I6" s="18">
        <f>MTAY[[#This Row],[Opening]]+MTAY[[#This Row],[Purchase]]-MTAY[[#This Row],[Payment]]</f>
        <v>3300000</v>
      </c>
      <c r="J6" s="46">
        <f>J5+MTAY[[#This Row],[Purchase]]-MTAY[[#This Row],[Payment]]</f>
        <v>3309460</v>
      </c>
    </row>
    <row r="7" spans="1:11" x14ac:dyDescent="0.55000000000000004">
      <c r="A7" s="19">
        <v>44285</v>
      </c>
      <c r="B7" s="17"/>
      <c r="C7" s="17" t="s">
        <v>7</v>
      </c>
      <c r="D7" s="1" t="s">
        <v>83</v>
      </c>
      <c r="E7" s="8" t="s">
        <v>141</v>
      </c>
      <c r="F7" s="20"/>
      <c r="G7" s="20"/>
      <c r="H7" s="18">
        <v>1500000</v>
      </c>
      <c r="I7" s="18">
        <f>MTAY[[#This Row],[Opening]]+MTAY[[#This Row],[Purchase]]-MTAY[[#This Row],[Payment]]</f>
        <v>-1500000</v>
      </c>
      <c r="J7" s="46">
        <f>J6+MTAY[[#This Row],[Purchase]]-MTAY[[#This Row],[Payment]]</f>
        <v>1809460</v>
      </c>
    </row>
    <row r="8" spans="1:11" x14ac:dyDescent="0.55000000000000004">
      <c r="A8" s="19"/>
      <c r="B8" s="17"/>
      <c r="C8" s="17"/>
      <c r="E8" s="15"/>
      <c r="F8" s="20"/>
      <c r="G8" s="20"/>
      <c r="H8" s="18"/>
      <c r="I8" s="18"/>
    </row>
    <row r="9" spans="1:11" x14ac:dyDescent="0.55000000000000004">
      <c r="A9" s="19"/>
      <c r="B9" s="17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17.8554687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6"/>
      <c r="C2" s="17" t="s">
        <v>5</v>
      </c>
      <c r="D2" s="1" t="s">
        <v>84</v>
      </c>
      <c r="E2" s="8" t="s">
        <v>5</v>
      </c>
      <c r="F2" s="20">
        <v>2754773</v>
      </c>
      <c r="G2" s="20"/>
      <c r="H2" s="18"/>
      <c r="I2" s="18">
        <f>NASA[[#This Row],[Opening]]+NASA[[#This Row],[Purchase]]-NASA[[#This Row],[Payment]]</f>
        <v>2754773</v>
      </c>
      <c r="J2" s="46">
        <f>NASA[Balance]</f>
        <v>2754773</v>
      </c>
    </row>
    <row r="3" spans="1:11" x14ac:dyDescent="0.55000000000000004">
      <c r="A3" s="19"/>
      <c r="B3" s="16"/>
      <c r="C3" s="17"/>
      <c r="E3" s="15"/>
      <c r="F3" s="20"/>
      <c r="G3" s="20"/>
      <c r="H3" s="18"/>
      <c r="I3" s="18"/>
    </row>
    <row r="4" spans="1:11" x14ac:dyDescent="0.55000000000000004">
      <c r="A4" s="19"/>
      <c r="B4" s="16"/>
      <c r="C4" s="17"/>
      <c r="E4" s="15"/>
      <c r="F4" s="20"/>
      <c r="G4" s="20"/>
      <c r="H4" s="18"/>
      <c r="I4" s="18"/>
    </row>
    <row r="5" spans="1:11" x14ac:dyDescent="0.55000000000000004">
      <c r="A5" s="19"/>
      <c r="B5" s="16"/>
      <c r="C5" s="17"/>
      <c r="E5" s="15"/>
      <c r="F5" s="20"/>
      <c r="G5" s="20"/>
      <c r="H5" s="18"/>
      <c r="I5" s="18"/>
    </row>
    <row r="6" spans="1:11" x14ac:dyDescent="0.55000000000000004">
      <c r="A6" s="19"/>
      <c r="B6" s="16"/>
      <c r="C6" s="17"/>
      <c r="E6" s="15"/>
      <c r="F6" s="20"/>
      <c r="G6" s="20"/>
      <c r="H6" s="18"/>
      <c r="I6" s="18"/>
    </row>
    <row r="7" spans="1:11" x14ac:dyDescent="0.55000000000000004">
      <c r="A7" s="19"/>
      <c r="B7" s="16"/>
      <c r="C7" s="17"/>
      <c r="E7" s="15"/>
      <c r="F7" s="20"/>
      <c r="G7" s="20"/>
      <c r="H7" s="18"/>
      <c r="I7" s="18"/>
    </row>
    <row r="8" spans="1:11" x14ac:dyDescent="0.55000000000000004">
      <c r="A8" s="19"/>
      <c r="B8" s="16"/>
      <c r="C8" s="17"/>
      <c r="E8" s="15"/>
      <c r="F8" s="20"/>
      <c r="G8" s="20"/>
      <c r="H8" s="18"/>
      <c r="I8" s="18"/>
    </row>
    <row r="9" spans="1:11" x14ac:dyDescent="0.55000000000000004">
      <c r="A9" s="19"/>
      <c r="B9" s="16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23"/>
  <sheetViews>
    <sheetView topLeftCell="A2" workbookViewId="0">
      <selection activeCell="J15" sqref="J15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7.1406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19.425781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48</v>
      </c>
      <c r="E2" s="8" t="s">
        <v>5</v>
      </c>
      <c r="F2" s="20">
        <v>5856500</v>
      </c>
      <c r="G2" s="20"/>
      <c r="H2" s="18"/>
      <c r="I2" s="18">
        <f>STL[[#This Row],[Opening]]+STL[[#This Row],[Purchase]]-STL[[#This Row],[Payment]]</f>
        <v>5856500</v>
      </c>
      <c r="J2" s="46">
        <f>STL[[#This Row],[Balance]]</f>
        <v>5856500</v>
      </c>
    </row>
    <row r="3" spans="1:11" x14ac:dyDescent="0.55000000000000004">
      <c r="A3" s="19">
        <v>44257</v>
      </c>
      <c r="B3" s="17">
        <v>43712</v>
      </c>
      <c r="C3" s="17" t="s">
        <v>6</v>
      </c>
      <c r="D3" s="1" t="s">
        <v>48</v>
      </c>
      <c r="E3" s="8" t="s">
        <v>71</v>
      </c>
      <c r="F3" s="20"/>
      <c r="G3" s="20">
        <v>96000</v>
      </c>
      <c r="H3" s="18"/>
      <c r="I3" s="18">
        <f>STL[[#This Row],[Opening]]+STL[[#This Row],[Purchase]]-STL[[#This Row],[Payment]]</f>
        <v>96000</v>
      </c>
      <c r="J3" s="46">
        <f>J2+STL[[#This Row],[Purchase]]-STL[[#This Row],[Payment]]</f>
        <v>5952500</v>
      </c>
    </row>
    <row r="4" spans="1:11" x14ac:dyDescent="0.55000000000000004">
      <c r="A4" s="19">
        <v>44258</v>
      </c>
      <c r="B4" s="17">
        <v>43743</v>
      </c>
      <c r="C4" s="17" t="s">
        <v>6</v>
      </c>
      <c r="D4" s="1" t="s">
        <v>48</v>
      </c>
      <c r="E4" s="8" t="s">
        <v>91</v>
      </c>
      <c r="F4" s="20"/>
      <c r="G4" s="20">
        <v>150000</v>
      </c>
      <c r="H4" s="18"/>
      <c r="I4" s="18">
        <f>STL[[#This Row],[Opening]]+STL[[#This Row],[Purchase]]-STL[[#This Row],[Payment]]</f>
        <v>150000</v>
      </c>
      <c r="J4" s="46">
        <f>J3+STL[[#This Row],[Purchase]]-STL[[#This Row],[Payment]]</f>
        <v>6102500</v>
      </c>
    </row>
    <row r="5" spans="1:11" x14ac:dyDescent="0.55000000000000004">
      <c r="A5" s="19">
        <v>44258</v>
      </c>
      <c r="B5" s="17">
        <v>43744</v>
      </c>
      <c r="C5" s="17" t="s">
        <v>6</v>
      </c>
      <c r="D5" s="1" t="s">
        <v>48</v>
      </c>
      <c r="E5" s="8" t="s">
        <v>92</v>
      </c>
      <c r="F5" s="20"/>
      <c r="G5" s="20">
        <v>75000</v>
      </c>
      <c r="H5" s="18"/>
      <c r="I5" s="18">
        <f>STL[[#This Row],[Opening]]+STL[[#This Row],[Purchase]]-STL[[#This Row],[Payment]]</f>
        <v>75000</v>
      </c>
      <c r="J5" s="46">
        <f>J4+STL[[#This Row],[Purchase]]-STL[[#This Row],[Payment]]</f>
        <v>6177500</v>
      </c>
    </row>
    <row r="6" spans="1:11" x14ac:dyDescent="0.55000000000000004">
      <c r="A6" s="19">
        <v>44264</v>
      </c>
      <c r="B6" s="17">
        <v>42445</v>
      </c>
      <c r="C6" s="17" t="s">
        <v>6</v>
      </c>
      <c r="D6" s="1" t="s">
        <v>48</v>
      </c>
      <c r="E6" s="8" t="s">
        <v>109</v>
      </c>
      <c r="F6" s="20"/>
      <c r="G6" s="20">
        <v>710000</v>
      </c>
      <c r="H6" s="18"/>
      <c r="I6" s="18">
        <f>STL[[#This Row],[Opening]]+STL[[#This Row],[Purchase]]-STL[[#This Row],[Payment]]</f>
        <v>710000</v>
      </c>
      <c r="J6" s="46">
        <f>J5+STL[[#This Row],[Purchase]]-STL[[#This Row],[Payment]]</f>
        <v>6887500</v>
      </c>
    </row>
    <row r="7" spans="1:11" x14ac:dyDescent="0.55000000000000004">
      <c r="A7" s="19">
        <v>44267</v>
      </c>
      <c r="B7" s="17">
        <v>291</v>
      </c>
      <c r="C7" s="17" t="s">
        <v>7</v>
      </c>
      <c r="D7" s="1" t="s">
        <v>48</v>
      </c>
      <c r="E7" s="8" t="s">
        <v>112</v>
      </c>
      <c r="F7" s="20"/>
      <c r="G7" s="20"/>
      <c r="H7" s="18">
        <v>1500000</v>
      </c>
      <c r="I7" s="18">
        <f>STL[[#This Row],[Opening]]+STL[[#This Row],[Purchase]]-STL[[#This Row],[Payment]]</f>
        <v>-1500000</v>
      </c>
      <c r="J7" s="46">
        <f>J6+STL[[#This Row],[Purchase]]-STL[[#This Row],[Payment]]</f>
        <v>5387500</v>
      </c>
    </row>
    <row r="8" spans="1:11" x14ac:dyDescent="0.55000000000000004">
      <c r="A8" s="19">
        <v>44267</v>
      </c>
      <c r="B8" s="17">
        <v>4248</v>
      </c>
      <c r="C8" s="17" t="s">
        <v>6</v>
      </c>
      <c r="D8" s="1" t="s">
        <v>48</v>
      </c>
      <c r="E8" s="8" t="s">
        <v>121</v>
      </c>
      <c r="F8" s="20"/>
      <c r="G8" s="20">
        <v>144000</v>
      </c>
      <c r="H8" s="18"/>
      <c r="I8" s="18">
        <f>STL[[#This Row],[Opening]]+STL[[#This Row],[Purchase]]-STL[[#This Row],[Payment]]</f>
        <v>144000</v>
      </c>
      <c r="J8" s="46">
        <f>J7+STL[[#This Row],[Purchase]]-STL[[#This Row],[Payment]]</f>
        <v>5531500</v>
      </c>
    </row>
    <row r="9" spans="1:11" x14ac:dyDescent="0.55000000000000004">
      <c r="A9" s="19">
        <v>44274</v>
      </c>
      <c r="B9" s="17">
        <v>42618</v>
      </c>
      <c r="C9" s="17" t="s">
        <v>6</v>
      </c>
      <c r="D9" s="1" t="s">
        <v>48</v>
      </c>
      <c r="E9" s="8" t="s">
        <v>127</v>
      </c>
      <c r="F9" s="20"/>
      <c r="G9" s="20">
        <v>158000</v>
      </c>
      <c r="H9" s="18"/>
      <c r="I9" s="18">
        <f>STL[[#This Row],[Opening]]+STL[[#This Row],[Purchase]]-STL[[#This Row],[Payment]]</f>
        <v>158000</v>
      </c>
      <c r="J9" s="46">
        <f>J8+STL[[#This Row],[Purchase]]-STL[[#This Row],[Payment]]</f>
        <v>5689500</v>
      </c>
    </row>
    <row r="10" spans="1:11" x14ac:dyDescent="0.55000000000000004">
      <c r="A10" s="14">
        <v>44269</v>
      </c>
      <c r="B10" s="12">
        <v>43850</v>
      </c>
      <c r="C10" s="17" t="s">
        <v>6</v>
      </c>
      <c r="D10" s="1" t="s">
        <v>48</v>
      </c>
      <c r="E10" s="8" t="s">
        <v>109</v>
      </c>
      <c r="G10" s="9">
        <v>710000</v>
      </c>
      <c r="I10" s="10">
        <f>STL[[#This Row],[Opening]]+STL[[#This Row],[Purchase]]-STL[[#This Row],[Payment]]</f>
        <v>710000</v>
      </c>
      <c r="J10" s="46">
        <f>J9+STL[[#This Row],[Purchase]]-STL[[#This Row],[Payment]]</f>
        <v>6399500</v>
      </c>
    </row>
    <row r="11" spans="1:11" x14ac:dyDescent="0.55000000000000004">
      <c r="A11" s="14">
        <v>44274</v>
      </c>
      <c r="B11" s="12">
        <v>42523</v>
      </c>
      <c r="C11" s="12" t="s">
        <v>6</v>
      </c>
      <c r="D11" s="1" t="s">
        <v>48</v>
      </c>
      <c r="E11" s="8" t="s">
        <v>109</v>
      </c>
      <c r="G11" s="9">
        <v>1065000</v>
      </c>
      <c r="I11" s="10">
        <f>STL[[#This Row],[Opening]]+STL[[#This Row],[Purchase]]-STL[[#This Row],[Payment]]</f>
        <v>1065000</v>
      </c>
      <c r="J11" s="46">
        <f>J10+STL[[#This Row],[Purchase]]-STL[[#This Row],[Payment]]</f>
        <v>7464500</v>
      </c>
    </row>
    <row r="12" spans="1:11" x14ac:dyDescent="0.55000000000000004">
      <c r="A12" s="14">
        <v>44284</v>
      </c>
      <c r="B12" s="12">
        <v>42577</v>
      </c>
      <c r="C12" s="12" t="s">
        <v>6</v>
      </c>
      <c r="D12" s="1" t="s">
        <v>48</v>
      </c>
      <c r="E12" s="8" t="s">
        <v>132</v>
      </c>
      <c r="G12" s="9">
        <v>75000</v>
      </c>
      <c r="I12" s="10">
        <f>STL[[#This Row],[Opening]]+STL[[#This Row],[Purchase]]-STL[[#This Row],[Payment]]</f>
        <v>75000</v>
      </c>
      <c r="J12" s="46">
        <f>J11+STL[[#This Row],[Purchase]]-STL[[#This Row],[Payment]]</f>
        <v>7539500</v>
      </c>
    </row>
    <row r="13" spans="1:11" x14ac:dyDescent="0.55000000000000004">
      <c r="A13" s="14">
        <v>44285</v>
      </c>
      <c r="B13" s="12">
        <v>42585</v>
      </c>
      <c r="C13" s="12" t="s">
        <v>6</v>
      </c>
      <c r="D13" s="1" t="s">
        <v>48</v>
      </c>
      <c r="E13" s="8" t="s">
        <v>133</v>
      </c>
      <c r="G13" s="9">
        <v>395000</v>
      </c>
      <c r="I13" s="10">
        <f>STL[[#This Row],[Opening]]+STL[[#This Row],[Purchase]]-STL[[#This Row],[Payment]]</f>
        <v>395000</v>
      </c>
      <c r="J13" s="46">
        <f>J12+STL[[#This Row],[Purchase]]-STL[[#This Row],[Payment]]</f>
        <v>7934500</v>
      </c>
    </row>
    <row r="14" spans="1:11" x14ac:dyDescent="0.55000000000000004">
      <c r="A14" s="14">
        <v>44285</v>
      </c>
      <c r="B14" s="42">
        <v>1098</v>
      </c>
      <c r="C14" s="42" t="s">
        <v>7</v>
      </c>
      <c r="D14" s="1" t="s">
        <v>48</v>
      </c>
      <c r="E14" s="8" t="s">
        <v>112</v>
      </c>
      <c r="F14" s="43"/>
      <c r="G14" s="43"/>
      <c r="H14" s="44">
        <v>2000000</v>
      </c>
      <c r="I14" s="44">
        <f>STL[[#This Row],[Opening]]+STL[[#This Row],[Purchase]]-STL[[#This Row],[Payment]]</f>
        <v>-2000000</v>
      </c>
      <c r="J14" s="46">
        <f>J13+STL[[#This Row],[Purchase]]-STL[[#This Row],[Payment]]</f>
        <v>5934500</v>
      </c>
      <c r="K14" s="1"/>
    </row>
    <row r="15" spans="1:11" x14ac:dyDescent="0.55000000000000004">
      <c r="C15" s="12"/>
      <c r="D15" s="28"/>
      <c r="K15" s="1"/>
    </row>
    <row r="16" spans="1:11" x14ac:dyDescent="0.55000000000000004">
      <c r="C16" s="12"/>
      <c r="D16" s="28"/>
      <c r="K16" s="1"/>
    </row>
    <row r="17" spans="3:11" x14ac:dyDescent="0.55000000000000004">
      <c r="C17" s="12"/>
      <c r="D17" s="28"/>
      <c r="K17" s="1"/>
    </row>
    <row r="18" spans="3:11" x14ac:dyDescent="0.55000000000000004">
      <c r="C18" s="12"/>
      <c r="D18" s="28"/>
      <c r="K18" s="1"/>
    </row>
    <row r="19" spans="3:11" x14ac:dyDescent="0.55000000000000004">
      <c r="C19" s="12"/>
      <c r="D19" s="28"/>
      <c r="K19" s="1"/>
    </row>
    <row r="20" spans="3:11" x14ac:dyDescent="0.55000000000000004">
      <c r="C20" s="12"/>
      <c r="D20" s="28"/>
      <c r="K20" s="1"/>
    </row>
    <row r="21" spans="3:11" x14ac:dyDescent="0.55000000000000004">
      <c r="C21" s="12"/>
      <c r="D21" s="28"/>
      <c r="K21" s="1"/>
    </row>
    <row r="22" spans="3:11" x14ac:dyDescent="0.55000000000000004">
      <c r="K22" s="1"/>
    </row>
    <row r="23" spans="3:11" x14ac:dyDescent="0.55000000000000004">
      <c r="K23" s="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1"/>
  <sheetViews>
    <sheetView workbookViewId="0">
      <selection activeCell="J6" sqref="J6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1.425781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50</v>
      </c>
      <c r="E2" s="8" t="s">
        <v>5</v>
      </c>
      <c r="F2" s="20">
        <v>175000</v>
      </c>
      <c r="G2" s="20"/>
      <c r="H2" s="18"/>
      <c r="I2" s="18">
        <f>SYS[[#This Row],[Opening]]+SYS[[#This Row],[Purchase]]-SYS[[#This Row],[Payment]]</f>
        <v>175000</v>
      </c>
      <c r="J2" s="46">
        <f>SYS[[#This Row],[Balance]]</f>
        <v>175000</v>
      </c>
    </row>
    <row r="3" spans="1:11" x14ac:dyDescent="0.55000000000000004">
      <c r="A3" s="19">
        <v>44285</v>
      </c>
      <c r="B3" s="17">
        <v>11801</v>
      </c>
      <c r="C3" s="17" t="s">
        <v>6</v>
      </c>
      <c r="D3" s="1" t="s">
        <v>50</v>
      </c>
      <c r="E3" s="8" t="s">
        <v>135</v>
      </c>
      <c r="F3" s="20"/>
      <c r="G3" s="20">
        <v>19500</v>
      </c>
      <c r="H3" s="18"/>
      <c r="I3" s="18">
        <f>SYS[[#This Row],[Opening]]+SYS[[#This Row],[Purchase]]-SYS[[#This Row],[Payment]]</f>
        <v>19500</v>
      </c>
      <c r="J3" s="46">
        <f>J2+SYS[[#This Row],[Purchase]]-SYS[[#This Row],[Payment]]</f>
        <v>194500</v>
      </c>
    </row>
    <row r="4" spans="1:11" x14ac:dyDescent="0.55000000000000004">
      <c r="A4" s="19">
        <v>44285</v>
      </c>
      <c r="B4" s="17">
        <v>2938</v>
      </c>
      <c r="C4" s="17" t="s">
        <v>7</v>
      </c>
      <c r="D4" s="1" t="s">
        <v>50</v>
      </c>
      <c r="E4" s="8" t="s">
        <v>142</v>
      </c>
      <c r="F4" s="20"/>
      <c r="G4" s="20"/>
      <c r="H4" s="18">
        <v>180000</v>
      </c>
      <c r="I4" s="18">
        <f>SYS[[#This Row],[Opening]]+SYS[[#This Row],[Purchase]]-SYS[[#This Row],[Payment]]</f>
        <v>-180000</v>
      </c>
      <c r="J4" s="46">
        <f>J3+SYS[[#This Row],[Purchase]]-SYS[[#This Row],[Payment]]</f>
        <v>14500</v>
      </c>
    </row>
    <row r="5" spans="1:11" x14ac:dyDescent="0.55000000000000004">
      <c r="A5" s="19">
        <v>44286</v>
      </c>
      <c r="B5" s="17"/>
      <c r="C5" s="17" t="s">
        <v>7</v>
      </c>
      <c r="D5" s="1" t="s">
        <v>50</v>
      </c>
      <c r="E5" s="8" t="s">
        <v>142</v>
      </c>
      <c r="F5" s="20"/>
      <c r="G5" s="20"/>
      <c r="H5" s="18">
        <v>14500</v>
      </c>
      <c r="I5" s="18">
        <f>SYS[[#This Row],[Opening]]+SYS[[#This Row],[Purchase]]-SYS[[#This Row],[Payment]]</f>
        <v>-14500</v>
      </c>
      <c r="J5" s="46">
        <f>J4+SYS[[#This Row],[Purchase]]-SYS[[#This Row],[Payment]]</f>
        <v>0</v>
      </c>
    </row>
    <row r="6" spans="1:11" x14ac:dyDescent="0.55000000000000004">
      <c r="A6" s="19"/>
      <c r="B6" s="17"/>
      <c r="C6" s="17"/>
      <c r="E6" s="15"/>
      <c r="F6" s="20"/>
      <c r="G6" s="20"/>
      <c r="H6" s="18"/>
      <c r="I6" s="18"/>
    </row>
    <row r="7" spans="1:11" x14ac:dyDescent="0.55000000000000004">
      <c r="A7" s="19"/>
      <c r="B7" s="17"/>
      <c r="C7" s="17"/>
      <c r="E7" s="15"/>
      <c r="F7" s="20"/>
      <c r="G7" s="20"/>
      <c r="H7" s="18"/>
      <c r="I7" s="18"/>
    </row>
    <row r="8" spans="1:11" x14ac:dyDescent="0.55000000000000004">
      <c r="A8" s="19"/>
      <c r="B8" s="17"/>
      <c r="C8" s="17"/>
      <c r="E8" s="15"/>
      <c r="F8" s="20"/>
      <c r="G8" s="20"/>
      <c r="H8" s="18"/>
      <c r="I8" s="18"/>
    </row>
    <row r="9" spans="1:11" x14ac:dyDescent="0.55000000000000004">
      <c r="A9" s="19"/>
      <c r="B9" s="17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1"/>
  <sheetViews>
    <sheetView workbookViewId="0">
      <selection activeCell="J4" sqref="J4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19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65</v>
      </c>
      <c r="E2" s="8" t="s">
        <v>5</v>
      </c>
      <c r="F2" s="20">
        <v>269200</v>
      </c>
      <c r="G2" s="20"/>
      <c r="H2" s="18"/>
      <c r="I2" s="18">
        <f>SUPER[[#This Row],[Opening]]+SUPER[[#This Row],[Purchase]]-SUPER[[#This Row],[Payment]]</f>
        <v>269200</v>
      </c>
      <c r="J2" s="46">
        <f>SUPER[[#This Row],[Balance]]</f>
        <v>269200</v>
      </c>
    </row>
    <row r="3" spans="1:11" x14ac:dyDescent="0.55000000000000004">
      <c r="A3" s="19">
        <v>44267</v>
      </c>
      <c r="B3" s="17"/>
      <c r="C3" s="17" t="s">
        <v>7</v>
      </c>
      <c r="D3" s="1" t="s">
        <v>65</v>
      </c>
      <c r="E3" s="8" t="s">
        <v>112</v>
      </c>
      <c r="F3" s="20"/>
      <c r="G3" s="20"/>
      <c r="H3" s="18">
        <v>269200</v>
      </c>
      <c r="I3" s="18">
        <f>SUPER[[#This Row],[Opening]]+SUPER[[#This Row],[Purchase]]-SUPER[[#This Row],[Payment]]</f>
        <v>-269200</v>
      </c>
      <c r="J3" s="46">
        <f>J2+SUPER[[#This Row],[Purchase]]-SUPER[[#This Row],[Payment]]</f>
        <v>0</v>
      </c>
    </row>
    <row r="4" spans="1:11" x14ac:dyDescent="0.55000000000000004">
      <c r="A4" s="19">
        <v>44268</v>
      </c>
      <c r="B4" s="17">
        <v>29851</v>
      </c>
      <c r="C4" s="17" t="s">
        <v>6</v>
      </c>
      <c r="D4" s="1" t="s">
        <v>65</v>
      </c>
      <c r="E4" s="15">
        <v>6205</v>
      </c>
      <c r="F4" s="20"/>
      <c r="G4" s="20">
        <v>26500</v>
      </c>
      <c r="H4" s="18"/>
      <c r="I4" s="18">
        <f>SUPER[[#This Row],[Opening]]+SUPER[[#This Row],[Purchase]]-SUPER[[#This Row],[Payment]]</f>
        <v>26500</v>
      </c>
      <c r="J4" s="46">
        <f>J3+SUPER[[#This Row],[Purchase]]-SUPER[[#This Row],[Payment]]</f>
        <v>26500</v>
      </c>
    </row>
    <row r="5" spans="1:11" x14ac:dyDescent="0.55000000000000004">
      <c r="A5" s="19">
        <v>44280</v>
      </c>
      <c r="B5" s="17"/>
      <c r="C5" s="17" t="s">
        <v>7</v>
      </c>
      <c r="D5" s="1" t="s">
        <v>65</v>
      </c>
      <c r="E5" s="8" t="s">
        <v>112</v>
      </c>
      <c r="F5" s="20"/>
      <c r="G5" s="20"/>
      <c r="H5" s="18">
        <v>26500</v>
      </c>
      <c r="I5" s="18">
        <f>SUPER[[#This Row],[Opening]]+SUPER[[#This Row],[Purchase]]-SUPER[[#This Row],[Payment]]</f>
        <v>-26500</v>
      </c>
      <c r="J5" s="46">
        <f>J4+SUPER[[#This Row],[Purchase]]-SUPER[[#This Row],[Payment]]</f>
        <v>0</v>
      </c>
    </row>
    <row r="6" spans="1:11" x14ac:dyDescent="0.55000000000000004">
      <c r="A6" s="19"/>
      <c r="B6" s="17"/>
      <c r="C6" s="17"/>
      <c r="E6" s="15"/>
      <c r="F6" s="20"/>
      <c r="G6" s="20"/>
      <c r="H6" s="18"/>
      <c r="I6" s="18"/>
    </row>
    <row r="7" spans="1:11" x14ac:dyDescent="0.55000000000000004">
      <c r="A7" s="19"/>
      <c r="B7" s="17"/>
      <c r="C7" s="17"/>
      <c r="E7" s="15"/>
      <c r="F7" s="20"/>
      <c r="G7" s="20"/>
      <c r="H7" s="18"/>
      <c r="I7" s="18"/>
    </row>
    <row r="8" spans="1:11" x14ac:dyDescent="0.55000000000000004">
      <c r="A8" s="19"/>
      <c r="B8" s="17"/>
      <c r="C8" s="17"/>
      <c r="E8" s="15"/>
      <c r="F8" s="20"/>
      <c r="G8" s="20"/>
      <c r="H8" s="18"/>
      <c r="I8" s="18"/>
    </row>
    <row r="9" spans="1:11" x14ac:dyDescent="0.55000000000000004">
      <c r="A9" s="19"/>
      <c r="B9" s="17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21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6"/>
      <c r="C2" s="17" t="s">
        <v>5</v>
      </c>
      <c r="D2" s="1" t="s">
        <v>85</v>
      </c>
      <c r="E2" s="8" t="s">
        <v>5</v>
      </c>
      <c r="F2" s="20">
        <v>1145500</v>
      </c>
      <c r="G2" s="20"/>
      <c r="H2" s="18"/>
      <c r="I2" s="18">
        <f>TSLW[[#This Row],[Opening]]+TSLW[[#This Row],[Purchase]]-TSLW[[#This Row],[Payment]]</f>
        <v>1145500</v>
      </c>
      <c r="J2" s="46">
        <f>TSLW[Balance]</f>
        <v>1145500</v>
      </c>
    </row>
    <row r="3" spans="1:11" x14ac:dyDescent="0.55000000000000004">
      <c r="A3" s="19"/>
      <c r="B3" s="16"/>
      <c r="C3" s="17"/>
      <c r="E3" s="15"/>
      <c r="F3" s="20"/>
      <c r="G3" s="20"/>
      <c r="H3" s="18"/>
      <c r="I3" s="18"/>
    </row>
    <row r="4" spans="1:11" x14ac:dyDescent="0.55000000000000004">
      <c r="A4" s="19"/>
      <c r="B4" s="16"/>
      <c r="C4" s="17"/>
      <c r="E4" s="15"/>
      <c r="F4" s="20"/>
      <c r="G4" s="20"/>
      <c r="H4" s="18"/>
      <c r="I4" s="18"/>
    </row>
    <row r="5" spans="1:11" x14ac:dyDescent="0.55000000000000004">
      <c r="A5" s="19"/>
      <c r="B5" s="16"/>
      <c r="C5" s="17"/>
      <c r="E5" s="15"/>
      <c r="F5" s="20"/>
      <c r="G5" s="20"/>
      <c r="H5" s="18"/>
      <c r="I5" s="18"/>
    </row>
    <row r="6" spans="1:11" x14ac:dyDescent="0.55000000000000004">
      <c r="A6" s="19"/>
      <c r="B6" s="16"/>
      <c r="C6" s="17"/>
      <c r="E6" s="15"/>
      <c r="F6" s="20"/>
      <c r="G6" s="20"/>
      <c r="H6" s="18"/>
      <c r="I6" s="18"/>
    </row>
    <row r="7" spans="1:11" x14ac:dyDescent="0.55000000000000004">
      <c r="A7" s="19"/>
      <c r="B7" s="16"/>
      <c r="C7" s="17"/>
      <c r="E7" s="15"/>
      <c r="F7" s="20"/>
      <c r="G7" s="20"/>
      <c r="H7" s="18"/>
      <c r="I7" s="18"/>
    </row>
    <row r="8" spans="1:11" x14ac:dyDescent="0.55000000000000004">
      <c r="A8" s="19"/>
      <c r="B8" s="16"/>
      <c r="C8" s="17"/>
      <c r="E8" s="15"/>
      <c r="F8" s="20"/>
      <c r="G8" s="20"/>
      <c r="H8" s="18"/>
      <c r="I8" s="18"/>
    </row>
    <row r="9" spans="1:11" x14ac:dyDescent="0.55000000000000004">
      <c r="A9" s="19"/>
      <c r="B9" s="16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4" customWidth="1"/>
    <col min="2" max="3" width="12.28515625" style="1" customWidth="1"/>
    <col min="4" max="4" width="24.42578125" style="1" bestFit="1" customWidth="1"/>
    <col min="5" max="5" width="14.42578125" style="8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18.285156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8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6"/>
      <c r="C2" s="17" t="s">
        <v>5</v>
      </c>
      <c r="D2" s="1" t="s">
        <v>86</v>
      </c>
      <c r="E2" s="8" t="s">
        <v>5</v>
      </c>
      <c r="F2" s="20">
        <v>143000</v>
      </c>
      <c r="G2" s="20"/>
      <c r="H2" s="18"/>
      <c r="I2" s="18">
        <f>UMG[[#This Row],[Opening]]+UMG[[#This Row],[Purchase]]-UMG[[#This Row],[Payment]]</f>
        <v>143000</v>
      </c>
      <c r="J2" s="46">
        <f>UMG[Balance]</f>
        <v>143000</v>
      </c>
    </row>
    <row r="3" spans="1:11" x14ac:dyDescent="0.55000000000000004">
      <c r="A3" s="19"/>
      <c r="B3" s="16"/>
      <c r="C3" s="17"/>
      <c r="E3" s="15"/>
      <c r="F3" s="20"/>
      <c r="G3" s="20"/>
      <c r="H3" s="18"/>
      <c r="I3" s="18"/>
    </row>
    <row r="4" spans="1:11" x14ac:dyDescent="0.55000000000000004">
      <c r="A4" s="19"/>
      <c r="B4" s="16"/>
      <c r="C4" s="17"/>
      <c r="E4" s="15"/>
      <c r="F4" s="20"/>
      <c r="G4" s="20"/>
      <c r="H4" s="18"/>
      <c r="I4" s="18"/>
    </row>
    <row r="5" spans="1:11" x14ac:dyDescent="0.55000000000000004">
      <c r="A5" s="19"/>
      <c r="B5" s="16"/>
      <c r="C5" s="17"/>
      <c r="E5" s="15"/>
      <c r="F5" s="20"/>
      <c r="G5" s="20"/>
      <c r="H5" s="18"/>
      <c r="I5" s="18"/>
    </row>
    <row r="6" spans="1:11" x14ac:dyDescent="0.55000000000000004">
      <c r="A6" s="19"/>
      <c r="B6" s="16"/>
      <c r="C6" s="17"/>
      <c r="E6" s="15"/>
      <c r="F6" s="20"/>
      <c r="G6" s="20"/>
      <c r="H6" s="18"/>
      <c r="I6" s="18"/>
    </row>
    <row r="7" spans="1:11" x14ac:dyDescent="0.55000000000000004">
      <c r="A7" s="19"/>
      <c r="B7" s="16"/>
      <c r="C7" s="17"/>
      <c r="E7" s="15"/>
      <c r="F7" s="20"/>
      <c r="G7" s="20"/>
      <c r="H7" s="18"/>
      <c r="I7" s="18"/>
    </row>
    <row r="8" spans="1:11" x14ac:dyDescent="0.55000000000000004">
      <c r="A8" s="19"/>
      <c r="B8" s="16"/>
      <c r="C8" s="17"/>
      <c r="E8" s="15"/>
      <c r="F8" s="20"/>
      <c r="G8" s="20"/>
      <c r="H8" s="18"/>
      <c r="I8" s="18"/>
    </row>
    <row r="9" spans="1:11" x14ac:dyDescent="0.55000000000000004">
      <c r="A9" s="19"/>
      <c r="B9" s="16"/>
      <c r="C9" s="17"/>
      <c r="E9" s="15"/>
      <c r="F9" s="20"/>
      <c r="G9" s="20"/>
      <c r="H9" s="18"/>
      <c r="I9" s="18"/>
    </row>
    <row r="10" spans="1:11" x14ac:dyDescent="0.55000000000000004">
      <c r="C10" s="12"/>
    </row>
    <row r="11" spans="1:11" x14ac:dyDescent="0.55000000000000004">
      <c r="C11" s="1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18"/>
  <sheetViews>
    <sheetView workbookViewId="0">
      <selection activeCell="J13" sqref="J13"/>
    </sheetView>
  </sheetViews>
  <sheetFormatPr defaultColWidth="8.7109375" defaultRowHeight="21.75" x14ac:dyDescent="0.55000000000000004"/>
  <cols>
    <col min="1" max="1" width="14.7109375" style="14" customWidth="1"/>
    <col min="2" max="2" width="12.28515625" style="12" customWidth="1"/>
    <col min="3" max="3" width="12.28515625" style="1" customWidth="1"/>
    <col min="4" max="4" width="24.42578125" style="1" bestFit="1" customWidth="1"/>
    <col min="5" max="5" width="18.28515625" style="8" bestFit="1" customWidth="1"/>
    <col min="6" max="6" width="17.5703125" style="9" bestFit="1" customWidth="1"/>
    <col min="7" max="7" width="18.42578125" style="9" customWidth="1"/>
    <col min="8" max="8" width="12.5703125" style="10" customWidth="1"/>
    <col min="9" max="9" width="14.7109375" style="10" bestFit="1" customWidth="1"/>
    <col min="10" max="10" width="18.140625" style="10" customWidth="1"/>
    <col min="11" max="11" width="10.85546875" style="10" bestFit="1" customWidth="1"/>
    <col min="12" max="16384" width="8.7109375" style="1"/>
  </cols>
  <sheetData>
    <row r="1" spans="1:11" s="8" customFormat="1" x14ac:dyDescent="0.55000000000000004">
      <c r="A1" s="14" t="s">
        <v>1</v>
      </c>
      <c r="B1" s="12" t="s">
        <v>77</v>
      </c>
      <c r="C1" s="12" t="s">
        <v>70</v>
      </c>
      <c r="D1" s="1" t="s">
        <v>3</v>
      </c>
      <c r="E1" s="8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46" t="s">
        <v>144</v>
      </c>
      <c r="K1" s="9"/>
    </row>
    <row r="2" spans="1:11" x14ac:dyDescent="0.55000000000000004">
      <c r="A2" s="19">
        <v>44256</v>
      </c>
      <c r="B2" s="17"/>
      <c r="C2" s="17" t="s">
        <v>5</v>
      </c>
      <c r="D2" s="1" t="s">
        <v>56</v>
      </c>
      <c r="E2" s="8" t="s">
        <v>5</v>
      </c>
      <c r="F2" s="20">
        <v>728393</v>
      </c>
      <c r="G2" s="20"/>
      <c r="H2" s="18"/>
      <c r="I2" s="18">
        <f>ZAN[[#This Row],[Opening]]+ZAN[[#This Row],[Purchase]]-ZAN[[#This Row],[Payment]]</f>
        <v>728393</v>
      </c>
      <c r="J2" s="46">
        <f>ZAN[[#This Row],[Balance]]</f>
        <v>728393</v>
      </c>
    </row>
    <row r="3" spans="1:11" x14ac:dyDescent="0.55000000000000004">
      <c r="A3" s="19">
        <v>44257</v>
      </c>
      <c r="B3" s="17">
        <v>79213</v>
      </c>
      <c r="C3" s="17" t="s">
        <v>6</v>
      </c>
      <c r="D3" s="1" t="s">
        <v>56</v>
      </c>
      <c r="E3" s="8" t="s">
        <v>87</v>
      </c>
      <c r="F3" s="20"/>
      <c r="G3" s="20">
        <v>31000</v>
      </c>
      <c r="H3" s="18"/>
      <c r="I3" s="18">
        <f>ZAN[[#This Row],[Opening]]+ZAN[[#This Row],[Purchase]]-ZAN[[#This Row],[Payment]]</f>
        <v>31000</v>
      </c>
      <c r="J3" s="46">
        <f>J2+ZAN[[#This Row],[Purchase]]-ZAN[[#This Row],[Payment]]</f>
        <v>759393</v>
      </c>
    </row>
    <row r="4" spans="1:11" x14ac:dyDescent="0.55000000000000004">
      <c r="A4" s="19">
        <v>44258</v>
      </c>
      <c r="B4" s="17">
        <v>1203211</v>
      </c>
      <c r="C4" s="17" t="s">
        <v>6</v>
      </c>
      <c r="D4" s="1" t="s">
        <v>56</v>
      </c>
      <c r="E4" s="8" t="s">
        <v>108</v>
      </c>
      <c r="F4" s="20"/>
      <c r="G4" s="20">
        <v>32226</v>
      </c>
      <c r="H4" s="18"/>
      <c r="I4" s="18">
        <f>ZAN[[#This Row],[Opening]]+ZAN[[#This Row],[Purchase]]-ZAN[[#This Row],[Payment]]</f>
        <v>32226</v>
      </c>
      <c r="J4" s="46">
        <f>J3+ZAN[[#This Row],[Purchase]]-ZAN[[#This Row],[Payment]]</f>
        <v>791619</v>
      </c>
    </row>
    <row r="5" spans="1:11" x14ac:dyDescent="0.55000000000000004">
      <c r="A5" s="19">
        <v>44261</v>
      </c>
      <c r="B5" s="17">
        <v>85213</v>
      </c>
      <c r="C5" s="17" t="s">
        <v>6</v>
      </c>
      <c r="D5" s="1" t="s">
        <v>56</v>
      </c>
      <c r="E5" s="8" t="s">
        <v>105</v>
      </c>
      <c r="F5" s="20"/>
      <c r="G5" s="20">
        <v>136801</v>
      </c>
      <c r="H5" s="18"/>
      <c r="I5" s="18">
        <f>ZAN[[#This Row],[Opening]]+ZAN[[#This Row],[Purchase]]-ZAN[[#This Row],[Payment]]</f>
        <v>136801</v>
      </c>
      <c r="J5" s="46">
        <f>J4+ZAN[[#This Row],[Purchase]]-ZAN[[#This Row],[Payment]]</f>
        <v>928420</v>
      </c>
    </row>
    <row r="6" spans="1:11" x14ac:dyDescent="0.55000000000000004">
      <c r="A6" s="19">
        <v>44267</v>
      </c>
      <c r="B6" s="17"/>
      <c r="C6" s="17" t="s">
        <v>7</v>
      </c>
      <c r="D6" s="1" t="s">
        <v>56</v>
      </c>
      <c r="E6" s="8" t="s">
        <v>112</v>
      </c>
      <c r="F6" s="20"/>
      <c r="G6" s="20"/>
      <c r="H6" s="18">
        <v>500000</v>
      </c>
      <c r="I6" s="18">
        <f>ZAN[[#This Row],[Opening]]+ZAN[[#This Row],[Purchase]]-ZAN[[#This Row],[Payment]]</f>
        <v>-500000</v>
      </c>
      <c r="J6" s="46">
        <f>J5+ZAN[[#This Row],[Purchase]]-ZAN[[#This Row],[Payment]]</f>
        <v>428420</v>
      </c>
    </row>
    <row r="7" spans="1:11" x14ac:dyDescent="0.55000000000000004">
      <c r="A7" s="19">
        <v>44266</v>
      </c>
      <c r="B7" s="17">
        <v>94213</v>
      </c>
      <c r="C7" s="17" t="s">
        <v>6</v>
      </c>
      <c r="D7" s="1" t="s">
        <v>56</v>
      </c>
      <c r="E7" s="8" t="s">
        <v>120</v>
      </c>
      <c r="F7" s="20"/>
      <c r="G7" s="20">
        <v>186385</v>
      </c>
      <c r="H7" s="18"/>
      <c r="I7" s="18">
        <f>ZAN[[#This Row],[Opening]]+ZAN[[#This Row],[Purchase]]-ZAN[[#This Row],[Payment]]</f>
        <v>186385</v>
      </c>
      <c r="J7" s="46">
        <f>J6+ZAN[[#This Row],[Purchase]]-ZAN[[#This Row],[Payment]]</f>
        <v>614805</v>
      </c>
    </row>
    <row r="8" spans="1:11" x14ac:dyDescent="0.55000000000000004">
      <c r="A8" s="19">
        <v>44275</v>
      </c>
      <c r="B8" s="17">
        <v>232211</v>
      </c>
      <c r="C8" s="17" t="s">
        <v>6</v>
      </c>
      <c r="D8" s="1" t="s">
        <v>56</v>
      </c>
      <c r="E8" s="8" t="s">
        <v>125</v>
      </c>
      <c r="F8" s="20"/>
      <c r="G8" s="20">
        <v>47250</v>
      </c>
      <c r="H8" s="18"/>
      <c r="I8" s="18">
        <f>ZAN[[#This Row],[Opening]]+ZAN[[#This Row],[Purchase]]-ZAN[[#This Row],[Payment]]</f>
        <v>47250</v>
      </c>
      <c r="J8" s="46">
        <f>J7+ZAN[[#This Row],[Purchase]]-ZAN[[#This Row],[Payment]]</f>
        <v>662055</v>
      </c>
    </row>
    <row r="9" spans="1:11" x14ac:dyDescent="0.55000000000000004">
      <c r="A9" s="19">
        <v>44275</v>
      </c>
      <c r="B9" s="17">
        <v>231211</v>
      </c>
      <c r="C9" s="17" t="s">
        <v>6</v>
      </c>
      <c r="D9" s="1" t="s">
        <v>56</v>
      </c>
      <c r="E9" s="8" t="s">
        <v>126</v>
      </c>
      <c r="F9" s="20"/>
      <c r="G9" s="20">
        <v>317565</v>
      </c>
      <c r="H9" s="18"/>
      <c r="I9" s="18">
        <f>ZAN[[#This Row],[Opening]]+ZAN[[#This Row],[Purchase]]-ZAN[[#This Row],[Payment]]</f>
        <v>317565</v>
      </c>
      <c r="J9" s="46">
        <f>J8+ZAN[[#This Row],[Purchase]]-ZAN[[#This Row],[Payment]]</f>
        <v>979620</v>
      </c>
    </row>
    <row r="10" spans="1:11" x14ac:dyDescent="0.55000000000000004">
      <c r="A10" s="19">
        <v>44280</v>
      </c>
      <c r="B10" s="17">
        <v>236211</v>
      </c>
      <c r="C10" s="17" t="s">
        <v>6</v>
      </c>
      <c r="D10" s="1" t="s">
        <v>56</v>
      </c>
      <c r="E10" s="8" t="s">
        <v>129</v>
      </c>
      <c r="F10" s="20"/>
      <c r="G10" s="20">
        <v>568552</v>
      </c>
      <c r="H10" s="18"/>
      <c r="I10" s="18">
        <f>ZAN[[#This Row],[Opening]]+ZAN[[#This Row],[Purchase]]-ZAN[[#This Row],[Payment]]</f>
        <v>568552</v>
      </c>
      <c r="J10" s="46">
        <f>J9+ZAN[[#This Row],[Purchase]]-ZAN[[#This Row],[Payment]]</f>
        <v>1548172</v>
      </c>
    </row>
    <row r="11" spans="1:11" x14ac:dyDescent="0.55000000000000004">
      <c r="A11" s="31">
        <v>44285</v>
      </c>
      <c r="B11" s="32">
        <v>254211</v>
      </c>
      <c r="C11" s="32" t="s">
        <v>6</v>
      </c>
      <c r="D11" s="1" t="s">
        <v>56</v>
      </c>
      <c r="E11" s="8" t="s">
        <v>131</v>
      </c>
      <c r="F11" s="34"/>
      <c r="G11" s="34">
        <v>393745</v>
      </c>
      <c r="H11" s="35"/>
      <c r="I11" s="35">
        <f>ZAN[[#This Row],[Opening]]+ZAN[[#This Row],[Purchase]]-ZAN[[#This Row],[Payment]]</f>
        <v>393745</v>
      </c>
      <c r="J11" s="46">
        <f>J10+ZAN[[#This Row],[Purchase]]-ZAN[[#This Row],[Payment]]</f>
        <v>1941917</v>
      </c>
    </row>
    <row r="12" spans="1:11" x14ac:dyDescent="0.55000000000000004">
      <c r="A12" s="31">
        <v>44285</v>
      </c>
      <c r="B12" s="32"/>
      <c r="C12" s="32" t="s">
        <v>7</v>
      </c>
      <c r="D12" s="1" t="s">
        <v>56</v>
      </c>
      <c r="E12" s="8" t="s">
        <v>112</v>
      </c>
      <c r="F12" s="34"/>
      <c r="G12" s="34"/>
      <c r="H12" s="35">
        <v>500000</v>
      </c>
      <c r="I12" s="35">
        <f>ZAN[[#This Row],[Opening]]+ZAN[[#This Row],[Purchase]]-ZAN[[#This Row],[Payment]]</f>
        <v>-500000</v>
      </c>
      <c r="J12" s="46">
        <f>J11+ZAN[[#This Row],[Purchase]]-ZAN[[#This Row],[Payment]]</f>
        <v>1441917</v>
      </c>
    </row>
    <row r="13" spans="1:11" x14ac:dyDescent="0.55000000000000004">
      <c r="A13" s="36"/>
      <c r="B13" s="37"/>
      <c r="C13" s="37"/>
      <c r="D13" s="38"/>
      <c r="E13" s="39"/>
      <c r="F13" s="40"/>
      <c r="G13" s="40"/>
      <c r="H13" s="41"/>
      <c r="I13" s="41"/>
    </row>
    <row r="14" spans="1:11" x14ac:dyDescent="0.55000000000000004">
      <c r="A14" s="36"/>
      <c r="B14" s="37"/>
      <c r="C14" s="37"/>
      <c r="D14" s="38"/>
      <c r="E14" s="39"/>
      <c r="F14" s="40"/>
      <c r="G14" s="40"/>
      <c r="H14" s="41"/>
      <c r="I14" s="41"/>
    </row>
    <row r="15" spans="1:11" x14ac:dyDescent="0.55000000000000004">
      <c r="A15" s="36"/>
      <c r="B15" s="37"/>
      <c r="C15" s="37"/>
      <c r="D15" s="38"/>
      <c r="E15" s="39"/>
      <c r="F15" s="40"/>
      <c r="G15" s="40"/>
      <c r="H15" s="41"/>
      <c r="I15" s="41"/>
    </row>
    <row r="16" spans="1:11" x14ac:dyDescent="0.55000000000000004">
      <c r="A16" s="36"/>
      <c r="B16" s="37"/>
      <c r="C16" s="37"/>
      <c r="D16" s="38"/>
      <c r="E16" s="39"/>
      <c r="F16" s="40"/>
      <c r="G16" s="40"/>
      <c r="H16" s="41"/>
      <c r="I16" s="41"/>
    </row>
    <row r="17" spans="1:9" x14ac:dyDescent="0.55000000000000004">
      <c r="A17" s="36"/>
      <c r="B17" s="37"/>
      <c r="C17" s="37"/>
      <c r="D17" s="38"/>
      <c r="E17" s="39"/>
      <c r="F17" s="40"/>
      <c r="G17" s="40"/>
      <c r="H17" s="41"/>
      <c r="I17" s="41"/>
    </row>
    <row r="18" spans="1:9" x14ac:dyDescent="0.55000000000000004">
      <c r="A18" s="36"/>
      <c r="B18" s="37"/>
      <c r="C18" s="37"/>
      <c r="D18" s="38"/>
      <c r="E18" s="39"/>
      <c r="F18" s="40"/>
      <c r="G18" s="40"/>
      <c r="H18" s="41"/>
      <c r="I18" s="4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2060"/>
  </sheetPr>
  <dimension ref="A1:K27"/>
  <sheetViews>
    <sheetView zoomScaleNormal="100" workbookViewId="0">
      <selection activeCell="F3" sqref="F3"/>
    </sheetView>
  </sheetViews>
  <sheetFormatPr defaultColWidth="8.7109375" defaultRowHeight="21.75" x14ac:dyDescent="0.55000000000000004"/>
  <cols>
    <col min="1" max="1" width="3.5703125" style="1" bestFit="1" customWidth="1"/>
    <col min="2" max="2" width="24.42578125" style="1" customWidth="1"/>
    <col min="3" max="3" width="17.5703125" style="9" bestFit="1" customWidth="1"/>
    <col min="4" max="4" width="18.42578125" style="9" customWidth="1"/>
    <col min="5" max="5" width="16.28515625" style="9" customWidth="1"/>
    <col min="6" max="6" width="15.42578125" style="9" bestFit="1" customWidth="1"/>
    <col min="7" max="7" width="11.85546875" style="10" bestFit="1" customWidth="1"/>
    <col min="8" max="8" width="10.85546875" style="10" bestFit="1" customWidth="1"/>
    <col min="9" max="10" width="8.7109375" style="1"/>
    <col min="11" max="11" width="24.42578125" style="1" bestFit="1" customWidth="1"/>
    <col min="12" max="16384" width="8.7109375" style="1"/>
  </cols>
  <sheetData>
    <row r="1" spans="1:11" s="8" customFormat="1" x14ac:dyDescent="0.55000000000000004">
      <c r="A1" s="22" t="s">
        <v>0</v>
      </c>
      <c r="B1" s="22" t="s">
        <v>3</v>
      </c>
      <c r="C1" s="23" t="s">
        <v>5</v>
      </c>
      <c r="D1" s="23" t="s">
        <v>6</v>
      </c>
      <c r="E1" s="23" t="s">
        <v>7</v>
      </c>
      <c r="F1" s="23" t="s">
        <v>8</v>
      </c>
      <c r="G1" s="9"/>
      <c r="H1" s="9"/>
      <c r="K1" s="13"/>
    </row>
    <row r="2" spans="1:11" x14ac:dyDescent="0.55000000000000004">
      <c r="A2" s="24">
        <v>1</v>
      </c>
      <c r="B2" s="24" t="s">
        <v>9</v>
      </c>
      <c r="C2" s="21">
        <f>SUMIF('Data Combine'!$D:$D,$B2,'Data Combine'!F:F)</f>
        <v>640740</v>
      </c>
      <c r="D2" s="21">
        <f>SUMIF('Data Combine'!$D:$D,$B2,'Data Combine'!G:G)</f>
        <v>0</v>
      </c>
      <c r="E2" s="21">
        <f>SUMIF('Data Combine'!$D:$D,$B2,'Data Combine'!H:H)</f>
        <v>10120</v>
      </c>
      <c r="F2" s="21">
        <f>SUMIF('Data Combine'!$D:$D,$B2,'Data Combine'!I:I)</f>
        <v>640740</v>
      </c>
      <c r="K2" s="13"/>
    </row>
    <row r="3" spans="1:11" x14ac:dyDescent="0.55000000000000004">
      <c r="A3" s="24">
        <v>2</v>
      </c>
      <c r="B3" s="25" t="s">
        <v>15</v>
      </c>
      <c r="C3" s="21">
        <f>SUMIF('Data Combine'!$D:$D,$B3,'Data Combine'!F:F)</f>
        <v>566210</v>
      </c>
      <c r="D3" s="21">
        <f>SUMIF('Data Combine'!$D:$D,$B3,'Data Combine'!G:G)</f>
        <v>370000</v>
      </c>
      <c r="E3" s="21">
        <f>SUMIF('Data Combine'!$D:$D,$B3,'Data Combine'!H:H)</f>
        <v>936210</v>
      </c>
      <c r="F3" s="21">
        <f>SUMIF('Data Combine'!$D:$D,$B3,'Data Combine'!I:I)</f>
        <v>0</v>
      </c>
      <c r="G3" s="1"/>
      <c r="H3" s="1"/>
      <c r="K3" s="13"/>
    </row>
    <row r="4" spans="1:11" x14ac:dyDescent="0.55000000000000004">
      <c r="A4" s="24">
        <v>3</v>
      </c>
      <c r="B4" s="25" t="s">
        <v>18</v>
      </c>
      <c r="C4" s="21">
        <f>SUMIF('Data Combine'!$D:$D,$B4,'Data Combine'!F:F)</f>
        <v>896951</v>
      </c>
      <c r="D4" s="21">
        <f>SUMIF('Data Combine'!$D:$D,$B4,'Data Combine'!G:G)</f>
        <v>292706</v>
      </c>
      <c r="E4" s="21">
        <f>SUMIF('Data Combine'!$D:$D,$B4,'Data Combine'!H:H)</f>
        <v>500000</v>
      </c>
      <c r="F4" s="21">
        <f>SUMIF('Data Combine'!$D:$D,$B4,'Data Combine'!I:I)</f>
        <v>689657</v>
      </c>
      <c r="G4" s="1"/>
      <c r="H4" s="1"/>
      <c r="K4" s="13"/>
    </row>
    <row r="5" spans="1:11" x14ac:dyDescent="0.55000000000000004">
      <c r="A5" s="24">
        <v>4</v>
      </c>
      <c r="B5" s="25" t="s">
        <v>78</v>
      </c>
      <c r="C5" s="21">
        <f>SUMIF('Data Combine'!$D:$D,$B5,'Data Combine'!F:F)</f>
        <v>829260</v>
      </c>
      <c r="D5" s="21">
        <f>SUMIF('Data Combine'!$D:$D,$B5,'Data Combine'!G:G)</f>
        <v>0</v>
      </c>
      <c r="E5" s="21">
        <f>SUMIF('Data Combine'!$D:$D,$B5,'Data Combine'!H:H)</f>
        <v>0</v>
      </c>
      <c r="F5" s="21">
        <f>SUMIF('Data Combine'!$D:$D,$B5,'Data Combine'!I:I)</f>
        <v>829260</v>
      </c>
      <c r="G5" s="1"/>
      <c r="H5" s="1"/>
      <c r="K5" s="13"/>
    </row>
    <row r="6" spans="1:11" x14ac:dyDescent="0.55000000000000004">
      <c r="A6" s="24">
        <v>5</v>
      </c>
      <c r="B6" s="25" t="s">
        <v>80</v>
      </c>
      <c r="C6" s="21">
        <f>SUMIF('Data Combine'!$D:$D,$B6,'Data Combine'!F:F)</f>
        <v>10325000</v>
      </c>
      <c r="D6" s="21">
        <f>SUMIF('Data Combine'!$D:$D,$B6,'Data Combine'!G:G)</f>
        <v>0</v>
      </c>
      <c r="E6" s="21">
        <f>SUMIF('Data Combine'!$D:$D,$B6,'Data Combine'!H:H)</f>
        <v>0</v>
      </c>
      <c r="F6" s="21">
        <f>SUMIF('Data Combine'!$D:$D,$B6,'Data Combine'!I:I)</f>
        <v>10325000</v>
      </c>
      <c r="G6" s="1"/>
      <c r="H6" s="1"/>
      <c r="K6" s="13"/>
    </row>
    <row r="7" spans="1:11" x14ac:dyDescent="0.55000000000000004">
      <c r="A7" s="24">
        <v>6</v>
      </c>
      <c r="B7" s="25" t="s">
        <v>79</v>
      </c>
      <c r="C7" s="21">
        <f>SUMIF('Data Combine'!$D:$D,$B7,'Data Combine'!F:F)</f>
        <v>32492000</v>
      </c>
      <c r="D7" s="21">
        <f>SUMIF('Data Combine'!$D:$D,$B7,'Data Combine'!G:G)</f>
        <v>0</v>
      </c>
      <c r="E7" s="21">
        <f>SUMIF('Data Combine'!$D:$D,$B7,'Data Combine'!H:H)</f>
        <v>0</v>
      </c>
      <c r="F7" s="21">
        <f>SUMIF('Data Combine'!$D:$D,$B7,'Data Combine'!I:I)</f>
        <v>32492000</v>
      </c>
      <c r="G7" s="1"/>
      <c r="H7" s="1"/>
      <c r="K7" s="13"/>
    </row>
    <row r="8" spans="1:11" x14ac:dyDescent="0.55000000000000004">
      <c r="A8" s="24">
        <v>7</v>
      </c>
      <c r="B8" s="25" t="s">
        <v>29</v>
      </c>
      <c r="C8" s="21">
        <f>SUMIF('Data Combine'!$D:$D,$B8,'Data Combine'!F:F)</f>
        <v>3712325</v>
      </c>
      <c r="D8" s="21">
        <f>SUMIF('Data Combine'!$D:$D,$B8,'Data Combine'!G:G)</f>
        <v>1138010</v>
      </c>
      <c r="E8" s="21">
        <f>SUMIF('Data Combine'!$D:$D,$B8,'Data Combine'!H:H)</f>
        <v>2600000</v>
      </c>
      <c r="F8" s="21">
        <f>SUMIF('Data Combine'!$D:$D,$B8,'Data Combine'!I:I)</f>
        <v>2250335</v>
      </c>
      <c r="G8" s="1"/>
      <c r="H8" s="1"/>
      <c r="K8" s="13"/>
    </row>
    <row r="9" spans="1:11" x14ac:dyDescent="0.55000000000000004">
      <c r="A9" s="24">
        <v>8</v>
      </c>
      <c r="B9" s="25" t="s">
        <v>81</v>
      </c>
      <c r="C9" s="21">
        <f>SUMIF('Data Combine'!$D:$D,$B9,'Data Combine'!F:F)</f>
        <v>3450000</v>
      </c>
      <c r="D9" s="21">
        <f>SUMIF('Data Combine'!$D:$D,$B9,'Data Combine'!G:G)</f>
        <v>1300700</v>
      </c>
      <c r="E9" s="21">
        <f>SUMIF('Data Combine'!$D:$D,$B9,'Data Combine'!H:H)</f>
        <v>2500000</v>
      </c>
      <c r="F9" s="21">
        <f>SUMIF('Data Combine'!$D:$D,$B9,'Data Combine'!I:I)</f>
        <v>2250700</v>
      </c>
      <c r="G9" s="1"/>
      <c r="H9" s="1"/>
      <c r="K9" s="13"/>
    </row>
    <row r="10" spans="1:11" x14ac:dyDescent="0.55000000000000004">
      <c r="A10" s="24">
        <v>9</v>
      </c>
      <c r="B10" s="25" t="s">
        <v>58</v>
      </c>
      <c r="C10" s="21">
        <f>SUMIF('Data Combine'!$D:$D,$B10,'Data Combine'!F:F)</f>
        <v>2198426</v>
      </c>
      <c r="D10" s="21">
        <f>SUMIF('Data Combine'!$D:$D,$B10,'Data Combine'!G:G)</f>
        <v>985696</v>
      </c>
      <c r="E10" s="21">
        <f>SUMIF('Data Combine'!$D:$D,$B10,'Data Combine'!H:H)</f>
        <v>1000000</v>
      </c>
      <c r="F10" s="21">
        <f>SUMIF('Data Combine'!$D:$D,$B10,'Data Combine'!I:I)</f>
        <v>2184122</v>
      </c>
      <c r="G10" s="1"/>
      <c r="H10" s="1"/>
      <c r="K10" s="13"/>
    </row>
    <row r="11" spans="1:11" x14ac:dyDescent="0.55000000000000004">
      <c r="A11" s="24">
        <v>10</v>
      </c>
      <c r="B11" s="25" t="s">
        <v>42</v>
      </c>
      <c r="C11" s="21">
        <f>SUMIF('Data Combine'!$D:$D,$B11,'Data Combine'!F:F)</f>
        <v>672600</v>
      </c>
      <c r="D11" s="21">
        <f>SUMIF('Data Combine'!$D:$D,$B11,'Data Combine'!G:G)</f>
        <v>35000</v>
      </c>
      <c r="E11" s="21">
        <f>SUMIF('Data Combine'!$D:$D,$B11,'Data Combine'!H:H)</f>
        <v>672600</v>
      </c>
      <c r="F11" s="21">
        <f>SUMIF('Data Combine'!$D:$D,$B11,'Data Combine'!I:I)</f>
        <v>35000</v>
      </c>
      <c r="G11" s="1"/>
      <c r="H11" s="1"/>
      <c r="K11" s="13"/>
    </row>
    <row r="12" spans="1:11" x14ac:dyDescent="0.55000000000000004">
      <c r="A12" s="24">
        <v>11</v>
      </c>
      <c r="B12" s="25" t="s">
        <v>82</v>
      </c>
      <c r="C12" s="21">
        <f>SUMIF('Data Combine'!$D:$D,$B12,'Data Combine'!F:F)</f>
        <v>649730</v>
      </c>
      <c r="D12" s="21">
        <f>SUMIF('Data Combine'!$D:$D,$B12,'Data Combine'!G:G)</f>
        <v>516700</v>
      </c>
      <c r="E12" s="21">
        <f>SUMIF('Data Combine'!$D:$D,$B12,'Data Combine'!H:H)</f>
        <v>1033930</v>
      </c>
      <c r="F12" s="21">
        <f>SUMIF('Data Combine'!$D:$D,$B12,'Data Combine'!I:I)</f>
        <v>132500</v>
      </c>
      <c r="K12" s="13"/>
    </row>
    <row r="13" spans="1:11" x14ac:dyDescent="0.55000000000000004">
      <c r="A13" s="24">
        <v>12</v>
      </c>
      <c r="B13" s="25" t="s">
        <v>44</v>
      </c>
      <c r="C13" s="21">
        <f>SUMIF('Data Combine'!$D:$D,$B13,'Data Combine'!F:F)</f>
        <v>2208992</v>
      </c>
      <c r="D13" s="21">
        <f>SUMIF('Data Combine'!$D:$D,$B13,'Data Combine'!G:G)</f>
        <v>0</v>
      </c>
      <c r="E13" s="21">
        <f>SUMIF('Data Combine'!$D:$D,$B13,'Data Combine'!H:H)</f>
        <v>0</v>
      </c>
      <c r="F13" s="21">
        <f>SUMIF('Data Combine'!$D:$D,$B13,'Data Combine'!I:I)</f>
        <v>2208992</v>
      </c>
      <c r="K13" s="13"/>
    </row>
    <row r="14" spans="1:11" x14ac:dyDescent="0.55000000000000004">
      <c r="A14" s="24">
        <v>13</v>
      </c>
      <c r="B14" s="25" t="s">
        <v>83</v>
      </c>
      <c r="C14" s="21">
        <f>SUMIF('Data Combine'!$D:$D,$B14,'Data Combine'!F:F)</f>
        <v>584250</v>
      </c>
      <c r="D14" s="21">
        <f>SUMIF('Data Combine'!$D:$D,$B14,'Data Combine'!G:G)</f>
        <v>3309460</v>
      </c>
      <c r="E14" s="21">
        <f>SUMIF('Data Combine'!$D:$D,$B14,'Data Combine'!H:H)</f>
        <v>2084250</v>
      </c>
      <c r="F14" s="21">
        <f>SUMIF('Data Combine'!$D:$D,$B14,'Data Combine'!I:I)</f>
        <v>1809460</v>
      </c>
      <c r="K14" s="13"/>
    </row>
    <row r="15" spans="1:11" x14ac:dyDescent="0.55000000000000004">
      <c r="A15" s="24">
        <v>14</v>
      </c>
      <c r="B15" s="25" t="s">
        <v>84</v>
      </c>
      <c r="C15" s="21">
        <f>SUMIF('Data Combine'!$D:$D,$B15,'Data Combine'!F:F)</f>
        <v>2754773</v>
      </c>
      <c r="D15" s="21">
        <f>SUMIF('Data Combine'!$D:$D,$B15,'Data Combine'!G:G)</f>
        <v>0</v>
      </c>
      <c r="E15" s="21">
        <f>SUMIF('Data Combine'!$D:$D,$B15,'Data Combine'!H:H)</f>
        <v>0</v>
      </c>
      <c r="F15" s="21">
        <f>SUMIF('Data Combine'!$D:$D,$B15,'Data Combine'!I:I)</f>
        <v>2754773</v>
      </c>
      <c r="K15" s="13"/>
    </row>
    <row r="16" spans="1:11" x14ac:dyDescent="0.55000000000000004">
      <c r="A16" s="24">
        <v>15</v>
      </c>
      <c r="B16" s="25" t="s">
        <v>48</v>
      </c>
      <c r="C16" s="21">
        <f>SUMIF('Data Combine'!$D:$D,$B16,'Data Combine'!F:F)</f>
        <v>5856500</v>
      </c>
      <c r="D16" s="21">
        <f>SUMIF('Data Combine'!$D:$D,$B16,'Data Combine'!G:G)</f>
        <v>3578000</v>
      </c>
      <c r="E16" s="21">
        <f>SUMIF('Data Combine'!$D:$D,$B16,'Data Combine'!H:H)</f>
        <v>3500000</v>
      </c>
      <c r="F16" s="21">
        <f>SUMIF('Data Combine'!$D:$D,$B16,'Data Combine'!I:I)</f>
        <v>5934500</v>
      </c>
      <c r="K16" s="13"/>
    </row>
    <row r="17" spans="1:11" x14ac:dyDescent="0.55000000000000004">
      <c r="A17" s="24">
        <v>16</v>
      </c>
      <c r="B17" s="25" t="s">
        <v>50</v>
      </c>
      <c r="C17" s="21">
        <f>SUMIF('Data Combine'!$D:$D,$B17,'Data Combine'!F:F)</f>
        <v>175000</v>
      </c>
      <c r="D17" s="21">
        <f>SUMIF('Data Combine'!$D:$D,$B17,'Data Combine'!G:G)</f>
        <v>19500</v>
      </c>
      <c r="E17" s="21">
        <f>SUMIF('Data Combine'!$D:$D,$B17,'Data Combine'!H:H)</f>
        <v>194500</v>
      </c>
      <c r="F17" s="21">
        <f>SUMIF('Data Combine'!$D:$D,$B17,'Data Combine'!I:I)</f>
        <v>0</v>
      </c>
      <c r="K17" s="13"/>
    </row>
    <row r="18" spans="1:11" x14ac:dyDescent="0.55000000000000004">
      <c r="A18" s="24">
        <v>17</v>
      </c>
      <c r="B18" s="25" t="s">
        <v>65</v>
      </c>
      <c r="C18" s="21">
        <f>SUMIF('Data Combine'!$D:$D,$B18,'Data Combine'!F:F)</f>
        <v>269200</v>
      </c>
      <c r="D18" s="21">
        <f>SUMIF('Data Combine'!$D:$D,$B18,'Data Combine'!G:G)</f>
        <v>26500</v>
      </c>
      <c r="E18" s="21">
        <f>SUMIF('Data Combine'!$D:$D,$B18,'Data Combine'!H:H)</f>
        <v>295700</v>
      </c>
      <c r="F18" s="21">
        <f>SUMIF('Data Combine'!$D:$D,$B18,'Data Combine'!I:I)</f>
        <v>0</v>
      </c>
      <c r="K18" s="13"/>
    </row>
    <row r="19" spans="1:11" x14ac:dyDescent="0.55000000000000004">
      <c r="A19" s="24">
        <v>18</v>
      </c>
      <c r="B19" s="25" t="s">
        <v>85</v>
      </c>
      <c r="C19" s="21">
        <f>SUMIF('Data Combine'!$D:$D,$B19,'Data Combine'!F:F)</f>
        <v>1145500</v>
      </c>
      <c r="D19" s="21">
        <f>SUMIF('Data Combine'!$D:$D,$B19,'Data Combine'!G:G)</f>
        <v>0</v>
      </c>
      <c r="E19" s="21">
        <f>SUMIF('Data Combine'!$D:$D,$B19,'Data Combine'!H:H)</f>
        <v>0</v>
      </c>
      <c r="F19" s="21">
        <f>SUMIF('Data Combine'!$D:$D,$B19,'Data Combine'!I:I)</f>
        <v>1145500</v>
      </c>
      <c r="K19" s="13"/>
    </row>
    <row r="20" spans="1:11" x14ac:dyDescent="0.55000000000000004">
      <c r="A20" s="24">
        <v>19</v>
      </c>
      <c r="B20" s="25" t="s">
        <v>86</v>
      </c>
      <c r="C20" s="21">
        <f>SUMIF('Data Combine'!$D:$D,$B20,'Data Combine'!F:F)</f>
        <v>143000</v>
      </c>
      <c r="D20" s="21">
        <f>SUMIF('Data Combine'!$D:$D,$B20,'Data Combine'!G:G)</f>
        <v>0</v>
      </c>
      <c r="E20" s="21">
        <f>SUMIF('Data Combine'!$D:$D,$B20,'Data Combine'!H:H)</f>
        <v>0</v>
      </c>
      <c r="F20" s="21">
        <f>SUMIF('Data Combine'!$D:$D,$B20,'Data Combine'!I:I)</f>
        <v>143000</v>
      </c>
      <c r="K20" s="13"/>
    </row>
    <row r="21" spans="1:11" x14ac:dyDescent="0.55000000000000004">
      <c r="A21" s="24">
        <v>20</v>
      </c>
      <c r="B21" s="25" t="s">
        <v>56</v>
      </c>
      <c r="C21" s="21">
        <f>SUMIF('Data Combine'!$D:$D,$B21,'Data Combine'!F:F)</f>
        <v>728393</v>
      </c>
      <c r="D21" s="21">
        <f>SUMIF('Data Combine'!$D:$D,$B21,'Data Combine'!G:G)</f>
        <v>1713524</v>
      </c>
      <c r="E21" s="21">
        <f>SUMIF('Data Combine'!$D:$D,$B21,'Data Combine'!H:H)</f>
        <v>1000000</v>
      </c>
      <c r="F21" s="21">
        <f>SUMIF('Data Combine'!$D:$D,$B21,'Data Combine'!I:I)</f>
        <v>1441917</v>
      </c>
      <c r="K21"/>
    </row>
    <row r="22" spans="1:11" x14ac:dyDescent="0.55000000000000004">
      <c r="K22"/>
    </row>
    <row r="23" spans="1:11" ht="22.5" thickBot="1" x14ac:dyDescent="0.6">
      <c r="B23" s="27" t="s">
        <v>93</v>
      </c>
      <c r="C23" s="26">
        <f>SUM(C2:C22)</f>
        <v>70298850</v>
      </c>
      <c r="D23" s="26">
        <f>SUM(D2:D22)</f>
        <v>13285796</v>
      </c>
      <c r="E23" s="26">
        <f>SUM(E2:E22)</f>
        <v>16327310</v>
      </c>
      <c r="F23" s="26">
        <f>SUM(Real_balance[Balance])</f>
        <v>67267456</v>
      </c>
      <c r="K23"/>
    </row>
    <row r="24" spans="1:11" ht="22.5" thickTop="1" x14ac:dyDescent="0.55000000000000004">
      <c r="K24"/>
    </row>
    <row r="25" spans="1:11" x14ac:dyDescent="0.55000000000000004">
      <c r="K25"/>
    </row>
    <row r="26" spans="1:11" x14ac:dyDescent="0.55000000000000004">
      <c r="K26"/>
    </row>
    <row r="27" spans="1:11" x14ac:dyDescent="0.55000000000000004">
      <c r="K27"/>
    </row>
  </sheetData>
  <pageMargins left="0.2" right="0.2" top="0.75" bottom="0.75" header="0.3" footer="0.3"/>
  <pageSetup paperSize="11" scale="70" orientation="portrait" verticalDpi="0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4"/>
  <sheetViews>
    <sheetView topLeftCell="A79" workbookViewId="0">
      <selection activeCell="C92" sqref="C92"/>
    </sheetView>
  </sheetViews>
  <sheetFormatPr defaultColWidth="26.140625" defaultRowHeight="21.75" x14ac:dyDescent="0.55000000000000004"/>
  <cols>
    <col min="1" max="2" width="26.140625" style="1"/>
    <col min="3" max="6" width="26.140625" style="2"/>
    <col min="7" max="16384" width="26.140625" style="1"/>
  </cols>
  <sheetData>
    <row r="1" spans="1:6" x14ac:dyDescent="0.55000000000000004">
      <c r="A1" s="49" t="s">
        <v>97</v>
      </c>
      <c r="B1" s="49" t="s">
        <v>98</v>
      </c>
      <c r="C1" s="2" t="s">
        <v>147</v>
      </c>
      <c r="D1" s="2" t="s">
        <v>148</v>
      </c>
      <c r="E1" s="2" t="s">
        <v>149</v>
      </c>
      <c r="F1" s="2" t="s">
        <v>150</v>
      </c>
    </row>
    <row r="2" spans="1:6" x14ac:dyDescent="0.55000000000000004">
      <c r="A2" s="1" t="s">
        <v>9</v>
      </c>
      <c r="B2" s="1" t="s">
        <v>5</v>
      </c>
      <c r="C2" s="2">
        <v>640740</v>
      </c>
      <c r="F2" s="2">
        <v>640740</v>
      </c>
    </row>
    <row r="3" spans="1:6" x14ac:dyDescent="0.55000000000000004">
      <c r="A3" s="1" t="s">
        <v>9</v>
      </c>
      <c r="B3" s="1" t="s">
        <v>143</v>
      </c>
      <c r="D3" s="2">
        <v>10120</v>
      </c>
    </row>
    <row r="4" spans="1:6" x14ac:dyDescent="0.55000000000000004">
      <c r="A4" s="1" t="s">
        <v>15</v>
      </c>
      <c r="B4" s="1" t="s">
        <v>111</v>
      </c>
      <c r="E4" s="2">
        <v>370000</v>
      </c>
      <c r="F4" s="2">
        <v>370000</v>
      </c>
    </row>
    <row r="5" spans="1:6" x14ac:dyDescent="0.55000000000000004">
      <c r="A5" s="1" t="s">
        <v>15</v>
      </c>
      <c r="B5" s="1" t="s">
        <v>5</v>
      </c>
      <c r="C5" s="2">
        <v>566210</v>
      </c>
      <c r="F5" s="2">
        <v>566210</v>
      </c>
    </row>
    <row r="6" spans="1:6" x14ac:dyDescent="0.55000000000000004">
      <c r="A6" s="1" t="s">
        <v>15</v>
      </c>
      <c r="B6" s="1" t="s">
        <v>72</v>
      </c>
      <c r="D6" s="2">
        <v>936210</v>
      </c>
      <c r="F6" s="2">
        <v>-936210</v>
      </c>
    </row>
    <row r="7" spans="1:6" x14ac:dyDescent="0.55000000000000004">
      <c r="A7" s="1" t="s">
        <v>18</v>
      </c>
      <c r="B7" s="1" t="s">
        <v>89</v>
      </c>
      <c r="E7" s="2">
        <v>33940</v>
      </c>
      <c r="F7" s="2">
        <v>33940</v>
      </c>
    </row>
    <row r="8" spans="1:6" x14ac:dyDescent="0.55000000000000004">
      <c r="A8" s="1" t="s">
        <v>18</v>
      </c>
      <c r="B8" s="1" t="s">
        <v>75</v>
      </c>
      <c r="E8" s="2">
        <v>27400</v>
      </c>
      <c r="F8" s="2">
        <v>27400</v>
      </c>
    </row>
    <row r="9" spans="1:6" x14ac:dyDescent="0.55000000000000004">
      <c r="A9" s="1" t="s">
        <v>18</v>
      </c>
      <c r="B9" s="1" t="s">
        <v>5</v>
      </c>
      <c r="C9" s="2">
        <v>896951</v>
      </c>
      <c r="F9" s="2">
        <v>896951</v>
      </c>
    </row>
    <row r="10" spans="1:6" x14ac:dyDescent="0.55000000000000004">
      <c r="A10" s="1" t="s">
        <v>18</v>
      </c>
      <c r="B10" s="1" t="s">
        <v>104</v>
      </c>
      <c r="E10" s="2">
        <v>231366</v>
      </c>
      <c r="F10" s="2">
        <v>231366</v>
      </c>
    </row>
    <row r="11" spans="1:6" x14ac:dyDescent="0.55000000000000004">
      <c r="A11" s="1" t="s">
        <v>18</v>
      </c>
      <c r="B11" s="1" t="s">
        <v>141</v>
      </c>
      <c r="D11" s="2">
        <v>500000</v>
      </c>
      <c r="F11" s="2">
        <v>-500000</v>
      </c>
    </row>
    <row r="12" spans="1:6" x14ac:dyDescent="0.55000000000000004">
      <c r="A12" s="1" t="s">
        <v>78</v>
      </c>
      <c r="B12" s="1" t="s">
        <v>5</v>
      </c>
      <c r="C12" s="2">
        <v>829260</v>
      </c>
      <c r="F12" s="2">
        <v>829260</v>
      </c>
    </row>
    <row r="13" spans="1:6" x14ac:dyDescent="0.55000000000000004">
      <c r="A13" s="1" t="s">
        <v>80</v>
      </c>
      <c r="B13" s="1" t="s">
        <v>5</v>
      </c>
      <c r="C13" s="2">
        <v>10325000</v>
      </c>
      <c r="F13" s="2">
        <v>10325000</v>
      </c>
    </row>
    <row r="14" spans="1:6" x14ac:dyDescent="0.55000000000000004">
      <c r="A14" s="1" t="s">
        <v>79</v>
      </c>
      <c r="B14" s="1" t="s">
        <v>5</v>
      </c>
      <c r="C14" s="2">
        <v>32492000</v>
      </c>
      <c r="F14" s="2">
        <v>32492000</v>
      </c>
    </row>
    <row r="15" spans="1:6" x14ac:dyDescent="0.55000000000000004">
      <c r="A15" s="1" t="s">
        <v>29</v>
      </c>
      <c r="B15" s="1" t="s">
        <v>106</v>
      </c>
      <c r="E15" s="2">
        <v>78750</v>
      </c>
      <c r="F15" s="2">
        <v>78750</v>
      </c>
    </row>
    <row r="16" spans="1:6" x14ac:dyDescent="0.55000000000000004">
      <c r="A16" s="1" t="s">
        <v>29</v>
      </c>
      <c r="B16" s="1" t="s">
        <v>110</v>
      </c>
      <c r="E16" s="2">
        <v>160000</v>
      </c>
      <c r="F16" s="2">
        <v>160000</v>
      </c>
    </row>
    <row r="17" spans="1:6" x14ac:dyDescent="0.55000000000000004">
      <c r="A17" s="1" t="s">
        <v>29</v>
      </c>
      <c r="B17" s="1" t="s">
        <v>5</v>
      </c>
      <c r="C17" s="2">
        <v>3712325</v>
      </c>
      <c r="F17" s="2">
        <v>3712325</v>
      </c>
    </row>
    <row r="18" spans="1:6" x14ac:dyDescent="0.55000000000000004">
      <c r="A18" s="1" t="s">
        <v>29</v>
      </c>
      <c r="B18" s="1" t="s">
        <v>107</v>
      </c>
      <c r="E18" s="2">
        <v>72000</v>
      </c>
      <c r="F18" s="2">
        <v>72000</v>
      </c>
    </row>
    <row r="19" spans="1:6" x14ac:dyDescent="0.55000000000000004">
      <c r="A19" s="1" t="s">
        <v>29</v>
      </c>
      <c r="B19" s="1" t="s">
        <v>139</v>
      </c>
      <c r="E19" s="2">
        <v>188160</v>
      </c>
      <c r="F19" s="2">
        <v>188160</v>
      </c>
    </row>
    <row r="20" spans="1:6" x14ac:dyDescent="0.55000000000000004">
      <c r="A20" s="1" t="s">
        <v>29</v>
      </c>
      <c r="B20" s="1" t="s">
        <v>138</v>
      </c>
      <c r="E20" s="2">
        <v>51600</v>
      </c>
      <c r="F20" s="2">
        <v>51600</v>
      </c>
    </row>
    <row r="21" spans="1:6" x14ac:dyDescent="0.55000000000000004">
      <c r="A21" s="1" t="s">
        <v>29</v>
      </c>
      <c r="B21" s="1" t="s">
        <v>72</v>
      </c>
      <c r="D21" s="2">
        <v>2600000</v>
      </c>
      <c r="F21" s="2">
        <v>-2600000</v>
      </c>
    </row>
    <row r="22" spans="1:6" x14ac:dyDescent="0.55000000000000004">
      <c r="A22" s="1" t="s">
        <v>29</v>
      </c>
      <c r="B22" s="1" t="s">
        <v>137</v>
      </c>
      <c r="E22" s="2">
        <v>587500</v>
      </c>
      <c r="F22" s="2">
        <v>587500</v>
      </c>
    </row>
    <row r="23" spans="1:6" x14ac:dyDescent="0.55000000000000004">
      <c r="A23" s="1" t="s">
        <v>81</v>
      </c>
      <c r="B23" s="1" t="s">
        <v>124</v>
      </c>
      <c r="E23" s="2">
        <v>160500</v>
      </c>
      <c r="F23" s="2">
        <v>160500</v>
      </c>
    </row>
    <row r="24" spans="1:6" x14ac:dyDescent="0.55000000000000004">
      <c r="A24" s="1" t="s">
        <v>81</v>
      </c>
      <c r="B24" s="1" t="s">
        <v>103</v>
      </c>
      <c r="E24" s="2">
        <v>236000</v>
      </c>
      <c r="F24" s="2">
        <v>236000</v>
      </c>
    </row>
    <row r="25" spans="1:6" x14ac:dyDescent="0.55000000000000004">
      <c r="A25" s="1" t="s">
        <v>81</v>
      </c>
      <c r="B25" s="1" t="s">
        <v>73</v>
      </c>
      <c r="E25" s="2">
        <v>22500</v>
      </c>
      <c r="F25" s="2">
        <v>22500</v>
      </c>
    </row>
    <row r="26" spans="1:6" x14ac:dyDescent="0.55000000000000004">
      <c r="A26" s="1" t="s">
        <v>81</v>
      </c>
      <c r="B26" s="1" t="s">
        <v>71</v>
      </c>
      <c r="E26" s="2">
        <v>293400</v>
      </c>
      <c r="F26" s="2">
        <v>293400</v>
      </c>
    </row>
    <row r="27" spans="1:6" x14ac:dyDescent="0.55000000000000004">
      <c r="A27" s="1" t="s">
        <v>81</v>
      </c>
      <c r="B27" s="1" t="s">
        <v>134</v>
      </c>
      <c r="E27" s="2">
        <v>351600</v>
      </c>
      <c r="F27" s="2">
        <v>351600</v>
      </c>
    </row>
    <row r="28" spans="1:6" x14ac:dyDescent="0.55000000000000004">
      <c r="A28" s="1" t="s">
        <v>81</v>
      </c>
      <c r="B28" s="1" t="s">
        <v>122</v>
      </c>
      <c r="E28" s="2">
        <v>65000</v>
      </c>
      <c r="F28" s="2">
        <v>65000</v>
      </c>
    </row>
    <row r="29" spans="1:6" x14ac:dyDescent="0.55000000000000004">
      <c r="A29" s="1" t="s">
        <v>81</v>
      </c>
      <c r="B29" s="1" t="s">
        <v>5</v>
      </c>
      <c r="C29" s="2">
        <v>3450000</v>
      </c>
      <c r="F29" s="2">
        <v>3450000</v>
      </c>
    </row>
    <row r="30" spans="1:6" x14ac:dyDescent="0.55000000000000004">
      <c r="A30" s="1" t="s">
        <v>81</v>
      </c>
      <c r="B30" s="1" t="s">
        <v>119</v>
      </c>
      <c r="E30" s="2">
        <v>77000</v>
      </c>
      <c r="F30" s="2">
        <v>77000</v>
      </c>
    </row>
    <row r="31" spans="1:6" x14ac:dyDescent="0.55000000000000004">
      <c r="A31" s="1" t="s">
        <v>81</v>
      </c>
      <c r="B31" s="1" t="s">
        <v>128</v>
      </c>
      <c r="E31" s="2">
        <v>94700</v>
      </c>
      <c r="F31" s="2">
        <v>94700</v>
      </c>
    </row>
    <row r="32" spans="1:6" x14ac:dyDescent="0.55000000000000004">
      <c r="A32" s="1" t="s">
        <v>81</v>
      </c>
      <c r="B32" s="1" t="s">
        <v>112</v>
      </c>
      <c r="D32" s="2">
        <v>2500000</v>
      </c>
      <c r="F32" s="2">
        <v>-2500000</v>
      </c>
    </row>
    <row r="33" spans="1:6" x14ac:dyDescent="0.55000000000000004">
      <c r="A33" s="1" t="s">
        <v>58</v>
      </c>
      <c r="B33" s="1" t="s">
        <v>88</v>
      </c>
      <c r="E33" s="2">
        <v>353496</v>
      </c>
      <c r="F33" s="2">
        <v>353496</v>
      </c>
    </row>
    <row r="34" spans="1:6" x14ac:dyDescent="0.55000000000000004">
      <c r="A34" s="1" t="s">
        <v>58</v>
      </c>
      <c r="B34" s="1" t="s">
        <v>117</v>
      </c>
      <c r="E34" s="2">
        <v>356500</v>
      </c>
      <c r="F34" s="2">
        <v>356500</v>
      </c>
    </row>
    <row r="35" spans="1:6" x14ac:dyDescent="0.55000000000000004">
      <c r="A35" s="1" t="s">
        <v>58</v>
      </c>
      <c r="B35" s="1" t="s">
        <v>5</v>
      </c>
      <c r="C35" s="2">
        <v>2198426</v>
      </c>
      <c r="F35" s="2">
        <v>2198426</v>
      </c>
    </row>
    <row r="36" spans="1:6" x14ac:dyDescent="0.55000000000000004">
      <c r="A36" s="1" t="s">
        <v>58</v>
      </c>
      <c r="B36" s="1" t="s">
        <v>118</v>
      </c>
      <c r="E36" s="2">
        <v>275700</v>
      </c>
      <c r="F36" s="2">
        <v>275700</v>
      </c>
    </row>
    <row r="37" spans="1:6" x14ac:dyDescent="0.55000000000000004">
      <c r="A37" s="1" t="s">
        <v>58</v>
      </c>
      <c r="B37" s="1" t="s">
        <v>72</v>
      </c>
      <c r="D37" s="2">
        <v>1000000</v>
      </c>
      <c r="F37" s="2">
        <v>-1000000</v>
      </c>
    </row>
    <row r="38" spans="1:6" x14ac:dyDescent="0.55000000000000004">
      <c r="A38" s="1" t="s">
        <v>42</v>
      </c>
      <c r="B38" s="1" t="s">
        <v>123</v>
      </c>
      <c r="E38" s="2">
        <v>35000</v>
      </c>
      <c r="F38" s="2">
        <v>35000</v>
      </c>
    </row>
    <row r="39" spans="1:6" x14ac:dyDescent="0.55000000000000004">
      <c r="A39" s="1" t="s">
        <v>42</v>
      </c>
      <c r="B39" s="1" t="s">
        <v>113</v>
      </c>
      <c r="D39" s="2">
        <v>17600</v>
      </c>
      <c r="F39" s="2">
        <v>-17600</v>
      </c>
    </row>
    <row r="40" spans="1:6" x14ac:dyDescent="0.55000000000000004">
      <c r="A40" s="1" t="s">
        <v>42</v>
      </c>
      <c r="B40" s="1" t="s">
        <v>5</v>
      </c>
      <c r="C40" s="2">
        <v>672600</v>
      </c>
      <c r="F40" s="2">
        <v>672600</v>
      </c>
    </row>
    <row r="41" spans="1:6" x14ac:dyDescent="0.55000000000000004">
      <c r="A41" s="1" t="s">
        <v>42</v>
      </c>
      <c r="B41" s="1" t="s">
        <v>112</v>
      </c>
      <c r="D41" s="2">
        <v>655000</v>
      </c>
      <c r="F41" s="2">
        <v>-655000</v>
      </c>
    </row>
    <row r="42" spans="1:6" x14ac:dyDescent="0.55000000000000004">
      <c r="A42" s="1" t="s">
        <v>82</v>
      </c>
      <c r="B42" s="1" t="s">
        <v>130</v>
      </c>
      <c r="E42" s="2">
        <v>384200</v>
      </c>
      <c r="F42" s="2">
        <v>384200</v>
      </c>
    </row>
    <row r="43" spans="1:6" x14ac:dyDescent="0.55000000000000004">
      <c r="A43" s="1" t="s">
        <v>82</v>
      </c>
      <c r="B43" s="1" t="s">
        <v>114</v>
      </c>
      <c r="D43" s="2">
        <v>30</v>
      </c>
      <c r="F43" s="2">
        <v>-30</v>
      </c>
    </row>
    <row r="44" spans="1:6" x14ac:dyDescent="0.55000000000000004">
      <c r="A44" s="1" t="s">
        <v>82</v>
      </c>
      <c r="B44" s="1" t="s">
        <v>5</v>
      </c>
      <c r="C44" s="2">
        <v>649730</v>
      </c>
      <c r="F44" s="2">
        <v>649730</v>
      </c>
    </row>
    <row r="45" spans="1:6" x14ac:dyDescent="0.55000000000000004">
      <c r="A45" s="1" t="s">
        <v>82</v>
      </c>
      <c r="B45" s="1" t="s">
        <v>140</v>
      </c>
      <c r="E45" s="2">
        <v>132500</v>
      </c>
      <c r="F45" s="2">
        <v>132500</v>
      </c>
    </row>
    <row r="46" spans="1:6" x14ac:dyDescent="0.55000000000000004">
      <c r="A46" s="1" t="s">
        <v>82</v>
      </c>
      <c r="B46" s="1" t="s">
        <v>112</v>
      </c>
      <c r="D46" s="2">
        <v>1033900</v>
      </c>
      <c r="F46" s="2">
        <v>-1033900</v>
      </c>
    </row>
    <row r="47" spans="1:6" x14ac:dyDescent="0.55000000000000004">
      <c r="A47" s="1" t="s">
        <v>44</v>
      </c>
      <c r="B47" s="1" t="s">
        <v>5</v>
      </c>
      <c r="C47" s="2">
        <v>2208992</v>
      </c>
      <c r="F47" s="2">
        <v>2208992</v>
      </c>
    </row>
    <row r="48" spans="1:6" x14ac:dyDescent="0.55000000000000004">
      <c r="A48" s="1" t="s">
        <v>83</v>
      </c>
      <c r="B48" s="1" t="s">
        <v>114</v>
      </c>
      <c r="D48" s="2">
        <v>250</v>
      </c>
      <c r="F48" s="2">
        <v>-250</v>
      </c>
    </row>
    <row r="49" spans="1:6" x14ac:dyDescent="0.55000000000000004">
      <c r="A49" s="1" t="s">
        <v>83</v>
      </c>
      <c r="B49" s="1" t="s">
        <v>5</v>
      </c>
      <c r="C49" s="2">
        <v>584250</v>
      </c>
      <c r="F49" s="2">
        <v>584250</v>
      </c>
    </row>
    <row r="50" spans="1:6" x14ac:dyDescent="0.55000000000000004">
      <c r="A50" s="1" t="s">
        <v>83</v>
      </c>
      <c r="B50" s="1" t="s">
        <v>136</v>
      </c>
      <c r="E50" s="2">
        <v>3300000</v>
      </c>
      <c r="F50" s="2">
        <v>3300000</v>
      </c>
    </row>
    <row r="51" spans="1:6" x14ac:dyDescent="0.55000000000000004">
      <c r="A51" s="1" t="s">
        <v>83</v>
      </c>
      <c r="B51" s="1" t="s">
        <v>116</v>
      </c>
      <c r="E51" s="2">
        <v>9460</v>
      </c>
      <c r="F51" s="2">
        <v>9460</v>
      </c>
    </row>
    <row r="52" spans="1:6" x14ac:dyDescent="0.55000000000000004">
      <c r="A52" s="1" t="s">
        <v>83</v>
      </c>
      <c r="B52" s="1" t="s">
        <v>112</v>
      </c>
      <c r="D52" s="2">
        <v>584000</v>
      </c>
      <c r="F52" s="2">
        <v>-584000</v>
      </c>
    </row>
    <row r="53" spans="1:6" x14ac:dyDescent="0.55000000000000004">
      <c r="A53" s="1" t="s">
        <v>83</v>
      </c>
      <c r="B53" s="1" t="s">
        <v>141</v>
      </c>
      <c r="D53" s="2">
        <v>1500000</v>
      </c>
      <c r="F53" s="2">
        <v>-1500000</v>
      </c>
    </row>
    <row r="54" spans="1:6" x14ac:dyDescent="0.55000000000000004">
      <c r="A54" s="1" t="s">
        <v>84</v>
      </c>
      <c r="B54" s="1" t="s">
        <v>5</v>
      </c>
      <c r="C54" s="2">
        <v>2754773</v>
      </c>
      <c r="F54" s="2">
        <v>2754773</v>
      </c>
    </row>
    <row r="55" spans="1:6" x14ac:dyDescent="0.55000000000000004">
      <c r="A55" s="1" t="s">
        <v>48</v>
      </c>
      <c r="B55" s="1" t="s">
        <v>91</v>
      </c>
      <c r="E55" s="2">
        <v>150000</v>
      </c>
      <c r="F55" s="2">
        <v>150000</v>
      </c>
    </row>
    <row r="56" spans="1:6" x14ac:dyDescent="0.55000000000000004">
      <c r="A56" s="1" t="s">
        <v>48</v>
      </c>
      <c r="B56" s="1" t="s">
        <v>133</v>
      </c>
      <c r="E56" s="2">
        <v>395000</v>
      </c>
      <c r="F56" s="2">
        <v>395000</v>
      </c>
    </row>
    <row r="57" spans="1:6" x14ac:dyDescent="0.55000000000000004">
      <c r="A57" s="1" t="s">
        <v>48</v>
      </c>
      <c r="B57" s="1" t="s">
        <v>92</v>
      </c>
      <c r="E57" s="2">
        <v>75000</v>
      </c>
      <c r="F57" s="2">
        <v>75000</v>
      </c>
    </row>
    <row r="58" spans="1:6" x14ac:dyDescent="0.55000000000000004">
      <c r="A58" s="1" t="s">
        <v>48</v>
      </c>
      <c r="B58" s="1" t="s">
        <v>71</v>
      </c>
      <c r="E58" s="2">
        <v>96000</v>
      </c>
      <c r="F58" s="2">
        <v>96000</v>
      </c>
    </row>
    <row r="59" spans="1:6" x14ac:dyDescent="0.55000000000000004">
      <c r="A59" s="1" t="s">
        <v>48</v>
      </c>
      <c r="B59" s="1" t="s">
        <v>121</v>
      </c>
      <c r="E59" s="2">
        <v>144000</v>
      </c>
      <c r="F59" s="2">
        <v>144000</v>
      </c>
    </row>
    <row r="60" spans="1:6" x14ac:dyDescent="0.55000000000000004">
      <c r="A60" s="1" t="s">
        <v>48</v>
      </c>
      <c r="B60" s="1" t="s">
        <v>132</v>
      </c>
      <c r="E60" s="2">
        <v>75000</v>
      </c>
      <c r="F60" s="2">
        <v>75000</v>
      </c>
    </row>
    <row r="61" spans="1:6" x14ac:dyDescent="0.55000000000000004">
      <c r="A61" s="1" t="s">
        <v>48</v>
      </c>
      <c r="B61" s="1" t="s">
        <v>109</v>
      </c>
      <c r="E61" s="2">
        <v>2485000</v>
      </c>
      <c r="F61" s="2">
        <v>2485000</v>
      </c>
    </row>
    <row r="62" spans="1:6" x14ac:dyDescent="0.55000000000000004">
      <c r="A62" s="1" t="s">
        <v>48</v>
      </c>
      <c r="B62" s="1" t="s">
        <v>5</v>
      </c>
      <c r="C62" s="2">
        <v>5856500</v>
      </c>
      <c r="F62" s="2">
        <v>5856500</v>
      </c>
    </row>
    <row r="63" spans="1:6" x14ac:dyDescent="0.55000000000000004">
      <c r="A63" s="1" t="s">
        <v>48</v>
      </c>
      <c r="B63" s="1" t="s">
        <v>127</v>
      </c>
      <c r="E63" s="2">
        <v>158000</v>
      </c>
      <c r="F63" s="2">
        <v>158000</v>
      </c>
    </row>
    <row r="64" spans="1:6" x14ac:dyDescent="0.55000000000000004">
      <c r="A64" s="1" t="s">
        <v>48</v>
      </c>
      <c r="B64" s="1" t="s">
        <v>112</v>
      </c>
      <c r="D64" s="2">
        <v>3500000</v>
      </c>
      <c r="F64" s="2">
        <v>-3500000</v>
      </c>
    </row>
    <row r="65" spans="1:6" x14ac:dyDescent="0.55000000000000004">
      <c r="A65" s="1" t="s">
        <v>50</v>
      </c>
      <c r="B65" s="1" t="s">
        <v>5</v>
      </c>
      <c r="C65" s="2">
        <v>175000</v>
      </c>
      <c r="F65" s="2">
        <v>175000</v>
      </c>
    </row>
    <row r="66" spans="1:6" x14ac:dyDescent="0.55000000000000004">
      <c r="A66" s="1" t="s">
        <v>50</v>
      </c>
      <c r="B66" s="1" t="s">
        <v>135</v>
      </c>
      <c r="E66" s="2">
        <v>19500</v>
      </c>
      <c r="F66" s="2">
        <v>19500</v>
      </c>
    </row>
    <row r="67" spans="1:6" x14ac:dyDescent="0.55000000000000004">
      <c r="A67" s="1" t="s">
        <v>50</v>
      </c>
      <c r="B67" s="1" t="s">
        <v>142</v>
      </c>
      <c r="D67" s="2">
        <v>194500</v>
      </c>
      <c r="F67" s="2">
        <v>-194500</v>
      </c>
    </row>
    <row r="68" spans="1:6" x14ac:dyDescent="0.55000000000000004">
      <c r="A68" s="1" t="s">
        <v>65</v>
      </c>
      <c r="B68" s="1">
        <v>6205</v>
      </c>
      <c r="E68" s="2">
        <v>26500</v>
      </c>
      <c r="F68" s="2">
        <v>26500</v>
      </c>
    </row>
    <row r="69" spans="1:6" x14ac:dyDescent="0.55000000000000004">
      <c r="A69" s="1" t="s">
        <v>65</v>
      </c>
      <c r="B69" s="1" t="s">
        <v>5</v>
      </c>
      <c r="C69" s="2">
        <v>269200</v>
      </c>
      <c r="F69" s="2">
        <v>269200</v>
      </c>
    </row>
    <row r="70" spans="1:6" x14ac:dyDescent="0.55000000000000004">
      <c r="A70" s="1" t="s">
        <v>65</v>
      </c>
      <c r="B70" s="1" t="s">
        <v>112</v>
      </c>
      <c r="D70" s="2">
        <v>295700</v>
      </c>
      <c r="F70" s="2">
        <v>-295700</v>
      </c>
    </row>
    <row r="71" spans="1:6" x14ac:dyDescent="0.55000000000000004">
      <c r="A71" s="1" t="s">
        <v>85</v>
      </c>
      <c r="B71" s="1" t="s">
        <v>5</v>
      </c>
      <c r="C71" s="2">
        <v>1145500</v>
      </c>
      <c r="F71" s="2">
        <v>1145500</v>
      </c>
    </row>
    <row r="72" spans="1:6" x14ac:dyDescent="0.55000000000000004">
      <c r="A72" s="1" t="s">
        <v>86</v>
      </c>
      <c r="B72" s="1" t="s">
        <v>5</v>
      </c>
      <c r="C72" s="2">
        <v>143000</v>
      </c>
      <c r="F72" s="2">
        <v>143000</v>
      </c>
    </row>
    <row r="73" spans="1:6" x14ac:dyDescent="0.55000000000000004">
      <c r="A73" s="1" t="s">
        <v>56</v>
      </c>
      <c r="B73" s="1" t="s">
        <v>108</v>
      </c>
      <c r="E73" s="2">
        <v>32226</v>
      </c>
      <c r="F73" s="2">
        <v>32226</v>
      </c>
    </row>
    <row r="74" spans="1:6" x14ac:dyDescent="0.55000000000000004">
      <c r="A74" s="1" t="s">
        <v>56</v>
      </c>
      <c r="B74" s="1" t="s">
        <v>120</v>
      </c>
      <c r="E74" s="2">
        <v>186385</v>
      </c>
      <c r="F74" s="2">
        <v>186385</v>
      </c>
    </row>
    <row r="75" spans="1:6" x14ac:dyDescent="0.55000000000000004">
      <c r="A75" s="1" t="s">
        <v>56</v>
      </c>
      <c r="B75" s="1" t="s">
        <v>131</v>
      </c>
      <c r="E75" s="2">
        <v>393745</v>
      </c>
      <c r="F75" s="2">
        <v>393745</v>
      </c>
    </row>
    <row r="76" spans="1:6" x14ac:dyDescent="0.55000000000000004">
      <c r="A76" s="1" t="s">
        <v>56</v>
      </c>
      <c r="B76" s="1" t="s">
        <v>5</v>
      </c>
      <c r="C76" s="2">
        <v>728393</v>
      </c>
      <c r="F76" s="2">
        <v>728393</v>
      </c>
    </row>
    <row r="77" spans="1:6" x14ac:dyDescent="0.55000000000000004">
      <c r="A77" s="1" t="s">
        <v>56</v>
      </c>
      <c r="B77" s="1" t="s">
        <v>105</v>
      </c>
      <c r="E77" s="2">
        <v>136801</v>
      </c>
      <c r="F77" s="2">
        <v>136801</v>
      </c>
    </row>
    <row r="78" spans="1:6" x14ac:dyDescent="0.55000000000000004">
      <c r="A78" s="1" t="s">
        <v>56</v>
      </c>
      <c r="B78" s="1" t="s">
        <v>129</v>
      </c>
      <c r="E78" s="2">
        <v>568552</v>
      </c>
      <c r="F78" s="2">
        <v>568552</v>
      </c>
    </row>
    <row r="79" spans="1:6" x14ac:dyDescent="0.55000000000000004">
      <c r="A79" s="1" t="s">
        <v>56</v>
      </c>
      <c r="B79" s="1" t="s">
        <v>126</v>
      </c>
      <c r="E79" s="2">
        <v>317565</v>
      </c>
      <c r="F79" s="2">
        <v>317565</v>
      </c>
    </row>
    <row r="80" spans="1:6" x14ac:dyDescent="0.55000000000000004">
      <c r="A80" s="1" t="s">
        <v>56</v>
      </c>
      <c r="B80" s="1" t="s">
        <v>125</v>
      </c>
      <c r="E80" s="2">
        <v>47250</v>
      </c>
      <c r="F80" s="2">
        <v>47250</v>
      </c>
    </row>
    <row r="81" spans="1:6" x14ac:dyDescent="0.55000000000000004">
      <c r="A81" s="1" t="s">
        <v>56</v>
      </c>
      <c r="B81" s="1" t="s">
        <v>87</v>
      </c>
      <c r="E81" s="2">
        <v>31000</v>
      </c>
      <c r="F81" s="2">
        <v>31000</v>
      </c>
    </row>
    <row r="82" spans="1:6" x14ac:dyDescent="0.55000000000000004">
      <c r="A82" s="1" t="s">
        <v>56</v>
      </c>
      <c r="B82" s="1" t="s">
        <v>112</v>
      </c>
      <c r="D82" s="2">
        <v>1000000</v>
      </c>
      <c r="F82" s="2">
        <v>-1000000</v>
      </c>
    </row>
    <row r="83" spans="1:6" x14ac:dyDescent="0.55000000000000004">
      <c r="A83" s="1" t="s">
        <v>146</v>
      </c>
      <c r="B83" s="1" t="s">
        <v>146</v>
      </c>
    </row>
    <row r="84" spans="1:6" x14ac:dyDescent="0.55000000000000004">
      <c r="A84" s="1" t="s">
        <v>90</v>
      </c>
      <c r="C84" s="2">
        <v>70298850</v>
      </c>
      <c r="D84" s="2">
        <v>16327310</v>
      </c>
      <c r="E84" s="2">
        <v>13285796</v>
      </c>
      <c r="F84" s="2">
        <v>67267456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6"/>
  <sheetViews>
    <sheetView tabSelected="1" workbookViewId="0">
      <selection activeCell="A2" sqref="A2"/>
    </sheetView>
  </sheetViews>
  <sheetFormatPr defaultRowHeight="15" x14ac:dyDescent="0.25"/>
  <cols>
    <col min="1" max="1" width="17.85546875" style="48" bestFit="1" customWidth="1"/>
    <col min="2" max="2" width="18.85546875" bestFit="1" customWidth="1"/>
    <col min="3" max="3" width="22.28515625" bestFit="1" customWidth="1"/>
    <col min="4" max="4" width="28.42578125" bestFit="1" customWidth="1"/>
    <col min="5" max="5" width="25.28515625" bestFit="1" customWidth="1"/>
    <col min="6" max="6" width="23.5703125" style="29" bestFit="1" customWidth="1"/>
    <col min="7" max="7" width="24.7109375" style="29" bestFit="1" customWidth="1"/>
    <col min="8" max="8" width="24.42578125" style="29" bestFit="1" customWidth="1"/>
    <col min="9" max="9" width="23.140625" style="29" bestFit="1" customWidth="1"/>
    <col min="10" max="10" width="29.7109375" style="29" bestFit="1" customWidth="1"/>
  </cols>
  <sheetData>
    <row r="1" spans="1:10" ht="21.75" x14ac:dyDescent="0.55000000000000004">
      <c r="A1" s="47" t="s">
        <v>94</v>
      </c>
      <c r="B1" s="28" t="s">
        <v>95</v>
      </c>
      <c r="C1" s="28" t="s">
        <v>96</v>
      </c>
      <c r="D1" s="28" t="s">
        <v>97</v>
      </c>
      <c r="E1" s="28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145</v>
      </c>
    </row>
    <row r="2" spans="1:10" ht="21.75" x14ac:dyDescent="0.55000000000000004">
      <c r="A2" s="47">
        <v>44256</v>
      </c>
      <c r="B2" s="28"/>
      <c r="C2" s="28" t="s">
        <v>5</v>
      </c>
      <c r="D2" s="28" t="s">
        <v>9</v>
      </c>
      <c r="E2" s="28" t="s">
        <v>5</v>
      </c>
      <c r="F2" s="2">
        <v>640740</v>
      </c>
      <c r="G2" s="2"/>
      <c r="H2" s="2"/>
      <c r="I2" s="2">
        <v>640740</v>
      </c>
      <c r="J2" s="2">
        <v>640740</v>
      </c>
    </row>
    <row r="3" spans="1:10" ht="21.75" x14ac:dyDescent="0.55000000000000004">
      <c r="A3" s="47">
        <v>44286</v>
      </c>
      <c r="B3" s="28"/>
      <c r="C3" s="28" t="s">
        <v>7</v>
      </c>
      <c r="D3" s="28" t="s">
        <v>9</v>
      </c>
      <c r="E3" s="28" t="s">
        <v>143</v>
      </c>
      <c r="F3" s="2"/>
      <c r="G3" s="2"/>
      <c r="H3" s="2">
        <v>10120</v>
      </c>
      <c r="I3" s="2"/>
      <c r="J3" s="2">
        <v>0</v>
      </c>
    </row>
    <row r="4" spans="1:10" ht="21.75" x14ac:dyDescent="0.55000000000000004">
      <c r="A4" s="47">
        <v>44256</v>
      </c>
      <c r="B4" s="28"/>
      <c r="C4" s="28" t="s">
        <v>5</v>
      </c>
      <c r="D4" s="28" t="s">
        <v>15</v>
      </c>
      <c r="E4" s="28" t="s">
        <v>5</v>
      </c>
      <c r="F4" s="2">
        <v>566210</v>
      </c>
      <c r="G4" s="2"/>
      <c r="H4" s="2"/>
      <c r="I4" s="2">
        <v>566210</v>
      </c>
      <c r="J4" s="2">
        <v>566210</v>
      </c>
    </row>
    <row r="5" spans="1:10" ht="21.75" x14ac:dyDescent="0.55000000000000004">
      <c r="A5" s="47">
        <v>44265</v>
      </c>
      <c r="B5" s="28">
        <v>30040</v>
      </c>
      <c r="C5" s="28" t="s">
        <v>6</v>
      </c>
      <c r="D5" s="28" t="s">
        <v>15</v>
      </c>
      <c r="E5" s="28" t="s">
        <v>111</v>
      </c>
      <c r="F5" s="2"/>
      <c r="G5" s="2">
        <v>152000</v>
      </c>
      <c r="H5" s="2"/>
      <c r="I5" s="2">
        <v>152000</v>
      </c>
      <c r="J5" s="2">
        <v>718210</v>
      </c>
    </row>
    <row r="6" spans="1:10" ht="21.75" x14ac:dyDescent="0.55000000000000004">
      <c r="A6" s="47">
        <v>44280</v>
      </c>
      <c r="B6" s="28">
        <v>30114</v>
      </c>
      <c r="C6" s="28" t="s">
        <v>6</v>
      </c>
      <c r="D6" s="28" t="s">
        <v>15</v>
      </c>
      <c r="E6" s="28" t="s">
        <v>111</v>
      </c>
      <c r="F6" s="2"/>
      <c r="G6" s="2">
        <v>218000</v>
      </c>
      <c r="H6" s="2"/>
      <c r="I6" s="2">
        <v>218000</v>
      </c>
      <c r="J6" s="2">
        <v>936210</v>
      </c>
    </row>
    <row r="7" spans="1:10" ht="21.75" x14ac:dyDescent="0.55000000000000004">
      <c r="A7" s="47">
        <v>44286</v>
      </c>
      <c r="B7" s="28"/>
      <c r="C7" s="28" t="s">
        <v>7</v>
      </c>
      <c r="D7" s="28" t="s">
        <v>15</v>
      </c>
      <c r="E7" s="28" t="s">
        <v>72</v>
      </c>
      <c r="F7" s="2"/>
      <c r="G7" s="2"/>
      <c r="H7" s="2">
        <v>936210</v>
      </c>
      <c r="I7" s="2">
        <v>-936210</v>
      </c>
      <c r="J7" s="2">
        <v>0</v>
      </c>
    </row>
    <row r="8" spans="1:10" ht="21.75" x14ac:dyDescent="0.55000000000000004">
      <c r="A8" s="47">
        <v>44256</v>
      </c>
      <c r="B8" s="28"/>
      <c r="C8" s="28" t="s">
        <v>5</v>
      </c>
      <c r="D8" s="28" t="s">
        <v>18</v>
      </c>
      <c r="E8" s="28" t="s">
        <v>5</v>
      </c>
      <c r="F8" s="2">
        <v>896951</v>
      </c>
      <c r="G8" s="2"/>
      <c r="H8" s="2"/>
      <c r="I8" s="2">
        <v>896951</v>
      </c>
      <c r="J8" s="2">
        <v>896951</v>
      </c>
    </row>
    <row r="9" spans="1:10" ht="21.75" x14ac:dyDescent="0.55000000000000004">
      <c r="A9" s="47">
        <v>44257</v>
      </c>
      <c r="B9" s="28">
        <v>47835</v>
      </c>
      <c r="C9" s="28" t="s">
        <v>6</v>
      </c>
      <c r="D9" s="28" t="s">
        <v>18</v>
      </c>
      <c r="E9" s="28" t="s">
        <v>89</v>
      </c>
      <c r="F9" s="2"/>
      <c r="G9" s="2">
        <v>33940</v>
      </c>
      <c r="H9" s="2"/>
      <c r="I9" s="2">
        <v>33940</v>
      </c>
      <c r="J9" s="2">
        <v>930891</v>
      </c>
    </row>
    <row r="10" spans="1:10" ht="21.75" x14ac:dyDescent="0.55000000000000004">
      <c r="A10" s="47">
        <v>44257</v>
      </c>
      <c r="B10" s="28">
        <v>20836</v>
      </c>
      <c r="C10" s="28" t="s">
        <v>6</v>
      </c>
      <c r="D10" s="28" t="s">
        <v>18</v>
      </c>
      <c r="E10" s="28" t="s">
        <v>75</v>
      </c>
      <c r="F10" s="2"/>
      <c r="G10" s="2">
        <v>27400</v>
      </c>
      <c r="H10" s="2"/>
      <c r="I10" s="2">
        <v>27400</v>
      </c>
      <c r="J10" s="2">
        <v>958291</v>
      </c>
    </row>
    <row r="11" spans="1:10" ht="21.75" x14ac:dyDescent="0.55000000000000004">
      <c r="A11" s="47">
        <v>44261</v>
      </c>
      <c r="B11" s="28">
        <v>47889</v>
      </c>
      <c r="C11" s="28" t="s">
        <v>6</v>
      </c>
      <c r="D11" s="28" t="s">
        <v>18</v>
      </c>
      <c r="E11" s="28" t="s">
        <v>104</v>
      </c>
      <c r="F11" s="2"/>
      <c r="G11" s="2">
        <v>130834</v>
      </c>
      <c r="H11" s="2"/>
      <c r="I11" s="2">
        <v>130834</v>
      </c>
      <c r="J11" s="2">
        <v>1089125</v>
      </c>
    </row>
    <row r="12" spans="1:10" ht="21.75" x14ac:dyDescent="0.55000000000000004">
      <c r="A12" s="47">
        <v>44285</v>
      </c>
      <c r="B12" s="28">
        <v>48055</v>
      </c>
      <c r="C12" s="28" t="s">
        <v>6</v>
      </c>
      <c r="D12" s="28" t="s">
        <v>18</v>
      </c>
      <c r="E12" s="28" t="s">
        <v>104</v>
      </c>
      <c r="F12" s="2"/>
      <c r="G12" s="2">
        <v>100532</v>
      </c>
      <c r="H12" s="2"/>
      <c r="I12" s="2">
        <v>100532</v>
      </c>
      <c r="J12" s="2">
        <v>1189657</v>
      </c>
    </row>
    <row r="13" spans="1:10" ht="21.75" x14ac:dyDescent="0.55000000000000004">
      <c r="A13" s="47">
        <v>44285</v>
      </c>
      <c r="B13" s="28">
        <v>399</v>
      </c>
      <c r="C13" s="28" t="s">
        <v>7</v>
      </c>
      <c r="D13" s="28" t="s">
        <v>18</v>
      </c>
      <c r="E13" s="28" t="s">
        <v>141</v>
      </c>
      <c r="F13" s="2"/>
      <c r="G13" s="2"/>
      <c r="H13" s="2">
        <v>500000</v>
      </c>
      <c r="I13" s="2">
        <v>-500000</v>
      </c>
      <c r="J13" s="2">
        <v>689657</v>
      </c>
    </row>
    <row r="14" spans="1:10" ht="21.75" x14ac:dyDescent="0.55000000000000004">
      <c r="A14" s="47">
        <v>44287</v>
      </c>
      <c r="B14" s="28"/>
      <c r="C14" s="28" t="s">
        <v>5</v>
      </c>
      <c r="D14" s="28" t="s">
        <v>78</v>
      </c>
      <c r="E14" s="28" t="s">
        <v>5</v>
      </c>
      <c r="F14" s="2">
        <v>829260</v>
      </c>
      <c r="G14" s="2"/>
      <c r="H14" s="2"/>
      <c r="I14" s="2">
        <v>829260</v>
      </c>
      <c r="J14" s="2">
        <v>829260</v>
      </c>
    </row>
    <row r="15" spans="1:10" ht="21.75" x14ac:dyDescent="0.55000000000000004">
      <c r="A15" s="47">
        <v>44256</v>
      </c>
      <c r="B15" s="28"/>
      <c r="C15" s="28" t="s">
        <v>5</v>
      </c>
      <c r="D15" s="28" t="s">
        <v>79</v>
      </c>
      <c r="E15" s="28" t="s">
        <v>5</v>
      </c>
      <c r="F15" s="2">
        <v>32492000</v>
      </c>
      <c r="G15" s="2"/>
      <c r="H15" s="2"/>
      <c r="I15" s="2">
        <v>32492000</v>
      </c>
      <c r="J15" s="2">
        <v>32492000</v>
      </c>
    </row>
    <row r="16" spans="1:10" ht="21.75" x14ac:dyDescent="0.55000000000000004">
      <c r="A16" s="47">
        <v>44256</v>
      </c>
      <c r="B16" s="28"/>
      <c r="C16" s="28" t="s">
        <v>5</v>
      </c>
      <c r="D16" s="28" t="s">
        <v>80</v>
      </c>
      <c r="E16" s="28" t="s">
        <v>5</v>
      </c>
      <c r="F16" s="2">
        <v>10325000</v>
      </c>
      <c r="G16" s="2"/>
      <c r="H16" s="2"/>
      <c r="I16" s="2">
        <v>10325000</v>
      </c>
      <c r="J16" s="2">
        <v>10325000</v>
      </c>
    </row>
    <row r="17" spans="1:10" ht="21.75" x14ac:dyDescent="0.55000000000000004">
      <c r="A17" s="47">
        <v>44256</v>
      </c>
      <c r="B17" s="28"/>
      <c r="C17" s="28" t="s">
        <v>5</v>
      </c>
      <c r="D17" s="28" t="s">
        <v>29</v>
      </c>
      <c r="E17" s="28" t="s">
        <v>5</v>
      </c>
      <c r="F17" s="2">
        <v>3712325</v>
      </c>
      <c r="G17" s="2"/>
      <c r="H17" s="2"/>
      <c r="I17" s="2">
        <v>3712325</v>
      </c>
      <c r="J17" s="2">
        <v>3712325</v>
      </c>
    </row>
    <row r="18" spans="1:10" ht="21.75" x14ac:dyDescent="0.55000000000000004">
      <c r="A18" s="47">
        <v>44258</v>
      </c>
      <c r="B18" s="28">
        <v>3716</v>
      </c>
      <c r="C18" s="28" t="s">
        <v>6</v>
      </c>
      <c r="D18" s="28" t="s">
        <v>29</v>
      </c>
      <c r="E18" s="28" t="s">
        <v>106</v>
      </c>
      <c r="F18" s="2"/>
      <c r="G18" s="2">
        <v>78750</v>
      </c>
      <c r="H18" s="2"/>
      <c r="I18" s="2">
        <v>78750</v>
      </c>
      <c r="J18" s="2">
        <v>3791075</v>
      </c>
    </row>
    <row r="19" spans="1:10" ht="21.75" x14ac:dyDescent="0.55000000000000004">
      <c r="A19" s="47">
        <v>44258</v>
      </c>
      <c r="B19" s="28">
        <v>3715</v>
      </c>
      <c r="C19" s="28" t="s">
        <v>6</v>
      </c>
      <c r="D19" s="28" t="s">
        <v>29</v>
      </c>
      <c r="E19" s="28" t="s">
        <v>107</v>
      </c>
      <c r="F19" s="2"/>
      <c r="G19" s="2">
        <v>72000</v>
      </c>
      <c r="H19" s="2"/>
      <c r="I19" s="2">
        <v>72000</v>
      </c>
      <c r="J19" s="2">
        <v>3863075</v>
      </c>
    </row>
    <row r="20" spans="1:10" ht="21.75" x14ac:dyDescent="0.55000000000000004">
      <c r="A20" s="47">
        <v>44259</v>
      </c>
      <c r="B20" s="28"/>
      <c r="C20" s="28" t="s">
        <v>7</v>
      </c>
      <c r="D20" s="28" t="s">
        <v>29</v>
      </c>
      <c r="E20" s="28" t="s">
        <v>72</v>
      </c>
      <c r="F20" s="2"/>
      <c r="G20" s="2"/>
      <c r="H20" s="2">
        <v>1000000</v>
      </c>
      <c r="I20" s="2">
        <v>-1000000</v>
      </c>
      <c r="J20" s="2">
        <v>2863075</v>
      </c>
    </row>
    <row r="21" spans="1:10" ht="21.75" x14ac:dyDescent="0.55000000000000004">
      <c r="A21" s="47">
        <v>44260</v>
      </c>
      <c r="B21" s="28">
        <v>13153</v>
      </c>
      <c r="C21" s="28" t="s">
        <v>6</v>
      </c>
      <c r="D21" s="28" t="s">
        <v>29</v>
      </c>
      <c r="E21" s="28" t="s">
        <v>110</v>
      </c>
      <c r="F21" s="2"/>
      <c r="G21" s="2">
        <v>160000</v>
      </c>
      <c r="H21" s="2"/>
      <c r="I21" s="2">
        <v>160000</v>
      </c>
      <c r="J21" s="2">
        <v>3023075</v>
      </c>
    </row>
    <row r="22" spans="1:10" ht="21.75" x14ac:dyDescent="0.55000000000000004">
      <c r="A22" s="47">
        <v>44273</v>
      </c>
      <c r="B22" s="28"/>
      <c r="C22" s="28" t="s">
        <v>7</v>
      </c>
      <c r="D22" s="28" t="s">
        <v>29</v>
      </c>
      <c r="E22" s="28" t="s">
        <v>72</v>
      </c>
      <c r="F22" s="2"/>
      <c r="G22" s="2"/>
      <c r="H22" s="2">
        <v>1600000</v>
      </c>
      <c r="I22" s="2">
        <v>-1600000</v>
      </c>
      <c r="J22" s="2">
        <v>1423075</v>
      </c>
    </row>
    <row r="23" spans="1:10" ht="21.75" x14ac:dyDescent="0.55000000000000004">
      <c r="A23" s="47">
        <v>44285</v>
      </c>
      <c r="B23" s="28">
        <v>13616</v>
      </c>
      <c r="C23" s="28" t="s">
        <v>6</v>
      </c>
      <c r="D23" s="28" t="s">
        <v>29</v>
      </c>
      <c r="E23" s="28" t="s">
        <v>137</v>
      </c>
      <c r="F23" s="2"/>
      <c r="G23" s="2">
        <v>587500</v>
      </c>
      <c r="H23" s="2"/>
      <c r="I23" s="2">
        <v>587500</v>
      </c>
      <c r="J23" s="2">
        <v>2010575</v>
      </c>
    </row>
    <row r="24" spans="1:10" ht="21.75" x14ac:dyDescent="0.55000000000000004">
      <c r="A24" s="47">
        <v>44285</v>
      </c>
      <c r="B24" s="28">
        <v>13626</v>
      </c>
      <c r="C24" s="28" t="s">
        <v>6</v>
      </c>
      <c r="D24" s="28" t="s">
        <v>29</v>
      </c>
      <c r="E24" s="28" t="s">
        <v>138</v>
      </c>
      <c r="F24" s="2"/>
      <c r="G24" s="2">
        <v>51600</v>
      </c>
      <c r="H24" s="2"/>
      <c r="I24" s="2">
        <v>51600</v>
      </c>
      <c r="J24" s="2">
        <v>2062175</v>
      </c>
    </row>
    <row r="25" spans="1:10" ht="21.75" x14ac:dyDescent="0.55000000000000004">
      <c r="A25" s="47">
        <v>44278</v>
      </c>
      <c r="B25" s="28">
        <v>13502</v>
      </c>
      <c r="C25" s="28" t="s">
        <v>6</v>
      </c>
      <c r="D25" s="28" t="s">
        <v>29</v>
      </c>
      <c r="E25" s="28" t="s">
        <v>139</v>
      </c>
      <c r="F25" s="2"/>
      <c r="G25" s="2">
        <v>188160</v>
      </c>
      <c r="H25" s="2"/>
      <c r="I25" s="2">
        <v>188160</v>
      </c>
      <c r="J25" s="2">
        <v>2250335</v>
      </c>
    </row>
    <row r="26" spans="1:10" ht="21.75" x14ac:dyDescent="0.55000000000000004">
      <c r="A26" s="47">
        <v>44256</v>
      </c>
      <c r="B26" s="28"/>
      <c r="C26" s="28" t="s">
        <v>5</v>
      </c>
      <c r="D26" s="28" t="s">
        <v>81</v>
      </c>
      <c r="E26" s="28" t="s">
        <v>5</v>
      </c>
      <c r="F26" s="2">
        <v>3450000</v>
      </c>
      <c r="G26" s="2"/>
      <c r="H26" s="2"/>
      <c r="I26" s="2">
        <v>3450000</v>
      </c>
      <c r="J26" s="2">
        <v>3450000</v>
      </c>
    </row>
    <row r="27" spans="1:10" ht="21.75" x14ac:dyDescent="0.55000000000000004">
      <c r="A27" s="47">
        <v>44257</v>
      </c>
      <c r="B27" s="28">
        <v>7277</v>
      </c>
      <c r="C27" s="28" t="s">
        <v>6</v>
      </c>
      <c r="D27" s="28" t="s">
        <v>81</v>
      </c>
      <c r="E27" s="28" t="s">
        <v>71</v>
      </c>
      <c r="F27" s="2"/>
      <c r="G27" s="2">
        <v>293400</v>
      </c>
      <c r="H27" s="2"/>
      <c r="I27" s="2">
        <v>293400</v>
      </c>
      <c r="J27" s="2">
        <v>3743400</v>
      </c>
    </row>
    <row r="28" spans="1:10" ht="21.75" x14ac:dyDescent="0.55000000000000004">
      <c r="A28" s="47">
        <v>44258</v>
      </c>
      <c r="B28" s="28">
        <v>2728</v>
      </c>
      <c r="C28" s="28" t="s">
        <v>6</v>
      </c>
      <c r="D28" s="28" t="s">
        <v>81</v>
      </c>
      <c r="E28" s="28" t="s">
        <v>73</v>
      </c>
      <c r="F28" s="2"/>
      <c r="G28" s="2">
        <v>22500</v>
      </c>
      <c r="H28" s="2"/>
      <c r="I28" s="2">
        <v>22500</v>
      </c>
      <c r="J28" s="2">
        <v>3765900</v>
      </c>
    </row>
    <row r="29" spans="1:10" ht="21.75" x14ac:dyDescent="0.55000000000000004">
      <c r="A29" s="47">
        <v>44261</v>
      </c>
      <c r="B29" s="28">
        <v>7279</v>
      </c>
      <c r="C29" s="28" t="s">
        <v>6</v>
      </c>
      <c r="D29" s="28" t="s">
        <v>81</v>
      </c>
      <c r="E29" s="28" t="s">
        <v>103</v>
      </c>
      <c r="F29" s="2"/>
      <c r="G29" s="2">
        <v>236000</v>
      </c>
      <c r="H29" s="2"/>
      <c r="I29" s="2">
        <v>236000</v>
      </c>
      <c r="J29" s="2">
        <v>4001900</v>
      </c>
    </row>
    <row r="30" spans="1:10" ht="21.75" x14ac:dyDescent="0.55000000000000004">
      <c r="A30" s="47">
        <v>44267</v>
      </c>
      <c r="B30" s="28">
        <v>364</v>
      </c>
      <c r="C30" s="28" t="s">
        <v>7</v>
      </c>
      <c r="D30" s="28" t="s">
        <v>81</v>
      </c>
      <c r="E30" s="28" t="s">
        <v>112</v>
      </c>
      <c r="F30" s="2"/>
      <c r="G30" s="2"/>
      <c r="H30" s="2">
        <v>1500000</v>
      </c>
      <c r="I30" s="2">
        <v>-1500000</v>
      </c>
      <c r="J30" s="2">
        <v>2501900</v>
      </c>
    </row>
    <row r="31" spans="1:10" ht="21.75" x14ac:dyDescent="0.55000000000000004">
      <c r="A31" s="47">
        <v>44267</v>
      </c>
      <c r="B31" s="28">
        <v>7281</v>
      </c>
      <c r="C31" s="28" t="s">
        <v>6</v>
      </c>
      <c r="D31" s="28" t="s">
        <v>81</v>
      </c>
      <c r="E31" s="28" t="s">
        <v>119</v>
      </c>
      <c r="F31" s="2"/>
      <c r="G31" s="2">
        <v>77000</v>
      </c>
      <c r="H31" s="2"/>
      <c r="I31" s="2">
        <v>77000</v>
      </c>
      <c r="J31" s="2">
        <v>2578900</v>
      </c>
    </row>
    <row r="32" spans="1:10" ht="21.75" x14ac:dyDescent="0.55000000000000004">
      <c r="A32" s="47">
        <v>44268</v>
      </c>
      <c r="B32" s="28">
        <v>7282</v>
      </c>
      <c r="C32" s="28" t="s">
        <v>6</v>
      </c>
      <c r="D32" s="28" t="s">
        <v>81</v>
      </c>
      <c r="E32" s="28" t="s">
        <v>122</v>
      </c>
      <c r="F32" s="2"/>
      <c r="G32" s="2">
        <v>65000</v>
      </c>
      <c r="H32" s="2"/>
      <c r="I32" s="2">
        <v>65000</v>
      </c>
      <c r="J32" s="2">
        <v>2643900</v>
      </c>
    </row>
    <row r="33" spans="1:10" ht="21.75" x14ac:dyDescent="0.55000000000000004">
      <c r="A33" s="47">
        <v>44275</v>
      </c>
      <c r="B33" s="28">
        <v>7283</v>
      </c>
      <c r="C33" s="28" t="s">
        <v>6</v>
      </c>
      <c r="D33" s="28" t="s">
        <v>81</v>
      </c>
      <c r="E33" s="28" t="s">
        <v>124</v>
      </c>
      <c r="F33" s="2"/>
      <c r="G33" s="2">
        <v>160500</v>
      </c>
      <c r="H33" s="2"/>
      <c r="I33" s="2">
        <v>160500</v>
      </c>
      <c r="J33" s="2">
        <v>2804400</v>
      </c>
    </row>
    <row r="34" spans="1:10" ht="21.75" x14ac:dyDescent="0.55000000000000004">
      <c r="A34" s="47">
        <v>44279</v>
      </c>
      <c r="B34" s="28">
        <v>7285</v>
      </c>
      <c r="C34" s="28" t="s">
        <v>6</v>
      </c>
      <c r="D34" s="28" t="s">
        <v>81</v>
      </c>
      <c r="E34" s="28" t="s">
        <v>128</v>
      </c>
      <c r="F34" s="2"/>
      <c r="G34" s="2">
        <v>94700</v>
      </c>
      <c r="H34" s="2"/>
      <c r="I34" s="2">
        <v>94700</v>
      </c>
      <c r="J34" s="2">
        <v>2899100</v>
      </c>
    </row>
    <row r="35" spans="1:10" ht="21.75" x14ac:dyDescent="0.55000000000000004">
      <c r="A35" s="47">
        <v>44284</v>
      </c>
      <c r="B35" s="28">
        <v>7287</v>
      </c>
      <c r="C35" s="28" t="s">
        <v>6</v>
      </c>
      <c r="D35" s="28" t="s">
        <v>81</v>
      </c>
      <c r="E35" s="28" t="s">
        <v>134</v>
      </c>
      <c r="F35" s="2"/>
      <c r="G35" s="2">
        <v>351600</v>
      </c>
      <c r="H35" s="2"/>
      <c r="I35" s="2">
        <v>351600</v>
      </c>
      <c r="J35" s="2">
        <v>3250700</v>
      </c>
    </row>
    <row r="36" spans="1:10" ht="21.75" x14ac:dyDescent="0.55000000000000004">
      <c r="A36" s="47">
        <v>44285</v>
      </c>
      <c r="B36" s="28">
        <v>380</v>
      </c>
      <c r="C36" s="28" t="s">
        <v>7</v>
      </c>
      <c r="D36" s="28" t="s">
        <v>81</v>
      </c>
      <c r="E36" s="28" t="s">
        <v>112</v>
      </c>
      <c r="F36" s="2"/>
      <c r="G36" s="2"/>
      <c r="H36" s="2">
        <v>1000000</v>
      </c>
      <c r="I36" s="2">
        <v>-1000000</v>
      </c>
      <c r="J36" s="2">
        <v>2250700</v>
      </c>
    </row>
    <row r="37" spans="1:10" ht="21.75" x14ac:dyDescent="0.55000000000000004">
      <c r="A37" s="47">
        <v>44256</v>
      </c>
      <c r="B37" s="28"/>
      <c r="C37" s="28" t="s">
        <v>5</v>
      </c>
      <c r="D37" s="28" t="s">
        <v>58</v>
      </c>
      <c r="E37" s="28" t="s">
        <v>5</v>
      </c>
      <c r="F37" s="2">
        <v>2198426</v>
      </c>
      <c r="G37" s="2"/>
      <c r="H37" s="2"/>
      <c r="I37" s="2">
        <v>2198426</v>
      </c>
      <c r="J37" s="2">
        <v>2198426</v>
      </c>
    </row>
    <row r="38" spans="1:10" ht="21.75" x14ac:dyDescent="0.55000000000000004">
      <c r="A38" s="47">
        <v>44257</v>
      </c>
      <c r="B38" s="28"/>
      <c r="C38" s="28" t="s">
        <v>6</v>
      </c>
      <c r="D38" s="28" t="s">
        <v>58</v>
      </c>
      <c r="E38" s="28" t="s">
        <v>88</v>
      </c>
      <c r="F38" s="2"/>
      <c r="G38" s="2">
        <v>353496</v>
      </c>
      <c r="H38" s="2"/>
      <c r="I38" s="2">
        <v>353496</v>
      </c>
      <c r="J38" s="2">
        <v>2551922</v>
      </c>
    </row>
    <row r="39" spans="1:10" ht="21.75" x14ac:dyDescent="0.55000000000000004">
      <c r="A39" s="47">
        <v>44259</v>
      </c>
      <c r="B39" s="28"/>
      <c r="C39" s="28" t="s">
        <v>7</v>
      </c>
      <c r="D39" s="28" t="s">
        <v>58</v>
      </c>
      <c r="E39" s="28" t="s">
        <v>72</v>
      </c>
      <c r="F39" s="2"/>
      <c r="G39" s="2"/>
      <c r="H39" s="2">
        <v>1000000</v>
      </c>
      <c r="I39" s="2">
        <v>-1000000</v>
      </c>
      <c r="J39" s="2">
        <v>1551922</v>
      </c>
    </row>
    <row r="40" spans="1:10" ht="21.75" x14ac:dyDescent="0.55000000000000004">
      <c r="A40" s="47">
        <v>44265</v>
      </c>
      <c r="B40" s="28">
        <v>40</v>
      </c>
      <c r="C40" s="28" t="s">
        <v>6</v>
      </c>
      <c r="D40" s="28" t="s">
        <v>58</v>
      </c>
      <c r="E40" s="28" t="s">
        <v>117</v>
      </c>
      <c r="F40" s="2"/>
      <c r="G40" s="2">
        <v>356500</v>
      </c>
      <c r="H40" s="2"/>
      <c r="I40" s="2">
        <v>356500</v>
      </c>
      <c r="J40" s="2">
        <v>1908422</v>
      </c>
    </row>
    <row r="41" spans="1:10" ht="21.75" x14ac:dyDescent="0.55000000000000004">
      <c r="A41" s="47">
        <v>44265</v>
      </c>
      <c r="B41" s="28">
        <v>46</v>
      </c>
      <c r="C41" s="28" t="s">
        <v>6</v>
      </c>
      <c r="D41" s="28" t="s">
        <v>58</v>
      </c>
      <c r="E41" s="28" t="s">
        <v>118</v>
      </c>
      <c r="F41" s="2"/>
      <c r="G41" s="2">
        <v>275700</v>
      </c>
      <c r="H41" s="2"/>
      <c r="I41" s="2">
        <v>275700</v>
      </c>
      <c r="J41" s="2">
        <v>2184122</v>
      </c>
    </row>
    <row r="42" spans="1:10" ht="21.75" x14ac:dyDescent="0.55000000000000004">
      <c r="A42" s="47">
        <v>44256</v>
      </c>
      <c r="B42" s="28"/>
      <c r="C42" s="28" t="s">
        <v>5</v>
      </c>
      <c r="D42" s="28" t="s">
        <v>42</v>
      </c>
      <c r="E42" s="28" t="s">
        <v>5</v>
      </c>
      <c r="F42" s="2">
        <v>672600</v>
      </c>
      <c r="G42" s="2"/>
      <c r="H42" s="2"/>
      <c r="I42" s="2">
        <v>672600</v>
      </c>
      <c r="J42" s="2">
        <v>672600</v>
      </c>
    </row>
    <row r="43" spans="1:10" ht="21.75" x14ac:dyDescent="0.55000000000000004">
      <c r="A43" s="47">
        <v>44267</v>
      </c>
      <c r="B43" s="28">
        <v>6389</v>
      </c>
      <c r="C43" s="28" t="s">
        <v>7</v>
      </c>
      <c r="D43" s="28" t="s">
        <v>42</v>
      </c>
      <c r="E43" s="28" t="s">
        <v>112</v>
      </c>
      <c r="F43" s="2"/>
      <c r="G43" s="2"/>
      <c r="H43" s="2">
        <v>655000</v>
      </c>
      <c r="I43" s="2">
        <v>-655000</v>
      </c>
      <c r="J43" s="2">
        <v>17600</v>
      </c>
    </row>
    <row r="44" spans="1:10" ht="21.75" x14ac:dyDescent="0.55000000000000004">
      <c r="A44" s="47">
        <v>44267</v>
      </c>
      <c r="B44" s="28"/>
      <c r="C44" s="28" t="s">
        <v>7</v>
      </c>
      <c r="D44" s="28" t="s">
        <v>42</v>
      </c>
      <c r="E44" s="28" t="s">
        <v>113</v>
      </c>
      <c r="F44" s="2"/>
      <c r="G44" s="2"/>
      <c r="H44" s="2">
        <v>17600</v>
      </c>
      <c r="I44" s="2">
        <v>-17600</v>
      </c>
      <c r="J44" s="2">
        <v>0</v>
      </c>
    </row>
    <row r="45" spans="1:10" ht="21.75" x14ac:dyDescent="0.55000000000000004">
      <c r="A45" s="47">
        <v>44268</v>
      </c>
      <c r="B45" s="28">
        <v>4290</v>
      </c>
      <c r="C45" s="28" t="s">
        <v>6</v>
      </c>
      <c r="D45" s="28" t="s">
        <v>42</v>
      </c>
      <c r="E45" s="28" t="s">
        <v>123</v>
      </c>
      <c r="F45" s="2"/>
      <c r="G45" s="2">
        <v>35000</v>
      </c>
      <c r="H45" s="2"/>
      <c r="I45" s="2">
        <v>35000</v>
      </c>
      <c r="J45" s="2">
        <v>35000</v>
      </c>
    </row>
    <row r="46" spans="1:10" ht="21.75" x14ac:dyDescent="0.55000000000000004">
      <c r="A46" s="47">
        <v>44256</v>
      </c>
      <c r="B46" s="28"/>
      <c r="C46" s="28" t="s">
        <v>5</v>
      </c>
      <c r="D46" s="28" t="s">
        <v>82</v>
      </c>
      <c r="E46" s="28" t="s">
        <v>5</v>
      </c>
      <c r="F46" s="2">
        <v>649730</v>
      </c>
      <c r="G46" s="2"/>
      <c r="H46" s="2"/>
      <c r="I46" s="2">
        <v>649730</v>
      </c>
      <c r="J46" s="2">
        <v>649730</v>
      </c>
    </row>
    <row r="47" spans="1:10" ht="21.75" x14ac:dyDescent="0.55000000000000004">
      <c r="A47" s="47">
        <v>44267</v>
      </c>
      <c r="B47" s="28">
        <v>916</v>
      </c>
      <c r="C47" s="28" t="s">
        <v>7</v>
      </c>
      <c r="D47" s="28" t="s">
        <v>82</v>
      </c>
      <c r="E47" s="28" t="s">
        <v>112</v>
      </c>
      <c r="F47" s="2"/>
      <c r="G47" s="2"/>
      <c r="H47" s="2">
        <v>649700</v>
      </c>
      <c r="I47" s="2">
        <v>-649700</v>
      </c>
      <c r="J47" s="2">
        <v>30</v>
      </c>
    </row>
    <row r="48" spans="1:10" ht="21.75" x14ac:dyDescent="0.55000000000000004">
      <c r="A48" s="47">
        <v>44267</v>
      </c>
      <c r="B48" s="28"/>
      <c r="C48" s="28" t="s">
        <v>7</v>
      </c>
      <c r="D48" s="28" t="s">
        <v>82</v>
      </c>
      <c r="E48" s="28" t="s">
        <v>114</v>
      </c>
      <c r="F48" s="2"/>
      <c r="G48" s="2"/>
      <c r="H48" s="2">
        <v>30</v>
      </c>
      <c r="I48" s="2">
        <v>-30</v>
      </c>
      <c r="J48" s="2">
        <v>0</v>
      </c>
    </row>
    <row r="49" spans="1:10" ht="21.75" x14ac:dyDescent="0.55000000000000004">
      <c r="A49" s="47">
        <v>44277</v>
      </c>
      <c r="B49" s="28">
        <v>4105</v>
      </c>
      <c r="C49" s="28" t="s">
        <v>6</v>
      </c>
      <c r="D49" s="28" t="s">
        <v>82</v>
      </c>
      <c r="E49" s="28" t="s">
        <v>130</v>
      </c>
      <c r="F49" s="2"/>
      <c r="G49" s="2">
        <v>384200</v>
      </c>
      <c r="H49" s="2"/>
      <c r="I49" s="2">
        <v>384200</v>
      </c>
      <c r="J49" s="2">
        <v>384200</v>
      </c>
    </row>
    <row r="50" spans="1:10" ht="21.75" x14ac:dyDescent="0.55000000000000004">
      <c r="A50" s="47">
        <v>44285</v>
      </c>
      <c r="B50" s="28">
        <v>4112</v>
      </c>
      <c r="C50" s="28" t="s">
        <v>6</v>
      </c>
      <c r="D50" s="28" t="s">
        <v>82</v>
      </c>
      <c r="E50" s="28" t="s">
        <v>140</v>
      </c>
      <c r="F50" s="2"/>
      <c r="G50" s="2">
        <v>132500</v>
      </c>
      <c r="H50" s="2"/>
      <c r="I50" s="2">
        <v>132500</v>
      </c>
      <c r="J50" s="2">
        <v>516700</v>
      </c>
    </row>
    <row r="51" spans="1:10" ht="21.75" x14ac:dyDescent="0.55000000000000004">
      <c r="A51" s="47">
        <v>44285</v>
      </c>
      <c r="B51" s="28">
        <v>927</v>
      </c>
      <c r="C51" s="28" t="s">
        <v>7</v>
      </c>
      <c r="D51" s="28" t="s">
        <v>82</v>
      </c>
      <c r="E51" s="28" t="s">
        <v>112</v>
      </c>
      <c r="F51" s="2"/>
      <c r="G51" s="2"/>
      <c r="H51" s="2">
        <v>384200</v>
      </c>
      <c r="I51" s="2">
        <v>-384200</v>
      </c>
      <c r="J51" s="2">
        <v>132500</v>
      </c>
    </row>
    <row r="52" spans="1:10" ht="21.75" x14ac:dyDescent="0.55000000000000004">
      <c r="A52" s="47">
        <v>44256</v>
      </c>
      <c r="B52" s="28"/>
      <c r="C52" s="28" t="s">
        <v>5</v>
      </c>
      <c r="D52" s="28" t="s">
        <v>44</v>
      </c>
      <c r="E52" s="28" t="s">
        <v>5</v>
      </c>
      <c r="F52" s="2">
        <v>2208992</v>
      </c>
      <c r="G52" s="2"/>
      <c r="H52" s="2"/>
      <c r="I52" s="2">
        <v>2208992</v>
      </c>
      <c r="J52" s="2">
        <v>2208992</v>
      </c>
    </row>
    <row r="53" spans="1:10" ht="21.75" x14ac:dyDescent="0.55000000000000004">
      <c r="A53" s="47">
        <v>44256</v>
      </c>
      <c r="B53" s="28"/>
      <c r="C53" s="28" t="s">
        <v>5</v>
      </c>
      <c r="D53" s="28" t="s">
        <v>83</v>
      </c>
      <c r="E53" s="28" t="s">
        <v>5</v>
      </c>
      <c r="F53" s="2">
        <v>584250</v>
      </c>
      <c r="G53" s="2"/>
      <c r="H53" s="2"/>
      <c r="I53" s="2">
        <v>584250</v>
      </c>
      <c r="J53" s="2">
        <v>584250</v>
      </c>
    </row>
    <row r="54" spans="1:10" ht="21.75" x14ac:dyDescent="0.55000000000000004">
      <c r="A54" s="47">
        <v>44267</v>
      </c>
      <c r="B54" s="28">
        <v>657</v>
      </c>
      <c r="C54" s="28" t="s">
        <v>7</v>
      </c>
      <c r="D54" s="28" t="s">
        <v>83</v>
      </c>
      <c r="E54" s="28" t="s">
        <v>112</v>
      </c>
      <c r="F54" s="2"/>
      <c r="G54" s="2"/>
      <c r="H54" s="2">
        <v>584000</v>
      </c>
      <c r="I54" s="2">
        <v>-584000</v>
      </c>
      <c r="J54" s="2">
        <v>250</v>
      </c>
    </row>
    <row r="55" spans="1:10" ht="21.75" x14ac:dyDescent="0.55000000000000004">
      <c r="A55" s="47">
        <v>44267</v>
      </c>
      <c r="B55" s="28"/>
      <c r="C55" s="28" t="s">
        <v>7</v>
      </c>
      <c r="D55" s="28" t="s">
        <v>83</v>
      </c>
      <c r="E55" s="28" t="s">
        <v>115</v>
      </c>
      <c r="F55" s="2"/>
      <c r="G55" s="2"/>
      <c r="H55" s="2">
        <v>250</v>
      </c>
      <c r="I55" s="2">
        <v>-250</v>
      </c>
      <c r="J55" s="2">
        <v>0</v>
      </c>
    </row>
    <row r="56" spans="1:10" ht="21.75" x14ac:dyDescent="0.55000000000000004">
      <c r="A56" s="47">
        <v>44267</v>
      </c>
      <c r="B56" s="28">
        <v>5806</v>
      </c>
      <c r="C56" s="28" t="s">
        <v>6</v>
      </c>
      <c r="D56" s="28" t="s">
        <v>83</v>
      </c>
      <c r="E56" s="28" t="s">
        <v>116</v>
      </c>
      <c r="F56" s="2"/>
      <c r="G56" s="2">
        <v>9460</v>
      </c>
      <c r="H56" s="2"/>
      <c r="I56" s="2">
        <v>9460</v>
      </c>
      <c r="J56" s="2">
        <v>9460</v>
      </c>
    </row>
    <row r="57" spans="1:10" ht="21.75" x14ac:dyDescent="0.55000000000000004">
      <c r="A57" s="47">
        <v>44285</v>
      </c>
      <c r="B57" s="28">
        <v>5807</v>
      </c>
      <c r="C57" s="28" t="s">
        <v>6</v>
      </c>
      <c r="D57" s="28" t="s">
        <v>83</v>
      </c>
      <c r="E57" s="28" t="s">
        <v>136</v>
      </c>
      <c r="F57" s="2"/>
      <c r="G57" s="2">
        <v>3300000</v>
      </c>
      <c r="H57" s="2"/>
      <c r="I57" s="2">
        <v>3300000</v>
      </c>
      <c r="J57" s="2">
        <v>3309460</v>
      </c>
    </row>
    <row r="58" spans="1:10" ht="21.75" x14ac:dyDescent="0.55000000000000004">
      <c r="A58" s="47">
        <v>44285</v>
      </c>
      <c r="B58" s="28"/>
      <c r="C58" s="28" t="s">
        <v>7</v>
      </c>
      <c r="D58" s="28" t="s">
        <v>83</v>
      </c>
      <c r="E58" s="28" t="s">
        <v>141</v>
      </c>
      <c r="F58" s="2"/>
      <c r="G58" s="2"/>
      <c r="H58" s="2">
        <v>1500000</v>
      </c>
      <c r="I58" s="2">
        <v>-1500000</v>
      </c>
      <c r="J58" s="2">
        <v>1809460</v>
      </c>
    </row>
    <row r="59" spans="1:10" ht="21.75" x14ac:dyDescent="0.55000000000000004">
      <c r="A59" s="47">
        <v>44256</v>
      </c>
      <c r="B59" s="28"/>
      <c r="C59" s="28" t="s">
        <v>5</v>
      </c>
      <c r="D59" s="28" t="s">
        <v>84</v>
      </c>
      <c r="E59" s="28" t="s">
        <v>5</v>
      </c>
      <c r="F59" s="2">
        <v>2754773</v>
      </c>
      <c r="G59" s="2"/>
      <c r="H59" s="2"/>
      <c r="I59" s="2">
        <v>2754773</v>
      </c>
      <c r="J59" s="2">
        <v>2754773</v>
      </c>
    </row>
    <row r="60" spans="1:10" ht="21.75" x14ac:dyDescent="0.55000000000000004">
      <c r="A60" s="47">
        <v>44256</v>
      </c>
      <c r="B60" s="28"/>
      <c r="C60" s="28" t="s">
        <v>5</v>
      </c>
      <c r="D60" s="28" t="s">
        <v>48</v>
      </c>
      <c r="E60" s="28" t="s">
        <v>5</v>
      </c>
      <c r="F60" s="2">
        <v>5856500</v>
      </c>
      <c r="G60" s="2"/>
      <c r="H60" s="2"/>
      <c r="I60" s="2">
        <v>5856500</v>
      </c>
      <c r="J60" s="2">
        <v>5856500</v>
      </c>
    </row>
    <row r="61" spans="1:10" ht="21.75" x14ac:dyDescent="0.55000000000000004">
      <c r="A61" s="47">
        <v>44257</v>
      </c>
      <c r="B61" s="28">
        <v>43712</v>
      </c>
      <c r="C61" s="28" t="s">
        <v>6</v>
      </c>
      <c r="D61" s="28" t="s">
        <v>48</v>
      </c>
      <c r="E61" s="28" t="s">
        <v>71</v>
      </c>
      <c r="F61" s="2"/>
      <c r="G61" s="2">
        <v>96000</v>
      </c>
      <c r="H61" s="2"/>
      <c r="I61" s="2">
        <v>96000</v>
      </c>
      <c r="J61" s="2">
        <v>5952500</v>
      </c>
    </row>
    <row r="62" spans="1:10" ht="21.75" x14ac:dyDescent="0.55000000000000004">
      <c r="A62" s="47">
        <v>44258</v>
      </c>
      <c r="B62" s="28">
        <v>43743</v>
      </c>
      <c r="C62" s="28" t="s">
        <v>6</v>
      </c>
      <c r="D62" s="28" t="s">
        <v>48</v>
      </c>
      <c r="E62" s="28" t="s">
        <v>91</v>
      </c>
      <c r="F62" s="2"/>
      <c r="G62" s="2">
        <v>150000</v>
      </c>
      <c r="H62" s="2"/>
      <c r="I62" s="2">
        <v>150000</v>
      </c>
      <c r="J62" s="2">
        <v>6102500</v>
      </c>
    </row>
    <row r="63" spans="1:10" ht="21.75" x14ac:dyDescent="0.55000000000000004">
      <c r="A63" s="47">
        <v>44258</v>
      </c>
      <c r="B63" s="28">
        <v>43744</v>
      </c>
      <c r="C63" s="28" t="s">
        <v>6</v>
      </c>
      <c r="D63" s="28" t="s">
        <v>48</v>
      </c>
      <c r="E63" s="28" t="s">
        <v>92</v>
      </c>
      <c r="F63" s="2"/>
      <c r="G63" s="2">
        <v>75000</v>
      </c>
      <c r="H63" s="2"/>
      <c r="I63" s="2">
        <v>75000</v>
      </c>
      <c r="J63" s="2">
        <v>6177500</v>
      </c>
    </row>
    <row r="64" spans="1:10" ht="21.75" x14ac:dyDescent="0.55000000000000004">
      <c r="A64" s="47">
        <v>44264</v>
      </c>
      <c r="B64" s="28">
        <v>42445</v>
      </c>
      <c r="C64" s="28" t="s">
        <v>6</v>
      </c>
      <c r="D64" s="28" t="s">
        <v>48</v>
      </c>
      <c r="E64" s="28" t="s">
        <v>109</v>
      </c>
      <c r="F64" s="2"/>
      <c r="G64" s="2">
        <v>710000</v>
      </c>
      <c r="H64" s="2"/>
      <c r="I64" s="2">
        <v>710000</v>
      </c>
      <c r="J64" s="2">
        <v>6887500</v>
      </c>
    </row>
    <row r="65" spans="1:10" ht="21.75" x14ac:dyDescent="0.55000000000000004">
      <c r="A65" s="47">
        <v>44267</v>
      </c>
      <c r="B65" s="28">
        <v>291</v>
      </c>
      <c r="C65" s="28" t="s">
        <v>7</v>
      </c>
      <c r="D65" s="28" t="s">
        <v>48</v>
      </c>
      <c r="E65" s="28" t="s">
        <v>112</v>
      </c>
      <c r="F65" s="2"/>
      <c r="G65" s="2"/>
      <c r="H65" s="2">
        <v>1500000</v>
      </c>
      <c r="I65" s="2">
        <v>-1500000</v>
      </c>
      <c r="J65" s="2">
        <v>5387500</v>
      </c>
    </row>
    <row r="66" spans="1:10" ht="21.75" x14ac:dyDescent="0.55000000000000004">
      <c r="A66" s="47">
        <v>44267</v>
      </c>
      <c r="B66" s="28">
        <v>4248</v>
      </c>
      <c r="C66" s="28" t="s">
        <v>6</v>
      </c>
      <c r="D66" s="28" t="s">
        <v>48</v>
      </c>
      <c r="E66" s="28" t="s">
        <v>121</v>
      </c>
      <c r="F66" s="2"/>
      <c r="G66" s="2">
        <v>144000</v>
      </c>
      <c r="H66" s="2"/>
      <c r="I66" s="2">
        <v>144000</v>
      </c>
      <c r="J66" s="2">
        <v>5531500</v>
      </c>
    </row>
    <row r="67" spans="1:10" ht="21.75" x14ac:dyDescent="0.55000000000000004">
      <c r="A67" s="47">
        <v>44274</v>
      </c>
      <c r="B67" s="28">
        <v>42618</v>
      </c>
      <c r="C67" s="28" t="s">
        <v>6</v>
      </c>
      <c r="D67" s="28" t="s">
        <v>48</v>
      </c>
      <c r="E67" s="28" t="s">
        <v>127</v>
      </c>
      <c r="F67" s="2"/>
      <c r="G67" s="2">
        <v>158000</v>
      </c>
      <c r="H67" s="2"/>
      <c r="I67" s="2">
        <v>158000</v>
      </c>
      <c r="J67" s="2">
        <v>5689500</v>
      </c>
    </row>
    <row r="68" spans="1:10" ht="21.75" x14ac:dyDescent="0.55000000000000004">
      <c r="A68" s="47">
        <v>44269</v>
      </c>
      <c r="B68" s="28">
        <v>43850</v>
      </c>
      <c r="C68" s="28" t="s">
        <v>6</v>
      </c>
      <c r="D68" s="28" t="s">
        <v>48</v>
      </c>
      <c r="E68" s="28" t="s">
        <v>109</v>
      </c>
      <c r="F68" s="2"/>
      <c r="G68" s="2">
        <v>710000</v>
      </c>
      <c r="H68" s="2"/>
      <c r="I68" s="2">
        <v>710000</v>
      </c>
      <c r="J68" s="2">
        <v>6399500</v>
      </c>
    </row>
    <row r="69" spans="1:10" ht="21.75" x14ac:dyDescent="0.55000000000000004">
      <c r="A69" s="47">
        <v>44274</v>
      </c>
      <c r="B69" s="28">
        <v>42523</v>
      </c>
      <c r="C69" s="28" t="s">
        <v>6</v>
      </c>
      <c r="D69" s="28" t="s">
        <v>48</v>
      </c>
      <c r="E69" s="28" t="s">
        <v>109</v>
      </c>
      <c r="F69" s="2"/>
      <c r="G69" s="2">
        <v>1065000</v>
      </c>
      <c r="H69" s="2"/>
      <c r="I69" s="2">
        <v>1065000</v>
      </c>
      <c r="J69" s="2">
        <v>7464500</v>
      </c>
    </row>
    <row r="70" spans="1:10" ht="21.75" x14ac:dyDescent="0.55000000000000004">
      <c r="A70" s="47">
        <v>44284</v>
      </c>
      <c r="B70" s="28">
        <v>42577</v>
      </c>
      <c r="C70" s="28" t="s">
        <v>6</v>
      </c>
      <c r="D70" s="28" t="s">
        <v>48</v>
      </c>
      <c r="E70" s="28" t="s">
        <v>132</v>
      </c>
      <c r="F70" s="2"/>
      <c r="G70" s="2">
        <v>75000</v>
      </c>
      <c r="H70" s="2"/>
      <c r="I70" s="2">
        <v>75000</v>
      </c>
      <c r="J70" s="2">
        <v>7539500</v>
      </c>
    </row>
    <row r="71" spans="1:10" ht="21.75" x14ac:dyDescent="0.55000000000000004">
      <c r="A71" s="47">
        <v>44285</v>
      </c>
      <c r="B71" s="28">
        <v>42585</v>
      </c>
      <c r="C71" s="28" t="s">
        <v>6</v>
      </c>
      <c r="D71" s="28" t="s">
        <v>48</v>
      </c>
      <c r="E71" s="28" t="s">
        <v>133</v>
      </c>
      <c r="F71" s="2"/>
      <c r="G71" s="2">
        <v>395000</v>
      </c>
      <c r="H71" s="2"/>
      <c r="I71" s="2">
        <v>395000</v>
      </c>
      <c r="J71" s="2">
        <v>7934500</v>
      </c>
    </row>
    <row r="72" spans="1:10" ht="21.75" x14ac:dyDescent="0.55000000000000004">
      <c r="A72" s="47">
        <v>44285</v>
      </c>
      <c r="B72" s="28">
        <v>1098</v>
      </c>
      <c r="C72" s="28" t="s">
        <v>7</v>
      </c>
      <c r="D72" s="28" t="s">
        <v>48</v>
      </c>
      <c r="E72" s="28" t="s">
        <v>112</v>
      </c>
      <c r="F72" s="2"/>
      <c r="G72" s="2"/>
      <c r="H72" s="2">
        <v>2000000</v>
      </c>
      <c r="I72" s="2">
        <v>-2000000</v>
      </c>
      <c r="J72" s="2">
        <v>5934500</v>
      </c>
    </row>
    <row r="73" spans="1:10" ht="21.75" x14ac:dyDescent="0.55000000000000004">
      <c r="A73" s="47">
        <v>44256</v>
      </c>
      <c r="B73" s="28"/>
      <c r="C73" s="28" t="s">
        <v>5</v>
      </c>
      <c r="D73" s="28" t="s">
        <v>50</v>
      </c>
      <c r="E73" s="28" t="s">
        <v>5</v>
      </c>
      <c r="F73" s="2">
        <v>175000</v>
      </c>
      <c r="G73" s="2"/>
      <c r="H73" s="2"/>
      <c r="I73" s="2">
        <v>175000</v>
      </c>
      <c r="J73" s="2">
        <v>175000</v>
      </c>
    </row>
    <row r="74" spans="1:10" ht="21.75" x14ac:dyDescent="0.55000000000000004">
      <c r="A74" s="47">
        <v>44285</v>
      </c>
      <c r="B74" s="28">
        <v>11801</v>
      </c>
      <c r="C74" s="28" t="s">
        <v>6</v>
      </c>
      <c r="D74" s="28" t="s">
        <v>50</v>
      </c>
      <c r="E74" s="28" t="s">
        <v>135</v>
      </c>
      <c r="F74" s="2"/>
      <c r="G74" s="2">
        <v>19500</v>
      </c>
      <c r="H74" s="2"/>
      <c r="I74" s="2">
        <v>19500</v>
      </c>
      <c r="J74" s="2">
        <v>194500</v>
      </c>
    </row>
    <row r="75" spans="1:10" ht="21.75" x14ac:dyDescent="0.55000000000000004">
      <c r="A75" s="47">
        <v>44285</v>
      </c>
      <c r="B75" s="28">
        <v>2938</v>
      </c>
      <c r="C75" s="28" t="s">
        <v>7</v>
      </c>
      <c r="D75" s="28" t="s">
        <v>50</v>
      </c>
      <c r="E75" s="28" t="s">
        <v>142</v>
      </c>
      <c r="F75" s="2"/>
      <c r="G75" s="2"/>
      <c r="H75" s="2">
        <v>180000</v>
      </c>
      <c r="I75" s="2">
        <v>-180000</v>
      </c>
      <c r="J75" s="2">
        <v>14500</v>
      </c>
    </row>
    <row r="76" spans="1:10" ht="21.75" x14ac:dyDescent="0.55000000000000004">
      <c r="A76" s="47">
        <v>44286</v>
      </c>
      <c r="B76" s="28"/>
      <c r="C76" s="28" t="s">
        <v>7</v>
      </c>
      <c r="D76" s="28" t="s">
        <v>50</v>
      </c>
      <c r="E76" s="28" t="s">
        <v>142</v>
      </c>
      <c r="F76" s="2"/>
      <c r="G76" s="2"/>
      <c r="H76" s="2">
        <v>14500</v>
      </c>
      <c r="I76" s="2">
        <v>-14500</v>
      </c>
      <c r="J76" s="2">
        <v>0</v>
      </c>
    </row>
    <row r="77" spans="1:10" ht="21.75" x14ac:dyDescent="0.55000000000000004">
      <c r="A77" s="47">
        <v>44256</v>
      </c>
      <c r="B77" s="28"/>
      <c r="C77" s="28" t="s">
        <v>5</v>
      </c>
      <c r="D77" s="28" t="s">
        <v>65</v>
      </c>
      <c r="E77" s="28" t="s">
        <v>5</v>
      </c>
      <c r="F77" s="2">
        <v>269200</v>
      </c>
      <c r="G77" s="2"/>
      <c r="H77" s="2"/>
      <c r="I77" s="2">
        <v>269200</v>
      </c>
      <c r="J77" s="2">
        <v>269200</v>
      </c>
    </row>
    <row r="78" spans="1:10" ht="21.75" x14ac:dyDescent="0.55000000000000004">
      <c r="A78" s="47">
        <v>44267</v>
      </c>
      <c r="B78" s="28"/>
      <c r="C78" s="28" t="s">
        <v>7</v>
      </c>
      <c r="D78" s="28" t="s">
        <v>65</v>
      </c>
      <c r="E78" s="28" t="s">
        <v>112</v>
      </c>
      <c r="F78" s="2"/>
      <c r="G78" s="2"/>
      <c r="H78" s="2">
        <v>269200</v>
      </c>
      <c r="I78" s="2">
        <v>-269200</v>
      </c>
      <c r="J78" s="2">
        <v>0</v>
      </c>
    </row>
    <row r="79" spans="1:10" ht="21.75" x14ac:dyDescent="0.55000000000000004">
      <c r="A79" s="47">
        <v>44268</v>
      </c>
      <c r="B79" s="28">
        <v>29851</v>
      </c>
      <c r="C79" s="28" t="s">
        <v>6</v>
      </c>
      <c r="D79" s="28" t="s">
        <v>65</v>
      </c>
      <c r="E79" s="28">
        <v>6205</v>
      </c>
      <c r="F79" s="2"/>
      <c r="G79" s="2">
        <v>26500</v>
      </c>
      <c r="H79" s="2"/>
      <c r="I79" s="2">
        <v>26500</v>
      </c>
      <c r="J79" s="2">
        <v>26500</v>
      </c>
    </row>
    <row r="80" spans="1:10" ht="21.75" x14ac:dyDescent="0.55000000000000004">
      <c r="A80" s="47">
        <v>44280</v>
      </c>
      <c r="B80" s="28"/>
      <c r="C80" s="28" t="s">
        <v>7</v>
      </c>
      <c r="D80" s="28" t="s">
        <v>65</v>
      </c>
      <c r="E80" s="28" t="s">
        <v>112</v>
      </c>
      <c r="F80" s="2"/>
      <c r="G80" s="2"/>
      <c r="H80" s="2">
        <v>26500</v>
      </c>
      <c r="I80" s="2">
        <v>-26500</v>
      </c>
      <c r="J80" s="2">
        <v>0</v>
      </c>
    </row>
    <row r="81" spans="1:10" ht="21.75" x14ac:dyDescent="0.55000000000000004">
      <c r="A81" s="47">
        <v>44256</v>
      </c>
      <c r="B81" s="28"/>
      <c r="C81" s="28" t="s">
        <v>5</v>
      </c>
      <c r="D81" s="28" t="s">
        <v>85</v>
      </c>
      <c r="E81" s="28" t="s">
        <v>5</v>
      </c>
      <c r="F81" s="2">
        <v>1145500</v>
      </c>
      <c r="G81" s="2"/>
      <c r="H81" s="2"/>
      <c r="I81" s="2">
        <v>1145500</v>
      </c>
      <c r="J81" s="2">
        <v>1145500</v>
      </c>
    </row>
    <row r="82" spans="1:10" ht="21.75" x14ac:dyDescent="0.55000000000000004">
      <c r="A82" s="47">
        <v>44256</v>
      </c>
      <c r="B82" s="28"/>
      <c r="C82" s="28" t="s">
        <v>5</v>
      </c>
      <c r="D82" s="28" t="s">
        <v>86</v>
      </c>
      <c r="E82" s="28" t="s">
        <v>5</v>
      </c>
      <c r="F82" s="2">
        <v>143000</v>
      </c>
      <c r="G82" s="2"/>
      <c r="H82" s="2"/>
      <c r="I82" s="2">
        <v>143000</v>
      </c>
      <c r="J82" s="2">
        <v>143000</v>
      </c>
    </row>
    <row r="83" spans="1:10" ht="21.75" x14ac:dyDescent="0.55000000000000004">
      <c r="A83" s="47">
        <v>44256</v>
      </c>
      <c r="B83" s="28"/>
      <c r="C83" s="28" t="s">
        <v>5</v>
      </c>
      <c r="D83" s="28" t="s">
        <v>56</v>
      </c>
      <c r="E83" s="28" t="s">
        <v>5</v>
      </c>
      <c r="F83" s="2">
        <v>728393</v>
      </c>
      <c r="G83" s="2"/>
      <c r="H83" s="2"/>
      <c r="I83" s="2">
        <v>728393</v>
      </c>
      <c r="J83" s="2">
        <v>728393</v>
      </c>
    </row>
    <row r="84" spans="1:10" ht="21.75" x14ac:dyDescent="0.55000000000000004">
      <c r="A84" s="47">
        <v>44257</v>
      </c>
      <c r="B84" s="28">
        <v>79213</v>
      </c>
      <c r="C84" s="28" t="s">
        <v>6</v>
      </c>
      <c r="D84" s="28" t="s">
        <v>56</v>
      </c>
      <c r="E84" s="28" t="s">
        <v>87</v>
      </c>
      <c r="F84" s="2"/>
      <c r="G84" s="2">
        <v>31000</v>
      </c>
      <c r="H84" s="2"/>
      <c r="I84" s="2">
        <v>31000</v>
      </c>
      <c r="J84" s="2">
        <v>759393</v>
      </c>
    </row>
    <row r="85" spans="1:10" ht="21.75" x14ac:dyDescent="0.55000000000000004">
      <c r="A85" s="47">
        <v>44258</v>
      </c>
      <c r="B85" s="28">
        <v>1203211</v>
      </c>
      <c r="C85" s="28" t="s">
        <v>6</v>
      </c>
      <c r="D85" s="28" t="s">
        <v>56</v>
      </c>
      <c r="E85" s="28" t="s">
        <v>108</v>
      </c>
      <c r="F85" s="2"/>
      <c r="G85" s="2">
        <v>32226</v>
      </c>
      <c r="H85" s="2"/>
      <c r="I85" s="2">
        <v>32226</v>
      </c>
      <c r="J85" s="2">
        <v>791619</v>
      </c>
    </row>
    <row r="86" spans="1:10" ht="21.75" x14ac:dyDescent="0.55000000000000004">
      <c r="A86" s="47">
        <v>44261</v>
      </c>
      <c r="B86" s="28">
        <v>85213</v>
      </c>
      <c r="C86" s="28" t="s">
        <v>6</v>
      </c>
      <c r="D86" s="28" t="s">
        <v>56</v>
      </c>
      <c r="E86" s="28" t="s">
        <v>105</v>
      </c>
      <c r="F86" s="2"/>
      <c r="G86" s="2">
        <v>136801</v>
      </c>
      <c r="H86" s="2"/>
      <c r="I86" s="2">
        <v>136801</v>
      </c>
      <c r="J86" s="2">
        <v>928420</v>
      </c>
    </row>
    <row r="87" spans="1:10" ht="21.75" x14ac:dyDescent="0.55000000000000004">
      <c r="A87" s="47">
        <v>44267</v>
      </c>
      <c r="B87" s="28"/>
      <c r="C87" s="28" t="s">
        <v>7</v>
      </c>
      <c r="D87" s="28" t="s">
        <v>56</v>
      </c>
      <c r="E87" s="28" t="s">
        <v>112</v>
      </c>
      <c r="F87" s="2"/>
      <c r="G87" s="2"/>
      <c r="H87" s="2">
        <v>500000</v>
      </c>
      <c r="I87" s="2">
        <v>-500000</v>
      </c>
      <c r="J87" s="2">
        <v>428420</v>
      </c>
    </row>
    <row r="88" spans="1:10" ht="21.75" x14ac:dyDescent="0.55000000000000004">
      <c r="A88" s="47">
        <v>44266</v>
      </c>
      <c r="B88" s="28">
        <v>94213</v>
      </c>
      <c r="C88" s="28" t="s">
        <v>6</v>
      </c>
      <c r="D88" s="28" t="s">
        <v>56</v>
      </c>
      <c r="E88" s="28" t="s">
        <v>120</v>
      </c>
      <c r="F88" s="2"/>
      <c r="G88" s="2">
        <v>186385</v>
      </c>
      <c r="H88" s="2"/>
      <c r="I88" s="2">
        <v>186385</v>
      </c>
      <c r="J88" s="2">
        <v>614805</v>
      </c>
    </row>
    <row r="89" spans="1:10" ht="21.75" x14ac:dyDescent="0.55000000000000004">
      <c r="A89" s="47">
        <v>44275</v>
      </c>
      <c r="B89" s="28">
        <v>232211</v>
      </c>
      <c r="C89" s="28" t="s">
        <v>6</v>
      </c>
      <c r="D89" s="28" t="s">
        <v>56</v>
      </c>
      <c r="E89" s="28" t="s">
        <v>125</v>
      </c>
      <c r="F89" s="2"/>
      <c r="G89" s="2">
        <v>47250</v>
      </c>
      <c r="H89" s="2"/>
      <c r="I89" s="2">
        <v>47250</v>
      </c>
      <c r="J89" s="2">
        <v>662055</v>
      </c>
    </row>
    <row r="90" spans="1:10" ht="21.75" x14ac:dyDescent="0.55000000000000004">
      <c r="A90" s="47">
        <v>44275</v>
      </c>
      <c r="B90" s="28">
        <v>231211</v>
      </c>
      <c r="C90" s="28" t="s">
        <v>6</v>
      </c>
      <c r="D90" s="28" t="s">
        <v>56</v>
      </c>
      <c r="E90" s="28" t="s">
        <v>126</v>
      </c>
      <c r="F90" s="2"/>
      <c r="G90" s="2">
        <v>317565</v>
      </c>
      <c r="H90" s="2"/>
      <c r="I90" s="2">
        <v>317565</v>
      </c>
      <c r="J90" s="2">
        <v>979620</v>
      </c>
    </row>
    <row r="91" spans="1:10" ht="21.75" x14ac:dyDescent="0.55000000000000004">
      <c r="A91" s="47">
        <v>44280</v>
      </c>
      <c r="B91" s="28">
        <v>236211</v>
      </c>
      <c r="C91" s="28" t="s">
        <v>6</v>
      </c>
      <c r="D91" s="28" t="s">
        <v>56</v>
      </c>
      <c r="E91" s="28" t="s">
        <v>129</v>
      </c>
      <c r="F91" s="2"/>
      <c r="G91" s="2">
        <v>568552</v>
      </c>
      <c r="H91" s="2"/>
      <c r="I91" s="2">
        <v>568552</v>
      </c>
      <c r="J91" s="2">
        <v>1548172</v>
      </c>
    </row>
    <row r="92" spans="1:10" ht="21.75" x14ac:dyDescent="0.55000000000000004">
      <c r="A92" s="47">
        <v>44285</v>
      </c>
      <c r="B92" s="28">
        <v>254211</v>
      </c>
      <c r="C92" s="28" t="s">
        <v>6</v>
      </c>
      <c r="D92" s="28" t="s">
        <v>56</v>
      </c>
      <c r="E92" s="28" t="s">
        <v>131</v>
      </c>
      <c r="F92" s="2"/>
      <c r="G92" s="2">
        <v>393745</v>
      </c>
      <c r="H92" s="2"/>
      <c r="I92" s="2">
        <v>393745</v>
      </c>
      <c r="J92" s="2">
        <v>1941917</v>
      </c>
    </row>
    <row r="93" spans="1:10" ht="21.75" x14ac:dyDescent="0.55000000000000004">
      <c r="A93" s="47">
        <v>44285</v>
      </c>
      <c r="B93" s="28"/>
      <c r="C93" s="28" t="s">
        <v>7</v>
      </c>
      <c r="D93" s="28" t="s">
        <v>56</v>
      </c>
      <c r="E93" s="28" t="s">
        <v>112</v>
      </c>
      <c r="F93" s="2"/>
      <c r="G93" s="2"/>
      <c r="H93" s="2">
        <v>500000</v>
      </c>
      <c r="I93" s="2">
        <v>-500000</v>
      </c>
      <c r="J93" s="2">
        <v>1441917</v>
      </c>
    </row>
    <row r="94" spans="1:10" ht="21.75" x14ac:dyDescent="0.55000000000000004">
      <c r="A94" s="47"/>
      <c r="B94" s="28"/>
      <c r="C94" s="28"/>
      <c r="D94" s="28"/>
      <c r="E94" s="28"/>
      <c r="F94" s="2"/>
      <c r="G94" s="2"/>
      <c r="H94" s="2"/>
      <c r="I94" s="2"/>
      <c r="J94" s="2"/>
    </row>
    <row r="95" spans="1:10" ht="21.75" x14ac:dyDescent="0.55000000000000004">
      <c r="A95" s="47"/>
      <c r="B95" s="28"/>
      <c r="C95" s="28"/>
      <c r="D95" s="28"/>
      <c r="E95" s="28"/>
      <c r="F95" s="2"/>
      <c r="G95" s="2"/>
      <c r="H95" s="2"/>
      <c r="I95" s="2"/>
      <c r="J95" s="2"/>
    </row>
    <row r="96" spans="1:10" ht="21.75" x14ac:dyDescent="0.55000000000000004">
      <c r="A96" s="47"/>
      <c r="B96" s="28"/>
      <c r="C96" s="28"/>
      <c r="D96" s="28"/>
      <c r="E96" s="28"/>
      <c r="F96" s="2"/>
      <c r="G96" s="2"/>
      <c r="H96" s="2"/>
      <c r="I96" s="2"/>
      <c r="J96" s="2"/>
    </row>
    <row r="97" spans="1:10" ht="21.75" x14ac:dyDescent="0.55000000000000004">
      <c r="A97" s="47"/>
      <c r="B97" s="28"/>
      <c r="C97" s="28"/>
      <c r="D97" s="28"/>
      <c r="E97" s="28"/>
      <c r="F97" s="2"/>
      <c r="G97" s="2"/>
      <c r="H97" s="2"/>
      <c r="I97" s="2"/>
      <c r="J97" s="2"/>
    </row>
    <row r="98" spans="1:10" ht="21.75" x14ac:dyDescent="0.55000000000000004">
      <c r="A98" s="47"/>
      <c r="B98" s="28"/>
      <c r="C98" s="28"/>
      <c r="D98" s="28"/>
      <c r="E98" s="28"/>
      <c r="F98" s="2"/>
      <c r="G98" s="2"/>
      <c r="H98" s="2"/>
      <c r="I98" s="2"/>
      <c r="J98" s="2"/>
    </row>
    <row r="99" spans="1:10" ht="21.75" x14ac:dyDescent="0.55000000000000004">
      <c r="A99" s="47"/>
      <c r="B99" s="28"/>
      <c r="C99" s="28"/>
      <c r="D99" s="28"/>
      <c r="E99" s="28"/>
      <c r="F99" s="2"/>
      <c r="G99" s="2"/>
      <c r="H99" s="2"/>
      <c r="I99" s="2"/>
      <c r="J99" s="2"/>
    </row>
    <row r="100" spans="1:10" ht="21.75" x14ac:dyDescent="0.55000000000000004">
      <c r="A100" s="47"/>
      <c r="B100" s="28"/>
      <c r="C100" s="28"/>
      <c r="D100" s="28"/>
      <c r="E100" s="28"/>
      <c r="F100" s="2"/>
      <c r="G100" s="2"/>
      <c r="H100" s="2"/>
      <c r="I100" s="2"/>
      <c r="J100" s="2"/>
    </row>
    <row r="101" spans="1:10" ht="21.75" x14ac:dyDescent="0.55000000000000004">
      <c r="A101" s="47"/>
      <c r="B101" s="28"/>
      <c r="C101" s="28"/>
      <c r="D101" s="28"/>
      <c r="E101" s="28"/>
      <c r="F101" s="2"/>
      <c r="G101" s="2"/>
      <c r="H101" s="2"/>
      <c r="I101" s="2"/>
      <c r="J101" s="2"/>
    </row>
    <row r="102" spans="1:10" ht="21.75" x14ac:dyDescent="0.55000000000000004">
      <c r="A102" s="47"/>
      <c r="B102" s="28"/>
      <c r="C102" s="28"/>
      <c r="D102" s="28"/>
      <c r="E102" s="28"/>
      <c r="F102" s="2"/>
      <c r="G102" s="2"/>
      <c r="H102" s="2"/>
      <c r="I102" s="2"/>
      <c r="J102" s="2"/>
    </row>
    <row r="103" spans="1:10" ht="21.75" x14ac:dyDescent="0.55000000000000004">
      <c r="A103" s="47"/>
      <c r="B103" s="28"/>
      <c r="C103" s="28"/>
      <c r="D103" s="28"/>
      <c r="E103" s="28"/>
      <c r="F103" s="2"/>
      <c r="G103" s="2"/>
      <c r="H103" s="2"/>
      <c r="I103" s="2"/>
      <c r="J103" s="2"/>
    </row>
    <row r="104" spans="1:10" ht="21.75" x14ac:dyDescent="0.55000000000000004">
      <c r="A104" s="47"/>
      <c r="B104" s="28"/>
      <c r="C104" s="28"/>
      <c r="D104" s="28"/>
      <c r="E104" s="28"/>
      <c r="F104" s="2"/>
      <c r="G104" s="2"/>
      <c r="H104" s="2"/>
      <c r="I104" s="2"/>
      <c r="J104" s="2"/>
    </row>
    <row r="105" spans="1:10" ht="21.75" x14ac:dyDescent="0.55000000000000004">
      <c r="A105" s="47"/>
      <c r="B105" s="28"/>
      <c r="C105" s="28"/>
      <c r="D105" s="28"/>
      <c r="E105" s="28"/>
      <c r="F105" s="2"/>
      <c r="G105" s="2"/>
      <c r="H105" s="2"/>
      <c r="I105" s="2"/>
      <c r="J105" s="2"/>
    </row>
    <row r="106" spans="1:10" ht="21.75" x14ac:dyDescent="0.55000000000000004">
      <c r="A106" s="47"/>
      <c r="B106" s="28"/>
      <c r="C106" s="28"/>
      <c r="D106" s="28"/>
      <c r="E106" s="28"/>
      <c r="F106" s="2"/>
      <c r="G106" s="2"/>
      <c r="H106" s="2"/>
      <c r="I106" s="2"/>
      <c r="J106" s="2"/>
    </row>
    <row r="107" spans="1:10" ht="21.75" x14ac:dyDescent="0.55000000000000004">
      <c r="A107" s="47"/>
      <c r="B107" s="28"/>
      <c r="C107" s="28"/>
      <c r="D107" s="28"/>
      <c r="E107" s="28"/>
      <c r="F107" s="2"/>
      <c r="G107" s="2"/>
      <c r="H107" s="2"/>
      <c r="I107" s="2"/>
      <c r="J107" s="2"/>
    </row>
    <row r="108" spans="1:10" ht="21.75" x14ac:dyDescent="0.55000000000000004">
      <c r="A108" s="47"/>
      <c r="B108" s="28"/>
      <c r="C108" s="28"/>
      <c r="D108" s="28"/>
      <c r="E108" s="28"/>
      <c r="F108" s="2"/>
      <c r="G108" s="2"/>
      <c r="H108" s="2"/>
      <c r="I108" s="2"/>
      <c r="J108" s="2"/>
    </row>
    <row r="109" spans="1:10" ht="21.75" x14ac:dyDescent="0.55000000000000004">
      <c r="A109" s="47"/>
      <c r="B109" s="28"/>
      <c r="C109" s="28"/>
      <c r="D109" s="28"/>
      <c r="E109" s="28"/>
      <c r="F109" s="2"/>
      <c r="G109" s="2"/>
      <c r="H109" s="2"/>
      <c r="I109" s="2"/>
      <c r="J109" s="2"/>
    </row>
    <row r="110" spans="1:10" ht="21.75" x14ac:dyDescent="0.55000000000000004">
      <c r="A110" s="47"/>
      <c r="B110" s="28"/>
      <c r="C110" s="28"/>
      <c r="D110" s="28"/>
      <c r="E110" s="28"/>
      <c r="F110" s="2"/>
      <c r="G110" s="2"/>
      <c r="H110" s="2"/>
      <c r="I110" s="2"/>
      <c r="J110" s="2"/>
    </row>
    <row r="111" spans="1:10" ht="21.75" x14ac:dyDescent="0.55000000000000004">
      <c r="A111" s="47"/>
      <c r="B111" s="28"/>
      <c r="C111" s="28"/>
      <c r="D111" s="28"/>
      <c r="E111" s="28"/>
      <c r="F111" s="2"/>
      <c r="G111" s="2"/>
      <c r="H111" s="2"/>
      <c r="I111" s="2"/>
      <c r="J111" s="2"/>
    </row>
    <row r="112" spans="1:10" ht="21.75" x14ac:dyDescent="0.55000000000000004">
      <c r="A112" s="47"/>
      <c r="B112" s="28"/>
      <c r="C112" s="28"/>
      <c r="D112" s="28"/>
      <c r="E112" s="28"/>
      <c r="F112" s="2"/>
      <c r="G112" s="2"/>
      <c r="H112" s="2"/>
      <c r="I112" s="2"/>
      <c r="J112" s="2"/>
    </row>
    <row r="113" spans="1:10" ht="21.75" x14ac:dyDescent="0.55000000000000004">
      <c r="A113" s="47"/>
      <c r="B113" s="28"/>
      <c r="C113" s="28"/>
      <c r="D113" s="28"/>
      <c r="E113" s="28"/>
      <c r="F113" s="2"/>
      <c r="G113" s="2"/>
      <c r="H113" s="2"/>
      <c r="I113" s="2"/>
      <c r="J113" s="2"/>
    </row>
    <row r="114" spans="1:10" ht="21.75" x14ac:dyDescent="0.55000000000000004">
      <c r="A114" s="47"/>
      <c r="B114" s="28"/>
      <c r="C114" s="28"/>
      <c r="D114" s="28"/>
      <c r="E114" s="28"/>
      <c r="F114" s="2"/>
      <c r="G114" s="2"/>
      <c r="H114" s="2"/>
      <c r="I114" s="2"/>
      <c r="J114" s="2"/>
    </row>
    <row r="115" spans="1:10" ht="21.75" x14ac:dyDescent="0.55000000000000004">
      <c r="A115" s="47"/>
      <c r="B115" s="28"/>
      <c r="C115" s="28"/>
      <c r="D115" s="28"/>
      <c r="E115" s="28"/>
      <c r="F115" s="50"/>
      <c r="G115" s="50"/>
      <c r="H115" s="50"/>
      <c r="I115" s="50"/>
      <c r="J115" s="50"/>
    </row>
    <row r="116" spans="1:10" ht="21.75" x14ac:dyDescent="0.55000000000000004">
      <c r="A116" s="47"/>
      <c r="B116" s="28"/>
      <c r="C116" s="28"/>
      <c r="D116" s="28"/>
      <c r="E116" s="28"/>
      <c r="F116" s="50"/>
      <c r="G116" s="50"/>
      <c r="H116" s="50"/>
      <c r="I116" s="50"/>
      <c r="J116" s="50"/>
    </row>
    <row r="117" spans="1:10" ht="21.75" x14ac:dyDescent="0.55000000000000004">
      <c r="A117" s="47"/>
      <c r="B117" s="28"/>
      <c r="C117" s="28"/>
      <c r="D117" s="28"/>
      <c r="E117" s="28"/>
      <c r="F117" s="50"/>
      <c r="G117" s="50"/>
      <c r="H117" s="50"/>
      <c r="I117" s="50"/>
      <c r="J117" s="50"/>
    </row>
    <row r="118" spans="1:10" ht="21.75" x14ac:dyDescent="0.55000000000000004">
      <c r="A118" s="47"/>
      <c r="B118" s="28"/>
      <c r="C118" s="28"/>
      <c r="D118" s="28"/>
      <c r="E118" s="28"/>
      <c r="F118" s="50"/>
      <c r="G118" s="50"/>
      <c r="H118" s="50"/>
      <c r="I118" s="50"/>
      <c r="J118" s="50"/>
    </row>
    <row r="119" spans="1:10" ht="21.75" x14ac:dyDescent="0.55000000000000004">
      <c r="A119" s="47"/>
      <c r="B119" s="28"/>
      <c r="C119" s="28"/>
      <c r="D119" s="28"/>
      <c r="E119" s="28"/>
      <c r="F119" s="50"/>
      <c r="G119" s="50"/>
      <c r="H119" s="50"/>
      <c r="I119" s="50"/>
      <c r="J119" s="50"/>
    </row>
    <row r="120" spans="1:10" ht="21.75" x14ac:dyDescent="0.55000000000000004">
      <c r="A120" s="47"/>
      <c r="B120" s="28"/>
      <c r="C120" s="28"/>
      <c r="D120" s="28"/>
      <c r="E120" s="28"/>
      <c r="F120" s="50"/>
      <c r="G120" s="50"/>
      <c r="H120" s="50"/>
      <c r="I120" s="50"/>
      <c r="J120" s="50"/>
    </row>
    <row r="121" spans="1:10" ht="21.75" x14ac:dyDescent="0.55000000000000004">
      <c r="A121" s="47"/>
      <c r="B121" s="28"/>
      <c r="C121" s="28"/>
      <c r="D121" s="28"/>
      <c r="E121" s="28"/>
      <c r="F121" s="50"/>
      <c r="G121" s="50"/>
      <c r="H121" s="50"/>
      <c r="I121" s="50"/>
      <c r="J121" s="50"/>
    </row>
    <row r="122" spans="1:10" ht="21.75" x14ac:dyDescent="0.55000000000000004">
      <c r="A122" s="47"/>
      <c r="B122" s="28"/>
      <c r="C122" s="28"/>
      <c r="D122" s="28"/>
      <c r="E122" s="28"/>
      <c r="F122" s="50"/>
      <c r="G122" s="50"/>
      <c r="H122" s="50"/>
      <c r="I122" s="50"/>
      <c r="J122" s="50"/>
    </row>
    <row r="123" spans="1:10" ht="21.75" x14ac:dyDescent="0.55000000000000004">
      <c r="A123" s="47"/>
      <c r="B123" s="28"/>
      <c r="C123" s="28"/>
      <c r="D123" s="28"/>
      <c r="E123" s="28"/>
      <c r="F123" s="50"/>
      <c r="G123" s="50"/>
      <c r="H123" s="50"/>
      <c r="I123" s="50"/>
      <c r="J123" s="50"/>
    </row>
    <row r="124" spans="1:10" ht="21.75" x14ac:dyDescent="0.55000000000000004">
      <c r="A124" s="47"/>
      <c r="B124" s="28"/>
      <c r="C124" s="28"/>
      <c r="D124" s="28"/>
      <c r="E124" s="28"/>
      <c r="F124" s="50"/>
      <c r="G124" s="50"/>
      <c r="H124" s="50"/>
      <c r="I124" s="50"/>
      <c r="J124" s="50"/>
    </row>
    <row r="125" spans="1:10" ht="21.75" x14ac:dyDescent="0.55000000000000004">
      <c r="A125" s="47"/>
      <c r="B125" s="28"/>
      <c r="C125" s="28"/>
      <c r="D125" s="28"/>
      <c r="E125" s="28"/>
      <c r="F125" s="50"/>
      <c r="G125" s="50"/>
      <c r="H125" s="50"/>
      <c r="I125" s="50"/>
      <c r="J125" s="50"/>
    </row>
    <row r="126" spans="1:10" ht="21.75" x14ac:dyDescent="0.55000000000000004">
      <c r="A126" s="47"/>
      <c r="B126" s="28"/>
      <c r="C126" s="28"/>
      <c r="D126" s="28"/>
      <c r="E126" s="28"/>
      <c r="F126" s="50"/>
      <c r="G126" s="50"/>
      <c r="H126" s="50"/>
      <c r="I126" s="50"/>
      <c r="J126" s="50"/>
    </row>
    <row r="127" spans="1:10" ht="21.75" x14ac:dyDescent="0.55000000000000004">
      <c r="A127" s="47"/>
      <c r="B127" s="28"/>
      <c r="C127" s="28"/>
      <c r="D127" s="28"/>
      <c r="E127" s="28"/>
      <c r="F127" s="50"/>
      <c r="G127" s="50"/>
      <c r="H127" s="50"/>
      <c r="I127" s="50"/>
      <c r="J127" s="50"/>
    </row>
    <row r="128" spans="1:10" ht="21.75" x14ac:dyDescent="0.55000000000000004">
      <c r="A128" s="47"/>
      <c r="B128" s="28"/>
      <c r="C128" s="28"/>
      <c r="D128" s="28"/>
      <c r="E128" s="28"/>
      <c r="F128" s="50"/>
      <c r="G128" s="50"/>
      <c r="H128" s="50"/>
      <c r="I128" s="50"/>
      <c r="J128" s="50"/>
    </row>
    <row r="129" spans="1:10" ht="21.75" x14ac:dyDescent="0.55000000000000004">
      <c r="A129" s="47"/>
      <c r="B129" s="28"/>
      <c r="C129" s="28"/>
      <c r="D129" s="28"/>
      <c r="E129" s="28"/>
      <c r="F129" s="50"/>
      <c r="G129" s="50"/>
      <c r="H129" s="50"/>
      <c r="I129" s="50"/>
      <c r="J129" s="50"/>
    </row>
    <row r="130" spans="1:10" ht="21.75" x14ac:dyDescent="0.55000000000000004">
      <c r="A130" s="47"/>
      <c r="B130" s="28"/>
      <c r="C130" s="28"/>
      <c r="D130" s="28"/>
      <c r="E130" s="28"/>
      <c r="F130" s="50"/>
      <c r="G130" s="50"/>
      <c r="H130" s="50"/>
      <c r="I130" s="50"/>
      <c r="J130" s="50"/>
    </row>
    <row r="131" spans="1:10" ht="21.75" x14ac:dyDescent="0.55000000000000004">
      <c r="A131" s="47"/>
      <c r="B131" s="28"/>
      <c r="C131" s="28"/>
      <c r="D131" s="28"/>
      <c r="E131" s="28"/>
      <c r="F131" s="50"/>
      <c r="G131" s="50"/>
      <c r="H131" s="50"/>
      <c r="I131" s="50"/>
      <c r="J131" s="50"/>
    </row>
    <row r="132" spans="1:10" ht="21.75" x14ac:dyDescent="0.55000000000000004">
      <c r="A132" s="47"/>
      <c r="B132" s="28"/>
      <c r="C132" s="28"/>
      <c r="D132" s="28"/>
      <c r="E132" s="28"/>
      <c r="F132" s="50"/>
      <c r="G132" s="50"/>
      <c r="H132" s="50"/>
      <c r="I132" s="50"/>
      <c r="J132" s="50"/>
    </row>
    <row r="133" spans="1:10" ht="21.75" x14ac:dyDescent="0.55000000000000004">
      <c r="A133" s="47"/>
      <c r="B133" s="28"/>
      <c r="C133" s="28"/>
      <c r="D133" s="28"/>
      <c r="E133" s="28"/>
      <c r="F133" s="50"/>
      <c r="G133" s="50"/>
      <c r="H133" s="50"/>
      <c r="I133" s="50"/>
      <c r="J133" s="50"/>
    </row>
    <row r="134" spans="1:10" ht="21.75" x14ac:dyDescent="0.55000000000000004">
      <c r="A134" s="47"/>
      <c r="B134" s="28"/>
      <c r="C134" s="28"/>
      <c r="D134" s="28"/>
      <c r="E134" s="28"/>
      <c r="F134" s="50"/>
      <c r="G134" s="50"/>
      <c r="H134" s="50"/>
      <c r="I134" s="50"/>
      <c r="J134" s="50"/>
    </row>
    <row r="135" spans="1:10" ht="21.75" x14ac:dyDescent="0.55000000000000004">
      <c r="A135" s="47"/>
      <c r="B135" s="28"/>
      <c r="C135" s="28"/>
      <c r="D135" s="28"/>
      <c r="E135" s="28"/>
      <c r="F135" s="50"/>
      <c r="G135" s="50"/>
      <c r="H135" s="50"/>
      <c r="I135" s="50"/>
      <c r="J135" s="50"/>
    </row>
    <row r="136" spans="1:10" ht="21.75" x14ac:dyDescent="0.55000000000000004">
      <c r="A136" s="47"/>
      <c r="B136" s="28"/>
      <c r="C136" s="28"/>
      <c r="D136" s="28"/>
      <c r="E136" s="28"/>
      <c r="F136" s="50"/>
      <c r="G136" s="50"/>
      <c r="H136" s="50"/>
      <c r="I136" s="50"/>
      <c r="J136" s="50"/>
    </row>
    <row r="137" spans="1:10" ht="21.75" x14ac:dyDescent="0.55000000000000004">
      <c r="A137" s="47"/>
      <c r="B137" s="28"/>
      <c r="C137" s="28"/>
      <c r="D137" s="28"/>
      <c r="E137" s="28"/>
      <c r="F137" s="50"/>
      <c r="G137" s="50"/>
      <c r="H137" s="50"/>
      <c r="I137" s="50"/>
      <c r="J137" s="50"/>
    </row>
    <row r="138" spans="1:10" ht="21.75" x14ac:dyDescent="0.55000000000000004">
      <c r="A138" s="47"/>
      <c r="B138" s="28"/>
      <c r="C138" s="28"/>
      <c r="D138" s="28"/>
      <c r="E138" s="28"/>
      <c r="F138" s="50"/>
      <c r="G138" s="50"/>
      <c r="H138" s="50"/>
      <c r="I138" s="50"/>
      <c r="J138" s="50"/>
    </row>
    <row r="139" spans="1:10" ht="21.75" x14ac:dyDescent="0.55000000000000004">
      <c r="A139" s="47"/>
      <c r="B139" s="28"/>
      <c r="C139" s="28"/>
      <c r="D139" s="28"/>
      <c r="E139" s="28"/>
      <c r="F139" s="50"/>
      <c r="G139" s="50"/>
      <c r="H139" s="50"/>
      <c r="I139" s="50"/>
      <c r="J139" s="50"/>
    </row>
    <row r="140" spans="1:10" ht="21.75" x14ac:dyDescent="0.55000000000000004">
      <c r="A140" s="47"/>
      <c r="B140" s="28"/>
      <c r="C140" s="28"/>
      <c r="D140" s="28"/>
      <c r="E140" s="28"/>
      <c r="F140" s="50"/>
      <c r="G140" s="50"/>
      <c r="H140" s="50"/>
      <c r="I140" s="50"/>
      <c r="J140" s="50"/>
    </row>
    <row r="141" spans="1:10" ht="21.75" x14ac:dyDescent="0.55000000000000004">
      <c r="A141" s="47"/>
      <c r="B141" s="28"/>
      <c r="C141" s="28"/>
      <c r="D141" s="28"/>
      <c r="E141" s="28"/>
      <c r="F141" s="50"/>
      <c r="G141" s="50"/>
      <c r="H141" s="50"/>
      <c r="I141" s="50"/>
      <c r="J141" s="50"/>
    </row>
    <row r="142" spans="1:10" ht="21.75" x14ac:dyDescent="0.55000000000000004">
      <c r="A142" s="47"/>
      <c r="B142" s="28"/>
      <c r="C142" s="28"/>
      <c r="D142" s="28"/>
      <c r="E142" s="28"/>
      <c r="F142" s="50"/>
      <c r="G142" s="50"/>
      <c r="H142" s="50"/>
      <c r="I142" s="50"/>
      <c r="J142" s="50"/>
    </row>
    <row r="143" spans="1:10" ht="21.75" x14ac:dyDescent="0.55000000000000004">
      <c r="A143" s="47"/>
      <c r="B143" s="28"/>
      <c r="C143" s="28"/>
      <c r="D143" s="28"/>
      <c r="E143" s="28"/>
      <c r="F143" s="50"/>
      <c r="G143" s="50"/>
      <c r="H143" s="50"/>
      <c r="I143" s="50"/>
      <c r="J143" s="50"/>
    </row>
    <row r="144" spans="1:10" ht="21.75" x14ac:dyDescent="0.55000000000000004">
      <c r="A144" s="47"/>
      <c r="B144" s="28"/>
      <c r="C144" s="28"/>
      <c r="D144" s="28"/>
      <c r="E144" s="28"/>
      <c r="F144" s="50"/>
      <c r="G144" s="50"/>
      <c r="H144" s="50"/>
      <c r="I144" s="50"/>
      <c r="J144" s="50"/>
    </row>
    <row r="145" spans="1:10" ht="21.75" x14ac:dyDescent="0.55000000000000004">
      <c r="A145" s="47"/>
      <c r="B145" s="28"/>
      <c r="C145" s="28"/>
      <c r="D145" s="28"/>
      <c r="E145" s="28"/>
      <c r="F145" s="50"/>
      <c r="G145" s="50"/>
      <c r="H145" s="50"/>
      <c r="I145" s="50"/>
      <c r="J145" s="50"/>
    </row>
    <row r="146" spans="1:10" ht="21.75" x14ac:dyDescent="0.55000000000000004">
      <c r="A146" s="47"/>
      <c r="B146" s="28"/>
      <c r="C146" s="28"/>
      <c r="D146" s="28"/>
      <c r="E146" s="28"/>
      <c r="F146" s="50"/>
      <c r="G146" s="50"/>
      <c r="H146" s="50"/>
      <c r="I146" s="50"/>
      <c r="J146" s="50"/>
    </row>
    <row r="147" spans="1:10" ht="21.75" x14ac:dyDescent="0.55000000000000004">
      <c r="A147" s="47"/>
      <c r="B147" s="28"/>
      <c r="C147" s="28"/>
      <c r="D147" s="28"/>
      <c r="E147" s="28"/>
      <c r="F147" s="50"/>
      <c r="G147" s="50"/>
      <c r="H147" s="50"/>
      <c r="I147" s="50"/>
      <c r="J147" s="50"/>
    </row>
    <row r="148" spans="1:10" ht="21.75" x14ac:dyDescent="0.55000000000000004">
      <c r="A148" s="47"/>
      <c r="B148" s="28"/>
      <c r="C148" s="28"/>
      <c r="D148" s="28"/>
      <c r="E148" s="28"/>
      <c r="F148" s="50"/>
      <c r="G148" s="50"/>
      <c r="H148" s="50"/>
      <c r="I148" s="50"/>
      <c r="J148" s="50"/>
    </row>
    <row r="149" spans="1:10" ht="21.75" x14ac:dyDescent="0.55000000000000004">
      <c r="A149" s="47"/>
      <c r="B149" s="28"/>
      <c r="C149" s="28"/>
      <c r="D149" s="28"/>
      <c r="E149" s="28"/>
      <c r="F149" s="50"/>
      <c r="G149" s="50"/>
      <c r="H149" s="50"/>
      <c r="I149" s="50"/>
      <c r="J149" s="50"/>
    </row>
    <row r="150" spans="1:10" ht="21.75" x14ac:dyDescent="0.55000000000000004">
      <c r="A150" s="47"/>
      <c r="B150" s="28"/>
      <c r="C150" s="28"/>
      <c r="D150" s="28"/>
      <c r="E150" s="28"/>
      <c r="F150" s="50"/>
      <c r="G150" s="50"/>
      <c r="H150" s="50"/>
      <c r="I150" s="50"/>
      <c r="J150" s="50"/>
    </row>
    <row r="151" spans="1:10" ht="21.75" x14ac:dyDescent="0.55000000000000004">
      <c r="A151" s="47"/>
      <c r="B151" s="28"/>
      <c r="C151" s="28"/>
      <c r="D151" s="28"/>
      <c r="E151" s="28"/>
      <c r="F151" s="50"/>
      <c r="G151" s="50"/>
      <c r="H151" s="50"/>
      <c r="I151" s="50"/>
      <c r="J151" s="50"/>
    </row>
    <row r="152" spans="1:10" ht="21.75" x14ac:dyDescent="0.55000000000000004">
      <c r="A152" s="47"/>
      <c r="B152" s="28"/>
      <c r="C152" s="28"/>
      <c r="D152" s="28"/>
      <c r="E152" s="28"/>
      <c r="F152" s="50"/>
      <c r="G152" s="50"/>
      <c r="H152" s="50"/>
      <c r="I152" s="50"/>
      <c r="J152" s="50"/>
    </row>
    <row r="153" spans="1:10" ht="21.75" x14ac:dyDescent="0.55000000000000004">
      <c r="A153" s="47"/>
      <c r="B153" s="28"/>
      <c r="C153" s="28"/>
      <c r="D153" s="28"/>
      <c r="E153" s="28"/>
      <c r="F153" s="50"/>
      <c r="G153" s="50"/>
      <c r="H153" s="50"/>
      <c r="I153" s="50"/>
      <c r="J153" s="50"/>
    </row>
    <row r="154" spans="1:10" ht="21.75" x14ac:dyDescent="0.55000000000000004">
      <c r="A154" s="47"/>
      <c r="B154" s="28"/>
      <c r="C154" s="28"/>
      <c r="D154" s="28"/>
      <c r="E154" s="28"/>
      <c r="F154" s="50"/>
      <c r="G154" s="50"/>
      <c r="H154" s="50"/>
      <c r="I154" s="50"/>
      <c r="J154" s="50"/>
    </row>
    <row r="155" spans="1:10" ht="21.75" x14ac:dyDescent="0.55000000000000004">
      <c r="A155" s="47"/>
      <c r="B155" s="28"/>
      <c r="C155" s="28"/>
      <c r="D155" s="28"/>
      <c r="E155" s="28"/>
      <c r="F155" s="50"/>
      <c r="G155" s="50"/>
      <c r="H155" s="50"/>
      <c r="I155" s="50"/>
      <c r="J155" s="50"/>
    </row>
    <row r="156" spans="1:10" ht="21.75" x14ac:dyDescent="0.55000000000000004">
      <c r="A156" s="47"/>
      <c r="B156" s="28"/>
      <c r="C156" s="28"/>
      <c r="D156" s="28"/>
      <c r="E156" s="28"/>
      <c r="F156" s="50"/>
      <c r="G156" s="50"/>
      <c r="H156" s="50"/>
      <c r="I156" s="50"/>
      <c r="J156" s="50"/>
    </row>
    <row r="157" spans="1:10" ht="21.75" x14ac:dyDescent="0.55000000000000004">
      <c r="A157" s="47"/>
      <c r="B157" s="28"/>
      <c r="C157" s="28"/>
      <c r="D157" s="28"/>
      <c r="E157" s="28"/>
      <c r="F157" s="50"/>
      <c r="G157" s="50"/>
      <c r="H157" s="50"/>
      <c r="I157" s="50"/>
      <c r="J157" s="50"/>
    </row>
    <row r="158" spans="1:10" ht="21.75" x14ac:dyDescent="0.55000000000000004">
      <c r="A158" s="47"/>
      <c r="B158" s="28"/>
      <c r="C158" s="28"/>
      <c r="D158" s="28"/>
      <c r="E158" s="28"/>
      <c r="F158" s="50"/>
      <c r="G158" s="50"/>
      <c r="H158" s="50"/>
      <c r="I158" s="50"/>
      <c r="J158" s="50"/>
    </row>
    <row r="159" spans="1:10" ht="21.75" x14ac:dyDescent="0.55000000000000004">
      <c r="A159" s="47"/>
      <c r="B159" s="28"/>
      <c r="C159" s="28"/>
      <c r="D159" s="28"/>
      <c r="E159" s="28"/>
      <c r="F159" s="50"/>
      <c r="G159" s="50"/>
      <c r="H159" s="50"/>
      <c r="I159" s="50"/>
      <c r="J159" s="50"/>
    </row>
    <row r="160" spans="1:10" ht="21.75" x14ac:dyDescent="0.55000000000000004">
      <c r="A160" s="47"/>
      <c r="B160" s="28"/>
      <c r="C160" s="28"/>
      <c r="D160" s="28"/>
      <c r="E160" s="28"/>
      <c r="F160" s="50"/>
      <c r="G160" s="50"/>
      <c r="H160" s="50"/>
      <c r="I160" s="50"/>
      <c r="J160" s="50"/>
    </row>
    <row r="161" spans="1:10" ht="21.75" x14ac:dyDescent="0.55000000000000004">
      <c r="A161" s="47"/>
      <c r="B161" s="28"/>
      <c r="C161" s="28"/>
      <c r="D161" s="28"/>
      <c r="E161" s="28"/>
      <c r="F161" s="50"/>
      <c r="G161" s="50"/>
      <c r="H161" s="50"/>
      <c r="I161" s="50"/>
      <c r="J161" s="50"/>
    </row>
    <row r="162" spans="1:10" ht="21.75" x14ac:dyDescent="0.55000000000000004">
      <c r="A162" s="47"/>
      <c r="B162" s="28"/>
      <c r="C162" s="28"/>
      <c r="D162" s="28"/>
      <c r="E162" s="28"/>
      <c r="F162" s="50"/>
      <c r="G162" s="50"/>
      <c r="H162" s="50"/>
      <c r="I162" s="50"/>
      <c r="J162" s="50"/>
    </row>
    <row r="163" spans="1:10" ht="21.75" x14ac:dyDescent="0.55000000000000004">
      <c r="A163" s="47"/>
      <c r="B163" s="28"/>
      <c r="C163" s="28"/>
      <c r="D163" s="28"/>
      <c r="E163" s="28"/>
      <c r="F163" s="50"/>
      <c r="G163" s="50"/>
      <c r="H163" s="50"/>
      <c r="I163" s="50"/>
      <c r="J163" s="50"/>
    </row>
    <row r="164" spans="1:10" ht="21.75" x14ac:dyDescent="0.55000000000000004">
      <c r="A164" s="47"/>
      <c r="B164" s="28"/>
      <c r="C164" s="28"/>
      <c r="D164" s="28"/>
      <c r="E164" s="28"/>
      <c r="F164" s="50"/>
      <c r="G164" s="50"/>
      <c r="H164" s="50"/>
      <c r="I164" s="50"/>
      <c r="J164" s="50"/>
    </row>
    <row r="165" spans="1:10" ht="21.75" x14ac:dyDescent="0.55000000000000004">
      <c r="A165" s="47"/>
      <c r="B165" s="28"/>
      <c r="C165" s="28"/>
      <c r="D165" s="28"/>
      <c r="E165" s="28"/>
      <c r="F165" s="50"/>
      <c r="G165" s="50"/>
      <c r="H165" s="50"/>
      <c r="I165" s="50"/>
      <c r="J165" s="50"/>
    </row>
    <row r="166" spans="1:10" ht="21.75" x14ac:dyDescent="0.55000000000000004">
      <c r="A166" s="47"/>
      <c r="B166" s="28"/>
      <c r="C166" s="28"/>
      <c r="D166" s="28"/>
      <c r="E166" s="28"/>
      <c r="F166" s="50"/>
      <c r="G166" s="50"/>
      <c r="H166" s="50"/>
      <c r="I166" s="50"/>
      <c r="J166" s="50"/>
    </row>
    <row r="167" spans="1:10" ht="21.75" x14ac:dyDescent="0.55000000000000004">
      <c r="A167" s="47"/>
      <c r="B167" s="28"/>
      <c r="C167" s="28"/>
      <c r="D167" s="28"/>
      <c r="E167" s="28"/>
      <c r="F167" s="50"/>
      <c r="G167" s="50"/>
      <c r="H167" s="50"/>
      <c r="I167" s="50"/>
      <c r="J167" s="50"/>
    </row>
    <row r="168" spans="1:10" ht="21.75" x14ac:dyDescent="0.55000000000000004">
      <c r="A168" s="47"/>
      <c r="B168" s="28"/>
      <c r="C168" s="28"/>
      <c r="D168" s="28"/>
      <c r="E168" s="28"/>
      <c r="F168" s="50"/>
      <c r="G168" s="50"/>
      <c r="H168" s="50"/>
      <c r="I168" s="50"/>
      <c r="J168" s="50"/>
    </row>
    <row r="169" spans="1:10" ht="21.75" x14ac:dyDescent="0.55000000000000004">
      <c r="A169" s="47"/>
      <c r="B169" s="28"/>
      <c r="C169" s="28"/>
      <c r="D169" s="28"/>
      <c r="E169" s="28"/>
      <c r="F169" s="50"/>
      <c r="G169" s="50"/>
      <c r="H169" s="50"/>
      <c r="I169" s="50"/>
      <c r="J169" s="50"/>
    </row>
    <row r="170" spans="1:10" ht="21.75" x14ac:dyDescent="0.55000000000000004">
      <c r="A170" s="47"/>
      <c r="B170" s="28"/>
      <c r="C170" s="28"/>
      <c r="D170" s="28"/>
      <c r="E170" s="28"/>
      <c r="F170" s="50"/>
      <c r="G170" s="50"/>
      <c r="H170" s="50"/>
      <c r="I170" s="50"/>
      <c r="J170" s="50"/>
    </row>
    <row r="171" spans="1:10" ht="21.75" x14ac:dyDescent="0.55000000000000004">
      <c r="A171" s="47"/>
      <c r="B171" s="28"/>
      <c r="C171" s="28"/>
      <c r="D171" s="28"/>
      <c r="E171" s="28"/>
      <c r="F171" s="50"/>
      <c r="G171" s="50"/>
      <c r="H171" s="50"/>
      <c r="I171" s="50"/>
      <c r="J171" s="50"/>
    </row>
    <row r="172" spans="1:10" ht="21.75" x14ac:dyDescent="0.55000000000000004">
      <c r="A172" s="47"/>
      <c r="B172" s="28"/>
      <c r="C172" s="28"/>
      <c r="D172" s="28"/>
      <c r="E172" s="28"/>
      <c r="F172" s="50"/>
      <c r="G172" s="50"/>
      <c r="H172" s="50"/>
      <c r="I172" s="50"/>
      <c r="J172" s="50"/>
    </row>
    <row r="173" spans="1:10" ht="21.75" x14ac:dyDescent="0.55000000000000004">
      <c r="A173" s="47"/>
      <c r="B173" s="28"/>
      <c r="C173" s="28"/>
      <c r="D173" s="28"/>
      <c r="E173" s="28"/>
      <c r="F173" s="50"/>
      <c r="G173" s="50"/>
      <c r="H173" s="50"/>
      <c r="I173" s="50"/>
      <c r="J173" s="50"/>
    </row>
    <row r="174" spans="1:10" ht="21.75" x14ac:dyDescent="0.55000000000000004">
      <c r="A174" s="47"/>
      <c r="B174" s="28"/>
      <c r="C174" s="28"/>
      <c r="D174" s="28"/>
      <c r="E174" s="28"/>
      <c r="F174" s="50"/>
      <c r="G174" s="50"/>
      <c r="H174" s="50"/>
      <c r="I174" s="50"/>
      <c r="J174" s="50"/>
    </row>
    <row r="175" spans="1:10" ht="21.75" x14ac:dyDescent="0.55000000000000004">
      <c r="A175" s="47"/>
      <c r="B175" s="28"/>
      <c r="C175" s="28"/>
      <c r="D175" s="28"/>
      <c r="E175" s="28"/>
      <c r="F175" s="50"/>
      <c r="G175" s="50"/>
      <c r="H175" s="50"/>
      <c r="I175" s="50"/>
      <c r="J175" s="50"/>
    </row>
    <row r="176" spans="1:10" ht="21.75" x14ac:dyDescent="0.55000000000000004">
      <c r="A176" s="47"/>
      <c r="B176" s="28"/>
      <c r="C176" s="28"/>
      <c r="D176" s="28"/>
      <c r="E176" s="28"/>
      <c r="F176" s="50"/>
      <c r="G176" s="50"/>
      <c r="H176" s="50"/>
      <c r="I176" s="50"/>
      <c r="J176" s="50"/>
    </row>
    <row r="177" spans="1:10" ht="21.75" x14ac:dyDescent="0.55000000000000004">
      <c r="A177" s="47"/>
      <c r="B177" s="28"/>
      <c r="C177" s="28"/>
      <c r="D177" s="28"/>
      <c r="E177" s="28"/>
      <c r="F177" s="50"/>
      <c r="G177" s="50"/>
      <c r="H177" s="50"/>
      <c r="I177" s="50"/>
      <c r="J177" s="50"/>
    </row>
    <row r="178" spans="1:10" ht="21.75" x14ac:dyDescent="0.55000000000000004">
      <c r="A178" s="47"/>
      <c r="B178" s="28"/>
      <c r="C178" s="28"/>
      <c r="D178" s="28"/>
      <c r="E178" s="28"/>
      <c r="F178" s="50"/>
      <c r="G178" s="50"/>
      <c r="H178" s="50"/>
      <c r="I178" s="50"/>
      <c r="J178" s="50"/>
    </row>
    <row r="179" spans="1:10" ht="21.75" x14ac:dyDescent="0.55000000000000004">
      <c r="A179" s="47"/>
      <c r="B179" s="28"/>
      <c r="C179" s="28"/>
      <c r="D179" s="28"/>
      <c r="E179" s="28"/>
      <c r="F179" s="50"/>
      <c r="G179" s="50"/>
      <c r="H179" s="50"/>
      <c r="I179" s="50"/>
      <c r="J179" s="50"/>
    </row>
    <row r="180" spans="1:10" ht="21.75" x14ac:dyDescent="0.55000000000000004">
      <c r="A180" s="47"/>
      <c r="B180" s="28"/>
      <c r="C180" s="28"/>
      <c r="D180" s="28"/>
      <c r="E180" s="28"/>
      <c r="F180" s="50"/>
      <c r="G180" s="50"/>
      <c r="H180" s="50"/>
      <c r="I180" s="50"/>
      <c r="J180" s="50"/>
    </row>
    <row r="181" spans="1:10" ht="21.75" x14ac:dyDescent="0.55000000000000004">
      <c r="A181" s="47"/>
      <c r="B181" s="28"/>
      <c r="C181" s="28"/>
      <c r="D181" s="28"/>
      <c r="E181" s="28"/>
      <c r="F181" s="50"/>
      <c r="G181" s="50"/>
      <c r="H181" s="50"/>
      <c r="I181" s="50"/>
      <c r="J181" s="50"/>
    </row>
    <row r="182" spans="1:10" ht="21.75" x14ac:dyDescent="0.55000000000000004">
      <c r="A182" s="47"/>
      <c r="B182" s="28"/>
      <c r="C182" s="28"/>
      <c r="D182" s="28"/>
      <c r="E182" s="28"/>
      <c r="F182" s="50"/>
      <c r="G182" s="50"/>
      <c r="H182" s="50"/>
      <c r="I182" s="50"/>
      <c r="J182" s="50"/>
    </row>
    <row r="183" spans="1:10" ht="21.75" x14ac:dyDescent="0.55000000000000004">
      <c r="A183" s="47"/>
      <c r="B183" s="28"/>
      <c r="C183" s="28"/>
      <c r="D183" s="28"/>
      <c r="E183" s="28"/>
      <c r="F183" s="50"/>
      <c r="G183" s="50"/>
      <c r="H183" s="50"/>
      <c r="I183" s="50"/>
      <c r="J183" s="50"/>
    </row>
    <row r="184" spans="1:10" ht="21.75" x14ac:dyDescent="0.55000000000000004">
      <c r="A184" s="47"/>
      <c r="B184" s="28"/>
      <c r="C184" s="28"/>
      <c r="D184" s="28"/>
      <c r="E184" s="28"/>
      <c r="F184" s="50"/>
      <c r="G184" s="50"/>
      <c r="H184" s="50"/>
      <c r="I184" s="50"/>
      <c r="J184" s="50"/>
    </row>
    <row r="185" spans="1:10" ht="21.75" x14ac:dyDescent="0.55000000000000004">
      <c r="A185" s="47"/>
      <c r="B185" s="28"/>
      <c r="C185" s="28"/>
      <c r="D185" s="28"/>
      <c r="E185" s="28"/>
      <c r="F185" s="50"/>
      <c r="G185" s="50"/>
      <c r="H185" s="50"/>
      <c r="I185" s="50"/>
      <c r="J185" s="50"/>
    </row>
    <row r="186" spans="1:10" ht="21.75" x14ac:dyDescent="0.55000000000000004">
      <c r="A186" s="47"/>
      <c r="B186" s="28"/>
      <c r="C186" s="28"/>
      <c r="D186" s="28"/>
      <c r="E186" s="28"/>
      <c r="F186" s="50"/>
      <c r="G186" s="50"/>
      <c r="H186" s="50"/>
      <c r="I186" s="50"/>
      <c r="J186" s="50"/>
    </row>
    <row r="187" spans="1:10" ht="21.75" x14ac:dyDescent="0.55000000000000004">
      <c r="A187" s="47"/>
      <c r="B187" s="28"/>
      <c r="C187" s="28"/>
      <c r="D187" s="28"/>
      <c r="E187" s="28"/>
      <c r="F187" s="50"/>
      <c r="G187" s="50"/>
      <c r="H187" s="50"/>
      <c r="I187" s="50"/>
      <c r="J187" s="50"/>
    </row>
    <row r="188" spans="1:10" ht="21.75" x14ac:dyDescent="0.55000000000000004">
      <c r="A188" s="47"/>
      <c r="B188" s="28"/>
      <c r="C188" s="28"/>
      <c r="D188" s="28"/>
      <c r="E188" s="28"/>
      <c r="F188" s="50"/>
      <c r="G188" s="50"/>
      <c r="H188" s="50"/>
      <c r="I188" s="50"/>
      <c r="J188" s="50"/>
    </row>
    <row r="189" spans="1:10" ht="21.75" x14ac:dyDescent="0.55000000000000004">
      <c r="A189" s="47"/>
      <c r="B189" s="28"/>
      <c r="C189" s="28"/>
      <c r="D189" s="28"/>
      <c r="E189" s="28"/>
      <c r="F189" s="50"/>
      <c r="G189" s="50"/>
      <c r="H189" s="50"/>
      <c r="I189" s="50"/>
      <c r="J189" s="50"/>
    </row>
    <row r="190" spans="1:10" ht="21.75" x14ac:dyDescent="0.55000000000000004">
      <c r="A190" s="47"/>
      <c r="B190" s="28"/>
      <c r="C190" s="28"/>
      <c r="D190" s="28"/>
      <c r="E190" s="28"/>
      <c r="F190" s="50"/>
      <c r="G190" s="50"/>
      <c r="H190" s="50"/>
      <c r="I190" s="50"/>
      <c r="J190" s="50"/>
    </row>
    <row r="191" spans="1:10" ht="21.75" x14ac:dyDescent="0.55000000000000004">
      <c r="A191" s="47"/>
      <c r="B191" s="28"/>
      <c r="C191" s="28"/>
      <c r="D191" s="28"/>
      <c r="E191" s="28"/>
      <c r="F191" s="50"/>
      <c r="G191" s="50"/>
      <c r="H191" s="50"/>
      <c r="I191" s="50"/>
      <c r="J191" s="50"/>
    </row>
    <row r="192" spans="1:10" ht="21.75" x14ac:dyDescent="0.55000000000000004">
      <c r="A192" s="47"/>
      <c r="B192" s="28"/>
      <c r="C192" s="28"/>
      <c r="D192" s="28"/>
      <c r="E192" s="28"/>
      <c r="F192" s="50"/>
      <c r="G192" s="50"/>
      <c r="H192" s="50"/>
      <c r="I192" s="50"/>
      <c r="J192" s="50"/>
    </row>
    <row r="193" spans="1:10" ht="21.75" x14ac:dyDescent="0.55000000000000004">
      <c r="A193" s="47"/>
      <c r="B193" s="28"/>
      <c r="C193" s="28"/>
      <c r="D193" s="28"/>
      <c r="E193" s="28"/>
      <c r="F193" s="50"/>
      <c r="G193" s="50"/>
      <c r="H193" s="50"/>
      <c r="I193" s="50"/>
      <c r="J193" s="50"/>
    </row>
    <row r="194" spans="1:10" ht="21.75" x14ac:dyDescent="0.55000000000000004">
      <c r="A194" s="47"/>
      <c r="B194" s="28"/>
      <c r="C194" s="28"/>
      <c r="D194" s="28"/>
      <c r="E194" s="28"/>
      <c r="F194" s="50"/>
      <c r="G194" s="50"/>
      <c r="H194" s="50"/>
      <c r="I194" s="50"/>
      <c r="J194" s="50"/>
    </row>
    <row r="195" spans="1:10" ht="21.75" x14ac:dyDescent="0.55000000000000004">
      <c r="A195" s="47"/>
      <c r="B195" s="28"/>
      <c r="C195" s="28"/>
      <c r="D195" s="28"/>
      <c r="E195" s="28"/>
      <c r="F195" s="50"/>
      <c r="G195" s="50"/>
      <c r="H195" s="50"/>
      <c r="I195" s="50"/>
      <c r="J195" s="50"/>
    </row>
    <row r="196" spans="1:10" ht="21.75" x14ac:dyDescent="0.55000000000000004">
      <c r="A196" s="47"/>
      <c r="B196" s="28"/>
      <c r="C196" s="28"/>
      <c r="D196" s="28"/>
      <c r="E196" s="28"/>
      <c r="F196" s="50"/>
      <c r="G196" s="50"/>
      <c r="H196" s="50"/>
      <c r="I196" s="50"/>
      <c r="J196" s="50"/>
    </row>
    <row r="197" spans="1:10" ht="21.75" x14ac:dyDescent="0.55000000000000004">
      <c r="A197" s="47"/>
      <c r="B197" s="28"/>
      <c r="C197" s="28"/>
      <c r="D197" s="28"/>
      <c r="E197" s="28"/>
      <c r="F197" s="50"/>
      <c r="G197" s="50"/>
      <c r="H197" s="50"/>
      <c r="I197" s="50"/>
      <c r="J197" s="50"/>
    </row>
    <row r="198" spans="1:10" ht="21.75" x14ac:dyDescent="0.55000000000000004">
      <c r="A198" s="47"/>
      <c r="B198" s="28"/>
      <c r="C198" s="28"/>
      <c r="D198" s="28"/>
      <c r="E198" s="28"/>
      <c r="F198" s="50"/>
      <c r="G198" s="50"/>
      <c r="H198" s="50"/>
      <c r="I198" s="50"/>
      <c r="J198" s="50"/>
    </row>
    <row r="199" spans="1:10" ht="21.75" x14ac:dyDescent="0.55000000000000004">
      <c r="A199" s="47"/>
      <c r="B199" s="28"/>
      <c r="C199" s="28"/>
      <c r="D199" s="28"/>
      <c r="E199" s="28"/>
      <c r="F199" s="50"/>
      <c r="G199" s="50"/>
      <c r="H199" s="50"/>
      <c r="I199" s="50"/>
      <c r="J199" s="50"/>
    </row>
    <row r="200" spans="1:10" ht="21.75" x14ac:dyDescent="0.55000000000000004">
      <c r="A200" s="47"/>
      <c r="B200" s="28"/>
      <c r="C200" s="28"/>
      <c r="D200" s="28"/>
      <c r="E200" s="28"/>
      <c r="F200" s="50"/>
      <c r="G200" s="50"/>
      <c r="H200" s="50"/>
      <c r="I200" s="50"/>
      <c r="J200" s="50"/>
    </row>
    <row r="201" spans="1:10" ht="21.75" x14ac:dyDescent="0.55000000000000004">
      <c r="A201" s="47"/>
      <c r="B201" s="28"/>
      <c r="C201" s="28"/>
      <c r="D201" s="28"/>
      <c r="E201" s="28"/>
      <c r="F201" s="50"/>
      <c r="G201" s="50"/>
      <c r="H201" s="50"/>
      <c r="I201" s="50"/>
      <c r="J201" s="50"/>
    </row>
    <row r="202" spans="1:10" ht="21.75" x14ac:dyDescent="0.55000000000000004">
      <c r="A202" s="47"/>
      <c r="B202" s="28"/>
      <c r="C202" s="28"/>
      <c r="D202" s="28"/>
      <c r="E202" s="28"/>
      <c r="F202" s="50"/>
      <c r="G202" s="50"/>
      <c r="H202" s="50"/>
      <c r="I202" s="50"/>
      <c r="J202" s="50"/>
    </row>
    <row r="203" spans="1:10" ht="21.75" x14ac:dyDescent="0.55000000000000004">
      <c r="A203" s="47"/>
      <c r="B203" s="28"/>
      <c r="C203" s="28"/>
      <c r="D203" s="28"/>
      <c r="E203" s="28"/>
      <c r="F203" s="50"/>
      <c r="G203" s="50"/>
      <c r="H203" s="50"/>
      <c r="I203" s="50"/>
      <c r="J203" s="50"/>
    </row>
    <row r="204" spans="1:10" ht="21.75" x14ac:dyDescent="0.55000000000000004">
      <c r="A204" s="47"/>
      <c r="B204" s="28"/>
      <c r="C204" s="28"/>
      <c r="D204" s="28"/>
      <c r="E204" s="28"/>
      <c r="F204" s="50"/>
      <c r="G204" s="50"/>
      <c r="H204" s="50"/>
      <c r="I204" s="50"/>
      <c r="J204" s="50"/>
    </row>
    <row r="205" spans="1:10" ht="21.75" x14ac:dyDescent="0.55000000000000004">
      <c r="A205" s="47"/>
      <c r="B205" s="28"/>
      <c r="C205" s="28"/>
      <c r="D205" s="28"/>
      <c r="E205" s="28"/>
      <c r="F205" s="50"/>
      <c r="G205" s="50"/>
      <c r="H205" s="50"/>
      <c r="I205" s="50"/>
      <c r="J205" s="50"/>
    </row>
    <row r="206" spans="1:10" ht="21.75" x14ac:dyDescent="0.55000000000000004">
      <c r="A206" s="47"/>
      <c r="B206" s="28"/>
      <c r="C206" s="28"/>
      <c r="D206" s="28"/>
      <c r="E206" s="28"/>
      <c r="F206" s="50"/>
      <c r="G206" s="50"/>
      <c r="H206" s="50"/>
      <c r="I206" s="50"/>
      <c r="J206" s="5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9008B0-CB22-4C39-B4B3-2E593C40E2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Supplier (COA)</vt:lpstr>
      <vt:lpstr>Armax Engine Oil</vt:lpstr>
      <vt:lpstr>Aspire Aim Machinery</vt:lpstr>
      <vt:lpstr>Aung Myit Tar</vt:lpstr>
      <vt:lpstr>Delita International Limited</vt:lpstr>
      <vt:lpstr>GBS Co, LTD Tricycle</vt:lpstr>
      <vt:lpstr>GBS Co, LTD Engine</vt:lpstr>
      <vt:lpstr>GBS Spare</vt:lpstr>
      <vt:lpstr>Ko Win Hlaing</vt:lpstr>
      <vt:lpstr>Kyinn Loon Myanmar</vt:lpstr>
      <vt:lpstr>Ma Au Bin</vt:lpstr>
      <vt:lpstr>Mann Ayawadi</vt:lpstr>
      <vt:lpstr>MDL Tricycle Spare</vt:lpstr>
      <vt:lpstr>Moe Thauk Ayar</vt:lpstr>
      <vt:lpstr>Sein Wut Hmon Co, LTD</vt:lpstr>
      <vt:lpstr>Shwe Than Lwin</vt:lpstr>
      <vt:lpstr>Shwe Yar Su</vt:lpstr>
      <vt:lpstr>Super</vt:lpstr>
      <vt:lpstr>Tat Shwe La Win </vt:lpstr>
      <vt:lpstr>UMG Co,LTD</vt:lpstr>
      <vt:lpstr>Zan (or) Mg Mg Soe</vt:lpstr>
      <vt:lpstr>Total Balance</vt:lpstr>
      <vt:lpstr>Pivot Table</vt:lpstr>
      <vt:lpstr>Data Combine</vt:lpstr>
      <vt:lpstr>'Total Balance'!Print_Area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cp:lastPrinted>2021-03-13T22:35:13Z</cp:lastPrinted>
  <dcterms:created xsi:type="dcterms:W3CDTF">2021-03-05T16:53:14Z</dcterms:created>
  <dcterms:modified xsi:type="dcterms:W3CDTF">2021-10-03T02:08:28Z</dcterms:modified>
</cp:coreProperties>
</file>