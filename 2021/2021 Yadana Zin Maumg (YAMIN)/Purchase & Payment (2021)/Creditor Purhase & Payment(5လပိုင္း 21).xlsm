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pivotTables/pivotTable1.xml" ContentType="application/vnd.openxmlformats-officedocument.spreadsheetml.pivotTable+xml"/>
  <Override PartName="/xl/tables/table22.xml" ContentType="application/vnd.openxmlformats-officedocument.spreadsheetml.table+xml"/>
  <Override PartName="/xl/queryTables/queryTable1.xml" ContentType="application/vnd.openxmlformats-officedocument.spreadsheetml.queryTable+xml"/>
  <Override PartName="/xl/tables/table2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Yadana Zin Maung Account(YAMIN)\Purchase &amp; Payment (2021)\"/>
    </mc:Choice>
  </mc:AlternateContent>
  <bookViews>
    <workbookView xWindow="-120" yWindow="-120" windowWidth="20730" windowHeight="11160" firstSheet="19" activeTab="23"/>
  </bookViews>
  <sheets>
    <sheet name="Supplier (COA)" sheetId="21" r:id="rId1"/>
    <sheet name="Armax Engine Oil" sheetId="1" r:id="rId2"/>
    <sheet name="Aspire Aim Machinery" sheetId="3" r:id="rId3"/>
    <sheet name="Aung Myit Tar" sheetId="4" r:id="rId4"/>
    <sheet name="GBS Co, LTD Tricycle" sheetId="6" r:id="rId5"/>
    <sheet name="Delita International Limited" sheetId="5" r:id="rId6"/>
    <sheet name="GBS Co, LTD Engine" sheetId="22" r:id="rId7"/>
    <sheet name="GBS Spare" sheetId="7" r:id="rId8"/>
    <sheet name="Ko Win Hlaing" sheetId="8" r:id="rId9"/>
    <sheet name="Kyinn Loon Myanmar" sheetId="9" r:id="rId10"/>
    <sheet name="Ma Au Bin" sheetId="10" r:id="rId11"/>
    <sheet name="Mann Ayawadi" sheetId="11" r:id="rId12"/>
    <sheet name="MDL Tricycle Spare" sheetId="12" r:id="rId13"/>
    <sheet name="Moe Thauk Ayar" sheetId="13" r:id="rId14"/>
    <sheet name="Sein Wut Hmon Co, LTD" sheetId="14" r:id="rId15"/>
    <sheet name="Shwe Than Lwin" sheetId="15" r:id="rId16"/>
    <sheet name="Shwe Yar Su" sheetId="16" r:id="rId17"/>
    <sheet name="Super" sheetId="17" r:id="rId18"/>
    <sheet name="Tat Shwe La Win " sheetId="18" r:id="rId19"/>
    <sheet name="UMG Co,LTD" sheetId="19" r:id="rId20"/>
    <sheet name="Zan (or) Mg Mg Soe" sheetId="20" r:id="rId21"/>
    <sheet name="Total Balance" sheetId="53" r:id="rId22"/>
    <sheet name="Pivot Table" sheetId="61" r:id="rId23"/>
    <sheet name="Data Combine" sheetId="60" r:id="rId24"/>
    <sheet name="Sheet2" sheetId="58" r:id="rId25"/>
  </sheets>
  <definedNames>
    <definedName name="ExternalData_1" localSheetId="23" hidden="1">'Data Combine'!$A$1:$J$157</definedName>
    <definedName name="ExternalData_1" localSheetId="24" hidden="1">Sheet2!$A$1:$J$15</definedName>
    <definedName name="_xlnm.Print_Area" localSheetId="21">'Total Balance'!$A$1:$F$23</definedName>
  </definedNames>
  <calcPr calcId="162913"/>
  <pivotCaches>
    <pivotCache cacheId="0" r:id="rId2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1" l="1"/>
  <c r="J13" i="4"/>
  <c r="J11" i="6"/>
  <c r="J4" i="5"/>
  <c r="J19" i="22"/>
  <c r="J14" i="7"/>
  <c r="J8" i="8"/>
  <c r="J4" i="9"/>
  <c r="J6" i="10"/>
  <c r="J6" i="11"/>
  <c r="J12" i="13"/>
  <c r="J6" i="14"/>
  <c r="J8" i="15"/>
  <c r="J3" i="16"/>
  <c r="J3" i="18"/>
  <c r="J17" i="20"/>
  <c r="C3" i="53" l="1"/>
  <c r="D3" i="53"/>
  <c r="E3" i="53"/>
  <c r="F3" i="53"/>
  <c r="C4" i="53"/>
  <c r="D4" i="53"/>
  <c r="E4" i="53"/>
  <c r="F4" i="53"/>
  <c r="C5" i="53"/>
  <c r="D5" i="53"/>
  <c r="E5" i="53"/>
  <c r="F5" i="53"/>
  <c r="C6" i="53"/>
  <c r="D6" i="53"/>
  <c r="E6" i="53"/>
  <c r="F6" i="53"/>
  <c r="C7" i="53"/>
  <c r="D7" i="53"/>
  <c r="E7" i="53"/>
  <c r="F7" i="53"/>
  <c r="C8" i="53"/>
  <c r="D8" i="53"/>
  <c r="E8" i="53"/>
  <c r="F8" i="53"/>
  <c r="C9" i="53"/>
  <c r="D9" i="53"/>
  <c r="E9" i="53"/>
  <c r="F9" i="53"/>
  <c r="C10" i="53"/>
  <c r="D10" i="53"/>
  <c r="E10" i="53"/>
  <c r="F10" i="53"/>
  <c r="C11" i="53"/>
  <c r="D11" i="53"/>
  <c r="E11" i="53"/>
  <c r="F11" i="53"/>
  <c r="C12" i="53"/>
  <c r="D12" i="53"/>
  <c r="E12" i="53"/>
  <c r="F12" i="53"/>
  <c r="C13" i="53"/>
  <c r="D13" i="53"/>
  <c r="E13" i="53"/>
  <c r="F13" i="53"/>
  <c r="C14" i="53"/>
  <c r="D14" i="53"/>
  <c r="E14" i="53"/>
  <c r="F14" i="53"/>
  <c r="C15" i="53"/>
  <c r="D15" i="53"/>
  <c r="E15" i="53"/>
  <c r="F15" i="53"/>
  <c r="C16" i="53"/>
  <c r="D16" i="53"/>
  <c r="E16" i="53"/>
  <c r="F16" i="53"/>
  <c r="C17" i="53"/>
  <c r="D17" i="53"/>
  <c r="E17" i="53"/>
  <c r="F17" i="53"/>
  <c r="C18" i="53"/>
  <c r="D18" i="53"/>
  <c r="E18" i="53"/>
  <c r="F18" i="53"/>
  <c r="C19" i="53"/>
  <c r="D19" i="53"/>
  <c r="E19" i="53"/>
  <c r="F19" i="53"/>
  <c r="C20" i="53"/>
  <c r="D20" i="53"/>
  <c r="E20" i="53"/>
  <c r="F20" i="53"/>
  <c r="C21" i="53"/>
  <c r="D21" i="53"/>
  <c r="E21" i="53"/>
  <c r="F21" i="53"/>
  <c r="D2" i="53"/>
  <c r="E2" i="53"/>
  <c r="F2" i="53"/>
  <c r="C2" i="53"/>
  <c r="J4" i="20" l="1"/>
  <c r="J5" i="20"/>
  <c r="J6" i="20" s="1"/>
  <c r="J7" i="20" s="1"/>
  <c r="J8" i="20" s="1"/>
  <c r="J9" i="20" s="1"/>
  <c r="J10" i="20" s="1"/>
  <c r="J11" i="20" s="1"/>
  <c r="J12" i="20" s="1"/>
  <c r="J13" i="20" s="1"/>
  <c r="J14" i="20" s="1"/>
  <c r="J15" i="20" s="1"/>
  <c r="J16" i="20" s="1"/>
  <c r="J3" i="20"/>
  <c r="J2" i="20"/>
  <c r="J2" i="19"/>
  <c r="J2" i="17"/>
  <c r="I2" i="17"/>
  <c r="J3" i="15"/>
  <c r="J4" i="15"/>
  <c r="J5" i="15" s="1"/>
  <c r="J6" i="15" s="1"/>
  <c r="J7" i="15" s="1"/>
  <c r="J2" i="15"/>
  <c r="J4" i="14"/>
  <c r="J5" i="14"/>
  <c r="J3" i="14"/>
  <c r="J2" i="14"/>
  <c r="J4" i="13"/>
  <c r="J5" i="13"/>
  <c r="J6" i="13" s="1"/>
  <c r="J7" i="13" s="1"/>
  <c r="J8" i="13" s="1"/>
  <c r="J9" i="13" s="1"/>
  <c r="J10" i="13" s="1"/>
  <c r="J11" i="13" s="1"/>
  <c r="J3" i="13"/>
  <c r="J2" i="13"/>
  <c r="J2" i="12"/>
  <c r="J4" i="11"/>
  <c r="J5" i="11"/>
  <c r="J3" i="11"/>
  <c r="J2" i="11"/>
  <c r="J4" i="10"/>
  <c r="J5" i="10"/>
  <c r="J3" i="10"/>
  <c r="J2" i="10"/>
  <c r="J3" i="9"/>
  <c r="J2" i="9"/>
  <c r="J4" i="8"/>
  <c r="J5" i="8"/>
  <c r="J6" i="8" s="1"/>
  <c r="J7" i="8" s="1"/>
  <c r="J3" i="8"/>
  <c r="J2" i="8"/>
  <c r="J4" i="7"/>
  <c r="J5" i="7"/>
  <c r="J6" i="7" s="1"/>
  <c r="J7" i="7" s="1"/>
  <c r="J8" i="7" s="1"/>
  <c r="J9" i="7" s="1"/>
  <c r="J10" i="7" s="1"/>
  <c r="J11" i="7" s="1"/>
  <c r="J12" i="7" s="1"/>
  <c r="J13" i="7" s="1"/>
  <c r="J15" i="7" s="1"/>
  <c r="J16" i="7" s="1"/>
  <c r="J17" i="7" s="1"/>
  <c r="J3" i="7"/>
  <c r="J2" i="7"/>
  <c r="J4" i="22"/>
  <c r="J5" i="22"/>
  <c r="J6" i="22" s="1"/>
  <c r="J7" i="22" s="1"/>
  <c r="J8" i="22" s="1"/>
  <c r="J9" i="22" s="1"/>
  <c r="J10" i="22" s="1"/>
  <c r="J11" i="22" s="1"/>
  <c r="J12" i="22" s="1"/>
  <c r="J13" i="22" s="1"/>
  <c r="J14" i="22" s="1"/>
  <c r="J15" i="22" s="1"/>
  <c r="J16" i="22" s="1"/>
  <c r="J17" i="22" s="1"/>
  <c r="J18" i="22" s="1"/>
  <c r="J3" i="22"/>
  <c r="J2" i="22"/>
  <c r="J3" i="5"/>
  <c r="J2" i="5"/>
  <c r="J4" i="6"/>
  <c r="J5" i="6"/>
  <c r="J6" i="6" s="1"/>
  <c r="J7" i="6" s="1"/>
  <c r="J8" i="6" s="1"/>
  <c r="J9" i="6" s="1"/>
  <c r="J10" i="6" s="1"/>
  <c r="J3" i="6"/>
  <c r="J2" i="6"/>
  <c r="J2" i="1"/>
  <c r="J3" i="4"/>
  <c r="J2" i="4"/>
  <c r="I2" i="4"/>
  <c r="I2" i="3"/>
  <c r="J2" i="3"/>
  <c r="I2" i="1"/>
  <c r="J4" i="4"/>
  <c r="J5" i="4" s="1"/>
  <c r="J6" i="4" s="1"/>
  <c r="J7" i="4" s="1"/>
  <c r="J8" i="4" s="1"/>
  <c r="J9" i="4" s="1"/>
  <c r="J10" i="4" s="1"/>
  <c r="J11" i="4" s="1"/>
  <c r="J12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I11" i="6" l="1"/>
  <c r="I10" i="6"/>
  <c r="I9" i="6"/>
  <c r="I8" i="6"/>
  <c r="I26" i="4"/>
  <c r="I27" i="4"/>
  <c r="I24" i="4"/>
  <c r="I25" i="4"/>
  <c r="I39" i="4"/>
  <c r="I40" i="4"/>
  <c r="I35" i="4"/>
  <c r="I33" i="4"/>
  <c r="I34" i="4"/>
  <c r="I32" i="4"/>
  <c r="I30" i="4"/>
  <c r="I31" i="4"/>
  <c r="I28" i="4"/>
  <c r="I23" i="4"/>
  <c r="I17" i="7"/>
  <c r="I17" i="20"/>
  <c r="I8" i="8"/>
  <c r="I7" i="8"/>
  <c r="I12" i="13"/>
  <c r="I11" i="13"/>
  <c r="I16" i="20"/>
  <c r="I38" i="4"/>
  <c r="I37" i="4"/>
  <c r="I29" i="4"/>
  <c r="I10" i="13"/>
  <c r="I8" i="15"/>
  <c r="I6" i="8"/>
  <c r="I19" i="22"/>
  <c r="I18" i="22"/>
  <c r="I17" i="22"/>
  <c r="I16" i="22"/>
  <c r="I15" i="22"/>
  <c r="I14" i="22"/>
  <c r="I13" i="22"/>
  <c r="I12" i="22"/>
  <c r="I16" i="7"/>
  <c r="I15" i="7"/>
  <c r="I14" i="7"/>
  <c r="I7" i="6"/>
  <c r="I36" i="4"/>
  <c r="I13" i="7"/>
  <c r="I22" i="4"/>
  <c r="I15" i="20"/>
  <c r="I21" i="4"/>
  <c r="I15" i="4"/>
  <c r="I14" i="4"/>
  <c r="I16" i="4"/>
  <c r="I20" i="4"/>
  <c r="I19" i="4"/>
  <c r="I18" i="4"/>
  <c r="I6" i="10"/>
  <c r="I14" i="20"/>
  <c r="I13" i="20"/>
  <c r="I12" i="20"/>
  <c r="I8" i="13"/>
  <c r="I9" i="13"/>
  <c r="I2" i="16"/>
  <c r="J2" i="16" s="1"/>
  <c r="I2" i="18"/>
  <c r="J2" i="18" s="1"/>
  <c r="I3" i="20"/>
  <c r="I4" i="20"/>
  <c r="I5" i="20"/>
  <c r="I6" i="20"/>
  <c r="I7" i="20"/>
  <c r="I8" i="20"/>
  <c r="I9" i="20"/>
  <c r="I10" i="20"/>
  <c r="I6" i="6"/>
  <c r="I11" i="22"/>
  <c r="I17" i="4"/>
  <c r="I13" i="4"/>
  <c r="I10" i="4"/>
  <c r="I11" i="20"/>
  <c r="I6" i="14"/>
  <c r="I3" i="14"/>
  <c r="I5" i="14"/>
  <c r="I12" i="7"/>
  <c r="I4" i="5"/>
  <c r="I12" i="4"/>
  <c r="I5" i="10"/>
  <c r="I7" i="13"/>
  <c r="I5" i="6"/>
  <c r="I4" i="6"/>
  <c r="I10" i="22"/>
  <c r="I11" i="4"/>
  <c r="I5" i="8"/>
  <c r="I9" i="4"/>
  <c r="I7" i="4"/>
  <c r="I11" i="7"/>
  <c r="I6" i="11"/>
  <c r="I3" i="11"/>
  <c r="I9" i="7"/>
  <c r="I5" i="11"/>
  <c r="I7" i="15"/>
  <c r="I4" i="9"/>
  <c r="I9" i="22"/>
  <c r="I8" i="22"/>
  <c r="I8" i="7"/>
  <c r="I4" i="10"/>
  <c r="I6" i="15"/>
  <c r="I5" i="15"/>
  <c r="I10" i="7"/>
  <c r="I7" i="7"/>
  <c r="I7" i="22"/>
  <c r="I4" i="22"/>
  <c r="I6" i="22"/>
  <c r="I8" i="4"/>
  <c r="I6" i="7"/>
  <c r="I4" i="7"/>
  <c r="I4" i="15"/>
  <c r="I6" i="4"/>
  <c r="I41" i="4"/>
  <c r="I4" i="8"/>
  <c r="I6" i="13"/>
  <c r="I4" i="13"/>
  <c r="I5" i="4"/>
  <c r="I2" i="13"/>
  <c r="I4" i="4"/>
  <c r="I5" i="22"/>
  <c r="I5" i="7"/>
  <c r="I3" i="6"/>
  <c r="I4" i="11"/>
  <c r="I3" i="7" l="1"/>
  <c r="I5" i="13" l="1"/>
  <c r="I3" i="9" l="1"/>
  <c r="E23" i="53" l="1"/>
  <c r="C23" i="53"/>
  <c r="D23" i="53"/>
  <c r="F23" i="53" l="1"/>
  <c r="I2" i="20"/>
  <c r="I2" i="19"/>
  <c r="I3" i="18"/>
  <c r="I3" i="16"/>
  <c r="I3" i="15"/>
  <c r="I2" i="15"/>
  <c r="I4" i="14"/>
  <c r="I2" i="14"/>
  <c r="I3" i="13"/>
  <c r="I2" i="12"/>
  <c r="I2" i="11"/>
  <c r="I3" i="10"/>
  <c r="I2" i="10"/>
  <c r="I2" i="9"/>
  <c r="I3" i="8"/>
  <c r="I2" i="8"/>
  <c r="I2" i="7"/>
  <c r="I3" i="22"/>
  <c r="I2" i="22"/>
  <c r="I2" i="6"/>
  <c r="I3" i="5"/>
  <c r="I2" i="5"/>
  <c r="I3" i="4"/>
  <c r="I3" i="1"/>
</calcChain>
</file>

<file path=xl/connections.xml><?xml version="1.0" encoding="utf-8"?>
<connections xmlns="http://schemas.openxmlformats.org/spreadsheetml/2006/main">
  <connection id="1" keepAlive="1" name="Query - Query1" description="Connection to the 'Query1' query in the workbook." type="5" refreshedVersion="6" background="1" saveData="1">
    <dbPr connection="Provider=Microsoft.Mashup.OleDb.1;Data Source=$Workbook$;Location=Query1;Extended Properties=&quot;&quot;" command="SELECT * FROM [Query1]"/>
  </connection>
  <connection id="2" keepAlive="1" name="Query - Query3" description="Connection to the 'Query3' query in the workbook." type="5" refreshedVersion="6" background="1" saveData="1">
    <dbPr connection="Provider=Microsoft.Mashup.OleDb.1;Data Source=$Workbook$;Location=Query3;Extended Properties=&quot;&quot;" command="SELECT * FROM [Query3]"/>
  </connection>
</connections>
</file>

<file path=xl/sharedStrings.xml><?xml version="1.0" encoding="utf-8"?>
<sst xmlns="http://schemas.openxmlformats.org/spreadsheetml/2006/main" count="1557" uniqueCount="189">
  <si>
    <t>No</t>
  </si>
  <si>
    <t>Date</t>
  </si>
  <si>
    <t>Supplier Code</t>
  </si>
  <si>
    <t>Supplier Name</t>
  </si>
  <si>
    <t>Item Name</t>
  </si>
  <si>
    <t>Opening</t>
  </si>
  <si>
    <t>Purchase</t>
  </si>
  <si>
    <t>Payment</t>
  </si>
  <si>
    <t>Balance</t>
  </si>
  <si>
    <t>Armax Engine Oil</t>
  </si>
  <si>
    <t>Sub Account Name</t>
  </si>
  <si>
    <t>Pay202</t>
  </si>
  <si>
    <t>Arr Thit</t>
  </si>
  <si>
    <t>Current Assets</t>
  </si>
  <si>
    <t>Pay203</t>
  </si>
  <si>
    <t>Aspire Aim Machinery</t>
  </si>
  <si>
    <t>Non-Current Assets</t>
  </si>
  <si>
    <t>Pay204</t>
  </si>
  <si>
    <t>Aung Myit Tar</t>
  </si>
  <si>
    <t>Current Liabilities</t>
  </si>
  <si>
    <t>Pay205</t>
  </si>
  <si>
    <t>Delta International Limited</t>
  </si>
  <si>
    <t>Non-Current Liabilities</t>
  </si>
  <si>
    <t>Pay206</t>
  </si>
  <si>
    <t>Shereholder's and equity</t>
  </si>
  <si>
    <t>Pay207</t>
  </si>
  <si>
    <t>GBS Fertilizer</t>
  </si>
  <si>
    <t>Sales</t>
  </si>
  <si>
    <t>Pay208</t>
  </si>
  <si>
    <t>GBS Spare</t>
  </si>
  <si>
    <t>Cost of good sold</t>
  </si>
  <si>
    <t>Pay209</t>
  </si>
  <si>
    <t>Hope Flowers Fertilizer</t>
  </si>
  <si>
    <t>Other Income</t>
  </si>
  <si>
    <t>Pay210</t>
  </si>
  <si>
    <t>Hur Hong Co.Ltd</t>
  </si>
  <si>
    <t>Other Expenses</t>
  </si>
  <si>
    <t>Pay211</t>
  </si>
  <si>
    <t xml:space="preserve">Ko Win Hlaing </t>
  </si>
  <si>
    <t>Pay212</t>
  </si>
  <si>
    <t>Kyaw Ball</t>
  </si>
  <si>
    <t>Pay213</t>
  </si>
  <si>
    <t>Ma Au Bin</t>
  </si>
  <si>
    <t>Pay214</t>
  </si>
  <si>
    <t>MDL Tricycle Spare</t>
  </si>
  <si>
    <t>Pay215</t>
  </si>
  <si>
    <t>Sein Wut Hmon Co.Ltd</t>
  </si>
  <si>
    <t>Pay216</t>
  </si>
  <si>
    <t>Shwe Than Lwin</t>
  </si>
  <si>
    <t>Pay217</t>
  </si>
  <si>
    <t>Shwe Yar Su</t>
  </si>
  <si>
    <t>Pay218</t>
  </si>
  <si>
    <t>Tat Shwe La Win</t>
  </si>
  <si>
    <t>Pay219</t>
  </si>
  <si>
    <t>UMG Co,Ltd</t>
  </si>
  <si>
    <t>Pay220</t>
  </si>
  <si>
    <t>Zan (or) Mg Mg Soe</t>
  </si>
  <si>
    <t>Pay221</t>
  </si>
  <si>
    <t>Kyinn Loon Myanmar</t>
  </si>
  <si>
    <t>Pay222</t>
  </si>
  <si>
    <t>Moe thauk Ayar</t>
  </si>
  <si>
    <t>Pay223</t>
  </si>
  <si>
    <t>Pay224</t>
  </si>
  <si>
    <t>Mann Ayarwadi</t>
  </si>
  <si>
    <t>Pay225</t>
  </si>
  <si>
    <t>Super</t>
  </si>
  <si>
    <t>Pay226</t>
  </si>
  <si>
    <t xml:space="preserve">Ko Hla Ngwe </t>
  </si>
  <si>
    <t>GBS Co.Ltd Tricycle</t>
  </si>
  <si>
    <t>GBS Co.Ltd  Engine</t>
  </si>
  <si>
    <t>A/C Tipe</t>
  </si>
  <si>
    <t>½</t>
  </si>
  <si>
    <t>Pay228</t>
  </si>
  <si>
    <t>Vr.No</t>
  </si>
  <si>
    <t>Delita International Limied</t>
  </si>
  <si>
    <t>GBS Co, LTD Tricycle</t>
  </si>
  <si>
    <t>GBS Co, LTD Engine</t>
  </si>
  <si>
    <t>Ko Win Hlaing</t>
  </si>
  <si>
    <t>Mann Ayawadi</t>
  </si>
  <si>
    <t>Moe Thauk Ayar</t>
  </si>
  <si>
    <t>Sein Wut Hmon Co, LTD</t>
  </si>
  <si>
    <t xml:space="preserve">Tat Shwe La Win </t>
  </si>
  <si>
    <t>UMG Co,LTD</t>
  </si>
  <si>
    <t>Grand Total</t>
  </si>
  <si>
    <t>Total</t>
  </si>
  <si>
    <t>ေငြလႊဲ - Mobile</t>
  </si>
  <si>
    <t>ေငြလႊဲ - YGN</t>
  </si>
  <si>
    <t>ပစၥည္းၿပန္ပို႕</t>
  </si>
  <si>
    <t>270စက္ပရင္အမာ</t>
  </si>
  <si>
    <t>22CC ေရတိုင္ကီ</t>
  </si>
  <si>
    <t>TOYOတစ္ဘီးထြန္</t>
  </si>
  <si>
    <t>4"LiLi အင္ပါယ္လာ</t>
  </si>
  <si>
    <t>R-180 အင္ဂ်င္ဝိုင္စစ္ရွည္</t>
  </si>
  <si>
    <t>22×55 ခေရာေဘာA</t>
  </si>
  <si>
    <t>NT70  DIESEL ENGINE</t>
  </si>
  <si>
    <t>Q185 DIESEL ENGINE</t>
  </si>
  <si>
    <t>ဘားစက္စံု</t>
  </si>
  <si>
    <t>ONE WHEEL Trator</t>
  </si>
  <si>
    <t>20×55(4P) ဂ်ိဳင္းဂြတြဲ</t>
  </si>
  <si>
    <t>R-180 ပါကင္စံု</t>
  </si>
  <si>
    <t>R175 ပလန္ခ်ာ</t>
  </si>
  <si>
    <t>စလစ္+(စီးကြင္းပါ)(က်ယ္)R-175JN</t>
  </si>
  <si>
    <t>ကလပ္ကိုင္းအထိုင္ပါ</t>
  </si>
  <si>
    <t>PRATO Auto AWP 370W Pump</t>
  </si>
  <si>
    <t>TB-40ပန္႕ေခါင္းဝိုင္း</t>
  </si>
  <si>
    <t>Toyo ေလ်ာဗန္း</t>
  </si>
  <si>
    <t>Content.Date</t>
  </si>
  <si>
    <t>Content.Vr.No</t>
  </si>
  <si>
    <t>Content.A/C Tipe</t>
  </si>
  <si>
    <t>Content.Supplier Name</t>
  </si>
  <si>
    <t>Content.Item Name</t>
  </si>
  <si>
    <t>Content.Opening</t>
  </si>
  <si>
    <t>Content.Purchase</t>
  </si>
  <si>
    <t>Content.Payment</t>
  </si>
  <si>
    <t>Content.Balance</t>
  </si>
  <si>
    <t>Name</t>
  </si>
  <si>
    <t>GBS_TRI</t>
  </si>
  <si>
    <t>GBS_ENG</t>
  </si>
  <si>
    <t>NASA</t>
  </si>
  <si>
    <t>ေငြလႊဲ - ေငြၿခားနားခ်က္</t>
  </si>
  <si>
    <t>56 3Rအမ္းခံုစံု</t>
  </si>
  <si>
    <t>ဘီး110ေလ်ာဗန္း</t>
  </si>
  <si>
    <t>ဘားစပရိန္</t>
  </si>
  <si>
    <t>ေသာ့အဖံုးေကာ္ၿပား</t>
  </si>
  <si>
    <t>13ကာ/တာ(HD-B)</t>
  </si>
  <si>
    <t>OMEGA</t>
  </si>
  <si>
    <t>22Uဘေလာက္</t>
  </si>
  <si>
    <t xml:space="preserve"> DIESEL ENGINE R-180A</t>
  </si>
  <si>
    <t>R-175 ကင့္ပင္နယံ(အၾကီး)</t>
  </si>
  <si>
    <t>Dong Ben 300CC Frame-1627,1649,1651</t>
  </si>
  <si>
    <t>Dong Ben 150CC Frame-0189,0204</t>
  </si>
  <si>
    <t>ေငြလႊဲ - ပစၥည္းၿပန္ေပး</t>
  </si>
  <si>
    <t>အဲယားဗူး (ေဂါက္ပါ)R175/180(JN)</t>
  </si>
  <si>
    <t>ဘီးနတ္</t>
  </si>
  <si>
    <t>S-195ဒီဇယ္ဖစ္တာစစ္</t>
  </si>
  <si>
    <t>R-180A စလစ္ (JW)</t>
  </si>
  <si>
    <t>R-175 ဒီဘား (JW)</t>
  </si>
  <si>
    <t>400.8နားရြက္ၿပား</t>
  </si>
  <si>
    <t>ေရလည္ေရတိုင္ကီ(အလြတ္)(ေရ Heatပါ)A</t>
  </si>
  <si>
    <t>စတပ္ ေဘာထိုင္ နတ္ပါ(20လံု)A</t>
  </si>
  <si>
    <t>ကေရာင္းဝိုင္1L ZF/A</t>
  </si>
  <si>
    <t>14ေဂြ</t>
  </si>
  <si>
    <t>51×3က်ဥ္းB</t>
  </si>
  <si>
    <t>6 1/2 2ရြက္အထိုင္ ရွပ္တန္းလြတ္ရွည္</t>
  </si>
  <si>
    <t>R-180 ကင့္မရွပ္ (2ဆင့္)(JW)</t>
  </si>
  <si>
    <t>R-175 ေရေကာ္ဖံုး(ေကာ္)</t>
  </si>
  <si>
    <t>တစ္ဘီးထြန္ 14စြယ္ရွပ္ (ကီးတို)(JW)</t>
  </si>
  <si>
    <t>တစ္ဘီးထြန္ ေပါင္ရွပ္ (TOYO)</t>
  </si>
  <si>
    <t xml:space="preserve">တစ္ဘီးထြန္ ေပါင္ရွပ္ </t>
  </si>
  <si>
    <t>ပစၥတင္(CB-250)(std)BA</t>
  </si>
  <si>
    <t>R-175 ကင့္မရွပ္ (ေငြၿပန္အမ္း)</t>
  </si>
  <si>
    <t>သံုးဘီးဆိုင္ကယ္ဖိုးသြင္းေငြ</t>
  </si>
  <si>
    <t>4T (1.5L)</t>
  </si>
  <si>
    <t>ေငြလႊဲ - ဆိုင္</t>
  </si>
  <si>
    <t>ေငြလႊဲ - သံုးဘီး</t>
  </si>
  <si>
    <t>Q185 DIESEL ENGINE,ONE WHEEL</t>
  </si>
  <si>
    <t>ေငြလႊဲ - YGN (ပစၥည္းေငြၿပန္အမ္း)</t>
  </si>
  <si>
    <t>DF လီဘာၾကိဳး သံ</t>
  </si>
  <si>
    <t>DF 24သေရၿပား</t>
  </si>
  <si>
    <t>400×8 တာယာ+ကၽြတ္</t>
  </si>
  <si>
    <t>KAWA 75ရိန္း</t>
  </si>
  <si>
    <t>30Aပစၥည္းစံု</t>
  </si>
  <si>
    <t>5မူးေရၿမဳပ္ပန္႕(AC)</t>
  </si>
  <si>
    <t>ကလပ္အထိုင္ပီနယံ ရပစ္ထူ(200-6ခ်ပ္) (အၿပင္ထို) A</t>
  </si>
  <si>
    <t>ဘေလာက္(SET)DC 250-70သံ A</t>
  </si>
  <si>
    <t>R-175 ဘဲဒင္STD</t>
  </si>
  <si>
    <t>LS.30ပန္႔ဘားစက္ပရင္</t>
  </si>
  <si>
    <t>R-180A ပင္စတင္</t>
  </si>
  <si>
    <t>R-175 ထပ္ရိန္း 4R Ni-2 CYPR</t>
  </si>
  <si>
    <t>3×62 ဆစ္ခ်ိန္း</t>
  </si>
  <si>
    <t>R-180 ထပ္ရိန္း 4R Ni-2 CYPR</t>
  </si>
  <si>
    <t>R-175 ပလန္ခ်ာအံုအတြင္း Kitset</t>
  </si>
  <si>
    <t>12ရစ္ပလပ္ NGK</t>
  </si>
  <si>
    <t>6.5ေကာ္နတင္း STD</t>
  </si>
  <si>
    <t>တစ္ဘီးထြန္ေဘာပိတ္ အေပါက္ပါ</t>
  </si>
  <si>
    <t>တစ္ဘီးထြန္ ေရကာပံုး(5)ခု</t>
  </si>
  <si>
    <t>2"ေနာ္ဇယ္တိုင္</t>
  </si>
  <si>
    <t>မေဒၚလာေငြက်</t>
  </si>
  <si>
    <t>ကိုေအာင္ကိုဆန္း ေငြက်</t>
  </si>
  <si>
    <t>(3)ဦးေငြက် +342000</t>
  </si>
  <si>
    <t>သံုးဘီး(5)စီးေစ်းတတ္ေငြ</t>
  </si>
  <si>
    <t>ကိုေအာင္ကိုဆန္း ရက္ေက်ာ္ေၾကး ၿပန္ထည့္</t>
  </si>
  <si>
    <t>Total Balance</t>
  </si>
  <si>
    <t>R-180A ကရိုင္း(30/4/2021)</t>
  </si>
  <si>
    <t>Content.Total Balance</t>
  </si>
  <si>
    <t xml:space="preserve"> Content.Opening</t>
  </si>
  <si>
    <t xml:space="preserve"> Content.Purchase</t>
  </si>
  <si>
    <t xml:space="preserve"> Content.Payment</t>
  </si>
  <si>
    <t xml:space="preserve"> Content.Balance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</si>
</sst>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(* #,##0.00_);_(* \(#,##0.00\);_(* &quot;-&quot;??_);_(@_)"/>
    <numFmt numFmtId="164" formatCode="_(* #,##0_);_(* \(#,##0\);_(* &quot;-&quot;??_);_(@_)"/>
    <numFmt numFmtId="165" formatCode="\V\-00000"/>
    <numFmt numFmtId="166" formatCode="dd/mmmm/yyyy"/>
    <numFmt numFmtId="167" formatCode="\V\-0000"/>
    <numFmt numFmtId="168" formatCode="m/d/yyyy"/>
    <numFmt numFmtId="169" formatCode="d\-mmm\-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Zawgyi-One"/>
      <family val="2"/>
    </font>
    <font>
      <sz val="11"/>
      <color theme="1"/>
      <name val="Calibri"/>
      <family val="2"/>
      <scheme val="minor"/>
    </font>
    <font>
      <sz val="11"/>
      <color theme="1"/>
      <name val="Zawgyi-One"/>
      <family val="2"/>
    </font>
    <font>
      <b/>
      <sz val="11"/>
      <color theme="1"/>
      <name val="Zawgyi-One"/>
      <family val="2"/>
    </font>
    <font>
      <sz val="11"/>
      <color theme="1"/>
      <name val="Zawgyi-One"/>
      <family val="2"/>
    </font>
    <font>
      <sz val="11"/>
      <color theme="1"/>
      <name val="Zawgyi-One"/>
      <family val="2"/>
    </font>
    <font>
      <sz val="11"/>
      <color theme="1"/>
      <name val="Zawgyi-One"/>
      <family val="2"/>
    </font>
    <font>
      <sz val="11"/>
      <color theme="1"/>
      <name val="Zawgyi-One"/>
      <family val="2"/>
    </font>
    <font>
      <sz val="11"/>
      <color theme="1"/>
      <name val="Zawgyi-One"/>
      <family val="2"/>
    </font>
    <font>
      <sz val="11"/>
      <color theme="1"/>
      <name val="Zawgyi-One"/>
      <family val="2"/>
    </font>
    <font>
      <sz val="8"/>
      <name val="Calibri"/>
      <family val="2"/>
      <scheme val="minor"/>
    </font>
    <font>
      <sz val="11"/>
      <color theme="1"/>
      <name val="Zawgyi-One"/>
      <family val="2"/>
    </font>
    <font>
      <sz val="11"/>
      <color theme="1"/>
      <name val="Zawgyi-One"/>
      <family val="2"/>
    </font>
    <font>
      <sz val="11"/>
      <color theme="1"/>
      <name val="Zawgyi-One"/>
    </font>
    <font>
      <sz val="12"/>
      <color theme="1"/>
      <name val="Zawgyi-One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15">
    <xf numFmtId="0" fontId="0" fillId="0" borderId="0" xfId="0"/>
    <xf numFmtId="0" fontId="3" fillId="0" borderId="0" xfId="0" applyFont="1"/>
    <xf numFmtId="0" fontId="4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3" borderId="1" xfId="0" applyFont="1" applyFill="1" applyBorder="1"/>
    <xf numFmtId="0" fontId="0" fillId="0" borderId="1" xfId="0" applyBorder="1" applyAlignment="1">
      <alignment horizontal="center"/>
    </xf>
    <xf numFmtId="0" fontId="3" fillId="0" borderId="1" xfId="0" applyFont="1" applyBorder="1"/>
    <xf numFmtId="0" fontId="3" fillId="0" borderId="0" xfId="0" applyFont="1" applyAlignment="1">
      <alignment horizontal="center"/>
    </xf>
    <xf numFmtId="164" fontId="3" fillId="0" borderId="0" xfId="1" applyNumberFormat="1" applyFont="1" applyAlignment="1">
      <alignment horizontal="center"/>
    </xf>
    <xf numFmtId="164" fontId="3" fillId="0" borderId="0" xfId="1" applyNumberFormat="1" applyFont="1" applyAlignment="1"/>
    <xf numFmtId="0" fontId="3" fillId="2" borderId="1" xfId="0" applyFont="1" applyFill="1" applyBorder="1"/>
    <xf numFmtId="165" fontId="3" fillId="0" borderId="0" xfId="0" applyNumberFormat="1" applyFont="1" applyAlignment="1">
      <alignment horizontal="center"/>
    </xf>
    <xf numFmtId="0" fontId="3" fillId="0" borderId="0" xfId="0" applyFont="1" applyAlignment="1">
      <alignment horizontal="left"/>
    </xf>
    <xf numFmtId="166" fontId="3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4" fontId="5" fillId="0" borderId="0" xfId="0" applyNumberFormat="1" applyFont="1"/>
    <xf numFmtId="165" fontId="5" fillId="0" borderId="0" xfId="0" applyNumberFormat="1" applyFont="1" applyAlignment="1">
      <alignment horizontal="center"/>
    </xf>
    <xf numFmtId="164" fontId="5" fillId="0" borderId="0" xfId="1" applyNumberFormat="1" applyFont="1" applyAlignment="1"/>
    <xf numFmtId="166" fontId="5" fillId="0" borderId="0" xfId="0" applyNumberFormat="1" applyFont="1" applyAlignment="1">
      <alignment horizontal="center"/>
    </xf>
    <xf numFmtId="164" fontId="5" fillId="0" borderId="0" xfId="1" applyNumberFormat="1" applyFont="1" applyAlignment="1">
      <alignment horizontal="center"/>
    </xf>
    <xf numFmtId="164" fontId="3" fillId="3" borderId="1" xfId="1" applyNumberFormat="1" applyFont="1" applyFill="1" applyBorder="1" applyAlignment="1">
      <alignment horizontal="center"/>
    </xf>
    <xf numFmtId="0" fontId="3" fillId="0" borderId="0" xfId="0" applyFont="1" applyBorder="1" applyAlignment="1">
      <alignment horizontal="center"/>
    </xf>
    <xf numFmtId="164" fontId="3" fillId="0" borderId="0" xfId="1" applyNumberFormat="1" applyFont="1" applyBorder="1" applyAlignment="1">
      <alignment horizontal="center"/>
    </xf>
    <xf numFmtId="0" fontId="3" fillId="3" borderId="2" xfId="0" applyFont="1" applyFill="1" applyBorder="1"/>
    <xf numFmtId="0" fontId="3" fillId="3" borderId="3" xfId="0" applyNumberFormat="1" applyFont="1" applyFill="1" applyBorder="1"/>
    <xf numFmtId="164" fontId="4" fillId="0" borderId="4" xfId="1" applyNumberFormat="1" applyFont="1" applyBorder="1" applyAlignment="1">
      <alignment horizontal="center"/>
    </xf>
    <xf numFmtId="0" fontId="4" fillId="0" borderId="0" xfId="0" applyFont="1"/>
    <xf numFmtId="0" fontId="3" fillId="0" borderId="0" xfId="0" applyNumberFormat="1" applyFont="1"/>
    <xf numFmtId="0" fontId="6" fillId="0" borderId="0" xfId="0" applyFont="1" applyAlignment="1">
      <alignment horizontal="center"/>
    </xf>
    <xf numFmtId="166" fontId="6" fillId="0" borderId="0" xfId="0" applyNumberFormat="1" applyFont="1" applyAlignment="1">
      <alignment horizontal="center"/>
    </xf>
    <xf numFmtId="165" fontId="6" fillId="0" borderId="0" xfId="0" applyNumberFormat="1" applyFont="1" applyAlignment="1">
      <alignment horizontal="center"/>
    </xf>
    <xf numFmtId="0" fontId="6" fillId="0" borderId="0" xfId="0" applyNumberFormat="1" applyFont="1"/>
    <xf numFmtId="164" fontId="6" fillId="0" borderId="0" xfId="1" applyNumberFormat="1" applyFont="1" applyAlignment="1">
      <alignment horizontal="center"/>
    </xf>
    <xf numFmtId="164" fontId="6" fillId="0" borderId="0" xfId="1" applyNumberFormat="1" applyFont="1" applyAlignment="1"/>
    <xf numFmtId="166" fontId="7" fillId="0" borderId="0" xfId="0" applyNumberFormat="1" applyFont="1" applyAlignment="1">
      <alignment horizontal="center"/>
    </xf>
    <xf numFmtId="165" fontId="7" fillId="0" borderId="0" xfId="0" applyNumberFormat="1" applyFont="1" applyAlignment="1">
      <alignment horizontal="center"/>
    </xf>
    <xf numFmtId="0" fontId="7" fillId="0" borderId="0" xfId="0" applyNumberFormat="1" applyFont="1"/>
    <xf numFmtId="0" fontId="7" fillId="0" borderId="0" xfId="0" applyFont="1" applyAlignment="1">
      <alignment horizontal="center"/>
    </xf>
    <xf numFmtId="164" fontId="7" fillId="0" borderId="0" xfId="1" applyNumberFormat="1" applyFont="1" applyAlignment="1">
      <alignment horizontal="center"/>
    </xf>
    <xf numFmtId="164" fontId="7" fillId="0" borderId="0" xfId="1" applyNumberFormat="1" applyFont="1" applyAlignment="1"/>
    <xf numFmtId="165" fontId="8" fillId="0" borderId="0" xfId="0" applyNumberFormat="1" applyFont="1" applyAlignment="1">
      <alignment horizontal="center"/>
    </xf>
    <xf numFmtId="164" fontId="8" fillId="0" borderId="0" xfId="1" applyNumberFormat="1" applyFont="1" applyAlignment="1">
      <alignment horizontal="center"/>
    </xf>
    <xf numFmtId="164" fontId="8" fillId="0" borderId="0" xfId="1" applyNumberFormat="1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167" fontId="5" fillId="0" borderId="0" xfId="0" applyNumberFormat="1" applyFont="1"/>
    <xf numFmtId="12" fontId="1" fillId="0" borderId="0" xfId="0" applyNumberFormat="1" applyFont="1" applyAlignment="1">
      <alignment horizontal="center"/>
    </xf>
    <xf numFmtId="166" fontId="1" fillId="0" borderId="0" xfId="0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0" fontId="1" fillId="0" borderId="0" xfId="0" applyNumberFormat="1" applyFont="1"/>
    <xf numFmtId="164" fontId="1" fillId="0" borderId="0" xfId="1" applyNumberFormat="1" applyFont="1" applyAlignment="1">
      <alignment horizontal="center"/>
    </xf>
    <xf numFmtId="164" fontId="1" fillId="0" borderId="0" xfId="1" applyNumberFormat="1" applyFont="1" applyAlignment="1"/>
    <xf numFmtId="0" fontId="9" fillId="0" borderId="0" xfId="0" applyNumberFormat="1" applyFont="1"/>
    <xf numFmtId="164" fontId="9" fillId="0" borderId="0" xfId="1" applyNumberFormat="1" applyFont="1" applyAlignment="1">
      <alignment horizontal="center"/>
    </xf>
    <xf numFmtId="166" fontId="9" fillId="0" borderId="0" xfId="0" applyNumberFormat="1" applyFont="1" applyAlignment="1">
      <alignment horizontal="center"/>
    </xf>
    <xf numFmtId="165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164" fontId="9" fillId="0" borderId="0" xfId="1" applyNumberFormat="1" applyFont="1" applyAlignment="1"/>
    <xf numFmtId="165" fontId="5" fillId="0" borderId="0" xfId="0" applyNumberFormat="1" applyFont="1"/>
    <xf numFmtId="166" fontId="10" fillId="0" borderId="0" xfId="0" applyNumberFormat="1" applyFont="1" applyAlignment="1">
      <alignment horizontal="center"/>
    </xf>
    <xf numFmtId="165" fontId="10" fillId="0" borderId="0" xfId="0" applyNumberFormat="1" applyFont="1" applyAlignment="1">
      <alignment horizontal="center"/>
    </xf>
    <xf numFmtId="0" fontId="10" fillId="0" borderId="0" xfId="0" applyNumberFormat="1" applyFont="1"/>
    <xf numFmtId="0" fontId="10" fillId="0" borderId="0" xfId="0" applyFont="1" applyAlignment="1">
      <alignment horizontal="center"/>
    </xf>
    <xf numFmtId="164" fontId="10" fillId="0" borderId="0" xfId="1" applyNumberFormat="1" applyFont="1" applyAlignment="1">
      <alignment horizontal="center"/>
    </xf>
    <xf numFmtId="164" fontId="10" fillId="0" borderId="0" xfId="1" applyNumberFormat="1" applyFont="1" applyAlignment="1"/>
    <xf numFmtId="12" fontId="10" fillId="0" borderId="0" xfId="0" applyNumberFormat="1" applyFont="1" applyAlignment="1">
      <alignment horizontal="center"/>
    </xf>
    <xf numFmtId="165" fontId="1" fillId="0" borderId="0" xfId="0" applyNumberFormat="1" applyFont="1"/>
    <xf numFmtId="167" fontId="3" fillId="0" borderId="0" xfId="0" applyNumberFormat="1" applyFont="1" applyAlignment="1">
      <alignment horizontal="center"/>
    </xf>
    <xf numFmtId="167" fontId="5" fillId="0" borderId="0" xfId="0" applyNumberFormat="1" applyFont="1" applyAlignment="1">
      <alignment horizontal="center"/>
    </xf>
    <xf numFmtId="167" fontId="10" fillId="0" borderId="0" xfId="0" applyNumberFormat="1" applyFont="1" applyAlignment="1">
      <alignment horizontal="center"/>
    </xf>
    <xf numFmtId="167" fontId="1" fillId="0" borderId="0" xfId="0" applyNumberFormat="1" applyFont="1"/>
    <xf numFmtId="167" fontId="3" fillId="0" borderId="0" xfId="0" applyNumberFormat="1" applyFont="1"/>
    <xf numFmtId="167" fontId="1" fillId="0" borderId="0" xfId="0" applyNumberFormat="1" applyFont="1" applyAlignment="1">
      <alignment horizontal="center"/>
    </xf>
    <xf numFmtId="165" fontId="10" fillId="0" borderId="0" xfId="0" applyNumberFormat="1" applyFont="1"/>
    <xf numFmtId="165" fontId="3" fillId="0" borderId="0" xfId="0" applyNumberFormat="1" applyFont="1"/>
    <xf numFmtId="15" fontId="3" fillId="0" borderId="0" xfId="0" applyNumberFormat="1" applyFont="1" applyAlignment="1">
      <alignment horizontal="center"/>
    </xf>
    <xf numFmtId="15" fontId="5" fillId="0" borderId="0" xfId="0" applyNumberFormat="1" applyFont="1" applyAlignment="1">
      <alignment horizontal="center"/>
    </xf>
    <xf numFmtId="15" fontId="10" fillId="0" borderId="0" xfId="0" applyNumberFormat="1" applyFont="1" applyAlignment="1">
      <alignment horizontal="center"/>
    </xf>
    <xf numFmtId="15" fontId="1" fillId="0" borderId="0" xfId="0" applyNumberFormat="1" applyFont="1" applyAlignment="1">
      <alignment horizontal="center"/>
    </xf>
    <xf numFmtId="165" fontId="9" fillId="0" borderId="0" xfId="0" applyNumberFormat="1" applyFont="1"/>
    <xf numFmtId="168" fontId="10" fillId="0" borderId="0" xfId="0" applyNumberFormat="1" applyFont="1"/>
    <xf numFmtId="169" fontId="10" fillId="0" borderId="0" xfId="0" applyNumberFormat="1" applyFont="1" applyAlignment="1">
      <alignment horizontal="center"/>
    </xf>
    <xf numFmtId="166" fontId="1" fillId="0" borderId="0" xfId="0" applyNumberFormat="1" applyFont="1"/>
    <xf numFmtId="166" fontId="0" fillId="0" borderId="0" xfId="0" applyNumberFormat="1"/>
    <xf numFmtId="38" fontId="1" fillId="0" borderId="0" xfId="0" applyNumberFormat="1" applyFont="1"/>
    <xf numFmtId="38" fontId="0" fillId="0" borderId="0" xfId="0" applyNumberFormat="1"/>
    <xf numFmtId="164" fontId="12" fillId="0" borderId="0" xfId="1" applyNumberFormat="1" applyFont="1" applyAlignment="1">
      <alignment horizontal="center"/>
    </xf>
    <xf numFmtId="169" fontId="12" fillId="0" borderId="0" xfId="0" applyNumberFormat="1" applyFont="1" applyAlignment="1">
      <alignment horizontal="center"/>
    </xf>
    <xf numFmtId="165" fontId="12" fillId="0" borderId="0" xfId="0" applyNumberFormat="1" applyFont="1"/>
    <xf numFmtId="165" fontId="12" fillId="0" borderId="0" xfId="0" applyNumberFormat="1" applyFont="1" applyAlignment="1">
      <alignment horizontal="center"/>
    </xf>
    <xf numFmtId="0" fontId="12" fillId="0" borderId="0" xfId="0" applyNumberFormat="1" applyFont="1"/>
    <xf numFmtId="0" fontId="12" fillId="0" borderId="0" xfId="0" applyFont="1" applyAlignment="1">
      <alignment horizontal="center"/>
    </xf>
    <xf numFmtId="164" fontId="12" fillId="0" borderId="0" xfId="1" applyNumberFormat="1" applyFont="1" applyAlignment="1"/>
    <xf numFmtId="166" fontId="13" fillId="0" borderId="0" xfId="0" applyNumberFormat="1" applyFont="1" applyAlignment="1">
      <alignment horizontal="center"/>
    </xf>
    <xf numFmtId="167" fontId="13" fillId="0" borderId="0" xfId="0" applyNumberFormat="1" applyFont="1" applyAlignment="1">
      <alignment horizontal="center"/>
    </xf>
    <xf numFmtId="165" fontId="13" fillId="0" borderId="0" xfId="0" applyNumberFormat="1" applyFont="1" applyAlignment="1">
      <alignment horizontal="center"/>
    </xf>
    <xf numFmtId="0" fontId="13" fillId="0" borderId="0" xfId="0" applyNumberFormat="1" applyFont="1"/>
    <xf numFmtId="0" fontId="13" fillId="0" borderId="0" xfId="0" applyFont="1" applyAlignment="1">
      <alignment horizontal="center"/>
    </xf>
    <xf numFmtId="164" fontId="13" fillId="0" borderId="0" xfId="1" applyNumberFormat="1" applyFont="1" applyAlignment="1">
      <alignment horizontal="center"/>
    </xf>
    <xf numFmtId="164" fontId="13" fillId="0" borderId="0" xfId="1" applyNumberFormat="1" applyFont="1" applyAlignment="1"/>
    <xf numFmtId="164" fontId="14" fillId="0" borderId="0" xfId="1" applyNumberFormat="1" applyFont="1" applyAlignment="1">
      <alignment horizontal="center"/>
    </xf>
    <xf numFmtId="166" fontId="14" fillId="0" borderId="0" xfId="0" applyNumberFormat="1" applyFont="1" applyAlignment="1">
      <alignment horizontal="center"/>
    </xf>
    <xf numFmtId="165" fontId="14" fillId="0" borderId="0" xfId="0" applyNumberFormat="1" applyFont="1"/>
    <xf numFmtId="165" fontId="14" fillId="0" borderId="0" xfId="0" applyNumberFormat="1" applyFont="1" applyAlignment="1">
      <alignment horizontal="center"/>
    </xf>
    <xf numFmtId="0" fontId="14" fillId="0" borderId="0" xfId="0" applyNumberFormat="1" applyFont="1"/>
    <xf numFmtId="12" fontId="14" fillId="0" borderId="0" xfId="0" applyNumberFormat="1" applyFont="1" applyAlignment="1">
      <alignment horizontal="center"/>
    </xf>
    <xf numFmtId="164" fontId="14" fillId="0" borderId="0" xfId="1" applyNumberFormat="1" applyFont="1" applyAlignment="1"/>
    <xf numFmtId="0" fontId="14" fillId="0" borderId="0" xfId="0" applyFont="1" applyAlignment="1">
      <alignment horizontal="center"/>
    </xf>
    <xf numFmtId="164" fontId="15" fillId="0" borderId="0" xfId="1" applyNumberFormat="1" applyFont="1" applyAlignment="1"/>
    <xf numFmtId="168" fontId="1" fillId="0" borderId="0" xfId="0" applyNumberFormat="1" applyFont="1"/>
    <xf numFmtId="15" fontId="1" fillId="0" borderId="0" xfId="0" applyNumberFormat="1" applyFont="1"/>
    <xf numFmtId="15" fontId="0" fillId="0" borderId="0" xfId="0" applyNumberFormat="1"/>
    <xf numFmtId="164" fontId="1" fillId="0" borderId="0" xfId="1" applyNumberFormat="1" applyFont="1"/>
    <xf numFmtId="164" fontId="0" fillId="0" borderId="0" xfId="1" applyNumberFormat="1" applyFont="1"/>
    <xf numFmtId="0" fontId="1" fillId="0" borderId="0" xfId="0" pivotButton="1" applyFont="1"/>
  </cellXfs>
  <cellStyles count="2">
    <cellStyle name="Comma" xfId="1" builtinId="3"/>
    <cellStyle name="Normal" xfId="0" builtinId="0"/>
  </cellStyles>
  <dxfs count="304"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6" formatCode="#,##0_);[Red]\(#,##0\)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  <numFmt numFmtId="169" formatCode="d\-mmm\-yy"/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Zawgyi-One"/>
        <scheme val="none"/>
      </font>
    </dxf>
    <dxf>
      <numFmt numFmtId="164" formatCode="_(* #,##0_);_(* \(#,##0\);_(* &quot;-&quot;??_);_(@_)"/>
    </dxf>
    <dxf>
      <numFmt numFmtId="164" formatCode="_(* #,##0_);_(* \(#,##0\);_(* &quot;-&quot;??_);_(@_)"/>
    </dxf>
    <dxf>
      <numFmt numFmtId="170" formatCode="_(* #,##0.0_);_(* \(#,##0.0\);_(* &quot;-&quot;??_);_(@_)"/>
    </dxf>
    <dxf>
      <numFmt numFmtId="170" formatCode="_(* #,##0.0_);_(* \(#,##0.0\);_(* &quot;-&quot;??_);_(@_)"/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name val="Zawgyi-One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8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8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8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7" formatCode="\V\-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9" formatCode="d\-mmm\-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4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5" formatCode="\V\-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numFmt numFmtId="166" formatCode="dd/mm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Zawgyi-One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4458.590558564814" createdVersion="6" refreshedVersion="6" minRefreshableVersion="3" recordCount="156">
  <cacheSource type="worksheet">
    <worksheetSource name="Data_Combine"/>
  </cacheSource>
  <cacheFields count="10">
    <cacheField name="Content.Date" numFmtId="15">
      <sharedItems containsSemiMixedTypes="0" containsNonDate="0" containsDate="1" containsString="0" minDate="2021-04-28T00:00:00" maxDate="2021-06-29T00:00:00"/>
    </cacheField>
    <cacheField name="Content.Vr.No" numFmtId="0">
      <sharedItems containsString="0" containsBlank="1" containsNumber="1" containsInteger="1" minValue="13" maxValue="470211"/>
    </cacheField>
    <cacheField name="Content.A/C Tipe" numFmtId="0">
      <sharedItems/>
    </cacheField>
    <cacheField name="Content.Supplier Name" numFmtId="0">
      <sharedItems count="20">
        <s v="Armax Engine Oil"/>
        <s v="Aspire Aim Machinery"/>
        <s v="Aung Myit Tar"/>
        <s v="GBS Co, LTD Tricycle"/>
        <s v="Delita International Limied"/>
        <s v="GBS Co, LTD Engine"/>
        <s v="GBS Spare"/>
        <s v="Ko Win Hlaing"/>
        <s v="Kyinn Loon Myanmar"/>
        <s v="Ma Au Bin"/>
        <s v="Mann Ayawadi"/>
        <s v="MDL Tricycle Spare"/>
        <s v="Moe Thauk Ayar"/>
        <s v="Sein Wut Hmon Co, LTD"/>
        <s v="Shwe Than Lwin"/>
        <s v="Shwe Yar Su"/>
        <s v="Super"/>
        <s v="Tat Shwe La Win "/>
        <s v="UMG Co,LTD"/>
        <s v="Zan (or) Mg Mg Soe"/>
      </sharedItems>
    </cacheField>
    <cacheField name="Content.Item Name" numFmtId="0">
      <sharedItems count="87">
        <s v="Opening"/>
        <s v="ေငြလႊဲ - ဆိုင္"/>
        <s v="ေငြလႊဲ - YGN"/>
        <s v="270စက္ပရင္အမာ"/>
        <s v="R-180 အင္ဂ်င္ဝိုင္စစ္ရွည္"/>
        <s v="R-180 ပါကင္စံု"/>
        <s v="R-175 ကင့္ပင္နယံ(အၾကီး)"/>
        <s v="13ကာ/တာ(HD-B)"/>
        <s v="22Uဘေလာက္"/>
        <s v="R-180A စလစ္ (JW)"/>
        <s v="S-195ဒီဇယ္ဖစ္တာစစ္"/>
        <s v="R-175 ဒီဘား (JW)"/>
        <s v="တစ္ဘီးထြန္ ေပါင္ရွပ္ (TOYO)"/>
        <s v="တစ္ဘီးထြန္ ေပါင္ရွပ္ "/>
        <s v="တစ္ဘီးထြန္ 14စြယ္ရွပ္ (ကီးတို)(JW)"/>
        <s v="51×3က်ဥ္းB"/>
        <s v="6 1/2 2ရြက္အထိုင္ ရွပ္တန္းလြတ္ရွည္"/>
        <s v="R-180 ကင့္မရွပ္ (2ဆင့္)(JW)"/>
        <s v="R-175 ေရေကာ္ဖံုး(ေကာ္)"/>
        <s v="R-175 ကင့္မရွပ္ (ေငြၿပန္အမ္း)"/>
        <s v="6.5ေကာ္နတင္း STD"/>
        <s v="တစ္ဘီးထြန္ေဘာပိတ္ အေပါက္ပါ"/>
        <s v="တစ္ဘီးထြန္ ေရကာပံုး(5)ခု"/>
        <s v="2&quot;ေနာ္ဇယ္တိုင္"/>
        <s v="12ရစ္ပလပ္ NGK"/>
        <s v="R-175 ပလန္ခ်ာအံုအတြင္း Kitset"/>
        <s v="3×62 ဆစ္ခ်ိန္း"/>
        <s v="R-180 ထပ္ရိန္း 4R Ni-2 CYPR"/>
        <s v="R-175 ထပ္ရိန္း 4R Ni-2 CYPR"/>
        <s v="ေငြလႊဲ - YGN (ပစၥည္းေငြၿပန္အမ္း)"/>
        <s v="R-175 ဘဲဒင္STD"/>
        <s v="LS.30ပန္႔ဘားစက္ပရင္"/>
        <s v="R-180A ပင္စတင္"/>
        <s v="R-180A ကရိုင္း(30/4/2021)"/>
        <s v="Dong Ben 300CC Frame-1627,1649,1651"/>
        <s v="Dong Ben 150CC Frame-0189,0204"/>
        <s v="သံုးဘီးဆိုင္ကယ္ဖိုးသြင္းေငြ"/>
        <s v="မေဒၚလာေငြက်"/>
        <s v="ကိုေအာင္ကိုဆန္း ေငြက်"/>
        <s v="(3)ဦးေငြက် +342000"/>
        <s v="သံုးဘီး(5)စီးေစ်းတတ္ေငြ"/>
        <s v="ကိုေအာင္ကိုဆန္း ရက္ေက်ာ္ေၾကး ၿပန္ထည့္"/>
        <s v="4T (1.5L)"/>
        <s v="Q185 DIESEL ENGINE"/>
        <s v="ONE WHEEL Trator"/>
        <s v=" DIESEL ENGINE R-180A"/>
        <s v="Q185 DIESEL ENGINE,ONE WHEEL"/>
        <s v="ေငြလႊဲ - Mobile"/>
        <s v="ဘားစက္စံု"/>
        <s v="ပစၥည္းၿပန္ပို႕"/>
        <s v="R175 ပလန္ခ်ာ"/>
        <s v="စလစ္+(စီးကြင္းပါ)(က်ယ္)R-175JN"/>
        <s v="ဘားစပရိန္"/>
        <s v="အဲယားဗူး (ေဂါက္ပါ)R175/180(JN)"/>
        <s v="ေငြလႊဲ - သံုးဘီး"/>
        <s v="4&quot;LiLi အင္ပါယ္လာ"/>
        <s v="OMEGA"/>
        <s v="KAWA 75ရိန္း"/>
        <s v="30Aပစၥည္းစံု"/>
        <s v="5မူးေရၿမဳပ္ပန္႕(AC)"/>
        <s v="ေငြလႊဲ - ေငြၿခားနားခ်က္"/>
        <s v="Toyo ေလ်ာဗန္း"/>
        <s v="14ေဂြ"/>
        <s v="ဘီး110ေလ်ာဗန္း"/>
        <s v="56 3Rအမ္းခံုစံု"/>
        <s v="22CC ေရတိုင္ကီ"/>
        <s v="TOYOတစ္ဘီးထြန္"/>
        <s v="400.8နားရြက္ၿပား"/>
        <s v="DF လီဘာၾကိဳး သံ"/>
        <s v="DF 24သေရၿပား"/>
        <s v="400×8 တာယာ+ကၽြတ္"/>
        <s v="ေငြလႊဲ - ပစၥည္းၿပန္ေပး"/>
        <s v="NASA"/>
        <s v="NT70  DIESEL ENGINE"/>
        <s v="PRATO Auto AWP 370W Pump"/>
        <s v="TB-40ပန္႕ေခါင္းဝိုင္း"/>
        <s v="22×55 ခေရာေဘာA"/>
        <s v="20×55(4P) ဂ်ိဳင္းဂြတြဲ"/>
        <s v="ကလပ္ကိုင္းအထိုင္ပါ"/>
        <s v="ေသာ့အဖံုးေကာ္ၿပား"/>
        <s v="ဘီးနတ္"/>
        <s v="ေရလည္ေရတိုင္ကီ(အလြတ္)(ေရ Heatပါ)A"/>
        <s v="စတပ္ ေဘာထိုင္ နတ္ပါ(20လံု)A"/>
        <s v="ကေရာင္းဝိုင္1L ZF/A"/>
        <s v="ပစၥတင္(CB-250)(std)BA"/>
        <s v="ကလပ္အထိုင္ပီနယံ ရပစ္ထူ(200-6ခ်ပ္) (အၿပင္ထို) A"/>
        <s v="ဘေလာက္(SET)DC 250-70သံ A"/>
      </sharedItems>
    </cacheField>
    <cacheField name="Content.Opening" numFmtId="164">
      <sharedItems containsString="0" containsBlank="1" containsNumber="1" minValue="0" maxValue="18952000"/>
    </cacheField>
    <cacheField name="Content.Purchase" numFmtId="164">
      <sharedItems containsString="0" containsBlank="1" containsNumber="1" containsInteger="1" minValue="7600" maxValue="9270000"/>
    </cacheField>
    <cacheField name="Content.Payment" numFmtId="164">
      <sharedItems containsString="0" containsBlank="1" containsNumber="1" containsInteger="1" minValue="30000" maxValue="8866000"/>
    </cacheField>
    <cacheField name="Content.Balance" numFmtId="164">
      <sharedItems containsSemiMixedTypes="0" containsString="0" containsNumber="1" minValue="-8866000" maxValue="18952000"/>
    </cacheField>
    <cacheField name="Content.Total Balance" numFmtId="164">
      <sharedItems containsSemiMixedTypes="0" containsString="0" containsNumber="1" minValue="-1470000" maxValue="32522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6">
  <r>
    <d v="2021-05-01T00:00:00"/>
    <m/>
    <s v="Opening"/>
    <x v="0"/>
    <x v="0"/>
    <n v="630620"/>
    <m/>
    <m/>
    <n v="630620"/>
    <n v="630620"/>
  </r>
  <r>
    <d v="2021-05-27T00:00:00"/>
    <n v="269"/>
    <s v="Payment"/>
    <x v="0"/>
    <x v="1"/>
    <m/>
    <m/>
    <n v="40480"/>
    <n v="-40480"/>
    <n v="590140"/>
  </r>
  <r>
    <d v="2021-05-01T00:00:00"/>
    <m/>
    <s v="Opening"/>
    <x v="1"/>
    <x v="0"/>
    <n v="0"/>
    <m/>
    <m/>
    <n v="0"/>
    <n v="0"/>
  </r>
  <r>
    <d v="2021-05-01T00:00:00"/>
    <m/>
    <s v="Opening"/>
    <x v="2"/>
    <x v="0"/>
    <n v="1496359"/>
    <m/>
    <m/>
    <n v="1496359"/>
    <n v="1496359"/>
  </r>
  <r>
    <d v="2021-05-03T00:00:00"/>
    <n v="2288"/>
    <s v="Payment"/>
    <x v="2"/>
    <x v="2"/>
    <m/>
    <m/>
    <n v="1496359"/>
    <n v="-1496359"/>
    <n v="0"/>
  </r>
  <r>
    <d v="2021-05-03T00:00:00"/>
    <n v="21158"/>
    <s v="Purchase"/>
    <x v="2"/>
    <x v="3"/>
    <m/>
    <n v="19600"/>
    <m/>
    <n v="19600"/>
    <n v="19600"/>
  </r>
  <r>
    <d v="2021-05-03T00:00:00"/>
    <n v="48486"/>
    <s v="Purchase"/>
    <x v="2"/>
    <x v="4"/>
    <m/>
    <n v="236124"/>
    <m/>
    <n v="236124"/>
    <n v="255724"/>
  </r>
  <r>
    <d v="2021-05-05T00:00:00"/>
    <n v="48527"/>
    <s v="Purchase"/>
    <x v="2"/>
    <x v="5"/>
    <m/>
    <n v="134604"/>
    <m/>
    <n v="134604"/>
    <n v="390328"/>
  </r>
  <r>
    <d v="2021-05-10T00:00:00"/>
    <n v="48640"/>
    <s v="Purchase"/>
    <x v="2"/>
    <x v="6"/>
    <m/>
    <n v="374375"/>
    <m/>
    <n v="374375"/>
    <n v="764703"/>
  </r>
  <r>
    <d v="2021-05-11T00:00:00"/>
    <n v="21209"/>
    <s v="Purchase"/>
    <x v="2"/>
    <x v="7"/>
    <m/>
    <n v="49000"/>
    <m/>
    <n v="49000"/>
    <n v="813703"/>
  </r>
  <r>
    <d v="2021-05-11T00:00:00"/>
    <n v="21337"/>
    <s v="Purchase"/>
    <x v="2"/>
    <x v="8"/>
    <m/>
    <n v="107000"/>
    <m/>
    <n v="107000"/>
    <n v="920703"/>
  </r>
  <r>
    <d v="2021-05-12T00:00:00"/>
    <n v="48702"/>
    <s v="Purchase"/>
    <x v="2"/>
    <x v="9"/>
    <m/>
    <n v="709987"/>
    <m/>
    <n v="709987"/>
    <n v="1630690"/>
  </r>
  <r>
    <d v="2021-05-13T00:00:00"/>
    <n v="2332"/>
    <s v="Payment"/>
    <x v="2"/>
    <x v="2"/>
    <m/>
    <m/>
    <n v="1000000"/>
    <n v="-1000000"/>
    <n v="630690"/>
  </r>
  <r>
    <d v="2021-05-13T00:00:00"/>
    <n v="48751"/>
    <s v="Purchase"/>
    <x v="2"/>
    <x v="10"/>
    <m/>
    <n v="80830"/>
    <m/>
    <n v="80830"/>
    <n v="711520"/>
  </r>
  <r>
    <d v="2021-05-13T00:00:00"/>
    <n v="48740"/>
    <s v="Purchase"/>
    <x v="2"/>
    <x v="11"/>
    <m/>
    <n v="87670"/>
    <m/>
    <n v="87670"/>
    <n v="799190"/>
  </r>
  <r>
    <d v="2021-05-14T00:00:00"/>
    <n v="48773"/>
    <s v="Purchase"/>
    <x v="2"/>
    <x v="12"/>
    <m/>
    <n v="120465"/>
    <m/>
    <n v="120465"/>
    <n v="919655"/>
  </r>
  <r>
    <d v="2021-05-14T00:00:00"/>
    <n v="48762"/>
    <s v="Purchase"/>
    <x v="2"/>
    <x v="13"/>
    <m/>
    <n v="520465"/>
    <m/>
    <n v="520465"/>
    <n v="1440120"/>
  </r>
  <r>
    <d v="2021-05-18T00:00:00"/>
    <n v="48821"/>
    <s v="Purchase"/>
    <x v="2"/>
    <x v="14"/>
    <m/>
    <n v="54540"/>
    <m/>
    <n v="54540"/>
    <n v="1494660"/>
  </r>
  <r>
    <d v="2021-05-19T00:00:00"/>
    <n v="21238"/>
    <s v="Purchase"/>
    <x v="2"/>
    <x v="15"/>
    <m/>
    <n v="22900"/>
    <m/>
    <n v="22900"/>
    <n v="1517560"/>
  </r>
  <r>
    <d v="2021-05-19T00:00:00"/>
    <n v="21240"/>
    <s v="Purchase"/>
    <x v="2"/>
    <x v="16"/>
    <m/>
    <n v="45000"/>
    <m/>
    <n v="45000"/>
    <n v="1562560"/>
  </r>
  <r>
    <d v="2021-05-19T00:00:00"/>
    <n v="48883"/>
    <s v="Purchase"/>
    <x v="2"/>
    <x v="17"/>
    <m/>
    <n v="53040"/>
    <m/>
    <n v="53040"/>
    <n v="1615600"/>
  </r>
  <r>
    <d v="2021-05-19T00:00:00"/>
    <n v="48876"/>
    <s v="Purchase"/>
    <x v="2"/>
    <x v="18"/>
    <m/>
    <n v="219280"/>
    <m/>
    <n v="219280"/>
    <n v="1834880"/>
  </r>
  <r>
    <d v="2021-05-19T00:00:00"/>
    <m/>
    <s v="Payment"/>
    <x v="2"/>
    <x v="19"/>
    <m/>
    <m/>
    <n v="47760"/>
    <n v="-47760"/>
    <n v="1787120"/>
  </r>
  <r>
    <d v="2021-05-19T00:00:00"/>
    <n v="2349"/>
    <s v="Payment"/>
    <x v="2"/>
    <x v="2"/>
    <m/>
    <m/>
    <n v="1000000"/>
    <n v="-1000000"/>
    <n v="787120"/>
  </r>
  <r>
    <d v="2021-05-20T00:00:00"/>
    <n v="21241"/>
    <s v="Purchase"/>
    <x v="2"/>
    <x v="20"/>
    <m/>
    <n v="55500"/>
    <m/>
    <n v="55500"/>
    <n v="842620"/>
  </r>
  <r>
    <d v="2021-05-20T00:00:00"/>
    <n v="48907"/>
    <s v="Purchase"/>
    <x v="2"/>
    <x v="21"/>
    <m/>
    <n v="183710"/>
    <m/>
    <n v="183710"/>
    <n v="1026330"/>
  </r>
  <r>
    <d v="2021-05-20T00:00:00"/>
    <n v="48907"/>
    <s v="Purchase"/>
    <x v="2"/>
    <x v="22"/>
    <m/>
    <n v="105000"/>
    <m/>
    <n v="105000"/>
    <n v="1131330"/>
  </r>
  <r>
    <d v="2021-05-20T00:00:00"/>
    <n v="48907"/>
    <s v="Purchase"/>
    <x v="2"/>
    <x v="23"/>
    <m/>
    <n v="8000"/>
    <m/>
    <n v="8000"/>
    <n v="1139330"/>
  </r>
  <r>
    <d v="2021-05-20T00:00:00"/>
    <n v="48907"/>
    <s v="Purchase"/>
    <x v="2"/>
    <x v="23"/>
    <m/>
    <n v="7600"/>
    <m/>
    <n v="7600"/>
    <n v="1146930"/>
  </r>
  <r>
    <d v="2021-05-21T00:00:00"/>
    <n v="48938"/>
    <s v="Purchase"/>
    <x v="2"/>
    <x v="4"/>
    <m/>
    <n v="18164"/>
    <m/>
    <n v="18164"/>
    <n v="1165094"/>
  </r>
  <r>
    <d v="2021-05-24T00:00:00"/>
    <n v="2369"/>
    <s v="Payment"/>
    <x v="2"/>
    <x v="2"/>
    <m/>
    <m/>
    <n v="1000000"/>
    <n v="-1000000"/>
    <n v="165094"/>
  </r>
  <r>
    <d v="2021-05-24T00:00:00"/>
    <n v="48977"/>
    <s v="Purchase"/>
    <x v="2"/>
    <x v="11"/>
    <m/>
    <n v="1094002"/>
    <m/>
    <n v="1094002"/>
    <n v="1259096"/>
  </r>
  <r>
    <d v="2021-05-24T00:00:00"/>
    <n v="21249"/>
    <s v="Purchase"/>
    <x v="2"/>
    <x v="24"/>
    <m/>
    <n v="40250"/>
    <m/>
    <n v="40250"/>
    <n v="1299346"/>
  </r>
  <r>
    <d v="2021-05-26T00:00:00"/>
    <n v="48998"/>
    <s v="Purchase"/>
    <x v="2"/>
    <x v="25"/>
    <m/>
    <n v="155080"/>
    <m/>
    <n v="155080"/>
    <n v="1454426"/>
  </r>
  <r>
    <d v="2021-05-27T00:00:00"/>
    <n v="21258"/>
    <s v="Purchase"/>
    <x v="2"/>
    <x v="26"/>
    <m/>
    <n v="35000"/>
    <m/>
    <n v="35000"/>
    <n v="1489426"/>
  </r>
  <r>
    <d v="2021-05-27T00:00:00"/>
    <n v="49032"/>
    <s v="Purchase"/>
    <x v="2"/>
    <x v="27"/>
    <m/>
    <n v="182355"/>
    <m/>
    <n v="182355"/>
    <n v="1671781"/>
  </r>
  <r>
    <d v="2021-05-28T00:00:00"/>
    <n v="49064"/>
    <s v="Purchase"/>
    <x v="2"/>
    <x v="28"/>
    <m/>
    <n v="149184"/>
    <m/>
    <n v="149184"/>
    <n v="1820965"/>
  </r>
  <r>
    <d v="2021-05-29T00:00:00"/>
    <m/>
    <s v="Payment"/>
    <x v="2"/>
    <x v="29"/>
    <m/>
    <m/>
    <n v="41000"/>
    <n v="-41000"/>
    <n v="1779965"/>
  </r>
  <r>
    <d v="2021-05-29T00:00:00"/>
    <n v="2392"/>
    <s v="Payment"/>
    <x v="2"/>
    <x v="2"/>
    <m/>
    <m/>
    <n v="1500000"/>
    <n v="-1500000"/>
    <n v="279965"/>
  </r>
  <r>
    <d v="2021-05-29T00:00:00"/>
    <n v="49111"/>
    <s v="Purchase"/>
    <x v="2"/>
    <x v="30"/>
    <m/>
    <n v="64845"/>
    <m/>
    <n v="64845"/>
    <n v="344810"/>
  </r>
  <r>
    <d v="2021-05-29T00:00:00"/>
    <n v="21275"/>
    <s v="Purchase"/>
    <x v="2"/>
    <x v="31"/>
    <m/>
    <n v="18000"/>
    <m/>
    <n v="18000"/>
    <n v="362810"/>
  </r>
  <r>
    <d v="2021-05-29T00:00:00"/>
    <n v="49090"/>
    <s v="Purchase"/>
    <x v="2"/>
    <x v="32"/>
    <m/>
    <n v="585745"/>
    <m/>
    <n v="585745"/>
    <n v="948555"/>
  </r>
  <r>
    <d v="2021-05-31T00:00:00"/>
    <n v="48451"/>
    <s v="Purchase"/>
    <x v="2"/>
    <x v="33"/>
    <m/>
    <n v="180249"/>
    <m/>
    <n v="180249"/>
    <n v="1128804"/>
  </r>
  <r>
    <d v="2021-05-01T00:00:00"/>
    <m/>
    <s v="Opening"/>
    <x v="3"/>
    <x v="0"/>
    <n v="18952000"/>
    <m/>
    <m/>
    <n v="18952000"/>
    <n v="18952000"/>
  </r>
  <r>
    <d v="2021-05-04T00:00:00"/>
    <n v="811"/>
    <s v="Purchase"/>
    <x v="3"/>
    <x v="34"/>
    <m/>
    <n v="9270000"/>
    <m/>
    <n v="9270000"/>
    <n v="28222000"/>
  </r>
  <r>
    <d v="2021-05-04T00:00:00"/>
    <n v="29027"/>
    <s v="Purchase"/>
    <x v="3"/>
    <x v="35"/>
    <m/>
    <n v="4300000"/>
    <m/>
    <n v="4300000"/>
    <n v="32522000"/>
  </r>
  <r>
    <d v="2021-05-19T00:00:00"/>
    <n v="12933"/>
    <s v="Payment"/>
    <x v="3"/>
    <x v="36"/>
    <m/>
    <m/>
    <n v="2320000"/>
    <n v="-2320000"/>
    <n v="30202000"/>
  </r>
  <r>
    <d v="2021-05-19T00:00:00"/>
    <n v="12933"/>
    <s v="Payment"/>
    <x v="3"/>
    <x v="36"/>
    <m/>
    <m/>
    <n v="2150000"/>
    <n v="-2150000"/>
    <n v="28052000"/>
  </r>
  <r>
    <d v="2021-05-10T00:00:00"/>
    <m/>
    <s v="Payment"/>
    <x v="3"/>
    <x v="37"/>
    <m/>
    <m/>
    <n v="2380000"/>
    <n v="-2380000"/>
    <n v="25672000"/>
  </r>
  <r>
    <d v="2021-05-13T00:00:00"/>
    <m/>
    <s v="Payment"/>
    <x v="3"/>
    <x v="38"/>
    <m/>
    <m/>
    <n v="3090000"/>
    <n v="-3090000"/>
    <n v="22582000"/>
  </r>
  <r>
    <d v="2021-05-13T00:00:00"/>
    <m/>
    <s v="Payment"/>
    <x v="3"/>
    <x v="39"/>
    <m/>
    <m/>
    <n v="8866000"/>
    <n v="-8866000"/>
    <n v="13716000"/>
  </r>
  <r>
    <d v="2021-05-26T00:00:00"/>
    <m/>
    <s v="Purchase"/>
    <x v="3"/>
    <x v="40"/>
    <m/>
    <n v="3000000"/>
    <m/>
    <n v="3000000"/>
    <n v="16716000"/>
  </r>
  <r>
    <d v="2021-05-12T00:00:00"/>
    <m/>
    <s v="Purchase"/>
    <x v="3"/>
    <x v="41"/>
    <m/>
    <n v="24000"/>
    <m/>
    <n v="24000"/>
    <n v="16740000"/>
  </r>
  <r>
    <d v="2021-05-01T00:00:00"/>
    <m/>
    <s v="Opening"/>
    <x v="4"/>
    <x v="0"/>
    <n v="851960"/>
    <m/>
    <m/>
    <n v="851960"/>
    <n v="851960"/>
  </r>
  <r>
    <d v="2021-05-13T00:00:00"/>
    <n v="40129"/>
    <s v="Payment"/>
    <x v="4"/>
    <x v="2"/>
    <m/>
    <m/>
    <n v="852000"/>
    <n v="-852000"/>
    <n v="-40"/>
  </r>
  <r>
    <d v="2021-05-13T00:00:00"/>
    <n v="45296"/>
    <s v="Purchase"/>
    <x v="4"/>
    <x v="42"/>
    <m/>
    <n v="980400"/>
    <m/>
    <n v="980400"/>
    <n v="980360"/>
  </r>
  <r>
    <d v="2021-05-01T00:00:00"/>
    <m/>
    <s v="Opening"/>
    <x v="5"/>
    <x v="0"/>
    <n v="3917000"/>
    <m/>
    <m/>
    <n v="3917000"/>
    <n v="3917000"/>
  </r>
  <r>
    <d v="2021-05-03T00:00:00"/>
    <n v="12785"/>
    <s v="Payment"/>
    <x v="5"/>
    <x v="2"/>
    <m/>
    <m/>
    <n v="906000"/>
    <n v="-906000"/>
    <n v="3011000"/>
  </r>
  <r>
    <d v="2021-05-03T00:00:00"/>
    <n v="1457"/>
    <s v="Purchase"/>
    <x v="5"/>
    <x v="43"/>
    <m/>
    <n v="2488000"/>
    <m/>
    <n v="2488000"/>
    <n v="5499000"/>
  </r>
  <r>
    <d v="2021-05-04T00:00:00"/>
    <n v="1457"/>
    <s v="Purchase"/>
    <x v="5"/>
    <x v="43"/>
    <m/>
    <n v="2177000"/>
    <m/>
    <n v="2177000"/>
    <n v="7676000"/>
  </r>
  <r>
    <d v="2021-05-04T00:00:00"/>
    <n v="1483"/>
    <s v="Purchase"/>
    <x v="5"/>
    <x v="44"/>
    <m/>
    <n v="3700000"/>
    <m/>
    <n v="3700000"/>
    <n v="11376000"/>
  </r>
  <r>
    <d v="2021-05-10T00:00:00"/>
    <n v="12842"/>
    <s v="Payment"/>
    <x v="5"/>
    <x v="2"/>
    <m/>
    <m/>
    <n v="2000000"/>
    <n v="-2000000"/>
    <n v="9376000"/>
  </r>
  <r>
    <d v="2021-05-10T00:00:00"/>
    <m/>
    <s v="Payment"/>
    <x v="5"/>
    <x v="2"/>
    <m/>
    <m/>
    <n v="600000"/>
    <n v="-600000"/>
    <n v="8776000"/>
  </r>
  <r>
    <d v="2021-05-11T00:00:00"/>
    <n v="2899"/>
    <s v="Payment"/>
    <x v="5"/>
    <x v="45"/>
    <m/>
    <n v="570000"/>
    <m/>
    <n v="570000"/>
    <n v="9346000"/>
  </r>
  <r>
    <d v="2021-05-14T00:00:00"/>
    <n v="2199"/>
    <s v="Payment"/>
    <x v="5"/>
    <x v="2"/>
    <m/>
    <m/>
    <n v="8596000"/>
    <n v="-8596000"/>
    <n v="750000"/>
  </r>
  <r>
    <d v="2021-05-28T00:00:00"/>
    <n v="3043"/>
    <s v="Purchase"/>
    <x v="5"/>
    <x v="46"/>
    <m/>
    <n v="746000"/>
    <m/>
    <n v="746000"/>
    <n v="1496000"/>
  </r>
  <r>
    <d v="2021-05-28T00:00:00"/>
    <n v="13006"/>
    <s v="Payment"/>
    <x v="5"/>
    <x v="2"/>
    <m/>
    <m/>
    <n v="2966000"/>
    <n v="-2966000"/>
    <n v="-1470000"/>
  </r>
  <r>
    <d v="2021-05-27T00:00:00"/>
    <n v="3029"/>
    <s v="Purchase"/>
    <x v="5"/>
    <x v="43"/>
    <m/>
    <n v="1119000"/>
    <m/>
    <n v="1119000"/>
    <n v="-351000"/>
  </r>
  <r>
    <d v="2021-05-27T00:00:00"/>
    <n v="12994"/>
    <s v="Payment"/>
    <x v="5"/>
    <x v="2"/>
    <m/>
    <m/>
    <n v="1119000"/>
    <n v="-1119000"/>
    <n v="-1470000"/>
  </r>
  <r>
    <d v="2021-05-22T00:00:00"/>
    <n v="2997"/>
    <s v="Purchase"/>
    <x v="5"/>
    <x v="46"/>
    <m/>
    <n v="3197000"/>
    <m/>
    <n v="3197000"/>
    <n v="1727000"/>
  </r>
  <r>
    <d v="2021-05-22T00:00:00"/>
    <n v="12960"/>
    <s v="Payment"/>
    <x v="5"/>
    <x v="2"/>
    <m/>
    <m/>
    <n v="3197000"/>
    <n v="-3197000"/>
    <n v="-1470000"/>
  </r>
  <r>
    <d v="2021-05-18T00:00:00"/>
    <n v="2959"/>
    <s v="Purchase"/>
    <x v="5"/>
    <x v="43"/>
    <m/>
    <n v="1119000"/>
    <m/>
    <n v="1119000"/>
    <n v="-351000"/>
  </r>
  <r>
    <d v="2021-05-18T00:00:00"/>
    <n v="12910"/>
    <s v="Payment"/>
    <x v="5"/>
    <x v="2"/>
    <m/>
    <m/>
    <n v="1119000"/>
    <n v="-1119000"/>
    <n v="-1470000"/>
  </r>
  <r>
    <d v="2021-06-28T00:00:00"/>
    <n v="3043"/>
    <s v="Purchase"/>
    <x v="5"/>
    <x v="44"/>
    <m/>
    <n v="2220000"/>
    <m/>
    <n v="2220000"/>
    <n v="750000"/>
  </r>
  <r>
    <d v="2021-05-01T00:00:00"/>
    <m/>
    <s v="Opening"/>
    <x v="6"/>
    <x v="0"/>
    <n v="4027640"/>
    <m/>
    <m/>
    <n v="4027640"/>
    <n v="4027640"/>
  </r>
  <r>
    <d v="2021-05-03T00:00:00"/>
    <m/>
    <s v="Payment"/>
    <x v="6"/>
    <x v="47"/>
    <m/>
    <m/>
    <n v="1000090"/>
    <n v="-1000090"/>
    <n v="3027550"/>
  </r>
  <r>
    <d v="2021-05-03T00:00:00"/>
    <m/>
    <s v="Purchase"/>
    <x v="6"/>
    <x v="48"/>
    <m/>
    <n v="1209500"/>
    <m/>
    <n v="1209500"/>
    <n v="4237050"/>
  </r>
  <r>
    <d v="2021-05-05T00:00:00"/>
    <m/>
    <s v="Payment"/>
    <x v="6"/>
    <x v="49"/>
    <m/>
    <m/>
    <n v="71100"/>
    <n v="-71100"/>
    <n v="4165950"/>
  </r>
  <r>
    <d v="2021-05-05T00:00:00"/>
    <n v="1347"/>
    <s v="Purchase"/>
    <x v="6"/>
    <x v="50"/>
    <m/>
    <n v="238000"/>
    <m/>
    <n v="238000"/>
    <n v="4403950"/>
  </r>
  <r>
    <d v="2021-05-07T00:00:00"/>
    <n v="14725"/>
    <s v="Purchase"/>
    <x v="6"/>
    <x v="51"/>
    <m/>
    <n v="184000"/>
    <m/>
    <n v="184000"/>
    <n v="4587950"/>
  </r>
  <r>
    <d v="2021-05-07T00:00:00"/>
    <m/>
    <s v="Payment"/>
    <x v="6"/>
    <x v="2"/>
    <m/>
    <m/>
    <n v="200000"/>
    <n v="-200000"/>
    <n v="4387950"/>
  </r>
  <r>
    <d v="2021-05-10T00:00:00"/>
    <m/>
    <s v="Purchase"/>
    <x v="6"/>
    <x v="52"/>
    <m/>
    <n v="439100"/>
    <m/>
    <n v="439100"/>
    <n v="4827050"/>
  </r>
  <r>
    <d v="2021-05-11T00:00:00"/>
    <m/>
    <s v="Payment"/>
    <x v="6"/>
    <x v="2"/>
    <m/>
    <m/>
    <n v="550000"/>
    <n v="-550000"/>
    <n v="4277050"/>
  </r>
  <r>
    <d v="2021-05-13T00:00:00"/>
    <m/>
    <s v="Payment"/>
    <x v="6"/>
    <x v="2"/>
    <m/>
    <m/>
    <n v="400000"/>
    <n v="-400000"/>
    <n v="3877050"/>
  </r>
  <r>
    <d v="2021-05-13T00:00:00"/>
    <n v="5620"/>
    <s v="Purchase"/>
    <x v="6"/>
    <x v="53"/>
    <m/>
    <n v="355800"/>
    <m/>
    <n v="355800"/>
    <n v="4232850"/>
  </r>
  <r>
    <d v="2021-05-17T00:00:00"/>
    <m/>
    <s v="Payment"/>
    <x v="6"/>
    <x v="1"/>
    <m/>
    <m/>
    <n v="2000000"/>
    <n v="-2000000"/>
    <n v="2232850"/>
  </r>
  <r>
    <d v="2021-05-11T00:00:00"/>
    <m/>
    <s v="Payment"/>
    <x v="6"/>
    <x v="54"/>
    <m/>
    <m/>
    <n v="120000"/>
    <n v="-120000"/>
    <n v="2112850"/>
  </r>
  <r>
    <d v="2021-05-13T00:00:00"/>
    <m/>
    <s v="Payment"/>
    <x v="6"/>
    <x v="54"/>
    <m/>
    <m/>
    <n v="114000"/>
    <n v="-114000"/>
    <n v="1998850"/>
  </r>
  <r>
    <d v="2021-05-15T00:00:00"/>
    <m/>
    <s v="Payment"/>
    <x v="6"/>
    <x v="54"/>
    <m/>
    <m/>
    <n v="250000"/>
    <n v="-250000"/>
    <n v="1748850"/>
  </r>
  <r>
    <d v="2021-05-29T00:00:00"/>
    <m/>
    <s v="Payment"/>
    <x v="6"/>
    <x v="2"/>
    <m/>
    <m/>
    <n v="611500"/>
    <n v="-611500"/>
    <n v="1137350"/>
  </r>
  <r>
    <d v="2021-05-01T00:00:00"/>
    <m/>
    <s v="Opening"/>
    <x v="7"/>
    <x v="0"/>
    <n v="1696980"/>
    <m/>
    <m/>
    <n v="1696980"/>
    <n v="1696980"/>
  </r>
  <r>
    <d v="2021-05-03T00:00:00"/>
    <n v="7296"/>
    <s v="Purchase"/>
    <x v="7"/>
    <x v="55"/>
    <m/>
    <n v="213150"/>
    <m/>
    <n v="213150"/>
    <n v="1910130"/>
  </r>
  <r>
    <d v="2021-05-11T00:00:00"/>
    <n v="7297"/>
    <s v="Purchase"/>
    <x v="7"/>
    <x v="56"/>
    <m/>
    <n v="270500"/>
    <m/>
    <n v="270500"/>
    <n v="2180630"/>
  </r>
  <r>
    <d v="2021-05-29T00:00:00"/>
    <n v="220"/>
    <s v="Payment"/>
    <x v="7"/>
    <x v="2"/>
    <m/>
    <m/>
    <n v="1000000"/>
    <n v="-1000000"/>
    <n v="1180630"/>
  </r>
  <r>
    <d v="2021-05-29T00:00:00"/>
    <n v="2801"/>
    <s v="Purchase"/>
    <x v="7"/>
    <x v="57"/>
    <m/>
    <n v="23500"/>
    <m/>
    <n v="23500"/>
    <n v="1204130"/>
  </r>
  <r>
    <d v="2021-05-24T00:00:00"/>
    <n v="7300"/>
    <s v="Purchase"/>
    <x v="7"/>
    <x v="58"/>
    <m/>
    <n v="131500"/>
    <m/>
    <n v="131500"/>
    <n v="1335630"/>
  </r>
  <r>
    <d v="2021-05-22T00:00:00"/>
    <n v="7299"/>
    <s v="Purchase"/>
    <x v="7"/>
    <x v="59"/>
    <m/>
    <n v="270000"/>
    <m/>
    <n v="270000"/>
    <n v="1605630"/>
  </r>
  <r>
    <d v="2021-05-01T00:00:00"/>
    <m/>
    <s v="Opening"/>
    <x v="8"/>
    <x v="0"/>
    <n v="738150"/>
    <m/>
    <m/>
    <n v="738150"/>
    <n v="738150"/>
  </r>
  <r>
    <d v="2021-05-08T00:00:00"/>
    <m/>
    <s v="Payment"/>
    <x v="8"/>
    <x v="60"/>
    <m/>
    <m/>
    <n v="44250"/>
    <n v="-44250"/>
    <n v="693900"/>
  </r>
  <r>
    <d v="2021-05-13T00:00:00"/>
    <n v="194"/>
    <s v="Payment"/>
    <x v="8"/>
    <x v="2"/>
    <m/>
    <m/>
    <n v="693900"/>
    <n v="-693900"/>
    <n v="0"/>
  </r>
  <r>
    <d v="2021-05-01T00:00:00"/>
    <m/>
    <s v="Opening"/>
    <x v="9"/>
    <x v="0"/>
    <n v="0"/>
    <m/>
    <m/>
    <n v="0"/>
    <n v="0"/>
  </r>
  <r>
    <d v="2021-05-08T00:00:00"/>
    <n v="9132"/>
    <s v="Purchase"/>
    <x v="9"/>
    <x v="61"/>
    <m/>
    <n v="200000"/>
    <m/>
    <n v="200000"/>
    <n v="200000"/>
  </r>
  <r>
    <d v="2021-05-13T00:00:00"/>
    <n v="9417"/>
    <s v="Payment"/>
    <x v="9"/>
    <x v="2"/>
    <m/>
    <m/>
    <n v="200000"/>
    <n v="-200000"/>
    <n v="0"/>
  </r>
  <r>
    <d v="2021-05-19T00:00:00"/>
    <n v="9143"/>
    <s v="Purchase"/>
    <x v="9"/>
    <x v="62"/>
    <m/>
    <n v="267000"/>
    <m/>
    <n v="267000"/>
    <n v="267000"/>
  </r>
  <r>
    <d v="2021-05-24T00:00:00"/>
    <n v="9425"/>
    <s v="Payment"/>
    <x v="9"/>
    <x v="2"/>
    <m/>
    <m/>
    <n v="267000"/>
    <n v="-267000"/>
    <n v="0"/>
  </r>
  <r>
    <d v="2021-05-01T00:00:00"/>
    <m/>
    <s v="Opening"/>
    <x v="10"/>
    <x v="0"/>
    <n v="0"/>
    <m/>
    <m/>
    <n v="0"/>
    <n v="0"/>
  </r>
  <r>
    <d v="2021-05-10T00:00:00"/>
    <n v="13401"/>
    <s v="Purchase"/>
    <x v="10"/>
    <x v="63"/>
    <m/>
    <n v="535550"/>
    <m/>
    <n v="535550"/>
    <n v="535550"/>
  </r>
  <r>
    <d v="2021-05-11T00:00:00"/>
    <m/>
    <s v="Payment"/>
    <x v="10"/>
    <x v="2"/>
    <m/>
    <m/>
    <n v="500000"/>
    <n v="-500000"/>
    <n v="35550"/>
  </r>
  <r>
    <d v="2021-05-11T00:00:00"/>
    <n v="13402"/>
    <s v="Purchase"/>
    <x v="10"/>
    <x v="64"/>
    <m/>
    <n v="78500"/>
    <m/>
    <n v="78500"/>
    <n v="114050"/>
  </r>
  <r>
    <d v="2021-05-13T00:00:00"/>
    <m/>
    <s v="Payment"/>
    <x v="10"/>
    <x v="2"/>
    <m/>
    <m/>
    <n v="114050"/>
    <n v="-114050"/>
    <n v="0"/>
  </r>
  <r>
    <d v="2021-05-01T00:00:00"/>
    <m/>
    <s v="Opening"/>
    <x v="11"/>
    <x v="0"/>
    <n v="2208992"/>
    <m/>
    <m/>
    <n v="2208992"/>
    <n v="2208992"/>
  </r>
  <r>
    <d v="2021-04-28T00:00:00"/>
    <n v="5811"/>
    <s v="Purchase"/>
    <x v="12"/>
    <x v="65"/>
    <m/>
    <n v="221200"/>
    <m/>
    <n v="221200"/>
    <n v="221200"/>
  </r>
  <r>
    <d v="2021-05-01T00:00:00"/>
    <m/>
    <s v="Opening"/>
    <x v="12"/>
    <x v="0"/>
    <n v="2778210"/>
    <m/>
    <m/>
    <n v="2778210"/>
    <n v="221200"/>
  </r>
  <r>
    <d v="2021-05-03T00:00:00"/>
    <n v="5812"/>
    <s v="Purchase"/>
    <x v="12"/>
    <x v="66"/>
    <m/>
    <n v="1812000"/>
    <m/>
    <n v="1812000"/>
    <n v="2033200"/>
  </r>
  <r>
    <d v="2021-05-05T00:00:00"/>
    <m/>
    <s v="Payment"/>
    <x v="12"/>
    <x v="2"/>
    <m/>
    <m/>
    <n v="1500000"/>
    <n v="-1500000"/>
    <n v="533200"/>
  </r>
  <r>
    <d v="2021-05-13T00:00:00"/>
    <n v="13"/>
    <s v="Payment"/>
    <x v="12"/>
    <x v="2"/>
    <m/>
    <m/>
    <n v="1000000"/>
    <n v="-1000000"/>
    <n v="-466800"/>
  </r>
  <r>
    <d v="2021-05-19T00:00:00"/>
    <n v="5813"/>
    <s v="Purchase"/>
    <x v="12"/>
    <x v="67"/>
    <m/>
    <n v="2178500"/>
    <m/>
    <n v="2178500"/>
    <n v="1711700"/>
  </r>
  <r>
    <d v="2021-05-19T00:00:00"/>
    <m/>
    <s v="Payment"/>
    <x v="12"/>
    <x v="2"/>
    <m/>
    <m/>
    <n v="1500000"/>
    <n v="-1500000"/>
    <n v="211700"/>
  </r>
  <r>
    <d v="2021-05-29T00:00:00"/>
    <m/>
    <s v="Payment"/>
    <x v="12"/>
    <x v="2"/>
    <m/>
    <m/>
    <n v="1500000"/>
    <n v="-1500000"/>
    <n v="-1288300"/>
  </r>
  <r>
    <d v="2021-05-29T00:00:00"/>
    <n v="5816"/>
    <s v="Purchase"/>
    <x v="12"/>
    <x v="68"/>
    <m/>
    <n v="76600"/>
    <m/>
    <n v="76600"/>
    <n v="-1211700"/>
  </r>
  <r>
    <d v="2021-05-26T00:00:00"/>
    <n v="5815"/>
    <s v="Purchase"/>
    <x v="12"/>
    <x v="69"/>
    <m/>
    <n v="180000"/>
    <m/>
    <n v="180000"/>
    <n v="-1031700"/>
  </r>
  <r>
    <d v="2021-05-22T00:00:00"/>
    <n v="5814"/>
    <s v="Purchase"/>
    <x v="12"/>
    <x v="70"/>
    <m/>
    <n v="33000"/>
    <m/>
    <n v="33000"/>
    <n v="-998700"/>
  </r>
  <r>
    <d v="2021-05-01T00:00:00"/>
    <m/>
    <s v="Opening"/>
    <x v="13"/>
    <x v="0"/>
    <n v="2754773"/>
    <m/>
    <m/>
    <n v="2754773"/>
    <n v="2754773"/>
  </r>
  <r>
    <d v="2021-05-13T00:00:00"/>
    <n v="4370"/>
    <s v="Payment"/>
    <x v="13"/>
    <x v="2"/>
    <m/>
    <m/>
    <n v="1000000"/>
    <n v="-1000000"/>
    <n v="1754773"/>
  </r>
  <r>
    <d v="2021-05-14T00:00:00"/>
    <m/>
    <s v="Payment"/>
    <x v="13"/>
    <x v="71"/>
    <m/>
    <m/>
    <n v="147923"/>
    <n v="-147923"/>
    <n v="1606850"/>
  </r>
  <r>
    <d v="2021-05-14T00:00:00"/>
    <n v="4374"/>
    <s v="Payment"/>
    <x v="13"/>
    <x v="2"/>
    <m/>
    <m/>
    <n v="1606850"/>
    <n v="-1606850"/>
    <n v="0"/>
  </r>
  <r>
    <d v="2021-05-14T00:00:00"/>
    <n v="511"/>
    <s v="Purchase"/>
    <x v="13"/>
    <x v="72"/>
    <m/>
    <n v="999000"/>
    <m/>
    <n v="999000"/>
    <n v="999000"/>
  </r>
  <r>
    <d v="2021-05-01T00:00:00"/>
    <m/>
    <s v="Opening"/>
    <x v="14"/>
    <x v="0"/>
    <n v="5502500"/>
    <m/>
    <m/>
    <n v="5502500"/>
    <n v="5502500"/>
  </r>
  <r>
    <d v="2021-05-03T00:00:00"/>
    <n v="706"/>
    <s v="Purchase"/>
    <x v="14"/>
    <x v="73"/>
    <m/>
    <n v="840000"/>
    <m/>
    <n v="840000"/>
    <n v="6342500"/>
  </r>
  <r>
    <d v="2021-05-05T00:00:00"/>
    <n v="43340"/>
    <s v="Purchase"/>
    <x v="14"/>
    <x v="74"/>
    <m/>
    <n v="145000"/>
    <m/>
    <n v="145000"/>
    <n v="6487500"/>
  </r>
  <r>
    <d v="2021-05-07T00:00:00"/>
    <n v="43273"/>
    <s v="Purchase"/>
    <x v="14"/>
    <x v="75"/>
    <m/>
    <n v="87000"/>
    <m/>
    <n v="87000"/>
    <n v="6574500"/>
  </r>
  <r>
    <d v="2021-05-07T00:00:00"/>
    <n v="727"/>
    <s v="Payment"/>
    <x v="14"/>
    <x v="2"/>
    <m/>
    <m/>
    <n v="3000000"/>
    <n v="-3000000"/>
    <n v="3574500"/>
  </r>
  <r>
    <d v="2021-05-29T00:00:00"/>
    <n v="1057"/>
    <s v="Payment"/>
    <x v="14"/>
    <x v="2"/>
    <m/>
    <m/>
    <n v="1500000"/>
    <n v="-1500000"/>
    <n v="2074500"/>
  </r>
  <r>
    <d v="2021-05-29T00:00:00"/>
    <n v="43937"/>
    <s v="Purchase"/>
    <x v="14"/>
    <x v="74"/>
    <m/>
    <n v="140000"/>
    <m/>
    <n v="140000"/>
    <n v="2214500"/>
  </r>
  <r>
    <d v="2021-05-01T00:00:00"/>
    <m/>
    <s v="Opening"/>
    <x v="15"/>
    <x v="0"/>
    <n v="117000.01"/>
    <m/>
    <m/>
    <n v="117000.01"/>
    <n v="117000.01"/>
  </r>
  <r>
    <d v="2021-05-03T00:00:00"/>
    <n v="3053"/>
    <s v="Payment"/>
    <x v="15"/>
    <x v="2"/>
    <m/>
    <m/>
    <n v="117000"/>
    <n v="-117000"/>
    <n v="9.9999999947613105E-3"/>
  </r>
  <r>
    <d v="2021-05-01T00:00:00"/>
    <m/>
    <s v="Opening"/>
    <x v="16"/>
    <x v="0"/>
    <m/>
    <m/>
    <m/>
    <n v="0"/>
    <n v="0"/>
  </r>
  <r>
    <d v="2021-05-01T00:00:00"/>
    <m/>
    <s v="Opening"/>
    <x v="17"/>
    <x v="0"/>
    <n v="1145500"/>
    <m/>
    <m/>
    <n v="1145500"/>
    <n v="1145500"/>
  </r>
  <r>
    <d v="2021-05-24T00:00:00"/>
    <m/>
    <s v="Payment"/>
    <x v="17"/>
    <x v="2"/>
    <m/>
    <m/>
    <n v="1145500"/>
    <n v="-1145500"/>
    <n v="0"/>
  </r>
  <r>
    <d v="2021-05-01T00:00:00"/>
    <m/>
    <s v="Opening"/>
    <x v="18"/>
    <x v="0"/>
    <n v="143000"/>
    <m/>
    <m/>
    <n v="143000"/>
    <n v="143000"/>
  </r>
  <r>
    <d v="2021-05-01T00:00:00"/>
    <m/>
    <s v="Opening"/>
    <x v="19"/>
    <x v="0"/>
    <n v="1528630"/>
    <m/>
    <m/>
    <n v="1528630"/>
    <n v="1528630"/>
  </r>
  <r>
    <d v="2021-05-03T00:00:00"/>
    <n v="156211"/>
    <s v="Payment"/>
    <x v="19"/>
    <x v="2"/>
    <m/>
    <m/>
    <n v="1000000"/>
    <n v="-1000000"/>
    <n v="528630"/>
  </r>
  <r>
    <d v="2021-05-03T00:00:00"/>
    <n v="369211"/>
    <s v="Purchase"/>
    <x v="19"/>
    <x v="76"/>
    <m/>
    <n v="561858"/>
    <m/>
    <n v="561858"/>
    <n v="1090488"/>
  </r>
  <r>
    <d v="2021-05-05T00:00:00"/>
    <m/>
    <s v="Payment"/>
    <x v="19"/>
    <x v="49"/>
    <m/>
    <m/>
    <n v="30000"/>
    <n v="-30000"/>
    <n v="1060488"/>
  </r>
  <r>
    <d v="2021-05-05T00:00:00"/>
    <n v="380211"/>
    <s v="Purchase"/>
    <x v="19"/>
    <x v="77"/>
    <m/>
    <n v="94106"/>
    <m/>
    <n v="94106"/>
    <n v="1154594"/>
  </r>
  <r>
    <d v="2021-05-07T00:00:00"/>
    <n v="388211"/>
    <s v="Purchase"/>
    <x v="19"/>
    <x v="78"/>
    <m/>
    <n v="127240"/>
    <m/>
    <n v="127240"/>
    <n v="1281834"/>
  </r>
  <r>
    <d v="2021-05-11T00:00:00"/>
    <n v="404211"/>
    <s v="Purchase"/>
    <x v="19"/>
    <x v="79"/>
    <m/>
    <n v="279952"/>
    <m/>
    <n v="279952"/>
    <n v="1561786"/>
  </r>
  <r>
    <d v="2021-05-13T00:00:00"/>
    <n v="173211"/>
    <s v="Payment"/>
    <x v="19"/>
    <x v="2"/>
    <m/>
    <m/>
    <n v="1000000"/>
    <n v="-1000000"/>
    <n v="561786"/>
  </r>
  <r>
    <d v="2021-05-13T00:00:00"/>
    <n v="413211"/>
    <s v="Purchase"/>
    <x v="19"/>
    <x v="80"/>
    <m/>
    <n v="76570"/>
    <m/>
    <n v="76570"/>
    <n v="638356"/>
  </r>
  <r>
    <d v="2021-05-14T00:00:00"/>
    <n v="422211"/>
    <s v="Purchase"/>
    <x v="19"/>
    <x v="81"/>
    <m/>
    <n v="92801"/>
    <m/>
    <n v="92801"/>
    <n v="731157"/>
  </r>
  <r>
    <d v="2021-05-17T00:00:00"/>
    <n v="431211"/>
    <s v="Purchase"/>
    <x v="19"/>
    <x v="82"/>
    <m/>
    <n v="123795"/>
    <m/>
    <n v="123795"/>
    <n v="854952"/>
  </r>
  <r>
    <d v="2021-05-19T00:00:00"/>
    <n v="435211"/>
    <s v="Purchase"/>
    <x v="19"/>
    <x v="83"/>
    <m/>
    <n v="424487"/>
    <m/>
    <n v="424487"/>
    <n v="1279439"/>
  </r>
  <r>
    <d v="2021-05-14T00:00:00"/>
    <n v="423211"/>
    <s v="Purchase"/>
    <x v="19"/>
    <x v="84"/>
    <m/>
    <n v="59670"/>
    <m/>
    <n v="59670"/>
    <n v="1339109"/>
  </r>
  <r>
    <d v="2021-05-24T00:00:00"/>
    <n v="192211"/>
    <s v="Payment"/>
    <x v="19"/>
    <x v="2"/>
    <m/>
    <m/>
    <n v="1000000"/>
    <n v="-1000000"/>
    <n v="339109"/>
  </r>
  <r>
    <d v="2021-05-28T00:00:00"/>
    <n v="470211"/>
    <s v="Purchase"/>
    <x v="19"/>
    <x v="85"/>
    <m/>
    <n v="196884"/>
    <m/>
    <n v="196884"/>
    <n v="535993"/>
  </r>
  <r>
    <d v="2021-05-24T00:00:00"/>
    <n v="462211"/>
    <s v="Purchase"/>
    <x v="19"/>
    <x v="86"/>
    <m/>
    <n v="155728"/>
    <m/>
    <n v="155728"/>
    <n v="69172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A1:F123" firstHeaderRow="0" firstDataRow="1" firstDataCol="2"/>
  <pivotFields count="10">
    <pivotField compact="0" numFmtId="1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0">
        <item x="0"/>
        <item x="1"/>
        <item x="2"/>
        <item x="4"/>
        <item x="5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7">
        <item x="45"/>
        <item x="39"/>
        <item x="24"/>
        <item x="7"/>
        <item x="62"/>
        <item x="23"/>
        <item x="77"/>
        <item x="76"/>
        <item x="65"/>
        <item x="8"/>
        <item x="3"/>
        <item x="26"/>
        <item x="58"/>
        <item x="55"/>
        <item x="67"/>
        <item x="70"/>
        <item x="42"/>
        <item x="15"/>
        <item x="64"/>
        <item x="59"/>
        <item x="16"/>
        <item x="20"/>
        <item x="69"/>
        <item x="68"/>
        <item x="35"/>
        <item x="34"/>
        <item x="57"/>
        <item x="31"/>
        <item x="72"/>
        <item x="73"/>
        <item x="56"/>
        <item x="44"/>
        <item x="0"/>
        <item x="74"/>
        <item x="43"/>
        <item x="46"/>
        <item x="6"/>
        <item x="19"/>
        <item x="28"/>
        <item x="11"/>
        <item x="50"/>
        <item x="25"/>
        <item x="30"/>
        <item x="18"/>
        <item x="17"/>
        <item x="27"/>
        <item x="5"/>
        <item x="4"/>
        <item x="33"/>
        <item x="9"/>
        <item x="32"/>
        <item x="10"/>
        <item x="75"/>
        <item x="61"/>
        <item x="66"/>
        <item x="78"/>
        <item x="85"/>
        <item x="41"/>
        <item x="38"/>
        <item x="83"/>
        <item x="82"/>
        <item x="51"/>
        <item x="14"/>
        <item x="13"/>
        <item x="12"/>
        <item x="22"/>
        <item x="21"/>
        <item x="49"/>
        <item x="84"/>
        <item x="48"/>
        <item x="52"/>
        <item x="63"/>
        <item x="80"/>
        <item x="86"/>
        <item x="37"/>
        <item x="40"/>
        <item x="36"/>
        <item x="53"/>
        <item x="47"/>
        <item x="2"/>
        <item x="29"/>
        <item x="1"/>
        <item x="71"/>
        <item x="54"/>
        <item x="60"/>
        <item x="81"/>
        <item x="7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3"/>
    <field x="4"/>
  </rowFields>
  <rowItems count="122">
    <i>
      <x/>
      <x v="32"/>
    </i>
    <i r="1">
      <x v="81"/>
    </i>
    <i>
      <x v="1"/>
      <x v="32"/>
    </i>
    <i>
      <x v="2"/>
      <x v="2"/>
    </i>
    <i r="1">
      <x v="3"/>
    </i>
    <i r="1">
      <x v="5"/>
    </i>
    <i r="1">
      <x v="9"/>
    </i>
    <i r="1">
      <x v="10"/>
    </i>
    <i r="1">
      <x v="11"/>
    </i>
    <i r="1">
      <x v="17"/>
    </i>
    <i r="1">
      <x v="20"/>
    </i>
    <i r="1">
      <x v="21"/>
    </i>
    <i r="1">
      <x v="27"/>
    </i>
    <i r="1">
      <x v="32"/>
    </i>
    <i r="1">
      <x v="36"/>
    </i>
    <i r="1">
      <x v="37"/>
    </i>
    <i r="1">
      <x v="38"/>
    </i>
    <i r="1">
      <x v="39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62"/>
    </i>
    <i r="1">
      <x v="63"/>
    </i>
    <i r="1">
      <x v="64"/>
    </i>
    <i r="1">
      <x v="65"/>
    </i>
    <i r="1">
      <x v="66"/>
    </i>
    <i r="1">
      <x v="79"/>
    </i>
    <i r="1">
      <x v="80"/>
    </i>
    <i>
      <x v="3"/>
      <x v="16"/>
    </i>
    <i r="1">
      <x v="32"/>
    </i>
    <i r="1">
      <x v="79"/>
    </i>
    <i>
      <x v="4"/>
      <x/>
    </i>
    <i r="1">
      <x v="31"/>
    </i>
    <i r="1">
      <x v="32"/>
    </i>
    <i r="1">
      <x v="34"/>
    </i>
    <i r="1">
      <x v="35"/>
    </i>
    <i r="1">
      <x v="79"/>
    </i>
    <i>
      <x v="5"/>
      <x v="1"/>
    </i>
    <i r="1">
      <x v="24"/>
    </i>
    <i r="1">
      <x v="25"/>
    </i>
    <i r="1">
      <x v="32"/>
    </i>
    <i r="1">
      <x v="57"/>
    </i>
    <i r="1">
      <x v="58"/>
    </i>
    <i r="1">
      <x v="74"/>
    </i>
    <i r="1">
      <x v="75"/>
    </i>
    <i r="1">
      <x v="76"/>
    </i>
    <i>
      <x v="6"/>
      <x v="32"/>
    </i>
    <i r="1">
      <x v="40"/>
    </i>
    <i r="1">
      <x v="61"/>
    </i>
    <i r="1">
      <x v="67"/>
    </i>
    <i r="1">
      <x v="69"/>
    </i>
    <i r="1">
      <x v="70"/>
    </i>
    <i r="1">
      <x v="77"/>
    </i>
    <i r="1">
      <x v="78"/>
    </i>
    <i r="1">
      <x v="79"/>
    </i>
    <i r="1">
      <x v="81"/>
    </i>
    <i r="1">
      <x v="83"/>
    </i>
    <i>
      <x v="7"/>
      <x v="12"/>
    </i>
    <i r="1">
      <x v="13"/>
    </i>
    <i r="1">
      <x v="19"/>
    </i>
    <i r="1">
      <x v="26"/>
    </i>
    <i r="1">
      <x v="30"/>
    </i>
    <i r="1">
      <x v="32"/>
    </i>
    <i r="1">
      <x v="79"/>
    </i>
    <i>
      <x v="8"/>
      <x v="32"/>
    </i>
    <i r="1">
      <x v="79"/>
    </i>
    <i r="1">
      <x v="84"/>
    </i>
    <i>
      <x v="9"/>
      <x v="4"/>
    </i>
    <i r="1">
      <x v="32"/>
    </i>
    <i r="1">
      <x v="53"/>
    </i>
    <i r="1">
      <x v="79"/>
    </i>
    <i>
      <x v="10"/>
      <x v="18"/>
    </i>
    <i r="1">
      <x v="32"/>
    </i>
    <i r="1">
      <x v="71"/>
    </i>
    <i r="1">
      <x v="79"/>
    </i>
    <i>
      <x v="11"/>
      <x v="32"/>
    </i>
    <i>
      <x v="12"/>
      <x v="8"/>
    </i>
    <i r="1">
      <x v="14"/>
    </i>
    <i r="1">
      <x v="15"/>
    </i>
    <i r="1">
      <x v="22"/>
    </i>
    <i r="1">
      <x v="23"/>
    </i>
    <i r="1">
      <x v="32"/>
    </i>
    <i r="1">
      <x v="54"/>
    </i>
    <i r="1">
      <x v="79"/>
    </i>
    <i>
      <x v="13"/>
      <x v="28"/>
    </i>
    <i r="1">
      <x v="32"/>
    </i>
    <i r="1">
      <x v="79"/>
    </i>
    <i r="1">
      <x v="82"/>
    </i>
    <i>
      <x v="14"/>
      <x v="29"/>
    </i>
    <i r="1">
      <x v="32"/>
    </i>
    <i r="1">
      <x v="33"/>
    </i>
    <i r="1">
      <x v="52"/>
    </i>
    <i r="1">
      <x v="79"/>
    </i>
    <i>
      <x v="15"/>
      <x v="32"/>
    </i>
    <i r="1">
      <x v="79"/>
    </i>
    <i>
      <x v="16"/>
      <x v="32"/>
    </i>
    <i>
      <x v="17"/>
      <x v="32"/>
    </i>
    <i r="1">
      <x v="79"/>
    </i>
    <i>
      <x v="18"/>
      <x v="32"/>
    </i>
    <i>
      <x v="19"/>
      <x v="6"/>
    </i>
    <i r="1">
      <x v="7"/>
    </i>
    <i r="1">
      <x v="32"/>
    </i>
    <i r="1">
      <x v="55"/>
    </i>
    <i r="1">
      <x v="56"/>
    </i>
    <i r="1">
      <x v="59"/>
    </i>
    <i r="1">
      <x v="60"/>
    </i>
    <i r="1">
      <x v="67"/>
    </i>
    <i r="1">
      <x v="68"/>
    </i>
    <i r="1">
      <x v="72"/>
    </i>
    <i r="1">
      <x v="73"/>
    </i>
    <i r="1">
      <x v="79"/>
    </i>
    <i r="1">
      <x v="85"/>
    </i>
    <i r="1">
      <x v="8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 Content.Opening" fld="5" baseField="4" baseItem="81"/>
    <dataField name=" Content.Purchase" fld="6" baseField="4" baseItem="81"/>
    <dataField name=" Content.Payment" fld="7" baseField="4" baseItem="81"/>
    <dataField name=" Content.Balance" fld="8" baseField="4" baseItem="81"/>
  </dataFields>
  <formats count="31">
    <format dxfId="54">
      <pivotArea type="all" dataOnly="0" outline="0" fieldPosition="0"/>
    </format>
    <format dxfId="53">
      <pivotArea outline="0" collapsedLevelsAreSubtotals="1" fieldPosition="0"/>
    </format>
    <format dxfId="52">
      <pivotArea field="3" type="button" dataOnly="0" labelOnly="1" outline="0" axis="axisRow" fieldPosition="0"/>
    </format>
    <format dxfId="51">
      <pivotArea field="4" type="button" dataOnly="0" labelOnly="1" outline="0" axis="axisRow" fieldPosition="1"/>
    </format>
    <format dxfId="50">
      <pivotArea dataOnly="0" labelOnly="1" outline="0" fieldPosition="0">
        <references count="1">
          <reference field="3" count="0"/>
        </references>
      </pivotArea>
    </format>
    <format dxfId="49">
      <pivotArea dataOnly="0" labelOnly="1" grandRow="1" outline="0" fieldPosition="0"/>
    </format>
    <format dxfId="48">
      <pivotArea dataOnly="0" labelOnly="1" outline="0" fieldPosition="0">
        <references count="2">
          <reference field="3" count="1" selected="0">
            <x v="0"/>
          </reference>
          <reference field="4" count="2">
            <x v="32"/>
            <x v="81"/>
          </reference>
        </references>
      </pivotArea>
    </format>
    <format dxfId="47">
      <pivotArea dataOnly="0" labelOnly="1" outline="0" fieldPosition="0">
        <references count="2">
          <reference field="3" count="1" selected="0">
            <x v="1"/>
          </reference>
          <reference field="4" count="1">
            <x v="32"/>
          </reference>
        </references>
      </pivotArea>
    </format>
    <format dxfId="46">
      <pivotArea dataOnly="0" labelOnly="1" outline="0" fieldPosition="0">
        <references count="2">
          <reference field="3" count="1" selected="0">
            <x v="2"/>
          </reference>
          <reference field="4" count="33">
            <x v="2"/>
            <x v="3"/>
            <x v="5"/>
            <x v="9"/>
            <x v="10"/>
            <x v="11"/>
            <x v="17"/>
            <x v="20"/>
            <x v="21"/>
            <x v="27"/>
            <x v="32"/>
            <x v="36"/>
            <x v="37"/>
            <x v="38"/>
            <x v="39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62"/>
            <x v="63"/>
            <x v="64"/>
            <x v="65"/>
            <x v="66"/>
            <x v="79"/>
            <x v="80"/>
          </reference>
        </references>
      </pivotArea>
    </format>
    <format dxfId="45">
      <pivotArea dataOnly="0" labelOnly="1" outline="0" fieldPosition="0">
        <references count="2">
          <reference field="3" count="1" selected="0">
            <x v="3"/>
          </reference>
          <reference field="4" count="3">
            <x v="16"/>
            <x v="32"/>
            <x v="79"/>
          </reference>
        </references>
      </pivotArea>
    </format>
    <format dxfId="44">
      <pivotArea dataOnly="0" labelOnly="1" outline="0" fieldPosition="0">
        <references count="2">
          <reference field="3" count="1" selected="0">
            <x v="4"/>
          </reference>
          <reference field="4" count="6">
            <x v="0"/>
            <x v="31"/>
            <x v="32"/>
            <x v="34"/>
            <x v="35"/>
            <x v="79"/>
          </reference>
        </references>
      </pivotArea>
    </format>
    <format dxfId="43">
      <pivotArea dataOnly="0" labelOnly="1" outline="0" fieldPosition="0">
        <references count="2">
          <reference field="3" count="1" selected="0">
            <x v="5"/>
          </reference>
          <reference field="4" count="9">
            <x v="1"/>
            <x v="24"/>
            <x v="25"/>
            <x v="32"/>
            <x v="57"/>
            <x v="58"/>
            <x v="74"/>
            <x v="75"/>
            <x v="76"/>
          </reference>
        </references>
      </pivotArea>
    </format>
    <format dxfId="42">
      <pivotArea dataOnly="0" labelOnly="1" outline="0" fieldPosition="0">
        <references count="2">
          <reference field="3" count="1" selected="0">
            <x v="6"/>
          </reference>
          <reference field="4" count="11">
            <x v="32"/>
            <x v="40"/>
            <x v="61"/>
            <x v="67"/>
            <x v="69"/>
            <x v="70"/>
            <x v="77"/>
            <x v="78"/>
            <x v="79"/>
            <x v="81"/>
            <x v="83"/>
          </reference>
        </references>
      </pivotArea>
    </format>
    <format dxfId="41">
      <pivotArea dataOnly="0" labelOnly="1" outline="0" fieldPosition="0">
        <references count="2">
          <reference field="3" count="1" selected="0">
            <x v="7"/>
          </reference>
          <reference field="4" count="7">
            <x v="12"/>
            <x v="13"/>
            <x v="19"/>
            <x v="26"/>
            <x v="30"/>
            <x v="32"/>
            <x v="79"/>
          </reference>
        </references>
      </pivotArea>
    </format>
    <format dxfId="40">
      <pivotArea dataOnly="0" labelOnly="1" outline="0" fieldPosition="0">
        <references count="2">
          <reference field="3" count="1" selected="0">
            <x v="8"/>
          </reference>
          <reference field="4" count="3">
            <x v="32"/>
            <x v="79"/>
            <x v="84"/>
          </reference>
        </references>
      </pivotArea>
    </format>
    <format dxfId="39">
      <pivotArea dataOnly="0" labelOnly="1" outline="0" fieldPosition="0">
        <references count="2">
          <reference field="3" count="1" selected="0">
            <x v="9"/>
          </reference>
          <reference field="4" count="4">
            <x v="4"/>
            <x v="32"/>
            <x v="53"/>
            <x v="79"/>
          </reference>
        </references>
      </pivotArea>
    </format>
    <format dxfId="38">
      <pivotArea dataOnly="0" labelOnly="1" outline="0" fieldPosition="0">
        <references count="2">
          <reference field="3" count="1" selected="0">
            <x v="10"/>
          </reference>
          <reference field="4" count="4">
            <x v="18"/>
            <x v="32"/>
            <x v="71"/>
            <x v="79"/>
          </reference>
        </references>
      </pivotArea>
    </format>
    <format dxfId="37">
      <pivotArea dataOnly="0" labelOnly="1" outline="0" fieldPosition="0">
        <references count="2">
          <reference field="3" count="1" selected="0">
            <x v="11"/>
          </reference>
          <reference field="4" count="1">
            <x v="32"/>
          </reference>
        </references>
      </pivotArea>
    </format>
    <format dxfId="36">
      <pivotArea dataOnly="0" labelOnly="1" outline="0" fieldPosition="0">
        <references count="2">
          <reference field="3" count="1" selected="0">
            <x v="12"/>
          </reference>
          <reference field="4" count="8">
            <x v="8"/>
            <x v="14"/>
            <x v="15"/>
            <x v="22"/>
            <x v="23"/>
            <x v="32"/>
            <x v="54"/>
            <x v="79"/>
          </reference>
        </references>
      </pivotArea>
    </format>
    <format dxfId="35">
      <pivotArea dataOnly="0" labelOnly="1" outline="0" fieldPosition="0">
        <references count="2">
          <reference field="3" count="1" selected="0">
            <x v="13"/>
          </reference>
          <reference field="4" count="4">
            <x v="28"/>
            <x v="32"/>
            <x v="79"/>
            <x v="82"/>
          </reference>
        </references>
      </pivotArea>
    </format>
    <format dxfId="34">
      <pivotArea dataOnly="0" labelOnly="1" outline="0" fieldPosition="0">
        <references count="2">
          <reference field="3" count="1" selected="0">
            <x v="14"/>
          </reference>
          <reference field="4" count="5">
            <x v="29"/>
            <x v="32"/>
            <x v="33"/>
            <x v="52"/>
            <x v="79"/>
          </reference>
        </references>
      </pivotArea>
    </format>
    <format dxfId="33">
      <pivotArea dataOnly="0" labelOnly="1" outline="0" fieldPosition="0">
        <references count="2">
          <reference field="3" count="1" selected="0">
            <x v="15"/>
          </reference>
          <reference field="4" count="2">
            <x v="32"/>
            <x v="79"/>
          </reference>
        </references>
      </pivotArea>
    </format>
    <format dxfId="32">
      <pivotArea dataOnly="0" labelOnly="1" outline="0" fieldPosition="0">
        <references count="2">
          <reference field="3" count="1" selected="0">
            <x v="16"/>
          </reference>
          <reference field="4" count="1">
            <x v="32"/>
          </reference>
        </references>
      </pivotArea>
    </format>
    <format dxfId="31">
      <pivotArea dataOnly="0" labelOnly="1" outline="0" fieldPosition="0">
        <references count="2">
          <reference field="3" count="1" selected="0">
            <x v="17"/>
          </reference>
          <reference field="4" count="2">
            <x v="32"/>
            <x v="79"/>
          </reference>
        </references>
      </pivotArea>
    </format>
    <format dxfId="30">
      <pivotArea dataOnly="0" labelOnly="1" outline="0" fieldPosition="0">
        <references count="2">
          <reference field="3" count="1" selected="0">
            <x v="18"/>
          </reference>
          <reference field="4" count="1">
            <x v="32"/>
          </reference>
        </references>
      </pivotArea>
    </format>
    <format dxfId="29">
      <pivotArea dataOnly="0" labelOnly="1" outline="0" fieldPosition="0">
        <references count="2">
          <reference field="3" count="1" selected="0">
            <x v="19"/>
          </reference>
          <reference field="4" count="14">
            <x v="6"/>
            <x v="7"/>
            <x v="32"/>
            <x v="55"/>
            <x v="56"/>
            <x v="59"/>
            <x v="60"/>
            <x v="67"/>
            <x v="68"/>
            <x v="72"/>
            <x v="73"/>
            <x v="79"/>
            <x v="85"/>
            <x v="86"/>
          </reference>
        </references>
      </pivotArea>
    </format>
    <format dxfId="28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27">
      <pivotArea outline="0" collapsedLevelsAreSubtotals="1" fieldPosition="0"/>
    </format>
    <format dxfId="26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25">
      <pivotArea outline="0" collapsedLevelsAreSubtotals="1" fieldPosition="0"/>
    </format>
    <format dxfId="24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queryTables/queryTable1.xml><?xml version="1.0" encoding="utf-8"?>
<queryTable xmlns="http://schemas.openxmlformats.org/spreadsheetml/2006/main" name="ExternalData_1" connectionId="2" autoFormatId="0" applyNumberFormats="0" applyBorderFormats="0" applyFontFormats="1" applyPatternFormats="1" applyAlignmentFormats="0" applyWidthHeightFormats="0">
  <queryTableRefresh preserveSortFilterLayout="0" nextId="11">
    <queryTableFields count="10">
      <queryTableField id="1" name="Content.Date" tableColumnId="11"/>
      <queryTableField id="2" name="Content.Vr.No" tableColumnId="12"/>
      <queryTableField id="3" name="Content.A/C Tipe" tableColumnId="13"/>
      <queryTableField id="4" name="Content.Supplier Name" tableColumnId="14"/>
      <queryTableField id="5" name="Content.Item Name" tableColumnId="15"/>
      <queryTableField id="6" name="Content.Opening" tableColumnId="16"/>
      <queryTableField id="7" name="Content.Purchase" tableColumnId="17"/>
      <queryTableField id="8" name="Content.Payment" tableColumnId="18"/>
      <queryTableField id="9" name="Content.Balance" tableColumnId="19"/>
      <queryTableField id="10" name="Content.Total Balance" tableColumnId="20"/>
    </queryTableFields>
  </queryTableRefresh>
</queryTable>
</file>

<file path=xl/queryTables/queryTable2.xml><?xml version="1.0" encoding="utf-8"?>
<queryTable xmlns="http://schemas.openxmlformats.org/spreadsheetml/2006/main" name="ExternalData_1" connectionId="1" autoFormatId="16" applyNumberFormats="0" applyBorderFormats="0" applyFontFormats="0" applyPatternFormats="0" applyAlignmentFormats="0" applyWidthHeightFormats="0">
  <queryTableRefresh nextId="11">
    <queryTableFields count="10">
      <queryTableField id="1" name="Content.Date" tableColumnId="11"/>
      <queryTableField id="2" name="Content.Vr.No" tableColumnId="2"/>
      <queryTableField id="3" name="Content.A/C Tipe" tableColumnId="3"/>
      <queryTableField id="4" name="Content.Supplier Name" tableColumnId="4"/>
      <queryTableField id="5" name="Content.Item Name" tableColumnId="5"/>
      <queryTableField id="6" name="Content.Opening" tableColumnId="6"/>
      <queryTableField id="7" name="Content.Purchase" tableColumnId="7"/>
      <queryTableField id="8" name="Content.Payment" tableColumnId="8"/>
      <queryTableField id="9" name="Content.Balance" tableColumnId="9"/>
      <queryTableField id="10" name="Name" tableColumnId="10"/>
    </queryTableFields>
  </queryTableRefresh>
</queryTable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Armax" displayName="Armax" ref="A1:J3" totalsRowShown="0" headerRowDxfId="303" dataDxfId="302">
  <autoFilter ref="A1:J3"/>
  <tableColumns count="10">
    <tableColumn id="1" name="Date" dataDxfId="301"/>
    <tableColumn id="2" name="Vr.No" dataDxfId="300"/>
    <tableColumn id="3" name="A/C Tipe" dataDxfId="299"/>
    <tableColumn id="4" name="Supplier Name" dataDxfId="298"/>
    <tableColumn id="5" name="Item Name" dataDxfId="297"/>
    <tableColumn id="6" name="Opening" dataDxfId="296" dataCellStyle="Comma"/>
    <tableColumn id="7" name="Purchase" dataDxfId="295" dataCellStyle="Comma"/>
    <tableColumn id="8" name="Payment" dataDxfId="294" dataCellStyle="Comma"/>
    <tableColumn id="9" name="Balance" dataDxfId="293" dataCellStyle="Comma">
      <calculatedColumnFormula>Armax[[#This Row],[Opening]]+Armax[[#This Row],[Purchase]]-Armax[[#This Row],[Payment]]</calculatedColumnFormula>
    </tableColumn>
    <tableColumn id="10" name="Total Balance" dataDxfId="292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id="2" name="AAM" displayName="AAM" ref="A1:J2" totalsRowShown="0" headerRowDxfId="291" dataDxfId="290">
  <autoFilter ref="A1:J2"/>
  <tableColumns count="10">
    <tableColumn id="1" name="Date" dataDxfId="289"/>
    <tableColumn id="2" name="Vr.No" dataDxfId="288"/>
    <tableColumn id="3" name="A/C Tipe" dataDxfId="287"/>
    <tableColumn id="4" name="Supplier Name" dataDxfId="286"/>
    <tableColumn id="5" name="Item Name" dataDxfId="285"/>
    <tableColumn id="6" name="Opening" dataDxfId="284" dataCellStyle="Comma"/>
    <tableColumn id="7" name="Purchase" dataDxfId="283" dataCellStyle="Comma"/>
    <tableColumn id="8" name="Payment" dataDxfId="282" dataCellStyle="Comma"/>
    <tableColumn id="9" name="Balance" dataDxfId="281" dataCellStyle="Comma">
      <calculatedColumnFormula>AAM[[#This Row],[Opening]]+AAM[[#This Row],[Purchase]]-AAM[[#This Row],[Payment]]</calculatedColumnFormula>
    </tableColumn>
    <tableColumn id="10" name="Total Balance" dataDxfId="280">
      <calculatedColumnFormula>AAM[Balance]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id="3" name="AMT" displayName="AMT" ref="A1:J41" totalsRowShown="0" headerRowDxfId="279" dataDxfId="278">
  <autoFilter ref="A1:J41"/>
  <sortState ref="A2:J41">
    <sortCondition ref="A1:A41"/>
  </sortState>
  <tableColumns count="10">
    <tableColumn id="1" name="Date" dataDxfId="277"/>
    <tableColumn id="2" name="Vr.No" dataDxfId="276"/>
    <tableColumn id="3" name="A/C Tipe" dataDxfId="275"/>
    <tableColumn id="4" name="Supplier Name" dataDxfId="274"/>
    <tableColumn id="5" name="Item Name" dataDxfId="273"/>
    <tableColumn id="6" name="Opening" dataDxfId="272" dataCellStyle="Comma"/>
    <tableColumn id="7" name="Purchase" dataDxfId="271" dataCellStyle="Comma"/>
    <tableColumn id="8" name="Payment" dataDxfId="270" dataCellStyle="Comma"/>
    <tableColumn id="9" name="Balance" dataDxfId="269" dataCellStyle="Comma">
      <calculatedColumnFormula>AMT[[#This Row],[Opening]]+AMT[[#This Row],[Purchase]]-AMT[[#This Row],[Payment]]</calculatedColumnFormula>
    </tableColumn>
    <tableColumn id="10" name="Total Balance" dataDxfId="268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id="5" name="GBS_TRI" displayName="GBS_TRI" ref="A1:J11" totalsRowShown="0" headerRowDxfId="267" dataDxfId="266">
  <autoFilter ref="A1:J11"/>
  <tableColumns count="10">
    <tableColumn id="1" name="Date" dataDxfId="265"/>
    <tableColumn id="2" name="Vr.No" dataDxfId="264"/>
    <tableColumn id="3" name="A/C Tipe" dataDxfId="263"/>
    <tableColumn id="4" name="Supplier Name" dataDxfId="262"/>
    <tableColumn id="5" name="Item Name" dataDxfId="261"/>
    <tableColumn id="6" name="Opening" dataDxfId="260" dataCellStyle="Comma"/>
    <tableColumn id="7" name="Purchase" dataDxfId="259" dataCellStyle="Comma"/>
    <tableColumn id="8" name="Payment" dataDxfId="258" dataCellStyle="Comma"/>
    <tableColumn id="9" name="Balance" dataDxfId="257" dataCellStyle="Comma">
      <calculatedColumnFormula>GBS_TRI[[#This Row],[Opening]]+GBS_TRI[[#This Row],[Purchase]]-GBS_TRI[[#This Row],[Payment]]</calculatedColumnFormula>
    </tableColumn>
    <tableColumn id="10" name="Total Balance" dataDxfId="256"/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id="4" name="DTL" displayName="DTL" ref="A1:J4" totalsRowShown="0" headerRowDxfId="255" dataDxfId="254">
  <autoFilter ref="A1:J4"/>
  <tableColumns count="10">
    <tableColumn id="1" name="Date" dataDxfId="253"/>
    <tableColumn id="2" name="Vr.No" dataDxfId="252"/>
    <tableColumn id="3" name="A/C Tipe" dataDxfId="251"/>
    <tableColumn id="4" name="Supplier Name" dataDxfId="250"/>
    <tableColumn id="5" name="Item Name" dataDxfId="249"/>
    <tableColumn id="6" name="Opening" dataDxfId="248" dataCellStyle="Comma"/>
    <tableColumn id="7" name="Purchase" dataDxfId="247" dataCellStyle="Comma"/>
    <tableColumn id="8" name="Payment" dataDxfId="246" dataCellStyle="Comma"/>
    <tableColumn id="9" name="Balance" dataDxfId="245" dataCellStyle="Comma">
      <calculatedColumnFormula>DTL[[#This Row],[Opening]]+DTL[[#This Row],[Purchase]]-DTL[[#This Row],[Payment]]</calculatedColumnFormula>
    </tableColumn>
    <tableColumn id="10" name="Total Balance" dataDxfId="244"/>
  </tableColumns>
  <tableStyleInfo name="TableStyleMedium8" showFirstColumn="0" showLastColumn="0" showRowStripes="1" showColumnStripes="0"/>
</table>
</file>

<file path=xl/tables/table6.xml><?xml version="1.0" encoding="utf-8"?>
<table xmlns="http://schemas.openxmlformats.org/spreadsheetml/2006/main" id="6" name="GBS_ENG" displayName="GBS_ENG" ref="A1:J19" totalsRowShown="0" headerRowDxfId="243" dataDxfId="242">
  <autoFilter ref="A1:J19"/>
  <sortState ref="A2:I9">
    <sortCondition ref="A1:A9"/>
  </sortState>
  <tableColumns count="10">
    <tableColumn id="1" name="Date" dataDxfId="241"/>
    <tableColumn id="2" name="Vr.No" dataDxfId="240"/>
    <tableColumn id="3" name="A/C Tipe" dataDxfId="239"/>
    <tableColumn id="4" name="Supplier Name" dataDxfId="238"/>
    <tableColumn id="5" name="Item Name" dataDxfId="237"/>
    <tableColumn id="6" name="Opening" dataDxfId="236" dataCellStyle="Comma"/>
    <tableColumn id="7" name="Purchase" dataDxfId="235" dataCellStyle="Comma"/>
    <tableColumn id="8" name="Payment" dataDxfId="234" dataCellStyle="Comma"/>
    <tableColumn id="9" name="Balance" dataDxfId="233" dataCellStyle="Comma">
      <calculatedColumnFormula>GBS_ENG[[#This Row],[Opening]]+GBS_ENG[[#This Row],[Purchase]]-GBS_ENG[[#This Row],[Payment]]</calculatedColumnFormula>
    </tableColumn>
    <tableColumn id="10" name="Total Balance" dataDxfId="232"/>
  </tableColumns>
  <tableStyleInfo name="TableStyleMedium8" showFirstColumn="0" showLastColumn="0" showRowStripes="1" showColumnStripes="0"/>
</table>
</file>

<file path=xl/tables/table7.xml><?xml version="1.0" encoding="utf-8"?>
<table xmlns="http://schemas.openxmlformats.org/spreadsheetml/2006/main" id="8" name="GBS_SP" displayName="GBS_SP" ref="A1:J17" totalsRowShown="0" headerRowDxfId="231" dataDxfId="230">
  <autoFilter ref="A1:J17"/>
  <sortState ref="A2:I14">
    <sortCondition ref="A1:A14"/>
  </sortState>
  <tableColumns count="10">
    <tableColumn id="1" name="Date" dataDxfId="229"/>
    <tableColumn id="2" name="Vr.No" dataDxfId="228"/>
    <tableColumn id="3" name="A/C Tipe" dataDxfId="227"/>
    <tableColumn id="4" name="Supplier Name" dataDxfId="226"/>
    <tableColumn id="5" name="Item Name" dataDxfId="225"/>
    <tableColumn id="6" name="Opening" dataDxfId="224" dataCellStyle="Comma"/>
    <tableColumn id="7" name="Purchase" dataDxfId="223" dataCellStyle="Comma"/>
    <tableColumn id="8" name="Payment" dataDxfId="222" dataCellStyle="Comma"/>
    <tableColumn id="9" name="Balance" dataDxfId="221" dataCellStyle="Comma">
      <calculatedColumnFormula>GBS_SP[[#This Row],[Opening]]+GBS_SP[[#This Row],[Purchase]]-GBS_SP[[#This Row],[Payment]]</calculatedColumnFormula>
    </tableColumn>
    <tableColumn id="10" name="Total Balance" dataDxfId="220"/>
  </tableColumns>
  <tableStyleInfo name="TableStyleMedium8" showFirstColumn="0" showLastColumn="0" showRowStripes="1" showColumnStripes="0"/>
</table>
</file>

<file path=xl/tables/table8.xml><?xml version="1.0" encoding="utf-8"?>
<table xmlns="http://schemas.openxmlformats.org/spreadsheetml/2006/main" id="9" name="KWH" displayName="KWH" ref="A1:J8" totalsRowShown="0" headerRowDxfId="219" dataDxfId="218">
  <autoFilter ref="A1:J8"/>
  <tableColumns count="10">
    <tableColumn id="1" name="Date" dataDxfId="217"/>
    <tableColumn id="2" name="Vr.No" dataDxfId="216"/>
    <tableColumn id="3" name="A/C Tipe" dataDxfId="215"/>
    <tableColumn id="4" name="Supplier Name" dataDxfId="214"/>
    <tableColumn id="5" name="Item Name" dataDxfId="213"/>
    <tableColumn id="6" name="Opening" dataDxfId="212" dataCellStyle="Comma"/>
    <tableColumn id="7" name="Purchase" dataDxfId="211" dataCellStyle="Comma"/>
    <tableColumn id="8" name="Payment" dataDxfId="210" dataCellStyle="Comma"/>
    <tableColumn id="9" name="Balance" dataDxfId="209" dataCellStyle="Comma">
      <calculatedColumnFormula>KWH[[#This Row],[Opening]]+KWH[[#This Row],[Purchase]]-KWH[[#This Row],[Payment]]</calculatedColumnFormula>
    </tableColumn>
    <tableColumn id="10" name="Total Balance" dataDxfId="208"/>
  </tableColumns>
  <tableStyleInfo name="TableStyleMedium8" showFirstColumn="0" showLastColumn="0" showRowStripes="1" showColumnStripes="0"/>
</table>
</file>

<file path=xl/tables/table9.xml><?xml version="1.0" encoding="utf-8"?>
<table xmlns="http://schemas.openxmlformats.org/spreadsheetml/2006/main" id="10" name="KYINNLOON" displayName="KYINNLOON" ref="A1:J4" totalsRowShown="0" headerRowDxfId="207" dataDxfId="206">
  <autoFilter ref="A1:J4"/>
  <tableColumns count="10">
    <tableColumn id="1" name="Date" dataDxfId="205"/>
    <tableColumn id="2" name="Vr.No" dataDxfId="204"/>
    <tableColumn id="3" name="A/C Tipe" dataDxfId="203"/>
    <tableColumn id="4" name="Supplier Name" dataDxfId="202"/>
    <tableColumn id="5" name="Item Name" dataDxfId="201"/>
    <tableColumn id="6" name="Opening" dataDxfId="200" dataCellStyle="Comma"/>
    <tableColumn id="7" name="Purchase" dataDxfId="199" dataCellStyle="Comma"/>
    <tableColumn id="8" name="Payment" dataDxfId="198" dataCellStyle="Comma"/>
    <tableColumn id="9" name="Balance" dataDxfId="197" dataCellStyle="Comma">
      <calculatedColumnFormula>KYINNLOON[[#This Row],[Opening]]+KYINNLOON[[#This Row],[Purchase]]-KYINNLOON[[#This Row],[Payment]]</calculatedColumnFormula>
    </tableColumn>
    <tableColumn id="10" name="Total Balance" dataDxfId="196">
      <calculatedColumnFormula>KYINNLOON[[#This Row],[Balance]]</calculatedColumnFormula>
    </tableColumn>
  </tableColumns>
  <tableStyleInfo name="TableStyleMedium8" showFirstColumn="0" showLastColumn="0" showRowStripes="1" showColumnStripes="0"/>
</table>
</file>

<file path=xl/tables/table10.xml><?xml version="1.0" encoding="utf-8"?>
<table xmlns="http://schemas.openxmlformats.org/spreadsheetml/2006/main" id="11" name="MOB" displayName="MOB" ref="A1:J6" totalsRowShown="0" headerRowDxfId="195" dataDxfId="194">
  <autoFilter ref="A1:J6"/>
  <tableColumns count="10">
    <tableColumn id="1" name="Date" dataDxfId="193"/>
    <tableColumn id="2" name="Vr.No" dataDxfId="192"/>
    <tableColumn id="3" name="A/C Tipe" dataDxfId="191"/>
    <tableColumn id="4" name="Supplier Name" dataDxfId="190"/>
    <tableColumn id="5" name="Item Name" dataDxfId="189"/>
    <tableColumn id="6" name="Opening" dataDxfId="188" dataCellStyle="Comma"/>
    <tableColumn id="7" name="Purchase" dataDxfId="187" dataCellStyle="Comma"/>
    <tableColumn id="8" name="Payment" dataDxfId="186" dataCellStyle="Comma"/>
    <tableColumn id="9" name="Balance" dataDxfId="185" dataCellStyle="Comma">
      <calculatedColumnFormula>MOB[[#This Row],[Opening]]+MOB[[#This Row],[Purchase]]-MOB[[#This Row],[Payment]]</calculatedColumnFormula>
    </tableColumn>
    <tableColumn id="10" name="Total Balance" dataDxfId="184">
      <calculatedColumnFormula>MOB[[#This Row],[Balance]]</calculatedColumnFormula>
    </tableColumn>
  </tableColumns>
  <tableStyleInfo name="TableStyleMedium8" showFirstColumn="0" showLastColumn="0" showRowStripes="1" showColumnStripes="0"/>
</table>
</file>

<file path=xl/tables/table11.xml><?xml version="1.0" encoding="utf-8"?>
<table xmlns="http://schemas.openxmlformats.org/spreadsheetml/2006/main" id="12" name="MAYWD" displayName="MAYWD" ref="A1:J6" totalsRowShown="0" headerRowDxfId="183" dataDxfId="182">
  <autoFilter ref="A1:J6"/>
  <sortState ref="A2:I7">
    <sortCondition ref="A1:A7"/>
  </sortState>
  <tableColumns count="10">
    <tableColumn id="1" name="Date" dataDxfId="181"/>
    <tableColumn id="2" name="Vr.No" dataDxfId="180"/>
    <tableColumn id="3" name="A/C Tipe" dataDxfId="179"/>
    <tableColumn id="4" name="Supplier Name" dataDxfId="178"/>
    <tableColumn id="5" name="Item Name" dataDxfId="177"/>
    <tableColumn id="6" name="Opening" dataDxfId="176" dataCellStyle="Comma"/>
    <tableColumn id="7" name="Purchase" dataDxfId="175" dataCellStyle="Comma"/>
    <tableColumn id="8" name="Payment" dataDxfId="174" dataCellStyle="Comma"/>
    <tableColumn id="9" name="Balance" dataDxfId="173" dataCellStyle="Comma">
      <calculatedColumnFormula>MAYWD[[#This Row],[Opening]]+MAYWD[[#This Row],[Purchase]]-MAYWD[[#This Row],[Payment]]</calculatedColumnFormula>
    </tableColumn>
    <tableColumn id="10" name="Total Balance" dataDxfId="172">
      <calculatedColumnFormula>MAYWD[[#This Row],[Balance]]</calculatedColumnFormula>
    </tableColumn>
  </tableColumns>
  <tableStyleInfo name="TableStyleMedium8" showFirstColumn="0" showLastColumn="0" showRowStripes="1" showColumnStripes="0"/>
</table>
</file>

<file path=xl/tables/table12.xml><?xml version="1.0" encoding="utf-8"?>
<table xmlns="http://schemas.openxmlformats.org/spreadsheetml/2006/main" id="13" name="MDYSP" displayName="MDYSP" ref="A1:J2" totalsRowShown="0" headerRowDxfId="171" dataDxfId="170">
  <autoFilter ref="A1:J2"/>
  <tableColumns count="10">
    <tableColumn id="1" name="Date" dataDxfId="169"/>
    <tableColumn id="2" name="Vr.No" dataDxfId="168"/>
    <tableColumn id="3" name="A/C Tipe" dataDxfId="167"/>
    <tableColumn id="4" name="Supplier Name" dataDxfId="166"/>
    <tableColumn id="5" name="Item Name" dataDxfId="165"/>
    <tableColumn id="6" name="Opening" dataDxfId="164" dataCellStyle="Comma"/>
    <tableColumn id="7" name="Purchase" dataDxfId="163" dataCellStyle="Comma"/>
    <tableColumn id="8" name="Payment" dataDxfId="162" dataCellStyle="Comma"/>
    <tableColumn id="9" name="Balance" dataDxfId="161" dataCellStyle="Comma">
      <calculatedColumnFormula>MDYSP[[#This Row],[Opening]]+MDYSP[[#This Row],[Purchase]]-MDYSP[[#This Row],[Payment]]</calculatedColumnFormula>
    </tableColumn>
    <tableColumn id="10" name="Total Balance" dataDxfId="160">
      <calculatedColumnFormula>MDYSP[Balance]</calculatedColumnFormula>
    </tableColumn>
  </tableColumns>
  <tableStyleInfo name="TableStyleMedium8" showFirstColumn="0" showLastColumn="0" showRowStripes="1" showColumnStripes="0"/>
</table>
</file>

<file path=xl/tables/table13.xml><?xml version="1.0" encoding="utf-8"?>
<table xmlns="http://schemas.openxmlformats.org/spreadsheetml/2006/main" id="14" name="MTAY" displayName="MTAY" ref="A1:J12" totalsRowShown="0" headerRowDxfId="159" dataDxfId="158">
  <autoFilter ref="A1:J12"/>
  <sortState ref="A2:I10">
    <sortCondition ref="A1:A10"/>
  </sortState>
  <tableColumns count="10">
    <tableColumn id="1" name="Date" dataDxfId="157"/>
    <tableColumn id="2" name="Vr.No" dataDxfId="156"/>
    <tableColumn id="3" name="A/C Tipe" dataDxfId="155"/>
    <tableColumn id="4" name="Supplier Name" dataDxfId="154"/>
    <tableColumn id="5" name="Item Name" dataDxfId="153"/>
    <tableColumn id="6" name="Opening" dataDxfId="152" dataCellStyle="Comma"/>
    <tableColumn id="7" name="Purchase" dataDxfId="151" dataCellStyle="Comma"/>
    <tableColumn id="8" name="Payment" dataDxfId="150" dataCellStyle="Comma"/>
    <tableColumn id="9" name="Balance" dataDxfId="149" dataCellStyle="Comma">
      <calculatedColumnFormula>MTAY[[#This Row],[Opening]]+MTAY[[#This Row],[Purchase]]-MTAY[[#This Row],[Payment]]</calculatedColumnFormula>
    </tableColumn>
    <tableColumn id="10" name="Total Balance" dataDxfId="148"/>
  </tableColumns>
  <tableStyleInfo name="TableStyleMedium8" showFirstColumn="0" showLastColumn="0" showRowStripes="1" showColumnStripes="0"/>
</table>
</file>

<file path=xl/tables/table14.xml><?xml version="1.0" encoding="utf-8"?>
<table xmlns="http://schemas.openxmlformats.org/spreadsheetml/2006/main" id="15" name="NASA" displayName="NASA" ref="A1:J6" totalsRowShown="0" headerRowDxfId="147" dataDxfId="146">
  <autoFilter ref="A1:J6"/>
  <sortState ref="A2:I5">
    <sortCondition ref="A1:A5"/>
  </sortState>
  <tableColumns count="10">
    <tableColumn id="1" name="Date" dataDxfId="145"/>
    <tableColumn id="2" name="Vr.No" dataDxfId="144"/>
    <tableColumn id="3" name="A/C Tipe" dataDxfId="143"/>
    <tableColumn id="4" name="Supplier Name" dataDxfId="142"/>
    <tableColumn id="5" name="Item Name" dataDxfId="141"/>
    <tableColumn id="6" name="Opening" dataDxfId="140" dataCellStyle="Comma"/>
    <tableColumn id="7" name="Purchase" dataDxfId="139" dataCellStyle="Comma"/>
    <tableColumn id="8" name="Payment" dataDxfId="138" dataCellStyle="Comma"/>
    <tableColumn id="9" name="Balance" dataDxfId="137" dataCellStyle="Comma">
      <calculatedColumnFormula>NASA[[#This Row],[Opening]]+NASA[[#This Row],[Purchase]]-NASA[[#This Row],[Payment]]</calculatedColumnFormula>
    </tableColumn>
    <tableColumn id="10" name="Total Balance" dataDxfId="136"/>
  </tableColumns>
  <tableStyleInfo name="TableStyleMedium8" showFirstColumn="0" showLastColumn="0" showRowStripes="1" showColumnStripes="0"/>
</table>
</file>

<file path=xl/tables/table15.xml><?xml version="1.0" encoding="utf-8"?>
<table xmlns="http://schemas.openxmlformats.org/spreadsheetml/2006/main" id="16" name="STL" displayName="STL" ref="A1:J8" totalsRowShown="0" headerRowDxfId="135" dataDxfId="134">
  <autoFilter ref="A1:J8"/>
  <sortState ref="A2:I10">
    <sortCondition ref="A1:A10"/>
  </sortState>
  <tableColumns count="10">
    <tableColumn id="1" name="Date" dataDxfId="133"/>
    <tableColumn id="2" name="Vr.No" dataDxfId="132"/>
    <tableColumn id="3" name="A/C Tipe" dataDxfId="131"/>
    <tableColumn id="4" name="Supplier Name" dataDxfId="130"/>
    <tableColumn id="5" name="Item Name" dataDxfId="129"/>
    <tableColumn id="6" name="Opening" dataDxfId="128" dataCellStyle="Comma"/>
    <tableColumn id="7" name="Purchase" dataDxfId="127" dataCellStyle="Comma"/>
    <tableColumn id="8" name="Payment" dataDxfId="126" dataCellStyle="Comma"/>
    <tableColumn id="9" name="Balance" dataDxfId="125" dataCellStyle="Comma">
      <calculatedColumnFormula>STL[[#This Row],[Opening]]+STL[[#This Row],[Purchase]]-STL[[#This Row],[Payment]]</calculatedColumnFormula>
    </tableColumn>
    <tableColumn id="10" name="Total Balance" dataDxfId="124"/>
  </tableColumns>
  <tableStyleInfo name="TableStyleMedium8" showFirstColumn="0" showLastColumn="0" showRowStripes="1" showColumnStripes="0"/>
</table>
</file>

<file path=xl/tables/table16.xml><?xml version="1.0" encoding="utf-8"?>
<table xmlns="http://schemas.openxmlformats.org/spreadsheetml/2006/main" id="17" name="SYS" displayName="SYS" ref="A1:J3" totalsRowShown="0" headerRowDxfId="123" dataDxfId="122">
  <autoFilter ref="A1:J3"/>
  <tableColumns count="10">
    <tableColumn id="1" name="Date" dataDxfId="121"/>
    <tableColumn id="2" name="Vr.No" dataDxfId="120"/>
    <tableColumn id="3" name="A/C Tipe" dataDxfId="119"/>
    <tableColumn id="4" name="Supplier Name" dataDxfId="118"/>
    <tableColumn id="5" name="Item Name" dataDxfId="117"/>
    <tableColumn id="6" name="Opening" dataDxfId="116" dataCellStyle="Comma"/>
    <tableColumn id="7" name="Purchase" dataDxfId="115" dataCellStyle="Comma"/>
    <tableColumn id="8" name="Payment" dataDxfId="114" dataCellStyle="Comma"/>
    <tableColumn id="9" name="Balance" dataDxfId="113" dataCellStyle="Comma">
      <calculatedColumnFormula>SYS[[#This Row],[Opening]]+SYS[[#This Row],[Purchase]]-SYS[[#This Row],[Payment]]</calculatedColumnFormula>
    </tableColumn>
    <tableColumn id="10" name="Total Balance" dataDxfId="112" dataCellStyle="Comma"/>
  </tableColumns>
  <tableStyleInfo name="TableStyleMedium8" showFirstColumn="0" showLastColumn="0" showRowStripes="1" showColumnStripes="0"/>
</table>
</file>

<file path=xl/tables/table17.xml><?xml version="1.0" encoding="utf-8"?>
<table xmlns="http://schemas.openxmlformats.org/spreadsheetml/2006/main" id="18" name="SUPER" displayName="SUPER" ref="A1:J2" totalsRowShown="0" headerRowDxfId="111" dataDxfId="110">
  <autoFilter ref="A1:J2"/>
  <tableColumns count="10">
    <tableColumn id="1" name="Date" dataDxfId="109"/>
    <tableColumn id="2" name="Vr.No" dataDxfId="108"/>
    <tableColumn id="3" name="A/C Tipe" dataDxfId="107"/>
    <tableColumn id="4" name="Supplier Name" dataDxfId="106"/>
    <tableColumn id="5" name="Item Name" dataDxfId="105"/>
    <tableColumn id="6" name="Opening" dataDxfId="104" dataCellStyle="Comma"/>
    <tableColumn id="7" name="Purchase" dataDxfId="103" dataCellStyle="Comma"/>
    <tableColumn id="8" name="Payment" dataDxfId="102" dataCellStyle="Comma"/>
    <tableColumn id="9" name="Balance" dataDxfId="101" dataCellStyle="Comma">
      <calculatedColumnFormula>SUPER[Opening]+SUPER[Purchase]-SUPER[Payment]</calculatedColumnFormula>
    </tableColumn>
    <tableColumn id="10" name="Total Balance" dataDxfId="100">
      <calculatedColumnFormula>SUPER[Balance]</calculatedColumnFormula>
    </tableColumn>
  </tableColumns>
  <tableStyleInfo name="TableStyleMedium8" showFirstColumn="0" showLastColumn="0" showRowStripes="1" showColumnStripes="0"/>
</table>
</file>

<file path=xl/tables/table18.xml><?xml version="1.0" encoding="utf-8"?>
<table xmlns="http://schemas.openxmlformats.org/spreadsheetml/2006/main" id="19" name="TSLW" displayName="TSLW" ref="A1:J3" totalsRowShown="0" headerRowDxfId="99" dataDxfId="98">
  <autoFilter ref="A1:J3"/>
  <tableColumns count="10">
    <tableColumn id="1" name="Date" dataDxfId="97"/>
    <tableColumn id="2" name="Vr.No" dataDxfId="96"/>
    <tableColumn id="3" name="A/C Tipe" dataDxfId="95"/>
    <tableColumn id="4" name="Supplier Name" dataDxfId="94"/>
    <tableColumn id="5" name="Item Name" dataDxfId="93"/>
    <tableColumn id="6" name="Opening" dataDxfId="92" dataCellStyle="Comma"/>
    <tableColumn id="7" name="Purchase" dataDxfId="91" dataCellStyle="Comma"/>
    <tableColumn id="8" name="Payment" dataDxfId="90" dataCellStyle="Comma"/>
    <tableColumn id="9" name="Balance" dataDxfId="89" dataCellStyle="Comma">
      <calculatedColumnFormula>TSLW[[#This Row],[Opening]]+TSLW[[#This Row],[Purchase]]-TSLW[[#This Row],[Payment]]</calculatedColumnFormula>
    </tableColumn>
    <tableColumn id="10" name="Total Balance" dataDxfId="88" dataCellStyle="Comma"/>
  </tableColumns>
  <tableStyleInfo name="TableStyleMedium8" showFirstColumn="0" showLastColumn="0" showRowStripes="1" showColumnStripes="0"/>
</table>
</file>

<file path=xl/tables/table19.xml><?xml version="1.0" encoding="utf-8"?>
<table xmlns="http://schemas.openxmlformats.org/spreadsheetml/2006/main" id="20" name="UMG" displayName="UMG" ref="A1:J2" totalsRowShown="0" headerRowDxfId="87" dataDxfId="86">
  <autoFilter ref="A1:J2"/>
  <tableColumns count="10">
    <tableColumn id="1" name="Date" dataDxfId="85"/>
    <tableColumn id="2" name="Vr.No" dataDxfId="84"/>
    <tableColumn id="3" name="A/C Tipe" dataDxfId="83"/>
    <tableColumn id="4" name="Supplier Name" dataDxfId="82"/>
    <tableColumn id="5" name="Item Name" dataDxfId="81"/>
    <tableColumn id="6" name="Opening" dataDxfId="80" dataCellStyle="Comma"/>
    <tableColumn id="7" name="Purchase" dataDxfId="79" dataCellStyle="Comma"/>
    <tableColumn id="8" name="Payment" dataDxfId="78" dataCellStyle="Comma"/>
    <tableColumn id="9" name="Balance" dataDxfId="77" dataCellStyle="Comma">
      <calculatedColumnFormula>UMG[[#This Row],[Opening]]+UMG[[#This Row],[Purchase]]-UMG[[#This Row],[Payment]]</calculatedColumnFormula>
    </tableColumn>
    <tableColumn id="10" name="Total Balance" dataDxfId="76">
      <calculatedColumnFormula>UMG[Balance]</calculatedColumnFormula>
    </tableColumn>
  </tableColumns>
  <tableStyleInfo name="TableStyleMedium8" showFirstColumn="0" showLastColumn="0" showRowStripes="1" showColumnStripes="0"/>
</table>
</file>

<file path=xl/tables/table20.xml><?xml version="1.0" encoding="utf-8"?>
<table xmlns="http://schemas.openxmlformats.org/spreadsheetml/2006/main" id="21" name="ZAN" displayName="ZAN" ref="A1:J17" totalsRowShown="0" headerRowDxfId="75" dataDxfId="74">
  <autoFilter ref="A1:J17"/>
  <sortState ref="A2:I6">
    <sortCondition ref="A1:A6"/>
  </sortState>
  <tableColumns count="10">
    <tableColumn id="1" name="Date" dataDxfId="73"/>
    <tableColumn id="2" name="Vr.No" dataDxfId="72"/>
    <tableColumn id="3" name="A/C Tipe" dataDxfId="71"/>
    <tableColumn id="4" name="Supplier Name" dataDxfId="70"/>
    <tableColumn id="5" name="Item Name" dataDxfId="69"/>
    <tableColumn id="6" name="Opening" dataDxfId="68" dataCellStyle="Comma"/>
    <tableColumn id="7" name="Purchase" dataDxfId="67" dataCellStyle="Comma"/>
    <tableColumn id="8" name="Payment" dataDxfId="66" dataCellStyle="Comma"/>
    <tableColumn id="9" name="Balance" dataDxfId="65" dataCellStyle="Comma">
      <calculatedColumnFormula>ZAN[[#This Row],[Opening]]+ZAN[[#This Row],[Purchase]]-ZAN[[#This Row],[Payment]]</calculatedColumnFormula>
    </tableColumn>
    <tableColumn id="10" name="Total Balance" dataDxfId="64"/>
  </tableColumns>
  <tableStyleInfo name="TableStyleMedium8" showFirstColumn="0" showLastColumn="0" showRowStripes="1" showColumnStripes="0"/>
</table>
</file>

<file path=xl/tables/table21.xml><?xml version="1.0" encoding="utf-8"?>
<table xmlns="http://schemas.openxmlformats.org/spreadsheetml/2006/main" id="24" name="ZAN_25" displayName="ZAN_25" ref="A1:F21" totalsRowShown="0" headerRowDxfId="63" dataDxfId="62" tableBorderDxfId="61">
  <tableColumns count="6">
    <tableColumn id="10" name="No" dataDxfId="60"/>
    <tableColumn id="4" name="Supplier Name" dataDxfId="59"/>
    <tableColumn id="6" name="Opening" dataDxfId="58" dataCellStyle="Comma">
      <calculatedColumnFormula>SUMIF('Data Combine'!$D:$D,$B2,'Data Combine'!F:F)</calculatedColumnFormula>
    </tableColumn>
    <tableColumn id="7" name="Purchase" dataDxfId="57" dataCellStyle="Comma">
      <calculatedColumnFormula>SUMIF('Data Combine'!$D:$D,$B2,'Data Combine'!G:G)</calculatedColumnFormula>
    </tableColumn>
    <tableColumn id="8" name="Payment" dataDxfId="56" dataCellStyle="Comma">
      <calculatedColumnFormula>SUMIF('Data Combine'!$D:$D,$B2,'Data Combine'!H:H)</calculatedColumnFormula>
    </tableColumn>
    <tableColumn id="9" name="Balance" dataDxfId="55" dataCellStyle="Comma">
      <calculatedColumnFormula>SUMIF('Data Combine'!$D:$D,$B2,'Data Combine'!I:I)</calculatedColumnFormula>
    </tableColumn>
  </tableColumns>
  <tableStyleInfo name="TableStyleMedium1" showFirstColumn="0" showLastColumn="0" showRowStripes="1" showColumnStripes="0"/>
</table>
</file>

<file path=xl/tables/table22.xml><?xml version="1.0" encoding="utf-8"?>
<table xmlns="http://schemas.openxmlformats.org/spreadsheetml/2006/main" id="7" name="Data_Combine" displayName="Data_Combine" ref="A1:J157" tableType="queryTable" totalsRowShown="0" headerRowDxfId="23" dataDxfId="22">
  <autoFilter ref="A1:J157"/>
  <tableColumns count="10">
    <tableColumn id="11" uniqueName="11" name="Content.Date" queryTableFieldId="1" dataDxfId="21"/>
    <tableColumn id="12" uniqueName="12" name="Content.Vr.No" queryTableFieldId="2" dataDxfId="20"/>
    <tableColumn id="13" uniqueName="13" name="Content.A/C Tipe" queryTableFieldId="3" dataDxfId="19"/>
    <tableColumn id="14" uniqueName="14" name="Content.Supplier Name" queryTableFieldId="4" dataDxfId="18"/>
    <tableColumn id="15" uniqueName="15" name="Content.Item Name" queryTableFieldId="5" dataDxfId="17"/>
    <tableColumn id="16" uniqueName="16" name="Content.Opening" queryTableFieldId="6" dataDxfId="16" dataCellStyle="Comma"/>
    <tableColumn id="17" uniqueName="17" name="Content.Purchase" queryTableFieldId="7" dataDxfId="15" dataCellStyle="Comma"/>
    <tableColumn id="18" uniqueName="18" name="Content.Payment" queryTableFieldId="8" dataDxfId="14" dataCellStyle="Comma"/>
    <tableColumn id="19" uniqueName="19" name="Content.Balance" queryTableFieldId="9" dataDxfId="13" dataCellStyle="Comma"/>
    <tableColumn id="20" uniqueName="20" name="Content.Total Balance" queryTableFieldId="10" dataDxfId="12" dataCellStyle="Comma"/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id="22" name="Query1_2" displayName="Query1_2" ref="A1:J15" tableType="queryTable" totalsRowShown="0" headerRowDxfId="11" dataDxfId="10">
  <autoFilter ref="A1:J15"/>
  <sortState ref="A2:J15">
    <sortCondition ref="A1:A15"/>
  </sortState>
  <tableColumns count="10">
    <tableColumn id="11" uniqueName="11" name="Content.Date" queryTableFieldId="1" dataDxfId="9"/>
    <tableColumn id="2" uniqueName="2" name="Content.Vr.No" queryTableFieldId="2" dataDxfId="8"/>
    <tableColumn id="3" uniqueName="3" name="Content.A/C Tipe" queryTableFieldId="3" dataDxfId="7"/>
    <tableColumn id="4" uniqueName="4" name="Content.Supplier Name" queryTableFieldId="4" dataDxfId="6"/>
    <tableColumn id="5" uniqueName="5" name="Content.Item Name" queryTableFieldId="5" dataDxfId="5"/>
    <tableColumn id="6" uniqueName="6" name="Content.Opening" queryTableFieldId="6" dataDxfId="4"/>
    <tableColumn id="7" uniqueName="7" name="Content.Purchase" queryTableFieldId="7" dataDxfId="3"/>
    <tableColumn id="8" uniqueName="8" name="Content.Payment" queryTableFieldId="8" dataDxfId="2"/>
    <tableColumn id="9" uniqueName="9" name="Content.Balance" queryTableFieldId="9" dataDxfId="1"/>
    <tableColumn id="10" uniqueName="10" name="Name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1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28"/>
  <sheetViews>
    <sheetView topLeftCell="A22" workbookViewId="0">
      <selection activeCell="B29" sqref="B29"/>
    </sheetView>
  </sheetViews>
  <sheetFormatPr defaultColWidth="9.28515625" defaultRowHeight="21.75" x14ac:dyDescent="0.55000000000000004"/>
  <cols>
    <col min="1" max="1" width="9.28515625" style="1"/>
    <col min="2" max="2" width="15.5703125" style="7" bestFit="1" customWidth="1"/>
    <col min="3" max="3" width="26.28515625" style="1" customWidth="1"/>
    <col min="4" max="5" width="9.28515625" style="1"/>
    <col min="6" max="6" width="23.5703125" style="1" bestFit="1" customWidth="1"/>
    <col min="7" max="16384" width="9.28515625" style="1"/>
  </cols>
  <sheetData>
    <row r="2" spans="2:8" x14ac:dyDescent="0.55000000000000004">
      <c r="B2" s="2" t="s">
        <v>2</v>
      </c>
      <c r="C2" s="2" t="s">
        <v>3</v>
      </c>
      <c r="F2" s="2" t="s">
        <v>10</v>
      </c>
      <c r="H2" s="10" t="s">
        <v>70</v>
      </c>
    </row>
    <row r="3" spans="2:8" x14ac:dyDescent="0.55000000000000004">
      <c r="B3" s="3" t="s">
        <v>11</v>
      </c>
      <c r="C3" s="4" t="s">
        <v>12</v>
      </c>
      <c r="F3" s="5" t="s">
        <v>13</v>
      </c>
      <c r="H3" s="6" t="s">
        <v>5</v>
      </c>
    </row>
    <row r="4" spans="2:8" x14ac:dyDescent="0.55000000000000004">
      <c r="B4" s="3" t="s">
        <v>14</v>
      </c>
      <c r="C4" s="4" t="s">
        <v>15</v>
      </c>
      <c r="F4" s="5" t="s">
        <v>16</v>
      </c>
      <c r="H4" s="6" t="s">
        <v>6</v>
      </c>
    </row>
    <row r="5" spans="2:8" x14ac:dyDescent="0.55000000000000004">
      <c r="B5" s="3" t="s">
        <v>17</v>
      </c>
      <c r="C5" s="4" t="s">
        <v>18</v>
      </c>
      <c r="F5" s="5" t="s">
        <v>19</v>
      </c>
      <c r="H5" s="6" t="s">
        <v>7</v>
      </c>
    </row>
    <row r="6" spans="2:8" x14ac:dyDescent="0.55000000000000004">
      <c r="B6" s="3" t="s">
        <v>20</v>
      </c>
      <c r="C6" s="4" t="s">
        <v>21</v>
      </c>
      <c r="F6" s="5" t="s">
        <v>22</v>
      </c>
    </row>
    <row r="7" spans="2:8" x14ac:dyDescent="0.55000000000000004">
      <c r="B7" s="3" t="s">
        <v>23</v>
      </c>
      <c r="C7" s="4" t="s">
        <v>68</v>
      </c>
      <c r="F7" s="5" t="s">
        <v>24</v>
      </c>
    </row>
    <row r="8" spans="2:8" x14ac:dyDescent="0.55000000000000004">
      <c r="B8" s="3" t="s">
        <v>25</v>
      </c>
      <c r="C8" s="4" t="s">
        <v>26</v>
      </c>
      <c r="F8" s="5" t="s">
        <v>27</v>
      </c>
    </row>
    <row r="9" spans="2:8" x14ac:dyDescent="0.55000000000000004">
      <c r="B9" s="3" t="s">
        <v>28</v>
      </c>
      <c r="C9" s="4" t="s">
        <v>29</v>
      </c>
      <c r="F9" s="5" t="s">
        <v>30</v>
      </c>
    </row>
    <row r="10" spans="2:8" x14ac:dyDescent="0.55000000000000004">
      <c r="B10" s="3" t="s">
        <v>31</v>
      </c>
      <c r="C10" s="4" t="s">
        <v>32</v>
      </c>
      <c r="F10" s="5" t="s">
        <v>33</v>
      </c>
    </row>
    <row r="11" spans="2:8" x14ac:dyDescent="0.55000000000000004">
      <c r="B11" s="3" t="s">
        <v>34</v>
      </c>
      <c r="C11" s="4" t="s">
        <v>35</v>
      </c>
      <c r="F11" s="5" t="s">
        <v>36</v>
      </c>
    </row>
    <row r="12" spans="2:8" x14ac:dyDescent="0.55000000000000004">
      <c r="B12" s="3" t="s">
        <v>37</v>
      </c>
      <c r="C12" s="4" t="s">
        <v>38</v>
      </c>
    </row>
    <row r="13" spans="2:8" x14ac:dyDescent="0.55000000000000004">
      <c r="B13" s="3" t="s">
        <v>39</v>
      </c>
      <c r="C13" s="4" t="s">
        <v>40</v>
      </c>
    </row>
    <row r="14" spans="2:8" x14ac:dyDescent="0.55000000000000004">
      <c r="B14" s="3" t="s">
        <v>41</v>
      </c>
      <c r="C14" s="4" t="s">
        <v>42</v>
      </c>
    </row>
    <row r="15" spans="2:8" x14ac:dyDescent="0.55000000000000004">
      <c r="B15" s="3" t="s">
        <v>43</v>
      </c>
      <c r="C15" s="4" t="s">
        <v>44</v>
      </c>
    </row>
    <row r="16" spans="2:8" x14ac:dyDescent="0.55000000000000004">
      <c r="B16" s="3" t="s">
        <v>45</v>
      </c>
      <c r="C16" s="4" t="s">
        <v>46</v>
      </c>
    </row>
    <row r="17" spans="2:3" x14ac:dyDescent="0.55000000000000004">
      <c r="B17" s="3" t="s">
        <v>47</v>
      </c>
      <c r="C17" s="4" t="s">
        <v>48</v>
      </c>
    </row>
    <row r="18" spans="2:3" x14ac:dyDescent="0.55000000000000004">
      <c r="B18" s="3" t="s">
        <v>49</v>
      </c>
      <c r="C18" s="4" t="s">
        <v>50</v>
      </c>
    </row>
    <row r="19" spans="2:3" x14ac:dyDescent="0.55000000000000004">
      <c r="B19" s="3" t="s">
        <v>51</v>
      </c>
      <c r="C19" s="4" t="s">
        <v>52</v>
      </c>
    </row>
    <row r="20" spans="2:3" x14ac:dyDescent="0.55000000000000004">
      <c r="B20" s="3" t="s">
        <v>53</v>
      </c>
      <c r="C20" s="4" t="s">
        <v>54</v>
      </c>
    </row>
    <row r="21" spans="2:3" x14ac:dyDescent="0.55000000000000004">
      <c r="B21" s="3" t="s">
        <v>55</v>
      </c>
      <c r="C21" s="4" t="s">
        <v>56</v>
      </c>
    </row>
    <row r="22" spans="2:3" x14ac:dyDescent="0.55000000000000004">
      <c r="B22" s="3" t="s">
        <v>57</v>
      </c>
      <c r="C22" s="6" t="s">
        <v>58</v>
      </c>
    </row>
    <row r="23" spans="2:3" x14ac:dyDescent="0.55000000000000004">
      <c r="B23" s="3" t="s">
        <v>59</v>
      </c>
      <c r="C23" s="6" t="s">
        <v>60</v>
      </c>
    </row>
    <row r="24" spans="2:3" x14ac:dyDescent="0.55000000000000004">
      <c r="B24" s="3" t="s">
        <v>61</v>
      </c>
      <c r="C24" s="6" t="s">
        <v>9</v>
      </c>
    </row>
    <row r="25" spans="2:3" x14ac:dyDescent="0.55000000000000004">
      <c r="B25" s="3" t="s">
        <v>62</v>
      </c>
      <c r="C25" s="6" t="s">
        <v>63</v>
      </c>
    </row>
    <row r="26" spans="2:3" x14ac:dyDescent="0.55000000000000004">
      <c r="B26" s="3" t="s">
        <v>64</v>
      </c>
      <c r="C26" s="6" t="s">
        <v>65</v>
      </c>
    </row>
    <row r="27" spans="2:3" x14ac:dyDescent="0.55000000000000004">
      <c r="B27" s="3" t="s">
        <v>66</v>
      </c>
      <c r="C27" s="6" t="s">
        <v>67</v>
      </c>
    </row>
    <row r="28" spans="2:3" x14ac:dyDescent="0.55000000000000004">
      <c r="B28" s="3" t="s">
        <v>72</v>
      </c>
      <c r="C28" s="4" t="s">
        <v>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3"/>
  <sheetViews>
    <sheetView zoomScale="90" zoomScaleNormal="90" workbookViewId="0">
      <selection activeCell="J4" sqref="J4"/>
    </sheetView>
  </sheetViews>
  <sheetFormatPr defaultColWidth="8.7109375" defaultRowHeight="21.75" x14ac:dyDescent="0.55000000000000004"/>
  <cols>
    <col min="1" max="1" width="14.7109375" style="13" customWidth="1"/>
    <col min="2" max="2" width="12.28515625" style="74" customWidth="1"/>
    <col min="3" max="3" width="12.28515625" style="1" customWidth="1"/>
    <col min="4" max="4" width="16.85546875" style="1" customWidth="1"/>
    <col min="5" max="5" width="21.140625" style="7" customWidth="1"/>
    <col min="6" max="6" width="17.5703125" style="8" bestFit="1" customWidth="1"/>
    <col min="7" max="7" width="18.42578125" style="8" customWidth="1"/>
    <col min="8" max="8" width="19.42578125" style="9" customWidth="1"/>
    <col min="9" max="9" width="12" style="9" bestFit="1" customWidth="1"/>
    <col min="10" max="10" width="19.42578125" style="9" customWidth="1"/>
    <col min="11" max="11" width="10.85546875" style="9" bestFit="1" customWidth="1"/>
    <col min="12" max="16384" width="8.7109375" style="1"/>
  </cols>
  <sheetData>
    <row r="1" spans="1:11" s="7" customFormat="1" ht="26.25" customHeight="1" x14ac:dyDescent="0.55000000000000004">
      <c r="A1" s="13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100" t="s">
        <v>182</v>
      </c>
      <c r="K1" s="8"/>
    </row>
    <row r="2" spans="1:11" ht="24" customHeight="1" x14ac:dyDescent="0.55000000000000004">
      <c r="A2" s="18">
        <v>44317</v>
      </c>
      <c r="B2" s="58"/>
      <c r="C2" s="16" t="s">
        <v>5</v>
      </c>
      <c r="D2" s="1" t="s">
        <v>9</v>
      </c>
      <c r="E2" s="7" t="s">
        <v>5</v>
      </c>
      <c r="F2" s="19">
        <v>630620</v>
      </c>
      <c r="G2" s="19"/>
      <c r="H2" s="17"/>
      <c r="I2" s="17">
        <f>Armax[[#This Row],[Opening]]+Armax[[#This Row],[Purchase]]-Armax[[#This Row],[Payment]]</f>
        <v>630620</v>
      </c>
      <c r="J2" s="100">
        <f>Armax[[#This Row],[Balance]]</f>
        <v>630620</v>
      </c>
    </row>
    <row r="3" spans="1:11" x14ac:dyDescent="0.55000000000000004">
      <c r="A3" s="18">
        <v>44343</v>
      </c>
      <c r="B3" s="58">
        <v>269</v>
      </c>
      <c r="C3" s="16" t="s">
        <v>7</v>
      </c>
      <c r="D3" s="1" t="s">
        <v>9</v>
      </c>
      <c r="E3" s="46" t="s">
        <v>153</v>
      </c>
      <c r="F3" s="19"/>
      <c r="G3" s="19"/>
      <c r="H3" s="17">
        <v>40480</v>
      </c>
      <c r="I3" s="17">
        <f>Armax[[#This Row],[Opening]]+Armax[[#This Row],[Purchase]]-Armax[[#This Row],[Payment]]</f>
        <v>-40480</v>
      </c>
      <c r="J3" s="100">
        <f>J2+Armax[[#This Row],[Purchase]]-Armax[[#This Row],[Payment]]</f>
        <v>590140</v>
      </c>
    </row>
    <row r="4" spans="1:11" x14ac:dyDescent="0.55000000000000004">
      <c r="A4" s="101"/>
      <c r="B4" s="102"/>
      <c r="C4" s="103"/>
      <c r="D4" s="104"/>
      <c r="E4" s="105"/>
      <c r="F4" s="100"/>
      <c r="G4" s="100"/>
      <c r="I4" s="106"/>
      <c r="J4" s="100"/>
    </row>
    <row r="5" spans="1:11" x14ac:dyDescent="0.55000000000000004">
      <c r="A5" s="59"/>
      <c r="B5" s="73"/>
      <c r="C5" s="60"/>
      <c r="D5" s="61"/>
      <c r="E5" s="65"/>
      <c r="F5" s="63"/>
      <c r="G5" s="63"/>
      <c r="H5" s="64"/>
      <c r="I5" s="64"/>
    </row>
    <row r="6" spans="1:11" x14ac:dyDescent="0.55000000000000004">
      <c r="A6" s="18"/>
      <c r="B6" s="58"/>
      <c r="C6" s="16"/>
      <c r="E6" s="14"/>
      <c r="F6" s="19"/>
      <c r="G6" s="19"/>
      <c r="H6" s="17"/>
      <c r="I6" s="17"/>
    </row>
    <row r="7" spans="1:11" x14ac:dyDescent="0.55000000000000004">
      <c r="A7" s="18"/>
      <c r="B7" s="58"/>
      <c r="C7" s="16"/>
      <c r="E7" s="14"/>
      <c r="F7" s="19"/>
      <c r="G7" s="19"/>
      <c r="H7" s="17"/>
      <c r="I7" s="17"/>
    </row>
    <row r="8" spans="1:11" x14ac:dyDescent="0.55000000000000004">
      <c r="A8" s="18"/>
      <c r="B8" s="58"/>
      <c r="C8" s="16"/>
      <c r="E8" s="14"/>
      <c r="F8" s="19"/>
      <c r="G8" s="19"/>
      <c r="H8" s="17"/>
      <c r="I8" s="17"/>
    </row>
    <row r="9" spans="1:11" x14ac:dyDescent="0.55000000000000004">
      <c r="A9" s="18"/>
      <c r="B9" s="58"/>
      <c r="C9" s="16"/>
      <c r="E9" s="14"/>
      <c r="F9" s="19"/>
      <c r="G9" s="19"/>
      <c r="H9" s="17"/>
      <c r="I9" s="17"/>
    </row>
    <row r="10" spans="1:11" x14ac:dyDescent="0.55000000000000004">
      <c r="A10" s="18"/>
      <c r="B10" s="58"/>
      <c r="C10" s="16"/>
      <c r="E10" s="14"/>
      <c r="F10" s="19"/>
      <c r="G10" s="19"/>
      <c r="H10" s="17"/>
      <c r="I10" s="17"/>
    </row>
    <row r="11" spans="1:11" x14ac:dyDescent="0.55000000000000004">
      <c r="A11" s="18"/>
      <c r="B11" s="58"/>
      <c r="C11" s="16"/>
      <c r="E11" s="14"/>
      <c r="F11" s="19"/>
      <c r="G11" s="19"/>
      <c r="H11" s="17"/>
      <c r="I11" s="17"/>
    </row>
    <row r="12" spans="1:11" x14ac:dyDescent="0.55000000000000004">
      <c r="C12" s="11"/>
    </row>
    <row r="13" spans="1:11" x14ac:dyDescent="0.55000000000000004">
      <c r="C13" s="11"/>
    </row>
  </sheetData>
  <pageMargins left="0.7" right="0.7" top="0.75" bottom="0.75" header="0.3" footer="0.3"/>
  <pageSetup paperSize="9" orientation="portrait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C2:C29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1"/>
  <sheetViews>
    <sheetView workbookViewId="0">
      <selection activeCell="I3" sqref="I3"/>
    </sheetView>
  </sheetViews>
  <sheetFormatPr defaultColWidth="8.7109375" defaultRowHeight="21.75" x14ac:dyDescent="0.55000000000000004"/>
  <cols>
    <col min="1" max="1" width="14.7109375" style="13" customWidth="1"/>
    <col min="2" max="2" width="12.28515625" style="11" customWidth="1"/>
    <col min="3" max="3" width="12.28515625" style="1" customWidth="1"/>
    <col min="4" max="4" width="21.140625" style="1" bestFit="1" customWidth="1"/>
    <col min="5" max="5" width="16.42578125" style="7" bestFit="1" customWidth="1"/>
    <col min="6" max="6" width="17.5703125" style="8" bestFit="1" customWidth="1"/>
    <col min="7" max="7" width="18.42578125" style="8" customWidth="1"/>
    <col min="8" max="8" width="12.5703125" style="9" customWidth="1"/>
    <col min="9" max="9" width="12" style="9" bestFit="1" customWidth="1"/>
    <col min="10" max="10" width="18.710937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100" t="s">
        <v>182</v>
      </c>
      <c r="K1" s="8"/>
    </row>
    <row r="2" spans="1:11" x14ac:dyDescent="0.55000000000000004">
      <c r="A2" s="18">
        <v>44317</v>
      </c>
      <c r="B2" s="16"/>
      <c r="C2" s="16" t="s">
        <v>5</v>
      </c>
      <c r="D2" s="1" t="s">
        <v>15</v>
      </c>
      <c r="E2" s="7" t="s">
        <v>5</v>
      </c>
      <c r="F2" s="19">
        <v>0</v>
      </c>
      <c r="G2" s="19"/>
      <c r="H2" s="17"/>
      <c r="I2" s="17">
        <f>AAM[[#This Row],[Opening]]+AAM[[#This Row],[Purchase]]-AAM[[#This Row],[Payment]]</f>
        <v>0</v>
      </c>
      <c r="J2" s="100">
        <f>AAM[Balance]</f>
        <v>0</v>
      </c>
    </row>
    <row r="3" spans="1:11" x14ac:dyDescent="0.55000000000000004">
      <c r="A3" s="18"/>
      <c r="B3" s="16"/>
      <c r="C3" s="16"/>
      <c r="F3" s="19"/>
      <c r="G3" s="19"/>
      <c r="H3" s="17"/>
      <c r="I3" s="17"/>
    </row>
    <row r="4" spans="1:11" x14ac:dyDescent="0.55000000000000004">
      <c r="A4" s="18"/>
      <c r="B4" s="16"/>
      <c r="C4" s="16"/>
      <c r="F4" s="19"/>
      <c r="G4" s="19"/>
      <c r="H4" s="17"/>
      <c r="I4" s="17"/>
    </row>
    <row r="5" spans="1:11" x14ac:dyDescent="0.55000000000000004">
      <c r="A5" s="18"/>
      <c r="B5" s="16"/>
      <c r="C5" s="16"/>
      <c r="F5" s="19"/>
      <c r="G5" s="19"/>
      <c r="H5" s="17"/>
      <c r="I5" s="17"/>
    </row>
    <row r="6" spans="1:11" x14ac:dyDescent="0.55000000000000004">
      <c r="A6" s="18"/>
      <c r="B6" s="16"/>
      <c r="C6" s="16"/>
      <c r="E6" s="14"/>
      <c r="F6" s="19"/>
      <c r="G6" s="19"/>
      <c r="H6" s="17"/>
      <c r="I6" s="17"/>
    </row>
    <row r="7" spans="1:11" x14ac:dyDescent="0.55000000000000004">
      <c r="A7" s="18"/>
      <c r="B7" s="16"/>
      <c r="C7" s="16"/>
      <c r="E7" s="14"/>
      <c r="F7" s="19"/>
      <c r="G7" s="19"/>
      <c r="H7" s="17"/>
      <c r="I7" s="17"/>
    </row>
    <row r="8" spans="1:11" x14ac:dyDescent="0.55000000000000004">
      <c r="A8" s="18"/>
      <c r="B8" s="16"/>
      <c r="C8" s="16"/>
      <c r="E8" s="14"/>
      <c r="F8" s="19"/>
      <c r="G8" s="19"/>
      <c r="H8" s="17"/>
      <c r="I8" s="17"/>
    </row>
    <row r="9" spans="1:11" x14ac:dyDescent="0.55000000000000004">
      <c r="A9" s="18"/>
      <c r="B9" s="16"/>
      <c r="C9" s="16"/>
      <c r="E9" s="14"/>
      <c r="F9" s="19"/>
      <c r="G9" s="19"/>
      <c r="H9" s="17"/>
      <c r="I9" s="17"/>
    </row>
    <row r="10" spans="1:11" x14ac:dyDescent="0.55000000000000004">
      <c r="C10" s="11"/>
    </row>
    <row r="11" spans="1:11" x14ac:dyDescent="0.55000000000000004">
      <c r="C11" s="11"/>
    </row>
  </sheetData>
  <pageMargins left="0.7" right="0.7" top="0.75" bottom="0.75" header="0.3" footer="0.3"/>
  <pageSetup orientation="portrait" horizontalDpi="0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C2:C42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47"/>
  <sheetViews>
    <sheetView zoomScale="90" zoomScaleNormal="90" workbookViewId="0">
      <selection activeCell="J14" sqref="J14"/>
    </sheetView>
  </sheetViews>
  <sheetFormatPr defaultColWidth="8.7109375" defaultRowHeight="21.75" x14ac:dyDescent="0.55000000000000004"/>
  <cols>
    <col min="1" max="1" width="14.7109375" style="13" customWidth="1"/>
    <col min="2" max="2" width="12.28515625" style="11" customWidth="1"/>
    <col min="3" max="3" width="13.7109375" style="1" customWidth="1"/>
    <col min="4" max="4" width="16.28515625" style="1" customWidth="1"/>
    <col min="5" max="5" width="41" style="7" customWidth="1"/>
    <col min="6" max="6" width="17.5703125" style="8" bestFit="1" customWidth="1"/>
    <col min="7" max="7" width="18.42578125" style="8" customWidth="1"/>
    <col min="8" max="8" width="16.140625" style="9" customWidth="1"/>
    <col min="9" max="9" width="17.5703125" style="9" customWidth="1"/>
    <col min="10" max="10" width="22.14062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100" t="s">
        <v>182</v>
      </c>
      <c r="K1" s="8"/>
    </row>
    <row r="2" spans="1:11" x14ac:dyDescent="0.55000000000000004">
      <c r="A2" s="18">
        <v>44317</v>
      </c>
      <c r="B2" s="16"/>
      <c r="C2" s="16" t="s">
        <v>5</v>
      </c>
      <c r="D2" s="1" t="s">
        <v>18</v>
      </c>
      <c r="E2" s="7" t="s">
        <v>5</v>
      </c>
      <c r="F2" s="19">
        <v>1496359</v>
      </c>
      <c r="G2" s="19"/>
      <c r="H2" s="17"/>
      <c r="I2" s="17">
        <f>AMT[[#This Row],[Opening]]+AMT[[#This Row],[Purchase]]-AMT[[#This Row],[Payment]]</f>
        <v>1496359</v>
      </c>
      <c r="J2" s="100">
        <f>AMT[[#This Row],[Balance]]</f>
        <v>1496359</v>
      </c>
    </row>
    <row r="3" spans="1:11" x14ac:dyDescent="0.55000000000000004">
      <c r="A3" s="18">
        <v>44319</v>
      </c>
      <c r="B3" s="16">
        <v>2288</v>
      </c>
      <c r="C3" s="16" t="s">
        <v>7</v>
      </c>
      <c r="D3" s="1" t="s">
        <v>18</v>
      </c>
      <c r="E3" s="46" t="s">
        <v>86</v>
      </c>
      <c r="F3" s="19"/>
      <c r="G3" s="19"/>
      <c r="H3" s="17">
        <v>1496359</v>
      </c>
      <c r="I3" s="17">
        <f>AMT[[#This Row],[Opening]]+AMT[[#This Row],[Purchase]]-AMT[[#This Row],[Payment]]</f>
        <v>-1496359</v>
      </c>
      <c r="J3" s="100">
        <f>J2+AMT[[#This Row],[Purchase]]-AMT[[#This Row],[Payment]]</f>
        <v>0</v>
      </c>
    </row>
    <row r="4" spans="1:11" x14ac:dyDescent="0.55000000000000004">
      <c r="A4" s="59">
        <v>44319</v>
      </c>
      <c r="B4" s="60">
        <v>21158</v>
      </c>
      <c r="C4" s="60" t="s">
        <v>6</v>
      </c>
      <c r="D4" s="1" t="s">
        <v>18</v>
      </c>
      <c r="E4" s="65" t="s">
        <v>88</v>
      </c>
      <c r="F4" s="63"/>
      <c r="G4" s="63">
        <v>19600</v>
      </c>
      <c r="H4" s="64"/>
      <c r="I4" s="64">
        <f>AMT[[#This Row],[Opening]]+AMT[[#This Row],[Purchase]]-AMT[[#This Row],[Payment]]</f>
        <v>19600</v>
      </c>
      <c r="J4" s="100">
        <f>J3+AMT[[#This Row],[Purchase]]-AMT[[#This Row],[Payment]]</f>
        <v>19600</v>
      </c>
      <c r="K4" s="9" t="s">
        <v>71</v>
      </c>
    </row>
    <row r="5" spans="1:11" x14ac:dyDescent="0.55000000000000004">
      <c r="A5" s="59">
        <v>44319</v>
      </c>
      <c r="B5" s="60">
        <v>48486</v>
      </c>
      <c r="C5" s="60" t="s">
        <v>6</v>
      </c>
      <c r="D5" s="1" t="s">
        <v>18</v>
      </c>
      <c r="E5" s="65" t="s">
        <v>92</v>
      </c>
      <c r="F5" s="63"/>
      <c r="G5" s="63">
        <v>236124</v>
      </c>
      <c r="H5" s="64"/>
      <c r="I5" s="64">
        <f>AMT[[#This Row],[Opening]]+AMT[[#This Row],[Purchase]]-AMT[[#This Row],[Payment]]</f>
        <v>236124</v>
      </c>
      <c r="J5" s="100">
        <f>J4+AMT[[#This Row],[Purchase]]-AMT[[#This Row],[Payment]]</f>
        <v>255724</v>
      </c>
    </row>
    <row r="6" spans="1:11" x14ac:dyDescent="0.55000000000000004">
      <c r="A6" s="59">
        <v>44321</v>
      </c>
      <c r="B6" s="60">
        <v>48527</v>
      </c>
      <c r="C6" s="60" t="s">
        <v>6</v>
      </c>
      <c r="D6" s="1" t="s">
        <v>18</v>
      </c>
      <c r="E6" s="65" t="s">
        <v>99</v>
      </c>
      <c r="F6" s="63"/>
      <c r="G6" s="63">
        <v>134604</v>
      </c>
      <c r="H6" s="64"/>
      <c r="I6" s="64">
        <f>AMT[[#This Row],[Opening]]+AMT[[#This Row],[Purchase]]-AMT[[#This Row],[Payment]]</f>
        <v>134604</v>
      </c>
      <c r="J6" s="100">
        <f>J5+AMT[[#This Row],[Purchase]]-AMT[[#This Row],[Payment]]</f>
        <v>390328</v>
      </c>
    </row>
    <row r="7" spans="1:11" x14ac:dyDescent="0.55000000000000004">
      <c r="A7" s="59">
        <v>44326</v>
      </c>
      <c r="B7" s="60">
        <v>48640</v>
      </c>
      <c r="C7" s="60" t="s">
        <v>6</v>
      </c>
      <c r="D7" s="1" t="s">
        <v>18</v>
      </c>
      <c r="E7" s="65" t="s">
        <v>128</v>
      </c>
      <c r="F7" s="63"/>
      <c r="G7" s="63">
        <v>374375</v>
      </c>
      <c r="H7" s="64"/>
      <c r="I7" s="64">
        <f>AMT[[#This Row],[Opening]]+AMT[[#This Row],[Purchase]]-AMT[[#This Row],[Payment]]</f>
        <v>374375</v>
      </c>
      <c r="J7" s="100">
        <f>J6+AMT[[#This Row],[Purchase]]-AMT[[#This Row],[Payment]]</f>
        <v>764703</v>
      </c>
    </row>
    <row r="8" spans="1:11" x14ac:dyDescent="0.55000000000000004">
      <c r="A8" s="59">
        <v>44327</v>
      </c>
      <c r="B8" s="60">
        <v>21209</v>
      </c>
      <c r="C8" s="60" t="s">
        <v>6</v>
      </c>
      <c r="D8" s="1" t="s">
        <v>18</v>
      </c>
      <c r="E8" s="65" t="s">
        <v>124</v>
      </c>
      <c r="F8" s="63"/>
      <c r="G8" s="63">
        <v>49000</v>
      </c>
      <c r="H8" s="64"/>
      <c r="I8" s="64">
        <f>AMT[[#This Row],[Opening]]+AMT[[#This Row],[Purchase]]-AMT[[#This Row],[Payment]]</f>
        <v>49000</v>
      </c>
      <c r="J8" s="100">
        <f>J7+AMT[[#This Row],[Purchase]]-AMT[[#This Row],[Payment]]</f>
        <v>813703</v>
      </c>
    </row>
    <row r="9" spans="1:11" x14ac:dyDescent="0.55000000000000004">
      <c r="A9" s="59">
        <v>44327</v>
      </c>
      <c r="B9" s="60">
        <v>21337</v>
      </c>
      <c r="C9" s="60" t="s">
        <v>6</v>
      </c>
      <c r="D9" s="1" t="s">
        <v>18</v>
      </c>
      <c r="E9" s="65" t="s">
        <v>126</v>
      </c>
      <c r="F9" s="63"/>
      <c r="G9" s="63">
        <v>107000</v>
      </c>
      <c r="H9" s="64"/>
      <c r="I9" s="64">
        <f>AMT[[#This Row],[Opening]]+AMT[[#This Row],[Purchase]]-AMT[[#This Row],[Payment]]</f>
        <v>107000</v>
      </c>
      <c r="J9" s="100">
        <f>J8+AMT[[#This Row],[Purchase]]-AMT[[#This Row],[Payment]]</f>
        <v>920703</v>
      </c>
    </row>
    <row r="10" spans="1:11" x14ac:dyDescent="0.55000000000000004">
      <c r="A10" s="59">
        <v>44328</v>
      </c>
      <c r="B10" s="60">
        <v>48702</v>
      </c>
      <c r="C10" s="60" t="s">
        <v>6</v>
      </c>
      <c r="D10" s="1" t="s">
        <v>18</v>
      </c>
      <c r="E10" s="65" t="s">
        <v>135</v>
      </c>
      <c r="F10" s="63"/>
      <c r="G10" s="63">
        <v>709987</v>
      </c>
      <c r="H10" s="64"/>
      <c r="I10" s="64">
        <f>AMT[[#This Row],[Opening]]+AMT[[#This Row],[Purchase]]-AMT[[#This Row],[Payment]]</f>
        <v>709987</v>
      </c>
      <c r="J10" s="100">
        <f>J9+AMT[[#This Row],[Purchase]]-AMT[[#This Row],[Payment]]</f>
        <v>1630690</v>
      </c>
    </row>
    <row r="11" spans="1:11" x14ac:dyDescent="0.55000000000000004">
      <c r="A11" s="59">
        <v>44329</v>
      </c>
      <c r="B11" s="60">
        <v>2332</v>
      </c>
      <c r="C11" s="60" t="s">
        <v>7</v>
      </c>
      <c r="D11" s="1" t="s">
        <v>18</v>
      </c>
      <c r="E11" s="46" t="s">
        <v>86</v>
      </c>
      <c r="F11" s="63"/>
      <c r="G11" s="63"/>
      <c r="H11" s="64">
        <v>1000000</v>
      </c>
      <c r="I11" s="64">
        <f>AMT[[#This Row],[Opening]]+AMT[[#This Row],[Purchase]]-AMT[[#This Row],[Payment]]</f>
        <v>-1000000</v>
      </c>
      <c r="J11" s="100">
        <f>J10+AMT[[#This Row],[Purchase]]-AMT[[#This Row],[Payment]]</f>
        <v>630690</v>
      </c>
    </row>
    <row r="12" spans="1:11" x14ac:dyDescent="0.55000000000000004">
      <c r="A12" s="59">
        <v>44329</v>
      </c>
      <c r="B12" s="60">
        <v>48751</v>
      </c>
      <c r="C12" s="60" t="s">
        <v>6</v>
      </c>
      <c r="D12" s="1" t="s">
        <v>18</v>
      </c>
      <c r="E12" s="65" t="s">
        <v>134</v>
      </c>
      <c r="F12" s="63"/>
      <c r="G12" s="63">
        <v>80830</v>
      </c>
      <c r="H12" s="64"/>
      <c r="I12" s="64">
        <f>AMT[[#This Row],[Opening]]+AMT[[#This Row],[Purchase]]-AMT[[#This Row],[Payment]]</f>
        <v>80830</v>
      </c>
      <c r="J12" s="100">
        <f>J11+AMT[[#This Row],[Purchase]]-AMT[[#This Row],[Payment]]</f>
        <v>711520</v>
      </c>
    </row>
    <row r="13" spans="1:11" x14ac:dyDescent="0.55000000000000004">
      <c r="A13" s="59">
        <v>44329</v>
      </c>
      <c r="B13" s="60">
        <v>48740</v>
      </c>
      <c r="C13" s="60" t="s">
        <v>6</v>
      </c>
      <c r="D13" s="1" t="s">
        <v>18</v>
      </c>
      <c r="E13" s="65" t="s">
        <v>136</v>
      </c>
      <c r="F13" s="63"/>
      <c r="G13" s="63">
        <v>87670</v>
      </c>
      <c r="H13" s="64"/>
      <c r="I13" s="64">
        <f>AMT[[#This Row],[Opening]]+AMT[[#This Row],[Purchase]]-AMT[[#This Row],[Payment]]</f>
        <v>87670</v>
      </c>
      <c r="J13" s="100">
        <f>J12+AMT[[#This Row],[Purchase]]-AMT[[#This Row],[Payment]]</f>
        <v>799190</v>
      </c>
    </row>
    <row r="14" spans="1:11" x14ac:dyDescent="0.55000000000000004">
      <c r="A14" s="59">
        <v>44330</v>
      </c>
      <c r="B14" s="60">
        <v>48773</v>
      </c>
      <c r="C14" s="60" t="s">
        <v>6</v>
      </c>
      <c r="D14" s="1" t="s">
        <v>18</v>
      </c>
      <c r="E14" s="65" t="s">
        <v>147</v>
      </c>
      <c r="F14" s="63"/>
      <c r="G14" s="63">
        <v>120465</v>
      </c>
      <c r="H14" s="64"/>
      <c r="I14" s="64">
        <f>AMT[[#This Row],[Opening]]+AMT[[#This Row],[Purchase]]-AMT[[#This Row],[Payment]]</f>
        <v>120465</v>
      </c>
      <c r="J14" s="100">
        <f>J13+AMT[[#This Row],[Purchase]]-AMT[[#This Row],[Payment]]</f>
        <v>919655</v>
      </c>
    </row>
    <row r="15" spans="1:11" x14ac:dyDescent="0.55000000000000004">
      <c r="A15" s="59">
        <v>44330</v>
      </c>
      <c r="B15" s="60">
        <v>48762</v>
      </c>
      <c r="C15" s="60" t="s">
        <v>6</v>
      </c>
      <c r="D15" s="1" t="s">
        <v>18</v>
      </c>
      <c r="E15" s="65" t="s">
        <v>148</v>
      </c>
      <c r="F15" s="63"/>
      <c r="G15" s="63">
        <v>520465</v>
      </c>
      <c r="H15" s="64"/>
      <c r="I15" s="64">
        <f>AMT[[#This Row],[Opening]]+AMT[[#This Row],[Purchase]]-AMT[[#This Row],[Payment]]</f>
        <v>520465</v>
      </c>
      <c r="J15" s="100">
        <f>J14+AMT[[#This Row],[Purchase]]-AMT[[#This Row],[Payment]]</f>
        <v>1440120</v>
      </c>
    </row>
    <row r="16" spans="1:11" x14ac:dyDescent="0.55000000000000004">
      <c r="A16" s="59">
        <v>44334</v>
      </c>
      <c r="B16" s="60">
        <v>48821</v>
      </c>
      <c r="C16" s="60" t="s">
        <v>6</v>
      </c>
      <c r="D16" s="1" t="s">
        <v>18</v>
      </c>
      <c r="E16" s="65" t="s">
        <v>146</v>
      </c>
      <c r="F16" s="63"/>
      <c r="G16" s="63">
        <v>54540</v>
      </c>
      <c r="H16" s="64"/>
      <c r="I16" s="64">
        <f>AMT[[#This Row],[Opening]]+AMT[[#This Row],[Purchase]]-AMT[[#This Row],[Payment]]</f>
        <v>54540</v>
      </c>
      <c r="J16" s="100">
        <f>J15+AMT[[#This Row],[Purchase]]-AMT[[#This Row],[Payment]]</f>
        <v>1494660</v>
      </c>
    </row>
    <row r="17" spans="1:10" x14ac:dyDescent="0.55000000000000004">
      <c r="A17" s="59">
        <v>44335</v>
      </c>
      <c r="B17" s="60">
        <v>21238</v>
      </c>
      <c r="C17" s="60" t="s">
        <v>6</v>
      </c>
      <c r="D17" s="1" t="s">
        <v>18</v>
      </c>
      <c r="E17" s="65" t="s">
        <v>142</v>
      </c>
      <c r="F17" s="63"/>
      <c r="G17" s="63">
        <v>22900</v>
      </c>
      <c r="H17" s="64"/>
      <c r="I17" s="64">
        <f>AMT[[#This Row],[Opening]]+AMT[[#This Row],[Purchase]]-AMT[[#This Row],[Payment]]</f>
        <v>22900</v>
      </c>
      <c r="J17" s="100">
        <f>J16+AMT[[#This Row],[Purchase]]-AMT[[#This Row],[Payment]]</f>
        <v>1517560</v>
      </c>
    </row>
    <row r="18" spans="1:10" x14ac:dyDescent="0.55000000000000004">
      <c r="A18" s="59">
        <v>44335</v>
      </c>
      <c r="B18" s="60">
        <v>21240</v>
      </c>
      <c r="C18" s="60" t="s">
        <v>6</v>
      </c>
      <c r="D18" s="1" t="s">
        <v>18</v>
      </c>
      <c r="E18" s="65" t="s">
        <v>143</v>
      </c>
      <c r="F18" s="63"/>
      <c r="G18" s="63">
        <v>45000</v>
      </c>
      <c r="H18" s="64"/>
      <c r="I18" s="64">
        <f>AMT[[#This Row],[Opening]]+AMT[[#This Row],[Purchase]]-AMT[[#This Row],[Payment]]</f>
        <v>45000</v>
      </c>
      <c r="J18" s="100">
        <f>J17+AMT[[#This Row],[Purchase]]-AMT[[#This Row],[Payment]]</f>
        <v>1562560</v>
      </c>
    </row>
    <row r="19" spans="1:10" x14ac:dyDescent="0.55000000000000004">
      <c r="A19" s="59">
        <v>44335</v>
      </c>
      <c r="B19" s="60">
        <v>48883</v>
      </c>
      <c r="C19" s="60" t="s">
        <v>6</v>
      </c>
      <c r="D19" s="1" t="s">
        <v>18</v>
      </c>
      <c r="E19" s="65" t="s">
        <v>144</v>
      </c>
      <c r="F19" s="63"/>
      <c r="G19" s="63">
        <v>53040</v>
      </c>
      <c r="H19" s="64"/>
      <c r="I19" s="64">
        <f>AMT[[#This Row],[Opening]]+AMT[[#This Row],[Purchase]]-AMT[[#This Row],[Payment]]</f>
        <v>53040</v>
      </c>
      <c r="J19" s="100">
        <f>J18+AMT[[#This Row],[Purchase]]-AMT[[#This Row],[Payment]]</f>
        <v>1615600</v>
      </c>
    </row>
    <row r="20" spans="1:10" x14ac:dyDescent="0.55000000000000004">
      <c r="A20" s="59">
        <v>44335</v>
      </c>
      <c r="B20" s="60">
        <v>48876</v>
      </c>
      <c r="C20" s="60" t="s">
        <v>6</v>
      </c>
      <c r="D20" s="1" t="s">
        <v>18</v>
      </c>
      <c r="E20" s="65" t="s">
        <v>145</v>
      </c>
      <c r="F20" s="63"/>
      <c r="G20" s="63">
        <v>219280</v>
      </c>
      <c r="H20" s="64"/>
      <c r="I20" s="64">
        <f>AMT[[#This Row],[Opening]]+AMT[[#This Row],[Purchase]]-AMT[[#This Row],[Payment]]</f>
        <v>219280</v>
      </c>
      <c r="J20" s="100">
        <f>J19+AMT[[#This Row],[Purchase]]-AMT[[#This Row],[Payment]]</f>
        <v>1834880</v>
      </c>
    </row>
    <row r="21" spans="1:10" x14ac:dyDescent="0.55000000000000004">
      <c r="A21" s="59">
        <v>44335</v>
      </c>
      <c r="B21" s="60"/>
      <c r="C21" s="60" t="s">
        <v>7</v>
      </c>
      <c r="D21" s="1" t="s">
        <v>18</v>
      </c>
      <c r="E21" s="65" t="s">
        <v>150</v>
      </c>
      <c r="F21" s="63"/>
      <c r="G21" s="63"/>
      <c r="H21" s="63">
        <v>47760</v>
      </c>
      <c r="I21" s="64">
        <f>AMT[[#This Row],[Opening]]+AMT[[#This Row],[Purchase]]-AMT[[#This Row],[Payment]]</f>
        <v>-47760</v>
      </c>
      <c r="J21" s="100">
        <f>J20+AMT[[#This Row],[Purchase]]-AMT[[#This Row],[Payment]]</f>
        <v>1787120</v>
      </c>
    </row>
    <row r="22" spans="1:10" x14ac:dyDescent="0.55000000000000004">
      <c r="A22" s="59">
        <v>44335</v>
      </c>
      <c r="B22" s="60">
        <v>2349</v>
      </c>
      <c r="C22" s="60" t="s">
        <v>7</v>
      </c>
      <c r="D22" s="1" t="s">
        <v>18</v>
      </c>
      <c r="E22" s="46" t="s">
        <v>86</v>
      </c>
      <c r="F22" s="63"/>
      <c r="G22" s="63"/>
      <c r="H22" s="64">
        <v>1000000</v>
      </c>
      <c r="I22" s="64">
        <f>AMT[[#This Row],[Opening]]+AMT[[#This Row],[Purchase]]-AMT[[#This Row],[Payment]]</f>
        <v>-1000000</v>
      </c>
      <c r="J22" s="100">
        <f>J21+AMT[[#This Row],[Purchase]]-AMT[[#This Row],[Payment]]</f>
        <v>787120</v>
      </c>
    </row>
    <row r="23" spans="1:10" x14ac:dyDescent="0.55000000000000004">
      <c r="A23" s="59">
        <v>44336</v>
      </c>
      <c r="B23" s="60">
        <v>21241</v>
      </c>
      <c r="C23" s="60" t="s">
        <v>6</v>
      </c>
      <c r="D23" s="1" t="s">
        <v>18</v>
      </c>
      <c r="E23" s="62" t="s">
        <v>173</v>
      </c>
      <c r="F23" s="63"/>
      <c r="G23" s="63">
        <v>55500</v>
      </c>
      <c r="H23" s="64"/>
      <c r="I23" s="64">
        <f>AMT[[#This Row],[Opening]]+AMT[[#This Row],[Purchase]]-AMT[[#This Row],[Payment]]</f>
        <v>55500</v>
      </c>
      <c r="J23" s="100">
        <f>J22+AMT[[#This Row],[Purchase]]-AMT[[#This Row],[Payment]]</f>
        <v>842620</v>
      </c>
    </row>
    <row r="24" spans="1:10" x14ac:dyDescent="0.55000000000000004">
      <c r="A24" s="59">
        <v>44336</v>
      </c>
      <c r="B24" s="60">
        <v>48907</v>
      </c>
      <c r="C24" s="60" t="s">
        <v>6</v>
      </c>
      <c r="D24" s="1" t="s">
        <v>18</v>
      </c>
      <c r="E24" s="62" t="s">
        <v>174</v>
      </c>
      <c r="F24" s="63"/>
      <c r="G24" s="63">
        <v>183710</v>
      </c>
      <c r="H24" s="64"/>
      <c r="I24" s="64">
        <f>AMT[[#This Row],[Opening]]+AMT[[#This Row],[Purchase]]-AMT[[#This Row],[Payment]]</f>
        <v>183710</v>
      </c>
      <c r="J24" s="100">
        <f>J23+AMT[[#This Row],[Purchase]]-AMT[[#This Row],[Payment]]</f>
        <v>1026330</v>
      </c>
    </row>
    <row r="25" spans="1:10" x14ac:dyDescent="0.55000000000000004">
      <c r="A25" s="59">
        <v>44336</v>
      </c>
      <c r="B25" s="60">
        <v>48907</v>
      </c>
      <c r="C25" s="60" t="s">
        <v>6</v>
      </c>
      <c r="D25" s="1" t="s">
        <v>18</v>
      </c>
      <c r="E25" s="62" t="s">
        <v>175</v>
      </c>
      <c r="F25" s="63"/>
      <c r="G25" s="63">
        <v>105000</v>
      </c>
      <c r="H25" s="64"/>
      <c r="I25" s="64">
        <f>AMT[[#This Row],[Opening]]+AMT[[#This Row],[Purchase]]-AMT[[#This Row],[Payment]]</f>
        <v>105000</v>
      </c>
      <c r="J25" s="100">
        <f>J24+AMT[[#This Row],[Purchase]]-AMT[[#This Row],[Payment]]</f>
        <v>1131330</v>
      </c>
    </row>
    <row r="26" spans="1:10" x14ac:dyDescent="0.55000000000000004">
      <c r="A26" s="59">
        <v>44336</v>
      </c>
      <c r="B26" s="60">
        <v>48907</v>
      </c>
      <c r="C26" s="60" t="s">
        <v>6</v>
      </c>
      <c r="D26" s="1" t="s">
        <v>18</v>
      </c>
      <c r="E26" s="62" t="s">
        <v>176</v>
      </c>
      <c r="F26" s="63"/>
      <c r="G26" s="63">
        <v>8000</v>
      </c>
      <c r="H26" s="64"/>
      <c r="I26" s="64">
        <f>AMT[[#This Row],[Opening]]+AMT[[#This Row],[Purchase]]-AMT[[#This Row],[Payment]]</f>
        <v>8000</v>
      </c>
      <c r="J26" s="100">
        <f>J25+AMT[[#This Row],[Purchase]]-AMT[[#This Row],[Payment]]</f>
        <v>1139330</v>
      </c>
    </row>
    <row r="27" spans="1:10" x14ac:dyDescent="0.55000000000000004">
      <c r="A27" s="59">
        <v>44336</v>
      </c>
      <c r="B27" s="60">
        <v>48907</v>
      </c>
      <c r="C27" s="60" t="s">
        <v>6</v>
      </c>
      <c r="D27" s="1" t="s">
        <v>18</v>
      </c>
      <c r="E27" s="62" t="s">
        <v>176</v>
      </c>
      <c r="F27" s="63"/>
      <c r="G27" s="63">
        <v>7600</v>
      </c>
      <c r="H27" s="64"/>
      <c r="I27" s="64">
        <f>AMT[[#This Row],[Opening]]+AMT[[#This Row],[Purchase]]-AMT[[#This Row],[Payment]]</f>
        <v>7600</v>
      </c>
      <c r="J27" s="100">
        <f>J26+AMT[[#This Row],[Purchase]]-AMT[[#This Row],[Payment]]</f>
        <v>1146930</v>
      </c>
    </row>
    <row r="28" spans="1:10" x14ac:dyDescent="0.55000000000000004">
      <c r="A28" s="59">
        <v>44337</v>
      </c>
      <c r="B28" s="60">
        <v>48938</v>
      </c>
      <c r="C28" s="60" t="s">
        <v>6</v>
      </c>
      <c r="D28" s="1" t="s">
        <v>18</v>
      </c>
      <c r="E28" s="62" t="s">
        <v>92</v>
      </c>
      <c r="F28" s="63"/>
      <c r="G28" s="63">
        <v>18164</v>
      </c>
      <c r="H28" s="64"/>
      <c r="I28" s="64">
        <f>AMT[[#This Row],[Opening]]+AMT[[#This Row],[Purchase]]-AMT[[#This Row],[Payment]]</f>
        <v>18164</v>
      </c>
      <c r="J28" s="100">
        <f>J27+AMT[[#This Row],[Purchase]]-AMT[[#This Row],[Payment]]</f>
        <v>1165094</v>
      </c>
    </row>
    <row r="29" spans="1:10" x14ac:dyDescent="0.55000000000000004">
      <c r="A29" s="59">
        <v>44340</v>
      </c>
      <c r="B29" s="60">
        <v>2369</v>
      </c>
      <c r="C29" s="60" t="s">
        <v>7</v>
      </c>
      <c r="D29" s="1" t="s">
        <v>18</v>
      </c>
      <c r="E29" s="46" t="s">
        <v>86</v>
      </c>
      <c r="F29" s="63"/>
      <c r="G29" s="63"/>
      <c r="H29" s="64">
        <v>1000000</v>
      </c>
      <c r="I29" s="64">
        <f>AMT[[#This Row],[Opening]]+AMT[[#This Row],[Purchase]]-AMT[[#This Row],[Payment]]</f>
        <v>-1000000</v>
      </c>
      <c r="J29" s="100">
        <f>J28+AMT[[#This Row],[Purchase]]-AMT[[#This Row],[Payment]]</f>
        <v>165094</v>
      </c>
    </row>
    <row r="30" spans="1:10" x14ac:dyDescent="0.55000000000000004">
      <c r="A30" s="59">
        <v>44340</v>
      </c>
      <c r="B30" s="60">
        <v>48977</v>
      </c>
      <c r="C30" s="60" t="s">
        <v>6</v>
      </c>
      <c r="D30" s="1" t="s">
        <v>18</v>
      </c>
      <c r="E30" s="62" t="s">
        <v>136</v>
      </c>
      <c r="F30" s="63"/>
      <c r="G30" s="63">
        <v>1094002</v>
      </c>
      <c r="H30" s="64"/>
      <c r="I30" s="64">
        <f>AMT[[#This Row],[Opening]]+AMT[[#This Row],[Purchase]]-AMT[[#This Row],[Payment]]</f>
        <v>1094002</v>
      </c>
      <c r="J30" s="100">
        <f>J29+AMT[[#This Row],[Purchase]]-AMT[[#This Row],[Payment]]</f>
        <v>1259096</v>
      </c>
    </row>
    <row r="31" spans="1:10" x14ac:dyDescent="0.55000000000000004">
      <c r="A31" s="59">
        <v>44340</v>
      </c>
      <c r="B31" s="60">
        <v>21249</v>
      </c>
      <c r="C31" s="60" t="s">
        <v>6</v>
      </c>
      <c r="D31" s="1" t="s">
        <v>18</v>
      </c>
      <c r="E31" s="62" t="s">
        <v>172</v>
      </c>
      <c r="F31" s="63"/>
      <c r="G31" s="63">
        <v>40250</v>
      </c>
      <c r="H31" s="64"/>
      <c r="I31" s="64">
        <f>AMT[[#This Row],[Opening]]+AMT[[#This Row],[Purchase]]-AMT[[#This Row],[Payment]]</f>
        <v>40250</v>
      </c>
      <c r="J31" s="100">
        <f>J30+AMT[[#This Row],[Purchase]]-AMT[[#This Row],[Payment]]</f>
        <v>1299346</v>
      </c>
    </row>
    <row r="32" spans="1:10" x14ac:dyDescent="0.55000000000000004">
      <c r="A32" s="59">
        <v>44342</v>
      </c>
      <c r="B32" s="60">
        <v>48998</v>
      </c>
      <c r="C32" s="60" t="s">
        <v>6</v>
      </c>
      <c r="D32" s="1" t="s">
        <v>18</v>
      </c>
      <c r="E32" s="62" t="s">
        <v>171</v>
      </c>
      <c r="F32" s="63"/>
      <c r="G32" s="63">
        <v>155080</v>
      </c>
      <c r="H32" s="64"/>
      <c r="I32" s="64">
        <f>AMT[[#This Row],[Opening]]+AMT[[#This Row],[Purchase]]-AMT[[#This Row],[Payment]]</f>
        <v>155080</v>
      </c>
      <c r="J32" s="100">
        <f>J31+AMT[[#This Row],[Purchase]]-AMT[[#This Row],[Payment]]</f>
        <v>1454426</v>
      </c>
    </row>
    <row r="33" spans="1:10" x14ac:dyDescent="0.55000000000000004">
      <c r="A33" s="59">
        <v>44343</v>
      </c>
      <c r="B33" s="60">
        <v>21258</v>
      </c>
      <c r="C33" s="60" t="s">
        <v>6</v>
      </c>
      <c r="D33" s="1" t="s">
        <v>18</v>
      </c>
      <c r="E33" s="62" t="s">
        <v>169</v>
      </c>
      <c r="F33" s="63"/>
      <c r="G33" s="63">
        <v>35000</v>
      </c>
      <c r="H33" s="64"/>
      <c r="I33" s="64">
        <f>AMT[[#This Row],[Opening]]+AMT[[#This Row],[Purchase]]-AMT[[#This Row],[Payment]]</f>
        <v>35000</v>
      </c>
      <c r="J33" s="100">
        <f>J32+AMT[[#This Row],[Purchase]]-AMT[[#This Row],[Payment]]</f>
        <v>1489426</v>
      </c>
    </row>
    <row r="34" spans="1:10" x14ac:dyDescent="0.55000000000000004">
      <c r="A34" s="59">
        <v>44343</v>
      </c>
      <c r="B34" s="60">
        <v>49032</v>
      </c>
      <c r="C34" s="60" t="s">
        <v>6</v>
      </c>
      <c r="D34" s="1" t="s">
        <v>18</v>
      </c>
      <c r="E34" s="62" t="s">
        <v>170</v>
      </c>
      <c r="F34" s="63"/>
      <c r="G34" s="63">
        <v>182355</v>
      </c>
      <c r="H34" s="64"/>
      <c r="I34" s="64">
        <f>AMT[[#This Row],[Opening]]+AMT[[#This Row],[Purchase]]-AMT[[#This Row],[Payment]]</f>
        <v>182355</v>
      </c>
      <c r="J34" s="100">
        <f>J33+AMT[[#This Row],[Purchase]]-AMT[[#This Row],[Payment]]</f>
        <v>1671781</v>
      </c>
    </row>
    <row r="35" spans="1:10" x14ac:dyDescent="0.55000000000000004">
      <c r="A35" s="59">
        <v>44344</v>
      </c>
      <c r="B35" s="60">
        <v>49064</v>
      </c>
      <c r="C35" s="60" t="s">
        <v>6</v>
      </c>
      <c r="D35" s="1" t="s">
        <v>18</v>
      </c>
      <c r="E35" s="62" t="s">
        <v>168</v>
      </c>
      <c r="F35" s="63"/>
      <c r="G35" s="63">
        <v>149184</v>
      </c>
      <c r="H35" s="64"/>
      <c r="I35" s="64">
        <f>AMT[[#This Row],[Opening]]+AMT[[#This Row],[Purchase]]-AMT[[#This Row],[Payment]]</f>
        <v>149184</v>
      </c>
      <c r="J35" s="100">
        <f>J34+AMT[[#This Row],[Purchase]]-AMT[[#This Row],[Payment]]</f>
        <v>1820965</v>
      </c>
    </row>
    <row r="36" spans="1:10" x14ac:dyDescent="0.55000000000000004">
      <c r="A36" s="59">
        <v>44345</v>
      </c>
      <c r="B36" s="60"/>
      <c r="C36" s="60" t="s">
        <v>7</v>
      </c>
      <c r="D36" s="1" t="s">
        <v>18</v>
      </c>
      <c r="E36" s="46" t="s">
        <v>156</v>
      </c>
      <c r="F36" s="63"/>
      <c r="G36" s="63"/>
      <c r="H36" s="64">
        <v>41000</v>
      </c>
      <c r="I36" s="64">
        <f>AMT[[#This Row],[Opening]]+AMT[[#This Row],[Purchase]]-AMT[[#This Row],[Payment]]</f>
        <v>-41000</v>
      </c>
      <c r="J36" s="100">
        <f>J35+AMT[[#This Row],[Purchase]]-AMT[[#This Row],[Payment]]</f>
        <v>1779965</v>
      </c>
    </row>
    <row r="37" spans="1:10" x14ac:dyDescent="0.55000000000000004">
      <c r="A37" s="59">
        <v>44345</v>
      </c>
      <c r="B37" s="60">
        <v>2392</v>
      </c>
      <c r="C37" s="60" t="s">
        <v>7</v>
      </c>
      <c r="D37" s="1" t="s">
        <v>18</v>
      </c>
      <c r="E37" s="46" t="s">
        <v>86</v>
      </c>
      <c r="F37" s="63"/>
      <c r="G37" s="63"/>
      <c r="H37" s="64">
        <v>1500000</v>
      </c>
      <c r="I37" s="64">
        <f>AMT[[#This Row],[Opening]]+AMT[[#This Row],[Purchase]]-AMT[[#This Row],[Payment]]</f>
        <v>-1500000</v>
      </c>
      <c r="J37" s="100">
        <f>J36+AMT[[#This Row],[Purchase]]-AMT[[#This Row],[Payment]]</f>
        <v>279965</v>
      </c>
    </row>
    <row r="38" spans="1:10" x14ac:dyDescent="0.55000000000000004">
      <c r="A38" s="59">
        <v>44345</v>
      </c>
      <c r="B38" s="60">
        <v>49111</v>
      </c>
      <c r="C38" s="60" t="s">
        <v>6</v>
      </c>
      <c r="D38" s="1" t="s">
        <v>18</v>
      </c>
      <c r="E38" s="65" t="s">
        <v>165</v>
      </c>
      <c r="F38" s="63"/>
      <c r="G38" s="63">
        <v>64845</v>
      </c>
      <c r="H38" s="64"/>
      <c r="I38" s="64">
        <f>AMT[[#This Row],[Opening]]+AMT[[#This Row],[Purchase]]-AMT[[#This Row],[Payment]]</f>
        <v>64845</v>
      </c>
      <c r="J38" s="100">
        <f>J37+AMT[[#This Row],[Purchase]]-AMT[[#This Row],[Payment]]</f>
        <v>344810</v>
      </c>
    </row>
    <row r="39" spans="1:10" x14ac:dyDescent="0.55000000000000004">
      <c r="A39" s="59">
        <v>44345</v>
      </c>
      <c r="B39" s="60">
        <v>21275</v>
      </c>
      <c r="C39" s="60" t="s">
        <v>6</v>
      </c>
      <c r="D39" s="1" t="s">
        <v>18</v>
      </c>
      <c r="E39" s="62" t="s">
        <v>166</v>
      </c>
      <c r="F39" s="63"/>
      <c r="G39" s="63">
        <v>18000</v>
      </c>
      <c r="H39" s="64"/>
      <c r="I39" s="64">
        <f>AMT[[#This Row],[Opening]]+AMT[[#This Row],[Purchase]]-AMT[[#This Row],[Payment]]</f>
        <v>18000</v>
      </c>
      <c r="J39" s="100">
        <f>J38+AMT[[#This Row],[Purchase]]-AMT[[#This Row],[Payment]]</f>
        <v>362810</v>
      </c>
    </row>
    <row r="40" spans="1:10" x14ac:dyDescent="0.55000000000000004">
      <c r="A40" s="59">
        <v>44345</v>
      </c>
      <c r="B40" s="60">
        <v>49090</v>
      </c>
      <c r="C40" s="60" t="s">
        <v>6</v>
      </c>
      <c r="D40" s="1" t="s">
        <v>18</v>
      </c>
      <c r="E40" s="62" t="s">
        <v>167</v>
      </c>
      <c r="F40" s="63"/>
      <c r="G40" s="63">
        <v>585745</v>
      </c>
      <c r="H40" s="64"/>
      <c r="I40" s="64">
        <f>AMT[[#This Row],[Opening]]+AMT[[#This Row],[Purchase]]-AMT[[#This Row],[Payment]]</f>
        <v>585745</v>
      </c>
      <c r="J40" s="100">
        <f>J39+AMT[[#This Row],[Purchase]]-AMT[[#This Row],[Payment]]</f>
        <v>948555</v>
      </c>
    </row>
    <row r="41" spans="1:10" x14ac:dyDescent="0.55000000000000004">
      <c r="A41" s="59">
        <v>44347</v>
      </c>
      <c r="B41" s="60">
        <v>48451</v>
      </c>
      <c r="C41" s="60" t="s">
        <v>6</v>
      </c>
      <c r="D41" s="1" t="s">
        <v>18</v>
      </c>
      <c r="E41" s="46" t="s">
        <v>183</v>
      </c>
      <c r="F41" s="63"/>
      <c r="G41" s="63">
        <v>180249</v>
      </c>
      <c r="H41" s="64"/>
      <c r="I41" s="64">
        <f>AMT[[#This Row],[Opening]]+AMT[[#This Row],[Purchase]]-AMT[[#This Row],[Payment]]</f>
        <v>180249</v>
      </c>
      <c r="J41" s="100">
        <f>J40+AMT[[#This Row],[Purchase]]-AMT[[#This Row],[Payment]]</f>
        <v>1128804</v>
      </c>
    </row>
    <row r="42" spans="1:10" x14ac:dyDescent="0.55000000000000004">
      <c r="A42" s="59"/>
      <c r="B42" s="60"/>
      <c r="C42" s="60"/>
      <c r="D42" s="61"/>
      <c r="E42" s="62"/>
      <c r="F42" s="63"/>
      <c r="G42" s="63"/>
      <c r="H42" s="64"/>
      <c r="I42" s="64"/>
    </row>
    <row r="43" spans="1:10" x14ac:dyDescent="0.55000000000000004">
      <c r="A43" s="54"/>
      <c r="B43" s="55"/>
      <c r="C43" s="55"/>
      <c r="D43" s="52"/>
      <c r="E43" s="56"/>
      <c r="F43" s="53"/>
      <c r="G43" s="53"/>
      <c r="H43" s="57"/>
      <c r="I43" s="57"/>
    </row>
    <row r="44" spans="1:10" x14ac:dyDescent="0.55000000000000004">
      <c r="A44" s="18"/>
      <c r="B44" s="16"/>
      <c r="C44" s="16"/>
      <c r="E44" s="14"/>
      <c r="F44" s="19"/>
      <c r="G44" s="19"/>
      <c r="H44" s="17"/>
      <c r="I44" s="17"/>
    </row>
    <row r="45" spans="1:10" x14ac:dyDescent="0.55000000000000004">
      <c r="A45" s="18"/>
      <c r="B45" s="16"/>
      <c r="C45" s="16"/>
      <c r="E45" s="14"/>
      <c r="F45" s="19"/>
      <c r="G45" s="19"/>
      <c r="H45" s="17"/>
      <c r="I45" s="17"/>
    </row>
    <row r="46" spans="1:10" x14ac:dyDescent="0.55000000000000004">
      <c r="C46" s="11"/>
    </row>
    <row r="47" spans="1:10" x14ac:dyDescent="0.55000000000000004">
      <c r="C47" s="11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C2:C47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2"/>
  <sheetViews>
    <sheetView zoomScale="90" zoomScaleNormal="90" workbookViewId="0">
      <selection activeCell="J12" sqref="J12"/>
    </sheetView>
  </sheetViews>
  <sheetFormatPr defaultColWidth="8.7109375" defaultRowHeight="21.75" x14ac:dyDescent="0.55000000000000004"/>
  <cols>
    <col min="1" max="1" width="14.7109375" style="75" customWidth="1"/>
    <col min="2" max="2" width="11.42578125" style="74" customWidth="1"/>
    <col min="3" max="3" width="13.5703125" style="1" customWidth="1"/>
    <col min="4" max="4" width="21.42578125" style="1" customWidth="1"/>
    <col min="5" max="5" width="52.42578125" style="7" customWidth="1"/>
    <col min="6" max="6" width="15.7109375" style="8" customWidth="1"/>
    <col min="7" max="7" width="15.5703125" style="8" customWidth="1"/>
    <col min="8" max="8" width="18.140625" style="9" customWidth="1"/>
    <col min="9" max="9" width="14.7109375" style="9" bestFit="1" customWidth="1"/>
    <col min="10" max="10" width="23.28515625" style="9" customWidth="1"/>
    <col min="11" max="11" width="10.85546875" style="9" bestFit="1" customWidth="1"/>
    <col min="12" max="16384" width="8.7109375" style="1"/>
  </cols>
  <sheetData>
    <row r="1" spans="1:11" s="7" customFormat="1" ht="24.75" customHeight="1" x14ac:dyDescent="0.55000000000000004">
      <c r="A1" s="75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100" t="s">
        <v>182</v>
      </c>
      <c r="K1" s="8"/>
    </row>
    <row r="2" spans="1:11" x14ac:dyDescent="0.55000000000000004">
      <c r="A2" s="76">
        <v>44317</v>
      </c>
      <c r="B2" s="58"/>
      <c r="C2" s="16" t="s">
        <v>5</v>
      </c>
      <c r="D2" s="1" t="s">
        <v>75</v>
      </c>
      <c r="E2" s="7" t="s">
        <v>5</v>
      </c>
      <c r="F2" s="19">
        <v>18952000</v>
      </c>
      <c r="G2" s="19"/>
      <c r="H2" s="17"/>
      <c r="I2" s="17">
        <f>GBS_TRI[[#This Row],[Opening]]+GBS_TRI[[#This Row],[Purchase]]-GBS_TRI[[#This Row],[Payment]]</f>
        <v>18952000</v>
      </c>
      <c r="J2" s="100">
        <f>GBS_TRI[[#This Row],[Balance]]</f>
        <v>18952000</v>
      </c>
    </row>
    <row r="3" spans="1:11" x14ac:dyDescent="0.55000000000000004">
      <c r="A3" s="77">
        <v>44320</v>
      </c>
      <c r="B3" s="73">
        <v>811</v>
      </c>
      <c r="C3" s="60" t="s">
        <v>6</v>
      </c>
      <c r="D3" s="1" t="s">
        <v>75</v>
      </c>
      <c r="E3" s="62" t="s">
        <v>129</v>
      </c>
      <c r="F3" s="63"/>
      <c r="G3" s="63">
        <v>9270000</v>
      </c>
      <c r="H3" s="64"/>
      <c r="I3" s="64">
        <f>GBS_TRI[[#This Row],[Opening]]+GBS_TRI[[#This Row],[Purchase]]-GBS_TRI[[#This Row],[Payment]]</f>
        <v>9270000</v>
      </c>
      <c r="J3" s="100">
        <f>J2+GBS_TRI[[#This Row],[Purchase]]-GBS_TRI[[#This Row],[Payment]]</f>
        <v>28222000</v>
      </c>
    </row>
    <row r="4" spans="1:11" x14ac:dyDescent="0.55000000000000004">
      <c r="A4" s="77">
        <v>44320</v>
      </c>
      <c r="B4" s="73">
        <v>29027</v>
      </c>
      <c r="C4" s="60" t="s">
        <v>6</v>
      </c>
      <c r="D4" s="1" t="s">
        <v>75</v>
      </c>
      <c r="E4" s="44" t="s">
        <v>130</v>
      </c>
      <c r="F4" s="63"/>
      <c r="G4" s="63">
        <v>4300000</v>
      </c>
      <c r="H4" s="64"/>
      <c r="I4" s="64">
        <f>GBS_TRI[[#This Row],[Opening]]+GBS_TRI[[#This Row],[Purchase]]-GBS_TRI[[#This Row],[Payment]]</f>
        <v>4300000</v>
      </c>
      <c r="J4" s="100">
        <f>J3+GBS_TRI[[#This Row],[Purchase]]-GBS_TRI[[#This Row],[Payment]]</f>
        <v>32522000</v>
      </c>
    </row>
    <row r="5" spans="1:11" x14ac:dyDescent="0.55000000000000004">
      <c r="A5" s="76">
        <v>44335</v>
      </c>
      <c r="B5" s="66">
        <v>12933</v>
      </c>
      <c r="C5" s="48" t="s">
        <v>7</v>
      </c>
      <c r="D5" s="1" t="s">
        <v>75</v>
      </c>
      <c r="E5" s="44" t="s">
        <v>151</v>
      </c>
      <c r="F5" s="50"/>
      <c r="G5" s="50"/>
      <c r="H5" s="51">
        <v>2320000</v>
      </c>
      <c r="I5" s="51">
        <f>GBS_TRI[[#This Row],[Opening]]+GBS_TRI[[#This Row],[Purchase]]-GBS_TRI[[#This Row],[Payment]]</f>
        <v>-2320000</v>
      </c>
      <c r="J5" s="100">
        <f>J4+GBS_TRI[[#This Row],[Purchase]]-GBS_TRI[[#This Row],[Payment]]</f>
        <v>30202000</v>
      </c>
    </row>
    <row r="6" spans="1:11" x14ac:dyDescent="0.55000000000000004">
      <c r="A6" s="76">
        <v>44335</v>
      </c>
      <c r="B6" s="66">
        <v>12933</v>
      </c>
      <c r="C6" s="48" t="s">
        <v>7</v>
      </c>
      <c r="D6" s="1" t="s">
        <v>75</v>
      </c>
      <c r="E6" s="44" t="s">
        <v>151</v>
      </c>
      <c r="F6" s="50"/>
      <c r="G6" s="50"/>
      <c r="H6" s="51">
        <v>2150000</v>
      </c>
      <c r="I6" s="51">
        <f>GBS_TRI[[#This Row],[Opening]]+GBS_TRI[[#This Row],[Purchase]]-GBS_TRI[[#This Row],[Payment]]</f>
        <v>-2150000</v>
      </c>
      <c r="J6" s="100">
        <f>J5+GBS_TRI[[#This Row],[Purchase]]-GBS_TRI[[#This Row],[Payment]]</f>
        <v>28052000</v>
      </c>
    </row>
    <row r="7" spans="1:11" x14ac:dyDescent="0.55000000000000004">
      <c r="A7" s="81">
        <v>44326</v>
      </c>
      <c r="B7" s="73"/>
      <c r="C7" s="60" t="s">
        <v>7</v>
      </c>
      <c r="D7" s="1" t="s">
        <v>75</v>
      </c>
      <c r="E7" s="44" t="s">
        <v>177</v>
      </c>
      <c r="F7" s="63"/>
      <c r="G7" s="63"/>
      <c r="H7" s="64">
        <v>2380000</v>
      </c>
      <c r="I7" s="64">
        <f>GBS_TRI[[#This Row],[Opening]]+GBS_TRI[[#This Row],[Purchase]]-GBS_TRI[[#This Row],[Payment]]</f>
        <v>-2380000</v>
      </c>
      <c r="J7" s="100">
        <f>J6+GBS_TRI[[#This Row],[Purchase]]-GBS_TRI[[#This Row],[Payment]]</f>
        <v>25672000</v>
      </c>
    </row>
    <row r="8" spans="1:11" x14ac:dyDescent="0.55000000000000004">
      <c r="A8" s="87">
        <v>44329</v>
      </c>
      <c r="B8" s="88"/>
      <c r="C8" s="89" t="s">
        <v>7</v>
      </c>
      <c r="D8" s="1" t="s">
        <v>75</v>
      </c>
      <c r="E8" s="91" t="s">
        <v>178</v>
      </c>
      <c r="F8" s="86"/>
      <c r="G8" s="86"/>
      <c r="H8" s="92">
        <v>3090000</v>
      </c>
      <c r="I8" s="92">
        <f>GBS_TRI[[#This Row],[Opening]]+GBS_TRI[[#This Row],[Purchase]]-GBS_TRI[[#This Row],[Payment]]</f>
        <v>-3090000</v>
      </c>
      <c r="J8" s="100">
        <f>J7+GBS_TRI[[#This Row],[Purchase]]-GBS_TRI[[#This Row],[Payment]]</f>
        <v>22582000</v>
      </c>
    </row>
    <row r="9" spans="1:11" x14ac:dyDescent="0.55000000000000004">
      <c r="A9" s="87">
        <v>44329</v>
      </c>
      <c r="B9" s="88"/>
      <c r="C9" s="89" t="s">
        <v>7</v>
      </c>
      <c r="D9" s="1" t="s">
        <v>75</v>
      </c>
      <c r="E9" s="91" t="s">
        <v>179</v>
      </c>
      <c r="F9" s="86"/>
      <c r="G9" s="86"/>
      <c r="H9" s="92">
        <v>8866000</v>
      </c>
      <c r="I9" s="92">
        <f>GBS_TRI[[#This Row],[Opening]]+GBS_TRI[[#This Row],[Purchase]]-GBS_TRI[[#This Row],[Payment]]</f>
        <v>-8866000</v>
      </c>
      <c r="J9" s="100">
        <f>J8+GBS_TRI[[#This Row],[Purchase]]-GBS_TRI[[#This Row],[Payment]]</f>
        <v>13716000</v>
      </c>
    </row>
    <row r="10" spans="1:11" x14ac:dyDescent="0.55000000000000004">
      <c r="A10" s="87">
        <v>44342</v>
      </c>
      <c r="B10" s="88"/>
      <c r="C10" s="89" t="s">
        <v>6</v>
      </c>
      <c r="D10" s="1" t="s">
        <v>75</v>
      </c>
      <c r="E10" s="91" t="s">
        <v>180</v>
      </c>
      <c r="F10" s="86"/>
      <c r="G10" s="86">
        <v>3000000</v>
      </c>
      <c r="H10" s="92"/>
      <c r="I10" s="92">
        <f>GBS_TRI[[#This Row],[Opening]]+GBS_TRI[[#This Row],[Purchase]]-GBS_TRI[[#This Row],[Payment]]</f>
        <v>3000000</v>
      </c>
      <c r="J10" s="100">
        <f>J9+GBS_TRI[[#This Row],[Purchase]]-GBS_TRI[[#This Row],[Payment]]</f>
        <v>16716000</v>
      </c>
    </row>
    <row r="11" spans="1:11" x14ac:dyDescent="0.55000000000000004">
      <c r="A11" s="87">
        <v>44328</v>
      </c>
      <c r="B11" s="88"/>
      <c r="C11" s="89" t="s">
        <v>6</v>
      </c>
      <c r="D11" s="1" t="s">
        <v>75</v>
      </c>
      <c r="E11" s="91" t="s">
        <v>181</v>
      </c>
      <c r="F11" s="86"/>
      <c r="G11" s="86">
        <v>24000</v>
      </c>
      <c r="H11" s="92"/>
      <c r="I11" s="92">
        <f>GBS_TRI[[#This Row],[Opening]]+GBS_TRI[[#This Row],[Purchase]]-GBS_TRI[[#This Row],[Payment]]</f>
        <v>24000</v>
      </c>
      <c r="J11" s="100">
        <f>J10+GBS_TRI[[#This Row],[Purchase]]-GBS_TRI[[#This Row],[Payment]]</f>
        <v>16740000</v>
      </c>
    </row>
    <row r="12" spans="1:11" x14ac:dyDescent="0.55000000000000004">
      <c r="A12" s="87"/>
      <c r="B12" s="88"/>
      <c r="C12" s="89"/>
      <c r="D12" s="90"/>
      <c r="E12" s="91"/>
      <c r="F12" s="86"/>
      <c r="G12" s="86"/>
      <c r="H12" s="92"/>
      <c r="I12" s="92"/>
    </row>
    <row r="13" spans="1:11" x14ac:dyDescent="0.55000000000000004">
      <c r="A13" s="76"/>
      <c r="B13" s="58"/>
      <c r="C13" s="16"/>
      <c r="E13" s="43"/>
      <c r="F13" s="19"/>
      <c r="G13" s="19"/>
      <c r="H13" s="17"/>
      <c r="I13" s="17"/>
    </row>
    <row r="14" spans="1:11" x14ac:dyDescent="0.55000000000000004">
      <c r="A14" s="76"/>
      <c r="B14" s="58"/>
      <c r="C14" s="16"/>
      <c r="E14" s="43"/>
      <c r="F14" s="19"/>
      <c r="G14" s="19"/>
      <c r="H14" s="17"/>
      <c r="I14" s="17"/>
    </row>
    <row r="15" spans="1:11" x14ac:dyDescent="0.55000000000000004">
      <c r="A15" s="76"/>
      <c r="C15" s="16"/>
      <c r="E15" s="43"/>
      <c r="F15" s="19"/>
      <c r="G15" s="19"/>
      <c r="H15" s="17"/>
      <c r="I15" s="17"/>
    </row>
    <row r="16" spans="1:11" x14ac:dyDescent="0.55000000000000004">
      <c r="A16" s="76"/>
      <c r="B16" s="58"/>
      <c r="C16" s="16"/>
      <c r="E16" s="43"/>
      <c r="F16" s="19"/>
      <c r="G16" s="19"/>
      <c r="H16" s="17"/>
      <c r="I16" s="17"/>
    </row>
    <row r="17" spans="1:9" x14ac:dyDescent="0.55000000000000004">
      <c r="A17" s="76"/>
      <c r="B17" s="58"/>
      <c r="C17" s="16"/>
      <c r="E17" s="43"/>
      <c r="F17" s="19"/>
      <c r="G17" s="19"/>
      <c r="H17" s="17"/>
      <c r="I17" s="17"/>
    </row>
    <row r="18" spans="1:9" x14ac:dyDescent="0.55000000000000004">
      <c r="A18" s="76"/>
      <c r="B18" s="58"/>
      <c r="C18" s="16"/>
      <c r="E18" s="44"/>
      <c r="F18" s="19"/>
      <c r="G18" s="19"/>
      <c r="H18" s="17"/>
      <c r="I18" s="17"/>
    </row>
    <row r="19" spans="1:9" x14ac:dyDescent="0.55000000000000004">
      <c r="A19" s="78"/>
      <c r="B19" s="66"/>
      <c r="C19" s="48"/>
      <c r="D19" s="49"/>
      <c r="E19" s="44"/>
      <c r="F19" s="50"/>
      <c r="G19" s="50"/>
      <c r="H19" s="51"/>
      <c r="I19" s="51"/>
    </row>
    <row r="20" spans="1:9" x14ac:dyDescent="0.55000000000000004">
      <c r="A20" s="76"/>
      <c r="B20" s="58"/>
      <c r="C20" s="16"/>
      <c r="E20" s="14"/>
      <c r="F20" s="19"/>
      <c r="G20" s="19"/>
      <c r="H20" s="17"/>
      <c r="I20" s="17"/>
    </row>
    <row r="21" spans="1:9" x14ac:dyDescent="0.55000000000000004">
      <c r="C21" s="11"/>
    </row>
    <row r="22" spans="1:9" x14ac:dyDescent="0.55000000000000004">
      <c r="C22" s="11"/>
    </row>
  </sheetData>
  <phoneticPr fontId="11" type="noConversion"/>
  <pageMargins left="0.7" right="0.7" top="0.75" bottom="0.75" header="0.3" footer="0.3"/>
  <pageSetup paperSize="9" orientation="portrait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C2:C47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5"/>
  <sheetViews>
    <sheetView zoomScale="90" zoomScaleNormal="90" workbookViewId="0">
      <selection activeCell="J5" sqref="J5"/>
    </sheetView>
  </sheetViews>
  <sheetFormatPr defaultColWidth="8.7109375" defaultRowHeight="21.75" x14ac:dyDescent="0.55000000000000004"/>
  <cols>
    <col min="1" max="1" width="14.7109375" style="13" customWidth="1"/>
    <col min="2" max="2" width="12.7109375" style="74" customWidth="1"/>
    <col min="3" max="3" width="13" style="1" customWidth="1"/>
    <col min="4" max="4" width="26.140625" style="1" customWidth="1"/>
    <col min="5" max="5" width="31" style="7" customWidth="1"/>
    <col min="6" max="6" width="17.5703125" style="8" bestFit="1" customWidth="1"/>
    <col min="7" max="7" width="18.42578125" style="8" customWidth="1"/>
    <col min="8" max="8" width="17.28515625" style="9" customWidth="1"/>
    <col min="9" max="9" width="13.85546875" style="9" customWidth="1"/>
    <col min="10" max="10" width="16.4257812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100" t="s">
        <v>182</v>
      </c>
      <c r="K1" s="8"/>
    </row>
    <row r="2" spans="1:11" x14ac:dyDescent="0.55000000000000004">
      <c r="A2" s="18">
        <v>44317</v>
      </c>
      <c r="B2" s="58"/>
      <c r="C2" s="16" t="s">
        <v>5</v>
      </c>
      <c r="D2" s="1" t="s">
        <v>74</v>
      </c>
      <c r="E2" s="14" t="s">
        <v>5</v>
      </c>
      <c r="F2" s="19">
        <v>851960</v>
      </c>
      <c r="G2" s="19"/>
      <c r="H2" s="17"/>
      <c r="I2" s="17">
        <f>DTL[[#This Row],[Opening]]+DTL[[#This Row],[Purchase]]-DTL[[#This Row],[Payment]]</f>
        <v>851960</v>
      </c>
      <c r="J2" s="100">
        <f>DTL[[#This Row],[Balance]]</f>
        <v>851960</v>
      </c>
    </row>
    <row r="3" spans="1:11" x14ac:dyDescent="0.55000000000000004">
      <c r="A3" s="18">
        <v>44329</v>
      </c>
      <c r="B3" s="58">
        <v>40129</v>
      </c>
      <c r="C3" s="16" t="s">
        <v>7</v>
      </c>
      <c r="D3" s="1" t="s">
        <v>74</v>
      </c>
      <c r="E3" s="46" t="s">
        <v>86</v>
      </c>
      <c r="F3" s="19"/>
      <c r="G3" s="19"/>
      <c r="H3" s="17">
        <v>852000</v>
      </c>
      <c r="I3" s="17">
        <f>DTL[[#This Row],[Opening]]+DTL[[#This Row],[Purchase]]-DTL[[#This Row],[Payment]]</f>
        <v>-852000</v>
      </c>
      <c r="J3" s="100">
        <f>J2+DTL[[#This Row],[Purchase]]-DTL[[#This Row],[Payment]]</f>
        <v>-40</v>
      </c>
    </row>
    <row r="4" spans="1:11" x14ac:dyDescent="0.55000000000000004">
      <c r="A4" s="59">
        <v>44329</v>
      </c>
      <c r="B4" s="73">
        <v>45296</v>
      </c>
      <c r="C4" s="60" t="s">
        <v>6</v>
      </c>
      <c r="D4" s="1" t="s">
        <v>74</v>
      </c>
      <c r="E4" s="46" t="s">
        <v>152</v>
      </c>
      <c r="F4" s="63"/>
      <c r="G4" s="64">
        <v>980400</v>
      </c>
      <c r="H4" s="64"/>
      <c r="I4" s="64">
        <f>DTL[[#This Row],[Opening]]+DTL[[#This Row],[Purchase]]-DTL[[#This Row],[Payment]]</f>
        <v>980400</v>
      </c>
      <c r="J4" s="100">
        <f>J3+DTL[[#This Row],[Purchase]]-DTL[[#This Row],[Payment]]</f>
        <v>980360</v>
      </c>
    </row>
    <row r="5" spans="1:11" x14ac:dyDescent="0.55000000000000004">
      <c r="A5" s="47"/>
      <c r="B5" s="66"/>
      <c r="C5" s="48"/>
      <c r="D5" s="49"/>
      <c r="E5" s="46"/>
      <c r="F5" s="50"/>
      <c r="G5" s="50"/>
      <c r="H5" s="51"/>
      <c r="I5" s="51"/>
    </row>
    <row r="6" spans="1:11" x14ac:dyDescent="0.55000000000000004">
      <c r="A6" s="18"/>
      <c r="B6" s="58"/>
      <c r="C6" s="16"/>
      <c r="E6" s="44"/>
      <c r="F6" s="19"/>
      <c r="G6" s="17"/>
      <c r="H6" s="17"/>
      <c r="I6" s="17"/>
    </row>
    <row r="7" spans="1:11" x14ac:dyDescent="0.55000000000000004">
      <c r="A7" s="18"/>
      <c r="B7" s="58"/>
      <c r="C7" s="16"/>
      <c r="E7" s="44"/>
      <c r="F7" s="19"/>
      <c r="G7" s="19"/>
      <c r="H7" s="17"/>
      <c r="I7" s="17"/>
    </row>
    <row r="8" spans="1:11" x14ac:dyDescent="0.55000000000000004">
      <c r="A8" s="54"/>
      <c r="B8" s="58"/>
      <c r="C8" s="55"/>
      <c r="E8" s="56"/>
      <c r="F8" s="53"/>
      <c r="G8" s="53"/>
      <c r="H8" s="57"/>
      <c r="I8" s="57"/>
    </row>
    <row r="9" spans="1:11" x14ac:dyDescent="0.55000000000000004">
      <c r="A9" s="54"/>
      <c r="B9" s="79"/>
      <c r="C9" s="55"/>
      <c r="D9" s="52"/>
      <c r="E9" s="56"/>
      <c r="F9" s="53"/>
      <c r="G9" s="53"/>
      <c r="H9" s="57"/>
      <c r="I9" s="57"/>
    </row>
    <row r="10" spans="1:11" x14ac:dyDescent="0.55000000000000004">
      <c r="A10" s="18"/>
      <c r="B10" s="58"/>
      <c r="C10" s="16"/>
      <c r="E10" s="14"/>
      <c r="F10" s="19"/>
      <c r="G10" s="19"/>
      <c r="H10" s="17"/>
      <c r="I10" s="17"/>
    </row>
    <row r="11" spans="1:11" x14ac:dyDescent="0.55000000000000004">
      <c r="A11" s="18"/>
      <c r="B11" s="58"/>
      <c r="C11" s="16"/>
      <c r="E11" s="14"/>
      <c r="F11" s="19"/>
      <c r="G11" s="19"/>
      <c r="H11" s="17"/>
      <c r="I11" s="17"/>
    </row>
    <row r="12" spans="1:11" x14ac:dyDescent="0.55000000000000004">
      <c r="A12" s="18"/>
      <c r="B12" s="58"/>
      <c r="C12" s="16"/>
      <c r="E12" s="14"/>
      <c r="F12" s="19"/>
      <c r="G12" s="19"/>
      <c r="H12" s="17"/>
      <c r="I12" s="17"/>
    </row>
    <row r="13" spans="1:11" x14ac:dyDescent="0.55000000000000004">
      <c r="A13" s="18"/>
      <c r="B13" s="58"/>
      <c r="C13" s="16"/>
      <c r="E13" s="14"/>
      <c r="F13" s="19"/>
      <c r="G13" s="19"/>
      <c r="H13" s="17"/>
      <c r="I13" s="17"/>
    </row>
    <row r="14" spans="1:11" x14ac:dyDescent="0.55000000000000004">
      <c r="C14" s="11"/>
    </row>
    <row r="15" spans="1:11" x14ac:dyDescent="0.55000000000000004">
      <c r="C15" s="11"/>
    </row>
  </sheetData>
  <pageMargins left="0.7" right="0.7" top="0.75" bottom="0.75" header="0.3" footer="0.3"/>
  <pageSetup paperSize="9" orientation="portrait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C2:C42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9"/>
  <sheetViews>
    <sheetView topLeftCell="A10" zoomScale="90" zoomScaleNormal="90" workbookViewId="0">
      <selection activeCell="J20" sqref="J20"/>
    </sheetView>
  </sheetViews>
  <sheetFormatPr defaultColWidth="8.7109375" defaultRowHeight="21.75" x14ac:dyDescent="0.55000000000000004"/>
  <cols>
    <col min="1" max="1" width="14.7109375" style="13" customWidth="1"/>
    <col min="2" max="2" width="12.28515625" style="71" customWidth="1"/>
    <col min="3" max="3" width="15.140625" style="1" customWidth="1"/>
    <col min="4" max="4" width="24.42578125" style="1" bestFit="1" customWidth="1"/>
    <col min="5" max="5" width="34.140625" style="7" customWidth="1"/>
    <col min="6" max="6" width="17.5703125" style="8" bestFit="1" customWidth="1"/>
    <col min="7" max="7" width="18.42578125" style="8" customWidth="1"/>
    <col min="8" max="8" width="19" style="9" customWidth="1"/>
    <col min="9" max="9" width="14.7109375" style="9" bestFit="1" customWidth="1"/>
    <col min="10" max="10" width="18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67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100" t="s">
        <v>182</v>
      </c>
      <c r="K1" s="8"/>
    </row>
    <row r="2" spans="1:11" x14ac:dyDescent="0.55000000000000004">
      <c r="A2" s="18">
        <v>44317</v>
      </c>
      <c r="B2" s="45"/>
      <c r="C2" s="16" t="s">
        <v>5</v>
      </c>
      <c r="D2" s="1" t="s">
        <v>76</v>
      </c>
      <c r="E2" s="7" t="s">
        <v>5</v>
      </c>
      <c r="F2" s="19">
        <v>3917000</v>
      </c>
      <c r="G2" s="19"/>
      <c r="H2" s="17"/>
      <c r="I2" s="17">
        <f>GBS_ENG[[#This Row],[Opening]]+GBS_ENG[[#This Row],[Purchase]]-GBS_ENG[[#This Row],[Payment]]</f>
        <v>3917000</v>
      </c>
      <c r="J2" s="100">
        <f>GBS_ENG[[#This Row],[Balance]]</f>
        <v>3917000</v>
      </c>
    </row>
    <row r="3" spans="1:11" x14ac:dyDescent="0.55000000000000004">
      <c r="A3" s="18">
        <v>44319</v>
      </c>
      <c r="B3" s="68">
        <v>12785</v>
      </c>
      <c r="C3" s="16" t="s">
        <v>7</v>
      </c>
      <c r="D3" s="1" t="s">
        <v>76</v>
      </c>
      <c r="E3" s="44" t="s">
        <v>86</v>
      </c>
      <c r="F3" s="19"/>
      <c r="G3" s="19"/>
      <c r="H3" s="17">
        <v>906000</v>
      </c>
      <c r="I3" s="17">
        <f>GBS_ENG[[#This Row],[Opening]]+GBS_ENG[[#This Row],[Purchase]]-GBS_ENG[[#This Row],[Payment]]</f>
        <v>-906000</v>
      </c>
      <c r="J3" s="100">
        <f>J2+GBS_ENG[[#This Row],[Purchase]]-GBS_ENG[[#This Row],[Payment]]</f>
        <v>3011000</v>
      </c>
    </row>
    <row r="4" spans="1:11" x14ac:dyDescent="0.55000000000000004">
      <c r="A4" s="59">
        <v>44319</v>
      </c>
      <c r="B4" s="69">
        <v>1457</v>
      </c>
      <c r="C4" s="60" t="s">
        <v>6</v>
      </c>
      <c r="D4" s="1" t="s">
        <v>76</v>
      </c>
      <c r="E4" s="62" t="s">
        <v>95</v>
      </c>
      <c r="F4" s="63"/>
      <c r="G4" s="63">
        <v>2488000</v>
      </c>
      <c r="H4" s="64"/>
      <c r="I4" s="64">
        <f>GBS_ENG[[#This Row],[Opening]]+GBS_ENG[[#This Row],[Purchase]]-GBS_ENG[[#This Row],[Payment]]</f>
        <v>2488000</v>
      </c>
      <c r="J4" s="100">
        <f>J3+GBS_ENG[[#This Row],[Purchase]]-GBS_ENG[[#This Row],[Payment]]</f>
        <v>5499000</v>
      </c>
    </row>
    <row r="5" spans="1:11" x14ac:dyDescent="0.55000000000000004">
      <c r="A5" s="59">
        <v>44320</v>
      </c>
      <c r="B5" s="69">
        <v>1457</v>
      </c>
      <c r="C5" s="60" t="s">
        <v>6</v>
      </c>
      <c r="D5" s="1" t="s">
        <v>76</v>
      </c>
      <c r="E5" s="62" t="s">
        <v>95</v>
      </c>
      <c r="F5" s="63"/>
      <c r="G5" s="63">
        <v>2177000</v>
      </c>
      <c r="H5" s="64"/>
      <c r="I5" s="64">
        <f>GBS_ENG[[#This Row],[Opening]]+GBS_ENG[[#This Row],[Purchase]]-GBS_ENG[[#This Row],[Payment]]</f>
        <v>2177000</v>
      </c>
      <c r="J5" s="100">
        <f>J4+GBS_ENG[[#This Row],[Purchase]]-GBS_ENG[[#This Row],[Payment]]</f>
        <v>7676000</v>
      </c>
    </row>
    <row r="6" spans="1:11" x14ac:dyDescent="0.55000000000000004">
      <c r="A6" s="59">
        <v>44320</v>
      </c>
      <c r="B6" s="69">
        <v>1483</v>
      </c>
      <c r="C6" s="60" t="s">
        <v>6</v>
      </c>
      <c r="D6" s="1" t="s">
        <v>76</v>
      </c>
      <c r="E6" s="62" t="s">
        <v>97</v>
      </c>
      <c r="F6" s="63"/>
      <c r="G6" s="63">
        <v>3700000</v>
      </c>
      <c r="H6" s="64"/>
      <c r="I6" s="64">
        <f>GBS_ENG[[#This Row],[Opening]]+GBS_ENG[[#This Row],[Purchase]]-GBS_ENG[[#This Row],[Payment]]</f>
        <v>3700000</v>
      </c>
      <c r="J6" s="100">
        <f>J5+GBS_ENG[[#This Row],[Purchase]]-GBS_ENG[[#This Row],[Payment]]</f>
        <v>11376000</v>
      </c>
    </row>
    <row r="7" spans="1:11" x14ac:dyDescent="0.55000000000000004">
      <c r="A7" s="59">
        <v>44326</v>
      </c>
      <c r="B7" s="69">
        <v>12842</v>
      </c>
      <c r="C7" s="60" t="s">
        <v>7</v>
      </c>
      <c r="D7" s="1" t="s">
        <v>76</v>
      </c>
      <c r="E7" s="62" t="s">
        <v>86</v>
      </c>
      <c r="F7" s="63"/>
      <c r="G7" s="63"/>
      <c r="H7" s="64">
        <v>2000000</v>
      </c>
      <c r="I7" s="64">
        <f>GBS_ENG[[#This Row],[Opening]]+GBS_ENG[[#This Row],[Purchase]]-GBS_ENG[[#This Row],[Payment]]</f>
        <v>-2000000</v>
      </c>
      <c r="J7" s="100">
        <f>J6+GBS_ENG[[#This Row],[Purchase]]-GBS_ENG[[#This Row],[Payment]]</f>
        <v>9376000</v>
      </c>
    </row>
    <row r="8" spans="1:11" x14ac:dyDescent="0.55000000000000004">
      <c r="A8" s="59">
        <v>44326</v>
      </c>
      <c r="B8" s="69"/>
      <c r="C8" s="60" t="s">
        <v>7</v>
      </c>
      <c r="D8" s="1" t="s">
        <v>76</v>
      </c>
      <c r="E8" s="44" t="s">
        <v>86</v>
      </c>
      <c r="F8" s="63"/>
      <c r="G8" s="63"/>
      <c r="H8" s="64">
        <v>600000</v>
      </c>
      <c r="I8" s="64">
        <f>GBS_ENG[[#This Row],[Opening]]+GBS_ENG[[#This Row],[Purchase]]-GBS_ENG[[#This Row],[Payment]]</f>
        <v>-600000</v>
      </c>
      <c r="J8" s="100">
        <f>J7+GBS_ENG[[#This Row],[Purchase]]-GBS_ENG[[#This Row],[Payment]]</f>
        <v>8776000</v>
      </c>
    </row>
    <row r="9" spans="1:11" x14ac:dyDescent="0.55000000000000004">
      <c r="A9" s="47">
        <v>44327</v>
      </c>
      <c r="B9" s="72">
        <v>2899</v>
      </c>
      <c r="C9" s="60" t="s">
        <v>7</v>
      </c>
      <c r="D9" s="1" t="s">
        <v>76</v>
      </c>
      <c r="E9" s="62" t="s">
        <v>127</v>
      </c>
      <c r="F9" s="50"/>
      <c r="G9" s="50">
        <v>570000</v>
      </c>
      <c r="H9" s="51"/>
      <c r="I9" s="51">
        <f>GBS_ENG[[#This Row],[Opening]]+GBS_ENG[[#This Row],[Purchase]]-GBS_ENG[[#This Row],[Payment]]</f>
        <v>570000</v>
      </c>
      <c r="J9" s="100">
        <f>J8+GBS_ENG[[#This Row],[Purchase]]-GBS_ENG[[#This Row],[Payment]]</f>
        <v>9346000</v>
      </c>
    </row>
    <row r="10" spans="1:11" x14ac:dyDescent="0.55000000000000004">
      <c r="A10" s="59">
        <v>44330</v>
      </c>
      <c r="B10" s="69">
        <v>2199</v>
      </c>
      <c r="C10" s="60" t="s">
        <v>7</v>
      </c>
      <c r="D10" s="1" t="s">
        <v>76</v>
      </c>
      <c r="E10" s="44" t="s">
        <v>86</v>
      </c>
      <c r="F10" s="63"/>
      <c r="G10" s="63"/>
      <c r="H10" s="64">
        <v>8596000</v>
      </c>
      <c r="I10" s="64">
        <f>GBS_ENG[[#This Row],[Opening]]+GBS_ENG[[#This Row],[Purchase]]-GBS_ENG[[#This Row],[Payment]]</f>
        <v>-8596000</v>
      </c>
      <c r="J10" s="100">
        <f>J9+GBS_ENG[[#This Row],[Purchase]]-GBS_ENG[[#This Row],[Payment]]</f>
        <v>750000</v>
      </c>
    </row>
    <row r="11" spans="1:11" x14ac:dyDescent="0.55000000000000004">
      <c r="A11" s="59">
        <v>44344</v>
      </c>
      <c r="B11" s="69">
        <v>3043</v>
      </c>
      <c r="C11" s="60" t="s">
        <v>6</v>
      </c>
      <c r="D11" s="1" t="s">
        <v>76</v>
      </c>
      <c r="E11" s="62" t="s">
        <v>155</v>
      </c>
      <c r="F11" s="63"/>
      <c r="G11" s="63">
        <v>746000</v>
      </c>
      <c r="H11" s="64"/>
      <c r="I11" s="64">
        <f>GBS_ENG[[#This Row],[Opening]]+GBS_ENG[[#This Row],[Purchase]]-GBS_ENG[[#This Row],[Payment]]</f>
        <v>746000</v>
      </c>
      <c r="J11" s="100">
        <f>J10+GBS_ENG[[#This Row],[Purchase]]-GBS_ENG[[#This Row],[Payment]]</f>
        <v>1496000</v>
      </c>
    </row>
    <row r="12" spans="1:11" x14ac:dyDescent="0.55000000000000004">
      <c r="A12" s="59">
        <v>44344</v>
      </c>
      <c r="B12" s="69">
        <v>13006</v>
      </c>
      <c r="C12" s="60" t="s">
        <v>7</v>
      </c>
      <c r="D12" s="1" t="s">
        <v>76</v>
      </c>
      <c r="E12" s="44" t="s">
        <v>86</v>
      </c>
      <c r="F12" s="63"/>
      <c r="G12" s="63"/>
      <c r="H12" s="64">
        <v>2966000</v>
      </c>
      <c r="I12" s="64">
        <f>GBS_ENG[[#This Row],[Opening]]+GBS_ENG[[#This Row],[Purchase]]-GBS_ENG[[#This Row],[Payment]]</f>
        <v>-2966000</v>
      </c>
      <c r="J12" s="100">
        <f>J11+GBS_ENG[[#This Row],[Purchase]]-GBS_ENG[[#This Row],[Payment]]</f>
        <v>-1470000</v>
      </c>
    </row>
    <row r="13" spans="1:11" x14ac:dyDescent="0.55000000000000004">
      <c r="A13" s="59">
        <v>44343</v>
      </c>
      <c r="B13" s="69">
        <v>3029</v>
      </c>
      <c r="C13" s="60" t="s">
        <v>6</v>
      </c>
      <c r="D13" s="1" t="s">
        <v>76</v>
      </c>
      <c r="E13" s="62" t="s">
        <v>95</v>
      </c>
      <c r="F13" s="63"/>
      <c r="G13" s="63">
        <v>1119000</v>
      </c>
      <c r="H13" s="64"/>
      <c r="I13" s="64">
        <f>GBS_ENG[[#This Row],[Opening]]+GBS_ENG[[#This Row],[Purchase]]-GBS_ENG[[#This Row],[Payment]]</f>
        <v>1119000</v>
      </c>
      <c r="J13" s="100">
        <f>J12+GBS_ENG[[#This Row],[Purchase]]-GBS_ENG[[#This Row],[Payment]]</f>
        <v>-351000</v>
      </c>
    </row>
    <row r="14" spans="1:11" x14ac:dyDescent="0.55000000000000004">
      <c r="A14" s="59">
        <v>44343</v>
      </c>
      <c r="B14" s="69">
        <v>12994</v>
      </c>
      <c r="C14" s="60" t="s">
        <v>7</v>
      </c>
      <c r="D14" s="1" t="s">
        <v>76</v>
      </c>
      <c r="E14" s="44" t="s">
        <v>86</v>
      </c>
      <c r="F14" s="63"/>
      <c r="G14" s="63"/>
      <c r="H14" s="64">
        <v>1119000</v>
      </c>
      <c r="I14" s="64">
        <f>GBS_ENG[[#This Row],[Opening]]+GBS_ENG[[#This Row],[Purchase]]-GBS_ENG[[#This Row],[Payment]]</f>
        <v>-1119000</v>
      </c>
      <c r="J14" s="100">
        <f>J13+GBS_ENG[[#This Row],[Purchase]]-GBS_ENG[[#This Row],[Payment]]</f>
        <v>-1470000</v>
      </c>
    </row>
    <row r="15" spans="1:11" x14ac:dyDescent="0.55000000000000004">
      <c r="A15" s="59">
        <v>44338</v>
      </c>
      <c r="B15" s="69">
        <v>2997</v>
      </c>
      <c r="C15" s="60" t="s">
        <v>6</v>
      </c>
      <c r="D15" s="1" t="s">
        <v>76</v>
      </c>
      <c r="E15" s="62" t="s">
        <v>155</v>
      </c>
      <c r="F15" s="63"/>
      <c r="G15" s="63">
        <v>3197000</v>
      </c>
      <c r="H15" s="64"/>
      <c r="I15" s="64">
        <f>GBS_ENG[[#This Row],[Opening]]+GBS_ENG[[#This Row],[Purchase]]-GBS_ENG[[#This Row],[Payment]]</f>
        <v>3197000</v>
      </c>
      <c r="J15" s="100">
        <f>J14+GBS_ENG[[#This Row],[Purchase]]-GBS_ENG[[#This Row],[Payment]]</f>
        <v>1727000</v>
      </c>
    </row>
    <row r="16" spans="1:11" x14ac:dyDescent="0.55000000000000004">
      <c r="A16" s="59">
        <v>44338</v>
      </c>
      <c r="B16" s="69">
        <v>12960</v>
      </c>
      <c r="C16" s="60" t="s">
        <v>7</v>
      </c>
      <c r="D16" s="1" t="s">
        <v>76</v>
      </c>
      <c r="E16" s="44" t="s">
        <v>86</v>
      </c>
      <c r="F16" s="63"/>
      <c r="G16" s="63"/>
      <c r="H16" s="64">
        <v>3197000</v>
      </c>
      <c r="I16" s="64">
        <f>GBS_ENG[[#This Row],[Opening]]+GBS_ENG[[#This Row],[Purchase]]-GBS_ENG[[#This Row],[Payment]]</f>
        <v>-3197000</v>
      </c>
      <c r="J16" s="100">
        <f>J15+GBS_ENG[[#This Row],[Purchase]]-GBS_ENG[[#This Row],[Payment]]</f>
        <v>-1470000</v>
      </c>
    </row>
    <row r="17" spans="1:10" x14ac:dyDescent="0.55000000000000004">
      <c r="A17" s="59">
        <v>44334</v>
      </c>
      <c r="B17" s="69">
        <v>2959</v>
      </c>
      <c r="C17" s="60" t="s">
        <v>6</v>
      </c>
      <c r="D17" s="1" t="s">
        <v>76</v>
      </c>
      <c r="E17" s="62" t="s">
        <v>95</v>
      </c>
      <c r="F17" s="63"/>
      <c r="G17" s="63">
        <v>1119000</v>
      </c>
      <c r="H17" s="64"/>
      <c r="I17" s="64">
        <f>GBS_ENG[[#This Row],[Opening]]+GBS_ENG[[#This Row],[Purchase]]-GBS_ENG[[#This Row],[Payment]]</f>
        <v>1119000</v>
      </c>
      <c r="J17" s="100">
        <f>J16+GBS_ENG[[#This Row],[Purchase]]-GBS_ENG[[#This Row],[Payment]]</f>
        <v>-351000</v>
      </c>
    </row>
    <row r="18" spans="1:10" x14ac:dyDescent="0.55000000000000004">
      <c r="A18" s="59">
        <v>44334</v>
      </c>
      <c r="B18" s="69">
        <v>12910</v>
      </c>
      <c r="C18" s="60" t="s">
        <v>7</v>
      </c>
      <c r="D18" s="1" t="s">
        <v>76</v>
      </c>
      <c r="E18" s="44" t="s">
        <v>86</v>
      </c>
      <c r="F18" s="63"/>
      <c r="G18" s="63"/>
      <c r="H18" s="64">
        <v>1119000</v>
      </c>
      <c r="I18" s="64">
        <f>GBS_ENG[[#This Row],[Opening]]+GBS_ENG[[#This Row],[Purchase]]-GBS_ENG[[#This Row],[Payment]]</f>
        <v>-1119000</v>
      </c>
      <c r="J18" s="100">
        <f>J17+GBS_ENG[[#This Row],[Purchase]]-GBS_ENG[[#This Row],[Payment]]</f>
        <v>-1470000</v>
      </c>
    </row>
    <row r="19" spans="1:10" x14ac:dyDescent="0.55000000000000004">
      <c r="A19" s="59">
        <v>44375</v>
      </c>
      <c r="B19" s="69">
        <v>3043</v>
      </c>
      <c r="C19" s="60" t="s">
        <v>6</v>
      </c>
      <c r="D19" s="1" t="s">
        <v>76</v>
      </c>
      <c r="E19" s="62" t="s">
        <v>97</v>
      </c>
      <c r="F19" s="63"/>
      <c r="G19" s="63">
        <v>2220000</v>
      </c>
      <c r="H19" s="64"/>
      <c r="I19" s="64">
        <f>GBS_ENG[[#This Row],[Opening]]+GBS_ENG[[#This Row],[Purchase]]-GBS_ENG[[#This Row],[Payment]]</f>
        <v>2220000</v>
      </c>
      <c r="J19" s="100">
        <f>J18+GBS_ENG[[#This Row],[Purchase]]-GBS_ENG[[#This Row],[Payment]]</f>
        <v>750000</v>
      </c>
    </row>
    <row r="20" spans="1:10" x14ac:dyDescent="0.55000000000000004">
      <c r="A20" s="93"/>
      <c r="B20" s="94"/>
      <c r="C20" s="95"/>
      <c r="D20" s="96"/>
      <c r="E20" s="97"/>
      <c r="F20" s="98"/>
      <c r="G20" s="98"/>
      <c r="H20" s="99"/>
      <c r="I20" s="99"/>
    </row>
    <row r="21" spans="1:10" x14ac:dyDescent="0.55000000000000004">
      <c r="A21" s="47"/>
      <c r="B21" s="70"/>
      <c r="C21" s="48"/>
      <c r="D21" s="49"/>
      <c r="E21" s="44"/>
      <c r="F21" s="50"/>
      <c r="G21" s="50"/>
      <c r="H21" s="51"/>
      <c r="I21" s="51"/>
    </row>
    <row r="22" spans="1:10" x14ac:dyDescent="0.55000000000000004">
      <c r="A22" s="18"/>
      <c r="B22" s="45"/>
      <c r="C22" s="16"/>
      <c r="E22" s="14"/>
      <c r="F22" s="19"/>
      <c r="G22" s="19"/>
      <c r="H22" s="17"/>
      <c r="I22" s="17"/>
    </row>
    <row r="23" spans="1:10" x14ac:dyDescent="0.55000000000000004">
      <c r="A23" s="18"/>
      <c r="B23" s="45"/>
      <c r="C23" s="16"/>
      <c r="E23" s="14"/>
      <c r="F23" s="19"/>
      <c r="G23" s="19"/>
      <c r="H23" s="17"/>
      <c r="I23" s="17"/>
    </row>
    <row r="24" spans="1:10" x14ac:dyDescent="0.55000000000000004">
      <c r="A24" s="18"/>
      <c r="B24" s="45"/>
      <c r="C24" s="16"/>
      <c r="E24" s="14"/>
      <c r="F24" s="19"/>
      <c r="G24" s="19"/>
      <c r="H24" s="17"/>
      <c r="I24" s="17"/>
    </row>
    <row r="25" spans="1:10" x14ac:dyDescent="0.55000000000000004">
      <c r="A25" s="18"/>
      <c r="B25" s="45"/>
      <c r="C25" s="16"/>
      <c r="E25" s="14"/>
      <c r="F25" s="19"/>
      <c r="G25" s="19"/>
      <c r="H25" s="17"/>
      <c r="I25" s="17"/>
    </row>
    <row r="26" spans="1:10" x14ac:dyDescent="0.55000000000000004">
      <c r="A26" s="18"/>
      <c r="B26" s="45"/>
      <c r="C26" s="16"/>
      <c r="E26" s="14"/>
      <c r="F26" s="19"/>
      <c r="G26" s="19"/>
      <c r="H26" s="17"/>
      <c r="I26" s="17"/>
    </row>
    <row r="27" spans="1:10" x14ac:dyDescent="0.55000000000000004">
      <c r="A27" s="18"/>
      <c r="B27" s="45"/>
      <c r="C27" s="16"/>
      <c r="E27" s="14"/>
      <c r="F27" s="19"/>
      <c r="G27" s="19"/>
      <c r="H27" s="17"/>
      <c r="I27" s="17"/>
    </row>
    <row r="28" spans="1:10" x14ac:dyDescent="0.55000000000000004">
      <c r="C28" s="11"/>
    </row>
    <row r="29" spans="1:10" x14ac:dyDescent="0.55000000000000004">
      <c r="C29" s="11"/>
    </row>
  </sheetData>
  <pageMargins left="0.7" right="0.7" top="0.75" bottom="0.75" header="0.3" footer="0.3"/>
  <pageSetup paperSize="9" orientation="portrait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C2:C33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37"/>
  <sheetViews>
    <sheetView zoomScale="90" zoomScaleNormal="90" workbookViewId="0">
      <selection activeCell="J15" sqref="J15"/>
    </sheetView>
  </sheetViews>
  <sheetFormatPr defaultColWidth="8.7109375" defaultRowHeight="21.75" x14ac:dyDescent="0.55000000000000004"/>
  <cols>
    <col min="1" max="1" width="14.7109375" style="13" customWidth="1"/>
    <col min="2" max="2" width="12.28515625" style="11" customWidth="1"/>
    <col min="3" max="3" width="12.28515625" style="1" customWidth="1"/>
    <col min="4" max="4" width="24.42578125" style="1" bestFit="1" customWidth="1"/>
    <col min="5" max="5" width="36.140625" style="7" customWidth="1"/>
    <col min="6" max="6" width="13.42578125" style="8" customWidth="1"/>
    <col min="7" max="7" width="15" style="8" customWidth="1"/>
    <col min="8" max="8" width="15.42578125" style="9" customWidth="1"/>
    <col min="9" max="9" width="14.7109375" style="9" bestFit="1" customWidth="1"/>
    <col min="10" max="10" width="19.4257812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100" t="s">
        <v>182</v>
      </c>
      <c r="K1" s="8"/>
    </row>
    <row r="2" spans="1:11" x14ac:dyDescent="0.55000000000000004">
      <c r="A2" s="18">
        <v>44317</v>
      </c>
      <c r="B2" s="16"/>
      <c r="C2" s="16" t="s">
        <v>5</v>
      </c>
      <c r="D2" s="1" t="s">
        <v>29</v>
      </c>
      <c r="E2" s="7" t="s">
        <v>5</v>
      </c>
      <c r="F2" s="19">
        <v>4027640</v>
      </c>
      <c r="G2" s="19"/>
      <c r="H2" s="17"/>
      <c r="I2" s="17">
        <f>GBS_SP[[#This Row],[Opening]]+GBS_SP[[#This Row],[Purchase]]-GBS_SP[[#This Row],[Payment]]</f>
        <v>4027640</v>
      </c>
      <c r="J2" s="100">
        <f>GBS_SP[[#This Row],[Balance]]</f>
        <v>4027640</v>
      </c>
    </row>
    <row r="3" spans="1:11" x14ac:dyDescent="0.55000000000000004">
      <c r="A3" s="18">
        <v>44319</v>
      </c>
      <c r="B3" s="16"/>
      <c r="C3" s="16" t="s">
        <v>7</v>
      </c>
      <c r="D3" s="1" t="s">
        <v>29</v>
      </c>
      <c r="E3" s="44" t="s">
        <v>85</v>
      </c>
      <c r="F3" s="19"/>
      <c r="G3" s="19"/>
      <c r="H3" s="17">
        <v>1000090</v>
      </c>
      <c r="I3" s="17">
        <f>GBS_SP[[#This Row],[Opening]]+GBS_SP[[#This Row],[Purchase]]-GBS_SP[[#This Row],[Payment]]</f>
        <v>-1000090</v>
      </c>
      <c r="J3" s="100">
        <f>J2+GBS_SP[[#This Row],[Purchase]]-GBS_SP[[#This Row],[Payment]]</f>
        <v>3027550</v>
      </c>
    </row>
    <row r="4" spans="1:11" x14ac:dyDescent="0.55000000000000004">
      <c r="A4" s="59">
        <v>44319</v>
      </c>
      <c r="B4" s="60"/>
      <c r="C4" s="60" t="s">
        <v>6</v>
      </c>
      <c r="D4" s="1" t="s">
        <v>29</v>
      </c>
      <c r="E4" s="62" t="s">
        <v>96</v>
      </c>
      <c r="F4" s="63"/>
      <c r="G4" s="63">
        <v>1209500</v>
      </c>
      <c r="H4" s="64"/>
      <c r="I4" s="64">
        <f>GBS_SP[[#This Row],[Opening]]+GBS_SP[[#This Row],[Purchase]]-GBS_SP[[#This Row],[Payment]]</f>
        <v>1209500</v>
      </c>
      <c r="J4" s="100">
        <f>J3+GBS_SP[[#This Row],[Purchase]]-GBS_SP[[#This Row],[Payment]]</f>
        <v>4237050</v>
      </c>
    </row>
    <row r="5" spans="1:11" x14ac:dyDescent="0.55000000000000004">
      <c r="A5" s="59">
        <v>44321</v>
      </c>
      <c r="B5" s="60"/>
      <c r="C5" s="60" t="s">
        <v>7</v>
      </c>
      <c r="D5" s="1" t="s">
        <v>29</v>
      </c>
      <c r="E5" s="62" t="s">
        <v>87</v>
      </c>
      <c r="F5" s="63"/>
      <c r="G5" s="63"/>
      <c r="H5" s="64">
        <v>71100</v>
      </c>
      <c r="I5" s="64">
        <f>GBS_SP[[#This Row],[Opening]]+GBS_SP[[#This Row],[Purchase]]-GBS_SP[[#This Row],[Payment]]</f>
        <v>-71100</v>
      </c>
      <c r="J5" s="100">
        <f>J4+GBS_SP[[#This Row],[Purchase]]-GBS_SP[[#This Row],[Payment]]</f>
        <v>4165950</v>
      </c>
    </row>
    <row r="6" spans="1:11" x14ac:dyDescent="0.55000000000000004">
      <c r="A6" s="59">
        <v>44321</v>
      </c>
      <c r="B6" s="60">
        <v>1347</v>
      </c>
      <c r="C6" s="60" t="s">
        <v>6</v>
      </c>
      <c r="D6" s="1" t="s">
        <v>29</v>
      </c>
      <c r="E6" s="62" t="s">
        <v>100</v>
      </c>
      <c r="F6" s="63"/>
      <c r="G6" s="63">
        <v>238000</v>
      </c>
      <c r="H6" s="64"/>
      <c r="I6" s="64">
        <f>GBS_SP[[#This Row],[Opening]]+GBS_SP[[#This Row],[Purchase]]-GBS_SP[[#This Row],[Payment]]</f>
        <v>238000</v>
      </c>
      <c r="J6" s="100">
        <f>J5+GBS_SP[[#This Row],[Purchase]]-GBS_SP[[#This Row],[Payment]]</f>
        <v>4403950</v>
      </c>
    </row>
    <row r="7" spans="1:11" x14ac:dyDescent="0.55000000000000004">
      <c r="A7" s="59">
        <v>44323</v>
      </c>
      <c r="B7" s="60">
        <v>14725</v>
      </c>
      <c r="C7" s="60" t="s">
        <v>6</v>
      </c>
      <c r="D7" s="1" t="s">
        <v>29</v>
      </c>
      <c r="E7" s="62" t="s">
        <v>101</v>
      </c>
      <c r="F7" s="63"/>
      <c r="G7" s="63">
        <v>184000</v>
      </c>
      <c r="H7" s="64"/>
      <c r="I7" s="64">
        <f>GBS_SP[[#This Row],[Opening]]+GBS_SP[[#This Row],[Purchase]]-GBS_SP[[#This Row],[Payment]]</f>
        <v>184000</v>
      </c>
      <c r="J7" s="100">
        <f>J6+GBS_SP[[#This Row],[Purchase]]-GBS_SP[[#This Row],[Payment]]</f>
        <v>4587950</v>
      </c>
    </row>
    <row r="8" spans="1:11" x14ac:dyDescent="0.55000000000000004">
      <c r="A8" s="59">
        <v>44323</v>
      </c>
      <c r="B8" s="60"/>
      <c r="C8" s="60" t="s">
        <v>7</v>
      </c>
      <c r="D8" s="1" t="s">
        <v>29</v>
      </c>
      <c r="E8" s="44" t="s">
        <v>86</v>
      </c>
      <c r="F8" s="63"/>
      <c r="G8" s="63"/>
      <c r="H8" s="64">
        <v>200000</v>
      </c>
      <c r="I8" s="64">
        <f>GBS_SP[[#This Row],[Opening]]+GBS_SP[[#This Row],[Purchase]]-GBS_SP[[#This Row],[Payment]]</f>
        <v>-200000</v>
      </c>
      <c r="J8" s="100">
        <f>J7+GBS_SP[[#This Row],[Purchase]]-GBS_SP[[#This Row],[Payment]]</f>
        <v>4387950</v>
      </c>
    </row>
    <row r="9" spans="1:11" x14ac:dyDescent="0.55000000000000004">
      <c r="A9" s="47">
        <v>44326</v>
      </c>
      <c r="B9" s="48"/>
      <c r="C9" s="48" t="s">
        <v>6</v>
      </c>
      <c r="D9" s="1" t="s">
        <v>29</v>
      </c>
      <c r="E9" s="44" t="s">
        <v>122</v>
      </c>
      <c r="F9" s="50"/>
      <c r="G9" s="50">
        <v>439100</v>
      </c>
      <c r="H9" s="51"/>
      <c r="I9" s="51">
        <f>GBS_SP[[#This Row],[Opening]]+GBS_SP[[#This Row],[Purchase]]-GBS_SP[[#This Row],[Payment]]</f>
        <v>439100</v>
      </c>
      <c r="J9" s="100">
        <f>J8+GBS_SP[[#This Row],[Purchase]]-GBS_SP[[#This Row],[Payment]]</f>
        <v>4827050</v>
      </c>
    </row>
    <row r="10" spans="1:11" x14ac:dyDescent="0.55000000000000004">
      <c r="A10" s="59">
        <v>44327</v>
      </c>
      <c r="B10" s="60"/>
      <c r="C10" s="60" t="s">
        <v>7</v>
      </c>
      <c r="D10" s="1" t="s">
        <v>29</v>
      </c>
      <c r="E10" s="44" t="s">
        <v>86</v>
      </c>
      <c r="F10" s="63"/>
      <c r="G10" s="63"/>
      <c r="H10" s="64">
        <v>550000</v>
      </c>
      <c r="I10" s="64">
        <f>GBS_SP[[#This Row],[Opening]]+GBS_SP[[#This Row],[Purchase]]-GBS_SP[[#This Row],[Payment]]</f>
        <v>-550000</v>
      </c>
      <c r="J10" s="100">
        <f>J9+GBS_SP[[#This Row],[Purchase]]-GBS_SP[[#This Row],[Payment]]</f>
        <v>4277050</v>
      </c>
    </row>
    <row r="11" spans="1:11" x14ac:dyDescent="0.55000000000000004">
      <c r="A11" s="59">
        <v>44329</v>
      </c>
      <c r="B11" s="60"/>
      <c r="C11" s="60" t="s">
        <v>7</v>
      </c>
      <c r="D11" s="1" t="s">
        <v>29</v>
      </c>
      <c r="E11" s="44" t="s">
        <v>86</v>
      </c>
      <c r="F11" s="63"/>
      <c r="G11" s="63"/>
      <c r="H11" s="64">
        <v>400000</v>
      </c>
      <c r="I11" s="64">
        <f>GBS_SP[[#This Row],[Opening]]+GBS_SP[[#This Row],[Purchase]]-GBS_SP[[#This Row],[Payment]]</f>
        <v>-400000</v>
      </c>
      <c r="J11" s="100">
        <f>J10+GBS_SP[[#This Row],[Purchase]]-GBS_SP[[#This Row],[Payment]]</f>
        <v>3877050</v>
      </c>
    </row>
    <row r="12" spans="1:11" x14ac:dyDescent="0.55000000000000004">
      <c r="A12" s="59">
        <v>44329</v>
      </c>
      <c r="B12" s="60">
        <v>5620</v>
      </c>
      <c r="C12" s="60" t="s">
        <v>6</v>
      </c>
      <c r="D12" s="1" t="s">
        <v>29</v>
      </c>
      <c r="E12" s="62" t="s">
        <v>132</v>
      </c>
      <c r="F12" s="63"/>
      <c r="G12" s="63">
        <v>355800</v>
      </c>
      <c r="H12" s="64"/>
      <c r="I12" s="64">
        <f>GBS_SP[[#This Row],[Opening]]+GBS_SP[[#This Row],[Purchase]]-GBS_SP[[#This Row],[Payment]]</f>
        <v>355800</v>
      </c>
      <c r="J12" s="100">
        <f>J11+GBS_SP[[#This Row],[Purchase]]-GBS_SP[[#This Row],[Payment]]</f>
        <v>4232850</v>
      </c>
    </row>
    <row r="13" spans="1:11" x14ac:dyDescent="0.55000000000000004">
      <c r="A13" s="59">
        <v>44333</v>
      </c>
      <c r="B13" s="60"/>
      <c r="C13" s="60" t="s">
        <v>7</v>
      </c>
      <c r="D13" s="1" t="s">
        <v>29</v>
      </c>
      <c r="E13" s="44" t="s">
        <v>153</v>
      </c>
      <c r="F13" s="63"/>
      <c r="G13" s="63"/>
      <c r="H13" s="64">
        <v>2000000</v>
      </c>
      <c r="I13" s="64">
        <f>GBS_SP[[#This Row],[Opening]]+GBS_SP[[#This Row],[Purchase]]-GBS_SP[[#This Row],[Payment]]</f>
        <v>-2000000</v>
      </c>
      <c r="J13" s="100">
        <f>J12+GBS_SP[[#This Row],[Purchase]]-GBS_SP[[#This Row],[Payment]]</f>
        <v>2232850</v>
      </c>
    </row>
    <row r="14" spans="1:11" x14ac:dyDescent="0.55000000000000004">
      <c r="A14" s="59">
        <v>44327</v>
      </c>
      <c r="B14" s="60"/>
      <c r="C14" s="60" t="s">
        <v>7</v>
      </c>
      <c r="D14" s="1" t="s">
        <v>29</v>
      </c>
      <c r="E14" s="44" t="s">
        <v>154</v>
      </c>
      <c r="F14" s="63"/>
      <c r="G14" s="63"/>
      <c r="H14" s="64">
        <v>120000</v>
      </c>
      <c r="I14" s="64">
        <f>GBS_SP[[#This Row],[Opening]]+GBS_SP[[#This Row],[Purchase]]-GBS_SP[[#This Row],[Payment]]</f>
        <v>-120000</v>
      </c>
      <c r="J14" s="100">
        <f>J13+GBS_SP[[#This Row],[Purchase]]-GBS_SP[[#This Row],[Payment]]</f>
        <v>2112850</v>
      </c>
    </row>
    <row r="15" spans="1:11" x14ac:dyDescent="0.55000000000000004">
      <c r="A15" s="59">
        <v>44329</v>
      </c>
      <c r="B15" s="60"/>
      <c r="C15" s="60" t="s">
        <v>7</v>
      </c>
      <c r="D15" s="1" t="s">
        <v>29</v>
      </c>
      <c r="E15" s="44" t="s">
        <v>154</v>
      </c>
      <c r="F15" s="63"/>
      <c r="G15" s="63"/>
      <c r="H15" s="64">
        <v>114000</v>
      </c>
      <c r="I15" s="64">
        <f>GBS_SP[[#This Row],[Opening]]+GBS_SP[[#This Row],[Purchase]]-GBS_SP[[#This Row],[Payment]]</f>
        <v>-114000</v>
      </c>
      <c r="J15" s="100">
        <f>J14+GBS_SP[[#This Row],[Purchase]]-GBS_SP[[#This Row],[Payment]]</f>
        <v>1998850</v>
      </c>
    </row>
    <row r="16" spans="1:11" x14ac:dyDescent="0.55000000000000004">
      <c r="A16" s="59">
        <v>44331</v>
      </c>
      <c r="B16" s="60"/>
      <c r="C16" s="60" t="s">
        <v>7</v>
      </c>
      <c r="D16" s="1" t="s">
        <v>29</v>
      </c>
      <c r="E16" s="62" t="s">
        <v>154</v>
      </c>
      <c r="F16" s="63"/>
      <c r="G16" s="63"/>
      <c r="H16" s="64">
        <v>250000</v>
      </c>
      <c r="I16" s="64">
        <f>GBS_SP[[#This Row],[Opening]]+GBS_SP[[#This Row],[Purchase]]-GBS_SP[[#This Row],[Payment]]</f>
        <v>-250000</v>
      </c>
      <c r="J16" s="100">
        <f>J15+GBS_SP[[#This Row],[Purchase]]-GBS_SP[[#This Row],[Payment]]</f>
        <v>1748850</v>
      </c>
    </row>
    <row r="17" spans="1:10" x14ac:dyDescent="0.55000000000000004">
      <c r="A17" s="59">
        <v>44345</v>
      </c>
      <c r="B17" s="60"/>
      <c r="C17" s="60" t="s">
        <v>7</v>
      </c>
      <c r="D17" s="1" t="s">
        <v>29</v>
      </c>
      <c r="E17" s="44" t="s">
        <v>86</v>
      </c>
      <c r="F17" s="63"/>
      <c r="G17" s="63"/>
      <c r="H17" s="64">
        <v>611500</v>
      </c>
      <c r="I17" s="64">
        <f>GBS_SP[[#This Row],[Opening]]+GBS_SP[[#This Row],[Purchase]]-GBS_SP[[#This Row],[Payment]]</f>
        <v>-611500</v>
      </c>
      <c r="J17" s="100">
        <f>J16+GBS_SP[[#This Row],[Purchase]]-GBS_SP[[#This Row],[Payment]]</f>
        <v>1137350</v>
      </c>
    </row>
    <row r="18" spans="1:10" x14ac:dyDescent="0.55000000000000004">
      <c r="A18" s="59"/>
      <c r="B18" s="60"/>
      <c r="C18" s="60"/>
      <c r="D18" s="61"/>
      <c r="E18" s="62"/>
      <c r="F18" s="63"/>
      <c r="G18" s="63"/>
      <c r="H18" s="64"/>
      <c r="I18" s="64"/>
    </row>
    <row r="19" spans="1:10" x14ac:dyDescent="0.55000000000000004">
      <c r="A19" s="59"/>
      <c r="B19" s="60"/>
      <c r="C19" s="60"/>
      <c r="D19" s="61"/>
      <c r="E19" s="62"/>
      <c r="F19" s="63"/>
      <c r="G19" s="63"/>
      <c r="H19" s="64"/>
      <c r="I19" s="64"/>
    </row>
    <row r="20" spans="1:10" x14ac:dyDescent="0.55000000000000004">
      <c r="A20" s="59"/>
      <c r="B20" s="60"/>
      <c r="C20" s="60"/>
      <c r="D20" s="61"/>
      <c r="E20" s="62"/>
      <c r="F20" s="63"/>
      <c r="G20" s="63"/>
      <c r="H20" s="64"/>
      <c r="I20" s="64"/>
    </row>
    <row r="21" spans="1:10" x14ac:dyDescent="0.55000000000000004">
      <c r="A21" s="18"/>
      <c r="B21" s="16"/>
      <c r="C21" s="16"/>
      <c r="E21" s="44"/>
      <c r="F21" s="19"/>
      <c r="G21" s="19"/>
      <c r="H21" s="17"/>
      <c r="I21" s="17"/>
    </row>
    <row r="22" spans="1:10" x14ac:dyDescent="0.55000000000000004">
      <c r="A22" s="18"/>
      <c r="B22" s="16"/>
      <c r="C22" s="16"/>
      <c r="E22" s="44"/>
      <c r="F22" s="19"/>
      <c r="G22" s="19"/>
      <c r="H22" s="17"/>
      <c r="I22" s="17"/>
    </row>
    <row r="23" spans="1:10" x14ac:dyDescent="0.55000000000000004">
      <c r="A23" s="18"/>
      <c r="B23" s="16"/>
      <c r="C23" s="16"/>
      <c r="E23" s="44"/>
      <c r="F23" s="19"/>
      <c r="G23" s="19"/>
      <c r="H23" s="17"/>
      <c r="I23" s="17"/>
    </row>
    <row r="24" spans="1:10" x14ac:dyDescent="0.55000000000000004">
      <c r="A24" s="18"/>
      <c r="B24" s="16"/>
      <c r="C24" s="16"/>
      <c r="E24" s="44"/>
      <c r="F24" s="19"/>
      <c r="G24" s="19"/>
      <c r="H24" s="17"/>
      <c r="I24" s="17"/>
    </row>
    <row r="25" spans="1:10" x14ac:dyDescent="0.55000000000000004">
      <c r="A25" s="18"/>
      <c r="B25" s="16"/>
      <c r="C25" s="16"/>
      <c r="E25" s="44"/>
      <c r="F25" s="19"/>
      <c r="G25" s="19"/>
      <c r="H25" s="17"/>
      <c r="I25" s="17"/>
    </row>
    <row r="26" spans="1:10" x14ac:dyDescent="0.55000000000000004">
      <c r="A26" s="18"/>
      <c r="B26" s="16"/>
      <c r="C26" s="16"/>
      <c r="E26" s="44"/>
      <c r="F26" s="19"/>
      <c r="G26" s="19"/>
      <c r="H26" s="17"/>
      <c r="I26" s="17"/>
    </row>
    <row r="27" spans="1:10" x14ac:dyDescent="0.55000000000000004">
      <c r="A27" s="18"/>
      <c r="B27" s="16"/>
      <c r="C27" s="16"/>
      <c r="E27" s="44"/>
      <c r="F27" s="19"/>
      <c r="G27" s="19"/>
      <c r="H27" s="17"/>
      <c r="I27" s="17"/>
    </row>
    <row r="28" spans="1:10" x14ac:dyDescent="0.55000000000000004">
      <c r="A28" s="18"/>
      <c r="B28" s="16"/>
      <c r="C28" s="16"/>
      <c r="E28" s="44"/>
      <c r="F28" s="19"/>
      <c r="G28" s="19"/>
      <c r="H28" s="17"/>
      <c r="I28" s="17"/>
    </row>
    <row r="29" spans="1:10" x14ac:dyDescent="0.55000000000000004">
      <c r="A29" s="18"/>
      <c r="B29" s="16"/>
      <c r="C29" s="16"/>
      <c r="E29" s="44"/>
      <c r="F29" s="19"/>
      <c r="G29" s="19"/>
      <c r="H29" s="17"/>
      <c r="I29" s="17"/>
    </row>
    <row r="30" spans="1:10" x14ac:dyDescent="0.55000000000000004">
      <c r="A30" s="54"/>
      <c r="B30" s="55"/>
      <c r="C30" s="55"/>
      <c r="E30" s="56"/>
      <c r="F30" s="53"/>
      <c r="G30" s="53"/>
      <c r="H30" s="57"/>
      <c r="I30" s="57"/>
    </row>
    <row r="31" spans="1:10" x14ac:dyDescent="0.55000000000000004">
      <c r="A31" s="54"/>
      <c r="B31" s="55"/>
      <c r="C31" s="55"/>
      <c r="E31" s="56"/>
      <c r="F31" s="53"/>
      <c r="G31" s="53"/>
      <c r="H31" s="57"/>
      <c r="I31" s="57"/>
    </row>
    <row r="32" spans="1:10" x14ac:dyDescent="0.55000000000000004">
      <c r="A32" s="54"/>
      <c r="B32" s="55"/>
      <c r="C32" s="55"/>
      <c r="E32" s="56"/>
      <c r="F32" s="53"/>
      <c r="G32" s="53"/>
      <c r="H32" s="57"/>
      <c r="I32" s="57"/>
    </row>
    <row r="33" spans="1:9" x14ac:dyDescent="0.55000000000000004">
      <c r="A33" s="54"/>
      <c r="B33" s="55"/>
      <c r="C33" s="55"/>
      <c r="E33" s="44"/>
      <c r="F33" s="53"/>
      <c r="G33" s="53"/>
      <c r="H33" s="57"/>
      <c r="I33" s="57"/>
    </row>
    <row r="34" spans="1:9" x14ac:dyDescent="0.55000000000000004">
      <c r="A34" s="47"/>
      <c r="B34" s="48"/>
      <c r="C34" s="48"/>
      <c r="E34" s="44"/>
      <c r="F34" s="50"/>
      <c r="G34" s="50"/>
      <c r="H34" s="51"/>
      <c r="I34" s="51"/>
    </row>
    <row r="35" spans="1:9" x14ac:dyDescent="0.55000000000000004">
      <c r="A35" s="47"/>
      <c r="B35" s="48"/>
      <c r="C35" s="48"/>
      <c r="D35" s="49"/>
      <c r="E35" s="44"/>
      <c r="F35" s="50"/>
      <c r="G35" s="50"/>
      <c r="H35" s="51"/>
      <c r="I35" s="51"/>
    </row>
    <row r="36" spans="1:9" x14ac:dyDescent="0.55000000000000004">
      <c r="C36" s="11"/>
    </row>
    <row r="37" spans="1:9" x14ac:dyDescent="0.55000000000000004">
      <c r="C37" s="11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C2:C42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25"/>
  <sheetViews>
    <sheetView zoomScale="90" zoomScaleNormal="90" workbookViewId="0">
      <selection activeCell="J9" sqref="J9"/>
    </sheetView>
  </sheetViews>
  <sheetFormatPr defaultColWidth="8.7109375" defaultRowHeight="21.75" x14ac:dyDescent="0.55000000000000004"/>
  <cols>
    <col min="1" max="1" width="14.7109375" style="13" customWidth="1"/>
    <col min="2" max="2" width="12.28515625" style="11" customWidth="1"/>
    <col min="3" max="3" width="12.28515625" style="1" customWidth="1"/>
    <col min="4" max="4" width="24.42578125" style="1" bestFit="1" customWidth="1"/>
    <col min="5" max="5" width="31.85546875" style="7" customWidth="1"/>
    <col min="6" max="6" width="12.7109375" style="8" customWidth="1"/>
    <col min="7" max="7" width="15.140625" style="8" customWidth="1"/>
    <col min="8" max="8" width="15.140625" style="9" customWidth="1"/>
    <col min="9" max="9" width="14.7109375" style="9" bestFit="1" customWidth="1"/>
    <col min="10" max="10" width="20.4257812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100" t="s">
        <v>182</v>
      </c>
      <c r="K1" s="8"/>
    </row>
    <row r="2" spans="1:11" x14ac:dyDescent="0.55000000000000004">
      <c r="A2" s="18">
        <v>44317</v>
      </c>
      <c r="B2" s="16"/>
      <c r="C2" s="16" t="s">
        <v>5</v>
      </c>
      <c r="D2" s="1" t="s">
        <v>77</v>
      </c>
      <c r="E2" s="7" t="s">
        <v>5</v>
      </c>
      <c r="F2" s="19">
        <v>1696980</v>
      </c>
      <c r="G2" s="19"/>
      <c r="H2" s="17"/>
      <c r="I2" s="17">
        <f>KWH[[#This Row],[Opening]]+KWH[[#This Row],[Purchase]]-KWH[[#This Row],[Payment]]</f>
        <v>1696980</v>
      </c>
      <c r="J2" s="100">
        <f>KWH[[#This Row],[Balance]]</f>
        <v>1696980</v>
      </c>
    </row>
    <row r="3" spans="1:11" x14ac:dyDescent="0.55000000000000004">
      <c r="A3" s="18">
        <v>44319</v>
      </c>
      <c r="B3" s="16">
        <v>7296</v>
      </c>
      <c r="C3" s="16" t="s">
        <v>6</v>
      </c>
      <c r="D3" s="1" t="s">
        <v>77</v>
      </c>
      <c r="E3" s="43" t="s">
        <v>91</v>
      </c>
      <c r="F3" s="19"/>
      <c r="G3" s="19">
        <v>213150</v>
      </c>
      <c r="H3" s="17"/>
      <c r="I3" s="17">
        <f>KWH[[#This Row],[Opening]]+KWH[[#This Row],[Purchase]]-KWH[[#This Row],[Payment]]</f>
        <v>213150</v>
      </c>
      <c r="J3" s="100">
        <f>J2+KWH[[#This Row],[Purchase]]-KWH[[#This Row],[Payment]]</f>
        <v>1910130</v>
      </c>
    </row>
    <row r="4" spans="1:11" x14ac:dyDescent="0.55000000000000004">
      <c r="A4" s="59">
        <v>44327</v>
      </c>
      <c r="B4" s="60">
        <v>7297</v>
      </c>
      <c r="C4" s="16" t="s">
        <v>6</v>
      </c>
      <c r="D4" s="1" t="s">
        <v>77</v>
      </c>
      <c r="E4" s="62" t="s">
        <v>125</v>
      </c>
      <c r="F4" s="63"/>
      <c r="G4" s="63">
        <v>270500</v>
      </c>
      <c r="H4" s="64"/>
      <c r="I4" s="64">
        <f>KWH[[#This Row],[Opening]]+KWH[[#This Row],[Purchase]]-KWH[[#This Row],[Payment]]</f>
        <v>270500</v>
      </c>
      <c r="J4" s="100">
        <f>J3+KWH[[#This Row],[Purchase]]-KWH[[#This Row],[Payment]]</f>
        <v>2180630</v>
      </c>
    </row>
    <row r="5" spans="1:11" x14ac:dyDescent="0.55000000000000004">
      <c r="A5" s="59">
        <v>44345</v>
      </c>
      <c r="B5" s="60">
        <v>220</v>
      </c>
      <c r="C5" s="60" t="s">
        <v>7</v>
      </c>
      <c r="D5" s="1" t="s">
        <v>77</v>
      </c>
      <c r="E5" s="44" t="s">
        <v>86</v>
      </c>
      <c r="F5" s="63"/>
      <c r="G5" s="86"/>
      <c r="H5" s="63">
        <v>1000000</v>
      </c>
      <c r="I5" s="64">
        <f>KWH[[#This Row],[Opening]]+KWH[[#This Row],[Purchase]]-KWH[[#This Row],[Payment]]</f>
        <v>-1000000</v>
      </c>
      <c r="J5" s="100">
        <f>J4+KWH[[#This Row],[Purchase]]-KWH[[#This Row],[Payment]]</f>
        <v>1180630</v>
      </c>
    </row>
    <row r="6" spans="1:11" x14ac:dyDescent="0.55000000000000004">
      <c r="A6" s="59">
        <v>44345</v>
      </c>
      <c r="B6" s="60">
        <v>2801</v>
      </c>
      <c r="C6" s="60" t="s">
        <v>6</v>
      </c>
      <c r="D6" s="1" t="s">
        <v>77</v>
      </c>
      <c r="E6" s="62" t="s">
        <v>160</v>
      </c>
      <c r="F6" s="63"/>
      <c r="G6" s="63">
        <v>23500</v>
      </c>
      <c r="H6" s="64"/>
      <c r="I6" s="64">
        <f>KWH[[#This Row],[Opening]]+KWH[[#This Row],[Purchase]]-KWH[[#This Row],[Payment]]</f>
        <v>23500</v>
      </c>
      <c r="J6" s="100">
        <f>J5+KWH[[#This Row],[Purchase]]-KWH[[#This Row],[Payment]]</f>
        <v>1204130</v>
      </c>
    </row>
    <row r="7" spans="1:11" x14ac:dyDescent="0.55000000000000004">
      <c r="A7" s="59">
        <v>44340</v>
      </c>
      <c r="B7" s="60">
        <v>7300</v>
      </c>
      <c r="C7" s="60" t="s">
        <v>6</v>
      </c>
      <c r="D7" s="1" t="s">
        <v>77</v>
      </c>
      <c r="E7" s="62" t="s">
        <v>161</v>
      </c>
      <c r="F7" s="63"/>
      <c r="G7" s="63">
        <v>131500</v>
      </c>
      <c r="H7" s="64"/>
      <c r="I7" s="64">
        <f>KWH[[#This Row],[Opening]]+KWH[[#This Row],[Purchase]]-KWH[[#This Row],[Payment]]</f>
        <v>131500</v>
      </c>
      <c r="J7" s="100">
        <f>J6+KWH[[#This Row],[Purchase]]-KWH[[#This Row],[Payment]]</f>
        <v>1335630</v>
      </c>
    </row>
    <row r="8" spans="1:11" x14ac:dyDescent="0.55000000000000004">
      <c r="A8" s="59">
        <v>44338</v>
      </c>
      <c r="B8" s="60">
        <v>7299</v>
      </c>
      <c r="C8" s="60" t="s">
        <v>6</v>
      </c>
      <c r="D8" s="1" t="s">
        <v>77</v>
      </c>
      <c r="E8" s="62" t="s">
        <v>162</v>
      </c>
      <c r="F8" s="63"/>
      <c r="G8" s="63">
        <v>270000</v>
      </c>
      <c r="H8" s="64"/>
      <c r="I8" s="64">
        <f>KWH[[#This Row],[Opening]]+KWH[[#This Row],[Purchase]]-KWH[[#This Row],[Payment]]</f>
        <v>270000</v>
      </c>
      <c r="J8" s="100">
        <f>J7+KWH[[#This Row],[Purchase]]-KWH[[#This Row],[Payment]]</f>
        <v>1605630</v>
      </c>
    </row>
    <row r="9" spans="1:11" x14ac:dyDescent="0.55000000000000004">
      <c r="A9" s="59"/>
      <c r="B9" s="60"/>
      <c r="C9" s="60"/>
      <c r="D9" s="61"/>
      <c r="E9" s="62"/>
      <c r="F9" s="63"/>
      <c r="G9" s="63"/>
      <c r="H9" s="64"/>
      <c r="I9" s="64"/>
    </row>
    <row r="10" spans="1:11" x14ac:dyDescent="0.55000000000000004">
      <c r="A10" s="18"/>
      <c r="B10" s="16"/>
      <c r="C10" s="16"/>
      <c r="E10" s="44"/>
      <c r="F10" s="19"/>
      <c r="G10" s="19"/>
      <c r="H10" s="17"/>
      <c r="I10" s="17"/>
    </row>
    <row r="11" spans="1:11" x14ac:dyDescent="0.55000000000000004">
      <c r="A11" s="18"/>
      <c r="B11" s="16"/>
      <c r="C11" s="16"/>
      <c r="E11" s="44"/>
      <c r="F11" s="19"/>
      <c r="G11" s="19"/>
      <c r="H11" s="17"/>
      <c r="I11" s="17"/>
    </row>
    <row r="12" spans="1:11" x14ac:dyDescent="0.55000000000000004">
      <c r="A12" s="18"/>
      <c r="B12" s="16"/>
      <c r="C12" s="16"/>
      <c r="E12" s="44"/>
      <c r="F12" s="19"/>
      <c r="G12" s="19"/>
      <c r="H12" s="17"/>
      <c r="I12" s="17"/>
    </row>
    <row r="13" spans="1:11" x14ac:dyDescent="0.55000000000000004">
      <c r="A13" s="54"/>
      <c r="B13" s="55"/>
      <c r="C13" s="55"/>
      <c r="E13" s="44"/>
      <c r="F13" s="53"/>
      <c r="G13" s="53"/>
      <c r="H13" s="57"/>
      <c r="I13" s="57"/>
    </row>
    <row r="14" spans="1:11" x14ac:dyDescent="0.55000000000000004">
      <c r="A14" s="47"/>
      <c r="B14" s="48"/>
      <c r="C14" s="48"/>
      <c r="D14" s="49"/>
      <c r="E14" s="44"/>
      <c r="F14" s="50"/>
      <c r="G14" s="50"/>
      <c r="H14" s="51"/>
      <c r="I14" s="51"/>
    </row>
    <row r="15" spans="1:11" x14ac:dyDescent="0.55000000000000004">
      <c r="A15" s="18"/>
      <c r="B15" s="16"/>
      <c r="C15" s="16"/>
      <c r="F15" s="19"/>
      <c r="G15" s="19"/>
      <c r="H15" s="17"/>
      <c r="I15" s="17"/>
    </row>
    <row r="16" spans="1:11" x14ac:dyDescent="0.55000000000000004">
      <c r="A16" s="18"/>
      <c r="B16" s="16"/>
      <c r="C16" s="16"/>
      <c r="F16" s="19"/>
      <c r="G16" s="19"/>
      <c r="H16" s="17"/>
      <c r="I16" s="17"/>
    </row>
    <row r="17" spans="1:9" x14ac:dyDescent="0.55000000000000004">
      <c r="C17" s="11"/>
    </row>
    <row r="18" spans="1:9" x14ac:dyDescent="0.55000000000000004">
      <c r="C18" s="11"/>
    </row>
    <row r="19" spans="1:9" x14ac:dyDescent="0.55000000000000004">
      <c r="A19" s="29"/>
      <c r="B19" s="30"/>
      <c r="C19" s="30"/>
      <c r="F19" s="32"/>
      <c r="G19" s="32"/>
      <c r="H19" s="33"/>
      <c r="I19" s="33"/>
    </row>
    <row r="20" spans="1:9" x14ac:dyDescent="0.55000000000000004">
      <c r="A20" s="29"/>
      <c r="B20" s="30"/>
      <c r="C20" s="30"/>
      <c r="F20" s="32"/>
      <c r="G20" s="32"/>
      <c r="H20" s="33"/>
      <c r="I20" s="33"/>
    </row>
    <row r="21" spans="1:9" x14ac:dyDescent="0.55000000000000004">
      <c r="A21" s="29"/>
      <c r="B21" s="30"/>
      <c r="C21" s="30"/>
      <c r="D21" s="31"/>
      <c r="E21" s="28"/>
      <c r="F21" s="32"/>
      <c r="G21" s="32"/>
      <c r="H21" s="33"/>
      <c r="I21" s="33"/>
    </row>
    <row r="22" spans="1:9" x14ac:dyDescent="0.55000000000000004">
      <c r="A22" s="29"/>
      <c r="B22" s="30"/>
      <c r="C22" s="30"/>
      <c r="D22" s="31"/>
      <c r="E22" s="28"/>
      <c r="F22" s="32"/>
      <c r="G22" s="32"/>
      <c r="H22" s="33"/>
      <c r="I22" s="33"/>
    </row>
    <row r="23" spans="1:9" x14ac:dyDescent="0.55000000000000004">
      <c r="A23" s="29"/>
      <c r="B23" s="30"/>
      <c r="C23" s="30"/>
      <c r="D23" s="31"/>
      <c r="E23" s="28"/>
      <c r="F23" s="32"/>
      <c r="G23" s="32"/>
      <c r="H23" s="33"/>
      <c r="I23" s="33"/>
    </row>
    <row r="24" spans="1:9" x14ac:dyDescent="0.55000000000000004">
      <c r="A24" s="29"/>
      <c r="B24" s="30"/>
      <c r="C24" s="30"/>
      <c r="D24" s="31"/>
      <c r="E24" s="28"/>
      <c r="F24" s="32"/>
      <c r="G24" s="32"/>
      <c r="H24" s="33"/>
      <c r="I24" s="33"/>
    </row>
    <row r="25" spans="1:9" x14ac:dyDescent="0.55000000000000004">
      <c r="A25" s="29"/>
      <c r="B25" s="30"/>
      <c r="C25" s="30"/>
      <c r="D25" s="31"/>
      <c r="E25" s="28"/>
      <c r="F25" s="32"/>
      <c r="G25" s="32"/>
      <c r="H25" s="33"/>
      <c r="I25" s="33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C2:C30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16"/>
  <sheetViews>
    <sheetView zoomScale="90" zoomScaleNormal="90" workbookViewId="0">
      <selection activeCell="J4" sqref="J4"/>
    </sheetView>
  </sheetViews>
  <sheetFormatPr defaultColWidth="8.7109375" defaultRowHeight="21.75" x14ac:dyDescent="0.55000000000000004"/>
  <cols>
    <col min="1" max="1" width="15.42578125" style="13" bestFit="1" customWidth="1"/>
    <col min="2" max="2" width="12.28515625" style="11" customWidth="1"/>
    <col min="3" max="3" width="12.28515625" style="1" customWidth="1"/>
    <col min="4" max="4" width="24.42578125" style="1" bestFit="1" customWidth="1"/>
    <col min="5" max="5" width="36.140625" style="7" customWidth="1"/>
    <col min="6" max="6" width="16.28515625" style="8" customWidth="1"/>
    <col min="7" max="7" width="14.85546875" style="8" customWidth="1"/>
    <col min="8" max="8" width="16.85546875" style="9" customWidth="1"/>
    <col min="9" max="9" width="14.7109375" style="9" bestFit="1" customWidth="1"/>
    <col min="10" max="10" width="21.14062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100" t="s">
        <v>182</v>
      </c>
      <c r="K1" s="8"/>
    </row>
    <row r="2" spans="1:11" x14ac:dyDescent="0.55000000000000004">
      <c r="A2" s="18">
        <v>44317</v>
      </c>
      <c r="B2" s="16"/>
      <c r="C2" s="16" t="s">
        <v>5</v>
      </c>
      <c r="D2" s="1" t="s">
        <v>58</v>
      </c>
      <c r="E2" s="7" t="s">
        <v>5</v>
      </c>
      <c r="F2" s="19">
        <v>738150</v>
      </c>
      <c r="G2" s="19"/>
      <c r="H2" s="17"/>
      <c r="I2" s="17">
        <f>KYINNLOON[[#This Row],[Opening]]+KYINNLOON[[#This Row],[Purchase]]-KYINNLOON[[#This Row],[Payment]]</f>
        <v>738150</v>
      </c>
      <c r="J2" s="100">
        <f>KYINNLOON[[#This Row],[Balance]]</f>
        <v>738150</v>
      </c>
    </row>
    <row r="3" spans="1:11" x14ac:dyDescent="0.55000000000000004">
      <c r="A3" s="18">
        <v>44324</v>
      </c>
      <c r="B3" s="16"/>
      <c r="C3" s="16" t="s">
        <v>7</v>
      </c>
      <c r="D3" s="1" t="s">
        <v>58</v>
      </c>
      <c r="E3" s="44" t="s">
        <v>119</v>
      </c>
      <c r="F3" s="19"/>
      <c r="G3" s="19"/>
      <c r="H3" s="17">
        <v>44250</v>
      </c>
      <c r="I3" s="17">
        <f>KYINNLOON[[#This Row],[Opening]]+KYINNLOON[[#This Row],[Purchase]]-KYINNLOON[[#This Row],[Payment]]</f>
        <v>-44250</v>
      </c>
      <c r="J3" s="100">
        <f>J2+KYINNLOON[[#This Row],[Purchase]]-KYINNLOON[[#This Row],[Payment]]</f>
        <v>693900</v>
      </c>
    </row>
    <row r="4" spans="1:11" x14ac:dyDescent="0.55000000000000004">
      <c r="A4" s="47">
        <v>44329</v>
      </c>
      <c r="B4" s="48">
        <v>194</v>
      </c>
      <c r="C4" s="48" t="s">
        <v>7</v>
      </c>
      <c r="D4" s="1" t="s">
        <v>58</v>
      </c>
      <c r="E4" s="62" t="s">
        <v>86</v>
      </c>
      <c r="F4" s="50"/>
      <c r="G4" s="50"/>
      <c r="H4" s="51">
        <v>693900</v>
      </c>
      <c r="I4" s="51">
        <f>KYINNLOON[[#This Row],[Opening]]+KYINNLOON[[#This Row],[Purchase]]-KYINNLOON[[#This Row],[Payment]]</f>
        <v>-693900</v>
      </c>
      <c r="J4" s="100">
        <f>J3+KYINNLOON[[#This Row],[Purchase]]-KYINNLOON[[#This Row],[Payment]]</f>
        <v>0</v>
      </c>
    </row>
    <row r="5" spans="1:11" x14ac:dyDescent="0.55000000000000004">
      <c r="A5" s="59"/>
      <c r="B5" s="60"/>
      <c r="C5" s="60"/>
      <c r="D5" s="61"/>
      <c r="E5" s="62"/>
      <c r="F5" s="63"/>
      <c r="G5" s="63"/>
      <c r="H5" s="64"/>
      <c r="I5" s="64"/>
    </row>
    <row r="6" spans="1:11" x14ac:dyDescent="0.55000000000000004">
      <c r="A6" s="18"/>
      <c r="B6" s="16"/>
      <c r="C6" s="16"/>
      <c r="E6" s="44"/>
      <c r="F6" s="19"/>
      <c r="G6" s="19"/>
      <c r="H6" s="17"/>
      <c r="I6" s="17"/>
    </row>
    <row r="7" spans="1:11" x14ac:dyDescent="0.55000000000000004">
      <c r="A7" s="18"/>
      <c r="B7" s="16"/>
      <c r="C7" s="16"/>
      <c r="E7" s="44"/>
      <c r="F7" s="19"/>
      <c r="G7" s="19"/>
      <c r="H7" s="17"/>
      <c r="I7" s="17"/>
    </row>
    <row r="8" spans="1:11" x14ac:dyDescent="0.55000000000000004">
      <c r="A8" s="18"/>
      <c r="B8" s="16"/>
      <c r="C8" s="16"/>
      <c r="E8" s="44"/>
      <c r="F8" s="19"/>
      <c r="G8" s="19"/>
      <c r="H8" s="17"/>
      <c r="I8" s="17"/>
    </row>
    <row r="9" spans="1:11" x14ac:dyDescent="0.55000000000000004">
      <c r="A9" s="54"/>
      <c r="B9" s="55"/>
      <c r="C9" s="55"/>
      <c r="D9" s="52"/>
      <c r="E9" s="56"/>
      <c r="F9" s="53"/>
      <c r="G9" s="53"/>
      <c r="H9" s="57"/>
      <c r="I9" s="57"/>
    </row>
    <row r="10" spans="1:11" x14ac:dyDescent="0.55000000000000004">
      <c r="A10" s="18"/>
      <c r="B10" s="16"/>
      <c r="C10" s="16"/>
      <c r="E10" s="14"/>
      <c r="F10" s="19"/>
      <c r="G10" s="19"/>
      <c r="H10" s="17"/>
      <c r="I10" s="17"/>
    </row>
    <row r="11" spans="1:11" x14ac:dyDescent="0.55000000000000004">
      <c r="A11" s="18"/>
      <c r="B11" s="16"/>
      <c r="C11" s="16"/>
      <c r="E11" s="14"/>
      <c r="F11" s="19"/>
      <c r="G11" s="19"/>
      <c r="H11" s="17"/>
      <c r="I11" s="17"/>
    </row>
    <row r="12" spans="1:11" x14ac:dyDescent="0.55000000000000004">
      <c r="A12" s="18"/>
      <c r="B12" s="16"/>
      <c r="C12" s="16"/>
      <c r="E12" s="14"/>
      <c r="F12" s="19"/>
      <c r="G12" s="19"/>
      <c r="H12" s="17"/>
      <c r="I12" s="17"/>
    </row>
    <row r="13" spans="1:11" x14ac:dyDescent="0.55000000000000004">
      <c r="A13" s="18"/>
      <c r="B13" s="16"/>
      <c r="C13" s="16"/>
      <c r="E13" s="14"/>
      <c r="F13" s="19"/>
      <c r="G13" s="19"/>
      <c r="H13" s="17"/>
      <c r="I13" s="17"/>
    </row>
    <row r="14" spans="1:11" x14ac:dyDescent="0.55000000000000004">
      <c r="A14" s="54"/>
      <c r="B14" s="55"/>
      <c r="C14" s="55"/>
      <c r="D14" s="52"/>
      <c r="E14" s="56"/>
      <c r="F14" s="53"/>
      <c r="G14" s="53"/>
      <c r="H14" s="57"/>
      <c r="I14" s="17"/>
    </row>
    <row r="15" spans="1:11" x14ac:dyDescent="0.55000000000000004">
      <c r="C15" s="11"/>
    </row>
    <row r="16" spans="1:11" x14ac:dyDescent="0.55000000000000004">
      <c r="C16" s="11"/>
    </row>
  </sheetData>
  <pageMargins left="0.7" right="0.7" top="0.75" bottom="0.75" header="0.3" footer="0.3"/>
  <ignoredErrors>
    <ignoredError sqref="J3:J4" calculatedColumn="1"/>
  </ignoredErrors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C2:C42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16"/>
  <sheetViews>
    <sheetView zoomScale="90" zoomScaleNormal="90" workbookViewId="0">
      <selection activeCell="J7" sqref="J7"/>
    </sheetView>
  </sheetViews>
  <sheetFormatPr defaultColWidth="8.7109375" defaultRowHeight="21.75" x14ac:dyDescent="0.55000000000000004"/>
  <cols>
    <col min="1" max="1" width="14.7109375" style="13" customWidth="1"/>
    <col min="2" max="2" width="12.28515625" style="11" customWidth="1"/>
    <col min="3" max="3" width="12.28515625" style="1" customWidth="1"/>
    <col min="4" max="4" width="18.140625" style="1" customWidth="1"/>
    <col min="5" max="5" width="31.42578125" style="7" customWidth="1"/>
    <col min="6" max="6" width="17.5703125" style="8" bestFit="1" customWidth="1"/>
    <col min="7" max="7" width="18.42578125" style="8" customWidth="1"/>
    <col min="8" max="8" width="17" style="9" customWidth="1"/>
    <col min="9" max="9" width="18" style="9" customWidth="1"/>
    <col min="10" max="10" width="17.14062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100" t="s">
        <v>182</v>
      </c>
      <c r="K1" s="8"/>
    </row>
    <row r="2" spans="1:11" x14ac:dyDescent="0.55000000000000004">
      <c r="A2" s="18">
        <v>44317</v>
      </c>
      <c r="B2" s="16"/>
      <c r="C2" s="16" t="s">
        <v>5</v>
      </c>
      <c r="D2" s="1" t="s">
        <v>42</v>
      </c>
      <c r="E2" s="7" t="s">
        <v>5</v>
      </c>
      <c r="F2" s="19">
        <v>0</v>
      </c>
      <c r="G2" s="19"/>
      <c r="H2" s="17"/>
      <c r="I2" s="17">
        <f>MOB[[#This Row],[Opening]]+MOB[[#This Row],[Purchase]]-MOB[[#This Row],[Payment]]</f>
        <v>0</v>
      </c>
      <c r="J2" s="100">
        <f>MOB[[#This Row],[Balance]]</f>
        <v>0</v>
      </c>
    </row>
    <row r="3" spans="1:11" x14ac:dyDescent="0.55000000000000004">
      <c r="A3" s="18">
        <v>44324</v>
      </c>
      <c r="B3" s="16">
        <v>9132</v>
      </c>
      <c r="C3" s="16" t="s">
        <v>6</v>
      </c>
      <c r="D3" s="1" t="s">
        <v>42</v>
      </c>
      <c r="E3" s="44" t="s">
        <v>105</v>
      </c>
      <c r="F3" s="19"/>
      <c r="G3" s="19">
        <v>200000</v>
      </c>
      <c r="H3" s="17"/>
      <c r="I3" s="17">
        <f>MOB[[#This Row],[Opening]]+MOB[[#This Row],[Purchase]]-MOB[[#This Row],[Payment]]</f>
        <v>200000</v>
      </c>
      <c r="J3" s="100">
        <f>J2+MOB[[#This Row],[Purchase]]-MOB[[#This Row],[Payment]]</f>
        <v>200000</v>
      </c>
    </row>
    <row r="4" spans="1:11" x14ac:dyDescent="0.55000000000000004">
      <c r="A4" s="59">
        <v>44329</v>
      </c>
      <c r="B4" s="60">
        <v>9417</v>
      </c>
      <c r="C4" s="60" t="s">
        <v>7</v>
      </c>
      <c r="D4" s="1" t="s">
        <v>42</v>
      </c>
      <c r="E4" s="62" t="s">
        <v>86</v>
      </c>
      <c r="F4" s="63"/>
      <c r="G4" s="63"/>
      <c r="H4" s="64">
        <v>200000</v>
      </c>
      <c r="I4" s="64">
        <f>MOB[[#This Row],[Opening]]+MOB[[#This Row],[Purchase]]-MOB[[#This Row],[Payment]]</f>
        <v>-200000</v>
      </c>
      <c r="J4" s="100">
        <f>J3+MOB[[#This Row],[Purchase]]-MOB[[#This Row],[Payment]]</f>
        <v>0</v>
      </c>
    </row>
    <row r="5" spans="1:11" x14ac:dyDescent="0.55000000000000004">
      <c r="A5" s="59">
        <v>44335</v>
      </c>
      <c r="B5" s="60">
        <v>9143</v>
      </c>
      <c r="C5" s="60" t="s">
        <v>6</v>
      </c>
      <c r="D5" s="1" t="s">
        <v>42</v>
      </c>
      <c r="E5" s="62" t="s">
        <v>141</v>
      </c>
      <c r="F5" s="63"/>
      <c r="G5" s="63">
        <v>267000</v>
      </c>
      <c r="H5" s="64"/>
      <c r="I5" s="64">
        <f>MOB[[#This Row],[Opening]]+MOB[[#This Row],[Purchase]]-MOB[[#This Row],[Payment]]</f>
        <v>267000</v>
      </c>
      <c r="J5" s="100">
        <f>J4+MOB[[#This Row],[Purchase]]-MOB[[#This Row],[Payment]]</f>
        <v>267000</v>
      </c>
    </row>
    <row r="6" spans="1:11" x14ac:dyDescent="0.55000000000000004">
      <c r="A6" s="59">
        <v>44340</v>
      </c>
      <c r="B6" s="60">
        <v>9425</v>
      </c>
      <c r="C6" s="60" t="s">
        <v>7</v>
      </c>
      <c r="D6" s="1" t="s">
        <v>42</v>
      </c>
      <c r="E6" s="62" t="s">
        <v>86</v>
      </c>
      <c r="F6" s="63"/>
      <c r="G6" s="63"/>
      <c r="H6" s="64">
        <v>267000</v>
      </c>
      <c r="I6" s="64">
        <f>MOB[[#This Row],[Opening]]+MOB[[#This Row],[Purchase]]-MOB[[#This Row],[Payment]]</f>
        <v>-267000</v>
      </c>
      <c r="J6" s="100">
        <f>J5+MOB[[#This Row],[Purchase]]-MOB[[#This Row],[Payment]]</f>
        <v>0</v>
      </c>
    </row>
    <row r="7" spans="1:11" x14ac:dyDescent="0.55000000000000004">
      <c r="A7" s="59"/>
      <c r="B7" s="60"/>
      <c r="C7" s="60"/>
      <c r="D7" s="61"/>
      <c r="E7" s="62"/>
      <c r="F7" s="63"/>
      <c r="G7" s="63"/>
      <c r="H7" s="64"/>
      <c r="I7" s="64"/>
    </row>
    <row r="8" spans="1:11" x14ac:dyDescent="0.55000000000000004">
      <c r="A8" s="18"/>
      <c r="B8" s="16"/>
      <c r="C8" s="16"/>
      <c r="E8" s="44"/>
      <c r="F8" s="19"/>
      <c r="G8" s="19"/>
      <c r="H8" s="17"/>
      <c r="I8" s="17"/>
    </row>
    <row r="9" spans="1:11" x14ac:dyDescent="0.55000000000000004">
      <c r="A9" s="18"/>
      <c r="B9" s="16"/>
      <c r="C9" s="16"/>
      <c r="E9" s="44"/>
      <c r="F9" s="19"/>
      <c r="G9" s="19"/>
      <c r="H9" s="17"/>
      <c r="I9" s="17"/>
    </row>
    <row r="10" spans="1:11" x14ac:dyDescent="0.55000000000000004">
      <c r="A10" s="47"/>
      <c r="B10" s="48"/>
      <c r="C10" s="48"/>
      <c r="D10" s="49"/>
      <c r="E10" s="44"/>
      <c r="F10" s="50"/>
      <c r="G10" s="50"/>
      <c r="H10" s="51"/>
      <c r="I10" s="51"/>
    </row>
    <row r="11" spans="1:11" x14ac:dyDescent="0.55000000000000004">
      <c r="A11" s="18"/>
      <c r="B11" s="16"/>
      <c r="C11" s="16"/>
      <c r="E11" s="14"/>
      <c r="F11" s="19"/>
      <c r="G11" s="19"/>
      <c r="H11" s="17"/>
      <c r="I11" s="17"/>
    </row>
    <row r="12" spans="1:11" x14ac:dyDescent="0.55000000000000004">
      <c r="A12" s="18"/>
      <c r="B12" s="16"/>
      <c r="C12" s="16"/>
      <c r="E12" s="14"/>
      <c r="F12" s="19"/>
      <c r="G12" s="19"/>
      <c r="H12" s="17"/>
      <c r="I12" s="17"/>
    </row>
    <row r="13" spans="1:11" x14ac:dyDescent="0.55000000000000004">
      <c r="A13" s="18"/>
      <c r="B13" s="16"/>
      <c r="C13" s="16"/>
      <c r="E13" s="14"/>
      <c r="F13" s="19"/>
      <c r="G13" s="19"/>
      <c r="H13" s="17"/>
      <c r="I13" s="17"/>
    </row>
    <row r="14" spans="1:11" x14ac:dyDescent="0.55000000000000004">
      <c r="A14" s="18"/>
      <c r="B14" s="16"/>
      <c r="C14" s="16"/>
      <c r="E14" s="14"/>
      <c r="F14" s="19"/>
      <c r="G14" s="19"/>
      <c r="H14" s="17"/>
      <c r="I14" s="17"/>
    </row>
    <row r="15" spans="1:11" x14ac:dyDescent="0.55000000000000004">
      <c r="C15" s="11"/>
    </row>
    <row r="16" spans="1:11" x14ac:dyDescent="0.55000000000000004">
      <c r="C16" s="11"/>
    </row>
  </sheetData>
  <pageMargins left="0.7" right="0.7" top="0.75" bottom="0.75" header="0.3" footer="0.3"/>
  <ignoredErrors>
    <ignoredError sqref="J3:J5" calculatedColumn="1"/>
  </ignoredErrors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C2:C28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21"/>
  <sheetViews>
    <sheetView zoomScale="90" zoomScaleNormal="90" workbookViewId="0">
      <selection activeCell="J6" sqref="J6"/>
    </sheetView>
  </sheetViews>
  <sheetFormatPr defaultColWidth="8.7109375" defaultRowHeight="21.75" x14ac:dyDescent="0.55000000000000004"/>
  <cols>
    <col min="1" max="1" width="17.5703125" style="13" customWidth="1"/>
    <col min="2" max="2" width="12.28515625" style="11" customWidth="1"/>
    <col min="3" max="3" width="12.28515625" style="1" customWidth="1"/>
    <col min="4" max="4" width="24.42578125" style="1" bestFit="1" customWidth="1"/>
    <col min="5" max="5" width="38.28515625" style="7" customWidth="1"/>
    <col min="6" max="6" width="15.28515625" style="8" customWidth="1"/>
    <col min="7" max="7" width="18.42578125" style="8" customWidth="1"/>
    <col min="8" max="8" width="17.42578125" style="9" customWidth="1"/>
    <col min="9" max="9" width="14.7109375" style="9" bestFit="1" customWidth="1"/>
    <col min="10" max="10" width="14.8554687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100" t="s">
        <v>182</v>
      </c>
      <c r="K1" s="8"/>
    </row>
    <row r="2" spans="1:11" x14ac:dyDescent="0.55000000000000004">
      <c r="A2" s="18">
        <v>44317</v>
      </c>
      <c r="B2" s="16"/>
      <c r="C2" s="16" t="s">
        <v>5</v>
      </c>
      <c r="D2" s="1" t="s">
        <v>78</v>
      </c>
      <c r="E2" s="7" t="s">
        <v>5</v>
      </c>
      <c r="F2" s="19">
        <v>0</v>
      </c>
      <c r="G2" s="19"/>
      <c r="H2" s="17"/>
      <c r="I2" s="17">
        <f>MAYWD[[#This Row],[Opening]]+MAYWD[[#This Row],[Purchase]]-MAYWD[[#This Row],[Payment]]</f>
        <v>0</v>
      </c>
      <c r="J2" s="100">
        <f>MAYWD[[#This Row],[Balance]]</f>
        <v>0</v>
      </c>
    </row>
    <row r="3" spans="1:11" x14ac:dyDescent="0.55000000000000004">
      <c r="A3" s="59">
        <v>44326</v>
      </c>
      <c r="B3" s="60">
        <v>13401</v>
      </c>
      <c r="C3" s="60" t="s">
        <v>6</v>
      </c>
      <c r="D3" s="1" t="s">
        <v>78</v>
      </c>
      <c r="E3" s="62" t="s">
        <v>121</v>
      </c>
      <c r="F3" s="63"/>
      <c r="G3" s="63">
        <v>535550</v>
      </c>
      <c r="H3" s="64"/>
      <c r="I3" s="64">
        <f>MAYWD[[#This Row],[Opening]]+MAYWD[[#This Row],[Purchase]]-MAYWD[[#This Row],[Payment]]</f>
        <v>535550</v>
      </c>
      <c r="J3" s="100">
        <f>J2+MAYWD[[#This Row],[Purchase]]-MAYWD[[#This Row],[Payment]]</f>
        <v>535550</v>
      </c>
    </row>
    <row r="4" spans="1:11" x14ac:dyDescent="0.55000000000000004">
      <c r="A4" s="18">
        <v>44327</v>
      </c>
      <c r="B4" s="16"/>
      <c r="C4" s="16" t="s">
        <v>7</v>
      </c>
      <c r="D4" s="1" t="s">
        <v>78</v>
      </c>
      <c r="E4" s="44" t="s">
        <v>86</v>
      </c>
      <c r="F4" s="19"/>
      <c r="G4" s="19"/>
      <c r="H4" s="17">
        <v>500000</v>
      </c>
      <c r="I4" s="17">
        <f>MAYWD[[#This Row],[Opening]]+MAYWD[[#This Row],[Purchase]]-MAYWD[[#This Row],[Payment]]</f>
        <v>-500000</v>
      </c>
      <c r="J4" s="100">
        <f>J3+MAYWD[[#This Row],[Purchase]]-MAYWD[[#This Row],[Payment]]</f>
        <v>35550</v>
      </c>
    </row>
    <row r="5" spans="1:11" x14ac:dyDescent="0.55000000000000004">
      <c r="A5" s="47">
        <v>44327</v>
      </c>
      <c r="B5" s="48">
        <v>13402</v>
      </c>
      <c r="C5" s="48" t="s">
        <v>6</v>
      </c>
      <c r="D5" s="1" t="s">
        <v>78</v>
      </c>
      <c r="E5" s="44" t="s">
        <v>120</v>
      </c>
      <c r="F5" s="50"/>
      <c r="G5" s="50">
        <v>78500</v>
      </c>
      <c r="H5" s="51"/>
      <c r="I5" s="51">
        <f>MAYWD[[#This Row],[Opening]]+MAYWD[[#This Row],[Purchase]]-MAYWD[[#This Row],[Payment]]</f>
        <v>78500</v>
      </c>
      <c r="J5" s="100">
        <f>J4+MAYWD[[#This Row],[Purchase]]-MAYWD[[#This Row],[Payment]]</f>
        <v>114050</v>
      </c>
    </row>
    <row r="6" spans="1:11" x14ac:dyDescent="0.55000000000000004">
      <c r="A6" s="59">
        <v>44329</v>
      </c>
      <c r="B6" s="60"/>
      <c r="C6" s="60" t="s">
        <v>7</v>
      </c>
      <c r="D6" s="1" t="s">
        <v>78</v>
      </c>
      <c r="E6" s="44" t="s">
        <v>86</v>
      </c>
      <c r="F6" s="63"/>
      <c r="G6" s="63"/>
      <c r="H6" s="64">
        <v>114050</v>
      </c>
      <c r="I6" s="64">
        <f>MAYWD[[#This Row],[Opening]]+MAYWD[[#This Row],[Purchase]]-MAYWD[[#This Row],[Payment]]</f>
        <v>-114050</v>
      </c>
      <c r="J6" s="100">
        <f>J5+MAYWD[[#This Row],[Purchase]]-MAYWD[[#This Row],[Payment]]</f>
        <v>0</v>
      </c>
    </row>
    <row r="7" spans="1:11" x14ac:dyDescent="0.55000000000000004">
      <c r="A7" s="59"/>
      <c r="B7" s="60"/>
      <c r="C7" s="60"/>
      <c r="E7" s="62"/>
      <c r="F7" s="63"/>
      <c r="G7" s="63"/>
      <c r="H7" s="64"/>
      <c r="I7" s="64"/>
    </row>
    <row r="8" spans="1:11" x14ac:dyDescent="0.55000000000000004">
      <c r="A8" s="59"/>
      <c r="B8" s="60"/>
      <c r="C8" s="60"/>
      <c r="D8" s="61"/>
      <c r="E8" s="62"/>
      <c r="F8" s="63"/>
      <c r="G8" s="63"/>
      <c r="H8" s="64"/>
      <c r="I8" s="64"/>
    </row>
    <row r="9" spans="1:11" x14ac:dyDescent="0.55000000000000004">
      <c r="A9" s="59"/>
      <c r="B9" s="60"/>
      <c r="C9" s="60"/>
      <c r="D9" s="61"/>
      <c r="E9" s="62"/>
      <c r="F9" s="63"/>
      <c r="G9" s="63"/>
      <c r="H9" s="64"/>
      <c r="I9" s="64"/>
    </row>
    <row r="10" spans="1:11" x14ac:dyDescent="0.55000000000000004">
      <c r="A10" s="18"/>
      <c r="B10" s="16"/>
      <c r="C10" s="16"/>
      <c r="E10" s="44"/>
      <c r="F10" s="19"/>
      <c r="G10" s="19"/>
      <c r="H10" s="17"/>
      <c r="I10" s="17"/>
    </row>
    <row r="11" spans="1:11" x14ac:dyDescent="0.55000000000000004">
      <c r="A11" s="18"/>
      <c r="B11" s="16"/>
      <c r="C11" s="16"/>
      <c r="E11" s="44"/>
      <c r="F11" s="19"/>
      <c r="G11" s="19"/>
      <c r="H11" s="17"/>
      <c r="I11" s="17"/>
    </row>
    <row r="12" spans="1:11" x14ac:dyDescent="0.55000000000000004">
      <c r="A12" s="18"/>
      <c r="B12" s="16"/>
      <c r="C12" s="16"/>
      <c r="F12" s="19"/>
      <c r="G12" s="19"/>
      <c r="H12" s="17"/>
      <c r="I12" s="17"/>
    </row>
    <row r="13" spans="1:11" x14ac:dyDescent="0.55000000000000004">
      <c r="A13" s="18"/>
      <c r="B13" s="16"/>
      <c r="C13" s="16"/>
      <c r="E13" s="44"/>
      <c r="F13" s="19"/>
      <c r="G13" s="19"/>
      <c r="H13" s="17"/>
      <c r="I13" s="17"/>
    </row>
    <row r="14" spans="1:11" x14ac:dyDescent="0.55000000000000004">
      <c r="A14" s="54"/>
      <c r="B14" s="55"/>
      <c r="C14" s="55"/>
      <c r="E14" s="56"/>
      <c r="F14" s="53"/>
      <c r="G14" s="53"/>
      <c r="H14" s="57"/>
      <c r="I14" s="57"/>
    </row>
    <row r="15" spans="1:11" x14ac:dyDescent="0.55000000000000004">
      <c r="A15" s="54"/>
      <c r="B15" s="55"/>
      <c r="C15" s="55"/>
      <c r="E15" s="56"/>
      <c r="F15" s="53"/>
      <c r="G15" s="53"/>
      <c r="H15" s="57"/>
      <c r="I15" s="57"/>
    </row>
    <row r="16" spans="1:11" x14ac:dyDescent="0.55000000000000004">
      <c r="A16" s="54"/>
      <c r="B16" s="55"/>
      <c r="C16" s="55"/>
      <c r="F16" s="53"/>
      <c r="G16" s="53"/>
      <c r="H16" s="57"/>
      <c r="I16" s="57"/>
    </row>
    <row r="17" spans="1:9" x14ac:dyDescent="0.55000000000000004">
      <c r="A17" s="54"/>
      <c r="B17" s="55"/>
      <c r="C17" s="55"/>
      <c r="D17" s="52"/>
      <c r="E17" s="56"/>
      <c r="F17" s="53"/>
      <c r="G17" s="53"/>
      <c r="H17" s="57"/>
      <c r="I17" s="57"/>
    </row>
    <row r="18" spans="1:9" x14ac:dyDescent="0.55000000000000004">
      <c r="A18" s="18"/>
      <c r="B18" s="16"/>
      <c r="C18" s="16"/>
      <c r="E18" s="14"/>
      <c r="F18" s="19"/>
      <c r="G18" s="19"/>
      <c r="H18" s="17"/>
      <c r="I18" s="17"/>
    </row>
    <row r="19" spans="1:9" x14ac:dyDescent="0.55000000000000004">
      <c r="A19" s="18"/>
      <c r="B19" s="16"/>
      <c r="C19" s="16"/>
      <c r="E19" s="14"/>
      <c r="F19" s="19"/>
      <c r="G19" s="19"/>
      <c r="H19" s="17"/>
      <c r="I19" s="17"/>
    </row>
    <row r="20" spans="1:9" x14ac:dyDescent="0.55000000000000004">
      <c r="C20" s="11"/>
    </row>
    <row r="21" spans="1:9" x14ac:dyDescent="0.55000000000000004">
      <c r="C21" s="11"/>
    </row>
  </sheetData>
  <pageMargins left="0.7" right="0.7" top="0.75" bottom="0.75" header="0.3" footer="0.3"/>
  <ignoredErrors>
    <ignoredError sqref="J3:J6" calculatedColumn="1"/>
  </ignoredErrors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C2:C42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11"/>
  <sheetViews>
    <sheetView workbookViewId="0">
      <selection activeCell="J1" sqref="J1"/>
    </sheetView>
  </sheetViews>
  <sheetFormatPr defaultColWidth="8.7109375" defaultRowHeight="21.75" x14ac:dyDescent="0.55000000000000004"/>
  <cols>
    <col min="1" max="1" width="14.7109375" style="13" customWidth="1"/>
    <col min="2" max="3" width="12.28515625" style="1" customWidth="1"/>
    <col min="4" max="4" width="24.42578125" style="1" bestFit="1" customWidth="1"/>
    <col min="5" max="5" width="23.28515625" style="7" customWidth="1"/>
    <col min="6" max="6" width="17.5703125" style="8" bestFit="1" customWidth="1"/>
    <col min="7" max="7" width="18.42578125" style="8" customWidth="1"/>
    <col min="8" max="8" width="15.28515625" style="9" customWidth="1"/>
    <col min="9" max="9" width="17.140625" style="9" customWidth="1"/>
    <col min="10" max="10" width="15.570312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7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100" t="s">
        <v>182</v>
      </c>
      <c r="K1" s="8"/>
    </row>
    <row r="2" spans="1:11" x14ac:dyDescent="0.55000000000000004">
      <c r="A2" s="18">
        <v>44317</v>
      </c>
      <c r="B2" s="15"/>
      <c r="C2" s="16" t="s">
        <v>5</v>
      </c>
      <c r="D2" s="1" t="s">
        <v>44</v>
      </c>
      <c r="E2" s="7" t="s">
        <v>5</v>
      </c>
      <c r="F2" s="19">
        <v>2208992</v>
      </c>
      <c r="G2" s="19"/>
      <c r="H2" s="17"/>
      <c r="I2" s="17">
        <f>MDYSP[[#This Row],[Opening]]+MDYSP[[#This Row],[Purchase]]-MDYSP[[#This Row],[Payment]]</f>
        <v>2208992</v>
      </c>
      <c r="J2" s="100">
        <f>MDYSP[Balance]</f>
        <v>2208992</v>
      </c>
    </row>
    <row r="3" spans="1:11" x14ac:dyDescent="0.55000000000000004">
      <c r="A3" s="59"/>
      <c r="B3" s="80"/>
      <c r="C3" s="60"/>
      <c r="D3" s="61"/>
      <c r="E3" s="62"/>
      <c r="F3" s="63"/>
      <c r="G3" s="63"/>
      <c r="H3" s="64"/>
      <c r="I3" s="64"/>
    </row>
    <row r="4" spans="1:11" x14ac:dyDescent="0.55000000000000004">
      <c r="A4" s="18"/>
      <c r="B4" s="15"/>
      <c r="C4" s="16"/>
      <c r="E4" s="14"/>
      <c r="F4" s="19"/>
      <c r="G4" s="19"/>
      <c r="H4" s="17"/>
      <c r="I4" s="17"/>
    </row>
    <row r="5" spans="1:11" x14ac:dyDescent="0.55000000000000004">
      <c r="A5" s="18"/>
      <c r="B5" s="15"/>
      <c r="C5" s="16"/>
      <c r="E5" s="14"/>
      <c r="F5" s="19"/>
      <c r="G5" s="19"/>
      <c r="H5" s="17"/>
      <c r="I5" s="17"/>
    </row>
    <row r="6" spans="1:11" x14ac:dyDescent="0.55000000000000004">
      <c r="A6" s="18"/>
      <c r="B6" s="15"/>
      <c r="C6" s="16"/>
      <c r="E6" s="14"/>
      <c r="F6" s="19"/>
      <c r="G6" s="19"/>
      <c r="H6" s="17"/>
      <c r="I6" s="17"/>
    </row>
    <row r="7" spans="1:11" x14ac:dyDescent="0.55000000000000004">
      <c r="A7" s="18"/>
      <c r="B7" s="15"/>
      <c r="C7" s="16"/>
      <c r="E7" s="14"/>
      <c r="F7" s="19"/>
      <c r="G7" s="19"/>
      <c r="H7" s="17"/>
      <c r="I7" s="17"/>
    </row>
    <row r="8" spans="1:11" x14ac:dyDescent="0.55000000000000004">
      <c r="A8" s="18"/>
      <c r="B8" s="15"/>
      <c r="C8" s="16"/>
      <c r="E8" s="14"/>
      <c r="F8" s="19"/>
      <c r="G8" s="19"/>
      <c r="H8" s="17"/>
      <c r="I8" s="17"/>
    </row>
    <row r="9" spans="1:11" x14ac:dyDescent="0.55000000000000004">
      <c r="A9" s="18"/>
      <c r="B9" s="15"/>
      <c r="C9" s="16"/>
      <c r="E9" s="14"/>
      <c r="F9" s="19"/>
      <c r="G9" s="19"/>
      <c r="H9" s="17"/>
      <c r="I9" s="17"/>
    </row>
    <row r="10" spans="1:11" x14ac:dyDescent="0.55000000000000004">
      <c r="C10" s="11"/>
    </row>
    <row r="11" spans="1:11" x14ac:dyDescent="0.55000000000000004">
      <c r="C11" s="11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C2:C23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26"/>
  <sheetViews>
    <sheetView zoomScale="90" zoomScaleNormal="90" workbookViewId="0">
      <selection activeCell="J13" sqref="J13"/>
    </sheetView>
  </sheetViews>
  <sheetFormatPr defaultColWidth="8.7109375" defaultRowHeight="21.75" x14ac:dyDescent="0.55000000000000004"/>
  <cols>
    <col min="1" max="1" width="14.7109375" style="13" customWidth="1"/>
    <col min="2" max="2" width="12.28515625" style="11" customWidth="1"/>
    <col min="3" max="3" width="13.42578125" style="1" customWidth="1"/>
    <col min="4" max="4" width="18.28515625" style="1" customWidth="1"/>
    <col min="5" max="5" width="35.5703125" style="7" customWidth="1"/>
    <col min="6" max="6" width="17.5703125" style="8" bestFit="1" customWidth="1"/>
    <col min="7" max="7" width="18.42578125" style="8" customWidth="1"/>
    <col min="8" max="8" width="15.85546875" style="9" customWidth="1"/>
    <col min="9" max="9" width="14.7109375" style="9" bestFit="1" customWidth="1"/>
    <col min="10" max="10" width="15.710937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100" t="s">
        <v>182</v>
      </c>
      <c r="K1" s="8"/>
    </row>
    <row r="2" spans="1:11" x14ac:dyDescent="0.55000000000000004">
      <c r="A2" s="59">
        <v>44314</v>
      </c>
      <c r="B2" s="60">
        <v>5811</v>
      </c>
      <c r="C2" s="60" t="s">
        <v>6</v>
      </c>
      <c r="D2" s="1" t="s">
        <v>79</v>
      </c>
      <c r="E2" s="62" t="s">
        <v>89</v>
      </c>
      <c r="F2" s="63"/>
      <c r="G2" s="64">
        <v>221200</v>
      </c>
      <c r="H2" s="64"/>
      <c r="I2" s="64">
        <f>MTAY[[#This Row],[Opening]]+MTAY[[#This Row],[Purchase]]-MTAY[[#This Row],[Payment]]</f>
        <v>221200</v>
      </c>
      <c r="J2" s="100">
        <f>MTAY[[#This Row],[Balance]]</f>
        <v>221200</v>
      </c>
    </row>
    <row r="3" spans="1:11" x14ac:dyDescent="0.55000000000000004">
      <c r="A3" s="18">
        <v>44317</v>
      </c>
      <c r="B3" s="16"/>
      <c r="C3" s="16" t="s">
        <v>5</v>
      </c>
      <c r="D3" s="1" t="s">
        <v>79</v>
      </c>
      <c r="E3" s="7" t="s">
        <v>5</v>
      </c>
      <c r="F3" s="19">
        <v>2778210</v>
      </c>
      <c r="G3" s="19"/>
      <c r="H3" s="17"/>
      <c r="I3" s="17">
        <f>MTAY[[#This Row],[Opening]]+MTAY[[#This Row],[Purchase]]-MTAY[[#This Row],[Payment]]</f>
        <v>2778210</v>
      </c>
      <c r="J3" s="100">
        <f>J2+MTAY[[#This Row],[Purchase]]-MTAY[[#This Row],[Payment]]</f>
        <v>221200</v>
      </c>
    </row>
    <row r="4" spans="1:11" x14ac:dyDescent="0.55000000000000004">
      <c r="A4" s="59">
        <v>44319</v>
      </c>
      <c r="B4" s="60">
        <v>5812</v>
      </c>
      <c r="C4" s="60" t="s">
        <v>6</v>
      </c>
      <c r="D4" s="1" t="s">
        <v>79</v>
      </c>
      <c r="E4" s="62" t="s">
        <v>90</v>
      </c>
      <c r="F4" s="63"/>
      <c r="G4" s="63">
        <v>1812000</v>
      </c>
      <c r="H4" s="64"/>
      <c r="I4" s="64">
        <f>MTAY[[#This Row],[Opening]]+MTAY[[#This Row],[Purchase]]-MTAY[[#This Row],[Payment]]</f>
        <v>1812000</v>
      </c>
      <c r="J4" s="100">
        <f>J3+MTAY[[#This Row],[Purchase]]-MTAY[[#This Row],[Payment]]</f>
        <v>2033200</v>
      </c>
    </row>
    <row r="5" spans="1:11" x14ac:dyDescent="0.55000000000000004">
      <c r="A5" s="18">
        <v>44321</v>
      </c>
      <c r="B5" s="16"/>
      <c r="C5" s="16" t="s">
        <v>7</v>
      </c>
      <c r="D5" s="1" t="s">
        <v>79</v>
      </c>
      <c r="E5" s="44" t="s">
        <v>86</v>
      </c>
      <c r="F5" s="19"/>
      <c r="G5" s="19"/>
      <c r="H5" s="17">
        <v>1500000</v>
      </c>
      <c r="I5" s="17">
        <f>MTAY[[#This Row],[Opening]]+MTAY[[#This Row],[Purchase]]-MTAY[[#This Row],[Payment]]</f>
        <v>-1500000</v>
      </c>
      <c r="J5" s="100">
        <f>J4+MTAY[[#This Row],[Purchase]]-MTAY[[#This Row],[Payment]]</f>
        <v>533200</v>
      </c>
    </row>
    <row r="6" spans="1:11" x14ac:dyDescent="0.55000000000000004">
      <c r="A6" s="59">
        <v>44329</v>
      </c>
      <c r="B6" s="60">
        <v>13</v>
      </c>
      <c r="C6" s="16" t="s">
        <v>7</v>
      </c>
      <c r="D6" s="1" t="s">
        <v>79</v>
      </c>
      <c r="E6" s="44" t="s">
        <v>86</v>
      </c>
      <c r="F6" s="63"/>
      <c r="G6" s="63"/>
      <c r="H6" s="64">
        <v>1000000</v>
      </c>
      <c r="I6" s="64">
        <f>MTAY[[#This Row],[Opening]]+MTAY[[#This Row],[Purchase]]-MTAY[[#This Row],[Payment]]</f>
        <v>-1000000</v>
      </c>
      <c r="J6" s="100">
        <f>J5+MTAY[[#This Row],[Purchase]]-MTAY[[#This Row],[Payment]]</f>
        <v>-466800</v>
      </c>
    </row>
    <row r="7" spans="1:11" x14ac:dyDescent="0.55000000000000004">
      <c r="A7" s="59">
        <v>44335</v>
      </c>
      <c r="B7" s="60">
        <v>5813</v>
      </c>
      <c r="C7" s="60" t="s">
        <v>6</v>
      </c>
      <c r="D7" s="1" t="s">
        <v>79</v>
      </c>
      <c r="E7" s="62" t="s">
        <v>137</v>
      </c>
      <c r="F7" s="63"/>
      <c r="G7" s="63">
        <v>2178500</v>
      </c>
      <c r="H7" s="64"/>
      <c r="I7" s="64">
        <f>MTAY[[#This Row],[Opening]]+MTAY[[#This Row],[Purchase]]-MTAY[[#This Row],[Payment]]</f>
        <v>2178500</v>
      </c>
      <c r="J7" s="100">
        <f>J6+MTAY[[#This Row],[Purchase]]-MTAY[[#This Row],[Payment]]</f>
        <v>1711700</v>
      </c>
    </row>
    <row r="8" spans="1:11" x14ac:dyDescent="0.55000000000000004">
      <c r="A8" s="59">
        <v>44335</v>
      </c>
      <c r="B8" s="60"/>
      <c r="C8" s="60" t="s">
        <v>7</v>
      </c>
      <c r="D8" s="1" t="s">
        <v>79</v>
      </c>
      <c r="E8" s="44" t="s">
        <v>86</v>
      </c>
      <c r="F8" s="63"/>
      <c r="G8" s="63"/>
      <c r="H8" s="64">
        <v>1500000</v>
      </c>
      <c r="I8" s="64">
        <f>MTAY[[#This Row],[Opening]]+MTAY[[#This Row],[Purchase]]-MTAY[[#This Row],[Payment]]</f>
        <v>-1500000</v>
      </c>
      <c r="J8" s="100">
        <f>J7+MTAY[[#This Row],[Purchase]]-MTAY[[#This Row],[Payment]]</f>
        <v>211700</v>
      </c>
    </row>
    <row r="9" spans="1:11" x14ac:dyDescent="0.55000000000000004">
      <c r="A9" s="59">
        <v>44345</v>
      </c>
      <c r="B9" s="60"/>
      <c r="C9" s="60" t="s">
        <v>7</v>
      </c>
      <c r="D9" s="1" t="s">
        <v>79</v>
      </c>
      <c r="E9" s="44" t="s">
        <v>86</v>
      </c>
      <c r="F9" s="63"/>
      <c r="G9" s="63"/>
      <c r="H9" s="64">
        <v>1500000</v>
      </c>
      <c r="I9" s="64">
        <f>MTAY[[#This Row],[Opening]]+MTAY[[#This Row],[Purchase]]-MTAY[[#This Row],[Payment]]</f>
        <v>-1500000</v>
      </c>
      <c r="J9" s="100">
        <f>J8+MTAY[[#This Row],[Purchase]]-MTAY[[#This Row],[Payment]]</f>
        <v>-1288300</v>
      </c>
    </row>
    <row r="10" spans="1:11" x14ac:dyDescent="0.55000000000000004">
      <c r="A10" s="59">
        <v>44345</v>
      </c>
      <c r="B10" s="60">
        <v>5816</v>
      </c>
      <c r="C10" s="60" t="s">
        <v>6</v>
      </c>
      <c r="D10" s="1" t="s">
        <v>79</v>
      </c>
      <c r="E10" s="62" t="s">
        <v>157</v>
      </c>
      <c r="F10" s="63"/>
      <c r="G10" s="63">
        <v>76600</v>
      </c>
      <c r="H10" s="64"/>
      <c r="I10" s="64">
        <f>MTAY[[#This Row],[Opening]]+MTAY[[#This Row],[Purchase]]-MTAY[[#This Row],[Payment]]</f>
        <v>76600</v>
      </c>
      <c r="J10" s="100">
        <f>J9+MTAY[[#This Row],[Purchase]]-MTAY[[#This Row],[Payment]]</f>
        <v>-1211700</v>
      </c>
    </row>
    <row r="11" spans="1:11" x14ac:dyDescent="0.55000000000000004">
      <c r="A11" s="59">
        <v>44342</v>
      </c>
      <c r="B11" s="60">
        <v>5815</v>
      </c>
      <c r="C11" s="60" t="s">
        <v>6</v>
      </c>
      <c r="D11" s="1" t="s">
        <v>79</v>
      </c>
      <c r="E11" s="44" t="s">
        <v>158</v>
      </c>
      <c r="F11" s="63"/>
      <c r="G11" s="63">
        <v>180000</v>
      </c>
      <c r="H11" s="64"/>
      <c r="I11" s="64">
        <f>MTAY[[#This Row],[Opening]]+MTAY[[#This Row],[Purchase]]-MTAY[[#This Row],[Payment]]</f>
        <v>180000</v>
      </c>
      <c r="J11" s="100">
        <f>J10+MTAY[[#This Row],[Purchase]]-MTAY[[#This Row],[Payment]]</f>
        <v>-1031700</v>
      </c>
    </row>
    <row r="12" spans="1:11" x14ac:dyDescent="0.55000000000000004">
      <c r="A12" s="59">
        <v>44338</v>
      </c>
      <c r="B12" s="60">
        <v>5814</v>
      </c>
      <c r="C12" s="60" t="s">
        <v>6</v>
      </c>
      <c r="D12" s="1" t="s">
        <v>79</v>
      </c>
      <c r="E12" s="62" t="s">
        <v>159</v>
      </c>
      <c r="F12" s="63"/>
      <c r="G12" s="63">
        <v>33000</v>
      </c>
      <c r="H12" s="64"/>
      <c r="I12" s="64">
        <f>MTAY[[#This Row],[Opening]]+MTAY[[#This Row],[Purchase]]-MTAY[[#This Row],[Payment]]</f>
        <v>33000</v>
      </c>
      <c r="J12" s="100">
        <f>J11+MTAY[[#This Row],[Purchase]]-MTAY[[#This Row],[Payment]]</f>
        <v>-998700</v>
      </c>
    </row>
    <row r="13" spans="1:11" x14ac:dyDescent="0.55000000000000004">
      <c r="A13" s="59"/>
      <c r="B13" s="60"/>
      <c r="C13" s="60"/>
      <c r="D13" s="61"/>
      <c r="E13" s="62"/>
      <c r="F13" s="63"/>
      <c r="G13" s="63"/>
      <c r="H13" s="64"/>
      <c r="I13" s="64"/>
    </row>
    <row r="14" spans="1:11" x14ac:dyDescent="0.55000000000000004">
      <c r="A14" s="59"/>
      <c r="B14" s="60"/>
      <c r="C14" s="60"/>
      <c r="D14" s="61"/>
      <c r="E14" s="62"/>
      <c r="F14" s="63"/>
      <c r="G14" s="63"/>
      <c r="H14" s="64"/>
      <c r="I14" s="64"/>
    </row>
    <row r="15" spans="1:11" x14ac:dyDescent="0.55000000000000004">
      <c r="A15" s="18"/>
      <c r="B15" s="16"/>
      <c r="C15" s="16"/>
      <c r="E15" s="44"/>
      <c r="F15" s="19"/>
      <c r="G15" s="19"/>
      <c r="H15" s="17"/>
      <c r="I15" s="17"/>
    </row>
    <row r="16" spans="1:11" x14ac:dyDescent="0.55000000000000004">
      <c r="A16" s="54"/>
      <c r="B16" s="55"/>
      <c r="C16" s="55"/>
      <c r="E16" s="56"/>
      <c r="F16" s="53"/>
      <c r="G16" s="53"/>
      <c r="H16" s="57"/>
      <c r="I16" s="57"/>
    </row>
    <row r="17" spans="1:9" x14ac:dyDescent="0.55000000000000004">
      <c r="A17" s="54"/>
      <c r="B17" s="55"/>
      <c r="C17" s="55"/>
      <c r="E17" s="44"/>
      <c r="F17" s="53"/>
      <c r="G17" s="53"/>
      <c r="H17" s="57"/>
      <c r="I17" s="57"/>
    </row>
    <row r="18" spans="1:9" x14ac:dyDescent="0.55000000000000004">
      <c r="A18" s="54"/>
      <c r="B18" s="55"/>
      <c r="C18" s="55"/>
      <c r="E18" s="56"/>
      <c r="F18" s="53"/>
      <c r="G18" s="53"/>
      <c r="H18" s="57"/>
      <c r="I18" s="57"/>
    </row>
    <row r="19" spans="1:9" x14ac:dyDescent="0.55000000000000004">
      <c r="A19" s="54"/>
      <c r="B19" s="55"/>
      <c r="C19" s="55"/>
      <c r="E19" s="56"/>
      <c r="F19" s="53"/>
      <c r="G19" s="53"/>
      <c r="H19" s="57"/>
      <c r="I19" s="57"/>
    </row>
    <row r="20" spans="1:9" x14ac:dyDescent="0.55000000000000004">
      <c r="A20" s="54"/>
      <c r="B20" s="55"/>
      <c r="C20" s="55"/>
      <c r="D20" s="52"/>
      <c r="E20" s="56"/>
      <c r="F20" s="53"/>
      <c r="G20" s="53"/>
      <c r="H20" s="57"/>
      <c r="I20" s="57"/>
    </row>
    <row r="21" spans="1:9" x14ac:dyDescent="0.55000000000000004">
      <c r="A21" s="18"/>
      <c r="B21" s="16"/>
      <c r="C21" s="16"/>
      <c r="F21" s="19"/>
      <c r="G21" s="19"/>
      <c r="H21" s="17"/>
      <c r="I21" s="17"/>
    </row>
    <row r="22" spans="1:9" x14ac:dyDescent="0.55000000000000004">
      <c r="A22" s="18"/>
      <c r="B22" s="16"/>
      <c r="C22" s="16"/>
      <c r="F22" s="19"/>
      <c r="G22" s="19"/>
      <c r="H22" s="17"/>
      <c r="I22" s="17"/>
    </row>
    <row r="23" spans="1:9" x14ac:dyDescent="0.55000000000000004">
      <c r="A23" s="18"/>
      <c r="B23" s="16"/>
      <c r="C23" s="16"/>
      <c r="E23" s="14"/>
      <c r="F23" s="19"/>
      <c r="G23" s="19"/>
      <c r="H23" s="17"/>
      <c r="I23" s="17"/>
    </row>
    <row r="24" spans="1:9" x14ac:dyDescent="0.55000000000000004">
      <c r="A24" s="18"/>
      <c r="B24" s="16"/>
      <c r="C24" s="16"/>
      <c r="E24" s="14"/>
      <c r="F24" s="19"/>
      <c r="G24" s="19"/>
      <c r="H24" s="17"/>
      <c r="I24" s="17"/>
    </row>
    <row r="25" spans="1:9" x14ac:dyDescent="0.55000000000000004">
      <c r="C25" s="11"/>
    </row>
    <row r="26" spans="1:9" x14ac:dyDescent="0.55000000000000004">
      <c r="C26" s="11"/>
    </row>
  </sheetData>
  <pageMargins left="0.7" right="0.7" top="0.75" bottom="0.75" header="0.3" footer="0.3"/>
  <pageSetup paperSize="9" orientation="portrait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C2:C30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15"/>
  <sheetViews>
    <sheetView zoomScale="90" zoomScaleNormal="90" workbookViewId="0">
      <selection activeCell="J7" sqref="J7"/>
    </sheetView>
  </sheetViews>
  <sheetFormatPr defaultColWidth="8.7109375" defaultRowHeight="21.75" x14ac:dyDescent="0.55000000000000004"/>
  <cols>
    <col min="1" max="1" width="14.7109375" style="13" customWidth="1"/>
    <col min="2" max="2" width="12.28515625" style="74" customWidth="1"/>
    <col min="3" max="3" width="12.28515625" style="1" customWidth="1"/>
    <col min="4" max="4" width="24.42578125" style="1" bestFit="1" customWidth="1"/>
    <col min="5" max="5" width="35.140625" style="7" customWidth="1"/>
    <col min="6" max="6" width="17.5703125" style="8" bestFit="1" customWidth="1"/>
    <col min="7" max="7" width="18.42578125" style="8" customWidth="1"/>
    <col min="8" max="8" width="15.140625" style="9" customWidth="1"/>
    <col min="9" max="9" width="14.7109375" style="9" bestFit="1" customWidth="1"/>
    <col min="10" max="10" width="17.570312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100" t="s">
        <v>182</v>
      </c>
      <c r="K1" s="8"/>
    </row>
    <row r="2" spans="1:11" x14ac:dyDescent="0.55000000000000004">
      <c r="A2" s="18">
        <v>44317</v>
      </c>
      <c r="B2" s="58"/>
      <c r="C2" s="16" t="s">
        <v>5</v>
      </c>
      <c r="D2" s="1" t="s">
        <v>80</v>
      </c>
      <c r="E2" s="7" t="s">
        <v>5</v>
      </c>
      <c r="F2" s="19">
        <v>2754773</v>
      </c>
      <c r="G2" s="19"/>
      <c r="H2" s="17"/>
      <c r="I2" s="17">
        <f>NASA[[#This Row],[Opening]]+NASA[[#This Row],[Purchase]]-NASA[[#This Row],[Payment]]</f>
        <v>2754773</v>
      </c>
      <c r="J2" s="100">
        <f>NASA[[#This Row],[Balance]]</f>
        <v>2754773</v>
      </c>
    </row>
    <row r="3" spans="1:11" x14ac:dyDescent="0.55000000000000004">
      <c r="A3" s="47">
        <v>44329</v>
      </c>
      <c r="B3" s="66">
        <v>4370</v>
      </c>
      <c r="C3" s="60" t="s">
        <v>7</v>
      </c>
      <c r="D3" s="1" t="s">
        <v>80</v>
      </c>
      <c r="E3" s="44" t="s">
        <v>86</v>
      </c>
      <c r="F3" s="50"/>
      <c r="G3" s="50"/>
      <c r="H3" s="51">
        <v>1000000</v>
      </c>
      <c r="I3" s="51">
        <f>NASA[[#This Row],[Opening]]+NASA[[#This Row],[Purchase]]-NASA[[#This Row],[Payment]]</f>
        <v>-1000000</v>
      </c>
      <c r="J3" s="100">
        <f>J2+NASA[[#This Row],[Purchase]]-NASA[[#This Row],[Payment]]</f>
        <v>1754773</v>
      </c>
    </row>
    <row r="4" spans="1:11" x14ac:dyDescent="0.55000000000000004">
      <c r="A4" s="18">
        <v>44330</v>
      </c>
      <c r="B4" s="58"/>
      <c r="C4" s="16" t="s">
        <v>7</v>
      </c>
      <c r="D4" s="1" t="s">
        <v>80</v>
      </c>
      <c r="E4" s="44" t="s">
        <v>131</v>
      </c>
      <c r="F4" s="19"/>
      <c r="G4" s="19"/>
      <c r="H4" s="17">
        <v>147923</v>
      </c>
      <c r="I4" s="17">
        <f>NASA[[#This Row],[Opening]]+NASA[[#This Row],[Purchase]]-NASA[[#This Row],[Payment]]</f>
        <v>-147923</v>
      </c>
      <c r="J4" s="100">
        <f>J3+NASA[[#This Row],[Purchase]]-NASA[[#This Row],[Payment]]</f>
        <v>1606850</v>
      </c>
    </row>
    <row r="5" spans="1:11" x14ac:dyDescent="0.55000000000000004">
      <c r="A5" s="59">
        <v>44330</v>
      </c>
      <c r="B5" s="73">
        <v>4374</v>
      </c>
      <c r="C5" s="60" t="s">
        <v>7</v>
      </c>
      <c r="D5" s="1" t="s">
        <v>80</v>
      </c>
      <c r="E5" s="44" t="s">
        <v>86</v>
      </c>
      <c r="F5" s="63"/>
      <c r="G5" s="63"/>
      <c r="H5" s="64">
        <v>1606850</v>
      </c>
      <c r="I5" s="64">
        <f>NASA[[#This Row],[Opening]]+NASA[[#This Row],[Purchase]]-NASA[[#This Row],[Payment]]</f>
        <v>-1606850</v>
      </c>
      <c r="J5" s="100">
        <f>J4+NASA[[#This Row],[Purchase]]-NASA[[#This Row],[Payment]]</f>
        <v>0</v>
      </c>
    </row>
    <row r="6" spans="1:11" x14ac:dyDescent="0.55000000000000004">
      <c r="A6" s="47">
        <v>44330</v>
      </c>
      <c r="B6" s="66">
        <v>511</v>
      </c>
      <c r="C6" s="48" t="s">
        <v>6</v>
      </c>
      <c r="D6" s="1" t="s">
        <v>80</v>
      </c>
      <c r="E6" s="44" t="s">
        <v>118</v>
      </c>
      <c r="F6" s="50"/>
      <c r="G6" s="51">
        <v>999000</v>
      </c>
      <c r="H6" s="51"/>
      <c r="I6" s="51">
        <f>NASA[[#This Row],[Opening]]+NASA[[#This Row],[Purchase]]-NASA[[#This Row],[Payment]]</f>
        <v>999000</v>
      </c>
      <c r="J6" s="100">
        <f>J5+NASA[[#This Row],[Purchase]]-NASA[[#This Row],[Payment]]</f>
        <v>999000</v>
      </c>
    </row>
    <row r="7" spans="1:11" x14ac:dyDescent="0.55000000000000004">
      <c r="A7" s="47"/>
      <c r="B7" s="66"/>
      <c r="C7" s="48"/>
      <c r="D7" s="49"/>
      <c r="E7" s="44"/>
      <c r="F7" s="50"/>
      <c r="G7" s="50"/>
      <c r="H7" s="51"/>
      <c r="I7" s="51"/>
    </row>
    <row r="8" spans="1:11" x14ac:dyDescent="0.55000000000000004">
      <c r="A8" s="18"/>
      <c r="B8" s="58"/>
      <c r="C8" s="16"/>
      <c r="E8" s="14"/>
      <c r="F8" s="19"/>
      <c r="G8" s="19"/>
      <c r="H8" s="17"/>
      <c r="I8" s="17"/>
    </row>
    <row r="9" spans="1:11" x14ac:dyDescent="0.55000000000000004">
      <c r="A9" s="18"/>
      <c r="B9" s="58"/>
      <c r="C9" s="16"/>
      <c r="E9" s="14"/>
      <c r="F9" s="19"/>
      <c r="G9" s="19"/>
      <c r="H9" s="17"/>
      <c r="I9" s="17"/>
    </row>
    <row r="10" spans="1:11" x14ac:dyDescent="0.55000000000000004">
      <c r="A10" s="18"/>
      <c r="B10" s="58"/>
      <c r="C10" s="16"/>
      <c r="E10" s="14"/>
      <c r="F10" s="19"/>
      <c r="G10" s="19"/>
      <c r="H10" s="17"/>
      <c r="I10" s="17"/>
    </row>
    <row r="11" spans="1:11" x14ac:dyDescent="0.55000000000000004">
      <c r="A11" s="18"/>
      <c r="B11" s="58"/>
      <c r="C11" s="16"/>
      <c r="E11" s="14"/>
      <c r="F11" s="19"/>
      <c r="G11" s="19"/>
      <c r="H11" s="17"/>
      <c r="I11" s="17"/>
    </row>
    <row r="12" spans="1:11" x14ac:dyDescent="0.55000000000000004">
      <c r="A12" s="18"/>
      <c r="B12" s="58"/>
      <c r="C12" s="16"/>
      <c r="E12" s="14"/>
      <c r="F12" s="19"/>
      <c r="G12" s="19"/>
      <c r="H12" s="17"/>
      <c r="I12" s="17"/>
    </row>
    <row r="13" spans="1:11" x14ac:dyDescent="0.55000000000000004">
      <c r="A13" s="18"/>
      <c r="B13" s="58"/>
      <c r="C13" s="16"/>
      <c r="E13" s="14"/>
      <c r="F13" s="19"/>
      <c r="G13" s="19"/>
      <c r="H13" s="17"/>
      <c r="I13" s="17"/>
    </row>
    <row r="14" spans="1:11" x14ac:dyDescent="0.55000000000000004">
      <c r="C14" s="11"/>
    </row>
    <row r="15" spans="1:11" x14ac:dyDescent="0.55000000000000004">
      <c r="C15" s="11"/>
    </row>
  </sheetData>
  <pageMargins left="0.7" right="0.7" top="0.75" bottom="0.75" header="0.3" footer="0.3"/>
  <pageSetup paperSize="9" orientation="portrait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C2:C42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33"/>
  <sheetViews>
    <sheetView zoomScale="90" zoomScaleNormal="90" workbookViewId="0">
      <selection activeCell="J9" sqref="J9"/>
    </sheetView>
  </sheetViews>
  <sheetFormatPr defaultColWidth="8.7109375" defaultRowHeight="21.75" x14ac:dyDescent="0.55000000000000004"/>
  <cols>
    <col min="1" max="1" width="14.7109375" style="13" customWidth="1"/>
    <col min="2" max="2" width="12.28515625" style="11" customWidth="1"/>
    <col min="3" max="3" width="12.28515625" style="1" customWidth="1"/>
    <col min="4" max="4" width="24.42578125" style="1" bestFit="1" customWidth="1"/>
    <col min="5" max="5" width="31.28515625" style="7" customWidth="1"/>
    <col min="6" max="6" width="17.5703125" style="8" bestFit="1" customWidth="1"/>
    <col min="7" max="7" width="18.42578125" style="8" customWidth="1"/>
    <col min="8" max="8" width="16.85546875" style="9" customWidth="1"/>
    <col min="9" max="9" width="14.7109375" style="9" bestFit="1" customWidth="1"/>
    <col min="10" max="10" width="17.570312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100" t="s">
        <v>182</v>
      </c>
      <c r="K1" s="8"/>
    </row>
    <row r="2" spans="1:11" x14ac:dyDescent="0.55000000000000004">
      <c r="A2" s="18">
        <v>44317</v>
      </c>
      <c r="B2" s="16"/>
      <c r="C2" s="16" t="s">
        <v>5</v>
      </c>
      <c r="D2" s="1" t="s">
        <v>48</v>
      </c>
      <c r="E2" s="7" t="s">
        <v>5</v>
      </c>
      <c r="F2" s="19">
        <v>5502500</v>
      </c>
      <c r="G2" s="19"/>
      <c r="H2" s="17"/>
      <c r="I2" s="17">
        <f>STL[[#This Row],[Opening]]+STL[[#This Row],[Purchase]]-STL[[#This Row],[Payment]]</f>
        <v>5502500</v>
      </c>
      <c r="J2" s="100">
        <f>STL[[#This Row],[Balance]]</f>
        <v>5502500</v>
      </c>
    </row>
    <row r="3" spans="1:11" x14ac:dyDescent="0.55000000000000004">
      <c r="A3" s="18">
        <v>44319</v>
      </c>
      <c r="B3" s="16">
        <v>706</v>
      </c>
      <c r="C3" s="16" t="s">
        <v>6</v>
      </c>
      <c r="D3" s="1" t="s">
        <v>48</v>
      </c>
      <c r="E3" s="44" t="s">
        <v>94</v>
      </c>
      <c r="F3" s="19"/>
      <c r="G3" s="19">
        <v>840000</v>
      </c>
      <c r="H3" s="17"/>
      <c r="I3" s="17">
        <f>STL[[#This Row],[Opening]]+STL[[#This Row],[Purchase]]-STL[[#This Row],[Payment]]</f>
        <v>840000</v>
      </c>
      <c r="J3" s="100">
        <f>J2+STL[[#This Row],[Purchase]]-STL[[#This Row],[Payment]]</f>
        <v>6342500</v>
      </c>
    </row>
    <row r="4" spans="1:11" x14ac:dyDescent="0.55000000000000004">
      <c r="A4" s="59">
        <v>44321</v>
      </c>
      <c r="B4" s="60">
        <v>43340</v>
      </c>
      <c r="C4" s="60" t="s">
        <v>6</v>
      </c>
      <c r="D4" s="1" t="s">
        <v>48</v>
      </c>
      <c r="E4" s="62" t="s">
        <v>103</v>
      </c>
      <c r="F4" s="63"/>
      <c r="G4" s="63">
        <v>145000</v>
      </c>
      <c r="H4" s="64"/>
      <c r="I4" s="64">
        <f>STL[[#This Row],[Opening]]+STL[[#This Row],[Purchase]]-STL[[#This Row],[Payment]]</f>
        <v>145000</v>
      </c>
      <c r="J4" s="100">
        <f>J3+STL[[#This Row],[Purchase]]-STL[[#This Row],[Payment]]</f>
        <v>6487500</v>
      </c>
    </row>
    <row r="5" spans="1:11" x14ac:dyDescent="0.55000000000000004">
      <c r="A5" s="59">
        <v>44323</v>
      </c>
      <c r="B5" s="60">
        <v>43273</v>
      </c>
      <c r="C5" s="60" t="s">
        <v>6</v>
      </c>
      <c r="D5" s="1" t="s">
        <v>48</v>
      </c>
      <c r="E5" s="62" t="s">
        <v>104</v>
      </c>
      <c r="F5" s="63"/>
      <c r="G5" s="63">
        <v>87000</v>
      </c>
      <c r="H5" s="64"/>
      <c r="I5" s="64">
        <f>STL[[#This Row],[Opening]]+STL[[#This Row],[Purchase]]-STL[[#This Row],[Payment]]</f>
        <v>87000</v>
      </c>
      <c r="J5" s="100">
        <f>J4+STL[[#This Row],[Purchase]]-STL[[#This Row],[Payment]]</f>
        <v>6574500</v>
      </c>
    </row>
    <row r="6" spans="1:11" x14ac:dyDescent="0.55000000000000004">
      <c r="A6" s="59">
        <v>44323</v>
      </c>
      <c r="B6" s="60">
        <v>727</v>
      </c>
      <c r="C6" s="60" t="s">
        <v>7</v>
      </c>
      <c r="D6" s="1" t="s">
        <v>48</v>
      </c>
      <c r="E6" s="44" t="s">
        <v>86</v>
      </c>
      <c r="F6" s="63"/>
      <c r="G6" s="63"/>
      <c r="H6" s="64">
        <v>3000000</v>
      </c>
      <c r="I6" s="64">
        <f>STL[[#This Row],[Opening]]+STL[[#This Row],[Purchase]]-STL[[#This Row],[Payment]]</f>
        <v>-3000000</v>
      </c>
      <c r="J6" s="100">
        <f>J5+STL[[#This Row],[Purchase]]-STL[[#This Row],[Payment]]</f>
        <v>3574500</v>
      </c>
    </row>
    <row r="7" spans="1:11" x14ac:dyDescent="0.55000000000000004">
      <c r="A7" s="47">
        <v>44345</v>
      </c>
      <c r="B7" s="48">
        <v>1057</v>
      </c>
      <c r="C7" s="48" t="s">
        <v>7</v>
      </c>
      <c r="D7" s="1" t="s">
        <v>48</v>
      </c>
      <c r="E7" s="44" t="s">
        <v>86</v>
      </c>
      <c r="F7" s="50"/>
      <c r="G7" s="50"/>
      <c r="H7" s="51">
        <v>1500000</v>
      </c>
      <c r="I7" s="51">
        <f>STL[[#This Row],[Opening]]+STL[[#This Row],[Purchase]]-STL[[#This Row],[Payment]]</f>
        <v>-1500000</v>
      </c>
      <c r="J7" s="100">
        <f>J6+STL[[#This Row],[Purchase]]-STL[[#This Row],[Payment]]</f>
        <v>2074500</v>
      </c>
    </row>
    <row r="8" spans="1:11" x14ac:dyDescent="0.55000000000000004">
      <c r="A8" s="59">
        <v>44345</v>
      </c>
      <c r="B8" s="60">
        <v>43937</v>
      </c>
      <c r="C8" s="60" t="s">
        <v>6</v>
      </c>
      <c r="D8" s="1" t="s">
        <v>48</v>
      </c>
      <c r="E8" s="62" t="s">
        <v>103</v>
      </c>
      <c r="F8" s="63"/>
      <c r="G8" s="63">
        <v>140000</v>
      </c>
      <c r="H8" s="64"/>
      <c r="I8" s="64">
        <f>STL[[#This Row],[Opening]]+STL[[#This Row],[Purchase]]-STL[[#This Row],[Payment]]</f>
        <v>140000</v>
      </c>
      <c r="J8" s="100">
        <f>J7+STL[[#This Row],[Purchase]]-STL[[#This Row],[Payment]]</f>
        <v>2214500</v>
      </c>
    </row>
    <row r="9" spans="1:11" x14ac:dyDescent="0.55000000000000004">
      <c r="A9" s="59"/>
      <c r="B9" s="60"/>
      <c r="C9" s="60"/>
      <c r="D9" s="61"/>
      <c r="E9" s="62"/>
      <c r="F9" s="63"/>
      <c r="G9" s="63"/>
      <c r="H9" s="64"/>
      <c r="I9" s="64"/>
    </row>
    <row r="10" spans="1:11" x14ac:dyDescent="0.55000000000000004">
      <c r="A10" s="18"/>
      <c r="B10" s="16"/>
      <c r="C10" s="16"/>
      <c r="E10" s="44"/>
      <c r="F10" s="19"/>
      <c r="G10" s="19"/>
      <c r="H10" s="17"/>
      <c r="I10" s="17"/>
    </row>
    <row r="11" spans="1:11" x14ac:dyDescent="0.55000000000000004">
      <c r="A11" s="54"/>
      <c r="B11" s="55"/>
      <c r="C11" s="55"/>
      <c r="E11" s="44"/>
      <c r="F11" s="53"/>
      <c r="G11" s="53"/>
      <c r="H11" s="57"/>
      <c r="I11" s="57"/>
    </row>
    <row r="12" spans="1:11" x14ac:dyDescent="0.55000000000000004">
      <c r="A12" s="18"/>
      <c r="B12" s="16"/>
      <c r="C12" s="16"/>
      <c r="E12" s="44"/>
      <c r="F12" s="19"/>
      <c r="G12" s="19"/>
      <c r="H12" s="17"/>
      <c r="I12" s="17"/>
    </row>
    <row r="13" spans="1:11" x14ac:dyDescent="0.55000000000000004">
      <c r="A13" s="18"/>
      <c r="B13" s="16"/>
      <c r="C13" s="16"/>
      <c r="E13" s="44"/>
      <c r="F13" s="19"/>
      <c r="G13" s="19"/>
      <c r="H13" s="17"/>
      <c r="I13" s="17"/>
    </row>
    <row r="14" spans="1:11" x14ac:dyDescent="0.55000000000000004">
      <c r="A14" s="54"/>
      <c r="B14" s="55"/>
      <c r="C14" s="55"/>
      <c r="E14" s="44"/>
      <c r="F14" s="53"/>
      <c r="G14" s="53"/>
      <c r="H14" s="57"/>
      <c r="I14" s="57"/>
      <c r="K14" s="1"/>
    </row>
    <row r="15" spans="1:11" x14ac:dyDescent="0.55000000000000004">
      <c r="A15" s="54"/>
      <c r="B15" s="55"/>
      <c r="C15" s="55"/>
      <c r="E15" s="56"/>
      <c r="F15" s="53"/>
      <c r="G15" s="53"/>
      <c r="H15" s="57"/>
      <c r="I15" s="57"/>
      <c r="K15" s="1"/>
    </row>
    <row r="16" spans="1:11" x14ac:dyDescent="0.55000000000000004">
      <c r="A16" s="54"/>
      <c r="B16" s="55"/>
      <c r="C16" s="55"/>
      <c r="E16" s="44"/>
      <c r="F16" s="53"/>
      <c r="G16" s="53"/>
      <c r="H16" s="57"/>
      <c r="I16" s="57"/>
      <c r="K16" s="1"/>
    </row>
    <row r="17" spans="1:11" x14ac:dyDescent="0.55000000000000004">
      <c r="A17" s="54"/>
      <c r="B17" s="55"/>
      <c r="C17" s="55"/>
      <c r="E17" s="44"/>
      <c r="F17" s="53"/>
      <c r="G17" s="53"/>
      <c r="H17" s="57"/>
      <c r="I17" s="57"/>
      <c r="K17" s="1"/>
    </row>
    <row r="18" spans="1:11" x14ac:dyDescent="0.55000000000000004">
      <c r="A18" s="47"/>
      <c r="B18" s="48"/>
      <c r="C18" s="48"/>
      <c r="D18" s="49"/>
      <c r="E18" s="44"/>
      <c r="F18" s="50"/>
      <c r="G18" s="50"/>
      <c r="H18" s="51"/>
      <c r="I18" s="51"/>
      <c r="K18" s="1"/>
    </row>
    <row r="19" spans="1:11" x14ac:dyDescent="0.55000000000000004">
      <c r="A19" s="18"/>
      <c r="B19" s="16"/>
      <c r="C19" s="16"/>
      <c r="F19" s="19"/>
      <c r="G19" s="19"/>
      <c r="H19" s="17"/>
      <c r="I19" s="17"/>
      <c r="K19" s="1"/>
    </row>
    <row r="20" spans="1:11" x14ac:dyDescent="0.55000000000000004">
      <c r="A20" s="18"/>
      <c r="B20" s="16"/>
      <c r="C20" s="16"/>
      <c r="F20" s="19"/>
      <c r="G20" s="19"/>
      <c r="H20" s="17"/>
      <c r="I20" s="17"/>
      <c r="K20" s="1"/>
    </row>
    <row r="21" spans="1:11" x14ac:dyDescent="0.55000000000000004">
      <c r="A21" s="18"/>
      <c r="B21" s="16"/>
      <c r="C21" s="16"/>
      <c r="F21" s="19"/>
      <c r="G21" s="19"/>
      <c r="H21" s="17"/>
      <c r="I21" s="17"/>
      <c r="K21" s="1"/>
    </row>
    <row r="22" spans="1:11" x14ac:dyDescent="0.55000000000000004">
      <c r="C22" s="16"/>
      <c r="K22" s="1"/>
    </row>
    <row r="23" spans="1:11" x14ac:dyDescent="0.55000000000000004">
      <c r="C23" s="11"/>
      <c r="K23" s="1"/>
    </row>
    <row r="24" spans="1:11" x14ac:dyDescent="0.55000000000000004">
      <c r="C24" s="11"/>
    </row>
    <row r="25" spans="1:11" x14ac:dyDescent="0.55000000000000004">
      <c r="C25" s="11"/>
    </row>
    <row r="26" spans="1:11" x14ac:dyDescent="0.55000000000000004">
      <c r="B26" s="40"/>
      <c r="C26" s="40"/>
      <c r="F26" s="41"/>
      <c r="G26" s="41"/>
      <c r="H26" s="42"/>
      <c r="I26" s="42"/>
    </row>
    <row r="27" spans="1:11" x14ac:dyDescent="0.55000000000000004">
      <c r="C27" s="11"/>
      <c r="D27" s="27"/>
    </row>
    <row r="28" spans="1:11" x14ac:dyDescent="0.55000000000000004">
      <c r="C28" s="11"/>
      <c r="D28" s="27"/>
    </row>
    <row r="29" spans="1:11" x14ac:dyDescent="0.55000000000000004">
      <c r="C29" s="11"/>
      <c r="D29" s="27"/>
    </row>
    <row r="30" spans="1:11" x14ac:dyDescent="0.55000000000000004">
      <c r="C30" s="11"/>
      <c r="D30" s="27"/>
    </row>
    <row r="31" spans="1:11" x14ac:dyDescent="0.55000000000000004">
      <c r="C31" s="11"/>
      <c r="D31" s="27"/>
    </row>
    <row r="32" spans="1:11" x14ac:dyDescent="0.55000000000000004">
      <c r="C32" s="11"/>
      <c r="D32" s="27"/>
    </row>
    <row r="33" spans="3:4" x14ac:dyDescent="0.55000000000000004">
      <c r="C33" s="11"/>
      <c r="D33" s="27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C2:C28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22"/>
  <sheetViews>
    <sheetView workbookViewId="0">
      <selection activeCell="J4" sqref="J4"/>
    </sheetView>
  </sheetViews>
  <sheetFormatPr defaultColWidth="8.7109375" defaultRowHeight="21.75" x14ac:dyDescent="0.55000000000000004"/>
  <cols>
    <col min="1" max="1" width="14.7109375" style="13" customWidth="1"/>
    <col min="2" max="2" width="12.28515625" style="11" customWidth="1"/>
    <col min="3" max="3" width="12.28515625" style="1" customWidth="1"/>
    <col min="4" max="4" width="24.42578125" style="1" bestFit="1" customWidth="1"/>
    <col min="5" max="5" width="32.7109375" style="7" customWidth="1"/>
    <col min="6" max="6" width="17.5703125" style="8" bestFit="1" customWidth="1"/>
    <col min="7" max="7" width="18.42578125" style="8" customWidth="1"/>
    <col min="8" max="8" width="15.42578125" style="9" customWidth="1"/>
    <col min="9" max="9" width="14.7109375" style="9" bestFit="1" customWidth="1"/>
    <col min="10" max="10" width="18.14062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100" t="s">
        <v>182</v>
      </c>
      <c r="K1" s="8"/>
    </row>
    <row r="2" spans="1:11" x14ac:dyDescent="0.55000000000000004">
      <c r="A2" s="18">
        <v>44317</v>
      </c>
      <c r="B2" s="16"/>
      <c r="C2" s="16" t="s">
        <v>5</v>
      </c>
      <c r="D2" s="1" t="s">
        <v>50</v>
      </c>
      <c r="E2" s="7" t="s">
        <v>5</v>
      </c>
      <c r="F2" s="19">
        <v>117000.01</v>
      </c>
      <c r="G2" s="19"/>
      <c r="H2" s="17"/>
      <c r="I2" s="17">
        <f>SYS[[#This Row],[Opening]]+SYS[[#This Row],[Purchase]]-SYS[[#This Row],[Payment]]</f>
        <v>117000.01</v>
      </c>
      <c r="J2" s="100">
        <f>SYS[[#This Row],[Balance]]</f>
        <v>117000.01</v>
      </c>
    </row>
    <row r="3" spans="1:11" x14ac:dyDescent="0.55000000000000004">
      <c r="A3" s="18">
        <v>44319</v>
      </c>
      <c r="B3" s="16">
        <v>3053</v>
      </c>
      <c r="C3" s="16" t="s">
        <v>7</v>
      </c>
      <c r="D3" s="1" t="s">
        <v>50</v>
      </c>
      <c r="E3" s="44" t="s">
        <v>86</v>
      </c>
      <c r="F3" s="19"/>
      <c r="G3" s="19"/>
      <c r="H3" s="17">
        <v>117000</v>
      </c>
      <c r="I3" s="17">
        <f>SYS[[#This Row],[Opening]]+SYS[[#This Row],[Purchase]]-SYS[[#This Row],[Payment]]</f>
        <v>-117000</v>
      </c>
      <c r="J3" s="100">
        <f>J2+SYS[[#This Row],[Purchase]]-SYS[[#This Row],[Payment]]</f>
        <v>9.9999999947613105E-3</v>
      </c>
    </row>
    <row r="4" spans="1:11" x14ac:dyDescent="0.55000000000000004">
      <c r="A4" s="101"/>
      <c r="B4" s="103"/>
      <c r="C4" s="103"/>
      <c r="D4" s="104"/>
      <c r="E4" s="107"/>
      <c r="F4" s="100"/>
      <c r="G4" s="100"/>
      <c r="H4" s="106"/>
      <c r="I4" s="106"/>
      <c r="J4" s="100"/>
    </row>
    <row r="5" spans="1:11" x14ac:dyDescent="0.55000000000000004">
      <c r="A5" s="101"/>
      <c r="B5" s="103"/>
      <c r="C5" s="103"/>
      <c r="D5" s="104"/>
      <c r="E5" s="107"/>
      <c r="F5" s="100"/>
      <c r="G5" s="100"/>
      <c r="H5" s="106"/>
      <c r="I5" s="106"/>
      <c r="J5" s="100"/>
    </row>
    <row r="6" spans="1:11" x14ac:dyDescent="0.55000000000000004">
      <c r="A6" s="101"/>
      <c r="B6" s="103"/>
      <c r="C6" s="103"/>
      <c r="D6" s="104"/>
      <c r="E6" s="107"/>
      <c r="F6" s="100"/>
      <c r="G6" s="100"/>
      <c r="H6" s="106"/>
      <c r="I6" s="106"/>
      <c r="J6" s="100"/>
    </row>
    <row r="7" spans="1:11" x14ac:dyDescent="0.55000000000000004">
      <c r="A7" s="101"/>
      <c r="B7" s="103"/>
      <c r="C7" s="103"/>
      <c r="D7" s="104"/>
      <c r="E7" s="107"/>
      <c r="F7" s="100"/>
      <c r="G7" s="100"/>
      <c r="H7" s="106"/>
      <c r="I7" s="106"/>
      <c r="J7" s="100"/>
    </row>
    <row r="8" spans="1:11" x14ac:dyDescent="0.55000000000000004">
      <c r="A8" s="101"/>
      <c r="B8" s="103"/>
      <c r="C8" s="103"/>
      <c r="D8" s="104"/>
      <c r="E8" s="107"/>
      <c r="F8" s="100"/>
      <c r="G8" s="100"/>
      <c r="H8" s="106"/>
      <c r="I8" s="106"/>
      <c r="J8" s="100"/>
    </row>
    <row r="9" spans="1:11" x14ac:dyDescent="0.55000000000000004">
      <c r="A9" s="101"/>
      <c r="B9" s="103"/>
      <c r="C9" s="103"/>
      <c r="D9" s="104"/>
      <c r="E9" s="107"/>
      <c r="F9" s="100"/>
      <c r="G9" s="100"/>
      <c r="H9" s="106"/>
      <c r="I9" s="106"/>
      <c r="J9" s="100"/>
    </row>
    <row r="10" spans="1:11" x14ac:dyDescent="0.55000000000000004">
      <c r="A10" s="101"/>
      <c r="B10" s="103"/>
      <c r="C10" s="103"/>
      <c r="D10" s="104"/>
      <c r="E10" s="107"/>
      <c r="F10" s="100"/>
      <c r="G10" s="100"/>
      <c r="H10" s="106"/>
      <c r="I10" s="106"/>
      <c r="J10" s="100"/>
    </row>
    <row r="11" spans="1:11" x14ac:dyDescent="0.55000000000000004">
      <c r="A11" s="101"/>
      <c r="B11" s="103"/>
      <c r="C11" s="103"/>
      <c r="D11" s="104"/>
      <c r="E11" s="107"/>
      <c r="F11" s="100"/>
      <c r="G11" s="100"/>
      <c r="H11" s="106"/>
      <c r="I11" s="106"/>
      <c r="J11" s="100"/>
    </row>
    <row r="12" spans="1:11" x14ac:dyDescent="0.55000000000000004">
      <c r="A12" s="101"/>
      <c r="B12" s="103"/>
      <c r="C12" s="103"/>
      <c r="D12" s="104"/>
      <c r="E12" s="107"/>
      <c r="F12" s="100"/>
      <c r="G12" s="100"/>
      <c r="H12" s="106"/>
      <c r="I12" s="106"/>
      <c r="J12" s="100"/>
    </row>
    <row r="13" spans="1:11" x14ac:dyDescent="0.55000000000000004">
      <c r="A13" s="101"/>
      <c r="B13" s="103"/>
      <c r="C13" s="103"/>
      <c r="D13" s="104"/>
      <c r="E13" s="107"/>
      <c r="F13" s="100"/>
      <c r="G13" s="100"/>
      <c r="H13" s="106"/>
      <c r="I13" s="106"/>
    </row>
    <row r="14" spans="1:11" x14ac:dyDescent="0.55000000000000004">
      <c r="A14" s="59"/>
      <c r="B14" s="60"/>
      <c r="C14" s="60"/>
      <c r="D14" s="61"/>
      <c r="E14" s="62"/>
      <c r="F14" s="63"/>
      <c r="G14" s="63"/>
      <c r="H14" s="64"/>
      <c r="I14" s="64"/>
    </row>
    <row r="15" spans="1:11" x14ac:dyDescent="0.55000000000000004">
      <c r="A15" s="18"/>
      <c r="B15" s="16"/>
      <c r="C15" s="16"/>
      <c r="F15" s="19"/>
      <c r="G15" s="19"/>
      <c r="H15" s="17"/>
      <c r="I15" s="17"/>
    </row>
    <row r="16" spans="1:11" x14ac:dyDescent="0.55000000000000004">
      <c r="A16" s="18"/>
      <c r="B16" s="16"/>
      <c r="C16" s="16"/>
      <c r="F16" s="19"/>
      <c r="G16" s="19"/>
      <c r="H16" s="17"/>
      <c r="I16" s="17"/>
    </row>
    <row r="17" spans="1:9" x14ac:dyDescent="0.55000000000000004">
      <c r="A17" s="18"/>
      <c r="B17" s="16"/>
      <c r="C17" s="16"/>
      <c r="E17" s="14"/>
      <c r="F17" s="19"/>
      <c r="G17" s="19"/>
      <c r="H17" s="17"/>
      <c r="I17" s="17"/>
    </row>
    <row r="18" spans="1:9" x14ac:dyDescent="0.55000000000000004">
      <c r="A18" s="18"/>
      <c r="B18" s="16"/>
      <c r="C18" s="16"/>
      <c r="E18" s="14"/>
      <c r="F18" s="19"/>
      <c r="G18" s="19"/>
      <c r="H18" s="17"/>
      <c r="I18" s="17"/>
    </row>
    <row r="19" spans="1:9" x14ac:dyDescent="0.55000000000000004">
      <c r="A19" s="18"/>
      <c r="B19" s="16"/>
      <c r="C19" s="16"/>
      <c r="E19" s="14"/>
      <c r="F19" s="19"/>
      <c r="G19" s="19"/>
      <c r="H19" s="17"/>
      <c r="I19" s="17"/>
    </row>
    <row r="20" spans="1:9" x14ac:dyDescent="0.55000000000000004">
      <c r="A20" s="18"/>
      <c r="B20" s="16"/>
      <c r="C20" s="16"/>
      <c r="E20" s="14"/>
      <c r="F20" s="19"/>
      <c r="G20" s="19"/>
      <c r="H20" s="17"/>
      <c r="I20" s="17"/>
    </row>
    <row r="21" spans="1:9" x14ac:dyDescent="0.55000000000000004">
      <c r="C21" s="11"/>
    </row>
    <row r="22" spans="1:9" x14ac:dyDescent="0.55000000000000004">
      <c r="C22" s="11"/>
    </row>
  </sheetData>
  <pageMargins left="0.7" right="0.7" top="0.75" bottom="0.75" header="0.3" footer="0.3"/>
  <pageSetup orientation="portrait" horizontalDpi="0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C2:C52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6"/>
  <sheetViews>
    <sheetView workbookViewId="0">
      <selection activeCell="J1" sqref="J1"/>
    </sheetView>
  </sheetViews>
  <sheetFormatPr defaultColWidth="8.7109375" defaultRowHeight="21.75" x14ac:dyDescent="0.55000000000000004"/>
  <cols>
    <col min="1" max="1" width="14.7109375" style="13" customWidth="1"/>
    <col min="2" max="2" width="12.28515625" style="11" customWidth="1"/>
    <col min="3" max="3" width="12.5703125" style="1" customWidth="1"/>
    <col min="4" max="4" width="19.140625" style="1" customWidth="1"/>
    <col min="5" max="5" width="30.140625" style="7" customWidth="1"/>
    <col min="6" max="6" width="13" style="19" customWidth="1"/>
    <col min="7" max="7" width="18.42578125" style="8" customWidth="1"/>
    <col min="8" max="8" width="17.42578125" style="9" customWidth="1"/>
    <col min="9" max="9" width="15.85546875" style="9" customWidth="1"/>
    <col min="10" max="10" width="17.2851562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19" t="s">
        <v>5</v>
      </c>
      <c r="G1" s="8" t="s">
        <v>6</v>
      </c>
      <c r="H1" s="8" t="s">
        <v>7</v>
      </c>
      <c r="I1" s="8" t="s">
        <v>8</v>
      </c>
      <c r="J1" s="100" t="s">
        <v>182</v>
      </c>
      <c r="K1" s="8"/>
    </row>
    <row r="2" spans="1:11" x14ac:dyDescent="0.55000000000000004">
      <c r="A2" s="18">
        <v>44317</v>
      </c>
      <c r="B2" s="16"/>
      <c r="C2" s="16" t="s">
        <v>5</v>
      </c>
      <c r="D2" s="1" t="s">
        <v>65</v>
      </c>
      <c r="E2" s="7" t="s">
        <v>5</v>
      </c>
      <c r="G2" s="19"/>
      <c r="H2" s="17"/>
      <c r="I2" s="51">
        <f>SUPER[Opening]+SUPER[Purchase]-SUPER[Payment]</f>
        <v>0</v>
      </c>
      <c r="J2" s="100">
        <f>SUPER[Balance]</f>
        <v>0</v>
      </c>
    </row>
    <row r="3" spans="1:11" x14ac:dyDescent="0.55000000000000004">
      <c r="A3" s="59"/>
      <c r="B3" s="60"/>
      <c r="C3" s="60"/>
      <c r="D3" s="61"/>
      <c r="E3" s="62"/>
      <c r="G3" s="63"/>
      <c r="H3" s="64"/>
      <c r="I3" s="64"/>
    </row>
    <row r="4" spans="1:11" x14ac:dyDescent="0.55000000000000004">
      <c r="A4" s="18"/>
      <c r="B4" s="16"/>
      <c r="C4" s="16"/>
      <c r="E4" s="44"/>
      <c r="G4" s="19"/>
      <c r="H4" s="17"/>
      <c r="I4" s="17"/>
    </row>
    <row r="5" spans="1:11" x14ac:dyDescent="0.55000000000000004">
      <c r="A5" s="18"/>
      <c r="B5" s="16"/>
      <c r="C5" s="16"/>
      <c r="E5" s="44"/>
      <c r="G5" s="19"/>
      <c r="H5" s="17"/>
      <c r="I5" s="17"/>
    </row>
    <row r="6" spans="1:11" x14ac:dyDescent="0.55000000000000004">
      <c r="A6" s="18"/>
      <c r="B6" s="16"/>
      <c r="C6" s="16"/>
      <c r="E6" s="44"/>
      <c r="G6" s="19"/>
      <c r="H6" s="17"/>
      <c r="I6" s="17"/>
    </row>
    <row r="7" spans="1:11" x14ac:dyDescent="0.55000000000000004">
      <c r="A7" s="54"/>
      <c r="B7" s="16"/>
      <c r="C7" s="55"/>
      <c r="E7" s="56"/>
      <c r="G7" s="53"/>
      <c r="H7" s="57"/>
      <c r="I7" s="57"/>
    </row>
    <row r="8" spans="1:11" x14ac:dyDescent="0.55000000000000004">
      <c r="A8" s="54"/>
      <c r="B8" s="55"/>
      <c r="C8" s="55"/>
      <c r="E8" s="44"/>
      <c r="G8" s="53"/>
      <c r="H8" s="57"/>
      <c r="I8" s="57"/>
    </row>
    <row r="9" spans="1:11" x14ac:dyDescent="0.55000000000000004">
      <c r="A9" s="54"/>
      <c r="B9" s="55"/>
      <c r="C9" s="55"/>
      <c r="E9" s="56"/>
      <c r="G9" s="53"/>
      <c r="H9" s="57"/>
      <c r="I9" s="57"/>
    </row>
    <row r="10" spans="1:11" x14ac:dyDescent="0.55000000000000004">
      <c r="A10" s="54"/>
      <c r="B10" s="55"/>
      <c r="C10" s="55"/>
      <c r="D10" s="52"/>
      <c r="E10" s="56"/>
      <c r="G10" s="53"/>
      <c r="H10" s="57"/>
      <c r="I10" s="57"/>
    </row>
    <row r="11" spans="1:11" x14ac:dyDescent="0.55000000000000004">
      <c r="A11" s="18"/>
      <c r="B11" s="16"/>
      <c r="C11" s="16"/>
      <c r="E11" s="14"/>
      <c r="G11" s="19"/>
      <c r="H11" s="17"/>
      <c r="I11" s="17"/>
    </row>
    <row r="12" spans="1:11" x14ac:dyDescent="0.55000000000000004">
      <c r="A12" s="18"/>
      <c r="B12" s="16"/>
      <c r="C12" s="16"/>
      <c r="E12" s="14"/>
      <c r="G12" s="19"/>
      <c r="H12" s="17"/>
      <c r="I12" s="17"/>
    </row>
    <row r="13" spans="1:11" x14ac:dyDescent="0.55000000000000004">
      <c r="A13" s="18"/>
      <c r="B13" s="16"/>
      <c r="C13" s="16"/>
      <c r="E13" s="14"/>
      <c r="G13" s="19"/>
      <c r="H13" s="17"/>
      <c r="I13" s="17"/>
    </row>
    <row r="14" spans="1:11" x14ac:dyDescent="0.55000000000000004">
      <c r="A14" s="18"/>
      <c r="B14" s="16"/>
      <c r="C14" s="16"/>
      <c r="E14" s="14"/>
      <c r="G14" s="19"/>
      <c r="H14" s="17"/>
      <c r="I14" s="17"/>
    </row>
    <row r="15" spans="1:11" x14ac:dyDescent="0.55000000000000004">
      <c r="C15" s="11"/>
    </row>
    <row r="16" spans="1:11" x14ac:dyDescent="0.55000000000000004">
      <c r="C16" s="11"/>
    </row>
  </sheetData>
  <pageMargins left="0.7" right="0.7" top="0.75" bottom="0.75" header="0.3" footer="0.3"/>
  <pageSetup paperSize="9" orientation="portrait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C2:C42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16"/>
  <sheetViews>
    <sheetView zoomScale="86" zoomScaleNormal="86" workbookViewId="0">
      <selection activeCell="J4" sqref="J4"/>
    </sheetView>
  </sheetViews>
  <sheetFormatPr defaultColWidth="8.7109375" defaultRowHeight="21.75" x14ac:dyDescent="0.55000000000000004"/>
  <cols>
    <col min="1" max="1" width="14.7109375" style="13" customWidth="1"/>
    <col min="2" max="3" width="12.28515625" style="1" customWidth="1"/>
    <col min="4" max="4" width="24.42578125" style="1" bestFit="1" customWidth="1"/>
    <col min="5" max="5" width="15.85546875" style="7" customWidth="1"/>
    <col min="6" max="6" width="17.5703125" style="8" bestFit="1" customWidth="1"/>
    <col min="7" max="7" width="18.42578125" style="8" customWidth="1"/>
    <col min="8" max="8" width="16.42578125" style="9" customWidth="1"/>
    <col min="9" max="9" width="14.7109375" style="9" bestFit="1" customWidth="1"/>
    <col min="10" max="10" width="23.710937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7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100" t="s">
        <v>182</v>
      </c>
      <c r="K1" s="8"/>
    </row>
    <row r="2" spans="1:11" x14ac:dyDescent="0.55000000000000004">
      <c r="A2" s="18">
        <v>44317</v>
      </c>
      <c r="B2" s="15"/>
      <c r="C2" s="16" t="s">
        <v>5</v>
      </c>
      <c r="D2" s="1" t="s">
        <v>81</v>
      </c>
      <c r="E2" s="7" t="s">
        <v>5</v>
      </c>
      <c r="F2" s="19">
        <v>1145500</v>
      </c>
      <c r="G2" s="19"/>
      <c r="H2" s="17"/>
      <c r="I2" s="17">
        <f>TSLW[[#This Row],[Opening]]+TSLW[[#This Row],[Purchase]]-TSLW[[#This Row],[Payment]]</f>
        <v>1145500</v>
      </c>
      <c r="J2" s="100">
        <f>TSLW[[#This Row],[Balance]]</f>
        <v>1145500</v>
      </c>
    </row>
    <row r="3" spans="1:11" ht="22.5" x14ac:dyDescent="0.55000000000000004">
      <c r="A3" s="18">
        <v>44340</v>
      </c>
      <c r="B3" s="15"/>
      <c r="C3" s="16" t="s">
        <v>7</v>
      </c>
      <c r="D3" s="1" t="s">
        <v>81</v>
      </c>
      <c r="E3" s="44" t="s">
        <v>86</v>
      </c>
      <c r="F3" s="19"/>
      <c r="G3" s="19"/>
      <c r="H3" s="17">
        <v>1145500</v>
      </c>
      <c r="I3" s="108">
        <f>TSLW[[#This Row],[Opening]]+TSLW[[#This Row],[Purchase]]-TSLW[[#This Row],[Payment]]</f>
        <v>-1145500</v>
      </c>
      <c r="J3" s="100">
        <f>J2+TSLW[[#This Row],[Purchase]]-TSLW[[#This Row],[Payment]]</f>
        <v>0</v>
      </c>
    </row>
    <row r="4" spans="1:11" x14ac:dyDescent="0.55000000000000004">
      <c r="A4" s="47"/>
      <c r="B4" s="109"/>
      <c r="C4" s="48"/>
      <c r="D4" s="49"/>
      <c r="E4" s="44"/>
      <c r="F4" s="50"/>
      <c r="G4" s="50"/>
      <c r="H4" s="51"/>
      <c r="I4" s="51"/>
      <c r="J4" s="100"/>
    </row>
    <row r="5" spans="1:11" x14ac:dyDescent="0.55000000000000004">
      <c r="A5" s="47"/>
      <c r="B5" s="109"/>
      <c r="C5" s="48"/>
      <c r="D5" s="49"/>
      <c r="E5" s="44"/>
      <c r="F5" s="50"/>
      <c r="G5" s="50"/>
      <c r="H5" s="51"/>
      <c r="I5" s="51"/>
      <c r="J5" s="100"/>
    </row>
    <row r="6" spans="1:11" x14ac:dyDescent="0.55000000000000004">
      <c r="A6" s="47"/>
      <c r="B6" s="109"/>
      <c r="C6" s="48"/>
      <c r="D6" s="49"/>
      <c r="E6" s="44"/>
      <c r="F6" s="50"/>
      <c r="G6" s="50"/>
      <c r="H6" s="51"/>
      <c r="I6" s="51"/>
      <c r="J6" s="100"/>
    </row>
    <row r="7" spans="1:11" x14ac:dyDescent="0.55000000000000004">
      <c r="A7" s="47"/>
      <c r="B7" s="109"/>
      <c r="C7" s="48"/>
      <c r="D7" s="49"/>
      <c r="E7" s="44"/>
      <c r="F7" s="50"/>
      <c r="G7" s="50"/>
      <c r="H7" s="51"/>
      <c r="I7" s="51"/>
      <c r="J7" s="100"/>
    </row>
    <row r="8" spans="1:11" x14ac:dyDescent="0.55000000000000004">
      <c r="A8" s="47"/>
      <c r="B8" s="109"/>
      <c r="C8" s="48"/>
      <c r="D8" s="49"/>
      <c r="E8" s="44"/>
      <c r="F8" s="50"/>
      <c r="G8" s="50"/>
      <c r="H8" s="51"/>
      <c r="I8" s="51"/>
      <c r="J8" s="100"/>
    </row>
    <row r="9" spans="1:11" x14ac:dyDescent="0.55000000000000004">
      <c r="A9" s="18"/>
      <c r="B9" s="15"/>
      <c r="C9" s="16"/>
      <c r="E9" s="14"/>
      <c r="F9" s="19"/>
      <c r="G9" s="19"/>
      <c r="H9" s="17"/>
      <c r="I9" s="17"/>
    </row>
    <row r="10" spans="1:11" x14ac:dyDescent="0.55000000000000004">
      <c r="A10" s="18"/>
      <c r="B10" s="15"/>
      <c r="C10" s="16"/>
      <c r="E10" s="14"/>
      <c r="F10" s="19"/>
      <c r="G10" s="19"/>
      <c r="H10" s="17"/>
      <c r="I10" s="17"/>
    </row>
    <row r="11" spans="1:11" x14ac:dyDescent="0.55000000000000004">
      <c r="A11" s="18"/>
      <c r="B11" s="15"/>
      <c r="C11" s="16"/>
      <c r="E11" s="14"/>
      <c r="F11" s="19"/>
      <c r="G11" s="19"/>
      <c r="H11" s="17"/>
      <c r="I11" s="17"/>
    </row>
    <row r="12" spans="1:11" x14ac:dyDescent="0.55000000000000004">
      <c r="A12" s="18"/>
      <c r="B12" s="15"/>
      <c r="C12" s="16"/>
      <c r="E12" s="14"/>
      <c r="F12" s="19"/>
      <c r="G12" s="19"/>
      <c r="H12" s="17"/>
      <c r="I12" s="17"/>
    </row>
    <row r="13" spans="1:11" x14ac:dyDescent="0.55000000000000004">
      <c r="A13" s="18"/>
      <c r="B13" s="15"/>
      <c r="C13" s="16"/>
      <c r="E13" s="14"/>
      <c r="F13" s="19"/>
      <c r="G13" s="19"/>
      <c r="H13" s="17"/>
      <c r="I13" s="17"/>
    </row>
    <row r="14" spans="1:11" x14ac:dyDescent="0.55000000000000004">
      <c r="A14" s="18"/>
      <c r="B14" s="15"/>
      <c r="C14" s="16"/>
      <c r="E14" s="14"/>
      <c r="F14" s="19"/>
      <c r="G14" s="19"/>
      <c r="H14" s="17"/>
      <c r="I14" s="17"/>
    </row>
    <row r="15" spans="1:11" x14ac:dyDescent="0.55000000000000004">
      <c r="C15" s="11"/>
    </row>
    <row r="16" spans="1:11" x14ac:dyDescent="0.55000000000000004">
      <c r="C16" s="11"/>
    </row>
  </sheetData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C2:C47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K11"/>
  <sheetViews>
    <sheetView workbookViewId="0">
      <selection activeCell="J1" sqref="J1"/>
    </sheetView>
  </sheetViews>
  <sheetFormatPr defaultColWidth="8.7109375" defaultRowHeight="21.75" x14ac:dyDescent="0.55000000000000004"/>
  <cols>
    <col min="1" max="1" width="14.7109375" style="13" customWidth="1"/>
    <col min="2" max="3" width="12.28515625" style="1" customWidth="1"/>
    <col min="4" max="4" width="24.42578125" style="1" bestFit="1" customWidth="1"/>
    <col min="5" max="5" width="14.42578125" style="7" customWidth="1"/>
    <col min="6" max="6" width="17.5703125" style="8" bestFit="1" customWidth="1"/>
    <col min="7" max="7" width="18.42578125" style="8" customWidth="1"/>
    <col min="8" max="8" width="12.5703125" style="9" customWidth="1"/>
    <col min="9" max="9" width="14.7109375" style="9" bestFit="1" customWidth="1"/>
    <col min="10" max="10" width="15.14062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7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50" t="s">
        <v>182</v>
      </c>
      <c r="K1" s="8"/>
    </row>
    <row r="2" spans="1:11" x14ac:dyDescent="0.55000000000000004">
      <c r="A2" s="18">
        <v>44317</v>
      </c>
      <c r="B2" s="15"/>
      <c r="C2" s="16" t="s">
        <v>5</v>
      </c>
      <c r="D2" s="1" t="s">
        <v>82</v>
      </c>
      <c r="E2" s="7" t="s">
        <v>5</v>
      </c>
      <c r="F2" s="19">
        <v>143000</v>
      </c>
      <c r="G2" s="19"/>
      <c r="H2" s="17"/>
      <c r="I2" s="17">
        <f>UMG[[#This Row],[Opening]]+UMG[[#This Row],[Purchase]]-UMG[[#This Row],[Payment]]</f>
        <v>143000</v>
      </c>
      <c r="J2" s="50">
        <f>UMG[Balance]</f>
        <v>143000</v>
      </c>
    </row>
    <row r="3" spans="1:11" x14ac:dyDescent="0.55000000000000004">
      <c r="A3" s="18"/>
      <c r="B3" s="15"/>
      <c r="C3" s="16"/>
      <c r="E3" s="14"/>
      <c r="F3" s="19"/>
      <c r="G3" s="19"/>
      <c r="H3" s="17"/>
      <c r="I3" s="17"/>
    </row>
    <row r="4" spans="1:11" x14ac:dyDescent="0.55000000000000004">
      <c r="A4" s="18"/>
      <c r="B4" s="15"/>
      <c r="C4" s="16"/>
      <c r="E4" s="14"/>
      <c r="F4" s="19"/>
      <c r="G4" s="19"/>
      <c r="H4" s="17"/>
      <c r="I4" s="17"/>
    </row>
    <row r="5" spans="1:11" x14ac:dyDescent="0.55000000000000004">
      <c r="A5" s="18"/>
      <c r="B5" s="15"/>
      <c r="C5" s="16"/>
      <c r="E5" s="14"/>
      <c r="F5" s="19"/>
      <c r="G5" s="19"/>
      <c r="H5" s="17"/>
      <c r="I5" s="17"/>
    </row>
    <row r="6" spans="1:11" x14ac:dyDescent="0.55000000000000004">
      <c r="A6" s="18"/>
      <c r="B6" s="15"/>
      <c r="C6" s="16"/>
      <c r="E6" s="14"/>
      <c r="F6" s="19"/>
      <c r="G6" s="19"/>
      <c r="H6" s="17"/>
      <c r="I6" s="17"/>
    </row>
    <row r="7" spans="1:11" x14ac:dyDescent="0.55000000000000004">
      <c r="A7" s="18"/>
      <c r="B7" s="15"/>
      <c r="C7" s="16"/>
      <c r="E7" s="14"/>
      <c r="F7" s="19"/>
      <c r="G7" s="19"/>
      <c r="H7" s="17"/>
      <c r="I7" s="17"/>
    </row>
    <row r="8" spans="1:11" x14ac:dyDescent="0.55000000000000004">
      <c r="A8" s="18"/>
      <c r="B8" s="15"/>
      <c r="C8" s="16"/>
      <c r="E8" s="14"/>
      <c r="F8" s="19"/>
      <c r="G8" s="19"/>
      <c r="H8" s="17"/>
      <c r="I8" s="17"/>
    </row>
    <row r="9" spans="1:11" x14ac:dyDescent="0.55000000000000004">
      <c r="A9" s="18"/>
      <c r="B9" s="15"/>
      <c r="C9" s="16"/>
      <c r="E9" s="14"/>
      <c r="F9" s="19"/>
      <c r="G9" s="19"/>
      <c r="H9" s="17"/>
      <c r="I9" s="17"/>
    </row>
    <row r="10" spans="1:11" x14ac:dyDescent="0.55000000000000004">
      <c r="C10" s="11"/>
    </row>
    <row r="11" spans="1:11" x14ac:dyDescent="0.55000000000000004">
      <c r="C11" s="11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C2:C42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K38"/>
  <sheetViews>
    <sheetView zoomScale="80" zoomScaleNormal="80" workbookViewId="0">
      <selection activeCell="J18" sqref="J18"/>
    </sheetView>
  </sheetViews>
  <sheetFormatPr defaultColWidth="8.7109375" defaultRowHeight="21.75" x14ac:dyDescent="0.55000000000000004"/>
  <cols>
    <col min="1" max="1" width="14.7109375" style="13" customWidth="1"/>
    <col min="2" max="2" width="12.28515625" style="11" customWidth="1"/>
    <col min="3" max="3" width="14.28515625" style="1" customWidth="1"/>
    <col min="4" max="4" width="24.42578125" style="1" bestFit="1" customWidth="1"/>
    <col min="5" max="5" width="60.28515625" style="7" customWidth="1"/>
    <col min="6" max="6" width="14.5703125" style="8" customWidth="1"/>
    <col min="7" max="7" width="18.42578125" style="8" customWidth="1"/>
    <col min="8" max="8" width="15.85546875" style="9" customWidth="1"/>
    <col min="9" max="9" width="14.7109375" style="9" bestFit="1" customWidth="1"/>
    <col min="10" max="10" width="20.140625" style="9" customWidth="1"/>
    <col min="11" max="11" width="10.85546875" style="9" bestFit="1" customWidth="1"/>
    <col min="12" max="16384" width="8.7109375" style="1"/>
  </cols>
  <sheetData>
    <row r="1" spans="1:11" s="7" customFormat="1" x14ac:dyDescent="0.55000000000000004">
      <c r="A1" s="13" t="s">
        <v>1</v>
      </c>
      <c r="B1" s="11" t="s">
        <v>73</v>
      </c>
      <c r="C1" s="11" t="s">
        <v>70</v>
      </c>
      <c r="D1" s="1" t="s">
        <v>3</v>
      </c>
      <c r="E1" s="7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50" t="s">
        <v>182</v>
      </c>
      <c r="K1" s="8"/>
    </row>
    <row r="2" spans="1:11" x14ac:dyDescent="0.55000000000000004">
      <c r="A2" s="18">
        <v>44317</v>
      </c>
      <c r="B2" s="16"/>
      <c r="C2" s="16" t="s">
        <v>5</v>
      </c>
      <c r="D2" s="1" t="s">
        <v>56</v>
      </c>
      <c r="E2" s="7" t="s">
        <v>5</v>
      </c>
      <c r="F2" s="19">
        <v>1528630</v>
      </c>
      <c r="G2" s="19"/>
      <c r="H2" s="17"/>
      <c r="I2" s="17">
        <f>ZAN[[#This Row],[Opening]]+ZAN[[#This Row],[Purchase]]-ZAN[[#This Row],[Payment]]</f>
        <v>1528630</v>
      </c>
      <c r="J2" s="50">
        <f>ZAN[[#This Row],[Balance]]</f>
        <v>1528630</v>
      </c>
    </row>
    <row r="3" spans="1:11" x14ac:dyDescent="0.55000000000000004">
      <c r="A3" s="18">
        <v>44319</v>
      </c>
      <c r="B3" s="16">
        <v>156211</v>
      </c>
      <c r="C3" s="16" t="s">
        <v>7</v>
      </c>
      <c r="D3" s="1" t="s">
        <v>56</v>
      </c>
      <c r="E3" s="44" t="s">
        <v>86</v>
      </c>
      <c r="F3" s="19"/>
      <c r="G3" s="19"/>
      <c r="H3" s="17">
        <v>1000000</v>
      </c>
      <c r="I3" s="17">
        <f>ZAN[[#This Row],[Opening]]+ZAN[[#This Row],[Purchase]]-ZAN[[#This Row],[Payment]]</f>
        <v>-1000000</v>
      </c>
      <c r="J3" s="50">
        <f>J2+ZAN[[#This Row],[Purchase]]-ZAN[[#This Row],[Payment]]</f>
        <v>528630</v>
      </c>
    </row>
    <row r="4" spans="1:11" x14ac:dyDescent="0.55000000000000004">
      <c r="A4" s="59">
        <v>44319</v>
      </c>
      <c r="B4" s="60">
        <v>369211</v>
      </c>
      <c r="C4" s="60" t="s">
        <v>6</v>
      </c>
      <c r="D4" s="1" t="s">
        <v>56</v>
      </c>
      <c r="E4" s="62" t="s">
        <v>93</v>
      </c>
      <c r="F4" s="63"/>
      <c r="G4" s="63">
        <v>561858</v>
      </c>
      <c r="H4" s="64"/>
      <c r="I4" s="17">
        <f>ZAN[[#This Row],[Opening]]+ZAN[[#This Row],[Purchase]]-ZAN[[#This Row],[Payment]]</f>
        <v>561858</v>
      </c>
      <c r="J4" s="50">
        <f>J3+ZAN[[#This Row],[Purchase]]-ZAN[[#This Row],[Payment]]</f>
        <v>1090488</v>
      </c>
    </row>
    <row r="5" spans="1:11" x14ac:dyDescent="0.55000000000000004">
      <c r="A5" s="59">
        <v>44321</v>
      </c>
      <c r="B5" s="60"/>
      <c r="C5" s="60" t="s">
        <v>7</v>
      </c>
      <c r="D5" s="1" t="s">
        <v>56</v>
      </c>
      <c r="E5" s="62" t="s">
        <v>87</v>
      </c>
      <c r="F5" s="63"/>
      <c r="G5" s="63"/>
      <c r="H5" s="64">
        <v>30000</v>
      </c>
      <c r="I5" s="17">
        <f>ZAN[[#This Row],[Opening]]+ZAN[[#This Row],[Purchase]]-ZAN[[#This Row],[Payment]]</f>
        <v>-30000</v>
      </c>
      <c r="J5" s="50">
        <f>J4+ZAN[[#This Row],[Purchase]]-ZAN[[#This Row],[Payment]]</f>
        <v>1060488</v>
      </c>
    </row>
    <row r="6" spans="1:11" x14ac:dyDescent="0.55000000000000004">
      <c r="A6" s="59">
        <v>44321</v>
      </c>
      <c r="B6" s="60">
        <v>380211</v>
      </c>
      <c r="C6" s="60" t="s">
        <v>6</v>
      </c>
      <c r="D6" s="1" t="s">
        <v>56</v>
      </c>
      <c r="E6" s="62" t="s">
        <v>98</v>
      </c>
      <c r="F6" s="63"/>
      <c r="G6" s="63">
        <v>94106</v>
      </c>
      <c r="H6" s="64"/>
      <c r="I6" s="17">
        <f>ZAN[[#This Row],[Opening]]+ZAN[[#This Row],[Purchase]]-ZAN[[#This Row],[Payment]]</f>
        <v>94106</v>
      </c>
      <c r="J6" s="50">
        <f>J5+ZAN[[#This Row],[Purchase]]-ZAN[[#This Row],[Payment]]</f>
        <v>1154594</v>
      </c>
    </row>
    <row r="7" spans="1:11" x14ac:dyDescent="0.55000000000000004">
      <c r="A7" s="59">
        <v>44323</v>
      </c>
      <c r="B7" s="60">
        <v>388211</v>
      </c>
      <c r="C7" s="60" t="s">
        <v>6</v>
      </c>
      <c r="D7" s="1" t="s">
        <v>56</v>
      </c>
      <c r="E7" s="62" t="s">
        <v>102</v>
      </c>
      <c r="F7" s="63"/>
      <c r="G7" s="63">
        <v>127240</v>
      </c>
      <c r="H7" s="64"/>
      <c r="I7" s="17">
        <f>ZAN[[#This Row],[Opening]]+ZAN[[#This Row],[Purchase]]-ZAN[[#This Row],[Payment]]</f>
        <v>127240</v>
      </c>
      <c r="J7" s="50">
        <f>J6+ZAN[[#This Row],[Purchase]]-ZAN[[#This Row],[Payment]]</f>
        <v>1281834</v>
      </c>
    </row>
    <row r="8" spans="1:11" x14ac:dyDescent="0.55000000000000004">
      <c r="A8" s="59">
        <v>44327</v>
      </c>
      <c r="B8" s="60">
        <v>404211</v>
      </c>
      <c r="C8" s="60" t="s">
        <v>6</v>
      </c>
      <c r="D8" s="1" t="s">
        <v>56</v>
      </c>
      <c r="E8" s="62" t="s">
        <v>123</v>
      </c>
      <c r="F8" s="63"/>
      <c r="G8" s="63">
        <v>279952</v>
      </c>
      <c r="H8" s="64"/>
      <c r="I8" s="17">
        <f>ZAN[[#This Row],[Opening]]+ZAN[[#This Row],[Purchase]]-ZAN[[#This Row],[Payment]]</f>
        <v>279952</v>
      </c>
      <c r="J8" s="50">
        <f>J7+ZAN[[#This Row],[Purchase]]-ZAN[[#This Row],[Payment]]</f>
        <v>1561786</v>
      </c>
    </row>
    <row r="9" spans="1:11" x14ac:dyDescent="0.55000000000000004">
      <c r="A9" s="59">
        <v>44329</v>
      </c>
      <c r="B9" s="60">
        <v>173211</v>
      </c>
      <c r="C9" s="60" t="s">
        <v>7</v>
      </c>
      <c r="D9" s="1" t="s">
        <v>56</v>
      </c>
      <c r="E9" s="44" t="s">
        <v>86</v>
      </c>
      <c r="F9" s="63"/>
      <c r="G9" s="63"/>
      <c r="H9" s="64">
        <v>1000000</v>
      </c>
      <c r="I9" s="17">
        <f>ZAN[[#This Row],[Opening]]+ZAN[[#This Row],[Purchase]]-ZAN[[#This Row],[Payment]]</f>
        <v>-1000000</v>
      </c>
      <c r="J9" s="50">
        <f>J8+ZAN[[#This Row],[Purchase]]-ZAN[[#This Row],[Payment]]</f>
        <v>561786</v>
      </c>
    </row>
    <row r="10" spans="1:11" x14ac:dyDescent="0.55000000000000004">
      <c r="A10" s="59">
        <v>44329</v>
      </c>
      <c r="B10" s="60">
        <v>413211</v>
      </c>
      <c r="C10" s="60" t="s">
        <v>6</v>
      </c>
      <c r="D10" s="1" t="s">
        <v>56</v>
      </c>
      <c r="E10" s="62" t="s">
        <v>133</v>
      </c>
      <c r="F10" s="63"/>
      <c r="G10" s="63">
        <v>76570</v>
      </c>
      <c r="H10" s="64"/>
      <c r="I10" s="17">
        <f>ZAN[[#This Row],[Opening]]+ZAN[[#This Row],[Purchase]]-ZAN[[#This Row],[Payment]]</f>
        <v>76570</v>
      </c>
      <c r="J10" s="50">
        <f>J9+ZAN[[#This Row],[Purchase]]-ZAN[[#This Row],[Payment]]</f>
        <v>638356</v>
      </c>
    </row>
    <row r="11" spans="1:11" x14ac:dyDescent="0.55000000000000004">
      <c r="A11" s="59">
        <v>44330</v>
      </c>
      <c r="B11" s="60">
        <v>422211</v>
      </c>
      <c r="C11" s="60" t="s">
        <v>6</v>
      </c>
      <c r="D11" s="1" t="s">
        <v>56</v>
      </c>
      <c r="E11" s="62" t="s">
        <v>138</v>
      </c>
      <c r="F11" s="63"/>
      <c r="G11" s="63">
        <v>92801</v>
      </c>
      <c r="H11" s="64"/>
      <c r="I11" s="64">
        <f>ZAN[[#This Row],[Opening]]+ZAN[[#This Row],[Purchase]]-ZAN[[#This Row],[Payment]]</f>
        <v>92801</v>
      </c>
      <c r="J11" s="50">
        <f>J10+ZAN[[#This Row],[Purchase]]-ZAN[[#This Row],[Payment]]</f>
        <v>731157</v>
      </c>
    </row>
    <row r="12" spans="1:11" x14ac:dyDescent="0.55000000000000004">
      <c r="A12" s="59">
        <v>44333</v>
      </c>
      <c r="B12" s="60">
        <v>431211</v>
      </c>
      <c r="C12" s="60" t="s">
        <v>6</v>
      </c>
      <c r="D12" s="1" t="s">
        <v>56</v>
      </c>
      <c r="E12" s="62" t="s">
        <v>139</v>
      </c>
      <c r="F12" s="63"/>
      <c r="G12" s="63">
        <v>123795</v>
      </c>
      <c r="H12" s="64"/>
      <c r="I12" s="64">
        <f>ZAN[[#This Row],[Opening]]+ZAN[[#This Row],[Purchase]]-ZAN[[#This Row],[Payment]]</f>
        <v>123795</v>
      </c>
      <c r="J12" s="50">
        <f>J11+ZAN[[#This Row],[Purchase]]-ZAN[[#This Row],[Payment]]</f>
        <v>854952</v>
      </c>
    </row>
    <row r="13" spans="1:11" x14ac:dyDescent="0.55000000000000004">
      <c r="A13" s="59">
        <v>44335</v>
      </c>
      <c r="B13" s="60">
        <v>435211</v>
      </c>
      <c r="C13" s="60" t="s">
        <v>6</v>
      </c>
      <c r="D13" s="1" t="s">
        <v>56</v>
      </c>
      <c r="E13" s="62" t="s">
        <v>140</v>
      </c>
      <c r="F13" s="63"/>
      <c r="G13" s="63">
        <v>424487</v>
      </c>
      <c r="H13" s="64"/>
      <c r="I13" s="64">
        <f>ZAN[[#This Row],[Opening]]+ZAN[[#This Row],[Purchase]]-ZAN[[#This Row],[Payment]]</f>
        <v>424487</v>
      </c>
      <c r="J13" s="50">
        <f>J12+ZAN[[#This Row],[Purchase]]-ZAN[[#This Row],[Payment]]</f>
        <v>1279439</v>
      </c>
    </row>
    <row r="14" spans="1:11" x14ac:dyDescent="0.55000000000000004">
      <c r="A14" s="59">
        <v>44330</v>
      </c>
      <c r="B14" s="60">
        <v>423211</v>
      </c>
      <c r="C14" s="60" t="s">
        <v>6</v>
      </c>
      <c r="D14" s="1" t="s">
        <v>56</v>
      </c>
      <c r="E14" s="62" t="s">
        <v>149</v>
      </c>
      <c r="F14" s="63"/>
      <c r="G14" s="63">
        <v>59670</v>
      </c>
      <c r="H14" s="64"/>
      <c r="I14" s="64">
        <f>ZAN[[#This Row],[Opening]]+ZAN[[#This Row],[Purchase]]-ZAN[[#This Row],[Payment]]</f>
        <v>59670</v>
      </c>
      <c r="J14" s="50">
        <f>J13+ZAN[[#This Row],[Purchase]]-ZAN[[#This Row],[Payment]]</f>
        <v>1339109</v>
      </c>
    </row>
    <row r="15" spans="1:11" x14ac:dyDescent="0.55000000000000004">
      <c r="A15" s="59">
        <v>44340</v>
      </c>
      <c r="B15" s="60">
        <v>192211</v>
      </c>
      <c r="C15" s="60" t="s">
        <v>7</v>
      </c>
      <c r="D15" s="1" t="s">
        <v>56</v>
      </c>
      <c r="E15" s="44" t="s">
        <v>86</v>
      </c>
      <c r="F15" s="63"/>
      <c r="G15" s="63"/>
      <c r="H15" s="64">
        <v>1000000</v>
      </c>
      <c r="I15" s="64">
        <f>ZAN[[#This Row],[Opening]]+ZAN[[#This Row],[Purchase]]-ZAN[[#This Row],[Payment]]</f>
        <v>-1000000</v>
      </c>
      <c r="J15" s="50">
        <f>J14+ZAN[[#This Row],[Purchase]]-ZAN[[#This Row],[Payment]]</f>
        <v>339109</v>
      </c>
    </row>
    <row r="16" spans="1:11" x14ac:dyDescent="0.55000000000000004">
      <c r="A16" s="47">
        <v>44344</v>
      </c>
      <c r="B16" s="48">
        <v>470211</v>
      </c>
      <c r="C16" s="48" t="s">
        <v>6</v>
      </c>
      <c r="D16" s="1" t="s">
        <v>56</v>
      </c>
      <c r="E16" s="44" t="s">
        <v>163</v>
      </c>
      <c r="F16" s="50"/>
      <c r="G16" s="50">
        <v>196884</v>
      </c>
      <c r="H16" s="51"/>
      <c r="I16" s="51">
        <f>ZAN[[#This Row],[Opening]]+ZAN[[#This Row],[Purchase]]-ZAN[[#This Row],[Payment]]</f>
        <v>196884</v>
      </c>
      <c r="J16" s="50">
        <f>J15+ZAN[[#This Row],[Purchase]]-ZAN[[#This Row],[Payment]]</f>
        <v>535993</v>
      </c>
    </row>
    <row r="17" spans="1:10" x14ac:dyDescent="0.55000000000000004">
      <c r="A17" s="59">
        <v>44340</v>
      </c>
      <c r="B17" s="60">
        <v>462211</v>
      </c>
      <c r="C17" s="60" t="s">
        <v>6</v>
      </c>
      <c r="D17" s="1" t="s">
        <v>56</v>
      </c>
      <c r="E17" s="62" t="s">
        <v>164</v>
      </c>
      <c r="F17" s="63"/>
      <c r="G17" s="63">
        <v>155728</v>
      </c>
      <c r="H17" s="64"/>
      <c r="I17" s="64">
        <f>ZAN[[#This Row],[Opening]]+ZAN[[#This Row],[Purchase]]-ZAN[[#This Row],[Payment]]</f>
        <v>155728</v>
      </c>
      <c r="J17" s="50">
        <f>J16+ZAN[[#This Row],[Purchase]]-ZAN[[#This Row],[Payment]]</f>
        <v>691721</v>
      </c>
    </row>
    <row r="18" spans="1:10" x14ac:dyDescent="0.55000000000000004">
      <c r="A18" s="59"/>
      <c r="B18" s="60"/>
      <c r="C18" s="60"/>
      <c r="D18" s="61"/>
      <c r="E18" s="62"/>
      <c r="F18" s="63"/>
      <c r="G18" s="63"/>
      <c r="H18" s="64"/>
      <c r="I18" s="64"/>
    </row>
    <row r="19" spans="1:10" x14ac:dyDescent="0.55000000000000004">
      <c r="A19" s="18"/>
      <c r="B19" s="16"/>
      <c r="C19" s="16"/>
      <c r="E19" s="44"/>
      <c r="F19" s="19"/>
      <c r="G19" s="19"/>
      <c r="H19" s="17"/>
      <c r="I19" s="17"/>
    </row>
    <row r="20" spans="1:10" x14ac:dyDescent="0.55000000000000004">
      <c r="A20" s="18"/>
      <c r="B20" s="16"/>
      <c r="C20" s="16"/>
      <c r="E20" s="44"/>
      <c r="F20" s="19"/>
      <c r="G20" s="19"/>
      <c r="H20" s="17"/>
      <c r="I20" s="17"/>
    </row>
    <row r="21" spans="1:10" x14ac:dyDescent="0.55000000000000004">
      <c r="A21" s="47"/>
      <c r="B21" s="48"/>
      <c r="C21" s="48"/>
      <c r="E21" s="44"/>
      <c r="F21" s="50"/>
      <c r="G21" s="50"/>
      <c r="H21" s="51"/>
      <c r="I21" s="51"/>
    </row>
    <row r="22" spans="1:10" x14ac:dyDescent="0.55000000000000004">
      <c r="A22" s="47"/>
      <c r="B22" s="48"/>
      <c r="C22" s="48"/>
      <c r="E22" s="44"/>
      <c r="F22" s="50"/>
      <c r="G22" s="50"/>
      <c r="H22" s="51"/>
      <c r="I22" s="51"/>
    </row>
    <row r="23" spans="1:10" x14ac:dyDescent="0.55000000000000004">
      <c r="A23" s="47"/>
      <c r="B23" s="48"/>
      <c r="C23" s="48"/>
      <c r="E23" s="44"/>
      <c r="F23" s="50"/>
      <c r="G23" s="50"/>
      <c r="H23" s="51"/>
      <c r="I23" s="51"/>
    </row>
    <row r="24" spans="1:10" x14ac:dyDescent="0.55000000000000004">
      <c r="A24" s="47"/>
      <c r="B24" s="48"/>
      <c r="C24" s="48"/>
      <c r="E24" s="44"/>
      <c r="F24" s="50"/>
      <c r="G24" s="50"/>
      <c r="H24" s="51"/>
      <c r="I24" s="51"/>
    </row>
    <row r="25" spans="1:10" x14ac:dyDescent="0.55000000000000004">
      <c r="A25" s="47"/>
      <c r="B25" s="48"/>
      <c r="C25" s="48"/>
      <c r="E25" s="44"/>
      <c r="F25" s="50"/>
      <c r="G25" s="50"/>
      <c r="H25" s="51"/>
      <c r="I25" s="51"/>
    </row>
    <row r="26" spans="1:10" x14ac:dyDescent="0.55000000000000004">
      <c r="A26" s="54"/>
      <c r="B26" s="55"/>
      <c r="C26" s="48"/>
      <c r="E26" s="56"/>
      <c r="F26" s="53"/>
      <c r="G26" s="53"/>
      <c r="H26" s="57"/>
      <c r="I26" s="57"/>
    </row>
    <row r="27" spans="1:10" x14ac:dyDescent="0.55000000000000004">
      <c r="A27" s="54"/>
      <c r="B27" s="55"/>
      <c r="C27" s="55"/>
      <c r="E27" s="56"/>
      <c r="F27" s="53"/>
      <c r="G27" s="53"/>
      <c r="H27" s="57"/>
      <c r="I27" s="57"/>
    </row>
    <row r="28" spans="1:10" x14ac:dyDescent="0.55000000000000004">
      <c r="A28" s="54"/>
      <c r="B28" s="55"/>
      <c r="C28" s="55"/>
      <c r="E28" s="56"/>
      <c r="F28" s="53"/>
      <c r="G28" s="53"/>
      <c r="H28" s="57"/>
      <c r="I28" s="57"/>
    </row>
    <row r="29" spans="1:10" x14ac:dyDescent="0.55000000000000004">
      <c r="A29" s="54"/>
      <c r="B29" s="55"/>
      <c r="C29" s="55"/>
      <c r="E29" s="56"/>
      <c r="F29" s="53"/>
      <c r="G29" s="53"/>
      <c r="H29" s="57"/>
      <c r="I29" s="57"/>
    </row>
    <row r="30" spans="1:10" x14ac:dyDescent="0.55000000000000004">
      <c r="A30" s="54"/>
      <c r="B30" s="55"/>
      <c r="C30" s="55"/>
      <c r="D30" s="43"/>
      <c r="E30" s="44"/>
      <c r="F30" s="53"/>
      <c r="G30" s="53"/>
      <c r="H30" s="57"/>
      <c r="I30" s="57"/>
    </row>
    <row r="31" spans="1:10" x14ac:dyDescent="0.55000000000000004">
      <c r="A31" s="47"/>
      <c r="B31" s="48"/>
      <c r="C31" s="48"/>
      <c r="D31" s="43"/>
      <c r="E31" s="44"/>
      <c r="F31" s="50"/>
      <c r="G31" s="50"/>
      <c r="H31" s="51"/>
      <c r="I31" s="51"/>
    </row>
    <row r="32" spans="1:10" x14ac:dyDescent="0.55000000000000004">
      <c r="A32" s="47"/>
      <c r="B32" s="48"/>
      <c r="C32" s="48"/>
      <c r="D32" s="49"/>
      <c r="E32" s="44"/>
      <c r="F32" s="50"/>
      <c r="G32" s="50"/>
      <c r="H32" s="51"/>
      <c r="I32" s="51"/>
    </row>
    <row r="33" spans="1:9" x14ac:dyDescent="0.55000000000000004">
      <c r="A33" s="47"/>
      <c r="B33" s="48"/>
      <c r="C33" s="48"/>
      <c r="D33" s="49"/>
      <c r="E33" s="44"/>
      <c r="F33" s="50"/>
      <c r="G33" s="50"/>
      <c r="H33" s="51"/>
      <c r="I33" s="51"/>
    </row>
    <row r="34" spans="1:9" x14ac:dyDescent="0.55000000000000004">
      <c r="A34" s="34"/>
      <c r="B34" s="35"/>
      <c r="C34" s="35"/>
      <c r="D34" s="36"/>
      <c r="E34" s="37"/>
      <c r="F34" s="38"/>
      <c r="G34" s="38"/>
      <c r="H34" s="39"/>
      <c r="I34" s="39"/>
    </row>
    <row r="35" spans="1:9" x14ac:dyDescent="0.55000000000000004">
      <c r="A35" s="34"/>
      <c r="B35" s="35"/>
      <c r="C35" s="35"/>
      <c r="D35" s="36"/>
      <c r="E35" s="37"/>
      <c r="F35" s="38"/>
      <c r="G35" s="38"/>
      <c r="H35" s="39"/>
      <c r="I35" s="39"/>
    </row>
    <row r="36" spans="1:9" x14ac:dyDescent="0.55000000000000004">
      <c r="A36" s="34"/>
      <c r="B36" s="35"/>
      <c r="C36" s="35"/>
      <c r="D36" s="36"/>
      <c r="E36" s="37"/>
      <c r="F36" s="38"/>
      <c r="G36" s="38"/>
      <c r="H36" s="39"/>
      <c r="I36" s="39"/>
    </row>
    <row r="37" spans="1:9" x14ac:dyDescent="0.55000000000000004">
      <c r="A37" s="34"/>
      <c r="B37" s="35"/>
      <c r="C37" s="35"/>
      <c r="D37" s="36"/>
      <c r="E37" s="37"/>
      <c r="F37" s="38"/>
      <c r="G37" s="38"/>
      <c r="H37" s="39"/>
      <c r="I37" s="39"/>
    </row>
    <row r="38" spans="1:9" x14ac:dyDescent="0.55000000000000004">
      <c r="A38" s="34"/>
      <c r="B38" s="35"/>
      <c r="C38" s="35"/>
      <c r="D38" s="36"/>
      <c r="E38" s="37"/>
      <c r="F38" s="38"/>
      <c r="G38" s="38"/>
      <c r="H38" s="39"/>
      <c r="I38" s="39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'Supplier (COA)'!$H$3:$H$5</xm:f>
          </x14:formula1>
          <xm:sqref>C2:C35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002060"/>
  </sheetPr>
  <dimension ref="A1:K27"/>
  <sheetViews>
    <sheetView topLeftCell="A10" zoomScaleNormal="100" workbookViewId="0">
      <selection activeCell="G2" sqref="G2"/>
    </sheetView>
  </sheetViews>
  <sheetFormatPr defaultColWidth="8.7109375" defaultRowHeight="21.75" x14ac:dyDescent="0.55000000000000004"/>
  <cols>
    <col min="1" max="1" width="3.5703125" style="1" bestFit="1" customWidth="1"/>
    <col min="2" max="2" width="26.140625" style="1" customWidth="1"/>
    <col min="3" max="3" width="16.42578125" style="8" customWidth="1"/>
    <col min="4" max="5" width="18.42578125" style="8" customWidth="1"/>
    <col min="6" max="6" width="17.42578125" style="8" customWidth="1"/>
    <col min="7" max="7" width="11.85546875" style="9" bestFit="1" customWidth="1"/>
    <col min="8" max="8" width="10.85546875" style="9" bestFit="1" customWidth="1"/>
    <col min="9" max="10" width="8.7109375" style="1"/>
    <col min="11" max="11" width="24.42578125" style="1" bestFit="1" customWidth="1"/>
    <col min="12" max="16384" width="8.7109375" style="1"/>
  </cols>
  <sheetData>
    <row r="1" spans="1:11" s="7" customFormat="1" x14ac:dyDescent="0.55000000000000004">
      <c r="A1" s="21" t="s">
        <v>0</v>
      </c>
      <c r="B1" s="21" t="s">
        <v>3</v>
      </c>
      <c r="C1" s="22" t="s">
        <v>5</v>
      </c>
      <c r="D1" s="22" t="s">
        <v>6</v>
      </c>
      <c r="E1" s="22" t="s">
        <v>7</v>
      </c>
      <c r="F1" s="22" t="s">
        <v>8</v>
      </c>
      <c r="G1" s="8"/>
      <c r="H1" s="8"/>
      <c r="K1" s="12"/>
    </row>
    <row r="2" spans="1:11" x14ac:dyDescent="0.55000000000000004">
      <c r="A2" s="23">
        <v>1</v>
      </c>
      <c r="B2" s="23" t="s">
        <v>9</v>
      </c>
      <c r="C2" s="20">
        <f>SUMIF('Data Combine'!$D:$D,$B2,'Data Combine'!F:F)</f>
        <v>630620</v>
      </c>
      <c r="D2" s="20">
        <f>SUMIF('Data Combine'!$D:$D,$B2,'Data Combine'!G:G)</f>
        <v>0</v>
      </c>
      <c r="E2" s="20">
        <f>SUMIF('Data Combine'!$D:$D,$B2,'Data Combine'!H:H)</f>
        <v>40480</v>
      </c>
      <c r="F2" s="20">
        <f>SUMIF('Data Combine'!$D:$D,$B2,'Data Combine'!I:I)</f>
        <v>590140</v>
      </c>
      <c r="K2" s="12"/>
    </row>
    <row r="3" spans="1:11" x14ac:dyDescent="0.55000000000000004">
      <c r="A3" s="23">
        <v>2</v>
      </c>
      <c r="B3" s="24" t="s">
        <v>15</v>
      </c>
      <c r="C3" s="20">
        <f>SUMIF('Data Combine'!$D:$D,$B3,'Data Combine'!F:F)</f>
        <v>0</v>
      </c>
      <c r="D3" s="20">
        <f>SUMIF('Data Combine'!$D:$D,$B3,'Data Combine'!G:G)</f>
        <v>0</v>
      </c>
      <c r="E3" s="20">
        <f>SUMIF('Data Combine'!$D:$D,$B3,'Data Combine'!H:H)</f>
        <v>0</v>
      </c>
      <c r="F3" s="20">
        <f>SUMIF('Data Combine'!$D:$D,$B3,'Data Combine'!I:I)</f>
        <v>0</v>
      </c>
      <c r="G3" s="1"/>
      <c r="H3" s="1"/>
      <c r="K3" s="12"/>
    </row>
    <row r="4" spans="1:11" x14ac:dyDescent="0.55000000000000004">
      <c r="A4" s="23">
        <v>3</v>
      </c>
      <c r="B4" s="24" t="s">
        <v>18</v>
      </c>
      <c r="C4" s="20">
        <f>SUMIF('Data Combine'!$D:$D,$B4,'Data Combine'!F:F)</f>
        <v>1496359</v>
      </c>
      <c r="D4" s="20">
        <f>SUMIF('Data Combine'!$D:$D,$B4,'Data Combine'!G:G)</f>
        <v>5717564</v>
      </c>
      <c r="E4" s="20">
        <f>SUMIF('Data Combine'!$D:$D,$B4,'Data Combine'!H:H)</f>
        <v>6085119</v>
      </c>
      <c r="F4" s="20">
        <f>SUMIF('Data Combine'!$D:$D,$B4,'Data Combine'!I:I)</f>
        <v>1128804</v>
      </c>
      <c r="G4" s="1"/>
      <c r="H4" s="1"/>
      <c r="K4" s="12"/>
    </row>
    <row r="5" spans="1:11" x14ac:dyDescent="0.55000000000000004">
      <c r="A5" s="23">
        <v>4</v>
      </c>
      <c r="B5" s="24" t="s">
        <v>74</v>
      </c>
      <c r="C5" s="20">
        <f>SUMIF('Data Combine'!$D:$D,$B5,'Data Combine'!F:F)</f>
        <v>851960</v>
      </c>
      <c r="D5" s="20">
        <f>SUMIF('Data Combine'!$D:$D,$B5,'Data Combine'!G:G)</f>
        <v>980400</v>
      </c>
      <c r="E5" s="20">
        <f>SUMIF('Data Combine'!$D:$D,$B5,'Data Combine'!H:H)</f>
        <v>852000</v>
      </c>
      <c r="F5" s="20">
        <f>SUMIF('Data Combine'!$D:$D,$B5,'Data Combine'!I:I)</f>
        <v>980360</v>
      </c>
      <c r="G5" s="1"/>
      <c r="H5" s="1"/>
      <c r="K5" s="12"/>
    </row>
    <row r="6" spans="1:11" x14ac:dyDescent="0.55000000000000004">
      <c r="A6" s="23">
        <v>5</v>
      </c>
      <c r="B6" s="24" t="s">
        <v>76</v>
      </c>
      <c r="C6" s="20">
        <f>SUMIF('Data Combine'!$D:$D,$B6,'Data Combine'!F:F)</f>
        <v>3917000</v>
      </c>
      <c r="D6" s="20">
        <f>SUMIF('Data Combine'!$D:$D,$B6,'Data Combine'!G:G)</f>
        <v>17336000</v>
      </c>
      <c r="E6" s="20">
        <f>SUMIF('Data Combine'!$D:$D,$B6,'Data Combine'!H:H)</f>
        <v>20503000</v>
      </c>
      <c r="F6" s="20">
        <f>SUMIF('Data Combine'!$D:$D,$B6,'Data Combine'!I:I)</f>
        <v>750000</v>
      </c>
      <c r="G6" s="1"/>
      <c r="H6" s="1"/>
      <c r="K6" s="12"/>
    </row>
    <row r="7" spans="1:11" x14ac:dyDescent="0.55000000000000004">
      <c r="A7" s="23">
        <v>6</v>
      </c>
      <c r="B7" s="24" t="s">
        <v>75</v>
      </c>
      <c r="C7" s="20">
        <f>SUMIF('Data Combine'!$D:$D,$B7,'Data Combine'!F:F)</f>
        <v>18952000</v>
      </c>
      <c r="D7" s="20">
        <f>SUMIF('Data Combine'!$D:$D,$B7,'Data Combine'!G:G)</f>
        <v>16594000</v>
      </c>
      <c r="E7" s="20">
        <f>SUMIF('Data Combine'!$D:$D,$B7,'Data Combine'!H:H)</f>
        <v>18806000</v>
      </c>
      <c r="F7" s="20">
        <f>SUMIF('Data Combine'!$D:$D,$B7,'Data Combine'!I:I)</f>
        <v>16740000</v>
      </c>
      <c r="G7" s="1"/>
      <c r="H7" s="1"/>
      <c r="K7" s="12"/>
    </row>
    <row r="8" spans="1:11" x14ac:dyDescent="0.55000000000000004">
      <c r="A8" s="23">
        <v>7</v>
      </c>
      <c r="B8" s="24" t="s">
        <v>29</v>
      </c>
      <c r="C8" s="20">
        <f>SUMIF('Data Combine'!$D:$D,$B8,'Data Combine'!F:F)</f>
        <v>4027640</v>
      </c>
      <c r="D8" s="20">
        <f>SUMIF('Data Combine'!$D:$D,$B8,'Data Combine'!G:G)</f>
        <v>2426400</v>
      </c>
      <c r="E8" s="20">
        <f>SUMIF('Data Combine'!$D:$D,$B8,'Data Combine'!H:H)</f>
        <v>5316690</v>
      </c>
      <c r="F8" s="20">
        <f>SUMIF('Data Combine'!$D:$D,$B8,'Data Combine'!I:I)</f>
        <v>1137350</v>
      </c>
      <c r="G8" s="1"/>
      <c r="H8" s="1"/>
      <c r="K8" s="12"/>
    </row>
    <row r="9" spans="1:11" x14ac:dyDescent="0.55000000000000004">
      <c r="A9" s="23">
        <v>8</v>
      </c>
      <c r="B9" s="24" t="s">
        <v>77</v>
      </c>
      <c r="C9" s="20">
        <f>SUMIF('Data Combine'!$D:$D,$B9,'Data Combine'!F:F)</f>
        <v>1696980</v>
      </c>
      <c r="D9" s="20">
        <f>SUMIF('Data Combine'!$D:$D,$B9,'Data Combine'!G:G)</f>
        <v>908650</v>
      </c>
      <c r="E9" s="20">
        <f>SUMIF('Data Combine'!$D:$D,$B9,'Data Combine'!H:H)</f>
        <v>1000000</v>
      </c>
      <c r="F9" s="20">
        <f>SUMIF('Data Combine'!$D:$D,$B9,'Data Combine'!I:I)</f>
        <v>1605630</v>
      </c>
      <c r="G9" s="1"/>
      <c r="H9" s="1"/>
      <c r="K9" s="12"/>
    </row>
    <row r="10" spans="1:11" x14ac:dyDescent="0.55000000000000004">
      <c r="A10" s="23">
        <v>9</v>
      </c>
      <c r="B10" s="24" t="s">
        <v>58</v>
      </c>
      <c r="C10" s="20">
        <f>SUMIF('Data Combine'!$D:$D,$B10,'Data Combine'!F:F)</f>
        <v>738150</v>
      </c>
      <c r="D10" s="20">
        <f>SUMIF('Data Combine'!$D:$D,$B10,'Data Combine'!G:G)</f>
        <v>0</v>
      </c>
      <c r="E10" s="20">
        <f>SUMIF('Data Combine'!$D:$D,$B10,'Data Combine'!H:H)</f>
        <v>738150</v>
      </c>
      <c r="F10" s="20">
        <f>SUMIF('Data Combine'!$D:$D,$B10,'Data Combine'!I:I)</f>
        <v>0</v>
      </c>
      <c r="G10" s="1"/>
      <c r="H10" s="1"/>
      <c r="K10" s="12"/>
    </row>
    <row r="11" spans="1:11" x14ac:dyDescent="0.55000000000000004">
      <c r="A11" s="23">
        <v>10</v>
      </c>
      <c r="B11" s="24" t="s">
        <v>42</v>
      </c>
      <c r="C11" s="20">
        <f>SUMIF('Data Combine'!$D:$D,$B11,'Data Combine'!F:F)</f>
        <v>0</v>
      </c>
      <c r="D11" s="20">
        <f>SUMIF('Data Combine'!$D:$D,$B11,'Data Combine'!G:G)</f>
        <v>467000</v>
      </c>
      <c r="E11" s="20">
        <f>SUMIF('Data Combine'!$D:$D,$B11,'Data Combine'!H:H)</f>
        <v>467000</v>
      </c>
      <c r="F11" s="20">
        <f>SUMIF('Data Combine'!$D:$D,$B11,'Data Combine'!I:I)</f>
        <v>0</v>
      </c>
      <c r="G11" s="1"/>
      <c r="H11" s="1"/>
      <c r="K11" s="12"/>
    </row>
    <row r="12" spans="1:11" x14ac:dyDescent="0.55000000000000004">
      <c r="A12" s="23">
        <v>11</v>
      </c>
      <c r="B12" s="24" t="s">
        <v>78</v>
      </c>
      <c r="C12" s="20">
        <f>SUMIF('Data Combine'!$D:$D,$B12,'Data Combine'!F:F)</f>
        <v>0</v>
      </c>
      <c r="D12" s="20">
        <f>SUMIF('Data Combine'!$D:$D,$B12,'Data Combine'!G:G)</f>
        <v>614050</v>
      </c>
      <c r="E12" s="20">
        <f>SUMIF('Data Combine'!$D:$D,$B12,'Data Combine'!H:H)</f>
        <v>614050</v>
      </c>
      <c r="F12" s="20">
        <f>SUMIF('Data Combine'!$D:$D,$B12,'Data Combine'!I:I)</f>
        <v>0</v>
      </c>
      <c r="K12" s="12"/>
    </row>
    <row r="13" spans="1:11" x14ac:dyDescent="0.55000000000000004">
      <c r="A13" s="23">
        <v>12</v>
      </c>
      <c r="B13" s="24" t="s">
        <v>44</v>
      </c>
      <c r="C13" s="20">
        <f>SUMIF('Data Combine'!$D:$D,$B13,'Data Combine'!F:F)</f>
        <v>2208992</v>
      </c>
      <c r="D13" s="20">
        <f>SUMIF('Data Combine'!$D:$D,$B13,'Data Combine'!G:G)</f>
        <v>0</v>
      </c>
      <c r="E13" s="20">
        <f>SUMIF('Data Combine'!$D:$D,$B13,'Data Combine'!H:H)</f>
        <v>0</v>
      </c>
      <c r="F13" s="20">
        <f>SUMIF('Data Combine'!$D:$D,$B13,'Data Combine'!I:I)</f>
        <v>2208992</v>
      </c>
      <c r="K13" s="12"/>
    </row>
    <row r="14" spans="1:11" x14ac:dyDescent="0.55000000000000004">
      <c r="A14" s="23">
        <v>13</v>
      </c>
      <c r="B14" s="24" t="s">
        <v>79</v>
      </c>
      <c r="C14" s="20">
        <f>SUMIF('Data Combine'!$D:$D,$B14,'Data Combine'!F:F)</f>
        <v>2778210</v>
      </c>
      <c r="D14" s="20">
        <f>SUMIF('Data Combine'!$D:$D,$B14,'Data Combine'!G:G)</f>
        <v>4501300</v>
      </c>
      <c r="E14" s="20">
        <f>SUMIF('Data Combine'!$D:$D,$B14,'Data Combine'!H:H)</f>
        <v>5500000</v>
      </c>
      <c r="F14" s="20">
        <f>SUMIF('Data Combine'!$D:$D,$B14,'Data Combine'!I:I)</f>
        <v>1779510</v>
      </c>
      <c r="K14" s="12"/>
    </row>
    <row r="15" spans="1:11" x14ac:dyDescent="0.55000000000000004">
      <c r="A15" s="23">
        <v>14</v>
      </c>
      <c r="B15" s="24" t="s">
        <v>80</v>
      </c>
      <c r="C15" s="20">
        <f>SUMIF('Data Combine'!$D:$D,$B15,'Data Combine'!F:F)</f>
        <v>2754773</v>
      </c>
      <c r="D15" s="20">
        <f>SUMIF('Data Combine'!$D:$D,$B15,'Data Combine'!G:G)</f>
        <v>999000</v>
      </c>
      <c r="E15" s="20">
        <f>SUMIF('Data Combine'!$D:$D,$B15,'Data Combine'!H:H)</f>
        <v>2754773</v>
      </c>
      <c r="F15" s="20">
        <f>SUMIF('Data Combine'!$D:$D,$B15,'Data Combine'!I:I)</f>
        <v>999000</v>
      </c>
      <c r="K15" s="12"/>
    </row>
    <row r="16" spans="1:11" x14ac:dyDescent="0.55000000000000004">
      <c r="A16" s="23">
        <v>15</v>
      </c>
      <c r="B16" s="24" t="s">
        <v>48</v>
      </c>
      <c r="C16" s="20">
        <f>SUMIF('Data Combine'!$D:$D,$B16,'Data Combine'!F:F)</f>
        <v>5502500</v>
      </c>
      <c r="D16" s="20">
        <f>SUMIF('Data Combine'!$D:$D,$B16,'Data Combine'!G:G)</f>
        <v>1212000</v>
      </c>
      <c r="E16" s="20">
        <f>SUMIF('Data Combine'!$D:$D,$B16,'Data Combine'!H:H)</f>
        <v>4500000</v>
      </c>
      <c r="F16" s="20">
        <f>SUMIF('Data Combine'!$D:$D,$B16,'Data Combine'!I:I)</f>
        <v>2214500</v>
      </c>
      <c r="K16" s="12"/>
    </row>
    <row r="17" spans="1:11" x14ac:dyDescent="0.55000000000000004">
      <c r="A17" s="23">
        <v>16</v>
      </c>
      <c r="B17" s="24" t="s">
        <v>50</v>
      </c>
      <c r="C17" s="20">
        <f>SUMIF('Data Combine'!$D:$D,$B17,'Data Combine'!F:F)</f>
        <v>117000.01</v>
      </c>
      <c r="D17" s="20">
        <f>SUMIF('Data Combine'!$D:$D,$B17,'Data Combine'!G:G)</f>
        <v>0</v>
      </c>
      <c r="E17" s="20">
        <f>SUMIF('Data Combine'!$D:$D,$B17,'Data Combine'!H:H)</f>
        <v>117000</v>
      </c>
      <c r="F17" s="20">
        <f>SUMIF('Data Combine'!$D:$D,$B17,'Data Combine'!I:I)</f>
        <v>9.9999999947613105E-3</v>
      </c>
      <c r="K17" s="12"/>
    </row>
    <row r="18" spans="1:11" x14ac:dyDescent="0.55000000000000004">
      <c r="A18" s="23">
        <v>17</v>
      </c>
      <c r="B18" s="24" t="s">
        <v>65</v>
      </c>
      <c r="C18" s="20">
        <f>SUMIF('Data Combine'!$D:$D,$B18,'Data Combine'!F:F)</f>
        <v>0</v>
      </c>
      <c r="D18" s="20">
        <f>SUMIF('Data Combine'!$D:$D,$B18,'Data Combine'!G:G)</f>
        <v>0</v>
      </c>
      <c r="E18" s="20">
        <f>SUMIF('Data Combine'!$D:$D,$B18,'Data Combine'!H:H)</f>
        <v>0</v>
      </c>
      <c r="F18" s="20">
        <f>SUMIF('Data Combine'!$D:$D,$B18,'Data Combine'!I:I)</f>
        <v>0</v>
      </c>
      <c r="K18" s="12"/>
    </row>
    <row r="19" spans="1:11" x14ac:dyDescent="0.55000000000000004">
      <c r="A19" s="23">
        <v>18</v>
      </c>
      <c r="B19" s="24" t="s">
        <v>81</v>
      </c>
      <c r="C19" s="20">
        <f>SUMIF('Data Combine'!$D:$D,$B19,'Data Combine'!F:F)</f>
        <v>1145500</v>
      </c>
      <c r="D19" s="20">
        <f>SUMIF('Data Combine'!$D:$D,$B19,'Data Combine'!G:G)</f>
        <v>0</v>
      </c>
      <c r="E19" s="20">
        <f>SUMIF('Data Combine'!$D:$D,$B19,'Data Combine'!H:H)</f>
        <v>1145500</v>
      </c>
      <c r="F19" s="20">
        <f>SUMIF('Data Combine'!$D:$D,$B19,'Data Combine'!I:I)</f>
        <v>0</v>
      </c>
      <c r="K19" s="12"/>
    </row>
    <row r="20" spans="1:11" x14ac:dyDescent="0.55000000000000004">
      <c r="A20" s="23">
        <v>19</v>
      </c>
      <c r="B20" s="24" t="s">
        <v>82</v>
      </c>
      <c r="C20" s="20">
        <f>SUMIF('Data Combine'!$D:$D,$B20,'Data Combine'!F:F)</f>
        <v>143000</v>
      </c>
      <c r="D20" s="20">
        <f>SUMIF('Data Combine'!$D:$D,$B20,'Data Combine'!G:G)</f>
        <v>0</v>
      </c>
      <c r="E20" s="20">
        <f>SUMIF('Data Combine'!$D:$D,$B20,'Data Combine'!H:H)</f>
        <v>0</v>
      </c>
      <c r="F20" s="20">
        <f>SUMIF('Data Combine'!$D:$D,$B20,'Data Combine'!I:I)</f>
        <v>143000</v>
      </c>
      <c r="K20" s="12"/>
    </row>
    <row r="21" spans="1:11" x14ac:dyDescent="0.55000000000000004">
      <c r="A21" s="23">
        <v>20</v>
      </c>
      <c r="B21" s="24" t="s">
        <v>56</v>
      </c>
      <c r="C21" s="20">
        <f>SUMIF('Data Combine'!$D:$D,$B21,'Data Combine'!F:F)</f>
        <v>1528630</v>
      </c>
      <c r="D21" s="20">
        <f>SUMIF('Data Combine'!$D:$D,$B21,'Data Combine'!G:G)</f>
        <v>2193091</v>
      </c>
      <c r="E21" s="20">
        <f>SUMIF('Data Combine'!$D:$D,$B21,'Data Combine'!H:H)</f>
        <v>3030000</v>
      </c>
      <c r="F21" s="20">
        <f>SUMIF('Data Combine'!$D:$D,$B21,'Data Combine'!I:I)</f>
        <v>691721</v>
      </c>
      <c r="K21"/>
    </row>
    <row r="22" spans="1:11" x14ac:dyDescent="0.55000000000000004">
      <c r="K22"/>
    </row>
    <row r="23" spans="1:11" ht="22.5" thickBot="1" x14ac:dyDescent="0.6">
      <c r="B23" s="26" t="s">
        <v>84</v>
      </c>
      <c r="C23" s="25">
        <f>SUM(C2:C22)</f>
        <v>48489314.009999998</v>
      </c>
      <c r="D23" s="25">
        <f>SUM(D2:D22)</f>
        <v>53949455</v>
      </c>
      <c r="E23" s="25">
        <f>SUM(E2:E22)</f>
        <v>71469762</v>
      </c>
      <c r="F23" s="25">
        <f>SUM(ZAN_25[Balance])</f>
        <v>30969007.010000002</v>
      </c>
      <c r="K23"/>
    </row>
    <row r="24" spans="1:11" ht="22.5" thickTop="1" x14ac:dyDescent="0.55000000000000004">
      <c r="K24"/>
    </row>
    <row r="25" spans="1:11" x14ac:dyDescent="0.55000000000000004">
      <c r="K25"/>
    </row>
    <row r="26" spans="1:11" x14ac:dyDescent="0.55000000000000004">
      <c r="K26"/>
    </row>
    <row r="27" spans="1:11" x14ac:dyDescent="0.55000000000000004">
      <c r="K27"/>
    </row>
  </sheetData>
  <pageMargins left="0.2" right="0.2" top="0.75" bottom="0.75" header="0.3" footer="0.3"/>
  <pageSetup paperSize="11" scale="70" orientation="portrait" verticalDpi="0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F123"/>
  <sheetViews>
    <sheetView topLeftCell="A19" workbookViewId="0">
      <selection activeCell="B20" sqref="B20"/>
    </sheetView>
  </sheetViews>
  <sheetFormatPr defaultRowHeight="21.75" x14ac:dyDescent="0.55000000000000004"/>
  <cols>
    <col min="1" max="1" width="29.140625" style="43" customWidth="1"/>
    <col min="2" max="2" width="47.140625" style="43" bestFit="1" customWidth="1"/>
    <col min="3" max="4" width="27.7109375" style="112" customWidth="1"/>
    <col min="5" max="5" width="24.28515625" style="112" customWidth="1"/>
    <col min="6" max="6" width="26.85546875" style="112" customWidth="1"/>
    <col min="7" max="16384" width="9.140625" style="43"/>
  </cols>
  <sheetData>
    <row r="1" spans="1:6" x14ac:dyDescent="0.55000000000000004">
      <c r="A1" s="114" t="s">
        <v>109</v>
      </c>
      <c r="B1" s="114" t="s">
        <v>110</v>
      </c>
      <c r="C1" s="112" t="s">
        <v>185</v>
      </c>
      <c r="D1" s="112" t="s">
        <v>186</v>
      </c>
      <c r="E1" s="112" t="s">
        <v>187</v>
      </c>
      <c r="F1" s="112" t="s">
        <v>188</v>
      </c>
    </row>
    <row r="2" spans="1:6" x14ac:dyDescent="0.55000000000000004">
      <c r="A2" s="43" t="s">
        <v>9</v>
      </c>
      <c r="B2" s="43" t="s">
        <v>5</v>
      </c>
      <c r="C2" s="112">
        <v>630620</v>
      </c>
      <c r="F2" s="112">
        <v>630620</v>
      </c>
    </row>
    <row r="3" spans="1:6" x14ac:dyDescent="0.55000000000000004">
      <c r="A3" s="43" t="s">
        <v>9</v>
      </c>
      <c r="B3" s="43" t="s">
        <v>153</v>
      </c>
      <c r="E3" s="112">
        <v>40480</v>
      </c>
      <c r="F3" s="112">
        <v>-40480</v>
      </c>
    </row>
    <row r="4" spans="1:6" x14ac:dyDescent="0.55000000000000004">
      <c r="A4" s="43" t="s">
        <v>15</v>
      </c>
      <c r="B4" s="43" t="s">
        <v>5</v>
      </c>
      <c r="C4" s="112">
        <v>0</v>
      </c>
      <c r="F4" s="112">
        <v>0</v>
      </c>
    </row>
    <row r="5" spans="1:6" x14ac:dyDescent="0.55000000000000004">
      <c r="A5" s="43" t="s">
        <v>18</v>
      </c>
      <c r="B5" s="43" t="s">
        <v>172</v>
      </c>
      <c r="D5" s="112">
        <v>40250</v>
      </c>
      <c r="F5" s="112">
        <v>40250</v>
      </c>
    </row>
    <row r="6" spans="1:6" x14ac:dyDescent="0.55000000000000004">
      <c r="A6" s="43" t="s">
        <v>18</v>
      </c>
      <c r="B6" s="43" t="s">
        <v>124</v>
      </c>
      <c r="D6" s="112">
        <v>49000</v>
      </c>
      <c r="F6" s="112">
        <v>49000</v>
      </c>
    </row>
    <row r="7" spans="1:6" x14ac:dyDescent="0.55000000000000004">
      <c r="A7" s="43" t="s">
        <v>18</v>
      </c>
      <c r="B7" s="43" t="s">
        <v>176</v>
      </c>
      <c r="D7" s="112">
        <v>15600</v>
      </c>
      <c r="F7" s="112">
        <v>15600</v>
      </c>
    </row>
    <row r="8" spans="1:6" x14ac:dyDescent="0.55000000000000004">
      <c r="A8" s="43" t="s">
        <v>18</v>
      </c>
      <c r="B8" s="43" t="s">
        <v>126</v>
      </c>
      <c r="D8" s="112">
        <v>107000</v>
      </c>
      <c r="F8" s="112">
        <v>107000</v>
      </c>
    </row>
    <row r="9" spans="1:6" x14ac:dyDescent="0.55000000000000004">
      <c r="A9" s="43" t="s">
        <v>18</v>
      </c>
      <c r="B9" s="43" t="s">
        <v>88</v>
      </c>
      <c r="D9" s="112">
        <v>19600</v>
      </c>
      <c r="F9" s="112">
        <v>19600</v>
      </c>
    </row>
    <row r="10" spans="1:6" x14ac:dyDescent="0.55000000000000004">
      <c r="A10" s="43" t="s">
        <v>18</v>
      </c>
      <c r="B10" s="43" t="s">
        <v>169</v>
      </c>
      <c r="D10" s="112">
        <v>35000</v>
      </c>
      <c r="F10" s="112">
        <v>35000</v>
      </c>
    </row>
    <row r="11" spans="1:6" x14ac:dyDescent="0.55000000000000004">
      <c r="A11" s="43" t="s">
        <v>18</v>
      </c>
      <c r="B11" s="43" t="s">
        <v>142</v>
      </c>
      <c r="D11" s="112">
        <v>22900</v>
      </c>
      <c r="F11" s="112">
        <v>22900</v>
      </c>
    </row>
    <row r="12" spans="1:6" x14ac:dyDescent="0.55000000000000004">
      <c r="A12" s="43" t="s">
        <v>18</v>
      </c>
      <c r="B12" s="43" t="s">
        <v>143</v>
      </c>
      <c r="D12" s="112">
        <v>45000</v>
      </c>
      <c r="F12" s="112">
        <v>45000</v>
      </c>
    </row>
    <row r="13" spans="1:6" x14ac:dyDescent="0.55000000000000004">
      <c r="A13" s="43" t="s">
        <v>18</v>
      </c>
      <c r="B13" s="43" t="s">
        <v>173</v>
      </c>
      <c r="D13" s="112">
        <v>55500</v>
      </c>
      <c r="F13" s="112">
        <v>55500</v>
      </c>
    </row>
    <row r="14" spans="1:6" x14ac:dyDescent="0.55000000000000004">
      <c r="A14" s="43" t="s">
        <v>18</v>
      </c>
      <c r="B14" s="43" t="s">
        <v>166</v>
      </c>
      <c r="D14" s="112">
        <v>18000</v>
      </c>
      <c r="F14" s="112">
        <v>18000</v>
      </c>
    </row>
    <row r="15" spans="1:6" x14ac:dyDescent="0.55000000000000004">
      <c r="A15" s="43" t="s">
        <v>18</v>
      </c>
      <c r="B15" s="43" t="s">
        <v>5</v>
      </c>
      <c r="C15" s="112">
        <v>1496359</v>
      </c>
      <c r="F15" s="112">
        <v>1496359</v>
      </c>
    </row>
    <row r="16" spans="1:6" x14ac:dyDescent="0.55000000000000004">
      <c r="A16" s="43" t="s">
        <v>18</v>
      </c>
      <c r="B16" s="43" t="s">
        <v>128</v>
      </c>
      <c r="D16" s="112">
        <v>374375</v>
      </c>
      <c r="F16" s="112">
        <v>374375</v>
      </c>
    </row>
    <row r="17" spans="1:6" x14ac:dyDescent="0.55000000000000004">
      <c r="A17" s="43" t="s">
        <v>18</v>
      </c>
      <c r="B17" s="43" t="s">
        <v>150</v>
      </c>
      <c r="E17" s="112">
        <v>47760</v>
      </c>
      <c r="F17" s="112">
        <v>-47760</v>
      </c>
    </row>
    <row r="18" spans="1:6" x14ac:dyDescent="0.55000000000000004">
      <c r="A18" s="43" t="s">
        <v>18</v>
      </c>
      <c r="B18" s="43" t="s">
        <v>168</v>
      </c>
      <c r="D18" s="112">
        <v>149184</v>
      </c>
      <c r="F18" s="112">
        <v>149184</v>
      </c>
    </row>
    <row r="19" spans="1:6" x14ac:dyDescent="0.55000000000000004">
      <c r="A19" s="43" t="s">
        <v>18</v>
      </c>
      <c r="B19" s="43" t="s">
        <v>136</v>
      </c>
      <c r="D19" s="112">
        <v>1181672</v>
      </c>
      <c r="F19" s="112">
        <v>1181672</v>
      </c>
    </row>
    <row r="20" spans="1:6" x14ac:dyDescent="0.55000000000000004">
      <c r="A20" s="43" t="s">
        <v>18</v>
      </c>
      <c r="B20" s="43" t="s">
        <v>171</v>
      </c>
      <c r="D20" s="112">
        <v>155080</v>
      </c>
      <c r="F20" s="112">
        <v>155080</v>
      </c>
    </row>
    <row r="21" spans="1:6" x14ac:dyDescent="0.55000000000000004">
      <c r="A21" s="43" t="s">
        <v>18</v>
      </c>
      <c r="B21" s="43" t="s">
        <v>165</v>
      </c>
      <c r="D21" s="112">
        <v>64845</v>
      </c>
      <c r="F21" s="112">
        <v>64845</v>
      </c>
    </row>
    <row r="22" spans="1:6" x14ac:dyDescent="0.55000000000000004">
      <c r="A22" s="43" t="s">
        <v>18</v>
      </c>
      <c r="B22" s="43" t="s">
        <v>145</v>
      </c>
      <c r="D22" s="112">
        <v>219280</v>
      </c>
      <c r="F22" s="112">
        <v>219280</v>
      </c>
    </row>
    <row r="23" spans="1:6" x14ac:dyDescent="0.55000000000000004">
      <c r="A23" s="43" t="s">
        <v>18</v>
      </c>
      <c r="B23" s="43" t="s">
        <v>144</v>
      </c>
      <c r="D23" s="112">
        <v>53040</v>
      </c>
      <c r="F23" s="112">
        <v>53040</v>
      </c>
    </row>
    <row r="24" spans="1:6" x14ac:dyDescent="0.55000000000000004">
      <c r="A24" s="43" t="s">
        <v>18</v>
      </c>
      <c r="B24" s="43" t="s">
        <v>170</v>
      </c>
      <c r="D24" s="112">
        <v>182355</v>
      </c>
      <c r="F24" s="112">
        <v>182355</v>
      </c>
    </row>
    <row r="25" spans="1:6" x14ac:dyDescent="0.55000000000000004">
      <c r="A25" s="43" t="s">
        <v>18</v>
      </c>
      <c r="B25" s="43" t="s">
        <v>99</v>
      </c>
      <c r="D25" s="112">
        <v>134604</v>
      </c>
      <c r="F25" s="112">
        <v>134604</v>
      </c>
    </row>
    <row r="26" spans="1:6" x14ac:dyDescent="0.55000000000000004">
      <c r="A26" s="43" t="s">
        <v>18</v>
      </c>
      <c r="B26" s="43" t="s">
        <v>92</v>
      </c>
      <c r="D26" s="112">
        <v>254288</v>
      </c>
      <c r="F26" s="112">
        <v>254288</v>
      </c>
    </row>
    <row r="27" spans="1:6" x14ac:dyDescent="0.55000000000000004">
      <c r="A27" s="43" t="s">
        <v>18</v>
      </c>
      <c r="B27" s="43" t="s">
        <v>183</v>
      </c>
      <c r="D27" s="112">
        <v>180249</v>
      </c>
      <c r="F27" s="112">
        <v>180249</v>
      </c>
    </row>
    <row r="28" spans="1:6" x14ac:dyDescent="0.55000000000000004">
      <c r="A28" s="43" t="s">
        <v>18</v>
      </c>
      <c r="B28" s="43" t="s">
        <v>135</v>
      </c>
      <c r="D28" s="112">
        <v>709987</v>
      </c>
      <c r="F28" s="112">
        <v>709987</v>
      </c>
    </row>
    <row r="29" spans="1:6" x14ac:dyDescent="0.55000000000000004">
      <c r="A29" s="43" t="s">
        <v>18</v>
      </c>
      <c r="B29" s="43" t="s">
        <v>167</v>
      </c>
      <c r="D29" s="112">
        <v>585745</v>
      </c>
      <c r="F29" s="112">
        <v>585745</v>
      </c>
    </row>
    <row r="30" spans="1:6" x14ac:dyDescent="0.55000000000000004">
      <c r="A30" s="43" t="s">
        <v>18</v>
      </c>
      <c r="B30" s="43" t="s">
        <v>134</v>
      </c>
      <c r="D30" s="112">
        <v>80830</v>
      </c>
      <c r="F30" s="112">
        <v>80830</v>
      </c>
    </row>
    <row r="31" spans="1:6" x14ac:dyDescent="0.55000000000000004">
      <c r="A31" s="43" t="s">
        <v>18</v>
      </c>
      <c r="B31" s="43" t="s">
        <v>146</v>
      </c>
      <c r="D31" s="112">
        <v>54540</v>
      </c>
      <c r="F31" s="112">
        <v>54540</v>
      </c>
    </row>
    <row r="32" spans="1:6" x14ac:dyDescent="0.55000000000000004">
      <c r="A32" s="43" t="s">
        <v>18</v>
      </c>
      <c r="B32" s="43" t="s">
        <v>148</v>
      </c>
      <c r="D32" s="112">
        <v>520465</v>
      </c>
      <c r="F32" s="112">
        <v>520465</v>
      </c>
    </row>
    <row r="33" spans="1:6" x14ac:dyDescent="0.55000000000000004">
      <c r="A33" s="43" t="s">
        <v>18</v>
      </c>
      <c r="B33" s="43" t="s">
        <v>147</v>
      </c>
      <c r="D33" s="112">
        <v>120465</v>
      </c>
      <c r="F33" s="112">
        <v>120465</v>
      </c>
    </row>
    <row r="34" spans="1:6" x14ac:dyDescent="0.55000000000000004">
      <c r="A34" s="43" t="s">
        <v>18</v>
      </c>
      <c r="B34" s="43" t="s">
        <v>175</v>
      </c>
      <c r="D34" s="112">
        <v>105000</v>
      </c>
      <c r="F34" s="112">
        <v>105000</v>
      </c>
    </row>
    <row r="35" spans="1:6" x14ac:dyDescent="0.55000000000000004">
      <c r="A35" s="43" t="s">
        <v>18</v>
      </c>
      <c r="B35" s="43" t="s">
        <v>174</v>
      </c>
      <c r="D35" s="112">
        <v>183710</v>
      </c>
      <c r="F35" s="112">
        <v>183710</v>
      </c>
    </row>
    <row r="36" spans="1:6" x14ac:dyDescent="0.55000000000000004">
      <c r="A36" s="43" t="s">
        <v>18</v>
      </c>
      <c r="B36" s="43" t="s">
        <v>86</v>
      </c>
      <c r="E36" s="112">
        <v>5996359</v>
      </c>
      <c r="F36" s="112">
        <v>-5996359</v>
      </c>
    </row>
    <row r="37" spans="1:6" x14ac:dyDescent="0.55000000000000004">
      <c r="A37" s="43" t="s">
        <v>18</v>
      </c>
      <c r="B37" s="43" t="s">
        <v>156</v>
      </c>
      <c r="E37" s="112">
        <v>41000</v>
      </c>
      <c r="F37" s="112">
        <v>-41000</v>
      </c>
    </row>
    <row r="38" spans="1:6" x14ac:dyDescent="0.55000000000000004">
      <c r="A38" s="43" t="s">
        <v>74</v>
      </c>
      <c r="B38" s="43" t="s">
        <v>152</v>
      </c>
      <c r="D38" s="112">
        <v>980400</v>
      </c>
      <c r="F38" s="112">
        <v>980400</v>
      </c>
    </row>
    <row r="39" spans="1:6" x14ac:dyDescent="0.55000000000000004">
      <c r="A39" s="43" t="s">
        <v>74</v>
      </c>
      <c r="B39" s="43" t="s">
        <v>5</v>
      </c>
      <c r="C39" s="112">
        <v>851960</v>
      </c>
      <c r="F39" s="112">
        <v>851960</v>
      </c>
    </row>
    <row r="40" spans="1:6" x14ac:dyDescent="0.55000000000000004">
      <c r="A40" s="43" t="s">
        <v>74</v>
      </c>
      <c r="B40" s="43" t="s">
        <v>86</v>
      </c>
      <c r="E40" s="112">
        <v>852000</v>
      </c>
      <c r="F40" s="112">
        <v>-852000</v>
      </c>
    </row>
    <row r="41" spans="1:6" x14ac:dyDescent="0.55000000000000004">
      <c r="A41" s="43" t="s">
        <v>76</v>
      </c>
      <c r="B41" s="43" t="s">
        <v>127</v>
      </c>
      <c r="D41" s="112">
        <v>570000</v>
      </c>
      <c r="F41" s="112">
        <v>570000</v>
      </c>
    </row>
    <row r="42" spans="1:6" x14ac:dyDescent="0.55000000000000004">
      <c r="A42" s="43" t="s">
        <v>76</v>
      </c>
      <c r="B42" s="43" t="s">
        <v>97</v>
      </c>
      <c r="D42" s="112">
        <v>5920000</v>
      </c>
      <c r="F42" s="112">
        <v>5920000</v>
      </c>
    </row>
    <row r="43" spans="1:6" x14ac:dyDescent="0.55000000000000004">
      <c r="A43" s="43" t="s">
        <v>76</v>
      </c>
      <c r="B43" s="43" t="s">
        <v>5</v>
      </c>
      <c r="C43" s="112">
        <v>3917000</v>
      </c>
      <c r="F43" s="112">
        <v>3917000</v>
      </c>
    </row>
    <row r="44" spans="1:6" x14ac:dyDescent="0.55000000000000004">
      <c r="A44" s="43" t="s">
        <v>76</v>
      </c>
      <c r="B44" s="43" t="s">
        <v>95</v>
      </c>
      <c r="D44" s="112">
        <v>6903000</v>
      </c>
      <c r="F44" s="112">
        <v>6903000</v>
      </c>
    </row>
    <row r="45" spans="1:6" x14ac:dyDescent="0.55000000000000004">
      <c r="A45" s="43" t="s">
        <v>76</v>
      </c>
      <c r="B45" s="43" t="s">
        <v>155</v>
      </c>
      <c r="D45" s="112">
        <v>3943000</v>
      </c>
      <c r="F45" s="112">
        <v>3943000</v>
      </c>
    </row>
    <row r="46" spans="1:6" x14ac:dyDescent="0.55000000000000004">
      <c r="A46" s="43" t="s">
        <v>76</v>
      </c>
      <c r="B46" s="43" t="s">
        <v>86</v>
      </c>
      <c r="E46" s="112">
        <v>20503000</v>
      </c>
      <c r="F46" s="112">
        <v>-20503000</v>
      </c>
    </row>
    <row r="47" spans="1:6" x14ac:dyDescent="0.55000000000000004">
      <c r="A47" s="43" t="s">
        <v>75</v>
      </c>
      <c r="B47" s="43" t="s">
        <v>179</v>
      </c>
      <c r="E47" s="112">
        <v>8866000</v>
      </c>
      <c r="F47" s="112">
        <v>-8866000</v>
      </c>
    </row>
    <row r="48" spans="1:6" x14ac:dyDescent="0.55000000000000004">
      <c r="A48" s="43" t="s">
        <v>75</v>
      </c>
      <c r="B48" s="43" t="s">
        <v>130</v>
      </c>
      <c r="D48" s="112">
        <v>4300000</v>
      </c>
      <c r="F48" s="112">
        <v>4300000</v>
      </c>
    </row>
    <row r="49" spans="1:6" x14ac:dyDescent="0.55000000000000004">
      <c r="A49" s="43" t="s">
        <v>75</v>
      </c>
      <c r="B49" s="43" t="s">
        <v>129</v>
      </c>
      <c r="D49" s="112">
        <v>9270000</v>
      </c>
      <c r="F49" s="112">
        <v>9270000</v>
      </c>
    </row>
    <row r="50" spans="1:6" x14ac:dyDescent="0.55000000000000004">
      <c r="A50" s="43" t="s">
        <v>75</v>
      </c>
      <c r="B50" s="43" t="s">
        <v>5</v>
      </c>
      <c r="C50" s="112">
        <v>18952000</v>
      </c>
      <c r="F50" s="112">
        <v>18952000</v>
      </c>
    </row>
    <row r="51" spans="1:6" x14ac:dyDescent="0.55000000000000004">
      <c r="A51" s="43" t="s">
        <v>75</v>
      </c>
      <c r="B51" s="43" t="s">
        <v>181</v>
      </c>
      <c r="D51" s="112">
        <v>24000</v>
      </c>
      <c r="F51" s="112">
        <v>24000</v>
      </c>
    </row>
    <row r="52" spans="1:6" x14ac:dyDescent="0.55000000000000004">
      <c r="A52" s="43" t="s">
        <v>75</v>
      </c>
      <c r="B52" s="43" t="s">
        <v>178</v>
      </c>
      <c r="E52" s="112">
        <v>3090000</v>
      </c>
      <c r="F52" s="112">
        <v>-3090000</v>
      </c>
    </row>
    <row r="53" spans="1:6" x14ac:dyDescent="0.55000000000000004">
      <c r="A53" s="43" t="s">
        <v>75</v>
      </c>
      <c r="B53" s="43" t="s">
        <v>177</v>
      </c>
      <c r="E53" s="112">
        <v>2380000</v>
      </c>
      <c r="F53" s="112">
        <v>-2380000</v>
      </c>
    </row>
    <row r="54" spans="1:6" x14ac:dyDescent="0.55000000000000004">
      <c r="A54" s="43" t="s">
        <v>75</v>
      </c>
      <c r="B54" s="43" t="s">
        <v>180</v>
      </c>
      <c r="D54" s="112">
        <v>3000000</v>
      </c>
      <c r="F54" s="112">
        <v>3000000</v>
      </c>
    </row>
    <row r="55" spans="1:6" x14ac:dyDescent="0.55000000000000004">
      <c r="A55" s="43" t="s">
        <v>75</v>
      </c>
      <c r="B55" s="43" t="s">
        <v>151</v>
      </c>
      <c r="E55" s="112">
        <v>4470000</v>
      </c>
      <c r="F55" s="112">
        <v>-4470000</v>
      </c>
    </row>
    <row r="56" spans="1:6" x14ac:dyDescent="0.55000000000000004">
      <c r="A56" s="43" t="s">
        <v>29</v>
      </c>
      <c r="B56" s="43" t="s">
        <v>5</v>
      </c>
      <c r="C56" s="112">
        <v>4027640</v>
      </c>
      <c r="F56" s="112">
        <v>4027640</v>
      </c>
    </row>
    <row r="57" spans="1:6" x14ac:dyDescent="0.55000000000000004">
      <c r="A57" s="43" t="s">
        <v>29</v>
      </c>
      <c r="B57" s="43" t="s">
        <v>100</v>
      </c>
      <c r="D57" s="112">
        <v>238000</v>
      </c>
      <c r="F57" s="112">
        <v>238000</v>
      </c>
    </row>
    <row r="58" spans="1:6" x14ac:dyDescent="0.55000000000000004">
      <c r="A58" s="43" t="s">
        <v>29</v>
      </c>
      <c r="B58" s="43" t="s">
        <v>101</v>
      </c>
      <c r="D58" s="112">
        <v>184000</v>
      </c>
      <c r="F58" s="112">
        <v>184000</v>
      </c>
    </row>
    <row r="59" spans="1:6" x14ac:dyDescent="0.55000000000000004">
      <c r="A59" s="43" t="s">
        <v>29</v>
      </c>
      <c r="B59" s="43" t="s">
        <v>87</v>
      </c>
      <c r="E59" s="112">
        <v>71100</v>
      </c>
      <c r="F59" s="112">
        <v>-71100</v>
      </c>
    </row>
    <row r="60" spans="1:6" x14ac:dyDescent="0.55000000000000004">
      <c r="A60" s="43" t="s">
        <v>29</v>
      </c>
      <c r="B60" s="43" t="s">
        <v>96</v>
      </c>
      <c r="D60" s="112">
        <v>1209500</v>
      </c>
      <c r="F60" s="112">
        <v>1209500</v>
      </c>
    </row>
    <row r="61" spans="1:6" x14ac:dyDescent="0.55000000000000004">
      <c r="A61" s="43" t="s">
        <v>29</v>
      </c>
      <c r="B61" s="43" t="s">
        <v>122</v>
      </c>
      <c r="D61" s="112">
        <v>439100</v>
      </c>
      <c r="F61" s="112">
        <v>439100</v>
      </c>
    </row>
    <row r="62" spans="1:6" x14ac:dyDescent="0.55000000000000004">
      <c r="A62" s="43" t="s">
        <v>29</v>
      </c>
      <c r="B62" s="43" t="s">
        <v>132</v>
      </c>
      <c r="D62" s="112">
        <v>355800</v>
      </c>
      <c r="F62" s="112">
        <v>355800</v>
      </c>
    </row>
    <row r="63" spans="1:6" x14ac:dyDescent="0.55000000000000004">
      <c r="A63" s="43" t="s">
        <v>29</v>
      </c>
      <c r="B63" s="43" t="s">
        <v>85</v>
      </c>
      <c r="E63" s="112">
        <v>1000090</v>
      </c>
      <c r="F63" s="112">
        <v>-1000090</v>
      </c>
    </row>
    <row r="64" spans="1:6" x14ac:dyDescent="0.55000000000000004">
      <c r="A64" s="43" t="s">
        <v>29</v>
      </c>
      <c r="B64" s="43" t="s">
        <v>86</v>
      </c>
      <c r="E64" s="112">
        <v>1761500</v>
      </c>
      <c r="F64" s="112">
        <v>-1761500</v>
      </c>
    </row>
    <row r="65" spans="1:6" x14ac:dyDescent="0.55000000000000004">
      <c r="A65" s="43" t="s">
        <v>29</v>
      </c>
      <c r="B65" s="43" t="s">
        <v>153</v>
      </c>
      <c r="E65" s="112">
        <v>2000000</v>
      </c>
      <c r="F65" s="112">
        <v>-2000000</v>
      </c>
    </row>
    <row r="66" spans="1:6" x14ac:dyDescent="0.55000000000000004">
      <c r="A66" s="43" t="s">
        <v>29</v>
      </c>
      <c r="B66" s="43" t="s">
        <v>154</v>
      </c>
      <c r="E66" s="112">
        <v>484000</v>
      </c>
      <c r="F66" s="112">
        <v>-484000</v>
      </c>
    </row>
    <row r="67" spans="1:6" x14ac:dyDescent="0.55000000000000004">
      <c r="A67" s="43" t="s">
        <v>77</v>
      </c>
      <c r="B67" s="43" t="s">
        <v>161</v>
      </c>
      <c r="D67" s="112">
        <v>131500</v>
      </c>
      <c r="F67" s="112">
        <v>131500</v>
      </c>
    </row>
    <row r="68" spans="1:6" x14ac:dyDescent="0.55000000000000004">
      <c r="A68" s="43" t="s">
        <v>77</v>
      </c>
      <c r="B68" s="43" t="s">
        <v>91</v>
      </c>
      <c r="D68" s="112">
        <v>213150</v>
      </c>
      <c r="F68" s="112">
        <v>213150</v>
      </c>
    </row>
    <row r="69" spans="1:6" x14ac:dyDescent="0.55000000000000004">
      <c r="A69" s="43" t="s">
        <v>77</v>
      </c>
      <c r="B69" s="43" t="s">
        <v>162</v>
      </c>
      <c r="D69" s="112">
        <v>270000</v>
      </c>
      <c r="F69" s="112">
        <v>270000</v>
      </c>
    </row>
    <row r="70" spans="1:6" x14ac:dyDescent="0.55000000000000004">
      <c r="A70" s="43" t="s">
        <v>77</v>
      </c>
      <c r="B70" s="43" t="s">
        <v>160</v>
      </c>
      <c r="D70" s="112">
        <v>23500</v>
      </c>
      <c r="F70" s="112">
        <v>23500</v>
      </c>
    </row>
    <row r="71" spans="1:6" x14ac:dyDescent="0.55000000000000004">
      <c r="A71" s="43" t="s">
        <v>77</v>
      </c>
      <c r="B71" s="43" t="s">
        <v>125</v>
      </c>
      <c r="D71" s="112">
        <v>270500</v>
      </c>
      <c r="F71" s="112">
        <v>270500</v>
      </c>
    </row>
    <row r="72" spans="1:6" x14ac:dyDescent="0.55000000000000004">
      <c r="A72" s="43" t="s">
        <v>77</v>
      </c>
      <c r="B72" s="43" t="s">
        <v>5</v>
      </c>
      <c r="C72" s="112">
        <v>1696980</v>
      </c>
      <c r="F72" s="112">
        <v>1696980</v>
      </c>
    </row>
    <row r="73" spans="1:6" x14ac:dyDescent="0.55000000000000004">
      <c r="A73" s="43" t="s">
        <v>77</v>
      </c>
      <c r="B73" s="43" t="s">
        <v>86</v>
      </c>
      <c r="E73" s="112">
        <v>1000000</v>
      </c>
      <c r="F73" s="112">
        <v>-1000000</v>
      </c>
    </row>
    <row r="74" spans="1:6" x14ac:dyDescent="0.55000000000000004">
      <c r="A74" s="43" t="s">
        <v>58</v>
      </c>
      <c r="B74" s="43" t="s">
        <v>5</v>
      </c>
      <c r="C74" s="112">
        <v>738150</v>
      </c>
      <c r="F74" s="112">
        <v>738150</v>
      </c>
    </row>
    <row r="75" spans="1:6" x14ac:dyDescent="0.55000000000000004">
      <c r="A75" s="43" t="s">
        <v>58</v>
      </c>
      <c r="B75" s="43" t="s">
        <v>86</v>
      </c>
      <c r="E75" s="112">
        <v>693900</v>
      </c>
      <c r="F75" s="112">
        <v>-693900</v>
      </c>
    </row>
    <row r="76" spans="1:6" x14ac:dyDescent="0.55000000000000004">
      <c r="A76" s="43" t="s">
        <v>58</v>
      </c>
      <c r="B76" s="43" t="s">
        <v>119</v>
      </c>
      <c r="E76" s="112">
        <v>44250</v>
      </c>
      <c r="F76" s="112">
        <v>-44250</v>
      </c>
    </row>
    <row r="77" spans="1:6" x14ac:dyDescent="0.55000000000000004">
      <c r="A77" s="43" t="s">
        <v>42</v>
      </c>
      <c r="B77" s="43" t="s">
        <v>141</v>
      </c>
      <c r="D77" s="112">
        <v>267000</v>
      </c>
      <c r="F77" s="112">
        <v>267000</v>
      </c>
    </row>
    <row r="78" spans="1:6" x14ac:dyDescent="0.55000000000000004">
      <c r="A78" s="43" t="s">
        <v>42</v>
      </c>
      <c r="B78" s="43" t="s">
        <v>5</v>
      </c>
      <c r="C78" s="112">
        <v>0</v>
      </c>
      <c r="F78" s="112">
        <v>0</v>
      </c>
    </row>
    <row r="79" spans="1:6" x14ac:dyDescent="0.55000000000000004">
      <c r="A79" s="43" t="s">
        <v>42</v>
      </c>
      <c r="B79" s="43" t="s">
        <v>105</v>
      </c>
      <c r="D79" s="112">
        <v>200000</v>
      </c>
      <c r="F79" s="112">
        <v>200000</v>
      </c>
    </row>
    <row r="80" spans="1:6" x14ac:dyDescent="0.55000000000000004">
      <c r="A80" s="43" t="s">
        <v>42</v>
      </c>
      <c r="B80" s="43" t="s">
        <v>86</v>
      </c>
      <c r="E80" s="112">
        <v>467000</v>
      </c>
      <c r="F80" s="112">
        <v>-467000</v>
      </c>
    </row>
    <row r="81" spans="1:6" x14ac:dyDescent="0.55000000000000004">
      <c r="A81" s="43" t="s">
        <v>78</v>
      </c>
      <c r="B81" s="43" t="s">
        <v>120</v>
      </c>
      <c r="D81" s="112">
        <v>78500</v>
      </c>
      <c r="F81" s="112">
        <v>78500</v>
      </c>
    </row>
    <row r="82" spans="1:6" x14ac:dyDescent="0.55000000000000004">
      <c r="A82" s="43" t="s">
        <v>78</v>
      </c>
      <c r="B82" s="43" t="s">
        <v>5</v>
      </c>
      <c r="C82" s="112">
        <v>0</v>
      </c>
      <c r="F82" s="112">
        <v>0</v>
      </c>
    </row>
    <row r="83" spans="1:6" x14ac:dyDescent="0.55000000000000004">
      <c r="A83" s="43" t="s">
        <v>78</v>
      </c>
      <c r="B83" s="43" t="s">
        <v>121</v>
      </c>
      <c r="D83" s="112">
        <v>535550</v>
      </c>
      <c r="F83" s="112">
        <v>535550</v>
      </c>
    </row>
    <row r="84" spans="1:6" x14ac:dyDescent="0.55000000000000004">
      <c r="A84" s="43" t="s">
        <v>78</v>
      </c>
      <c r="B84" s="43" t="s">
        <v>86</v>
      </c>
      <c r="E84" s="112">
        <v>614050</v>
      </c>
      <c r="F84" s="112">
        <v>-614050</v>
      </c>
    </row>
    <row r="85" spans="1:6" x14ac:dyDescent="0.55000000000000004">
      <c r="A85" s="43" t="s">
        <v>44</v>
      </c>
      <c r="B85" s="43" t="s">
        <v>5</v>
      </c>
      <c r="C85" s="112">
        <v>2208992</v>
      </c>
      <c r="F85" s="112">
        <v>2208992</v>
      </c>
    </row>
    <row r="86" spans="1:6" x14ac:dyDescent="0.55000000000000004">
      <c r="A86" s="43" t="s">
        <v>79</v>
      </c>
      <c r="B86" s="43" t="s">
        <v>89</v>
      </c>
      <c r="D86" s="112">
        <v>221200</v>
      </c>
      <c r="F86" s="112">
        <v>221200</v>
      </c>
    </row>
    <row r="87" spans="1:6" x14ac:dyDescent="0.55000000000000004">
      <c r="A87" s="43" t="s">
        <v>79</v>
      </c>
      <c r="B87" s="43" t="s">
        <v>137</v>
      </c>
      <c r="D87" s="112">
        <v>2178500</v>
      </c>
      <c r="F87" s="112">
        <v>2178500</v>
      </c>
    </row>
    <row r="88" spans="1:6" x14ac:dyDescent="0.55000000000000004">
      <c r="A88" s="43" t="s">
        <v>79</v>
      </c>
      <c r="B88" s="43" t="s">
        <v>159</v>
      </c>
      <c r="D88" s="112">
        <v>33000</v>
      </c>
      <c r="F88" s="112">
        <v>33000</v>
      </c>
    </row>
    <row r="89" spans="1:6" x14ac:dyDescent="0.55000000000000004">
      <c r="A89" s="43" t="s">
        <v>79</v>
      </c>
      <c r="B89" s="43" t="s">
        <v>158</v>
      </c>
      <c r="D89" s="112">
        <v>180000</v>
      </c>
      <c r="F89" s="112">
        <v>180000</v>
      </c>
    </row>
    <row r="90" spans="1:6" x14ac:dyDescent="0.55000000000000004">
      <c r="A90" s="43" t="s">
        <v>79</v>
      </c>
      <c r="B90" s="43" t="s">
        <v>157</v>
      </c>
      <c r="D90" s="112">
        <v>76600</v>
      </c>
      <c r="F90" s="112">
        <v>76600</v>
      </c>
    </row>
    <row r="91" spans="1:6" x14ac:dyDescent="0.55000000000000004">
      <c r="A91" s="43" t="s">
        <v>79</v>
      </c>
      <c r="B91" s="43" t="s">
        <v>5</v>
      </c>
      <c r="C91" s="112">
        <v>2778210</v>
      </c>
      <c r="F91" s="112">
        <v>2778210</v>
      </c>
    </row>
    <row r="92" spans="1:6" x14ac:dyDescent="0.55000000000000004">
      <c r="A92" s="43" t="s">
        <v>79</v>
      </c>
      <c r="B92" s="43" t="s">
        <v>90</v>
      </c>
      <c r="D92" s="112">
        <v>1812000</v>
      </c>
      <c r="F92" s="112">
        <v>1812000</v>
      </c>
    </row>
    <row r="93" spans="1:6" x14ac:dyDescent="0.55000000000000004">
      <c r="A93" s="43" t="s">
        <v>79</v>
      </c>
      <c r="B93" s="43" t="s">
        <v>86</v>
      </c>
      <c r="E93" s="112">
        <v>5500000</v>
      </c>
      <c r="F93" s="112">
        <v>-5500000</v>
      </c>
    </row>
    <row r="94" spans="1:6" x14ac:dyDescent="0.55000000000000004">
      <c r="A94" s="43" t="s">
        <v>80</v>
      </c>
      <c r="B94" s="43" t="s">
        <v>118</v>
      </c>
      <c r="D94" s="112">
        <v>999000</v>
      </c>
      <c r="F94" s="112">
        <v>999000</v>
      </c>
    </row>
    <row r="95" spans="1:6" x14ac:dyDescent="0.55000000000000004">
      <c r="A95" s="43" t="s">
        <v>80</v>
      </c>
      <c r="B95" s="43" t="s">
        <v>5</v>
      </c>
      <c r="C95" s="112">
        <v>2754773</v>
      </c>
      <c r="F95" s="112">
        <v>2754773</v>
      </c>
    </row>
    <row r="96" spans="1:6" x14ac:dyDescent="0.55000000000000004">
      <c r="A96" s="43" t="s">
        <v>80</v>
      </c>
      <c r="B96" s="43" t="s">
        <v>86</v>
      </c>
      <c r="E96" s="112">
        <v>2606850</v>
      </c>
      <c r="F96" s="112">
        <v>-2606850</v>
      </c>
    </row>
    <row r="97" spans="1:6" x14ac:dyDescent="0.55000000000000004">
      <c r="A97" s="43" t="s">
        <v>80</v>
      </c>
      <c r="B97" s="43" t="s">
        <v>131</v>
      </c>
      <c r="E97" s="112">
        <v>147923</v>
      </c>
      <c r="F97" s="112">
        <v>-147923</v>
      </c>
    </row>
    <row r="98" spans="1:6" x14ac:dyDescent="0.55000000000000004">
      <c r="A98" s="43" t="s">
        <v>48</v>
      </c>
      <c r="B98" s="43" t="s">
        <v>94</v>
      </c>
      <c r="D98" s="112">
        <v>840000</v>
      </c>
      <c r="F98" s="112">
        <v>840000</v>
      </c>
    </row>
    <row r="99" spans="1:6" x14ac:dyDescent="0.55000000000000004">
      <c r="A99" s="43" t="s">
        <v>48</v>
      </c>
      <c r="B99" s="43" t="s">
        <v>5</v>
      </c>
      <c r="C99" s="112">
        <v>5502500</v>
      </c>
      <c r="F99" s="112">
        <v>5502500</v>
      </c>
    </row>
    <row r="100" spans="1:6" x14ac:dyDescent="0.55000000000000004">
      <c r="A100" s="43" t="s">
        <v>48</v>
      </c>
      <c r="B100" s="43" t="s">
        <v>103</v>
      </c>
      <c r="D100" s="112">
        <v>285000</v>
      </c>
      <c r="F100" s="112">
        <v>285000</v>
      </c>
    </row>
    <row r="101" spans="1:6" x14ac:dyDescent="0.55000000000000004">
      <c r="A101" s="43" t="s">
        <v>48</v>
      </c>
      <c r="B101" s="43" t="s">
        <v>104</v>
      </c>
      <c r="D101" s="112">
        <v>87000</v>
      </c>
      <c r="F101" s="112">
        <v>87000</v>
      </c>
    </row>
    <row r="102" spans="1:6" x14ac:dyDescent="0.55000000000000004">
      <c r="A102" s="43" t="s">
        <v>48</v>
      </c>
      <c r="B102" s="43" t="s">
        <v>86</v>
      </c>
      <c r="E102" s="112">
        <v>4500000</v>
      </c>
      <c r="F102" s="112">
        <v>-4500000</v>
      </c>
    </row>
    <row r="103" spans="1:6" x14ac:dyDescent="0.55000000000000004">
      <c r="A103" s="43" t="s">
        <v>50</v>
      </c>
      <c r="B103" s="43" t="s">
        <v>5</v>
      </c>
      <c r="C103" s="112">
        <v>117000.01</v>
      </c>
      <c r="F103" s="112">
        <v>117000.01</v>
      </c>
    </row>
    <row r="104" spans="1:6" x14ac:dyDescent="0.55000000000000004">
      <c r="A104" s="43" t="s">
        <v>50</v>
      </c>
      <c r="B104" s="43" t="s">
        <v>86</v>
      </c>
      <c r="E104" s="112">
        <v>117000</v>
      </c>
      <c r="F104" s="112">
        <v>-117000</v>
      </c>
    </row>
    <row r="105" spans="1:6" x14ac:dyDescent="0.55000000000000004">
      <c r="A105" s="43" t="s">
        <v>65</v>
      </c>
      <c r="B105" s="43" t="s">
        <v>5</v>
      </c>
      <c r="F105" s="112">
        <v>0</v>
      </c>
    </row>
    <row r="106" spans="1:6" x14ac:dyDescent="0.55000000000000004">
      <c r="A106" s="43" t="s">
        <v>81</v>
      </c>
      <c r="B106" s="43" t="s">
        <v>5</v>
      </c>
      <c r="C106" s="112">
        <v>1145500</v>
      </c>
      <c r="F106" s="112">
        <v>1145500</v>
      </c>
    </row>
    <row r="107" spans="1:6" x14ac:dyDescent="0.55000000000000004">
      <c r="A107" s="43" t="s">
        <v>81</v>
      </c>
      <c r="B107" s="43" t="s">
        <v>86</v>
      </c>
      <c r="E107" s="112">
        <v>1145500</v>
      </c>
      <c r="F107" s="112">
        <v>-1145500</v>
      </c>
    </row>
    <row r="108" spans="1:6" x14ac:dyDescent="0.55000000000000004">
      <c r="A108" s="43" t="s">
        <v>82</v>
      </c>
      <c r="B108" s="43" t="s">
        <v>5</v>
      </c>
      <c r="C108" s="112">
        <v>143000</v>
      </c>
      <c r="F108" s="112">
        <v>143000</v>
      </c>
    </row>
    <row r="109" spans="1:6" x14ac:dyDescent="0.55000000000000004">
      <c r="A109" s="43" t="s">
        <v>56</v>
      </c>
      <c r="B109" s="43" t="s">
        <v>98</v>
      </c>
      <c r="D109" s="112">
        <v>94106</v>
      </c>
      <c r="F109" s="112">
        <v>94106</v>
      </c>
    </row>
    <row r="110" spans="1:6" x14ac:dyDescent="0.55000000000000004">
      <c r="A110" s="43" t="s">
        <v>56</v>
      </c>
      <c r="B110" s="43" t="s">
        <v>93</v>
      </c>
      <c r="D110" s="112">
        <v>561858</v>
      </c>
      <c r="F110" s="112">
        <v>561858</v>
      </c>
    </row>
    <row r="111" spans="1:6" x14ac:dyDescent="0.55000000000000004">
      <c r="A111" s="43" t="s">
        <v>56</v>
      </c>
      <c r="B111" s="43" t="s">
        <v>5</v>
      </c>
      <c r="C111" s="112">
        <v>1528630</v>
      </c>
      <c r="F111" s="112">
        <v>1528630</v>
      </c>
    </row>
    <row r="112" spans="1:6" x14ac:dyDescent="0.55000000000000004">
      <c r="A112" s="43" t="s">
        <v>56</v>
      </c>
      <c r="B112" s="43" t="s">
        <v>102</v>
      </c>
      <c r="D112" s="112">
        <v>127240</v>
      </c>
      <c r="F112" s="112">
        <v>127240</v>
      </c>
    </row>
    <row r="113" spans="1:6" x14ac:dyDescent="0.55000000000000004">
      <c r="A113" s="43" t="s">
        <v>56</v>
      </c>
      <c r="B113" s="43" t="s">
        <v>163</v>
      </c>
      <c r="D113" s="112">
        <v>196884</v>
      </c>
      <c r="F113" s="112">
        <v>196884</v>
      </c>
    </row>
    <row r="114" spans="1:6" x14ac:dyDescent="0.55000000000000004">
      <c r="A114" s="43" t="s">
        <v>56</v>
      </c>
      <c r="B114" s="43" t="s">
        <v>140</v>
      </c>
      <c r="D114" s="112">
        <v>424487</v>
      </c>
      <c r="F114" s="112">
        <v>424487</v>
      </c>
    </row>
    <row r="115" spans="1:6" x14ac:dyDescent="0.55000000000000004">
      <c r="A115" s="43" t="s">
        <v>56</v>
      </c>
      <c r="B115" s="43" t="s">
        <v>139</v>
      </c>
      <c r="D115" s="112">
        <v>123795</v>
      </c>
      <c r="F115" s="112">
        <v>123795</v>
      </c>
    </row>
    <row r="116" spans="1:6" x14ac:dyDescent="0.55000000000000004">
      <c r="A116" s="43" t="s">
        <v>56</v>
      </c>
      <c r="B116" s="43" t="s">
        <v>87</v>
      </c>
      <c r="E116" s="112">
        <v>30000</v>
      </c>
      <c r="F116" s="112">
        <v>-30000</v>
      </c>
    </row>
    <row r="117" spans="1:6" x14ac:dyDescent="0.55000000000000004">
      <c r="A117" s="43" t="s">
        <v>56</v>
      </c>
      <c r="B117" s="43" t="s">
        <v>149</v>
      </c>
      <c r="D117" s="112">
        <v>59670</v>
      </c>
      <c r="F117" s="112">
        <v>59670</v>
      </c>
    </row>
    <row r="118" spans="1:6" x14ac:dyDescent="0.55000000000000004">
      <c r="A118" s="43" t="s">
        <v>56</v>
      </c>
      <c r="B118" s="43" t="s">
        <v>133</v>
      </c>
      <c r="D118" s="112">
        <v>76570</v>
      </c>
      <c r="F118" s="112">
        <v>76570</v>
      </c>
    </row>
    <row r="119" spans="1:6" x14ac:dyDescent="0.55000000000000004">
      <c r="A119" s="43" t="s">
        <v>56</v>
      </c>
      <c r="B119" s="43" t="s">
        <v>164</v>
      </c>
      <c r="D119" s="112">
        <v>155728</v>
      </c>
      <c r="F119" s="112">
        <v>155728</v>
      </c>
    </row>
    <row r="120" spans="1:6" x14ac:dyDescent="0.55000000000000004">
      <c r="A120" s="43" t="s">
        <v>56</v>
      </c>
      <c r="B120" s="43" t="s">
        <v>86</v>
      </c>
      <c r="E120" s="112">
        <v>3000000</v>
      </c>
      <c r="F120" s="112">
        <v>-3000000</v>
      </c>
    </row>
    <row r="121" spans="1:6" x14ac:dyDescent="0.55000000000000004">
      <c r="A121" s="43" t="s">
        <v>56</v>
      </c>
      <c r="B121" s="43" t="s">
        <v>138</v>
      </c>
      <c r="D121" s="112">
        <v>92801</v>
      </c>
      <c r="F121" s="112">
        <v>92801</v>
      </c>
    </row>
    <row r="122" spans="1:6" x14ac:dyDescent="0.55000000000000004">
      <c r="A122" s="43" t="s">
        <v>56</v>
      </c>
      <c r="B122" s="43" t="s">
        <v>123</v>
      </c>
      <c r="D122" s="112">
        <v>279952</v>
      </c>
      <c r="F122" s="112">
        <v>279952</v>
      </c>
    </row>
    <row r="123" spans="1:6" x14ac:dyDescent="0.55000000000000004">
      <c r="A123" s="43" t="s">
        <v>83</v>
      </c>
      <c r="C123" s="112">
        <v>48489314.009999998</v>
      </c>
      <c r="D123" s="112">
        <v>53949455</v>
      </c>
      <c r="E123" s="112">
        <v>71469762</v>
      </c>
      <c r="F123" s="112">
        <v>30969007.010000005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J157"/>
  <sheetViews>
    <sheetView tabSelected="1" topLeftCell="A2" workbookViewId="0">
      <selection activeCell="A4" sqref="A4"/>
    </sheetView>
  </sheetViews>
  <sheetFormatPr defaultRowHeight="15" x14ac:dyDescent="0.25"/>
  <cols>
    <col min="1" max="1" width="17.85546875" style="111" bestFit="1" customWidth="1"/>
    <col min="2" max="2" width="18.85546875" bestFit="1" customWidth="1"/>
    <col min="3" max="3" width="22.28515625" bestFit="1" customWidth="1"/>
    <col min="4" max="4" width="28.42578125" bestFit="1" customWidth="1"/>
    <col min="5" max="5" width="47.140625" bestFit="1" customWidth="1"/>
    <col min="6" max="6" width="23.5703125" style="113" bestFit="1" customWidth="1"/>
    <col min="7" max="7" width="24.7109375" style="113" bestFit="1" customWidth="1"/>
    <col min="8" max="8" width="24.42578125" style="113" bestFit="1" customWidth="1"/>
    <col min="9" max="9" width="23.140625" style="113" bestFit="1" customWidth="1"/>
    <col min="10" max="10" width="29.7109375" style="113" bestFit="1" customWidth="1"/>
  </cols>
  <sheetData>
    <row r="1" spans="1:10" ht="21.75" x14ac:dyDescent="0.55000000000000004">
      <c r="A1" s="110" t="s">
        <v>106</v>
      </c>
      <c r="B1" s="49" t="s">
        <v>107</v>
      </c>
      <c r="C1" s="49" t="s">
        <v>108</v>
      </c>
      <c r="D1" s="49" t="s">
        <v>109</v>
      </c>
      <c r="E1" s="49" t="s">
        <v>110</v>
      </c>
      <c r="F1" s="112" t="s">
        <v>111</v>
      </c>
      <c r="G1" s="112" t="s">
        <v>112</v>
      </c>
      <c r="H1" s="112" t="s">
        <v>113</v>
      </c>
      <c r="I1" s="112" t="s">
        <v>114</v>
      </c>
      <c r="J1" s="112" t="s">
        <v>184</v>
      </c>
    </row>
    <row r="2" spans="1:10" ht="21.75" x14ac:dyDescent="0.55000000000000004">
      <c r="A2" s="110">
        <v>44317</v>
      </c>
      <c r="B2" s="49"/>
      <c r="C2" s="49" t="s">
        <v>5</v>
      </c>
      <c r="D2" s="49" t="s">
        <v>9</v>
      </c>
      <c r="E2" s="49" t="s">
        <v>5</v>
      </c>
      <c r="F2" s="112">
        <v>630620</v>
      </c>
      <c r="G2" s="112"/>
      <c r="H2" s="112"/>
      <c r="I2" s="112">
        <v>630620</v>
      </c>
      <c r="J2" s="112">
        <v>630620</v>
      </c>
    </row>
    <row r="3" spans="1:10" ht="21.75" x14ac:dyDescent="0.55000000000000004">
      <c r="A3" s="110">
        <v>44343</v>
      </c>
      <c r="B3" s="49">
        <v>269</v>
      </c>
      <c r="C3" s="49" t="s">
        <v>7</v>
      </c>
      <c r="D3" s="49" t="s">
        <v>9</v>
      </c>
      <c r="E3" s="49" t="s">
        <v>153</v>
      </c>
      <c r="F3" s="112"/>
      <c r="G3" s="112"/>
      <c r="H3" s="112">
        <v>40480</v>
      </c>
      <c r="I3" s="112">
        <v>-40480</v>
      </c>
      <c r="J3" s="112">
        <v>590140</v>
      </c>
    </row>
    <row r="4" spans="1:10" ht="21.75" x14ac:dyDescent="0.55000000000000004">
      <c r="A4" s="110">
        <v>44317</v>
      </c>
      <c r="B4" s="49"/>
      <c r="C4" s="49" t="s">
        <v>5</v>
      </c>
      <c r="D4" s="49" t="s">
        <v>15</v>
      </c>
      <c r="E4" s="49" t="s">
        <v>5</v>
      </c>
      <c r="F4" s="112">
        <v>0</v>
      </c>
      <c r="G4" s="112"/>
      <c r="H4" s="112"/>
      <c r="I4" s="112">
        <v>0</v>
      </c>
      <c r="J4" s="112">
        <v>0</v>
      </c>
    </row>
    <row r="5" spans="1:10" ht="21.75" x14ac:dyDescent="0.55000000000000004">
      <c r="A5" s="110">
        <v>44317</v>
      </c>
      <c r="B5" s="49"/>
      <c r="C5" s="49" t="s">
        <v>5</v>
      </c>
      <c r="D5" s="49" t="s">
        <v>18</v>
      </c>
      <c r="E5" s="49" t="s">
        <v>5</v>
      </c>
      <c r="F5" s="112">
        <v>1496359</v>
      </c>
      <c r="G5" s="112"/>
      <c r="H5" s="112"/>
      <c r="I5" s="112">
        <v>1496359</v>
      </c>
      <c r="J5" s="112">
        <v>1496359</v>
      </c>
    </row>
    <row r="6" spans="1:10" ht="21.75" x14ac:dyDescent="0.55000000000000004">
      <c r="A6" s="110">
        <v>44319</v>
      </c>
      <c r="B6" s="49">
        <v>2288</v>
      </c>
      <c r="C6" s="49" t="s">
        <v>7</v>
      </c>
      <c r="D6" s="49" t="s">
        <v>18</v>
      </c>
      <c r="E6" s="49" t="s">
        <v>86</v>
      </c>
      <c r="F6" s="112"/>
      <c r="G6" s="112"/>
      <c r="H6" s="112">
        <v>1496359</v>
      </c>
      <c r="I6" s="112">
        <v>-1496359</v>
      </c>
      <c r="J6" s="112">
        <v>0</v>
      </c>
    </row>
    <row r="7" spans="1:10" ht="21.75" x14ac:dyDescent="0.55000000000000004">
      <c r="A7" s="110">
        <v>44319</v>
      </c>
      <c r="B7" s="49">
        <v>21158</v>
      </c>
      <c r="C7" s="49" t="s">
        <v>6</v>
      </c>
      <c r="D7" s="49" t="s">
        <v>18</v>
      </c>
      <c r="E7" s="49" t="s">
        <v>88</v>
      </c>
      <c r="F7" s="112"/>
      <c r="G7" s="112">
        <v>19600</v>
      </c>
      <c r="H7" s="112"/>
      <c r="I7" s="112">
        <v>19600</v>
      </c>
      <c r="J7" s="112">
        <v>19600</v>
      </c>
    </row>
    <row r="8" spans="1:10" ht="21.75" x14ac:dyDescent="0.55000000000000004">
      <c r="A8" s="110">
        <v>44319</v>
      </c>
      <c r="B8" s="49">
        <v>48486</v>
      </c>
      <c r="C8" s="49" t="s">
        <v>6</v>
      </c>
      <c r="D8" s="49" t="s">
        <v>18</v>
      </c>
      <c r="E8" s="49" t="s">
        <v>92</v>
      </c>
      <c r="F8" s="112"/>
      <c r="G8" s="112">
        <v>236124</v>
      </c>
      <c r="H8" s="112"/>
      <c r="I8" s="112">
        <v>236124</v>
      </c>
      <c r="J8" s="112">
        <v>255724</v>
      </c>
    </row>
    <row r="9" spans="1:10" ht="21.75" x14ac:dyDescent="0.55000000000000004">
      <c r="A9" s="110">
        <v>44321</v>
      </c>
      <c r="B9" s="49">
        <v>48527</v>
      </c>
      <c r="C9" s="49" t="s">
        <v>6</v>
      </c>
      <c r="D9" s="49" t="s">
        <v>18</v>
      </c>
      <c r="E9" s="49" t="s">
        <v>99</v>
      </c>
      <c r="F9" s="112"/>
      <c r="G9" s="112">
        <v>134604</v>
      </c>
      <c r="H9" s="112"/>
      <c r="I9" s="112">
        <v>134604</v>
      </c>
      <c r="J9" s="112">
        <v>390328</v>
      </c>
    </row>
    <row r="10" spans="1:10" ht="21.75" x14ac:dyDescent="0.55000000000000004">
      <c r="A10" s="110">
        <v>44326</v>
      </c>
      <c r="B10" s="49">
        <v>48640</v>
      </c>
      <c r="C10" s="49" t="s">
        <v>6</v>
      </c>
      <c r="D10" s="49" t="s">
        <v>18</v>
      </c>
      <c r="E10" s="49" t="s">
        <v>128</v>
      </c>
      <c r="F10" s="112"/>
      <c r="G10" s="112">
        <v>374375</v>
      </c>
      <c r="H10" s="112"/>
      <c r="I10" s="112">
        <v>374375</v>
      </c>
      <c r="J10" s="112">
        <v>764703</v>
      </c>
    </row>
    <row r="11" spans="1:10" ht="21.75" x14ac:dyDescent="0.55000000000000004">
      <c r="A11" s="110">
        <v>44327</v>
      </c>
      <c r="B11" s="49">
        <v>21209</v>
      </c>
      <c r="C11" s="49" t="s">
        <v>6</v>
      </c>
      <c r="D11" s="49" t="s">
        <v>18</v>
      </c>
      <c r="E11" s="49" t="s">
        <v>124</v>
      </c>
      <c r="F11" s="112"/>
      <c r="G11" s="112">
        <v>49000</v>
      </c>
      <c r="H11" s="112"/>
      <c r="I11" s="112">
        <v>49000</v>
      </c>
      <c r="J11" s="112">
        <v>813703</v>
      </c>
    </row>
    <row r="12" spans="1:10" ht="21.75" x14ac:dyDescent="0.55000000000000004">
      <c r="A12" s="110">
        <v>44327</v>
      </c>
      <c r="B12" s="49">
        <v>21337</v>
      </c>
      <c r="C12" s="49" t="s">
        <v>6</v>
      </c>
      <c r="D12" s="49" t="s">
        <v>18</v>
      </c>
      <c r="E12" s="49" t="s">
        <v>126</v>
      </c>
      <c r="F12" s="112"/>
      <c r="G12" s="112">
        <v>107000</v>
      </c>
      <c r="H12" s="112"/>
      <c r="I12" s="112">
        <v>107000</v>
      </c>
      <c r="J12" s="112">
        <v>920703</v>
      </c>
    </row>
    <row r="13" spans="1:10" ht="21.75" x14ac:dyDescent="0.55000000000000004">
      <c r="A13" s="110">
        <v>44328</v>
      </c>
      <c r="B13" s="49">
        <v>48702</v>
      </c>
      <c r="C13" s="49" t="s">
        <v>6</v>
      </c>
      <c r="D13" s="49" t="s">
        <v>18</v>
      </c>
      <c r="E13" s="49" t="s">
        <v>135</v>
      </c>
      <c r="F13" s="112"/>
      <c r="G13" s="112">
        <v>709987</v>
      </c>
      <c r="H13" s="112"/>
      <c r="I13" s="112">
        <v>709987</v>
      </c>
      <c r="J13" s="112">
        <v>1630690</v>
      </c>
    </row>
    <row r="14" spans="1:10" ht="21.75" x14ac:dyDescent="0.55000000000000004">
      <c r="A14" s="110">
        <v>44329</v>
      </c>
      <c r="B14" s="49">
        <v>2332</v>
      </c>
      <c r="C14" s="49" t="s">
        <v>7</v>
      </c>
      <c r="D14" s="49" t="s">
        <v>18</v>
      </c>
      <c r="E14" s="49" t="s">
        <v>86</v>
      </c>
      <c r="F14" s="112"/>
      <c r="G14" s="112"/>
      <c r="H14" s="112">
        <v>1000000</v>
      </c>
      <c r="I14" s="112">
        <v>-1000000</v>
      </c>
      <c r="J14" s="112">
        <v>630690</v>
      </c>
    </row>
    <row r="15" spans="1:10" ht="21.75" x14ac:dyDescent="0.55000000000000004">
      <c r="A15" s="110">
        <v>44329</v>
      </c>
      <c r="B15" s="49">
        <v>48751</v>
      </c>
      <c r="C15" s="49" t="s">
        <v>6</v>
      </c>
      <c r="D15" s="49" t="s">
        <v>18</v>
      </c>
      <c r="E15" s="49" t="s">
        <v>134</v>
      </c>
      <c r="F15" s="112"/>
      <c r="G15" s="112">
        <v>80830</v>
      </c>
      <c r="H15" s="112"/>
      <c r="I15" s="112">
        <v>80830</v>
      </c>
      <c r="J15" s="112">
        <v>711520</v>
      </c>
    </row>
    <row r="16" spans="1:10" ht="21.75" x14ac:dyDescent="0.55000000000000004">
      <c r="A16" s="110">
        <v>44329</v>
      </c>
      <c r="B16" s="49">
        <v>48740</v>
      </c>
      <c r="C16" s="49" t="s">
        <v>6</v>
      </c>
      <c r="D16" s="49" t="s">
        <v>18</v>
      </c>
      <c r="E16" s="49" t="s">
        <v>136</v>
      </c>
      <c r="F16" s="112"/>
      <c r="G16" s="112">
        <v>87670</v>
      </c>
      <c r="H16" s="112"/>
      <c r="I16" s="112">
        <v>87670</v>
      </c>
      <c r="J16" s="112">
        <v>799190</v>
      </c>
    </row>
    <row r="17" spans="1:10" ht="21.75" x14ac:dyDescent="0.55000000000000004">
      <c r="A17" s="110">
        <v>44330</v>
      </c>
      <c r="B17" s="49">
        <v>48773</v>
      </c>
      <c r="C17" s="49" t="s">
        <v>6</v>
      </c>
      <c r="D17" s="49" t="s">
        <v>18</v>
      </c>
      <c r="E17" s="49" t="s">
        <v>147</v>
      </c>
      <c r="F17" s="112"/>
      <c r="G17" s="112">
        <v>120465</v>
      </c>
      <c r="H17" s="112"/>
      <c r="I17" s="112">
        <v>120465</v>
      </c>
      <c r="J17" s="112">
        <v>919655</v>
      </c>
    </row>
    <row r="18" spans="1:10" ht="21.75" x14ac:dyDescent="0.55000000000000004">
      <c r="A18" s="110">
        <v>44330</v>
      </c>
      <c r="B18" s="49">
        <v>48762</v>
      </c>
      <c r="C18" s="49" t="s">
        <v>6</v>
      </c>
      <c r="D18" s="49" t="s">
        <v>18</v>
      </c>
      <c r="E18" s="49" t="s">
        <v>148</v>
      </c>
      <c r="F18" s="112"/>
      <c r="G18" s="112">
        <v>520465</v>
      </c>
      <c r="H18" s="112"/>
      <c r="I18" s="112">
        <v>520465</v>
      </c>
      <c r="J18" s="112">
        <v>1440120</v>
      </c>
    </row>
    <row r="19" spans="1:10" ht="21.75" x14ac:dyDescent="0.55000000000000004">
      <c r="A19" s="110">
        <v>44334</v>
      </c>
      <c r="B19" s="49">
        <v>48821</v>
      </c>
      <c r="C19" s="49" t="s">
        <v>6</v>
      </c>
      <c r="D19" s="49" t="s">
        <v>18</v>
      </c>
      <c r="E19" s="49" t="s">
        <v>146</v>
      </c>
      <c r="F19" s="112"/>
      <c r="G19" s="112">
        <v>54540</v>
      </c>
      <c r="H19" s="112"/>
      <c r="I19" s="112">
        <v>54540</v>
      </c>
      <c r="J19" s="112">
        <v>1494660</v>
      </c>
    </row>
    <row r="20" spans="1:10" ht="21.75" x14ac:dyDescent="0.55000000000000004">
      <c r="A20" s="110">
        <v>44335</v>
      </c>
      <c r="B20" s="49">
        <v>21238</v>
      </c>
      <c r="C20" s="49" t="s">
        <v>6</v>
      </c>
      <c r="D20" s="49" t="s">
        <v>18</v>
      </c>
      <c r="E20" s="49" t="s">
        <v>142</v>
      </c>
      <c r="F20" s="112"/>
      <c r="G20" s="112">
        <v>22900</v>
      </c>
      <c r="H20" s="112"/>
      <c r="I20" s="112">
        <v>22900</v>
      </c>
      <c r="J20" s="112">
        <v>1517560</v>
      </c>
    </row>
    <row r="21" spans="1:10" ht="21.75" x14ac:dyDescent="0.55000000000000004">
      <c r="A21" s="110">
        <v>44335</v>
      </c>
      <c r="B21" s="49">
        <v>21240</v>
      </c>
      <c r="C21" s="49" t="s">
        <v>6</v>
      </c>
      <c r="D21" s="49" t="s">
        <v>18</v>
      </c>
      <c r="E21" s="49" t="s">
        <v>143</v>
      </c>
      <c r="F21" s="112"/>
      <c r="G21" s="112">
        <v>45000</v>
      </c>
      <c r="H21" s="112"/>
      <c r="I21" s="112">
        <v>45000</v>
      </c>
      <c r="J21" s="112">
        <v>1562560</v>
      </c>
    </row>
    <row r="22" spans="1:10" ht="21.75" x14ac:dyDescent="0.55000000000000004">
      <c r="A22" s="110">
        <v>44335</v>
      </c>
      <c r="B22" s="49">
        <v>48883</v>
      </c>
      <c r="C22" s="49" t="s">
        <v>6</v>
      </c>
      <c r="D22" s="49" t="s">
        <v>18</v>
      </c>
      <c r="E22" s="49" t="s">
        <v>144</v>
      </c>
      <c r="F22" s="112"/>
      <c r="G22" s="112">
        <v>53040</v>
      </c>
      <c r="H22" s="112"/>
      <c r="I22" s="112">
        <v>53040</v>
      </c>
      <c r="J22" s="112">
        <v>1615600</v>
      </c>
    </row>
    <row r="23" spans="1:10" ht="21.75" x14ac:dyDescent="0.55000000000000004">
      <c r="A23" s="110">
        <v>44335</v>
      </c>
      <c r="B23" s="49">
        <v>48876</v>
      </c>
      <c r="C23" s="49" t="s">
        <v>6</v>
      </c>
      <c r="D23" s="49" t="s">
        <v>18</v>
      </c>
      <c r="E23" s="49" t="s">
        <v>145</v>
      </c>
      <c r="F23" s="112"/>
      <c r="G23" s="112">
        <v>219280</v>
      </c>
      <c r="H23" s="112"/>
      <c r="I23" s="112">
        <v>219280</v>
      </c>
      <c r="J23" s="112">
        <v>1834880</v>
      </c>
    </row>
    <row r="24" spans="1:10" ht="21.75" x14ac:dyDescent="0.55000000000000004">
      <c r="A24" s="110">
        <v>44335</v>
      </c>
      <c r="B24" s="49"/>
      <c r="C24" s="49" t="s">
        <v>7</v>
      </c>
      <c r="D24" s="49" t="s">
        <v>18</v>
      </c>
      <c r="E24" s="49" t="s">
        <v>150</v>
      </c>
      <c r="F24" s="112"/>
      <c r="G24" s="112"/>
      <c r="H24" s="112">
        <v>47760</v>
      </c>
      <c r="I24" s="112">
        <v>-47760</v>
      </c>
      <c r="J24" s="112">
        <v>1787120</v>
      </c>
    </row>
    <row r="25" spans="1:10" ht="21.75" x14ac:dyDescent="0.55000000000000004">
      <c r="A25" s="110">
        <v>44335</v>
      </c>
      <c r="B25" s="49">
        <v>2349</v>
      </c>
      <c r="C25" s="49" t="s">
        <v>7</v>
      </c>
      <c r="D25" s="49" t="s">
        <v>18</v>
      </c>
      <c r="E25" s="49" t="s">
        <v>86</v>
      </c>
      <c r="F25" s="112"/>
      <c r="G25" s="112"/>
      <c r="H25" s="112">
        <v>1000000</v>
      </c>
      <c r="I25" s="112">
        <v>-1000000</v>
      </c>
      <c r="J25" s="112">
        <v>787120</v>
      </c>
    </row>
    <row r="26" spans="1:10" ht="21.75" x14ac:dyDescent="0.55000000000000004">
      <c r="A26" s="110">
        <v>44336</v>
      </c>
      <c r="B26" s="49">
        <v>21241</v>
      </c>
      <c r="C26" s="49" t="s">
        <v>6</v>
      </c>
      <c r="D26" s="49" t="s">
        <v>18</v>
      </c>
      <c r="E26" s="49" t="s">
        <v>173</v>
      </c>
      <c r="F26" s="112"/>
      <c r="G26" s="112">
        <v>55500</v>
      </c>
      <c r="H26" s="112"/>
      <c r="I26" s="112">
        <v>55500</v>
      </c>
      <c r="J26" s="112">
        <v>842620</v>
      </c>
    </row>
    <row r="27" spans="1:10" ht="21.75" x14ac:dyDescent="0.55000000000000004">
      <c r="A27" s="110">
        <v>44336</v>
      </c>
      <c r="B27" s="49">
        <v>48907</v>
      </c>
      <c r="C27" s="49" t="s">
        <v>6</v>
      </c>
      <c r="D27" s="49" t="s">
        <v>18</v>
      </c>
      <c r="E27" s="49" t="s">
        <v>174</v>
      </c>
      <c r="F27" s="112"/>
      <c r="G27" s="112">
        <v>183710</v>
      </c>
      <c r="H27" s="112"/>
      <c r="I27" s="112">
        <v>183710</v>
      </c>
      <c r="J27" s="112">
        <v>1026330</v>
      </c>
    </row>
    <row r="28" spans="1:10" ht="21.75" x14ac:dyDescent="0.55000000000000004">
      <c r="A28" s="110">
        <v>44336</v>
      </c>
      <c r="B28" s="49">
        <v>48907</v>
      </c>
      <c r="C28" s="49" t="s">
        <v>6</v>
      </c>
      <c r="D28" s="49" t="s">
        <v>18</v>
      </c>
      <c r="E28" s="49" t="s">
        <v>175</v>
      </c>
      <c r="F28" s="112"/>
      <c r="G28" s="112">
        <v>105000</v>
      </c>
      <c r="H28" s="112"/>
      <c r="I28" s="112">
        <v>105000</v>
      </c>
      <c r="J28" s="112">
        <v>1131330</v>
      </c>
    </row>
    <row r="29" spans="1:10" ht="21.75" x14ac:dyDescent="0.55000000000000004">
      <c r="A29" s="110">
        <v>44336</v>
      </c>
      <c r="B29" s="49">
        <v>48907</v>
      </c>
      <c r="C29" s="49" t="s">
        <v>6</v>
      </c>
      <c r="D29" s="49" t="s">
        <v>18</v>
      </c>
      <c r="E29" s="49" t="s">
        <v>176</v>
      </c>
      <c r="F29" s="112"/>
      <c r="G29" s="112">
        <v>8000</v>
      </c>
      <c r="H29" s="112"/>
      <c r="I29" s="112">
        <v>8000</v>
      </c>
      <c r="J29" s="112">
        <v>1139330</v>
      </c>
    </row>
    <row r="30" spans="1:10" ht="21.75" x14ac:dyDescent="0.55000000000000004">
      <c r="A30" s="110">
        <v>44336</v>
      </c>
      <c r="B30" s="49">
        <v>48907</v>
      </c>
      <c r="C30" s="49" t="s">
        <v>6</v>
      </c>
      <c r="D30" s="49" t="s">
        <v>18</v>
      </c>
      <c r="E30" s="49" t="s">
        <v>176</v>
      </c>
      <c r="F30" s="112"/>
      <c r="G30" s="112">
        <v>7600</v>
      </c>
      <c r="H30" s="112"/>
      <c r="I30" s="112">
        <v>7600</v>
      </c>
      <c r="J30" s="112">
        <v>1146930</v>
      </c>
    </row>
    <row r="31" spans="1:10" ht="21.75" x14ac:dyDescent="0.55000000000000004">
      <c r="A31" s="110">
        <v>44337</v>
      </c>
      <c r="B31" s="49">
        <v>48938</v>
      </c>
      <c r="C31" s="49" t="s">
        <v>6</v>
      </c>
      <c r="D31" s="49" t="s">
        <v>18</v>
      </c>
      <c r="E31" s="49" t="s">
        <v>92</v>
      </c>
      <c r="F31" s="112"/>
      <c r="G31" s="112">
        <v>18164</v>
      </c>
      <c r="H31" s="112"/>
      <c r="I31" s="112">
        <v>18164</v>
      </c>
      <c r="J31" s="112">
        <v>1165094</v>
      </c>
    </row>
    <row r="32" spans="1:10" ht="21.75" x14ac:dyDescent="0.55000000000000004">
      <c r="A32" s="110">
        <v>44340</v>
      </c>
      <c r="B32" s="49">
        <v>2369</v>
      </c>
      <c r="C32" s="49" t="s">
        <v>7</v>
      </c>
      <c r="D32" s="49" t="s">
        <v>18</v>
      </c>
      <c r="E32" s="49" t="s">
        <v>86</v>
      </c>
      <c r="F32" s="112"/>
      <c r="G32" s="112"/>
      <c r="H32" s="112">
        <v>1000000</v>
      </c>
      <c r="I32" s="112">
        <v>-1000000</v>
      </c>
      <c r="J32" s="112">
        <v>165094</v>
      </c>
    </row>
    <row r="33" spans="1:10" ht="21.75" x14ac:dyDescent="0.55000000000000004">
      <c r="A33" s="110">
        <v>44340</v>
      </c>
      <c r="B33" s="49">
        <v>48977</v>
      </c>
      <c r="C33" s="49" t="s">
        <v>6</v>
      </c>
      <c r="D33" s="49" t="s">
        <v>18</v>
      </c>
      <c r="E33" s="49" t="s">
        <v>136</v>
      </c>
      <c r="F33" s="112"/>
      <c r="G33" s="112">
        <v>1094002</v>
      </c>
      <c r="H33" s="112"/>
      <c r="I33" s="112">
        <v>1094002</v>
      </c>
      <c r="J33" s="112">
        <v>1259096</v>
      </c>
    </row>
    <row r="34" spans="1:10" ht="21.75" x14ac:dyDescent="0.55000000000000004">
      <c r="A34" s="110">
        <v>44340</v>
      </c>
      <c r="B34" s="49">
        <v>21249</v>
      </c>
      <c r="C34" s="49" t="s">
        <v>6</v>
      </c>
      <c r="D34" s="49" t="s">
        <v>18</v>
      </c>
      <c r="E34" s="49" t="s">
        <v>172</v>
      </c>
      <c r="F34" s="112"/>
      <c r="G34" s="112">
        <v>40250</v>
      </c>
      <c r="H34" s="112"/>
      <c r="I34" s="112">
        <v>40250</v>
      </c>
      <c r="J34" s="112">
        <v>1299346</v>
      </c>
    </row>
    <row r="35" spans="1:10" ht="21.75" x14ac:dyDescent="0.55000000000000004">
      <c r="A35" s="110">
        <v>44342</v>
      </c>
      <c r="B35" s="49">
        <v>48998</v>
      </c>
      <c r="C35" s="49" t="s">
        <v>6</v>
      </c>
      <c r="D35" s="49" t="s">
        <v>18</v>
      </c>
      <c r="E35" s="49" t="s">
        <v>171</v>
      </c>
      <c r="F35" s="112"/>
      <c r="G35" s="112">
        <v>155080</v>
      </c>
      <c r="H35" s="112"/>
      <c r="I35" s="112">
        <v>155080</v>
      </c>
      <c r="J35" s="112">
        <v>1454426</v>
      </c>
    </row>
    <row r="36" spans="1:10" ht="21.75" x14ac:dyDescent="0.55000000000000004">
      <c r="A36" s="110">
        <v>44343</v>
      </c>
      <c r="B36" s="49">
        <v>21258</v>
      </c>
      <c r="C36" s="49" t="s">
        <v>6</v>
      </c>
      <c r="D36" s="49" t="s">
        <v>18</v>
      </c>
      <c r="E36" s="49" t="s">
        <v>169</v>
      </c>
      <c r="F36" s="112"/>
      <c r="G36" s="112">
        <v>35000</v>
      </c>
      <c r="H36" s="112"/>
      <c r="I36" s="112">
        <v>35000</v>
      </c>
      <c r="J36" s="112">
        <v>1489426</v>
      </c>
    </row>
    <row r="37" spans="1:10" ht="21.75" x14ac:dyDescent="0.55000000000000004">
      <c r="A37" s="110">
        <v>44343</v>
      </c>
      <c r="B37" s="49">
        <v>49032</v>
      </c>
      <c r="C37" s="49" t="s">
        <v>6</v>
      </c>
      <c r="D37" s="49" t="s">
        <v>18</v>
      </c>
      <c r="E37" s="49" t="s">
        <v>170</v>
      </c>
      <c r="F37" s="112"/>
      <c r="G37" s="112">
        <v>182355</v>
      </c>
      <c r="H37" s="112"/>
      <c r="I37" s="112">
        <v>182355</v>
      </c>
      <c r="J37" s="112">
        <v>1671781</v>
      </c>
    </row>
    <row r="38" spans="1:10" ht="21.75" x14ac:dyDescent="0.55000000000000004">
      <c r="A38" s="110">
        <v>44344</v>
      </c>
      <c r="B38" s="49">
        <v>49064</v>
      </c>
      <c r="C38" s="49" t="s">
        <v>6</v>
      </c>
      <c r="D38" s="49" t="s">
        <v>18</v>
      </c>
      <c r="E38" s="49" t="s">
        <v>168</v>
      </c>
      <c r="F38" s="112"/>
      <c r="G38" s="112">
        <v>149184</v>
      </c>
      <c r="H38" s="112"/>
      <c r="I38" s="112">
        <v>149184</v>
      </c>
      <c r="J38" s="112">
        <v>1820965</v>
      </c>
    </row>
    <row r="39" spans="1:10" ht="21.75" x14ac:dyDescent="0.55000000000000004">
      <c r="A39" s="110">
        <v>44345</v>
      </c>
      <c r="B39" s="49"/>
      <c r="C39" s="49" t="s">
        <v>7</v>
      </c>
      <c r="D39" s="49" t="s">
        <v>18</v>
      </c>
      <c r="E39" s="49" t="s">
        <v>156</v>
      </c>
      <c r="F39" s="112"/>
      <c r="G39" s="112"/>
      <c r="H39" s="112">
        <v>41000</v>
      </c>
      <c r="I39" s="112">
        <v>-41000</v>
      </c>
      <c r="J39" s="112">
        <v>1779965</v>
      </c>
    </row>
    <row r="40" spans="1:10" ht="21.75" x14ac:dyDescent="0.55000000000000004">
      <c r="A40" s="110">
        <v>44345</v>
      </c>
      <c r="B40" s="49">
        <v>2392</v>
      </c>
      <c r="C40" s="49" t="s">
        <v>7</v>
      </c>
      <c r="D40" s="49" t="s">
        <v>18</v>
      </c>
      <c r="E40" s="49" t="s">
        <v>86</v>
      </c>
      <c r="F40" s="112"/>
      <c r="G40" s="112"/>
      <c r="H40" s="112">
        <v>1500000</v>
      </c>
      <c r="I40" s="112">
        <v>-1500000</v>
      </c>
      <c r="J40" s="112">
        <v>279965</v>
      </c>
    </row>
    <row r="41" spans="1:10" ht="21.75" x14ac:dyDescent="0.55000000000000004">
      <c r="A41" s="110">
        <v>44345</v>
      </c>
      <c r="B41" s="49">
        <v>49111</v>
      </c>
      <c r="C41" s="49" t="s">
        <v>6</v>
      </c>
      <c r="D41" s="49" t="s">
        <v>18</v>
      </c>
      <c r="E41" s="49" t="s">
        <v>165</v>
      </c>
      <c r="F41" s="112"/>
      <c r="G41" s="112">
        <v>64845</v>
      </c>
      <c r="H41" s="112"/>
      <c r="I41" s="112">
        <v>64845</v>
      </c>
      <c r="J41" s="112">
        <v>344810</v>
      </c>
    </row>
    <row r="42" spans="1:10" ht="21.75" x14ac:dyDescent="0.55000000000000004">
      <c r="A42" s="110">
        <v>44345</v>
      </c>
      <c r="B42" s="49">
        <v>21275</v>
      </c>
      <c r="C42" s="49" t="s">
        <v>6</v>
      </c>
      <c r="D42" s="49" t="s">
        <v>18</v>
      </c>
      <c r="E42" s="49" t="s">
        <v>166</v>
      </c>
      <c r="F42" s="112"/>
      <c r="G42" s="112">
        <v>18000</v>
      </c>
      <c r="H42" s="112"/>
      <c r="I42" s="112">
        <v>18000</v>
      </c>
      <c r="J42" s="112">
        <v>362810</v>
      </c>
    </row>
    <row r="43" spans="1:10" ht="21.75" x14ac:dyDescent="0.55000000000000004">
      <c r="A43" s="110">
        <v>44345</v>
      </c>
      <c r="B43" s="49">
        <v>49090</v>
      </c>
      <c r="C43" s="49" t="s">
        <v>6</v>
      </c>
      <c r="D43" s="49" t="s">
        <v>18</v>
      </c>
      <c r="E43" s="49" t="s">
        <v>167</v>
      </c>
      <c r="F43" s="112"/>
      <c r="G43" s="112">
        <v>585745</v>
      </c>
      <c r="H43" s="112"/>
      <c r="I43" s="112">
        <v>585745</v>
      </c>
      <c r="J43" s="112">
        <v>948555</v>
      </c>
    </row>
    <row r="44" spans="1:10" ht="21.75" x14ac:dyDescent="0.55000000000000004">
      <c r="A44" s="110">
        <v>44347</v>
      </c>
      <c r="B44" s="49">
        <v>48451</v>
      </c>
      <c r="C44" s="49" t="s">
        <v>6</v>
      </c>
      <c r="D44" s="49" t="s">
        <v>18</v>
      </c>
      <c r="E44" s="49" t="s">
        <v>183</v>
      </c>
      <c r="F44" s="112"/>
      <c r="G44" s="112">
        <v>180249</v>
      </c>
      <c r="H44" s="112"/>
      <c r="I44" s="112">
        <v>180249</v>
      </c>
      <c r="J44" s="112">
        <v>1128804</v>
      </c>
    </row>
    <row r="45" spans="1:10" ht="21.75" x14ac:dyDescent="0.55000000000000004">
      <c r="A45" s="110">
        <v>44317</v>
      </c>
      <c r="B45" s="49"/>
      <c r="C45" s="49" t="s">
        <v>5</v>
      </c>
      <c r="D45" s="49" t="s">
        <v>75</v>
      </c>
      <c r="E45" s="49" t="s">
        <v>5</v>
      </c>
      <c r="F45" s="112">
        <v>18952000</v>
      </c>
      <c r="G45" s="112"/>
      <c r="H45" s="112"/>
      <c r="I45" s="112">
        <v>18952000</v>
      </c>
      <c r="J45" s="112">
        <v>18952000</v>
      </c>
    </row>
    <row r="46" spans="1:10" ht="21.75" x14ac:dyDescent="0.55000000000000004">
      <c r="A46" s="110">
        <v>44320</v>
      </c>
      <c r="B46" s="49">
        <v>811</v>
      </c>
      <c r="C46" s="49" t="s">
        <v>6</v>
      </c>
      <c r="D46" s="49" t="s">
        <v>75</v>
      </c>
      <c r="E46" s="49" t="s">
        <v>129</v>
      </c>
      <c r="F46" s="112"/>
      <c r="G46" s="112">
        <v>9270000</v>
      </c>
      <c r="H46" s="112"/>
      <c r="I46" s="112">
        <v>9270000</v>
      </c>
      <c r="J46" s="112">
        <v>28222000</v>
      </c>
    </row>
    <row r="47" spans="1:10" ht="21.75" x14ac:dyDescent="0.55000000000000004">
      <c r="A47" s="110">
        <v>44320</v>
      </c>
      <c r="B47" s="49">
        <v>29027</v>
      </c>
      <c r="C47" s="49" t="s">
        <v>6</v>
      </c>
      <c r="D47" s="49" t="s">
        <v>75</v>
      </c>
      <c r="E47" s="49" t="s">
        <v>130</v>
      </c>
      <c r="F47" s="112"/>
      <c r="G47" s="112">
        <v>4300000</v>
      </c>
      <c r="H47" s="112"/>
      <c r="I47" s="112">
        <v>4300000</v>
      </c>
      <c r="J47" s="112">
        <v>32522000</v>
      </c>
    </row>
    <row r="48" spans="1:10" ht="21.75" x14ac:dyDescent="0.55000000000000004">
      <c r="A48" s="110">
        <v>44335</v>
      </c>
      <c r="B48" s="49">
        <v>12933</v>
      </c>
      <c r="C48" s="49" t="s">
        <v>7</v>
      </c>
      <c r="D48" s="49" t="s">
        <v>75</v>
      </c>
      <c r="E48" s="49" t="s">
        <v>151</v>
      </c>
      <c r="F48" s="112"/>
      <c r="G48" s="112"/>
      <c r="H48" s="112">
        <v>2320000</v>
      </c>
      <c r="I48" s="112">
        <v>-2320000</v>
      </c>
      <c r="J48" s="112">
        <v>30202000</v>
      </c>
    </row>
    <row r="49" spans="1:10" ht="21.75" x14ac:dyDescent="0.55000000000000004">
      <c r="A49" s="110">
        <v>44335</v>
      </c>
      <c r="B49" s="49">
        <v>12933</v>
      </c>
      <c r="C49" s="49" t="s">
        <v>7</v>
      </c>
      <c r="D49" s="49" t="s">
        <v>75</v>
      </c>
      <c r="E49" s="49" t="s">
        <v>151</v>
      </c>
      <c r="F49" s="112"/>
      <c r="G49" s="112"/>
      <c r="H49" s="112">
        <v>2150000</v>
      </c>
      <c r="I49" s="112">
        <v>-2150000</v>
      </c>
      <c r="J49" s="112">
        <v>28052000</v>
      </c>
    </row>
    <row r="50" spans="1:10" ht="21.75" x14ac:dyDescent="0.55000000000000004">
      <c r="A50" s="110">
        <v>44326</v>
      </c>
      <c r="B50" s="49"/>
      <c r="C50" s="49" t="s">
        <v>7</v>
      </c>
      <c r="D50" s="49" t="s">
        <v>75</v>
      </c>
      <c r="E50" s="49" t="s">
        <v>177</v>
      </c>
      <c r="F50" s="112"/>
      <c r="G50" s="112"/>
      <c r="H50" s="112">
        <v>2380000</v>
      </c>
      <c r="I50" s="112">
        <v>-2380000</v>
      </c>
      <c r="J50" s="112">
        <v>25672000</v>
      </c>
    </row>
    <row r="51" spans="1:10" ht="21.75" x14ac:dyDescent="0.55000000000000004">
      <c r="A51" s="110">
        <v>44329</v>
      </c>
      <c r="B51" s="49"/>
      <c r="C51" s="49" t="s">
        <v>7</v>
      </c>
      <c r="D51" s="49" t="s">
        <v>75</v>
      </c>
      <c r="E51" s="49" t="s">
        <v>178</v>
      </c>
      <c r="F51" s="112"/>
      <c r="G51" s="112"/>
      <c r="H51" s="112">
        <v>3090000</v>
      </c>
      <c r="I51" s="112">
        <v>-3090000</v>
      </c>
      <c r="J51" s="112">
        <v>22582000</v>
      </c>
    </row>
    <row r="52" spans="1:10" ht="21.75" x14ac:dyDescent="0.55000000000000004">
      <c r="A52" s="110">
        <v>44329</v>
      </c>
      <c r="B52" s="49"/>
      <c r="C52" s="49" t="s">
        <v>7</v>
      </c>
      <c r="D52" s="49" t="s">
        <v>75</v>
      </c>
      <c r="E52" s="49" t="s">
        <v>179</v>
      </c>
      <c r="F52" s="112"/>
      <c r="G52" s="112"/>
      <c r="H52" s="112">
        <v>8866000</v>
      </c>
      <c r="I52" s="112">
        <v>-8866000</v>
      </c>
      <c r="J52" s="112">
        <v>13716000</v>
      </c>
    </row>
    <row r="53" spans="1:10" ht="21.75" x14ac:dyDescent="0.55000000000000004">
      <c r="A53" s="110">
        <v>44342</v>
      </c>
      <c r="B53" s="49"/>
      <c r="C53" s="49" t="s">
        <v>6</v>
      </c>
      <c r="D53" s="49" t="s">
        <v>75</v>
      </c>
      <c r="E53" s="49" t="s">
        <v>180</v>
      </c>
      <c r="F53" s="112"/>
      <c r="G53" s="112">
        <v>3000000</v>
      </c>
      <c r="H53" s="112"/>
      <c r="I53" s="112">
        <v>3000000</v>
      </c>
      <c r="J53" s="112">
        <v>16716000</v>
      </c>
    </row>
    <row r="54" spans="1:10" ht="21.75" x14ac:dyDescent="0.55000000000000004">
      <c r="A54" s="110">
        <v>44328</v>
      </c>
      <c r="B54" s="49"/>
      <c r="C54" s="49" t="s">
        <v>6</v>
      </c>
      <c r="D54" s="49" t="s">
        <v>75</v>
      </c>
      <c r="E54" s="49" t="s">
        <v>181</v>
      </c>
      <c r="F54" s="112"/>
      <c r="G54" s="112">
        <v>24000</v>
      </c>
      <c r="H54" s="112"/>
      <c r="I54" s="112">
        <v>24000</v>
      </c>
      <c r="J54" s="112">
        <v>16740000</v>
      </c>
    </row>
    <row r="55" spans="1:10" ht="21.75" x14ac:dyDescent="0.55000000000000004">
      <c r="A55" s="110">
        <v>44317</v>
      </c>
      <c r="B55" s="49"/>
      <c r="C55" s="49" t="s">
        <v>5</v>
      </c>
      <c r="D55" s="49" t="s">
        <v>74</v>
      </c>
      <c r="E55" s="49" t="s">
        <v>5</v>
      </c>
      <c r="F55" s="112">
        <v>851960</v>
      </c>
      <c r="G55" s="112"/>
      <c r="H55" s="112"/>
      <c r="I55" s="112">
        <v>851960</v>
      </c>
      <c r="J55" s="112">
        <v>851960</v>
      </c>
    </row>
    <row r="56" spans="1:10" ht="21.75" x14ac:dyDescent="0.55000000000000004">
      <c r="A56" s="110">
        <v>44329</v>
      </c>
      <c r="B56" s="49">
        <v>40129</v>
      </c>
      <c r="C56" s="49" t="s">
        <v>7</v>
      </c>
      <c r="D56" s="49" t="s">
        <v>74</v>
      </c>
      <c r="E56" s="49" t="s">
        <v>86</v>
      </c>
      <c r="F56" s="112"/>
      <c r="G56" s="112"/>
      <c r="H56" s="112">
        <v>852000</v>
      </c>
      <c r="I56" s="112">
        <v>-852000</v>
      </c>
      <c r="J56" s="112">
        <v>-40</v>
      </c>
    </row>
    <row r="57" spans="1:10" ht="21.75" x14ac:dyDescent="0.55000000000000004">
      <c r="A57" s="110">
        <v>44329</v>
      </c>
      <c r="B57" s="49">
        <v>45296</v>
      </c>
      <c r="C57" s="49" t="s">
        <v>6</v>
      </c>
      <c r="D57" s="49" t="s">
        <v>74</v>
      </c>
      <c r="E57" s="49" t="s">
        <v>152</v>
      </c>
      <c r="F57" s="112"/>
      <c r="G57" s="112">
        <v>980400</v>
      </c>
      <c r="H57" s="112"/>
      <c r="I57" s="112">
        <v>980400</v>
      </c>
      <c r="J57" s="112">
        <v>980360</v>
      </c>
    </row>
    <row r="58" spans="1:10" ht="21.75" x14ac:dyDescent="0.55000000000000004">
      <c r="A58" s="110">
        <v>44317</v>
      </c>
      <c r="B58" s="49"/>
      <c r="C58" s="49" t="s">
        <v>5</v>
      </c>
      <c r="D58" s="49" t="s">
        <v>76</v>
      </c>
      <c r="E58" s="49" t="s">
        <v>5</v>
      </c>
      <c r="F58" s="112">
        <v>3917000</v>
      </c>
      <c r="G58" s="112"/>
      <c r="H58" s="112"/>
      <c r="I58" s="112">
        <v>3917000</v>
      </c>
      <c r="J58" s="112">
        <v>3917000</v>
      </c>
    </row>
    <row r="59" spans="1:10" ht="21.75" x14ac:dyDescent="0.55000000000000004">
      <c r="A59" s="110">
        <v>44319</v>
      </c>
      <c r="B59" s="49">
        <v>12785</v>
      </c>
      <c r="C59" s="49" t="s">
        <v>7</v>
      </c>
      <c r="D59" s="49" t="s">
        <v>76</v>
      </c>
      <c r="E59" s="49" t="s">
        <v>86</v>
      </c>
      <c r="F59" s="112"/>
      <c r="G59" s="112"/>
      <c r="H59" s="112">
        <v>906000</v>
      </c>
      <c r="I59" s="112">
        <v>-906000</v>
      </c>
      <c r="J59" s="112">
        <v>3011000</v>
      </c>
    </row>
    <row r="60" spans="1:10" ht="21.75" x14ac:dyDescent="0.55000000000000004">
      <c r="A60" s="110">
        <v>44319</v>
      </c>
      <c r="B60" s="49">
        <v>1457</v>
      </c>
      <c r="C60" s="49" t="s">
        <v>6</v>
      </c>
      <c r="D60" s="49" t="s">
        <v>76</v>
      </c>
      <c r="E60" s="49" t="s">
        <v>95</v>
      </c>
      <c r="F60" s="112"/>
      <c r="G60" s="112">
        <v>2488000</v>
      </c>
      <c r="H60" s="112"/>
      <c r="I60" s="112">
        <v>2488000</v>
      </c>
      <c r="J60" s="112">
        <v>5499000</v>
      </c>
    </row>
    <row r="61" spans="1:10" ht="21.75" x14ac:dyDescent="0.55000000000000004">
      <c r="A61" s="110">
        <v>44320</v>
      </c>
      <c r="B61" s="49">
        <v>1457</v>
      </c>
      <c r="C61" s="49" t="s">
        <v>6</v>
      </c>
      <c r="D61" s="49" t="s">
        <v>76</v>
      </c>
      <c r="E61" s="49" t="s">
        <v>95</v>
      </c>
      <c r="F61" s="112"/>
      <c r="G61" s="112">
        <v>2177000</v>
      </c>
      <c r="H61" s="112"/>
      <c r="I61" s="112">
        <v>2177000</v>
      </c>
      <c r="J61" s="112">
        <v>7676000</v>
      </c>
    </row>
    <row r="62" spans="1:10" ht="21.75" x14ac:dyDescent="0.55000000000000004">
      <c r="A62" s="110">
        <v>44320</v>
      </c>
      <c r="B62" s="49">
        <v>1483</v>
      </c>
      <c r="C62" s="49" t="s">
        <v>6</v>
      </c>
      <c r="D62" s="49" t="s">
        <v>76</v>
      </c>
      <c r="E62" s="49" t="s">
        <v>97</v>
      </c>
      <c r="F62" s="112"/>
      <c r="G62" s="112">
        <v>3700000</v>
      </c>
      <c r="H62" s="112"/>
      <c r="I62" s="112">
        <v>3700000</v>
      </c>
      <c r="J62" s="112">
        <v>11376000</v>
      </c>
    </row>
    <row r="63" spans="1:10" ht="21.75" x14ac:dyDescent="0.55000000000000004">
      <c r="A63" s="110">
        <v>44326</v>
      </c>
      <c r="B63" s="49">
        <v>12842</v>
      </c>
      <c r="C63" s="49" t="s">
        <v>7</v>
      </c>
      <c r="D63" s="49" t="s">
        <v>76</v>
      </c>
      <c r="E63" s="49" t="s">
        <v>86</v>
      </c>
      <c r="F63" s="112"/>
      <c r="G63" s="112"/>
      <c r="H63" s="112">
        <v>2000000</v>
      </c>
      <c r="I63" s="112">
        <v>-2000000</v>
      </c>
      <c r="J63" s="112">
        <v>9376000</v>
      </c>
    </row>
    <row r="64" spans="1:10" ht="21.75" x14ac:dyDescent="0.55000000000000004">
      <c r="A64" s="110">
        <v>44326</v>
      </c>
      <c r="B64" s="49"/>
      <c r="C64" s="49" t="s">
        <v>7</v>
      </c>
      <c r="D64" s="49" t="s">
        <v>76</v>
      </c>
      <c r="E64" s="49" t="s">
        <v>86</v>
      </c>
      <c r="F64" s="112"/>
      <c r="G64" s="112"/>
      <c r="H64" s="112">
        <v>600000</v>
      </c>
      <c r="I64" s="112">
        <v>-600000</v>
      </c>
      <c r="J64" s="112">
        <v>8776000</v>
      </c>
    </row>
    <row r="65" spans="1:10" ht="21.75" x14ac:dyDescent="0.55000000000000004">
      <c r="A65" s="110">
        <v>44327</v>
      </c>
      <c r="B65" s="49">
        <v>2899</v>
      </c>
      <c r="C65" s="49" t="s">
        <v>7</v>
      </c>
      <c r="D65" s="49" t="s">
        <v>76</v>
      </c>
      <c r="E65" s="49" t="s">
        <v>127</v>
      </c>
      <c r="F65" s="112"/>
      <c r="G65" s="112">
        <v>570000</v>
      </c>
      <c r="H65" s="112"/>
      <c r="I65" s="112">
        <v>570000</v>
      </c>
      <c r="J65" s="112">
        <v>9346000</v>
      </c>
    </row>
    <row r="66" spans="1:10" ht="21.75" x14ac:dyDescent="0.55000000000000004">
      <c r="A66" s="110">
        <v>44330</v>
      </c>
      <c r="B66" s="49">
        <v>2199</v>
      </c>
      <c r="C66" s="49" t="s">
        <v>7</v>
      </c>
      <c r="D66" s="49" t="s">
        <v>76</v>
      </c>
      <c r="E66" s="49" t="s">
        <v>86</v>
      </c>
      <c r="F66" s="112"/>
      <c r="G66" s="112"/>
      <c r="H66" s="112">
        <v>8596000</v>
      </c>
      <c r="I66" s="112">
        <v>-8596000</v>
      </c>
      <c r="J66" s="112">
        <v>750000</v>
      </c>
    </row>
    <row r="67" spans="1:10" ht="21.75" x14ac:dyDescent="0.55000000000000004">
      <c r="A67" s="110">
        <v>44344</v>
      </c>
      <c r="B67" s="49">
        <v>3043</v>
      </c>
      <c r="C67" s="49" t="s">
        <v>6</v>
      </c>
      <c r="D67" s="49" t="s">
        <v>76</v>
      </c>
      <c r="E67" s="49" t="s">
        <v>155</v>
      </c>
      <c r="F67" s="112"/>
      <c r="G67" s="112">
        <v>746000</v>
      </c>
      <c r="H67" s="112"/>
      <c r="I67" s="112">
        <v>746000</v>
      </c>
      <c r="J67" s="112">
        <v>1496000</v>
      </c>
    </row>
    <row r="68" spans="1:10" ht="21.75" x14ac:dyDescent="0.55000000000000004">
      <c r="A68" s="110">
        <v>44344</v>
      </c>
      <c r="B68" s="49">
        <v>13006</v>
      </c>
      <c r="C68" s="49" t="s">
        <v>7</v>
      </c>
      <c r="D68" s="49" t="s">
        <v>76</v>
      </c>
      <c r="E68" s="49" t="s">
        <v>86</v>
      </c>
      <c r="F68" s="112"/>
      <c r="G68" s="112"/>
      <c r="H68" s="112">
        <v>2966000</v>
      </c>
      <c r="I68" s="112">
        <v>-2966000</v>
      </c>
      <c r="J68" s="112">
        <v>-1470000</v>
      </c>
    </row>
    <row r="69" spans="1:10" ht="21.75" x14ac:dyDescent="0.55000000000000004">
      <c r="A69" s="110">
        <v>44343</v>
      </c>
      <c r="B69" s="49">
        <v>3029</v>
      </c>
      <c r="C69" s="49" t="s">
        <v>6</v>
      </c>
      <c r="D69" s="49" t="s">
        <v>76</v>
      </c>
      <c r="E69" s="49" t="s">
        <v>95</v>
      </c>
      <c r="F69" s="112"/>
      <c r="G69" s="112">
        <v>1119000</v>
      </c>
      <c r="H69" s="112"/>
      <c r="I69" s="112">
        <v>1119000</v>
      </c>
      <c r="J69" s="112">
        <v>-351000</v>
      </c>
    </row>
    <row r="70" spans="1:10" ht="21.75" x14ac:dyDescent="0.55000000000000004">
      <c r="A70" s="110">
        <v>44343</v>
      </c>
      <c r="B70" s="49">
        <v>12994</v>
      </c>
      <c r="C70" s="49" t="s">
        <v>7</v>
      </c>
      <c r="D70" s="49" t="s">
        <v>76</v>
      </c>
      <c r="E70" s="49" t="s">
        <v>86</v>
      </c>
      <c r="F70" s="112"/>
      <c r="G70" s="112"/>
      <c r="H70" s="112">
        <v>1119000</v>
      </c>
      <c r="I70" s="112">
        <v>-1119000</v>
      </c>
      <c r="J70" s="112">
        <v>-1470000</v>
      </c>
    </row>
    <row r="71" spans="1:10" ht="21.75" x14ac:dyDescent="0.55000000000000004">
      <c r="A71" s="110">
        <v>44338</v>
      </c>
      <c r="B71" s="49">
        <v>2997</v>
      </c>
      <c r="C71" s="49" t="s">
        <v>6</v>
      </c>
      <c r="D71" s="49" t="s">
        <v>76</v>
      </c>
      <c r="E71" s="49" t="s">
        <v>155</v>
      </c>
      <c r="F71" s="112"/>
      <c r="G71" s="112">
        <v>3197000</v>
      </c>
      <c r="H71" s="112"/>
      <c r="I71" s="112">
        <v>3197000</v>
      </c>
      <c r="J71" s="112">
        <v>1727000</v>
      </c>
    </row>
    <row r="72" spans="1:10" ht="21.75" x14ac:dyDescent="0.55000000000000004">
      <c r="A72" s="110">
        <v>44338</v>
      </c>
      <c r="B72" s="49">
        <v>12960</v>
      </c>
      <c r="C72" s="49" t="s">
        <v>7</v>
      </c>
      <c r="D72" s="49" t="s">
        <v>76</v>
      </c>
      <c r="E72" s="49" t="s">
        <v>86</v>
      </c>
      <c r="F72" s="112"/>
      <c r="G72" s="112"/>
      <c r="H72" s="112">
        <v>3197000</v>
      </c>
      <c r="I72" s="112">
        <v>-3197000</v>
      </c>
      <c r="J72" s="112">
        <v>-1470000</v>
      </c>
    </row>
    <row r="73" spans="1:10" ht="21.75" x14ac:dyDescent="0.55000000000000004">
      <c r="A73" s="110">
        <v>44334</v>
      </c>
      <c r="B73" s="49">
        <v>2959</v>
      </c>
      <c r="C73" s="49" t="s">
        <v>6</v>
      </c>
      <c r="D73" s="49" t="s">
        <v>76</v>
      </c>
      <c r="E73" s="49" t="s">
        <v>95</v>
      </c>
      <c r="F73" s="112"/>
      <c r="G73" s="112">
        <v>1119000</v>
      </c>
      <c r="H73" s="112"/>
      <c r="I73" s="112">
        <v>1119000</v>
      </c>
      <c r="J73" s="112">
        <v>-351000</v>
      </c>
    </row>
    <row r="74" spans="1:10" ht="21.75" x14ac:dyDescent="0.55000000000000004">
      <c r="A74" s="110">
        <v>44334</v>
      </c>
      <c r="B74" s="49">
        <v>12910</v>
      </c>
      <c r="C74" s="49" t="s">
        <v>7</v>
      </c>
      <c r="D74" s="49" t="s">
        <v>76</v>
      </c>
      <c r="E74" s="49" t="s">
        <v>86</v>
      </c>
      <c r="F74" s="112"/>
      <c r="G74" s="112"/>
      <c r="H74" s="112">
        <v>1119000</v>
      </c>
      <c r="I74" s="112">
        <v>-1119000</v>
      </c>
      <c r="J74" s="112">
        <v>-1470000</v>
      </c>
    </row>
    <row r="75" spans="1:10" ht="21.75" x14ac:dyDescent="0.55000000000000004">
      <c r="A75" s="110">
        <v>44375</v>
      </c>
      <c r="B75" s="49">
        <v>3043</v>
      </c>
      <c r="C75" s="49" t="s">
        <v>6</v>
      </c>
      <c r="D75" s="49" t="s">
        <v>76</v>
      </c>
      <c r="E75" s="49" t="s">
        <v>97</v>
      </c>
      <c r="F75" s="112"/>
      <c r="G75" s="112">
        <v>2220000</v>
      </c>
      <c r="H75" s="112"/>
      <c r="I75" s="112">
        <v>2220000</v>
      </c>
      <c r="J75" s="112">
        <v>750000</v>
      </c>
    </row>
    <row r="76" spans="1:10" ht="21.75" x14ac:dyDescent="0.55000000000000004">
      <c r="A76" s="110">
        <v>44317</v>
      </c>
      <c r="B76" s="49"/>
      <c r="C76" s="49" t="s">
        <v>5</v>
      </c>
      <c r="D76" s="49" t="s">
        <v>29</v>
      </c>
      <c r="E76" s="49" t="s">
        <v>5</v>
      </c>
      <c r="F76" s="112">
        <v>4027640</v>
      </c>
      <c r="G76" s="112"/>
      <c r="H76" s="112"/>
      <c r="I76" s="112">
        <v>4027640</v>
      </c>
      <c r="J76" s="112">
        <v>4027640</v>
      </c>
    </row>
    <row r="77" spans="1:10" ht="21.75" x14ac:dyDescent="0.55000000000000004">
      <c r="A77" s="110">
        <v>44319</v>
      </c>
      <c r="B77" s="49"/>
      <c r="C77" s="49" t="s">
        <v>7</v>
      </c>
      <c r="D77" s="49" t="s">
        <v>29</v>
      </c>
      <c r="E77" s="49" t="s">
        <v>85</v>
      </c>
      <c r="F77" s="112"/>
      <c r="G77" s="112"/>
      <c r="H77" s="112">
        <v>1000090</v>
      </c>
      <c r="I77" s="112">
        <v>-1000090</v>
      </c>
      <c r="J77" s="112">
        <v>3027550</v>
      </c>
    </row>
    <row r="78" spans="1:10" ht="21.75" x14ac:dyDescent="0.55000000000000004">
      <c r="A78" s="110">
        <v>44319</v>
      </c>
      <c r="B78" s="49"/>
      <c r="C78" s="49" t="s">
        <v>6</v>
      </c>
      <c r="D78" s="49" t="s">
        <v>29</v>
      </c>
      <c r="E78" s="49" t="s">
        <v>96</v>
      </c>
      <c r="F78" s="112"/>
      <c r="G78" s="112">
        <v>1209500</v>
      </c>
      <c r="H78" s="112"/>
      <c r="I78" s="112">
        <v>1209500</v>
      </c>
      <c r="J78" s="112">
        <v>4237050</v>
      </c>
    </row>
    <row r="79" spans="1:10" ht="21.75" x14ac:dyDescent="0.55000000000000004">
      <c r="A79" s="110">
        <v>44321</v>
      </c>
      <c r="B79" s="49"/>
      <c r="C79" s="49" t="s">
        <v>7</v>
      </c>
      <c r="D79" s="49" t="s">
        <v>29</v>
      </c>
      <c r="E79" s="49" t="s">
        <v>87</v>
      </c>
      <c r="F79" s="112"/>
      <c r="G79" s="112"/>
      <c r="H79" s="112">
        <v>71100</v>
      </c>
      <c r="I79" s="112">
        <v>-71100</v>
      </c>
      <c r="J79" s="112">
        <v>4165950</v>
      </c>
    </row>
    <row r="80" spans="1:10" ht="21.75" x14ac:dyDescent="0.55000000000000004">
      <c r="A80" s="110">
        <v>44321</v>
      </c>
      <c r="B80" s="49">
        <v>1347</v>
      </c>
      <c r="C80" s="49" t="s">
        <v>6</v>
      </c>
      <c r="D80" s="49" t="s">
        <v>29</v>
      </c>
      <c r="E80" s="49" t="s">
        <v>100</v>
      </c>
      <c r="F80" s="112"/>
      <c r="G80" s="112">
        <v>238000</v>
      </c>
      <c r="H80" s="112"/>
      <c r="I80" s="112">
        <v>238000</v>
      </c>
      <c r="J80" s="112">
        <v>4403950</v>
      </c>
    </row>
    <row r="81" spans="1:10" ht="21.75" x14ac:dyDescent="0.55000000000000004">
      <c r="A81" s="110">
        <v>44323</v>
      </c>
      <c r="B81" s="49">
        <v>14725</v>
      </c>
      <c r="C81" s="49" t="s">
        <v>6</v>
      </c>
      <c r="D81" s="49" t="s">
        <v>29</v>
      </c>
      <c r="E81" s="49" t="s">
        <v>101</v>
      </c>
      <c r="F81" s="112"/>
      <c r="G81" s="112">
        <v>184000</v>
      </c>
      <c r="H81" s="112"/>
      <c r="I81" s="112">
        <v>184000</v>
      </c>
      <c r="J81" s="112">
        <v>4587950</v>
      </c>
    </row>
    <row r="82" spans="1:10" ht="21.75" x14ac:dyDescent="0.55000000000000004">
      <c r="A82" s="110">
        <v>44323</v>
      </c>
      <c r="B82" s="49"/>
      <c r="C82" s="49" t="s">
        <v>7</v>
      </c>
      <c r="D82" s="49" t="s">
        <v>29</v>
      </c>
      <c r="E82" s="49" t="s">
        <v>86</v>
      </c>
      <c r="F82" s="112"/>
      <c r="G82" s="112"/>
      <c r="H82" s="112">
        <v>200000</v>
      </c>
      <c r="I82" s="112">
        <v>-200000</v>
      </c>
      <c r="J82" s="112">
        <v>4387950</v>
      </c>
    </row>
    <row r="83" spans="1:10" ht="21.75" x14ac:dyDescent="0.55000000000000004">
      <c r="A83" s="110">
        <v>44326</v>
      </c>
      <c r="B83" s="49"/>
      <c r="C83" s="49" t="s">
        <v>6</v>
      </c>
      <c r="D83" s="49" t="s">
        <v>29</v>
      </c>
      <c r="E83" s="49" t="s">
        <v>122</v>
      </c>
      <c r="F83" s="112"/>
      <c r="G83" s="112">
        <v>439100</v>
      </c>
      <c r="H83" s="112"/>
      <c r="I83" s="112">
        <v>439100</v>
      </c>
      <c r="J83" s="112">
        <v>4827050</v>
      </c>
    </row>
    <row r="84" spans="1:10" ht="21.75" x14ac:dyDescent="0.55000000000000004">
      <c r="A84" s="110">
        <v>44327</v>
      </c>
      <c r="B84" s="49"/>
      <c r="C84" s="49" t="s">
        <v>7</v>
      </c>
      <c r="D84" s="49" t="s">
        <v>29</v>
      </c>
      <c r="E84" s="49" t="s">
        <v>86</v>
      </c>
      <c r="F84" s="112"/>
      <c r="G84" s="112"/>
      <c r="H84" s="112">
        <v>550000</v>
      </c>
      <c r="I84" s="112">
        <v>-550000</v>
      </c>
      <c r="J84" s="112">
        <v>4277050</v>
      </c>
    </row>
    <row r="85" spans="1:10" ht="21.75" x14ac:dyDescent="0.55000000000000004">
      <c r="A85" s="110">
        <v>44329</v>
      </c>
      <c r="B85" s="49"/>
      <c r="C85" s="49" t="s">
        <v>7</v>
      </c>
      <c r="D85" s="49" t="s">
        <v>29</v>
      </c>
      <c r="E85" s="49" t="s">
        <v>86</v>
      </c>
      <c r="F85" s="112"/>
      <c r="G85" s="112"/>
      <c r="H85" s="112">
        <v>400000</v>
      </c>
      <c r="I85" s="112">
        <v>-400000</v>
      </c>
      <c r="J85" s="112">
        <v>3877050</v>
      </c>
    </row>
    <row r="86" spans="1:10" ht="21.75" x14ac:dyDescent="0.55000000000000004">
      <c r="A86" s="110">
        <v>44329</v>
      </c>
      <c r="B86" s="49">
        <v>5620</v>
      </c>
      <c r="C86" s="49" t="s">
        <v>6</v>
      </c>
      <c r="D86" s="49" t="s">
        <v>29</v>
      </c>
      <c r="E86" s="49" t="s">
        <v>132</v>
      </c>
      <c r="F86" s="112"/>
      <c r="G86" s="112">
        <v>355800</v>
      </c>
      <c r="H86" s="112"/>
      <c r="I86" s="112">
        <v>355800</v>
      </c>
      <c r="J86" s="112">
        <v>4232850</v>
      </c>
    </row>
    <row r="87" spans="1:10" ht="21.75" x14ac:dyDescent="0.55000000000000004">
      <c r="A87" s="110">
        <v>44333</v>
      </c>
      <c r="B87" s="49"/>
      <c r="C87" s="49" t="s">
        <v>7</v>
      </c>
      <c r="D87" s="49" t="s">
        <v>29</v>
      </c>
      <c r="E87" s="49" t="s">
        <v>153</v>
      </c>
      <c r="F87" s="112"/>
      <c r="G87" s="112"/>
      <c r="H87" s="112">
        <v>2000000</v>
      </c>
      <c r="I87" s="112">
        <v>-2000000</v>
      </c>
      <c r="J87" s="112">
        <v>2232850</v>
      </c>
    </row>
    <row r="88" spans="1:10" ht="21.75" x14ac:dyDescent="0.55000000000000004">
      <c r="A88" s="110">
        <v>44327</v>
      </c>
      <c r="B88" s="49"/>
      <c r="C88" s="49" t="s">
        <v>7</v>
      </c>
      <c r="D88" s="49" t="s">
        <v>29</v>
      </c>
      <c r="E88" s="49" t="s">
        <v>154</v>
      </c>
      <c r="F88" s="112"/>
      <c r="G88" s="112"/>
      <c r="H88" s="112">
        <v>120000</v>
      </c>
      <c r="I88" s="112">
        <v>-120000</v>
      </c>
      <c r="J88" s="112">
        <v>2112850</v>
      </c>
    </row>
    <row r="89" spans="1:10" ht="21.75" x14ac:dyDescent="0.55000000000000004">
      <c r="A89" s="110">
        <v>44329</v>
      </c>
      <c r="B89" s="49"/>
      <c r="C89" s="49" t="s">
        <v>7</v>
      </c>
      <c r="D89" s="49" t="s">
        <v>29</v>
      </c>
      <c r="E89" s="49" t="s">
        <v>154</v>
      </c>
      <c r="F89" s="112"/>
      <c r="G89" s="112"/>
      <c r="H89" s="112">
        <v>114000</v>
      </c>
      <c r="I89" s="112">
        <v>-114000</v>
      </c>
      <c r="J89" s="112">
        <v>1998850</v>
      </c>
    </row>
    <row r="90" spans="1:10" ht="21.75" x14ac:dyDescent="0.55000000000000004">
      <c r="A90" s="110">
        <v>44331</v>
      </c>
      <c r="B90" s="49"/>
      <c r="C90" s="49" t="s">
        <v>7</v>
      </c>
      <c r="D90" s="49" t="s">
        <v>29</v>
      </c>
      <c r="E90" s="49" t="s">
        <v>154</v>
      </c>
      <c r="F90" s="112"/>
      <c r="G90" s="112"/>
      <c r="H90" s="112">
        <v>250000</v>
      </c>
      <c r="I90" s="112">
        <v>-250000</v>
      </c>
      <c r="J90" s="112">
        <v>1748850</v>
      </c>
    </row>
    <row r="91" spans="1:10" ht="21.75" x14ac:dyDescent="0.55000000000000004">
      <c r="A91" s="110">
        <v>44345</v>
      </c>
      <c r="B91" s="49"/>
      <c r="C91" s="49" t="s">
        <v>7</v>
      </c>
      <c r="D91" s="49" t="s">
        <v>29</v>
      </c>
      <c r="E91" s="49" t="s">
        <v>86</v>
      </c>
      <c r="F91" s="112"/>
      <c r="G91" s="112"/>
      <c r="H91" s="112">
        <v>611500</v>
      </c>
      <c r="I91" s="112">
        <v>-611500</v>
      </c>
      <c r="J91" s="112">
        <v>1137350</v>
      </c>
    </row>
    <row r="92" spans="1:10" ht="21.75" x14ac:dyDescent="0.55000000000000004">
      <c r="A92" s="110">
        <v>44317</v>
      </c>
      <c r="B92" s="49"/>
      <c r="C92" s="49" t="s">
        <v>5</v>
      </c>
      <c r="D92" s="49" t="s">
        <v>77</v>
      </c>
      <c r="E92" s="49" t="s">
        <v>5</v>
      </c>
      <c r="F92" s="112">
        <v>1696980</v>
      </c>
      <c r="G92" s="112"/>
      <c r="H92" s="112"/>
      <c r="I92" s="112">
        <v>1696980</v>
      </c>
      <c r="J92" s="112">
        <v>1696980</v>
      </c>
    </row>
    <row r="93" spans="1:10" ht="21.75" x14ac:dyDescent="0.55000000000000004">
      <c r="A93" s="110">
        <v>44319</v>
      </c>
      <c r="B93" s="49">
        <v>7296</v>
      </c>
      <c r="C93" s="49" t="s">
        <v>6</v>
      </c>
      <c r="D93" s="49" t="s">
        <v>77</v>
      </c>
      <c r="E93" s="49" t="s">
        <v>91</v>
      </c>
      <c r="F93" s="112"/>
      <c r="G93" s="112">
        <v>213150</v>
      </c>
      <c r="H93" s="112"/>
      <c r="I93" s="112">
        <v>213150</v>
      </c>
      <c r="J93" s="112">
        <v>1910130</v>
      </c>
    </row>
    <row r="94" spans="1:10" ht="21.75" x14ac:dyDescent="0.55000000000000004">
      <c r="A94" s="110">
        <v>44327</v>
      </c>
      <c r="B94" s="49">
        <v>7297</v>
      </c>
      <c r="C94" s="49" t="s">
        <v>6</v>
      </c>
      <c r="D94" s="49" t="s">
        <v>77</v>
      </c>
      <c r="E94" s="49" t="s">
        <v>125</v>
      </c>
      <c r="F94" s="112"/>
      <c r="G94" s="112">
        <v>270500</v>
      </c>
      <c r="H94" s="112"/>
      <c r="I94" s="112">
        <v>270500</v>
      </c>
      <c r="J94" s="112">
        <v>2180630</v>
      </c>
    </row>
    <row r="95" spans="1:10" ht="21.75" x14ac:dyDescent="0.55000000000000004">
      <c r="A95" s="110">
        <v>44345</v>
      </c>
      <c r="B95" s="49">
        <v>220</v>
      </c>
      <c r="C95" s="49" t="s">
        <v>7</v>
      </c>
      <c r="D95" s="49" t="s">
        <v>77</v>
      </c>
      <c r="E95" s="49" t="s">
        <v>86</v>
      </c>
      <c r="F95" s="112"/>
      <c r="G95" s="112"/>
      <c r="H95" s="112">
        <v>1000000</v>
      </c>
      <c r="I95" s="112">
        <v>-1000000</v>
      </c>
      <c r="J95" s="112">
        <v>1180630</v>
      </c>
    </row>
    <row r="96" spans="1:10" ht="21.75" x14ac:dyDescent="0.55000000000000004">
      <c r="A96" s="110">
        <v>44345</v>
      </c>
      <c r="B96" s="49">
        <v>2801</v>
      </c>
      <c r="C96" s="49" t="s">
        <v>6</v>
      </c>
      <c r="D96" s="49" t="s">
        <v>77</v>
      </c>
      <c r="E96" s="49" t="s">
        <v>160</v>
      </c>
      <c r="F96" s="112"/>
      <c r="G96" s="112">
        <v>23500</v>
      </c>
      <c r="H96" s="112"/>
      <c r="I96" s="112">
        <v>23500</v>
      </c>
      <c r="J96" s="112">
        <v>1204130</v>
      </c>
    </row>
    <row r="97" spans="1:10" ht="21.75" x14ac:dyDescent="0.55000000000000004">
      <c r="A97" s="110">
        <v>44340</v>
      </c>
      <c r="B97" s="49">
        <v>7300</v>
      </c>
      <c r="C97" s="49" t="s">
        <v>6</v>
      </c>
      <c r="D97" s="49" t="s">
        <v>77</v>
      </c>
      <c r="E97" s="49" t="s">
        <v>161</v>
      </c>
      <c r="F97" s="112"/>
      <c r="G97" s="112">
        <v>131500</v>
      </c>
      <c r="H97" s="112"/>
      <c r="I97" s="112">
        <v>131500</v>
      </c>
      <c r="J97" s="112">
        <v>1335630</v>
      </c>
    </row>
    <row r="98" spans="1:10" ht="21.75" x14ac:dyDescent="0.55000000000000004">
      <c r="A98" s="110">
        <v>44338</v>
      </c>
      <c r="B98" s="49">
        <v>7299</v>
      </c>
      <c r="C98" s="49" t="s">
        <v>6</v>
      </c>
      <c r="D98" s="49" t="s">
        <v>77</v>
      </c>
      <c r="E98" s="49" t="s">
        <v>162</v>
      </c>
      <c r="F98" s="112"/>
      <c r="G98" s="112">
        <v>270000</v>
      </c>
      <c r="H98" s="112"/>
      <c r="I98" s="112">
        <v>270000</v>
      </c>
      <c r="J98" s="112">
        <v>1605630</v>
      </c>
    </row>
    <row r="99" spans="1:10" ht="21.75" x14ac:dyDescent="0.55000000000000004">
      <c r="A99" s="110">
        <v>44317</v>
      </c>
      <c r="B99" s="49"/>
      <c r="C99" s="49" t="s">
        <v>5</v>
      </c>
      <c r="D99" s="49" t="s">
        <v>58</v>
      </c>
      <c r="E99" s="49" t="s">
        <v>5</v>
      </c>
      <c r="F99" s="112">
        <v>738150</v>
      </c>
      <c r="G99" s="112"/>
      <c r="H99" s="112"/>
      <c r="I99" s="112">
        <v>738150</v>
      </c>
      <c r="J99" s="112">
        <v>738150</v>
      </c>
    </row>
    <row r="100" spans="1:10" ht="21.75" x14ac:dyDescent="0.55000000000000004">
      <c r="A100" s="110">
        <v>44324</v>
      </c>
      <c r="B100" s="49"/>
      <c r="C100" s="49" t="s">
        <v>7</v>
      </c>
      <c r="D100" s="49" t="s">
        <v>58</v>
      </c>
      <c r="E100" s="49" t="s">
        <v>119</v>
      </c>
      <c r="F100" s="112"/>
      <c r="G100" s="112"/>
      <c r="H100" s="112">
        <v>44250</v>
      </c>
      <c r="I100" s="112">
        <v>-44250</v>
      </c>
      <c r="J100" s="112">
        <v>693900</v>
      </c>
    </row>
    <row r="101" spans="1:10" ht="21.75" x14ac:dyDescent="0.55000000000000004">
      <c r="A101" s="110">
        <v>44329</v>
      </c>
      <c r="B101" s="49">
        <v>194</v>
      </c>
      <c r="C101" s="49" t="s">
        <v>7</v>
      </c>
      <c r="D101" s="49" t="s">
        <v>58</v>
      </c>
      <c r="E101" s="49" t="s">
        <v>86</v>
      </c>
      <c r="F101" s="112"/>
      <c r="G101" s="112"/>
      <c r="H101" s="112">
        <v>693900</v>
      </c>
      <c r="I101" s="112">
        <v>-693900</v>
      </c>
      <c r="J101" s="112">
        <v>0</v>
      </c>
    </row>
    <row r="102" spans="1:10" ht="21.75" x14ac:dyDescent="0.55000000000000004">
      <c r="A102" s="110">
        <v>44317</v>
      </c>
      <c r="B102" s="49"/>
      <c r="C102" s="49" t="s">
        <v>5</v>
      </c>
      <c r="D102" s="49" t="s">
        <v>42</v>
      </c>
      <c r="E102" s="49" t="s">
        <v>5</v>
      </c>
      <c r="F102" s="112">
        <v>0</v>
      </c>
      <c r="G102" s="112"/>
      <c r="H102" s="112"/>
      <c r="I102" s="112">
        <v>0</v>
      </c>
      <c r="J102" s="112">
        <v>0</v>
      </c>
    </row>
    <row r="103" spans="1:10" ht="21.75" x14ac:dyDescent="0.55000000000000004">
      <c r="A103" s="110">
        <v>44324</v>
      </c>
      <c r="B103" s="49">
        <v>9132</v>
      </c>
      <c r="C103" s="49" t="s">
        <v>6</v>
      </c>
      <c r="D103" s="49" t="s">
        <v>42</v>
      </c>
      <c r="E103" s="49" t="s">
        <v>105</v>
      </c>
      <c r="F103" s="112"/>
      <c r="G103" s="112">
        <v>200000</v>
      </c>
      <c r="H103" s="112"/>
      <c r="I103" s="112">
        <v>200000</v>
      </c>
      <c r="J103" s="112">
        <v>200000</v>
      </c>
    </row>
    <row r="104" spans="1:10" ht="21.75" x14ac:dyDescent="0.55000000000000004">
      <c r="A104" s="110">
        <v>44329</v>
      </c>
      <c r="B104" s="49">
        <v>9417</v>
      </c>
      <c r="C104" s="49" t="s">
        <v>7</v>
      </c>
      <c r="D104" s="49" t="s">
        <v>42</v>
      </c>
      <c r="E104" s="49" t="s">
        <v>86</v>
      </c>
      <c r="F104" s="112"/>
      <c r="G104" s="112"/>
      <c r="H104" s="112">
        <v>200000</v>
      </c>
      <c r="I104" s="112">
        <v>-200000</v>
      </c>
      <c r="J104" s="112">
        <v>0</v>
      </c>
    </row>
    <row r="105" spans="1:10" ht="21.75" x14ac:dyDescent="0.55000000000000004">
      <c r="A105" s="110">
        <v>44335</v>
      </c>
      <c r="B105" s="49">
        <v>9143</v>
      </c>
      <c r="C105" s="49" t="s">
        <v>6</v>
      </c>
      <c r="D105" s="49" t="s">
        <v>42</v>
      </c>
      <c r="E105" s="49" t="s">
        <v>141</v>
      </c>
      <c r="F105" s="112"/>
      <c r="G105" s="112">
        <v>267000</v>
      </c>
      <c r="H105" s="112"/>
      <c r="I105" s="112">
        <v>267000</v>
      </c>
      <c r="J105" s="112">
        <v>267000</v>
      </c>
    </row>
    <row r="106" spans="1:10" ht="21.75" x14ac:dyDescent="0.55000000000000004">
      <c r="A106" s="110">
        <v>44340</v>
      </c>
      <c r="B106" s="49">
        <v>9425</v>
      </c>
      <c r="C106" s="49" t="s">
        <v>7</v>
      </c>
      <c r="D106" s="49" t="s">
        <v>42</v>
      </c>
      <c r="E106" s="49" t="s">
        <v>86</v>
      </c>
      <c r="F106" s="112"/>
      <c r="G106" s="112"/>
      <c r="H106" s="112">
        <v>267000</v>
      </c>
      <c r="I106" s="112">
        <v>-267000</v>
      </c>
      <c r="J106" s="112">
        <v>0</v>
      </c>
    </row>
    <row r="107" spans="1:10" ht="21.75" x14ac:dyDescent="0.55000000000000004">
      <c r="A107" s="110">
        <v>44317</v>
      </c>
      <c r="B107" s="49"/>
      <c r="C107" s="49" t="s">
        <v>5</v>
      </c>
      <c r="D107" s="49" t="s">
        <v>78</v>
      </c>
      <c r="E107" s="49" t="s">
        <v>5</v>
      </c>
      <c r="F107" s="112">
        <v>0</v>
      </c>
      <c r="G107" s="112"/>
      <c r="H107" s="112"/>
      <c r="I107" s="112">
        <v>0</v>
      </c>
      <c r="J107" s="112">
        <v>0</v>
      </c>
    </row>
    <row r="108" spans="1:10" ht="21.75" x14ac:dyDescent="0.55000000000000004">
      <c r="A108" s="110">
        <v>44326</v>
      </c>
      <c r="B108" s="49">
        <v>13401</v>
      </c>
      <c r="C108" s="49" t="s">
        <v>6</v>
      </c>
      <c r="D108" s="49" t="s">
        <v>78</v>
      </c>
      <c r="E108" s="49" t="s">
        <v>121</v>
      </c>
      <c r="F108" s="112"/>
      <c r="G108" s="112">
        <v>535550</v>
      </c>
      <c r="H108" s="112"/>
      <c r="I108" s="112">
        <v>535550</v>
      </c>
      <c r="J108" s="112">
        <v>535550</v>
      </c>
    </row>
    <row r="109" spans="1:10" ht="21.75" x14ac:dyDescent="0.55000000000000004">
      <c r="A109" s="110">
        <v>44327</v>
      </c>
      <c r="B109" s="49"/>
      <c r="C109" s="49" t="s">
        <v>7</v>
      </c>
      <c r="D109" s="49" t="s">
        <v>78</v>
      </c>
      <c r="E109" s="49" t="s">
        <v>86</v>
      </c>
      <c r="F109" s="112"/>
      <c r="G109" s="112"/>
      <c r="H109" s="112">
        <v>500000</v>
      </c>
      <c r="I109" s="112">
        <v>-500000</v>
      </c>
      <c r="J109" s="112">
        <v>35550</v>
      </c>
    </row>
    <row r="110" spans="1:10" ht="21.75" x14ac:dyDescent="0.55000000000000004">
      <c r="A110" s="110">
        <v>44327</v>
      </c>
      <c r="B110" s="49">
        <v>13402</v>
      </c>
      <c r="C110" s="49" t="s">
        <v>6</v>
      </c>
      <c r="D110" s="49" t="s">
        <v>78</v>
      </c>
      <c r="E110" s="49" t="s">
        <v>120</v>
      </c>
      <c r="F110" s="112"/>
      <c r="G110" s="112">
        <v>78500</v>
      </c>
      <c r="H110" s="112"/>
      <c r="I110" s="112">
        <v>78500</v>
      </c>
      <c r="J110" s="112">
        <v>114050</v>
      </c>
    </row>
    <row r="111" spans="1:10" ht="21.75" x14ac:dyDescent="0.55000000000000004">
      <c r="A111" s="110">
        <v>44329</v>
      </c>
      <c r="B111" s="49"/>
      <c r="C111" s="49" t="s">
        <v>7</v>
      </c>
      <c r="D111" s="49" t="s">
        <v>78</v>
      </c>
      <c r="E111" s="49" t="s">
        <v>86</v>
      </c>
      <c r="F111" s="112"/>
      <c r="G111" s="112"/>
      <c r="H111" s="112">
        <v>114050</v>
      </c>
      <c r="I111" s="112">
        <v>-114050</v>
      </c>
      <c r="J111" s="112">
        <v>0</v>
      </c>
    </row>
    <row r="112" spans="1:10" ht="21.75" x14ac:dyDescent="0.55000000000000004">
      <c r="A112" s="110">
        <v>44317</v>
      </c>
      <c r="B112" s="49"/>
      <c r="C112" s="49" t="s">
        <v>5</v>
      </c>
      <c r="D112" s="49" t="s">
        <v>44</v>
      </c>
      <c r="E112" s="49" t="s">
        <v>5</v>
      </c>
      <c r="F112" s="112">
        <v>2208992</v>
      </c>
      <c r="G112" s="112"/>
      <c r="H112" s="112"/>
      <c r="I112" s="112">
        <v>2208992</v>
      </c>
      <c r="J112" s="112">
        <v>2208992</v>
      </c>
    </row>
    <row r="113" spans="1:10" ht="21.75" x14ac:dyDescent="0.55000000000000004">
      <c r="A113" s="110">
        <v>44314</v>
      </c>
      <c r="B113" s="49">
        <v>5811</v>
      </c>
      <c r="C113" s="49" t="s">
        <v>6</v>
      </c>
      <c r="D113" s="49" t="s">
        <v>79</v>
      </c>
      <c r="E113" s="49" t="s">
        <v>89</v>
      </c>
      <c r="F113" s="112"/>
      <c r="G113" s="112">
        <v>221200</v>
      </c>
      <c r="H113" s="112"/>
      <c r="I113" s="112">
        <v>221200</v>
      </c>
      <c r="J113" s="112">
        <v>221200</v>
      </c>
    </row>
    <row r="114" spans="1:10" ht="21.75" x14ac:dyDescent="0.55000000000000004">
      <c r="A114" s="110">
        <v>44317</v>
      </c>
      <c r="B114" s="49"/>
      <c r="C114" s="49" t="s">
        <v>5</v>
      </c>
      <c r="D114" s="49" t="s">
        <v>79</v>
      </c>
      <c r="E114" s="49" t="s">
        <v>5</v>
      </c>
      <c r="F114" s="112">
        <v>2778210</v>
      </c>
      <c r="G114" s="112"/>
      <c r="H114" s="112"/>
      <c r="I114" s="112">
        <v>2778210</v>
      </c>
      <c r="J114" s="112">
        <v>221200</v>
      </c>
    </row>
    <row r="115" spans="1:10" ht="21.75" x14ac:dyDescent="0.55000000000000004">
      <c r="A115" s="110">
        <v>44319</v>
      </c>
      <c r="B115" s="49">
        <v>5812</v>
      </c>
      <c r="C115" s="49" t="s">
        <v>6</v>
      </c>
      <c r="D115" s="49" t="s">
        <v>79</v>
      </c>
      <c r="E115" s="49" t="s">
        <v>90</v>
      </c>
      <c r="F115" s="112"/>
      <c r="G115" s="112">
        <v>1812000</v>
      </c>
      <c r="H115" s="112"/>
      <c r="I115" s="112">
        <v>1812000</v>
      </c>
      <c r="J115" s="112">
        <v>2033200</v>
      </c>
    </row>
    <row r="116" spans="1:10" ht="21.75" x14ac:dyDescent="0.55000000000000004">
      <c r="A116" s="110">
        <v>44321</v>
      </c>
      <c r="B116" s="49"/>
      <c r="C116" s="49" t="s">
        <v>7</v>
      </c>
      <c r="D116" s="49" t="s">
        <v>79</v>
      </c>
      <c r="E116" s="49" t="s">
        <v>86</v>
      </c>
      <c r="F116" s="112"/>
      <c r="G116" s="112"/>
      <c r="H116" s="112">
        <v>1500000</v>
      </c>
      <c r="I116" s="112">
        <v>-1500000</v>
      </c>
      <c r="J116" s="112">
        <v>533200</v>
      </c>
    </row>
    <row r="117" spans="1:10" ht="21.75" x14ac:dyDescent="0.55000000000000004">
      <c r="A117" s="110">
        <v>44329</v>
      </c>
      <c r="B117" s="49">
        <v>13</v>
      </c>
      <c r="C117" s="49" t="s">
        <v>7</v>
      </c>
      <c r="D117" s="49" t="s">
        <v>79</v>
      </c>
      <c r="E117" s="49" t="s">
        <v>86</v>
      </c>
      <c r="F117" s="112"/>
      <c r="G117" s="112"/>
      <c r="H117" s="112">
        <v>1000000</v>
      </c>
      <c r="I117" s="112">
        <v>-1000000</v>
      </c>
      <c r="J117" s="112">
        <v>-466800</v>
      </c>
    </row>
    <row r="118" spans="1:10" ht="21.75" x14ac:dyDescent="0.55000000000000004">
      <c r="A118" s="110">
        <v>44335</v>
      </c>
      <c r="B118" s="49">
        <v>5813</v>
      </c>
      <c r="C118" s="49" t="s">
        <v>6</v>
      </c>
      <c r="D118" s="49" t="s">
        <v>79</v>
      </c>
      <c r="E118" s="49" t="s">
        <v>137</v>
      </c>
      <c r="F118" s="112"/>
      <c r="G118" s="112">
        <v>2178500</v>
      </c>
      <c r="H118" s="112"/>
      <c r="I118" s="112">
        <v>2178500</v>
      </c>
      <c r="J118" s="112">
        <v>1711700</v>
      </c>
    </row>
    <row r="119" spans="1:10" ht="21.75" x14ac:dyDescent="0.55000000000000004">
      <c r="A119" s="110">
        <v>44335</v>
      </c>
      <c r="B119" s="49"/>
      <c r="C119" s="49" t="s">
        <v>7</v>
      </c>
      <c r="D119" s="49" t="s">
        <v>79</v>
      </c>
      <c r="E119" s="49" t="s">
        <v>86</v>
      </c>
      <c r="F119" s="112"/>
      <c r="G119" s="112"/>
      <c r="H119" s="112">
        <v>1500000</v>
      </c>
      <c r="I119" s="112">
        <v>-1500000</v>
      </c>
      <c r="J119" s="112">
        <v>211700</v>
      </c>
    </row>
    <row r="120" spans="1:10" ht="21.75" x14ac:dyDescent="0.55000000000000004">
      <c r="A120" s="110">
        <v>44345</v>
      </c>
      <c r="B120" s="49"/>
      <c r="C120" s="49" t="s">
        <v>7</v>
      </c>
      <c r="D120" s="49" t="s">
        <v>79</v>
      </c>
      <c r="E120" s="49" t="s">
        <v>86</v>
      </c>
      <c r="F120" s="112"/>
      <c r="G120" s="112"/>
      <c r="H120" s="112">
        <v>1500000</v>
      </c>
      <c r="I120" s="112">
        <v>-1500000</v>
      </c>
      <c r="J120" s="112">
        <v>-1288300</v>
      </c>
    </row>
    <row r="121" spans="1:10" ht="21.75" x14ac:dyDescent="0.55000000000000004">
      <c r="A121" s="110">
        <v>44345</v>
      </c>
      <c r="B121" s="49">
        <v>5816</v>
      </c>
      <c r="C121" s="49" t="s">
        <v>6</v>
      </c>
      <c r="D121" s="49" t="s">
        <v>79</v>
      </c>
      <c r="E121" s="49" t="s">
        <v>157</v>
      </c>
      <c r="F121" s="112"/>
      <c r="G121" s="112">
        <v>76600</v>
      </c>
      <c r="H121" s="112"/>
      <c r="I121" s="112">
        <v>76600</v>
      </c>
      <c r="J121" s="112">
        <v>-1211700</v>
      </c>
    </row>
    <row r="122" spans="1:10" ht="21.75" x14ac:dyDescent="0.55000000000000004">
      <c r="A122" s="110">
        <v>44342</v>
      </c>
      <c r="B122" s="49">
        <v>5815</v>
      </c>
      <c r="C122" s="49" t="s">
        <v>6</v>
      </c>
      <c r="D122" s="49" t="s">
        <v>79</v>
      </c>
      <c r="E122" s="49" t="s">
        <v>158</v>
      </c>
      <c r="F122" s="112"/>
      <c r="G122" s="112">
        <v>180000</v>
      </c>
      <c r="H122" s="112"/>
      <c r="I122" s="112">
        <v>180000</v>
      </c>
      <c r="J122" s="112">
        <v>-1031700</v>
      </c>
    </row>
    <row r="123" spans="1:10" ht="21.75" x14ac:dyDescent="0.55000000000000004">
      <c r="A123" s="110">
        <v>44338</v>
      </c>
      <c r="B123" s="49">
        <v>5814</v>
      </c>
      <c r="C123" s="49" t="s">
        <v>6</v>
      </c>
      <c r="D123" s="49" t="s">
        <v>79</v>
      </c>
      <c r="E123" s="49" t="s">
        <v>159</v>
      </c>
      <c r="F123" s="112"/>
      <c r="G123" s="112">
        <v>33000</v>
      </c>
      <c r="H123" s="112"/>
      <c r="I123" s="112">
        <v>33000</v>
      </c>
      <c r="J123" s="112">
        <v>-998700</v>
      </c>
    </row>
    <row r="124" spans="1:10" ht="21.75" x14ac:dyDescent="0.55000000000000004">
      <c r="A124" s="110">
        <v>44317</v>
      </c>
      <c r="B124" s="49"/>
      <c r="C124" s="49" t="s">
        <v>5</v>
      </c>
      <c r="D124" s="49" t="s">
        <v>80</v>
      </c>
      <c r="E124" s="49" t="s">
        <v>5</v>
      </c>
      <c r="F124" s="112">
        <v>2754773</v>
      </c>
      <c r="G124" s="112"/>
      <c r="H124" s="112"/>
      <c r="I124" s="112">
        <v>2754773</v>
      </c>
      <c r="J124" s="112">
        <v>2754773</v>
      </c>
    </row>
    <row r="125" spans="1:10" ht="21.75" x14ac:dyDescent="0.55000000000000004">
      <c r="A125" s="110">
        <v>44329</v>
      </c>
      <c r="B125" s="49">
        <v>4370</v>
      </c>
      <c r="C125" s="49" t="s">
        <v>7</v>
      </c>
      <c r="D125" s="49" t="s">
        <v>80</v>
      </c>
      <c r="E125" s="49" t="s">
        <v>86</v>
      </c>
      <c r="F125" s="112"/>
      <c r="G125" s="112"/>
      <c r="H125" s="112">
        <v>1000000</v>
      </c>
      <c r="I125" s="112">
        <v>-1000000</v>
      </c>
      <c r="J125" s="112">
        <v>1754773</v>
      </c>
    </row>
    <row r="126" spans="1:10" ht="21.75" x14ac:dyDescent="0.55000000000000004">
      <c r="A126" s="110">
        <v>44330</v>
      </c>
      <c r="B126" s="49"/>
      <c r="C126" s="49" t="s">
        <v>7</v>
      </c>
      <c r="D126" s="49" t="s">
        <v>80</v>
      </c>
      <c r="E126" s="49" t="s">
        <v>131</v>
      </c>
      <c r="F126" s="112"/>
      <c r="G126" s="112"/>
      <c r="H126" s="112">
        <v>147923</v>
      </c>
      <c r="I126" s="112">
        <v>-147923</v>
      </c>
      <c r="J126" s="112">
        <v>1606850</v>
      </c>
    </row>
    <row r="127" spans="1:10" ht="21.75" x14ac:dyDescent="0.55000000000000004">
      <c r="A127" s="110">
        <v>44330</v>
      </c>
      <c r="B127" s="49">
        <v>4374</v>
      </c>
      <c r="C127" s="49" t="s">
        <v>7</v>
      </c>
      <c r="D127" s="49" t="s">
        <v>80</v>
      </c>
      <c r="E127" s="49" t="s">
        <v>86</v>
      </c>
      <c r="F127" s="112"/>
      <c r="G127" s="112"/>
      <c r="H127" s="112">
        <v>1606850</v>
      </c>
      <c r="I127" s="112">
        <v>-1606850</v>
      </c>
      <c r="J127" s="112">
        <v>0</v>
      </c>
    </row>
    <row r="128" spans="1:10" ht="21.75" x14ac:dyDescent="0.55000000000000004">
      <c r="A128" s="110">
        <v>44330</v>
      </c>
      <c r="B128" s="49">
        <v>511</v>
      </c>
      <c r="C128" s="49" t="s">
        <v>6</v>
      </c>
      <c r="D128" s="49" t="s">
        <v>80</v>
      </c>
      <c r="E128" s="49" t="s">
        <v>118</v>
      </c>
      <c r="F128" s="112"/>
      <c r="G128" s="112">
        <v>999000</v>
      </c>
      <c r="H128" s="112"/>
      <c r="I128" s="112">
        <v>999000</v>
      </c>
      <c r="J128" s="112">
        <v>999000</v>
      </c>
    </row>
    <row r="129" spans="1:10" ht="21.75" x14ac:dyDescent="0.55000000000000004">
      <c r="A129" s="110">
        <v>44317</v>
      </c>
      <c r="B129" s="49"/>
      <c r="C129" s="49" t="s">
        <v>5</v>
      </c>
      <c r="D129" s="49" t="s">
        <v>48</v>
      </c>
      <c r="E129" s="49" t="s">
        <v>5</v>
      </c>
      <c r="F129" s="112">
        <v>5502500</v>
      </c>
      <c r="G129" s="112"/>
      <c r="H129" s="112"/>
      <c r="I129" s="112">
        <v>5502500</v>
      </c>
      <c r="J129" s="112">
        <v>5502500</v>
      </c>
    </row>
    <row r="130" spans="1:10" ht="21.75" x14ac:dyDescent="0.55000000000000004">
      <c r="A130" s="110">
        <v>44319</v>
      </c>
      <c r="B130" s="49">
        <v>706</v>
      </c>
      <c r="C130" s="49" t="s">
        <v>6</v>
      </c>
      <c r="D130" s="49" t="s">
        <v>48</v>
      </c>
      <c r="E130" s="49" t="s">
        <v>94</v>
      </c>
      <c r="F130" s="112"/>
      <c r="G130" s="112">
        <v>840000</v>
      </c>
      <c r="H130" s="112"/>
      <c r="I130" s="112">
        <v>840000</v>
      </c>
      <c r="J130" s="112">
        <v>6342500</v>
      </c>
    </row>
    <row r="131" spans="1:10" ht="21.75" x14ac:dyDescent="0.55000000000000004">
      <c r="A131" s="110">
        <v>44321</v>
      </c>
      <c r="B131" s="49">
        <v>43340</v>
      </c>
      <c r="C131" s="49" t="s">
        <v>6</v>
      </c>
      <c r="D131" s="49" t="s">
        <v>48</v>
      </c>
      <c r="E131" s="49" t="s">
        <v>103</v>
      </c>
      <c r="F131" s="112"/>
      <c r="G131" s="112">
        <v>145000</v>
      </c>
      <c r="H131" s="112"/>
      <c r="I131" s="112">
        <v>145000</v>
      </c>
      <c r="J131" s="112">
        <v>6487500</v>
      </c>
    </row>
    <row r="132" spans="1:10" ht="21.75" x14ac:dyDescent="0.55000000000000004">
      <c r="A132" s="110">
        <v>44323</v>
      </c>
      <c r="B132" s="49">
        <v>43273</v>
      </c>
      <c r="C132" s="49" t="s">
        <v>6</v>
      </c>
      <c r="D132" s="49" t="s">
        <v>48</v>
      </c>
      <c r="E132" s="49" t="s">
        <v>104</v>
      </c>
      <c r="F132" s="112"/>
      <c r="G132" s="112">
        <v>87000</v>
      </c>
      <c r="H132" s="112"/>
      <c r="I132" s="112">
        <v>87000</v>
      </c>
      <c r="J132" s="112">
        <v>6574500</v>
      </c>
    </row>
    <row r="133" spans="1:10" ht="21.75" x14ac:dyDescent="0.55000000000000004">
      <c r="A133" s="110">
        <v>44323</v>
      </c>
      <c r="B133" s="49">
        <v>727</v>
      </c>
      <c r="C133" s="49" t="s">
        <v>7</v>
      </c>
      <c r="D133" s="49" t="s">
        <v>48</v>
      </c>
      <c r="E133" s="49" t="s">
        <v>86</v>
      </c>
      <c r="F133" s="112"/>
      <c r="G133" s="112"/>
      <c r="H133" s="112">
        <v>3000000</v>
      </c>
      <c r="I133" s="112">
        <v>-3000000</v>
      </c>
      <c r="J133" s="112">
        <v>3574500</v>
      </c>
    </row>
    <row r="134" spans="1:10" ht="21.75" x14ac:dyDescent="0.55000000000000004">
      <c r="A134" s="110">
        <v>44345</v>
      </c>
      <c r="B134" s="49">
        <v>1057</v>
      </c>
      <c r="C134" s="49" t="s">
        <v>7</v>
      </c>
      <c r="D134" s="49" t="s">
        <v>48</v>
      </c>
      <c r="E134" s="49" t="s">
        <v>86</v>
      </c>
      <c r="F134" s="112"/>
      <c r="G134" s="112"/>
      <c r="H134" s="112">
        <v>1500000</v>
      </c>
      <c r="I134" s="112">
        <v>-1500000</v>
      </c>
      <c r="J134" s="112">
        <v>2074500</v>
      </c>
    </row>
    <row r="135" spans="1:10" ht="21.75" x14ac:dyDescent="0.55000000000000004">
      <c r="A135" s="110">
        <v>44345</v>
      </c>
      <c r="B135" s="49">
        <v>43937</v>
      </c>
      <c r="C135" s="49" t="s">
        <v>6</v>
      </c>
      <c r="D135" s="49" t="s">
        <v>48</v>
      </c>
      <c r="E135" s="49" t="s">
        <v>103</v>
      </c>
      <c r="F135" s="112"/>
      <c r="G135" s="112">
        <v>140000</v>
      </c>
      <c r="H135" s="112"/>
      <c r="I135" s="112">
        <v>140000</v>
      </c>
      <c r="J135" s="112">
        <v>2214500</v>
      </c>
    </row>
    <row r="136" spans="1:10" ht="21.75" x14ac:dyDescent="0.55000000000000004">
      <c r="A136" s="110">
        <v>44317</v>
      </c>
      <c r="B136" s="49"/>
      <c r="C136" s="49" t="s">
        <v>5</v>
      </c>
      <c r="D136" s="49" t="s">
        <v>50</v>
      </c>
      <c r="E136" s="49" t="s">
        <v>5</v>
      </c>
      <c r="F136" s="112">
        <v>117000.01</v>
      </c>
      <c r="G136" s="112"/>
      <c r="H136" s="112"/>
      <c r="I136" s="112">
        <v>117000.01</v>
      </c>
      <c r="J136" s="112">
        <v>117000.01</v>
      </c>
    </row>
    <row r="137" spans="1:10" ht="21.75" x14ac:dyDescent="0.55000000000000004">
      <c r="A137" s="110">
        <v>44319</v>
      </c>
      <c r="B137" s="49">
        <v>3053</v>
      </c>
      <c r="C137" s="49" t="s">
        <v>7</v>
      </c>
      <c r="D137" s="49" t="s">
        <v>50</v>
      </c>
      <c r="E137" s="49" t="s">
        <v>86</v>
      </c>
      <c r="F137" s="112"/>
      <c r="G137" s="112"/>
      <c r="H137" s="112">
        <v>117000</v>
      </c>
      <c r="I137" s="112">
        <v>-117000</v>
      </c>
      <c r="J137" s="112">
        <v>9.9999999947613105E-3</v>
      </c>
    </row>
    <row r="138" spans="1:10" ht="21.75" x14ac:dyDescent="0.55000000000000004">
      <c r="A138" s="110">
        <v>44317</v>
      </c>
      <c r="B138" s="49"/>
      <c r="C138" s="49" t="s">
        <v>5</v>
      </c>
      <c r="D138" s="49" t="s">
        <v>65</v>
      </c>
      <c r="E138" s="49" t="s">
        <v>5</v>
      </c>
      <c r="F138" s="112"/>
      <c r="G138" s="112"/>
      <c r="H138" s="112"/>
      <c r="I138" s="112">
        <v>0</v>
      </c>
      <c r="J138" s="112">
        <v>0</v>
      </c>
    </row>
    <row r="139" spans="1:10" ht="21.75" x14ac:dyDescent="0.55000000000000004">
      <c r="A139" s="110">
        <v>44317</v>
      </c>
      <c r="B139" s="49"/>
      <c r="C139" s="49" t="s">
        <v>5</v>
      </c>
      <c r="D139" s="49" t="s">
        <v>81</v>
      </c>
      <c r="E139" s="49" t="s">
        <v>5</v>
      </c>
      <c r="F139" s="112">
        <v>1145500</v>
      </c>
      <c r="G139" s="112"/>
      <c r="H139" s="112"/>
      <c r="I139" s="112">
        <v>1145500</v>
      </c>
      <c r="J139" s="112">
        <v>1145500</v>
      </c>
    </row>
    <row r="140" spans="1:10" ht="21.75" x14ac:dyDescent="0.55000000000000004">
      <c r="A140" s="110">
        <v>44340</v>
      </c>
      <c r="B140" s="49"/>
      <c r="C140" s="49" t="s">
        <v>7</v>
      </c>
      <c r="D140" s="49" t="s">
        <v>81</v>
      </c>
      <c r="E140" s="49" t="s">
        <v>86</v>
      </c>
      <c r="F140" s="112"/>
      <c r="G140" s="112"/>
      <c r="H140" s="112">
        <v>1145500</v>
      </c>
      <c r="I140" s="112">
        <v>-1145500</v>
      </c>
      <c r="J140" s="112">
        <v>0</v>
      </c>
    </row>
    <row r="141" spans="1:10" ht="21.75" x14ac:dyDescent="0.55000000000000004">
      <c r="A141" s="110">
        <v>44317</v>
      </c>
      <c r="B141" s="49"/>
      <c r="C141" s="49" t="s">
        <v>5</v>
      </c>
      <c r="D141" s="49" t="s">
        <v>82</v>
      </c>
      <c r="E141" s="49" t="s">
        <v>5</v>
      </c>
      <c r="F141" s="112">
        <v>143000</v>
      </c>
      <c r="G141" s="112"/>
      <c r="H141" s="112"/>
      <c r="I141" s="112">
        <v>143000</v>
      </c>
      <c r="J141" s="112">
        <v>143000</v>
      </c>
    </row>
    <row r="142" spans="1:10" ht="21.75" x14ac:dyDescent="0.55000000000000004">
      <c r="A142" s="110">
        <v>44317</v>
      </c>
      <c r="B142" s="49"/>
      <c r="C142" s="49" t="s">
        <v>5</v>
      </c>
      <c r="D142" s="49" t="s">
        <v>56</v>
      </c>
      <c r="E142" s="49" t="s">
        <v>5</v>
      </c>
      <c r="F142" s="112">
        <v>1528630</v>
      </c>
      <c r="G142" s="112"/>
      <c r="H142" s="112"/>
      <c r="I142" s="112">
        <v>1528630</v>
      </c>
      <c r="J142" s="112">
        <v>1528630</v>
      </c>
    </row>
    <row r="143" spans="1:10" ht="21.75" x14ac:dyDescent="0.55000000000000004">
      <c r="A143" s="110">
        <v>44319</v>
      </c>
      <c r="B143" s="49">
        <v>156211</v>
      </c>
      <c r="C143" s="49" t="s">
        <v>7</v>
      </c>
      <c r="D143" s="49" t="s">
        <v>56</v>
      </c>
      <c r="E143" s="49" t="s">
        <v>86</v>
      </c>
      <c r="F143" s="112"/>
      <c r="G143" s="112"/>
      <c r="H143" s="112">
        <v>1000000</v>
      </c>
      <c r="I143" s="112">
        <v>-1000000</v>
      </c>
      <c r="J143" s="112">
        <v>528630</v>
      </c>
    </row>
    <row r="144" spans="1:10" ht="21.75" x14ac:dyDescent="0.55000000000000004">
      <c r="A144" s="110">
        <v>44319</v>
      </c>
      <c r="B144" s="49">
        <v>369211</v>
      </c>
      <c r="C144" s="49" t="s">
        <v>6</v>
      </c>
      <c r="D144" s="49" t="s">
        <v>56</v>
      </c>
      <c r="E144" s="49" t="s">
        <v>93</v>
      </c>
      <c r="F144" s="112"/>
      <c r="G144" s="112">
        <v>561858</v>
      </c>
      <c r="H144" s="112"/>
      <c r="I144" s="112">
        <v>561858</v>
      </c>
      <c r="J144" s="112">
        <v>1090488</v>
      </c>
    </row>
    <row r="145" spans="1:10" ht="21.75" x14ac:dyDescent="0.55000000000000004">
      <c r="A145" s="110">
        <v>44321</v>
      </c>
      <c r="B145" s="49"/>
      <c r="C145" s="49" t="s">
        <v>7</v>
      </c>
      <c r="D145" s="49" t="s">
        <v>56</v>
      </c>
      <c r="E145" s="49" t="s">
        <v>87</v>
      </c>
      <c r="F145" s="112"/>
      <c r="G145" s="112"/>
      <c r="H145" s="112">
        <v>30000</v>
      </c>
      <c r="I145" s="112">
        <v>-30000</v>
      </c>
      <c r="J145" s="112">
        <v>1060488</v>
      </c>
    </row>
    <row r="146" spans="1:10" ht="21.75" x14ac:dyDescent="0.55000000000000004">
      <c r="A146" s="110">
        <v>44321</v>
      </c>
      <c r="B146" s="49">
        <v>380211</v>
      </c>
      <c r="C146" s="49" t="s">
        <v>6</v>
      </c>
      <c r="D146" s="49" t="s">
        <v>56</v>
      </c>
      <c r="E146" s="49" t="s">
        <v>98</v>
      </c>
      <c r="F146" s="112"/>
      <c r="G146" s="112">
        <v>94106</v>
      </c>
      <c r="H146" s="112"/>
      <c r="I146" s="112">
        <v>94106</v>
      </c>
      <c r="J146" s="112">
        <v>1154594</v>
      </c>
    </row>
    <row r="147" spans="1:10" ht="21.75" x14ac:dyDescent="0.55000000000000004">
      <c r="A147" s="110">
        <v>44323</v>
      </c>
      <c r="B147" s="49">
        <v>388211</v>
      </c>
      <c r="C147" s="49" t="s">
        <v>6</v>
      </c>
      <c r="D147" s="49" t="s">
        <v>56</v>
      </c>
      <c r="E147" s="49" t="s">
        <v>102</v>
      </c>
      <c r="F147" s="112"/>
      <c r="G147" s="112">
        <v>127240</v>
      </c>
      <c r="H147" s="112"/>
      <c r="I147" s="112">
        <v>127240</v>
      </c>
      <c r="J147" s="112">
        <v>1281834</v>
      </c>
    </row>
    <row r="148" spans="1:10" ht="21.75" x14ac:dyDescent="0.55000000000000004">
      <c r="A148" s="110">
        <v>44327</v>
      </c>
      <c r="B148" s="49">
        <v>404211</v>
      </c>
      <c r="C148" s="49" t="s">
        <v>6</v>
      </c>
      <c r="D148" s="49" t="s">
        <v>56</v>
      </c>
      <c r="E148" s="49" t="s">
        <v>123</v>
      </c>
      <c r="F148" s="112"/>
      <c r="G148" s="112">
        <v>279952</v>
      </c>
      <c r="H148" s="112"/>
      <c r="I148" s="112">
        <v>279952</v>
      </c>
      <c r="J148" s="112">
        <v>1561786</v>
      </c>
    </row>
    <row r="149" spans="1:10" ht="21.75" x14ac:dyDescent="0.55000000000000004">
      <c r="A149" s="110">
        <v>44329</v>
      </c>
      <c r="B149" s="49">
        <v>173211</v>
      </c>
      <c r="C149" s="49" t="s">
        <v>7</v>
      </c>
      <c r="D149" s="49" t="s">
        <v>56</v>
      </c>
      <c r="E149" s="49" t="s">
        <v>86</v>
      </c>
      <c r="F149" s="112"/>
      <c r="G149" s="112"/>
      <c r="H149" s="112">
        <v>1000000</v>
      </c>
      <c r="I149" s="112">
        <v>-1000000</v>
      </c>
      <c r="J149" s="112">
        <v>561786</v>
      </c>
    </row>
    <row r="150" spans="1:10" ht="21.75" x14ac:dyDescent="0.55000000000000004">
      <c r="A150" s="110">
        <v>44329</v>
      </c>
      <c r="B150" s="49">
        <v>413211</v>
      </c>
      <c r="C150" s="49" t="s">
        <v>6</v>
      </c>
      <c r="D150" s="49" t="s">
        <v>56</v>
      </c>
      <c r="E150" s="49" t="s">
        <v>133</v>
      </c>
      <c r="F150" s="112"/>
      <c r="G150" s="112">
        <v>76570</v>
      </c>
      <c r="H150" s="112"/>
      <c r="I150" s="112">
        <v>76570</v>
      </c>
      <c r="J150" s="112">
        <v>638356</v>
      </c>
    </row>
    <row r="151" spans="1:10" ht="21.75" x14ac:dyDescent="0.55000000000000004">
      <c r="A151" s="110">
        <v>44330</v>
      </c>
      <c r="B151" s="49">
        <v>422211</v>
      </c>
      <c r="C151" s="49" t="s">
        <v>6</v>
      </c>
      <c r="D151" s="49" t="s">
        <v>56</v>
      </c>
      <c r="E151" s="49" t="s">
        <v>138</v>
      </c>
      <c r="F151" s="112"/>
      <c r="G151" s="112">
        <v>92801</v>
      </c>
      <c r="H151" s="112"/>
      <c r="I151" s="112">
        <v>92801</v>
      </c>
      <c r="J151" s="112">
        <v>731157</v>
      </c>
    </row>
    <row r="152" spans="1:10" ht="21.75" x14ac:dyDescent="0.55000000000000004">
      <c r="A152" s="110">
        <v>44333</v>
      </c>
      <c r="B152" s="49">
        <v>431211</v>
      </c>
      <c r="C152" s="49" t="s">
        <v>6</v>
      </c>
      <c r="D152" s="49" t="s">
        <v>56</v>
      </c>
      <c r="E152" s="49" t="s">
        <v>139</v>
      </c>
      <c r="F152" s="112"/>
      <c r="G152" s="112">
        <v>123795</v>
      </c>
      <c r="H152" s="112"/>
      <c r="I152" s="112">
        <v>123795</v>
      </c>
      <c r="J152" s="112">
        <v>854952</v>
      </c>
    </row>
    <row r="153" spans="1:10" ht="21.75" x14ac:dyDescent="0.55000000000000004">
      <c r="A153" s="110">
        <v>44335</v>
      </c>
      <c r="B153" s="49">
        <v>435211</v>
      </c>
      <c r="C153" s="49" t="s">
        <v>6</v>
      </c>
      <c r="D153" s="49" t="s">
        <v>56</v>
      </c>
      <c r="E153" s="49" t="s">
        <v>140</v>
      </c>
      <c r="F153" s="112"/>
      <c r="G153" s="112">
        <v>424487</v>
      </c>
      <c r="H153" s="112"/>
      <c r="I153" s="112">
        <v>424487</v>
      </c>
      <c r="J153" s="112">
        <v>1279439</v>
      </c>
    </row>
    <row r="154" spans="1:10" ht="21.75" x14ac:dyDescent="0.55000000000000004">
      <c r="A154" s="110">
        <v>44330</v>
      </c>
      <c r="B154" s="49">
        <v>423211</v>
      </c>
      <c r="C154" s="49" t="s">
        <v>6</v>
      </c>
      <c r="D154" s="49" t="s">
        <v>56</v>
      </c>
      <c r="E154" s="49" t="s">
        <v>149</v>
      </c>
      <c r="F154" s="112"/>
      <c r="G154" s="112">
        <v>59670</v>
      </c>
      <c r="H154" s="112"/>
      <c r="I154" s="112">
        <v>59670</v>
      </c>
      <c r="J154" s="112">
        <v>1339109</v>
      </c>
    </row>
    <row r="155" spans="1:10" ht="21.75" x14ac:dyDescent="0.55000000000000004">
      <c r="A155" s="110">
        <v>44340</v>
      </c>
      <c r="B155" s="49">
        <v>192211</v>
      </c>
      <c r="C155" s="49" t="s">
        <v>7</v>
      </c>
      <c r="D155" s="49" t="s">
        <v>56</v>
      </c>
      <c r="E155" s="49" t="s">
        <v>86</v>
      </c>
      <c r="F155" s="112"/>
      <c r="G155" s="112"/>
      <c r="H155" s="112">
        <v>1000000</v>
      </c>
      <c r="I155" s="112">
        <v>-1000000</v>
      </c>
      <c r="J155" s="112">
        <v>339109</v>
      </c>
    </row>
    <row r="156" spans="1:10" ht="21.75" x14ac:dyDescent="0.55000000000000004">
      <c r="A156" s="110">
        <v>44344</v>
      </c>
      <c r="B156" s="49">
        <v>470211</v>
      </c>
      <c r="C156" s="49" t="s">
        <v>6</v>
      </c>
      <c r="D156" s="49" t="s">
        <v>56</v>
      </c>
      <c r="E156" s="49" t="s">
        <v>163</v>
      </c>
      <c r="F156" s="112"/>
      <c r="G156" s="112">
        <v>196884</v>
      </c>
      <c r="H156" s="112"/>
      <c r="I156" s="112">
        <v>196884</v>
      </c>
      <c r="J156" s="112">
        <v>535993</v>
      </c>
    </row>
    <row r="157" spans="1:10" ht="21.75" x14ac:dyDescent="0.55000000000000004">
      <c r="A157" s="110">
        <v>44340</v>
      </c>
      <c r="B157" s="49">
        <v>462211</v>
      </c>
      <c r="C157" s="49" t="s">
        <v>6</v>
      </c>
      <c r="D157" s="49" t="s">
        <v>56</v>
      </c>
      <c r="E157" s="49" t="s">
        <v>164</v>
      </c>
      <c r="F157" s="112"/>
      <c r="G157" s="112">
        <v>155728</v>
      </c>
      <c r="H157" s="112"/>
      <c r="I157" s="112">
        <v>155728</v>
      </c>
      <c r="J157" s="112">
        <v>691721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J15"/>
  <sheetViews>
    <sheetView topLeftCell="A2" workbookViewId="0">
      <selection activeCell="A2" sqref="A2:J15"/>
    </sheetView>
  </sheetViews>
  <sheetFormatPr defaultRowHeight="15" x14ac:dyDescent="0.25"/>
  <cols>
    <col min="1" max="1" width="17.85546875" style="83" bestFit="1" customWidth="1"/>
    <col min="2" max="2" width="18.85546875" bestFit="1" customWidth="1"/>
    <col min="3" max="3" width="22.28515625" bestFit="1" customWidth="1"/>
    <col min="4" max="4" width="28.42578125" bestFit="1" customWidth="1"/>
    <col min="5" max="5" width="40.42578125" bestFit="1" customWidth="1"/>
    <col min="6" max="6" width="21.5703125" bestFit="1" customWidth="1"/>
    <col min="7" max="7" width="22.5703125" bestFit="1" customWidth="1"/>
    <col min="8" max="8" width="22.28515625" bestFit="1" customWidth="1"/>
    <col min="9" max="9" width="21.140625" style="85" bestFit="1" customWidth="1"/>
    <col min="10" max="10" width="10" bestFit="1" customWidth="1"/>
  </cols>
  <sheetData>
    <row r="1" spans="1:10" ht="21.75" x14ac:dyDescent="0.55000000000000004">
      <c r="A1" s="82" t="s">
        <v>106</v>
      </c>
      <c r="B1" s="49" t="s">
        <v>107</v>
      </c>
      <c r="C1" s="49" t="s">
        <v>108</v>
      </c>
      <c r="D1" s="49" t="s">
        <v>109</v>
      </c>
      <c r="E1" s="49" t="s">
        <v>110</v>
      </c>
      <c r="F1" s="49" t="s">
        <v>111</v>
      </c>
      <c r="G1" s="49" t="s">
        <v>112</v>
      </c>
      <c r="H1" s="49" t="s">
        <v>113</v>
      </c>
      <c r="I1" s="84" t="s">
        <v>114</v>
      </c>
      <c r="J1" s="49" t="s">
        <v>115</v>
      </c>
    </row>
    <row r="2" spans="1:10" ht="21.75" x14ac:dyDescent="0.55000000000000004">
      <c r="A2" s="82">
        <v>44317</v>
      </c>
      <c r="B2" s="49"/>
      <c r="C2" s="49" t="s">
        <v>5</v>
      </c>
      <c r="D2" s="49" t="s">
        <v>75</v>
      </c>
      <c r="E2" s="49" t="s">
        <v>5</v>
      </c>
      <c r="F2" s="49">
        <v>18952000</v>
      </c>
      <c r="G2" s="49"/>
      <c r="H2" s="49"/>
      <c r="I2" s="84">
        <v>18952000</v>
      </c>
      <c r="J2" s="49" t="s">
        <v>116</v>
      </c>
    </row>
    <row r="3" spans="1:10" ht="21.75" x14ac:dyDescent="0.55000000000000004">
      <c r="A3" s="82">
        <v>44317</v>
      </c>
      <c r="B3" s="49"/>
      <c r="C3" s="49" t="s">
        <v>5</v>
      </c>
      <c r="D3" s="49" t="s">
        <v>76</v>
      </c>
      <c r="E3" s="49" t="s">
        <v>5</v>
      </c>
      <c r="F3" s="49">
        <v>3917000</v>
      </c>
      <c r="G3" s="49"/>
      <c r="H3" s="49"/>
      <c r="I3" s="84">
        <v>3917000</v>
      </c>
      <c r="J3" s="49" t="s">
        <v>117</v>
      </c>
    </row>
    <row r="4" spans="1:10" ht="21.75" x14ac:dyDescent="0.55000000000000004">
      <c r="A4" s="82">
        <v>44319</v>
      </c>
      <c r="B4" s="49">
        <v>12785</v>
      </c>
      <c r="C4" s="49" t="s">
        <v>7</v>
      </c>
      <c r="D4" s="49" t="s">
        <v>76</v>
      </c>
      <c r="E4" s="49" t="s">
        <v>86</v>
      </c>
      <c r="F4" s="49"/>
      <c r="G4" s="49"/>
      <c r="H4" s="49">
        <v>906000</v>
      </c>
      <c r="I4" s="84">
        <v>-906000</v>
      </c>
      <c r="J4" s="49" t="s">
        <v>117</v>
      </c>
    </row>
    <row r="5" spans="1:10" ht="21.75" x14ac:dyDescent="0.55000000000000004">
      <c r="A5" s="82">
        <v>44319</v>
      </c>
      <c r="B5" s="49">
        <v>1457</v>
      </c>
      <c r="C5" s="49" t="s">
        <v>6</v>
      </c>
      <c r="D5" s="49" t="s">
        <v>76</v>
      </c>
      <c r="E5" s="49" t="s">
        <v>95</v>
      </c>
      <c r="F5" s="49"/>
      <c r="G5" s="49">
        <v>2488000</v>
      </c>
      <c r="H5" s="49"/>
      <c r="I5" s="84">
        <v>2488000</v>
      </c>
      <c r="J5" s="49" t="s">
        <v>117</v>
      </c>
    </row>
    <row r="6" spans="1:10" ht="21.75" x14ac:dyDescent="0.55000000000000004">
      <c r="A6" s="82">
        <v>44320</v>
      </c>
      <c r="B6" s="49">
        <v>811</v>
      </c>
      <c r="C6" s="49" t="s">
        <v>6</v>
      </c>
      <c r="D6" s="49" t="s">
        <v>75</v>
      </c>
      <c r="E6" s="49" t="s">
        <v>129</v>
      </c>
      <c r="F6" s="49"/>
      <c r="G6" s="49">
        <v>9270000</v>
      </c>
      <c r="H6" s="49"/>
      <c r="I6" s="84">
        <v>9270000</v>
      </c>
      <c r="J6" s="49" t="s">
        <v>116</v>
      </c>
    </row>
    <row r="7" spans="1:10" ht="21.75" x14ac:dyDescent="0.55000000000000004">
      <c r="A7" s="82">
        <v>44320</v>
      </c>
      <c r="B7" s="49">
        <v>29027</v>
      </c>
      <c r="C7" s="49" t="s">
        <v>6</v>
      </c>
      <c r="D7" s="49" t="s">
        <v>75</v>
      </c>
      <c r="E7" s="49" t="s">
        <v>130</v>
      </c>
      <c r="F7" s="49"/>
      <c r="G7" s="49">
        <v>4300000</v>
      </c>
      <c r="H7" s="49"/>
      <c r="I7" s="84">
        <v>4300000</v>
      </c>
      <c r="J7" s="49" t="s">
        <v>116</v>
      </c>
    </row>
    <row r="8" spans="1:10" ht="21.75" x14ac:dyDescent="0.55000000000000004">
      <c r="A8" s="82">
        <v>44320</v>
      </c>
      <c r="B8" s="49">
        <v>1457</v>
      </c>
      <c r="C8" s="49" t="s">
        <v>6</v>
      </c>
      <c r="D8" s="49" t="s">
        <v>76</v>
      </c>
      <c r="E8" s="49" t="s">
        <v>95</v>
      </c>
      <c r="F8" s="49"/>
      <c r="G8" s="49">
        <v>2177000</v>
      </c>
      <c r="H8" s="49"/>
      <c r="I8" s="84">
        <v>2177000</v>
      </c>
      <c r="J8" s="49" t="s">
        <v>117</v>
      </c>
    </row>
    <row r="9" spans="1:10" ht="21.75" x14ac:dyDescent="0.55000000000000004">
      <c r="A9" s="82">
        <v>44320</v>
      </c>
      <c r="B9" s="49">
        <v>1483</v>
      </c>
      <c r="C9" s="49" t="s">
        <v>6</v>
      </c>
      <c r="D9" s="49" t="s">
        <v>76</v>
      </c>
      <c r="E9" s="49" t="s">
        <v>97</v>
      </c>
      <c r="F9" s="49"/>
      <c r="G9" s="49">
        <v>3700000</v>
      </c>
      <c r="H9" s="49"/>
      <c r="I9" s="84">
        <v>3700000</v>
      </c>
      <c r="J9" s="49" t="s">
        <v>117</v>
      </c>
    </row>
    <row r="10" spans="1:10" ht="21.75" x14ac:dyDescent="0.55000000000000004">
      <c r="A10" s="82">
        <v>44326</v>
      </c>
      <c r="B10" s="49">
        <v>12842</v>
      </c>
      <c r="C10" s="49" t="s">
        <v>7</v>
      </c>
      <c r="D10" s="49" t="s">
        <v>76</v>
      </c>
      <c r="E10" s="49" t="s">
        <v>86</v>
      </c>
      <c r="F10" s="49"/>
      <c r="G10" s="49"/>
      <c r="H10" s="49">
        <v>2000000</v>
      </c>
      <c r="I10" s="84">
        <v>-2000000</v>
      </c>
      <c r="J10" s="49" t="s">
        <v>117</v>
      </c>
    </row>
    <row r="11" spans="1:10" ht="21.75" x14ac:dyDescent="0.55000000000000004">
      <c r="A11" s="82">
        <v>44326</v>
      </c>
      <c r="B11" s="49"/>
      <c r="C11" s="49" t="s">
        <v>7</v>
      </c>
      <c r="D11" s="49" t="s">
        <v>76</v>
      </c>
      <c r="E11" s="49" t="s">
        <v>86</v>
      </c>
      <c r="F11" s="49"/>
      <c r="G11" s="49"/>
      <c r="H11" s="49">
        <v>600000</v>
      </c>
      <c r="I11" s="84">
        <v>-600000</v>
      </c>
      <c r="J11" s="49" t="s">
        <v>117</v>
      </c>
    </row>
    <row r="12" spans="1:10" ht="21.75" x14ac:dyDescent="0.55000000000000004">
      <c r="A12" s="82">
        <v>44327</v>
      </c>
      <c r="B12" s="49">
        <v>2899</v>
      </c>
      <c r="C12" s="49" t="s">
        <v>7</v>
      </c>
      <c r="D12" s="49" t="s">
        <v>76</v>
      </c>
      <c r="E12" s="49" t="s">
        <v>127</v>
      </c>
      <c r="F12" s="49"/>
      <c r="G12" s="49">
        <v>570000</v>
      </c>
      <c r="H12" s="49"/>
      <c r="I12" s="84">
        <v>570000</v>
      </c>
      <c r="J12" s="49" t="s">
        <v>117</v>
      </c>
    </row>
    <row r="13" spans="1:10" ht="21.75" x14ac:dyDescent="0.55000000000000004">
      <c r="A13" s="82">
        <v>44330</v>
      </c>
      <c r="B13" s="49">
        <v>2199</v>
      </c>
      <c r="C13" s="49" t="s">
        <v>7</v>
      </c>
      <c r="D13" s="49" t="s">
        <v>76</v>
      </c>
      <c r="E13" s="49" t="s">
        <v>86</v>
      </c>
      <c r="F13" s="49"/>
      <c r="G13" s="49"/>
      <c r="H13" s="49">
        <v>8596000</v>
      </c>
      <c r="I13" s="84">
        <v>-8596000</v>
      </c>
      <c r="J13" s="49" t="s">
        <v>117</v>
      </c>
    </row>
    <row r="14" spans="1:10" ht="21.75" x14ac:dyDescent="0.55000000000000004">
      <c r="A14" s="82">
        <v>44335</v>
      </c>
      <c r="B14" s="49">
        <v>12933</v>
      </c>
      <c r="C14" s="49" t="s">
        <v>7</v>
      </c>
      <c r="D14" s="49" t="s">
        <v>75</v>
      </c>
      <c r="E14" s="49" t="s">
        <v>151</v>
      </c>
      <c r="F14" s="49"/>
      <c r="G14" s="49"/>
      <c r="H14" s="49">
        <v>2320000</v>
      </c>
      <c r="I14" s="84">
        <v>-2320000</v>
      </c>
      <c r="J14" s="49" t="s">
        <v>116</v>
      </c>
    </row>
    <row r="15" spans="1:10" ht="21.75" x14ac:dyDescent="0.55000000000000004">
      <c r="A15" s="82">
        <v>44335</v>
      </c>
      <c r="B15" s="49">
        <v>12933</v>
      </c>
      <c r="C15" s="49" t="s">
        <v>7</v>
      </c>
      <c r="D15" s="49" t="s">
        <v>75</v>
      </c>
      <c r="E15" s="49" t="s">
        <v>151</v>
      </c>
      <c r="F15" s="49"/>
      <c r="G15" s="49"/>
      <c r="H15" s="49">
        <v>2150000</v>
      </c>
      <c r="I15" s="84">
        <v>-2150000</v>
      </c>
      <c r="J15" s="49" t="s">
        <v>116</v>
      </c>
    </row>
  </sheetData>
  <phoneticPr fontId="1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AD8E6CF-ED4C-4951-829D-6E87BE61142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</vt:i4>
      </vt:variant>
    </vt:vector>
  </HeadingPairs>
  <TitlesOfParts>
    <vt:vector size="26" baseType="lpstr">
      <vt:lpstr>Supplier (COA)</vt:lpstr>
      <vt:lpstr>Armax Engine Oil</vt:lpstr>
      <vt:lpstr>Aspire Aim Machinery</vt:lpstr>
      <vt:lpstr>Aung Myit Tar</vt:lpstr>
      <vt:lpstr>GBS Co, LTD Tricycle</vt:lpstr>
      <vt:lpstr>Delita International Limited</vt:lpstr>
      <vt:lpstr>GBS Co, LTD Engine</vt:lpstr>
      <vt:lpstr>GBS Spare</vt:lpstr>
      <vt:lpstr>Ko Win Hlaing</vt:lpstr>
      <vt:lpstr>Kyinn Loon Myanmar</vt:lpstr>
      <vt:lpstr>Ma Au Bin</vt:lpstr>
      <vt:lpstr>Mann Ayawadi</vt:lpstr>
      <vt:lpstr>MDL Tricycle Spare</vt:lpstr>
      <vt:lpstr>Moe Thauk Ayar</vt:lpstr>
      <vt:lpstr>Sein Wut Hmon Co, LTD</vt:lpstr>
      <vt:lpstr>Shwe Than Lwin</vt:lpstr>
      <vt:lpstr>Shwe Yar Su</vt:lpstr>
      <vt:lpstr>Super</vt:lpstr>
      <vt:lpstr>Tat Shwe La Win </vt:lpstr>
      <vt:lpstr>UMG Co,LTD</vt:lpstr>
      <vt:lpstr>Zan (or) Mg Mg Soe</vt:lpstr>
      <vt:lpstr>Total Balance</vt:lpstr>
      <vt:lpstr>Pivot Table</vt:lpstr>
      <vt:lpstr>Data Combine</vt:lpstr>
      <vt:lpstr>Sheet2</vt:lpstr>
      <vt:lpstr>'Total Balance'!Print_Area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User</cp:lastModifiedBy>
  <cp:lastPrinted>2021-03-13T22:35:13Z</cp:lastPrinted>
  <dcterms:created xsi:type="dcterms:W3CDTF">2021-03-05T16:53:14Z</dcterms:created>
  <dcterms:modified xsi:type="dcterms:W3CDTF">2021-10-03T02:09:51Z</dcterms:modified>
</cp:coreProperties>
</file>