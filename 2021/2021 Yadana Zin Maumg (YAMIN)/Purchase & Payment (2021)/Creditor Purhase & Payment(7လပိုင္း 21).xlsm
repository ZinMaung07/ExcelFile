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2.xml" ContentType="application/vnd.openxmlformats-officedocument.spreadsheetml.table+xml"/>
  <Override PartName="/xl/queryTables/queryTable1.xml" ContentType="application/vnd.openxmlformats-officedocument.spreadsheetml.query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Yadana Zin Maung Account(YAMIN)\Purchase &amp; Payment (2021)\"/>
    </mc:Choice>
  </mc:AlternateContent>
  <bookViews>
    <workbookView xWindow="-120" yWindow="-120" windowWidth="20730" windowHeight="11160" firstSheet="2" activeTab="4"/>
  </bookViews>
  <sheets>
    <sheet name="Supplier (COA)" sheetId="21" r:id="rId1"/>
    <sheet name="Armax Engine Oil" sheetId="1" r:id="rId2"/>
    <sheet name="Aspire Aim Machinery" sheetId="3" r:id="rId3"/>
    <sheet name="Aung Myit Tar" sheetId="4" r:id="rId4"/>
    <sheet name="GBS Co, LTD Tricycle" sheetId="6" r:id="rId5"/>
    <sheet name="Delita International Limited" sheetId="5" r:id="rId6"/>
    <sheet name="GBS Co, LTD Engine" sheetId="22" r:id="rId7"/>
    <sheet name="GBS Spare" sheetId="7" r:id="rId8"/>
    <sheet name="Ko Win Hlaing" sheetId="8" r:id="rId9"/>
    <sheet name="Kyinn Loon Myanmar" sheetId="9" r:id="rId10"/>
    <sheet name="Ma Au Bin" sheetId="10" r:id="rId11"/>
    <sheet name="Mann Ayawadi" sheetId="11" r:id="rId12"/>
    <sheet name="MDL Tricycle Spare" sheetId="12" r:id="rId13"/>
    <sheet name="Moe Thauk Ayar" sheetId="13" r:id="rId14"/>
    <sheet name="Sein Wut Hmon Co, LTD" sheetId="14" r:id="rId15"/>
    <sheet name="Shwe Than Lwin" sheetId="15" r:id="rId16"/>
    <sheet name="Shwe Yar Su" sheetId="16" r:id="rId17"/>
    <sheet name="Super" sheetId="17" r:id="rId18"/>
    <sheet name="Tat Shwe La Win " sheetId="18" r:id="rId19"/>
    <sheet name="UMG Co,LTD" sheetId="19" r:id="rId20"/>
    <sheet name="Zan (or) Mg Mg Soe" sheetId="20" r:id="rId21"/>
    <sheet name="Total Balance" sheetId="53" r:id="rId22"/>
    <sheet name="Pivot Table" sheetId="63" r:id="rId23"/>
    <sheet name="Data Combile" sheetId="62" r:id="rId24"/>
    <sheet name="Sheet2" sheetId="58" r:id="rId25"/>
  </sheets>
  <definedNames>
    <definedName name="ExternalData_1" localSheetId="23" hidden="1">'Data Combile'!$A$1:$J$54</definedName>
    <definedName name="_xlnm.Print_Area" localSheetId="21">'Total Balance'!$A$1:$F$23</definedName>
  </definedNames>
  <calcPr calcId="162913"/>
  <pivotCaches>
    <pivotCache cacheId="38" r:id="rId2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6" l="1"/>
  <c r="J2" i="6"/>
  <c r="I3" i="6"/>
  <c r="J3" i="6"/>
  <c r="J2" i="22"/>
  <c r="E23" i="53" l="1"/>
  <c r="C3" i="53"/>
  <c r="D3" i="53"/>
  <c r="E3" i="53"/>
  <c r="F3" i="53"/>
  <c r="C4" i="53"/>
  <c r="D4" i="53"/>
  <c r="E4" i="53"/>
  <c r="F4" i="53"/>
  <c r="C5" i="53"/>
  <c r="D5" i="53"/>
  <c r="E5" i="53"/>
  <c r="F5" i="53"/>
  <c r="C6" i="53"/>
  <c r="D6" i="53"/>
  <c r="E6" i="53"/>
  <c r="F6" i="53"/>
  <c r="C7" i="53"/>
  <c r="D7" i="53"/>
  <c r="E7" i="53"/>
  <c r="F7" i="53"/>
  <c r="C8" i="53"/>
  <c r="D8" i="53"/>
  <c r="E8" i="53"/>
  <c r="F8" i="53"/>
  <c r="C9" i="53"/>
  <c r="D9" i="53"/>
  <c r="E9" i="53"/>
  <c r="F9" i="53"/>
  <c r="C10" i="53"/>
  <c r="D10" i="53"/>
  <c r="E10" i="53"/>
  <c r="F10" i="53"/>
  <c r="C11" i="53"/>
  <c r="D11" i="53"/>
  <c r="E11" i="53"/>
  <c r="F11" i="53"/>
  <c r="C12" i="53"/>
  <c r="D12" i="53"/>
  <c r="E12" i="53"/>
  <c r="F12" i="53"/>
  <c r="C13" i="53"/>
  <c r="D13" i="53"/>
  <c r="E13" i="53"/>
  <c r="F13" i="53"/>
  <c r="C14" i="53"/>
  <c r="D14" i="53"/>
  <c r="E14" i="53"/>
  <c r="F14" i="53"/>
  <c r="C15" i="53"/>
  <c r="D15" i="53"/>
  <c r="E15" i="53"/>
  <c r="F15" i="53"/>
  <c r="C16" i="53"/>
  <c r="D16" i="53"/>
  <c r="E16" i="53"/>
  <c r="F16" i="53"/>
  <c r="C17" i="53"/>
  <c r="D17" i="53"/>
  <c r="E17" i="53"/>
  <c r="F17" i="53"/>
  <c r="C18" i="53"/>
  <c r="D18" i="53"/>
  <c r="E18" i="53"/>
  <c r="F18" i="53"/>
  <c r="C19" i="53"/>
  <c r="D19" i="53"/>
  <c r="E19" i="53"/>
  <c r="F19" i="53"/>
  <c r="C20" i="53"/>
  <c r="D20" i="53"/>
  <c r="E20" i="53"/>
  <c r="F20" i="53"/>
  <c r="C21" i="53"/>
  <c r="D21" i="53"/>
  <c r="E21" i="53"/>
  <c r="F21" i="53"/>
  <c r="D2" i="53"/>
  <c r="E2" i="53"/>
  <c r="F2" i="53"/>
  <c r="C2" i="53"/>
  <c r="J4" i="20" l="1"/>
  <c r="J3" i="20"/>
  <c r="J2" i="20"/>
  <c r="J2" i="19"/>
  <c r="J2" i="18"/>
  <c r="J2" i="17"/>
  <c r="J2" i="16"/>
  <c r="J4" i="15"/>
  <c r="J5" i="15"/>
  <c r="J6" i="15" s="1"/>
  <c r="J7" i="15" s="1"/>
  <c r="J8" i="15" s="1"/>
  <c r="J3" i="15"/>
  <c r="J2" i="15"/>
  <c r="J2" i="14"/>
  <c r="J2" i="13"/>
  <c r="J2" i="12"/>
  <c r="J2" i="11"/>
  <c r="J2" i="10"/>
  <c r="J2" i="9"/>
  <c r="J2" i="8"/>
  <c r="J2" i="7"/>
  <c r="J2" i="5"/>
  <c r="J2" i="3" l="1"/>
  <c r="J2" i="1"/>
  <c r="I8" i="15" l="1"/>
  <c r="I8" i="4"/>
  <c r="I7" i="4"/>
  <c r="I6" i="4"/>
  <c r="I5" i="4"/>
  <c r="I4" i="4"/>
  <c r="I7" i="15" l="1"/>
  <c r="I6" i="15"/>
  <c r="I5" i="15"/>
  <c r="I4" i="15"/>
  <c r="I4" i="20"/>
  <c r="I3" i="4" l="1"/>
  <c r="D23" i="53" l="1"/>
  <c r="I2" i="16"/>
  <c r="I2" i="17"/>
  <c r="I2" i="18"/>
  <c r="I3" i="20"/>
  <c r="C23" i="53" l="1"/>
  <c r="F23" i="53" l="1"/>
  <c r="I2" i="20"/>
  <c r="I2" i="19"/>
  <c r="I3" i="15"/>
  <c r="I2" i="15"/>
  <c r="I2" i="14"/>
  <c r="I2" i="13"/>
  <c r="I2" i="12"/>
  <c r="I2" i="11"/>
  <c r="I2" i="10"/>
  <c r="I2" i="9"/>
  <c r="I2" i="8"/>
  <c r="I2" i="7"/>
  <c r="I2" i="22"/>
  <c r="I2" i="5"/>
  <c r="I2" i="4"/>
  <c r="J2" i="4" s="1"/>
  <c r="J3" i="4" s="1"/>
  <c r="J4" i="4" s="1"/>
  <c r="J5" i="4" s="1"/>
  <c r="J6" i="4" s="1"/>
  <c r="J7" i="4" s="1"/>
  <c r="J8" i="4" s="1"/>
  <c r="I2" i="3"/>
  <c r="I2" i="1"/>
</calcChain>
</file>

<file path=xl/comments1.xml><?xml version="1.0" encoding="utf-8"?>
<comments xmlns="http://schemas.openxmlformats.org/spreadsheetml/2006/main">
  <authors>
    <author>User</author>
  </authors>
  <commentList>
    <comment ref="G14" authorId="0" shape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60 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</connections>
</file>

<file path=xl/sharedStrings.xml><?xml version="1.0" encoding="utf-8"?>
<sst xmlns="http://schemas.openxmlformats.org/spreadsheetml/2006/main" count="605" uniqueCount="117">
  <si>
    <t>No</t>
  </si>
  <si>
    <t>Date</t>
  </si>
  <si>
    <t>Supplier Code</t>
  </si>
  <si>
    <t>Supplier Name</t>
  </si>
  <si>
    <t>Item Name</t>
  </si>
  <si>
    <t>Opening</t>
  </si>
  <si>
    <t>Purchase</t>
  </si>
  <si>
    <t>Payment</t>
  </si>
  <si>
    <t>Balance</t>
  </si>
  <si>
    <t>Armax Engine Oil</t>
  </si>
  <si>
    <t>Sub Account Name</t>
  </si>
  <si>
    <t>Pay202</t>
  </si>
  <si>
    <t>Arr Thit</t>
  </si>
  <si>
    <t>Current Assets</t>
  </si>
  <si>
    <t>Pay203</t>
  </si>
  <si>
    <t>Aspire Aim Machinery</t>
  </si>
  <si>
    <t>Non-Current Assets</t>
  </si>
  <si>
    <t>Pay204</t>
  </si>
  <si>
    <t>Aung Myit Tar</t>
  </si>
  <si>
    <t>Current Liabilities</t>
  </si>
  <si>
    <t>Pay205</t>
  </si>
  <si>
    <t>Delta International Limited</t>
  </si>
  <si>
    <t>Non-Current Liabilities</t>
  </si>
  <si>
    <t>Pay206</t>
  </si>
  <si>
    <t>Shereholder's and equity</t>
  </si>
  <si>
    <t>Pay207</t>
  </si>
  <si>
    <t>GBS Fertilizer</t>
  </si>
  <si>
    <t>Sales</t>
  </si>
  <si>
    <t>Pay208</t>
  </si>
  <si>
    <t>GBS Spare</t>
  </si>
  <si>
    <t>Cost of good sold</t>
  </si>
  <si>
    <t>Pay209</t>
  </si>
  <si>
    <t>Hope Flowers Fertilizer</t>
  </si>
  <si>
    <t>Other Income</t>
  </si>
  <si>
    <t>Pay210</t>
  </si>
  <si>
    <t>Hur Hong Co.Ltd</t>
  </si>
  <si>
    <t>Other Expenses</t>
  </si>
  <si>
    <t>Pay211</t>
  </si>
  <si>
    <t xml:space="preserve">Ko Win Hlaing </t>
  </si>
  <si>
    <t>Pay212</t>
  </si>
  <si>
    <t>Kyaw Ball</t>
  </si>
  <si>
    <t>Pay213</t>
  </si>
  <si>
    <t>Ma Au Bin</t>
  </si>
  <si>
    <t>Pay214</t>
  </si>
  <si>
    <t>MDL Tricycle Spare</t>
  </si>
  <si>
    <t>Pay215</t>
  </si>
  <si>
    <t>Sein Wut Hmon Co.Ltd</t>
  </si>
  <si>
    <t>Pay216</t>
  </si>
  <si>
    <t>Shwe Than Lwin</t>
  </si>
  <si>
    <t>Pay217</t>
  </si>
  <si>
    <t>Shwe Yar Su</t>
  </si>
  <si>
    <t>Pay218</t>
  </si>
  <si>
    <t>Tat Shwe La Win</t>
  </si>
  <si>
    <t>Pay219</t>
  </si>
  <si>
    <t>UMG Co,Ltd</t>
  </si>
  <si>
    <t>Pay220</t>
  </si>
  <si>
    <t>Zan (or) Mg Mg Soe</t>
  </si>
  <si>
    <t>Pay221</t>
  </si>
  <si>
    <t>Kyinn Loon Myanmar</t>
  </si>
  <si>
    <t>Pay222</t>
  </si>
  <si>
    <t>Moe thauk Ayar</t>
  </si>
  <si>
    <t>Pay223</t>
  </si>
  <si>
    <t>Pay224</t>
  </si>
  <si>
    <t>Mann Ayarwadi</t>
  </si>
  <si>
    <t>Pay225</t>
  </si>
  <si>
    <t>Super</t>
  </si>
  <si>
    <t>Pay226</t>
  </si>
  <si>
    <t xml:space="preserve">Ko Hla Ngwe </t>
  </si>
  <si>
    <t>GBS Co.Ltd Tricycle</t>
  </si>
  <si>
    <t>GBS Co.Ltd  Engine</t>
  </si>
  <si>
    <t>A/C Tipe</t>
  </si>
  <si>
    <t>½</t>
  </si>
  <si>
    <t>Pay228</t>
  </si>
  <si>
    <t>Vr.No</t>
  </si>
  <si>
    <t>Delita International Limied</t>
  </si>
  <si>
    <t>GBS Co, LTD Tricycle</t>
  </si>
  <si>
    <t>GBS Co, LTD Engine</t>
  </si>
  <si>
    <t>Ko Win Hlaing</t>
  </si>
  <si>
    <t>Mann Ayawadi</t>
  </si>
  <si>
    <t>Moe Thauk Ayar</t>
  </si>
  <si>
    <t>Sein Wut Hmon Co, LTD</t>
  </si>
  <si>
    <t xml:space="preserve">Tat Shwe La Win </t>
  </si>
  <si>
    <t>UMG Co,LTD</t>
  </si>
  <si>
    <t>Total</t>
  </si>
  <si>
    <t>ေငြလႊဲ - YGN</t>
  </si>
  <si>
    <t>Content.Date</t>
  </si>
  <si>
    <t>Content.Vr.No</t>
  </si>
  <si>
    <t>Content.A/C Tipe</t>
  </si>
  <si>
    <t>Content.Supplier Name</t>
  </si>
  <si>
    <t>Content.Item Name</t>
  </si>
  <si>
    <t>Content.Opening</t>
  </si>
  <si>
    <t>Content.Purchase</t>
  </si>
  <si>
    <t>Content.Payment</t>
  </si>
  <si>
    <t>Content.Balance</t>
  </si>
  <si>
    <t>Name</t>
  </si>
  <si>
    <t>GBS_TRI</t>
  </si>
  <si>
    <t>GBS_ENG</t>
  </si>
  <si>
    <t>Daewoo 170 Auto p</t>
  </si>
  <si>
    <t>ကစလ သံျပား</t>
  </si>
  <si>
    <t>4"ပိုက္ကလစ္</t>
  </si>
  <si>
    <t>4"ပိုက္မာRoyal 20'</t>
  </si>
  <si>
    <t>ကရိုင္း(SET)(CB250-70#)(သံ)(DC)ေရ</t>
  </si>
  <si>
    <t>မိန္းဖလန္း(JW)/175ဘယ္ရင္</t>
  </si>
  <si>
    <t>9T ဓါးေခါင္း</t>
  </si>
  <si>
    <t>6.5ဆီအိုး</t>
  </si>
  <si>
    <t>မိန္းဘြတ္ (STD) (JW)</t>
  </si>
  <si>
    <t>4" LI Liပန္႔</t>
  </si>
  <si>
    <t>ဘားတံအရွည္ 250 RPG A</t>
  </si>
  <si>
    <t>ေငြလႊဲ - ပစၥည္းျပန္ပို႔</t>
  </si>
  <si>
    <t>Total Balance</t>
  </si>
  <si>
    <t>Content.Total Balance</t>
  </si>
  <si>
    <t>(blank)</t>
  </si>
  <si>
    <t>Grand Total</t>
  </si>
  <si>
    <t xml:space="preserve"> Content.Balance</t>
  </si>
  <si>
    <t xml:space="preserve"> Content.Payment</t>
  </si>
  <si>
    <t xml:space="preserve"> Content.Purchase</t>
  </si>
  <si>
    <t xml:space="preserve"> Content.Opening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</si>
</sst>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_(* #,##0_);_(* \(#,##0\);_(* &quot;-&quot;??_);_(@_)"/>
    <numFmt numFmtId="165" formatCode="\V\-00000"/>
    <numFmt numFmtId="166" formatCode="dd/mmmm/yyyy"/>
    <numFmt numFmtId="167" formatCode="\V\-0000"/>
    <numFmt numFmtId="168" formatCode="d\-mmm\-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Zawgyi-One"/>
      <family val="2"/>
    </font>
    <font>
      <sz val="11"/>
      <color theme="1"/>
      <name val="Calibri"/>
      <family val="2"/>
      <scheme val="minor"/>
    </font>
    <font>
      <sz val="11"/>
      <color theme="1"/>
      <name val="Zawgyi-One"/>
      <family val="2"/>
    </font>
    <font>
      <b/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8"/>
      <name val="Calibri"/>
      <family val="2"/>
      <scheme val="minor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1"/>
      <name val="Zawgyi-One"/>
      <family val="2"/>
    </font>
    <font>
      <sz val="11"/>
      <color theme="1"/>
      <name val="Zawgyi-One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21">
    <xf numFmtId="0" fontId="0" fillId="0" borderId="0" xfId="0"/>
    <xf numFmtId="0" fontId="3" fillId="0" borderId="0" xfId="0" applyFont="1"/>
    <xf numFmtId="0" fontId="4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3" borderId="1" xfId="0" applyFont="1" applyFill="1" applyBorder="1"/>
    <xf numFmtId="0" fontId="0" fillId="0" borderId="1" xfId="0" applyBorder="1" applyAlignment="1">
      <alignment horizontal="center"/>
    </xf>
    <xf numFmtId="0" fontId="3" fillId="0" borderId="1" xfId="0" applyFont="1" applyBorder="1"/>
    <xf numFmtId="0" fontId="3" fillId="0" borderId="0" xfId="0" applyFont="1" applyAlignment="1">
      <alignment horizontal="center"/>
    </xf>
    <xf numFmtId="164" fontId="3" fillId="0" borderId="0" xfId="1" applyNumberFormat="1" applyFont="1" applyAlignment="1">
      <alignment horizontal="center"/>
    </xf>
    <xf numFmtId="164" fontId="3" fillId="0" borderId="0" xfId="1" applyNumberFormat="1" applyFont="1" applyAlignment="1"/>
    <xf numFmtId="0" fontId="3" fillId="2" borderId="1" xfId="0" applyFont="1" applyFill="1" applyBorder="1"/>
    <xf numFmtId="165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166" fontId="3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4" fontId="5" fillId="0" borderId="0" xfId="0" applyNumberFormat="1" applyFont="1"/>
    <xf numFmtId="165" fontId="5" fillId="0" borderId="0" xfId="0" applyNumberFormat="1" applyFont="1" applyAlignment="1">
      <alignment horizontal="center"/>
    </xf>
    <xf numFmtId="164" fontId="5" fillId="0" borderId="0" xfId="1" applyNumberFormat="1" applyFont="1" applyAlignment="1"/>
    <xf numFmtId="166" fontId="5" fillId="0" borderId="0" xfId="0" applyNumberFormat="1" applyFont="1" applyAlignment="1">
      <alignment horizontal="center"/>
    </xf>
    <xf numFmtId="164" fontId="5" fillId="0" borderId="0" xfId="1" applyNumberFormat="1" applyFont="1" applyAlignment="1">
      <alignment horizontal="center"/>
    </xf>
    <xf numFmtId="164" fontId="3" fillId="3" borderId="1" xfId="1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0" fontId="3" fillId="3" borderId="2" xfId="0" applyFont="1" applyFill="1" applyBorder="1"/>
    <xf numFmtId="0" fontId="3" fillId="3" borderId="3" xfId="0" applyNumberFormat="1" applyFont="1" applyFill="1" applyBorder="1"/>
    <xf numFmtId="164" fontId="4" fillId="0" borderId="4" xfId="1" applyNumberFormat="1" applyFont="1" applyBorder="1" applyAlignment="1">
      <alignment horizontal="center"/>
    </xf>
    <xf numFmtId="0" fontId="4" fillId="0" borderId="0" xfId="0" applyFont="1"/>
    <xf numFmtId="0" fontId="3" fillId="0" borderId="0" xfId="0" applyNumberFormat="1" applyFont="1"/>
    <xf numFmtId="0" fontId="6" fillId="0" borderId="0" xfId="0" applyFont="1" applyAlignment="1">
      <alignment horizontal="center"/>
    </xf>
    <xf numFmtId="166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6" fillId="0" borderId="0" xfId="0" applyNumberFormat="1" applyFont="1"/>
    <xf numFmtId="164" fontId="6" fillId="0" borderId="0" xfId="1" applyNumberFormat="1" applyFont="1" applyAlignment="1">
      <alignment horizontal="center"/>
    </xf>
    <xf numFmtId="164" fontId="6" fillId="0" borderId="0" xfId="1" applyNumberFormat="1" applyFont="1" applyAlignment="1"/>
    <xf numFmtId="166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/>
    </xf>
    <xf numFmtId="0" fontId="7" fillId="0" borderId="0" xfId="0" applyNumberFormat="1" applyFont="1"/>
    <xf numFmtId="0" fontId="7" fillId="0" borderId="0" xfId="0" applyFont="1" applyAlignment="1">
      <alignment horizontal="center"/>
    </xf>
    <xf numFmtId="164" fontId="7" fillId="0" borderId="0" xfId="1" applyNumberFormat="1" applyFont="1" applyAlignment="1">
      <alignment horizontal="center"/>
    </xf>
    <xf numFmtId="164" fontId="7" fillId="0" borderId="0" xfId="1" applyNumberFormat="1" applyFont="1" applyAlignment="1"/>
    <xf numFmtId="165" fontId="8" fillId="0" borderId="0" xfId="0" applyNumberFormat="1" applyFont="1" applyAlignment="1">
      <alignment horizontal="center"/>
    </xf>
    <xf numFmtId="164" fontId="8" fillId="0" borderId="0" xfId="1" applyNumberFormat="1" applyFont="1" applyAlignment="1">
      <alignment horizontal="center"/>
    </xf>
    <xf numFmtId="164" fontId="8" fillId="0" borderId="0" xfId="1" applyNumberFormat="1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167" fontId="5" fillId="0" borderId="0" xfId="0" applyNumberFormat="1" applyFont="1"/>
    <xf numFmtId="12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0" fontId="1" fillId="0" borderId="0" xfId="0" applyNumberFormat="1" applyFont="1"/>
    <xf numFmtId="164" fontId="1" fillId="0" borderId="0" xfId="1" applyNumberFormat="1" applyFont="1" applyAlignment="1">
      <alignment horizontal="center"/>
    </xf>
    <xf numFmtId="164" fontId="1" fillId="0" borderId="0" xfId="1" applyNumberFormat="1" applyFont="1" applyAlignment="1"/>
    <xf numFmtId="0" fontId="9" fillId="0" borderId="0" xfId="0" applyNumberFormat="1" applyFont="1"/>
    <xf numFmtId="164" fontId="9" fillId="0" borderId="0" xfId="1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165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64" fontId="9" fillId="0" borderId="0" xfId="1" applyNumberFormat="1" applyFont="1" applyAlignment="1"/>
    <xf numFmtId="165" fontId="5" fillId="0" borderId="0" xfId="0" applyNumberFormat="1" applyFont="1"/>
    <xf numFmtId="166" fontId="10" fillId="0" borderId="0" xfId="0" applyNumberFormat="1" applyFont="1" applyAlignment="1">
      <alignment horizontal="center"/>
    </xf>
    <xf numFmtId="165" fontId="10" fillId="0" borderId="0" xfId="0" applyNumberFormat="1" applyFont="1" applyAlignment="1">
      <alignment horizontal="center"/>
    </xf>
    <xf numFmtId="0" fontId="10" fillId="0" borderId="0" xfId="0" applyNumberFormat="1" applyFont="1"/>
    <xf numFmtId="0" fontId="10" fillId="0" borderId="0" xfId="0" applyFont="1" applyAlignment="1">
      <alignment horizontal="center"/>
    </xf>
    <xf numFmtId="164" fontId="10" fillId="0" borderId="0" xfId="1" applyNumberFormat="1" applyFont="1" applyAlignment="1">
      <alignment horizontal="center"/>
    </xf>
    <xf numFmtId="164" fontId="10" fillId="0" borderId="0" xfId="1" applyNumberFormat="1" applyFont="1" applyAlignment="1"/>
    <xf numFmtId="12" fontId="10" fillId="0" borderId="0" xfId="0" applyNumberFormat="1" applyFont="1" applyAlignment="1">
      <alignment horizontal="center"/>
    </xf>
    <xf numFmtId="165" fontId="1" fillId="0" borderId="0" xfId="0" applyNumberFormat="1" applyFont="1"/>
    <xf numFmtId="167" fontId="3" fillId="0" borderId="0" xfId="0" applyNumberFormat="1" applyFont="1" applyAlignment="1">
      <alignment horizontal="center"/>
    </xf>
    <xf numFmtId="167" fontId="5" fillId="0" borderId="0" xfId="0" applyNumberFormat="1" applyFont="1" applyAlignment="1">
      <alignment horizontal="center"/>
    </xf>
    <xf numFmtId="167" fontId="10" fillId="0" borderId="0" xfId="0" applyNumberFormat="1" applyFont="1" applyAlignment="1">
      <alignment horizontal="center"/>
    </xf>
    <xf numFmtId="167" fontId="1" fillId="0" borderId="0" xfId="0" applyNumberFormat="1" applyFont="1"/>
    <xf numFmtId="167" fontId="3" fillId="0" borderId="0" xfId="0" applyNumberFormat="1" applyFont="1"/>
    <xf numFmtId="167" fontId="1" fillId="0" borderId="0" xfId="0" applyNumberFormat="1" applyFont="1" applyAlignment="1">
      <alignment horizontal="center"/>
    </xf>
    <xf numFmtId="165" fontId="10" fillId="0" borderId="0" xfId="0" applyNumberFormat="1" applyFont="1"/>
    <xf numFmtId="165" fontId="3" fillId="0" borderId="0" xfId="0" applyNumberFormat="1" applyFont="1"/>
    <xf numFmtId="15" fontId="3" fillId="0" borderId="0" xfId="0" applyNumberFormat="1" applyFont="1" applyAlignment="1">
      <alignment horizontal="center"/>
    </xf>
    <xf numFmtId="15" fontId="5" fillId="0" borderId="0" xfId="0" applyNumberFormat="1" applyFont="1" applyAlignment="1">
      <alignment horizontal="center"/>
    </xf>
    <xf numFmtId="15" fontId="10" fillId="0" borderId="0" xfId="0" applyNumberFormat="1" applyFont="1" applyAlignment="1">
      <alignment horizontal="center"/>
    </xf>
    <xf numFmtId="15" fontId="1" fillId="0" borderId="0" xfId="0" applyNumberFormat="1" applyFont="1" applyAlignment="1">
      <alignment horizontal="center"/>
    </xf>
    <xf numFmtId="165" fontId="9" fillId="0" borderId="0" xfId="0" applyNumberFormat="1" applyFont="1"/>
    <xf numFmtId="14" fontId="10" fillId="0" borderId="0" xfId="0" applyNumberFormat="1" applyFont="1"/>
    <xf numFmtId="15" fontId="10" fillId="0" borderId="0" xfId="0" applyNumberFormat="1" applyFont="1" applyAlignment="1">
      <alignment horizontal="center"/>
    </xf>
    <xf numFmtId="166" fontId="1" fillId="0" borderId="0" xfId="0" applyNumberFormat="1" applyFont="1"/>
    <xf numFmtId="166" fontId="0" fillId="0" borderId="0" xfId="0" applyNumberFormat="1"/>
    <xf numFmtId="38" fontId="1" fillId="0" borderId="0" xfId="0" applyNumberFormat="1" applyFont="1"/>
    <xf numFmtId="38" fontId="0" fillId="0" borderId="0" xfId="0" applyNumberFormat="1"/>
    <xf numFmtId="164" fontId="12" fillId="0" borderId="0" xfId="1" applyNumberFormat="1" applyFont="1" applyAlignment="1">
      <alignment horizontal="center"/>
    </xf>
    <xf numFmtId="15" fontId="12" fillId="0" borderId="0" xfId="0" applyNumberFormat="1" applyFont="1" applyAlignment="1">
      <alignment horizontal="center"/>
    </xf>
    <xf numFmtId="165" fontId="12" fillId="0" borderId="0" xfId="0" applyNumberFormat="1" applyFont="1"/>
    <xf numFmtId="165" fontId="12" fillId="0" borderId="0" xfId="0" applyNumberFormat="1" applyFont="1" applyAlignment="1">
      <alignment horizontal="center"/>
    </xf>
    <xf numFmtId="0" fontId="12" fillId="0" borderId="0" xfId="0" applyNumberFormat="1" applyFont="1"/>
    <xf numFmtId="0" fontId="12" fillId="0" borderId="0" xfId="0" applyFont="1" applyAlignment="1">
      <alignment horizontal="center"/>
    </xf>
    <xf numFmtId="164" fontId="12" fillId="0" borderId="0" xfId="1" applyNumberFormat="1" applyFont="1" applyAlignment="1"/>
    <xf numFmtId="166" fontId="13" fillId="0" borderId="0" xfId="0" applyNumberFormat="1" applyFont="1" applyAlignment="1">
      <alignment horizontal="center"/>
    </xf>
    <xf numFmtId="167" fontId="13" fillId="0" borderId="0" xfId="0" applyNumberFormat="1" applyFont="1" applyAlignment="1">
      <alignment horizontal="center"/>
    </xf>
    <xf numFmtId="165" fontId="13" fillId="0" borderId="0" xfId="0" applyNumberFormat="1" applyFont="1" applyAlignment="1">
      <alignment horizontal="center"/>
    </xf>
    <xf numFmtId="0" fontId="13" fillId="0" borderId="0" xfId="0" applyNumberFormat="1" applyFont="1"/>
    <xf numFmtId="0" fontId="13" fillId="0" borderId="0" xfId="0" applyFont="1" applyAlignment="1">
      <alignment horizontal="center"/>
    </xf>
    <xf numFmtId="164" fontId="13" fillId="0" borderId="0" xfId="1" applyNumberFormat="1" applyFont="1" applyAlignment="1">
      <alignment horizontal="center"/>
    </xf>
    <xf numFmtId="164" fontId="13" fillId="0" borderId="0" xfId="1" applyNumberFormat="1" applyFont="1" applyAlignment="1"/>
    <xf numFmtId="166" fontId="14" fillId="0" borderId="0" xfId="0" applyNumberFormat="1" applyFont="1" applyAlignment="1">
      <alignment horizontal="center"/>
    </xf>
    <xf numFmtId="165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4" fontId="14" fillId="0" borderId="0" xfId="1" applyNumberFormat="1" applyFont="1" applyAlignment="1">
      <alignment horizontal="center"/>
    </xf>
    <xf numFmtId="164" fontId="14" fillId="0" borderId="0" xfId="1" applyNumberFormat="1" applyFont="1" applyAlignment="1"/>
    <xf numFmtId="0" fontId="14" fillId="0" borderId="0" xfId="0" applyNumberFormat="1" applyFont="1"/>
    <xf numFmtId="12" fontId="14" fillId="0" borderId="0" xfId="0" applyNumberFormat="1" applyFont="1" applyAlignment="1">
      <alignment horizontal="center"/>
    </xf>
    <xf numFmtId="167" fontId="14" fillId="0" borderId="0" xfId="0" applyNumberFormat="1" applyFont="1" applyAlignment="1">
      <alignment horizontal="center"/>
    </xf>
    <xf numFmtId="165" fontId="14" fillId="0" borderId="0" xfId="0" applyNumberFormat="1" applyFont="1"/>
    <xf numFmtId="166" fontId="17" fillId="0" borderId="0" xfId="0" applyNumberFormat="1" applyFont="1" applyAlignment="1">
      <alignment horizontal="center"/>
    </xf>
    <xf numFmtId="165" fontId="17" fillId="0" borderId="0" xfId="0" applyNumberFormat="1" applyFont="1" applyAlignment="1">
      <alignment horizontal="center"/>
    </xf>
    <xf numFmtId="0" fontId="17" fillId="0" borderId="0" xfId="0" applyNumberFormat="1" applyFont="1"/>
    <xf numFmtId="0" fontId="17" fillId="0" borderId="0" xfId="0" applyFont="1" applyAlignment="1">
      <alignment horizontal="center"/>
    </xf>
    <xf numFmtId="164" fontId="17" fillId="0" borderId="0" xfId="1" applyNumberFormat="1" applyFont="1" applyAlignment="1">
      <alignment horizontal="center"/>
    </xf>
    <xf numFmtId="164" fontId="17" fillId="0" borderId="0" xfId="1" applyNumberFormat="1" applyFont="1" applyAlignment="1"/>
    <xf numFmtId="165" fontId="17" fillId="0" borderId="0" xfId="0" applyNumberFormat="1" applyFont="1"/>
    <xf numFmtId="168" fontId="17" fillId="0" borderId="0" xfId="0" applyNumberFormat="1" applyFont="1" applyAlignment="1">
      <alignment horizontal="center"/>
    </xf>
    <xf numFmtId="164" fontId="18" fillId="0" borderId="0" xfId="1" applyNumberFormat="1" applyFont="1" applyAlignment="1">
      <alignment horizontal="center"/>
    </xf>
    <xf numFmtId="15" fontId="1" fillId="0" borderId="0" xfId="0" applyNumberFormat="1" applyFont="1"/>
    <xf numFmtId="164" fontId="1" fillId="0" borderId="0" xfId="1" applyNumberFormat="1" applyFont="1"/>
    <xf numFmtId="0" fontId="1" fillId="0" borderId="0" xfId="0" pivotButton="1" applyFont="1"/>
  </cellXfs>
  <cellStyles count="2">
    <cellStyle name="Comma" xfId="1" builtinId="3"/>
    <cellStyle name="Normal" xfId="0" builtinId="0"/>
  </cellStyles>
  <dxfs count="305"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6" formatCode="#,##0_);[Red]\(#,##0\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8" formatCode="d\-mmm\-yy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9" formatCode="_(* #,##0.0_);_(* \(#,##0.0\);_(* &quot;-&quot;??_);_(@_)"/>
    </dxf>
    <dxf>
      <numFmt numFmtId="169" formatCode="_(* #,##0.0_);_(* \(#,##0.0\);_(* &quot;-&quot;??_);_(@_)"/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\V\-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8" formatCode="d\-mmm\-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458.579245138892" createdVersion="6" refreshedVersion="6" minRefreshableVersion="3" recordCount="53">
  <cacheSource type="worksheet">
    <worksheetSource name="Data_Combine"/>
  </cacheSource>
  <cacheFields count="10">
    <cacheField name="Content.Date" numFmtId="15">
      <sharedItems containsNonDate="0" containsDate="1" containsString="0" containsBlank="1" minDate="2021-06-29T00:00:00" maxDate="2021-07-30T00:00:00"/>
    </cacheField>
    <cacheField name="Content.Vr.No" numFmtId="0">
      <sharedItems containsString="0" containsBlank="1" containsNumber="1" containsInteger="1" minValue="1234" maxValue="573211"/>
    </cacheField>
    <cacheField name="Content.A/C Tipe" numFmtId="0">
      <sharedItems containsBlank="1"/>
    </cacheField>
    <cacheField name="Content.Supplier Name" numFmtId="0">
      <sharedItems containsBlank="1" count="21">
        <s v="Armax Engine Oil"/>
        <s v="Aspire Aim Machinery"/>
        <s v="Aung Myit Tar"/>
        <s v="GBS Co, LTD Tricycle"/>
        <s v="Delita International Limied"/>
        <s v="GBS Co, LTD Engine"/>
        <s v="GBS Spare"/>
        <s v="Ko Win Hlaing"/>
        <s v="Kyinn Loon Myanmar"/>
        <s v="Ma Au Bin"/>
        <s v="Mann Ayawadi"/>
        <s v="MDL Tricycle Spare"/>
        <s v="Moe Thauk Ayar"/>
        <s v="Sein Wut Hmon Co, LTD"/>
        <s v="Shwe Than Lwin"/>
        <s v="Shwe Yar Su"/>
        <s v="Super"/>
        <s v="Tat Shwe La Win "/>
        <s v="UMG Co,LTD"/>
        <s v="Zan (or) Mg Mg Soe"/>
        <m/>
      </sharedItems>
    </cacheField>
    <cacheField name="Content.Item Name" numFmtId="0">
      <sharedItems containsBlank="1" count="15">
        <s v="Opening"/>
        <s v="မိန္းဖလန္း(JW)/175ဘယ္ရင္"/>
        <s v="9T ဓါးေခါင္း"/>
        <s v="6.5ဆီအိုး"/>
        <s v="မိန္းဘြတ္ (STD) (JW)"/>
        <s v="ေငြလႊဲ - ပစၥည္းျပန္ပို႔"/>
        <s v="ေငြလႊဲ - YGN"/>
        <s v="Daewoo 170 Auto p"/>
        <s v="ကစလ သံျပား"/>
        <s v="4&quot;ပိုက္ကလစ္"/>
        <s v="4&quot;ပိုက္မာRoyal 20'"/>
        <s v="4&quot; LI Liပန္႔"/>
        <s v="ကရိုင္း(SET)(CB250-70#)(သံ)(DC)ေရ"/>
        <s v="ဘားတံအရွည္ 250 RPG A"/>
        <m/>
      </sharedItems>
    </cacheField>
    <cacheField name="Content.Opening" numFmtId="164">
      <sharedItems containsString="0" containsBlank="1" containsNumber="1" containsInteger="1" minValue="0" maxValue="16740000"/>
    </cacheField>
    <cacheField name="Content.Purchase" numFmtId="164">
      <sharedItems containsString="0" containsBlank="1" containsNumber="1" containsInteger="1" minValue="8000" maxValue="614500"/>
    </cacheField>
    <cacheField name="Content.Payment" numFmtId="164">
      <sharedItems containsString="0" containsBlank="1" containsNumber="1" containsInteger="1" minValue="10800" maxValue="1000000"/>
    </cacheField>
    <cacheField name="Content.Balance" numFmtId="164">
      <sharedItems containsString="0" containsBlank="1" containsNumber="1" containsInteger="1" minValue="-1000000" maxValue="16740000"/>
    </cacheField>
    <cacheField name="Content.Total Balance" numFmtId="164">
      <sharedItems containsString="0" containsBlank="1" containsNumber="1" containsInteger="1" minValue="0" maxValue="1674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3">
  <r>
    <d v="2021-07-01T00:00:00"/>
    <m/>
    <s v="Opening"/>
    <x v="0"/>
    <x v="0"/>
    <n v="586620"/>
    <m/>
    <m/>
    <n v="586620"/>
    <n v="586620"/>
  </r>
  <r>
    <d v="2021-07-01T00:00:00"/>
    <m/>
    <s v="Opening"/>
    <x v="1"/>
    <x v="0"/>
    <n v="306000"/>
    <m/>
    <m/>
    <n v="306000"/>
    <n v="306000"/>
  </r>
  <r>
    <d v="2021-07-01T00:00:00"/>
    <m/>
    <s v="Opening"/>
    <x v="2"/>
    <x v="0"/>
    <n v="870583"/>
    <m/>
    <m/>
    <n v="870583"/>
    <n v="870583"/>
  </r>
  <r>
    <d v="2021-07-08T00:00:00"/>
    <n v="49978"/>
    <s v="Purchase"/>
    <x v="2"/>
    <x v="1"/>
    <m/>
    <n v="39528"/>
    <m/>
    <n v="39528"/>
    <n v="910111"/>
  </r>
  <r>
    <d v="2021-07-05T00:00:00"/>
    <n v="21651"/>
    <s v="Purchase"/>
    <x v="2"/>
    <x v="2"/>
    <m/>
    <n v="50650"/>
    <m/>
    <n v="50650"/>
    <n v="960761"/>
  </r>
  <r>
    <d v="2021-07-05T00:00:00"/>
    <n v="21649"/>
    <s v="Purchase"/>
    <x v="2"/>
    <x v="3"/>
    <m/>
    <n v="146050"/>
    <m/>
    <n v="146050"/>
    <n v="1106811"/>
  </r>
  <r>
    <d v="2021-07-05T00:00:00"/>
    <n v="49943"/>
    <s v="Purchase"/>
    <x v="2"/>
    <x v="4"/>
    <m/>
    <n v="110900"/>
    <m/>
    <n v="110900"/>
    <n v="1217711"/>
  </r>
  <r>
    <d v="2021-07-08T00:00:00"/>
    <m/>
    <s v="Payment"/>
    <x v="2"/>
    <x v="5"/>
    <m/>
    <m/>
    <n v="10800"/>
    <n v="-10800"/>
    <n v="1206911"/>
  </r>
  <r>
    <d v="2021-07-05T00:00:00"/>
    <m/>
    <s v="Payment"/>
    <x v="2"/>
    <x v="6"/>
    <m/>
    <m/>
    <n v="500000"/>
    <n v="-500000"/>
    <n v="706911"/>
  </r>
  <r>
    <d v="2021-07-01T00:00:00"/>
    <m/>
    <s v="Opening"/>
    <x v="3"/>
    <x v="0"/>
    <n v="16740000"/>
    <m/>
    <m/>
    <n v="16740000"/>
    <n v="16740000"/>
  </r>
  <r>
    <d v="2021-07-01T00:00:00"/>
    <m/>
    <s v="Opening"/>
    <x v="4"/>
    <x v="0"/>
    <n v="1090960"/>
    <m/>
    <m/>
    <n v="1090960"/>
    <n v="1090960"/>
  </r>
  <r>
    <d v="2021-07-01T00:00:00"/>
    <m/>
    <s v="Opening"/>
    <x v="5"/>
    <x v="0"/>
    <n v="983000"/>
    <m/>
    <m/>
    <n v="983000"/>
    <n v="983000"/>
  </r>
  <r>
    <d v="2021-07-01T00:00:00"/>
    <m/>
    <s v="Opening"/>
    <x v="6"/>
    <x v="0"/>
    <m/>
    <m/>
    <m/>
    <n v="0"/>
    <n v="0"/>
  </r>
  <r>
    <d v="2021-07-01T00:00:00"/>
    <m/>
    <s v="Opening"/>
    <x v="7"/>
    <x v="0"/>
    <n v="1657480"/>
    <m/>
    <m/>
    <n v="1657480"/>
    <n v="1657480"/>
  </r>
  <r>
    <d v="2021-07-01T00:00:00"/>
    <m/>
    <s v="Opening"/>
    <x v="8"/>
    <x v="0"/>
    <m/>
    <m/>
    <m/>
    <n v="0"/>
    <n v="0"/>
  </r>
  <r>
    <d v="2021-07-01T00:00:00"/>
    <m/>
    <s v="Opening"/>
    <x v="9"/>
    <x v="0"/>
    <n v="0"/>
    <m/>
    <m/>
    <n v="0"/>
    <n v="0"/>
  </r>
  <r>
    <d v="2021-07-01T00:00:00"/>
    <m/>
    <s v="Opening"/>
    <x v="10"/>
    <x v="0"/>
    <n v="0"/>
    <m/>
    <m/>
    <n v="0"/>
    <n v="0"/>
  </r>
  <r>
    <d v="2021-07-01T00:00:00"/>
    <m/>
    <s v="Opening"/>
    <x v="11"/>
    <x v="0"/>
    <n v="2208992"/>
    <m/>
    <m/>
    <n v="2208992"/>
    <n v="2208992"/>
  </r>
  <r>
    <d v="2021-07-01T00:00:00"/>
    <m/>
    <s v="Opening"/>
    <x v="12"/>
    <x v="0"/>
    <n v="837010"/>
    <m/>
    <m/>
    <n v="837010"/>
    <n v="837010"/>
  </r>
  <r>
    <d v="2021-07-01T00:00:00"/>
    <m/>
    <s v="Opening"/>
    <x v="13"/>
    <x v="0"/>
    <n v="188580"/>
    <m/>
    <m/>
    <n v="188580"/>
    <n v="188580"/>
  </r>
  <r>
    <d v="2021-07-01T00:00:00"/>
    <m/>
    <s v="Opening"/>
    <x v="14"/>
    <x v="0"/>
    <n v="1215000"/>
    <m/>
    <m/>
    <n v="1215000"/>
    <n v="1215000"/>
  </r>
  <r>
    <d v="2021-07-01T00:00:00"/>
    <n v="70002"/>
    <s v="Purchase"/>
    <x v="14"/>
    <x v="7"/>
    <m/>
    <n v="160000"/>
    <m/>
    <n v="160000"/>
    <n v="1375000"/>
  </r>
  <r>
    <d v="2021-06-29T00:00:00"/>
    <n v="60542"/>
    <s v="Purchase"/>
    <x v="14"/>
    <x v="8"/>
    <m/>
    <n v="35000"/>
    <m/>
    <n v="35000"/>
    <n v="1410000"/>
  </r>
  <r>
    <d v="2021-06-29T00:00:00"/>
    <n v="60073"/>
    <s v="Purchase"/>
    <x v="14"/>
    <x v="9"/>
    <m/>
    <n v="8000"/>
    <m/>
    <n v="8000"/>
    <n v="1418000"/>
  </r>
  <r>
    <d v="2021-07-29T00:00:00"/>
    <n v="60540"/>
    <s v="Purchase"/>
    <x v="14"/>
    <x v="10"/>
    <m/>
    <n v="310000"/>
    <m/>
    <n v="310000"/>
    <n v="1728000"/>
  </r>
  <r>
    <d v="2021-07-05T00:00:00"/>
    <n v="70018"/>
    <s v="Purchase"/>
    <x v="14"/>
    <x v="11"/>
    <m/>
    <n v="614500"/>
    <m/>
    <n v="614500"/>
    <n v="2342500"/>
  </r>
  <r>
    <d v="2021-07-05T00:00:00"/>
    <n v="1234"/>
    <s v="Payment"/>
    <x v="14"/>
    <x v="6"/>
    <m/>
    <m/>
    <n v="1000000"/>
    <n v="-1000000"/>
    <n v="1342500"/>
  </r>
  <r>
    <d v="2021-07-01T00:00:00"/>
    <m/>
    <s v="Opening"/>
    <x v="15"/>
    <x v="0"/>
    <m/>
    <m/>
    <m/>
    <n v="0"/>
    <n v="0"/>
  </r>
  <r>
    <d v="2021-07-01T00:00:00"/>
    <m/>
    <s v="Opening"/>
    <x v="16"/>
    <x v="0"/>
    <n v="0"/>
    <m/>
    <m/>
    <n v="0"/>
    <n v="0"/>
  </r>
  <r>
    <d v="2021-07-01T00:00:00"/>
    <m/>
    <s v="Opening"/>
    <x v="17"/>
    <x v="0"/>
    <n v="0"/>
    <m/>
    <m/>
    <n v="0"/>
    <n v="0"/>
  </r>
  <r>
    <d v="2021-07-01T00:00:00"/>
    <m/>
    <s v="Opening"/>
    <x v="18"/>
    <x v="0"/>
    <n v="143000"/>
    <m/>
    <m/>
    <n v="143000"/>
    <n v="143000"/>
  </r>
  <r>
    <d v="2021-07-01T00:00:00"/>
    <m/>
    <s v="Opening"/>
    <x v="19"/>
    <x v="0"/>
    <n v="241207"/>
    <m/>
    <m/>
    <n v="241207"/>
    <n v="241207"/>
  </r>
  <r>
    <d v="2021-06-30T00:00:00"/>
    <n v="559211"/>
    <s v="Purchase"/>
    <x v="19"/>
    <x v="12"/>
    <m/>
    <n v="219711"/>
    <m/>
    <n v="219711"/>
    <n v="460918"/>
  </r>
  <r>
    <d v="2021-07-06T00:00:00"/>
    <n v="573211"/>
    <s v="Purchase"/>
    <x v="19"/>
    <x v="13"/>
    <m/>
    <n v="228584"/>
    <m/>
    <n v="228584"/>
    <n v="689502"/>
  </r>
  <r>
    <m/>
    <m/>
    <m/>
    <x v="20"/>
    <x v="14"/>
    <m/>
    <m/>
    <m/>
    <m/>
    <m/>
  </r>
  <r>
    <m/>
    <m/>
    <m/>
    <x v="20"/>
    <x v="14"/>
    <m/>
    <m/>
    <m/>
    <m/>
    <m/>
  </r>
  <r>
    <m/>
    <m/>
    <m/>
    <x v="20"/>
    <x v="14"/>
    <m/>
    <m/>
    <m/>
    <m/>
    <m/>
  </r>
  <r>
    <m/>
    <m/>
    <m/>
    <x v="20"/>
    <x v="14"/>
    <m/>
    <m/>
    <m/>
    <m/>
    <m/>
  </r>
  <r>
    <m/>
    <m/>
    <m/>
    <x v="20"/>
    <x v="14"/>
    <m/>
    <m/>
    <m/>
    <m/>
    <m/>
  </r>
  <r>
    <m/>
    <m/>
    <m/>
    <x v="20"/>
    <x v="14"/>
    <m/>
    <m/>
    <m/>
    <m/>
    <m/>
  </r>
  <r>
    <m/>
    <m/>
    <m/>
    <x v="20"/>
    <x v="14"/>
    <m/>
    <m/>
    <m/>
    <m/>
    <m/>
  </r>
  <r>
    <m/>
    <m/>
    <m/>
    <x v="20"/>
    <x v="14"/>
    <m/>
    <m/>
    <m/>
    <m/>
    <m/>
  </r>
  <r>
    <m/>
    <m/>
    <m/>
    <x v="20"/>
    <x v="14"/>
    <m/>
    <m/>
    <m/>
    <m/>
    <m/>
  </r>
  <r>
    <m/>
    <m/>
    <m/>
    <x v="20"/>
    <x v="14"/>
    <m/>
    <m/>
    <m/>
    <m/>
    <m/>
  </r>
  <r>
    <m/>
    <m/>
    <m/>
    <x v="20"/>
    <x v="14"/>
    <m/>
    <m/>
    <m/>
    <m/>
    <m/>
  </r>
  <r>
    <m/>
    <m/>
    <m/>
    <x v="20"/>
    <x v="14"/>
    <m/>
    <m/>
    <m/>
    <m/>
    <m/>
  </r>
  <r>
    <m/>
    <m/>
    <m/>
    <x v="20"/>
    <x v="14"/>
    <m/>
    <m/>
    <m/>
    <m/>
    <m/>
  </r>
  <r>
    <m/>
    <m/>
    <m/>
    <x v="20"/>
    <x v="14"/>
    <m/>
    <m/>
    <m/>
    <m/>
    <m/>
  </r>
  <r>
    <m/>
    <m/>
    <m/>
    <x v="20"/>
    <x v="14"/>
    <m/>
    <m/>
    <m/>
    <m/>
    <m/>
  </r>
  <r>
    <m/>
    <m/>
    <m/>
    <x v="20"/>
    <x v="14"/>
    <m/>
    <m/>
    <m/>
    <m/>
    <m/>
  </r>
  <r>
    <m/>
    <m/>
    <m/>
    <x v="20"/>
    <x v="14"/>
    <m/>
    <m/>
    <m/>
    <m/>
    <m/>
  </r>
  <r>
    <m/>
    <m/>
    <m/>
    <x v="20"/>
    <x v="14"/>
    <m/>
    <m/>
    <m/>
    <m/>
    <m/>
  </r>
  <r>
    <m/>
    <m/>
    <m/>
    <x v="20"/>
    <x v="14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1:F37" firstHeaderRow="0" firstDataRow="1" firstDataCol="2"/>
  <pivotFields count="1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x="1"/>
        <item x="2"/>
        <item x="4"/>
        <item x="5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11"/>
        <item x="9"/>
        <item x="10"/>
        <item x="3"/>
        <item x="2"/>
        <item x="7"/>
        <item x="0"/>
        <item x="8"/>
        <item x="12"/>
        <item x="13"/>
        <item x="1"/>
        <item x="4"/>
        <item x="6"/>
        <item x="5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4"/>
  </rowFields>
  <rowItems count="36">
    <i>
      <x/>
      <x v="6"/>
    </i>
    <i>
      <x v="1"/>
      <x v="6"/>
    </i>
    <i>
      <x v="2"/>
      <x v="3"/>
    </i>
    <i r="1">
      <x v="4"/>
    </i>
    <i r="1">
      <x v="6"/>
    </i>
    <i r="1">
      <x v="10"/>
    </i>
    <i r="1">
      <x v="11"/>
    </i>
    <i r="1">
      <x v="12"/>
    </i>
    <i r="1">
      <x v="13"/>
    </i>
    <i>
      <x v="3"/>
      <x v="6"/>
    </i>
    <i>
      <x v="4"/>
      <x v="6"/>
    </i>
    <i>
      <x v="5"/>
      <x v="6"/>
    </i>
    <i>
      <x v="6"/>
      <x v="6"/>
    </i>
    <i>
      <x v="7"/>
      <x v="6"/>
    </i>
    <i>
      <x v="8"/>
      <x v="6"/>
    </i>
    <i>
      <x v="9"/>
      <x v="6"/>
    </i>
    <i>
      <x v="10"/>
      <x v="6"/>
    </i>
    <i>
      <x v="11"/>
      <x v="6"/>
    </i>
    <i>
      <x v="12"/>
      <x v="6"/>
    </i>
    <i>
      <x v="13"/>
      <x v="6"/>
    </i>
    <i>
      <x v="14"/>
      <x/>
    </i>
    <i r="1">
      <x v="1"/>
    </i>
    <i r="1">
      <x v="2"/>
    </i>
    <i r="1">
      <x v="5"/>
    </i>
    <i r="1">
      <x v="6"/>
    </i>
    <i r="1">
      <x v="7"/>
    </i>
    <i r="1">
      <x v="12"/>
    </i>
    <i>
      <x v="15"/>
      <x v="6"/>
    </i>
    <i>
      <x v="16"/>
      <x v="6"/>
    </i>
    <i>
      <x v="17"/>
      <x v="6"/>
    </i>
    <i>
      <x v="18"/>
      <x v="6"/>
    </i>
    <i>
      <x v="19"/>
      <x v="6"/>
    </i>
    <i r="1">
      <x v="8"/>
    </i>
    <i r="1">
      <x v="9"/>
    </i>
    <i>
      <x v="20"/>
      <x v="1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 Content.Opening" fld="5" baseField="3" baseItem="0"/>
    <dataField name=" Content.Purchase" fld="6" baseField="3" baseItem="0"/>
    <dataField name=" Content.Payment" fld="7" baseField="3" baseItem="0"/>
    <dataField name=" Content.Balance" fld="8" baseField="3" baseItem="0"/>
  </dataFields>
  <formats count="32"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3" type="button" dataOnly="0" labelOnly="1" outline="0" axis="axisRow" fieldPosition="0"/>
    </format>
    <format dxfId="52">
      <pivotArea field="4" type="button" dataOnly="0" labelOnly="1" outline="0" axis="axisRow" fieldPosition="1"/>
    </format>
    <format dxfId="51">
      <pivotArea dataOnly="0" labelOnly="1" outline="0" fieldPosition="0">
        <references count="1">
          <reference field="3" count="0"/>
        </references>
      </pivotArea>
    </format>
    <format dxfId="50">
      <pivotArea dataOnly="0" labelOnly="1" grandRow="1" outline="0" fieldPosition="0"/>
    </format>
    <format dxfId="49">
      <pivotArea dataOnly="0" labelOnly="1" outline="0" fieldPosition="0">
        <references count="2">
          <reference field="3" count="1" selected="0">
            <x v="0"/>
          </reference>
          <reference field="4" count="1">
            <x v="6"/>
          </reference>
        </references>
      </pivotArea>
    </format>
    <format dxfId="48">
      <pivotArea dataOnly="0" labelOnly="1" outline="0" fieldPosition="0">
        <references count="2">
          <reference field="3" count="1" selected="0">
            <x v="1"/>
          </reference>
          <reference field="4" count="1">
            <x v="6"/>
          </reference>
        </references>
      </pivotArea>
    </format>
    <format dxfId="47">
      <pivotArea dataOnly="0" labelOnly="1" outline="0" fieldPosition="0">
        <references count="2">
          <reference field="3" count="1" selected="0">
            <x v="2"/>
          </reference>
          <reference field="4" count="7">
            <x v="3"/>
            <x v="4"/>
            <x v="6"/>
            <x v="10"/>
            <x v="11"/>
            <x v="12"/>
            <x v="13"/>
          </reference>
        </references>
      </pivotArea>
    </format>
    <format dxfId="46">
      <pivotArea dataOnly="0" labelOnly="1" outline="0" fieldPosition="0">
        <references count="2">
          <reference field="3" count="1" selected="0">
            <x v="3"/>
          </reference>
          <reference field="4" count="1">
            <x v="6"/>
          </reference>
        </references>
      </pivotArea>
    </format>
    <format dxfId="45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44">
      <pivotArea dataOnly="0" labelOnly="1" outline="0" fieldPosition="0">
        <references count="2">
          <reference field="3" count="1" selected="0">
            <x v="5"/>
          </reference>
          <reference field="4" count="1">
            <x v="6"/>
          </reference>
        </references>
      </pivotArea>
    </format>
    <format dxfId="43">
      <pivotArea dataOnly="0" labelOnly="1" outline="0" fieldPosition="0">
        <references count="2">
          <reference field="3" count="1" selected="0">
            <x v="6"/>
          </reference>
          <reference field="4" count="1">
            <x v="6"/>
          </reference>
        </references>
      </pivotArea>
    </format>
    <format dxfId="42">
      <pivotArea dataOnly="0" labelOnly="1" outline="0" fieldPosition="0">
        <references count="2">
          <reference field="3" count="1" selected="0">
            <x v="7"/>
          </reference>
          <reference field="4" count="1">
            <x v="6"/>
          </reference>
        </references>
      </pivotArea>
    </format>
    <format dxfId="41">
      <pivotArea dataOnly="0" labelOnly="1" outline="0" fieldPosition="0">
        <references count="2">
          <reference field="3" count="1" selected="0">
            <x v="8"/>
          </reference>
          <reference field="4" count="1">
            <x v="6"/>
          </reference>
        </references>
      </pivotArea>
    </format>
    <format dxfId="40">
      <pivotArea dataOnly="0" labelOnly="1" outline="0" fieldPosition="0">
        <references count="2">
          <reference field="3" count="1" selected="0">
            <x v="9"/>
          </reference>
          <reference field="4" count="1">
            <x v="6"/>
          </reference>
        </references>
      </pivotArea>
    </format>
    <format dxfId="39">
      <pivotArea dataOnly="0" labelOnly="1" outline="0" fieldPosition="0">
        <references count="2">
          <reference field="3" count="1" selected="0">
            <x v="10"/>
          </reference>
          <reference field="4" count="1">
            <x v="6"/>
          </reference>
        </references>
      </pivotArea>
    </format>
    <format dxfId="38">
      <pivotArea dataOnly="0" labelOnly="1" outline="0" fieldPosition="0">
        <references count="2">
          <reference field="3" count="1" selected="0">
            <x v="11"/>
          </reference>
          <reference field="4" count="1">
            <x v="6"/>
          </reference>
        </references>
      </pivotArea>
    </format>
    <format dxfId="37">
      <pivotArea dataOnly="0" labelOnly="1" outline="0" fieldPosition="0">
        <references count="2">
          <reference field="3" count="1" selected="0">
            <x v="12"/>
          </reference>
          <reference field="4" count="1">
            <x v="6"/>
          </reference>
        </references>
      </pivotArea>
    </format>
    <format dxfId="36">
      <pivotArea dataOnly="0" labelOnly="1" outline="0" fieldPosition="0">
        <references count="2">
          <reference field="3" count="1" selected="0">
            <x v="13"/>
          </reference>
          <reference field="4" count="1">
            <x v="6"/>
          </reference>
        </references>
      </pivotArea>
    </format>
    <format dxfId="35">
      <pivotArea dataOnly="0" labelOnly="1" outline="0" fieldPosition="0">
        <references count="2">
          <reference field="3" count="1" selected="0">
            <x v="14"/>
          </reference>
          <reference field="4" count="7">
            <x v="0"/>
            <x v="1"/>
            <x v="2"/>
            <x v="5"/>
            <x v="6"/>
            <x v="7"/>
            <x v="12"/>
          </reference>
        </references>
      </pivotArea>
    </format>
    <format dxfId="34">
      <pivotArea dataOnly="0" labelOnly="1" outline="0" fieldPosition="0">
        <references count="2">
          <reference field="3" count="1" selected="0">
            <x v="15"/>
          </reference>
          <reference field="4" count="1">
            <x v="6"/>
          </reference>
        </references>
      </pivotArea>
    </format>
    <format dxfId="33">
      <pivotArea dataOnly="0" labelOnly="1" outline="0" fieldPosition="0">
        <references count="2">
          <reference field="3" count="1" selected="0">
            <x v="16"/>
          </reference>
          <reference field="4" count="1">
            <x v="6"/>
          </reference>
        </references>
      </pivotArea>
    </format>
    <format dxfId="32">
      <pivotArea dataOnly="0" labelOnly="1" outline="0" fieldPosition="0">
        <references count="2">
          <reference field="3" count="1" selected="0">
            <x v="17"/>
          </reference>
          <reference field="4" count="1">
            <x v="6"/>
          </reference>
        </references>
      </pivotArea>
    </format>
    <format dxfId="31">
      <pivotArea dataOnly="0" labelOnly="1" outline="0" fieldPosition="0">
        <references count="2">
          <reference field="3" count="1" selected="0">
            <x v="18"/>
          </reference>
          <reference field="4" count="1">
            <x v="6"/>
          </reference>
        </references>
      </pivotArea>
    </format>
    <format dxfId="30">
      <pivotArea dataOnly="0" labelOnly="1" outline="0" fieldPosition="0">
        <references count="2">
          <reference field="3" count="1" selected="0">
            <x v="19"/>
          </reference>
          <reference field="4" count="3">
            <x v="6"/>
            <x v="8"/>
            <x v="9"/>
          </reference>
        </references>
      </pivotArea>
    </format>
    <format dxfId="29">
      <pivotArea dataOnly="0" labelOnly="1" outline="0" fieldPosition="0">
        <references count="2">
          <reference field="3" count="1" selected="0">
            <x v="20"/>
          </reference>
          <reference field="4" count="1">
            <x v="14"/>
          </reference>
        </references>
      </pivotArea>
    </format>
    <format dxfId="2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7">
      <pivotArea outline="0" collapsedLevelsAreSubtotals="1" fieldPosition="0"/>
    </format>
    <format dxfId="2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5">
      <pivotArea outline="0" collapsedLevelsAreSubtotals="1" fieldPosition="0"/>
    </format>
    <format dxfId="2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Content.Date" tableColumnId="21"/>
      <queryTableField id="2" name="Content.Vr.No" tableColumnId="22"/>
      <queryTableField id="3" name="Content.A/C Tipe" tableColumnId="23"/>
      <queryTableField id="4" name="Content.Supplier Name" tableColumnId="24"/>
      <queryTableField id="5" name="Content.Item Name" tableColumnId="25"/>
      <queryTableField id="6" name="Content.Opening" tableColumnId="26"/>
      <queryTableField id="7" name="Content.Purchase" tableColumnId="27"/>
      <queryTableField id="8" name="Content.Payment" tableColumnId="28"/>
      <queryTableField id="9" name="Content.Balance" tableColumnId="29"/>
      <queryTableField id="10" name="Content.Total Balance" tableColumnId="30"/>
    </queryTableFields>
  </queryTableRefresh>
</queryTable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Armax" displayName="Armax" ref="A1:J2" totalsRowShown="0" headerRowDxfId="304" dataDxfId="303">
  <autoFilter ref="A1:J2"/>
  <tableColumns count="10">
    <tableColumn id="1" name="Date" dataDxfId="302"/>
    <tableColumn id="2" name="Vr.No" dataDxfId="301"/>
    <tableColumn id="3" name="A/C Tipe" dataDxfId="300"/>
    <tableColumn id="4" name="Supplier Name" dataDxfId="299"/>
    <tableColumn id="5" name="Item Name" dataDxfId="298"/>
    <tableColumn id="6" name="Opening" dataDxfId="297" dataCellStyle="Comma"/>
    <tableColumn id="7" name="Purchase" dataDxfId="296" dataCellStyle="Comma"/>
    <tableColumn id="8" name="Payment" dataDxfId="295" dataCellStyle="Comma"/>
    <tableColumn id="9" name="Balance" dataDxfId="294" dataCellStyle="Comma">
      <calculatedColumnFormula>Armax[[#This Row],[Opening]]+Armax[[#This Row],[Purchase]]-Armax[[#This Row],[Payment]]</calculatedColumnFormula>
    </tableColumn>
    <tableColumn id="10" name="Total Balance" dataDxfId="293">
      <calculatedColumnFormula>Armax[Balance]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2" name="AAM" displayName="AAM" ref="A1:J2" totalsRowShown="0" headerRowDxfId="292" dataDxfId="291">
  <autoFilter ref="A1:J2"/>
  <tableColumns count="10">
    <tableColumn id="1" name="Date" dataDxfId="290"/>
    <tableColumn id="2" name="Vr.No" dataDxfId="289"/>
    <tableColumn id="3" name="A/C Tipe" dataDxfId="288"/>
    <tableColumn id="4" name="Supplier Name" dataDxfId="287"/>
    <tableColumn id="5" name="Item Name" dataDxfId="286"/>
    <tableColumn id="6" name="Opening" dataDxfId="285" dataCellStyle="Comma"/>
    <tableColumn id="7" name="Purchase" dataDxfId="284" dataCellStyle="Comma"/>
    <tableColumn id="8" name="Payment" dataDxfId="283" dataCellStyle="Comma"/>
    <tableColumn id="9" name="Balance" dataDxfId="282" dataCellStyle="Comma">
      <calculatedColumnFormula>AAM[[#This Row],[Opening]]+AAM[[#This Row],[Purchase]]-AAM[[#This Row],[Payment]]</calculatedColumnFormula>
    </tableColumn>
    <tableColumn id="10" name="Total Balance" dataDxfId="281">
      <calculatedColumnFormula>AAM[Balance]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id="3" name="AMT" displayName="AMT" ref="A1:J8" totalsRowShown="0" headerRowDxfId="280" dataDxfId="279">
  <autoFilter ref="A1:J8"/>
  <sortState ref="A2:I38">
    <sortCondition ref="A1:A38"/>
  </sortState>
  <tableColumns count="10">
    <tableColumn id="1" name="Date" dataDxfId="278"/>
    <tableColumn id="2" name="Vr.No" dataDxfId="277"/>
    <tableColumn id="3" name="A/C Tipe" dataDxfId="276"/>
    <tableColumn id="4" name="Supplier Name" dataDxfId="275"/>
    <tableColumn id="5" name="Item Name" dataDxfId="274"/>
    <tableColumn id="6" name="Opening" dataDxfId="273" dataCellStyle="Comma"/>
    <tableColumn id="7" name="Purchase" dataDxfId="272" dataCellStyle="Comma"/>
    <tableColumn id="8" name="Payment" dataDxfId="271" dataCellStyle="Comma"/>
    <tableColumn id="9" name="Balance" dataDxfId="270" dataCellStyle="Comma">
      <calculatedColumnFormula>AMT[[#This Row],[Opening]]+AMT[[#This Row],[Purchase]]-AMT[[#This Row],[Payment]]</calculatedColumnFormula>
    </tableColumn>
    <tableColumn id="10" name="Total Balance" dataDxfId="269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id="5" name="GBS_TRI" displayName="GBS_TRI" ref="A1:J3" totalsRowShown="0" headerRowDxfId="268" dataDxfId="267">
  <autoFilter ref="A1:J3"/>
  <tableColumns count="10">
    <tableColumn id="1" name="Date" dataDxfId="266"/>
    <tableColumn id="2" name="Vr.No" dataDxfId="265"/>
    <tableColumn id="3" name="A/C Tipe" dataDxfId="264"/>
    <tableColumn id="4" name="Supplier Name" dataDxfId="263"/>
    <tableColumn id="5" name="Item Name" dataDxfId="262"/>
    <tableColumn id="6" name="Opening" dataDxfId="261" dataCellStyle="Comma"/>
    <tableColumn id="7" name="Purchase" dataDxfId="260" dataCellStyle="Comma"/>
    <tableColumn id="8" name="Payment" dataDxfId="259" dataCellStyle="Comma"/>
    <tableColumn id="9" name="Balance" dataDxfId="258" dataCellStyle="Comma">
      <calculatedColumnFormula>GBS_TRI[[#This Row],[Opening]]+GBS_TRI[[#This Row],[Purchase]]-GBS_TRI[[#This Row],[Payment]]</calculatedColumnFormula>
    </tableColumn>
    <tableColumn id="10" name="Total Balance" dataDxfId="257">
      <calculatedColumnFormula>GBS_TRI[Balance]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id="4" name="DTL" displayName="DTL" ref="A1:J2" totalsRowShown="0" headerRowDxfId="256" dataDxfId="255">
  <autoFilter ref="A1:J2"/>
  <tableColumns count="10">
    <tableColumn id="1" name="Date" dataDxfId="254"/>
    <tableColumn id="2" name="Vr.No" dataDxfId="253"/>
    <tableColumn id="3" name="A/C Tipe" dataDxfId="252"/>
    <tableColumn id="4" name="Supplier Name" dataDxfId="251"/>
    <tableColumn id="5" name="Item Name" dataDxfId="250"/>
    <tableColumn id="6" name="Opening" dataDxfId="249" dataCellStyle="Comma"/>
    <tableColumn id="7" name="Purchase" dataDxfId="248" dataCellStyle="Comma"/>
    <tableColumn id="8" name="Payment" dataDxfId="247" dataCellStyle="Comma"/>
    <tableColumn id="9" name="Balance" dataDxfId="246" dataCellStyle="Comma">
      <calculatedColumnFormula>DTL[[#This Row],[Opening]]+DTL[[#This Row],[Purchase]]-DTL[[#This Row],[Payment]]</calculatedColumnFormula>
    </tableColumn>
    <tableColumn id="10" name="Total Balance" dataDxfId="245">
      <calculatedColumnFormula>DTL[Balance]</calculatedColumnFormula>
    </tableColumn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id="6" name="GBS_ENG" displayName="GBS_ENG" ref="A1:J2" totalsRowShown="0" headerRowDxfId="244" dataDxfId="243">
  <autoFilter ref="A1:J2"/>
  <sortState ref="A2:I9">
    <sortCondition ref="A1:A9"/>
  </sortState>
  <tableColumns count="10">
    <tableColumn id="1" name="Date" dataDxfId="242"/>
    <tableColumn id="2" name="Vr.No" dataDxfId="241"/>
    <tableColumn id="3" name="A/C Tipe" dataDxfId="240"/>
    <tableColumn id="4" name="Supplier Name" dataDxfId="239"/>
    <tableColumn id="5" name="Item Name" dataDxfId="238"/>
    <tableColumn id="6" name="Opening" dataDxfId="237" dataCellStyle="Comma"/>
    <tableColumn id="7" name="Purchase" dataDxfId="236" dataCellStyle="Comma"/>
    <tableColumn id="8" name="Payment" dataDxfId="235" dataCellStyle="Comma"/>
    <tableColumn id="9" name="Balance" dataDxfId="234" dataCellStyle="Comma">
      <calculatedColumnFormula>GBS_ENG[[#This Row],[Opening]]+GBS_ENG[[#This Row],[Purchase]]-GBS_ENG[[#This Row],[Payment]]</calculatedColumnFormula>
    </tableColumn>
    <tableColumn id="10" name="Total Balance" dataDxfId="233">
      <calculatedColumnFormula>GBS_ENG[Balance]</calculatedColumnFormula>
    </tableColumn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id="8" name="GBS_SP" displayName="GBS_SP" ref="A1:J2" totalsRowShown="0" headerRowDxfId="232" dataDxfId="231">
  <autoFilter ref="A1:J2"/>
  <sortState ref="A2:I14">
    <sortCondition ref="A1:A14"/>
  </sortState>
  <tableColumns count="10">
    <tableColumn id="1" name="Date" dataDxfId="230"/>
    <tableColumn id="2" name="Vr.No" dataDxfId="229"/>
    <tableColumn id="3" name="A/C Tipe" dataDxfId="228"/>
    <tableColumn id="4" name="Supplier Name" dataDxfId="227"/>
    <tableColumn id="5" name="Item Name" dataDxfId="226"/>
    <tableColumn id="6" name="Opening" dataDxfId="225" dataCellStyle="Comma"/>
    <tableColumn id="7" name="Purchase" dataDxfId="224" dataCellStyle="Comma"/>
    <tableColumn id="8" name="Payment" dataDxfId="223" dataCellStyle="Comma"/>
    <tableColumn id="9" name="Balance" dataDxfId="222" dataCellStyle="Comma">
      <calculatedColumnFormula>GBS_SP[[#This Row],[Opening]]+GBS_SP[[#This Row],[Purchase]]-GBS_SP[[#This Row],[Payment]]</calculatedColumnFormula>
    </tableColumn>
    <tableColumn id="10" name="Total Balance" dataDxfId="221">
      <calculatedColumnFormula>GBS_SP[Balance]</calculatedColumnFormula>
    </tableColumn>
  </tableColumns>
  <tableStyleInfo name="TableStyleMedium8" showFirstColumn="0" showLastColumn="0" showRowStripes="1" showColumnStripes="0"/>
</table>
</file>

<file path=xl/tables/table8.xml><?xml version="1.0" encoding="utf-8"?>
<table xmlns="http://schemas.openxmlformats.org/spreadsheetml/2006/main" id="9" name="KWH" displayName="KWH" ref="A1:J2" totalsRowShown="0" headerRowDxfId="220" dataDxfId="219">
  <autoFilter ref="A1:J2"/>
  <tableColumns count="10">
    <tableColumn id="1" name="Date" dataDxfId="218"/>
    <tableColumn id="2" name="Vr.No" dataDxfId="217"/>
    <tableColumn id="3" name="A/C Tipe" dataDxfId="216"/>
    <tableColumn id="4" name="Supplier Name" dataDxfId="215"/>
    <tableColumn id="5" name="Item Name" dataDxfId="214"/>
    <tableColumn id="6" name="Opening" dataDxfId="213" dataCellStyle="Comma"/>
    <tableColumn id="7" name="Purchase" dataDxfId="212" dataCellStyle="Comma"/>
    <tableColumn id="8" name="Payment" dataDxfId="211" dataCellStyle="Comma"/>
    <tableColumn id="9" name="Balance" dataDxfId="210" dataCellStyle="Comma">
      <calculatedColumnFormula>KWH[[#This Row],[Opening]]+KWH[[#This Row],[Purchase]]-KWH[[#This Row],[Payment]]</calculatedColumnFormula>
    </tableColumn>
    <tableColumn id="10" name="Total Balance" dataDxfId="209">
      <calculatedColumnFormula>KWH[Balance]</calculatedColumnFormula>
    </tableColumn>
  </tableColumns>
  <tableStyleInfo name="TableStyleMedium8" showFirstColumn="0" showLastColumn="0" showRowStripes="1" showColumnStripes="0"/>
</table>
</file>

<file path=xl/tables/table9.xml><?xml version="1.0" encoding="utf-8"?>
<table xmlns="http://schemas.openxmlformats.org/spreadsheetml/2006/main" id="10" name="KYINNLOON" displayName="KYINNLOON" ref="A1:J2" totalsRowShown="0" headerRowDxfId="208" dataDxfId="207">
  <autoFilter ref="A1:J2"/>
  <tableColumns count="10">
    <tableColumn id="1" name="Date" dataDxfId="206"/>
    <tableColumn id="2" name="Vr.No" dataDxfId="205"/>
    <tableColumn id="3" name="A/C Tipe" dataDxfId="204"/>
    <tableColumn id="4" name="Supplier Name" dataDxfId="203"/>
    <tableColumn id="5" name="Item Name" dataDxfId="202"/>
    <tableColumn id="6" name="Opening" dataDxfId="201" dataCellStyle="Comma"/>
    <tableColumn id="7" name="Purchase" dataDxfId="200" dataCellStyle="Comma"/>
    <tableColumn id="8" name="Payment" dataDxfId="199" dataCellStyle="Comma"/>
    <tableColumn id="9" name="Balance" dataDxfId="198" dataCellStyle="Comma">
      <calculatedColumnFormula>KYINNLOON[[#This Row],[Opening]]+KYINNLOON[[#This Row],[Purchase]]-KYINNLOON[[#This Row],[Payment]]</calculatedColumnFormula>
    </tableColumn>
    <tableColumn id="10" name="Total Balance" dataDxfId="197">
      <calculatedColumnFormula>KYINNLOON[Balance]</calculatedColumnFormula>
    </tableColumn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id="11" name="MOB" displayName="MOB" ref="A1:J2" totalsRowShown="0" headerRowDxfId="196" dataDxfId="195">
  <autoFilter ref="A1:J2"/>
  <tableColumns count="10">
    <tableColumn id="1" name="Date" dataDxfId="194"/>
    <tableColumn id="2" name="Vr.No" dataDxfId="193"/>
    <tableColumn id="3" name="A/C Tipe" dataDxfId="192"/>
    <tableColumn id="4" name="Supplier Name" dataDxfId="191"/>
    <tableColumn id="5" name="Item Name" dataDxfId="190"/>
    <tableColumn id="6" name="Opening" dataDxfId="189" dataCellStyle="Comma"/>
    <tableColumn id="7" name="Purchase" dataDxfId="188" dataCellStyle="Comma"/>
    <tableColumn id="8" name="Payment" dataDxfId="187" dataCellStyle="Comma"/>
    <tableColumn id="9" name="Balance" dataDxfId="186" dataCellStyle="Comma">
      <calculatedColumnFormula>MOB[[#This Row],[Opening]]+MOB[[#This Row],[Purchase]]-MOB[[#This Row],[Payment]]</calculatedColumnFormula>
    </tableColumn>
    <tableColumn id="10" name="Total Balance" dataDxfId="185">
      <calculatedColumnFormula>MOB[Balance]</calculatedColumnFormula>
    </tableColumn>
  </tableColumns>
  <tableStyleInfo name="TableStyleMedium8" showFirstColumn="0" showLastColumn="0" showRowStripes="1" showColumnStripes="0"/>
</table>
</file>

<file path=xl/tables/table11.xml><?xml version="1.0" encoding="utf-8"?>
<table xmlns="http://schemas.openxmlformats.org/spreadsheetml/2006/main" id="12" name="MAYWD" displayName="MAYWD" ref="A1:J2" totalsRowShown="0" headerRowDxfId="184" dataDxfId="183">
  <autoFilter ref="A1:J2"/>
  <sortState ref="A2:I7">
    <sortCondition ref="A1:A7"/>
  </sortState>
  <tableColumns count="10">
    <tableColumn id="1" name="Date" dataDxfId="182"/>
    <tableColumn id="2" name="Vr.No" dataDxfId="181"/>
    <tableColumn id="3" name="A/C Tipe" dataDxfId="180"/>
    <tableColumn id="4" name="Supplier Name" dataDxfId="179"/>
    <tableColumn id="5" name="Item Name" dataDxfId="178"/>
    <tableColumn id="6" name="Opening" dataDxfId="177" dataCellStyle="Comma"/>
    <tableColumn id="7" name="Purchase" dataDxfId="176" dataCellStyle="Comma"/>
    <tableColumn id="8" name="Payment" dataDxfId="175" dataCellStyle="Comma"/>
    <tableColumn id="9" name="Balance" dataDxfId="174" dataCellStyle="Comma">
      <calculatedColumnFormula>MAYWD[[#This Row],[Opening]]+MAYWD[[#This Row],[Purchase]]-MAYWD[[#This Row],[Payment]]</calculatedColumnFormula>
    </tableColumn>
    <tableColumn id="10" name="Total Balance" dataDxfId="173">
      <calculatedColumnFormula>MAYWD[Balance]</calculatedColumnFormula>
    </tableColumn>
  </tableColumns>
  <tableStyleInfo name="TableStyleMedium8" showFirstColumn="0" showLastColumn="0" showRowStripes="1" showColumnStripes="0"/>
</table>
</file>

<file path=xl/tables/table12.xml><?xml version="1.0" encoding="utf-8"?>
<table xmlns="http://schemas.openxmlformats.org/spreadsheetml/2006/main" id="13" name="MDYSP" displayName="MDYSP" ref="A1:J2" totalsRowShown="0" headerRowDxfId="172" dataDxfId="171">
  <autoFilter ref="A1:J2"/>
  <tableColumns count="10">
    <tableColumn id="1" name="Date" dataDxfId="170"/>
    <tableColumn id="2" name="Vr.No" dataDxfId="169"/>
    <tableColumn id="3" name="A/C Tipe" dataDxfId="168"/>
    <tableColumn id="4" name="Supplier Name" dataDxfId="167"/>
    <tableColumn id="5" name="Item Name" dataDxfId="166"/>
    <tableColumn id="6" name="Opening" dataDxfId="165" dataCellStyle="Comma"/>
    <tableColumn id="7" name="Purchase" dataDxfId="164" dataCellStyle="Comma"/>
    <tableColumn id="8" name="Payment" dataDxfId="163" dataCellStyle="Comma"/>
    <tableColumn id="9" name="Balance" dataDxfId="162" dataCellStyle="Comma">
      <calculatedColumnFormula>MDYSP[[#This Row],[Opening]]+MDYSP[[#This Row],[Purchase]]-MDYSP[[#This Row],[Payment]]</calculatedColumnFormula>
    </tableColumn>
    <tableColumn id="10" name="Total Balance" dataDxfId="161">
      <calculatedColumnFormula>MDYSP[Balance]</calculatedColumnFormula>
    </tableColumn>
  </tableColumns>
  <tableStyleInfo name="TableStyleMedium8" showFirstColumn="0" showLastColumn="0" showRowStripes="1" showColumnStripes="0"/>
</table>
</file>

<file path=xl/tables/table13.xml><?xml version="1.0" encoding="utf-8"?>
<table xmlns="http://schemas.openxmlformats.org/spreadsheetml/2006/main" id="14" name="MTAY" displayName="MTAY" ref="A1:J2" totalsRowShown="0" headerRowDxfId="160" dataDxfId="159">
  <autoFilter ref="A1:J2"/>
  <sortState ref="A2:I9">
    <sortCondition ref="A1:A9"/>
  </sortState>
  <tableColumns count="10">
    <tableColumn id="1" name="Date" dataDxfId="158"/>
    <tableColumn id="2" name="Vr.No" dataDxfId="157"/>
    <tableColumn id="3" name="A/C Tipe" dataDxfId="156"/>
    <tableColumn id="4" name="Supplier Name" dataDxfId="155"/>
    <tableColumn id="5" name="Item Name" dataDxfId="154"/>
    <tableColumn id="6" name="Opening" dataDxfId="153" dataCellStyle="Comma"/>
    <tableColumn id="7" name="Purchase" dataDxfId="152" dataCellStyle="Comma"/>
    <tableColumn id="8" name="Payment" dataDxfId="151" dataCellStyle="Comma"/>
    <tableColumn id="9" name="Balance" dataDxfId="150" dataCellStyle="Comma">
      <calculatedColumnFormula>MTAY[[#This Row],[Opening]]+MTAY[[#This Row],[Purchase]]-MTAY[[#This Row],[Payment]]</calculatedColumnFormula>
    </tableColumn>
    <tableColumn id="10" name="Total Balance" dataDxfId="149">
      <calculatedColumnFormula>MTAY[Balance]</calculatedColumnFormula>
    </tableColumn>
  </tableColumns>
  <tableStyleInfo name="TableStyleMedium8" showFirstColumn="0" showLastColumn="0" showRowStripes="1" showColumnStripes="0"/>
</table>
</file>

<file path=xl/tables/table14.xml><?xml version="1.0" encoding="utf-8"?>
<table xmlns="http://schemas.openxmlformats.org/spreadsheetml/2006/main" id="15" name="NASA" displayName="NASA" ref="A1:J2" totalsRowShown="0" headerRowDxfId="148" dataDxfId="147">
  <autoFilter ref="A1:J2"/>
  <sortState ref="A2:I5">
    <sortCondition ref="A1:A5"/>
  </sortState>
  <tableColumns count="10">
    <tableColumn id="1" name="Date" dataDxfId="146"/>
    <tableColumn id="2" name="Vr.No" dataDxfId="145"/>
    <tableColumn id="3" name="A/C Tipe" dataDxfId="144"/>
    <tableColumn id="4" name="Supplier Name" dataDxfId="143"/>
    <tableColumn id="5" name="Item Name" dataDxfId="142"/>
    <tableColumn id="6" name="Opening" dataDxfId="141" dataCellStyle="Comma"/>
    <tableColumn id="7" name="Purchase" dataDxfId="140" dataCellStyle="Comma"/>
    <tableColumn id="8" name="Payment" dataDxfId="139" dataCellStyle="Comma"/>
    <tableColumn id="9" name="Balance" dataDxfId="138" dataCellStyle="Comma">
      <calculatedColumnFormula>NASA[[#This Row],[Opening]]+NASA[[#This Row],[Purchase]]-NASA[[#This Row],[Payment]]</calculatedColumnFormula>
    </tableColumn>
    <tableColumn id="10" name="Total Balance" dataDxfId="137">
      <calculatedColumnFormula>NASA[Balance]</calculatedColumnFormula>
    </tableColumn>
  </tableColumns>
  <tableStyleInfo name="TableStyleMedium8" showFirstColumn="0" showLastColumn="0" showRowStripes="1" showColumnStripes="0"/>
</table>
</file>

<file path=xl/tables/table15.xml><?xml version="1.0" encoding="utf-8"?>
<table xmlns="http://schemas.openxmlformats.org/spreadsheetml/2006/main" id="16" name="STL" displayName="STL" ref="A1:J8" totalsRowShown="0" headerRowDxfId="136" dataDxfId="135">
  <autoFilter ref="A1:J8"/>
  <sortState ref="A2:I10">
    <sortCondition ref="A1:A10"/>
  </sortState>
  <tableColumns count="10">
    <tableColumn id="1" name="Date" dataDxfId="134"/>
    <tableColumn id="2" name="Vr.No" dataDxfId="133"/>
    <tableColumn id="3" name="A/C Tipe" dataDxfId="132"/>
    <tableColumn id="4" name="Supplier Name" dataDxfId="131"/>
    <tableColumn id="5" name="Item Name" dataDxfId="130"/>
    <tableColumn id="6" name="Opening" dataDxfId="129" dataCellStyle="Comma"/>
    <tableColumn id="7" name="Purchase" dataDxfId="128" dataCellStyle="Comma"/>
    <tableColumn id="8" name="Payment" dataDxfId="127" dataCellStyle="Comma"/>
    <tableColumn id="9" name="Balance" dataDxfId="126" dataCellStyle="Comma">
      <calculatedColumnFormula>STL[[#This Row],[Opening]]+STL[[#This Row],[Purchase]]-STL[[#This Row],[Payment]]</calculatedColumnFormula>
    </tableColumn>
    <tableColumn id="10" name="Total Balance" dataDxfId="125"/>
  </tableColumns>
  <tableStyleInfo name="TableStyleMedium8" showFirstColumn="0" showLastColumn="0" showRowStripes="1" showColumnStripes="0"/>
</table>
</file>

<file path=xl/tables/table16.xml><?xml version="1.0" encoding="utf-8"?>
<table xmlns="http://schemas.openxmlformats.org/spreadsheetml/2006/main" id="17" name="SYS" displayName="SYS" ref="A1:J2" totalsRowShown="0" headerRowDxfId="124" dataDxfId="123">
  <autoFilter ref="A1:J2"/>
  <tableColumns count="10">
    <tableColumn id="1" name="Date" dataDxfId="122"/>
    <tableColumn id="2" name="Vr.No" dataDxfId="121"/>
    <tableColumn id="3" name="A/C Tipe" dataDxfId="120"/>
    <tableColumn id="4" name="Supplier Name" dataDxfId="119"/>
    <tableColumn id="5" name="Item Name" dataDxfId="118"/>
    <tableColumn id="6" name="Opening" dataDxfId="117" dataCellStyle="Comma"/>
    <tableColumn id="7" name="Purchase" dataDxfId="116" dataCellStyle="Comma"/>
    <tableColumn id="8" name="Payment" dataDxfId="115" dataCellStyle="Comma"/>
    <tableColumn id="9" name="Balance" dataDxfId="114" dataCellStyle="Comma">
      <calculatedColumnFormula>SYS[[#This Row],[Opening]]+SYS[[#This Row],[Purchase]]-SYS[[#This Row],[Payment]]</calculatedColumnFormula>
    </tableColumn>
    <tableColumn id="10" name="Total Balance" dataDxfId="113">
      <calculatedColumnFormula>SYS[Balance]</calculatedColumnFormula>
    </tableColumn>
  </tableColumns>
  <tableStyleInfo name="TableStyleMedium8" showFirstColumn="0" showLastColumn="0" showRowStripes="1" showColumnStripes="0"/>
</table>
</file>

<file path=xl/tables/table17.xml><?xml version="1.0" encoding="utf-8"?>
<table xmlns="http://schemas.openxmlformats.org/spreadsheetml/2006/main" id="18" name="SUPER" displayName="SUPER" ref="A1:J2" totalsRowShown="0" headerRowDxfId="112" dataDxfId="111">
  <autoFilter ref="A1:J2"/>
  <tableColumns count="10">
    <tableColumn id="1" name="Date" dataDxfId="110"/>
    <tableColumn id="2" name="Vr.No" dataDxfId="109"/>
    <tableColumn id="3" name="A/C Tipe" dataDxfId="108"/>
    <tableColumn id="4" name="Supplier Name" dataDxfId="107"/>
    <tableColumn id="5" name="Item Name" dataDxfId="106"/>
    <tableColumn id="6" name="Opening" dataDxfId="105" dataCellStyle="Comma"/>
    <tableColumn id="7" name="Purchase" dataDxfId="104" dataCellStyle="Comma"/>
    <tableColumn id="8" name="Payment" dataDxfId="103" dataCellStyle="Comma"/>
    <tableColumn id="9" name="Balance" dataDxfId="102" dataCellStyle="Comma">
      <calculatedColumnFormula>SUPER[[#This Row],[Opening]]+SUPER[[#This Row],[Purchase]]-SUPER[[#This Row],[Payment]]</calculatedColumnFormula>
    </tableColumn>
    <tableColumn id="10" name="Total Balance" dataDxfId="101">
      <calculatedColumnFormula>SUPER[Balance]</calculatedColumnFormula>
    </tableColumn>
  </tableColumns>
  <tableStyleInfo name="TableStyleMedium8" showFirstColumn="0" showLastColumn="0" showRowStripes="1" showColumnStripes="0"/>
</table>
</file>

<file path=xl/tables/table18.xml><?xml version="1.0" encoding="utf-8"?>
<table xmlns="http://schemas.openxmlformats.org/spreadsheetml/2006/main" id="19" name="TSLW" displayName="TSLW" ref="A1:J2" totalsRowShown="0" headerRowDxfId="100" dataDxfId="99">
  <autoFilter ref="A1:J2"/>
  <tableColumns count="10">
    <tableColumn id="1" name="Date" dataDxfId="98"/>
    <tableColumn id="2" name="Vr.No" dataDxfId="97"/>
    <tableColumn id="3" name="A/C Tipe" dataDxfId="96"/>
    <tableColumn id="4" name="Supplier Name" dataDxfId="95"/>
    <tableColumn id="5" name="Item Name" dataDxfId="94"/>
    <tableColumn id="6" name="Opening" dataDxfId="93" dataCellStyle="Comma"/>
    <tableColumn id="7" name="Purchase" dataDxfId="92" dataCellStyle="Comma"/>
    <tableColumn id="8" name="Payment" dataDxfId="91" dataCellStyle="Comma"/>
    <tableColumn id="9" name="Balance" dataDxfId="90" dataCellStyle="Comma">
      <calculatedColumnFormula>TSLW[[#This Row],[Opening]]+TSLW[[#This Row],[Purchase]]-TSLW[[#This Row],[Payment]]</calculatedColumnFormula>
    </tableColumn>
    <tableColumn id="10" name="Total Balance" dataDxfId="89">
      <calculatedColumnFormula>TSLW[Balance]</calculatedColumnFormula>
    </tableColumn>
  </tableColumns>
  <tableStyleInfo name="TableStyleMedium8" showFirstColumn="0" showLastColumn="0" showRowStripes="1" showColumnStripes="0"/>
</table>
</file>

<file path=xl/tables/table19.xml><?xml version="1.0" encoding="utf-8"?>
<table xmlns="http://schemas.openxmlformats.org/spreadsheetml/2006/main" id="20" name="UMG" displayName="UMG" ref="A1:J2" totalsRowShown="0" headerRowDxfId="88" dataDxfId="87">
  <autoFilter ref="A1:J2"/>
  <tableColumns count="10">
    <tableColumn id="1" name="Date" dataDxfId="86"/>
    <tableColumn id="2" name="Vr.No" dataDxfId="85"/>
    <tableColumn id="3" name="A/C Tipe" dataDxfId="84"/>
    <tableColumn id="4" name="Supplier Name" dataDxfId="83"/>
    <tableColumn id="5" name="Item Name" dataDxfId="82"/>
    <tableColumn id="6" name="Opening" dataDxfId="81" dataCellStyle="Comma"/>
    <tableColumn id="7" name="Purchase" dataDxfId="80" dataCellStyle="Comma"/>
    <tableColumn id="8" name="Payment" dataDxfId="79" dataCellStyle="Comma"/>
    <tableColumn id="9" name="Balance" dataDxfId="78" dataCellStyle="Comma">
      <calculatedColumnFormula>UMG[[#This Row],[Opening]]+UMG[[#This Row],[Purchase]]-UMG[[#This Row],[Payment]]</calculatedColumnFormula>
    </tableColumn>
    <tableColumn id="10" name="Total Balance" dataDxfId="77">
      <calculatedColumnFormula>UMG[Balance]</calculatedColumnFormula>
    </tableColumn>
  </tableColumns>
  <tableStyleInfo name="TableStyleMedium8" showFirstColumn="0" showLastColumn="0" showRowStripes="1" showColumnStripes="0"/>
</table>
</file>

<file path=xl/tables/table20.xml><?xml version="1.0" encoding="utf-8"?>
<table xmlns="http://schemas.openxmlformats.org/spreadsheetml/2006/main" id="21" name="ZAN" displayName="ZAN" ref="A1:J4" totalsRowShown="0" headerRowDxfId="76" dataDxfId="75">
  <autoFilter ref="A1:J4"/>
  <sortState ref="A2:I6">
    <sortCondition ref="A1:A6"/>
  </sortState>
  <tableColumns count="10">
    <tableColumn id="1" name="Date" dataDxfId="74"/>
    <tableColumn id="2" name="Vr.No" dataDxfId="73"/>
    <tableColumn id="3" name="A/C Tipe" dataDxfId="72"/>
    <tableColumn id="4" name="Supplier Name" dataDxfId="71"/>
    <tableColumn id="5" name="Item Name" dataDxfId="70"/>
    <tableColumn id="6" name="Opening" dataDxfId="69" dataCellStyle="Comma"/>
    <tableColumn id="7" name="Purchase" dataDxfId="68" dataCellStyle="Comma"/>
    <tableColumn id="8" name="Payment" dataDxfId="67" dataCellStyle="Comma"/>
    <tableColumn id="9" name="Balance" dataDxfId="66" dataCellStyle="Comma">
      <calculatedColumnFormula>ZAN[[#This Row],[Opening]]+ZAN[[#This Row],[Purchase]]-ZAN[[#This Row],[Payment]]</calculatedColumnFormula>
    </tableColumn>
    <tableColumn id="10" name="Total Balance" dataDxfId="65"/>
  </tableColumns>
  <tableStyleInfo name="TableStyleMedium8" showFirstColumn="0" showLastColumn="0" showRowStripes="1" showColumnStripes="0"/>
</table>
</file>

<file path=xl/tables/table21.xml><?xml version="1.0" encoding="utf-8"?>
<table xmlns="http://schemas.openxmlformats.org/spreadsheetml/2006/main" id="24" name="ZAN_25" displayName="ZAN_25" ref="A1:F21" totalsRowShown="0" headerRowDxfId="64" dataDxfId="63" tableBorderDxfId="62">
  <tableColumns count="6">
    <tableColumn id="10" name="No" dataDxfId="61"/>
    <tableColumn id="4" name="Supplier Name" dataDxfId="60"/>
    <tableColumn id="6" name="Opening" dataDxfId="59" dataCellStyle="Comma">
      <calculatedColumnFormula>SUMIF('Data Combile'!$D:$D,$B2,'Data Combile'!F:F)</calculatedColumnFormula>
    </tableColumn>
    <tableColumn id="7" name="Purchase" dataDxfId="58" dataCellStyle="Comma">
      <calculatedColumnFormula>SUMIF('Data Combile'!$D:$D,$B2,'Data Combile'!G:G)</calculatedColumnFormula>
    </tableColumn>
    <tableColumn id="8" name="Payment" dataDxfId="57" dataCellStyle="Comma">
      <calculatedColumnFormula>SUMIF('Data Combile'!$D:$D,$B2,'Data Combile'!H:H)</calculatedColumnFormula>
    </tableColumn>
    <tableColumn id="9" name="Balance" dataDxfId="56" dataCellStyle="Comma">
      <calculatedColumnFormula>SUMIF('Data Combile'!$D:$D,$B2,'Data Combile'!I:I)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id="23" name="Data_Combine" displayName="Data_Combine" ref="A1:J54" tableType="queryTable" totalsRowShown="0" headerRowDxfId="23" dataDxfId="22">
  <autoFilter ref="A1:J54"/>
  <tableColumns count="10">
    <tableColumn id="21" uniqueName="21" name="Content.Date" queryTableFieldId="1" dataDxfId="21"/>
    <tableColumn id="22" uniqueName="22" name="Content.Vr.No" queryTableFieldId="2" dataDxfId="20"/>
    <tableColumn id="23" uniqueName="23" name="Content.A/C Tipe" queryTableFieldId="3" dataDxfId="19"/>
    <tableColumn id="24" uniqueName="24" name="Content.Supplier Name" queryTableFieldId="4" dataDxfId="18"/>
    <tableColumn id="25" uniqueName="25" name="Content.Item Name" queryTableFieldId="5" dataDxfId="17"/>
    <tableColumn id="26" uniqueName="26" name="Content.Opening" queryTableFieldId="6" dataDxfId="16" dataCellStyle="Comma"/>
    <tableColumn id="27" uniqueName="27" name="Content.Purchase" queryTableFieldId="7" dataDxfId="15" dataCellStyle="Comma"/>
    <tableColumn id="28" uniqueName="28" name="Content.Payment" queryTableFieldId="8" dataDxfId="14" dataCellStyle="Comma"/>
    <tableColumn id="29" uniqueName="29" name="Content.Balance" queryTableFieldId="9" dataDxfId="13" dataCellStyle="Comma"/>
    <tableColumn id="30" uniqueName="30" name="Content.Total Balance" queryTableFieldId="10" dataDxfId="12" dataCellStyle="Comma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id="22" name="Query1_2" displayName="Query1_2" ref="A1:J3" totalsRowShown="0" headerRowDxfId="11" dataDxfId="10">
  <autoFilter ref="A1:J3"/>
  <sortState ref="A2:J3">
    <sortCondition ref="A1:A3"/>
  </sortState>
  <tableColumns count="10">
    <tableColumn id="11" name="Content.Date" dataDxfId="9"/>
    <tableColumn id="2" name="Content.Vr.No" dataDxfId="8"/>
    <tableColumn id="3" name="Content.A/C Tipe" dataDxfId="7"/>
    <tableColumn id="4" name="Content.Supplier Name" dataDxfId="6"/>
    <tableColumn id="5" name="Content.Item Name" dataDxfId="5"/>
    <tableColumn id="6" name="Content.Opening" dataDxfId="4"/>
    <tableColumn id="7" name="Content.Purchase" dataDxfId="3"/>
    <tableColumn id="8" name="Content.Payment" dataDxfId="2"/>
    <tableColumn id="9" name="Content.Balance" dataDxfId="1"/>
    <tableColumn id="10" name="Name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28"/>
  <sheetViews>
    <sheetView topLeftCell="A22" workbookViewId="0">
      <selection activeCell="B29" sqref="B29"/>
    </sheetView>
  </sheetViews>
  <sheetFormatPr defaultColWidth="9.28515625" defaultRowHeight="21.75" x14ac:dyDescent="0.55000000000000004"/>
  <cols>
    <col min="1" max="1" width="9.28515625" style="1"/>
    <col min="2" max="2" width="15.5703125" style="7" bestFit="1" customWidth="1"/>
    <col min="3" max="3" width="26.28515625" style="1" customWidth="1"/>
    <col min="4" max="5" width="9.28515625" style="1"/>
    <col min="6" max="6" width="23.5703125" style="1" bestFit="1" customWidth="1"/>
    <col min="7" max="16384" width="9.28515625" style="1"/>
  </cols>
  <sheetData>
    <row r="2" spans="2:8" x14ac:dyDescent="0.55000000000000004">
      <c r="B2" s="2" t="s">
        <v>2</v>
      </c>
      <c r="C2" s="2" t="s">
        <v>3</v>
      </c>
      <c r="F2" s="2" t="s">
        <v>10</v>
      </c>
      <c r="H2" s="10" t="s">
        <v>70</v>
      </c>
    </row>
    <row r="3" spans="2:8" x14ac:dyDescent="0.55000000000000004">
      <c r="B3" s="3" t="s">
        <v>11</v>
      </c>
      <c r="C3" s="4" t="s">
        <v>12</v>
      </c>
      <c r="F3" s="5" t="s">
        <v>13</v>
      </c>
      <c r="H3" s="6" t="s">
        <v>5</v>
      </c>
    </row>
    <row r="4" spans="2:8" x14ac:dyDescent="0.55000000000000004">
      <c r="B4" s="3" t="s">
        <v>14</v>
      </c>
      <c r="C4" s="4" t="s">
        <v>15</v>
      </c>
      <c r="F4" s="5" t="s">
        <v>16</v>
      </c>
      <c r="H4" s="6" t="s">
        <v>6</v>
      </c>
    </row>
    <row r="5" spans="2:8" x14ac:dyDescent="0.55000000000000004">
      <c r="B5" s="3" t="s">
        <v>17</v>
      </c>
      <c r="C5" s="4" t="s">
        <v>18</v>
      </c>
      <c r="F5" s="5" t="s">
        <v>19</v>
      </c>
      <c r="H5" s="6" t="s">
        <v>7</v>
      </c>
    </row>
    <row r="6" spans="2:8" x14ac:dyDescent="0.55000000000000004">
      <c r="B6" s="3" t="s">
        <v>20</v>
      </c>
      <c r="C6" s="4" t="s">
        <v>21</v>
      </c>
      <c r="F6" s="5" t="s">
        <v>22</v>
      </c>
    </row>
    <row r="7" spans="2:8" x14ac:dyDescent="0.55000000000000004">
      <c r="B7" s="3" t="s">
        <v>23</v>
      </c>
      <c r="C7" s="4" t="s">
        <v>68</v>
      </c>
      <c r="F7" s="5" t="s">
        <v>24</v>
      </c>
    </row>
    <row r="8" spans="2:8" x14ac:dyDescent="0.55000000000000004">
      <c r="B8" s="3" t="s">
        <v>25</v>
      </c>
      <c r="C8" s="4" t="s">
        <v>26</v>
      </c>
      <c r="F8" s="5" t="s">
        <v>27</v>
      </c>
    </row>
    <row r="9" spans="2:8" x14ac:dyDescent="0.55000000000000004">
      <c r="B9" s="3" t="s">
        <v>28</v>
      </c>
      <c r="C9" s="4" t="s">
        <v>29</v>
      </c>
      <c r="F9" s="5" t="s">
        <v>30</v>
      </c>
    </row>
    <row r="10" spans="2:8" x14ac:dyDescent="0.55000000000000004">
      <c r="B10" s="3" t="s">
        <v>31</v>
      </c>
      <c r="C10" s="4" t="s">
        <v>32</v>
      </c>
      <c r="F10" s="5" t="s">
        <v>33</v>
      </c>
    </row>
    <row r="11" spans="2:8" x14ac:dyDescent="0.55000000000000004">
      <c r="B11" s="3" t="s">
        <v>34</v>
      </c>
      <c r="C11" s="4" t="s">
        <v>35</v>
      </c>
      <c r="F11" s="5" t="s">
        <v>36</v>
      </c>
    </row>
    <row r="12" spans="2:8" x14ac:dyDescent="0.55000000000000004">
      <c r="B12" s="3" t="s">
        <v>37</v>
      </c>
      <c r="C12" s="4" t="s">
        <v>38</v>
      </c>
    </row>
    <row r="13" spans="2:8" x14ac:dyDescent="0.55000000000000004">
      <c r="B13" s="3" t="s">
        <v>39</v>
      </c>
      <c r="C13" s="4" t="s">
        <v>40</v>
      </c>
    </row>
    <row r="14" spans="2:8" x14ac:dyDescent="0.55000000000000004">
      <c r="B14" s="3" t="s">
        <v>41</v>
      </c>
      <c r="C14" s="4" t="s">
        <v>42</v>
      </c>
    </row>
    <row r="15" spans="2:8" x14ac:dyDescent="0.55000000000000004">
      <c r="B15" s="3" t="s">
        <v>43</v>
      </c>
      <c r="C15" s="4" t="s">
        <v>44</v>
      </c>
    </row>
    <row r="16" spans="2:8" x14ac:dyDescent="0.55000000000000004">
      <c r="B16" s="3" t="s">
        <v>45</v>
      </c>
      <c r="C16" s="4" t="s">
        <v>46</v>
      </c>
    </row>
    <row r="17" spans="2:3" x14ac:dyDescent="0.55000000000000004">
      <c r="B17" s="3" t="s">
        <v>47</v>
      </c>
      <c r="C17" s="4" t="s">
        <v>48</v>
      </c>
    </row>
    <row r="18" spans="2:3" x14ac:dyDescent="0.55000000000000004">
      <c r="B18" s="3" t="s">
        <v>49</v>
      </c>
      <c r="C18" s="4" t="s">
        <v>50</v>
      </c>
    </row>
    <row r="19" spans="2:3" x14ac:dyDescent="0.55000000000000004">
      <c r="B19" s="3" t="s">
        <v>51</v>
      </c>
      <c r="C19" s="4" t="s">
        <v>52</v>
      </c>
    </row>
    <row r="20" spans="2:3" x14ac:dyDescent="0.55000000000000004">
      <c r="B20" s="3" t="s">
        <v>53</v>
      </c>
      <c r="C20" s="4" t="s">
        <v>54</v>
      </c>
    </row>
    <row r="21" spans="2:3" x14ac:dyDescent="0.55000000000000004">
      <c r="B21" s="3" t="s">
        <v>55</v>
      </c>
      <c r="C21" s="4" t="s">
        <v>56</v>
      </c>
    </row>
    <row r="22" spans="2:3" x14ac:dyDescent="0.55000000000000004">
      <c r="B22" s="3" t="s">
        <v>57</v>
      </c>
      <c r="C22" s="6" t="s">
        <v>58</v>
      </c>
    </row>
    <row r="23" spans="2:3" x14ac:dyDescent="0.55000000000000004">
      <c r="B23" s="3" t="s">
        <v>59</v>
      </c>
      <c r="C23" s="6" t="s">
        <v>60</v>
      </c>
    </row>
    <row r="24" spans="2:3" x14ac:dyDescent="0.55000000000000004">
      <c r="B24" s="3" t="s">
        <v>61</v>
      </c>
      <c r="C24" s="6" t="s">
        <v>9</v>
      </c>
    </row>
    <row r="25" spans="2:3" x14ac:dyDescent="0.55000000000000004">
      <c r="B25" s="3" t="s">
        <v>62</v>
      </c>
      <c r="C25" s="6" t="s">
        <v>63</v>
      </c>
    </row>
    <row r="26" spans="2:3" x14ac:dyDescent="0.55000000000000004">
      <c r="B26" s="3" t="s">
        <v>64</v>
      </c>
      <c r="C26" s="6" t="s">
        <v>65</v>
      </c>
    </row>
    <row r="27" spans="2:3" x14ac:dyDescent="0.55000000000000004">
      <c r="B27" s="3" t="s">
        <v>66</v>
      </c>
      <c r="C27" s="6" t="s">
        <v>67</v>
      </c>
    </row>
    <row r="28" spans="2:3" x14ac:dyDescent="0.55000000000000004">
      <c r="B28" s="3" t="s">
        <v>72</v>
      </c>
      <c r="C28" s="4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2"/>
  <sheetViews>
    <sheetView zoomScaleNormal="100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74" customWidth="1"/>
    <col min="3" max="3" width="12.28515625" style="1" customWidth="1"/>
    <col min="4" max="4" width="16.85546875" style="1" customWidth="1"/>
    <col min="5" max="5" width="21.140625" style="7" customWidth="1"/>
    <col min="6" max="6" width="17.5703125" style="8" bestFit="1" customWidth="1"/>
    <col min="7" max="7" width="18.42578125" style="8" customWidth="1"/>
    <col min="8" max="8" width="19.42578125" style="9" customWidth="1"/>
    <col min="9" max="9" width="12" style="9" bestFit="1" customWidth="1"/>
    <col min="10" max="10" width="18.140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17" t="s">
        <v>109</v>
      </c>
      <c r="K1" s="8"/>
    </row>
    <row r="2" spans="1:11" x14ac:dyDescent="0.55000000000000004">
      <c r="A2" s="18">
        <v>44378</v>
      </c>
      <c r="B2" s="58"/>
      <c r="C2" s="16" t="s">
        <v>5</v>
      </c>
      <c r="D2" s="1" t="s">
        <v>9</v>
      </c>
      <c r="E2" s="7" t="s">
        <v>5</v>
      </c>
      <c r="F2" s="19">
        <v>586620</v>
      </c>
      <c r="G2" s="19"/>
      <c r="H2" s="17"/>
      <c r="I2" s="17">
        <f>Armax[[#This Row],[Opening]]+Armax[[#This Row],[Purchase]]-Armax[[#This Row],[Payment]]</f>
        <v>586620</v>
      </c>
      <c r="J2" s="117">
        <f>Armax[Balance]</f>
        <v>586620</v>
      </c>
    </row>
    <row r="3" spans="1:11" x14ac:dyDescent="0.55000000000000004">
      <c r="A3" s="18"/>
      <c r="B3" s="58"/>
      <c r="C3" s="16"/>
      <c r="E3" s="46"/>
      <c r="F3" s="19"/>
      <c r="G3" s="19"/>
      <c r="H3" s="17"/>
      <c r="I3" s="17"/>
    </row>
    <row r="4" spans="1:11" x14ac:dyDescent="0.55000000000000004">
      <c r="A4" s="59"/>
      <c r="B4" s="73"/>
      <c r="C4" s="60"/>
      <c r="D4" s="61"/>
      <c r="E4" s="65"/>
      <c r="F4" s="63"/>
      <c r="G4" s="63"/>
      <c r="H4" s="64"/>
      <c r="I4" s="64"/>
    </row>
    <row r="5" spans="1:11" x14ac:dyDescent="0.55000000000000004">
      <c r="A5" s="18"/>
      <c r="B5" s="58"/>
      <c r="C5" s="16"/>
      <c r="E5" s="14"/>
      <c r="F5" s="19"/>
      <c r="G5" s="19"/>
      <c r="H5" s="17"/>
      <c r="I5" s="17"/>
    </row>
    <row r="6" spans="1:11" x14ac:dyDescent="0.55000000000000004">
      <c r="A6" s="18"/>
      <c r="B6" s="58"/>
      <c r="C6" s="16"/>
      <c r="E6" s="14"/>
      <c r="F6" s="19"/>
      <c r="G6" s="19"/>
      <c r="H6" s="17"/>
      <c r="I6" s="17"/>
    </row>
    <row r="7" spans="1:11" x14ac:dyDescent="0.55000000000000004">
      <c r="A7" s="18"/>
      <c r="B7" s="58"/>
      <c r="C7" s="16"/>
      <c r="E7" s="14"/>
      <c r="F7" s="19"/>
      <c r="G7" s="19"/>
      <c r="H7" s="17"/>
      <c r="I7" s="17"/>
    </row>
    <row r="8" spans="1:11" x14ac:dyDescent="0.55000000000000004">
      <c r="A8" s="18"/>
      <c r="B8" s="58"/>
      <c r="C8" s="16"/>
      <c r="E8" s="14"/>
      <c r="F8" s="19"/>
      <c r="G8" s="19"/>
      <c r="H8" s="17"/>
      <c r="I8" s="17"/>
    </row>
    <row r="9" spans="1:11" x14ac:dyDescent="0.55000000000000004">
      <c r="A9" s="18"/>
      <c r="B9" s="58"/>
      <c r="C9" s="16"/>
      <c r="E9" s="14"/>
      <c r="F9" s="19"/>
      <c r="G9" s="19"/>
      <c r="H9" s="17"/>
      <c r="I9" s="17"/>
    </row>
    <row r="10" spans="1:11" x14ac:dyDescent="0.55000000000000004">
      <c r="A10" s="18"/>
      <c r="B10" s="58"/>
      <c r="C10" s="16"/>
      <c r="E10" s="14"/>
      <c r="F10" s="19"/>
      <c r="G10" s="19"/>
      <c r="H10" s="17"/>
      <c r="I10" s="17"/>
    </row>
    <row r="11" spans="1:11" x14ac:dyDescent="0.55000000000000004">
      <c r="C11" s="11"/>
    </row>
    <row r="12" spans="1:11" x14ac:dyDescent="0.55000000000000004">
      <c r="C12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9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28515625" style="1" customWidth="1"/>
    <col min="4" max="4" width="21.140625" style="1" bestFit="1" customWidth="1"/>
    <col min="5" max="5" width="38.28515625" style="7" customWidth="1"/>
    <col min="6" max="6" width="14.140625" style="8" customWidth="1"/>
    <col min="7" max="7" width="18.42578125" style="8" customWidth="1"/>
    <col min="8" max="8" width="16.5703125" style="9" customWidth="1"/>
    <col min="9" max="9" width="16.28515625" style="9" customWidth="1"/>
    <col min="10" max="10" width="15.71093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17" t="s">
        <v>109</v>
      </c>
      <c r="K1" s="8"/>
    </row>
    <row r="2" spans="1:11" x14ac:dyDescent="0.55000000000000004">
      <c r="A2" s="18">
        <v>44378</v>
      </c>
      <c r="B2" s="16"/>
      <c r="C2" s="16" t="s">
        <v>5</v>
      </c>
      <c r="D2" s="1" t="s">
        <v>15</v>
      </c>
      <c r="E2" s="7" t="s">
        <v>5</v>
      </c>
      <c r="F2" s="19">
        <v>306000</v>
      </c>
      <c r="G2" s="19"/>
      <c r="H2" s="17"/>
      <c r="I2" s="17">
        <f>AAM[[#This Row],[Opening]]+AAM[[#This Row],[Purchase]]-AAM[[#This Row],[Payment]]</f>
        <v>306000</v>
      </c>
      <c r="J2" s="117">
        <f>AAM[Balance]</f>
        <v>306000</v>
      </c>
    </row>
    <row r="3" spans="1:11" x14ac:dyDescent="0.55000000000000004">
      <c r="A3" s="109"/>
      <c r="B3" s="110"/>
      <c r="C3" s="110"/>
      <c r="D3" s="111"/>
      <c r="E3" s="112"/>
      <c r="F3" s="113"/>
      <c r="G3" s="113"/>
      <c r="H3" s="114"/>
      <c r="I3" s="114"/>
    </row>
    <row r="4" spans="1:11" x14ac:dyDescent="0.55000000000000004">
      <c r="A4" s="18"/>
      <c r="B4" s="16"/>
      <c r="C4" s="16"/>
      <c r="E4" s="44"/>
      <c r="F4" s="19"/>
      <c r="G4" s="19"/>
      <c r="H4" s="17"/>
      <c r="I4" s="17"/>
    </row>
    <row r="5" spans="1:11" x14ac:dyDescent="0.55000000000000004">
      <c r="A5" s="100"/>
      <c r="B5" s="101"/>
      <c r="C5" s="101"/>
      <c r="E5" s="102"/>
      <c r="F5" s="103"/>
      <c r="G5" s="103"/>
      <c r="H5" s="104"/>
      <c r="I5" s="104"/>
    </row>
    <row r="6" spans="1:11" x14ac:dyDescent="0.55000000000000004">
      <c r="A6" s="100"/>
      <c r="B6" s="101"/>
      <c r="C6" s="101"/>
      <c r="E6" s="102"/>
      <c r="F6" s="103"/>
      <c r="G6" s="103"/>
      <c r="H6" s="104"/>
      <c r="I6" s="104"/>
    </row>
    <row r="7" spans="1:11" x14ac:dyDescent="0.55000000000000004">
      <c r="A7" s="100"/>
      <c r="B7" s="101"/>
      <c r="C7" s="101"/>
      <c r="E7" s="102"/>
      <c r="F7" s="103"/>
      <c r="G7" s="103"/>
      <c r="H7" s="104"/>
      <c r="I7" s="104"/>
    </row>
    <row r="8" spans="1:11" x14ac:dyDescent="0.55000000000000004">
      <c r="A8" s="100"/>
      <c r="B8" s="101"/>
      <c r="C8" s="101"/>
      <c r="E8" s="102"/>
      <c r="F8" s="103"/>
      <c r="G8" s="103"/>
      <c r="H8" s="104"/>
      <c r="I8" s="104"/>
    </row>
    <row r="9" spans="1:11" x14ac:dyDescent="0.55000000000000004">
      <c r="A9" s="100"/>
      <c r="B9" s="101"/>
      <c r="C9" s="101"/>
      <c r="E9" s="106"/>
      <c r="F9" s="103"/>
      <c r="G9" s="103"/>
      <c r="H9" s="104"/>
      <c r="I9" s="104"/>
    </row>
    <row r="10" spans="1:11" x14ac:dyDescent="0.55000000000000004">
      <c r="A10" s="100"/>
      <c r="B10" s="101"/>
      <c r="C10" s="101"/>
      <c r="E10" s="102"/>
      <c r="F10" s="103"/>
      <c r="G10" s="103"/>
      <c r="H10" s="104"/>
      <c r="I10" s="104"/>
    </row>
    <row r="11" spans="1:11" x14ac:dyDescent="0.55000000000000004">
      <c r="A11" s="100"/>
      <c r="B11" s="101"/>
      <c r="C11" s="101"/>
      <c r="D11" s="105"/>
      <c r="E11" s="102"/>
      <c r="F11" s="103"/>
      <c r="G11" s="103"/>
      <c r="H11" s="104"/>
      <c r="I11" s="104"/>
    </row>
    <row r="12" spans="1:11" x14ac:dyDescent="0.55000000000000004">
      <c r="A12" s="18"/>
      <c r="B12" s="16"/>
      <c r="C12" s="16"/>
      <c r="F12" s="19"/>
      <c r="G12" s="19"/>
      <c r="H12" s="17"/>
      <c r="I12" s="17"/>
    </row>
    <row r="13" spans="1:11" x14ac:dyDescent="0.55000000000000004">
      <c r="A13" s="18"/>
      <c r="B13" s="16"/>
      <c r="C13" s="16"/>
      <c r="F13" s="19"/>
      <c r="G13" s="19"/>
      <c r="H13" s="17"/>
      <c r="I13" s="17"/>
    </row>
    <row r="14" spans="1:11" x14ac:dyDescent="0.55000000000000004">
      <c r="A14" s="18"/>
      <c r="B14" s="16"/>
      <c r="C14" s="16"/>
      <c r="E14" s="14"/>
      <c r="F14" s="19"/>
      <c r="G14" s="19"/>
      <c r="H14" s="17"/>
      <c r="I14" s="17"/>
    </row>
    <row r="15" spans="1:11" x14ac:dyDescent="0.55000000000000004">
      <c r="A15" s="18"/>
      <c r="B15" s="16"/>
      <c r="C15" s="16"/>
      <c r="E15" s="14"/>
      <c r="F15" s="19"/>
      <c r="G15" s="19"/>
      <c r="H15" s="17"/>
      <c r="I15" s="17"/>
    </row>
    <row r="16" spans="1:11" x14ac:dyDescent="0.55000000000000004">
      <c r="A16" s="18"/>
      <c r="B16" s="16"/>
      <c r="C16" s="16"/>
      <c r="E16" s="14"/>
      <c r="F16" s="19"/>
      <c r="G16" s="19"/>
      <c r="H16" s="17"/>
      <c r="I16" s="17"/>
    </row>
    <row r="17" spans="1:9" x14ac:dyDescent="0.55000000000000004">
      <c r="A17" s="18"/>
      <c r="B17" s="16"/>
      <c r="C17" s="16"/>
      <c r="E17" s="14"/>
      <c r="F17" s="19"/>
      <c r="G17" s="19"/>
      <c r="H17" s="17"/>
      <c r="I17" s="17"/>
    </row>
    <row r="18" spans="1:9" x14ac:dyDescent="0.55000000000000004">
      <c r="C18" s="11"/>
    </row>
    <row r="19" spans="1:9" x14ac:dyDescent="0.55000000000000004">
      <c r="C19" s="11"/>
    </row>
  </sheetData>
  <pageMargins left="0.7" right="0.7" top="0.75" bottom="0.75" header="0.3" footer="0.3"/>
  <pageSetup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87"/>
  <sheetViews>
    <sheetView topLeftCell="F1" zoomScaleNormal="100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3.7109375" style="1" customWidth="1"/>
    <col min="4" max="4" width="16.28515625" style="1" customWidth="1"/>
    <col min="5" max="5" width="41" style="7" customWidth="1"/>
    <col min="6" max="6" width="17.5703125" style="8" bestFit="1" customWidth="1"/>
    <col min="7" max="7" width="18.42578125" style="8" customWidth="1"/>
    <col min="8" max="8" width="16.140625" style="9" customWidth="1"/>
    <col min="9" max="9" width="17.5703125" style="9" customWidth="1"/>
    <col min="10" max="11" width="15.85546875" style="9" customWidth="1"/>
    <col min="12" max="16384" width="8.7109375" style="1"/>
  </cols>
  <sheetData>
    <row r="1" spans="1:12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17" t="s">
        <v>109</v>
      </c>
      <c r="K1" s="117"/>
    </row>
    <row r="2" spans="1:12" x14ac:dyDescent="0.55000000000000004">
      <c r="A2" s="18">
        <v>44378</v>
      </c>
      <c r="B2" s="16"/>
      <c r="C2" s="16" t="s">
        <v>5</v>
      </c>
      <c r="D2" s="1" t="s">
        <v>18</v>
      </c>
      <c r="E2" s="7" t="s">
        <v>5</v>
      </c>
      <c r="F2" s="19">
        <v>870583</v>
      </c>
      <c r="G2" s="19"/>
      <c r="H2" s="17"/>
      <c r="I2" s="17">
        <f>AMT[[#This Row],[Opening]]+AMT[[#This Row],[Purchase]]-AMT[[#This Row],[Payment]]</f>
        <v>870583</v>
      </c>
      <c r="J2" s="117">
        <f>AMT[[#This Row],[Balance]]</f>
        <v>870583</v>
      </c>
      <c r="K2" s="117"/>
    </row>
    <row r="3" spans="1:12" x14ac:dyDescent="0.55000000000000004">
      <c r="A3" s="109">
        <v>44385</v>
      </c>
      <c r="B3" s="110">
        <v>49978</v>
      </c>
      <c r="C3" s="110" t="s">
        <v>6</v>
      </c>
      <c r="D3" s="1" t="s">
        <v>18</v>
      </c>
      <c r="E3" s="112" t="s">
        <v>102</v>
      </c>
      <c r="F3" s="113"/>
      <c r="G3" s="113">
        <v>39528</v>
      </c>
      <c r="H3" s="114"/>
      <c r="I3" s="114">
        <f>AMT[[#This Row],[Opening]]+AMT[[#This Row],[Purchase]]-AMT[[#This Row],[Payment]]</f>
        <v>39528</v>
      </c>
      <c r="J3" s="117">
        <f>J2+AMT[[#This Row],[Purchase]]-AMT[[#This Row],[Payment]]</f>
        <v>910111</v>
      </c>
      <c r="K3" s="117"/>
      <c r="L3" s="51" t="s">
        <v>71</v>
      </c>
    </row>
    <row r="4" spans="1:12" x14ac:dyDescent="0.55000000000000004">
      <c r="A4" s="109">
        <v>44382</v>
      </c>
      <c r="B4" s="110">
        <v>21651</v>
      </c>
      <c r="C4" s="110" t="s">
        <v>6</v>
      </c>
      <c r="D4" s="1" t="s">
        <v>18</v>
      </c>
      <c r="E4" s="112" t="s">
        <v>103</v>
      </c>
      <c r="F4" s="113"/>
      <c r="G4" s="113">
        <v>50650</v>
      </c>
      <c r="H4" s="114"/>
      <c r="I4" s="114">
        <f>AMT[[#This Row],[Opening]]+AMT[[#This Row],[Purchase]]-AMT[[#This Row],[Payment]]</f>
        <v>50650</v>
      </c>
      <c r="J4" s="117">
        <f>J3+AMT[[#This Row],[Purchase]]-AMT[[#This Row],[Payment]]</f>
        <v>960761</v>
      </c>
      <c r="K4" s="117"/>
    </row>
    <row r="5" spans="1:12" x14ac:dyDescent="0.55000000000000004">
      <c r="A5" s="109">
        <v>44382</v>
      </c>
      <c r="B5" s="110">
        <v>21649</v>
      </c>
      <c r="C5" s="110" t="s">
        <v>6</v>
      </c>
      <c r="D5" s="1" t="s">
        <v>18</v>
      </c>
      <c r="E5" s="112" t="s">
        <v>104</v>
      </c>
      <c r="F5" s="113"/>
      <c r="G5" s="113">
        <v>146050</v>
      </c>
      <c r="H5" s="114"/>
      <c r="I5" s="114">
        <f>AMT[[#This Row],[Opening]]+AMT[[#This Row],[Purchase]]-AMT[[#This Row],[Payment]]</f>
        <v>146050</v>
      </c>
      <c r="J5" s="117">
        <f>J4+AMT[[#This Row],[Purchase]]-AMT[[#This Row],[Payment]]</f>
        <v>1106811</v>
      </c>
      <c r="K5" s="117"/>
    </row>
    <row r="6" spans="1:12" x14ac:dyDescent="0.55000000000000004">
      <c r="A6" s="109">
        <v>44382</v>
      </c>
      <c r="B6" s="110">
        <v>49943</v>
      </c>
      <c r="C6" s="110" t="s">
        <v>6</v>
      </c>
      <c r="D6" s="1" t="s">
        <v>18</v>
      </c>
      <c r="E6" s="112" t="s">
        <v>105</v>
      </c>
      <c r="F6" s="113"/>
      <c r="G6" s="113">
        <v>110900</v>
      </c>
      <c r="H6" s="114"/>
      <c r="I6" s="114">
        <f>AMT[[#This Row],[Opening]]+AMT[[#This Row],[Purchase]]-AMT[[#This Row],[Payment]]</f>
        <v>110900</v>
      </c>
      <c r="J6" s="117">
        <f>J5+AMT[[#This Row],[Purchase]]-AMT[[#This Row],[Payment]]</f>
        <v>1217711</v>
      </c>
      <c r="K6" s="117"/>
    </row>
    <row r="7" spans="1:12" x14ac:dyDescent="0.55000000000000004">
      <c r="A7" s="109">
        <v>44385</v>
      </c>
      <c r="B7" s="110"/>
      <c r="C7" s="110" t="s">
        <v>7</v>
      </c>
      <c r="D7" s="1" t="s">
        <v>18</v>
      </c>
      <c r="E7" s="112" t="s">
        <v>108</v>
      </c>
      <c r="F7" s="113"/>
      <c r="G7" s="113"/>
      <c r="H7" s="114">
        <v>10800</v>
      </c>
      <c r="I7" s="114">
        <f>AMT[[#This Row],[Opening]]+AMT[[#This Row],[Purchase]]-AMT[[#This Row],[Payment]]</f>
        <v>-10800</v>
      </c>
      <c r="J7" s="117">
        <f>J6+AMT[[#This Row],[Purchase]]-AMT[[#This Row],[Payment]]</f>
        <v>1206911</v>
      </c>
      <c r="K7" s="117"/>
    </row>
    <row r="8" spans="1:12" x14ac:dyDescent="0.55000000000000004">
      <c r="A8" s="109">
        <v>44382</v>
      </c>
      <c r="B8" s="110"/>
      <c r="C8" s="110" t="s">
        <v>7</v>
      </c>
      <c r="D8" s="1" t="s">
        <v>18</v>
      </c>
      <c r="E8" s="112" t="s">
        <v>84</v>
      </c>
      <c r="F8" s="113"/>
      <c r="G8" s="113"/>
      <c r="H8" s="114">
        <v>500000</v>
      </c>
      <c r="I8" s="114">
        <f>AMT[[#This Row],[Opening]]+AMT[[#This Row],[Purchase]]-AMT[[#This Row],[Payment]]</f>
        <v>-500000</v>
      </c>
      <c r="J8" s="117">
        <f>J7+AMT[[#This Row],[Purchase]]-AMT[[#This Row],[Payment]]</f>
        <v>706911</v>
      </c>
      <c r="K8" s="117"/>
    </row>
    <row r="9" spans="1:12" x14ac:dyDescent="0.55000000000000004">
      <c r="A9" s="109"/>
      <c r="B9" s="110"/>
      <c r="C9" s="110"/>
      <c r="D9" s="111"/>
      <c r="E9" s="112"/>
      <c r="F9" s="113"/>
      <c r="G9" s="113"/>
      <c r="H9" s="114"/>
      <c r="I9" s="114"/>
    </row>
    <row r="10" spans="1:12" x14ac:dyDescent="0.55000000000000004">
      <c r="A10" s="109"/>
      <c r="B10" s="110"/>
      <c r="C10" s="110"/>
      <c r="D10" s="111"/>
      <c r="E10" s="112"/>
      <c r="F10" s="113"/>
      <c r="G10" s="113"/>
      <c r="H10" s="114"/>
      <c r="I10" s="114"/>
    </row>
    <row r="11" spans="1:12" x14ac:dyDescent="0.55000000000000004">
      <c r="A11" s="18"/>
      <c r="B11" s="16"/>
      <c r="C11" s="16"/>
      <c r="E11" s="46"/>
      <c r="F11" s="19"/>
      <c r="G11" s="19"/>
      <c r="H11" s="17"/>
      <c r="I11" s="17"/>
    </row>
    <row r="12" spans="1:12" x14ac:dyDescent="0.55000000000000004">
      <c r="A12" s="100"/>
      <c r="B12" s="101"/>
      <c r="C12" s="101"/>
      <c r="E12" s="106"/>
      <c r="F12" s="103"/>
      <c r="G12" s="103"/>
      <c r="H12" s="104"/>
      <c r="I12" s="104"/>
    </row>
    <row r="13" spans="1:12" x14ac:dyDescent="0.55000000000000004">
      <c r="A13" s="100"/>
      <c r="B13" s="101"/>
      <c r="C13" s="101"/>
      <c r="E13" s="106"/>
      <c r="F13" s="103"/>
      <c r="G13" s="103"/>
      <c r="H13" s="104"/>
      <c r="I13" s="104"/>
    </row>
    <row r="14" spans="1:12" x14ac:dyDescent="0.55000000000000004">
      <c r="A14" s="100"/>
      <c r="B14" s="101"/>
      <c r="C14" s="101"/>
      <c r="E14" s="106"/>
      <c r="F14" s="103"/>
      <c r="G14" s="103"/>
      <c r="H14" s="104"/>
      <c r="I14" s="104"/>
    </row>
    <row r="15" spans="1:12" x14ac:dyDescent="0.55000000000000004">
      <c r="A15" s="100"/>
      <c r="B15" s="101"/>
      <c r="C15" s="101"/>
      <c r="E15" s="106"/>
      <c r="F15" s="103"/>
      <c r="G15" s="103"/>
      <c r="H15" s="104"/>
      <c r="I15" s="104"/>
    </row>
    <row r="16" spans="1:12" x14ac:dyDescent="0.55000000000000004">
      <c r="A16" s="100"/>
      <c r="B16" s="101"/>
      <c r="C16" s="101"/>
      <c r="E16" s="106"/>
      <c r="F16" s="103"/>
      <c r="G16" s="103"/>
      <c r="H16" s="104"/>
      <c r="I16" s="104"/>
    </row>
    <row r="17" spans="1:9" x14ac:dyDescent="0.55000000000000004">
      <c r="A17" s="100"/>
      <c r="B17" s="101"/>
      <c r="C17" s="101"/>
      <c r="E17" s="106"/>
      <c r="F17" s="103"/>
      <c r="G17" s="103"/>
      <c r="H17" s="104"/>
      <c r="I17" s="104"/>
    </row>
    <row r="18" spans="1:9" x14ac:dyDescent="0.55000000000000004">
      <c r="A18" s="100"/>
      <c r="B18" s="101"/>
      <c r="C18" s="101"/>
      <c r="E18" s="106"/>
      <c r="F18" s="103"/>
      <c r="G18" s="103"/>
      <c r="H18" s="104"/>
      <c r="I18" s="104"/>
    </row>
    <row r="19" spans="1:9" x14ac:dyDescent="0.55000000000000004">
      <c r="A19" s="100"/>
      <c r="B19" s="101"/>
      <c r="C19" s="101"/>
      <c r="E19" s="106"/>
      <c r="F19" s="103"/>
      <c r="G19" s="103"/>
      <c r="H19" s="104"/>
      <c r="I19" s="104"/>
    </row>
    <row r="20" spans="1:9" x14ac:dyDescent="0.55000000000000004">
      <c r="A20" s="100"/>
      <c r="B20" s="101"/>
      <c r="C20" s="101"/>
      <c r="E20" s="106"/>
      <c r="F20" s="103"/>
      <c r="G20" s="103"/>
      <c r="H20" s="104"/>
      <c r="I20" s="104"/>
    </row>
    <row r="21" spans="1:9" x14ac:dyDescent="0.55000000000000004">
      <c r="A21" s="100"/>
      <c r="B21" s="101"/>
      <c r="C21" s="101"/>
      <c r="E21" s="106"/>
      <c r="F21" s="103"/>
      <c r="G21" s="103"/>
      <c r="H21" s="104"/>
      <c r="I21" s="104"/>
    </row>
    <row r="22" spans="1:9" x14ac:dyDescent="0.55000000000000004">
      <c r="A22" s="100"/>
      <c r="B22" s="101"/>
      <c r="C22" s="101"/>
      <c r="E22" s="106"/>
      <c r="F22" s="103"/>
      <c r="G22" s="103"/>
      <c r="H22" s="104"/>
      <c r="I22" s="104"/>
    </row>
    <row r="23" spans="1:9" x14ac:dyDescent="0.55000000000000004">
      <c r="A23" s="100"/>
      <c r="B23" s="101"/>
      <c r="C23" s="101"/>
      <c r="E23" s="106"/>
      <c r="F23" s="103"/>
      <c r="G23" s="103"/>
      <c r="H23" s="104"/>
      <c r="I23" s="104"/>
    </row>
    <row r="24" spans="1:9" x14ac:dyDescent="0.55000000000000004">
      <c r="A24" s="100"/>
      <c r="B24" s="101"/>
      <c r="C24" s="101"/>
      <c r="E24" s="106"/>
      <c r="F24" s="103"/>
      <c r="G24" s="103"/>
      <c r="H24" s="104"/>
      <c r="I24" s="104"/>
    </row>
    <row r="25" spans="1:9" x14ac:dyDescent="0.55000000000000004">
      <c r="A25" s="100"/>
      <c r="B25" s="101"/>
      <c r="C25" s="101"/>
      <c r="E25" s="106"/>
      <c r="F25" s="103"/>
      <c r="G25" s="103"/>
      <c r="H25" s="104"/>
      <c r="I25" s="104"/>
    </row>
    <row r="26" spans="1:9" x14ac:dyDescent="0.55000000000000004">
      <c r="A26" s="100"/>
      <c r="B26" s="101"/>
      <c r="C26" s="101"/>
      <c r="E26" s="106"/>
      <c r="F26" s="103"/>
      <c r="G26" s="103"/>
      <c r="H26" s="104"/>
      <c r="I26" s="104"/>
    </row>
    <row r="27" spans="1:9" x14ac:dyDescent="0.55000000000000004">
      <c r="A27" s="100"/>
      <c r="B27" s="101"/>
      <c r="C27" s="101"/>
      <c r="E27" s="106"/>
      <c r="F27" s="103"/>
      <c r="G27" s="103"/>
      <c r="H27" s="104"/>
      <c r="I27" s="104"/>
    </row>
    <row r="28" spans="1:9" x14ac:dyDescent="0.55000000000000004">
      <c r="A28" s="100"/>
      <c r="B28" s="101"/>
      <c r="C28" s="101"/>
      <c r="E28" s="106"/>
      <c r="F28" s="103"/>
      <c r="G28" s="103"/>
      <c r="H28" s="104"/>
      <c r="I28" s="104"/>
    </row>
    <row r="29" spans="1:9" x14ac:dyDescent="0.55000000000000004">
      <c r="A29" s="100"/>
      <c r="B29" s="101"/>
      <c r="C29" s="101"/>
      <c r="E29" s="106"/>
      <c r="F29" s="103"/>
      <c r="G29" s="103"/>
      <c r="H29" s="104"/>
      <c r="I29" s="104"/>
    </row>
    <row r="30" spans="1:9" x14ac:dyDescent="0.55000000000000004">
      <c r="A30" s="100"/>
      <c r="B30" s="101"/>
      <c r="C30" s="101"/>
      <c r="E30" s="106"/>
      <c r="F30" s="103"/>
      <c r="G30" s="103"/>
      <c r="H30" s="104"/>
      <c r="I30" s="104"/>
    </row>
    <row r="31" spans="1:9" x14ac:dyDescent="0.55000000000000004">
      <c r="A31" s="100"/>
      <c r="B31" s="101"/>
      <c r="C31" s="101"/>
      <c r="E31" s="106"/>
      <c r="F31" s="103"/>
      <c r="G31" s="103"/>
      <c r="H31" s="104"/>
      <c r="I31" s="104"/>
    </row>
    <row r="32" spans="1:9" x14ac:dyDescent="0.55000000000000004">
      <c r="A32" s="100"/>
      <c r="B32" s="101"/>
      <c r="C32" s="101"/>
      <c r="E32" s="106"/>
      <c r="F32" s="103"/>
      <c r="G32" s="103"/>
      <c r="H32" s="104"/>
      <c r="I32" s="104"/>
    </row>
    <row r="33" spans="1:9" x14ac:dyDescent="0.55000000000000004">
      <c r="A33" s="100"/>
      <c r="B33" s="101"/>
      <c r="C33" s="101"/>
      <c r="E33" s="106"/>
      <c r="F33" s="103"/>
      <c r="G33" s="103"/>
      <c r="H33" s="104"/>
      <c r="I33" s="104"/>
    </row>
    <row r="34" spans="1:9" x14ac:dyDescent="0.55000000000000004">
      <c r="A34" s="100"/>
      <c r="B34" s="101"/>
      <c r="C34" s="101"/>
      <c r="E34" s="106"/>
      <c r="F34" s="103"/>
      <c r="G34" s="103"/>
      <c r="H34" s="104"/>
      <c r="I34" s="104"/>
    </row>
    <row r="35" spans="1:9" x14ac:dyDescent="0.55000000000000004">
      <c r="A35" s="100"/>
      <c r="B35" s="101"/>
      <c r="C35" s="101"/>
      <c r="E35" s="106"/>
      <c r="F35" s="103"/>
      <c r="G35" s="103"/>
      <c r="H35" s="104"/>
      <c r="I35" s="104"/>
    </row>
    <row r="36" spans="1:9" x14ac:dyDescent="0.55000000000000004">
      <c r="A36" s="100"/>
      <c r="B36" s="101"/>
      <c r="C36" s="101"/>
      <c r="E36" s="106"/>
      <c r="F36" s="103"/>
      <c r="G36" s="103"/>
      <c r="H36" s="104"/>
      <c r="I36" s="104"/>
    </row>
    <row r="37" spans="1:9" x14ac:dyDescent="0.55000000000000004">
      <c r="A37" s="100"/>
      <c r="B37" s="101"/>
      <c r="C37" s="101"/>
      <c r="E37" s="106"/>
      <c r="F37" s="103"/>
      <c r="G37" s="103"/>
      <c r="H37" s="104"/>
      <c r="I37" s="104"/>
    </row>
    <row r="38" spans="1:9" x14ac:dyDescent="0.55000000000000004">
      <c r="A38" s="100"/>
      <c r="B38" s="101"/>
      <c r="C38" s="101"/>
      <c r="E38" s="106"/>
      <c r="F38" s="103"/>
      <c r="G38" s="103"/>
      <c r="H38" s="104"/>
      <c r="I38" s="104"/>
    </row>
    <row r="39" spans="1:9" x14ac:dyDescent="0.55000000000000004">
      <c r="A39" s="100"/>
      <c r="B39" s="101"/>
      <c r="C39" s="101"/>
      <c r="E39" s="106"/>
      <c r="F39" s="103"/>
      <c r="G39" s="103"/>
      <c r="H39" s="104"/>
      <c r="I39" s="104"/>
    </row>
    <row r="40" spans="1:9" x14ac:dyDescent="0.55000000000000004">
      <c r="A40" s="100"/>
      <c r="B40" s="101"/>
      <c r="C40" s="101"/>
      <c r="E40" s="106"/>
      <c r="F40" s="103"/>
      <c r="G40" s="103"/>
      <c r="H40" s="104"/>
      <c r="I40" s="104"/>
    </row>
    <row r="41" spans="1:9" x14ac:dyDescent="0.55000000000000004">
      <c r="A41" s="100"/>
      <c r="B41" s="101"/>
      <c r="C41" s="101"/>
      <c r="E41" s="106"/>
      <c r="F41" s="103"/>
      <c r="G41" s="103"/>
      <c r="H41" s="104"/>
      <c r="I41" s="104"/>
    </row>
    <row r="42" spans="1:9" x14ac:dyDescent="0.55000000000000004">
      <c r="A42" s="100"/>
      <c r="B42" s="101"/>
      <c r="C42" s="101"/>
      <c r="E42" s="106"/>
      <c r="F42" s="103"/>
      <c r="G42" s="103"/>
      <c r="H42" s="104"/>
      <c r="I42" s="104"/>
    </row>
    <row r="43" spans="1:9" x14ac:dyDescent="0.55000000000000004">
      <c r="A43" s="100"/>
      <c r="B43" s="101"/>
      <c r="C43" s="101"/>
      <c r="E43" s="106"/>
      <c r="F43" s="103"/>
      <c r="G43" s="103"/>
      <c r="H43" s="104"/>
      <c r="I43" s="104"/>
    </row>
    <row r="44" spans="1:9" x14ac:dyDescent="0.55000000000000004">
      <c r="A44" s="100"/>
      <c r="B44" s="101"/>
      <c r="C44" s="101"/>
      <c r="D44" s="105"/>
      <c r="E44" s="106"/>
      <c r="F44" s="103"/>
      <c r="G44" s="103"/>
      <c r="H44" s="104"/>
      <c r="I44" s="104"/>
    </row>
    <row r="45" spans="1:9" x14ac:dyDescent="0.55000000000000004">
      <c r="A45" s="59"/>
      <c r="B45" s="60"/>
      <c r="C45" s="60"/>
      <c r="E45" s="65"/>
      <c r="F45" s="63"/>
      <c r="G45" s="63"/>
      <c r="H45" s="64"/>
      <c r="I45" s="64"/>
    </row>
    <row r="46" spans="1:9" x14ac:dyDescent="0.55000000000000004">
      <c r="A46" s="59"/>
      <c r="B46" s="60"/>
      <c r="C46" s="60"/>
      <c r="E46" s="65"/>
      <c r="F46" s="63"/>
      <c r="G46" s="63"/>
      <c r="H46" s="64"/>
      <c r="I46" s="64"/>
    </row>
    <row r="47" spans="1:9" x14ac:dyDescent="0.55000000000000004">
      <c r="A47" s="59"/>
      <c r="B47" s="60"/>
      <c r="C47" s="60"/>
      <c r="E47" s="65"/>
      <c r="F47" s="63"/>
      <c r="G47" s="63"/>
      <c r="H47" s="64"/>
      <c r="I47" s="64"/>
    </row>
    <row r="48" spans="1:9" x14ac:dyDescent="0.55000000000000004">
      <c r="A48" s="59"/>
      <c r="B48" s="60"/>
      <c r="C48" s="60"/>
      <c r="E48" s="65"/>
      <c r="F48" s="63"/>
      <c r="G48" s="63"/>
      <c r="H48" s="64"/>
      <c r="I48" s="64"/>
    </row>
    <row r="49" spans="1:9" x14ac:dyDescent="0.55000000000000004">
      <c r="A49" s="59"/>
      <c r="B49" s="60"/>
      <c r="C49" s="60"/>
      <c r="E49" s="65"/>
      <c r="F49" s="63"/>
      <c r="G49" s="63"/>
      <c r="H49" s="64"/>
      <c r="I49" s="64"/>
    </row>
    <row r="50" spans="1:9" x14ac:dyDescent="0.55000000000000004">
      <c r="A50" s="59"/>
      <c r="B50" s="60"/>
      <c r="C50" s="60"/>
      <c r="E50" s="65"/>
      <c r="F50" s="63"/>
      <c r="G50" s="63"/>
      <c r="H50" s="64"/>
      <c r="I50" s="64"/>
    </row>
    <row r="51" spans="1:9" x14ac:dyDescent="0.55000000000000004">
      <c r="A51" s="59"/>
      <c r="B51" s="60"/>
      <c r="C51" s="60"/>
      <c r="E51" s="65"/>
      <c r="F51" s="63"/>
      <c r="G51" s="63"/>
      <c r="H51" s="64"/>
      <c r="I51" s="64"/>
    </row>
    <row r="52" spans="1:9" x14ac:dyDescent="0.55000000000000004">
      <c r="A52" s="59"/>
      <c r="B52" s="60"/>
      <c r="C52" s="60"/>
      <c r="E52" s="46"/>
      <c r="F52" s="63"/>
      <c r="G52" s="63"/>
      <c r="H52" s="64"/>
      <c r="I52" s="64"/>
    </row>
    <row r="53" spans="1:9" x14ac:dyDescent="0.55000000000000004">
      <c r="A53" s="59"/>
      <c r="B53" s="60"/>
      <c r="C53" s="60"/>
      <c r="E53" s="65"/>
      <c r="F53" s="63"/>
      <c r="G53" s="63"/>
      <c r="H53" s="64"/>
      <c r="I53" s="64"/>
    </row>
    <row r="54" spans="1:9" x14ac:dyDescent="0.55000000000000004">
      <c r="A54" s="59"/>
      <c r="B54" s="60"/>
      <c r="C54" s="60"/>
      <c r="E54" s="65"/>
      <c r="F54" s="63"/>
      <c r="G54" s="63"/>
      <c r="H54" s="64"/>
      <c r="I54" s="64"/>
    </row>
    <row r="55" spans="1:9" x14ac:dyDescent="0.55000000000000004">
      <c r="A55" s="59"/>
      <c r="B55" s="60"/>
      <c r="C55" s="60"/>
      <c r="E55" s="65"/>
      <c r="F55" s="63"/>
      <c r="G55" s="63"/>
      <c r="H55" s="64"/>
      <c r="I55" s="64"/>
    </row>
    <row r="56" spans="1:9" x14ac:dyDescent="0.55000000000000004">
      <c r="A56" s="59"/>
      <c r="B56" s="60"/>
      <c r="C56" s="60"/>
      <c r="E56" s="65"/>
      <c r="F56" s="63"/>
      <c r="G56" s="63"/>
      <c r="H56" s="64"/>
      <c r="I56" s="64"/>
    </row>
    <row r="57" spans="1:9" x14ac:dyDescent="0.55000000000000004">
      <c r="A57" s="59"/>
      <c r="B57" s="60"/>
      <c r="C57" s="60"/>
      <c r="E57" s="65"/>
      <c r="F57" s="63"/>
      <c r="G57" s="63"/>
      <c r="H57" s="64"/>
      <c r="I57" s="64"/>
    </row>
    <row r="58" spans="1:9" x14ac:dyDescent="0.55000000000000004">
      <c r="A58" s="59"/>
      <c r="B58" s="60"/>
      <c r="C58" s="60"/>
      <c r="E58" s="65"/>
      <c r="F58" s="63"/>
      <c r="G58" s="63"/>
      <c r="H58" s="64"/>
      <c r="I58" s="64"/>
    </row>
    <row r="59" spans="1:9" x14ac:dyDescent="0.55000000000000004">
      <c r="A59" s="59"/>
      <c r="B59" s="60"/>
      <c r="C59" s="60"/>
      <c r="E59" s="65"/>
      <c r="F59" s="63"/>
      <c r="G59" s="63"/>
      <c r="H59" s="64"/>
      <c r="I59" s="64"/>
    </row>
    <row r="60" spans="1:9" x14ac:dyDescent="0.55000000000000004">
      <c r="A60" s="59"/>
      <c r="B60" s="60"/>
      <c r="C60" s="60"/>
      <c r="E60" s="65"/>
      <c r="F60" s="63"/>
      <c r="G60" s="63"/>
      <c r="H60" s="64"/>
      <c r="I60" s="64"/>
    </row>
    <row r="61" spans="1:9" x14ac:dyDescent="0.55000000000000004">
      <c r="A61" s="59"/>
      <c r="B61" s="60"/>
      <c r="C61" s="60"/>
      <c r="E61" s="65"/>
      <c r="F61" s="63"/>
      <c r="G61" s="63"/>
      <c r="H61" s="64"/>
      <c r="I61" s="64"/>
    </row>
    <row r="62" spans="1:9" x14ac:dyDescent="0.55000000000000004">
      <c r="A62" s="59"/>
      <c r="B62" s="60"/>
      <c r="C62" s="60"/>
      <c r="E62" s="65"/>
      <c r="F62" s="63"/>
      <c r="G62" s="63"/>
      <c r="H62" s="63"/>
      <c r="I62" s="64"/>
    </row>
    <row r="63" spans="1:9" x14ac:dyDescent="0.55000000000000004">
      <c r="A63" s="59"/>
      <c r="B63" s="60"/>
      <c r="C63" s="60"/>
      <c r="E63" s="46"/>
      <c r="F63" s="63"/>
      <c r="G63" s="63"/>
      <c r="H63" s="64"/>
      <c r="I63" s="64"/>
    </row>
    <row r="64" spans="1:9" x14ac:dyDescent="0.55000000000000004">
      <c r="A64" s="59"/>
      <c r="B64" s="60"/>
      <c r="C64" s="60"/>
      <c r="E64" s="62"/>
      <c r="F64" s="63"/>
      <c r="G64" s="63"/>
      <c r="H64" s="64"/>
      <c r="I64" s="64"/>
    </row>
    <row r="65" spans="1:9" x14ac:dyDescent="0.55000000000000004">
      <c r="A65" s="59"/>
      <c r="B65" s="60"/>
      <c r="C65" s="60"/>
      <c r="E65" s="62"/>
      <c r="F65" s="63"/>
      <c r="G65" s="63"/>
      <c r="H65" s="64"/>
      <c r="I65" s="64"/>
    </row>
    <row r="66" spans="1:9" x14ac:dyDescent="0.55000000000000004">
      <c r="A66" s="59"/>
      <c r="B66" s="60"/>
      <c r="C66" s="60"/>
      <c r="E66" s="62"/>
      <c r="F66" s="63"/>
      <c r="G66" s="63"/>
      <c r="H66" s="64"/>
      <c r="I66" s="64"/>
    </row>
    <row r="67" spans="1:9" x14ac:dyDescent="0.55000000000000004">
      <c r="A67" s="59"/>
      <c r="B67" s="60"/>
      <c r="C67" s="60"/>
      <c r="E67" s="46"/>
      <c r="F67" s="63"/>
      <c r="G67" s="63"/>
      <c r="H67" s="64"/>
      <c r="I67" s="64"/>
    </row>
    <row r="68" spans="1:9" x14ac:dyDescent="0.55000000000000004">
      <c r="A68" s="59"/>
      <c r="B68" s="60"/>
      <c r="C68" s="60"/>
      <c r="E68" s="62"/>
      <c r="F68" s="63"/>
      <c r="G68" s="63"/>
      <c r="H68" s="64"/>
      <c r="I68" s="64"/>
    </row>
    <row r="69" spans="1:9" x14ac:dyDescent="0.55000000000000004">
      <c r="A69" s="59"/>
      <c r="B69" s="60"/>
      <c r="C69" s="60"/>
      <c r="E69" s="62"/>
      <c r="F69" s="63"/>
      <c r="G69" s="63"/>
      <c r="H69" s="64"/>
      <c r="I69" s="64"/>
    </row>
    <row r="70" spans="1:9" x14ac:dyDescent="0.55000000000000004">
      <c r="A70" s="59"/>
      <c r="B70" s="60"/>
      <c r="C70" s="60"/>
      <c r="E70" s="62"/>
      <c r="F70" s="63"/>
      <c r="G70" s="63"/>
      <c r="H70" s="64"/>
      <c r="I70" s="64"/>
    </row>
    <row r="71" spans="1:9" x14ac:dyDescent="0.55000000000000004">
      <c r="A71" s="59"/>
      <c r="B71" s="60"/>
      <c r="C71" s="60"/>
      <c r="E71" s="62"/>
      <c r="F71" s="63"/>
      <c r="G71" s="63"/>
      <c r="H71" s="64"/>
      <c r="I71" s="64"/>
    </row>
    <row r="72" spans="1:9" x14ac:dyDescent="0.55000000000000004">
      <c r="A72" s="59"/>
      <c r="B72" s="60"/>
      <c r="C72" s="60"/>
      <c r="E72" s="62"/>
      <c r="F72" s="63"/>
      <c r="G72" s="63"/>
      <c r="H72" s="64"/>
      <c r="I72" s="64"/>
    </row>
    <row r="73" spans="1:9" x14ac:dyDescent="0.55000000000000004">
      <c r="A73" s="59"/>
      <c r="B73" s="60"/>
      <c r="C73" s="60"/>
      <c r="E73" s="62"/>
      <c r="F73" s="63"/>
      <c r="G73" s="63"/>
      <c r="H73" s="64"/>
      <c r="I73" s="64"/>
    </row>
    <row r="74" spans="1:9" x14ac:dyDescent="0.55000000000000004">
      <c r="A74" s="59"/>
      <c r="B74" s="60"/>
      <c r="C74" s="60"/>
      <c r="E74" s="46"/>
      <c r="F74" s="63"/>
      <c r="G74" s="63"/>
      <c r="H74" s="64"/>
      <c r="I74" s="64"/>
    </row>
    <row r="75" spans="1:9" x14ac:dyDescent="0.55000000000000004">
      <c r="A75" s="59"/>
      <c r="B75" s="60"/>
      <c r="C75" s="60"/>
      <c r="E75" s="46"/>
      <c r="F75" s="63"/>
      <c r="G75" s="63"/>
      <c r="H75" s="64"/>
      <c r="I75" s="64"/>
    </row>
    <row r="76" spans="1:9" x14ac:dyDescent="0.55000000000000004">
      <c r="A76" s="59"/>
      <c r="B76" s="60"/>
      <c r="C76" s="60"/>
      <c r="E76" s="65"/>
      <c r="F76" s="63"/>
      <c r="G76" s="63"/>
      <c r="H76" s="64"/>
      <c r="I76" s="64"/>
    </row>
    <row r="77" spans="1:9" x14ac:dyDescent="0.55000000000000004">
      <c r="A77" s="59"/>
      <c r="B77" s="60"/>
      <c r="C77" s="60"/>
      <c r="E77" s="62"/>
      <c r="F77" s="63"/>
      <c r="G77" s="63"/>
      <c r="H77" s="64"/>
      <c r="I77" s="64"/>
    </row>
    <row r="78" spans="1:9" x14ac:dyDescent="0.55000000000000004">
      <c r="A78" s="59"/>
      <c r="B78" s="60"/>
      <c r="C78" s="60"/>
      <c r="E78" s="62"/>
      <c r="F78" s="63"/>
      <c r="G78" s="63"/>
      <c r="H78" s="64"/>
      <c r="I78" s="64"/>
    </row>
    <row r="79" spans="1:9" x14ac:dyDescent="0.55000000000000004">
      <c r="A79" s="59"/>
      <c r="B79" s="60"/>
      <c r="C79" s="60"/>
      <c r="E79" s="62"/>
      <c r="F79" s="63"/>
      <c r="G79" s="63"/>
      <c r="H79" s="64"/>
      <c r="I79" s="64"/>
    </row>
    <row r="80" spans="1:9" x14ac:dyDescent="0.55000000000000004">
      <c r="A80" s="59"/>
      <c r="B80" s="60"/>
      <c r="C80" s="60"/>
      <c r="E80" s="62"/>
      <c r="F80" s="63"/>
      <c r="G80" s="63"/>
      <c r="H80" s="64"/>
      <c r="I80" s="64"/>
    </row>
    <row r="81" spans="1:9" x14ac:dyDescent="0.55000000000000004">
      <c r="A81" s="59"/>
      <c r="B81" s="60"/>
      <c r="C81" s="60"/>
      <c r="E81" s="62"/>
      <c r="F81" s="63"/>
      <c r="G81" s="63"/>
      <c r="H81" s="64"/>
      <c r="I81" s="64"/>
    </row>
    <row r="82" spans="1:9" x14ac:dyDescent="0.55000000000000004">
      <c r="A82" s="59"/>
      <c r="B82" s="60"/>
      <c r="C82" s="60"/>
      <c r="D82" s="61"/>
      <c r="E82" s="62"/>
      <c r="F82" s="63"/>
      <c r="G82" s="63"/>
      <c r="H82" s="64"/>
      <c r="I82" s="64"/>
    </row>
    <row r="83" spans="1:9" x14ac:dyDescent="0.55000000000000004">
      <c r="A83" s="54"/>
      <c r="B83" s="55"/>
      <c r="C83" s="55"/>
      <c r="D83" s="52"/>
      <c r="E83" s="56"/>
      <c r="F83" s="53"/>
      <c r="G83" s="53"/>
      <c r="H83" s="57"/>
      <c r="I83" s="57"/>
    </row>
    <row r="84" spans="1:9" x14ac:dyDescent="0.55000000000000004">
      <c r="A84" s="18"/>
      <c r="B84" s="16"/>
      <c r="C84" s="16"/>
      <c r="E84" s="14"/>
      <c r="F84" s="19"/>
      <c r="G84" s="19"/>
      <c r="H84" s="17"/>
      <c r="I84" s="17"/>
    </row>
    <row r="85" spans="1:9" x14ac:dyDescent="0.55000000000000004">
      <c r="A85" s="18"/>
      <c r="B85" s="16"/>
      <c r="C85" s="16"/>
      <c r="E85" s="14"/>
      <c r="F85" s="19"/>
      <c r="G85" s="19"/>
      <c r="H85" s="17"/>
      <c r="I85" s="17"/>
    </row>
    <row r="86" spans="1:9" x14ac:dyDescent="0.55000000000000004">
      <c r="C86" s="11"/>
    </row>
    <row r="87" spans="1:9" x14ac:dyDescent="0.55000000000000004">
      <c r="C87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C2:C87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4"/>
  <sheetViews>
    <sheetView tabSelected="1" topLeftCell="C1" zoomScaleNormal="100" workbookViewId="0">
      <selection activeCell="G12" sqref="G12"/>
    </sheetView>
  </sheetViews>
  <sheetFormatPr defaultColWidth="8.7109375" defaultRowHeight="21.75" x14ac:dyDescent="0.55000000000000004"/>
  <cols>
    <col min="1" max="1" width="14.7109375" style="75" customWidth="1"/>
    <col min="2" max="2" width="11.42578125" style="74" customWidth="1"/>
    <col min="3" max="3" width="13.5703125" style="1" customWidth="1"/>
    <col min="4" max="4" width="21.42578125" style="1" customWidth="1"/>
    <col min="5" max="5" width="52.42578125" style="7" customWidth="1"/>
    <col min="6" max="6" width="15.7109375" style="8" customWidth="1"/>
    <col min="7" max="7" width="15.5703125" style="8" customWidth="1"/>
    <col min="8" max="8" width="18.140625" style="9" customWidth="1"/>
    <col min="9" max="9" width="14.7109375" style="9" bestFit="1" customWidth="1"/>
    <col min="10" max="10" width="17.71093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75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50" t="s">
        <v>109</v>
      </c>
      <c r="K1" s="8"/>
    </row>
    <row r="2" spans="1:11" s="7" customFormat="1" x14ac:dyDescent="0.55000000000000004">
      <c r="A2" s="75"/>
      <c r="B2" s="11"/>
      <c r="C2" s="11"/>
      <c r="D2" s="1"/>
      <c r="F2" s="8"/>
      <c r="G2" s="8"/>
      <c r="H2" s="8"/>
      <c r="I2" s="8">
        <f>GBS_TRI[[#This Row],[Opening]]+GBS_TRI[[#This Row],[Purchase]]-GBS_TRI[[#This Row],[Payment]]</f>
        <v>0</v>
      </c>
      <c r="J2" s="50">
        <f>GBS_TRI[Balance]</f>
        <v>0</v>
      </c>
      <c r="K2" s="8"/>
    </row>
    <row r="3" spans="1:11" x14ac:dyDescent="0.55000000000000004">
      <c r="A3" s="76">
        <v>44378</v>
      </c>
      <c r="B3" s="58"/>
      <c r="C3" s="48" t="s">
        <v>5</v>
      </c>
      <c r="D3" s="1" t="s">
        <v>75</v>
      </c>
      <c r="E3" s="7" t="s">
        <v>5</v>
      </c>
      <c r="F3" s="19">
        <v>16740000</v>
      </c>
      <c r="G3" s="19"/>
      <c r="H3" s="17"/>
      <c r="I3" s="17">
        <f>GBS_TRI[[#This Row],[Opening]]+GBS_TRI[[#This Row],[Purchase]]-GBS_TRI[[#This Row],[Payment]]</f>
        <v>16740000</v>
      </c>
      <c r="J3" s="50">
        <f>GBS_TRI[Balance]</f>
        <v>16740000</v>
      </c>
    </row>
    <row r="4" spans="1:11" x14ac:dyDescent="0.55000000000000004">
      <c r="A4" s="77"/>
      <c r="B4" s="73"/>
      <c r="C4" s="60"/>
      <c r="E4" s="44"/>
      <c r="F4" s="63"/>
      <c r="G4" s="63"/>
      <c r="H4" s="64"/>
      <c r="I4" s="64"/>
    </row>
    <row r="5" spans="1:11" x14ac:dyDescent="0.55000000000000004">
      <c r="A5" s="116"/>
      <c r="B5" s="115"/>
      <c r="C5" s="110"/>
      <c r="D5" s="111"/>
      <c r="E5" s="112"/>
      <c r="F5" s="113"/>
      <c r="G5" s="113"/>
      <c r="H5" s="114"/>
      <c r="I5" s="114"/>
    </row>
    <row r="6" spans="1:11" x14ac:dyDescent="0.55000000000000004">
      <c r="A6" s="77"/>
      <c r="B6" s="73"/>
      <c r="C6" s="60"/>
      <c r="E6" s="44"/>
      <c r="F6" s="63"/>
      <c r="G6" s="63"/>
      <c r="H6" s="64"/>
      <c r="I6" s="64"/>
    </row>
    <row r="7" spans="1:11" x14ac:dyDescent="0.55000000000000004">
      <c r="A7" s="76"/>
      <c r="B7" s="66"/>
      <c r="C7" s="48"/>
      <c r="E7" s="44"/>
      <c r="F7" s="50"/>
      <c r="G7" s="50"/>
      <c r="H7" s="51"/>
      <c r="I7" s="51"/>
    </row>
    <row r="8" spans="1:11" x14ac:dyDescent="0.55000000000000004">
      <c r="A8" s="76"/>
      <c r="B8" s="66"/>
      <c r="C8" s="48"/>
      <c r="E8" s="44"/>
      <c r="F8" s="50"/>
      <c r="G8" s="50"/>
      <c r="H8" s="51"/>
      <c r="I8" s="51"/>
    </row>
    <row r="9" spans="1:11" x14ac:dyDescent="0.55000000000000004">
      <c r="A9" s="81"/>
      <c r="B9" s="73"/>
      <c r="C9" s="60"/>
      <c r="E9" s="44"/>
      <c r="F9" s="63"/>
      <c r="G9" s="63"/>
      <c r="H9" s="64"/>
      <c r="I9" s="64"/>
    </row>
    <row r="10" spans="1:11" x14ac:dyDescent="0.55000000000000004">
      <c r="A10" s="87"/>
      <c r="B10" s="88"/>
      <c r="C10" s="89"/>
      <c r="E10" s="91"/>
      <c r="F10" s="86"/>
      <c r="G10" s="86"/>
      <c r="H10" s="92"/>
      <c r="I10" s="92"/>
    </row>
    <row r="11" spans="1:11" x14ac:dyDescent="0.55000000000000004">
      <c r="A11" s="87"/>
      <c r="B11" s="88"/>
      <c r="C11" s="89"/>
      <c r="E11" s="91"/>
      <c r="F11" s="86"/>
      <c r="G11" s="86"/>
      <c r="H11" s="92"/>
      <c r="I11" s="92"/>
    </row>
    <row r="12" spans="1:11" x14ac:dyDescent="0.55000000000000004">
      <c r="A12" s="87"/>
      <c r="B12" s="88"/>
      <c r="C12" s="89"/>
      <c r="E12" s="91"/>
      <c r="F12" s="86"/>
      <c r="G12" s="86"/>
      <c r="H12" s="92"/>
      <c r="I12" s="92"/>
    </row>
    <row r="13" spans="1:11" x14ac:dyDescent="0.55000000000000004">
      <c r="A13" s="87"/>
      <c r="B13" s="88"/>
      <c r="C13" s="89"/>
      <c r="E13" s="91"/>
      <c r="F13" s="86"/>
      <c r="G13" s="86"/>
      <c r="H13" s="92"/>
      <c r="I13" s="92"/>
    </row>
    <row r="14" spans="1:11" x14ac:dyDescent="0.55000000000000004">
      <c r="A14" s="87"/>
      <c r="B14" s="88"/>
      <c r="C14" s="89"/>
      <c r="D14" s="90"/>
      <c r="E14" s="91"/>
      <c r="F14" s="86"/>
      <c r="G14" s="86"/>
      <c r="H14" s="92"/>
      <c r="I14" s="92"/>
    </row>
    <row r="15" spans="1:11" x14ac:dyDescent="0.55000000000000004">
      <c r="A15" s="76"/>
      <c r="B15" s="58"/>
      <c r="C15" s="16"/>
      <c r="E15" s="43"/>
      <c r="F15" s="19"/>
      <c r="G15" s="19"/>
      <c r="H15" s="17"/>
      <c r="I15" s="17"/>
    </row>
    <row r="16" spans="1:11" x14ac:dyDescent="0.55000000000000004">
      <c r="A16" s="76"/>
      <c r="B16" s="58"/>
      <c r="C16" s="16"/>
      <c r="E16" s="43"/>
      <c r="F16" s="19"/>
      <c r="G16" s="19"/>
      <c r="H16" s="17"/>
      <c r="I16" s="17"/>
    </row>
    <row r="17" spans="1:9" x14ac:dyDescent="0.55000000000000004">
      <c r="A17" s="76"/>
      <c r="C17" s="16"/>
      <c r="E17" s="43"/>
      <c r="F17" s="19"/>
      <c r="G17" s="19"/>
      <c r="H17" s="17"/>
      <c r="I17" s="17"/>
    </row>
    <row r="18" spans="1:9" x14ac:dyDescent="0.55000000000000004">
      <c r="A18" s="76"/>
      <c r="B18" s="58"/>
      <c r="C18" s="16"/>
      <c r="E18" s="43"/>
      <c r="F18" s="19"/>
      <c r="G18" s="19"/>
      <c r="H18" s="17"/>
      <c r="I18" s="17"/>
    </row>
    <row r="19" spans="1:9" x14ac:dyDescent="0.55000000000000004">
      <c r="A19" s="76"/>
      <c r="B19" s="58"/>
      <c r="C19" s="16"/>
      <c r="E19" s="43"/>
      <c r="F19" s="19"/>
      <c r="G19" s="19"/>
      <c r="H19" s="17"/>
      <c r="I19" s="17"/>
    </row>
    <row r="20" spans="1:9" x14ac:dyDescent="0.55000000000000004">
      <c r="A20" s="76"/>
      <c r="B20" s="58"/>
      <c r="C20" s="16"/>
      <c r="E20" s="44"/>
      <c r="F20" s="19"/>
      <c r="G20" s="19"/>
      <c r="H20" s="17"/>
      <c r="I20" s="17"/>
    </row>
    <row r="21" spans="1:9" x14ac:dyDescent="0.55000000000000004">
      <c r="A21" s="78"/>
      <c r="B21" s="66"/>
      <c r="C21" s="48"/>
      <c r="D21" s="49"/>
      <c r="E21" s="44"/>
      <c r="F21" s="50"/>
      <c r="G21" s="50"/>
      <c r="H21" s="51"/>
      <c r="I21" s="51"/>
    </row>
    <row r="22" spans="1:9" x14ac:dyDescent="0.55000000000000004">
      <c r="A22" s="76"/>
      <c r="B22" s="58"/>
      <c r="C22" s="16"/>
      <c r="E22" s="14"/>
      <c r="F22" s="19"/>
      <c r="G22" s="19"/>
      <c r="H22" s="17"/>
      <c r="I22" s="17"/>
    </row>
    <row r="23" spans="1:9" x14ac:dyDescent="0.55000000000000004">
      <c r="C23" s="11"/>
    </row>
    <row r="24" spans="1:9" x14ac:dyDescent="0.55000000000000004">
      <c r="C24" s="11"/>
    </row>
  </sheetData>
  <phoneticPr fontId="11" type="noConversion"/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C3:C49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0"/>
  <sheetViews>
    <sheetView zoomScaleNormal="100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7109375" style="74" customWidth="1"/>
    <col min="3" max="3" width="13" style="1" customWidth="1"/>
    <col min="4" max="4" width="26.140625" style="1" customWidth="1"/>
    <col min="5" max="5" width="31" style="7" customWidth="1"/>
    <col min="6" max="6" width="17.5703125" style="8" bestFit="1" customWidth="1"/>
    <col min="7" max="7" width="18.42578125" style="8" customWidth="1"/>
    <col min="8" max="8" width="17.28515625" style="9" customWidth="1"/>
    <col min="9" max="9" width="13.85546875" style="9" customWidth="1"/>
    <col min="10" max="10" width="16.71093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50" t="s">
        <v>109</v>
      </c>
      <c r="K1" s="8"/>
    </row>
    <row r="2" spans="1:11" x14ac:dyDescent="0.55000000000000004">
      <c r="A2" s="18">
        <v>44378</v>
      </c>
      <c r="B2" s="58"/>
      <c r="C2" s="16" t="s">
        <v>5</v>
      </c>
      <c r="D2" s="1" t="s">
        <v>74</v>
      </c>
      <c r="E2" s="14" t="s">
        <v>5</v>
      </c>
      <c r="F2" s="19">
        <v>1090960</v>
      </c>
      <c r="G2" s="19"/>
      <c r="H2" s="17"/>
      <c r="I2" s="17">
        <f>DTL[[#This Row],[Opening]]+DTL[[#This Row],[Purchase]]-DTL[[#This Row],[Payment]]</f>
        <v>1090960</v>
      </c>
      <c r="J2" s="50">
        <f>DTL[Balance]</f>
        <v>1090960</v>
      </c>
    </row>
    <row r="3" spans="1:11" x14ac:dyDescent="0.55000000000000004">
      <c r="A3" s="109"/>
      <c r="B3" s="115"/>
      <c r="C3" s="110"/>
      <c r="D3" s="111"/>
      <c r="E3" s="112"/>
      <c r="F3" s="113"/>
      <c r="G3" s="113"/>
      <c r="H3" s="114"/>
      <c r="I3" s="114"/>
    </row>
    <row r="4" spans="1:11" x14ac:dyDescent="0.55000000000000004">
      <c r="A4" s="18"/>
      <c r="B4" s="58"/>
      <c r="C4" s="16"/>
      <c r="E4" s="106"/>
      <c r="F4" s="19"/>
      <c r="G4" s="19"/>
      <c r="H4" s="17"/>
      <c r="I4" s="17"/>
    </row>
    <row r="5" spans="1:11" x14ac:dyDescent="0.55000000000000004">
      <c r="A5" s="100"/>
      <c r="B5" s="108"/>
      <c r="C5" s="101"/>
      <c r="E5" s="106"/>
      <c r="F5" s="103"/>
      <c r="G5" s="103"/>
      <c r="H5" s="104"/>
      <c r="I5" s="104"/>
    </row>
    <row r="6" spans="1:11" x14ac:dyDescent="0.55000000000000004">
      <c r="A6" s="100"/>
      <c r="B6" s="108"/>
      <c r="C6" s="101"/>
      <c r="D6" s="105"/>
      <c r="E6" s="106"/>
      <c r="F6" s="103"/>
      <c r="G6" s="103"/>
      <c r="H6" s="104"/>
      <c r="I6" s="104"/>
    </row>
    <row r="7" spans="1:11" x14ac:dyDescent="0.55000000000000004">
      <c r="A7" s="100"/>
      <c r="B7" s="108"/>
      <c r="C7" s="101"/>
      <c r="D7" s="105"/>
      <c r="E7" s="106"/>
      <c r="F7" s="103"/>
      <c r="G7" s="103"/>
      <c r="H7" s="104"/>
      <c r="I7" s="104"/>
    </row>
    <row r="8" spans="1:11" x14ac:dyDescent="0.55000000000000004">
      <c r="A8" s="100"/>
      <c r="B8" s="108"/>
      <c r="C8" s="101"/>
      <c r="D8" s="105"/>
      <c r="E8" s="106"/>
      <c r="F8" s="103"/>
      <c r="G8" s="103"/>
      <c r="H8" s="104"/>
      <c r="I8" s="104"/>
    </row>
    <row r="9" spans="1:11" x14ac:dyDescent="0.55000000000000004">
      <c r="A9" s="59"/>
      <c r="B9" s="73"/>
      <c r="C9" s="60"/>
      <c r="E9" s="46"/>
      <c r="F9" s="63"/>
      <c r="G9" s="64"/>
      <c r="H9" s="64"/>
      <c r="I9" s="64"/>
    </row>
    <row r="10" spans="1:11" x14ac:dyDescent="0.55000000000000004">
      <c r="A10" s="47"/>
      <c r="B10" s="66"/>
      <c r="C10" s="48"/>
      <c r="D10" s="49"/>
      <c r="E10" s="46"/>
      <c r="F10" s="50"/>
      <c r="G10" s="50"/>
      <c r="H10" s="51"/>
      <c r="I10" s="51"/>
    </row>
    <row r="11" spans="1:11" x14ac:dyDescent="0.55000000000000004">
      <c r="A11" s="18"/>
      <c r="B11" s="58"/>
      <c r="C11" s="16"/>
      <c r="E11" s="44"/>
      <c r="F11" s="19"/>
      <c r="G11" s="17"/>
      <c r="H11" s="17"/>
      <c r="I11" s="17"/>
    </row>
    <row r="12" spans="1:11" x14ac:dyDescent="0.55000000000000004">
      <c r="A12" s="18"/>
      <c r="B12" s="58"/>
      <c r="C12" s="16"/>
      <c r="E12" s="44"/>
      <c r="F12" s="19"/>
      <c r="G12" s="19"/>
      <c r="H12" s="17"/>
      <c r="I12" s="17"/>
    </row>
    <row r="13" spans="1:11" x14ac:dyDescent="0.55000000000000004">
      <c r="A13" s="54"/>
      <c r="B13" s="58"/>
      <c r="C13" s="55"/>
      <c r="E13" s="56"/>
      <c r="F13" s="53"/>
      <c r="G13" s="53"/>
      <c r="H13" s="57"/>
      <c r="I13" s="57"/>
    </row>
    <row r="14" spans="1:11" x14ac:dyDescent="0.55000000000000004">
      <c r="A14" s="54"/>
      <c r="B14" s="79"/>
      <c r="C14" s="55"/>
      <c r="D14" s="52"/>
      <c r="E14" s="56"/>
      <c r="F14" s="53"/>
      <c r="G14" s="53"/>
      <c r="H14" s="57"/>
      <c r="I14" s="57"/>
    </row>
    <row r="15" spans="1:11" x14ac:dyDescent="0.55000000000000004">
      <c r="A15" s="18"/>
      <c r="B15" s="58"/>
      <c r="C15" s="16"/>
      <c r="E15" s="14"/>
      <c r="F15" s="19"/>
      <c r="G15" s="19"/>
      <c r="H15" s="17"/>
      <c r="I15" s="17"/>
    </row>
    <row r="16" spans="1:11" x14ac:dyDescent="0.55000000000000004">
      <c r="A16" s="18"/>
      <c r="B16" s="58"/>
      <c r="C16" s="16"/>
      <c r="E16" s="14"/>
      <c r="F16" s="19"/>
      <c r="G16" s="19"/>
      <c r="H16" s="17"/>
      <c r="I16" s="17"/>
    </row>
    <row r="17" spans="1:9" x14ac:dyDescent="0.55000000000000004">
      <c r="A17" s="18"/>
      <c r="B17" s="58"/>
      <c r="C17" s="16"/>
      <c r="E17" s="14"/>
      <c r="F17" s="19"/>
      <c r="G17" s="19"/>
      <c r="H17" s="17"/>
      <c r="I17" s="17"/>
    </row>
    <row r="18" spans="1:9" x14ac:dyDescent="0.55000000000000004">
      <c r="A18" s="18"/>
      <c r="B18" s="58"/>
      <c r="C18" s="16"/>
      <c r="E18" s="14"/>
      <c r="F18" s="19"/>
      <c r="G18" s="19"/>
      <c r="H18" s="17"/>
      <c r="I18" s="17"/>
    </row>
    <row r="19" spans="1:9" x14ac:dyDescent="0.55000000000000004">
      <c r="C19" s="11"/>
    </row>
    <row r="20" spans="1:9" x14ac:dyDescent="0.55000000000000004">
      <c r="C20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2"/>
  <sheetViews>
    <sheetView zoomScaleNormal="100" workbookViewId="0">
      <selection activeCell="J3" sqref="J3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71" customWidth="1"/>
    <col min="3" max="3" width="15.140625" style="1" customWidth="1"/>
    <col min="4" max="4" width="24.42578125" style="1" bestFit="1" customWidth="1"/>
    <col min="5" max="5" width="34.140625" style="7" customWidth="1"/>
    <col min="6" max="6" width="17.5703125" style="8" bestFit="1" customWidth="1"/>
    <col min="7" max="7" width="18.42578125" style="8" customWidth="1"/>
    <col min="8" max="8" width="19" style="9" customWidth="1"/>
    <col min="9" max="9" width="14.7109375" style="9" bestFit="1" customWidth="1"/>
    <col min="10" max="10" width="15.71093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6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50" t="s">
        <v>109</v>
      </c>
      <c r="K1" s="8"/>
    </row>
    <row r="2" spans="1:11" x14ac:dyDescent="0.55000000000000004">
      <c r="A2" s="18">
        <v>44378</v>
      </c>
      <c r="B2" s="45"/>
      <c r="C2" s="16" t="s">
        <v>5</v>
      </c>
      <c r="D2" s="1" t="s">
        <v>76</v>
      </c>
      <c r="E2" s="7" t="s">
        <v>5</v>
      </c>
      <c r="F2" s="19">
        <v>983000</v>
      </c>
      <c r="G2" s="19"/>
      <c r="H2" s="17"/>
      <c r="I2" s="17">
        <f>GBS_ENG[[#This Row],[Opening]]+GBS_ENG[[#This Row],[Purchase]]-GBS_ENG[[#This Row],[Payment]]</f>
        <v>983000</v>
      </c>
      <c r="J2" s="50">
        <f>GBS_ENG[Balance]</f>
        <v>983000</v>
      </c>
    </row>
    <row r="3" spans="1:11" x14ac:dyDescent="0.55000000000000004">
      <c r="A3" s="18"/>
      <c r="B3" s="68"/>
      <c r="C3" s="16"/>
      <c r="E3" s="44"/>
      <c r="F3" s="19"/>
      <c r="G3" s="19"/>
      <c r="H3" s="17"/>
      <c r="I3" s="17"/>
    </row>
    <row r="4" spans="1:11" x14ac:dyDescent="0.55000000000000004">
      <c r="A4" s="100"/>
      <c r="B4" s="107"/>
      <c r="C4" s="101"/>
      <c r="E4" s="44"/>
      <c r="F4" s="103"/>
      <c r="G4" s="103"/>
      <c r="H4" s="104"/>
      <c r="I4" s="104"/>
    </row>
    <row r="5" spans="1:11" x14ac:dyDescent="0.55000000000000004">
      <c r="A5" s="100"/>
      <c r="B5" s="107"/>
      <c r="C5" s="101"/>
      <c r="E5" s="102"/>
      <c r="F5" s="103"/>
      <c r="G5" s="103"/>
      <c r="H5" s="104"/>
      <c r="I5" s="104"/>
    </row>
    <row r="6" spans="1:11" x14ac:dyDescent="0.55000000000000004">
      <c r="A6" s="100"/>
      <c r="B6" s="107"/>
      <c r="C6" s="101"/>
      <c r="D6" s="105"/>
      <c r="E6" s="102"/>
      <c r="F6" s="103"/>
      <c r="G6" s="103"/>
      <c r="H6" s="104"/>
      <c r="I6" s="104"/>
    </row>
    <row r="7" spans="1:11" x14ac:dyDescent="0.55000000000000004">
      <c r="A7" s="59"/>
      <c r="B7" s="69"/>
      <c r="C7" s="60"/>
      <c r="E7" s="62"/>
      <c r="F7" s="63"/>
      <c r="G7" s="63"/>
      <c r="H7" s="64"/>
      <c r="I7" s="64"/>
    </row>
    <row r="8" spans="1:11" x14ac:dyDescent="0.55000000000000004">
      <c r="A8" s="59"/>
      <c r="B8" s="69"/>
      <c r="C8" s="60"/>
      <c r="E8" s="62"/>
      <c r="F8" s="63"/>
      <c r="G8" s="63"/>
      <c r="H8" s="64"/>
      <c r="I8" s="64"/>
    </row>
    <row r="9" spans="1:11" x14ac:dyDescent="0.55000000000000004">
      <c r="A9" s="59"/>
      <c r="B9" s="69"/>
      <c r="C9" s="60"/>
      <c r="E9" s="62"/>
      <c r="F9" s="63"/>
      <c r="G9" s="63"/>
      <c r="H9" s="64"/>
      <c r="I9" s="64"/>
    </row>
    <row r="10" spans="1:11" x14ac:dyDescent="0.55000000000000004">
      <c r="A10" s="59"/>
      <c r="B10" s="69"/>
      <c r="C10" s="60"/>
      <c r="E10" s="62"/>
      <c r="F10" s="63"/>
      <c r="G10" s="63"/>
      <c r="H10" s="64"/>
      <c r="I10" s="64"/>
    </row>
    <row r="11" spans="1:11" x14ac:dyDescent="0.55000000000000004">
      <c r="A11" s="59"/>
      <c r="B11" s="69"/>
      <c r="C11" s="60"/>
      <c r="E11" s="44"/>
      <c r="F11" s="63"/>
      <c r="G11" s="63"/>
      <c r="H11" s="64"/>
      <c r="I11" s="64"/>
    </row>
    <row r="12" spans="1:11" x14ac:dyDescent="0.55000000000000004">
      <c r="A12" s="47"/>
      <c r="B12" s="72"/>
      <c r="C12" s="60"/>
      <c r="E12" s="62"/>
      <c r="F12" s="50"/>
      <c r="G12" s="50"/>
      <c r="H12" s="51"/>
      <c r="I12" s="51"/>
    </row>
    <row r="13" spans="1:11" x14ac:dyDescent="0.55000000000000004">
      <c r="A13" s="59"/>
      <c r="B13" s="69"/>
      <c r="C13" s="60"/>
      <c r="E13" s="44"/>
      <c r="F13" s="63"/>
      <c r="G13" s="63"/>
      <c r="H13" s="64"/>
      <c r="I13" s="64"/>
    </row>
    <row r="14" spans="1:11" x14ac:dyDescent="0.55000000000000004">
      <c r="A14" s="59"/>
      <c r="B14" s="69"/>
      <c r="C14" s="60"/>
      <c r="E14" s="62"/>
      <c r="F14" s="63"/>
      <c r="G14" s="63"/>
      <c r="H14" s="64"/>
      <c r="I14" s="64"/>
    </row>
    <row r="15" spans="1:11" x14ac:dyDescent="0.55000000000000004">
      <c r="A15" s="59"/>
      <c r="B15" s="69"/>
      <c r="C15" s="60"/>
      <c r="E15" s="44"/>
      <c r="F15" s="63"/>
      <c r="G15" s="63"/>
      <c r="H15" s="64"/>
      <c r="I15" s="64"/>
    </row>
    <row r="16" spans="1:11" x14ac:dyDescent="0.55000000000000004">
      <c r="A16" s="59"/>
      <c r="B16" s="69"/>
      <c r="C16" s="60"/>
      <c r="E16" s="62"/>
      <c r="F16" s="63"/>
      <c r="G16" s="63"/>
      <c r="H16" s="64"/>
      <c r="I16" s="64"/>
    </row>
    <row r="17" spans="1:9" x14ac:dyDescent="0.55000000000000004">
      <c r="A17" s="59"/>
      <c r="B17" s="69"/>
      <c r="C17" s="60"/>
      <c r="E17" s="44"/>
      <c r="F17" s="63"/>
      <c r="G17" s="63"/>
      <c r="H17" s="64"/>
      <c r="I17" s="64"/>
    </row>
    <row r="18" spans="1:9" x14ac:dyDescent="0.55000000000000004">
      <c r="A18" s="59"/>
      <c r="B18" s="69"/>
      <c r="C18" s="60"/>
      <c r="E18" s="62"/>
      <c r="F18" s="63"/>
      <c r="G18" s="63"/>
      <c r="H18" s="64"/>
      <c r="I18" s="64"/>
    </row>
    <row r="19" spans="1:9" x14ac:dyDescent="0.55000000000000004">
      <c r="A19" s="59"/>
      <c r="B19" s="69"/>
      <c r="C19" s="60"/>
      <c r="E19" s="44"/>
      <c r="F19" s="63"/>
      <c r="G19" s="63"/>
      <c r="H19" s="64"/>
      <c r="I19" s="64"/>
    </row>
    <row r="20" spans="1:9" x14ac:dyDescent="0.55000000000000004">
      <c r="A20" s="59"/>
      <c r="B20" s="69"/>
      <c r="C20" s="60"/>
      <c r="E20" s="62"/>
      <c r="F20" s="63"/>
      <c r="G20" s="63"/>
      <c r="H20" s="64"/>
      <c r="I20" s="64"/>
    </row>
    <row r="21" spans="1:9" x14ac:dyDescent="0.55000000000000004">
      <c r="A21" s="59"/>
      <c r="B21" s="69"/>
      <c r="C21" s="60"/>
      <c r="E21" s="44"/>
      <c r="F21" s="63"/>
      <c r="G21" s="63"/>
      <c r="H21" s="64"/>
      <c r="I21" s="64"/>
    </row>
    <row r="22" spans="1:9" x14ac:dyDescent="0.55000000000000004">
      <c r="A22" s="59"/>
      <c r="B22" s="69"/>
      <c r="C22" s="60"/>
      <c r="E22" s="62"/>
      <c r="F22" s="63"/>
      <c r="G22" s="63"/>
      <c r="H22" s="64"/>
      <c r="I22" s="64"/>
    </row>
    <row r="23" spans="1:9" x14ac:dyDescent="0.55000000000000004">
      <c r="A23" s="93"/>
      <c r="B23" s="94"/>
      <c r="C23" s="95"/>
      <c r="D23" s="96"/>
      <c r="E23" s="97"/>
      <c r="F23" s="98"/>
      <c r="G23" s="98"/>
      <c r="H23" s="99"/>
      <c r="I23" s="99"/>
    </row>
    <row r="24" spans="1:9" x14ac:dyDescent="0.55000000000000004">
      <c r="A24" s="47"/>
      <c r="B24" s="70"/>
      <c r="C24" s="48"/>
      <c r="D24" s="49"/>
      <c r="E24" s="44"/>
      <c r="F24" s="50"/>
      <c r="G24" s="50"/>
      <c r="H24" s="51"/>
      <c r="I24" s="51"/>
    </row>
    <row r="25" spans="1:9" x14ac:dyDescent="0.55000000000000004">
      <c r="A25" s="18"/>
      <c r="B25" s="45"/>
      <c r="C25" s="16"/>
      <c r="E25" s="14"/>
      <c r="F25" s="19"/>
      <c r="G25" s="19"/>
      <c r="H25" s="17"/>
      <c r="I25" s="17"/>
    </row>
    <row r="26" spans="1:9" x14ac:dyDescent="0.55000000000000004">
      <c r="A26" s="18"/>
      <c r="B26" s="45"/>
      <c r="C26" s="16"/>
      <c r="E26" s="14"/>
      <c r="F26" s="19"/>
      <c r="G26" s="19"/>
      <c r="H26" s="17"/>
      <c r="I26" s="17"/>
    </row>
    <row r="27" spans="1:9" x14ac:dyDescent="0.55000000000000004">
      <c r="A27" s="18"/>
      <c r="B27" s="45"/>
      <c r="C27" s="16"/>
      <c r="E27" s="14"/>
      <c r="F27" s="19"/>
      <c r="G27" s="19"/>
      <c r="H27" s="17"/>
      <c r="I27" s="17"/>
    </row>
    <row r="28" spans="1:9" x14ac:dyDescent="0.55000000000000004">
      <c r="A28" s="18"/>
      <c r="B28" s="45"/>
      <c r="C28" s="16"/>
      <c r="E28" s="14"/>
      <c r="F28" s="19"/>
      <c r="G28" s="19"/>
      <c r="H28" s="17"/>
      <c r="I28" s="17"/>
    </row>
    <row r="29" spans="1:9" x14ac:dyDescent="0.55000000000000004">
      <c r="A29" s="18"/>
      <c r="B29" s="45"/>
      <c r="C29" s="16"/>
      <c r="E29" s="14"/>
      <c r="F29" s="19"/>
      <c r="G29" s="19"/>
      <c r="H29" s="17"/>
      <c r="I29" s="17"/>
    </row>
    <row r="30" spans="1:9" x14ac:dyDescent="0.55000000000000004">
      <c r="A30" s="18"/>
      <c r="B30" s="45"/>
      <c r="C30" s="16"/>
      <c r="E30" s="14"/>
      <c r="F30" s="19"/>
      <c r="G30" s="19"/>
      <c r="H30" s="17"/>
      <c r="I30" s="17"/>
    </row>
    <row r="31" spans="1:9" x14ac:dyDescent="0.55000000000000004">
      <c r="C31" s="11"/>
    </row>
    <row r="32" spans="1:9" x14ac:dyDescent="0.55000000000000004">
      <c r="C32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C2:C36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40"/>
  <sheetViews>
    <sheetView zoomScaleNormal="100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5.5703125" style="1" customWidth="1"/>
    <col min="4" max="4" width="24.42578125" style="1" bestFit="1" customWidth="1"/>
    <col min="5" max="5" width="36.140625" style="7" customWidth="1"/>
    <col min="6" max="6" width="13.42578125" style="8" customWidth="1"/>
    <col min="7" max="7" width="15" style="8" customWidth="1"/>
    <col min="8" max="8" width="15.42578125" style="9" customWidth="1"/>
    <col min="9" max="9" width="14.7109375" style="9" bestFit="1" customWidth="1"/>
    <col min="10" max="10" width="14.855468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50" t="s">
        <v>109</v>
      </c>
      <c r="K1" s="8"/>
    </row>
    <row r="2" spans="1:11" x14ac:dyDescent="0.55000000000000004">
      <c r="A2" s="18">
        <v>44378</v>
      </c>
      <c r="B2" s="16"/>
      <c r="C2" s="16" t="s">
        <v>5</v>
      </c>
      <c r="D2" s="1" t="s">
        <v>29</v>
      </c>
      <c r="E2" s="7" t="s">
        <v>5</v>
      </c>
      <c r="F2" s="19"/>
      <c r="G2" s="19"/>
      <c r="H2" s="17"/>
      <c r="I2" s="17">
        <f>GBS_SP[[#This Row],[Opening]]+GBS_SP[[#This Row],[Purchase]]-GBS_SP[[#This Row],[Payment]]</f>
        <v>0</v>
      </c>
      <c r="J2" s="50">
        <f>GBS_SP[Balance]</f>
        <v>0</v>
      </c>
    </row>
    <row r="3" spans="1:11" x14ac:dyDescent="0.55000000000000004">
      <c r="A3" s="18"/>
      <c r="B3" s="16"/>
      <c r="C3" s="16"/>
      <c r="E3" s="44"/>
      <c r="F3" s="19"/>
      <c r="G3" s="19"/>
      <c r="H3" s="17"/>
      <c r="I3" s="17"/>
    </row>
    <row r="4" spans="1:11" x14ac:dyDescent="0.55000000000000004">
      <c r="A4" s="100"/>
      <c r="B4" s="101"/>
      <c r="C4" s="101"/>
      <c r="E4" s="44"/>
      <c r="F4" s="103"/>
      <c r="G4" s="103"/>
      <c r="H4" s="104"/>
      <c r="I4" s="104"/>
    </row>
    <row r="5" spans="1:11" x14ac:dyDescent="0.55000000000000004">
      <c r="A5" s="100"/>
      <c r="B5" s="101"/>
      <c r="C5" s="101"/>
      <c r="D5" s="105"/>
      <c r="E5" s="102"/>
      <c r="F5" s="103"/>
      <c r="G5" s="103"/>
      <c r="H5" s="104"/>
      <c r="I5" s="104"/>
    </row>
    <row r="6" spans="1:11" x14ac:dyDescent="0.55000000000000004">
      <c r="A6" s="100"/>
      <c r="B6" s="101"/>
      <c r="C6" s="101"/>
      <c r="D6" s="105"/>
      <c r="E6" s="102"/>
      <c r="F6" s="103"/>
      <c r="G6" s="103"/>
      <c r="H6" s="104"/>
      <c r="I6" s="104"/>
    </row>
    <row r="7" spans="1:11" x14ac:dyDescent="0.55000000000000004">
      <c r="A7" s="59"/>
      <c r="B7" s="60"/>
      <c r="C7" s="60"/>
      <c r="E7" s="62"/>
      <c r="F7" s="63"/>
      <c r="G7" s="63"/>
      <c r="H7" s="64"/>
      <c r="I7" s="64"/>
    </row>
    <row r="8" spans="1:11" x14ac:dyDescent="0.55000000000000004">
      <c r="A8" s="59"/>
      <c r="B8" s="60"/>
      <c r="C8" s="60"/>
      <c r="E8" s="62"/>
      <c r="F8" s="63"/>
      <c r="G8" s="63"/>
      <c r="H8" s="64"/>
      <c r="I8" s="64"/>
    </row>
    <row r="9" spans="1:11" x14ac:dyDescent="0.55000000000000004">
      <c r="A9" s="59"/>
      <c r="B9" s="60"/>
      <c r="C9" s="60"/>
      <c r="E9" s="62"/>
      <c r="F9" s="63"/>
      <c r="G9" s="63"/>
      <c r="H9" s="64"/>
      <c r="I9" s="64"/>
    </row>
    <row r="10" spans="1:11" x14ac:dyDescent="0.55000000000000004">
      <c r="A10" s="59"/>
      <c r="B10" s="60"/>
      <c r="C10" s="60"/>
      <c r="E10" s="62"/>
      <c r="F10" s="63"/>
      <c r="G10" s="63"/>
      <c r="H10" s="64"/>
      <c r="I10" s="64"/>
    </row>
    <row r="11" spans="1:11" x14ac:dyDescent="0.55000000000000004">
      <c r="A11" s="59"/>
      <c r="B11" s="60"/>
      <c r="C11" s="60"/>
      <c r="E11" s="44"/>
      <c r="F11" s="63"/>
      <c r="G11" s="63"/>
      <c r="H11" s="64"/>
      <c r="I11" s="64"/>
    </row>
    <row r="12" spans="1:11" x14ac:dyDescent="0.55000000000000004">
      <c r="A12" s="47"/>
      <c r="B12" s="48"/>
      <c r="C12" s="48"/>
      <c r="E12" s="44"/>
      <c r="F12" s="50"/>
      <c r="G12" s="50"/>
      <c r="H12" s="51"/>
      <c r="I12" s="51"/>
    </row>
    <row r="13" spans="1:11" x14ac:dyDescent="0.55000000000000004">
      <c r="A13" s="59"/>
      <c r="B13" s="60"/>
      <c r="C13" s="60"/>
      <c r="E13" s="44"/>
      <c r="F13" s="63"/>
      <c r="G13" s="63"/>
      <c r="H13" s="64"/>
      <c r="I13" s="64"/>
    </row>
    <row r="14" spans="1:11" x14ac:dyDescent="0.55000000000000004">
      <c r="A14" s="59"/>
      <c r="B14" s="60"/>
      <c r="C14" s="60"/>
      <c r="E14" s="44"/>
      <c r="F14" s="63"/>
      <c r="G14" s="63"/>
      <c r="H14" s="64"/>
      <c r="I14" s="64"/>
    </row>
    <row r="15" spans="1:11" x14ac:dyDescent="0.55000000000000004">
      <c r="A15" s="59"/>
      <c r="B15" s="60"/>
      <c r="C15" s="60"/>
      <c r="E15" s="62"/>
      <c r="F15" s="63"/>
      <c r="G15" s="63"/>
      <c r="H15" s="64"/>
      <c r="I15" s="64"/>
    </row>
    <row r="16" spans="1:11" x14ac:dyDescent="0.55000000000000004">
      <c r="A16" s="59"/>
      <c r="B16" s="60"/>
      <c r="C16" s="60"/>
      <c r="E16" s="44"/>
      <c r="F16" s="63"/>
      <c r="G16" s="63"/>
      <c r="H16" s="64"/>
      <c r="I16" s="64"/>
    </row>
    <row r="17" spans="1:9" x14ac:dyDescent="0.55000000000000004">
      <c r="A17" s="59"/>
      <c r="B17" s="60"/>
      <c r="C17" s="60"/>
      <c r="E17" s="44"/>
      <c r="F17" s="63"/>
      <c r="G17" s="63"/>
      <c r="H17" s="64"/>
      <c r="I17" s="64"/>
    </row>
    <row r="18" spans="1:9" x14ac:dyDescent="0.55000000000000004">
      <c r="A18" s="59"/>
      <c r="B18" s="60"/>
      <c r="C18" s="60"/>
      <c r="E18" s="44"/>
      <c r="F18" s="63"/>
      <c r="G18" s="63"/>
      <c r="H18" s="64"/>
      <c r="I18" s="64"/>
    </row>
    <row r="19" spans="1:9" x14ac:dyDescent="0.55000000000000004">
      <c r="A19" s="59"/>
      <c r="B19" s="60"/>
      <c r="C19" s="60"/>
      <c r="E19" s="62"/>
      <c r="F19" s="63"/>
      <c r="G19" s="63"/>
      <c r="H19" s="64"/>
      <c r="I19" s="64"/>
    </row>
    <row r="20" spans="1:9" x14ac:dyDescent="0.55000000000000004">
      <c r="A20" s="59"/>
      <c r="B20" s="60"/>
      <c r="C20" s="60"/>
      <c r="E20" s="44"/>
      <c r="F20" s="63"/>
      <c r="G20" s="63"/>
      <c r="H20" s="64"/>
      <c r="I20" s="64"/>
    </row>
    <row r="21" spans="1:9" x14ac:dyDescent="0.55000000000000004">
      <c r="A21" s="59"/>
      <c r="B21" s="60"/>
      <c r="C21" s="60"/>
      <c r="D21" s="61"/>
      <c r="E21" s="62"/>
      <c r="F21" s="63"/>
      <c r="G21" s="63"/>
      <c r="H21" s="64"/>
      <c r="I21" s="64"/>
    </row>
    <row r="22" spans="1:9" x14ac:dyDescent="0.55000000000000004">
      <c r="A22" s="59"/>
      <c r="B22" s="60"/>
      <c r="C22" s="60"/>
      <c r="D22" s="61"/>
      <c r="E22" s="62"/>
      <c r="F22" s="63"/>
      <c r="G22" s="63"/>
      <c r="H22" s="64"/>
      <c r="I22" s="64"/>
    </row>
    <row r="23" spans="1:9" x14ac:dyDescent="0.55000000000000004">
      <c r="A23" s="59"/>
      <c r="B23" s="60"/>
      <c r="C23" s="60"/>
      <c r="D23" s="61"/>
      <c r="E23" s="62"/>
      <c r="F23" s="63"/>
      <c r="G23" s="63"/>
      <c r="H23" s="64"/>
      <c r="I23" s="64"/>
    </row>
    <row r="24" spans="1:9" x14ac:dyDescent="0.55000000000000004">
      <c r="A24" s="18"/>
      <c r="B24" s="16"/>
      <c r="C24" s="16"/>
      <c r="E24" s="44"/>
      <c r="F24" s="19"/>
      <c r="G24" s="19"/>
      <c r="H24" s="17"/>
      <c r="I24" s="17"/>
    </row>
    <row r="25" spans="1:9" x14ac:dyDescent="0.55000000000000004">
      <c r="A25" s="18"/>
      <c r="B25" s="16"/>
      <c r="C25" s="16"/>
      <c r="E25" s="44"/>
      <c r="F25" s="19"/>
      <c r="G25" s="19"/>
      <c r="H25" s="17"/>
      <c r="I25" s="17"/>
    </row>
    <row r="26" spans="1:9" x14ac:dyDescent="0.55000000000000004">
      <c r="A26" s="18"/>
      <c r="B26" s="16"/>
      <c r="C26" s="16"/>
      <c r="E26" s="44"/>
      <c r="F26" s="19"/>
      <c r="G26" s="19"/>
      <c r="H26" s="17"/>
      <c r="I26" s="17"/>
    </row>
    <row r="27" spans="1:9" x14ac:dyDescent="0.55000000000000004">
      <c r="A27" s="18"/>
      <c r="B27" s="16"/>
      <c r="C27" s="16"/>
      <c r="E27" s="44"/>
      <c r="F27" s="19"/>
      <c r="G27" s="19"/>
      <c r="H27" s="17"/>
      <c r="I27" s="17"/>
    </row>
    <row r="28" spans="1:9" x14ac:dyDescent="0.55000000000000004">
      <c r="A28" s="18"/>
      <c r="B28" s="16"/>
      <c r="C28" s="16"/>
      <c r="E28" s="44"/>
      <c r="F28" s="19"/>
      <c r="G28" s="19"/>
      <c r="H28" s="17"/>
      <c r="I28" s="17"/>
    </row>
    <row r="29" spans="1:9" x14ac:dyDescent="0.55000000000000004">
      <c r="A29" s="18"/>
      <c r="B29" s="16"/>
      <c r="C29" s="16"/>
      <c r="E29" s="44"/>
      <c r="F29" s="19"/>
      <c r="G29" s="19"/>
      <c r="H29" s="17"/>
      <c r="I29" s="17"/>
    </row>
    <row r="30" spans="1:9" x14ac:dyDescent="0.55000000000000004">
      <c r="A30" s="18"/>
      <c r="B30" s="16"/>
      <c r="C30" s="16"/>
      <c r="E30" s="44"/>
      <c r="F30" s="19"/>
      <c r="G30" s="19"/>
      <c r="H30" s="17"/>
      <c r="I30" s="17"/>
    </row>
    <row r="31" spans="1:9" x14ac:dyDescent="0.55000000000000004">
      <c r="A31" s="18"/>
      <c r="B31" s="16"/>
      <c r="C31" s="16"/>
      <c r="E31" s="44"/>
      <c r="F31" s="19"/>
      <c r="G31" s="19"/>
      <c r="H31" s="17"/>
      <c r="I31" s="17"/>
    </row>
    <row r="32" spans="1:9" x14ac:dyDescent="0.55000000000000004">
      <c r="A32" s="18"/>
      <c r="B32" s="16"/>
      <c r="C32" s="16"/>
      <c r="E32" s="44"/>
      <c r="F32" s="19"/>
      <c r="G32" s="19"/>
      <c r="H32" s="17"/>
      <c r="I32" s="17"/>
    </row>
    <row r="33" spans="1:9" x14ac:dyDescent="0.55000000000000004">
      <c r="A33" s="54"/>
      <c r="B33" s="55"/>
      <c r="C33" s="55"/>
      <c r="E33" s="56"/>
      <c r="F33" s="53"/>
      <c r="G33" s="53"/>
      <c r="H33" s="57"/>
      <c r="I33" s="57"/>
    </row>
    <row r="34" spans="1:9" x14ac:dyDescent="0.55000000000000004">
      <c r="A34" s="54"/>
      <c r="B34" s="55"/>
      <c r="C34" s="55"/>
      <c r="E34" s="56"/>
      <c r="F34" s="53"/>
      <c r="G34" s="53"/>
      <c r="H34" s="57"/>
      <c r="I34" s="57"/>
    </row>
    <row r="35" spans="1:9" x14ac:dyDescent="0.55000000000000004">
      <c r="A35" s="54"/>
      <c r="B35" s="55"/>
      <c r="C35" s="55"/>
      <c r="E35" s="56"/>
      <c r="F35" s="53"/>
      <c r="G35" s="53"/>
      <c r="H35" s="57"/>
      <c r="I35" s="57"/>
    </row>
    <row r="36" spans="1:9" x14ac:dyDescent="0.55000000000000004">
      <c r="A36" s="54"/>
      <c r="B36" s="55"/>
      <c r="C36" s="55"/>
      <c r="E36" s="44"/>
      <c r="F36" s="53"/>
      <c r="G36" s="53"/>
      <c r="H36" s="57"/>
      <c r="I36" s="57"/>
    </row>
    <row r="37" spans="1:9" x14ac:dyDescent="0.55000000000000004">
      <c r="A37" s="47"/>
      <c r="B37" s="48"/>
      <c r="C37" s="48"/>
      <c r="E37" s="44"/>
      <c r="F37" s="50"/>
      <c r="G37" s="50"/>
      <c r="H37" s="51"/>
      <c r="I37" s="51"/>
    </row>
    <row r="38" spans="1:9" x14ac:dyDescent="0.55000000000000004">
      <c r="A38" s="47"/>
      <c r="B38" s="48"/>
      <c r="C38" s="48"/>
      <c r="D38" s="49"/>
      <c r="E38" s="44"/>
      <c r="F38" s="50"/>
      <c r="G38" s="50"/>
      <c r="H38" s="51"/>
      <c r="I38" s="51"/>
    </row>
    <row r="39" spans="1:9" x14ac:dyDescent="0.55000000000000004">
      <c r="C39" s="11"/>
    </row>
    <row r="40" spans="1:9" x14ac:dyDescent="0.55000000000000004">
      <c r="C40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1"/>
  <sheetViews>
    <sheetView zoomScaleNormal="100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3.42578125" style="1" customWidth="1"/>
    <col min="4" max="4" width="24.42578125" style="1" bestFit="1" customWidth="1"/>
    <col min="5" max="5" width="31.85546875" style="7" customWidth="1"/>
    <col min="6" max="6" width="12.7109375" style="8" customWidth="1"/>
    <col min="7" max="7" width="15.140625" style="8" customWidth="1"/>
    <col min="8" max="8" width="15.140625" style="9" customWidth="1"/>
    <col min="9" max="9" width="14.7109375" style="9" bestFit="1" customWidth="1"/>
    <col min="10" max="10" width="16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50" t="s">
        <v>109</v>
      </c>
      <c r="K1" s="8"/>
    </row>
    <row r="2" spans="1:11" x14ac:dyDescent="0.55000000000000004">
      <c r="A2" s="18">
        <v>44378</v>
      </c>
      <c r="B2" s="16"/>
      <c r="C2" s="16" t="s">
        <v>5</v>
      </c>
      <c r="D2" s="1" t="s">
        <v>77</v>
      </c>
      <c r="E2" s="7" t="s">
        <v>5</v>
      </c>
      <c r="F2" s="19">
        <v>1657480</v>
      </c>
      <c r="G2" s="19"/>
      <c r="H2" s="17"/>
      <c r="I2" s="17">
        <f>KWH[[#This Row],[Opening]]+KWH[[#This Row],[Purchase]]-KWH[[#This Row],[Payment]]</f>
        <v>1657480</v>
      </c>
      <c r="J2" s="50">
        <f>KWH[Balance]</f>
        <v>1657480</v>
      </c>
    </row>
    <row r="3" spans="1:11" x14ac:dyDescent="0.55000000000000004">
      <c r="A3" s="18"/>
      <c r="B3" s="16"/>
      <c r="C3" s="16"/>
      <c r="E3" s="43"/>
      <c r="F3" s="19"/>
      <c r="G3" s="19"/>
      <c r="H3" s="17"/>
      <c r="I3" s="17"/>
    </row>
    <row r="4" spans="1:11" x14ac:dyDescent="0.55000000000000004">
      <c r="A4" s="100"/>
      <c r="B4" s="101"/>
      <c r="C4" s="101"/>
      <c r="E4" s="102"/>
      <c r="F4" s="103"/>
      <c r="G4" s="103"/>
      <c r="H4" s="104"/>
      <c r="I4" s="104"/>
    </row>
    <row r="5" spans="1:11" x14ac:dyDescent="0.55000000000000004">
      <c r="A5" s="100"/>
      <c r="B5" s="101"/>
      <c r="C5" s="101"/>
      <c r="E5" s="102"/>
      <c r="F5" s="103"/>
      <c r="G5" s="103"/>
      <c r="H5" s="104"/>
      <c r="I5" s="104"/>
    </row>
    <row r="6" spans="1:11" x14ac:dyDescent="0.55000000000000004">
      <c r="A6" s="100"/>
      <c r="B6" s="101"/>
      <c r="C6" s="101"/>
      <c r="E6" s="102"/>
      <c r="F6" s="103"/>
      <c r="G6" s="103"/>
      <c r="H6" s="104"/>
      <c r="I6" s="104"/>
    </row>
    <row r="7" spans="1:11" x14ac:dyDescent="0.55000000000000004">
      <c r="A7" s="100"/>
      <c r="B7" s="101"/>
      <c r="C7" s="101"/>
      <c r="E7" s="106"/>
      <c r="F7" s="103"/>
      <c r="G7" s="103"/>
      <c r="H7" s="104"/>
      <c r="I7" s="104"/>
    </row>
    <row r="8" spans="1:11" x14ac:dyDescent="0.55000000000000004">
      <c r="A8" s="100"/>
      <c r="B8" s="101"/>
      <c r="C8" s="101"/>
      <c r="E8" s="106"/>
      <c r="F8" s="103"/>
      <c r="G8" s="103"/>
      <c r="H8" s="104"/>
      <c r="I8" s="104"/>
    </row>
    <row r="9" spans="1:11" x14ac:dyDescent="0.55000000000000004">
      <c r="A9" s="100"/>
      <c r="B9" s="101"/>
      <c r="C9" s="101"/>
      <c r="D9" s="105"/>
      <c r="E9" s="106"/>
      <c r="F9" s="103"/>
      <c r="G9" s="103"/>
      <c r="H9" s="104"/>
      <c r="I9" s="104"/>
    </row>
    <row r="10" spans="1:11" x14ac:dyDescent="0.55000000000000004">
      <c r="A10" s="59"/>
      <c r="B10" s="60"/>
      <c r="C10" s="16"/>
      <c r="E10" s="62"/>
      <c r="F10" s="63"/>
      <c r="G10" s="63"/>
      <c r="H10" s="64"/>
      <c r="I10" s="64"/>
    </row>
    <row r="11" spans="1:11" x14ac:dyDescent="0.55000000000000004">
      <c r="A11" s="59"/>
      <c r="B11" s="60"/>
      <c r="C11" s="60"/>
      <c r="E11" s="44"/>
      <c r="F11" s="63"/>
      <c r="G11" s="86"/>
      <c r="H11" s="63"/>
      <c r="I11" s="64"/>
    </row>
    <row r="12" spans="1:11" x14ac:dyDescent="0.55000000000000004">
      <c r="A12" s="59"/>
      <c r="B12" s="60"/>
      <c r="C12" s="60"/>
      <c r="E12" s="62"/>
      <c r="F12" s="63"/>
      <c r="G12" s="63"/>
      <c r="H12" s="64"/>
      <c r="I12" s="64"/>
    </row>
    <row r="13" spans="1:11" x14ac:dyDescent="0.55000000000000004">
      <c r="A13" s="59"/>
      <c r="B13" s="60"/>
      <c r="C13" s="60"/>
      <c r="E13" s="62"/>
      <c r="F13" s="63"/>
      <c r="G13" s="63"/>
      <c r="H13" s="64"/>
      <c r="I13" s="64"/>
    </row>
    <row r="14" spans="1:11" x14ac:dyDescent="0.55000000000000004">
      <c r="A14" s="59"/>
      <c r="B14" s="60"/>
      <c r="C14" s="60"/>
      <c r="E14" s="62"/>
      <c r="F14" s="63"/>
      <c r="G14" s="63"/>
      <c r="H14" s="64"/>
      <c r="I14" s="64"/>
    </row>
    <row r="15" spans="1:11" x14ac:dyDescent="0.55000000000000004">
      <c r="A15" s="59"/>
      <c r="B15" s="60"/>
      <c r="C15" s="60"/>
      <c r="D15" s="61"/>
      <c r="E15" s="62"/>
      <c r="F15" s="63"/>
      <c r="G15" s="63"/>
      <c r="H15" s="64"/>
      <c r="I15" s="64"/>
    </row>
    <row r="16" spans="1:11" x14ac:dyDescent="0.55000000000000004">
      <c r="A16" s="18"/>
      <c r="B16" s="16"/>
      <c r="C16" s="16"/>
      <c r="E16" s="44"/>
      <c r="F16" s="19"/>
      <c r="G16" s="19"/>
      <c r="H16" s="17"/>
      <c r="I16" s="17"/>
    </row>
    <row r="17" spans="1:9" x14ac:dyDescent="0.55000000000000004">
      <c r="A17" s="18"/>
      <c r="B17" s="16"/>
      <c r="C17" s="16"/>
      <c r="E17" s="44"/>
      <c r="F17" s="19"/>
      <c r="G17" s="19"/>
      <c r="H17" s="17"/>
      <c r="I17" s="17"/>
    </row>
    <row r="18" spans="1:9" x14ac:dyDescent="0.55000000000000004">
      <c r="A18" s="18"/>
      <c r="B18" s="16"/>
      <c r="C18" s="16"/>
      <c r="E18" s="44"/>
      <c r="F18" s="19"/>
      <c r="G18" s="19"/>
      <c r="H18" s="17"/>
      <c r="I18" s="17"/>
    </row>
    <row r="19" spans="1:9" x14ac:dyDescent="0.55000000000000004">
      <c r="A19" s="54"/>
      <c r="B19" s="55"/>
      <c r="C19" s="55"/>
      <c r="E19" s="44"/>
      <c r="F19" s="53"/>
      <c r="G19" s="53"/>
      <c r="H19" s="57"/>
      <c r="I19" s="57"/>
    </row>
    <row r="20" spans="1:9" x14ac:dyDescent="0.55000000000000004">
      <c r="A20" s="47"/>
      <c r="B20" s="48"/>
      <c r="C20" s="48"/>
      <c r="D20" s="49"/>
      <c r="E20" s="44"/>
      <c r="F20" s="50"/>
      <c r="G20" s="50"/>
      <c r="H20" s="51"/>
      <c r="I20" s="51"/>
    </row>
    <row r="21" spans="1:9" x14ac:dyDescent="0.55000000000000004">
      <c r="A21" s="18"/>
      <c r="B21" s="16"/>
      <c r="C21" s="16"/>
      <c r="F21" s="19"/>
      <c r="G21" s="19"/>
      <c r="H21" s="17"/>
      <c r="I21" s="17"/>
    </row>
    <row r="22" spans="1:9" x14ac:dyDescent="0.55000000000000004">
      <c r="A22" s="18"/>
      <c r="B22" s="16"/>
      <c r="C22" s="16"/>
      <c r="F22" s="19"/>
      <c r="G22" s="19"/>
      <c r="H22" s="17"/>
      <c r="I22" s="17"/>
    </row>
    <row r="23" spans="1:9" x14ac:dyDescent="0.55000000000000004">
      <c r="C23" s="11"/>
    </row>
    <row r="24" spans="1:9" x14ac:dyDescent="0.55000000000000004">
      <c r="C24" s="11"/>
    </row>
    <row r="25" spans="1:9" x14ac:dyDescent="0.55000000000000004">
      <c r="A25" s="29"/>
      <c r="B25" s="30"/>
      <c r="C25" s="30"/>
      <c r="F25" s="32"/>
      <c r="G25" s="32"/>
      <c r="H25" s="33"/>
      <c r="I25" s="33"/>
    </row>
    <row r="26" spans="1:9" x14ac:dyDescent="0.55000000000000004">
      <c r="A26" s="29"/>
      <c r="B26" s="30"/>
      <c r="C26" s="30"/>
      <c r="F26" s="32"/>
      <c r="G26" s="32"/>
      <c r="H26" s="33"/>
      <c r="I26" s="33"/>
    </row>
    <row r="27" spans="1:9" x14ac:dyDescent="0.55000000000000004">
      <c r="A27" s="29"/>
      <c r="B27" s="30"/>
      <c r="C27" s="30"/>
      <c r="D27" s="31"/>
      <c r="E27" s="28"/>
      <c r="F27" s="32"/>
      <c r="G27" s="32"/>
      <c r="H27" s="33"/>
      <c r="I27" s="33"/>
    </row>
    <row r="28" spans="1:9" x14ac:dyDescent="0.55000000000000004">
      <c r="A28" s="29"/>
      <c r="B28" s="30"/>
      <c r="C28" s="30"/>
      <c r="D28" s="31"/>
      <c r="E28" s="28"/>
      <c r="F28" s="32"/>
      <c r="G28" s="32"/>
      <c r="H28" s="33"/>
      <c r="I28" s="33"/>
    </row>
    <row r="29" spans="1:9" x14ac:dyDescent="0.55000000000000004">
      <c r="A29" s="29"/>
      <c r="B29" s="30"/>
      <c r="C29" s="30"/>
      <c r="D29" s="31"/>
      <c r="E29" s="28"/>
      <c r="F29" s="32"/>
      <c r="G29" s="32"/>
      <c r="H29" s="33"/>
      <c r="I29" s="33"/>
    </row>
    <row r="30" spans="1:9" x14ac:dyDescent="0.55000000000000004">
      <c r="A30" s="29"/>
      <c r="B30" s="30"/>
      <c r="C30" s="30"/>
      <c r="D30" s="31"/>
      <c r="E30" s="28"/>
      <c r="F30" s="32"/>
      <c r="G30" s="32"/>
      <c r="H30" s="33"/>
      <c r="I30" s="33"/>
    </row>
    <row r="31" spans="1:9" x14ac:dyDescent="0.55000000000000004">
      <c r="A31" s="29"/>
      <c r="B31" s="30"/>
      <c r="C31" s="30"/>
      <c r="D31" s="31"/>
      <c r="E31" s="28"/>
      <c r="F31" s="32"/>
      <c r="G31" s="32"/>
      <c r="H31" s="33"/>
      <c r="I31" s="3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C2:C36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16"/>
  <sheetViews>
    <sheetView zoomScaleNormal="100" workbookViewId="0">
      <selection activeCell="J1" sqref="J1"/>
    </sheetView>
  </sheetViews>
  <sheetFormatPr defaultColWidth="8.7109375" defaultRowHeight="21.75" x14ac:dyDescent="0.55000000000000004"/>
  <cols>
    <col min="1" max="1" width="15.42578125" style="13" bestFit="1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36.140625" style="7" customWidth="1"/>
    <col min="6" max="6" width="16.28515625" style="8" customWidth="1"/>
    <col min="7" max="7" width="14.85546875" style="8" customWidth="1"/>
    <col min="8" max="8" width="16.85546875" style="9" customWidth="1"/>
    <col min="9" max="9" width="14.7109375" style="9" bestFit="1" customWidth="1"/>
    <col min="10" max="10" width="15.42578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50" t="s">
        <v>109</v>
      </c>
      <c r="K1" s="8"/>
    </row>
    <row r="2" spans="1:11" x14ac:dyDescent="0.55000000000000004">
      <c r="A2" s="18">
        <v>44378</v>
      </c>
      <c r="B2" s="16"/>
      <c r="C2" s="16" t="s">
        <v>5</v>
      </c>
      <c r="D2" s="1" t="s">
        <v>58</v>
      </c>
      <c r="E2" s="7" t="s">
        <v>5</v>
      </c>
      <c r="F2" s="50"/>
      <c r="G2" s="19"/>
      <c r="H2" s="17"/>
      <c r="I2" s="17">
        <f>KYINNLOON[[#This Row],[Opening]]+KYINNLOON[[#This Row],[Purchase]]-KYINNLOON[[#This Row],[Payment]]</f>
        <v>0</v>
      </c>
      <c r="J2" s="50">
        <f>KYINNLOON[Balance]</f>
        <v>0</v>
      </c>
    </row>
    <row r="3" spans="1:11" x14ac:dyDescent="0.55000000000000004">
      <c r="A3" s="18"/>
      <c r="B3" s="16"/>
      <c r="C3" s="16"/>
      <c r="E3" s="44"/>
      <c r="F3" s="19"/>
      <c r="G3" s="19"/>
      <c r="H3" s="17"/>
      <c r="I3" s="17"/>
    </row>
    <row r="4" spans="1:11" x14ac:dyDescent="0.55000000000000004">
      <c r="A4" s="47"/>
      <c r="B4" s="48"/>
      <c r="C4" s="48"/>
      <c r="E4" s="62"/>
      <c r="F4" s="50"/>
      <c r="G4" s="50"/>
      <c r="H4" s="51"/>
      <c r="I4" s="51"/>
    </row>
    <row r="5" spans="1:11" x14ac:dyDescent="0.55000000000000004">
      <c r="A5" s="59"/>
      <c r="B5" s="60"/>
      <c r="C5" s="60"/>
      <c r="D5" s="61"/>
      <c r="E5" s="62"/>
      <c r="F5" s="63"/>
      <c r="G5" s="63"/>
      <c r="H5" s="64"/>
      <c r="I5" s="64"/>
    </row>
    <row r="6" spans="1:11" x14ac:dyDescent="0.55000000000000004">
      <c r="A6" s="18"/>
      <c r="B6" s="16"/>
      <c r="C6" s="16"/>
      <c r="E6" s="44"/>
      <c r="F6" s="19"/>
      <c r="G6" s="19"/>
      <c r="H6" s="17"/>
      <c r="I6" s="17"/>
    </row>
    <row r="7" spans="1:11" x14ac:dyDescent="0.55000000000000004">
      <c r="A7" s="18"/>
      <c r="B7" s="16"/>
      <c r="C7" s="16"/>
      <c r="E7" s="44"/>
      <c r="F7" s="19"/>
      <c r="G7" s="19"/>
      <c r="H7" s="17"/>
      <c r="I7" s="17"/>
    </row>
    <row r="8" spans="1:11" x14ac:dyDescent="0.55000000000000004">
      <c r="A8" s="18"/>
      <c r="B8" s="16"/>
      <c r="C8" s="16"/>
      <c r="E8" s="44"/>
      <c r="F8" s="19"/>
      <c r="G8" s="19"/>
      <c r="H8" s="17"/>
      <c r="I8" s="17"/>
    </row>
    <row r="9" spans="1:11" x14ac:dyDescent="0.55000000000000004">
      <c r="A9" s="54"/>
      <c r="B9" s="55"/>
      <c r="C9" s="55"/>
      <c r="D9" s="52"/>
      <c r="E9" s="56"/>
      <c r="F9" s="53"/>
      <c r="G9" s="53"/>
      <c r="H9" s="57"/>
      <c r="I9" s="57"/>
    </row>
    <row r="10" spans="1:11" x14ac:dyDescent="0.55000000000000004">
      <c r="A10" s="18"/>
      <c r="B10" s="16"/>
      <c r="C10" s="16"/>
      <c r="E10" s="14"/>
      <c r="F10" s="19"/>
      <c r="G10" s="19"/>
      <c r="H10" s="17"/>
      <c r="I10" s="17"/>
    </row>
    <row r="11" spans="1:11" x14ac:dyDescent="0.55000000000000004">
      <c r="A11" s="18"/>
      <c r="B11" s="16"/>
      <c r="C11" s="16"/>
      <c r="E11" s="14"/>
      <c r="F11" s="19"/>
      <c r="G11" s="19"/>
      <c r="H11" s="17"/>
      <c r="I11" s="17"/>
    </row>
    <row r="12" spans="1:11" x14ac:dyDescent="0.55000000000000004">
      <c r="A12" s="18"/>
      <c r="B12" s="16"/>
      <c r="C12" s="16"/>
      <c r="E12" s="14"/>
      <c r="F12" s="19"/>
      <c r="G12" s="19"/>
      <c r="H12" s="17"/>
      <c r="I12" s="17"/>
    </row>
    <row r="13" spans="1:11" x14ac:dyDescent="0.55000000000000004">
      <c r="A13" s="18"/>
      <c r="B13" s="16"/>
      <c r="C13" s="16"/>
      <c r="E13" s="14"/>
      <c r="F13" s="19"/>
      <c r="G13" s="19"/>
      <c r="H13" s="17"/>
      <c r="I13" s="17"/>
    </row>
    <row r="14" spans="1:11" x14ac:dyDescent="0.55000000000000004">
      <c r="A14" s="54"/>
      <c r="B14" s="55"/>
      <c r="C14" s="55"/>
      <c r="D14" s="52"/>
      <c r="E14" s="56"/>
      <c r="F14" s="53"/>
      <c r="G14" s="53"/>
      <c r="H14" s="57"/>
      <c r="I14" s="17"/>
    </row>
    <row r="15" spans="1:11" x14ac:dyDescent="0.55000000000000004">
      <c r="C15" s="11"/>
    </row>
    <row r="16" spans="1:11" x14ac:dyDescent="0.55000000000000004">
      <c r="C16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6"/>
  <sheetViews>
    <sheetView zoomScaleNormal="100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28515625" style="1" customWidth="1"/>
    <col min="4" max="4" width="18.140625" style="1" customWidth="1"/>
    <col min="5" max="5" width="31.42578125" style="7" customWidth="1"/>
    <col min="6" max="6" width="17.5703125" style="8" bestFit="1" customWidth="1"/>
    <col min="7" max="7" width="18.42578125" style="8" customWidth="1"/>
    <col min="8" max="8" width="17" style="9" customWidth="1"/>
    <col min="9" max="10" width="18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50" t="s">
        <v>109</v>
      </c>
      <c r="K1" s="8"/>
    </row>
    <row r="2" spans="1:11" x14ac:dyDescent="0.55000000000000004">
      <c r="A2" s="18">
        <v>44378</v>
      </c>
      <c r="B2" s="16"/>
      <c r="C2" s="16" t="s">
        <v>5</v>
      </c>
      <c r="D2" s="1" t="s">
        <v>42</v>
      </c>
      <c r="E2" s="7" t="s">
        <v>5</v>
      </c>
      <c r="F2" s="19">
        <v>0</v>
      </c>
      <c r="G2" s="19"/>
      <c r="H2" s="17"/>
      <c r="I2" s="17">
        <f>MOB[[#This Row],[Opening]]+MOB[[#This Row],[Purchase]]-MOB[[#This Row],[Payment]]</f>
        <v>0</v>
      </c>
      <c r="J2" s="50">
        <f>MOB[Balance]</f>
        <v>0</v>
      </c>
    </row>
    <row r="3" spans="1:11" x14ac:dyDescent="0.55000000000000004">
      <c r="A3" s="18"/>
      <c r="B3" s="16"/>
      <c r="C3" s="16"/>
      <c r="E3" s="44"/>
      <c r="F3" s="19"/>
      <c r="G3" s="19"/>
      <c r="H3" s="17"/>
      <c r="I3" s="17"/>
    </row>
    <row r="4" spans="1:11" x14ac:dyDescent="0.55000000000000004">
      <c r="A4" s="59"/>
      <c r="B4" s="60"/>
      <c r="C4" s="60"/>
      <c r="E4" s="62"/>
      <c r="F4" s="63"/>
      <c r="G4" s="63"/>
      <c r="H4" s="64"/>
      <c r="I4" s="64"/>
    </row>
    <row r="5" spans="1:11" x14ac:dyDescent="0.55000000000000004">
      <c r="A5" s="59"/>
      <c r="B5" s="60"/>
      <c r="C5" s="60"/>
      <c r="E5" s="62"/>
      <c r="F5" s="63"/>
      <c r="G5" s="63"/>
      <c r="H5" s="64"/>
      <c r="I5" s="64"/>
    </row>
    <row r="6" spans="1:11" x14ac:dyDescent="0.55000000000000004">
      <c r="A6" s="59"/>
      <c r="B6" s="60"/>
      <c r="C6" s="60"/>
      <c r="E6" s="62"/>
      <c r="F6" s="63"/>
      <c r="G6" s="63"/>
      <c r="H6" s="64"/>
      <c r="I6" s="64"/>
    </row>
    <row r="7" spans="1:11" x14ac:dyDescent="0.55000000000000004">
      <c r="A7" s="59"/>
      <c r="B7" s="60"/>
      <c r="C7" s="60"/>
      <c r="D7" s="61"/>
      <c r="E7" s="62"/>
      <c r="F7" s="63"/>
      <c r="G7" s="63"/>
      <c r="H7" s="64"/>
      <c r="I7" s="64"/>
    </row>
    <row r="8" spans="1:11" x14ac:dyDescent="0.55000000000000004">
      <c r="A8" s="18"/>
      <c r="B8" s="16"/>
      <c r="C8" s="16"/>
      <c r="E8" s="44"/>
      <c r="F8" s="19"/>
      <c r="G8" s="19"/>
      <c r="H8" s="17"/>
      <c r="I8" s="17"/>
    </row>
    <row r="9" spans="1:11" x14ac:dyDescent="0.55000000000000004">
      <c r="A9" s="18"/>
      <c r="B9" s="16"/>
      <c r="C9" s="16"/>
      <c r="E9" s="44"/>
      <c r="F9" s="19"/>
      <c r="G9" s="19"/>
      <c r="H9" s="17"/>
      <c r="I9" s="17"/>
    </row>
    <row r="10" spans="1:11" x14ac:dyDescent="0.55000000000000004">
      <c r="A10" s="47"/>
      <c r="B10" s="48"/>
      <c r="C10" s="48"/>
      <c r="D10" s="49"/>
      <c r="E10" s="44"/>
      <c r="F10" s="50"/>
      <c r="G10" s="50"/>
      <c r="H10" s="51"/>
      <c r="I10" s="51"/>
    </row>
    <row r="11" spans="1:11" x14ac:dyDescent="0.55000000000000004">
      <c r="A11" s="18"/>
      <c r="B11" s="16"/>
      <c r="C11" s="16"/>
      <c r="E11" s="14"/>
      <c r="F11" s="19"/>
      <c r="G11" s="19"/>
      <c r="H11" s="17"/>
      <c r="I11" s="17"/>
    </row>
    <row r="12" spans="1:11" x14ac:dyDescent="0.55000000000000004">
      <c r="A12" s="18"/>
      <c r="B12" s="16"/>
      <c r="C12" s="16"/>
      <c r="E12" s="14"/>
      <c r="F12" s="19"/>
      <c r="G12" s="19"/>
      <c r="H12" s="17"/>
      <c r="I12" s="17"/>
    </row>
    <row r="13" spans="1:11" x14ac:dyDescent="0.55000000000000004">
      <c r="A13" s="18"/>
      <c r="B13" s="16"/>
      <c r="C13" s="16"/>
      <c r="E13" s="14"/>
      <c r="F13" s="19"/>
      <c r="G13" s="19"/>
      <c r="H13" s="17"/>
      <c r="I13" s="17"/>
    </row>
    <row r="14" spans="1:11" x14ac:dyDescent="0.55000000000000004">
      <c r="A14" s="18"/>
      <c r="B14" s="16"/>
      <c r="C14" s="16"/>
      <c r="E14" s="14"/>
      <c r="F14" s="19"/>
      <c r="G14" s="19"/>
      <c r="H14" s="17"/>
      <c r="I14" s="17"/>
    </row>
    <row r="15" spans="1:11" x14ac:dyDescent="0.55000000000000004">
      <c r="C15" s="11"/>
    </row>
    <row r="16" spans="1:11" x14ac:dyDescent="0.55000000000000004">
      <c r="C16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22"/>
  <sheetViews>
    <sheetView zoomScale="90" zoomScaleNormal="90" workbookViewId="0">
      <selection activeCell="J1" sqref="J1"/>
    </sheetView>
  </sheetViews>
  <sheetFormatPr defaultColWidth="8.7109375" defaultRowHeight="21.75" x14ac:dyDescent="0.55000000000000004"/>
  <cols>
    <col min="1" max="1" width="17.5703125" style="13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38.28515625" style="7" customWidth="1"/>
    <col min="6" max="6" width="15.28515625" style="8" customWidth="1"/>
    <col min="7" max="7" width="18.42578125" style="8" customWidth="1"/>
    <col min="8" max="8" width="17.42578125" style="9" customWidth="1"/>
    <col min="9" max="9" width="14.7109375" style="9" bestFit="1" customWidth="1"/>
    <col min="10" max="10" width="21.42578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50" t="s">
        <v>109</v>
      </c>
      <c r="K1" s="8"/>
    </row>
    <row r="2" spans="1:11" x14ac:dyDescent="0.55000000000000004">
      <c r="A2" s="18">
        <v>44378</v>
      </c>
      <c r="B2" s="16"/>
      <c r="C2" s="16" t="s">
        <v>5</v>
      </c>
      <c r="D2" s="1" t="s">
        <v>78</v>
      </c>
      <c r="E2" s="7" t="s">
        <v>5</v>
      </c>
      <c r="F2" s="19">
        <v>0</v>
      </c>
      <c r="G2" s="19"/>
      <c r="H2" s="17"/>
      <c r="I2" s="17">
        <f>MAYWD[[#This Row],[Opening]]+MAYWD[[#This Row],[Purchase]]-MAYWD[[#This Row],[Payment]]</f>
        <v>0</v>
      </c>
      <c r="J2" s="50">
        <f>MAYWD[Balance]</f>
        <v>0</v>
      </c>
    </row>
    <row r="3" spans="1:11" x14ac:dyDescent="0.55000000000000004">
      <c r="A3" s="100"/>
      <c r="B3" s="101"/>
      <c r="C3" s="101"/>
      <c r="E3" s="102"/>
      <c r="F3" s="103"/>
      <c r="G3" s="103"/>
      <c r="H3" s="104"/>
      <c r="I3" s="104"/>
    </row>
    <row r="4" spans="1:11" x14ac:dyDescent="0.55000000000000004">
      <c r="A4" s="59"/>
      <c r="B4" s="60"/>
      <c r="C4" s="60"/>
      <c r="E4" s="62"/>
      <c r="F4" s="63"/>
      <c r="G4" s="63"/>
      <c r="H4" s="64"/>
      <c r="I4" s="64"/>
    </row>
    <row r="5" spans="1:11" x14ac:dyDescent="0.55000000000000004">
      <c r="A5" s="18"/>
      <c r="B5" s="16"/>
      <c r="C5" s="16"/>
      <c r="E5" s="44"/>
      <c r="F5" s="19"/>
      <c r="G5" s="19"/>
      <c r="H5" s="17"/>
      <c r="I5" s="17"/>
    </row>
    <row r="6" spans="1:11" x14ac:dyDescent="0.55000000000000004">
      <c r="A6" s="47"/>
      <c r="B6" s="48"/>
      <c r="C6" s="48"/>
      <c r="E6" s="44"/>
      <c r="F6" s="50"/>
      <c r="G6" s="50"/>
      <c r="H6" s="51"/>
      <c r="I6" s="51"/>
    </row>
    <row r="7" spans="1:11" x14ac:dyDescent="0.55000000000000004">
      <c r="A7" s="59"/>
      <c r="B7" s="60"/>
      <c r="C7" s="60"/>
      <c r="E7" s="44"/>
      <c r="F7" s="63"/>
      <c r="G7" s="63"/>
      <c r="H7" s="64"/>
      <c r="I7" s="64"/>
    </row>
    <row r="8" spans="1:11" x14ac:dyDescent="0.55000000000000004">
      <c r="A8" s="59"/>
      <c r="B8" s="60"/>
      <c r="C8" s="60"/>
      <c r="E8" s="62"/>
      <c r="F8" s="63"/>
      <c r="G8" s="63"/>
      <c r="H8" s="64"/>
      <c r="I8" s="64"/>
    </row>
    <row r="9" spans="1:11" x14ac:dyDescent="0.55000000000000004">
      <c r="A9" s="59"/>
      <c r="B9" s="60"/>
      <c r="C9" s="60"/>
      <c r="D9" s="61"/>
      <c r="E9" s="62"/>
      <c r="F9" s="63"/>
      <c r="G9" s="63"/>
      <c r="H9" s="64"/>
      <c r="I9" s="64"/>
    </row>
    <row r="10" spans="1:11" x14ac:dyDescent="0.55000000000000004">
      <c r="A10" s="59"/>
      <c r="B10" s="60"/>
      <c r="C10" s="60"/>
      <c r="D10" s="61"/>
      <c r="E10" s="62"/>
      <c r="F10" s="63"/>
      <c r="G10" s="63"/>
      <c r="H10" s="64"/>
      <c r="I10" s="64"/>
    </row>
    <row r="11" spans="1:11" x14ac:dyDescent="0.55000000000000004">
      <c r="A11" s="18"/>
      <c r="B11" s="16"/>
      <c r="C11" s="16"/>
      <c r="E11" s="44"/>
      <c r="F11" s="19"/>
      <c r="G11" s="19"/>
      <c r="H11" s="17"/>
      <c r="I11" s="17"/>
    </row>
    <row r="12" spans="1:11" x14ac:dyDescent="0.55000000000000004">
      <c r="A12" s="18"/>
      <c r="B12" s="16"/>
      <c r="C12" s="16"/>
      <c r="E12" s="44"/>
      <c r="F12" s="19"/>
      <c r="G12" s="19"/>
      <c r="H12" s="17"/>
      <c r="I12" s="17"/>
    </row>
    <row r="13" spans="1:11" x14ac:dyDescent="0.55000000000000004">
      <c r="A13" s="18"/>
      <c r="B13" s="16"/>
      <c r="C13" s="16"/>
      <c r="F13" s="19"/>
      <c r="G13" s="19"/>
      <c r="H13" s="17"/>
      <c r="I13" s="17"/>
    </row>
    <row r="14" spans="1:11" x14ac:dyDescent="0.55000000000000004">
      <c r="A14" s="18"/>
      <c r="B14" s="16"/>
      <c r="C14" s="16"/>
      <c r="E14" s="44"/>
      <c r="F14" s="19"/>
      <c r="G14" s="19"/>
      <c r="H14" s="17"/>
      <c r="I14" s="17"/>
    </row>
    <row r="15" spans="1:11" x14ac:dyDescent="0.55000000000000004">
      <c r="A15" s="54"/>
      <c r="B15" s="55"/>
      <c r="C15" s="55"/>
      <c r="E15" s="56"/>
      <c r="F15" s="53"/>
      <c r="G15" s="53"/>
      <c r="H15" s="57"/>
      <c r="I15" s="57"/>
    </row>
    <row r="16" spans="1:11" x14ac:dyDescent="0.55000000000000004">
      <c r="A16" s="54"/>
      <c r="B16" s="55"/>
      <c r="C16" s="55"/>
      <c r="E16" s="56"/>
      <c r="F16" s="53"/>
      <c r="G16" s="53"/>
      <c r="H16" s="57"/>
      <c r="I16" s="57"/>
    </row>
    <row r="17" spans="1:9" x14ac:dyDescent="0.55000000000000004">
      <c r="A17" s="54"/>
      <c r="B17" s="55"/>
      <c r="C17" s="55"/>
      <c r="F17" s="53"/>
      <c r="G17" s="53"/>
      <c r="H17" s="57"/>
      <c r="I17" s="57"/>
    </row>
    <row r="18" spans="1:9" x14ac:dyDescent="0.55000000000000004">
      <c r="A18" s="54"/>
      <c r="B18" s="55"/>
      <c r="C18" s="55"/>
      <c r="D18" s="52"/>
      <c r="E18" s="56"/>
      <c r="F18" s="53"/>
      <c r="G18" s="53"/>
      <c r="H18" s="57"/>
      <c r="I18" s="57"/>
    </row>
    <row r="19" spans="1:9" x14ac:dyDescent="0.55000000000000004">
      <c r="A19" s="18"/>
      <c r="B19" s="16"/>
      <c r="C19" s="16"/>
      <c r="E19" s="14"/>
      <c r="F19" s="19"/>
      <c r="G19" s="19"/>
      <c r="H19" s="17"/>
      <c r="I19" s="17"/>
    </row>
    <row r="20" spans="1:9" x14ac:dyDescent="0.55000000000000004">
      <c r="A20" s="18"/>
      <c r="B20" s="16"/>
      <c r="C20" s="16"/>
      <c r="E20" s="14"/>
      <c r="F20" s="19"/>
      <c r="G20" s="19"/>
      <c r="H20" s="17"/>
      <c r="I20" s="17"/>
    </row>
    <row r="21" spans="1:9" x14ac:dyDescent="0.55000000000000004">
      <c r="C21" s="11"/>
    </row>
    <row r="22" spans="1:9" x14ac:dyDescent="0.55000000000000004">
      <c r="C22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3" width="12.28515625" style="1" customWidth="1"/>
    <col min="4" max="4" width="24.42578125" style="1" bestFit="1" customWidth="1"/>
    <col min="5" max="5" width="23.28515625" style="7" customWidth="1"/>
    <col min="6" max="6" width="17.5703125" style="8" bestFit="1" customWidth="1"/>
    <col min="7" max="7" width="18.42578125" style="8" customWidth="1"/>
    <col min="8" max="8" width="15.28515625" style="9" customWidth="1"/>
    <col min="9" max="9" width="17.140625" style="9" customWidth="1"/>
    <col min="10" max="10" width="15.5703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50" t="s">
        <v>109</v>
      </c>
      <c r="K1" s="8"/>
    </row>
    <row r="2" spans="1:11" x14ac:dyDescent="0.55000000000000004">
      <c r="A2" s="18">
        <v>44378</v>
      </c>
      <c r="B2" s="15"/>
      <c r="C2" s="16" t="s">
        <v>5</v>
      </c>
      <c r="D2" s="1" t="s">
        <v>44</v>
      </c>
      <c r="E2" s="7" t="s">
        <v>5</v>
      </c>
      <c r="F2" s="19">
        <v>2208992</v>
      </c>
      <c r="G2" s="19"/>
      <c r="H2" s="17"/>
      <c r="I2" s="17">
        <f>MDYSP[[#This Row],[Opening]]+MDYSP[[#This Row],[Purchase]]-MDYSP[[#This Row],[Payment]]</f>
        <v>2208992</v>
      </c>
      <c r="J2" s="50">
        <f>MDYSP[Balance]</f>
        <v>2208992</v>
      </c>
    </row>
    <row r="3" spans="1:11" x14ac:dyDescent="0.55000000000000004">
      <c r="A3" s="59"/>
      <c r="B3" s="80"/>
      <c r="C3" s="60"/>
      <c r="D3" s="61"/>
      <c r="E3" s="62"/>
      <c r="F3" s="63"/>
      <c r="G3" s="63"/>
      <c r="H3" s="64"/>
      <c r="I3" s="64"/>
    </row>
    <row r="4" spans="1:11" x14ac:dyDescent="0.55000000000000004">
      <c r="A4" s="18"/>
      <c r="B4" s="15"/>
      <c r="C4" s="16"/>
      <c r="E4" s="14"/>
      <c r="F4" s="19"/>
      <c r="G4" s="19"/>
      <c r="H4" s="17"/>
      <c r="I4" s="17"/>
    </row>
    <row r="5" spans="1:11" x14ac:dyDescent="0.55000000000000004">
      <c r="A5" s="18"/>
      <c r="B5" s="15"/>
      <c r="C5" s="16"/>
      <c r="E5" s="14"/>
      <c r="F5" s="19"/>
      <c r="G5" s="19"/>
      <c r="H5" s="17"/>
      <c r="I5" s="17"/>
    </row>
    <row r="6" spans="1:11" x14ac:dyDescent="0.55000000000000004">
      <c r="A6" s="18"/>
      <c r="B6" s="15"/>
      <c r="C6" s="16"/>
      <c r="E6" s="14"/>
      <c r="F6" s="19"/>
      <c r="G6" s="19"/>
      <c r="H6" s="17"/>
      <c r="I6" s="17"/>
    </row>
    <row r="7" spans="1:11" x14ac:dyDescent="0.55000000000000004">
      <c r="A7" s="18"/>
      <c r="B7" s="15"/>
      <c r="C7" s="16"/>
      <c r="E7" s="14"/>
      <c r="F7" s="19"/>
      <c r="G7" s="19"/>
      <c r="H7" s="17"/>
      <c r="I7" s="17"/>
    </row>
    <row r="8" spans="1:11" x14ac:dyDescent="0.55000000000000004">
      <c r="A8" s="18"/>
      <c r="B8" s="15"/>
      <c r="C8" s="16"/>
      <c r="E8" s="14"/>
      <c r="F8" s="19"/>
      <c r="G8" s="19"/>
      <c r="H8" s="17"/>
      <c r="I8" s="17"/>
    </row>
    <row r="9" spans="1:11" x14ac:dyDescent="0.55000000000000004">
      <c r="A9" s="18"/>
      <c r="B9" s="15"/>
      <c r="C9" s="16"/>
      <c r="E9" s="14"/>
      <c r="F9" s="19"/>
      <c r="G9" s="19"/>
      <c r="H9" s="17"/>
      <c r="I9" s="17"/>
    </row>
    <row r="10" spans="1:11" x14ac:dyDescent="0.55000000000000004">
      <c r="C10" s="11"/>
    </row>
    <row r="11" spans="1:11" x14ac:dyDescent="0.55000000000000004">
      <c r="C11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C2:C23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31"/>
  <sheetViews>
    <sheetView zoomScaleNormal="100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3.42578125" style="1" customWidth="1"/>
    <col min="4" max="4" width="18.28515625" style="1" customWidth="1"/>
    <col min="5" max="5" width="35.5703125" style="7" customWidth="1"/>
    <col min="6" max="6" width="17.5703125" style="8" bestFit="1" customWidth="1"/>
    <col min="7" max="7" width="18.42578125" style="8" customWidth="1"/>
    <col min="8" max="8" width="15.85546875" style="9" customWidth="1"/>
    <col min="9" max="9" width="14.7109375" style="9" bestFit="1" customWidth="1"/>
    <col min="10" max="10" width="1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50" t="s">
        <v>109</v>
      </c>
      <c r="K1" s="8"/>
    </row>
    <row r="2" spans="1:11" x14ac:dyDescent="0.55000000000000004">
      <c r="A2" s="18">
        <v>44378</v>
      </c>
      <c r="B2" s="16"/>
      <c r="C2" s="16" t="s">
        <v>5</v>
      </c>
      <c r="D2" s="1" t="s">
        <v>79</v>
      </c>
      <c r="E2" s="7" t="s">
        <v>5</v>
      </c>
      <c r="F2" s="19">
        <v>837010</v>
      </c>
      <c r="G2" s="19"/>
      <c r="H2" s="17"/>
      <c r="I2" s="17">
        <f>MTAY[[#This Row],[Opening]]+MTAY[[#This Row],[Purchase]]-MTAY[[#This Row],[Payment]]</f>
        <v>837010</v>
      </c>
      <c r="J2" s="50">
        <f>MTAY[Balance]</f>
        <v>837010</v>
      </c>
    </row>
    <row r="3" spans="1:11" x14ac:dyDescent="0.55000000000000004">
      <c r="A3" s="59"/>
      <c r="B3" s="60"/>
      <c r="C3" s="60"/>
      <c r="E3" s="44"/>
      <c r="F3" s="63"/>
      <c r="G3" s="63"/>
      <c r="H3" s="64"/>
      <c r="I3" s="64"/>
    </row>
    <row r="4" spans="1:11" x14ac:dyDescent="0.55000000000000004">
      <c r="A4" s="100"/>
      <c r="B4" s="101"/>
      <c r="C4" s="101"/>
      <c r="E4" s="106"/>
      <c r="F4" s="103"/>
      <c r="G4" s="103"/>
      <c r="H4" s="103"/>
      <c r="I4" s="104"/>
    </row>
    <row r="5" spans="1:11" x14ac:dyDescent="0.55000000000000004">
      <c r="A5" s="100"/>
      <c r="B5" s="101"/>
      <c r="C5" s="101"/>
      <c r="E5" s="106"/>
      <c r="F5" s="103"/>
      <c r="G5" s="103"/>
      <c r="H5" s="103"/>
      <c r="I5" s="104"/>
    </row>
    <row r="6" spans="1:11" x14ac:dyDescent="0.55000000000000004">
      <c r="A6" s="100"/>
      <c r="B6" s="101"/>
      <c r="C6" s="101"/>
      <c r="E6" s="106"/>
      <c r="F6" s="103"/>
      <c r="G6" s="103"/>
      <c r="H6" s="104"/>
      <c r="I6" s="104"/>
    </row>
    <row r="7" spans="1:11" x14ac:dyDescent="0.55000000000000004">
      <c r="A7" s="100"/>
      <c r="B7" s="101"/>
      <c r="C7" s="101"/>
      <c r="E7" s="106"/>
      <c r="F7" s="103"/>
      <c r="G7" s="103"/>
      <c r="H7" s="104"/>
      <c r="I7" s="104"/>
    </row>
    <row r="8" spans="1:11" x14ac:dyDescent="0.55000000000000004">
      <c r="A8" s="100"/>
      <c r="B8" s="101"/>
      <c r="C8" s="101"/>
      <c r="E8" s="106"/>
      <c r="F8" s="103"/>
      <c r="G8" s="103"/>
      <c r="H8" s="104"/>
      <c r="I8" s="104"/>
    </row>
    <row r="9" spans="1:11" x14ac:dyDescent="0.55000000000000004">
      <c r="A9" s="100"/>
      <c r="B9" s="101"/>
      <c r="C9" s="101"/>
      <c r="D9" s="105"/>
      <c r="E9" s="106"/>
      <c r="F9" s="103"/>
      <c r="G9" s="103"/>
      <c r="H9" s="104"/>
      <c r="I9" s="104"/>
    </row>
    <row r="10" spans="1:11" x14ac:dyDescent="0.55000000000000004">
      <c r="A10" s="18"/>
      <c r="B10" s="16"/>
      <c r="C10" s="16"/>
      <c r="E10" s="44"/>
      <c r="F10" s="19"/>
      <c r="G10" s="19"/>
      <c r="H10" s="17"/>
      <c r="I10" s="17"/>
    </row>
    <row r="11" spans="1:11" x14ac:dyDescent="0.55000000000000004">
      <c r="A11" s="59"/>
      <c r="B11" s="60"/>
      <c r="C11" s="16"/>
      <c r="E11" s="44"/>
      <c r="F11" s="63"/>
      <c r="G11" s="63"/>
      <c r="H11" s="64"/>
      <c r="I11" s="64"/>
    </row>
    <row r="12" spans="1:11" x14ac:dyDescent="0.55000000000000004">
      <c r="A12" s="59"/>
      <c r="B12" s="60"/>
      <c r="C12" s="60"/>
      <c r="E12" s="62"/>
      <c r="F12" s="63"/>
      <c r="G12" s="63"/>
      <c r="H12" s="64"/>
      <c r="I12" s="64"/>
    </row>
    <row r="13" spans="1:11" x14ac:dyDescent="0.55000000000000004">
      <c r="A13" s="59"/>
      <c r="B13" s="60"/>
      <c r="C13" s="60"/>
      <c r="E13" s="44"/>
      <c r="F13" s="63"/>
      <c r="G13" s="63"/>
      <c r="H13" s="64"/>
      <c r="I13" s="64"/>
    </row>
    <row r="14" spans="1:11" x14ac:dyDescent="0.55000000000000004">
      <c r="A14" s="59"/>
      <c r="B14" s="60"/>
      <c r="C14" s="60"/>
      <c r="E14" s="44"/>
      <c r="F14" s="63"/>
      <c r="G14" s="63"/>
      <c r="H14" s="64"/>
      <c r="I14" s="64"/>
    </row>
    <row r="15" spans="1:11" x14ac:dyDescent="0.55000000000000004">
      <c r="A15" s="59"/>
      <c r="B15" s="60"/>
      <c r="C15" s="60"/>
      <c r="E15" s="62"/>
      <c r="F15" s="63"/>
      <c r="G15" s="63"/>
      <c r="H15" s="64"/>
      <c r="I15" s="64"/>
    </row>
    <row r="16" spans="1:11" x14ac:dyDescent="0.55000000000000004">
      <c r="A16" s="59"/>
      <c r="B16" s="60"/>
      <c r="C16" s="60"/>
      <c r="E16" s="44"/>
      <c r="F16" s="63"/>
      <c r="G16" s="63"/>
      <c r="H16" s="64"/>
      <c r="I16" s="64"/>
    </row>
    <row r="17" spans="1:9" x14ac:dyDescent="0.55000000000000004">
      <c r="A17" s="59"/>
      <c r="B17" s="60"/>
      <c r="C17" s="60"/>
      <c r="E17" s="62"/>
      <c r="F17" s="63"/>
      <c r="G17" s="63"/>
      <c r="H17" s="64"/>
      <c r="I17" s="64"/>
    </row>
    <row r="18" spans="1:9" x14ac:dyDescent="0.55000000000000004">
      <c r="A18" s="59"/>
      <c r="B18" s="60"/>
      <c r="C18" s="60"/>
      <c r="D18" s="61"/>
      <c r="E18" s="62"/>
      <c r="F18" s="63"/>
      <c r="G18" s="63"/>
      <c r="H18" s="64"/>
      <c r="I18" s="64"/>
    </row>
    <row r="19" spans="1:9" x14ac:dyDescent="0.55000000000000004">
      <c r="A19" s="59"/>
      <c r="B19" s="60"/>
      <c r="C19" s="60"/>
      <c r="D19" s="61"/>
      <c r="E19" s="62"/>
      <c r="F19" s="63"/>
      <c r="G19" s="63"/>
      <c r="H19" s="64"/>
      <c r="I19" s="64"/>
    </row>
    <row r="20" spans="1:9" x14ac:dyDescent="0.55000000000000004">
      <c r="A20" s="18"/>
      <c r="B20" s="16"/>
      <c r="C20" s="16"/>
      <c r="E20" s="44"/>
      <c r="F20" s="19"/>
      <c r="G20" s="19"/>
      <c r="H20" s="17"/>
      <c r="I20" s="17"/>
    </row>
    <row r="21" spans="1:9" x14ac:dyDescent="0.55000000000000004">
      <c r="A21" s="54"/>
      <c r="B21" s="55"/>
      <c r="C21" s="55"/>
      <c r="E21" s="56"/>
      <c r="F21" s="53"/>
      <c r="G21" s="53"/>
      <c r="H21" s="57"/>
      <c r="I21" s="57"/>
    </row>
    <row r="22" spans="1:9" x14ac:dyDescent="0.55000000000000004">
      <c r="A22" s="54"/>
      <c r="B22" s="55"/>
      <c r="C22" s="55"/>
      <c r="E22" s="44"/>
      <c r="F22" s="53"/>
      <c r="G22" s="53"/>
      <c r="H22" s="57"/>
      <c r="I22" s="57"/>
    </row>
    <row r="23" spans="1:9" x14ac:dyDescent="0.55000000000000004">
      <c r="A23" s="54"/>
      <c r="B23" s="55"/>
      <c r="C23" s="55"/>
      <c r="E23" s="56"/>
      <c r="F23" s="53"/>
      <c r="G23" s="53"/>
      <c r="H23" s="57"/>
      <c r="I23" s="57"/>
    </row>
    <row r="24" spans="1:9" x14ac:dyDescent="0.55000000000000004">
      <c r="A24" s="54"/>
      <c r="B24" s="55"/>
      <c r="C24" s="55"/>
      <c r="E24" s="56"/>
      <c r="F24" s="53"/>
      <c r="G24" s="53"/>
      <c r="H24" s="57"/>
      <c r="I24" s="57"/>
    </row>
    <row r="25" spans="1:9" x14ac:dyDescent="0.55000000000000004">
      <c r="A25" s="54"/>
      <c r="B25" s="55"/>
      <c r="C25" s="55"/>
      <c r="D25" s="52"/>
      <c r="E25" s="56"/>
      <c r="F25" s="53"/>
      <c r="G25" s="53"/>
      <c r="H25" s="57"/>
      <c r="I25" s="57"/>
    </row>
    <row r="26" spans="1:9" x14ac:dyDescent="0.55000000000000004">
      <c r="A26" s="18"/>
      <c r="B26" s="16"/>
      <c r="C26" s="16"/>
      <c r="F26" s="19"/>
      <c r="G26" s="19"/>
      <c r="H26" s="17"/>
      <c r="I26" s="17"/>
    </row>
    <row r="27" spans="1:9" x14ac:dyDescent="0.55000000000000004">
      <c r="A27" s="18"/>
      <c r="B27" s="16"/>
      <c r="C27" s="16"/>
      <c r="F27" s="19"/>
      <c r="G27" s="19"/>
      <c r="H27" s="17"/>
      <c r="I27" s="17"/>
    </row>
    <row r="28" spans="1:9" x14ac:dyDescent="0.55000000000000004">
      <c r="A28" s="18"/>
      <c r="B28" s="16"/>
      <c r="C28" s="16"/>
      <c r="E28" s="14"/>
      <c r="F28" s="19"/>
      <c r="G28" s="19"/>
      <c r="H28" s="17"/>
      <c r="I28" s="17"/>
    </row>
    <row r="29" spans="1:9" x14ac:dyDescent="0.55000000000000004">
      <c r="A29" s="18"/>
      <c r="B29" s="16"/>
      <c r="C29" s="16"/>
      <c r="E29" s="14"/>
      <c r="F29" s="19"/>
      <c r="G29" s="19"/>
      <c r="H29" s="17"/>
      <c r="I29" s="17"/>
    </row>
    <row r="30" spans="1:9" x14ac:dyDescent="0.55000000000000004">
      <c r="C30" s="11"/>
    </row>
    <row r="31" spans="1:9" x14ac:dyDescent="0.55000000000000004">
      <c r="C31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C2:C35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17"/>
  <sheetViews>
    <sheetView zoomScaleNormal="100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74" customWidth="1"/>
    <col min="3" max="3" width="12.28515625" style="1" customWidth="1"/>
    <col min="4" max="4" width="24.42578125" style="1" bestFit="1" customWidth="1"/>
    <col min="5" max="5" width="35.140625" style="7" customWidth="1"/>
    <col min="6" max="6" width="17.5703125" style="8" bestFit="1" customWidth="1"/>
    <col min="7" max="7" width="18.42578125" style="8" customWidth="1"/>
    <col min="8" max="8" width="15.140625" style="9" customWidth="1"/>
    <col min="9" max="9" width="14.7109375" style="9" bestFit="1" customWidth="1"/>
    <col min="10" max="10" width="15.71093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50" t="s">
        <v>109</v>
      </c>
      <c r="K1" s="8"/>
    </row>
    <row r="2" spans="1:11" x14ac:dyDescent="0.55000000000000004">
      <c r="A2" s="18">
        <v>44378</v>
      </c>
      <c r="B2" s="58"/>
      <c r="C2" s="16" t="s">
        <v>5</v>
      </c>
      <c r="D2" s="1" t="s">
        <v>80</v>
      </c>
      <c r="E2" s="7" t="s">
        <v>5</v>
      </c>
      <c r="F2" s="19">
        <v>188580</v>
      </c>
      <c r="G2" s="19"/>
      <c r="H2" s="17"/>
      <c r="I2" s="17">
        <f>NASA[[#This Row],[Opening]]+NASA[[#This Row],[Purchase]]-NASA[[#This Row],[Payment]]</f>
        <v>188580</v>
      </c>
      <c r="J2" s="50">
        <f>NASA[Balance]</f>
        <v>188580</v>
      </c>
    </row>
    <row r="3" spans="1:11" x14ac:dyDescent="0.55000000000000004">
      <c r="A3" s="47"/>
      <c r="B3" s="66"/>
      <c r="C3" s="60"/>
      <c r="E3" s="44"/>
      <c r="F3" s="50"/>
      <c r="G3" s="50"/>
      <c r="H3" s="51"/>
      <c r="I3" s="51"/>
    </row>
    <row r="4" spans="1:11" x14ac:dyDescent="0.55000000000000004">
      <c r="A4" s="100"/>
      <c r="B4" s="108"/>
      <c r="C4" s="101"/>
      <c r="E4" s="102"/>
      <c r="F4" s="103"/>
      <c r="G4" s="103"/>
      <c r="H4" s="103"/>
      <c r="I4" s="104"/>
    </row>
    <row r="5" spans="1:11" x14ac:dyDescent="0.55000000000000004">
      <c r="A5" s="100"/>
      <c r="B5" s="108"/>
      <c r="C5" s="101"/>
      <c r="D5" s="105"/>
      <c r="E5" s="102"/>
      <c r="F5" s="103"/>
      <c r="G5" s="103"/>
      <c r="H5" s="104"/>
      <c r="I5" s="104"/>
    </row>
    <row r="6" spans="1:11" x14ac:dyDescent="0.55000000000000004">
      <c r="A6" s="18"/>
      <c r="B6" s="58"/>
      <c r="C6" s="16"/>
      <c r="E6" s="44"/>
      <c r="F6" s="19"/>
      <c r="G6" s="19"/>
      <c r="H6" s="17"/>
      <c r="I6" s="17"/>
    </row>
    <row r="7" spans="1:11" x14ac:dyDescent="0.55000000000000004">
      <c r="A7" s="59"/>
      <c r="B7" s="73"/>
      <c r="C7" s="60"/>
      <c r="E7" s="44"/>
      <c r="F7" s="63"/>
      <c r="G7" s="63"/>
      <c r="H7" s="64"/>
      <c r="I7" s="64"/>
    </row>
    <row r="8" spans="1:11" x14ac:dyDescent="0.55000000000000004">
      <c r="A8" s="47"/>
      <c r="B8" s="66"/>
      <c r="C8" s="48"/>
      <c r="E8" s="44"/>
      <c r="F8" s="50"/>
      <c r="G8" s="51"/>
      <c r="H8" s="51"/>
      <c r="I8" s="51"/>
    </row>
    <row r="9" spans="1:11" x14ac:dyDescent="0.55000000000000004">
      <c r="A9" s="47"/>
      <c r="B9" s="66"/>
      <c r="C9" s="48"/>
      <c r="D9" s="49"/>
      <c r="E9" s="44"/>
      <c r="F9" s="50"/>
      <c r="G9" s="50"/>
      <c r="H9" s="51"/>
      <c r="I9" s="51"/>
    </row>
    <row r="10" spans="1:11" x14ac:dyDescent="0.55000000000000004">
      <c r="A10" s="18"/>
      <c r="B10" s="58"/>
      <c r="C10" s="16"/>
      <c r="E10" s="14"/>
      <c r="F10" s="19"/>
      <c r="G10" s="19"/>
      <c r="H10" s="17"/>
      <c r="I10" s="17"/>
    </row>
    <row r="11" spans="1:11" x14ac:dyDescent="0.55000000000000004">
      <c r="A11" s="18"/>
      <c r="B11" s="58"/>
      <c r="C11" s="16"/>
      <c r="E11" s="14"/>
      <c r="F11" s="19"/>
      <c r="G11" s="19"/>
      <c r="H11" s="17"/>
      <c r="I11" s="17"/>
    </row>
    <row r="12" spans="1:11" x14ac:dyDescent="0.55000000000000004">
      <c r="A12" s="18"/>
      <c r="B12" s="58"/>
      <c r="C12" s="16"/>
      <c r="E12" s="14"/>
      <c r="F12" s="19"/>
      <c r="G12" s="19"/>
      <c r="H12" s="17"/>
      <c r="I12" s="17"/>
    </row>
    <row r="13" spans="1:11" x14ac:dyDescent="0.55000000000000004">
      <c r="A13" s="18"/>
      <c r="B13" s="58"/>
      <c r="C13" s="16"/>
      <c r="E13" s="14"/>
      <c r="F13" s="19"/>
      <c r="G13" s="19"/>
      <c r="H13" s="17"/>
      <c r="I13" s="17"/>
    </row>
    <row r="14" spans="1:11" x14ac:dyDescent="0.55000000000000004">
      <c r="A14" s="18"/>
      <c r="B14" s="58"/>
      <c r="C14" s="16"/>
      <c r="E14" s="14"/>
      <c r="F14" s="19"/>
      <c r="G14" s="19"/>
      <c r="H14" s="17"/>
      <c r="I14" s="17"/>
    </row>
    <row r="15" spans="1:11" x14ac:dyDescent="0.55000000000000004">
      <c r="A15" s="18"/>
      <c r="B15" s="58"/>
      <c r="C15" s="16"/>
      <c r="E15" s="14"/>
      <c r="F15" s="19"/>
      <c r="G15" s="19"/>
      <c r="H15" s="17"/>
      <c r="I15" s="17"/>
    </row>
    <row r="16" spans="1:11" x14ac:dyDescent="0.55000000000000004">
      <c r="C16" s="11"/>
    </row>
    <row r="17" spans="3:3" x14ac:dyDescent="0.55000000000000004">
      <c r="C17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49"/>
  <sheetViews>
    <sheetView zoomScaleNormal="100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33.5703125" style="7" customWidth="1"/>
    <col min="6" max="6" width="17.5703125" style="8" bestFit="1" customWidth="1"/>
    <col min="7" max="7" width="18.42578125" style="8" customWidth="1"/>
    <col min="8" max="8" width="16.85546875" style="9" customWidth="1"/>
    <col min="9" max="9" width="14.7109375" style="9" bestFit="1" customWidth="1"/>
    <col min="10" max="10" width="14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50" t="s">
        <v>109</v>
      </c>
      <c r="K1" s="8"/>
    </row>
    <row r="2" spans="1:11" x14ac:dyDescent="0.55000000000000004">
      <c r="A2" s="18">
        <v>44378</v>
      </c>
      <c r="B2" s="16"/>
      <c r="C2" s="16" t="s">
        <v>5</v>
      </c>
      <c r="D2" s="1" t="s">
        <v>48</v>
      </c>
      <c r="E2" s="7" t="s">
        <v>5</v>
      </c>
      <c r="F2" s="19">
        <v>1215000</v>
      </c>
      <c r="G2" s="19"/>
      <c r="H2" s="17"/>
      <c r="I2" s="17">
        <f>STL[[#This Row],[Opening]]+STL[[#This Row],[Purchase]]-STL[[#This Row],[Payment]]</f>
        <v>1215000</v>
      </c>
      <c r="J2" s="50">
        <f>STL[[#This Row],[Balance]]</f>
        <v>1215000</v>
      </c>
    </row>
    <row r="3" spans="1:11" x14ac:dyDescent="0.55000000000000004">
      <c r="A3" s="18">
        <v>44378</v>
      </c>
      <c r="B3" s="16">
        <v>70002</v>
      </c>
      <c r="C3" s="16" t="s">
        <v>6</v>
      </c>
      <c r="D3" s="1" t="s">
        <v>48</v>
      </c>
      <c r="E3" s="44" t="s">
        <v>97</v>
      </c>
      <c r="F3" s="19"/>
      <c r="G3" s="19">
        <v>160000</v>
      </c>
      <c r="H3" s="17"/>
      <c r="I3" s="17">
        <f>STL[[#This Row],[Opening]]+STL[[#This Row],[Purchase]]-STL[[#This Row],[Payment]]</f>
        <v>160000</v>
      </c>
      <c r="J3" s="50">
        <f>J2+STL[[#This Row],[Purchase]]-STL[[#This Row],[Payment]]</f>
        <v>1375000</v>
      </c>
    </row>
    <row r="4" spans="1:11" x14ac:dyDescent="0.55000000000000004">
      <c r="A4" s="109">
        <v>44376</v>
      </c>
      <c r="B4" s="110">
        <v>60542</v>
      </c>
      <c r="C4" s="110" t="s">
        <v>6</v>
      </c>
      <c r="D4" s="1" t="s">
        <v>48</v>
      </c>
      <c r="E4" s="112" t="s">
        <v>98</v>
      </c>
      <c r="F4" s="113"/>
      <c r="G4" s="113">
        <v>35000</v>
      </c>
      <c r="H4" s="114"/>
      <c r="I4" s="114">
        <f>STL[[#This Row],[Opening]]+STL[[#This Row],[Purchase]]-STL[[#This Row],[Payment]]</f>
        <v>35000</v>
      </c>
      <c r="J4" s="50">
        <f>J3+STL[[#This Row],[Purchase]]-STL[[#This Row],[Payment]]</f>
        <v>1410000</v>
      </c>
    </row>
    <row r="5" spans="1:11" x14ac:dyDescent="0.55000000000000004">
      <c r="A5" s="109">
        <v>44376</v>
      </c>
      <c r="B5" s="110">
        <v>60073</v>
      </c>
      <c r="C5" s="110" t="s">
        <v>6</v>
      </c>
      <c r="D5" s="1" t="s">
        <v>48</v>
      </c>
      <c r="E5" s="112" t="s">
        <v>99</v>
      </c>
      <c r="F5" s="113"/>
      <c r="G5" s="113">
        <v>8000</v>
      </c>
      <c r="H5" s="114"/>
      <c r="I5" s="114">
        <f>STL[[#This Row],[Opening]]+STL[[#This Row],[Purchase]]-STL[[#This Row],[Payment]]</f>
        <v>8000</v>
      </c>
      <c r="J5" s="50">
        <f>J4+STL[[#This Row],[Purchase]]-STL[[#This Row],[Payment]]</f>
        <v>1418000</v>
      </c>
    </row>
    <row r="6" spans="1:11" x14ac:dyDescent="0.55000000000000004">
      <c r="A6" s="109">
        <v>44406</v>
      </c>
      <c r="B6" s="110">
        <v>60540</v>
      </c>
      <c r="C6" s="110" t="s">
        <v>6</v>
      </c>
      <c r="D6" s="1" t="s">
        <v>48</v>
      </c>
      <c r="E6" s="112" t="s">
        <v>100</v>
      </c>
      <c r="F6" s="113"/>
      <c r="G6" s="113">
        <v>310000</v>
      </c>
      <c r="H6" s="114"/>
      <c r="I6" s="114">
        <f>STL[[#This Row],[Opening]]+STL[[#This Row],[Purchase]]-STL[[#This Row],[Payment]]</f>
        <v>310000</v>
      </c>
      <c r="J6" s="50">
        <f>J5+STL[[#This Row],[Purchase]]-STL[[#This Row],[Payment]]</f>
        <v>1728000</v>
      </c>
    </row>
    <row r="7" spans="1:11" x14ac:dyDescent="0.55000000000000004">
      <c r="A7" s="109">
        <v>44382</v>
      </c>
      <c r="B7" s="110">
        <v>70018</v>
      </c>
      <c r="C7" s="110" t="s">
        <v>6</v>
      </c>
      <c r="D7" s="1" t="s">
        <v>48</v>
      </c>
      <c r="E7" s="112" t="s">
        <v>106</v>
      </c>
      <c r="F7" s="113"/>
      <c r="G7" s="113">
        <v>614500</v>
      </c>
      <c r="H7" s="114"/>
      <c r="I7" s="114">
        <f>STL[[#This Row],[Opening]]+STL[[#This Row],[Purchase]]-STL[[#This Row],[Payment]]</f>
        <v>614500</v>
      </c>
      <c r="J7" s="50">
        <f>J6+STL[[#This Row],[Purchase]]-STL[[#This Row],[Payment]]</f>
        <v>2342500</v>
      </c>
    </row>
    <row r="8" spans="1:11" x14ac:dyDescent="0.55000000000000004">
      <c r="A8" s="109">
        <v>44382</v>
      </c>
      <c r="B8" s="110">
        <v>1234</v>
      </c>
      <c r="C8" s="110" t="s">
        <v>7</v>
      </c>
      <c r="D8" s="1" t="s">
        <v>48</v>
      </c>
      <c r="E8" s="112" t="s">
        <v>84</v>
      </c>
      <c r="F8" s="113"/>
      <c r="G8" s="113"/>
      <c r="H8" s="114">
        <v>1000000</v>
      </c>
      <c r="I8" s="114">
        <f>STL[[#This Row],[Opening]]+STL[[#This Row],[Purchase]]-STL[[#This Row],[Payment]]</f>
        <v>-1000000</v>
      </c>
      <c r="J8" s="50">
        <f>J7+STL[[#This Row],[Purchase]]-STL[[#This Row],[Payment]]</f>
        <v>1342500</v>
      </c>
    </row>
    <row r="9" spans="1:11" x14ac:dyDescent="0.55000000000000004">
      <c r="A9" s="109"/>
      <c r="B9" s="110"/>
      <c r="C9" s="110"/>
      <c r="D9" s="111"/>
      <c r="E9" s="112"/>
      <c r="F9" s="113"/>
      <c r="G9" s="113"/>
      <c r="H9" s="114"/>
      <c r="I9" s="114"/>
    </row>
    <row r="10" spans="1:11" x14ac:dyDescent="0.55000000000000004">
      <c r="A10" s="100"/>
      <c r="B10" s="101"/>
      <c r="C10" s="101"/>
      <c r="E10" s="102"/>
      <c r="F10" s="103"/>
      <c r="G10" s="103"/>
      <c r="H10" s="104"/>
      <c r="I10" s="104"/>
    </row>
    <row r="11" spans="1:11" x14ac:dyDescent="0.55000000000000004">
      <c r="A11" s="100"/>
      <c r="B11" s="101"/>
      <c r="C11" s="101"/>
      <c r="E11" s="102"/>
      <c r="F11" s="103"/>
      <c r="G11" s="103"/>
      <c r="H11" s="104"/>
      <c r="I11" s="104"/>
    </row>
    <row r="12" spans="1:11" x14ac:dyDescent="0.55000000000000004">
      <c r="A12" s="100"/>
      <c r="B12" s="101"/>
      <c r="C12" s="101"/>
      <c r="E12" s="102"/>
      <c r="F12" s="103"/>
      <c r="G12" s="103"/>
      <c r="H12" s="104"/>
      <c r="I12" s="104"/>
    </row>
    <row r="13" spans="1:11" x14ac:dyDescent="0.55000000000000004">
      <c r="A13" s="100"/>
      <c r="B13" s="101"/>
      <c r="C13" s="101"/>
      <c r="E13" s="102"/>
      <c r="F13" s="103"/>
      <c r="G13" s="103"/>
      <c r="H13" s="104"/>
      <c r="I13" s="104"/>
    </row>
    <row r="14" spans="1:11" x14ac:dyDescent="0.55000000000000004">
      <c r="A14" s="100"/>
      <c r="B14" s="101"/>
      <c r="C14" s="101"/>
      <c r="E14" s="102"/>
      <c r="F14" s="103"/>
      <c r="G14" s="103"/>
      <c r="H14" s="104"/>
      <c r="I14" s="104"/>
      <c r="K14" s="1"/>
    </row>
    <row r="15" spans="1:11" x14ac:dyDescent="0.55000000000000004">
      <c r="A15" s="100"/>
      <c r="B15" s="101"/>
      <c r="C15" s="101"/>
      <c r="D15" s="43"/>
      <c r="E15" s="102"/>
      <c r="F15" s="103"/>
      <c r="G15" s="103"/>
      <c r="H15" s="104"/>
      <c r="I15" s="104"/>
      <c r="K15" s="1"/>
    </row>
    <row r="16" spans="1:11" x14ac:dyDescent="0.55000000000000004">
      <c r="A16" s="100"/>
      <c r="B16" s="101"/>
      <c r="C16" s="101"/>
      <c r="D16" s="43"/>
      <c r="E16" s="102"/>
      <c r="F16" s="103"/>
      <c r="G16" s="103"/>
      <c r="H16" s="104"/>
      <c r="I16" s="104"/>
      <c r="K16" s="1"/>
    </row>
    <row r="17" spans="1:11" x14ac:dyDescent="0.55000000000000004">
      <c r="A17" s="100"/>
      <c r="B17" s="101"/>
      <c r="C17" s="101"/>
      <c r="D17" s="43"/>
      <c r="E17" s="102"/>
      <c r="F17" s="103"/>
      <c r="G17" s="103"/>
      <c r="H17" s="104"/>
      <c r="I17" s="104"/>
      <c r="K17" s="1"/>
    </row>
    <row r="18" spans="1:11" x14ac:dyDescent="0.55000000000000004">
      <c r="A18" s="100"/>
      <c r="B18" s="101"/>
      <c r="C18" s="101"/>
      <c r="D18" s="43"/>
      <c r="E18" s="102"/>
      <c r="F18" s="103"/>
      <c r="G18" s="103"/>
      <c r="H18" s="104"/>
      <c r="I18" s="104"/>
      <c r="K18" s="1"/>
    </row>
    <row r="19" spans="1:11" x14ac:dyDescent="0.55000000000000004">
      <c r="A19" s="100"/>
      <c r="B19" s="101"/>
      <c r="C19" s="101"/>
      <c r="D19" s="105"/>
      <c r="E19" s="102"/>
      <c r="F19" s="103"/>
      <c r="G19" s="103"/>
      <c r="H19" s="104"/>
      <c r="I19" s="104"/>
      <c r="K19" s="1"/>
    </row>
    <row r="20" spans="1:11" x14ac:dyDescent="0.55000000000000004">
      <c r="A20" s="59"/>
      <c r="B20" s="60"/>
      <c r="C20" s="60"/>
      <c r="E20" s="62"/>
      <c r="F20" s="63"/>
      <c r="G20" s="63"/>
      <c r="H20" s="64"/>
      <c r="I20" s="64"/>
      <c r="K20" s="1"/>
    </row>
    <row r="21" spans="1:11" x14ac:dyDescent="0.55000000000000004">
      <c r="A21" s="59"/>
      <c r="B21" s="60"/>
      <c r="C21" s="60"/>
      <c r="E21" s="62"/>
      <c r="F21" s="63"/>
      <c r="G21" s="63"/>
      <c r="H21" s="64"/>
      <c r="I21" s="64"/>
      <c r="K21" s="1"/>
    </row>
    <row r="22" spans="1:11" x14ac:dyDescent="0.55000000000000004">
      <c r="A22" s="59"/>
      <c r="B22" s="60"/>
      <c r="C22" s="60"/>
      <c r="E22" s="44"/>
      <c r="F22" s="63"/>
      <c r="G22" s="63"/>
      <c r="H22" s="64"/>
      <c r="I22" s="64"/>
      <c r="K22" s="1"/>
    </row>
    <row r="23" spans="1:11" x14ac:dyDescent="0.55000000000000004">
      <c r="A23" s="47"/>
      <c r="B23" s="48"/>
      <c r="C23" s="48"/>
      <c r="E23" s="44"/>
      <c r="F23" s="50"/>
      <c r="G23" s="50"/>
      <c r="H23" s="51"/>
      <c r="I23" s="51"/>
      <c r="K23" s="1"/>
    </row>
    <row r="24" spans="1:11" x14ac:dyDescent="0.55000000000000004">
      <c r="A24" s="59"/>
      <c r="B24" s="60"/>
      <c r="C24" s="60"/>
      <c r="E24" s="62"/>
      <c r="F24" s="63"/>
      <c r="G24" s="63"/>
      <c r="H24" s="64"/>
      <c r="I24" s="64"/>
    </row>
    <row r="25" spans="1:11" x14ac:dyDescent="0.55000000000000004">
      <c r="A25" s="59"/>
      <c r="B25" s="60"/>
      <c r="C25" s="60"/>
      <c r="D25" s="61"/>
      <c r="E25" s="62"/>
      <c r="F25" s="63"/>
      <c r="G25" s="63"/>
      <c r="H25" s="64"/>
      <c r="I25" s="64"/>
    </row>
    <row r="26" spans="1:11" x14ac:dyDescent="0.55000000000000004">
      <c r="A26" s="18"/>
      <c r="B26" s="16"/>
      <c r="C26" s="16"/>
      <c r="E26" s="44"/>
      <c r="F26" s="19"/>
      <c r="G26" s="19"/>
      <c r="H26" s="17"/>
      <c r="I26" s="17"/>
    </row>
    <row r="27" spans="1:11" x14ac:dyDescent="0.55000000000000004">
      <c r="A27" s="54"/>
      <c r="B27" s="55"/>
      <c r="C27" s="55"/>
      <c r="E27" s="44"/>
      <c r="F27" s="53"/>
      <c r="G27" s="53"/>
      <c r="H27" s="57"/>
      <c r="I27" s="57"/>
    </row>
    <row r="28" spans="1:11" x14ac:dyDescent="0.55000000000000004">
      <c r="A28" s="18"/>
      <c r="B28" s="16"/>
      <c r="C28" s="16"/>
      <c r="E28" s="44"/>
      <c r="F28" s="19"/>
      <c r="G28" s="19"/>
      <c r="H28" s="17"/>
      <c r="I28" s="17"/>
    </row>
    <row r="29" spans="1:11" x14ac:dyDescent="0.55000000000000004">
      <c r="A29" s="18"/>
      <c r="B29" s="16"/>
      <c r="C29" s="16"/>
      <c r="E29" s="44"/>
      <c r="F29" s="19"/>
      <c r="G29" s="19"/>
      <c r="H29" s="17"/>
      <c r="I29" s="17"/>
    </row>
    <row r="30" spans="1:11" x14ac:dyDescent="0.55000000000000004">
      <c r="A30" s="54"/>
      <c r="B30" s="55"/>
      <c r="C30" s="55"/>
      <c r="E30" s="44"/>
      <c r="F30" s="53"/>
      <c r="G30" s="53"/>
      <c r="H30" s="57"/>
      <c r="I30" s="57"/>
    </row>
    <row r="31" spans="1:11" x14ac:dyDescent="0.55000000000000004">
      <c r="A31" s="54"/>
      <c r="B31" s="55"/>
      <c r="C31" s="55"/>
      <c r="E31" s="56"/>
      <c r="F31" s="53"/>
      <c r="G31" s="53"/>
      <c r="H31" s="57"/>
      <c r="I31" s="57"/>
    </row>
    <row r="32" spans="1:11" x14ac:dyDescent="0.55000000000000004">
      <c r="A32" s="54"/>
      <c r="B32" s="55"/>
      <c r="C32" s="55"/>
      <c r="E32" s="44"/>
      <c r="F32" s="53"/>
      <c r="G32" s="53"/>
      <c r="H32" s="57"/>
      <c r="I32" s="57"/>
    </row>
    <row r="33" spans="1:9" x14ac:dyDescent="0.55000000000000004">
      <c r="A33" s="54"/>
      <c r="B33" s="55"/>
      <c r="C33" s="55"/>
      <c r="E33" s="44"/>
      <c r="F33" s="53"/>
      <c r="G33" s="53"/>
      <c r="H33" s="57"/>
      <c r="I33" s="57"/>
    </row>
    <row r="34" spans="1:9" x14ac:dyDescent="0.55000000000000004">
      <c r="A34" s="47"/>
      <c r="B34" s="48"/>
      <c r="C34" s="48"/>
      <c r="D34" s="49"/>
      <c r="E34" s="44"/>
      <c r="F34" s="50"/>
      <c r="G34" s="50"/>
      <c r="H34" s="51"/>
      <c r="I34" s="51"/>
    </row>
    <row r="35" spans="1:9" x14ac:dyDescent="0.55000000000000004">
      <c r="A35" s="18"/>
      <c r="B35" s="16"/>
      <c r="C35" s="16"/>
      <c r="F35" s="19"/>
      <c r="G35" s="19"/>
      <c r="H35" s="17"/>
      <c r="I35" s="17"/>
    </row>
    <row r="36" spans="1:9" x14ac:dyDescent="0.55000000000000004">
      <c r="A36" s="18"/>
      <c r="B36" s="16"/>
      <c r="C36" s="16"/>
      <c r="F36" s="19"/>
      <c r="G36" s="19"/>
      <c r="H36" s="17"/>
      <c r="I36" s="17"/>
    </row>
    <row r="37" spans="1:9" x14ac:dyDescent="0.55000000000000004">
      <c r="A37" s="18"/>
      <c r="B37" s="16"/>
      <c r="C37" s="16"/>
      <c r="F37" s="19"/>
      <c r="G37" s="19"/>
      <c r="H37" s="17"/>
      <c r="I37" s="17"/>
    </row>
    <row r="38" spans="1:9" x14ac:dyDescent="0.55000000000000004">
      <c r="C38" s="16"/>
    </row>
    <row r="39" spans="1:9" x14ac:dyDescent="0.55000000000000004">
      <c r="C39" s="11"/>
    </row>
    <row r="40" spans="1:9" x14ac:dyDescent="0.55000000000000004">
      <c r="C40" s="11"/>
    </row>
    <row r="41" spans="1:9" x14ac:dyDescent="0.55000000000000004">
      <c r="C41" s="11"/>
    </row>
    <row r="42" spans="1:9" x14ac:dyDescent="0.55000000000000004">
      <c r="B42" s="40"/>
      <c r="C42" s="40"/>
      <c r="F42" s="41"/>
      <c r="G42" s="41"/>
      <c r="H42" s="42"/>
      <c r="I42" s="42"/>
    </row>
    <row r="43" spans="1:9" x14ac:dyDescent="0.55000000000000004">
      <c r="C43" s="11"/>
      <c r="D43" s="27"/>
    </row>
    <row r="44" spans="1:9" x14ac:dyDescent="0.55000000000000004">
      <c r="C44" s="11"/>
      <c r="D44" s="27"/>
    </row>
    <row r="45" spans="1:9" x14ac:dyDescent="0.55000000000000004">
      <c r="C45" s="11"/>
      <c r="D45" s="27"/>
    </row>
    <row r="46" spans="1:9" x14ac:dyDescent="0.55000000000000004">
      <c r="C46" s="11"/>
      <c r="D46" s="27"/>
    </row>
    <row r="47" spans="1:9" x14ac:dyDescent="0.55000000000000004">
      <c r="C47" s="11"/>
      <c r="D47" s="27"/>
    </row>
    <row r="48" spans="1:9" x14ac:dyDescent="0.55000000000000004">
      <c r="C48" s="11"/>
      <c r="D48" s="27"/>
    </row>
    <row r="49" spans="3:4" x14ac:dyDescent="0.55000000000000004">
      <c r="C49" s="11"/>
      <c r="D49" s="27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2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32.7109375" style="7" customWidth="1"/>
    <col min="6" max="6" width="17.5703125" style="8" bestFit="1" customWidth="1"/>
    <col min="7" max="7" width="18.42578125" style="8" customWidth="1"/>
    <col min="8" max="8" width="15.42578125" style="9" customWidth="1"/>
    <col min="9" max="9" width="14.7109375" style="9" bestFit="1" customWidth="1"/>
    <col min="10" max="10" width="17.71093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50" t="s">
        <v>109</v>
      </c>
      <c r="K1" s="8"/>
    </row>
    <row r="2" spans="1:11" x14ac:dyDescent="0.55000000000000004">
      <c r="A2" s="18">
        <v>44378</v>
      </c>
      <c r="B2" s="16"/>
      <c r="C2" s="16" t="s">
        <v>5</v>
      </c>
      <c r="D2" s="1" t="s">
        <v>50</v>
      </c>
      <c r="E2" s="7" t="s">
        <v>5</v>
      </c>
      <c r="F2" s="19"/>
      <c r="G2" s="19"/>
      <c r="H2" s="17"/>
      <c r="I2" s="17">
        <f>SYS[[#This Row],[Opening]]+SYS[[#This Row],[Purchase]]-SYS[[#This Row],[Payment]]</f>
        <v>0</v>
      </c>
      <c r="J2" s="50">
        <f>SYS[Balance]</f>
        <v>0</v>
      </c>
    </row>
    <row r="3" spans="1:11" x14ac:dyDescent="0.55000000000000004">
      <c r="A3" s="18"/>
      <c r="B3" s="16"/>
      <c r="C3" s="16"/>
      <c r="E3" s="44"/>
      <c r="F3" s="19"/>
      <c r="G3" s="19"/>
      <c r="H3" s="17"/>
      <c r="I3" s="17"/>
    </row>
    <row r="4" spans="1:11" x14ac:dyDescent="0.55000000000000004">
      <c r="A4" s="59"/>
      <c r="B4" s="60"/>
      <c r="C4" s="60"/>
      <c r="D4" s="61"/>
      <c r="E4" s="62"/>
      <c r="F4" s="63"/>
      <c r="G4" s="63"/>
      <c r="H4" s="64"/>
      <c r="I4" s="64"/>
    </row>
    <row r="5" spans="1:11" x14ac:dyDescent="0.55000000000000004">
      <c r="A5" s="18"/>
      <c r="B5" s="16"/>
      <c r="C5" s="16"/>
      <c r="F5" s="19"/>
      <c r="G5" s="19"/>
      <c r="H5" s="17"/>
      <c r="I5" s="17"/>
    </row>
    <row r="6" spans="1:11" x14ac:dyDescent="0.55000000000000004">
      <c r="A6" s="18"/>
      <c r="B6" s="16"/>
      <c r="C6" s="16"/>
      <c r="F6" s="19"/>
      <c r="G6" s="19"/>
      <c r="H6" s="17"/>
      <c r="I6" s="17"/>
    </row>
    <row r="7" spans="1:11" x14ac:dyDescent="0.55000000000000004">
      <c r="A7" s="18"/>
      <c r="B7" s="16"/>
      <c r="C7" s="16"/>
      <c r="E7" s="14"/>
      <c r="F7" s="19"/>
      <c r="G7" s="19"/>
      <c r="H7" s="17"/>
      <c r="I7" s="17"/>
    </row>
    <row r="8" spans="1:11" x14ac:dyDescent="0.55000000000000004">
      <c r="A8" s="18"/>
      <c r="B8" s="16"/>
      <c r="C8" s="16"/>
      <c r="E8" s="14"/>
      <c r="F8" s="19"/>
      <c r="G8" s="19"/>
      <c r="H8" s="17"/>
      <c r="I8" s="17"/>
    </row>
    <row r="9" spans="1:11" x14ac:dyDescent="0.55000000000000004">
      <c r="A9" s="18"/>
      <c r="B9" s="16"/>
      <c r="C9" s="16"/>
      <c r="E9" s="14"/>
      <c r="F9" s="19"/>
      <c r="G9" s="19"/>
      <c r="H9" s="17"/>
      <c r="I9" s="17"/>
    </row>
    <row r="10" spans="1:11" x14ac:dyDescent="0.55000000000000004">
      <c r="A10" s="18"/>
      <c r="B10" s="16"/>
      <c r="C10" s="16"/>
      <c r="E10" s="14"/>
      <c r="F10" s="19"/>
      <c r="G10" s="19"/>
      <c r="H10" s="17"/>
      <c r="I10" s="17"/>
    </row>
    <row r="11" spans="1:11" x14ac:dyDescent="0.55000000000000004">
      <c r="C11" s="11"/>
    </row>
    <row r="12" spans="1:11" x14ac:dyDescent="0.55000000000000004">
      <c r="C12" s="11"/>
    </row>
  </sheetData>
  <pageMargins left="0.7" right="0.7" top="0.75" bottom="0.75" header="0.3" footer="0.3"/>
  <pageSetup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6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5703125" style="1" customWidth="1"/>
    <col min="4" max="4" width="19.140625" style="1" customWidth="1"/>
    <col min="5" max="5" width="30.140625" style="7" customWidth="1"/>
    <col min="6" max="6" width="13" style="19" customWidth="1"/>
    <col min="7" max="7" width="18.42578125" style="8" customWidth="1"/>
    <col min="8" max="8" width="17.42578125" style="9" customWidth="1"/>
    <col min="9" max="9" width="15.85546875" style="9" customWidth="1"/>
    <col min="10" max="10" width="15.42578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19" t="s">
        <v>5</v>
      </c>
      <c r="G1" s="8" t="s">
        <v>6</v>
      </c>
      <c r="H1" s="8" t="s">
        <v>7</v>
      </c>
      <c r="I1" s="8" t="s">
        <v>8</v>
      </c>
      <c r="J1" s="50" t="s">
        <v>109</v>
      </c>
      <c r="K1" s="8"/>
    </row>
    <row r="2" spans="1:11" x14ac:dyDescent="0.55000000000000004">
      <c r="A2" s="18">
        <v>44378</v>
      </c>
      <c r="B2" s="16"/>
      <c r="C2" s="16" t="s">
        <v>5</v>
      </c>
      <c r="D2" s="1" t="s">
        <v>65</v>
      </c>
      <c r="E2" s="7" t="s">
        <v>5</v>
      </c>
      <c r="F2" s="19">
        <v>0</v>
      </c>
      <c r="G2" s="19"/>
      <c r="H2" s="17"/>
      <c r="I2" s="17">
        <f>SUPER[[#This Row],[Opening]]+SUPER[[#This Row],[Purchase]]-SUPER[[#This Row],[Payment]]</f>
        <v>0</v>
      </c>
      <c r="J2" s="50">
        <f>SUPER[Balance]</f>
        <v>0</v>
      </c>
    </row>
    <row r="3" spans="1:11" x14ac:dyDescent="0.55000000000000004">
      <c r="A3" s="59"/>
      <c r="B3" s="60"/>
      <c r="C3" s="60"/>
      <c r="D3" s="61"/>
      <c r="E3" s="62"/>
      <c r="G3" s="63"/>
      <c r="H3" s="64"/>
      <c r="I3" s="64"/>
    </row>
    <row r="4" spans="1:11" x14ac:dyDescent="0.55000000000000004">
      <c r="A4" s="18"/>
      <c r="B4" s="16"/>
      <c r="C4" s="16"/>
      <c r="E4" s="44"/>
      <c r="G4" s="19"/>
      <c r="H4" s="17"/>
      <c r="I4" s="17"/>
    </row>
    <row r="5" spans="1:11" x14ac:dyDescent="0.55000000000000004">
      <c r="A5" s="18"/>
      <c r="B5" s="16"/>
      <c r="C5" s="16"/>
      <c r="E5" s="44"/>
      <c r="G5" s="19"/>
      <c r="H5" s="17"/>
      <c r="I5" s="17"/>
    </row>
    <row r="6" spans="1:11" x14ac:dyDescent="0.55000000000000004">
      <c r="A6" s="18"/>
      <c r="B6" s="16"/>
      <c r="C6" s="16"/>
      <c r="E6" s="44"/>
      <c r="G6" s="19"/>
      <c r="H6" s="17"/>
      <c r="I6" s="17"/>
    </row>
    <row r="7" spans="1:11" x14ac:dyDescent="0.55000000000000004">
      <c r="A7" s="54"/>
      <c r="B7" s="16"/>
      <c r="C7" s="55"/>
      <c r="E7" s="56"/>
      <c r="G7" s="53"/>
      <c r="H7" s="57"/>
      <c r="I7" s="57"/>
    </row>
    <row r="8" spans="1:11" x14ac:dyDescent="0.55000000000000004">
      <c r="A8" s="54"/>
      <c r="B8" s="55"/>
      <c r="C8" s="55"/>
      <c r="E8" s="44"/>
      <c r="G8" s="53"/>
      <c r="H8" s="57"/>
      <c r="I8" s="57"/>
    </row>
    <row r="9" spans="1:11" x14ac:dyDescent="0.55000000000000004">
      <c r="A9" s="54"/>
      <c r="B9" s="55"/>
      <c r="C9" s="55"/>
      <c r="E9" s="56"/>
      <c r="G9" s="53"/>
      <c r="H9" s="57"/>
      <c r="I9" s="57"/>
    </row>
    <row r="10" spans="1:11" x14ac:dyDescent="0.55000000000000004">
      <c r="A10" s="54"/>
      <c r="B10" s="55"/>
      <c r="C10" s="55"/>
      <c r="D10" s="52"/>
      <c r="E10" s="56"/>
      <c r="G10" s="53"/>
      <c r="H10" s="57"/>
      <c r="I10" s="57"/>
    </row>
    <row r="11" spans="1:11" x14ac:dyDescent="0.55000000000000004">
      <c r="A11" s="18"/>
      <c r="B11" s="16"/>
      <c r="C11" s="16"/>
      <c r="E11" s="14"/>
      <c r="G11" s="19"/>
      <c r="H11" s="17"/>
      <c r="I11" s="17"/>
    </row>
    <row r="12" spans="1:11" x14ac:dyDescent="0.55000000000000004">
      <c r="A12" s="18"/>
      <c r="B12" s="16"/>
      <c r="C12" s="16"/>
      <c r="E12" s="14"/>
      <c r="G12" s="19"/>
      <c r="H12" s="17"/>
      <c r="I12" s="17"/>
    </row>
    <row r="13" spans="1:11" x14ac:dyDescent="0.55000000000000004">
      <c r="A13" s="18"/>
      <c r="B13" s="16"/>
      <c r="C13" s="16"/>
      <c r="E13" s="14"/>
      <c r="G13" s="19"/>
      <c r="H13" s="17"/>
      <c r="I13" s="17"/>
    </row>
    <row r="14" spans="1:11" x14ac:dyDescent="0.55000000000000004">
      <c r="A14" s="18"/>
      <c r="B14" s="16"/>
      <c r="C14" s="16"/>
      <c r="E14" s="14"/>
      <c r="G14" s="19"/>
      <c r="H14" s="17"/>
      <c r="I14" s="17"/>
    </row>
    <row r="15" spans="1:11" x14ac:dyDescent="0.55000000000000004">
      <c r="C15" s="11"/>
    </row>
    <row r="16" spans="1:11" x14ac:dyDescent="0.55000000000000004">
      <c r="C16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11"/>
  <sheetViews>
    <sheetView zoomScaleNormal="100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3" width="12.28515625" style="1" customWidth="1"/>
    <col min="4" max="4" width="24.42578125" style="1" bestFit="1" customWidth="1"/>
    <col min="5" max="5" width="15.85546875" style="7" customWidth="1"/>
    <col min="6" max="6" width="17.5703125" style="8" bestFit="1" customWidth="1"/>
    <col min="7" max="7" width="18.42578125" style="8" customWidth="1"/>
    <col min="8" max="8" width="16.42578125" style="9" customWidth="1"/>
    <col min="9" max="9" width="14.7109375" style="9" bestFit="1" customWidth="1"/>
    <col min="10" max="10" width="16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50" t="s">
        <v>109</v>
      </c>
      <c r="K1" s="8"/>
    </row>
    <row r="2" spans="1:11" x14ac:dyDescent="0.55000000000000004">
      <c r="A2" s="18">
        <v>44378</v>
      </c>
      <c r="B2" s="15"/>
      <c r="C2" s="16" t="s">
        <v>5</v>
      </c>
      <c r="D2" s="1" t="s">
        <v>81</v>
      </c>
      <c r="E2" s="7" t="s">
        <v>5</v>
      </c>
      <c r="F2" s="19">
        <v>0</v>
      </c>
      <c r="G2" s="19"/>
      <c r="H2" s="17"/>
      <c r="I2" s="17">
        <f>TSLW[[#This Row],[Opening]]+TSLW[[#This Row],[Purchase]]-TSLW[[#This Row],[Payment]]</f>
        <v>0</v>
      </c>
      <c r="J2" s="50">
        <f>TSLW[Balance]</f>
        <v>0</v>
      </c>
    </row>
    <row r="3" spans="1:11" x14ac:dyDescent="0.55000000000000004">
      <c r="A3" s="18"/>
      <c r="B3" s="15"/>
      <c r="C3" s="16"/>
      <c r="E3" s="44"/>
      <c r="F3" s="19"/>
      <c r="G3" s="19"/>
      <c r="H3" s="17"/>
      <c r="I3" s="17"/>
    </row>
    <row r="4" spans="1:11" x14ac:dyDescent="0.55000000000000004">
      <c r="A4" s="18"/>
      <c r="B4" s="15"/>
      <c r="C4" s="16"/>
      <c r="E4" s="14"/>
      <c r="F4" s="19"/>
      <c r="G4" s="19"/>
      <c r="H4" s="17"/>
      <c r="I4" s="17"/>
    </row>
    <row r="5" spans="1:11" x14ac:dyDescent="0.55000000000000004">
      <c r="A5" s="18"/>
      <c r="B5" s="15"/>
      <c r="C5" s="16"/>
      <c r="E5" s="14"/>
      <c r="F5" s="19"/>
      <c r="G5" s="19"/>
      <c r="H5" s="17"/>
      <c r="I5" s="17"/>
    </row>
    <row r="6" spans="1:11" x14ac:dyDescent="0.55000000000000004">
      <c r="A6" s="18"/>
      <c r="B6" s="15"/>
      <c r="C6" s="16"/>
      <c r="E6" s="14"/>
      <c r="F6" s="19"/>
      <c r="G6" s="19"/>
      <c r="H6" s="17"/>
      <c r="I6" s="17"/>
    </row>
    <row r="7" spans="1:11" x14ac:dyDescent="0.55000000000000004">
      <c r="A7" s="18"/>
      <c r="B7" s="15"/>
      <c r="C7" s="16"/>
      <c r="E7" s="14"/>
      <c r="F7" s="19"/>
      <c r="G7" s="19"/>
      <c r="H7" s="17"/>
      <c r="I7" s="17"/>
    </row>
    <row r="8" spans="1:11" x14ac:dyDescent="0.55000000000000004">
      <c r="A8" s="18"/>
      <c r="B8" s="15"/>
      <c r="C8" s="16"/>
      <c r="E8" s="14"/>
      <c r="F8" s="19"/>
      <c r="G8" s="19"/>
      <c r="H8" s="17"/>
      <c r="I8" s="17"/>
    </row>
    <row r="9" spans="1:11" x14ac:dyDescent="0.55000000000000004">
      <c r="A9" s="18"/>
      <c r="B9" s="15"/>
      <c r="C9" s="16"/>
      <c r="E9" s="14"/>
      <c r="F9" s="19"/>
      <c r="G9" s="19"/>
      <c r="H9" s="17"/>
      <c r="I9" s="17"/>
    </row>
    <row r="10" spans="1:11" x14ac:dyDescent="0.55000000000000004">
      <c r="C10" s="11"/>
    </row>
    <row r="11" spans="1:11" x14ac:dyDescent="0.55000000000000004">
      <c r="C11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3" width="12.28515625" style="1" customWidth="1"/>
    <col min="4" max="4" width="24.42578125" style="1" bestFit="1" customWidth="1"/>
    <col min="5" max="5" width="14.42578125" style="7" customWidth="1"/>
    <col min="6" max="6" width="17.5703125" style="8" bestFit="1" customWidth="1"/>
    <col min="7" max="7" width="18.42578125" style="8" customWidth="1"/>
    <col min="8" max="8" width="12.5703125" style="9" customWidth="1"/>
    <col min="9" max="9" width="14.7109375" style="9" bestFit="1" customWidth="1"/>
    <col min="10" max="10" width="15.140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50" t="s">
        <v>109</v>
      </c>
      <c r="K1" s="8"/>
    </row>
    <row r="2" spans="1:11" x14ac:dyDescent="0.55000000000000004">
      <c r="A2" s="18">
        <v>44378</v>
      </c>
      <c r="B2" s="15"/>
      <c r="C2" s="16" t="s">
        <v>5</v>
      </c>
      <c r="D2" s="1" t="s">
        <v>82</v>
      </c>
      <c r="E2" s="7" t="s">
        <v>5</v>
      </c>
      <c r="F2" s="19">
        <v>143000</v>
      </c>
      <c r="G2" s="19"/>
      <c r="H2" s="17"/>
      <c r="I2" s="17">
        <f>UMG[[#This Row],[Opening]]+UMG[[#This Row],[Purchase]]-UMG[[#This Row],[Payment]]</f>
        <v>143000</v>
      </c>
      <c r="J2" s="50">
        <f>UMG[Balance]</f>
        <v>143000</v>
      </c>
    </row>
    <row r="3" spans="1:11" x14ac:dyDescent="0.55000000000000004">
      <c r="A3" s="18"/>
      <c r="B3" s="15"/>
      <c r="C3" s="16"/>
      <c r="E3" s="14"/>
      <c r="F3" s="19"/>
      <c r="G3" s="19"/>
      <c r="H3" s="17"/>
      <c r="I3" s="17"/>
    </row>
    <row r="4" spans="1:11" x14ac:dyDescent="0.55000000000000004">
      <c r="A4" s="18"/>
      <c r="B4" s="15"/>
      <c r="C4" s="16"/>
      <c r="E4" s="14"/>
      <c r="F4" s="19"/>
      <c r="G4" s="19"/>
      <c r="H4" s="17"/>
      <c r="I4" s="17"/>
    </row>
    <row r="5" spans="1:11" x14ac:dyDescent="0.55000000000000004">
      <c r="A5" s="18"/>
      <c r="B5" s="15"/>
      <c r="C5" s="16"/>
      <c r="E5" s="14"/>
      <c r="F5" s="19"/>
      <c r="G5" s="19"/>
      <c r="H5" s="17"/>
      <c r="I5" s="17"/>
    </row>
    <row r="6" spans="1:11" x14ac:dyDescent="0.55000000000000004">
      <c r="A6" s="18"/>
      <c r="B6" s="15"/>
      <c r="C6" s="16"/>
      <c r="E6" s="14"/>
      <c r="F6" s="19"/>
      <c r="G6" s="19"/>
      <c r="H6" s="17"/>
      <c r="I6" s="17"/>
    </row>
    <row r="7" spans="1:11" x14ac:dyDescent="0.55000000000000004">
      <c r="A7" s="18"/>
      <c r="B7" s="15"/>
      <c r="C7" s="16"/>
      <c r="E7" s="14"/>
      <c r="F7" s="19"/>
      <c r="G7" s="19"/>
      <c r="H7" s="17"/>
      <c r="I7" s="17"/>
    </row>
    <row r="8" spans="1:11" x14ac:dyDescent="0.55000000000000004">
      <c r="A8" s="18"/>
      <c r="B8" s="15"/>
      <c r="C8" s="16"/>
      <c r="E8" s="14"/>
      <c r="F8" s="19"/>
      <c r="G8" s="19"/>
      <c r="H8" s="17"/>
      <c r="I8" s="17"/>
    </row>
    <row r="9" spans="1:11" x14ac:dyDescent="0.55000000000000004">
      <c r="A9" s="18"/>
      <c r="B9" s="15"/>
      <c r="C9" s="16"/>
      <c r="E9" s="14"/>
      <c r="F9" s="19"/>
      <c r="G9" s="19"/>
      <c r="H9" s="17"/>
      <c r="I9" s="17"/>
    </row>
    <row r="10" spans="1:11" x14ac:dyDescent="0.55000000000000004">
      <c r="C10" s="11"/>
    </row>
    <row r="11" spans="1:11" x14ac:dyDescent="0.55000000000000004">
      <c r="C11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51"/>
  <sheetViews>
    <sheetView topLeftCell="B1" zoomScale="90" zoomScaleNormal="90" workbookViewId="0">
      <selection activeCell="J3" sqref="J3:J4"/>
    </sheetView>
  </sheetViews>
  <sheetFormatPr defaultColWidth="8.7109375" defaultRowHeight="21.75" x14ac:dyDescent="0.55000000000000004"/>
  <cols>
    <col min="1" max="1" width="14.7109375" style="13" customWidth="1"/>
    <col min="2" max="2" width="14.28515625" style="11" customWidth="1"/>
    <col min="3" max="3" width="14.28515625" style="1" customWidth="1"/>
    <col min="4" max="4" width="24.42578125" style="1" bestFit="1" customWidth="1"/>
    <col min="5" max="5" width="60.28515625" style="7" customWidth="1"/>
    <col min="6" max="6" width="14.5703125" style="8" customWidth="1"/>
    <col min="7" max="7" width="18.42578125" style="8" customWidth="1"/>
    <col min="8" max="8" width="15.85546875" style="9" customWidth="1"/>
    <col min="9" max="9" width="16.5703125" style="9" customWidth="1"/>
    <col min="10" max="10" width="14.28515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50" t="s">
        <v>109</v>
      </c>
      <c r="K1" s="8"/>
    </row>
    <row r="2" spans="1:11" x14ac:dyDescent="0.55000000000000004">
      <c r="A2" s="18">
        <v>44378</v>
      </c>
      <c r="B2" s="16"/>
      <c r="C2" s="16" t="s">
        <v>5</v>
      </c>
      <c r="D2" s="1" t="s">
        <v>56</v>
      </c>
      <c r="E2" s="7" t="s">
        <v>5</v>
      </c>
      <c r="F2" s="19">
        <v>241207</v>
      </c>
      <c r="G2" s="19"/>
      <c r="H2" s="17"/>
      <c r="I2" s="17">
        <f>ZAN[[#This Row],[Opening]]+ZAN[[#This Row],[Purchase]]-ZAN[[#This Row],[Payment]]</f>
        <v>241207</v>
      </c>
      <c r="J2" s="50">
        <f>ZAN[[#This Row],[Balance]]</f>
        <v>241207</v>
      </c>
    </row>
    <row r="3" spans="1:11" x14ac:dyDescent="0.55000000000000004">
      <c r="A3" s="18">
        <v>44377</v>
      </c>
      <c r="B3" s="16">
        <v>559211</v>
      </c>
      <c r="C3" s="16" t="s">
        <v>6</v>
      </c>
      <c r="D3" s="1" t="s">
        <v>56</v>
      </c>
      <c r="E3" s="44" t="s">
        <v>101</v>
      </c>
      <c r="F3" s="19"/>
      <c r="G3" s="19">
        <v>219711</v>
      </c>
      <c r="H3" s="17"/>
      <c r="I3" s="17">
        <f>ZAN[[#This Row],[Opening]]+ZAN[[#This Row],[Purchase]]-ZAN[[#This Row],[Payment]]</f>
        <v>219711</v>
      </c>
      <c r="J3" s="50">
        <f>J2+ZAN[[#This Row],[Purchase]]-ZAN[[#This Row],[Payment]]</f>
        <v>460918</v>
      </c>
    </row>
    <row r="4" spans="1:11" x14ac:dyDescent="0.55000000000000004">
      <c r="A4" s="109">
        <v>44383</v>
      </c>
      <c r="B4" s="110">
        <v>573211</v>
      </c>
      <c r="C4" s="110" t="s">
        <v>6</v>
      </c>
      <c r="D4" s="1" t="s">
        <v>56</v>
      </c>
      <c r="E4" s="112" t="s">
        <v>107</v>
      </c>
      <c r="F4" s="113"/>
      <c r="G4" s="113">
        <v>228584</v>
      </c>
      <c r="H4" s="114"/>
      <c r="I4" s="114">
        <f>ZAN[[#This Row],[Opening]]+ZAN[[#This Row],[Purchase]]-ZAN[[#This Row],[Payment]]</f>
        <v>228584</v>
      </c>
      <c r="J4" s="50">
        <f>J3+ZAN[[#This Row],[Purchase]]-ZAN[[#This Row],[Payment]]</f>
        <v>689502</v>
      </c>
    </row>
    <row r="5" spans="1:11" x14ac:dyDescent="0.55000000000000004">
      <c r="A5" s="109"/>
      <c r="B5" s="110"/>
      <c r="C5" s="110"/>
      <c r="D5" s="111"/>
      <c r="E5" s="112"/>
      <c r="F5" s="113"/>
      <c r="G5" s="113"/>
      <c r="H5" s="114"/>
      <c r="I5" s="114"/>
    </row>
    <row r="6" spans="1:11" x14ac:dyDescent="0.55000000000000004">
      <c r="A6" s="100"/>
      <c r="B6" s="101"/>
      <c r="C6" s="101"/>
      <c r="E6" s="102"/>
      <c r="F6" s="103"/>
      <c r="G6" s="103"/>
      <c r="H6" s="104"/>
      <c r="I6" s="104"/>
    </row>
    <row r="7" spans="1:11" x14ac:dyDescent="0.55000000000000004">
      <c r="A7" s="100"/>
      <c r="B7" s="101"/>
      <c r="C7" s="101"/>
      <c r="E7" s="102"/>
      <c r="F7" s="103"/>
      <c r="G7" s="103"/>
      <c r="H7" s="104"/>
      <c r="I7" s="104"/>
    </row>
    <row r="8" spans="1:11" x14ac:dyDescent="0.55000000000000004">
      <c r="A8" s="100"/>
      <c r="B8" s="101"/>
      <c r="C8" s="101"/>
      <c r="E8" s="102"/>
      <c r="F8" s="103"/>
      <c r="G8" s="103"/>
      <c r="H8" s="104"/>
      <c r="I8" s="104"/>
    </row>
    <row r="9" spans="1:11" x14ac:dyDescent="0.55000000000000004">
      <c r="A9" s="100"/>
      <c r="B9" s="101"/>
      <c r="C9" s="101"/>
      <c r="E9" s="102"/>
      <c r="F9" s="103"/>
      <c r="G9" s="103"/>
      <c r="H9" s="104"/>
      <c r="I9" s="104"/>
    </row>
    <row r="10" spans="1:11" x14ac:dyDescent="0.55000000000000004">
      <c r="A10" s="100"/>
      <c r="B10" s="101"/>
      <c r="C10" s="101"/>
      <c r="E10" s="102"/>
      <c r="F10" s="103"/>
      <c r="G10" s="103"/>
      <c r="H10" s="104"/>
      <c r="I10" s="104"/>
    </row>
    <row r="11" spans="1:11" x14ac:dyDescent="0.55000000000000004">
      <c r="A11" s="100"/>
      <c r="B11" s="101"/>
      <c r="C11" s="101"/>
      <c r="E11" s="102"/>
      <c r="F11" s="103"/>
      <c r="G11" s="103"/>
      <c r="H11" s="104"/>
      <c r="I11" s="104"/>
    </row>
    <row r="12" spans="1:11" x14ac:dyDescent="0.55000000000000004">
      <c r="A12" s="100"/>
      <c r="B12" s="101"/>
      <c r="C12" s="101"/>
      <c r="E12" s="102"/>
      <c r="F12" s="103"/>
      <c r="G12" s="103"/>
      <c r="H12" s="104"/>
      <c r="I12" s="104"/>
    </row>
    <row r="13" spans="1:11" x14ac:dyDescent="0.55000000000000004">
      <c r="A13" s="100"/>
      <c r="B13" s="101"/>
      <c r="C13" s="101"/>
      <c r="E13" s="102"/>
      <c r="F13" s="103"/>
      <c r="G13" s="103"/>
      <c r="H13" s="104"/>
      <c r="I13" s="104"/>
    </row>
    <row r="14" spans="1:11" x14ac:dyDescent="0.55000000000000004">
      <c r="A14" s="100"/>
      <c r="B14" s="101"/>
      <c r="C14" s="101"/>
      <c r="E14" s="102"/>
      <c r="F14" s="103"/>
      <c r="G14" s="103"/>
      <c r="H14" s="104"/>
      <c r="I14" s="104"/>
    </row>
    <row r="15" spans="1:11" x14ac:dyDescent="0.55000000000000004">
      <c r="A15" s="100"/>
      <c r="B15" s="101"/>
      <c r="C15" s="101"/>
      <c r="D15" s="105"/>
      <c r="E15" s="102"/>
      <c r="F15" s="103"/>
      <c r="G15" s="103"/>
      <c r="H15" s="104"/>
      <c r="I15" s="104"/>
    </row>
    <row r="16" spans="1:11" x14ac:dyDescent="0.55000000000000004">
      <c r="A16" s="100"/>
      <c r="B16" s="101"/>
      <c r="C16" s="101"/>
      <c r="D16" s="105"/>
      <c r="E16" s="102"/>
      <c r="F16" s="103"/>
      <c r="G16" s="103"/>
      <c r="H16" s="104"/>
      <c r="I16" s="104"/>
    </row>
    <row r="17" spans="1:9" x14ac:dyDescent="0.55000000000000004">
      <c r="A17" s="59"/>
      <c r="B17" s="60"/>
      <c r="C17" s="60"/>
      <c r="E17" s="62"/>
      <c r="F17" s="63"/>
      <c r="G17" s="63"/>
      <c r="H17" s="64"/>
      <c r="I17" s="17"/>
    </row>
    <row r="18" spans="1:9" x14ac:dyDescent="0.55000000000000004">
      <c r="A18" s="59"/>
      <c r="B18" s="60"/>
      <c r="C18" s="60"/>
      <c r="E18" s="62"/>
      <c r="F18" s="63"/>
      <c r="G18" s="63"/>
      <c r="H18" s="64"/>
      <c r="I18" s="17"/>
    </row>
    <row r="19" spans="1:9" x14ac:dyDescent="0.55000000000000004">
      <c r="A19" s="59"/>
      <c r="B19" s="60"/>
      <c r="C19" s="60"/>
      <c r="E19" s="62"/>
      <c r="F19" s="63"/>
      <c r="G19" s="63"/>
      <c r="H19" s="64"/>
      <c r="I19" s="17"/>
    </row>
    <row r="20" spans="1:9" x14ac:dyDescent="0.55000000000000004">
      <c r="A20" s="59"/>
      <c r="B20" s="60"/>
      <c r="C20" s="60"/>
      <c r="E20" s="62"/>
      <c r="F20" s="63"/>
      <c r="G20" s="63"/>
      <c r="H20" s="64"/>
      <c r="I20" s="17"/>
    </row>
    <row r="21" spans="1:9" x14ac:dyDescent="0.55000000000000004">
      <c r="A21" s="59"/>
      <c r="B21" s="60"/>
      <c r="C21" s="60"/>
      <c r="E21" s="62"/>
      <c r="F21" s="63"/>
      <c r="G21" s="63"/>
      <c r="H21" s="64"/>
      <c r="I21" s="17"/>
    </row>
    <row r="22" spans="1:9" x14ac:dyDescent="0.55000000000000004">
      <c r="A22" s="59"/>
      <c r="B22" s="60"/>
      <c r="C22" s="60"/>
      <c r="E22" s="44"/>
      <c r="F22" s="63"/>
      <c r="G22" s="63"/>
      <c r="H22" s="64"/>
      <c r="I22" s="17"/>
    </row>
    <row r="23" spans="1:9" x14ac:dyDescent="0.55000000000000004">
      <c r="A23" s="59"/>
      <c r="B23" s="60"/>
      <c r="C23" s="60"/>
      <c r="E23" s="62"/>
      <c r="F23" s="63"/>
      <c r="G23" s="63"/>
      <c r="H23" s="64"/>
      <c r="I23" s="17"/>
    </row>
    <row r="24" spans="1:9" x14ac:dyDescent="0.55000000000000004">
      <c r="A24" s="59"/>
      <c r="B24" s="60"/>
      <c r="C24" s="60"/>
      <c r="E24" s="62"/>
      <c r="F24" s="63"/>
      <c r="G24" s="63"/>
      <c r="H24" s="64"/>
      <c r="I24" s="64"/>
    </row>
    <row r="25" spans="1:9" x14ac:dyDescent="0.55000000000000004">
      <c r="A25" s="59"/>
      <c r="B25" s="60"/>
      <c r="C25" s="60"/>
      <c r="E25" s="62"/>
      <c r="F25" s="63"/>
      <c r="G25" s="63"/>
      <c r="H25" s="64"/>
      <c r="I25" s="64"/>
    </row>
    <row r="26" spans="1:9" x14ac:dyDescent="0.55000000000000004">
      <c r="A26" s="59"/>
      <c r="B26" s="60"/>
      <c r="C26" s="60"/>
      <c r="E26" s="62"/>
      <c r="F26" s="63"/>
      <c r="G26" s="63"/>
      <c r="H26" s="64"/>
      <c r="I26" s="64"/>
    </row>
    <row r="27" spans="1:9" x14ac:dyDescent="0.55000000000000004">
      <c r="A27" s="59"/>
      <c r="B27" s="60"/>
      <c r="C27" s="60"/>
      <c r="E27" s="62"/>
      <c r="F27" s="63"/>
      <c r="G27" s="63"/>
      <c r="H27" s="64"/>
      <c r="I27" s="64"/>
    </row>
    <row r="28" spans="1:9" x14ac:dyDescent="0.55000000000000004">
      <c r="A28" s="59"/>
      <c r="B28" s="60"/>
      <c r="C28" s="60"/>
      <c r="E28" s="44"/>
      <c r="F28" s="63"/>
      <c r="G28" s="63"/>
      <c r="H28" s="64"/>
      <c r="I28" s="64"/>
    </row>
    <row r="29" spans="1:9" x14ac:dyDescent="0.55000000000000004">
      <c r="A29" s="47"/>
      <c r="B29" s="48"/>
      <c r="C29" s="48"/>
      <c r="E29" s="44"/>
      <c r="F29" s="50"/>
      <c r="G29" s="50"/>
      <c r="H29" s="51"/>
      <c r="I29" s="51"/>
    </row>
    <row r="30" spans="1:9" x14ac:dyDescent="0.55000000000000004">
      <c r="A30" s="59"/>
      <c r="B30" s="60"/>
      <c r="C30" s="60"/>
      <c r="E30" s="62"/>
      <c r="F30" s="63"/>
      <c r="G30" s="63"/>
      <c r="H30" s="64"/>
      <c r="I30" s="64"/>
    </row>
    <row r="31" spans="1:9" x14ac:dyDescent="0.55000000000000004">
      <c r="A31" s="59"/>
      <c r="B31" s="60"/>
      <c r="C31" s="60"/>
      <c r="D31" s="61"/>
      <c r="E31" s="62"/>
      <c r="F31" s="63"/>
      <c r="G31" s="63"/>
      <c r="H31" s="64"/>
      <c r="I31" s="64"/>
    </row>
    <row r="32" spans="1:9" x14ac:dyDescent="0.55000000000000004">
      <c r="A32" s="18"/>
      <c r="B32" s="16"/>
      <c r="C32" s="16"/>
      <c r="E32" s="44"/>
      <c r="F32" s="19"/>
      <c r="G32" s="19"/>
      <c r="H32" s="17"/>
      <c r="I32" s="17"/>
    </row>
    <row r="33" spans="1:9" x14ac:dyDescent="0.55000000000000004">
      <c r="A33" s="18"/>
      <c r="B33" s="16"/>
      <c r="C33" s="16"/>
      <c r="E33" s="44"/>
      <c r="F33" s="19"/>
      <c r="G33" s="19"/>
      <c r="H33" s="17"/>
      <c r="I33" s="17"/>
    </row>
    <row r="34" spans="1:9" x14ac:dyDescent="0.55000000000000004">
      <c r="A34" s="47"/>
      <c r="B34" s="48"/>
      <c r="C34" s="48"/>
      <c r="E34" s="44"/>
      <c r="F34" s="50"/>
      <c r="G34" s="50"/>
      <c r="H34" s="51"/>
      <c r="I34" s="51"/>
    </row>
    <row r="35" spans="1:9" x14ac:dyDescent="0.55000000000000004">
      <c r="A35" s="47"/>
      <c r="B35" s="48"/>
      <c r="C35" s="48"/>
      <c r="E35" s="44"/>
      <c r="F35" s="50"/>
      <c r="G35" s="50"/>
      <c r="H35" s="51"/>
      <c r="I35" s="51"/>
    </row>
    <row r="36" spans="1:9" x14ac:dyDescent="0.55000000000000004">
      <c r="A36" s="47"/>
      <c r="B36" s="48"/>
      <c r="C36" s="48"/>
      <c r="E36" s="44"/>
      <c r="F36" s="50"/>
      <c r="G36" s="50"/>
      <c r="H36" s="51"/>
      <c r="I36" s="51"/>
    </row>
    <row r="37" spans="1:9" x14ac:dyDescent="0.55000000000000004">
      <c r="A37" s="47"/>
      <c r="B37" s="48"/>
      <c r="C37" s="48"/>
      <c r="E37" s="44"/>
      <c r="F37" s="50"/>
      <c r="G37" s="50"/>
      <c r="H37" s="51"/>
      <c r="I37" s="51"/>
    </row>
    <row r="38" spans="1:9" x14ac:dyDescent="0.55000000000000004">
      <c r="A38" s="47"/>
      <c r="B38" s="48"/>
      <c r="C38" s="48"/>
      <c r="E38" s="44"/>
      <c r="F38" s="50"/>
      <c r="G38" s="50"/>
      <c r="H38" s="51"/>
      <c r="I38" s="51"/>
    </row>
    <row r="39" spans="1:9" x14ac:dyDescent="0.55000000000000004">
      <c r="A39" s="54"/>
      <c r="B39" s="55"/>
      <c r="C39" s="48"/>
      <c r="E39" s="56"/>
      <c r="F39" s="53"/>
      <c r="G39" s="53"/>
      <c r="H39" s="57"/>
      <c r="I39" s="57"/>
    </row>
    <row r="40" spans="1:9" x14ac:dyDescent="0.55000000000000004">
      <c r="A40" s="54"/>
      <c r="B40" s="55"/>
      <c r="C40" s="55"/>
      <c r="E40" s="56"/>
      <c r="F40" s="53"/>
      <c r="G40" s="53"/>
      <c r="H40" s="57"/>
      <c r="I40" s="57"/>
    </row>
    <row r="41" spans="1:9" x14ac:dyDescent="0.55000000000000004">
      <c r="A41" s="54"/>
      <c r="B41" s="55"/>
      <c r="C41" s="55"/>
      <c r="E41" s="56"/>
      <c r="F41" s="53"/>
      <c r="G41" s="53"/>
      <c r="H41" s="57"/>
      <c r="I41" s="57"/>
    </row>
    <row r="42" spans="1:9" x14ac:dyDescent="0.55000000000000004">
      <c r="A42" s="54"/>
      <c r="B42" s="55"/>
      <c r="C42" s="55"/>
      <c r="E42" s="56"/>
      <c r="F42" s="53"/>
      <c r="G42" s="53"/>
      <c r="H42" s="57"/>
      <c r="I42" s="57"/>
    </row>
    <row r="43" spans="1:9" x14ac:dyDescent="0.55000000000000004">
      <c r="A43" s="54"/>
      <c r="B43" s="55"/>
      <c r="C43" s="55"/>
      <c r="D43" s="43"/>
      <c r="E43" s="44"/>
      <c r="F43" s="53"/>
      <c r="G43" s="53"/>
      <c r="H43" s="57"/>
      <c r="I43" s="57"/>
    </row>
    <row r="44" spans="1:9" x14ac:dyDescent="0.55000000000000004">
      <c r="A44" s="47"/>
      <c r="B44" s="48"/>
      <c r="C44" s="48"/>
      <c r="D44" s="43"/>
      <c r="E44" s="44"/>
      <c r="F44" s="50"/>
      <c r="G44" s="50"/>
      <c r="H44" s="51"/>
      <c r="I44" s="51"/>
    </row>
    <row r="45" spans="1:9" x14ac:dyDescent="0.55000000000000004">
      <c r="A45" s="47"/>
      <c r="B45" s="48"/>
      <c r="C45" s="48"/>
      <c r="D45" s="49"/>
      <c r="E45" s="44"/>
      <c r="F45" s="50"/>
      <c r="G45" s="50"/>
      <c r="H45" s="51"/>
      <c r="I45" s="51"/>
    </row>
    <row r="46" spans="1:9" x14ac:dyDescent="0.55000000000000004">
      <c r="A46" s="47"/>
      <c r="B46" s="48"/>
      <c r="C46" s="48"/>
      <c r="D46" s="49"/>
      <c r="E46" s="44"/>
      <c r="F46" s="50"/>
      <c r="G46" s="50"/>
      <c r="H46" s="51"/>
      <c r="I46" s="51"/>
    </row>
    <row r="47" spans="1:9" x14ac:dyDescent="0.55000000000000004">
      <c r="A47" s="34"/>
      <c r="B47" s="35"/>
      <c r="C47" s="35"/>
      <c r="D47" s="36"/>
      <c r="E47" s="37"/>
      <c r="F47" s="38"/>
      <c r="G47" s="38"/>
      <c r="H47" s="39"/>
      <c r="I47" s="39"/>
    </row>
    <row r="48" spans="1:9" x14ac:dyDescent="0.55000000000000004">
      <c r="A48" s="34"/>
      <c r="B48" s="35"/>
      <c r="C48" s="35"/>
      <c r="D48" s="36"/>
      <c r="E48" s="37"/>
      <c r="F48" s="38"/>
      <c r="G48" s="38"/>
      <c r="H48" s="39"/>
      <c r="I48" s="39"/>
    </row>
    <row r="49" spans="1:9" x14ac:dyDescent="0.55000000000000004">
      <c r="A49" s="34"/>
      <c r="B49" s="35"/>
      <c r="C49" s="35"/>
      <c r="D49" s="36"/>
      <c r="E49" s="37"/>
      <c r="F49" s="38"/>
      <c r="G49" s="38"/>
      <c r="H49" s="39"/>
      <c r="I49" s="39"/>
    </row>
    <row r="50" spans="1:9" x14ac:dyDescent="0.55000000000000004">
      <c r="A50" s="34"/>
      <c r="B50" s="35"/>
      <c r="C50" s="35"/>
      <c r="D50" s="36"/>
      <c r="E50" s="37"/>
      <c r="F50" s="38"/>
      <c r="G50" s="38"/>
      <c r="H50" s="39"/>
      <c r="I50" s="39"/>
    </row>
    <row r="51" spans="1:9" x14ac:dyDescent="0.55000000000000004">
      <c r="A51" s="34"/>
      <c r="B51" s="35"/>
      <c r="C51" s="35"/>
      <c r="D51" s="36"/>
      <c r="E51" s="37"/>
      <c r="F51" s="38"/>
      <c r="G51" s="38"/>
      <c r="H51" s="39"/>
      <c r="I51" s="3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C2:C48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2060"/>
  </sheetPr>
  <dimension ref="A1:K27"/>
  <sheetViews>
    <sheetView topLeftCell="A11" zoomScaleNormal="100" workbookViewId="0">
      <selection activeCell="E24" sqref="E24"/>
    </sheetView>
  </sheetViews>
  <sheetFormatPr defaultColWidth="8.7109375" defaultRowHeight="21.75" x14ac:dyDescent="0.55000000000000004"/>
  <cols>
    <col min="1" max="1" width="3.5703125" style="1" bestFit="1" customWidth="1"/>
    <col min="2" max="2" width="26.140625" style="1" customWidth="1"/>
    <col min="3" max="3" width="16.42578125" style="8" customWidth="1"/>
    <col min="4" max="5" width="18.42578125" style="8" customWidth="1"/>
    <col min="6" max="6" width="17.42578125" style="8" customWidth="1"/>
    <col min="7" max="7" width="11.85546875" style="9" bestFit="1" customWidth="1"/>
    <col min="8" max="8" width="10.85546875" style="9" bestFit="1" customWidth="1"/>
    <col min="9" max="10" width="8.7109375" style="1"/>
    <col min="11" max="11" width="24.42578125" style="1" bestFit="1" customWidth="1"/>
    <col min="12" max="16384" width="8.7109375" style="1"/>
  </cols>
  <sheetData>
    <row r="1" spans="1:11" s="7" customFormat="1" x14ac:dyDescent="0.55000000000000004">
      <c r="A1" s="21" t="s">
        <v>0</v>
      </c>
      <c r="B1" s="21" t="s">
        <v>3</v>
      </c>
      <c r="C1" s="22" t="s">
        <v>5</v>
      </c>
      <c r="D1" s="22" t="s">
        <v>6</v>
      </c>
      <c r="E1" s="22" t="s">
        <v>7</v>
      </c>
      <c r="F1" s="22" t="s">
        <v>8</v>
      </c>
      <c r="G1" s="8"/>
      <c r="H1" s="8"/>
      <c r="K1" s="12"/>
    </row>
    <row r="2" spans="1:11" x14ac:dyDescent="0.55000000000000004">
      <c r="A2" s="23">
        <v>1</v>
      </c>
      <c r="B2" s="23" t="s">
        <v>9</v>
      </c>
      <c r="C2" s="20">
        <f>SUMIF('Data Combile'!$D:$D,$B2,'Data Combile'!F:F)</f>
        <v>586620</v>
      </c>
      <c r="D2" s="20">
        <f>SUMIF('Data Combile'!$D:$D,$B2,'Data Combile'!G:G)</f>
        <v>0</v>
      </c>
      <c r="E2" s="20">
        <f>SUMIF('Data Combile'!$D:$D,$B2,'Data Combile'!H:H)</f>
        <v>0</v>
      </c>
      <c r="F2" s="20">
        <f>SUMIF('Data Combile'!$D:$D,$B2,'Data Combile'!I:I)</f>
        <v>586620</v>
      </c>
      <c r="K2" s="12"/>
    </row>
    <row r="3" spans="1:11" x14ac:dyDescent="0.55000000000000004">
      <c r="A3" s="23">
        <v>2</v>
      </c>
      <c r="B3" s="24" t="s">
        <v>15</v>
      </c>
      <c r="C3" s="20">
        <f>SUMIF('Data Combile'!$D:$D,$B3,'Data Combile'!F:F)</f>
        <v>306000</v>
      </c>
      <c r="D3" s="20">
        <f>SUMIF('Data Combile'!$D:$D,$B3,'Data Combile'!G:G)</f>
        <v>0</v>
      </c>
      <c r="E3" s="20">
        <f>SUMIF('Data Combile'!$D:$D,$B3,'Data Combile'!H:H)</f>
        <v>0</v>
      </c>
      <c r="F3" s="20">
        <f>SUMIF('Data Combile'!$D:$D,$B3,'Data Combile'!I:I)</f>
        <v>306000</v>
      </c>
      <c r="G3" s="1"/>
      <c r="H3" s="1"/>
      <c r="K3" s="12"/>
    </row>
    <row r="4" spans="1:11" x14ac:dyDescent="0.55000000000000004">
      <c r="A4" s="23">
        <v>3</v>
      </c>
      <c r="B4" s="24" t="s">
        <v>18</v>
      </c>
      <c r="C4" s="20">
        <f>SUMIF('Data Combile'!$D:$D,$B4,'Data Combile'!F:F)</f>
        <v>870583</v>
      </c>
      <c r="D4" s="20">
        <f>SUMIF('Data Combile'!$D:$D,$B4,'Data Combile'!G:G)</f>
        <v>347128</v>
      </c>
      <c r="E4" s="20">
        <f>SUMIF('Data Combile'!$D:$D,$B4,'Data Combile'!H:H)</f>
        <v>510800</v>
      </c>
      <c r="F4" s="20">
        <f>SUMIF('Data Combile'!$D:$D,$B4,'Data Combile'!I:I)</f>
        <v>706911</v>
      </c>
      <c r="G4" s="1"/>
      <c r="H4" s="1"/>
      <c r="K4" s="12"/>
    </row>
    <row r="5" spans="1:11" x14ac:dyDescent="0.55000000000000004">
      <c r="A5" s="23">
        <v>4</v>
      </c>
      <c r="B5" s="24" t="s">
        <v>74</v>
      </c>
      <c r="C5" s="20">
        <f>SUMIF('Data Combile'!$D:$D,$B5,'Data Combile'!F:F)</f>
        <v>1090960</v>
      </c>
      <c r="D5" s="20">
        <f>SUMIF('Data Combile'!$D:$D,$B5,'Data Combile'!G:G)</f>
        <v>0</v>
      </c>
      <c r="E5" s="20">
        <f>SUMIF('Data Combile'!$D:$D,$B5,'Data Combile'!H:H)</f>
        <v>0</v>
      </c>
      <c r="F5" s="20">
        <f>SUMIF('Data Combile'!$D:$D,$B5,'Data Combile'!I:I)</f>
        <v>1090960</v>
      </c>
      <c r="G5" s="1"/>
      <c r="H5" s="1"/>
      <c r="K5" s="12"/>
    </row>
    <row r="6" spans="1:11" x14ac:dyDescent="0.55000000000000004">
      <c r="A6" s="23">
        <v>5</v>
      </c>
      <c r="B6" s="24" t="s">
        <v>76</v>
      </c>
      <c r="C6" s="20">
        <f>SUMIF('Data Combile'!$D:$D,$B6,'Data Combile'!F:F)</f>
        <v>983000</v>
      </c>
      <c r="D6" s="20">
        <f>SUMIF('Data Combile'!$D:$D,$B6,'Data Combile'!G:G)</f>
        <v>0</v>
      </c>
      <c r="E6" s="20">
        <f>SUMIF('Data Combile'!$D:$D,$B6,'Data Combile'!H:H)</f>
        <v>0</v>
      </c>
      <c r="F6" s="20">
        <f>SUMIF('Data Combile'!$D:$D,$B6,'Data Combile'!I:I)</f>
        <v>983000</v>
      </c>
      <c r="G6" s="1"/>
      <c r="H6" s="1"/>
      <c r="K6" s="12"/>
    </row>
    <row r="7" spans="1:11" x14ac:dyDescent="0.55000000000000004">
      <c r="A7" s="23">
        <v>6</v>
      </c>
      <c r="B7" s="24" t="s">
        <v>75</v>
      </c>
      <c r="C7" s="20">
        <f>SUMIF('Data Combile'!$D:$D,$B7,'Data Combile'!F:F)</f>
        <v>16740000</v>
      </c>
      <c r="D7" s="20">
        <f>SUMIF('Data Combile'!$D:$D,$B7,'Data Combile'!G:G)</f>
        <v>0</v>
      </c>
      <c r="E7" s="20">
        <f>SUMIF('Data Combile'!$D:$D,$B7,'Data Combile'!H:H)</f>
        <v>0</v>
      </c>
      <c r="F7" s="20">
        <f>SUMIF('Data Combile'!$D:$D,$B7,'Data Combile'!I:I)</f>
        <v>16740000</v>
      </c>
      <c r="G7" s="1"/>
      <c r="H7" s="1"/>
      <c r="K7" s="12"/>
    </row>
    <row r="8" spans="1:11" x14ac:dyDescent="0.55000000000000004">
      <c r="A8" s="23">
        <v>7</v>
      </c>
      <c r="B8" s="24" t="s">
        <v>29</v>
      </c>
      <c r="C8" s="20">
        <f>SUMIF('Data Combile'!$D:$D,$B8,'Data Combile'!F:F)</f>
        <v>0</v>
      </c>
      <c r="D8" s="20">
        <f>SUMIF('Data Combile'!$D:$D,$B8,'Data Combile'!G:G)</f>
        <v>0</v>
      </c>
      <c r="E8" s="20">
        <f>SUMIF('Data Combile'!$D:$D,$B8,'Data Combile'!H:H)</f>
        <v>0</v>
      </c>
      <c r="F8" s="20">
        <f>SUMIF('Data Combile'!$D:$D,$B8,'Data Combile'!I:I)</f>
        <v>0</v>
      </c>
      <c r="G8" s="1"/>
      <c r="H8" s="1"/>
      <c r="K8" s="12"/>
    </row>
    <row r="9" spans="1:11" x14ac:dyDescent="0.55000000000000004">
      <c r="A9" s="23">
        <v>8</v>
      </c>
      <c r="B9" s="24" t="s">
        <v>77</v>
      </c>
      <c r="C9" s="20">
        <f>SUMIF('Data Combile'!$D:$D,$B9,'Data Combile'!F:F)</f>
        <v>1657480</v>
      </c>
      <c r="D9" s="20">
        <f>SUMIF('Data Combile'!$D:$D,$B9,'Data Combile'!G:G)</f>
        <v>0</v>
      </c>
      <c r="E9" s="20">
        <f>SUMIF('Data Combile'!$D:$D,$B9,'Data Combile'!H:H)</f>
        <v>0</v>
      </c>
      <c r="F9" s="20">
        <f>SUMIF('Data Combile'!$D:$D,$B9,'Data Combile'!I:I)</f>
        <v>1657480</v>
      </c>
      <c r="G9" s="1"/>
      <c r="H9" s="1"/>
      <c r="K9" s="12"/>
    </row>
    <row r="10" spans="1:11" x14ac:dyDescent="0.55000000000000004">
      <c r="A10" s="23">
        <v>9</v>
      </c>
      <c r="B10" s="24" t="s">
        <v>58</v>
      </c>
      <c r="C10" s="20">
        <f>SUMIF('Data Combile'!$D:$D,$B10,'Data Combile'!F:F)</f>
        <v>0</v>
      </c>
      <c r="D10" s="20">
        <f>SUMIF('Data Combile'!$D:$D,$B10,'Data Combile'!G:G)</f>
        <v>0</v>
      </c>
      <c r="E10" s="20">
        <f>SUMIF('Data Combile'!$D:$D,$B10,'Data Combile'!H:H)</f>
        <v>0</v>
      </c>
      <c r="F10" s="20">
        <f>SUMIF('Data Combile'!$D:$D,$B10,'Data Combile'!I:I)</f>
        <v>0</v>
      </c>
      <c r="G10" s="1"/>
      <c r="H10" s="1"/>
      <c r="K10" s="12"/>
    </row>
    <row r="11" spans="1:11" x14ac:dyDescent="0.55000000000000004">
      <c r="A11" s="23">
        <v>10</v>
      </c>
      <c r="B11" s="24" t="s">
        <v>42</v>
      </c>
      <c r="C11" s="20">
        <f>SUMIF('Data Combile'!$D:$D,$B11,'Data Combile'!F:F)</f>
        <v>0</v>
      </c>
      <c r="D11" s="20">
        <f>SUMIF('Data Combile'!$D:$D,$B11,'Data Combile'!G:G)</f>
        <v>0</v>
      </c>
      <c r="E11" s="20">
        <f>SUMIF('Data Combile'!$D:$D,$B11,'Data Combile'!H:H)</f>
        <v>0</v>
      </c>
      <c r="F11" s="20">
        <f>SUMIF('Data Combile'!$D:$D,$B11,'Data Combile'!I:I)</f>
        <v>0</v>
      </c>
      <c r="G11" s="1"/>
      <c r="H11" s="1"/>
      <c r="K11" s="12"/>
    </row>
    <row r="12" spans="1:11" x14ac:dyDescent="0.55000000000000004">
      <c r="A12" s="23">
        <v>11</v>
      </c>
      <c r="B12" s="24" t="s">
        <v>78</v>
      </c>
      <c r="C12" s="20">
        <f>SUMIF('Data Combile'!$D:$D,$B12,'Data Combile'!F:F)</f>
        <v>0</v>
      </c>
      <c r="D12" s="20">
        <f>SUMIF('Data Combile'!$D:$D,$B12,'Data Combile'!G:G)</f>
        <v>0</v>
      </c>
      <c r="E12" s="20">
        <f>SUMIF('Data Combile'!$D:$D,$B12,'Data Combile'!H:H)</f>
        <v>0</v>
      </c>
      <c r="F12" s="20">
        <f>SUMIF('Data Combile'!$D:$D,$B12,'Data Combile'!I:I)</f>
        <v>0</v>
      </c>
      <c r="K12" s="12"/>
    </row>
    <row r="13" spans="1:11" x14ac:dyDescent="0.55000000000000004">
      <c r="A13" s="23">
        <v>12</v>
      </c>
      <c r="B13" s="24" t="s">
        <v>44</v>
      </c>
      <c r="C13" s="20">
        <f>SUMIF('Data Combile'!$D:$D,$B13,'Data Combile'!F:F)</f>
        <v>2208992</v>
      </c>
      <c r="D13" s="20">
        <f>SUMIF('Data Combile'!$D:$D,$B13,'Data Combile'!G:G)</f>
        <v>0</v>
      </c>
      <c r="E13" s="20">
        <f>SUMIF('Data Combile'!$D:$D,$B13,'Data Combile'!H:H)</f>
        <v>0</v>
      </c>
      <c r="F13" s="20">
        <f>SUMIF('Data Combile'!$D:$D,$B13,'Data Combile'!I:I)</f>
        <v>2208992</v>
      </c>
      <c r="K13" s="12"/>
    </row>
    <row r="14" spans="1:11" x14ac:dyDescent="0.55000000000000004">
      <c r="A14" s="23">
        <v>13</v>
      </c>
      <c r="B14" s="24" t="s">
        <v>79</v>
      </c>
      <c r="C14" s="20">
        <f>SUMIF('Data Combile'!$D:$D,$B14,'Data Combile'!F:F)</f>
        <v>837010</v>
      </c>
      <c r="D14" s="20">
        <f>SUMIF('Data Combile'!$D:$D,$B14,'Data Combile'!G:G)</f>
        <v>0</v>
      </c>
      <c r="E14" s="20">
        <f>SUMIF('Data Combile'!$D:$D,$B14,'Data Combile'!H:H)</f>
        <v>0</v>
      </c>
      <c r="F14" s="20">
        <f>SUMIF('Data Combile'!$D:$D,$B14,'Data Combile'!I:I)</f>
        <v>837010</v>
      </c>
      <c r="K14" s="12"/>
    </row>
    <row r="15" spans="1:11" x14ac:dyDescent="0.55000000000000004">
      <c r="A15" s="23">
        <v>14</v>
      </c>
      <c r="B15" s="24" t="s">
        <v>80</v>
      </c>
      <c r="C15" s="20">
        <f>SUMIF('Data Combile'!$D:$D,$B15,'Data Combile'!F:F)</f>
        <v>188580</v>
      </c>
      <c r="D15" s="20">
        <f>SUMIF('Data Combile'!$D:$D,$B15,'Data Combile'!G:G)</f>
        <v>0</v>
      </c>
      <c r="E15" s="20">
        <f>SUMIF('Data Combile'!$D:$D,$B15,'Data Combile'!H:H)</f>
        <v>0</v>
      </c>
      <c r="F15" s="20">
        <f>SUMIF('Data Combile'!$D:$D,$B15,'Data Combile'!I:I)</f>
        <v>188580</v>
      </c>
      <c r="K15" s="12"/>
    </row>
    <row r="16" spans="1:11" x14ac:dyDescent="0.55000000000000004">
      <c r="A16" s="23">
        <v>15</v>
      </c>
      <c r="B16" s="24" t="s">
        <v>48</v>
      </c>
      <c r="C16" s="20">
        <f>SUMIF('Data Combile'!$D:$D,$B16,'Data Combile'!F:F)</f>
        <v>1215000</v>
      </c>
      <c r="D16" s="20">
        <f>SUMIF('Data Combile'!$D:$D,$B16,'Data Combile'!G:G)</f>
        <v>1127500</v>
      </c>
      <c r="E16" s="20">
        <f>SUMIF('Data Combile'!$D:$D,$B16,'Data Combile'!H:H)</f>
        <v>1000000</v>
      </c>
      <c r="F16" s="20">
        <f>SUMIF('Data Combile'!$D:$D,$B16,'Data Combile'!I:I)</f>
        <v>1342500</v>
      </c>
      <c r="K16" s="12"/>
    </row>
    <row r="17" spans="1:11" x14ac:dyDescent="0.55000000000000004">
      <c r="A17" s="23">
        <v>16</v>
      </c>
      <c r="B17" s="24" t="s">
        <v>50</v>
      </c>
      <c r="C17" s="20">
        <f>SUMIF('Data Combile'!$D:$D,$B17,'Data Combile'!F:F)</f>
        <v>0</v>
      </c>
      <c r="D17" s="20">
        <f>SUMIF('Data Combile'!$D:$D,$B17,'Data Combile'!G:G)</f>
        <v>0</v>
      </c>
      <c r="E17" s="20">
        <f>SUMIF('Data Combile'!$D:$D,$B17,'Data Combile'!H:H)</f>
        <v>0</v>
      </c>
      <c r="F17" s="20">
        <f>SUMIF('Data Combile'!$D:$D,$B17,'Data Combile'!I:I)</f>
        <v>0</v>
      </c>
      <c r="K17" s="12"/>
    </row>
    <row r="18" spans="1:11" x14ac:dyDescent="0.55000000000000004">
      <c r="A18" s="23">
        <v>17</v>
      </c>
      <c r="B18" s="24" t="s">
        <v>65</v>
      </c>
      <c r="C18" s="20">
        <f>SUMIF('Data Combile'!$D:$D,$B18,'Data Combile'!F:F)</f>
        <v>0</v>
      </c>
      <c r="D18" s="20">
        <f>SUMIF('Data Combile'!$D:$D,$B18,'Data Combile'!G:G)</f>
        <v>0</v>
      </c>
      <c r="E18" s="20">
        <f>SUMIF('Data Combile'!$D:$D,$B18,'Data Combile'!H:H)</f>
        <v>0</v>
      </c>
      <c r="F18" s="20">
        <f>SUMIF('Data Combile'!$D:$D,$B18,'Data Combile'!I:I)</f>
        <v>0</v>
      </c>
      <c r="K18" s="12"/>
    </row>
    <row r="19" spans="1:11" x14ac:dyDescent="0.55000000000000004">
      <c r="A19" s="23">
        <v>18</v>
      </c>
      <c r="B19" s="24" t="s">
        <v>81</v>
      </c>
      <c r="C19" s="20">
        <f>SUMIF('Data Combile'!$D:$D,$B19,'Data Combile'!F:F)</f>
        <v>0</v>
      </c>
      <c r="D19" s="20">
        <f>SUMIF('Data Combile'!$D:$D,$B19,'Data Combile'!G:G)</f>
        <v>0</v>
      </c>
      <c r="E19" s="20">
        <f>SUMIF('Data Combile'!$D:$D,$B19,'Data Combile'!H:H)</f>
        <v>0</v>
      </c>
      <c r="F19" s="20">
        <f>SUMIF('Data Combile'!$D:$D,$B19,'Data Combile'!I:I)</f>
        <v>0</v>
      </c>
      <c r="K19" s="12"/>
    </row>
    <row r="20" spans="1:11" x14ac:dyDescent="0.55000000000000004">
      <c r="A20" s="23">
        <v>19</v>
      </c>
      <c r="B20" s="24" t="s">
        <v>82</v>
      </c>
      <c r="C20" s="20">
        <f>SUMIF('Data Combile'!$D:$D,$B20,'Data Combile'!F:F)</f>
        <v>143000</v>
      </c>
      <c r="D20" s="20">
        <f>SUMIF('Data Combile'!$D:$D,$B20,'Data Combile'!G:G)</f>
        <v>0</v>
      </c>
      <c r="E20" s="20">
        <f>SUMIF('Data Combile'!$D:$D,$B20,'Data Combile'!H:H)</f>
        <v>0</v>
      </c>
      <c r="F20" s="20">
        <f>SUMIF('Data Combile'!$D:$D,$B20,'Data Combile'!I:I)</f>
        <v>143000</v>
      </c>
      <c r="K20" s="12"/>
    </row>
    <row r="21" spans="1:11" x14ac:dyDescent="0.55000000000000004">
      <c r="A21" s="23">
        <v>20</v>
      </c>
      <c r="B21" s="24" t="s">
        <v>56</v>
      </c>
      <c r="C21" s="20">
        <f>SUMIF('Data Combile'!$D:$D,$B21,'Data Combile'!F:F)</f>
        <v>241207</v>
      </c>
      <c r="D21" s="20">
        <f>SUMIF('Data Combile'!$D:$D,$B21,'Data Combile'!G:G)</f>
        <v>448295</v>
      </c>
      <c r="E21" s="20">
        <f>SUMIF('Data Combile'!$D:$D,$B21,'Data Combile'!H:H)</f>
        <v>0</v>
      </c>
      <c r="F21" s="20">
        <f>SUMIF('Data Combile'!$D:$D,$B21,'Data Combile'!I:I)</f>
        <v>689502</v>
      </c>
      <c r="K21"/>
    </row>
    <row r="22" spans="1:11" x14ac:dyDescent="0.55000000000000004">
      <c r="K22"/>
    </row>
    <row r="23" spans="1:11" ht="22.5" thickBot="1" x14ac:dyDescent="0.6">
      <c r="B23" s="26" t="s">
        <v>83</v>
      </c>
      <c r="C23" s="25">
        <f>SUM(C2:C22)</f>
        <v>27068432</v>
      </c>
      <c r="D23" s="25">
        <f>SUM(D2:D22)</f>
        <v>1922923</v>
      </c>
      <c r="E23" s="25">
        <f>SUM(ZAN_25[Payment])</f>
        <v>1510800</v>
      </c>
      <c r="F23" s="25">
        <f>SUM(ZAN_25[Balance])</f>
        <v>27480555</v>
      </c>
      <c r="K23"/>
    </row>
    <row r="24" spans="1:11" ht="22.5" thickTop="1" x14ac:dyDescent="0.55000000000000004">
      <c r="K24"/>
    </row>
    <row r="25" spans="1:11" x14ac:dyDescent="0.55000000000000004">
      <c r="K25"/>
    </row>
    <row r="26" spans="1:11" x14ac:dyDescent="0.55000000000000004">
      <c r="K26"/>
    </row>
    <row r="27" spans="1:11" x14ac:dyDescent="0.55000000000000004">
      <c r="K27"/>
    </row>
  </sheetData>
  <pageMargins left="0.2" right="0.2" top="0.75" bottom="0.75" header="0.3" footer="0.3"/>
  <pageSetup paperSize="11" scale="70" orientation="portrait" verticalDpi="0" r:id="rId1"/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F37"/>
  <sheetViews>
    <sheetView workbookViewId="0">
      <selection activeCell="B13" sqref="B13"/>
    </sheetView>
  </sheetViews>
  <sheetFormatPr defaultRowHeight="21.75" x14ac:dyDescent="0.55000000000000004"/>
  <cols>
    <col min="1" max="1" width="38.7109375" style="43" bestFit="1" customWidth="1"/>
    <col min="2" max="2" width="35" style="43" bestFit="1" customWidth="1"/>
    <col min="3" max="3" width="27.85546875" style="119" customWidth="1"/>
    <col min="4" max="4" width="29.140625" style="119" customWidth="1"/>
    <col min="5" max="5" width="25" style="119" customWidth="1"/>
    <col min="6" max="6" width="27.28515625" style="119" customWidth="1"/>
    <col min="7" max="16384" width="9.140625" style="43"/>
  </cols>
  <sheetData>
    <row r="1" spans="1:6" x14ac:dyDescent="0.55000000000000004">
      <c r="A1" s="120" t="s">
        <v>88</v>
      </c>
      <c r="B1" s="120" t="s">
        <v>89</v>
      </c>
      <c r="C1" s="119" t="s">
        <v>116</v>
      </c>
      <c r="D1" s="119" t="s">
        <v>115</v>
      </c>
      <c r="E1" s="119" t="s">
        <v>114</v>
      </c>
      <c r="F1" s="119" t="s">
        <v>113</v>
      </c>
    </row>
    <row r="2" spans="1:6" x14ac:dyDescent="0.55000000000000004">
      <c r="A2" s="43" t="s">
        <v>9</v>
      </c>
      <c r="B2" s="43" t="s">
        <v>5</v>
      </c>
      <c r="C2" s="119">
        <v>586620</v>
      </c>
      <c r="F2" s="119">
        <v>586620</v>
      </c>
    </row>
    <row r="3" spans="1:6" x14ac:dyDescent="0.55000000000000004">
      <c r="A3" s="43" t="s">
        <v>15</v>
      </c>
      <c r="B3" s="43" t="s">
        <v>5</v>
      </c>
      <c r="C3" s="119">
        <v>306000</v>
      </c>
      <c r="F3" s="119">
        <v>306000</v>
      </c>
    </row>
    <row r="4" spans="1:6" x14ac:dyDescent="0.55000000000000004">
      <c r="A4" s="43" t="s">
        <v>18</v>
      </c>
      <c r="B4" s="43" t="s">
        <v>104</v>
      </c>
      <c r="D4" s="119">
        <v>146050</v>
      </c>
      <c r="F4" s="119">
        <v>146050</v>
      </c>
    </row>
    <row r="5" spans="1:6" x14ac:dyDescent="0.55000000000000004">
      <c r="A5" s="43" t="s">
        <v>18</v>
      </c>
      <c r="B5" s="43" t="s">
        <v>103</v>
      </c>
      <c r="D5" s="119">
        <v>50650</v>
      </c>
      <c r="F5" s="119">
        <v>50650</v>
      </c>
    </row>
    <row r="6" spans="1:6" x14ac:dyDescent="0.55000000000000004">
      <c r="A6" s="43" t="s">
        <v>18</v>
      </c>
      <c r="B6" s="43" t="s">
        <v>5</v>
      </c>
      <c r="C6" s="119">
        <v>870583</v>
      </c>
      <c r="F6" s="119">
        <v>870583</v>
      </c>
    </row>
    <row r="7" spans="1:6" x14ac:dyDescent="0.55000000000000004">
      <c r="A7" s="43" t="s">
        <v>18</v>
      </c>
      <c r="B7" s="43" t="s">
        <v>102</v>
      </c>
      <c r="D7" s="119">
        <v>39528</v>
      </c>
      <c r="F7" s="119">
        <v>39528</v>
      </c>
    </row>
    <row r="8" spans="1:6" x14ac:dyDescent="0.55000000000000004">
      <c r="A8" s="43" t="s">
        <v>18</v>
      </c>
      <c r="B8" s="43" t="s">
        <v>105</v>
      </c>
      <c r="D8" s="119">
        <v>110900</v>
      </c>
      <c r="F8" s="119">
        <v>110900</v>
      </c>
    </row>
    <row r="9" spans="1:6" x14ac:dyDescent="0.55000000000000004">
      <c r="A9" s="43" t="s">
        <v>18</v>
      </c>
      <c r="B9" s="43" t="s">
        <v>84</v>
      </c>
      <c r="E9" s="119">
        <v>500000</v>
      </c>
      <c r="F9" s="119">
        <v>-500000</v>
      </c>
    </row>
    <row r="10" spans="1:6" x14ac:dyDescent="0.55000000000000004">
      <c r="A10" s="43" t="s">
        <v>18</v>
      </c>
      <c r="B10" s="43" t="s">
        <v>108</v>
      </c>
      <c r="E10" s="119">
        <v>10800</v>
      </c>
      <c r="F10" s="119">
        <v>-10800</v>
      </c>
    </row>
    <row r="11" spans="1:6" x14ac:dyDescent="0.55000000000000004">
      <c r="A11" s="43" t="s">
        <v>74</v>
      </c>
      <c r="B11" s="43" t="s">
        <v>5</v>
      </c>
      <c r="C11" s="119">
        <v>1090960</v>
      </c>
      <c r="F11" s="119">
        <v>1090960</v>
      </c>
    </row>
    <row r="12" spans="1:6" x14ac:dyDescent="0.55000000000000004">
      <c r="A12" s="43" t="s">
        <v>76</v>
      </c>
      <c r="B12" s="43" t="s">
        <v>5</v>
      </c>
      <c r="C12" s="119">
        <v>983000</v>
      </c>
      <c r="F12" s="119">
        <v>983000</v>
      </c>
    </row>
    <row r="13" spans="1:6" x14ac:dyDescent="0.55000000000000004">
      <c r="A13" s="43" t="s">
        <v>75</v>
      </c>
      <c r="B13" s="43" t="s">
        <v>5</v>
      </c>
      <c r="C13" s="119">
        <v>16740000</v>
      </c>
      <c r="F13" s="119">
        <v>16740000</v>
      </c>
    </row>
    <row r="14" spans="1:6" x14ac:dyDescent="0.55000000000000004">
      <c r="A14" s="43" t="s">
        <v>29</v>
      </c>
      <c r="B14" s="43" t="s">
        <v>5</v>
      </c>
      <c r="F14" s="119">
        <v>0</v>
      </c>
    </row>
    <row r="15" spans="1:6" x14ac:dyDescent="0.55000000000000004">
      <c r="A15" s="43" t="s">
        <v>77</v>
      </c>
      <c r="B15" s="43" t="s">
        <v>5</v>
      </c>
      <c r="C15" s="119">
        <v>1657480</v>
      </c>
      <c r="F15" s="119">
        <v>1657480</v>
      </c>
    </row>
    <row r="16" spans="1:6" x14ac:dyDescent="0.55000000000000004">
      <c r="A16" s="43" t="s">
        <v>58</v>
      </c>
      <c r="B16" s="43" t="s">
        <v>5</v>
      </c>
      <c r="F16" s="119">
        <v>0</v>
      </c>
    </row>
    <row r="17" spans="1:6" x14ac:dyDescent="0.55000000000000004">
      <c r="A17" s="43" t="s">
        <v>42</v>
      </c>
      <c r="B17" s="43" t="s">
        <v>5</v>
      </c>
      <c r="C17" s="119">
        <v>0</v>
      </c>
      <c r="F17" s="119">
        <v>0</v>
      </c>
    </row>
    <row r="18" spans="1:6" x14ac:dyDescent="0.55000000000000004">
      <c r="A18" s="43" t="s">
        <v>78</v>
      </c>
      <c r="B18" s="43" t="s">
        <v>5</v>
      </c>
      <c r="C18" s="119">
        <v>0</v>
      </c>
      <c r="F18" s="119">
        <v>0</v>
      </c>
    </row>
    <row r="19" spans="1:6" x14ac:dyDescent="0.55000000000000004">
      <c r="A19" s="43" t="s">
        <v>44</v>
      </c>
      <c r="B19" s="43" t="s">
        <v>5</v>
      </c>
      <c r="C19" s="119">
        <v>2208992</v>
      </c>
      <c r="F19" s="119">
        <v>2208992</v>
      </c>
    </row>
    <row r="20" spans="1:6" x14ac:dyDescent="0.55000000000000004">
      <c r="A20" s="43" t="s">
        <v>79</v>
      </c>
      <c r="B20" s="43" t="s">
        <v>5</v>
      </c>
      <c r="C20" s="119">
        <v>837010</v>
      </c>
      <c r="F20" s="119">
        <v>837010</v>
      </c>
    </row>
    <row r="21" spans="1:6" x14ac:dyDescent="0.55000000000000004">
      <c r="A21" s="43" t="s">
        <v>80</v>
      </c>
      <c r="B21" s="43" t="s">
        <v>5</v>
      </c>
      <c r="C21" s="119">
        <v>188580</v>
      </c>
      <c r="F21" s="119">
        <v>188580</v>
      </c>
    </row>
    <row r="22" spans="1:6" x14ac:dyDescent="0.55000000000000004">
      <c r="A22" s="43" t="s">
        <v>48</v>
      </c>
      <c r="B22" s="43" t="s">
        <v>106</v>
      </c>
      <c r="D22" s="119">
        <v>614500</v>
      </c>
      <c r="F22" s="119">
        <v>614500</v>
      </c>
    </row>
    <row r="23" spans="1:6" x14ac:dyDescent="0.55000000000000004">
      <c r="A23" s="43" t="s">
        <v>48</v>
      </c>
      <c r="B23" s="43" t="s">
        <v>99</v>
      </c>
      <c r="D23" s="119">
        <v>8000</v>
      </c>
      <c r="F23" s="119">
        <v>8000</v>
      </c>
    </row>
    <row r="24" spans="1:6" x14ac:dyDescent="0.55000000000000004">
      <c r="A24" s="43" t="s">
        <v>48</v>
      </c>
      <c r="B24" s="43" t="s">
        <v>100</v>
      </c>
      <c r="D24" s="119">
        <v>310000</v>
      </c>
      <c r="F24" s="119">
        <v>310000</v>
      </c>
    </row>
    <row r="25" spans="1:6" x14ac:dyDescent="0.55000000000000004">
      <c r="A25" s="43" t="s">
        <v>48</v>
      </c>
      <c r="B25" s="43" t="s">
        <v>97</v>
      </c>
      <c r="D25" s="119">
        <v>160000</v>
      </c>
      <c r="F25" s="119">
        <v>160000</v>
      </c>
    </row>
    <row r="26" spans="1:6" x14ac:dyDescent="0.55000000000000004">
      <c r="A26" s="43" t="s">
        <v>48</v>
      </c>
      <c r="B26" s="43" t="s">
        <v>5</v>
      </c>
      <c r="C26" s="119">
        <v>1215000</v>
      </c>
      <c r="F26" s="119">
        <v>1215000</v>
      </c>
    </row>
    <row r="27" spans="1:6" x14ac:dyDescent="0.55000000000000004">
      <c r="A27" s="43" t="s">
        <v>48</v>
      </c>
      <c r="B27" s="43" t="s">
        <v>98</v>
      </c>
      <c r="D27" s="119">
        <v>35000</v>
      </c>
      <c r="F27" s="119">
        <v>35000</v>
      </c>
    </row>
    <row r="28" spans="1:6" x14ac:dyDescent="0.55000000000000004">
      <c r="A28" s="43" t="s">
        <v>48</v>
      </c>
      <c r="B28" s="43" t="s">
        <v>84</v>
      </c>
      <c r="E28" s="119">
        <v>1000000</v>
      </c>
      <c r="F28" s="119">
        <v>-1000000</v>
      </c>
    </row>
    <row r="29" spans="1:6" x14ac:dyDescent="0.55000000000000004">
      <c r="A29" s="43" t="s">
        <v>50</v>
      </c>
      <c r="B29" s="43" t="s">
        <v>5</v>
      </c>
      <c r="F29" s="119">
        <v>0</v>
      </c>
    </row>
    <row r="30" spans="1:6" x14ac:dyDescent="0.55000000000000004">
      <c r="A30" s="43" t="s">
        <v>65</v>
      </c>
      <c r="B30" s="43" t="s">
        <v>5</v>
      </c>
      <c r="C30" s="119">
        <v>0</v>
      </c>
      <c r="F30" s="119">
        <v>0</v>
      </c>
    </row>
    <row r="31" spans="1:6" x14ac:dyDescent="0.55000000000000004">
      <c r="A31" s="43" t="s">
        <v>81</v>
      </c>
      <c r="B31" s="43" t="s">
        <v>5</v>
      </c>
      <c r="C31" s="119">
        <v>0</v>
      </c>
      <c r="F31" s="119">
        <v>0</v>
      </c>
    </row>
    <row r="32" spans="1:6" x14ac:dyDescent="0.55000000000000004">
      <c r="A32" s="43" t="s">
        <v>82</v>
      </c>
      <c r="B32" s="43" t="s">
        <v>5</v>
      </c>
      <c r="C32" s="119">
        <v>143000</v>
      </c>
      <c r="F32" s="119">
        <v>143000</v>
      </c>
    </row>
    <row r="33" spans="1:6" x14ac:dyDescent="0.55000000000000004">
      <c r="A33" s="43" t="s">
        <v>56</v>
      </c>
      <c r="B33" s="43" t="s">
        <v>5</v>
      </c>
      <c r="C33" s="119">
        <v>241207</v>
      </c>
      <c r="F33" s="119">
        <v>241207</v>
      </c>
    </row>
    <row r="34" spans="1:6" x14ac:dyDescent="0.55000000000000004">
      <c r="A34" s="43" t="s">
        <v>56</v>
      </c>
      <c r="B34" s="43" t="s">
        <v>101</v>
      </c>
      <c r="D34" s="119">
        <v>219711</v>
      </c>
      <c r="F34" s="119">
        <v>219711</v>
      </c>
    </row>
    <row r="35" spans="1:6" x14ac:dyDescent="0.55000000000000004">
      <c r="A35" s="43" t="s">
        <v>56</v>
      </c>
      <c r="B35" s="43" t="s">
        <v>107</v>
      </c>
      <c r="D35" s="119">
        <v>228584</v>
      </c>
      <c r="F35" s="119">
        <v>228584</v>
      </c>
    </row>
    <row r="36" spans="1:6" x14ac:dyDescent="0.55000000000000004">
      <c r="A36" s="43" t="s">
        <v>111</v>
      </c>
      <c r="B36" s="43" t="s">
        <v>111</v>
      </c>
    </row>
    <row r="37" spans="1:6" x14ac:dyDescent="0.55000000000000004">
      <c r="A37" s="43" t="s">
        <v>112</v>
      </c>
      <c r="C37" s="119">
        <v>27068432</v>
      </c>
      <c r="D37" s="119">
        <v>1922923</v>
      </c>
      <c r="E37" s="119">
        <v>1510800</v>
      </c>
      <c r="F37" s="119">
        <v>27480555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J73"/>
  <sheetViews>
    <sheetView topLeftCell="A2" workbookViewId="0">
      <selection activeCell="B3" sqref="B3"/>
    </sheetView>
  </sheetViews>
  <sheetFormatPr defaultRowHeight="21.75" x14ac:dyDescent="0.55000000000000004"/>
  <cols>
    <col min="1" max="1" width="15.140625" style="118" bestFit="1" customWidth="1"/>
    <col min="2" max="2" width="16.28515625" style="43" bestFit="1" customWidth="1"/>
    <col min="3" max="3" width="18.7109375" style="43" bestFit="1" customWidth="1"/>
    <col min="4" max="4" width="25.140625" style="43" bestFit="1" customWidth="1"/>
    <col min="5" max="5" width="35" style="43" bestFit="1" customWidth="1"/>
    <col min="6" max="6" width="18.7109375" style="119" bestFit="1" customWidth="1"/>
    <col min="7" max="7" width="19.140625" style="119" bestFit="1" customWidth="1"/>
    <col min="8" max="8" width="19" style="119" bestFit="1" customWidth="1"/>
    <col min="9" max="9" width="18" style="119" bestFit="1" customWidth="1"/>
    <col min="10" max="10" width="23" style="119" bestFit="1" customWidth="1"/>
    <col min="11" max="16384" width="9.140625" style="43"/>
  </cols>
  <sheetData>
    <row r="1" spans="1:10" x14ac:dyDescent="0.55000000000000004">
      <c r="A1" s="118" t="s">
        <v>85</v>
      </c>
      <c r="B1" s="49" t="s">
        <v>86</v>
      </c>
      <c r="C1" s="49" t="s">
        <v>87</v>
      </c>
      <c r="D1" s="49" t="s">
        <v>88</v>
      </c>
      <c r="E1" s="49" t="s">
        <v>89</v>
      </c>
      <c r="F1" s="119" t="s">
        <v>90</v>
      </c>
      <c r="G1" s="119" t="s">
        <v>91</v>
      </c>
      <c r="H1" s="119" t="s">
        <v>92</v>
      </c>
      <c r="I1" s="119" t="s">
        <v>93</v>
      </c>
      <c r="J1" s="119" t="s">
        <v>110</v>
      </c>
    </row>
    <row r="2" spans="1:10" x14ac:dyDescent="0.55000000000000004">
      <c r="A2" s="118">
        <v>44378</v>
      </c>
      <c r="B2" s="49"/>
      <c r="C2" s="49" t="s">
        <v>5</v>
      </c>
      <c r="D2" s="49" t="s">
        <v>9</v>
      </c>
      <c r="E2" s="49" t="s">
        <v>5</v>
      </c>
      <c r="F2" s="119">
        <v>586620</v>
      </c>
      <c r="I2" s="119">
        <v>586620</v>
      </c>
      <c r="J2" s="119">
        <v>586620</v>
      </c>
    </row>
    <row r="3" spans="1:10" x14ac:dyDescent="0.55000000000000004">
      <c r="A3" s="118">
        <v>44378</v>
      </c>
      <c r="B3" s="49"/>
      <c r="C3" s="49" t="s">
        <v>5</v>
      </c>
      <c r="D3" s="49" t="s">
        <v>15</v>
      </c>
      <c r="E3" s="49" t="s">
        <v>5</v>
      </c>
      <c r="F3" s="119">
        <v>306000</v>
      </c>
      <c r="I3" s="119">
        <v>306000</v>
      </c>
      <c r="J3" s="119">
        <v>306000</v>
      </c>
    </row>
    <row r="4" spans="1:10" x14ac:dyDescent="0.55000000000000004">
      <c r="A4" s="118">
        <v>44378</v>
      </c>
      <c r="B4" s="49"/>
      <c r="C4" s="49" t="s">
        <v>5</v>
      </c>
      <c r="D4" s="49" t="s">
        <v>18</v>
      </c>
      <c r="E4" s="49" t="s">
        <v>5</v>
      </c>
      <c r="F4" s="119">
        <v>870583</v>
      </c>
      <c r="I4" s="119">
        <v>870583</v>
      </c>
      <c r="J4" s="119">
        <v>870583</v>
      </c>
    </row>
    <row r="5" spans="1:10" x14ac:dyDescent="0.55000000000000004">
      <c r="A5" s="118">
        <v>44385</v>
      </c>
      <c r="B5" s="49">
        <v>49978</v>
      </c>
      <c r="C5" s="49" t="s">
        <v>6</v>
      </c>
      <c r="D5" s="49" t="s">
        <v>18</v>
      </c>
      <c r="E5" s="49" t="s">
        <v>102</v>
      </c>
      <c r="G5" s="119">
        <v>39528</v>
      </c>
      <c r="I5" s="119">
        <v>39528</v>
      </c>
      <c r="J5" s="119">
        <v>910111</v>
      </c>
    </row>
    <row r="6" spans="1:10" x14ac:dyDescent="0.55000000000000004">
      <c r="A6" s="118">
        <v>44382</v>
      </c>
      <c r="B6" s="49">
        <v>21651</v>
      </c>
      <c r="C6" s="49" t="s">
        <v>6</v>
      </c>
      <c r="D6" s="49" t="s">
        <v>18</v>
      </c>
      <c r="E6" s="49" t="s">
        <v>103</v>
      </c>
      <c r="G6" s="119">
        <v>50650</v>
      </c>
      <c r="I6" s="119">
        <v>50650</v>
      </c>
      <c r="J6" s="119">
        <v>960761</v>
      </c>
    </row>
    <row r="7" spans="1:10" x14ac:dyDescent="0.55000000000000004">
      <c r="A7" s="118">
        <v>44382</v>
      </c>
      <c r="B7" s="49">
        <v>21649</v>
      </c>
      <c r="C7" s="49" t="s">
        <v>6</v>
      </c>
      <c r="D7" s="49" t="s">
        <v>18</v>
      </c>
      <c r="E7" s="49" t="s">
        <v>104</v>
      </c>
      <c r="G7" s="119">
        <v>146050</v>
      </c>
      <c r="I7" s="119">
        <v>146050</v>
      </c>
      <c r="J7" s="119">
        <v>1106811</v>
      </c>
    </row>
    <row r="8" spans="1:10" x14ac:dyDescent="0.55000000000000004">
      <c r="A8" s="118">
        <v>44382</v>
      </c>
      <c r="B8" s="49">
        <v>49943</v>
      </c>
      <c r="C8" s="49" t="s">
        <v>6</v>
      </c>
      <c r="D8" s="49" t="s">
        <v>18</v>
      </c>
      <c r="E8" s="49" t="s">
        <v>105</v>
      </c>
      <c r="G8" s="119">
        <v>110900</v>
      </c>
      <c r="I8" s="119">
        <v>110900</v>
      </c>
      <c r="J8" s="119">
        <v>1217711</v>
      </c>
    </row>
    <row r="9" spans="1:10" x14ac:dyDescent="0.55000000000000004">
      <c r="A9" s="118">
        <v>44385</v>
      </c>
      <c r="B9" s="49"/>
      <c r="C9" s="49" t="s">
        <v>7</v>
      </c>
      <c r="D9" s="49" t="s">
        <v>18</v>
      </c>
      <c r="E9" s="49" t="s">
        <v>108</v>
      </c>
      <c r="H9" s="119">
        <v>10800</v>
      </c>
      <c r="I9" s="119">
        <v>-10800</v>
      </c>
      <c r="J9" s="119">
        <v>1206911</v>
      </c>
    </row>
    <row r="10" spans="1:10" x14ac:dyDescent="0.55000000000000004">
      <c r="A10" s="118">
        <v>44382</v>
      </c>
      <c r="B10" s="49"/>
      <c r="C10" s="49" t="s">
        <v>7</v>
      </c>
      <c r="D10" s="49" t="s">
        <v>18</v>
      </c>
      <c r="E10" s="49" t="s">
        <v>84</v>
      </c>
      <c r="H10" s="119">
        <v>500000</v>
      </c>
      <c r="I10" s="119">
        <v>-500000</v>
      </c>
      <c r="J10" s="119">
        <v>706911</v>
      </c>
    </row>
    <row r="11" spans="1:10" x14ac:dyDescent="0.55000000000000004">
      <c r="A11" s="118">
        <v>44378</v>
      </c>
      <c r="B11" s="49"/>
      <c r="C11" s="49" t="s">
        <v>5</v>
      </c>
      <c r="D11" s="49" t="s">
        <v>75</v>
      </c>
      <c r="E11" s="49" t="s">
        <v>5</v>
      </c>
      <c r="F11" s="119">
        <v>16740000</v>
      </c>
      <c r="I11" s="119">
        <v>16740000</v>
      </c>
      <c r="J11" s="119">
        <v>16740000</v>
      </c>
    </row>
    <row r="12" spans="1:10" x14ac:dyDescent="0.55000000000000004">
      <c r="A12" s="118">
        <v>44378</v>
      </c>
      <c r="B12" s="49"/>
      <c r="C12" s="49" t="s">
        <v>5</v>
      </c>
      <c r="D12" s="49" t="s">
        <v>74</v>
      </c>
      <c r="E12" s="49" t="s">
        <v>5</v>
      </c>
      <c r="F12" s="119">
        <v>1090960</v>
      </c>
      <c r="I12" s="119">
        <v>1090960</v>
      </c>
      <c r="J12" s="119">
        <v>1090960</v>
      </c>
    </row>
    <row r="13" spans="1:10" x14ac:dyDescent="0.55000000000000004">
      <c r="A13" s="118">
        <v>44378</v>
      </c>
      <c r="B13" s="49"/>
      <c r="C13" s="49" t="s">
        <v>5</v>
      </c>
      <c r="D13" s="49" t="s">
        <v>76</v>
      </c>
      <c r="E13" s="49" t="s">
        <v>5</v>
      </c>
      <c r="F13" s="119">
        <v>983000</v>
      </c>
      <c r="I13" s="119">
        <v>983000</v>
      </c>
      <c r="J13" s="119">
        <v>983000</v>
      </c>
    </row>
    <row r="14" spans="1:10" x14ac:dyDescent="0.55000000000000004">
      <c r="A14" s="118">
        <v>44378</v>
      </c>
      <c r="B14" s="49"/>
      <c r="C14" s="49" t="s">
        <v>5</v>
      </c>
      <c r="D14" s="49" t="s">
        <v>29</v>
      </c>
      <c r="E14" s="49" t="s">
        <v>5</v>
      </c>
      <c r="I14" s="119">
        <v>0</v>
      </c>
      <c r="J14" s="119">
        <v>0</v>
      </c>
    </row>
    <row r="15" spans="1:10" x14ac:dyDescent="0.55000000000000004">
      <c r="A15" s="118">
        <v>44378</v>
      </c>
      <c r="B15" s="49"/>
      <c r="C15" s="49" t="s">
        <v>5</v>
      </c>
      <c r="D15" s="49" t="s">
        <v>77</v>
      </c>
      <c r="E15" s="49" t="s">
        <v>5</v>
      </c>
      <c r="F15" s="119">
        <v>1657480</v>
      </c>
      <c r="I15" s="119">
        <v>1657480</v>
      </c>
      <c r="J15" s="119">
        <v>1657480</v>
      </c>
    </row>
    <row r="16" spans="1:10" x14ac:dyDescent="0.55000000000000004">
      <c r="A16" s="118">
        <v>44378</v>
      </c>
      <c r="B16" s="49"/>
      <c r="C16" s="49" t="s">
        <v>5</v>
      </c>
      <c r="D16" s="49" t="s">
        <v>58</v>
      </c>
      <c r="E16" s="49" t="s">
        <v>5</v>
      </c>
      <c r="I16" s="119">
        <v>0</v>
      </c>
      <c r="J16" s="119">
        <v>0</v>
      </c>
    </row>
    <row r="17" spans="1:10" x14ac:dyDescent="0.55000000000000004">
      <c r="A17" s="118">
        <v>44378</v>
      </c>
      <c r="B17" s="49"/>
      <c r="C17" s="49" t="s">
        <v>5</v>
      </c>
      <c r="D17" s="49" t="s">
        <v>42</v>
      </c>
      <c r="E17" s="49" t="s">
        <v>5</v>
      </c>
      <c r="F17" s="119">
        <v>0</v>
      </c>
      <c r="I17" s="119">
        <v>0</v>
      </c>
      <c r="J17" s="119">
        <v>0</v>
      </c>
    </row>
    <row r="18" spans="1:10" x14ac:dyDescent="0.55000000000000004">
      <c r="A18" s="118">
        <v>44378</v>
      </c>
      <c r="B18" s="49"/>
      <c r="C18" s="49" t="s">
        <v>5</v>
      </c>
      <c r="D18" s="49" t="s">
        <v>78</v>
      </c>
      <c r="E18" s="49" t="s">
        <v>5</v>
      </c>
      <c r="F18" s="119">
        <v>0</v>
      </c>
      <c r="I18" s="119">
        <v>0</v>
      </c>
      <c r="J18" s="119">
        <v>0</v>
      </c>
    </row>
    <row r="19" spans="1:10" x14ac:dyDescent="0.55000000000000004">
      <c r="A19" s="118">
        <v>44378</v>
      </c>
      <c r="B19" s="49"/>
      <c r="C19" s="49" t="s">
        <v>5</v>
      </c>
      <c r="D19" s="49" t="s">
        <v>44</v>
      </c>
      <c r="E19" s="49" t="s">
        <v>5</v>
      </c>
      <c r="F19" s="119">
        <v>2208992</v>
      </c>
      <c r="I19" s="119">
        <v>2208992</v>
      </c>
      <c r="J19" s="119">
        <v>2208992</v>
      </c>
    </row>
    <row r="20" spans="1:10" x14ac:dyDescent="0.55000000000000004">
      <c r="A20" s="118">
        <v>44378</v>
      </c>
      <c r="B20" s="49"/>
      <c r="C20" s="49" t="s">
        <v>5</v>
      </c>
      <c r="D20" s="49" t="s">
        <v>79</v>
      </c>
      <c r="E20" s="49" t="s">
        <v>5</v>
      </c>
      <c r="F20" s="119">
        <v>837010</v>
      </c>
      <c r="I20" s="119">
        <v>837010</v>
      </c>
      <c r="J20" s="119">
        <v>837010</v>
      </c>
    </row>
    <row r="21" spans="1:10" x14ac:dyDescent="0.55000000000000004">
      <c r="A21" s="118">
        <v>44378</v>
      </c>
      <c r="B21" s="49"/>
      <c r="C21" s="49" t="s">
        <v>5</v>
      </c>
      <c r="D21" s="49" t="s">
        <v>80</v>
      </c>
      <c r="E21" s="49" t="s">
        <v>5</v>
      </c>
      <c r="F21" s="119">
        <v>188580</v>
      </c>
      <c r="I21" s="119">
        <v>188580</v>
      </c>
      <c r="J21" s="119">
        <v>188580</v>
      </c>
    </row>
    <row r="22" spans="1:10" x14ac:dyDescent="0.55000000000000004">
      <c r="A22" s="118">
        <v>44378</v>
      </c>
      <c r="B22" s="49"/>
      <c r="C22" s="49" t="s">
        <v>5</v>
      </c>
      <c r="D22" s="49" t="s">
        <v>48</v>
      </c>
      <c r="E22" s="49" t="s">
        <v>5</v>
      </c>
      <c r="F22" s="119">
        <v>1215000</v>
      </c>
      <c r="I22" s="119">
        <v>1215000</v>
      </c>
      <c r="J22" s="119">
        <v>1215000</v>
      </c>
    </row>
    <row r="23" spans="1:10" x14ac:dyDescent="0.55000000000000004">
      <c r="A23" s="118">
        <v>44378</v>
      </c>
      <c r="B23" s="49">
        <v>70002</v>
      </c>
      <c r="C23" s="49" t="s">
        <v>6</v>
      </c>
      <c r="D23" s="49" t="s">
        <v>48</v>
      </c>
      <c r="E23" s="49" t="s">
        <v>97</v>
      </c>
      <c r="G23" s="119">
        <v>160000</v>
      </c>
      <c r="I23" s="119">
        <v>160000</v>
      </c>
      <c r="J23" s="119">
        <v>1375000</v>
      </c>
    </row>
    <row r="24" spans="1:10" x14ac:dyDescent="0.55000000000000004">
      <c r="A24" s="118">
        <v>44376</v>
      </c>
      <c r="B24" s="49">
        <v>60542</v>
      </c>
      <c r="C24" s="49" t="s">
        <v>6</v>
      </c>
      <c r="D24" s="49" t="s">
        <v>48</v>
      </c>
      <c r="E24" s="49" t="s">
        <v>98</v>
      </c>
      <c r="G24" s="119">
        <v>35000</v>
      </c>
      <c r="I24" s="119">
        <v>35000</v>
      </c>
      <c r="J24" s="119">
        <v>1410000</v>
      </c>
    </row>
    <row r="25" spans="1:10" x14ac:dyDescent="0.55000000000000004">
      <c r="A25" s="118">
        <v>44376</v>
      </c>
      <c r="B25" s="49">
        <v>60073</v>
      </c>
      <c r="C25" s="49" t="s">
        <v>6</v>
      </c>
      <c r="D25" s="49" t="s">
        <v>48</v>
      </c>
      <c r="E25" s="49" t="s">
        <v>99</v>
      </c>
      <c r="G25" s="119">
        <v>8000</v>
      </c>
      <c r="I25" s="119">
        <v>8000</v>
      </c>
      <c r="J25" s="119">
        <v>1418000</v>
      </c>
    </row>
    <row r="26" spans="1:10" x14ac:dyDescent="0.55000000000000004">
      <c r="A26" s="118">
        <v>44406</v>
      </c>
      <c r="B26" s="49">
        <v>60540</v>
      </c>
      <c r="C26" s="49" t="s">
        <v>6</v>
      </c>
      <c r="D26" s="49" t="s">
        <v>48</v>
      </c>
      <c r="E26" s="49" t="s">
        <v>100</v>
      </c>
      <c r="G26" s="119">
        <v>310000</v>
      </c>
      <c r="I26" s="119">
        <v>310000</v>
      </c>
      <c r="J26" s="119">
        <v>1728000</v>
      </c>
    </row>
    <row r="27" spans="1:10" x14ac:dyDescent="0.55000000000000004">
      <c r="A27" s="118">
        <v>44382</v>
      </c>
      <c r="B27" s="49">
        <v>70018</v>
      </c>
      <c r="C27" s="49" t="s">
        <v>6</v>
      </c>
      <c r="D27" s="49" t="s">
        <v>48</v>
      </c>
      <c r="E27" s="49" t="s">
        <v>106</v>
      </c>
      <c r="G27" s="119">
        <v>614500</v>
      </c>
      <c r="I27" s="119">
        <v>614500</v>
      </c>
      <c r="J27" s="119">
        <v>2342500</v>
      </c>
    </row>
    <row r="28" spans="1:10" x14ac:dyDescent="0.55000000000000004">
      <c r="A28" s="118">
        <v>44382</v>
      </c>
      <c r="B28" s="49">
        <v>1234</v>
      </c>
      <c r="C28" s="49" t="s">
        <v>7</v>
      </c>
      <c r="D28" s="49" t="s">
        <v>48</v>
      </c>
      <c r="E28" s="49" t="s">
        <v>84</v>
      </c>
      <c r="H28" s="119">
        <v>1000000</v>
      </c>
      <c r="I28" s="119">
        <v>-1000000</v>
      </c>
      <c r="J28" s="119">
        <v>1342500</v>
      </c>
    </row>
    <row r="29" spans="1:10" x14ac:dyDescent="0.55000000000000004">
      <c r="A29" s="118">
        <v>44378</v>
      </c>
      <c r="B29" s="49"/>
      <c r="C29" s="49" t="s">
        <v>5</v>
      </c>
      <c r="D29" s="49" t="s">
        <v>50</v>
      </c>
      <c r="E29" s="49" t="s">
        <v>5</v>
      </c>
      <c r="I29" s="119">
        <v>0</v>
      </c>
      <c r="J29" s="119">
        <v>0</v>
      </c>
    </row>
    <row r="30" spans="1:10" x14ac:dyDescent="0.55000000000000004">
      <c r="A30" s="118">
        <v>44378</v>
      </c>
      <c r="B30" s="49"/>
      <c r="C30" s="49" t="s">
        <v>5</v>
      </c>
      <c r="D30" s="49" t="s">
        <v>65</v>
      </c>
      <c r="E30" s="49" t="s">
        <v>5</v>
      </c>
      <c r="F30" s="119">
        <v>0</v>
      </c>
      <c r="I30" s="119">
        <v>0</v>
      </c>
      <c r="J30" s="119">
        <v>0</v>
      </c>
    </row>
    <row r="31" spans="1:10" x14ac:dyDescent="0.55000000000000004">
      <c r="A31" s="118">
        <v>44378</v>
      </c>
      <c r="B31" s="49"/>
      <c r="C31" s="49" t="s">
        <v>5</v>
      </c>
      <c r="D31" s="49" t="s">
        <v>81</v>
      </c>
      <c r="E31" s="49" t="s">
        <v>5</v>
      </c>
      <c r="F31" s="119">
        <v>0</v>
      </c>
      <c r="I31" s="119">
        <v>0</v>
      </c>
      <c r="J31" s="119">
        <v>0</v>
      </c>
    </row>
    <row r="32" spans="1:10" x14ac:dyDescent="0.55000000000000004">
      <c r="A32" s="118">
        <v>44378</v>
      </c>
      <c r="B32" s="49"/>
      <c r="C32" s="49" t="s">
        <v>5</v>
      </c>
      <c r="D32" s="49" t="s">
        <v>82</v>
      </c>
      <c r="E32" s="49" t="s">
        <v>5</v>
      </c>
      <c r="F32" s="119">
        <v>143000</v>
      </c>
      <c r="I32" s="119">
        <v>143000</v>
      </c>
      <c r="J32" s="119">
        <v>143000</v>
      </c>
    </row>
    <row r="33" spans="1:10" x14ac:dyDescent="0.55000000000000004">
      <c r="A33" s="118">
        <v>44378</v>
      </c>
      <c r="B33" s="49"/>
      <c r="C33" s="49" t="s">
        <v>5</v>
      </c>
      <c r="D33" s="49" t="s">
        <v>56</v>
      </c>
      <c r="E33" s="49" t="s">
        <v>5</v>
      </c>
      <c r="F33" s="119">
        <v>241207</v>
      </c>
      <c r="I33" s="119">
        <v>241207</v>
      </c>
      <c r="J33" s="119">
        <v>241207</v>
      </c>
    </row>
    <row r="34" spans="1:10" x14ac:dyDescent="0.55000000000000004">
      <c r="A34" s="118">
        <v>44377</v>
      </c>
      <c r="B34" s="49">
        <v>559211</v>
      </c>
      <c r="C34" s="49" t="s">
        <v>6</v>
      </c>
      <c r="D34" s="49" t="s">
        <v>56</v>
      </c>
      <c r="E34" s="49" t="s">
        <v>101</v>
      </c>
      <c r="G34" s="119">
        <v>219711</v>
      </c>
      <c r="I34" s="119">
        <v>219711</v>
      </c>
      <c r="J34" s="119">
        <v>460918</v>
      </c>
    </row>
    <row r="35" spans="1:10" x14ac:dyDescent="0.55000000000000004">
      <c r="A35" s="118">
        <v>44383</v>
      </c>
      <c r="B35" s="49">
        <v>573211</v>
      </c>
      <c r="C35" s="49" t="s">
        <v>6</v>
      </c>
      <c r="D35" s="49" t="s">
        <v>56</v>
      </c>
      <c r="E35" s="49" t="s">
        <v>107</v>
      </c>
      <c r="G35" s="119">
        <v>228584</v>
      </c>
      <c r="I35" s="119">
        <v>228584</v>
      </c>
      <c r="J35" s="119">
        <v>689502</v>
      </c>
    </row>
    <row r="36" spans="1:10" x14ac:dyDescent="0.55000000000000004">
      <c r="B36" s="49"/>
      <c r="C36" s="49"/>
      <c r="D36" s="49"/>
      <c r="E36" s="49"/>
    </row>
    <row r="37" spans="1:10" x14ac:dyDescent="0.55000000000000004">
      <c r="B37" s="49"/>
      <c r="C37" s="49"/>
      <c r="D37" s="49"/>
      <c r="E37" s="49"/>
    </row>
    <row r="38" spans="1:10" x14ac:dyDescent="0.55000000000000004">
      <c r="B38" s="49"/>
      <c r="C38" s="49"/>
      <c r="D38" s="49"/>
      <c r="E38" s="49"/>
    </row>
    <row r="39" spans="1:10" x14ac:dyDescent="0.55000000000000004">
      <c r="B39" s="49"/>
      <c r="C39" s="49"/>
      <c r="D39" s="49"/>
      <c r="E39" s="49"/>
    </row>
    <row r="40" spans="1:10" x14ac:dyDescent="0.55000000000000004">
      <c r="B40" s="49"/>
      <c r="C40" s="49"/>
      <c r="D40" s="49"/>
      <c r="E40" s="49"/>
    </row>
    <row r="41" spans="1:10" x14ac:dyDescent="0.55000000000000004">
      <c r="B41" s="49"/>
      <c r="C41" s="49"/>
      <c r="D41" s="49"/>
      <c r="E41" s="49"/>
    </row>
    <row r="42" spans="1:10" x14ac:dyDescent="0.55000000000000004">
      <c r="B42" s="49"/>
      <c r="C42" s="49"/>
      <c r="D42" s="49"/>
      <c r="E42" s="49"/>
    </row>
    <row r="43" spans="1:10" x14ac:dyDescent="0.55000000000000004">
      <c r="B43" s="49"/>
      <c r="C43" s="49"/>
      <c r="D43" s="49"/>
      <c r="E43" s="49"/>
    </row>
    <row r="44" spans="1:10" x14ac:dyDescent="0.55000000000000004">
      <c r="B44" s="49"/>
      <c r="C44" s="49"/>
      <c r="D44" s="49"/>
      <c r="E44" s="49"/>
    </row>
    <row r="45" spans="1:10" x14ac:dyDescent="0.55000000000000004">
      <c r="B45" s="49"/>
      <c r="C45" s="49"/>
      <c r="D45" s="49"/>
      <c r="E45" s="49"/>
    </row>
    <row r="46" spans="1:10" x14ac:dyDescent="0.55000000000000004">
      <c r="B46" s="49"/>
      <c r="C46" s="49"/>
      <c r="D46" s="49"/>
      <c r="E46" s="49"/>
    </row>
    <row r="47" spans="1:10" x14ac:dyDescent="0.55000000000000004">
      <c r="B47" s="49"/>
      <c r="C47" s="49"/>
      <c r="D47" s="49"/>
      <c r="E47" s="49"/>
    </row>
    <row r="48" spans="1:10" x14ac:dyDescent="0.55000000000000004">
      <c r="B48" s="49"/>
      <c r="C48" s="49"/>
      <c r="D48" s="49"/>
      <c r="E48" s="49"/>
    </row>
    <row r="49" spans="2:5" x14ac:dyDescent="0.55000000000000004">
      <c r="B49" s="49"/>
      <c r="C49" s="49"/>
      <c r="D49" s="49"/>
      <c r="E49" s="49"/>
    </row>
    <row r="50" spans="2:5" x14ac:dyDescent="0.55000000000000004">
      <c r="B50" s="49"/>
      <c r="C50" s="49"/>
      <c r="D50" s="49"/>
      <c r="E50" s="49"/>
    </row>
    <row r="51" spans="2:5" x14ac:dyDescent="0.55000000000000004">
      <c r="B51" s="49"/>
      <c r="C51" s="49"/>
      <c r="D51" s="49"/>
      <c r="E51" s="49"/>
    </row>
    <row r="52" spans="2:5" x14ac:dyDescent="0.55000000000000004">
      <c r="B52" s="49"/>
      <c r="C52" s="49"/>
      <c r="D52" s="49"/>
      <c r="E52" s="49"/>
    </row>
    <row r="53" spans="2:5" x14ac:dyDescent="0.55000000000000004">
      <c r="B53" s="49"/>
      <c r="C53" s="49"/>
      <c r="D53" s="49"/>
      <c r="E53" s="49"/>
    </row>
    <row r="54" spans="2:5" x14ac:dyDescent="0.55000000000000004">
      <c r="B54" s="49"/>
      <c r="C54" s="49"/>
      <c r="D54" s="49"/>
      <c r="E54" s="49"/>
    </row>
    <row r="55" spans="2:5" x14ac:dyDescent="0.55000000000000004">
      <c r="B55" s="49"/>
      <c r="C55" s="49"/>
      <c r="D55" s="49"/>
      <c r="E55" s="49"/>
    </row>
    <row r="56" spans="2:5" x14ac:dyDescent="0.55000000000000004">
      <c r="B56" s="49"/>
      <c r="C56" s="49"/>
      <c r="D56" s="49"/>
      <c r="E56" s="49"/>
    </row>
    <row r="57" spans="2:5" x14ac:dyDescent="0.55000000000000004">
      <c r="B57" s="49"/>
      <c r="C57" s="49"/>
      <c r="D57" s="49"/>
      <c r="E57" s="49"/>
    </row>
    <row r="58" spans="2:5" x14ac:dyDescent="0.55000000000000004">
      <c r="B58" s="49"/>
      <c r="C58" s="49"/>
      <c r="D58" s="49"/>
      <c r="E58" s="49"/>
    </row>
    <row r="59" spans="2:5" x14ac:dyDescent="0.55000000000000004">
      <c r="B59" s="49"/>
      <c r="C59" s="49"/>
      <c r="D59" s="49"/>
      <c r="E59" s="49"/>
    </row>
    <row r="60" spans="2:5" x14ac:dyDescent="0.55000000000000004">
      <c r="B60" s="49"/>
      <c r="C60" s="49"/>
      <c r="D60" s="49"/>
      <c r="E60" s="49"/>
    </row>
    <row r="61" spans="2:5" x14ac:dyDescent="0.55000000000000004">
      <c r="B61" s="49"/>
      <c r="C61" s="49"/>
      <c r="D61" s="49"/>
      <c r="E61" s="49"/>
    </row>
    <row r="62" spans="2:5" x14ac:dyDescent="0.55000000000000004">
      <c r="B62" s="49"/>
      <c r="C62" s="49"/>
      <c r="D62" s="49"/>
      <c r="E62" s="49"/>
    </row>
    <row r="63" spans="2:5" x14ac:dyDescent="0.55000000000000004">
      <c r="B63" s="49"/>
      <c r="C63" s="49"/>
      <c r="D63" s="49"/>
      <c r="E63" s="49"/>
    </row>
    <row r="64" spans="2:5" x14ac:dyDescent="0.55000000000000004">
      <c r="B64" s="49"/>
      <c r="C64" s="49"/>
      <c r="D64" s="49"/>
      <c r="E64" s="49"/>
    </row>
    <row r="65" spans="2:5" x14ac:dyDescent="0.55000000000000004">
      <c r="B65" s="49"/>
      <c r="C65" s="49"/>
      <c r="D65" s="49"/>
      <c r="E65" s="49"/>
    </row>
    <row r="66" spans="2:5" x14ac:dyDescent="0.55000000000000004">
      <c r="B66" s="49"/>
      <c r="C66" s="49"/>
      <c r="D66" s="49"/>
      <c r="E66" s="49"/>
    </row>
    <row r="67" spans="2:5" x14ac:dyDescent="0.55000000000000004">
      <c r="B67" s="49"/>
      <c r="C67" s="49"/>
      <c r="D67" s="49"/>
      <c r="E67" s="49"/>
    </row>
    <row r="68" spans="2:5" x14ac:dyDescent="0.55000000000000004">
      <c r="B68" s="49"/>
      <c r="C68" s="49"/>
      <c r="D68" s="49"/>
      <c r="E68" s="49"/>
    </row>
    <row r="69" spans="2:5" x14ac:dyDescent="0.55000000000000004">
      <c r="B69" s="49"/>
      <c r="C69" s="49"/>
      <c r="D69" s="49"/>
      <c r="E69" s="49"/>
    </row>
    <row r="70" spans="2:5" x14ac:dyDescent="0.55000000000000004">
      <c r="B70" s="49"/>
      <c r="C70" s="49"/>
      <c r="D70" s="49"/>
      <c r="E70" s="49"/>
    </row>
    <row r="71" spans="2:5" x14ac:dyDescent="0.55000000000000004">
      <c r="B71" s="49"/>
      <c r="C71" s="49"/>
      <c r="D71" s="49"/>
      <c r="E71" s="49"/>
    </row>
    <row r="72" spans="2:5" x14ac:dyDescent="0.55000000000000004">
      <c r="B72" s="49"/>
      <c r="C72" s="49"/>
      <c r="D72" s="49"/>
      <c r="E72" s="49"/>
    </row>
    <row r="73" spans="2:5" x14ac:dyDescent="0.55000000000000004">
      <c r="B73" s="49"/>
      <c r="C73" s="49"/>
      <c r="D73" s="49"/>
      <c r="E73" s="49"/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J3"/>
  <sheetViews>
    <sheetView workbookViewId="0">
      <selection sqref="A1:J3"/>
    </sheetView>
  </sheetViews>
  <sheetFormatPr defaultRowHeight="15" x14ac:dyDescent="0.25"/>
  <cols>
    <col min="1" max="1" width="17.85546875" style="83" bestFit="1" customWidth="1"/>
    <col min="2" max="2" width="18.85546875" bestFit="1" customWidth="1"/>
    <col min="3" max="3" width="22.28515625" bestFit="1" customWidth="1"/>
    <col min="4" max="4" width="28.42578125" bestFit="1" customWidth="1"/>
    <col min="5" max="5" width="25.28515625" bestFit="1" customWidth="1"/>
    <col min="6" max="6" width="21.5703125" bestFit="1" customWidth="1"/>
    <col min="7" max="7" width="22.5703125" bestFit="1" customWidth="1"/>
    <col min="8" max="8" width="22.28515625" bestFit="1" customWidth="1"/>
    <col min="9" max="9" width="21.140625" style="85" bestFit="1" customWidth="1"/>
    <col min="10" max="10" width="10" bestFit="1" customWidth="1"/>
  </cols>
  <sheetData>
    <row r="1" spans="1:10" ht="21.75" x14ac:dyDescent="0.55000000000000004">
      <c r="A1" s="82" t="s">
        <v>85</v>
      </c>
      <c r="B1" s="49" t="s">
        <v>86</v>
      </c>
      <c r="C1" s="49" t="s">
        <v>87</v>
      </c>
      <c r="D1" s="49" t="s">
        <v>88</v>
      </c>
      <c r="E1" s="49" t="s">
        <v>89</v>
      </c>
      <c r="F1" s="49" t="s">
        <v>90</v>
      </c>
      <c r="G1" s="49" t="s">
        <v>91</v>
      </c>
      <c r="H1" s="49" t="s">
        <v>92</v>
      </c>
      <c r="I1" s="84" t="s">
        <v>93</v>
      </c>
      <c r="J1" s="49" t="s">
        <v>94</v>
      </c>
    </row>
    <row r="2" spans="1:10" ht="21.75" x14ac:dyDescent="0.55000000000000004">
      <c r="A2" s="82">
        <v>44348</v>
      </c>
      <c r="B2" s="49"/>
      <c r="C2" s="49" t="s">
        <v>5</v>
      </c>
      <c r="D2" s="49" t="s">
        <v>75</v>
      </c>
      <c r="E2" s="49" t="s">
        <v>5</v>
      </c>
      <c r="F2" s="49">
        <v>16740000</v>
      </c>
      <c r="G2" s="49"/>
      <c r="H2" s="49"/>
      <c r="I2" s="84">
        <v>16740000</v>
      </c>
      <c r="J2" s="49" t="s">
        <v>95</v>
      </c>
    </row>
    <row r="3" spans="1:10" ht="21.75" x14ac:dyDescent="0.55000000000000004">
      <c r="A3" s="82">
        <v>44348</v>
      </c>
      <c r="B3" s="49"/>
      <c r="C3" s="49" t="s">
        <v>5</v>
      </c>
      <c r="D3" s="49" t="s">
        <v>76</v>
      </c>
      <c r="E3" s="49" t="s">
        <v>5</v>
      </c>
      <c r="F3" s="49">
        <v>750000</v>
      </c>
      <c r="G3" s="49"/>
      <c r="H3" s="49"/>
      <c r="I3" s="84">
        <v>750000</v>
      </c>
      <c r="J3" s="49" t="s">
        <v>96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4911B5-D14C-42D0-A07F-2358DCD784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</vt:i4>
      </vt:variant>
    </vt:vector>
  </HeadingPairs>
  <TitlesOfParts>
    <vt:vector size="26" baseType="lpstr">
      <vt:lpstr>Supplier (COA)</vt:lpstr>
      <vt:lpstr>Armax Engine Oil</vt:lpstr>
      <vt:lpstr>Aspire Aim Machinery</vt:lpstr>
      <vt:lpstr>Aung Myit Tar</vt:lpstr>
      <vt:lpstr>GBS Co, LTD Tricycle</vt:lpstr>
      <vt:lpstr>Delita International Limited</vt:lpstr>
      <vt:lpstr>GBS Co, LTD Engine</vt:lpstr>
      <vt:lpstr>GBS Spare</vt:lpstr>
      <vt:lpstr>Ko Win Hlaing</vt:lpstr>
      <vt:lpstr>Kyinn Loon Myanmar</vt:lpstr>
      <vt:lpstr>Ma Au Bin</vt:lpstr>
      <vt:lpstr>Mann Ayawadi</vt:lpstr>
      <vt:lpstr>MDL Tricycle Spare</vt:lpstr>
      <vt:lpstr>Moe Thauk Ayar</vt:lpstr>
      <vt:lpstr>Sein Wut Hmon Co, LTD</vt:lpstr>
      <vt:lpstr>Shwe Than Lwin</vt:lpstr>
      <vt:lpstr>Shwe Yar Su</vt:lpstr>
      <vt:lpstr>Super</vt:lpstr>
      <vt:lpstr>Tat Shwe La Win </vt:lpstr>
      <vt:lpstr>UMG Co,LTD</vt:lpstr>
      <vt:lpstr>Zan (or) Mg Mg Soe</vt:lpstr>
      <vt:lpstr>Total Balance</vt:lpstr>
      <vt:lpstr>Pivot Table</vt:lpstr>
      <vt:lpstr>Data Combile</vt:lpstr>
      <vt:lpstr>Sheet2</vt:lpstr>
      <vt:lpstr>'Total Balance'!Print_Area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User</cp:lastModifiedBy>
  <cp:lastPrinted>2021-03-13T22:35:13Z</cp:lastPrinted>
  <dcterms:created xsi:type="dcterms:W3CDTF">2021-03-05T16:53:14Z</dcterms:created>
  <dcterms:modified xsi:type="dcterms:W3CDTF">2021-10-03T04:11:15Z</dcterms:modified>
</cp:coreProperties>
</file>